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机械设备\"/>
    </mc:Choice>
  </mc:AlternateContent>
  <bookViews>
    <workbookView xWindow="0" yWindow="0" windowWidth="3800" windowHeight="2950"/>
  </bookViews>
  <sheets>
    <sheet name="自动化设备" sheetId="7" r:id="rId1"/>
    <sheet name="估值-增速与年化收益" sheetId="14" r:id="rId2"/>
  </sheets>
  <functionGroups builtInGroupCount="18"/>
  <definedNames>
    <definedName name="_xlnm._FilterDatabase" localSheetId="0" hidden="1">自动化设备!$BU$1:$BU$119</definedName>
  </definedNames>
  <calcPr calcId="152511"/>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19" i="7"/>
  <c r="C85" i="7"/>
  <c r="C81" i="7"/>
  <c r="C77" i="7"/>
  <c r="C73" i="7"/>
  <c r="C69" i="7"/>
  <c r="C65" i="7"/>
  <c r="C61" i="7"/>
  <c r="C57" i="7"/>
  <c r="C53" i="7"/>
  <c r="C49" i="7"/>
  <c r="C45" i="7"/>
  <c r="C41" i="7"/>
  <c r="C37" i="7"/>
  <c r="C33" i="7"/>
  <c r="C29" i="7"/>
  <c r="C84" i="7"/>
  <c r="C80" i="7"/>
  <c r="C76" i="7"/>
  <c r="C72" i="7"/>
  <c r="C68" i="7"/>
  <c r="C64" i="7"/>
  <c r="C60" i="7"/>
  <c r="C56" i="7"/>
  <c r="C52" i="7"/>
  <c r="C48" i="7"/>
  <c r="C44" i="7"/>
  <c r="C40" i="7"/>
  <c r="C36" i="7"/>
  <c r="C32" i="7"/>
  <c r="C28" i="7"/>
  <c r="C11" i="7"/>
  <c r="C83" i="7"/>
  <c r="C79" i="7"/>
  <c r="C75" i="7"/>
  <c r="C71" i="7"/>
  <c r="C67" i="7"/>
  <c r="C63" i="7"/>
  <c r="C59" i="7"/>
  <c r="C55" i="7"/>
  <c r="C51" i="7"/>
  <c r="C47" i="7"/>
  <c r="C43" i="7"/>
  <c r="C39" i="7"/>
  <c r="C35" i="7"/>
  <c r="C31" i="7"/>
  <c r="C86" i="7"/>
  <c r="C82" i="7"/>
  <c r="C78" i="7"/>
  <c r="C74" i="7"/>
  <c r="C70" i="7"/>
  <c r="C66" i="7"/>
  <c r="C62" i="7"/>
  <c r="C58" i="7"/>
  <c r="C54" i="7"/>
  <c r="C50" i="7"/>
  <c r="C46" i="7"/>
  <c r="C42" i="7"/>
  <c r="C38" i="7"/>
  <c r="C34" i="7"/>
  <c r="C30" i="7"/>
  <c r="C27" i="7"/>
  <c r="C26" i="7"/>
  <c r="C25" i="7"/>
  <c r="C24" i="7"/>
  <c r="C23" i="7"/>
  <c r="C22" i="7"/>
  <c r="C21" i="7"/>
  <c r="C20" i="7"/>
  <c r="C18" i="7"/>
  <c r="C17" i="7"/>
  <c r="C16" i="7"/>
  <c r="C15" i="7"/>
  <c r="C14" i="7"/>
  <c r="C13" i="7"/>
  <c r="C12" i="7"/>
  <c r="C10" i="7"/>
  <c r="C9" i="7"/>
  <c r="C8" i="7"/>
  <c r="C7" i="7"/>
  <c r="C6" i="7"/>
  <c r="C5" i="7"/>
  <c r="C4" i="7"/>
  <c r="C3" i="7"/>
  <c r="C2" i="7"/>
</calcChain>
</file>

<file path=xl/sharedStrings.xml><?xml version="1.0" encoding="utf-8"?>
<sst xmlns="http://schemas.openxmlformats.org/spreadsheetml/2006/main" count="4822" uniqueCount="3183">
  <si>
    <t>&lt;-增速</t>
    <phoneticPr fontId="1" type="noConversion"/>
  </si>
  <si>
    <t>&lt;-估值</t>
    <phoneticPr fontId="1" type="noConversion"/>
  </si>
  <si>
    <t>&lt;-折合年化收益</t>
    <phoneticPr fontId="1" type="noConversion"/>
  </si>
  <si>
    <t>已知和基本信息</t>
    <phoneticPr fontId="1" type="noConversion"/>
  </si>
  <si>
    <t>预期多</t>
    <phoneticPr fontId="1" type="noConversion"/>
  </si>
  <si>
    <t>预期空</t>
    <phoneticPr fontId="1" type="noConversion"/>
  </si>
  <si>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</si>
  <si>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</si>
  <si>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</si>
  <si>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</si>
  <si>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</si>
  <si>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</si>
  <si>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</si>
  <si>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</si>
  <si>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</si>
  <si>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</si>
  <si>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</si>
  <si>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</si>
  <si>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</si>
  <si>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现价</t>
  </si>
  <si>
    <t>总市值</t>
  </si>
  <si>
    <t>TTM市盈率</t>
  </si>
  <si>
    <t>市净率</t>
  </si>
  <si>
    <t>所属行业</t>
  </si>
  <si>
    <t>负债合计</t>
  </si>
  <si>
    <t>所有者权益合计</t>
  </si>
  <si>
    <t>主营业务收入</t>
  </si>
  <si>
    <t>净利润增长率</t>
  </si>
  <si>
    <t>总股本</t>
  </si>
  <si>
    <t>财务费用</t>
  </si>
  <si>
    <t>投资收益</t>
  </si>
  <si>
    <t>应收账款</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</si>
  <si>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</si>
  <si>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</si>
  <si>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</si>
  <si>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</si>
  <si>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</si>
  <si>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</si>
  <si>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</si>
  <si>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</si>
  <si>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</si>
  <si>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</si>
  <si>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</si>
  <si>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销售毛利率%[20201231]</t>
  </si>
  <si>
    <t>销售毛利率%[20191231]</t>
  </si>
  <si>
    <t>销售净利率%[20201231]</t>
  </si>
  <si>
    <t>销售净利率%[20191231]</t>
  </si>
  <si>
    <t>--</t>
  </si>
  <si>
    <t>1.07亿</t>
  </si>
  <si>
    <t>3.76亿</t>
  </si>
  <si>
    <t>2.26亿</t>
  </si>
  <si>
    <t>1.24亿</t>
  </si>
  <si>
    <t>1.03亿</t>
  </si>
  <si>
    <t>7.33亿</t>
  </si>
  <si>
    <t>1.26亿</t>
  </si>
  <si>
    <t>1.40亿</t>
  </si>
  <si>
    <t>2.06亿</t>
  </si>
  <si>
    <t>1.54亿</t>
  </si>
  <si>
    <t>2.10亿</t>
  </si>
  <si>
    <t>2.87亿</t>
  </si>
  <si>
    <t>3.49亿</t>
  </si>
  <si>
    <t>1.10亿</t>
  </si>
  <si>
    <t>1.59亿</t>
  </si>
  <si>
    <t>4.74亿</t>
  </si>
  <si>
    <t>1.64亿</t>
  </si>
  <si>
    <t>1.22亿</t>
  </si>
  <si>
    <t>1.88亿</t>
  </si>
  <si>
    <t>1.99亿</t>
  </si>
  <si>
    <t>4.23亿</t>
  </si>
  <si>
    <t>3.00亿</t>
  </si>
  <si>
    <t>0亿</t>
  </si>
  <si>
    <t>1.94亿</t>
  </si>
  <si>
    <t>1.18亿</t>
  </si>
  <si>
    <t>2.24亿</t>
  </si>
  <si>
    <t>2.62亿</t>
  </si>
  <si>
    <t>1.55亿</t>
  </si>
  <si>
    <t>1.28亿</t>
  </si>
  <si>
    <t>4.29亿</t>
  </si>
  <si>
    <t>1.11亿</t>
  </si>
  <si>
    <t>1.93亿</t>
  </si>
  <si>
    <t>1.73亿</t>
  </si>
  <si>
    <t>1.89亿</t>
  </si>
  <si>
    <t>1.77亿</t>
  </si>
  <si>
    <t>1.57亿</t>
  </si>
  <si>
    <t>2.20亿</t>
  </si>
  <si>
    <t>3.19亿</t>
  </si>
  <si>
    <t>2.15亿</t>
  </si>
  <si>
    <t>1.96亿</t>
  </si>
  <si>
    <t>3.63亿</t>
  </si>
  <si>
    <t>5.41亿</t>
  </si>
  <si>
    <t>1.27亿</t>
  </si>
  <si>
    <t>1.80亿</t>
  </si>
  <si>
    <t>1.92亿</t>
  </si>
  <si>
    <t>2.63亿</t>
  </si>
  <si>
    <t>9.13亿</t>
  </si>
  <si>
    <t>1.39亿</t>
  </si>
  <si>
    <t>1.46亿</t>
  </si>
  <si>
    <t>1.35亿</t>
  </si>
  <si>
    <t>1.05亿</t>
  </si>
  <si>
    <t>1.29亿</t>
  </si>
  <si>
    <t>1.04亿</t>
  </si>
  <si>
    <t>1.08亿</t>
  </si>
  <si>
    <t>4.46亿</t>
  </si>
  <si>
    <t>5.05亿</t>
  </si>
  <si>
    <t>4.73亿</t>
  </si>
  <si>
    <t>1.20亿</t>
  </si>
  <si>
    <t>1.17亿</t>
  </si>
  <si>
    <t>4.03亿</t>
  </si>
  <si>
    <t>1.16亿</t>
  </si>
  <si>
    <t>1.53亿</t>
  </si>
  <si>
    <t>2.43亿</t>
  </si>
  <si>
    <t>1.06亿</t>
  </si>
  <si>
    <t>1.31亿</t>
  </si>
  <si>
    <t>1.66亿</t>
  </si>
  <si>
    <t>1.50亿</t>
  </si>
  <si>
    <t>1.97亿</t>
  </si>
  <si>
    <t>2.83亿</t>
  </si>
  <si>
    <t>1.37亿</t>
  </si>
  <si>
    <t>1.15亿</t>
  </si>
  <si>
    <t>2.61亿</t>
  </si>
  <si>
    <t>3.72亿</t>
  </si>
  <si>
    <t>4.22亿</t>
  </si>
  <si>
    <t>1.34亿</t>
  </si>
  <si>
    <t>1.02亿</t>
  </si>
  <si>
    <t>3.73亿</t>
  </si>
  <si>
    <t>2.16亿</t>
  </si>
  <si>
    <t>3.08亿</t>
  </si>
  <si>
    <t>2.44亿</t>
  </si>
  <si>
    <t>5.08亿</t>
  </si>
  <si>
    <t>1.48亿</t>
  </si>
  <si>
    <t>5.20亿</t>
  </si>
  <si>
    <t>15.81亿</t>
  </si>
  <si>
    <t>1.65亿</t>
  </si>
  <si>
    <t>3.20亿</t>
  </si>
  <si>
    <t>2.40亿</t>
  </si>
  <si>
    <t>1.32亿</t>
  </si>
  <si>
    <t>3.36亿</t>
  </si>
  <si>
    <t>20.14亿</t>
  </si>
  <si>
    <t>2.93亿</t>
  </si>
  <si>
    <t>-1.60亿</t>
  </si>
  <si>
    <t>5.80亿</t>
  </si>
  <si>
    <t>2.14亿</t>
  </si>
  <si>
    <t>1.12亿</t>
  </si>
  <si>
    <t>1.74亿</t>
  </si>
  <si>
    <t>16.91亿</t>
  </si>
  <si>
    <t>2.28亿</t>
  </si>
  <si>
    <t>1.01亿</t>
  </si>
  <si>
    <t>7.24亿</t>
  </si>
  <si>
    <t>3.39亿</t>
  </si>
  <si>
    <t>3.91亿</t>
  </si>
  <si>
    <t>4.32亿</t>
  </si>
  <si>
    <t>2.55亿</t>
  </si>
  <si>
    <t>2.84亿</t>
  </si>
  <si>
    <t>10.11亿</t>
  </si>
  <si>
    <t>1.47亿</t>
  </si>
  <si>
    <t>3.50亿</t>
  </si>
  <si>
    <t>2.85亿</t>
  </si>
  <si>
    <t>4.02亿</t>
  </si>
  <si>
    <t>4.49亿</t>
  </si>
  <si>
    <t>2.71亿</t>
  </si>
  <si>
    <t>2.54亿</t>
  </si>
  <si>
    <t>1.72亿</t>
  </si>
  <si>
    <t>3.97亿</t>
  </si>
  <si>
    <t>5.35亿</t>
  </si>
  <si>
    <t>2.51亿</t>
  </si>
  <si>
    <t>4.90亿</t>
  </si>
  <si>
    <t>11.39亿</t>
  </si>
  <si>
    <t>5.25亿</t>
  </si>
  <si>
    <t>3.10亿</t>
  </si>
  <si>
    <t>4.95亿</t>
  </si>
  <si>
    <t>9.52亿</t>
  </si>
  <si>
    <t>5.83亿</t>
  </si>
  <si>
    <t>6.87亿</t>
  </si>
  <si>
    <t>1.75亿</t>
  </si>
  <si>
    <t>1.30亿</t>
  </si>
  <si>
    <t>SZ000584</t>
  </si>
  <si>
    <t>自动化设备</t>
  </si>
  <si>
    <t>16.18亿</t>
  </si>
  <si>
    <t>3.53亿</t>
  </si>
  <si>
    <t>1.67亿</t>
  </si>
  <si>
    <t>17.37亿</t>
  </si>
  <si>
    <t>23.83亿</t>
  </si>
  <si>
    <t>15.72亿</t>
  </si>
  <si>
    <t>10.75亿</t>
  </si>
  <si>
    <t>SZ002527</t>
  </si>
  <si>
    <t>新时达</t>
  </si>
  <si>
    <t>39.57亿</t>
  </si>
  <si>
    <t>8679.77万</t>
  </si>
  <si>
    <t>5.90亿</t>
  </si>
  <si>
    <t>4.05亿</t>
  </si>
  <si>
    <t>35.34亿</t>
  </si>
  <si>
    <t>35.15亿</t>
  </si>
  <si>
    <t>5359.05万</t>
  </si>
  <si>
    <t>-2.61亿</t>
  </si>
  <si>
    <t>1.38亿</t>
  </si>
  <si>
    <t>SZ002698</t>
  </si>
  <si>
    <t>博实股份</t>
  </si>
  <si>
    <t>18.28亿</t>
  </si>
  <si>
    <t>2.70亿</t>
  </si>
  <si>
    <t>4.43亿</t>
  </si>
  <si>
    <t>1.58亿</t>
  </si>
  <si>
    <t>1.83亿</t>
  </si>
  <si>
    <t>14.60亿</t>
  </si>
  <si>
    <t>9.16亿</t>
  </si>
  <si>
    <t>6.28亿</t>
  </si>
  <si>
    <t>3.07亿</t>
  </si>
  <si>
    <t>1.82亿</t>
  </si>
  <si>
    <t>1.33亿</t>
  </si>
  <si>
    <t>SZ002747</t>
  </si>
  <si>
    <t>埃斯顿</t>
  </si>
  <si>
    <t>25.10亿</t>
  </si>
  <si>
    <t>14.61亿</t>
  </si>
  <si>
    <t>4.83亿</t>
  </si>
  <si>
    <t>6281.20万</t>
  </si>
  <si>
    <t>4.60亿</t>
  </si>
  <si>
    <t>SZ002979</t>
  </si>
  <si>
    <t>雷赛智能</t>
  </si>
  <si>
    <t>9.46亿</t>
  </si>
  <si>
    <t>1.76亿</t>
  </si>
  <si>
    <t>1.23亿</t>
  </si>
  <si>
    <t>2.68亿</t>
  </si>
  <si>
    <t>2.36亿</t>
  </si>
  <si>
    <t>6.63亿</t>
  </si>
  <si>
    <t>5.97亿</t>
  </si>
  <si>
    <t>8379.66万</t>
  </si>
  <si>
    <t>SZ300024</t>
  </si>
  <si>
    <t>机器人</t>
  </si>
  <si>
    <t>26.60亿</t>
  </si>
  <si>
    <t>-3.96亿</t>
  </si>
  <si>
    <t>1.09亿</t>
  </si>
  <si>
    <t>1.84亿</t>
  </si>
  <si>
    <t>5.50亿</t>
  </si>
  <si>
    <t>3.59亿</t>
  </si>
  <si>
    <t>27.45亿</t>
  </si>
  <si>
    <t>30.95亿</t>
  </si>
  <si>
    <t>SZ300276</t>
  </si>
  <si>
    <t>三丰智能</t>
  </si>
  <si>
    <t>11.68亿</t>
  </si>
  <si>
    <t>-13.12亿</t>
  </si>
  <si>
    <t>5.94亿</t>
  </si>
  <si>
    <t>3.16亿</t>
  </si>
  <si>
    <t>2.53亿</t>
  </si>
  <si>
    <t>1.52亿</t>
  </si>
  <si>
    <t>1.21亿</t>
  </si>
  <si>
    <t>19.45亿</t>
  </si>
  <si>
    <t>17.92亿</t>
  </si>
  <si>
    <t>6.25亿</t>
  </si>
  <si>
    <t>3.28亿</t>
  </si>
  <si>
    <t>3.45亿</t>
  </si>
  <si>
    <t>2.35亿</t>
  </si>
  <si>
    <t>2.47亿</t>
  </si>
  <si>
    <t>3623.74万</t>
  </si>
  <si>
    <t>SZ300607</t>
  </si>
  <si>
    <t>拓斯达</t>
  </si>
  <si>
    <t>27.55亿</t>
  </si>
  <si>
    <t>5.72亿</t>
  </si>
  <si>
    <t>16.60亿</t>
  </si>
  <si>
    <t>11.98亿</t>
  </si>
  <si>
    <t>7.64亿</t>
  </si>
  <si>
    <t>4.33亿</t>
  </si>
  <si>
    <t>1.87亿</t>
  </si>
  <si>
    <t>5.49亿</t>
  </si>
  <si>
    <t>4.00亿</t>
  </si>
  <si>
    <t>SZ300853</t>
  </si>
  <si>
    <t>申昊科技</t>
  </si>
  <si>
    <t>3.24亿</t>
  </si>
  <si>
    <t>11.67亿</t>
  </si>
  <si>
    <t>6.12亿</t>
  </si>
  <si>
    <t>1.62亿</t>
  </si>
  <si>
    <t>3.03亿</t>
  </si>
  <si>
    <t>3.61亿</t>
  </si>
  <si>
    <t>1.13亿</t>
  </si>
  <si>
    <t>9306.34万</t>
  </si>
  <si>
    <t>2.05亿</t>
  </si>
  <si>
    <t>SH603416</t>
  </si>
  <si>
    <t>信捷电气</t>
  </si>
  <si>
    <t>11.34亿</t>
  </si>
  <si>
    <t>3.32亿</t>
  </si>
  <si>
    <t>5.03亿</t>
  </si>
  <si>
    <t>2.79亿</t>
  </si>
  <si>
    <t>6.50亿</t>
  </si>
  <si>
    <t>4.84亿</t>
  </si>
  <si>
    <t>1.63亿</t>
  </si>
  <si>
    <t>1.49亿</t>
  </si>
  <si>
    <t>1.00亿</t>
  </si>
  <si>
    <t>SH603666</t>
  </si>
  <si>
    <t>亿嘉和</t>
  </si>
  <si>
    <t>5.06亿</t>
  </si>
  <si>
    <t>10.06亿</t>
  </si>
  <si>
    <t>1.44亿</t>
  </si>
  <si>
    <t>3.74亿</t>
  </si>
  <si>
    <t>2.56亿</t>
  </si>
  <si>
    <t>SH688017</t>
  </si>
  <si>
    <t>绿的谐波</t>
  </si>
  <si>
    <t>2.00亿</t>
  </si>
  <si>
    <t>2.17亿</t>
  </si>
  <si>
    <t>8205.26万</t>
  </si>
  <si>
    <t>2.33亿</t>
  </si>
  <si>
    <t>1.86亿</t>
  </si>
  <si>
    <t>5847.83万</t>
  </si>
  <si>
    <t>SH688090</t>
  </si>
  <si>
    <t>瑞松科技</t>
  </si>
  <si>
    <t>7.31亿</t>
  </si>
  <si>
    <t>7.99亿</t>
  </si>
  <si>
    <t>4993.99万</t>
  </si>
  <si>
    <t>3.98亿</t>
  </si>
  <si>
    <t>2.45亿</t>
  </si>
  <si>
    <t>7.36亿</t>
  </si>
  <si>
    <t>6109.75万</t>
  </si>
  <si>
    <t>SH688165</t>
  </si>
  <si>
    <t>埃夫特-U</t>
  </si>
  <si>
    <t>-1.69亿</t>
  </si>
  <si>
    <t>12.68亿</t>
  </si>
  <si>
    <t>13.14亿</t>
  </si>
  <si>
    <t>-4268.28万</t>
  </si>
  <si>
    <t>-2211.07万</t>
  </si>
  <si>
    <t>SH688218</t>
  </si>
  <si>
    <t>江苏北人</t>
  </si>
  <si>
    <t>2953.87万</t>
  </si>
  <si>
    <t>4.13亿</t>
  </si>
  <si>
    <t>1.36亿</t>
  </si>
  <si>
    <t>5240.07万</t>
  </si>
  <si>
    <t>4836.12万</t>
  </si>
  <si>
    <t>SH688255</t>
  </si>
  <si>
    <t>凯尔达</t>
  </si>
  <si>
    <t>7404.93万</t>
  </si>
  <si>
    <t>4.09亿</t>
  </si>
  <si>
    <t>4.07亿</t>
  </si>
  <si>
    <t>2057.88万</t>
  </si>
  <si>
    <t>2925.14万</t>
  </si>
  <si>
    <t>2.46亿</t>
  </si>
  <si>
    <t>SZ002184</t>
  </si>
  <si>
    <t>海得控制</t>
  </si>
  <si>
    <t>22.66亿</t>
  </si>
  <si>
    <t>20.58亿</t>
  </si>
  <si>
    <t>5244.05万</t>
  </si>
  <si>
    <t>SZ002334</t>
  </si>
  <si>
    <t>英威腾</t>
  </si>
  <si>
    <t>22.86亿</t>
  </si>
  <si>
    <t>22.42亿</t>
  </si>
  <si>
    <t>22.28亿</t>
  </si>
  <si>
    <t>-2.98亿</t>
  </si>
  <si>
    <t>3.23亿</t>
  </si>
  <si>
    <t>SZ002957</t>
  </si>
  <si>
    <t>科瑞技术</t>
  </si>
  <si>
    <t>12.03亿</t>
  </si>
  <si>
    <t>4.45亿</t>
  </si>
  <si>
    <t>1.70亿</t>
  </si>
  <si>
    <t>18.72亿</t>
  </si>
  <si>
    <t>19.29亿</t>
  </si>
  <si>
    <t>2.96亿</t>
  </si>
  <si>
    <t>2.49亿</t>
  </si>
  <si>
    <t>SZ002975</t>
  </si>
  <si>
    <t>博杰股份</t>
  </si>
  <si>
    <t>13.76亿</t>
  </si>
  <si>
    <t>3.41亿</t>
  </si>
  <si>
    <t>8.25亿</t>
  </si>
  <si>
    <t>4.82亿</t>
  </si>
  <si>
    <t>SZ300048</t>
  </si>
  <si>
    <t>合康新能</t>
  </si>
  <si>
    <t>12.57亿</t>
  </si>
  <si>
    <t>-5.15亿</t>
  </si>
  <si>
    <t>13.04亿</t>
  </si>
  <si>
    <t>12.06亿</t>
  </si>
  <si>
    <t>2314.17万</t>
  </si>
  <si>
    <t>-2.37亿</t>
  </si>
  <si>
    <t>1.79亿</t>
  </si>
  <si>
    <t>2.81亿</t>
  </si>
  <si>
    <t>-1.52亿</t>
  </si>
  <si>
    <t>SZ300124</t>
  </si>
  <si>
    <t>汇川技术</t>
  </si>
  <si>
    <t>115.11亿</t>
  </si>
  <si>
    <t>21.00亿</t>
  </si>
  <si>
    <t>73.90亿</t>
  </si>
  <si>
    <t>58.74亿</t>
  </si>
  <si>
    <t>7.66亿</t>
  </si>
  <si>
    <t>SZ300278</t>
  </si>
  <si>
    <t>16.00亿</t>
  </si>
  <si>
    <t>-5.85亿</t>
  </si>
  <si>
    <t>8.78亿</t>
  </si>
  <si>
    <t>6.86亿</t>
  </si>
  <si>
    <t>3.64亿</t>
  </si>
  <si>
    <t>15.83亿</t>
  </si>
  <si>
    <t>27.25亿</t>
  </si>
  <si>
    <t>-15.37亿</t>
  </si>
  <si>
    <t>2424.21万</t>
  </si>
  <si>
    <t>4.48亿</t>
  </si>
  <si>
    <t>SZ300484</t>
  </si>
  <si>
    <t>蓝海华腾</t>
  </si>
  <si>
    <t>4.01亿</t>
  </si>
  <si>
    <t>5212.10万</t>
  </si>
  <si>
    <t>2.82亿</t>
  </si>
  <si>
    <t>2451.95万</t>
  </si>
  <si>
    <t>SH603015</t>
  </si>
  <si>
    <t>弘讯科技</t>
  </si>
  <si>
    <t>7.50亿</t>
  </si>
  <si>
    <t>6191.42万</t>
  </si>
  <si>
    <t>3.13亿</t>
  </si>
  <si>
    <t>6.66亿</t>
  </si>
  <si>
    <t>6.01亿</t>
  </si>
  <si>
    <t>3314.24万</t>
  </si>
  <si>
    <t>2.39亿</t>
  </si>
  <si>
    <t>SH603025</t>
  </si>
  <si>
    <t>大豪科技</t>
  </si>
  <si>
    <t>8.33亿</t>
  </si>
  <si>
    <t>3.35亿</t>
  </si>
  <si>
    <t>9.73亿</t>
  </si>
  <si>
    <t>3.57亿</t>
  </si>
  <si>
    <t>SH603203</t>
  </si>
  <si>
    <t>4.61亿</t>
  </si>
  <si>
    <t>2.86亿</t>
  </si>
  <si>
    <t>SH603283</t>
  </si>
  <si>
    <t>赛腾股份</t>
  </si>
  <si>
    <t>20.28亿</t>
  </si>
  <si>
    <t>4.15亿</t>
  </si>
  <si>
    <t>9.04亿</t>
  </si>
  <si>
    <t>SH603583</t>
  </si>
  <si>
    <t>捷昌驱动</t>
  </si>
  <si>
    <t>18.68亿</t>
  </si>
  <si>
    <t>14.08亿</t>
  </si>
  <si>
    <t>11.16亿</t>
  </si>
  <si>
    <t>4.78亿</t>
  </si>
  <si>
    <t>7.90亿</t>
  </si>
  <si>
    <t>SH605288</t>
  </si>
  <si>
    <t>凯迪股份</t>
  </si>
  <si>
    <t>12.72亿</t>
  </si>
  <si>
    <t>7.38亿</t>
  </si>
  <si>
    <t>12.22亿</t>
  </si>
  <si>
    <t>SH688160</t>
  </si>
  <si>
    <t>步科股份</t>
  </si>
  <si>
    <t>4.34亿</t>
  </si>
  <si>
    <t>6617.33万</t>
  </si>
  <si>
    <t>2.37亿</t>
  </si>
  <si>
    <t>4227.09万</t>
  </si>
  <si>
    <t>3616.12万</t>
  </si>
  <si>
    <t>SH688188</t>
  </si>
  <si>
    <t>柏楚电子</t>
  </si>
  <si>
    <t>5.71亿</t>
  </si>
  <si>
    <t>3.71亿</t>
  </si>
  <si>
    <t>SH688395</t>
  </si>
  <si>
    <t>正弦电气</t>
  </si>
  <si>
    <t>7035.95万</t>
  </si>
  <si>
    <t>2.23亿</t>
  </si>
  <si>
    <t>5596.28万</t>
  </si>
  <si>
    <t>4047.92万</t>
  </si>
  <si>
    <t>SH688698</t>
  </si>
  <si>
    <t>伟创电气</t>
  </si>
  <si>
    <t>8755.55万</t>
  </si>
  <si>
    <t>3.55亿</t>
  </si>
  <si>
    <t>5755.38万</t>
  </si>
  <si>
    <t>3528.08万</t>
  </si>
  <si>
    <t>SH688777</t>
  </si>
  <si>
    <t>中控技术</t>
  </si>
  <si>
    <t>31.59亿</t>
  </si>
  <si>
    <t>25.37亿</t>
  </si>
  <si>
    <t>21.33亿</t>
  </si>
  <si>
    <t>3.65亿</t>
  </si>
  <si>
    <t>SZ000988</t>
  </si>
  <si>
    <t>华工科技</t>
  </si>
  <si>
    <t>61.38亿</t>
  </si>
  <si>
    <t>54.60亿</t>
  </si>
  <si>
    <t>52.33亿</t>
  </si>
  <si>
    <t>SZ002008</t>
  </si>
  <si>
    <t>大族激光</t>
  </si>
  <si>
    <t>119.42亿</t>
  </si>
  <si>
    <t>9.79亿</t>
  </si>
  <si>
    <t>95.63亿</t>
  </si>
  <si>
    <t>110.29亿</t>
  </si>
  <si>
    <t>6.42亿</t>
  </si>
  <si>
    <t>17.19亿</t>
  </si>
  <si>
    <t>SZ300227</t>
  </si>
  <si>
    <t>光韵达</t>
  </si>
  <si>
    <t>8.87亿</t>
  </si>
  <si>
    <t>7208.74万</t>
  </si>
  <si>
    <t>6823.29万</t>
  </si>
  <si>
    <t>SZ300747</t>
  </si>
  <si>
    <t>锐科激光</t>
  </si>
  <si>
    <t>23.17亿</t>
  </si>
  <si>
    <t>7.28亿</t>
  </si>
  <si>
    <t>20.10亿</t>
  </si>
  <si>
    <t>14.62亿</t>
  </si>
  <si>
    <t>3.25亿</t>
  </si>
  <si>
    <t>SZ301021</t>
  </si>
  <si>
    <t>英诺激光</t>
  </si>
  <si>
    <t>6557.33万</t>
  </si>
  <si>
    <t>2.91亿</t>
  </si>
  <si>
    <t>7206.07万</t>
  </si>
  <si>
    <t>6227.56万</t>
  </si>
  <si>
    <t>SH688025</t>
  </si>
  <si>
    <t>杰普特</t>
  </si>
  <si>
    <t>8.54亿</t>
  </si>
  <si>
    <t>4429.76万</t>
  </si>
  <si>
    <t>5.68亿</t>
  </si>
  <si>
    <t>6.33亿</t>
  </si>
  <si>
    <t>6465.05万</t>
  </si>
  <si>
    <t>SH688518</t>
  </si>
  <si>
    <t>联赢激光</t>
  </si>
  <si>
    <t>6697.04万</t>
  </si>
  <si>
    <t>5.89亿</t>
  </si>
  <si>
    <t>9.81亿</t>
  </si>
  <si>
    <t>7207.33万</t>
  </si>
  <si>
    <t>8337.81万</t>
  </si>
  <si>
    <t>SH688559</t>
  </si>
  <si>
    <t>海目星</t>
  </si>
  <si>
    <t>13.21亿</t>
  </si>
  <si>
    <t>7735.05万</t>
  </si>
  <si>
    <t>10.31亿</t>
  </si>
  <si>
    <t>8.01亿</t>
  </si>
  <si>
    <t>8334.35万</t>
  </si>
  <si>
    <t>SZ300097</t>
  </si>
  <si>
    <t>智云股份</t>
  </si>
  <si>
    <t>11.87亿</t>
  </si>
  <si>
    <t>3.01亿</t>
  </si>
  <si>
    <t>9.76亿</t>
  </si>
  <si>
    <t>-6.96亿</t>
  </si>
  <si>
    <t>SZ300400</t>
  </si>
  <si>
    <t>劲拓股份</t>
  </si>
  <si>
    <t>8.84亿</t>
  </si>
  <si>
    <t>5.91亿</t>
  </si>
  <si>
    <t>2257.28万</t>
  </si>
  <si>
    <t>9097.83万</t>
  </si>
  <si>
    <t>SZ300461</t>
  </si>
  <si>
    <t>田中精机</t>
  </si>
  <si>
    <t>4.92亿</t>
  </si>
  <si>
    <t>8.03亿</t>
  </si>
  <si>
    <t>-2.16亿</t>
  </si>
  <si>
    <t>-8878.58万</t>
  </si>
  <si>
    <t>SZ300486</t>
  </si>
  <si>
    <t>东杰智能</t>
  </si>
  <si>
    <t>10.35亿</t>
  </si>
  <si>
    <t>3.04亿</t>
  </si>
  <si>
    <t>2.03亿</t>
  </si>
  <si>
    <t>6.98亿</t>
  </si>
  <si>
    <t>9052.01万</t>
  </si>
  <si>
    <t>6376.33万</t>
  </si>
  <si>
    <t>SZ300757</t>
  </si>
  <si>
    <t>罗博特科</t>
  </si>
  <si>
    <t>5.28亿</t>
  </si>
  <si>
    <t>-6727.07万</t>
  </si>
  <si>
    <t>6.59亿</t>
  </si>
  <si>
    <t>9988.10万</t>
  </si>
  <si>
    <t>9532.59万</t>
  </si>
  <si>
    <t>SZ300802</t>
  </si>
  <si>
    <t>矩子科技</t>
  </si>
  <si>
    <t>8916.47万</t>
  </si>
  <si>
    <t>8644.86万</t>
  </si>
  <si>
    <t>9915.52万</t>
  </si>
  <si>
    <t>SZ301029</t>
  </si>
  <si>
    <t>怡合达</t>
  </si>
  <si>
    <t>12.10亿</t>
  </si>
  <si>
    <t>7.61亿</t>
  </si>
  <si>
    <t>9759.24万</t>
  </si>
  <si>
    <t>SH603960</t>
  </si>
  <si>
    <t>克来机电</t>
  </si>
  <si>
    <t>7.96亿</t>
  </si>
  <si>
    <t>9999.47万</t>
  </si>
  <si>
    <t>SH605186</t>
  </si>
  <si>
    <t>健麾信息</t>
  </si>
  <si>
    <t>9573.93万</t>
  </si>
  <si>
    <t>9190.25万</t>
  </si>
  <si>
    <t>SH688003</t>
  </si>
  <si>
    <t>天准科技</t>
  </si>
  <si>
    <t>8.19亿</t>
  </si>
  <si>
    <t>9.64亿</t>
  </si>
  <si>
    <t>8317.86万</t>
  </si>
  <si>
    <t>SH688097</t>
  </si>
  <si>
    <t>博众精工</t>
  </si>
  <si>
    <t>21.61亿</t>
  </si>
  <si>
    <t>25.97亿</t>
  </si>
  <si>
    <t>21.11亿</t>
  </si>
  <si>
    <t>25.18亿</t>
  </si>
  <si>
    <t>SH688215</t>
  </si>
  <si>
    <t>瑞晟智能</t>
  </si>
  <si>
    <t>1595.84万</t>
  </si>
  <si>
    <t>4470.25万</t>
  </si>
  <si>
    <t>2542.25万</t>
  </si>
  <si>
    <t>SH688310</t>
  </si>
  <si>
    <t>迈得医疗</t>
  </si>
  <si>
    <t>5907.19万</t>
  </si>
  <si>
    <t>4675.21万</t>
  </si>
  <si>
    <t>5601.01万</t>
  </si>
  <si>
    <t>SH688312</t>
  </si>
  <si>
    <t>燕麦科技</t>
  </si>
  <si>
    <t>9125.38万</t>
  </si>
  <si>
    <t>6616.40万</t>
  </si>
  <si>
    <t>SH688329</t>
  </si>
  <si>
    <t>7165.71万</t>
  </si>
  <si>
    <t>5355.52万</t>
  </si>
  <si>
    <t>5112.95万</t>
  </si>
  <si>
    <t>SH688686</t>
  </si>
  <si>
    <t>奥普特</t>
  </si>
  <si>
    <r>
      <t>1. （中短期）聚焦在5G通讯配套分立器件、LED、Mini/Micro-LED新型显示等方面的光刻机实现小批量，分辨率3-5μm；2.激光类封测设备；3.光伏激光类设备增速204%；4.（短期）Q3继续</t>
    </r>
    <r>
      <rPr>
        <sz val="9"/>
        <color rgb="FFFF0000"/>
        <rFont val="宋体"/>
        <family val="3"/>
        <charset val="134"/>
        <scheme val="minor"/>
      </rPr>
      <t>70%</t>
    </r>
    <r>
      <rPr>
        <sz val="9"/>
        <color theme="1"/>
        <rFont val="宋体"/>
        <family val="2"/>
        <charset val="134"/>
        <scheme val="minor"/>
      </rPr>
      <t>的利润增速，依然得益于PCB行业的激光设备采购</t>
    </r>
    <phoneticPr fontId="1" type="noConversion"/>
  </si>
  <si>
    <t>1.激光设备增速不再，需要观察需求以及其他新增领域需求;2.早期的欧洲研发中心建立有转移资产之嫌疑；3.计提口罩自动设备1.19亿，抵消剥离的大族机器人1.24亿</t>
    <phoneticPr fontId="1" type="noConversion"/>
  </si>
  <si>
    <t>1.公司的整个3C装备分为视觉测量装备、视觉检测装备和视觉制程装备；市场对缺陷检测的预期是比尺寸测量大的，缺陷检测的毛利率和尺寸测量差不多；</t>
    <phoneticPr fontId="1" type="noConversion"/>
  </si>
  <si>
    <t>1.问：公司与艾默生等公司的技术差距是什么？公司有哪些技术突破和技术？答：霍尼韦尔和艾默生等国际自动化企业一直是我们的友商，是我们非常值得尊敬的企业。就中控目前的DCS产品而言，从应用规模、应用场景以及在产品质量、性能方面差异度不大；在个别的指标上，各有优势。国内的一些领先用户将最核心、最关键的控制部分交给中控实施，是因为信任中控有着过硬的技术、产品和应用业绩。2.估值暂时看起来相对增速偏高，需要进一步良好和高速发展来降低剪刀差；</t>
    <phoneticPr fontId="1" type="noConversion"/>
  </si>
  <si>
    <t>1.2020年度，公司核心产品SIS在国内的市场占有率为22.4%，保持第二；核心工业软件产品APC在国内的市场占有率为27%，持续第一；</t>
    <phoneticPr fontId="1" type="noConversion"/>
  </si>
  <si>
    <r>
      <t>1.政府高度重视中医药，要求做好中医药继承和发展工作，公司设计建设的中药智能制剂中心日均能够处理3000张处方，自动化设备能够将人数从120人减少到20人左右。不仅能够节约医院的场地人力，还能够提高安全性与效率，优化中药从处方到成药的全流程;2.公司董事长创始人张银花女士护士出身，同时公司研发团队有相当一部分曾参与过临床工作的医务人员；3.公司认为一般</t>
    </r>
    <r>
      <rPr>
        <sz val="9"/>
        <color rgb="FFFF0000"/>
        <rFont val="宋体"/>
        <family val="3"/>
        <charset val="134"/>
        <scheme val="minor"/>
      </rPr>
      <t>体量在几百万到一千万的智能化药房这块未来整个行业的增速还会保持较高的水准</t>
    </r>
    <r>
      <rPr>
        <sz val="9"/>
        <color theme="1"/>
        <rFont val="宋体"/>
        <family val="3"/>
        <charset val="134"/>
        <scheme val="minor"/>
      </rPr>
      <t>，但大部分会集中于中西部，北部等地区。东南沿海地区等一二线城市业务已经趋于饱和，只有每年定期升级改造，到期更换设备等，未来产业发展趋势预计是往西往北走。</t>
    </r>
    <phoneticPr fontId="1" type="noConversion"/>
  </si>
  <si>
    <r>
      <t>1.问:对标行业深耕多年的可比上市公司如和佳医疗，与本公司的区别？答：可比公司</t>
    </r>
    <r>
      <rPr>
        <sz val="9"/>
        <color rgb="FFFF0000"/>
        <rFont val="宋体"/>
        <family val="3"/>
        <charset val="134"/>
        <scheme val="minor"/>
      </rPr>
      <t>和佳医疗</t>
    </r>
    <r>
      <rPr>
        <sz val="9"/>
        <color theme="1"/>
        <rFont val="宋体"/>
        <family val="3"/>
        <charset val="134"/>
        <scheme val="minor"/>
      </rPr>
      <t>主要从事肿瘤微创治疗设备、医用制氧设备及工程，与艾隆科技同属为医疗机构提供专业设备，但所属细分业务市场及研发经营思路等各方面都有差异。艾隆很难与同一行业内其他公司进行对标。本公司并非单一的设备制造厂商，而是以此作为基础来进行更多领域的拓展与相关服务的延伸。2.公司与</t>
    </r>
    <r>
      <rPr>
        <b/>
        <sz val="9"/>
        <color rgb="FFFF0000"/>
        <rFont val="宋体"/>
        <family val="3"/>
        <charset val="134"/>
        <scheme val="minor"/>
      </rPr>
      <t>友商健麾信息</t>
    </r>
    <r>
      <rPr>
        <sz val="9"/>
        <color theme="1"/>
        <rFont val="宋体"/>
        <family val="3"/>
        <charset val="134"/>
        <scheme val="minor"/>
      </rPr>
      <t>在业务上有一些重叠，即自动化药房板块，按2020年的年报数据，健麾这块的收入占比在80%以上，而公司的业务构成为自动化药房，自动化物流与自动化病区，其中自动化药房占比接近70%。健麾信息的主要收入来源于药房和静脉药品中心的产品，本公司则还有麻精药品类管理产品，病区系列产品，一体化药品库项目等。具体业务的差异也导致了两家公司后期研发费用的差距，整体差异可参考披露的费用结构。公司目前主要着眼于“院内智造”，推进超大型的一体化项目，这些项目与传统的药房在产品形式结构上有显著区别</t>
    </r>
    <phoneticPr fontId="1" type="noConversion"/>
  </si>
  <si>
    <t>5.12亿</t>
  </si>
  <si>
    <t>32.98亿</t>
  </si>
  <si>
    <t>代码</t>
  </si>
  <si>
    <t>流通股本</t>
  </si>
  <si>
    <t>净利润[20201231]</t>
  </si>
  <si>
    <t>投入资本回报率roic%[20201231]</t>
  </si>
  <si>
    <t>净资产收益率%[20201231]</t>
  </si>
  <si>
    <t>17.22亿</t>
  </si>
  <si>
    <t>15.21亿</t>
  </si>
  <si>
    <t>101.67亿</t>
  </si>
  <si>
    <t>5.44亿</t>
  </si>
  <si>
    <t>SZ001266</t>
  </si>
  <si>
    <t>宏英智能</t>
  </si>
  <si>
    <t>5.02亿</t>
  </si>
  <si>
    <t>1.41亿</t>
  </si>
  <si>
    <t>7631.11万</t>
  </si>
  <si>
    <t>3251.35万</t>
  </si>
  <si>
    <t>163.32亿</t>
  </si>
  <si>
    <t>19.94亿</t>
  </si>
  <si>
    <t>24.91亿</t>
  </si>
  <si>
    <t>30.09亿</t>
  </si>
  <si>
    <t>2.67亿</t>
  </si>
  <si>
    <t>42.64亿</t>
  </si>
  <si>
    <t>21.13亿</t>
  </si>
  <si>
    <t>30.20亿</t>
  </si>
  <si>
    <t>3504.12万</t>
  </si>
  <si>
    <t>9.35亿</t>
  </si>
  <si>
    <t>12.14亿</t>
  </si>
  <si>
    <t>2.18亿</t>
  </si>
  <si>
    <t>-5.62亿</t>
  </si>
  <si>
    <t>12.04亿</t>
  </si>
  <si>
    <t>5025.90万</t>
  </si>
  <si>
    <t>7.10亿</t>
  </si>
  <si>
    <t>-6.54亿</t>
  </si>
  <si>
    <t>179.43亿</t>
  </si>
  <si>
    <t>35.73亿</t>
  </si>
  <si>
    <t>12.99亿</t>
  </si>
  <si>
    <t>4.19亿</t>
  </si>
  <si>
    <t>9.30亿</t>
  </si>
  <si>
    <t>9154.47万</t>
  </si>
  <si>
    <t>14.27亿</t>
  </si>
  <si>
    <t>9977.90万</t>
  </si>
  <si>
    <t>21.55亿</t>
  </si>
  <si>
    <t>3431.51万</t>
  </si>
  <si>
    <t>26.37亿</t>
  </si>
  <si>
    <t>9.89亿</t>
  </si>
  <si>
    <t>7997.57万</t>
  </si>
  <si>
    <t>3.44亿</t>
  </si>
  <si>
    <t>3190.52万</t>
  </si>
  <si>
    <t>6191.22万</t>
  </si>
  <si>
    <t>13.00亿</t>
  </si>
  <si>
    <t>7132.60万</t>
  </si>
  <si>
    <t>32.93亿</t>
  </si>
  <si>
    <t>6539.53万</t>
  </si>
  <si>
    <t>1.42亿</t>
  </si>
  <si>
    <t>34.10亿</t>
  </si>
  <si>
    <t>10.86亿</t>
  </si>
  <si>
    <t>-4687.53万</t>
  </si>
  <si>
    <t>5.88亿</t>
  </si>
  <si>
    <t>7.69亿</t>
  </si>
  <si>
    <t>4.47亿</t>
  </si>
  <si>
    <t>7490.91万</t>
  </si>
  <si>
    <t>3.60亿</t>
  </si>
  <si>
    <t>18.03亿</t>
  </si>
  <si>
    <t>SZ301199</t>
  </si>
  <si>
    <t>迈赫股份</t>
  </si>
  <si>
    <t>8.11亿</t>
  </si>
  <si>
    <t>7217.35万</t>
  </si>
  <si>
    <t>7.01亿</t>
  </si>
  <si>
    <t>3.22亿</t>
  </si>
  <si>
    <t>9869.83万</t>
  </si>
  <si>
    <t>8900.60万</t>
  </si>
  <si>
    <t>SZ301200</t>
  </si>
  <si>
    <t>大族数控</t>
  </si>
  <si>
    <t>40.81亿</t>
  </si>
  <si>
    <t>6.99亿</t>
  </si>
  <si>
    <t>22.10亿</t>
  </si>
  <si>
    <t>13.23亿</t>
  </si>
  <si>
    <t>17.23亿</t>
  </si>
  <si>
    <t>SH600215</t>
  </si>
  <si>
    <t>派斯林</t>
  </si>
  <si>
    <t>8882.97万</t>
  </si>
  <si>
    <t>15.05亿</t>
  </si>
  <si>
    <t>3.58亿</t>
  </si>
  <si>
    <t>7.81亿</t>
  </si>
  <si>
    <t>23.19亿</t>
  </si>
  <si>
    <t>4.76亿</t>
  </si>
  <si>
    <t>12.85亿</t>
  </si>
  <si>
    <t>5.61亿</t>
  </si>
  <si>
    <t>4981.80万</t>
  </si>
  <si>
    <t>17.18亿</t>
  </si>
  <si>
    <t>12.65亿</t>
  </si>
  <si>
    <t>3.31亿</t>
  </si>
  <si>
    <t>11.99亿</t>
  </si>
  <si>
    <t>9127.00万</t>
  </si>
  <si>
    <t>38.27亿</t>
  </si>
  <si>
    <t>SH688125</t>
  </si>
  <si>
    <t>5.07亿</t>
  </si>
  <si>
    <t>6283.67万</t>
  </si>
  <si>
    <t>5.37亿</t>
  </si>
  <si>
    <t>7471.07万</t>
  </si>
  <si>
    <t>11.47亿</t>
  </si>
  <si>
    <t>-1.93亿</t>
  </si>
  <si>
    <t>SH688167</t>
  </si>
  <si>
    <t>炬光科技</t>
  </si>
  <si>
    <t>6776.16万</t>
  </si>
  <si>
    <t>2.64亿</t>
  </si>
  <si>
    <t>3487.00万</t>
  </si>
  <si>
    <t>-8043.05万</t>
  </si>
  <si>
    <t>1866.61万</t>
  </si>
  <si>
    <t>SH688170</t>
  </si>
  <si>
    <t>8771.37万</t>
  </si>
  <si>
    <t>6722.72万</t>
  </si>
  <si>
    <t>2039.15万</t>
  </si>
  <si>
    <t>1325.70万</t>
  </si>
  <si>
    <t>5.87亿</t>
  </si>
  <si>
    <t>2177.05万</t>
  </si>
  <si>
    <t>5.42亿</t>
  </si>
  <si>
    <t>5984.87万</t>
  </si>
  <si>
    <t>SH688290</t>
  </si>
  <si>
    <t>7639.83万</t>
  </si>
  <si>
    <t>7983.60万</t>
  </si>
  <si>
    <t>5304.23万</t>
  </si>
  <si>
    <t>2668.77万</t>
  </si>
  <si>
    <t>SH688306</t>
  </si>
  <si>
    <t>均普智能</t>
  </si>
  <si>
    <t>21.40亿</t>
  </si>
  <si>
    <t>4317.72万</t>
  </si>
  <si>
    <t>16.87亿</t>
  </si>
  <si>
    <t>21.93亿</t>
  </si>
  <si>
    <t>16.57亿</t>
  </si>
  <si>
    <t>-5383.11万</t>
  </si>
  <si>
    <t>8923.83万</t>
  </si>
  <si>
    <t>-1.31亿</t>
  </si>
  <si>
    <t>6447.91万</t>
  </si>
  <si>
    <t>4.28亿</t>
  </si>
  <si>
    <t>SH688320</t>
  </si>
  <si>
    <t>禾川科技</t>
  </si>
  <si>
    <t>7.51亿</t>
  </si>
  <si>
    <t>4762.17万</t>
  </si>
  <si>
    <t>3.89亿</t>
  </si>
  <si>
    <t>9558.76万</t>
  </si>
  <si>
    <t>7318.69万</t>
  </si>
  <si>
    <t>14.00亿</t>
  </si>
  <si>
    <t>9201.21万</t>
  </si>
  <si>
    <t>19.84亿</t>
  </si>
  <si>
    <t>8.75亿</t>
  </si>
  <si>
    <t>45.19亿</t>
  </si>
  <si>
    <t>5.82亿</t>
  </si>
  <si>
    <t>工控设备</t>
  </si>
  <si>
    <t>其他自动化设备</t>
  </si>
  <si>
    <t xml:space="preserve">    名称</t>
  </si>
  <si>
    <t>净利润?</t>
  </si>
  <si>
    <t>扣非净利润</t>
  </si>
  <si>
    <t>营业总收入[20201231]</t>
  </si>
  <si>
    <t>投入资本回报率roic%[20211231]</t>
  </si>
  <si>
    <t>净资产收益率%[20211231]</t>
  </si>
  <si>
    <t>单季营收增速</t>
  </si>
  <si>
    <t>单季利润增速</t>
  </si>
  <si>
    <t>亏损</t>
  </si>
  <si>
    <t>扭亏</t>
  </si>
  <si>
    <t/>
  </si>
  <si>
    <t>2.09亿</t>
  </si>
  <si>
    <t>2.59亿</t>
  </si>
  <si>
    <t>华昌达</t>
  </si>
  <si>
    <t>1.25亿</t>
  </si>
  <si>
    <t>1.98亿</t>
  </si>
  <si>
    <t>4.80亿</t>
  </si>
  <si>
    <t>3.70亿</t>
  </si>
  <si>
    <t>SZ301112</t>
  </si>
  <si>
    <t>信邦智能</t>
  </si>
  <si>
    <t>5.17亿</t>
  </si>
  <si>
    <t>8066.95万</t>
  </si>
  <si>
    <t>6.27亿</t>
  </si>
  <si>
    <t>6.21亿</t>
  </si>
  <si>
    <t>6.92亿</t>
  </si>
  <si>
    <t>6954.18万</t>
  </si>
  <si>
    <t>8726.06万</t>
  </si>
  <si>
    <t>7533.60万</t>
  </si>
  <si>
    <t>1.61亿</t>
  </si>
  <si>
    <t>5881.29万</t>
  </si>
  <si>
    <t>24.36亿</t>
  </si>
  <si>
    <t>6514.84万</t>
  </si>
  <si>
    <t>7463.64万</t>
  </si>
  <si>
    <t>9447.33万</t>
  </si>
  <si>
    <t>6506.69万</t>
  </si>
  <si>
    <t>9336.10万</t>
  </si>
  <si>
    <t>5707.98万</t>
  </si>
  <si>
    <t>德龙激光</t>
  </si>
  <si>
    <t>-744.94万</t>
  </si>
  <si>
    <t>景业智能</t>
  </si>
  <si>
    <t>1969.33万</t>
  </si>
  <si>
    <t>5023.66万</t>
  </si>
  <si>
    <t>SH688400</t>
  </si>
  <si>
    <t>凌云光</t>
  </si>
  <si>
    <t>17.55亿</t>
  </si>
  <si>
    <t>14.31亿</t>
  </si>
  <si>
    <t>14.06亿</t>
  </si>
  <si>
    <t>3724.71万</t>
  </si>
  <si>
    <t>5537.77万</t>
  </si>
  <si>
    <t>1.底部起来接近4倍涨幅；</t>
    <phoneticPr fontId="1" type="noConversion"/>
  </si>
  <si>
    <t>LY营业总收入[20211231]</t>
  </si>
  <si>
    <t>权益乘数[20220630]</t>
  </si>
  <si>
    <t>总资产周转率[20220630]</t>
  </si>
  <si>
    <t>净利润／营业总收入%[20220630]</t>
  </si>
  <si>
    <t>营业总成本[20220630]</t>
  </si>
  <si>
    <t>营业成本[20220630]</t>
  </si>
  <si>
    <t>管理费用[20220630]</t>
  </si>
  <si>
    <t>研发费用总额[20220630]</t>
  </si>
  <si>
    <t>细分行业</t>
  </si>
  <si>
    <t>激光设备</t>
  </si>
  <si>
    <t>11.43亿</t>
  </si>
  <si>
    <t>30.97亿</t>
  </si>
  <si>
    <t>1.95亿</t>
  </si>
  <si>
    <t>11.19亿</t>
  </si>
  <si>
    <t>SZ300430</t>
  </si>
  <si>
    <t>诚益通</t>
  </si>
  <si>
    <t>9.15亿</t>
  </si>
  <si>
    <t>6.89亿</t>
  </si>
  <si>
    <t>6038.69万</t>
  </si>
  <si>
    <t>8139.19万</t>
  </si>
  <si>
    <t>13.38亿</t>
  </si>
  <si>
    <t>1.43亿</t>
  </si>
  <si>
    <t>2.48亿</t>
  </si>
  <si>
    <t>SZ301312</t>
  </si>
  <si>
    <t>智立方</t>
  </si>
  <si>
    <t>9308.75万</t>
  </si>
  <si>
    <t>6749.43万</t>
  </si>
  <si>
    <t>5936.58万</t>
  </si>
  <si>
    <t>1.19亿</t>
  </si>
  <si>
    <t>2.11亿</t>
  </si>
  <si>
    <t>安达智能</t>
  </si>
  <si>
    <t>4.77亿</t>
  </si>
  <si>
    <t>5.52亿</t>
  </si>
  <si>
    <t>3.90亿</t>
  </si>
  <si>
    <t>1.90亿</t>
  </si>
  <si>
    <t>2.02亿</t>
  </si>
  <si>
    <t>4.50亿</t>
  </si>
  <si>
    <t>2.22亿</t>
  </si>
  <si>
    <t>15.89亿</t>
  </si>
  <si>
    <t>13.35亿</t>
  </si>
  <si>
    <t>2.73亿</t>
  </si>
  <si>
    <t>2.75亿</t>
  </si>
  <si>
    <t>18.22亿</t>
  </si>
  <si>
    <t>7.98亿</t>
  </si>
  <si>
    <t>3.94亿</t>
  </si>
  <si>
    <t>2.25亿</t>
  </si>
  <si>
    <t>2.07亿</t>
  </si>
  <si>
    <t>3.80亿</t>
  </si>
  <si>
    <t>27.06亿</t>
  </si>
  <si>
    <t>6.65亿</t>
  </si>
  <si>
    <t>6.77亿</t>
  </si>
  <si>
    <t>13.34亿</t>
  </si>
  <si>
    <t>2.41亿</t>
  </si>
  <si>
    <t>3.06亿</t>
  </si>
  <si>
    <t>9.01亿</t>
  </si>
  <si>
    <r>
      <t>1.公司在新能源领域的最主要订单来源为电池托盘和底盘的智能生产线；2.公司在新能源电池托盘领域具有技术优势和先发优势，标准化的制定有利于公司降低成本、提升效率、体现规模优势。3.</t>
    </r>
    <r>
      <rPr>
        <sz val="9"/>
        <color rgb="FFFF0000"/>
        <rFont val="宋体"/>
        <family val="3"/>
        <charset val="134"/>
        <scheme val="minor"/>
      </rPr>
      <t>3季度单季毛利提升，利润为正</t>
    </r>
    <r>
      <rPr>
        <sz val="9"/>
        <color theme="1"/>
        <rFont val="宋体"/>
        <family val="3"/>
        <charset val="134"/>
        <scheme val="minor"/>
      </rPr>
      <t>；</t>
    </r>
    <phoneticPr fontId="1" type="noConversion"/>
  </si>
  <si>
    <t>1.2022年5月到8月演绎过3倍涨幅；</t>
    <phoneticPr fontId="1" type="noConversion"/>
  </si>
  <si>
    <t>不分配不转增</t>
  </si>
  <si>
    <t>10派4元(含税)</t>
  </si>
  <si>
    <t>10派2元(含税)</t>
  </si>
  <si>
    <t>10派0.7元(含税)</t>
  </si>
  <si>
    <t>10派2.5元(含税)</t>
  </si>
  <si>
    <t>10派3元(含税)</t>
  </si>
  <si>
    <t>10派1.2元(含税)</t>
  </si>
  <si>
    <t>10派1元(含税)</t>
  </si>
  <si>
    <t>10派1.6元(含税)</t>
  </si>
  <si>
    <t>10派0.6元(含税)</t>
  </si>
  <si>
    <t>SZ001223</t>
  </si>
  <si>
    <t>欧克科技</t>
  </si>
  <si>
    <t>5.58亿</t>
  </si>
  <si>
    <t>2.29亿</t>
  </si>
  <si>
    <t>5.29亿</t>
  </si>
  <si>
    <t>5899.91万</t>
  </si>
  <si>
    <t>4231.90万</t>
  </si>
  <si>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</si>
  <si>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</si>
  <si>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</si>
  <si>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</si>
  <si>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</si>
  <si>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</si>
  <si>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</si>
  <si>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</si>
  <si>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</si>
  <si>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</si>
  <si>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</si>
  <si>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</si>
  <si>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</si>
  <si>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</si>
  <si>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</si>
  <si>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</si>
  <si>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</si>
  <si>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</si>
  <si>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</si>
  <si>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</si>
  <si>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</si>
  <si>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</si>
  <si>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</si>
  <si>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</si>
  <si>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</si>
  <si>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</si>
  <si>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</si>
  <si>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</si>
  <si>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</si>
  <si>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</si>
  <si>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</si>
  <si>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</si>
  <si>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折现率</t>
    <phoneticPr fontId="1" type="noConversion"/>
  </si>
  <si>
    <t>1年自由现金流折现</t>
    <phoneticPr fontId="1" type="noConversion"/>
  </si>
  <si>
    <t>承担负债现期溢价</t>
    <phoneticPr fontId="1" type="noConversion"/>
  </si>
  <si>
    <t>原始顺序</t>
    <phoneticPr fontId="1" type="noConversion"/>
  </si>
  <si>
    <t>营收和利润加权</t>
    <phoneticPr fontId="1" type="noConversion"/>
  </si>
  <si>
    <t>价格变动策略</t>
    <phoneticPr fontId="1" type="noConversion"/>
  </si>
  <si>
    <t>机会区域号</t>
    <phoneticPr fontId="1" type="noConversion"/>
  </si>
  <si>
    <t>N</t>
    <phoneticPr fontId="1" type="noConversion"/>
  </si>
  <si>
    <t>市销率</t>
    <phoneticPr fontId="1" type="noConversion"/>
  </si>
  <si>
    <t>扣非对比净利润</t>
    <phoneticPr fontId="1" type="noConversion"/>
  </si>
  <si>
    <t>股利率</t>
    <phoneticPr fontId="1" type="noConversion"/>
  </si>
  <si>
    <t>过往营收增速均值</t>
    <phoneticPr fontId="1" type="noConversion"/>
  </si>
  <si>
    <t>过往利润增速均值</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</si>
  <si>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</si>
  <si>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</si>
  <si>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</si>
  <si>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</si>
  <si>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</si>
  <si>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</si>
  <si>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</si>
  <si>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</si>
  <si>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清算价格</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</si>
  <si>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</si>
  <si>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</si>
  <si>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</si>
  <si>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</si>
  <si>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</si>
  <si>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</si>
  <si>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</si>
  <si>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</si>
  <si>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</si>
  <si>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</si>
  <si>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</si>
  <si>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</si>
  <si>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</si>
  <si>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</si>
  <si>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</si>
  <si>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</si>
  <si>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</si>
  <si>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</si>
  <si>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</si>
  <si>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</si>
  <si>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r>
      <t>1.问：请问贵司</t>
    </r>
    <r>
      <rPr>
        <b/>
        <sz val="9"/>
        <color rgb="FFFF0000"/>
        <rFont val="宋体"/>
        <family val="3"/>
        <charset val="134"/>
        <scheme val="minor"/>
      </rPr>
      <t>提出3-5年成为机器人行业的龙头</t>
    </r>
    <r>
      <rPr>
        <sz val="9"/>
        <color theme="1"/>
        <rFont val="宋体"/>
        <family val="3"/>
        <charset val="134"/>
        <scheme val="minor"/>
      </rPr>
      <t>，凭借的依据是什么？答：尊敬的投资者，您好！1、技术：公司工业机器人软件、核心算法及硬件等关键技术均为公司自主研发、自主可控，整体技术已达到国际先进水平。2、产品：公司在拥有能满足焊接机器人市场主要需求的自主机器人KR1440、KR2010后，又推出了额定负载25kg的新型多功能机器人KP25。未来，公司将陆续向市场推出更多类型的多用途、高性能自主机器人产品，3-5年内将覆盖大多数工业机器人应用领域。3、产能：目前公司正在加快建设智能焊接机器人生产线，生产能力将会得到很大提升。</t>
    </r>
    <phoneticPr fontId="1" type="noConversion"/>
  </si>
  <si>
    <t>1-0</t>
  </si>
  <si>
    <r>
      <t>1.公司通过</t>
    </r>
    <r>
      <rPr>
        <sz val="9"/>
        <color rgb="FFFF0000"/>
        <rFont val="宋体"/>
        <family val="3"/>
        <charset val="134"/>
        <scheme val="minor"/>
      </rPr>
      <t>自主研发</t>
    </r>
    <r>
      <rPr>
        <sz val="9"/>
        <color theme="1"/>
        <rFont val="宋体"/>
        <family val="3"/>
        <charset val="134"/>
        <scheme val="minor"/>
      </rPr>
      <t>，目前已拥有纳秒、超快（皮秒、飞秒）及可调脉宽系列</t>
    </r>
    <r>
      <rPr>
        <b/>
        <sz val="9"/>
        <color rgb="FFFF0000"/>
        <rFont val="宋体"/>
        <family val="3"/>
        <charset val="134"/>
        <scheme val="minor"/>
      </rPr>
      <t>固体激光器</t>
    </r>
    <r>
      <rPr>
        <sz val="9"/>
        <color theme="1"/>
        <rFont val="宋体"/>
        <family val="3"/>
        <charset val="134"/>
        <scheme val="minor"/>
      </rPr>
      <t>的核心技术和工业级量产的成熟产品。2.公司产品批量应用于碳化硅、氮化镓等第三代半导体材料晶圆划片、MEMS 芯
片的切割、Mini LED 以及 5G 天线等的切割、加工等。</t>
    </r>
    <phoneticPr fontId="1" type="noConversion"/>
  </si>
  <si>
    <r>
      <t>1.2022年三季报每股收益0.38元，净利润3465.96万元，同比去年增长</t>
    </r>
    <r>
      <rPr>
        <b/>
        <sz val="9"/>
        <color rgb="FFFF0000"/>
        <rFont val="宋体"/>
        <family val="3"/>
        <charset val="134"/>
        <scheme val="minor"/>
      </rPr>
      <t>-30.63%</t>
    </r>
    <r>
      <rPr>
        <sz val="9"/>
        <color theme="1"/>
        <rFont val="宋体"/>
        <family val="3"/>
        <charset val="134"/>
        <scheme val="minor"/>
      </rPr>
      <t>;</t>
    </r>
    <phoneticPr fontId="1" type="noConversion"/>
  </si>
  <si>
    <r>
      <t>1.截止2022年6月30日公司新签订单</t>
    </r>
    <r>
      <rPr>
        <sz val="9"/>
        <color rgb="FFFF0000"/>
        <rFont val="宋体"/>
        <family val="3"/>
        <charset val="134"/>
        <scheme val="minor"/>
      </rPr>
      <t>20.45亿元</t>
    </r>
    <r>
      <rPr>
        <sz val="9"/>
        <color theme="1"/>
        <rFont val="宋体"/>
        <family val="3"/>
        <charset val="134"/>
        <scheme val="minor"/>
      </rPr>
      <t>(含税),第三季度公司新签订单和上半年的节奏相差不大。</t>
    </r>
    <phoneticPr fontId="1" type="noConversion"/>
  </si>
  <si>
    <r>
      <t>1.预计年报业绩：净利润2.655亿元至3.053亿元，增长幅度为</t>
    </r>
    <r>
      <rPr>
        <sz val="9"/>
        <color rgb="FFFF0000"/>
        <rFont val="宋体"/>
        <family val="3"/>
        <charset val="134"/>
        <scheme val="minor"/>
      </rPr>
      <t>1.89倍至2.32倍</t>
    </r>
    <r>
      <rPr>
        <sz val="9"/>
        <color theme="1"/>
        <rFont val="宋体"/>
        <family val="3"/>
        <charset val="134"/>
        <scheme val="minor"/>
      </rPr>
      <t>,原因：公司2021年度新签订单大幅增加，报告期内确认的收入与上年同期相比有较大幅度增长，规模效应致利润大幅增长。2.公司锂电业务包括动力电池设备和储能电池设备,往年动力电池设备占比约90%,储能电池设备占比10%左右,今年前三季度锂电业务中储能电池设备占比明显提高,占比达到20%以上,</t>
    </r>
    <r>
      <rPr>
        <sz val="9"/>
        <color rgb="FFFF0000"/>
        <rFont val="宋体"/>
        <family val="3"/>
        <charset val="134"/>
        <scheme val="minor"/>
      </rPr>
      <t>体现出储能电池行业良好的发展势头</t>
    </r>
    <r>
      <rPr>
        <sz val="9"/>
        <color theme="1"/>
        <rFont val="宋体"/>
        <family val="3"/>
        <charset val="134"/>
        <scheme val="minor"/>
      </rPr>
      <t>;</t>
    </r>
    <phoneticPr fontId="1" type="noConversion"/>
  </si>
  <si>
    <t>1-1</t>
  </si>
  <si>
    <t>-1-1</t>
  </si>
  <si>
    <r>
      <t>1.预计年报业绩：净利润3.704亿元至3.955亿元，增长幅度为</t>
    </r>
    <r>
      <rPr>
        <sz val="9"/>
        <color rgb="FFFF0000"/>
        <rFont val="宋体"/>
        <family val="3"/>
        <charset val="134"/>
        <scheme val="minor"/>
      </rPr>
      <t>2.39倍至2.62倍</t>
    </r>
    <r>
      <rPr>
        <sz val="9"/>
        <color theme="1"/>
        <rFont val="宋体"/>
        <family val="3"/>
        <charset val="134"/>
        <scheme val="minor"/>
      </rPr>
      <t>,原因：主要系公司订单持续增长，报告期验收项目增加。 截至2022年12月31日公司新签订单约77亿元（含税），同比增长约35%；</t>
    </r>
    <r>
      <rPr>
        <b/>
        <sz val="9"/>
        <color rgb="FFFF0000"/>
        <rFont val="宋体"/>
        <family val="3"/>
        <charset val="134"/>
        <scheme val="minor"/>
      </rPr>
      <t>在手订单约为81亿元（含税）</t>
    </r>
    <r>
      <rPr>
        <sz val="9"/>
        <color theme="1"/>
        <rFont val="宋体"/>
        <family val="3"/>
        <charset val="134"/>
        <scheme val="minor"/>
      </rPr>
      <t>，同比增长约59%。 同时，随着公司业务规模扩大，公司规模效应逐步显现，盈利能力显著提升。2.截至2022年9月30日公司新签订单约47亿元（含税），同比增长约88%；</t>
    </r>
    <r>
      <rPr>
        <sz val="9"/>
        <color rgb="FFFF0000"/>
        <rFont val="宋体"/>
        <family val="3"/>
        <charset val="134"/>
        <scheme val="minor"/>
      </rPr>
      <t>在手订单约为73亿元（含税, 年营收才20亿左右）</t>
    </r>
    <r>
      <rPr>
        <sz val="9"/>
        <color theme="1"/>
        <rFont val="宋体"/>
        <family val="3"/>
        <charset val="134"/>
        <scheme val="minor"/>
      </rPr>
      <t>，同比增长约135%。目前公司的产能利用率充分，不足部分产能已经进行临时解决</t>
    </r>
    <phoneticPr fontId="1" type="noConversion"/>
  </si>
  <si>
    <t>2-1</t>
  </si>
  <si>
    <t>-1-0</t>
  </si>
  <si>
    <t>-2-1</t>
  </si>
  <si>
    <t>120.11亿</t>
  </si>
  <si>
    <t>9.06亿</t>
  </si>
  <si>
    <t>2.27亿</t>
  </si>
  <si>
    <t>149.61亿</t>
  </si>
  <si>
    <t>40.97亿</t>
  </si>
  <si>
    <t>-10.57亿</t>
  </si>
  <si>
    <t>21.54亿</t>
  </si>
  <si>
    <t>38.81亿</t>
  </si>
  <si>
    <t>32.46亿</t>
  </si>
  <si>
    <t>12.17亿</t>
  </si>
  <si>
    <t>3-0</t>
  </si>
  <si>
    <t>8.98亿</t>
  </si>
  <si>
    <t>2.89亿</t>
  </si>
  <si>
    <t>35.76亿</t>
  </si>
  <si>
    <t>7.71万</t>
  </si>
  <si>
    <t>14.24亿</t>
  </si>
  <si>
    <t>2564.33万</t>
  </si>
  <si>
    <t>5.09亿</t>
  </si>
  <si>
    <t>9.03亿</t>
  </si>
  <si>
    <t>230.08亿</t>
  </si>
  <si>
    <t>43.20亿</t>
  </si>
  <si>
    <t>10.30亿</t>
  </si>
  <si>
    <t>-5.09亿</t>
  </si>
  <si>
    <t>35.83亿</t>
  </si>
  <si>
    <t>4.63亿</t>
  </si>
  <si>
    <t>7.91亿</t>
  </si>
  <si>
    <t>8910.33万</t>
  </si>
  <si>
    <t>9.74亿</t>
  </si>
  <si>
    <t>1.91亿</t>
  </si>
  <si>
    <t>-6347.18万</t>
  </si>
  <si>
    <t>8366.73万</t>
  </si>
  <si>
    <t>27.49亿</t>
  </si>
  <si>
    <t>49.84亿</t>
  </si>
  <si>
    <t>1.60亿</t>
  </si>
  <si>
    <t>-1.73亿</t>
  </si>
  <si>
    <t>2.08亿</t>
  </si>
  <si>
    <t>31.89亿</t>
  </si>
  <si>
    <t>4087.34万</t>
  </si>
  <si>
    <t>6.84亿</t>
  </si>
  <si>
    <t>2257.36万</t>
  </si>
  <si>
    <t>25.15亿</t>
  </si>
  <si>
    <t>6506.10万</t>
  </si>
  <si>
    <t>7.02亿</t>
  </si>
  <si>
    <t>2149.59万</t>
  </si>
  <si>
    <t>-1.00亿</t>
  </si>
  <si>
    <t>27.86亿</t>
  </si>
  <si>
    <t>4.35亿</t>
  </si>
  <si>
    <t>SZ301320</t>
  </si>
  <si>
    <t>豪江智能</t>
  </si>
  <si>
    <t>7344.75万</t>
  </si>
  <si>
    <t>SZ301360</t>
  </si>
  <si>
    <t>6744.04万</t>
  </si>
  <si>
    <t>8921.90万</t>
  </si>
  <si>
    <t>5745.87万</t>
  </si>
  <si>
    <t>4511.82万</t>
  </si>
  <si>
    <t>2274.96万</t>
  </si>
  <si>
    <t>2412.86万</t>
  </si>
  <si>
    <t>2.66亿</t>
  </si>
  <si>
    <t>10派0.5元(含税)</t>
  </si>
  <si>
    <t>15.98亿</t>
  </si>
  <si>
    <t>快克智能</t>
  </si>
  <si>
    <t>29.30亿</t>
  </si>
  <si>
    <t>10派5.3元(含税)</t>
  </si>
  <si>
    <t>30.07亿</t>
  </si>
  <si>
    <t>6.69亿</t>
  </si>
  <si>
    <t>6442.24万</t>
  </si>
  <si>
    <t>11.72亿</t>
  </si>
  <si>
    <t>11.73亿</t>
  </si>
  <si>
    <t>2.78亿</t>
  </si>
  <si>
    <t>-6273.18万</t>
  </si>
  <si>
    <t>9.31亿</t>
  </si>
  <si>
    <t>2557.97万</t>
  </si>
  <si>
    <t>10派1.3元(含税)</t>
  </si>
  <si>
    <t>48.12亿</t>
  </si>
  <si>
    <t>6.51亿</t>
  </si>
  <si>
    <t>5.39亿</t>
  </si>
  <si>
    <t>9105.55万</t>
  </si>
  <si>
    <t>13.28亿</t>
  </si>
  <si>
    <t>-2-0</t>
  </si>
  <si>
    <t>6740.15万</t>
  </si>
  <si>
    <t>959.45万</t>
  </si>
  <si>
    <t>3184.25万</t>
  </si>
  <si>
    <t>3711.48万</t>
  </si>
  <si>
    <t>19.95亿</t>
  </si>
  <si>
    <t>4227.70万</t>
  </si>
  <si>
    <t>3.83亿</t>
  </si>
  <si>
    <t>3.18亿</t>
  </si>
  <si>
    <t>9.44亿</t>
  </si>
  <si>
    <t>9037.61万</t>
  </si>
  <si>
    <t>4.69亿</t>
  </si>
  <si>
    <t>3.48亿</t>
  </si>
  <si>
    <t>10派1.25元(含税)</t>
  </si>
  <si>
    <t>28.22亿</t>
  </si>
  <si>
    <t>41.05亿</t>
  </si>
  <si>
    <t>SH688570</t>
  </si>
  <si>
    <t>天玛智控</t>
  </si>
  <si>
    <t>19.68亿</t>
  </si>
  <si>
    <t>SH688623</t>
  </si>
  <si>
    <t>双元科技</t>
  </si>
  <si>
    <t>9648.07万</t>
  </si>
  <si>
    <t>5713.64万</t>
  </si>
  <si>
    <t>11.41亿</t>
  </si>
  <si>
    <t>66.24亿</t>
  </si>
  <si>
    <t>6.24亿</t>
  </si>
  <si>
    <t>2.99亿</t>
  </si>
  <si>
    <t>4.91亿</t>
  </si>
  <si>
    <t>2.13亿</t>
  </si>
  <si>
    <t>26.65亿</t>
  </si>
  <si>
    <t>2.01亿</t>
  </si>
  <si>
    <t>4.11亿</t>
  </si>
  <si>
    <t>5.18亿</t>
  </si>
  <si>
    <t>9.11亿</t>
  </si>
  <si>
    <t>1.78亿</t>
  </si>
  <si>
    <t>1.81亿</t>
  </si>
  <si>
    <t>3.26亿</t>
  </si>
  <si>
    <t>7.22亿</t>
  </si>
  <si>
    <t>1.69亿</t>
  </si>
  <si>
    <t>7.71亿</t>
  </si>
  <si>
    <t>2.21亿</t>
  </si>
  <si>
    <t>3.40亿</t>
  </si>
  <si>
    <t>4300.00万</t>
  </si>
  <si>
    <t>3.99亿</t>
  </si>
  <si>
    <t>4.79亿</t>
  </si>
  <si>
    <t>4.38亿</t>
  </si>
  <si>
    <t>1.45亿</t>
  </si>
  <si>
    <t>2.58亿</t>
  </si>
  <si>
    <t>4.06亿</t>
  </si>
  <si>
    <t>8638.01万</t>
  </si>
  <si>
    <t>6257.04万</t>
  </si>
  <si>
    <t>4332.65万</t>
  </si>
  <si>
    <t>荣旗科技</t>
  </si>
  <si>
    <t>SZ301418</t>
  </si>
  <si>
    <t>协昌科技</t>
  </si>
  <si>
    <t>7.20亿</t>
  </si>
  <si>
    <t>1.85亿</t>
  </si>
  <si>
    <t>4.68亿</t>
  </si>
  <si>
    <t>3.95亿</t>
  </si>
  <si>
    <t>9674.80万</t>
  </si>
  <si>
    <t>9420.56万</t>
  </si>
  <si>
    <t>8197.52万</t>
  </si>
  <si>
    <t>SZ301510</t>
  </si>
  <si>
    <t>固高科技</t>
  </si>
  <si>
    <t>3.38亿</t>
  </si>
  <si>
    <t>6529.14万</t>
  </si>
  <si>
    <t>2825.75万</t>
  </si>
  <si>
    <t>5016.02万</t>
  </si>
  <si>
    <t>7538.50万</t>
  </si>
  <si>
    <t>SZ301512</t>
  </si>
  <si>
    <t>智信精密</t>
  </si>
  <si>
    <t>5.11亿</t>
  </si>
  <si>
    <t>5.47亿</t>
  </si>
  <si>
    <t>9462.44万</t>
  </si>
  <si>
    <t>8181.69万</t>
  </si>
  <si>
    <t>4790.30万</t>
  </si>
  <si>
    <t>4186.17万</t>
  </si>
  <si>
    <t>SH603275</t>
  </si>
  <si>
    <t>众辰科技</t>
  </si>
  <si>
    <t>5.36亿</t>
  </si>
  <si>
    <t>6.20亿</t>
  </si>
  <si>
    <t>6.26亿</t>
  </si>
  <si>
    <t>3.17亿</t>
  </si>
  <si>
    <t>15.53亿</t>
  </si>
  <si>
    <t>7.83亿</t>
  </si>
  <si>
    <t>3.87亿</t>
  </si>
  <si>
    <t>-3-0</t>
  </si>
  <si>
    <t>11.63亿</t>
  </si>
  <si>
    <t>4162.48万</t>
  </si>
  <si>
    <t>2285.59万</t>
  </si>
  <si>
    <t>SH688646</t>
  </si>
  <si>
    <t>逸飞激光</t>
  </si>
  <si>
    <t>9389.42万</t>
  </si>
  <si>
    <t>4219.34万</t>
  </si>
  <si>
    <t>1187.62万</t>
  </si>
  <si>
    <t>-1490.28万</t>
  </si>
  <si>
    <r>
      <t>1.原理是通过控制系统将指令传达至机械结构，使电动机的圆周运动，转换为推杆的直线运动，从而达到推拉、升降重物的效果。2.近年来，公司在欧洲的业务拓展不断深入，欧洲智慧办公和医疗康护板块的收入均保持较高的增速，预计未来几年也将保持比较高的增速。3.</t>
    </r>
    <r>
      <rPr>
        <sz val="9"/>
        <color rgb="FFFF0000"/>
        <rFont val="宋体"/>
        <family val="3"/>
        <charset val="134"/>
        <scheme val="minor"/>
      </rPr>
      <t>国内市场是公司将来重要的目标市场</t>
    </r>
    <r>
      <rPr>
        <sz val="9"/>
        <color theme="1"/>
        <rFont val="宋体"/>
        <family val="3"/>
        <charset val="134"/>
        <scheme val="minor"/>
      </rPr>
      <t>，公司将借鉴在国外市场的成功经验，集中公司的整体资源加快国内市场发展。4.公司产品在</t>
    </r>
    <r>
      <rPr>
        <sz val="9"/>
        <color rgb="FFFF0000"/>
        <rFont val="宋体"/>
        <family val="3"/>
        <charset val="134"/>
        <scheme val="minor"/>
      </rPr>
      <t>光伏、光热电站的追踪支架</t>
    </r>
    <r>
      <rPr>
        <sz val="9"/>
        <color theme="1"/>
        <rFont val="宋体"/>
        <family val="3"/>
        <charset val="134"/>
        <scheme val="minor"/>
      </rPr>
      <t>中有使用，目前属于新的应用场景，相比其他方式，在成本、安装等方面有一定的优势。5.23年6月1日公告：公司在匈牙利新建项目符合国家鼓励的“一带一路”倡议;</t>
    </r>
    <phoneticPr fontId="1" type="noConversion"/>
  </si>
  <si>
    <r>
      <t>1.生产所需原材料主要系钣金件、电子元器件、线
路板、钢材、电机及其他配件等。原材料价格的变化对公司产品成本影响较大；2.线性驱动系统最初发源于欧洲，作为欧洲及至全球知名领先的线性驱动厂商，</t>
    </r>
    <r>
      <rPr>
        <sz val="9"/>
        <color rgb="FFFF0000"/>
        <rFont val="宋体"/>
        <family val="3"/>
        <charset val="134"/>
        <scheme val="minor"/>
      </rPr>
      <t>丹麦的LINAK 公司及德国的 DEWERT Okin</t>
    </r>
    <r>
      <rPr>
        <sz val="9"/>
        <color theme="1"/>
        <rFont val="宋体"/>
        <family val="3"/>
        <charset val="134"/>
        <scheme val="minor"/>
      </rPr>
      <t xml:space="preserve"> 公司均已实现全球布局，并占据医疗领域大部分市场份额，是公司开拓海外市场的主要竞争对手。而中国国内主要参与厂商则包括</t>
    </r>
    <r>
      <rPr>
        <sz val="9"/>
        <color rgb="FFFF0000"/>
        <rFont val="宋体"/>
        <family val="3"/>
        <charset val="134"/>
        <scheme val="minor"/>
      </rPr>
      <t>凯迪股份、乐歌股份、豪江智能、浙江新益、嘉兴礼海</t>
    </r>
    <r>
      <rPr>
        <sz val="9"/>
        <color theme="1"/>
        <rFont val="宋体"/>
        <family val="3"/>
        <charset val="134"/>
        <scheme val="minor"/>
      </rPr>
      <t>、以及中国台湾的 TIMOTION 等。</t>
    </r>
    <phoneticPr fontId="1" type="noConversion"/>
  </si>
  <si>
    <t>2.92亿</t>
  </si>
  <si>
    <t>12.33亿</t>
  </si>
  <si>
    <t>3.27亿</t>
  </si>
  <si>
    <t>2.12亿</t>
  </si>
  <si>
    <t>-1.20亿</t>
  </si>
  <si>
    <t>-2.06亿</t>
  </si>
  <si>
    <t>9.20亿</t>
  </si>
  <si>
    <t>10.07亿</t>
  </si>
  <si>
    <t>7.93亿</t>
  </si>
  <si>
    <t>7.58亿</t>
  </si>
  <si>
    <t>7.74亿</t>
  </si>
  <si>
    <t>2.30亿</t>
  </si>
  <si>
    <t>16.48亿</t>
  </si>
  <si>
    <t>7.21亿</t>
  </si>
  <si>
    <t>25.80亿</t>
  </si>
  <si>
    <t>9.21亿</t>
  </si>
  <si>
    <t>10.16亿</t>
  </si>
  <si>
    <t>3.68亿</t>
  </si>
  <si>
    <t>12.39亿</t>
  </si>
  <si>
    <t>4.10亿</t>
  </si>
  <si>
    <t>12.37亿</t>
  </si>
  <si>
    <t>20.96亿</t>
  </si>
  <si>
    <t>4.85亿</t>
  </si>
  <si>
    <t>6.60亿</t>
  </si>
  <si>
    <t>500.00万</t>
  </si>
  <si>
    <t>9.34亿</t>
  </si>
  <si>
    <t>4.04亿</t>
  </si>
  <si>
    <t>10.73亿</t>
  </si>
  <si>
    <t>5000.00万</t>
  </si>
  <si>
    <t>7.89亿</t>
  </si>
  <si>
    <t>21.70亿</t>
  </si>
  <si>
    <t>10.47亿</t>
  </si>
  <si>
    <t>4.25亿</t>
  </si>
  <si>
    <t>5.00亿</t>
  </si>
  <si>
    <t>2.57亿</t>
  </si>
  <si>
    <t>9.05亿</t>
  </si>
  <si>
    <t>2.60亿</t>
  </si>
  <si>
    <t>6.11亿</t>
  </si>
  <si>
    <t>5.40亿</t>
  </si>
  <si>
    <t>39.67亿</t>
  </si>
  <si>
    <t>3.47亿</t>
  </si>
  <si>
    <t>2.74亿</t>
  </si>
  <si>
    <t>-2.45亿</t>
  </si>
  <si>
    <t>5.24亿</t>
  </si>
  <si>
    <t>8.61亿</t>
  </si>
  <si>
    <t>1.2022 年国内谐波减速器市占率约 26%，2021 年全球谐波减速器市占率约 7%.</t>
    <phoneticPr fontId="1" type="noConversion"/>
  </si>
  <si>
    <r>
      <t>1.2023Q3营收同比下降18.56%(这还是</t>
    </r>
    <r>
      <rPr>
        <sz val="9"/>
        <color rgb="FFFF0000"/>
        <rFont val="宋体"/>
        <family val="3"/>
        <charset val="134"/>
        <scheme val="minor"/>
      </rPr>
      <t>由于公司联接业务中小基站业务受运营商建设周期后延影响</t>
    </r>
    <r>
      <rPr>
        <sz val="9"/>
        <color theme="1"/>
        <rFont val="宋体"/>
        <family val="3"/>
        <charset val="134"/>
        <scheme val="minor"/>
      </rPr>
      <t>，导致营收的下降)；但归母净利润8.12亿元，同比增长12.4%；2.2021年3月完成了改制，从高校所属上市公司正式转制成为武汉国资控股的高科技上市公司；</t>
    </r>
    <phoneticPr fontId="1" type="noConversion"/>
  </si>
  <si>
    <t>-3-1</t>
  </si>
  <si>
    <t>SZ301568</t>
  </si>
  <si>
    <t>思泰克</t>
  </si>
  <si>
    <r>
      <t>0.定位系统集成商：上游（减速器，伺服驱动，控制）-&gt;中游（机器人本体）-&gt;中下游（集成商，懂应用业务，懂上游技术要点，公司业务范围）-&gt;下游客户（产业最终客户）。1.横向延伸，布局</t>
    </r>
    <r>
      <rPr>
        <sz val="9"/>
        <color rgb="FFFF0000"/>
        <rFont val="宋体"/>
        <family val="3"/>
        <charset val="134"/>
        <scheme val="minor"/>
      </rPr>
      <t>新能源换电/半导体</t>
    </r>
    <r>
      <rPr>
        <sz val="9"/>
        <color theme="1"/>
        <rFont val="宋体"/>
        <family val="3"/>
        <charset val="134"/>
        <scheme val="minor"/>
      </rPr>
      <t>，构建多维增长极。2.受消费电子快速更新换代影响，</t>
    </r>
    <r>
      <rPr>
        <sz val="9"/>
        <color rgb="FFFF0000"/>
        <rFont val="宋体"/>
        <family val="3"/>
        <charset val="134"/>
        <scheme val="minor"/>
      </rPr>
      <t>生产线的周期一般在1.5年</t>
    </r>
    <r>
      <rPr>
        <sz val="9"/>
        <color theme="1"/>
        <rFont val="宋体"/>
        <family val="3"/>
        <charset val="134"/>
        <scheme val="minor"/>
      </rPr>
      <t>左右。</t>
    </r>
    <phoneticPr fontId="1" type="noConversion"/>
  </si>
  <si>
    <r>
      <t>1.从3C自动化设备起家，</t>
    </r>
    <r>
      <rPr>
        <sz val="9"/>
        <color rgb="FFFF0000"/>
        <rFont val="宋体"/>
        <family val="3"/>
        <charset val="134"/>
        <scheme val="minor"/>
      </rPr>
      <t>核心绑定大客户苹果</t>
    </r>
    <r>
      <rPr>
        <sz val="9"/>
        <color theme="1"/>
        <rFont val="宋体"/>
        <family val="3"/>
        <charset val="134"/>
        <scheme val="minor"/>
      </rPr>
      <t xml:space="preserve">，柔性模块化生产线业务继续增长，持续向手机其他工艺段及大客户其他终端产品拓 展，大客户MR等新产品新应用贡献增量设备需求。2.公司主要为苹果 </t>
    </r>
    <r>
      <rPr>
        <sz val="9"/>
        <color rgb="FFFF0000"/>
        <rFont val="宋体"/>
        <family val="3"/>
        <charset val="134"/>
        <scheme val="minor"/>
      </rPr>
      <t>Vision Pro 提供镜头和整机组装设备</t>
    </r>
    <r>
      <rPr>
        <sz val="9"/>
        <color theme="1"/>
        <rFont val="宋体"/>
        <family val="3"/>
        <charset val="134"/>
        <scheme val="minor"/>
      </rPr>
      <t>，目前已交付；此外，其二代相关设备产品也正处于打样中。</t>
    </r>
    <phoneticPr fontId="1" type="noConversion"/>
  </si>
  <si>
    <t>1.自研光源，光源控制器，镜头，相机，图像处理软件（2D，3D算法库）；2.从3C下游行业拓展到新能源锂电池，汽车，半导体。</t>
    <phoneticPr fontId="1" type="noConversion"/>
  </si>
  <si>
    <r>
      <t>1.中国机器视觉产业联盟统计，2020年</t>
    </r>
    <r>
      <rPr>
        <sz val="9"/>
        <color rgb="FFFF0000"/>
        <rFont val="宋体"/>
        <family val="3"/>
        <charset val="134"/>
        <scheme val="minor"/>
      </rPr>
      <t>质量检验和表面纹理检查合计占比 49.8%</t>
    </r>
    <r>
      <rPr>
        <sz val="9"/>
        <color theme="1"/>
        <rFont val="宋体"/>
        <family val="3"/>
        <charset val="134"/>
        <scheme val="minor"/>
      </rPr>
      <t>。2.</t>
    </r>
    <r>
      <rPr>
        <b/>
        <sz val="9"/>
        <color rgb="FFFF0000"/>
        <rFont val="宋体"/>
        <family val="3"/>
        <charset val="134"/>
        <scheme val="minor"/>
      </rPr>
      <t>基恩士</t>
    </r>
    <r>
      <rPr>
        <sz val="9"/>
        <color rgb="FFFF0000"/>
        <rFont val="宋体"/>
        <family val="3"/>
        <charset val="134"/>
        <scheme val="minor"/>
      </rPr>
      <t>和康耐视</t>
    </r>
    <r>
      <rPr>
        <sz val="9"/>
        <color theme="1"/>
        <rFont val="宋体"/>
        <family val="3"/>
        <charset val="134"/>
        <scheme val="minor"/>
      </rPr>
      <t>作为全球机器视觉 两大巨头，不仅垄断全球高端市场，在中国的份额也分别占到34%、9%， 高于中国本土企业，奥普特占市场总额的</t>
    </r>
    <r>
      <rPr>
        <sz val="9"/>
        <color rgb="FFFF0000"/>
        <rFont val="宋体"/>
        <family val="3"/>
        <charset val="134"/>
        <scheme val="minor"/>
      </rPr>
      <t>5%，</t>
    </r>
    <r>
      <rPr>
        <sz val="9"/>
        <rFont val="宋体"/>
        <family val="3"/>
        <charset val="134"/>
        <scheme val="minor"/>
      </rPr>
      <t>其他分享一半的市场，国内主要厂商有奥普特、纬朗光电、沃德普、康视达等，其中奥普特为国内光源市场市占率最高企业。。</t>
    </r>
    <phoneticPr fontId="1" type="noConversion"/>
  </si>
  <si>
    <r>
      <t>1.问：有些行业传言或者有些行业部分公司说新能源车电池的产能过度扩张，未来增速放缓，公司如何看待此类说法？公司如何应对此种情况？答：公司专注于激光光学及控制技术、与激光系统相配套的自动化技术，并持续强化这两大核心技术。产品服务包括锂电池智能制造解决方案，为激光标记、焊接、切割、表面处理等应用提供的激光模组、激光系统以及自动化系统一站式解决方案，大功率钣金激光切割解决方案，晶硅、薄膜太阳能智能制造生产线，已广泛应用于锂电、3C、钣金、</t>
    </r>
    <r>
      <rPr>
        <sz val="9"/>
        <color rgb="FFFF0000"/>
        <rFont val="宋体"/>
        <family val="3"/>
        <charset val="134"/>
        <scheme val="minor"/>
      </rPr>
      <t>光伏、半导体</t>
    </r>
    <r>
      <rPr>
        <sz val="9"/>
        <color theme="1"/>
        <rFont val="宋体"/>
        <family val="3"/>
        <charset val="134"/>
        <scheme val="minor"/>
      </rPr>
      <t>、显示等行业。公司锂电池行业的设备可以应用的场景包括</t>
    </r>
    <r>
      <rPr>
        <b/>
        <sz val="9"/>
        <color rgb="FFFF0000"/>
        <rFont val="宋体"/>
        <family val="3"/>
        <charset val="134"/>
        <scheme val="minor"/>
      </rPr>
      <t>动力电池设备和储能电池设备</t>
    </r>
    <r>
      <rPr>
        <sz val="9"/>
        <color theme="1"/>
        <rFont val="宋体"/>
        <family val="3"/>
        <charset val="134"/>
        <scheme val="minor"/>
      </rPr>
      <t>，为实现国家的双碳目标，储能电池行业未来也将具备良好的发展势头。2.负债80亿，股东权益大概20亿，</t>
    </r>
    <r>
      <rPr>
        <sz val="9"/>
        <color rgb="FFFF0000"/>
        <rFont val="宋体"/>
        <family val="3"/>
        <charset val="134"/>
        <scheme val="minor"/>
      </rPr>
      <t>负债占比大</t>
    </r>
    <r>
      <rPr>
        <sz val="9"/>
        <color theme="1"/>
        <rFont val="宋体"/>
        <family val="3"/>
        <charset val="134"/>
        <scheme val="minor"/>
      </rPr>
      <t>；不过负债中有大概30亿是</t>
    </r>
    <r>
      <rPr>
        <sz val="9"/>
        <color rgb="FFFF0000"/>
        <rFont val="宋体"/>
        <family val="3"/>
        <charset val="134"/>
        <scheme val="minor"/>
      </rPr>
      <t>合同负债-40%比例</t>
    </r>
    <r>
      <rPr>
        <sz val="9"/>
        <color theme="1"/>
        <rFont val="宋体"/>
        <family val="3"/>
        <charset val="134"/>
        <scheme val="minor"/>
      </rPr>
      <t>。3.锂电池行业的过剩一直是一个不确定因素。</t>
    </r>
    <phoneticPr fontId="1" type="noConversion"/>
  </si>
  <si>
    <r>
      <t>1.</t>
    </r>
    <r>
      <rPr>
        <b/>
        <sz val="9"/>
        <color rgb="FFFF0000"/>
        <rFont val="宋体"/>
        <family val="3"/>
        <charset val="134"/>
        <scheme val="minor"/>
      </rPr>
      <t>激光器占比39%</t>
    </r>
    <r>
      <rPr>
        <sz val="9"/>
        <color theme="1"/>
        <rFont val="宋体"/>
        <family val="3"/>
        <charset val="134"/>
        <scheme val="minor"/>
      </rPr>
      <t>；</t>
    </r>
    <phoneticPr fontId="1" type="noConversion"/>
  </si>
  <si>
    <t>2-0</t>
  </si>
  <si>
    <t>3-1</t>
  </si>
  <si>
    <r>
      <t>0.工业激光器 主要分为四大类，分别为</t>
    </r>
    <r>
      <rPr>
        <sz val="9"/>
        <color rgb="FFFF0000"/>
        <rFont val="宋体"/>
        <family val="3"/>
        <charset val="134"/>
        <scheme val="minor"/>
      </rPr>
      <t>光纤激光器、固体激光器 、气体激光器以及半导体激光器</t>
    </r>
    <r>
      <rPr>
        <sz val="9"/>
        <color theme="1"/>
        <rFont val="宋体"/>
        <family val="3"/>
        <charset val="134"/>
        <scheme val="minor"/>
      </rPr>
      <t xml:space="preserve">，其中 </t>
    </r>
    <r>
      <rPr>
        <b/>
        <sz val="9"/>
        <color rgb="FFFF0000"/>
        <rFont val="宋体"/>
        <family val="3"/>
        <charset val="134"/>
        <scheme val="minor"/>
      </rPr>
      <t>光纤激光器</t>
    </r>
    <r>
      <rPr>
        <sz val="9"/>
        <color theme="1"/>
        <rFont val="宋体"/>
        <family val="3"/>
        <charset val="134"/>
        <scheme val="minor"/>
      </rPr>
      <t>凭借优异的性能成为市场主流，2020 年市场份额达</t>
    </r>
    <r>
      <rPr>
        <b/>
        <sz val="9"/>
        <color rgb="FFFF0000"/>
        <rFont val="宋体"/>
        <family val="3"/>
        <charset val="134"/>
        <scheme val="minor"/>
      </rPr>
      <t xml:space="preserve"> 52.7%</t>
    </r>
    <r>
      <rPr>
        <sz val="9"/>
        <color theme="1"/>
        <rFont val="宋体"/>
        <family val="3"/>
        <charset val="134"/>
        <scheme val="minor"/>
      </rPr>
      <t>。1.2021年6kw 以下的中低功率光纤激光器市场已基本由国产厂商占据，低价竞争严重，而高功率产品国产化率仅为50%左右。2.2022 年，公司</t>
    </r>
    <r>
      <rPr>
        <sz val="9"/>
        <color rgb="FFFF0000"/>
        <rFont val="宋体"/>
        <family val="3"/>
        <charset val="134"/>
        <scheme val="minor"/>
      </rPr>
      <t>连续光纤激光器、脉冲光纤激光器营收占比分别为 76%和 13%</t>
    </r>
    <r>
      <rPr>
        <sz val="9"/>
        <color theme="1"/>
        <rFont val="宋体"/>
        <family val="3"/>
        <charset val="134"/>
        <scheme val="minor"/>
      </rPr>
      <t>。3.国产厂商锐科激光市场份额从 2018 年的18%提升至</t>
    </r>
    <r>
      <rPr>
        <b/>
        <sz val="9"/>
        <color rgb="FFFF0000"/>
        <rFont val="宋体"/>
        <family val="3"/>
        <charset val="134"/>
        <scheme val="minor"/>
      </rPr>
      <t>2021年的27%</t>
    </r>
    <r>
      <rPr>
        <sz val="9"/>
        <color theme="1"/>
        <rFont val="宋体"/>
        <family val="3"/>
        <charset val="134"/>
        <scheme val="minor"/>
      </rPr>
      <t>，几乎与 IPG 持平；创 鑫激光市场份额从2018年的12%提升至2021年的18%，是国内第三大供应商。2021 年我 国光纤激光器市场 CR3 达 73.7%，国内竞争对手有创鑫激光、杰普特等。4.公司激光器产品</t>
    </r>
    <r>
      <rPr>
        <sz val="9"/>
        <color rgb="FFFF0000"/>
        <rFont val="宋体"/>
        <family val="3"/>
        <charset val="134"/>
        <scheme val="minor"/>
      </rPr>
      <t>单价</t>
    </r>
    <r>
      <rPr>
        <sz val="9"/>
        <color theme="1"/>
        <rFont val="宋体"/>
        <family val="3"/>
        <charset val="134"/>
        <scheme val="minor"/>
      </rPr>
      <t>从2018 年的约4.7万元下降至2022 年的约2.3万元，</t>
    </r>
    <r>
      <rPr>
        <sz val="9"/>
        <color rgb="FFFF0000"/>
        <rFont val="宋体"/>
        <family val="3"/>
        <charset val="134"/>
        <scheme val="minor"/>
      </rPr>
      <t>年均降幅约为15%</t>
    </r>
    <r>
      <rPr>
        <sz val="9"/>
        <color theme="1"/>
        <rFont val="宋体"/>
        <family val="3"/>
        <charset val="134"/>
        <scheme val="minor"/>
      </rPr>
      <t>,需要下游需求放量来弥补或者提升营收；</t>
    </r>
    <phoneticPr fontId="1" type="noConversion"/>
  </si>
  <si>
    <t>5-1</t>
  </si>
  <si>
    <t>-4-1</t>
  </si>
  <si>
    <t>4-1</t>
  </si>
  <si>
    <t>6-1</t>
  </si>
  <si>
    <t>3.81亿</t>
  </si>
  <si>
    <t>2.34亿</t>
  </si>
  <si>
    <t>*ST工智</t>
  </si>
  <si>
    <t>35.56亿</t>
  </si>
  <si>
    <t>21.88亿</t>
  </si>
  <si>
    <t>-4.02亿</t>
  </si>
  <si>
    <t>19.44亿</t>
  </si>
  <si>
    <t>3243102亿</t>
  </si>
  <si>
    <t>1291787亿</t>
  </si>
  <si>
    <t>416081860亿</t>
  </si>
  <si>
    <t>2506892900亿</t>
  </si>
  <si>
    <t>-7.84亿</t>
  </si>
  <si>
    <t>105.04万</t>
  </si>
  <si>
    <t>82.30亿</t>
  </si>
  <si>
    <t>102.08亿</t>
  </si>
  <si>
    <t>-2247583亿</t>
  </si>
  <si>
    <t>225800190亿</t>
  </si>
  <si>
    <t>3664803700亿</t>
  </si>
  <si>
    <t>14147016000亿</t>
  </si>
  <si>
    <t>16.24亿</t>
  </si>
  <si>
    <t>10派1.5元(含税)</t>
  </si>
  <si>
    <t>1.14亿</t>
  </si>
  <si>
    <t>155345亿</t>
  </si>
  <si>
    <t>19575622亿</t>
  </si>
  <si>
    <t>272265240亿</t>
  </si>
  <si>
    <t>1430110800亿</t>
  </si>
  <si>
    <t>9459.61万</t>
  </si>
  <si>
    <t>2945.95万</t>
  </si>
  <si>
    <t>10派8元(含税)</t>
  </si>
  <si>
    <t>9021.71万</t>
  </si>
  <si>
    <t>-964.35万</t>
  </si>
  <si>
    <t>1752088亿</t>
  </si>
  <si>
    <t>-7697878亿</t>
  </si>
  <si>
    <t>222583950亿</t>
  </si>
  <si>
    <t>1099642470亿</t>
  </si>
  <si>
    <t>7202.36万</t>
  </si>
  <si>
    <t>586.68万</t>
  </si>
  <si>
    <t>178.20亿</t>
  </si>
  <si>
    <t>26.56亿</t>
  </si>
  <si>
    <t>140.91亿</t>
  </si>
  <si>
    <t>8.20亿</t>
  </si>
  <si>
    <t>10.76亿</t>
  </si>
  <si>
    <t>1049984140亿</t>
  </si>
  <si>
    <t>-5580826亿</t>
  </si>
  <si>
    <t>6865536800亿</t>
  </si>
  <si>
    <t>23143715000亿</t>
  </si>
  <si>
    <t>12.15亿</t>
  </si>
  <si>
    <t>24.25亿</t>
  </si>
  <si>
    <t>27.11亿</t>
  </si>
  <si>
    <t>35.52亿</t>
  </si>
  <si>
    <t>-85454亿</t>
  </si>
  <si>
    <t>-17456579亿</t>
  </si>
  <si>
    <t>990527640亿</t>
  </si>
  <si>
    <t>3533324200亿</t>
  </si>
  <si>
    <t>25.89亿</t>
  </si>
  <si>
    <t>5980.00万</t>
  </si>
  <si>
    <t>6.09亿</t>
  </si>
  <si>
    <t>2002.12万</t>
  </si>
  <si>
    <t>24.89亿</t>
  </si>
  <si>
    <t>26.97亿</t>
  </si>
  <si>
    <t>9.49亿</t>
  </si>
  <si>
    <t>45.90亿</t>
  </si>
  <si>
    <t>1334238亿</t>
  </si>
  <si>
    <t>41625130亿</t>
  </si>
  <si>
    <t>9.58亿</t>
  </si>
  <si>
    <t>951249880亿</t>
  </si>
  <si>
    <t>3620400800亿</t>
  </si>
  <si>
    <t>10.13亿</t>
  </si>
  <si>
    <t>9534.41万</t>
  </si>
  <si>
    <t>27.47亿</t>
  </si>
  <si>
    <t>33.87亿</t>
  </si>
  <si>
    <t>-3.79亿</t>
  </si>
  <si>
    <t>735692亿</t>
  </si>
  <si>
    <t>-34570712亿</t>
  </si>
  <si>
    <t>1019566950亿</t>
  </si>
  <si>
    <t>3257368400亿</t>
  </si>
  <si>
    <t>30.51亿</t>
  </si>
  <si>
    <t>6.62亿</t>
  </si>
  <si>
    <t>25.65亿</t>
  </si>
  <si>
    <t>5.34亿</t>
  </si>
  <si>
    <t>-10438880亿</t>
  </si>
  <si>
    <t>96268410亿</t>
  </si>
  <si>
    <t>1031254920亿</t>
  </si>
  <si>
    <t>5620537200亿</t>
  </si>
  <si>
    <t>-1.72亿</t>
  </si>
  <si>
    <t>7.30亿</t>
  </si>
  <si>
    <t>72.59亿</t>
  </si>
  <si>
    <t>10.03亿</t>
  </si>
  <si>
    <t>46.52亿</t>
  </si>
  <si>
    <t>-3853323亿</t>
  </si>
  <si>
    <t>-12940916亿</t>
  </si>
  <si>
    <t>1750118600亿</t>
  </si>
  <si>
    <t>5622915100亿</t>
  </si>
  <si>
    <t>6.91亿</t>
  </si>
  <si>
    <t>9.86亿</t>
  </si>
  <si>
    <t>4304.55万</t>
  </si>
  <si>
    <t>27.51亿</t>
  </si>
  <si>
    <t>28.57亿</t>
  </si>
  <si>
    <t>1146760亿</t>
  </si>
  <si>
    <t>34853438亿</t>
  </si>
  <si>
    <t>7.86亿</t>
  </si>
  <si>
    <t>1473821800亿</t>
  </si>
  <si>
    <t>4109309600亿</t>
  </si>
  <si>
    <t>5.33亿</t>
  </si>
  <si>
    <t>2966.17万</t>
  </si>
  <si>
    <t>10派1.72元(含税)</t>
  </si>
  <si>
    <t>10.39亿</t>
  </si>
  <si>
    <t>-5722.99万</t>
  </si>
  <si>
    <t>-566986亿</t>
  </si>
  <si>
    <t>5649908亿</t>
  </si>
  <si>
    <t>460696790亿</t>
  </si>
  <si>
    <t>2007661300亿</t>
  </si>
  <si>
    <t>-1055.26万</t>
  </si>
  <si>
    <t>14.15亿</t>
  </si>
  <si>
    <t>53111092亿</t>
  </si>
  <si>
    <t>564191810亿</t>
  </si>
  <si>
    <t>1571788900亿</t>
  </si>
  <si>
    <t>3.15亿</t>
  </si>
  <si>
    <t>3552.78万</t>
  </si>
  <si>
    <t>74.05亿</t>
  </si>
  <si>
    <t>4857.16万</t>
  </si>
  <si>
    <t>-3070790亿</t>
  </si>
  <si>
    <t>-58044337亿</t>
  </si>
  <si>
    <t>1363329900亿</t>
  </si>
  <si>
    <t>7855633700亿</t>
  </si>
  <si>
    <t>4436.31万</t>
  </si>
  <si>
    <t>7.14亿</t>
  </si>
  <si>
    <t>-4449.18万</t>
  </si>
  <si>
    <t>14.43亿</t>
  </si>
  <si>
    <t>14.91亿</t>
  </si>
  <si>
    <t>-2.20亿</t>
  </si>
  <si>
    <t>-253692亿</t>
  </si>
  <si>
    <t>8730895亿</t>
  </si>
  <si>
    <t>946973720亿</t>
  </si>
  <si>
    <t>2375755200亿</t>
  </si>
  <si>
    <t>66.20万</t>
  </si>
  <si>
    <t>8113.27万</t>
  </si>
  <si>
    <t>4.93亿</t>
  </si>
  <si>
    <t>-666497亿</t>
  </si>
  <si>
    <t>6616841亿</t>
  </si>
  <si>
    <t>127284209亿</t>
  </si>
  <si>
    <t>756794730亿</t>
  </si>
  <si>
    <t>-3.09亿</t>
  </si>
  <si>
    <t>-2747.02万</t>
  </si>
  <si>
    <t>239.57亿</t>
  </si>
  <si>
    <t>64.92亿</t>
  </si>
  <si>
    <t>304.20亿</t>
  </si>
  <si>
    <t>47.42亿</t>
  </si>
  <si>
    <t>18157954亿</t>
  </si>
  <si>
    <t>791559020亿</t>
  </si>
  <si>
    <t>7244888500亿</t>
  </si>
  <si>
    <t>32762315000亿</t>
  </si>
  <si>
    <t>47.82亿</t>
  </si>
  <si>
    <t>7.47亿</t>
  </si>
  <si>
    <t>10派4.5元(含税)</t>
  </si>
  <si>
    <t>SZ300220</t>
  </si>
  <si>
    <t>7089.54万</t>
  </si>
  <si>
    <t>-3149.65万</t>
  </si>
  <si>
    <t>-125890亿</t>
  </si>
  <si>
    <t>1604720亿</t>
  </si>
  <si>
    <t>25406294亿</t>
  </si>
  <si>
    <t>168123400亿</t>
  </si>
  <si>
    <t>-5565.07万</t>
  </si>
  <si>
    <t>-6383.79万</t>
  </si>
  <si>
    <t>-5552.57万</t>
  </si>
  <si>
    <t>425.61万</t>
  </si>
  <si>
    <t>714.20万</t>
  </si>
  <si>
    <t>7130.07万</t>
  </si>
  <si>
    <t>-275.65万</t>
  </si>
  <si>
    <t>10.85亿</t>
  </si>
  <si>
    <t>5681.58万</t>
  </si>
  <si>
    <t>2064369亿</t>
  </si>
  <si>
    <t>508668480亿</t>
  </si>
  <si>
    <t>1310193700亿</t>
  </si>
  <si>
    <t>-1.13亿</t>
  </si>
  <si>
    <t>8006.81万</t>
  </si>
  <si>
    <t>671.59万</t>
  </si>
  <si>
    <t>30.15亿</t>
  </si>
  <si>
    <t>17.35亿</t>
  </si>
  <si>
    <t>2032.65万</t>
  </si>
  <si>
    <t>277261亿</t>
  </si>
  <si>
    <t>9736769亿</t>
  </si>
  <si>
    <t>386656510亿</t>
  </si>
  <si>
    <t>3814451700亿</t>
  </si>
  <si>
    <t>1010.38万</t>
  </si>
  <si>
    <t>15.40亿</t>
  </si>
  <si>
    <t>28.60亿</t>
  </si>
  <si>
    <t>7754.35万</t>
  </si>
  <si>
    <t>509231亿</t>
  </si>
  <si>
    <t>30002241亿</t>
  </si>
  <si>
    <t>689292150亿</t>
  </si>
  <si>
    <t>2214318800亿</t>
  </si>
  <si>
    <t>6.14亿</t>
  </si>
  <si>
    <t>2241.04万</t>
  </si>
  <si>
    <t>3942.14万</t>
  </si>
  <si>
    <t>11447044亿</t>
  </si>
  <si>
    <t>9236135亿</t>
  </si>
  <si>
    <t>307094080亿</t>
  </si>
  <si>
    <t>869261980亿</t>
  </si>
  <si>
    <t>264.99万</t>
  </si>
  <si>
    <t>11.76亿</t>
  </si>
  <si>
    <t>9.71亿</t>
  </si>
  <si>
    <t>6.71亿</t>
  </si>
  <si>
    <t>-2056197亿</t>
  </si>
  <si>
    <t>27620736亿</t>
  </si>
  <si>
    <t>915021540亿</t>
  </si>
  <si>
    <t>171.84万</t>
  </si>
  <si>
    <t>1814757700亿</t>
  </si>
  <si>
    <t>2235.23万</t>
  </si>
  <si>
    <t>4486.36万</t>
  </si>
  <si>
    <t>987.58万</t>
  </si>
  <si>
    <t>-3187359亿</t>
  </si>
  <si>
    <t>-12686107亿</t>
  </si>
  <si>
    <t>107832562亿</t>
  </si>
  <si>
    <t>491435460亿</t>
  </si>
  <si>
    <t>181.62万</t>
  </si>
  <si>
    <t>5446.24万</t>
  </si>
  <si>
    <t>219.99万</t>
  </si>
  <si>
    <t>开始亏损</t>
  </si>
  <si>
    <t>029627400</t>
  </si>
  <si>
    <t>059254800</t>
  </si>
  <si>
    <t>098758000</t>
  </si>
  <si>
    <t>0197516000</t>
  </si>
  <si>
    <t>7029.34万</t>
  </si>
  <si>
    <t>2406.50万</t>
  </si>
  <si>
    <t>5007219亿</t>
  </si>
  <si>
    <t>170190870亿</t>
  </si>
  <si>
    <t>652715970亿</t>
  </si>
  <si>
    <t>6808.53万</t>
  </si>
  <si>
    <t>1080.36万</t>
  </si>
  <si>
    <t>024065000</t>
  </si>
  <si>
    <t>072195000</t>
  </si>
  <si>
    <t>0144390000</t>
  </si>
  <si>
    <t>0240650000</t>
  </si>
  <si>
    <t>0481300000</t>
  </si>
  <si>
    <t>19.61亿</t>
  </si>
  <si>
    <t>8.72亿</t>
  </si>
  <si>
    <t>-2.48亿</t>
  </si>
  <si>
    <t>95485亿</t>
  </si>
  <si>
    <t>-9860525亿</t>
  </si>
  <si>
    <t>509988600亿</t>
  </si>
  <si>
    <t>1981783600亿</t>
  </si>
  <si>
    <t>4551.00万</t>
  </si>
  <si>
    <t>1873.22万</t>
  </si>
  <si>
    <t>12.87亿</t>
  </si>
  <si>
    <t>45.78亿</t>
  </si>
  <si>
    <t>10.01亿</t>
  </si>
  <si>
    <t>45.53亿</t>
  </si>
  <si>
    <t>8803.34万</t>
  </si>
  <si>
    <t>43.43亿</t>
  </si>
  <si>
    <t>37.12亿</t>
  </si>
  <si>
    <t>-406841亿</t>
  </si>
  <si>
    <t>515.02万</t>
  </si>
  <si>
    <t>25513160亿</t>
  </si>
  <si>
    <t>12.47亿</t>
  </si>
  <si>
    <t>1828012200亿</t>
  </si>
  <si>
    <t>5388974400亿</t>
  </si>
  <si>
    <t>12.25亿</t>
  </si>
  <si>
    <t>35.63亿</t>
  </si>
  <si>
    <t>6388.27万</t>
  </si>
  <si>
    <t>1205.01万</t>
  </si>
  <si>
    <t>10派0.43元(含税)</t>
  </si>
  <si>
    <t>25.36亿</t>
  </si>
  <si>
    <t>36.80亿</t>
  </si>
  <si>
    <t>2.50亿</t>
  </si>
  <si>
    <t>40790237亿</t>
  </si>
  <si>
    <t>1115348810亿</t>
  </si>
  <si>
    <t>4175831400亿</t>
  </si>
  <si>
    <t>2500.00万</t>
  </si>
  <si>
    <t>4406.31万</t>
  </si>
  <si>
    <t>15.87亿</t>
  </si>
  <si>
    <t>7713.28万</t>
  </si>
  <si>
    <t>70089亿</t>
  </si>
  <si>
    <t>5708235亿</t>
  </si>
  <si>
    <t>334136110亿</t>
  </si>
  <si>
    <t>1872165900亿</t>
  </si>
  <si>
    <t>2614.20万</t>
  </si>
  <si>
    <t>423.61万</t>
  </si>
  <si>
    <t>10转4股派1.8元(含税)</t>
  </si>
  <si>
    <t>8243.24万</t>
  </si>
  <si>
    <t>3565232亿</t>
  </si>
  <si>
    <t>28303553亿</t>
  </si>
  <si>
    <t>256545530亿</t>
  </si>
  <si>
    <t>1539158200亿</t>
  </si>
  <si>
    <t>8.24亿</t>
  </si>
  <si>
    <t>793.20万</t>
  </si>
  <si>
    <t>3.86亿</t>
  </si>
  <si>
    <t>-1.01亿</t>
  </si>
  <si>
    <t>-15143亿</t>
  </si>
  <si>
    <t>-34895073亿</t>
  </si>
  <si>
    <t>474793780亿</t>
  </si>
  <si>
    <t>1221522420亿</t>
  </si>
  <si>
    <t>-6492.65万</t>
  </si>
  <si>
    <t>7848.68万</t>
  </si>
  <si>
    <t>-449.92万</t>
  </si>
  <si>
    <t>-16503940亿</t>
  </si>
  <si>
    <t>188215470亿</t>
  </si>
  <si>
    <t>832769030亿</t>
  </si>
  <si>
    <t>-5-1</t>
  </si>
  <si>
    <t>5.76亿</t>
  </si>
  <si>
    <t>28.81亿</t>
  </si>
  <si>
    <t>5.46亿</t>
  </si>
  <si>
    <t>95624471亿</t>
  </si>
  <si>
    <t>683155250亿</t>
  </si>
  <si>
    <t>2666145800亿</t>
  </si>
  <si>
    <t>7399.75万</t>
  </si>
  <si>
    <t>4.98亿</t>
  </si>
  <si>
    <t>4241.25万</t>
  </si>
  <si>
    <t>-21817亿</t>
  </si>
  <si>
    <t>-5331010亿</t>
  </si>
  <si>
    <t>64067542亿</t>
  </si>
  <si>
    <t>1279550690亿</t>
  </si>
  <si>
    <t>486.00万</t>
  </si>
  <si>
    <t>200.00万</t>
  </si>
  <si>
    <t>502.13万</t>
  </si>
  <si>
    <t>15.26亿</t>
  </si>
  <si>
    <t>9.75亿</t>
  </si>
  <si>
    <t>2826.65万</t>
  </si>
  <si>
    <t>2194394亿</t>
  </si>
  <si>
    <t>23657411亿</t>
  </si>
  <si>
    <t>479019440亿</t>
  </si>
  <si>
    <t>2849230200亿</t>
  </si>
  <si>
    <t>12.91亿</t>
  </si>
  <si>
    <t>16.34亿</t>
  </si>
  <si>
    <t>-2149919亿</t>
  </si>
  <si>
    <t>57045109亿</t>
  </si>
  <si>
    <t>1860521000亿</t>
  </si>
  <si>
    <t>5370973700亿</t>
  </si>
  <si>
    <t>5235.24万</t>
  </si>
  <si>
    <t>8075.62万</t>
  </si>
  <si>
    <t>4.27亿</t>
  </si>
  <si>
    <t>7256.67万</t>
  </si>
  <si>
    <t>149105亿</t>
  </si>
  <si>
    <t>-10884108亿</t>
  </si>
  <si>
    <t>102310583亿</t>
  </si>
  <si>
    <t>1222574720亿</t>
  </si>
  <si>
    <t>10转4股派5元(含税)</t>
  </si>
  <si>
    <t>7.16亿</t>
  </si>
  <si>
    <t>4715.38万</t>
  </si>
  <si>
    <t>1729979亿</t>
  </si>
  <si>
    <t>10639647亿</t>
  </si>
  <si>
    <t>186151320亿</t>
  </si>
  <si>
    <t>999946860亿</t>
  </si>
  <si>
    <t>6706.34万</t>
  </si>
  <si>
    <t>3080.97万</t>
  </si>
  <si>
    <t>4420.69万</t>
  </si>
  <si>
    <t>-6222402亿</t>
  </si>
  <si>
    <t>190937240亿</t>
  </si>
  <si>
    <t>1193289160亿</t>
  </si>
  <si>
    <t>9587.27万</t>
  </si>
  <si>
    <t>9120.80万</t>
  </si>
  <si>
    <t>8338.62万</t>
  </si>
  <si>
    <t>2286207亿</t>
  </si>
  <si>
    <t>15283280亿</t>
  </si>
  <si>
    <t>100807634亿</t>
  </si>
  <si>
    <t>1643694600亿</t>
  </si>
  <si>
    <t>10派2.39元(含税)</t>
  </si>
  <si>
    <t>8512.01万</t>
  </si>
  <si>
    <t>5136.47万</t>
  </si>
  <si>
    <t>-316499亿</t>
  </si>
  <si>
    <t>1271091亿</t>
  </si>
  <si>
    <t>197390400亿</t>
  </si>
  <si>
    <t>1066552080亿</t>
  </si>
  <si>
    <t>194.60万</t>
  </si>
  <si>
    <t>5333.23万</t>
  </si>
  <si>
    <t>10派0.375元(含税)</t>
  </si>
  <si>
    <t>4270.22万</t>
  </si>
  <si>
    <t>8095.65万</t>
  </si>
  <si>
    <t>-11837747亿</t>
  </si>
  <si>
    <t>193063610亿</t>
  </si>
  <si>
    <t>1092722220亿</t>
  </si>
  <si>
    <t>8903.19万</t>
  </si>
  <si>
    <t>10派7.5元(含税)</t>
  </si>
  <si>
    <t>9041.64万</t>
  </si>
  <si>
    <t>6304.60万</t>
  </si>
  <si>
    <t>9938.50万</t>
  </si>
  <si>
    <t>2232337亿</t>
  </si>
  <si>
    <t>11911390亿</t>
  </si>
  <si>
    <t>53764621亿</t>
  </si>
  <si>
    <t>1000650900亿</t>
  </si>
  <si>
    <t>3.56亿</t>
  </si>
  <si>
    <t>7773.24万</t>
  </si>
  <si>
    <t>6807.70万</t>
  </si>
  <si>
    <t>5447.06万</t>
  </si>
  <si>
    <t>10派6.8元(含税)</t>
  </si>
  <si>
    <t>19.76亿</t>
  </si>
  <si>
    <t>6.34亿</t>
  </si>
  <si>
    <t>21.37亿</t>
  </si>
  <si>
    <t>50839279亿</t>
  </si>
  <si>
    <t>442888090亿</t>
  </si>
  <si>
    <t>1704333600亿</t>
  </si>
  <si>
    <t>6396.78万</t>
  </si>
  <si>
    <t>262724亿</t>
  </si>
  <si>
    <t>14853522亿</t>
  </si>
  <si>
    <t>236038440亿</t>
  </si>
  <si>
    <t>1147526920亿</t>
  </si>
  <si>
    <t>4771.55万</t>
  </si>
  <si>
    <t>15.06亿</t>
  </si>
  <si>
    <t>6.43亿</t>
  </si>
  <si>
    <t>20.33亿</t>
  </si>
  <si>
    <t>-492124亿</t>
  </si>
  <si>
    <t>143423010亿</t>
  </si>
  <si>
    <t>807131940亿</t>
  </si>
  <si>
    <t>3405516900亿</t>
  </si>
  <si>
    <t>5772534亿</t>
  </si>
  <si>
    <t>49399700亿</t>
  </si>
  <si>
    <t>243743180亿</t>
  </si>
  <si>
    <t>1374242700亿</t>
  </si>
  <si>
    <t>10派6.0元(含税)</t>
  </si>
  <si>
    <t>6.16亿</t>
  </si>
  <si>
    <t>1807335亿</t>
  </si>
  <si>
    <t>40254439亿</t>
  </si>
  <si>
    <t>255011010亿</t>
  </si>
  <si>
    <t>2641296000亿</t>
  </si>
  <si>
    <t>619.11万</t>
  </si>
  <si>
    <t>10派1.4元(含税)</t>
  </si>
  <si>
    <t>23.79亿</t>
  </si>
  <si>
    <t>44.46亿</t>
  </si>
  <si>
    <t>-411547亿</t>
  </si>
  <si>
    <t>89181307亿</t>
  </si>
  <si>
    <t>732410760亿</t>
  </si>
  <si>
    <t>3098671400亿</t>
  </si>
  <si>
    <t>7.15亿</t>
  </si>
  <si>
    <t>7.43亿</t>
  </si>
  <si>
    <t>10179362亿</t>
  </si>
  <si>
    <t>37434666亿</t>
  </si>
  <si>
    <t>174810790亿</t>
  </si>
  <si>
    <t>2236428600亿</t>
  </si>
  <si>
    <t>10派2.2元(含税)</t>
  </si>
  <si>
    <t>7.09亿</t>
  </si>
  <si>
    <t>30.34亿</t>
  </si>
  <si>
    <t>4266339亿</t>
  </si>
  <si>
    <t>49171848亿</t>
  </si>
  <si>
    <t>408927530亿</t>
  </si>
  <si>
    <t>3947058500亿</t>
  </si>
  <si>
    <t>10派1.7元(含税)</t>
  </si>
  <si>
    <t>14.70亿</t>
  </si>
  <si>
    <t>4030.71万</t>
  </si>
  <si>
    <t>7.48亿</t>
  </si>
  <si>
    <t>-1005.64万</t>
  </si>
  <si>
    <t>-5291152亿</t>
  </si>
  <si>
    <t>-38785856亿</t>
  </si>
  <si>
    <t>5.85亿</t>
  </si>
  <si>
    <t>744783550亿</t>
  </si>
  <si>
    <t>2151312800亿</t>
  </si>
  <si>
    <t>-9797.19万</t>
  </si>
  <si>
    <t>9736.25万</t>
  </si>
  <si>
    <t>6.88亿</t>
  </si>
  <si>
    <t>9246.80万</t>
  </si>
  <si>
    <t>8179亿</t>
  </si>
  <si>
    <t>10997011亿</t>
  </si>
  <si>
    <t>141269330亿</t>
  </si>
  <si>
    <t>792315190亿</t>
  </si>
  <si>
    <t>10派1.06元(含税)</t>
  </si>
  <si>
    <t>7.94亿</t>
  </si>
  <si>
    <t>3563.31万</t>
  </si>
  <si>
    <t>6000.00万</t>
  </si>
  <si>
    <t>-3068294亿</t>
  </si>
  <si>
    <t>4768546亿</t>
  </si>
  <si>
    <t>372893080亿</t>
  </si>
  <si>
    <t>747895830亿</t>
  </si>
  <si>
    <t>-1.03亿</t>
  </si>
  <si>
    <t>12.34亿</t>
  </si>
  <si>
    <t>570190亿</t>
  </si>
  <si>
    <t>18926784亿</t>
  </si>
  <si>
    <t>9.22亿</t>
  </si>
  <si>
    <t>185317650亿</t>
  </si>
  <si>
    <t>1671263600亿</t>
  </si>
  <si>
    <t>4861.44万</t>
  </si>
  <si>
    <t>10派4.6元(含税)</t>
  </si>
  <si>
    <t>13.08亿</t>
  </si>
  <si>
    <t>-3074161亿</t>
  </si>
  <si>
    <t>-35237303亿</t>
  </si>
  <si>
    <t>450774480亿</t>
  </si>
  <si>
    <t>2123829900亿</t>
  </si>
  <si>
    <t>2.32亿</t>
  </si>
  <si>
    <t>10派6元(含税)</t>
  </si>
  <si>
    <t>8192.71万</t>
  </si>
  <si>
    <t>8415.53万</t>
  </si>
  <si>
    <t>4833136亿</t>
  </si>
  <si>
    <t>16241643亿</t>
  </si>
  <si>
    <t>109241895亿</t>
  </si>
  <si>
    <t>1737897400亿</t>
  </si>
  <si>
    <t>19.58亿</t>
  </si>
  <si>
    <t>12.26亿</t>
  </si>
  <si>
    <t>5782743亿</t>
  </si>
  <si>
    <t>24891263亿</t>
  </si>
  <si>
    <t>356351540亿</t>
  </si>
  <si>
    <t>1709169600亿</t>
  </si>
  <si>
    <t>7679.41万</t>
  </si>
  <si>
    <t>2.97亿</t>
  </si>
  <si>
    <t>10派3.5元(含税)</t>
  </si>
  <si>
    <t>7.63亿</t>
  </si>
  <si>
    <t>4923.86万</t>
  </si>
  <si>
    <t>-578407亿</t>
  </si>
  <si>
    <t>-1158977亿</t>
  </si>
  <si>
    <t>214121780亿</t>
  </si>
  <si>
    <t>1148945600亿</t>
  </si>
  <si>
    <t>2400.00万</t>
  </si>
  <si>
    <t>10转4股派2.20元(含税)</t>
  </si>
  <si>
    <t>36.37亿</t>
  </si>
  <si>
    <t>48.40亿</t>
  </si>
  <si>
    <t>-2808615亿</t>
  </si>
  <si>
    <t>-47150338亿</t>
  </si>
  <si>
    <t>2459123100亿</t>
  </si>
  <si>
    <t>6793811700亿</t>
  </si>
  <si>
    <t>-2.03亿</t>
  </si>
  <si>
    <t>4.72亿</t>
  </si>
  <si>
    <t>2916.70万</t>
  </si>
  <si>
    <t>1829563亿</t>
  </si>
  <si>
    <t>2186595亿</t>
  </si>
  <si>
    <t>215051040亿</t>
  </si>
  <si>
    <t>1964996300亿</t>
  </si>
  <si>
    <t>6068.34万</t>
  </si>
  <si>
    <t>1202962亿</t>
  </si>
  <si>
    <t>9159016亿</t>
  </si>
  <si>
    <t>89285871亿</t>
  </si>
  <si>
    <t>755245500亿</t>
  </si>
  <si>
    <t>15.35亿</t>
  </si>
  <si>
    <t>18.86亿</t>
  </si>
  <si>
    <t>-4744.80万</t>
  </si>
  <si>
    <t>19.79亿</t>
  </si>
  <si>
    <t>97190亿</t>
  </si>
  <si>
    <t>-36572800亿</t>
  </si>
  <si>
    <t>653199070亿</t>
  </si>
  <si>
    <t>2284063100亿</t>
  </si>
  <si>
    <t>9054.61万</t>
  </si>
  <si>
    <t>-113621亿</t>
  </si>
  <si>
    <t>-18899030亿</t>
  </si>
  <si>
    <t>180539200亿</t>
  </si>
  <si>
    <t>1798662000亿</t>
  </si>
  <si>
    <t>10派3.1元(含税)</t>
  </si>
  <si>
    <t>3905.11万</t>
  </si>
  <si>
    <t>3.11亿</t>
  </si>
  <si>
    <t>-31134亿</t>
  </si>
  <si>
    <t>-9658049亿</t>
  </si>
  <si>
    <t>193642230亿</t>
  </si>
  <si>
    <t>1410858600亿</t>
  </si>
  <si>
    <t>14.07亿</t>
  </si>
  <si>
    <t>7.29亿</t>
  </si>
  <si>
    <t>6.97亿</t>
  </si>
  <si>
    <t>5376811亿</t>
  </si>
  <si>
    <t>183225700亿</t>
  </si>
  <si>
    <t>26.41亿</t>
  </si>
  <si>
    <t>85735081亿</t>
  </si>
  <si>
    <t>4833029500亿</t>
  </si>
  <si>
    <t>10转4股派25.1元(含税)</t>
  </si>
  <si>
    <t>8082.67万</t>
  </si>
  <si>
    <t>1128.00万</t>
  </si>
  <si>
    <t>498637亿</t>
  </si>
  <si>
    <t>208136960亿</t>
  </si>
  <si>
    <t>483623710亿</t>
  </si>
  <si>
    <t>10转3股派1元(含税)</t>
  </si>
  <si>
    <t>8180.59万</t>
  </si>
  <si>
    <t>1826347亿</t>
  </si>
  <si>
    <t>2387853亿</t>
  </si>
  <si>
    <t>220139910亿</t>
  </si>
  <si>
    <t>1410274500亿</t>
  </si>
  <si>
    <t>4-0</t>
  </si>
  <si>
    <t>2487.05万</t>
  </si>
  <si>
    <t>2432628亿</t>
  </si>
  <si>
    <t>10140634亿</t>
  </si>
  <si>
    <t>128609602亿</t>
  </si>
  <si>
    <t>1021928760亿</t>
  </si>
  <si>
    <t>-4-0</t>
  </si>
  <si>
    <t>3.09亿</t>
  </si>
  <si>
    <t>12.62亿</t>
  </si>
  <si>
    <t>2325.97万</t>
  </si>
  <si>
    <t>3468.68万</t>
  </si>
  <si>
    <t>1180411亿</t>
  </si>
  <si>
    <t>-14253856亿</t>
  </si>
  <si>
    <t>188719870亿</t>
  </si>
  <si>
    <t>1017112350亿</t>
  </si>
  <si>
    <t>33.31亿</t>
  </si>
  <si>
    <t>522271亿</t>
  </si>
  <si>
    <t>-39579422亿</t>
  </si>
  <si>
    <t>321887910亿</t>
  </si>
  <si>
    <t>3241631300亿</t>
  </si>
  <si>
    <t>7422.09万</t>
  </si>
  <si>
    <t>9982.82万</t>
  </si>
  <si>
    <t>8557亿</t>
  </si>
  <si>
    <t>8524099亿</t>
  </si>
  <si>
    <t>134524920亿</t>
  </si>
  <si>
    <t>681773050亿</t>
  </si>
  <si>
    <t>13.46万</t>
  </si>
  <si>
    <t>6702.46万</t>
  </si>
  <si>
    <t>7150.39万</t>
  </si>
  <si>
    <t>6856.26万</t>
  </si>
  <si>
    <t>2512800亿</t>
  </si>
  <si>
    <t>5444054亿</t>
  </si>
  <si>
    <t>128636016亿</t>
  </si>
  <si>
    <t>1227702000亿</t>
  </si>
  <si>
    <t>8162.07万</t>
  </si>
  <si>
    <t>5.92亿</t>
  </si>
  <si>
    <t>5355.53万</t>
  </si>
  <si>
    <t>-263519亿</t>
  </si>
  <si>
    <t>-14893400亿</t>
  </si>
  <si>
    <t>525047250亿</t>
  </si>
  <si>
    <t>1326846130亿</t>
  </si>
  <si>
    <t>6.40亿</t>
  </si>
  <si>
    <t>5582.06万</t>
  </si>
  <si>
    <t>2952.20万</t>
  </si>
  <si>
    <t>294874亿</t>
  </si>
  <si>
    <t>-13996127亿</t>
  </si>
  <si>
    <t>218515160亿</t>
  </si>
  <si>
    <t>723581770亿</t>
  </si>
  <si>
    <t>3500.00万</t>
  </si>
  <si>
    <t>8253.02万</t>
  </si>
  <si>
    <t>5112.40万</t>
  </si>
  <si>
    <t>1000969亿</t>
  </si>
  <si>
    <t>5603227亿</t>
  </si>
  <si>
    <t>100281150亿</t>
  </si>
  <si>
    <t>570790360亿</t>
  </si>
  <si>
    <t>4584.66万</t>
  </si>
  <si>
    <t>11.18亿</t>
  </si>
  <si>
    <t>-1117444亿</t>
  </si>
  <si>
    <t>-11873857亿</t>
  </si>
  <si>
    <t>967637430亿</t>
  </si>
  <si>
    <t>3800281300亿</t>
  </si>
  <si>
    <t>-1.24亿</t>
  </si>
  <si>
    <t>5.51亿</t>
  </si>
  <si>
    <t>39.61亿</t>
  </si>
  <si>
    <t>35.12亿</t>
  </si>
  <si>
    <t>629117亿</t>
  </si>
  <si>
    <t>23725616亿</t>
  </si>
  <si>
    <t>1623864500亿</t>
  </si>
  <si>
    <t>5901844800亿</t>
  </si>
  <si>
    <t>85.42亿</t>
  </si>
  <si>
    <t>10.48亿</t>
  </si>
  <si>
    <t>48.05亿</t>
  </si>
  <si>
    <t>1367886亿</t>
  </si>
  <si>
    <t>25515119亿</t>
  </si>
  <si>
    <t>1667571900亿</t>
  </si>
  <si>
    <t>8397358900亿</t>
  </si>
  <si>
    <t>12.93亿</t>
  </si>
  <si>
    <t>22.06亿</t>
  </si>
  <si>
    <t>5843亿</t>
  </si>
  <si>
    <t>93785912亿</t>
  </si>
  <si>
    <t>1330538780亿</t>
  </si>
  <si>
    <t>5137203500亿</t>
  </si>
  <si>
    <t>8551.87万</t>
  </si>
  <si>
    <t>1441660亿</t>
  </si>
  <si>
    <t>22195854亿</t>
  </si>
  <si>
    <t>145419840亿</t>
  </si>
  <si>
    <t>2648163700亿</t>
  </si>
  <si>
    <t>8.10亿</t>
  </si>
  <si>
    <t>2292630亿</t>
  </si>
  <si>
    <t>8741446亿</t>
  </si>
  <si>
    <t>288655150亿</t>
  </si>
  <si>
    <t>1938783800亿</t>
  </si>
  <si>
    <t>10派3.3元(含税)</t>
  </si>
  <si>
    <t>4973428亿</t>
  </si>
  <si>
    <t>48913509亿</t>
  </si>
  <si>
    <t>699457640亿</t>
  </si>
  <si>
    <t>2613228200亿</t>
  </si>
  <si>
    <t>13.05亿</t>
  </si>
  <si>
    <t>11.15亿</t>
  </si>
  <si>
    <t>52768000亿</t>
  </si>
  <si>
    <t>555493790亿</t>
  </si>
  <si>
    <t>1527689400亿</t>
  </si>
  <si>
    <t>10派2.8元(含税)</t>
  </si>
  <si>
    <t>79.41亿</t>
  </si>
  <si>
    <t>17.38亿</t>
  </si>
  <si>
    <t>86.20亿</t>
  </si>
  <si>
    <t>11.02亿</t>
  </si>
  <si>
    <t>38953246亿</t>
  </si>
  <si>
    <t>118565671亿</t>
  </si>
  <si>
    <t>2577418900亿</t>
  </si>
  <si>
    <t>15020014000亿</t>
  </si>
  <si>
    <t>10派7元(含税)</t>
  </si>
  <si>
    <r>
      <t>0.总零部件成本中，价值</t>
    </r>
    <r>
      <rPr>
        <sz val="9"/>
        <color rgb="FFFF0000"/>
        <rFont val="宋体"/>
        <family val="3"/>
        <charset val="134"/>
        <scheme val="minor"/>
      </rPr>
      <t>10-12%</t>
    </r>
    <r>
      <rPr>
        <sz val="9"/>
        <color theme="1"/>
        <rFont val="宋体"/>
        <family val="3"/>
        <charset val="134"/>
        <scheme val="minor"/>
      </rPr>
      <t>的非核心零部件可以被标准化，即FA业务；价值</t>
    </r>
    <r>
      <rPr>
        <sz val="9"/>
        <color rgb="FFFF0000"/>
        <rFont val="宋体"/>
        <family val="3"/>
        <charset val="134"/>
        <scheme val="minor"/>
      </rPr>
      <t>28-30%</t>
    </r>
    <r>
      <rPr>
        <sz val="9"/>
        <color theme="1"/>
        <rFont val="宋体"/>
        <family val="3"/>
        <charset val="134"/>
        <scheme val="minor"/>
      </rPr>
      <t>为无法标准化的非核心零部件，即FB业务。1.国内 FA 工厂自动化零部件行业进入门槛较低，</t>
    </r>
    <r>
      <rPr>
        <sz val="9"/>
        <color rgb="FFFF0000"/>
        <rFont val="宋体"/>
        <family val="3"/>
        <charset val="134"/>
        <scheme val="minor"/>
      </rPr>
      <t>竞争壁垒不高，规模较小的中小型厂商数量众多，潜在竞争者较多</t>
    </r>
    <r>
      <rPr>
        <sz val="9"/>
        <color theme="1"/>
        <rFont val="宋体"/>
        <family val="3"/>
        <charset val="134"/>
        <scheme val="minor"/>
      </rPr>
      <t>. 目前公司显现竞争者数 量较多，国内有</t>
    </r>
    <r>
      <rPr>
        <b/>
        <sz val="9"/>
        <color rgb="FFFF0000"/>
        <rFont val="宋体"/>
        <family val="3"/>
        <charset val="134"/>
        <scheme val="minor"/>
      </rPr>
      <t>京东工业</t>
    </r>
    <r>
      <rPr>
        <sz val="9"/>
        <color theme="1"/>
        <rFont val="宋体"/>
        <family val="3"/>
        <charset val="134"/>
        <scheme val="minor"/>
      </rPr>
      <t>，国外企业有</t>
    </r>
    <r>
      <rPr>
        <b/>
        <sz val="9"/>
        <color rgb="FFFF0000"/>
        <rFont val="宋体"/>
        <family val="3"/>
        <charset val="134"/>
        <scheme val="minor"/>
      </rPr>
      <t>米思米、固安捷</t>
    </r>
    <r>
      <rPr>
        <sz val="9"/>
        <color theme="1"/>
        <rFont val="宋体"/>
        <family val="3"/>
        <charset val="134"/>
        <scheme val="minor"/>
      </rPr>
      <t>等。2.在半导体行业，公司产品主要应用在</t>
    </r>
    <r>
      <rPr>
        <sz val="9"/>
        <color rgb="FFFF0000"/>
        <rFont val="宋体"/>
        <family val="3"/>
        <charset val="134"/>
        <scheme val="minor"/>
      </rPr>
      <t>后段封测设备上</t>
    </r>
    <r>
      <rPr>
        <sz val="9"/>
        <color theme="1"/>
        <rFont val="宋体"/>
        <family val="3"/>
        <charset val="134"/>
        <scheme val="minor"/>
      </rPr>
      <t>，具体包括框架、拉手、脚杯等外观件，</t>
    </r>
    <r>
      <rPr>
        <b/>
        <sz val="9"/>
        <color rgb="FFFF0000"/>
        <rFont val="宋体"/>
        <family val="3"/>
        <charset val="134"/>
        <scheme val="minor"/>
      </rPr>
      <t>设备内部的零部件不多</t>
    </r>
    <r>
      <rPr>
        <sz val="9"/>
        <color theme="1"/>
        <rFont val="宋体"/>
        <family val="3"/>
        <charset val="134"/>
        <scheme val="minor"/>
      </rPr>
      <t>。同时晶炉等前段的辅助设备也有覆盖，中段设备商在逐步切入。在光伏行业，公司与前、中、后段设备头部企业都有合作;3.2024Q1各细分行业比例和增速：</t>
    </r>
    <r>
      <rPr>
        <b/>
        <sz val="9"/>
        <color rgb="FFFF0000"/>
        <rFont val="宋体"/>
        <family val="3"/>
        <charset val="134"/>
        <scheme val="minor"/>
      </rPr>
      <t>新能源锂电行业 19.00% -68.85%</t>
    </r>
    <r>
      <rPr>
        <sz val="9"/>
        <color theme="1"/>
        <rFont val="宋体"/>
        <family val="3"/>
        <charset val="134"/>
        <scheme val="minor"/>
      </rPr>
      <t>，3C 行业 27.92% 22.35%，汽车行业 8.80% 9.10%，光伏行业 13.10% 105.03%，工业机器人行业 3.68% 23.31%，</t>
    </r>
    <r>
      <rPr>
        <b/>
        <sz val="9"/>
        <color rgb="FFFF0000"/>
        <rFont val="宋体"/>
        <family val="3"/>
        <charset val="134"/>
        <scheme val="minor"/>
      </rPr>
      <t>半导体行业 5.35% -34.84%</t>
    </r>
    <r>
      <rPr>
        <sz val="9"/>
        <color theme="1"/>
        <rFont val="宋体"/>
        <family val="3"/>
        <charset val="134"/>
        <scheme val="minor"/>
      </rPr>
      <t>；4.</t>
    </r>
    <r>
      <rPr>
        <b/>
        <sz val="9"/>
        <color rgb="FFFF0000"/>
        <rFont val="宋体"/>
        <family val="3"/>
        <charset val="134"/>
        <scheme val="minor"/>
      </rPr>
      <t>2024.7.23原始股东解禁48.3%</t>
    </r>
    <r>
      <rPr>
        <sz val="9"/>
        <color theme="1"/>
        <rFont val="宋体"/>
        <family val="3"/>
        <charset val="134"/>
        <scheme val="minor"/>
      </rPr>
      <t>；5.在半导体行业，公司产品主要应用在后段封测设备上，具体包括框架、拉手、脚杯等外观件，</t>
    </r>
    <r>
      <rPr>
        <b/>
        <sz val="9"/>
        <color rgb="FFFF0000"/>
        <rFont val="宋体"/>
        <family val="3"/>
        <charset val="134"/>
        <scheme val="minor"/>
      </rPr>
      <t>设备内部的零部件不多</t>
    </r>
    <r>
      <rPr>
        <sz val="9"/>
        <color theme="1"/>
        <rFont val="宋体"/>
        <family val="3"/>
        <charset val="134"/>
        <scheme val="minor"/>
      </rPr>
      <t>。同时晶炉等前段的辅助设备也有覆盖，中段设备商在逐步切入。在光伏行业，公司与前、中、后段设备头部企业都有合作，从晶炉开始，到电池片、硅片，再到后段，主要应用在辅助设备上，包括传动、上料等工序，同时也有大量定制化的非标零件;</t>
    </r>
    <phoneticPr fontId="1" type="noConversion"/>
  </si>
  <si>
    <r>
      <t>0.21年中国FA&amp;FB市场空间达643亿，其中怡合达</t>
    </r>
    <r>
      <rPr>
        <b/>
        <sz val="9"/>
        <color rgb="FFFF0000"/>
        <rFont val="宋体"/>
        <family val="3"/>
        <charset val="134"/>
        <scheme val="minor"/>
      </rPr>
      <t>市占率仅2.8%</t>
    </r>
    <r>
      <rPr>
        <sz val="9"/>
        <color theme="1"/>
        <rFont val="宋体"/>
        <family val="3"/>
        <charset val="134"/>
        <scheme val="minor"/>
      </rPr>
      <t>。1.怡合达抓住了我国在全球具有相对优势的新能源产业与米思米错位竞争， 在</t>
    </r>
    <r>
      <rPr>
        <sz val="9"/>
        <color rgb="FFFF0000"/>
        <rFont val="宋体"/>
        <family val="3"/>
        <charset val="134"/>
        <scheme val="minor"/>
      </rPr>
      <t>3C和新能源领域</t>
    </r>
    <r>
      <rPr>
        <sz val="9"/>
        <color theme="1"/>
        <rFont val="宋体"/>
        <family val="3"/>
        <charset val="134"/>
        <scheme val="minor"/>
      </rPr>
      <t>建立了良好口碑。公司正积极拓展</t>
    </r>
    <r>
      <rPr>
        <b/>
        <sz val="9"/>
        <color rgb="FFFF0000"/>
        <rFont val="宋体"/>
        <family val="3"/>
        <charset val="134"/>
        <scheme val="minor"/>
      </rPr>
      <t>医疗与半导体</t>
    </r>
    <r>
      <rPr>
        <sz val="9"/>
        <color theme="1"/>
        <rFont val="宋体"/>
        <family val="3"/>
        <charset val="134"/>
        <scheme val="minor"/>
      </rPr>
      <t>等高端领域.2.米思米与怡合达的目标市场不同。米思米当下 的重点是高端市场，而在</t>
    </r>
    <r>
      <rPr>
        <sz val="9"/>
        <color rgb="FFFF0000"/>
        <rFont val="宋体"/>
        <family val="3"/>
        <charset val="134"/>
        <scheme val="minor"/>
      </rPr>
      <t>中低端领域，怡合达</t>
    </r>
    <r>
      <rPr>
        <sz val="9"/>
        <color theme="1"/>
        <rFont val="宋体"/>
        <family val="3"/>
        <charset val="134"/>
        <scheme val="minor"/>
      </rPr>
      <t>有更大的机会.3.2023年1-9月有两次以上销售记录的客户占比约为73%，销售贡献超过99%；其中，下单超过10次的客户占比约26%，该部分客户贡献约96%的销售额。从客户复购率来看，</t>
    </r>
    <r>
      <rPr>
        <sz val="9"/>
        <color rgb="FFFF0000"/>
        <rFont val="宋体"/>
        <family val="3"/>
        <charset val="134"/>
        <scheme val="minor"/>
      </rPr>
      <t>客户的复购较好，公司与客户的粘性较强</t>
    </r>
    <r>
      <rPr>
        <sz val="9"/>
        <color theme="1"/>
        <rFont val="宋体"/>
        <family val="3"/>
        <charset val="134"/>
        <scheme val="minor"/>
      </rPr>
      <t>。3.自动化设备中</t>
    </r>
    <r>
      <rPr>
        <b/>
        <sz val="9"/>
        <color rgb="FFFF0000"/>
        <rFont val="宋体"/>
        <family val="3"/>
        <charset val="134"/>
        <scheme val="minor"/>
      </rPr>
      <t>自制部分占比大概在48%，OEM35%</t>
    </r>
    <r>
      <rPr>
        <sz val="9"/>
        <color theme="1"/>
        <rFont val="宋体"/>
        <family val="3"/>
        <charset val="134"/>
        <scheme val="minor"/>
      </rPr>
      <t>，集约化采购（纯贸易）16%；所以这也是毛利能相对比较高的原因。4.因此其他友商用公司的选型手册去模仿制造，</t>
    </r>
    <r>
      <rPr>
        <sz val="9"/>
        <color rgb="FFFF0000"/>
        <rFont val="宋体"/>
        <family val="3"/>
        <charset val="134"/>
        <scheme val="minor"/>
      </rPr>
      <t>对公司的影响较小</t>
    </r>
    <r>
      <rPr>
        <sz val="9"/>
        <color theme="1"/>
        <rFont val="宋体"/>
        <family val="3"/>
        <charset val="134"/>
        <scheme val="minor"/>
      </rPr>
      <t>。5.募投2.6亿，目的募投项目分别建设FB云制造车间，能够增加非标零部件制造产能，进一步满足客户个性化需求；</t>
    </r>
    <phoneticPr fontId="1" type="noConversion"/>
  </si>
  <si>
    <t>3.75亿</t>
  </si>
  <si>
    <t>2.65亿</t>
  </si>
  <si>
    <t>1.51亿</t>
  </si>
  <si>
    <t>813.27万</t>
  </si>
  <si>
    <t>3558.80万</t>
  </si>
  <si>
    <t>346.93万</t>
  </si>
  <si>
    <t>2.52亿</t>
  </si>
  <si>
    <r>
      <t>0.</t>
    </r>
    <r>
      <rPr>
        <b/>
        <sz val="9"/>
        <color rgb="FFFF0000"/>
        <rFont val="宋体"/>
        <family val="3"/>
        <charset val="134"/>
        <scheme val="minor"/>
      </rPr>
      <t>激光器</t>
    </r>
    <r>
      <rPr>
        <sz val="9"/>
        <color theme="1"/>
        <rFont val="宋体"/>
        <family val="3"/>
        <charset val="134"/>
        <scheme val="minor"/>
      </rPr>
      <t>厂家。0-1.实际控制人为</t>
    </r>
    <r>
      <rPr>
        <sz val="9"/>
        <color rgb="FFFF0000"/>
        <rFont val="宋体"/>
        <family val="3"/>
        <charset val="134"/>
        <scheme val="minor"/>
      </rPr>
      <t>航天科工集团</t>
    </r>
    <r>
      <rPr>
        <sz val="9"/>
        <color theme="1"/>
        <rFont val="宋体"/>
        <family val="3"/>
        <charset val="134"/>
        <scheme val="minor"/>
      </rPr>
      <t>；0-2.高毅邓晓峰两个基金进入十大股东；1.2024Q1营业总收入8.01亿元 同比增长1.94%，净利润0.64亿元 同比增长44.3%</t>
    </r>
    <r>
      <rPr>
        <sz val="9"/>
        <rFont val="宋体"/>
        <family val="3"/>
        <charset val="134"/>
        <scheme val="minor"/>
      </rPr>
      <t>；</t>
    </r>
    <phoneticPr fontId="1" type="noConversion"/>
  </si>
  <si>
    <t>3506.78万</t>
  </si>
  <si>
    <t>4.36亿</t>
  </si>
  <si>
    <t>3.77亿</t>
  </si>
  <si>
    <t>468.45万</t>
  </si>
  <si>
    <t>2465.04万</t>
  </si>
  <si>
    <t>7.18万</t>
  </si>
  <si>
    <t>5642.14万</t>
  </si>
  <si>
    <t>3794.40万</t>
  </si>
  <si>
    <t>8372.86万</t>
  </si>
  <si>
    <t>29.23亿</t>
  </si>
  <si>
    <t>-4120.83万</t>
  </si>
  <si>
    <t>691.92万</t>
  </si>
  <si>
    <t>-5983.23万</t>
  </si>
  <si>
    <t>-5.89亿</t>
  </si>
  <si>
    <t>432.32万</t>
  </si>
  <si>
    <t>3954.35万</t>
  </si>
  <si>
    <t>8.37亿</t>
  </si>
  <si>
    <t>-6-0</t>
  </si>
  <si>
    <t>2005.18万</t>
  </si>
  <si>
    <t>94.72亿</t>
  </si>
  <si>
    <t>19.54亿</t>
  </si>
  <si>
    <t>16.31亿</t>
  </si>
  <si>
    <t>7692.02万</t>
  </si>
  <si>
    <t>392.84万</t>
  </si>
  <si>
    <t>42.00亿</t>
  </si>
  <si>
    <t>7765.44万</t>
  </si>
  <si>
    <t>3886.88万</t>
  </si>
  <si>
    <t>16.09亿</t>
  </si>
  <si>
    <t>25.11亿</t>
  </si>
  <si>
    <t>51.14亿</t>
  </si>
  <si>
    <t>-1.10亿</t>
  </si>
  <si>
    <t>-1.95亿</t>
  </si>
  <si>
    <t>9545.20万</t>
  </si>
  <si>
    <t>44.88万</t>
  </si>
  <si>
    <t>19.18亿</t>
  </si>
  <si>
    <t>8002.96万</t>
  </si>
  <si>
    <t>468.73万</t>
  </si>
  <si>
    <t>1199.24万</t>
  </si>
  <si>
    <t>7.55亿</t>
  </si>
  <si>
    <t>7232.15万</t>
  </si>
  <si>
    <t>6275.71万</t>
  </si>
  <si>
    <t>-5935.14万</t>
  </si>
  <si>
    <t>219.72万</t>
  </si>
  <si>
    <t>1427.72万</t>
  </si>
  <si>
    <t>548.76万</t>
  </si>
  <si>
    <t>9.94亿</t>
  </si>
  <si>
    <t>9659.06万</t>
  </si>
  <si>
    <t>6033.02万</t>
  </si>
  <si>
    <t>745.85万</t>
  </si>
  <si>
    <t>1125.73万</t>
  </si>
  <si>
    <t>6.53亿</t>
  </si>
  <si>
    <t>973.82万</t>
  </si>
  <si>
    <t>9529.09万</t>
  </si>
  <si>
    <t>942.80万</t>
  </si>
  <si>
    <t>10000.00万</t>
  </si>
  <si>
    <t>-7490.83万</t>
  </si>
  <si>
    <t>-7279.13万</t>
  </si>
  <si>
    <t>3468.87万</t>
  </si>
  <si>
    <t>1846.19万</t>
  </si>
  <si>
    <t>171.93亿</t>
  </si>
  <si>
    <t>27.08亿</t>
  </si>
  <si>
    <t>17.71亿</t>
  </si>
  <si>
    <t>452.28万</t>
  </si>
  <si>
    <t>89.74亿</t>
  </si>
  <si>
    <t>11.09亿</t>
  </si>
  <si>
    <t>21.03亿</t>
  </si>
  <si>
    <t>18.78亿</t>
  </si>
  <si>
    <t>50.88亿</t>
  </si>
  <si>
    <t>444.20万</t>
  </si>
  <si>
    <t>126.99亿</t>
  </si>
  <si>
    <t>22.47亿</t>
  </si>
  <si>
    <t>-3.10亿</t>
  </si>
  <si>
    <t>-18.56亿</t>
  </si>
  <si>
    <t>8307.68万</t>
  </si>
  <si>
    <t>4.66亿</t>
  </si>
  <si>
    <t>184.58万</t>
  </si>
  <si>
    <t>17.68亿</t>
  </si>
  <si>
    <t>3950.07万</t>
  </si>
  <si>
    <t>3593.74万</t>
  </si>
  <si>
    <t>99.86万</t>
  </si>
  <si>
    <t>7.17亿</t>
  </si>
  <si>
    <t>1948.28万</t>
  </si>
  <si>
    <t>764.72万</t>
  </si>
  <si>
    <t>130.60万</t>
  </si>
  <si>
    <t>8823.78万</t>
  </si>
  <si>
    <t>1367.11万</t>
  </si>
  <si>
    <t>522.39万</t>
  </si>
  <si>
    <t>27.75亿</t>
  </si>
  <si>
    <t>6.45亿</t>
  </si>
  <si>
    <t>4697.81万</t>
  </si>
  <si>
    <t>33.96万</t>
  </si>
  <si>
    <t>2572.28万</t>
  </si>
  <si>
    <t>6.44亿</t>
  </si>
  <si>
    <t>17.39亿</t>
  </si>
  <si>
    <t>-6702.03万</t>
  </si>
  <si>
    <t>-3128.38万</t>
  </si>
  <si>
    <t>3217.93万</t>
  </si>
  <si>
    <t>6657.18万</t>
  </si>
  <si>
    <t>15.08亿</t>
  </si>
  <si>
    <t>5.54亿</t>
  </si>
  <si>
    <t>5212.77万</t>
  </si>
  <si>
    <t>4827.43万</t>
  </si>
  <si>
    <t>5.47万</t>
  </si>
  <si>
    <t>4.56亿</t>
  </si>
  <si>
    <t>6438.56万</t>
  </si>
  <si>
    <t>159.82万</t>
  </si>
  <si>
    <t>7158.54万</t>
  </si>
  <si>
    <t>5.30亿</t>
  </si>
  <si>
    <t>18.94亿</t>
  </si>
  <si>
    <t>-1.02亿</t>
  </si>
  <si>
    <t>3.62亿</t>
  </si>
  <si>
    <t>628.99万</t>
  </si>
  <si>
    <t>37.44亿</t>
  </si>
  <si>
    <t>5.38亿</t>
  </si>
  <si>
    <t>3436.28万</t>
  </si>
  <si>
    <t>2401.02万</t>
  </si>
  <si>
    <t>9576.09万</t>
  </si>
  <si>
    <t>3408.63万</t>
  </si>
  <si>
    <t>38.70万</t>
  </si>
  <si>
    <t>22.77亿</t>
  </si>
  <si>
    <t>-4981.33万</t>
  </si>
  <si>
    <t>-8252.58万</t>
  </si>
  <si>
    <t>3198.25万</t>
  </si>
  <si>
    <t>1166.26万</t>
  </si>
  <si>
    <t>28.16亿</t>
  </si>
  <si>
    <t>10.18亿</t>
  </si>
  <si>
    <t>6.76亿</t>
  </si>
  <si>
    <t>9689.94万</t>
  </si>
  <si>
    <t>1723.51万</t>
  </si>
  <si>
    <t>9546.27万</t>
  </si>
  <si>
    <t>14.59亿</t>
  </si>
  <si>
    <t>11.29亿</t>
  </si>
  <si>
    <t>48.44亿</t>
  </si>
  <si>
    <t>16.15亿</t>
  </si>
  <si>
    <t>-3.67亿</t>
  </si>
  <si>
    <t>22.02万</t>
  </si>
  <si>
    <t>8635.28万</t>
  </si>
  <si>
    <t>5218.02万</t>
  </si>
  <si>
    <t>354.57万</t>
  </si>
  <si>
    <t>31.98亿</t>
  </si>
  <si>
    <t>4.94亿</t>
  </si>
  <si>
    <t>3982.77万</t>
  </si>
  <si>
    <t>3549.04万</t>
  </si>
  <si>
    <t>1.10万</t>
  </si>
  <si>
    <t>2675.14万</t>
  </si>
  <si>
    <t>1605.98万</t>
  </si>
  <si>
    <t>7.80亿</t>
  </si>
  <si>
    <t>25.54亿</t>
  </si>
  <si>
    <t>5058.30万</t>
  </si>
  <si>
    <t>5252.54万</t>
  </si>
  <si>
    <t>-2.95亿</t>
  </si>
  <si>
    <t>-4744.19万</t>
  </si>
  <si>
    <t>1846.04万</t>
  </si>
  <si>
    <t>102.93万</t>
  </si>
  <si>
    <t>17.14亿</t>
  </si>
  <si>
    <t>2790.06万</t>
  </si>
  <si>
    <t>4175.15万</t>
  </si>
  <si>
    <t>705.63万</t>
  </si>
  <si>
    <t>2462.81万</t>
  </si>
  <si>
    <t>6.00亿</t>
  </si>
  <si>
    <t>548.40万</t>
  </si>
  <si>
    <t>5361.59万</t>
  </si>
  <si>
    <t>2996.35万</t>
  </si>
  <si>
    <t>13.91亿</t>
  </si>
  <si>
    <t>2713.18万</t>
  </si>
  <si>
    <t>1820.87万</t>
  </si>
  <si>
    <t>23.67万</t>
  </si>
  <si>
    <t>7056.32万</t>
  </si>
  <si>
    <t>30.66万</t>
  </si>
  <si>
    <t>8050.69万</t>
  </si>
  <si>
    <t>-2825.25万</t>
  </si>
  <si>
    <t>-281.67万</t>
  </si>
  <si>
    <t>7972.82万</t>
  </si>
  <si>
    <t>6289.41万</t>
  </si>
  <si>
    <t>1515.75万</t>
  </si>
  <si>
    <t>44.18亿</t>
  </si>
  <si>
    <t>8.02亿</t>
  </si>
  <si>
    <t>6.35亿</t>
  </si>
  <si>
    <t>3180.58万</t>
  </si>
  <si>
    <t>7918.01万</t>
  </si>
  <si>
    <t>4.87万</t>
  </si>
  <si>
    <t>14.22亿</t>
  </si>
  <si>
    <t>7.44亿</t>
  </si>
  <si>
    <t>59.33亿</t>
  </si>
  <si>
    <t>-2.00亿</t>
  </si>
  <si>
    <t>-6359.13万</t>
  </si>
  <si>
    <t>824.64万</t>
  </si>
  <si>
    <t>7438.99万</t>
  </si>
  <si>
    <t>470.50万</t>
  </si>
  <si>
    <t>17.36亿</t>
  </si>
  <si>
    <t>2323.75万</t>
  </si>
  <si>
    <t>2333.90万</t>
  </si>
  <si>
    <t>14.06万</t>
  </si>
  <si>
    <t>1711.30万</t>
  </si>
  <si>
    <t>6285.42万</t>
  </si>
  <si>
    <t>4295.61万</t>
  </si>
  <si>
    <t>-189.31万</t>
  </si>
  <si>
    <t>2371.11万</t>
  </si>
  <si>
    <t>3539.25万</t>
  </si>
  <si>
    <t>9113.26万</t>
  </si>
  <si>
    <t>5418.84万</t>
  </si>
  <si>
    <t>808.67万</t>
  </si>
  <si>
    <t>1738.33万</t>
  </si>
  <si>
    <t>16.87万</t>
  </si>
  <si>
    <t>5297.11万</t>
  </si>
  <si>
    <t>1207.43万</t>
  </si>
  <si>
    <t>1318.14万</t>
  </si>
  <si>
    <t>7934.92万</t>
  </si>
  <si>
    <t>2356.66万</t>
  </si>
  <si>
    <t>20.67万</t>
  </si>
  <si>
    <t>-277.57万</t>
  </si>
  <si>
    <t>7585.43万</t>
  </si>
  <si>
    <t>1009.06万</t>
  </si>
  <si>
    <t>258.59亿</t>
  </si>
  <si>
    <t>58.22亿</t>
  </si>
  <si>
    <t>42.44亿</t>
  </si>
  <si>
    <t>371.77万</t>
  </si>
  <si>
    <t>85.66亿</t>
  </si>
  <si>
    <t>38.59亿</t>
  </si>
  <si>
    <t>17.75亿</t>
  </si>
  <si>
    <t>61.92亿</t>
  </si>
  <si>
    <t>60.17亿</t>
  </si>
  <si>
    <t>202.30亿</t>
  </si>
  <si>
    <t>25.34亿</t>
  </si>
  <si>
    <t>2719.89万</t>
  </si>
  <si>
    <t>-18.08亿</t>
  </si>
  <si>
    <t>5913.34万</t>
  </si>
  <si>
    <t>金运激光</t>
  </si>
  <si>
    <t>343.68万</t>
  </si>
  <si>
    <t>7559.00万</t>
  </si>
  <si>
    <t>6693.70万</t>
  </si>
  <si>
    <t>4952.72万</t>
  </si>
  <si>
    <t>832.15万</t>
  </si>
  <si>
    <t>575.96万</t>
  </si>
  <si>
    <t>4119.58万</t>
  </si>
  <si>
    <t>361.54万</t>
  </si>
  <si>
    <t>7.15万</t>
  </si>
  <si>
    <t>1397.70万</t>
  </si>
  <si>
    <t>8409.01万</t>
  </si>
  <si>
    <t>779.37万</t>
  </si>
  <si>
    <t>56.16万</t>
  </si>
  <si>
    <t>-97.98万</t>
  </si>
  <si>
    <t>2364.73万</t>
  </si>
  <si>
    <t>1151.11万</t>
  </si>
  <si>
    <t>16.44亿</t>
  </si>
  <si>
    <t>2306.90万</t>
  </si>
  <si>
    <t>1928.69万</t>
  </si>
  <si>
    <t>57.76万</t>
  </si>
  <si>
    <t>2119.83万</t>
  </si>
  <si>
    <t>775.59万</t>
  </si>
  <si>
    <t>5048.41万</t>
  </si>
  <si>
    <t>-3217.71万</t>
  </si>
  <si>
    <t>1098.97万</t>
  </si>
  <si>
    <t>5208.92万</t>
  </si>
  <si>
    <t>1994.50万</t>
  </si>
  <si>
    <t>4.24亿</t>
  </si>
  <si>
    <t>1493.07万</t>
  </si>
  <si>
    <t>3036.28万</t>
  </si>
  <si>
    <t>3.20万</t>
  </si>
  <si>
    <t>1685.07万</t>
  </si>
  <si>
    <t>3863.56万</t>
  </si>
  <si>
    <t>27.29亿</t>
  </si>
  <si>
    <t>-2465.97万</t>
  </si>
  <si>
    <t>-5790.09万</t>
  </si>
  <si>
    <t>-1794.29万</t>
  </si>
  <si>
    <t>6.57亿</t>
  </si>
  <si>
    <t>841.32万</t>
  </si>
  <si>
    <t>17.52亿</t>
  </si>
  <si>
    <t>7.25亿</t>
  </si>
  <si>
    <t>1780.21万</t>
  </si>
  <si>
    <t>4509.99万</t>
  </si>
  <si>
    <t>2.00万</t>
  </si>
  <si>
    <t>70.63万</t>
  </si>
  <si>
    <t>65.73万</t>
  </si>
  <si>
    <t>2002.32万</t>
  </si>
  <si>
    <t>6238.18万</t>
  </si>
  <si>
    <t>5.10亿</t>
  </si>
  <si>
    <t>3728.40万</t>
  </si>
  <si>
    <t>-157.79万</t>
  </si>
  <si>
    <t>-338.03万</t>
  </si>
  <si>
    <t>3748.07万</t>
  </si>
  <si>
    <t>370.83万</t>
  </si>
  <si>
    <t>8.55亿</t>
  </si>
  <si>
    <t>7976.10万</t>
  </si>
  <si>
    <t>1686.06万</t>
  </si>
  <si>
    <t>2326.65万</t>
  </si>
  <si>
    <t>57.29万</t>
  </si>
  <si>
    <t>5298.22万</t>
  </si>
  <si>
    <t>-92.87万</t>
  </si>
  <si>
    <t>380.04万</t>
  </si>
  <si>
    <t>-2456.31万</t>
  </si>
  <si>
    <t>2479.79万</t>
  </si>
  <si>
    <t>1046.96万</t>
  </si>
  <si>
    <t>21.96亿</t>
  </si>
  <si>
    <t>2515.11万</t>
  </si>
  <si>
    <t>1960.54万</t>
  </si>
  <si>
    <t>1.46万</t>
  </si>
  <si>
    <t>-5244.37万</t>
  </si>
  <si>
    <t>-5952.23万</t>
  </si>
  <si>
    <t>3429.83万</t>
  </si>
  <si>
    <t>10派0.550275元(含税)</t>
  </si>
  <si>
    <t>7731.56万</t>
  </si>
  <si>
    <t>1483.95万</t>
  </si>
  <si>
    <t>5911.68万</t>
  </si>
  <si>
    <t>3400.34万</t>
  </si>
  <si>
    <t>470.11万</t>
  </si>
  <si>
    <t>1195.58万</t>
  </si>
  <si>
    <t>46.31万</t>
  </si>
  <si>
    <t>8678.08万</t>
  </si>
  <si>
    <t>5371.34万</t>
  </si>
  <si>
    <t>240.30万</t>
  </si>
  <si>
    <t>2.69亿</t>
  </si>
  <si>
    <t>-436.61万</t>
  </si>
  <si>
    <t>-3053.36万</t>
  </si>
  <si>
    <t>6197.94万</t>
  </si>
  <si>
    <t>5-0</t>
  </si>
  <si>
    <t>672.94万</t>
  </si>
  <si>
    <t>6532.49万</t>
  </si>
  <si>
    <t>4332.46万</t>
  </si>
  <si>
    <t>773.41万</t>
  </si>
  <si>
    <t>677.68万</t>
  </si>
  <si>
    <t>82.28万</t>
  </si>
  <si>
    <t>1385.13万</t>
  </si>
  <si>
    <t>4592.54万</t>
  </si>
  <si>
    <t>7264.92万</t>
  </si>
  <si>
    <t>-1578.17万</t>
  </si>
  <si>
    <t>-1602.13万</t>
  </si>
  <si>
    <t>-132.82万</t>
  </si>
  <si>
    <t>3730.95万</t>
  </si>
  <si>
    <t>7951.37万</t>
  </si>
  <si>
    <t>13.92亿</t>
  </si>
  <si>
    <t>688.78万</t>
  </si>
  <si>
    <t>2006.88万</t>
  </si>
  <si>
    <t>135.99万</t>
  </si>
  <si>
    <t>1681.98万</t>
  </si>
  <si>
    <t>-7110.46万</t>
  </si>
  <si>
    <t>-2365.68万</t>
  </si>
  <si>
    <t>1879.39万</t>
  </si>
  <si>
    <t>8.63亿</t>
  </si>
  <si>
    <t>433.41万</t>
  </si>
  <si>
    <t>33.74亿</t>
  </si>
  <si>
    <t>3277.43万</t>
  </si>
  <si>
    <t>2351.99万</t>
  </si>
  <si>
    <t>10.45万</t>
  </si>
  <si>
    <t>2970.91万</t>
  </si>
  <si>
    <t>7.34亿</t>
  </si>
  <si>
    <t>22.62亿</t>
  </si>
  <si>
    <t>-2069.80万</t>
  </si>
  <si>
    <t>-5572.81万</t>
  </si>
  <si>
    <t>-1.04亿</t>
  </si>
  <si>
    <t>2202.61万</t>
  </si>
  <si>
    <t>535.94万</t>
  </si>
  <si>
    <t>9.88亿</t>
  </si>
  <si>
    <t>1299.52万</t>
  </si>
  <si>
    <t>1222.08万</t>
  </si>
  <si>
    <t>5.10万</t>
  </si>
  <si>
    <t>2593.35万</t>
  </si>
  <si>
    <t>8.12亿</t>
  </si>
  <si>
    <t>7988.30万</t>
  </si>
  <si>
    <t>17.07亿</t>
  </si>
  <si>
    <t>2001.19万</t>
  </si>
  <si>
    <t>-1964.83万</t>
  </si>
  <si>
    <t>2864.56万</t>
  </si>
  <si>
    <t>117.86万</t>
  </si>
  <si>
    <t>16.59亿</t>
  </si>
  <si>
    <t>9.87亿</t>
  </si>
  <si>
    <t>7260.98万</t>
  </si>
  <si>
    <t>383.05万</t>
  </si>
  <si>
    <t>984.87万</t>
  </si>
  <si>
    <t>4.48万</t>
  </si>
  <si>
    <t>2549.47万</t>
  </si>
  <si>
    <t>1653.56万</t>
  </si>
  <si>
    <t>233.77万</t>
  </si>
  <si>
    <t>7415.05万</t>
  </si>
  <si>
    <t>6498.35万</t>
  </si>
  <si>
    <t>7062.61万</t>
  </si>
  <si>
    <t>8828.75万</t>
  </si>
  <si>
    <t>-7919.73万</t>
  </si>
  <si>
    <t>5736.87万</t>
  </si>
  <si>
    <t>738.34万</t>
  </si>
  <si>
    <t>4908.45万</t>
  </si>
  <si>
    <t>141.67万</t>
  </si>
  <si>
    <t>10.98亿</t>
  </si>
  <si>
    <t>8.36亿</t>
  </si>
  <si>
    <t>2050.02万</t>
  </si>
  <si>
    <t>5935.27万</t>
  </si>
  <si>
    <t>468.85万</t>
  </si>
  <si>
    <t>1656.51万</t>
  </si>
  <si>
    <t>1414.65万</t>
  </si>
  <si>
    <t>80.00万</t>
  </si>
  <si>
    <t>149.21万</t>
  </si>
  <si>
    <t>2835.99万</t>
  </si>
  <si>
    <t>4931.40万</t>
  </si>
  <si>
    <t>9063.43万</t>
  </si>
  <si>
    <t>445.90万</t>
  </si>
  <si>
    <t>-4396.79万</t>
  </si>
  <si>
    <t>6785.88万</t>
  </si>
  <si>
    <t>63.76万</t>
  </si>
  <si>
    <t>650.63万</t>
  </si>
  <si>
    <t>6666.59万</t>
  </si>
  <si>
    <t>186.24万</t>
  </si>
  <si>
    <t>2328.68万</t>
  </si>
  <si>
    <t>9148.31万</t>
  </si>
  <si>
    <t>4188.03万</t>
  </si>
  <si>
    <t>900.53万</t>
  </si>
  <si>
    <t>1367.80万</t>
  </si>
  <si>
    <t>1.16万</t>
  </si>
  <si>
    <t>3.51亿</t>
  </si>
  <si>
    <t>2506.76万</t>
  </si>
  <si>
    <t>1616.20万</t>
  </si>
  <si>
    <t>400.00万</t>
  </si>
  <si>
    <t>3575.79万</t>
  </si>
  <si>
    <t>179.89万</t>
  </si>
  <si>
    <t>-3329.20万</t>
  </si>
  <si>
    <t>-879.97万</t>
  </si>
  <si>
    <t>267.48万</t>
  </si>
  <si>
    <t>886.43万</t>
  </si>
  <si>
    <t>893.96万</t>
  </si>
  <si>
    <t>8061.32万</t>
  </si>
  <si>
    <t>332.67万</t>
  </si>
  <si>
    <t>31.69亿</t>
  </si>
  <si>
    <t>34.43亿</t>
  </si>
  <si>
    <t>2896.82万</t>
  </si>
  <si>
    <t>4025.21万</t>
  </si>
  <si>
    <t>3.47万</t>
  </si>
  <si>
    <t>471.86万</t>
  </si>
  <si>
    <t>-7366.59万</t>
  </si>
  <si>
    <t>-250.57万</t>
  </si>
  <si>
    <t>5.75亿</t>
  </si>
  <si>
    <t>3569.90万</t>
  </si>
  <si>
    <t>1517.21万</t>
  </si>
  <si>
    <t>369.36万</t>
  </si>
  <si>
    <t>1876.96万</t>
  </si>
  <si>
    <t>7968.71万</t>
  </si>
  <si>
    <t>5341.29万</t>
  </si>
  <si>
    <t>517.97万</t>
  </si>
  <si>
    <t>1095.80万</t>
  </si>
  <si>
    <t>2.92万</t>
  </si>
  <si>
    <t>5.81亿</t>
  </si>
  <si>
    <t>410.46万</t>
  </si>
  <si>
    <t>292.38万</t>
  </si>
  <si>
    <t>5499.16万</t>
  </si>
  <si>
    <t>3.46亿</t>
  </si>
  <si>
    <t>-4372.30万</t>
  </si>
  <si>
    <t>-1.08亿</t>
  </si>
  <si>
    <t>-58.29万</t>
  </si>
  <si>
    <t>1765.02万</t>
  </si>
  <si>
    <t>352.55万</t>
  </si>
  <si>
    <t>2437.73万</t>
  </si>
  <si>
    <t>6631.13万</t>
  </si>
  <si>
    <t>056308800</t>
  </si>
  <si>
    <t>0112617600</t>
  </si>
  <si>
    <t>0187696000</t>
  </si>
  <si>
    <t>0375392000</t>
  </si>
  <si>
    <t>523.06万</t>
  </si>
  <si>
    <t>912.89万</t>
  </si>
  <si>
    <t>15.32万</t>
  </si>
  <si>
    <t>7448.11万</t>
  </si>
  <si>
    <t>2189.04万</t>
  </si>
  <si>
    <t>6798.28万</t>
  </si>
  <si>
    <t>13.36亿</t>
  </si>
  <si>
    <t>-1959.92万</t>
  </si>
  <si>
    <t>1398.74万</t>
  </si>
  <si>
    <t>7500.52万</t>
  </si>
  <si>
    <t>49.97万</t>
  </si>
  <si>
    <t>47.90亿</t>
  </si>
  <si>
    <t>4.14亿</t>
  </si>
  <si>
    <t>9098.03万</t>
  </si>
  <si>
    <t>5884.86万</t>
  </si>
  <si>
    <t>3915.60万</t>
  </si>
  <si>
    <t>6.18万</t>
  </si>
  <si>
    <t>22.23亿</t>
  </si>
  <si>
    <t>5.69亿</t>
  </si>
  <si>
    <t>7191.95万</t>
  </si>
  <si>
    <t>7.49亿</t>
  </si>
  <si>
    <t>18.23亿</t>
  </si>
  <si>
    <t>-3920.84万</t>
  </si>
  <si>
    <t>-6773.28万</t>
  </si>
  <si>
    <t>1964.50万</t>
  </si>
  <si>
    <t>268.63万</t>
  </si>
  <si>
    <t>2219.48万</t>
  </si>
  <si>
    <t>155.60万</t>
  </si>
  <si>
    <t>1050.22万</t>
  </si>
  <si>
    <t>9405.48万</t>
  </si>
  <si>
    <t>6314.01万</t>
  </si>
  <si>
    <t>807.04万</t>
  </si>
  <si>
    <t>955.98万</t>
  </si>
  <si>
    <t>117.94万</t>
  </si>
  <si>
    <t>6680.54万</t>
  </si>
  <si>
    <t>-1088.77万</t>
  </si>
  <si>
    <t>730.79万</t>
  </si>
  <si>
    <t>755.17万</t>
  </si>
  <si>
    <t>-41.89万</t>
  </si>
  <si>
    <t>996.08万</t>
  </si>
  <si>
    <t>7457.46万</t>
  </si>
  <si>
    <t>296.28万</t>
  </si>
  <si>
    <t>10.45亿</t>
  </si>
  <si>
    <t>21.63亿</t>
  </si>
  <si>
    <t>5294.74万</t>
  </si>
  <si>
    <t>695.65万</t>
  </si>
  <si>
    <t>1031.71万</t>
  </si>
  <si>
    <t>3.84万</t>
  </si>
  <si>
    <t>3.93亿</t>
  </si>
  <si>
    <t>300.81万</t>
  </si>
  <si>
    <t>3700.57万</t>
  </si>
  <si>
    <t>73.49万</t>
  </si>
  <si>
    <t>1192.47万</t>
  </si>
  <si>
    <t>-800.34万</t>
  </si>
  <si>
    <t>4.64亿</t>
  </si>
  <si>
    <t>303.52万</t>
  </si>
  <si>
    <t>2340.07万</t>
  </si>
  <si>
    <t>78.65万</t>
  </si>
  <si>
    <t>7316.88万</t>
  </si>
  <si>
    <t>4149.73万</t>
  </si>
  <si>
    <t>1670.32万</t>
  </si>
  <si>
    <t>1110.99万</t>
  </si>
  <si>
    <t>522.30万</t>
  </si>
  <si>
    <t>2.76万</t>
  </si>
  <si>
    <t>8.14亿</t>
  </si>
  <si>
    <t>3028.69万</t>
  </si>
  <si>
    <t>10.01万</t>
  </si>
  <si>
    <t>3954.76万</t>
  </si>
  <si>
    <t>-1081.40万</t>
  </si>
  <si>
    <t>4340.73万</t>
  </si>
  <si>
    <t>-9081.90万</t>
  </si>
  <si>
    <t>4580.91万</t>
  </si>
  <si>
    <t>1564.07万</t>
  </si>
  <si>
    <t>786.07万</t>
  </si>
  <si>
    <t>4124.94万</t>
  </si>
  <si>
    <t>66.36万</t>
  </si>
  <si>
    <t>16.21亿</t>
  </si>
  <si>
    <t>5671.38万</t>
  </si>
  <si>
    <t>7184.24万</t>
  </si>
  <si>
    <t>6575.44万</t>
  </si>
  <si>
    <t>277.30万</t>
  </si>
  <si>
    <t>339.08万</t>
  </si>
  <si>
    <t>311.81万</t>
  </si>
  <si>
    <t>7217.62万</t>
  </si>
  <si>
    <t>8368.01万</t>
  </si>
  <si>
    <t>2997.85万</t>
  </si>
  <si>
    <t>-4344.28万</t>
  </si>
  <si>
    <t>9293.94万</t>
  </si>
  <si>
    <t>1025.52万</t>
  </si>
  <si>
    <t>571.37万</t>
  </si>
  <si>
    <t>8363.59万</t>
  </si>
  <si>
    <t>127.99万</t>
  </si>
  <si>
    <t>65.31亿</t>
  </si>
  <si>
    <t>8300.75万</t>
  </si>
  <si>
    <t>4312.46万</t>
  </si>
  <si>
    <t>1103.27万</t>
  </si>
  <si>
    <t>818.46万</t>
  </si>
  <si>
    <t>1905.45万</t>
  </si>
  <si>
    <t>70.49万</t>
  </si>
  <si>
    <t>600.00万</t>
  </si>
  <si>
    <t>6624.93万</t>
  </si>
  <si>
    <t>-342.92万</t>
  </si>
  <si>
    <t>-5135.38万</t>
  </si>
  <si>
    <t>-156.09万</t>
  </si>
  <si>
    <t>12.78亿</t>
  </si>
  <si>
    <t>4071.12万</t>
  </si>
  <si>
    <t>785.06万</t>
  </si>
  <si>
    <t>6579.38万</t>
  </si>
  <si>
    <t>132.35万</t>
  </si>
  <si>
    <t>8.42亿</t>
  </si>
  <si>
    <t>8309.72万</t>
  </si>
  <si>
    <t>6519.25万</t>
  </si>
  <si>
    <t>2759.13万</t>
  </si>
  <si>
    <t>1212.95万</t>
  </si>
  <si>
    <t>637.70万</t>
  </si>
  <si>
    <t>46.07万</t>
  </si>
  <si>
    <t>5.74亿</t>
  </si>
  <si>
    <t>107.18万</t>
  </si>
  <si>
    <t>6819.99万</t>
  </si>
  <si>
    <t>2000.00万</t>
  </si>
  <si>
    <t>3350.03万</t>
  </si>
  <si>
    <t>7060.75万</t>
  </si>
  <si>
    <t>950.25万</t>
  </si>
  <si>
    <t>8287.77万</t>
  </si>
  <si>
    <t>1972.35万</t>
  </si>
  <si>
    <t>7087.43万</t>
  </si>
  <si>
    <t>609.83万</t>
  </si>
  <si>
    <t>966.89万</t>
  </si>
  <si>
    <t>7438.85万</t>
  </si>
  <si>
    <t>139.44万</t>
  </si>
  <si>
    <t>10.17亿</t>
  </si>
  <si>
    <t>5498.87万</t>
  </si>
  <si>
    <t>5042.67万</t>
  </si>
  <si>
    <t>3221.43万</t>
  </si>
  <si>
    <t>971.60万</t>
  </si>
  <si>
    <t>409.69万</t>
  </si>
  <si>
    <t>7.68亿</t>
  </si>
  <si>
    <t>1669.24万</t>
  </si>
  <si>
    <t>4024.28万</t>
  </si>
  <si>
    <t>8691.41万</t>
  </si>
  <si>
    <t>-170.10万</t>
  </si>
  <si>
    <t>35.65万</t>
  </si>
  <si>
    <t>-170.44万</t>
  </si>
  <si>
    <t>9831.24万</t>
  </si>
  <si>
    <t>878.46万</t>
  </si>
  <si>
    <t>768.83万</t>
  </si>
  <si>
    <t>7237.05万</t>
  </si>
  <si>
    <t>37-1</t>
  </si>
  <si>
    <t>1003.89万</t>
  </si>
  <si>
    <t>20.34亿</t>
  </si>
  <si>
    <t>77.94亿</t>
  </si>
  <si>
    <t>4.30亿</t>
  </si>
  <si>
    <t>2857.91万</t>
  </si>
  <si>
    <t>1.90万</t>
  </si>
  <si>
    <t>-139.34万</t>
  </si>
  <si>
    <t>-5474.99万</t>
  </si>
  <si>
    <t>20.08亿</t>
  </si>
  <si>
    <t>3679.21万</t>
  </si>
  <si>
    <t>412.20万</t>
  </si>
  <si>
    <t>13.86亿</t>
  </si>
  <si>
    <t>6.32亿</t>
  </si>
  <si>
    <t>6871.94万</t>
  </si>
  <si>
    <t>606.36万</t>
  </si>
  <si>
    <t>2791.81万</t>
  </si>
  <si>
    <t>21.33万</t>
  </si>
  <si>
    <t>152.43万</t>
  </si>
  <si>
    <t>849.72万</t>
  </si>
  <si>
    <t>109.87万</t>
  </si>
  <si>
    <t>385.49万</t>
  </si>
  <si>
    <t>253.70万</t>
  </si>
  <si>
    <t>4252.70万</t>
  </si>
  <si>
    <t>1730.85万</t>
  </si>
  <si>
    <t>1479.97万</t>
  </si>
  <si>
    <t>2307.35万</t>
  </si>
  <si>
    <t>1063.08万</t>
  </si>
  <si>
    <t>56.35亿</t>
  </si>
  <si>
    <t>1872.60万</t>
  </si>
  <si>
    <t>3.67亿</t>
  </si>
  <si>
    <t>2277.22万</t>
  </si>
  <si>
    <t>2925.95万</t>
  </si>
  <si>
    <t>185.68万</t>
  </si>
  <si>
    <t>14.28亿</t>
  </si>
  <si>
    <t>49.49万</t>
  </si>
  <si>
    <t>6.80亿</t>
  </si>
  <si>
    <t>219.25万</t>
  </si>
  <si>
    <t>15.80亿</t>
  </si>
  <si>
    <t>5206.73万</t>
  </si>
  <si>
    <t>3074.73万</t>
  </si>
  <si>
    <t>-467.72万</t>
  </si>
  <si>
    <t>799.26万</t>
  </si>
  <si>
    <t>3306.21万</t>
  </si>
  <si>
    <t>248.45万</t>
  </si>
  <si>
    <t>14.47亿</t>
  </si>
  <si>
    <t>43.51亿</t>
  </si>
  <si>
    <t>1619.79万</t>
  </si>
  <si>
    <t>1140.25万</t>
  </si>
  <si>
    <t>2.35万</t>
  </si>
  <si>
    <t>1055.57万</t>
  </si>
  <si>
    <t>1003.05万</t>
  </si>
  <si>
    <t>8772.17万</t>
  </si>
  <si>
    <t>5767.79万</t>
  </si>
  <si>
    <t>-1114.87万</t>
  </si>
  <si>
    <t>-1233.21万</t>
  </si>
  <si>
    <t>8.38亿</t>
  </si>
  <si>
    <t>3300.16万</t>
  </si>
  <si>
    <t>1232.49万</t>
  </si>
  <si>
    <t>7313.19万</t>
  </si>
  <si>
    <t>25.71万</t>
  </si>
  <si>
    <t>7807.91万</t>
  </si>
  <si>
    <t>9805.55万</t>
  </si>
  <si>
    <t>8311.11万</t>
  </si>
  <si>
    <t>740.05万</t>
  </si>
  <si>
    <t>496.39万</t>
  </si>
  <si>
    <t>3.41万</t>
  </si>
  <si>
    <t>-2153.94万</t>
  </si>
  <si>
    <t>-1.07亿</t>
  </si>
  <si>
    <t>90.00万</t>
  </si>
  <si>
    <t>1668.38万</t>
  </si>
  <si>
    <t>156.11万</t>
  </si>
  <si>
    <t>1434.38万</t>
  </si>
  <si>
    <t>11-1</t>
  </si>
  <si>
    <t>427.07万</t>
  </si>
  <si>
    <t>23.14亿</t>
  </si>
  <si>
    <t>6.74亿</t>
  </si>
  <si>
    <t>6.52亿</t>
  </si>
  <si>
    <t>4.21亿</t>
  </si>
  <si>
    <t>7057.88万</t>
  </si>
  <si>
    <t>7959.99万</t>
  </si>
  <si>
    <t>24.32万</t>
  </si>
  <si>
    <t>731.90万</t>
  </si>
  <si>
    <t>1216.71万</t>
  </si>
  <si>
    <t>23.15亿</t>
  </si>
  <si>
    <t>7901.38万</t>
  </si>
  <si>
    <t>8778.63万</t>
  </si>
  <si>
    <t>-2820.05万</t>
  </si>
  <si>
    <t>4185.98万</t>
  </si>
  <si>
    <t>2946.94万</t>
  </si>
  <si>
    <t>169.44万</t>
  </si>
  <si>
    <t>21.56亿</t>
  </si>
  <si>
    <t>36.33亿</t>
  </si>
  <si>
    <t>3473.81万</t>
  </si>
  <si>
    <t>1789.85万</t>
  </si>
  <si>
    <t>1.08万</t>
  </si>
  <si>
    <t>135.09万</t>
  </si>
  <si>
    <t>730.38万</t>
  </si>
  <si>
    <t>-6182.84万</t>
  </si>
  <si>
    <t>7662.86万</t>
  </si>
  <si>
    <t>4.65亿</t>
  </si>
  <si>
    <t>-5817.77万</t>
  </si>
  <si>
    <t>628.52万</t>
  </si>
  <si>
    <t>7728.53万</t>
  </si>
  <si>
    <t>642.90万</t>
  </si>
  <si>
    <t>41.79亿</t>
  </si>
  <si>
    <t>2007.66万</t>
  </si>
  <si>
    <t>4.96亿</t>
  </si>
  <si>
    <t>4288.60万</t>
  </si>
  <si>
    <t>5649.21万</t>
  </si>
  <si>
    <t>28.38万</t>
  </si>
  <si>
    <t>17.58亿</t>
  </si>
  <si>
    <t>5178.92万</t>
  </si>
  <si>
    <t>-1.50亿</t>
  </si>
  <si>
    <t>-3.29亿</t>
  </si>
  <si>
    <t>2213.95万</t>
  </si>
  <si>
    <t>4102.48万</t>
  </si>
  <si>
    <t>184.25万</t>
  </si>
  <si>
    <t>23.46亿</t>
  </si>
  <si>
    <t>31.06亿</t>
  </si>
  <si>
    <t>8859.22万</t>
  </si>
  <si>
    <t>2031.09万</t>
  </si>
  <si>
    <t>1227.64万</t>
  </si>
  <si>
    <t>2467.41万</t>
  </si>
  <si>
    <t>72.23万</t>
  </si>
  <si>
    <t>5.19亿</t>
  </si>
  <si>
    <t>385.32万</t>
  </si>
  <si>
    <t>13.18亿</t>
  </si>
  <si>
    <t>-144.65万</t>
  </si>
  <si>
    <t>1709.45万</t>
  </si>
  <si>
    <t>-3429.72万</t>
  </si>
  <si>
    <t>4017.49万</t>
  </si>
  <si>
    <t>987.44万</t>
  </si>
  <si>
    <t>8145.84万</t>
  </si>
  <si>
    <t>1968.46万</t>
  </si>
  <si>
    <t>8727.00万</t>
  </si>
  <si>
    <t>-2003.14万</t>
  </si>
  <si>
    <t>9059.59万</t>
  </si>
  <si>
    <t>7075.92万</t>
  </si>
  <si>
    <t>173.94万</t>
  </si>
  <si>
    <t>927.00万</t>
  </si>
  <si>
    <t>20.71万</t>
  </si>
  <si>
    <t>1256.48万</t>
  </si>
  <si>
    <t>6409.91万</t>
  </si>
  <si>
    <t>6417.73万</t>
  </si>
  <si>
    <t>-1538.49万</t>
  </si>
  <si>
    <t>390.80万</t>
  </si>
  <si>
    <t>3688.73万</t>
  </si>
  <si>
    <t>-255.16万</t>
  </si>
  <si>
    <t>6234.91万</t>
  </si>
  <si>
    <t>220.84万</t>
  </si>
  <si>
    <t>11.40亿</t>
  </si>
  <si>
    <t>24.12亿</t>
  </si>
  <si>
    <t>1452.39万</t>
  </si>
  <si>
    <t>3435.88万</t>
  </si>
  <si>
    <t>778.53万</t>
  </si>
  <si>
    <t>869.00万</t>
  </si>
  <si>
    <t>1072.73万</t>
  </si>
  <si>
    <t>1732.15万</t>
  </si>
  <si>
    <t>5850.00万</t>
  </si>
  <si>
    <t>406.60万</t>
  </si>
  <si>
    <t>5036.94万</t>
  </si>
  <si>
    <t>-6463.82万</t>
  </si>
  <si>
    <t>-2362.96万</t>
  </si>
  <si>
    <t>794.08万</t>
  </si>
  <si>
    <t>2729.76万</t>
  </si>
  <si>
    <t>1057.29万</t>
  </si>
  <si>
    <t>7087.64万</t>
  </si>
  <si>
    <t>6-0</t>
  </si>
  <si>
    <t>23.57万</t>
  </si>
  <si>
    <t>6.10亿</t>
  </si>
  <si>
    <t>8053.93万</t>
  </si>
  <si>
    <t>876.45万</t>
  </si>
  <si>
    <t>1398.84万</t>
  </si>
  <si>
    <t>6.76万</t>
  </si>
  <si>
    <t>3419.44万</t>
  </si>
  <si>
    <t>5.01亿</t>
  </si>
  <si>
    <t>5063.97万</t>
  </si>
  <si>
    <t>3424.06万</t>
  </si>
  <si>
    <t>1263.14万</t>
  </si>
  <si>
    <t>140.34万</t>
  </si>
  <si>
    <t>1108.99万</t>
  </si>
  <si>
    <t>080539300</t>
  </si>
  <si>
    <t>0241617900</t>
  </si>
  <si>
    <t>0483235800</t>
  </si>
  <si>
    <t>0805393000</t>
  </si>
  <si>
    <t>01610786000</t>
  </si>
  <si>
    <t>39.45万</t>
  </si>
  <si>
    <t>18.59亿</t>
  </si>
  <si>
    <t>-4316.82万</t>
  </si>
  <si>
    <t>3716.20万</t>
  </si>
  <si>
    <t>1953.12万</t>
  </si>
  <si>
    <t>38.26万</t>
  </si>
  <si>
    <t>192.85万</t>
  </si>
  <si>
    <t>1584.11万</t>
  </si>
  <si>
    <t>11.65亿</t>
  </si>
  <si>
    <t>2.98亿</t>
  </si>
  <si>
    <t>-1.21亿</t>
  </si>
  <si>
    <t>-8293.14万</t>
  </si>
  <si>
    <t>4016.44万</t>
  </si>
  <si>
    <t>-257.06万</t>
  </si>
  <si>
    <t>407.77万</t>
  </si>
  <si>
    <t>2255.39万</t>
  </si>
  <si>
    <t>346.89万</t>
  </si>
  <si>
    <t>20.39亿</t>
  </si>
  <si>
    <t>14.33亿</t>
  </si>
  <si>
    <t>6600.67万</t>
  </si>
  <si>
    <t>4706.47万</t>
  </si>
  <si>
    <t>227.95万</t>
  </si>
  <si>
    <t>10.37亿</t>
  </si>
  <si>
    <t>1196.70万</t>
  </si>
  <si>
    <t>998.96万</t>
  </si>
  <si>
    <t>3703.43万</t>
  </si>
  <si>
    <t>723.14万</t>
  </si>
  <si>
    <t>1351.93万</t>
  </si>
  <si>
    <t>4762.89万</t>
  </si>
  <si>
    <t>3108.74万</t>
  </si>
  <si>
    <t>1442.84万</t>
  </si>
  <si>
    <t>8819.10万</t>
  </si>
  <si>
    <t>140.04万</t>
  </si>
  <si>
    <t>3478.85万</t>
  </si>
  <si>
    <t>1853.59万</t>
  </si>
  <si>
    <t>2275.62万</t>
  </si>
  <si>
    <t>6114.97万</t>
  </si>
  <si>
    <t>5032.75万</t>
  </si>
  <si>
    <t>3002.32万</t>
  </si>
  <si>
    <t>7979.36万</t>
  </si>
  <si>
    <t>5.04亿</t>
  </si>
  <si>
    <t>448.63万</t>
  </si>
  <si>
    <t>2967.83万</t>
  </si>
  <si>
    <t>-665.78万</t>
  </si>
  <si>
    <t>-6491.74万</t>
  </si>
  <si>
    <t>7428.18万</t>
  </si>
  <si>
    <t>-879.73万</t>
  </si>
  <si>
    <t>10派3.5057元(含税)</t>
  </si>
  <si>
    <t>943.73万</t>
  </si>
  <si>
    <t>5996.30万</t>
  </si>
  <si>
    <t>325.49万</t>
  </si>
  <si>
    <t>9.29亿</t>
  </si>
  <si>
    <t>1135.82万</t>
  </si>
  <si>
    <t>1194.83万</t>
  </si>
  <si>
    <t>509.08万</t>
  </si>
  <si>
    <t>77.36万</t>
  </si>
  <si>
    <t>9091.77万</t>
  </si>
  <si>
    <t>6.05亿</t>
  </si>
  <si>
    <t>-6588.34万</t>
  </si>
  <si>
    <t>-120.21万</t>
  </si>
  <si>
    <t>-2127.64万</t>
  </si>
  <si>
    <t>9239.96万</t>
  </si>
  <si>
    <t>5502.50万</t>
  </si>
  <si>
    <t>1540.23万</t>
  </si>
  <si>
    <t>8408.51万</t>
  </si>
  <si>
    <t>0162000000</t>
  </si>
  <si>
    <t>0486000000</t>
  </si>
  <si>
    <t>0972000000</t>
  </si>
  <si>
    <t>01620000000</t>
  </si>
  <si>
    <t>03240000000</t>
  </si>
  <si>
    <t>210.72万</t>
  </si>
  <si>
    <t>41.57亿</t>
  </si>
  <si>
    <t>3151.87万</t>
  </si>
  <si>
    <t>7559.62万</t>
  </si>
  <si>
    <t>6133.52万</t>
  </si>
  <si>
    <t>34.91万</t>
  </si>
  <si>
    <t>10.71亿</t>
  </si>
  <si>
    <t>5943.88万</t>
  </si>
  <si>
    <t>562.83万</t>
  </si>
  <si>
    <t>11.17亿</t>
  </si>
  <si>
    <t>35.99亿</t>
  </si>
  <si>
    <t>-4.98亿</t>
  </si>
  <si>
    <t>-8995.85万</t>
  </si>
  <si>
    <t>8185.18万</t>
  </si>
  <si>
    <t>1586.76万</t>
  </si>
  <si>
    <t>1727.77万</t>
  </si>
  <si>
    <t>094556100</t>
  </si>
  <si>
    <t>0189112200</t>
  </si>
  <si>
    <t>0315187000</t>
  </si>
  <si>
    <t>0630374000</t>
  </si>
  <si>
    <t>32.84万</t>
  </si>
  <si>
    <t>19.06亿</t>
  </si>
  <si>
    <t>31.90亿</t>
  </si>
  <si>
    <t>7106.12万</t>
  </si>
  <si>
    <t>3941.25万</t>
  </si>
  <si>
    <t>1845.50万</t>
  </si>
  <si>
    <t>14.73亿</t>
  </si>
  <si>
    <t>449.22万</t>
  </si>
  <si>
    <t>8831.63万</t>
  </si>
  <si>
    <t>3352.97万</t>
  </si>
  <si>
    <t>-100.67万</t>
  </si>
  <si>
    <t>-95.70万</t>
  </si>
  <si>
    <t>275.67万</t>
  </si>
  <si>
    <t>2616.75万</t>
  </si>
  <si>
    <t>149.23万</t>
  </si>
  <si>
    <t>12.84亿</t>
  </si>
  <si>
    <t>6987.57万</t>
  </si>
  <si>
    <t>1177.79万</t>
  </si>
  <si>
    <t>640.10万</t>
  </si>
  <si>
    <t>3.37亿</t>
  </si>
  <si>
    <t>4782.53万</t>
  </si>
  <si>
    <t>2766.35万</t>
  </si>
  <si>
    <t>4000.00万</t>
  </si>
  <si>
    <t>7506.59万</t>
  </si>
  <si>
    <t>-197.13万</t>
  </si>
  <si>
    <t>-3183.13万</t>
  </si>
  <si>
    <t>-459.41万</t>
  </si>
  <si>
    <t>9413.83万</t>
  </si>
  <si>
    <t>599.02万</t>
  </si>
  <si>
    <t>4575.94万</t>
  </si>
  <si>
    <t>185.33万</t>
  </si>
  <si>
    <t>17.72亿</t>
  </si>
  <si>
    <t>11.80亿</t>
  </si>
  <si>
    <t>3081.86万</t>
  </si>
  <si>
    <t>3504.69万</t>
  </si>
  <si>
    <t>254.19万</t>
  </si>
  <si>
    <t>9535.94万</t>
  </si>
  <si>
    <t>1144.60万</t>
  </si>
  <si>
    <t>1986.04万</t>
  </si>
  <si>
    <t>-736.11万</t>
  </si>
  <si>
    <t>-908.06万</t>
  </si>
  <si>
    <t>9215.67万</t>
  </si>
  <si>
    <t>3.05亿</t>
  </si>
  <si>
    <t>7076.95万</t>
  </si>
  <si>
    <t>1060.93万</t>
  </si>
  <si>
    <t>8486.76万</t>
  </si>
  <si>
    <t>0606000000</t>
  </si>
  <si>
    <t>01212000000</t>
  </si>
  <si>
    <t>02020000000</t>
  </si>
  <si>
    <t>04040000000</t>
  </si>
  <si>
    <t>119.95万</t>
  </si>
  <si>
    <t>23.38亿</t>
  </si>
  <si>
    <t>5.48亿</t>
  </si>
  <si>
    <t>1178.38万</t>
  </si>
  <si>
    <t>8934.99万</t>
  </si>
  <si>
    <t>1474.01万</t>
  </si>
  <si>
    <t>2235.53万</t>
  </si>
  <si>
    <t>41.35万</t>
  </si>
  <si>
    <t>11.85亿</t>
  </si>
  <si>
    <t>2229.99万</t>
  </si>
  <si>
    <t>8266.23万</t>
  </si>
  <si>
    <t>1182.00万</t>
  </si>
  <si>
    <t>4440.15万</t>
  </si>
  <si>
    <t>3.78亿</t>
  </si>
  <si>
    <t>-3067.72万</t>
  </si>
  <si>
    <t>-6.67亿</t>
  </si>
  <si>
    <t>5187.81万</t>
  </si>
  <si>
    <t>-4646.49万</t>
  </si>
  <si>
    <t>706.96万</t>
  </si>
  <si>
    <t>6709.26万</t>
  </si>
  <si>
    <t>102.98万</t>
  </si>
  <si>
    <t>12.90亿</t>
  </si>
  <si>
    <t>1800.32万</t>
  </si>
  <si>
    <t>5863.50万</t>
  </si>
  <si>
    <t>2510.05万</t>
  </si>
  <si>
    <t>1334.19万</t>
  </si>
  <si>
    <t>2649.67万</t>
  </si>
  <si>
    <t>497.12万</t>
  </si>
  <si>
    <t>8913.14万</t>
  </si>
  <si>
    <t>66.08万</t>
  </si>
  <si>
    <t>-3420.26万</t>
  </si>
  <si>
    <t>2874.95万</t>
  </si>
  <si>
    <t>-1076.31万</t>
  </si>
  <si>
    <t>2052.43万</t>
  </si>
  <si>
    <t>333.49万</t>
  </si>
  <si>
    <t>512.95万</t>
  </si>
  <si>
    <t>4917.57万</t>
  </si>
  <si>
    <t>054009600</t>
  </si>
  <si>
    <t>0108019200</t>
  </si>
  <si>
    <t>0180032000</t>
  </si>
  <si>
    <t>0360064000</t>
  </si>
  <si>
    <t>91.36万</t>
  </si>
  <si>
    <t>52.86亿</t>
  </si>
  <si>
    <t>7.45亿</t>
  </si>
  <si>
    <t>375.15万</t>
  </si>
  <si>
    <t>7882.93万</t>
  </si>
  <si>
    <t>2389.29万</t>
  </si>
  <si>
    <t>2023.36万</t>
  </si>
  <si>
    <t>4.06万</t>
  </si>
  <si>
    <t>29.56亿</t>
  </si>
  <si>
    <t>1816.51万</t>
  </si>
  <si>
    <t>3551.23万</t>
  </si>
  <si>
    <t>2.04亿</t>
  </si>
  <si>
    <t>2669.12万</t>
  </si>
  <si>
    <t>1253.28万</t>
  </si>
  <si>
    <t>369.10万</t>
  </si>
  <si>
    <t>2948.42万</t>
  </si>
  <si>
    <t>19.26万</t>
  </si>
  <si>
    <t>4.86亿</t>
  </si>
  <si>
    <t>7669.86万</t>
  </si>
  <si>
    <t>5441.76万</t>
  </si>
  <si>
    <t>1060.55万</t>
  </si>
  <si>
    <t>542.46万</t>
  </si>
  <si>
    <t>7074.43万</t>
  </si>
  <si>
    <t>784.52万</t>
  </si>
  <si>
    <t>151.31万</t>
  </si>
  <si>
    <t>704.51万</t>
  </si>
  <si>
    <t>4515.62万</t>
  </si>
  <si>
    <t>40.38万</t>
  </si>
  <si>
    <t>-1654.05万</t>
  </si>
  <si>
    <t>-66.31万</t>
  </si>
  <si>
    <t>2107.36万</t>
  </si>
  <si>
    <t>9592.74万</t>
  </si>
  <si>
    <t>-3363.23万</t>
  </si>
  <si>
    <t>117.09万</t>
  </si>
  <si>
    <t>1134.80万</t>
  </si>
  <si>
    <t>324.50万</t>
  </si>
  <si>
    <t>9.56亿</t>
  </si>
  <si>
    <t>53.49亿</t>
  </si>
  <si>
    <t>202.87万</t>
  </si>
  <si>
    <t>1182.53万</t>
  </si>
  <si>
    <t>60.25万</t>
  </si>
  <si>
    <t>5036.32万</t>
  </si>
  <si>
    <t>160.97万</t>
  </si>
  <si>
    <t>8797.42万</t>
  </si>
  <si>
    <t>7.84亿</t>
  </si>
  <si>
    <t>-8004.44万</t>
  </si>
  <si>
    <t>2065.07万</t>
  </si>
  <si>
    <t>2502.41万</t>
  </si>
  <si>
    <t>1778.59万</t>
  </si>
  <si>
    <t>1077.75万</t>
  </si>
  <si>
    <t>8893.83万</t>
  </si>
  <si>
    <t>81.06万</t>
  </si>
  <si>
    <t>10.24亿</t>
  </si>
  <si>
    <t>-8.48亿</t>
  </si>
  <si>
    <t>501.10万</t>
  </si>
  <si>
    <t>623.27万</t>
  </si>
  <si>
    <t>2.46万</t>
  </si>
  <si>
    <t>5771.07万</t>
  </si>
  <si>
    <t>262.28万</t>
  </si>
  <si>
    <t>5100.00万</t>
  </si>
  <si>
    <t>8271.67万</t>
  </si>
  <si>
    <t>474.15万</t>
  </si>
  <si>
    <t>2569.93万</t>
  </si>
  <si>
    <t>-5290.64万</t>
  </si>
  <si>
    <t>7528.80万</t>
  </si>
  <si>
    <t>-2.55亿</t>
  </si>
  <si>
    <t>443.00万</t>
  </si>
  <si>
    <t>4168.88万</t>
  </si>
  <si>
    <t>41.94万</t>
  </si>
  <si>
    <t>12.32亿</t>
  </si>
  <si>
    <t>4222.41万</t>
  </si>
  <si>
    <t>3708.57万</t>
  </si>
  <si>
    <t>1319.50万</t>
  </si>
  <si>
    <t>408.12万</t>
  </si>
  <si>
    <t>1296.20万</t>
  </si>
  <si>
    <t>2240.87万</t>
  </si>
  <si>
    <t>3625.64万</t>
  </si>
  <si>
    <t>6110.62万</t>
  </si>
  <si>
    <t>4740.70万</t>
  </si>
  <si>
    <t>-3175.39万</t>
  </si>
  <si>
    <t>-485.60万</t>
  </si>
  <si>
    <t>4798.74万</t>
  </si>
  <si>
    <t>1226.36万</t>
  </si>
  <si>
    <t>215.61万</t>
  </si>
  <si>
    <t>1706.37万</t>
  </si>
  <si>
    <t>859.89万</t>
  </si>
  <si>
    <t>3.79亿</t>
  </si>
  <si>
    <t>3633.09万</t>
  </si>
  <si>
    <t>3171.34万</t>
  </si>
  <si>
    <t>4864.01万</t>
  </si>
  <si>
    <t>8.16万</t>
  </si>
  <si>
    <t>6.78亿</t>
  </si>
  <si>
    <t>1295.00万</t>
  </si>
  <si>
    <t>23.92亿</t>
  </si>
  <si>
    <t>-7425.44万</t>
  </si>
  <si>
    <t>4183.35万</t>
  </si>
  <si>
    <t>-5406.09万</t>
  </si>
  <si>
    <t>6733.41万</t>
  </si>
  <si>
    <t>-94.74万</t>
  </si>
  <si>
    <t>3414.52万</t>
  </si>
  <si>
    <t>0108992700</t>
  </si>
  <si>
    <t>0217985400</t>
  </si>
  <si>
    <t>0363309000</t>
  </si>
  <si>
    <t>0726618000</t>
  </si>
  <si>
    <t>138.59万</t>
  </si>
  <si>
    <t>9.51亿</t>
  </si>
  <si>
    <t>-5631.08万</t>
  </si>
  <si>
    <t>7160.84万</t>
  </si>
  <si>
    <t>3450.74万</t>
  </si>
  <si>
    <t>529.70万</t>
  </si>
  <si>
    <t>2144.08万</t>
  </si>
  <si>
    <t>2447.65万</t>
  </si>
  <si>
    <t>2737.62万</t>
  </si>
  <si>
    <t>4014.52万</t>
  </si>
  <si>
    <t>1034.46万</t>
  </si>
  <si>
    <t>-2382.82万</t>
  </si>
  <si>
    <t>89.01万</t>
  </si>
  <si>
    <t>4131.65万</t>
  </si>
  <si>
    <t>-1948.90万</t>
  </si>
  <si>
    <t>660.67万</t>
  </si>
  <si>
    <t>3393.24万</t>
  </si>
  <si>
    <t>281.76万</t>
  </si>
  <si>
    <t>13.42亿</t>
  </si>
  <si>
    <t>-4754.67万</t>
  </si>
  <si>
    <t>7143.29万</t>
  </si>
  <si>
    <t>3069.98万</t>
  </si>
  <si>
    <t>834.23万</t>
  </si>
  <si>
    <t>1137.35万</t>
  </si>
  <si>
    <t>44.04万</t>
  </si>
  <si>
    <t>1971.69万</t>
  </si>
  <si>
    <t>5142.52万</t>
  </si>
  <si>
    <t>9457.58万</t>
  </si>
  <si>
    <t>4178.34万</t>
  </si>
  <si>
    <t>3528.23万</t>
  </si>
  <si>
    <t>-319.32万</t>
  </si>
  <si>
    <t>1581.64万</t>
  </si>
  <si>
    <t>122.75万</t>
  </si>
  <si>
    <t>15.49亿</t>
  </si>
  <si>
    <t>8883.85万</t>
  </si>
  <si>
    <t>2545.74万</t>
  </si>
  <si>
    <t>1198.26万</t>
  </si>
  <si>
    <t>17.86万</t>
  </si>
  <si>
    <t>8309.69万</t>
  </si>
  <si>
    <t>1463.50万</t>
  </si>
  <si>
    <t>-5566.85万</t>
  </si>
  <si>
    <t>-8569.64万</t>
  </si>
  <si>
    <t>7280.40万</t>
  </si>
  <si>
    <t>-3247.68万</t>
  </si>
  <si>
    <t>10派1.1038元(含税)</t>
  </si>
  <si>
    <t>653.96万</t>
  </si>
  <si>
    <t>4261.42万</t>
  </si>
  <si>
    <t>XD艾隆科</t>
  </si>
  <si>
    <t>51.62万</t>
  </si>
  <si>
    <t>9.85亿</t>
  </si>
  <si>
    <t>7359.24万</t>
  </si>
  <si>
    <t>3230.13万</t>
  </si>
  <si>
    <t>1431.40万</t>
  </si>
  <si>
    <t>1204.32万</t>
  </si>
  <si>
    <t>6851.58万</t>
  </si>
  <si>
    <t>70.45万</t>
  </si>
  <si>
    <t>81.00万</t>
  </si>
  <si>
    <t>3109.09万</t>
  </si>
  <si>
    <t>-460.07万</t>
  </si>
  <si>
    <t>-701.79万</t>
  </si>
  <si>
    <t>-4792.98万</t>
  </si>
  <si>
    <t>5443.11万</t>
  </si>
  <si>
    <t>271.30万</t>
  </si>
  <si>
    <t>2759.06万</t>
  </si>
  <si>
    <t>26.29万</t>
  </si>
  <si>
    <t>7.39亿</t>
  </si>
  <si>
    <t>99.01亿</t>
  </si>
  <si>
    <t>14.79亿</t>
  </si>
  <si>
    <t>7615.65万</t>
  </si>
  <si>
    <t>5392.89万</t>
  </si>
  <si>
    <t>831.04万</t>
  </si>
  <si>
    <t>484.26万</t>
  </si>
  <si>
    <t>4.24万</t>
  </si>
  <si>
    <t>8997.59万</t>
  </si>
  <si>
    <t>5059.87万</t>
  </si>
  <si>
    <t>532.00万</t>
  </si>
  <si>
    <t>8624.55万</t>
  </si>
  <si>
    <t>1168.89万</t>
  </si>
  <si>
    <t>-4089.12万</t>
  </si>
  <si>
    <t>-20.61万</t>
  </si>
  <si>
    <t>209.54万</t>
  </si>
  <si>
    <t>2003.63万</t>
  </si>
  <si>
    <t>191.23万</t>
  </si>
  <si>
    <t>38.99亿</t>
  </si>
  <si>
    <t>6.72亿</t>
  </si>
  <si>
    <t>6709.58万</t>
  </si>
  <si>
    <t>4312.20万</t>
  </si>
  <si>
    <t>5.59万</t>
  </si>
  <si>
    <t>20.22亿</t>
  </si>
  <si>
    <t>5937.16万</t>
  </si>
  <si>
    <t>7477.61万</t>
  </si>
  <si>
    <t>5225.86万</t>
  </si>
  <si>
    <t>2753.91万</t>
  </si>
  <si>
    <t>259.23万</t>
  </si>
  <si>
    <t>5457.44万</t>
  </si>
  <si>
    <t>-3976.12万</t>
  </si>
  <si>
    <t>-8871.91万</t>
  </si>
  <si>
    <t>992.00万</t>
  </si>
  <si>
    <t>2841.38万</t>
  </si>
  <si>
    <t>981.93万</t>
  </si>
  <si>
    <t>7498.95万</t>
  </si>
  <si>
    <t>942.91万</t>
  </si>
  <si>
    <t>30.43亿</t>
  </si>
  <si>
    <t>29.83亿</t>
  </si>
  <si>
    <t>-1.29亿</t>
  </si>
  <si>
    <t>5.15亿</t>
  </si>
  <si>
    <t>3187.21万</t>
  </si>
  <si>
    <t>78.97万</t>
  </si>
  <si>
    <t>9.10亿</t>
  </si>
  <si>
    <t>8656.12万</t>
  </si>
  <si>
    <t>38.05亿</t>
  </si>
  <si>
    <t>160.47万</t>
  </si>
  <si>
    <t>-2.09亿</t>
  </si>
  <si>
    <t>3083.49万</t>
  </si>
  <si>
    <t>-931.19万</t>
  </si>
  <si>
    <t>6185.28万</t>
  </si>
  <si>
    <t>259.44万</t>
  </si>
  <si>
    <t>13.96亿</t>
  </si>
  <si>
    <t>-2387.54万</t>
  </si>
  <si>
    <t>10.40亿</t>
  </si>
  <si>
    <t>7.70亿</t>
  </si>
  <si>
    <t>5853.26万</t>
  </si>
  <si>
    <t>7176.85万</t>
  </si>
  <si>
    <t>32.44万</t>
  </si>
  <si>
    <t>8981.02万</t>
  </si>
  <si>
    <t>26.46亿</t>
  </si>
  <si>
    <t>14.26亿</t>
  </si>
  <si>
    <t>77.86亿</t>
  </si>
  <si>
    <t>-8.81亿</t>
  </si>
  <si>
    <t>7.57亿</t>
  </si>
  <si>
    <t>1942.70万</t>
  </si>
  <si>
    <t>1409.33万</t>
  </si>
  <si>
    <t>46.13万</t>
  </si>
  <si>
    <t>42.78亿</t>
  </si>
  <si>
    <t>11.90亿</t>
  </si>
  <si>
    <t>3239.51万</t>
  </si>
  <si>
    <t>4660.03万</t>
  </si>
  <si>
    <t>712.63万</t>
  </si>
  <si>
    <t>27.13亿</t>
  </si>
  <si>
    <t>1139.70万</t>
  </si>
  <si>
    <t>12.28亿</t>
  </si>
  <si>
    <t>-9719.02万</t>
  </si>
  <si>
    <t>-617.20万</t>
  </si>
  <si>
    <t>-53.23万</t>
  </si>
  <si>
    <t>1377.23万</t>
  </si>
  <si>
    <t>351.15万</t>
  </si>
  <si>
    <t>2143.04万</t>
  </si>
  <si>
    <t>17.16万</t>
  </si>
  <si>
    <t>22.01亿</t>
  </si>
  <si>
    <t>8.00亿</t>
  </si>
  <si>
    <t>5884.56万</t>
  </si>
  <si>
    <t>4734.72万</t>
  </si>
  <si>
    <t>815.43万</t>
  </si>
  <si>
    <t>451.02万</t>
  </si>
  <si>
    <t>1.48万</t>
  </si>
  <si>
    <t>15.99亿</t>
  </si>
  <si>
    <t>4215.30万</t>
  </si>
  <si>
    <t>106.84万</t>
  </si>
  <si>
    <t>4139.77万</t>
  </si>
  <si>
    <t>5004.58万</t>
  </si>
  <si>
    <t>-1683.81万</t>
  </si>
  <si>
    <t>-7491.83万</t>
  </si>
  <si>
    <t>-369.37万</t>
  </si>
  <si>
    <t>5126.12万</t>
  </si>
  <si>
    <t>10派15.824元(含税)</t>
  </si>
  <si>
    <t>53.60万</t>
  </si>
  <si>
    <t>307.84万</t>
  </si>
  <si>
    <t>63.49万</t>
  </si>
  <si>
    <t>16.52亿</t>
  </si>
  <si>
    <t>19.52亿</t>
  </si>
  <si>
    <t>7159.38万</t>
  </si>
  <si>
    <t>7431.16万</t>
  </si>
  <si>
    <t>693.64万</t>
  </si>
  <si>
    <t>867.30万</t>
  </si>
  <si>
    <t>2160.51万</t>
  </si>
  <si>
    <t>6099.43万</t>
  </si>
  <si>
    <t>-5538.49万</t>
  </si>
  <si>
    <t>2160.24万</t>
  </si>
  <si>
    <t>-7342.49万</t>
  </si>
  <si>
    <t>3.21亿</t>
  </si>
  <si>
    <t>-416.12万</t>
  </si>
  <si>
    <t>558.13万</t>
  </si>
  <si>
    <t>3658.37万</t>
  </si>
  <si>
    <t>8-1</t>
  </si>
  <si>
    <t>77.90万</t>
  </si>
  <si>
    <t>29.37亿</t>
  </si>
  <si>
    <t>14.12亿</t>
  </si>
  <si>
    <t>7522.50万</t>
  </si>
  <si>
    <t>4323.95万</t>
  </si>
  <si>
    <t>714.24万</t>
  </si>
  <si>
    <t>8.62万</t>
  </si>
  <si>
    <t>9513.86万</t>
  </si>
  <si>
    <t>7.24万</t>
  </si>
  <si>
    <t>-292.33万</t>
  </si>
  <si>
    <t>-100.15万</t>
  </si>
  <si>
    <t>2113.98万</t>
  </si>
  <si>
    <t>450.63万</t>
  </si>
  <si>
    <t>2748.32万</t>
  </si>
  <si>
    <t>185.23万</t>
  </si>
  <si>
    <t>20.05亿</t>
  </si>
  <si>
    <t>6.46亿</t>
  </si>
  <si>
    <t>-8656.25万</t>
  </si>
  <si>
    <t>2512.51万</t>
  </si>
  <si>
    <t>1717.99万</t>
  </si>
  <si>
    <t>17.44万</t>
  </si>
  <si>
    <t>5827.44万</t>
  </si>
  <si>
    <t>1457.58万</t>
  </si>
  <si>
    <t>426.96万</t>
  </si>
  <si>
    <t>-2157.72万</t>
  </si>
  <si>
    <t>9250.60万</t>
  </si>
  <si>
    <t>1266.65万</t>
  </si>
  <si>
    <t>-485.41万</t>
  </si>
  <si>
    <t>1085.99万</t>
  </si>
  <si>
    <t>6210.50万</t>
  </si>
  <si>
    <t>634.54万</t>
  </si>
  <si>
    <t>100.16亿</t>
  </si>
  <si>
    <t>173.11亿</t>
  </si>
  <si>
    <t>5.27亿</t>
  </si>
  <si>
    <t>16.46亿</t>
  </si>
  <si>
    <t>9694.72万</t>
  </si>
  <si>
    <t>49.27万</t>
  </si>
  <si>
    <t>49.31亿</t>
  </si>
  <si>
    <t>9.57亿</t>
  </si>
  <si>
    <t>4.40亿</t>
  </si>
  <si>
    <t>9.65亿</t>
  </si>
  <si>
    <t>26.63亿</t>
  </si>
  <si>
    <t>38.28万</t>
  </si>
  <si>
    <t>73.60亿</t>
  </si>
  <si>
    <t>-6.77亿</t>
  </si>
  <si>
    <t>-2927.38万</t>
  </si>
  <si>
    <t>35.86亿</t>
  </si>
  <si>
    <t>3184.35万</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</si>
</sst>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宋体"/>
      <family val="2"/>
      <charset val="134"/>
      <scheme val="minor"/>
    </font>
    <font>
      <sz val="9"/>
      <name val="宋体"/>
      <family val="2"/>
      <charset val="134"/>
      <scheme val="minor"/>
    </font>
    <font>
      <sz val="11"/>
      <color indexed="8"/>
      <name val="Calibri"/>
      <family val="2"/>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9"/>
      <color theme="1"/>
      <name val="宋体"/>
      <family val="3"/>
      <charset val="134"/>
      <scheme val="minor"/>
    </font>
    <font>
      <sz val="9"/>
      <color theme="1"/>
      <name val="宋体"/>
      <family val="2"/>
      <charset val="134"/>
      <scheme val="minor"/>
    </font>
    <font>
      <sz val="9"/>
      <color rgb="FFFF0000"/>
      <name val="宋体"/>
      <family val="3"/>
      <charset val="134"/>
      <scheme val="minor"/>
    </font>
    <font>
      <b/>
      <sz val="9"/>
      <color rgb="FFFF0000"/>
      <name val="宋体"/>
      <family val="3"/>
      <charset val="134"/>
      <scheme val="minor"/>
    </font>
    <font>
      <sz val="11"/>
      <name val="宋体"/>
      <family val="2"/>
      <charset val="134"/>
      <scheme val="minor"/>
    </font>
    <font>
      <sz val="11"/>
      <color rgb="FF000000"/>
      <name val="宋体"/>
      <family val="3"/>
      <charset val="134"/>
    </font>
    <font>
      <sz val="9"/>
      <name val="宋体"/>
      <family val="3"/>
      <charset val="134"/>
      <scheme val="minor"/>
    </font>
  </fonts>
  <fills count="37">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5"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2" fillId="0" borderId="0" applyFill="0" applyProtection="0"/>
    <xf numFmtId="0" fontId="2" fillId="0" borderId="0" applyFill="0" applyProtection="0"/>
    <xf numFmtId="0" fontId="4" fillId="0" borderId="0" applyNumberFormat="0" applyFill="0" applyBorder="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7" fillId="0" borderId="4" applyNumberFormat="0" applyFill="0" applyAlignment="0" applyProtection="0">
      <alignment vertical="center"/>
    </xf>
    <xf numFmtId="0" fontId="7" fillId="0" borderId="0" applyNumberFormat="0" applyFill="0" applyBorder="0" applyAlignment="0" applyProtection="0">
      <alignment vertical="center"/>
    </xf>
    <xf numFmtId="0" fontId="8" fillId="4" borderId="0" applyNumberFormat="0" applyBorder="0" applyAlignment="0" applyProtection="0">
      <alignment vertical="center"/>
    </xf>
    <xf numFmtId="0" fontId="9" fillId="5" borderId="0" applyNumberFormat="0" applyBorder="0" applyAlignment="0" applyProtection="0">
      <alignment vertical="center"/>
    </xf>
    <xf numFmtId="0" fontId="10" fillId="6" borderId="0" applyNumberFormat="0" applyBorder="0" applyAlignment="0" applyProtection="0">
      <alignment vertical="center"/>
    </xf>
    <xf numFmtId="0" fontId="11" fillId="7" borderId="5" applyNumberFormat="0" applyAlignment="0" applyProtection="0">
      <alignment vertical="center"/>
    </xf>
    <xf numFmtId="0" fontId="12" fillId="8" borderId="6" applyNumberFormat="0" applyAlignment="0" applyProtection="0">
      <alignment vertical="center"/>
    </xf>
    <xf numFmtId="0" fontId="13" fillId="8" borderId="5" applyNumberFormat="0" applyAlignment="0" applyProtection="0">
      <alignment vertical="center"/>
    </xf>
    <xf numFmtId="0" fontId="14" fillId="0" borderId="7" applyNumberFormat="0" applyFill="0" applyAlignment="0" applyProtection="0">
      <alignment vertical="center"/>
    </xf>
    <xf numFmtId="0" fontId="15" fillId="9" borderId="8" applyNumberFormat="0" applyAlignment="0" applyProtection="0">
      <alignment vertical="center"/>
    </xf>
    <xf numFmtId="0" fontId="16" fillId="0" borderId="0" applyNumberFormat="0" applyFill="0" applyBorder="0" applyAlignment="0" applyProtection="0">
      <alignment vertical="center"/>
    </xf>
    <xf numFmtId="0" fontId="3" fillId="10" borderId="9" applyNumberFormat="0" applyFont="0" applyAlignment="0" applyProtection="0">
      <alignment vertical="center"/>
    </xf>
    <xf numFmtId="0" fontId="17" fillId="0" borderId="0" applyNumberFormat="0" applyFill="0" applyBorder="0" applyAlignment="0" applyProtection="0">
      <alignment vertical="center"/>
    </xf>
    <xf numFmtId="0" fontId="18" fillId="0" borderId="10" applyNumberFormat="0" applyFill="0" applyAlignment="0" applyProtection="0">
      <alignment vertical="center"/>
    </xf>
    <xf numFmtId="0" fontId="19" fillId="11" borderId="0" applyNumberFormat="0" applyBorder="0" applyAlignment="0" applyProtection="0">
      <alignment vertical="center"/>
    </xf>
    <xf numFmtId="0" fontId="3" fillId="12" borderId="0" applyNumberFormat="0" applyBorder="0" applyAlignment="0" applyProtection="0">
      <alignment vertical="center"/>
    </xf>
    <xf numFmtId="0" fontId="3" fillId="13" borderId="0" applyNumberFormat="0" applyBorder="0" applyAlignment="0" applyProtection="0">
      <alignment vertical="center"/>
    </xf>
    <xf numFmtId="0" fontId="19" fillId="14" borderId="0" applyNumberFormat="0" applyBorder="0" applyAlignment="0" applyProtection="0">
      <alignment vertical="center"/>
    </xf>
    <xf numFmtId="0" fontId="19" fillId="15" borderId="0" applyNumberFormat="0" applyBorder="0" applyAlignment="0" applyProtection="0">
      <alignment vertical="center"/>
    </xf>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19" fillId="18" borderId="0" applyNumberFormat="0" applyBorder="0" applyAlignment="0" applyProtection="0">
      <alignment vertical="center"/>
    </xf>
    <xf numFmtId="0" fontId="19" fillId="19" borderId="0" applyNumberFormat="0" applyBorder="0" applyAlignment="0" applyProtection="0">
      <alignment vertical="center"/>
    </xf>
    <xf numFmtId="0" fontId="3" fillId="20" borderId="0" applyNumberFormat="0" applyBorder="0" applyAlignment="0" applyProtection="0">
      <alignment vertical="center"/>
    </xf>
    <xf numFmtId="0" fontId="3" fillId="21" borderId="0" applyNumberFormat="0" applyBorder="0" applyAlignment="0" applyProtection="0">
      <alignment vertical="center"/>
    </xf>
    <xf numFmtId="0" fontId="19" fillId="22" borderId="0" applyNumberFormat="0" applyBorder="0" applyAlignment="0" applyProtection="0">
      <alignment vertical="center"/>
    </xf>
    <xf numFmtId="0" fontId="19" fillId="23" borderId="0" applyNumberFormat="0" applyBorder="0" applyAlignment="0" applyProtection="0">
      <alignment vertical="center"/>
    </xf>
    <xf numFmtId="0" fontId="3" fillId="24" borderId="0" applyNumberFormat="0" applyBorder="0" applyAlignment="0" applyProtection="0">
      <alignment vertical="center"/>
    </xf>
    <xf numFmtId="0" fontId="3" fillId="25" borderId="0" applyNumberFormat="0" applyBorder="0" applyAlignment="0" applyProtection="0">
      <alignment vertical="center"/>
    </xf>
    <xf numFmtId="0" fontId="19" fillId="26" borderId="0" applyNumberFormat="0" applyBorder="0" applyAlignment="0" applyProtection="0">
      <alignment vertical="center"/>
    </xf>
    <xf numFmtId="0" fontId="19" fillId="27" borderId="0" applyNumberFormat="0" applyBorder="0" applyAlignment="0" applyProtection="0">
      <alignment vertical="center"/>
    </xf>
    <xf numFmtId="0" fontId="3" fillId="28" borderId="0" applyNumberFormat="0" applyBorder="0" applyAlignment="0" applyProtection="0">
      <alignment vertical="center"/>
    </xf>
    <xf numFmtId="0" fontId="3" fillId="29" borderId="0" applyNumberFormat="0" applyBorder="0" applyAlignment="0" applyProtection="0">
      <alignment vertical="center"/>
    </xf>
    <xf numFmtId="0" fontId="19" fillId="30" borderId="0" applyNumberFormat="0" applyBorder="0" applyAlignment="0" applyProtection="0">
      <alignment vertical="center"/>
    </xf>
    <xf numFmtId="0" fontId="19" fillId="31" borderId="0" applyNumberFormat="0" applyBorder="0" applyAlignment="0" applyProtection="0">
      <alignment vertical="center"/>
    </xf>
    <xf numFmtId="0" fontId="3" fillId="32" borderId="0" applyNumberFormat="0" applyBorder="0" applyAlignment="0" applyProtection="0">
      <alignment vertical="center"/>
    </xf>
    <xf numFmtId="0" fontId="3" fillId="33" borderId="0" applyNumberFormat="0" applyBorder="0" applyAlignment="0" applyProtection="0">
      <alignment vertical="center"/>
    </xf>
    <xf numFmtId="0" fontId="19" fillId="34" borderId="0" applyNumberFormat="0" applyBorder="0" applyAlignment="0" applyProtection="0">
      <alignment vertical="center"/>
    </xf>
  </cellStyleXfs>
  <cellXfs count="17">
    <xf numFmtId="0" fontId="0" fillId="0" borderId="0" xfId="0">
      <alignment vertical="center"/>
    </xf>
    <xf numFmtId="0" fontId="0" fillId="0" borderId="0" xfId="0" applyFill="1">
      <alignment vertical="center"/>
    </xf>
    <xf numFmtId="0" fontId="0" fillId="2" borderId="0" xfId="0" applyFill="1">
      <alignment vertical="center"/>
    </xf>
    <xf numFmtId="0" fontId="0" fillId="0" borderId="0" xfId="0">
      <alignment vertical="center"/>
    </xf>
    <xf numFmtId="9" fontId="0" fillId="0" borderId="0" xfId="0" applyNumberFormat="1">
      <alignment vertical="center"/>
    </xf>
    <xf numFmtId="10" fontId="0" fillId="0" borderId="0" xfId="0" applyNumberFormat="1">
      <alignment vertical="center"/>
    </xf>
    <xf numFmtId="0" fontId="0" fillId="0" borderId="1" xfId="0" applyNumberFormat="1" applyFill="1" applyBorder="1" applyAlignment="1">
      <alignment vertical="center" wrapText="1"/>
    </xf>
    <xf numFmtId="0" fontId="20" fillId="0" borderId="0" xfId="0" applyFont="1" applyAlignment="1">
      <alignment vertical="center" wrapText="1"/>
    </xf>
    <xf numFmtId="0" fontId="0" fillId="3" borderId="1" xfId="0" applyNumberFormat="1" applyFill="1" applyBorder="1" applyAlignment="1">
      <alignment vertical="center" wrapText="1"/>
    </xf>
    <xf numFmtId="0" fontId="21" fillId="0" borderId="0" xfId="0" applyFont="1" applyAlignment="1">
      <alignment vertical="center" wrapText="1"/>
    </xf>
    <xf numFmtId="0" fontId="0" fillId="35" borderId="0" xfId="0" applyFill="1">
      <alignment vertical="center"/>
    </xf>
    <xf numFmtId="0" fontId="0" fillId="36" borderId="0" xfId="0" applyFill="1">
      <alignment vertical="center"/>
    </xf>
    <xf numFmtId="0" fontId="24" fillId="0" borderId="0" xfId="0" applyFont="1">
      <alignment vertical="center"/>
    </xf>
    <xf numFmtId="0" fontId="16" fillId="0" borderId="0" xfId="0" applyFont="1">
      <alignment vertical="center"/>
    </xf>
    <xf numFmtId="0" fontId="24"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44">
    <cellStyle name="20% - 着色 1" xfId="21" builtinId="30" customBuiltin="1"/>
    <cellStyle name="20% - 着色 2" xfId="25" builtinId="34" customBuiltin="1"/>
    <cellStyle name="20% - 着色 3" xfId="29" builtinId="38" customBuiltin="1"/>
    <cellStyle name="20% - 着色 4" xfId="33" builtinId="42" customBuiltin="1"/>
    <cellStyle name="20% - 着色 5" xfId="37" builtinId="46" customBuiltin="1"/>
    <cellStyle name="20% - 着色 6" xfId="41" builtinId="50" customBuiltin="1"/>
    <cellStyle name="40% - 着色 1" xfId="22" builtinId="31" customBuiltin="1"/>
    <cellStyle name="40% - 着色 2" xfId="26" builtinId="35" customBuiltin="1"/>
    <cellStyle name="40% - 着色 3" xfId="30" builtinId="39" customBuiltin="1"/>
    <cellStyle name="40% - 着色 4" xfId="34" builtinId="43" customBuiltin="1"/>
    <cellStyle name="40% - 着色 5" xfId="38" builtinId="47" customBuiltin="1"/>
    <cellStyle name="40% - 着色 6" xfId="42" builtinId="51" customBuiltin="1"/>
    <cellStyle name="60% - 着色 1" xfId="23" builtinId="32" customBuiltin="1"/>
    <cellStyle name="60% - 着色 2" xfId="27" builtinId="36" customBuiltin="1"/>
    <cellStyle name="60% - 着色 3" xfId="31" builtinId="40" customBuiltin="1"/>
    <cellStyle name="60% - 着色 4" xfId="35" builtinId="44" customBuiltin="1"/>
    <cellStyle name="60% - 着色 5" xfId="39" builtinId="48" customBuiltin="1"/>
    <cellStyle name="60% - 着色 6" xfId="43" builtinId="52" customBuiltin="1"/>
    <cellStyle name="Normal 2" xfId="2"/>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9" builtinId="27" customBuiltin="1"/>
    <cellStyle name="常规" xfId="0" builtinId="0"/>
    <cellStyle name="常规 2" xfId="1"/>
    <cellStyle name="好" xfId="8" builtinId="26" customBuiltin="1"/>
    <cellStyle name="汇总" xfId="19" builtinId="25" customBuiltin="1"/>
    <cellStyle name="计算" xfId="13" builtinId="22" customBuiltin="1"/>
    <cellStyle name="检查单元格" xfId="15" builtinId="23" customBuiltin="1"/>
    <cellStyle name="解释性文本" xfId="18" builtinId="53" customBuiltin="1"/>
    <cellStyle name="警告文本" xfId="16" builtinId="11" customBuiltin="1"/>
    <cellStyle name="链接单元格" xfId="14" builtinId="24" customBuiltin="1"/>
    <cellStyle name="适中" xfId="10" builtinId="28" customBuiltin="1"/>
    <cellStyle name="输出" xfId="12" builtinId="21" customBuiltin="1"/>
    <cellStyle name="输入" xfId="11" builtinId="20" customBuiltin="1"/>
    <cellStyle name="着色 1" xfId="20" builtinId="29" customBuiltin="1"/>
    <cellStyle name="着色 2" xfId="24" builtinId="33" customBuiltin="1"/>
    <cellStyle name="着色 3" xfId="28" builtinId="37" customBuiltin="1"/>
    <cellStyle name="着色 4" xfId="32" builtinId="41" customBuiltin="1"/>
    <cellStyle name="着色 5" xfId="36" builtinId="45" customBuiltin="1"/>
    <cellStyle name="着色 6" xfId="40" builtinId="49" customBuiltin="1"/>
    <cellStyle name="注释" xfId="17"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298450</xdr:colOff>
          <xdr:row>0</xdr:row>
          <xdr:rowOff>82550</xdr:rowOff>
        </xdr:from>
        <xdr:to>
          <xdr:col>147</xdr:col>
          <xdr:colOff>1447800</xdr:colOff>
          <xdr:row>0</xdr:row>
          <xdr:rowOff>393700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119"/>
  <sheetViews>
    <sheetView tabSelected="1" zoomScale="85" zoomScaleNormal="85" workbookViewId="0">
      <pane xSplit="5" ySplit="1" topLeftCell="F89" activePane="bottomRight" state="frozen"/>
      <selection pane="topRight" activeCell="F1" sqref="F1"/>
      <selection pane="bottomLeft" activeCell="A2" sqref="A2"/>
      <selection pane="bottomRight" activeCell="C20" sqref="C20"/>
    </sheetView>
  </sheetViews>
  <sheetFormatPr defaultColWidth="8.81640625" defaultRowHeight="14" x14ac:dyDescent="0.25"/>
  <cols>
    <col min="1" max="1" width="33" style="7" customWidth="1"/>
    <col min="2" max="2" width="39.26953125" style="7" customWidth="1"/>
    <col min="3" max="3" width="37.6328125" style="7" customWidth="1"/>
    <col min="4" max="5" width="14.54296875" style="3" customWidth="1"/>
    <col min="6" max="8" width="8.81640625" style="3"/>
    <col min="9" max="9" width="14.1796875" style="3" customWidth="1"/>
    <col min="10" max="13" width="8.81640625" style="3"/>
    <col min="14" max="14" width="10.54296875" style="3" customWidth="1"/>
    <col min="15" max="15" width="10.36328125" style="3" customWidth="1"/>
    <col min="16" max="16" width="12.453125" style="3" customWidth="1"/>
    <col min="17" max="18" width="8.81640625" style="3"/>
    <col min="19" max="19" width="16.453125" style="3" customWidth="1"/>
    <col min="20" max="21" width="8.81640625" style="3"/>
    <col min="22" max="22" width="9.54296875" style="3" customWidth="1"/>
    <col min="23" max="26" width="8.81640625" style="3"/>
    <col min="27" max="27" width="14" style="3" customWidth="1"/>
    <col min="28" max="33" width="8.81640625" style="3"/>
    <col min="34" max="34" width="13.36328125" style="3" customWidth="1"/>
    <col min="35" max="147" width="8.81640625" style="3"/>
    <col min="148" max="148" width="24.36328125" style="3" customWidth="1"/>
    <col min="149" max="16384" width="8.81640625" style="3"/>
  </cols>
  <sheetData>
    <row r="1" spans="1:146" ht="40" customHeight="1" x14ac:dyDescent="0.25">
      <c r="A1" s="6" t="s">
        <v>4</v>
      </c>
      <c r="B1" s="8" t="s">
        <v>5</v>
      </c>
      <c r="C1" s="6" t="s">
        <v>3</v>
      </c>
      <c r="D1" s="3" t="s">
        <v>600</v>
      </c>
      <c r="E1" s="3" t="s">
        <v>749</v>
      </c>
      <c r="F1" s="3" t="s">
        <v>19</v>
      </c>
      <c r="G1" s="3" t="s">
        <v>873</v>
      </c>
      <c r="H1" s="3" t="s">
        <v>874</v>
      </c>
      <c r="I1" s="3" t="s">
        <v>20</v>
      </c>
      <c r="J1" s="3" t="s">
        <v>21</v>
      </c>
      <c r="K1" s="3" t="s">
        <v>22</v>
      </c>
      <c r="L1" s="3" t="s">
        <v>23</v>
      </c>
      <c r="M1" s="3" t="s">
        <v>24</v>
      </c>
      <c r="N1" s="3" t="s">
        <v>25</v>
      </c>
      <c r="O1" s="3" t="s">
        <v>26</v>
      </c>
      <c r="P1" s="3" t="s">
        <v>875</v>
      </c>
      <c r="Q1" s="3" t="s">
        <v>799</v>
      </c>
      <c r="R1" s="3" t="s">
        <v>750</v>
      </c>
      <c r="S1" s="3" t="s">
        <v>27</v>
      </c>
      <c r="T1" s="3" t="s">
        <v>876</v>
      </c>
      <c r="U1" s="3" t="s">
        <v>601</v>
      </c>
      <c r="V1" s="3" t="s">
        <v>28</v>
      </c>
      <c r="W1" s="3" t="s">
        <v>800</v>
      </c>
      <c r="X1" s="3" t="s">
        <v>801</v>
      </c>
      <c r="Y1" s="3" t="s">
        <v>802</v>
      </c>
      <c r="Z1" s="3" t="s">
        <v>803</v>
      </c>
      <c r="AA1" s="3" t="s">
        <v>804</v>
      </c>
      <c r="AB1" s="3" t="s">
        <v>877</v>
      </c>
      <c r="AC1" s="3" t="s">
        <v>805</v>
      </c>
      <c r="AD1" s="3" t="s">
        <v>806</v>
      </c>
      <c r="AE1" s="3" t="s">
        <v>29</v>
      </c>
      <c r="AF1" s="3" t="s">
        <v>30</v>
      </c>
      <c r="AG1" s="3" t="s">
        <v>878</v>
      </c>
      <c r="AH1" s="3" t="s">
        <v>751</v>
      </c>
      <c r="AI1" s="3" t="s">
        <v>879</v>
      </c>
      <c r="AJ1" s="3" t="s">
        <v>31</v>
      </c>
      <c r="AK1" s="3" t="s">
        <v>880</v>
      </c>
      <c r="AL1" s="3" t="s">
        <v>32</v>
      </c>
      <c r="AM1" s="3" t="s">
        <v>881</v>
      </c>
      <c r="AN1" s="3" t="s">
        <v>882</v>
      </c>
      <c r="AO1" s="3" t="s">
        <v>883</v>
      </c>
      <c r="AP1" s="3" t="s">
        <v>884</v>
      </c>
      <c r="AQ1" s="3" t="s">
        <v>885</v>
      </c>
      <c r="AR1" s="3" t="s">
        <v>886</v>
      </c>
      <c r="AS1" s="3" t="s">
        <v>887</v>
      </c>
      <c r="AT1" s="3" t="s">
        <v>888</v>
      </c>
      <c r="AU1" s="3" t="s">
        <v>889</v>
      </c>
      <c r="AV1" s="3" t="s">
        <v>890</v>
      </c>
      <c r="AW1" s="3" t="s">
        <v>891</v>
      </c>
      <c r="AX1" s="3" t="s">
        <v>752</v>
      </c>
      <c r="AY1" s="3" t="s">
        <v>33</v>
      </c>
      <c r="AZ1" s="3" t="s">
        <v>34</v>
      </c>
      <c r="BA1" s="3" t="s">
        <v>35</v>
      </c>
      <c r="BB1" s="3" t="s">
        <v>36</v>
      </c>
      <c r="BC1" s="3" t="s">
        <v>602</v>
      </c>
      <c r="BD1" s="3" t="s">
        <v>37</v>
      </c>
      <c r="BE1" s="3" t="s">
        <v>38</v>
      </c>
      <c r="BF1" s="3" t="s">
        <v>39</v>
      </c>
      <c r="BG1" s="3" t="s">
        <v>40</v>
      </c>
      <c r="BH1" s="3" t="s">
        <v>892</v>
      </c>
      <c r="BI1" s="3" t="s">
        <v>893</v>
      </c>
      <c r="BJ1" s="3" t="s">
        <v>894</v>
      </c>
      <c r="BK1" s="3" t="s">
        <v>895</v>
      </c>
      <c r="BL1" s="3" t="s">
        <v>896</v>
      </c>
      <c r="BM1" s="3" t="s">
        <v>897</v>
      </c>
      <c r="BN1" s="3" t="s">
        <v>753</v>
      </c>
      <c r="BO1" s="3" t="s">
        <v>603</v>
      </c>
      <c r="BP1" s="3" t="s">
        <v>41</v>
      </c>
      <c r="BQ1" s="3" t="s">
        <v>754</v>
      </c>
      <c r="BR1" s="3" t="s">
        <v>604</v>
      </c>
      <c r="BS1" s="3" t="s">
        <v>42</v>
      </c>
      <c r="BT1" s="3" t="s">
        <v>898</v>
      </c>
      <c r="BU1" s="3" t="s">
        <v>807</v>
      </c>
      <c r="BV1" s="3" t="s">
        <v>899</v>
      </c>
      <c r="BW1" s="3" t="s">
        <v>43</v>
      </c>
      <c r="BX1" s="3" t="s">
        <v>44</v>
      </c>
      <c r="BY1" s="3" t="s">
        <v>900</v>
      </c>
      <c r="BZ1" s="3" t="s">
        <v>45</v>
      </c>
      <c r="CA1" s="3" t="s">
        <v>46</v>
      </c>
      <c r="CB1" s="3" t="s">
        <v>901</v>
      </c>
      <c r="CC1" s="3" t="s">
        <v>902</v>
      </c>
      <c r="CD1" s="3" t="s">
        <v>903</v>
      </c>
      <c r="CE1" s="3" t="s">
        <v>904</v>
      </c>
      <c r="CF1" s="1" t="s">
        <v>755</v>
      </c>
      <c r="CG1" s="1" t="s">
        <v>756</v>
      </c>
      <c r="CH1" s="1" t="s">
        <v>6</v>
      </c>
      <c r="CI1" s="1" t="s">
        <v>7</v>
      </c>
      <c r="CJ1" s="1" t="s">
        <v>8</v>
      </c>
      <c r="CK1" s="1" t="s">
        <v>9</v>
      </c>
      <c r="CL1" s="1" t="s">
        <v>10</v>
      </c>
      <c r="CM1" s="1" t="s">
        <v>11</v>
      </c>
      <c r="CN1" s="1" t="s">
        <v>12</v>
      </c>
      <c r="CO1" s="1" t="s">
        <v>13</v>
      </c>
      <c r="CP1" s="1" t="s">
        <v>14</v>
      </c>
      <c r="CQ1" s="1" t="s">
        <v>15</v>
      </c>
      <c r="CR1" s="1" t="s">
        <v>913</v>
      </c>
      <c r="CS1" s="1" t="s">
        <v>914</v>
      </c>
      <c r="CT1" s="1" t="s">
        <v>915</v>
      </c>
      <c r="CU1" s="1" t="s">
        <v>916</v>
      </c>
      <c r="CV1" s="1" t="s">
        <v>917</v>
      </c>
      <c r="CW1" s="1" t="s">
        <v>905</v>
      </c>
      <c r="CX1" s="3">
        <v>1</v>
      </c>
      <c r="CY1" s="3" t="s">
        <v>906</v>
      </c>
      <c r="CZ1" s="3" t="s">
        <v>918</v>
      </c>
      <c r="DA1" s="3">
        <v>3</v>
      </c>
      <c r="DB1" s="3" t="s">
        <v>919</v>
      </c>
      <c r="DC1" s="3" t="s">
        <v>920</v>
      </c>
      <c r="DD1" s="3">
        <v>6</v>
      </c>
      <c r="DE1" s="3" t="s">
        <v>921</v>
      </c>
      <c r="DF1" s="3" t="s">
        <v>922</v>
      </c>
      <c r="DG1" s="3">
        <v>10</v>
      </c>
      <c r="DH1" s="3" t="s">
        <v>923</v>
      </c>
      <c r="DI1" s="3" t="s">
        <v>924</v>
      </c>
      <c r="DJ1" s="3">
        <v>20</v>
      </c>
      <c r="DK1" s="3" t="s">
        <v>925</v>
      </c>
      <c r="DL1" s="3" t="s">
        <v>16</v>
      </c>
      <c r="DM1" s="3" t="s">
        <v>17</v>
      </c>
      <c r="DN1" s="2" t="s">
        <v>18</v>
      </c>
      <c r="DO1" s="3" t="s">
        <v>907</v>
      </c>
      <c r="DP1" s="3" t="s">
        <v>926</v>
      </c>
      <c r="DQ1" s="14" t="s">
        <v>908</v>
      </c>
      <c r="DR1" s="1" t="s">
        <v>927</v>
      </c>
      <c r="DS1" s="1" t="s">
        <v>928</v>
      </c>
      <c r="DT1" s="3" t="s">
        <v>929</v>
      </c>
      <c r="DU1" s="3" t="s">
        <v>930</v>
      </c>
      <c r="DV1" s="3" t="s">
        <v>909</v>
      </c>
      <c r="DW1" s="3" t="s">
        <v>910</v>
      </c>
      <c r="DX1" s="3" t="s">
        <v>931</v>
      </c>
      <c r="DY1" s="3" t="s">
        <v>932</v>
      </c>
      <c r="DZ1" s="3" t="s">
        <v>933</v>
      </c>
      <c r="EA1" s="3" t="s">
        <v>934</v>
      </c>
      <c r="EB1" s="3" t="s">
        <v>911</v>
      </c>
      <c r="EC1" s="3" t="s">
        <v>935</v>
      </c>
      <c r="ED1" s="3" t="s">
        <v>936</v>
      </c>
      <c r="EE1" s="3" t="s">
        <v>937</v>
      </c>
      <c r="EF1" s="3" t="s">
        <v>938</v>
      </c>
      <c r="EG1" s="3" t="s">
        <v>939</v>
      </c>
      <c r="EH1" s="3" t="s">
        <v>940</v>
      </c>
      <c r="EI1" s="3" t="s">
        <v>941</v>
      </c>
      <c r="EK1" s="15" t="s">
        <v>942</v>
      </c>
      <c r="EL1" s="3" t="s">
        <v>943</v>
      </c>
      <c r="EM1" s="3" t="s">
        <v>944</v>
      </c>
      <c r="EN1" s="3" t="s">
        <v>945</v>
      </c>
      <c r="EO1" s="3" t="s">
        <v>946</v>
      </c>
      <c r="EP1" s="3" t="s">
        <v>912</v>
      </c>
    </row>
    <row r="2" spans="1:146" ht="108" x14ac:dyDescent="0.25">
      <c r="C2" s="7" t="str">
        <f>""&amp;CHAR(10)&amp;Basic_Fundamental_Information_Constructure(F2)&amp;CHAR(10)&amp;Basic_Fundamental_Information_Concatenate("")</f>
        <v xml:space="preserve">
市值10.2726573亿, 利润-4.02亿; PE; 平均PE-3.83; 平均PEG-11.69, PB1.88; ROIC0%; ROE-27.2733%; 股利率0%; 毛利8.01%; 净利-32.9433%; 上一年度营收增20.09%, 利润增48.72%; 当季营收增29.31%, 利润增30.95%; 过往5年营收增-.33%, 利润增-2772.93%
Income profile:
</v>
      </c>
      <c r="D2" s="3" t="s">
        <v>175</v>
      </c>
      <c r="E2" s="3" t="s">
        <v>1200</v>
      </c>
      <c r="F2" s="3">
        <v>1.35</v>
      </c>
      <c r="G2" s="3">
        <v>-1.46</v>
      </c>
      <c r="H2" s="3" t="s">
        <v>1878</v>
      </c>
      <c r="I2" s="3">
        <v>1027265730</v>
      </c>
      <c r="K2" s="3">
        <v>1.88</v>
      </c>
      <c r="L2" s="3" t="s">
        <v>176</v>
      </c>
      <c r="M2" s="3" t="s">
        <v>1201</v>
      </c>
      <c r="N2" s="3" t="s">
        <v>1818</v>
      </c>
      <c r="O2" s="3" t="s">
        <v>733</v>
      </c>
      <c r="P2" s="3">
        <v>29.34</v>
      </c>
      <c r="Q2" s="3" t="s">
        <v>1202</v>
      </c>
      <c r="R2" s="3">
        <v>1375495</v>
      </c>
      <c r="S2" s="5">
        <v>0.30940000000000001</v>
      </c>
      <c r="T2" s="3" t="s">
        <v>1203</v>
      </c>
      <c r="U2" s="3">
        <v>758987420</v>
      </c>
      <c r="V2" s="3">
        <v>760937580</v>
      </c>
      <c r="W2" s="3">
        <v>7.04</v>
      </c>
      <c r="X2" s="3">
        <v>0.11</v>
      </c>
      <c r="Y2" s="3">
        <v>0.13</v>
      </c>
      <c r="Z2" s="3" t="s">
        <v>1879</v>
      </c>
      <c r="AA2" s="3" t="s">
        <v>1880</v>
      </c>
      <c r="AB2" s="3" t="s">
        <v>1881</v>
      </c>
      <c r="AC2" s="3" t="s">
        <v>1882</v>
      </c>
      <c r="AD2" s="3" t="s">
        <v>47</v>
      </c>
      <c r="AE2" s="3">
        <v>10084711</v>
      </c>
      <c r="AF2" s="3" t="s">
        <v>1205</v>
      </c>
      <c r="AG2" s="3" t="s">
        <v>1883</v>
      </c>
      <c r="AH2" s="3" t="s">
        <v>1206</v>
      </c>
      <c r="AI2" s="3" t="s">
        <v>98</v>
      </c>
      <c r="AJ2" s="3" t="s">
        <v>1207</v>
      </c>
      <c r="AK2" s="3" t="s">
        <v>1884</v>
      </c>
      <c r="AL2" s="3" t="s">
        <v>1208</v>
      </c>
      <c r="AM2" s="3" t="s">
        <v>47</v>
      </c>
      <c r="AN2" s="3" t="s">
        <v>1885</v>
      </c>
      <c r="AO2" s="3" t="s">
        <v>1886</v>
      </c>
      <c r="AP2" s="3" t="s">
        <v>827</v>
      </c>
      <c r="AQ2" s="3" t="s">
        <v>1663</v>
      </c>
      <c r="AR2" s="3" t="s">
        <v>47</v>
      </c>
      <c r="AS2" s="3" t="s">
        <v>1887</v>
      </c>
      <c r="AT2" s="3" t="s">
        <v>531</v>
      </c>
      <c r="AU2" s="3" t="s">
        <v>1888</v>
      </c>
      <c r="AV2" s="3" t="s">
        <v>1889</v>
      </c>
      <c r="AW2" s="3" t="s">
        <v>1890</v>
      </c>
      <c r="AX2" s="3" t="s">
        <v>841</v>
      </c>
      <c r="AY2" s="3" t="s">
        <v>605</v>
      </c>
      <c r="AZ2" s="3" t="s">
        <v>177</v>
      </c>
      <c r="BA2" s="3" t="s">
        <v>180</v>
      </c>
      <c r="BB2" s="3" t="s">
        <v>181</v>
      </c>
      <c r="BC2" s="3" t="s">
        <v>1209</v>
      </c>
      <c r="BD2" s="3" t="s">
        <v>1891</v>
      </c>
      <c r="BE2" s="3" t="s">
        <v>1892</v>
      </c>
      <c r="BF2" s="3" t="s">
        <v>1893</v>
      </c>
      <c r="BG2" s="3" t="s">
        <v>105</v>
      </c>
      <c r="BH2" s="3" t="s">
        <v>1202</v>
      </c>
      <c r="BI2" s="3" t="s">
        <v>690</v>
      </c>
      <c r="BJ2" s="3" t="s">
        <v>841</v>
      </c>
      <c r="BK2" s="3" t="s">
        <v>1203</v>
      </c>
      <c r="BL2" s="3" t="s">
        <v>1210</v>
      </c>
      <c r="BM2" s="3" t="s">
        <v>1209</v>
      </c>
      <c r="BN2" s="3" t="s">
        <v>47</v>
      </c>
      <c r="BO2" s="3" t="s">
        <v>47</v>
      </c>
      <c r="BP2" s="3" t="s">
        <v>47</v>
      </c>
      <c r="BQ2" s="3">
        <v>-2.04</v>
      </c>
      <c r="BR2" s="3">
        <v>-51.93</v>
      </c>
      <c r="BS2" s="3">
        <v>-27.85</v>
      </c>
      <c r="BT2" s="3" t="s">
        <v>856</v>
      </c>
      <c r="BU2" s="3" t="s">
        <v>226</v>
      </c>
      <c r="BV2" s="3">
        <v>11.15</v>
      </c>
      <c r="BW2" s="3">
        <v>1.17</v>
      </c>
      <c r="BX2" s="3">
        <v>11.71</v>
      </c>
      <c r="BY2" s="3">
        <v>-18.5</v>
      </c>
      <c r="BZ2" s="3">
        <v>-45.16</v>
      </c>
      <c r="CA2" s="3">
        <v>-35.17</v>
      </c>
      <c r="CB2" s="3">
        <v>17.39</v>
      </c>
      <c r="CC2" s="3">
        <v>-12.9</v>
      </c>
      <c r="CD2" s="3" t="s">
        <v>179</v>
      </c>
      <c r="CE2" s="3" t="s">
        <v>1894</v>
      </c>
      <c r="CF2" s="10">
        <v>0.29305135951661632</v>
      </c>
      <c r="CG2" s="11">
        <v>0.30949638233054072</v>
      </c>
      <c r="CH2" s="10">
        <v>0.20087815821170807</v>
      </c>
      <c r="CI2" s="10">
        <v>5.8072008192539215E-2</v>
      </c>
      <c r="CJ2" s="10">
        <v>6.4276881515979767E-2</v>
      </c>
      <c r="CK2" s="10">
        <v>-6.850888580083847E-2</v>
      </c>
      <c r="CL2" s="10">
        <v>-0.27108690142631531</v>
      </c>
      <c r="CM2" s="11">
        <v>0.48724490404129028</v>
      </c>
      <c r="CN2" s="11">
        <v>-0.33106961846351624</v>
      </c>
      <c r="CO2" s="11">
        <v>-137.24166870117187</v>
      </c>
      <c r="CP2" s="11">
        <v>-0.89067232608795166</v>
      </c>
      <c r="CQ2" s="11">
        <v>-0.67047077417373657</v>
      </c>
      <c r="CR2" s="3">
        <v>-3.8256265822325188</v>
      </c>
      <c r="CS2" s="3">
        <v>-11.685770389823595</v>
      </c>
      <c r="CT2" s="3">
        <v>0</v>
      </c>
      <c r="CU2" s="10">
        <v>-3.2737478613853455E-3</v>
      </c>
      <c r="CV2" s="11">
        <v>-27.729327303171157</v>
      </c>
      <c r="CW2" s="3">
        <v>0.06</v>
      </c>
      <c r="CX2" s="3" t="e">
        <v>#VALUE!</v>
      </c>
      <c r="CY2" s="3" t="s">
        <v>758</v>
      </c>
      <c r="CZ2" s="3">
        <v>-3.2737478613853455E-3</v>
      </c>
      <c r="DA2" s="3" t="e">
        <v>#VALUE!</v>
      </c>
      <c r="DB2" s="3" t="s">
        <v>758</v>
      </c>
      <c r="DC2" s="3">
        <v>-3.1100604683160782E-3</v>
      </c>
      <c r="DD2" s="3" t="e">
        <v>#VALUE!</v>
      </c>
      <c r="DE2" s="3" t="s">
        <v>758</v>
      </c>
      <c r="DF2" s="3">
        <v>-2.8808981180191038E-3</v>
      </c>
      <c r="DG2" s="3" t="e">
        <v>#VALUE!</v>
      </c>
      <c r="DH2" s="3" t="s">
        <v>758</v>
      </c>
      <c r="DI2" s="3">
        <v>-2.6189982891082764E-3</v>
      </c>
      <c r="DJ2" s="3" t="e">
        <v>#VALUE!</v>
      </c>
      <c r="DK2" s="3" t="s">
        <v>758</v>
      </c>
      <c r="DL2" s="3">
        <v>-2.2916235029697418E-3</v>
      </c>
      <c r="DM2" s="3">
        <v>-401999999.99999994</v>
      </c>
      <c r="DN2" s="3">
        <v>-3.2737478613853455E-3</v>
      </c>
      <c r="DO2" s="3">
        <v>4032265730</v>
      </c>
      <c r="DP2" s="3">
        <v>-416107100</v>
      </c>
      <c r="DQ2" s="3">
        <v>155</v>
      </c>
      <c r="DR2" s="3">
        <v>0.29632510737800166</v>
      </c>
      <c r="DS2" s="3">
        <v>28.038823685501697</v>
      </c>
      <c r="DT2" s="12">
        <v>-0.37333333333333335</v>
      </c>
      <c r="DU2" s="3">
        <v>-1.4933333333333332</v>
      </c>
      <c r="DV2" s="3">
        <v>-1.8666666666666665</v>
      </c>
      <c r="DW2" s="3">
        <v>5.741805635422657</v>
      </c>
      <c r="DX2" s="3">
        <v>0.45952210274790972</v>
      </c>
      <c r="DY2" s="3">
        <v>5.1480066202097774</v>
      </c>
      <c r="DZ2" s="3">
        <v>4307</v>
      </c>
      <c r="EA2" s="3">
        <v>5.0232581831758223</v>
      </c>
      <c r="EB2" s="3">
        <v>5</v>
      </c>
      <c r="EC2" s="3">
        <v>0.21946609602327696</v>
      </c>
      <c r="ED2" s="3">
        <v>1.0999588165957053</v>
      </c>
      <c r="EE2" s="13">
        <v>-6.0827999999999998</v>
      </c>
      <c r="EF2" s="3">
        <v>-6.0827999999999998</v>
      </c>
      <c r="EG2" s="3">
        <v>26.19952210274791</v>
      </c>
      <c r="EH2" s="3" t="s">
        <v>1895</v>
      </c>
      <c r="EI2" s="3">
        <v>1</v>
      </c>
      <c r="EJ2" s="3">
        <v>0</v>
      </c>
      <c r="EK2" s="15">
        <v>45470</v>
      </c>
      <c r="EL2" s="16">
        <v>-5.13</v>
      </c>
      <c r="EM2" s="16">
        <v>-5.41</v>
      </c>
      <c r="EN2" s="16">
        <v>4.76</v>
      </c>
      <c r="EO2" s="16">
        <v>5.45</v>
      </c>
      <c r="EP2" s="16">
        <v>0</v>
      </c>
    </row>
    <row r="3" spans="1:146" ht="204" x14ac:dyDescent="0.25">
      <c r="B3" s="7" t="s">
        <v>1181</v>
      </c>
      <c r="C3" s="7" t="str">
        <f>"公司一直专注于以“激光技术及其应用”为主业。公司业务包括智能制造业务、联接业务以及感知业务。2015年评定为国家级创新型企业。公司是中国最大的激光装备制造商之一"&amp;CHAR(10)&amp;Basic_Fundamental_Information_Constructure(F3)&amp;CHAR(10)&amp;Basic_Fundamental_Information_Concatenate("光电器件系列产品 18.37亿 36.56% 15.56% 9.70%
激光加工装备及智能制造产线 14.73亿 29.33% 47.83% 37.18%
敏感元器件 14.61亿 29.08% 29.56% 23.17%
激光全息膜类系列产品 1.94亿 3.86% 5.76% 33.99%")</f>
        <v>公司一直专注于以“激光技术及其应用”为主业。公司业务包括智能制造业务、联接业务以及感知业务。2015年评定为国家级创新型企业。公司是中国最大的激光装备制造商之一
市值294.31064亿, 利润10.07亿; PE29.77; 平均PE44.03; 平均PEG2.57, PB3.11; ROIC7.5033%; ROE10.6367%; 股利率.5125%; 毛利19.77%; 净利8.1833%; 上一年度营收增-15.01%, 利润增11.15%; 当季营收增-18.57%, 利润增-5.89%; 过往5年营收增17.1%, 利润增31%
Income profile:
光电器件系列产品 18.37亿 36.56% 15.56% 9.70%
激光加工装备及智能制造产线 14.73亿 29.33% 47.83% 37.18%
敏感元器件 14.61亿 29.08% 29.56% 23.17%
激光全息膜类系列产品 1.94亿 3.86% 5.76% 33.99%</v>
      </c>
      <c r="D3" s="3" t="s">
        <v>457</v>
      </c>
      <c r="E3" s="3" t="s">
        <v>458</v>
      </c>
      <c r="F3" s="3">
        <v>29.27</v>
      </c>
      <c r="G3" s="3">
        <v>1.39</v>
      </c>
      <c r="H3" s="3" t="s">
        <v>1896</v>
      </c>
      <c r="I3" s="3">
        <v>29431064000</v>
      </c>
      <c r="J3" s="3">
        <v>29.77</v>
      </c>
      <c r="K3" s="3">
        <v>3.11</v>
      </c>
      <c r="L3" s="3" t="s">
        <v>176</v>
      </c>
      <c r="M3" s="3" t="s">
        <v>1211</v>
      </c>
      <c r="N3" s="3" t="s">
        <v>1897</v>
      </c>
      <c r="O3" s="3" t="s">
        <v>1165</v>
      </c>
      <c r="P3" s="3">
        <v>-18.559999999999999</v>
      </c>
      <c r="Q3" s="3" t="s">
        <v>1212</v>
      </c>
      <c r="R3" s="3">
        <v>289867690</v>
      </c>
      <c r="S3" s="5">
        <v>-5.9200000000000003E-2</v>
      </c>
      <c r="T3" s="3" t="s">
        <v>1142</v>
      </c>
      <c r="U3" s="3">
        <v>1004985660</v>
      </c>
      <c r="V3" s="3">
        <v>1005502710</v>
      </c>
      <c r="W3" s="3">
        <v>1.86</v>
      </c>
      <c r="X3" s="3">
        <v>0.12</v>
      </c>
      <c r="Y3" s="3">
        <v>13.32</v>
      </c>
      <c r="Z3" s="3" t="s">
        <v>1898</v>
      </c>
      <c r="AA3" s="3" t="s">
        <v>1899</v>
      </c>
      <c r="AB3" s="3" t="s">
        <v>51</v>
      </c>
      <c r="AC3" s="3" t="s">
        <v>1900</v>
      </c>
      <c r="AD3" s="3" t="s">
        <v>47</v>
      </c>
      <c r="AE3" s="3">
        <v>-30255679</v>
      </c>
      <c r="AF3" s="3" t="s">
        <v>1213</v>
      </c>
      <c r="AG3" s="3" t="s">
        <v>1901</v>
      </c>
      <c r="AH3" s="3" t="s">
        <v>1214</v>
      </c>
      <c r="AI3" s="3" t="s">
        <v>1902</v>
      </c>
      <c r="AJ3" s="3" t="s">
        <v>1215</v>
      </c>
      <c r="AK3" s="3" t="s">
        <v>82</v>
      </c>
      <c r="AL3" s="3" t="s">
        <v>1216</v>
      </c>
      <c r="AM3" s="3" t="s">
        <v>47</v>
      </c>
      <c r="AN3" s="3" t="s">
        <v>1903</v>
      </c>
      <c r="AO3" s="3" t="s">
        <v>1904</v>
      </c>
      <c r="AP3" s="3" t="s">
        <v>1905</v>
      </c>
      <c r="AQ3" s="3" t="s">
        <v>1906</v>
      </c>
      <c r="AR3" s="3" t="s">
        <v>47</v>
      </c>
      <c r="AS3" s="3" t="s">
        <v>1907</v>
      </c>
      <c r="AT3" s="3" t="s">
        <v>1294</v>
      </c>
      <c r="AU3" s="3" t="s">
        <v>1908</v>
      </c>
      <c r="AV3" s="3" t="s">
        <v>1909</v>
      </c>
      <c r="AW3" s="3" t="s">
        <v>531</v>
      </c>
      <c r="AX3" s="3" t="s">
        <v>959</v>
      </c>
      <c r="AY3" s="3" t="s">
        <v>607</v>
      </c>
      <c r="AZ3" s="3" t="s">
        <v>459</v>
      </c>
      <c r="BA3" s="3" t="s">
        <v>460</v>
      </c>
      <c r="BB3" s="3" t="s">
        <v>461</v>
      </c>
      <c r="BC3" s="3" t="s">
        <v>960</v>
      </c>
      <c r="BD3" s="3" t="s">
        <v>550</v>
      </c>
      <c r="BE3" s="3" t="s">
        <v>231</v>
      </c>
      <c r="BF3" s="3" t="s">
        <v>278</v>
      </c>
      <c r="BG3" s="3" t="s">
        <v>152</v>
      </c>
      <c r="BH3" s="3" t="s">
        <v>1212</v>
      </c>
      <c r="BI3" s="3" t="s">
        <v>1066</v>
      </c>
      <c r="BJ3" s="3" t="s">
        <v>959</v>
      </c>
      <c r="BK3" s="3" t="s">
        <v>1142</v>
      </c>
      <c r="BL3" s="3" t="s">
        <v>126</v>
      </c>
      <c r="BM3" s="3" t="s">
        <v>960</v>
      </c>
      <c r="BN3" s="3">
        <v>6.34</v>
      </c>
      <c r="BO3" s="3">
        <v>8.02</v>
      </c>
      <c r="BP3" s="3">
        <v>8.15</v>
      </c>
      <c r="BQ3" s="3">
        <v>9.4499999999999993</v>
      </c>
      <c r="BR3" s="3">
        <v>11.59</v>
      </c>
      <c r="BS3" s="3">
        <v>10.87</v>
      </c>
      <c r="BT3" s="3" t="s">
        <v>1218</v>
      </c>
      <c r="BU3" s="3" t="s">
        <v>808</v>
      </c>
      <c r="BV3" s="3">
        <v>23.11</v>
      </c>
      <c r="BW3" s="3">
        <v>19.16</v>
      </c>
      <c r="BX3" s="3">
        <v>17.04</v>
      </c>
      <c r="BY3" s="3">
        <v>9.7799999999999994</v>
      </c>
      <c r="BZ3" s="3">
        <v>7.41</v>
      </c>
      <c r="CA3" s="3">
        <v>7.36</v>
      </c>
      <c r="CB3" s="3">
        <v>-2.21</v>
      </c>
      <c r="CC3" s="3">
        <v>-4.5</v>
      </c>
      <c r="CD3" s="3" t="s">
        <v>1910</v>
      </c>
      <c r="CE3" s="3" t="s">
        <v>172</v>
      </c>
      <c r="CF3" s="10">
        <v>-0.18574108818011256</v>
      </c>
      <c r="CG3" s="11">
        <v>-5.8871136363636362E-2</v>
      </c>
      <c r="CH3" s="10">
        <v>-0.15011239051818848</v>
      </c>
      <c r="CI3" s="10">
        <v>0.18137107789516449</v>
      </c>
      <c r="CJ3" s="10">
        <v>0.65640276670455933</v>
      </c>
      <c r="CK3" s="10">
        <v>0.12417585402727127</v>
      </c>
      <c r="CL3" s="10">
        <v>4.3378524482250214E-2</v>
      </c>
      <c r="CM3" s="11">
        <v>0.1114790290594101</v>
      </c>
      <c r="CN3" s="11">
        <v>0.19053876399993896</v>
      </c>
      <c r="CO3" s="11">
        <v>0.38363635540008545</v>
      </c>
      <c r="CP3" s="11">
        <v>9.3439362943172455E-2</v>
      </c>
      <c r="CQ3" s="11">
        <v>0.77112674713134766</v>
      </c>
      <c r="CR3" s="3">
        <v>44.025525804038892</v>
      </c>
      <c r="CS3" s="3">
        <v>2.5739423971288202</v>
      </c>
      <c r="CT3" s="3">
        <v>0.51247010591048858</v>
      </c>
      <c r="CU3" s="10">
        <v>0.17104316651821136</v>
      </c>
      <c r="CV3" s="11">
        <v>0.31004405170679095</v>
      </c>
      <c r="CW3" s="3">
        <v>0.06</v>
      </c>
      <c r="CX3" s="3">
        <v>25.338689294940664</v>
      </c>
      <c r="CY3" s="3">
        <v>1112491008.1923008</v>
      </c>
      <c r="CZ3" s="3">
        <v>0.17104316651821136</v>
      </c>
      <c r="DA3" s="3">
        <v>7.7362436311828562</v>
      </c>
      <c r="DB3" s="3">
        <v>3643766321.7297034</v>
      </c>
      <c r="DC3" s="3">
        <v>0.16249100819230078</v>
      </c>
      <c r="DD3" s="3">
        <v>3.4681634134259691</v>
      </c>
      <c r="DE3" s="3">
        <v>8127951494.6943893</v>
      </c>
      <c r="DF3" s="3">
        <v>0.15051798653602599</v>
      </c>
      <c r="DG3" s="3">
        <v>1.8670741033151914</v>
      </c>
      <c r="DH3" s="3">
        <v>15097988853.226166</v>
      </c>
      <c r="DI3" s="3">
        <v>0.13683453321456909</v>
      </c>
      <c r="DJ3" s="3">
        <v>0.7491324226033288</v>
      </c>
      <c r="DK3" s="3">
        <v>37628946698.154488</v>
      </c>
      <c r="DL3" s="3">
        <v>0.11973021656274795</v>
      </c>
      <c r="DM3" s="3">
        <v>1007000000</v>
      </c>
      <c r="DN3" s="3">
        <v>0.17104316651821136</v>
      </c>
      <c r="DO3" s="3">
        <v>28189064000</v>
      </c>
      <c r="DP3" s="3">
        <v>9033016000</v>
      </c>
      <c r="DQ3" s="3">
        <v>420</v>
      </c>
      <c r="DR3" s="3">
        <v>-0.35678425469832392</v>
      </c>
      <c r="DS3" s="3">
        <v>-0.36891518807042734</v>
      </c>
      <c r="DT3" s="12">
        <v>-0.19000000000000003</v>
      </c>
      <c r="DU3" s="3">
        <v>0.48333333333333334</v>
      </c>
      <c r="DV3" s="3">
        <v>0.29333333333333333</v>
      </c>
      <c r="DW3" s="3">
        <v>-1.0449999999999999</v>
      </c>
      <c r="DX3" s="3">
        <v>0.39894032023289783</v>
      </c>
      <c r="DY3" s="3">
        <v>-1.0062523144104802</v>
      </c>
      <c r="DZ3" s="3">
        <v>1058</v>
      </c>
      <c r="EA3" s="3">
        <v>-1.0049578039121851</v>
      </c>
      <c r="EB3" s="3">
        <v>1</v>
      </c>
      <c r="EC3" s="3">
        <v>9.4929629776930188E-2</v>
      </c>
      <c r="ED3" s="3">
        <v>0.68324032662229228</v>
      </c>
      <c r="EE3" s="13">
        <v>3.0101100000000001</v>
      </c>
      <c r="EF3" s="3">
        <v>3.0357099999999999</v>
      </c>
      <c r="EG3" s="3">
        <v>26.138940320232898</v>
      </c>
      <c r="EH3" s="3" t="s">
        <v>1192</v>
      </c>
      <c r="EI3" s="3">
        <v>0</v>
      </c>
      <c r="EJ3" s="3">
        <v>1</v>
      </c>
      <c r="EK3" s="15">
        <v>45470</v>
      </c>
      <c r="EL3" s="16">
        <v>2.15</v>
      </c>
      <c r="EM3" s="16">
        <v>-3.1</v>
      </c>
      <c r="EN3" s="16">
        <v>-1.29</v>
      </c>
      <c r="EO3" s="16">
        <v>3.45</v>
      </c>
      <c r="EP3" s="16">
        <v>-2.56</v>
      </c>
    </row>
    <row r="4" spans="1:146" ht="108" x14ac:dyDescent="0.25">
      <c r="A4" s="3"/>
      <c r="B4" s="3"/>
      <c r="C4" s="7" t="str">
        <f>""&amp;CHAR(10)&amp;Basic_Fundamental_Information_Constructure(F4)&amp;CHAR(10)&amp;Basic_Fundamental_Information_Concatenate("")</f>
        <v xml:space="preserve">
市值23.444688亿, 利润1.14亿; PE20.08; 平均PE16.09; 平均PEG.68, PB1.22; ROIC21.6833%; ROE27.5833%; 股利率2.2753%; 毛利41.97%; 净利36.8933%; 上一年度营收增-35.78%, 利润增-37.7%; 当季营收增32.14%, 利润增9.54%; 过往5年营收增23.59%, 利润增58.6%
Income profile:
</v>
      </c>
      <c r="D4" s="5" t="s">
        <v>866</v>
      </c>
      <c r="E4" s="3" t="s">
        <v>867</v>
      </c>
      <c r="F4" s="3">
        <v>35.159999999999997</v>
      </c>
      <c r="G4" s="3">
        <v>1.82</v>
      </c>
      <c r="H4" s="3" t="s">
        <v>1911</v>
      </c>
      <c r="I4" s="3">
        <v>2344468800</v>
      </c>
      <c r="J4" s="3">
        <v>20.079999999999998</v>
      </c>
      <c r="K4" s="3">
        <v>1.22</v>
      </c>
      <c r="L4" s="3" t="s">
        <v>176</v>
      </c>
      <c r="M4" s="3" t="s">
        <v>62</v>
      </c>
      <c r="N4" s="3" t="s">
        <v>1912</v>
      </c>
      <c r="O4" s="3" t="s">
        <v>763</v>
      </c>
      <c r="P4" s="3">
        <v>32.520000000000003</v>
      </c>
      <c r="Q4" s="3" t="s">
        <v>277</v>
      </c>
      <c r="R4" s="3">
        <v>32269575</v>
      </c>
      <c r="S4" s="3">
        <v>9.5399999999999999E-2</v>
      </c>
      <c r="T4" s="3" t="s">
        <v>1219</v>
      </c>
      <c r="U4" s="3">
        <v>16680000</v>
      </c>
      <c r="V4" s="3">
        <v>66680000</v>
      </c>
      <c r="W4" s="3">
        <v>1.07</v>
      </c>
      <c r="X4" s="3">
        <v>0.06</v>
      </c>
      <c r="Y4" s="3">
        <v>25.74</v>
      </c>
      <c r="Z4" s="3" t="s">
        <v>284</v>
      </c>
      <c r="AA4" s="3" t="s">
        <v>1913</v>
      </c>
      <c r="AB4" s="3" t="s">
        <v>1914</v>
      </c>
      <c r="AC4" s="3" t="s">
        <v>1915</v>
      </c>
      <c r="AD4" s="3" t="s">
        <v>47</v>
      </c>
      <c r="AE4" s="3">
        <v>-3839359</v>
      </c>
      <c r="AF4" s="3" t="s">
        <v>1220</v>
      </c>
      <c r="AG4" s="3">
        <v>6700.67</v>
      </c>
      <c r="AH4" s="3" t="s">
        <v>1221</v>
      </c>
      <c r="AI4" s="3" t="s">
        <v>1916</v>
      </c>
      <c r="AJ4" s="3" t="s">
        <v>1222</v>
      </c>
      <c r="AK4" s="3" t="s">
        <v>47</v>
      </c>
      <c r="AL4" s="3" t="s">
        <v>1223</v>
      </c>
      <c r="AM4" s="3" t="s">
        <v>47</v>
      </c>
      <c r="AN4" s="3" t="s">
        <v>366</v>
      </c>
      <c r="AO4" s="3" t="s">
        <v>47</v>
      </c>
      <c r="AP4" s="3" t="s">
        <v>47</v>
      </c>
      <c r="AQ4" s="3" t="s">
        <v>1917</v>
      </c>
      <c r="AR4" s="3" t="s">
        <v>47</v>
      </c>
      <c r="AS4" s="3" t="s">
        <v>72</v>
      </c>
      <c r="AT4" s="3" t="s">
        <v>47</v>
      </c>
      <c r="AU4" s="3" t="s">
        <v>1918</v>
      </c>
      <c r="AV4" s="3" t="s">
        <v>1919</v>
      </c>
      <c r="AW4" s="3">
        <v>0</v>
      </c>
      <c r="AX4" s="3" t="s">
        <v>769</v>
      </c>
      <c r="AY4" s="3" t="s">
        <v>868</v>
      </c>
      <c r="AZ4" s="3" t="s">
        <v>870</v>
      </c>
      <c r="BA4" s="3" t="s">
        <v>50</v>
      </c>
      <c r="BB4" s="3" t="s">
        <v>298</v>
      </c>
      <c r="BC4" s="3" t="s">
        <v>201</v>
      </c>
      <c r="BD4" s="3" t="s">
        <v>869</v>
      </c>
      <c r="BE4" s="3" t="s">
        <v>250</v>
      </c>
      <c r="BF4" s="3" t="s">
        <v>871</v>
      </c>
      <c r="BG4" s="3" t="s">
        <v>872</v>
      </c>
      <c r="BH4" s="3" t="s">
        <v>277</v>
      </c>
      <c r="BI4" s="3" t="s">
        <v>1224</v>
      </c>
      <c r="BJ4" s="3" t="s">
        <v>769</v>
      </c>
      <c r="BK4" s="3" t="s">
        <v>1219</v>
      </c>
      <c r="BL4" s="3" t="s">
        <v>1225</v>
      </c>
      <c r="BM4" s="3" t="s">
        <v>201</v>
      </c>
      <c r="BN4" s="3">
        <v>5.16</v>
      </c>
      <c r="BO4" s="3">
        <v>15.06</v>
      </c>
      <c r="BP4" s="3">
        <v>44.83</v>
      </c>
      <c r="BQ4" s="3">
        <v>5.88</v>
      </c>
      <c r="BR4" s="3">
        <v>27.4</v>
      </c>
      <c r="BS4" s="3">
        <v>49.47</v>
      </c>
      <c r="BT4" s="3" t="s">
        <v>1226</v>
      </c>
      <c r="BU4" s="3" t="s">
        <v>748</v>
      </c>
      <c r="BV4" s="3">
        <v>31.6</v>
      </c>
      <c r="BW4" s="3">
        <v>46.79</v>
      </c>
      <c r="BX4" s="3">
        <v>47.52</v>
      </c>
      <c r="BY4" s="3">
        <v>34.29</v>
      </c>
      <c r="BZ4" s="3">
        <v>35.450000000000003</v>
      </c>
      <c r="CA4" s="3">
        <v>40.94</v>
      </c>
      <c r="CB4" s="3">
        <v>-0.09</v>
      </c>
      <c r="CC4" s="1">
        <v>-12.82</v>
      </c>
      <c r="CD4" s="1" t="s">
        <v>1920</v>
      </c>
      <c r="CE4" s="1" t="s">
        <v>1921</v>
      </c>
      <c r="CF4" s="10">
        <v>0.32140754217140027</v>
      </c>
      <c r="CG4" s="11">
        <v>9.5387735704950863E-2</v>
      </c>
      <c r="CH4" s="10">
        <v>-0.35783365368843079</v>
      </c>
      <c r="CI4" s="10">
        <v>-7.3476701974868774E-2</v>
      </c>
      <c r="CJ4" s="10">
        <v>5.4820414632558823E-2</v>
      </c>
      <c r="CK4" s="10">
        <v>1.3407080173492432</v>
      </c>
      <c r="CL4" s="10">
        <v>0.21505376696586609</v>
      </c>
      <c r="CM4" s="11">
        <v>-0.37704917788505554</v>
      </c>
      <c r="CN4" s="11">
        <v>-0.20087336003780365</v>
      </c>
      <c r="CO4" s="11">
        <v>-7.2874493896961212E-2</v>
      </c>
      <c r="CP4" s="11">
        <v>3.1865043640136719</v>
      </c>
      <c r="CQ4" s="11">
        <v>0.39415156841278076</v>
      </c>
      <c r="CR4" s="1">
        <v>16.088895792046394</v>
      </c>
      <c r="CS4" s="1">
        <v>0.68215381736061398</v>
      </c>
      <c r="CT4" s="1">
        <v>2.2753128555176341</v>
      </c>
      <c r="CU4" s="10">
        <v>0.2358543686568737</v>
      </c>
      <c r="CV4" s="11">
        <v>0.58597178012132645</v>
      </c>
      <c r="CW4" s="3">
        <v>0.06</v>
      </c>
      <c r="CX4" s="3">
        <v>4.4049143975359684</v>
      </c>
      <c r="CY4" s="3">
        <v>132912639.64800337</v>
      </c>
      <c r="CZ4" s="3">
        <v>0.2358543686568737</v>
      </c>
      <c r="DA4" s="3">
        <v>1.2749408740134891</v>
      </c>
      <c r="DB4" s="3">
        <v>459212510.89625484</v>
      </c>
      <c r="DC4" s="3">
        <v>0.22406165022403002</v>
      </c>
      <c r="DD4" s="3">
        <v>0.52923237962440772</v>
      </c>
      <c r="DE4" s="3">
        <v>1106260354.6961787</v>
      </c>
      <c r="DF4" s="3">
        <v>0.20755184441804886</v>
      </c>
      <c r="DG4" s="3">
        <v>0.25921081401033275</v>
      </c>
      <c r="DH4" s="3">
        <v>2258658853.5486865</v>
      </c>
      <c r="DI4" s="3">
        <v>0.18868349492549896</v>
      </c>
      <c r="DJ4" s="3">
        <v>8.2370507984895716E-2</v>
      </c>
      <c r="DK4" s="3">
        <v>7107747837.4584923</v>
      </c>
      <c r="DL4" s="3">
        <v>0.16509805805981159</v>
      </c>
      <c r="DM4" s="3">
        <v>113999999.99999999</v>
      </c>
      <c r="DN4" s="3">
        <v>0.2358543686568737</v>
      </c>
      <c r="DO4" s="3">
        <v>585468800</v>
      </c>
      <c r="DP4" s="3">
        <v>1312110800</v>
      </c>
      <c r="DQ4" s="12">
        <v>446</v>
      </c>
      <c r="DR4" s="3">
        <v>8.555317351452657E-2</v>
      </c>
      <c r="DS4" s="3">
        <v>-0.4905840444163756</v>
      </c>
      <c r="DT4" s="3">
        <v>-0.27333333333333337</v>
      </c>
      <c r="DU4" s="3">
        <v>0.20166666666666658</v>
      </c>
      <c r="DV4" s="3">
        <v>-7.1666666666666795E-2</v>
      </c>
      <c r="DW4" s="3">
        <v>-2.1282000000000001</v>
      </c>
      <c r="DX4" s="3">
        <v>0.4038957218502226</v>
      </c>
      <c r="DY4" s="3">
        <v>-2.0197294315411987</v>
      </c>
      <c r="DZ4" s="3">
        <v>1875</v>
      </c>
      <c r="EA4" s="3">
        <v>-2.0124901587154165</v>
      </c>
      <c r="EB4" s="13">
        <v>2</v>
      </c>
      <c r="EC4" s="3">
        <v>3.2951409718056386E-2</v>
      </c>
      <c r="ED4" s="3">
        <v>0.21411517696460708</v>
      </c>
      <c r="EE4" s="3">
        <v>-3.0122100000000001</v>
      </c>
      <c r="EF4" s="3">
        <v>-3.0300099999999999</v>
      </c>
      <c r="EG4" s="3">
        <v>25.153895721850223</v>
      </c>
      <c r="EH4" s="15" t="s">
        <v>1182</v>
      </c>
      <c r="EI4" s="16">
        <v>0</v>
      </c>
      <c r="EJ4" s="16">
        <v>0</v>
      </c>
      <c r="EK4" s="16">
        <v>45470</v>
      </c>
      <c r="EL4" s="16">
        <v>-1.28</v>
      </c>
      <c r="EM4" s="16">
        <v>-4.79</v>
      </c>
      <c r="EN4" s="16">
        <v>0.4</v>
      </c>
      <c r="EO4" s="16">
        <v>3.6</v>
      </c>
      <c r="EP4" s="16">
        <v>-1.78</v>
      </c>
    </row>
    <row r="5" spans="1:146" ht="108" x14ac:dyDescent="0.25">
      <c r="C5" s="7" t="str">
        <f>""&amp;CHAR(10)&amp;Basic_Fundamental_Information_Constructure(F5)&amp;CHAR(10)&amp;Basic_Fundamental_Information_Concatenate("")</f>
        <v xml:space="preserve">
市值19.369817亿, 利润-964.35万; PE; 平均PE27.92; 平均PEG.98, PB1.94; ROIC16.48%; ROE15.93%; 股利率1.0678%; 毛利37.25%; 净利13.56%; 上一年度营收增-1.72%, 利润增-113.39%; 当季营收增-20.16%, 利润增-158.17%; 过往5年营收增28.42%, 利润增8.09%
Income profile:
</v>
      </c>
      <c r="D5" s="3" t="s">
        <v>609</v>
      </c>
      <c r="E5" s="3" t="s">
        <v>610</v>
      </c>
      <c r="F5" s="3">
        <v>18.73</v>
      </c>
      <c r="G5" s="3">
        <v>-5.78</v>
      </c>
      <c r="H5" s="3" t="s">
        <v>1922</v>
      </c>
      <c r="I5" s="3">
        <v>1936981700</v>
      </c>
      <c r="K5" s="3">
        <v>1.94</v>
      </c>
      <c r="L5" s="3" t="s">
        <v>176</v>
      </c>
      <c r="M5" s="3" t="s">
        <v>1075</v>
      </c>
      <c r="N5" s="3" t="s">
        <v>1923</v>
      </c>
      <c r="O5" s="3" t="s">
        <v>1227</v>
      </c>
      <c r="P5" s="3">
        <v>-20.09</v>
      </c>
      <c r="Q5" s="3" t="s">
        <v>262</v>
      </c>
      <c r="R5" s="3">
        <v>-3412607</v>
      </c>
      <c r="S5" s="5">
        <v>-1.5820000000000001</v>
      </c>
      <c r="T5" s="3" t="s">
        <v>1228</v>
      </c>
      <c r="U5" s="3">
        <v>35271600</v>
      </c>
      <c r="V5" s="3">
        <v>103416000</v>
      </c>
      <c r="W5" s="3">
        <v>1.38</v>
      </c>
      <c r="X5" s="3">
        <v>7.0000000000000007E-2</v>
      </c>
      <c r="Y5" s="3">
        <v>-4.72</v>
      </c>
      <c r="Z5" s="3" t="s">
        <v>1924</v>
      </c>
      <c r="AA5" s="3" t="s">
        <v>1925</v>
      </c>
      <c r="AB5" s="3" t="s">
        <v>1926</v>
      </c>
      <c r="AC5" s="3" t="s">
        <v>1927</v>
      </c>
      <c r="AD5" s="3" t="s">
        <v>47</v>
      </c>
      <c r="AE5" s="3">
        <v>-419784</v>
      </c>
      <c r="AF5" s="3" t="s">
        <v>1229</v>
      </c>
      <c r="AG5" s="3">
        <v>68.599999999999994</v>
      </c>
      <c r="AH5" s="3" t="s">
        <v>1230</v>
      </c>
      <c r="AI5" s="3" t="s">
        <v>1928</v>
      </c>
      <c r="AJ5" s="3" t="s">
        <v>1231</v>
      </c>
      <c r="AK5" s="3" t="s">
        <v>1929</v>
      </c>
      <c r="AL5" s="3" t="s">
        <v>1232</v>
      </c>
      <c r="AM5" s="3" t="s">
        <v>47</v>
      </c>
      <c r="AN5" s="3" t="s">
        <v>1930</v>
      </c>
      <c r="AO5" s="3" t="s">
        <v>1163</v>
      </c>
      <c r="AP5" s="3" t="s">
        <v>1931</v>
      </c>
      <c r="AQ5" s="3" t="s">
        <v>284</v>
      </c>
      <c r="AR5" s="3" t="s">
        <v>47</v>
      </c>
      <c r="AS5" s="3" t="s">
        <v>1171</v>
      </c>
      <c r="AT5" s="3" t="s">
        <v>1932</v>
      </c>
      <c r="AU5" s="3" t="s">
        <v>1933</v>
      </c>
      <c r="AV5" s="3" t="s">
        <v>1934</v>
      </c>
      <c r="AW5" s="3" t="s">
        <v>97</v>
      </c>
      <c r="AX5" s="3" t="s">
        <v>327</v>
      </c>
      <c r="AY5" s="3" t="s">
        <v>611</v>
      </c>
      <c r="AZ5" s="3" t="s">
        <v>262</v>
      </c>
      <c r="BA5" s="3" t="s">
        <v>351</v>
      </c>
      <c r="BB5" s="3" t="s">
        <v>612</v>
      </c>
      <c r="BC5" s="3" t="s">
        <v>1233</v>
      </c>
      <c r="BD5" s="3" t="s">
        <v>174</v>
      </c>
      <c r="BE5" s="3" t="s">
        <v>118</v>
      </c>
      <c r="BF5" s="3" t="s">
        <v>613</v>
      </c>
      <c r="BG5" s="3" t="s">
        <v>614</v>
      </c>
      <c r="BH5" s="3" t="s">
        <v>262</v>
      </c>
      <c r="BI5" s="3" t="s">
        <v>271</v>
      </c>
      <c r="BJ5" s="3" t="s">
        <v>327</v>
      </c>
      <c r="BK5" s="3" t="s">
        <v>1228</v>
      </c>
      <c r="BL5" s="3" t="s">
        <v>1234</v>
      </c>
      <c r="BM5" s="3" t="s">
        <v>1233</v>
      </c>
      <c r="BN5" s="3">
        <v>0.79</v>
      </c>
      <c r="BO5" s="3">
        <v>9.7799999999999994</v>
      </c>
      <c r="BP5" s="3">
        <v>38.869999999999997</v>
      </c>
      <c r="BQ5" s="3">
        <v>0.9</v>
      </c>
      <c r="BR5" s="3">
        <v>7.81</v>
      </c>
      <c r="BS5" s="3">
        <v>39.08</v>
      </c>
      <c r="BT5" s="3" t="s">
        <v>858</v>
      </c>
      <c r="BU5" s="3" t="s">
        <v>747</v>
      </c>
      <c r="BV5" s="3">
        <v>27.73</v>
      </c>
      <c r="BW5" s="3">
        <v>38.33</v>
      </c>
      <c r="BX5" s="3">
        <v>45.69</v>
      </c>
      <c r="BY5" s="3">
        <v>-2.8</v>
      </c>
      <c r="BZ5" s="3">
        <v>17.559999999999999</v>
      </c>
      <c r="CA5" s="3">
        <v>25.92</v>
      </c>
      <c r="CB5" s="3">
        <v>-13.77</v>
      </c>
      <c r="CC5" s="3">
        <v>-14.16</v>
      </c>
      <c r="CD5" s="3" t="s">
        <v>1935</v>
      </c>
      <c r="CE5" s="3" t="s">
        <v>101</v>
      </c>
      <c r="CF5" s="10">
        <v>-0.2016185840707965</v>
      </c>
      <c r="CG5" s="11">
        <v>-1.5816811549737508</v>
      </c>
      <c r="CH5" s="10">
        <v>-1.7199017107486725E-2</v>
      </c>
      <c r="CI5" s="10">
        <v>-0.18924303352832794</v>
      </c>
      <c r="CJ5" s="10">
        <v>0.25499999523162842</v>
      </c>
      <c r="CK5" s="10">
        <v>0.6064257025718689</v>
      </c>
      <c r="CL5" s="10">
        <v>0.76595747470855713</v>
      </c>
      <c r="CM5" s="11">
        <v>-1.133893609046936</v>
      </c>
      <c r="CN5" s="11">
        <v>-0.44597229361534119</v>
      </c>
      <c r="CO5" s="11">
        <v>0.1304347813129425</v>
      </c>
      <c r="CP5" s="11">
        <v>0.50698906183242798</v>
      </c>
      <c r="CQ5" s="11">
        <v>1.3470590114593506</v>
      </c>
      <c r="CR5" s="3">
        <v>27.923495818283648</v>
      </c>
      <c r="CS5" s="3">
        <v>0.9825704734835492</v>
      </c>
      <c r="CT5" s="3">
        <v>1.0678056593699947</v>
      </c>
      <c r="CU5" s="10">
        <v>0.28418822437524793</v>
      </c>
      <c r="CV5" s="11">
        <v>8.0923390388488767E-2</v>
      </c>
      <c r="CW5" s="3">
        <v>0.06</v>
      </c>
      <c r="CX5" s="3" t="e">
        <v>#VALUE!</v>
      </c>
      <c r="CY5" s="3" t="s">
        <v>757</v>
      </c>
      <c r="CZ5" s="3">
        <v>0.28418822437524793</v>
      </c>
      <c r="DA5" s="3" t="e">
        <v>#VALUE!</v>
      </c>
      <c r="DB5" s="3" t="s">
        <v>758</v>
      </c>
      <c r="DC5" s="3">
        <v>0.26997881315648553</v>
      </c>
      <c r="DD5" s="3" t="e">
        <v>#VALUE!</v>
      </c>
      <c r="DE5" s="3" t="s">
        <v>758</v>
      </c>
      <c r="DF5" s="3">
        <v>0.25008563745021817</v>
      </c>
      <c r="DG5" s="3" t="e">
        <v>#VALUE!</v>
      </c>
      <c r="DH5" s="3" t="s">
        <v>758</v>
      </c>
      <c r="DI5" s="3">
        <v>0.22735057950019835</v>
      </c>
      <c r="DJ5" s="3" t="e">
        <v>#VALUE!</v>
      </c>
      <c r="DK5" s="3" t="s">
        <v>758</v>
      </c>
      <c r="DL5" s="3">
        <v>0.19893175706267355</v>
      </c>
      <c r="DM5" s="3">
        <v>-9643500</v>
      </c>
      <c r="DN5" s="3">
        <v>0.28418822437524793</v>
      </c>
      <c r="DO5" s="3">
        <v>1111981700</v>
      </c>
      <c r="DP5" s="3">
        <v>839642470</v>
      </c>
      <c r="DQ5" s="3">
        <v>463</v>
      </c>
      <c r="DR5" s="3">
        <v>-0.4858068084460444</v>
      </c>
      <c r="DS5" s="3">
        <v>-1.6626045453622396</v>
      </c>
      <c r="DT5" s="12">
        <v>-2.3333333333333428E-2</v>
      </c>
      <c r="DU5" s="3">
        <v>-1.4816666666666667</v>
      </c>
      <c r="DV5" s="3">
        <v>-1.5050000000000001</v>
      </c>
      <c r="DW5" s="3">
        <v>-9.9724576271186436</v>
      </c>
      <c r="DX5" s="3">
        <v>0.50119166666666737</v>
      </c>
      <c r="DY5" s="3">
        <v>-9.3123452860169493</v>
      </c>
      <c r="DZ5" s="3">
        <v>4023</v>
      </c>
      <c r="EA5" s="3">
        <v>-9.0664421381409834</v>
      </c>
      <c r="EB5" s="3">
        <v>9</v>
      </c>
      <c r="EC5" s="3">
        <v>0.33542875377117659</v>
      </c>
      <c r="ED5" s="3">
        <v>1.0443258296588536</v>
      </c>
      <c r="EE5" s="13">
        <v>4.1071</v>
      </c>
      <c r="EF5" s="3">
        <v>4.0071000000000003</v>
      </c>
      <c r="EG5" s="3">
        <v>18.321191666666667</v>
      </c>
      <c r="EH5" s="3" t="s">
        <v>1756</v>
      </c>
      <c r="EI5" s="3">
        <v>0</v>
      </c>
      <c r="EJ5" s="3">
        <v>0</v>
      </c>
      <c r="EK5" s="15">
        <v>45470</v>
      </c>
      <c r="EL5" s="16">
        <v>2.8</v>
      </c>
      <c r="EM5" s="16">
        <v>9.99</v>
      </c>
      <c r="EN5" s="16">
        <v>10</v>
      </c>
      <c r="EO5" s="16">
        <v>4.3</v>
      </c>
      <c r="EP5" s="16">
        <v>-10</v>
      </c>
    </row>
    <row r="6" spans="1:146" ht="192" x14ac:dyDescent="0.25">
      <c r="A6" s="9" t="s">
        <v>591</v>
      </c>
      <c r="B6" s="9" t="s">
        <v>592</v>
      </c>
      <c r="C6" s="9" t="str">
        <f>"公司主要从事激光加工设备的研发、生产与销售。公司的主要产品为激光信息标记设备、激光焊接设备和激光切割设备、PCB设备、光伏设备、LED封装设备等。"&amp;CHAR(10)&amp;Basic_Fundamental_Information_Constructure(F6)&amp;CHAR(10)&amp;Basic_Fundamental_Information_Concatenate("激光及自动化配套设备 47.17亿 68.00% 65.45% 34.91%
PCB及自动化配套设备 17.25亿 24.86% 25.71% 37.52%
其他 4.95亿 7.13% 8.84% 44.96%")</f>
        <v>公司主要从事激光加工设备的研发、生产与销售。公司的主要产品为激光信息标记设备、激光焊接设备和激光切割设备、PCB设备、光伏设备、LED封装设备等。
市值209.70206亿, 利润8.20亿; PE12.58; 平均PE17.07; 平均PEG2.5, PB1.33; ROIC8.2733%; ROE10.4967%; 股利率1.0035%; 毛利35.9033%; 净利9.26%; 上一年度营收增-5.82%, 利润增-32.51%; 当季营收增9.53%, 利润增596.47%; 过往5年营收增6.83%, 利润增4.39%
Income profile:
激光及自动化配套设备 47.17亿 68.00% 65.45% 34.91%
PCB及自动化配套设备 17.25亿 24.86% 25.71% 37.52%
其他 4.95亿 7.13% 8.84% 44.96%</v>
      </c>
      <c r="D6" s="3" t="s">
        <v>462</v>
      </c>
      <c r="E6" s="3" t="s">
        <v>463</v>
      </c>
      <c r="F6" s="3">
        <v>19.93</v>
      </c>
      <c r="G6" s="3">
        <v>-1.53</v>
      </c>
      <c r="H6" s="3" t="s">
        <v>1936</v>
      </c>
      <c r="I6" s="3">
        <v>20970206000</v>
      </c>
      <c r="J6" s="3">
        <v>12.58</v>
      </c>
      <c r="K6" s="3">
        <v>1.33</v>
      </c>
      <c r="L6" s="3" t="s">
        <v>176</v>
      </c>
      <c r="M6" s="3" t="s">
        <v>1235</v>
      </c>
      <c r="N6" s="3" t="s">
        <v>1937</v>
      </c>
      <c r="O6" s="3" t="s">
        <v>1236</v>
      </c>
      <c r="P6" s="3">
        <v>9.51</v>
      </c>
      <c r="Q6" s="3" t="s">
        <v>1237</v>
      </c>
      <c r="R6" s="3">
        <v>988980530</v>
      </c>
      <c r="S6" s="5">
        <v>5.9429999999999996</v>
      </c>
      <c r="T6" s="3" t="s">
        <v>1238</v>
      </c>
      <c r="U6" s="3">
        <v>979283960</v>
      </c>
      <c r="V6" s="3">
        <v>1052193000</v>
      </c>
      <c r="W6" s="3">
        <v>1.91</v>
      </c>
      <c r="X6" s="3">
        <v>0.08</v>
      </c>
      <c r="Y6" s="3">
        <v>37.590000000000003</v>
      </c>
      <c r="Z6" s="3" t="s">
        <v>1938</v>
      </c>
      <c r="AA6" s="3" t="s">
        <v>1939</v>
      </c>
      <c r="AB6" s="3" t="s">
        <v>1045</v>
      </c>
      <c r="AC6" s="3" t="s">
        <v>250</v>
      </c>
      <c r="AD6" s="3" t="s">
        <v>47</v>
      </c>
      <c r="AE6" s="3">
        <v>-35016702</v>
      </c>
      <c r="AF6" s="3" t="s">
        <v>1240</v>
      </c>
      <c r="AG6" s="3" t="s">
        <v>1940</v>
      </c>
      <c r="AH6" s="3" t="s">
        <v>1241</v>
      </c>
      <c r="AI6" s="3" t="s">
        <v>1941</v>
      </c>
      <c r="AJ6" s="3" t="s">
        <v>1242</v>
      </c>
      <c r="AK6" s="3" t="s">
        <v>1178</v>
      </c>
      <c r="AL6" s="3" t="s">
        <v>1243</v>
      </c>
      <c r="AM6" s="3" t="s">
        <v>47</v>
      </c>
      <c r="AN6" s="3" t="s">
        <v>1942</v>
      </c>
      <c r="AO6" s="3" t="s">
        <v>1943</v>
      </c>
      <c r="AP6" s="3" t="s">
        <v>1944</v>
      </c>
      <c r="AQ6" s="3" t="s">
        <v>1945</v>
      </c>
      <c r="AR6" s="3" t="s">
        <v>1946</v>
      </c>
      <c r="AS6" s="3" t="s">
        <v>1947</v>
      </c>
      <c r="AT6" s="3" t="s">
        <v>1948</v>
      </c>
      <c r="AU6" s="3" t="s">
        <v>1949</v>
      </c>
      <c r="AV6" s="3" t="s">
        <v>448</v>
      </c>
      <c r="AW6" s="3" t="s">
        <v>1950</v>
      </c>
      <c r="AX6" s="3" t="s">
        <v>962</v>
      </c>
      <c r="AY6" s="3" t="s">
        <v>615</v>
      </c>
      <c r="AZ6" s="3" t="s">
        <v>464</v>
      </c>
      <c r="BA6" s="3" t="s">
        <v>466</v>
      </c>
      <c r="BB6" s="3" t="s">
        <v>467</v>
      </c>
      <c r="BC6" s="3" t="s">
        <v>1244</v>
      </c>
      <c r="BD6" s="3" t="s">
        <v>616</v>
      </c>
      <c r="BE6" s="3" t="s">
        <v>465</v>
      </c>
      <c r="BF6" s="3" t="s">
        <v>468</v>
      </c>
      <c r="BG6" s="3" t="s">
        <v>469</v>
      </c>
      <c r="BH6" s="3" t="s">
        <v>1237</v>
      </c>
      <c r="BI6" s="3" t="s">
        <v>1245</v>
      </c>
      <c r="BJ6" s="3" t="s">
        <v>962</v>
      </c>
      <c r="BK6" s="3" t="s">
        <v>1238</v>
      </c>
      <c r="BL6" s="3" t="s">
        <v>652</v>
      </c>
      <c r="BM6" s="3" t="s">
        <v>1244</v>
      </c>
      <c r="BN6" s="3">
        <v>3.23</v>
      </c>
      <c r="BO6" s="3">
        <v>7.35</v>
      </c>
      <c r="BP6" s="3">
        <v>14.24</v>
      </c>
      <c r="BQ6" s="3">
        <v>3.9</v>
      </c>
      <c r="BR6" s="3">
        <v>8.93</v>
      </c>
      <c r="BS6" s="3">
        <v>18.66</v>
      </c>
      <c r="BT6" s="3" t="s">
        <v>858</v>
      </c>
      <c r="BU6" s="3" t="s">
        <v>808</v>
      </c>
      <c r="BV6" s="3">
        <v>34.94</v>
      </c>
      <c r="BW6" s="3">
        <v>35.22</v>
      </c>
      <c r="BX6" s="3">
        <v>37.549999999999997</v>
      </c>
      <c r="BY6" s="3">
        <v>6.47</v>
      </c>
      <c r="BZ6" s="3">
        <v>8.57</v>
      </c>
      <c r="CA6" s="3">
        <v>12.74</v>
      </c>
      <c r="CB6" s="3">
        <v>-4.18</v>
      </c>
      <c r="CC6" s="3">
        <v>-3.35</v>
      </c>
      <c r="CD6" s="3" t="s">
        <v>1951</v>
      </c>
      <c r="CE6" s="3" t="s">
        <v>1952</v>
      </c>
      <c r="CF6" s="10">
        <v>9.5257731958762887E-2</v>
      </c>
      <c r="CG6" s="11">
        <v>5.9646516197183095</v>
      </c>
      <c r="CH6" s="10">
        <v>-5.8151233941316605E-2</v>
      </c>
      <c r="CI6" s="10">
        <v>-8.3945617079734802E-2</v>
      </c>
      <c r="CJ6" s="10">
        <v>0.36761018633842468</v>
      </c>
      <c r="CK6" s="10">
        <v>0.2487712949514389</v>
      </c>
      <c r="CL6" s="10">
        <v>-0.13292232155799866</v>
      </c>
      <c r="CM6" s="11">
        <v>-0.32510292530059814</v>
      </c>
      <c r="CN6" s="11">
        <v>-0.3906719982624054</v>
      </c>
      <c r="CO6" s="11">
        <v>1.0367722511291504</v>
      </c>
      <c r="CP6" s="11">
        <v>0.52492213249206543</v>
      </c>
      <c r="CQ6" s="11">
        <v>-0.62652707099914551</v>
      </c>
      <c r="CR6" s="3">
        <v>17.074397611616231</v>
      </c>
      <c r="CS6" s="3">
        <v>2.5009201625245745</v>
      </c>
      <c r="CT6" s="3">
        <v>1.0035122930255895</v>
      </c>
      <c r="CU6" s="10">
        <v>6.8272461742162699E-2</v>
      </c>
      <c r="CV6" s="11">
        <v>4.3878477811813352E-2</v>
      </c>
      <c r="CW6" s="3">
        <v>0.06</v>
      </c>
      <c r="CX6" s="3">
        <v>26.134100113265852</v>
      </c>
      <c r="CY6" s="3">
        <v>826399451.53638971</v>
      </c>
      <c r="CZ6" s="3">
        <v>6.8272461742162699E-2</v>
      </c>
      <c r="DA6" s="3">
        <v>8.6993556522702367</v>
      </c>
      <c r="DB6" s="3">
        <v>2482621341.5431361</v>
      </c>
      <c r="DC6" s="3">
        <v>6.4858838655054554E-2</v>
      </c>
      <c r="DD6" s="3">
        <v>4.3885200255055965</v>
      </c>
      <c r="DE6" s="3">
        <v>4921295989.1898432</v>
      </c>
      <c r="DF6" s="3">
        <v>6.0079766333103177E-2</v>
      </c>
      <c r="DG6" s="3">
        <v>2.7082960793937936</v>
      </c>
      <c r="DH6" s="3">
        <v>7974462675.7478342</v>
      </c>
      <c r="DI6" s="3">
        <v>5.4617969393730162E-2</v>
      </c>
      <c r="DJ6" s="3">
        <v>1.4839317938218395</v>
      </c>
      <c r="DK6" s="3">
        <v>14554042234.230177</v>
      </c>
      <c r="DL6" s="3">
        <v>4.7790723219513886E-2</v>
      </c>
      <c r="DM6" s="3">
        <v>819999999.99999988</v>
      </c>
      <c r="DN6" s="3">
        <v>6.8272461742162699E-2</v>
      </c>
      <c r="DO6" s="3">
        <v>21597206000</v>
      </c>
      <c r="DP6" s="3">
        <v>10444715000</v>
      </c>
      <c r="DQ6" s="3">
        <v>528</v>
      </c>
      <c r="DR6" s="3">
        <v>2.6985270216600188E-2</v>
      </c>
      <c r="DS6" s="3">
        <v>5.920773141906496</v>
      </c>
      <c r="DT6" s="12">
        <v>-0.19000000000000003</v>
      </c>
      <c r="DU6" s="3">
        <v>0.46666666666666662</v>
      </c>
      <c r="DV6" s="3">
        <v>0.27666666666666662</v>
      </c>
      <c r="DW6" s="3">
        <v>-4.8014354066985643</v>
      </c>
      <c r="DX6" s="3">
        <v>0.45827639484978522</v>
      </c>
      <c r="DY6" s="3">
        <v>-4.1428770150111918</v>
      </c>
      <c r="DZ6" s="3">
        <v>1101</v>
      </c>
      <c r="EA6" s="3">
        <v>-4.1120927501330469</v>
      </c>
      <c r="EB6" s="3">
        <v>4</v>
      </c>
      <c r="EC6" s="3">
        <v>7.8955856957801468E-2</v>
      </c>
      <c r="ED6" s="3">
        <v>0.44288452783852394</v>
      </c>
      <c r="EE6" s="13">
        <v>8.1209999999999991E-2</v>
      </c>
      <c r="EF6" s="3">
        <v>8.1209999999999991E-2</v>
      </c>
      <c r="EG6" s="3">
        <v>28.178276394849785</v>
      </c>
      <c r="EH6" s="3">
        <v>-1</v>
      </c>
      <c r="EI6" s="3">
        <v>0</v>
      </c>
      <c r="EJ6" s="3">
        <v>1</v>
      </c>
      <c r="EK6" s="15">
        <v>45470</v>
      </c>
      <c r="EL6" s="16">
        <v>1.1299999999999999</v>
      </c>
      <c r="EM6" s="16">
        <v>-2.87</v>
      </c>
      <c r="EN6" s="16">
        <v>-0.45</v>
      </c>
      <c r="EO6" s="16">
        <v>1.56</v>
      </c>
      <c r="EP6" s="16">
        <v>0</v>
      </c>
    </row>
    <row r="7" spans="1:146" ht="108" x14ac:dyDescent="0.25">
      <c r="C7" s="7" t="str">
        <f>""&amp;CHAR(10)&amp;Basic_Fundamental_Information_Constructure(F7)&amp;CHAR(10)&amp;Basic_Fundamental_Information_Concatenate("")</f>
        <v xml:space="preserve">
市值30.932746亿, 利润1.17亿; PE36.4; 平均PE45; 平均PEG2.76, PB2.26; ROIC9.73%; ROE10.29%; 股利率1.1377%; 毛利18.56%; 净利5.75%; 上一年度营收增31.26%, 利润增-17.61%; 当季营收增-21.51%, 利润增-161.41%; 过往5年营收增16.33%, 利润增53.77%
Income profile:
</v>
      </c>
      <c r="D7" s="3" t="s">
        <v>331</v>
      </c>
      <c r="E7" s="3" t="s">
        <v>332</v>
      </c>
      <c r="F7" s="3">
        <v>8.7899999999999991</v>
      </c>
      <c r="G7" s="3">
        <v>1.03</v>
      </c>
      <c r="H7" s="3" t="s">
        <v>1953</v>
      </c>
      <c r="I7" s="3">
        <v>3093274600</v>
      </c>
      <c r="J7" s="3">
        <v>36.4</v>
      </c>
      <c r="K7" s="3">
        <v>2.2599999999999998</v>
      </c>
      <c r="L7" s="3" t="s">
        <v>176</v>
      </c>
      <c r="M7" s="3" t="s">
        <v>1246</v>
      </c>
      <c r="N7" s="3" t="s">
        <v>1954</v>
      </c>
      <c r="O7" s="3" t="s">
        <v>421</v>
      </c>
      <c r="P7" s="3">
        <v>-21.61</v>
      </c>
      <c r="Q7" s="3" t="s">
        <v>1247</v>
      </c>
      <c r="R7" s="3">
        <v>-12294961</v>
      </c>
      <c r="S7" s="5">
        <v>-1.6140000000000001</v>
      </c>
      <c r="T7" s="3" t="s">
        <v>106</v>
      </c>
      <c r="U7" s="3">
        <v>240151000</v>
      </c>
      <c r="V7" s="3">
        <v>351908370</v>
      </c>
      <c r="W7" s="3">
        <v>2.41</v>
      </c>
      <c r="X7" s="3">
        <v>0.11</v>
      </c>
      <c r="Y7" s="3">
        <v>-2.78</v>
      </c>
      <c r="Z7" s="3" t="s">
        <v>523</v>
      </c>
      <c r="AA7" s="3" t="s">
        <v>1198</v>
      </c>
      <c r="AB7" s="3" t="s">
        <v>1955</v>
      </c>
      <c r="AC7" s="3" t="s">
        <v>1956</v>
      </c>
      <c r="AD7" s="3" t="s">
        <v>47</v>
      </c>
      <c r="AE7" s="3">
        <v>443470</v>
      </c>
      <c r="AF7" s="3" t="s">
        <v>1248</v>
      </c>
      <c r="AG7" s="3" t="s">
        <v>1957</v>
      </c>
      <c r="AH7" s="3" t="s">
        <v>1249</v>
      </c>
      <c r="AI7" s="3" t="s">
        <v>1958</v>
      </c>
      <c r="AJ7" s="3" t="s">
        <v>1250</v>
      </c>
      <c r="AK7" s="3" t="s">
        <v>1959</v>
      </c>
      <c r="AL7" s="3" t="s">
        <v>1251</v>
      </c>
      <c r="AM7" s="3" t="s">
        <v>47</v>
      </c>
      <c r="AN7" s="3" t="s">
        <v>1960</v>
      </c>
      <c r="AO7" s="3" t="s">
        <v>112</v>
      </c>
      <c r="AP7" s="3" t="s">
        <v>1179</v>
      </c>
      <c r="AQ7" s="3" t="s">
        <v>1304</v>
      </c>
      <c r="AR7" s="3" t="s">
        <v>47</v>
      </c>
      <c r="AS7" s="3" t="s">
        <v>1614</v>
      </c>
      <c r="AT7" s="3" t="s">
        <v>1253</v>
      </c>
      <c r="AU7" s="3" t="s">
        <v>1340</v>
      </c>
      <c r="AV7" s="3" t="s">
        <v>1961</v>
      </c>
      <c r="AW7" s="3" t="s">
        <v>1962</v>
      </c>
      <c r="AX7" s="3" t="s">
        <v>847</v>
      </c>
      <c r="AY7" s="3" t="s">
        <v>617</v>
      </c>
      <c r="AZ7" s="3" t="s">
        <v>333</v>
      </c>
      <c r="BA7" s="3" t="s">
        <v>334</v>
      </c>
      <c r="BB7" s="3" t="s">
        <v>144</v>
      </c>
      <c r="BC7" s="3" t="s">
        <v>652</v>
      </c>
      <c r="BD7" s="3" t="s">
        <v>122</v>
      </c>
      <c r="BE7" s="3" t="s">
        <v>90</v>
      </c>
      <c r="BF7" s="3" t="s">
        <v>335</v>
      </c>
      <c r="BG7" s="3" t="s">
        <v>139</v>
      </c>
      <c r="BH7" s="3" t="s">
        <v>1247</v>
      </c>
      <c r="BI7" s="3" t="s">
        <v>1254</v>
      </c>
      <c r="BJ7" s="3" t="s">
        <v>847</v>
      </c>
      <c r="BK7" s="3" t="s">
        <v>106</v>
      </c>
      <c r="BL7" s="3" t="s">
        <v>1255</v>
      </c>
      <c r="BM7" s="3" t="s">
        <v>652</v>
      </c>
      <c r="BN7" s="3">
        <v>8.18</v>
      </c>
      <c r="BO7" s="3">
        <v>9.85</v>
      </c>
      <c r="BP7" s="3">
        <v>11.16</v>
      </c>
      <c r="BQ7" s="3">
        <v>7.53</v>
      </c>
      <c r="BR7" s="3">
        <v>11.46</v>
      </c>
      <c r="BS7" s="3">
        <v>11.88</v>
      </c>
      <c r="BT7" s="3" t="s">
        <v>863</v>
      </c>
      <c r="BU7" s="3" t="s">
        <v>747</v>
      </c>
      <c r="BV7" s="3">
        <v>17.28</v>
      </c>
      <c r="BW7" s="3">
        <v>18.55</v>
      </c>
      <c r="BX7" s="3">
        <v>19.850000000000001</v>
      </c>
      <c r="BY7" s="3">
        <v>4.29</v>
      </c>
      <c r="BZ7" s="3">
        <v>6.13</v>
      </c>
      <c r="CA7" s="3">
        <v>6.83</v>
      </c>
      <c r="CB7" s="3">
        <v>-2.12</v>
      </c>
      <c r="CC7" s="3">
        <v>-11.12</v>
      </c>
      <c r="CD7" s="3" t="s">
        <v>1963</v>
      </c>
      <c r="CE7" s="3" t="s">
        <v>284</v>
      </c>
      <c r="CF7" s="10">
        <v>-0.21510673234811165</v>
      </c>
      <c r="CG7" s="11">
        <v>-1.6140971070665096</v>
      </c>
      <c r="CH7" s="10">
        <v>0.31263864040374756</v>
      </c>
      <c r="CI7" s="10">
        <v>8.6310639977455139E-2</v>
      </c>
      <c r="CJ7" s="10">
        <v>9.9293999373912811E-2</v>
      </c>
      <c r="CK7" s="10">
        <v>0.10106893628835678</v>
      </c>
      <c r="CL7" s="10">
        <v>0.21703130006790161</v>
      </c>
      <c r="CM7" s="11">
        <v>-0.17605634033679962</v>
      </c>
      <c r="CN7" s="11">
        <v>5.9701491147279739E-2</v>
      </c>
      <c r="CO7" s="11">
        <v>5.5118110030889511E-2</v>
      </c>
      <c r="CP7" s="11">
        <v>1.4217923879623413</v>
      </c>
      <c r="CQ7" s="11">
        <v>1.3277530670166016</v>
      </c>
      <c r="CR7" s="3">
        <v>44.999575938832393</v>
      </c>
      <c r="CS7" s="3">
        <v>2.7561666780417653</v>
      </c>
      <c r="CT7" s="3">
        <v>1.137656427758817</v>
      </c>
      <c r="CU7" s="10">
        <v>0.16326870322227477</v>
      </c>
      <c r="CV7" s="11">
        <v>0.53766174316406246</v>
      </c>
      <c r="CW7" s="3">
        <v>0.06</v>
      </c>
      <c r="CX7" s="3">
        <v>31.435521142480692</v>
      </c>
      <c r="CY7" s="3">
        <v>128398526.6764209</v>
      </c>
      <c r="CZ7" s="3">
        <v>0.16326870322227477</v>
      </c>
      <c r="DA7" s="3">
        <v>9.6599325308635891</v>
      </c>
      <c r="DB7" s="3">
        <v>417836727.85540259</v>
      </c>
      <c r="DC7" s="3">
        <v>0.15510526806116101</v>
      </c>
      <c r="DD7" s="3">
        <v>4.3702197281790625</v>
      </c>
      <c r="DE7" s="3">
        <v>923586192.69740772</v>
      </c>
      <c r="DF7" s="3">
        <v>0.14367645883560179</v>
      </c>
      <c r="DG7" s="3">
        <v>2.3785962706499304</v>
      </c>
      <c r="DH7" s="3">
        <v>1696914541.4901049</v>
      </c>
      <c r="DI7" s="3">
        <v>0.13061496257781982</v>
      </c>
      <c r="DJ7" s="3">
        <v>0.97980270073660169</v>
      </c>
      <c r="DK7" s="3">
        <v>4119476907.9178762</v>
      </c>
      <c r="DL7" s="3">
        <v>0.11428809225559233</v>
      </c>
      <c r="DM7" s="3">
        <v>117000000</v>
      </c>
      <c r="DN7" s="3">
        <v>0.16326870322227477</v>
      </c>
      <c r="DO7" s="3">
        <v>4036274600</v>
      </c>
      <c r="DP7" s="3">
        <v>1154324200</v>
      </c>
      <c r="DQ7" s="3">
        <v>694</v>
      </c>
      <c r="DR7" s="3">
        <v>-0.37837543557038644</v>
      </c>
      <c r="DS7" s="3">
        <v>-2.1517588502305722</v>
      </c>
      <c r="DT7" s="12">
        <v>-0.17333333333333334</v>
      </c>
      <c r="DU7" s="3">
        <v>-0.63166666666666671</v>
      </c>
      <c r="DV7" s="3">
        <v>-0.80500000000000005</v>
      </c>
      <c r="DW7" s="3">
        <v>-2.1112000000000002</v>
      </c>
      <c r="DX7" s="3">
        <v>0.28671100000000005</v>
      </c>
      <c r="DY7" s="3">
        <v>-2.0152022632</v>
      </c>
      <c r="DZ7" s="3">
        <v>3349</v>
      </c>
      <c r="EA7" s="3">
        <v>-2.0052389795489627</v>
      </c>
      <c r="EB7" s="3">
        <v>2</v>
      </c>
      <c r="EC7" s="3">
        <v>3.8848465013776166E-2</v>
      </c>
      <c r="ED7" s="3">
        <v>0.28416488076143231</v>
      </c>
      <c r="EE7" s="13">
        <v>-2.0369099999999998</v>
      </c>
      <c r="EF7" s="3">
        <v>-2.0524100000000001</v>
      </c>
      <c r="EG7" s="3">
        <v>15.136711</v>
      </c>
      <c r="EH7" s="3" t="s">
        <v>958</v>
      </c>
      <c r="EI7" s="3">
        <v>0</v>
      </c>
      <c r="EJ7" s="3">
        <v>0</v>
      </c>
      <c r="EK7" s="15">
        <v>45470</v>
      </c>
      <c r="EL7" s="16">
        <v>-0.66</v>
      </c>
      <c r="EM7" s="16">
        <v>-4.66</v>
      </c>
      <c r="EN7" s="16">
        <v>0.35</v>
      </c>
      <c r="EO7" s="16">
        <v>4.4000000000000004</v>
      </c>
      <c r="EP7" s="16">
        <v>-1.55</v>
      </c>
    </row>
    <row r="8" spans="1:146" ht="108" x14ac:dyDescent="0.25">
      <c r="C8" s="7" t="str">
        <f>""&amp;CHAR(10)&amp;Basic_Fundamental_Information_Constructure(F8)&amp;CHAR(10)&amp;Basic_Fundamental_Information_Concatenate("")</f>
        <v xml:space="preserve">
市值46.794334亿, 利润3.71亿; PE14.48; 平均PE31.55; 平均PEG1.91, PB1.71; ROIC9.22%; ROE11.7733%; 股利率1.0363%; 毛利31.44%; 净利6.27%; 上一年度营收增12.03%, 利润增34.91%; 当季营收增-6.32%, 利润增-50.47%; 过往5年营收增16.48%, 利润增6.49%
Income profile:
</v>
      </c>
      <c r="D8" s="3" t="s">
        <v>336</v>
      </c>
      <c r="E8" s="3" t="s">
        <v>337</v>
      </c>
      <c r="F8" s="3">
        <v>5.79</v>
      </c>
      <c r="G8" s="3">
        <v>0.7</v>
      </c>
      <c r="H8" s="3" t="s">
        <v>1964</v>
      </c>
      <c r="I8" s="3">
        <v>4679433400</v>
      </c>
      <c r="J8" s="3">
        <v>14.48</v>
      </c>
      <c r="K8" s="3">
        <v>1.71</v>
      </c>
      <c r="L8" s="3" t="s">
        <v>176</v>
      </c>
      <c r="M8" s="3" t="s">
        <v>1256</v>
      </c>
      <c r="N8" s="3" t="s">
        <v>1965</v>
      </c>
      <c r="O8" s="3" t="s">
        <v>1258</v>
      </c>
      <c r="P8" s="3">
        <v>-6.31</v>
      </c>
      <c r="Q8" s="3" t="s">
        <v>1259</v>
      </c>
      <c r="R8" s="3">
        <v>47222379</v>
      </c>
      <c r="S8" s="5">
        <v>-0.50470000000000004</v>
      </c>
      <c r="T8" s="3" t="s">
        <v>438</v>
      </c>
      <c r="U8" s="3">
        <v>717688550</v>
      </c>
      <c r="V8" s="3">
        <v>808192300</v>
      </c>
      <c r="W8" s="3">
        <v>1.83</v>
      </c>
      <c r="X8" s="3">
        <v>0.19</v>
      </c>
      <c r="Y8" s="3">
        <v>4.16</v>
      </c>
      <c r="Z8" s="3" t="s">
        <v>1141</v>
      </c>
      <c r="AA8" s="3" t="s">
        <v>1966</v>
      </c>
      <c r="AB8" s="3" t="s">
        <v>48</v>
      </c>
      <c r="AC8" s="3" t="s">
        <v>1967</v>
      </c>
      <c r="AD8" s="3" t="s">
        <v>47</v>
      </c>
      <c r="AE8" s="3">
        <v>2088454</v>
      </c>
      <c r="AF8" s="3" t="s">
        <v>1260</v>
      </c>
      <c r="AG8" s="3" t="s">
        <v>1968</v>
      </c>
      <c r="AH8" s="3" t="s">
        <v>1261</v>
      </c>
      <c r="AI8" s="3" t="s">
        <v>1399</v>
      </c>
      <c r="AJ8" s="3" t="s">
        <v>1263</v>
      </c>
      <c r="AK8" s="3" t="s">
        <v>265</v>
      </c>
      <c r="AL8" s="3" t="s">
        <v>1264</v>
      </c>
      <c r="AM8" s="3" t="s">
        <v>47</v>
      </c>
      <c r="AN8" s="3" t="s">
        <v>1969</v>
      </c>
      <c r="AO8" s="3" t="s">
        <v>284</v>
      </c>
      <c r="AP8" s="3" t="s">
        <v>1876</v>
      </c>
      <c r="AQ8" s="3" t="s">
        <v>1970</v>
      </c>
      <c r="AR8" s="3" t="s">
        <v>47</v>
      </c>
      <c r="AS8" s="3" t="s">
        <v>1971</v>
      </c>
      <c r="AT8" s="3" t="s">
        <v>1084</v>
      </c>
      <c r="AU8" s="3" t="s">
        <v>207</v>
      </c>
      <c r="AV8" s="3" t="s">
        <v>1972</v>
      </c>
      <c r="AW8" s="3" t="s">
        <v>1973</v>
      </c>
      <c r="AX8" s="3" t="s">
        <v>963</v>
      </c>
      <c r="AY8" s="3" t="s">
        <v>618</v>
      </c>
      <c r="AZ8" s="3" t="s">
        <v>338</v>
      </c>
      <c r="BA8" s="3" t="s">
        <v>339</v>
      </c>
      <c r="BB8" s="3" t="s">
        <v>340</v>
      </c>
      <c r="BC8" s="3" t="s">
        <v>840</v>
      </c>
      <c r="BD8" s="3" t="s">
        <v>206</v>
      </c>
      <c r="BE8" s="3" t="s">
        <v>320</v>
      </c>
      <c r="BF8" s="3" t="s">
        <v>341</v>
      </c>
      <c r="BG8" s="3" t="s">
        <v>73</v>
      </c>
      <c r="BH8" s="3" t="s">
        <v>1259</v>
      </c>
      <c r="BI8" s="3" t="s">
        <v>1265</v>
      </c>
      <c r="BJ8" s="3" t="s">
        <v>963</v>
      </c>
      <c r="BK8" s="3" t="s">
        <v>438</v>
      </c>
      <c r="BL8" s="3" t="s">
        <v>1266</v>
      </c>
      <c r="BM8" s="3" t="s">
        <v>840</v>
      </c>
      <c r="BN8" s="3">
        <v>9.25</v>
      </c>
      <c r="BO8" s="3">
        <v>10.5</v>
      </c>
      <c r="BP8" s="3">
        <v>7.91</v>
      </c>
      <c r="BQ8" s="3">
        <v>12.18</v>
      </c>
      <c r="BR8" s="3">
        <v>13.1</v>
      </c>
      <c r="BS8" s="3">
        <v>10.039999999999999</v>
      </c>
      <c r="BT8" s="3" t="s">
        <v>865</v>
      </c>
      <c r="BU8" s="3" t="s">
        <v>747</v>
      </c>
      <c r="BV8" s="3">
        <v>31.51</v>
      </c>
      <c r="BW8" s="3">
        <v>30.11</v>
      </c>
      <c r="BX8" s="3">
        <v>32.700000000000003</v>
      </c>
      <c r="BY8" s="3">
        <v>7.15</v>
      </c>
      <c r="BZ8" s="3">
        <v>6.36</v>
      </c>
      <c r="CA8" s="3">
        <v>5.3</v>
      </c>
      <c r="CB8" s="3">
        <v>-3.18</v>
      </c>
      <c r="CC8" s="3">
        <v>-13.06</v>
      </c>
      <c r="CD8" s="3" t="s">
        <v>1974</v>
      </c>
      <c r="CE8" s="3" t="s">
        <v>1871</v>
      </c>
      <c r="CF8" s="10">
        <v>-6.3178677196446306E-2</v>
      </c>
      <c r="CG8" s="11">
        <v>-0.50471629602670742</v>
      </c>
      <c r="CH8" s="10">
        <v>0.12033200263977051</v>
      </c>
      <c r="CI8" s="10">
        <v>0.36158192157745361</v>
      </c>
      <c r="CJ8" s="10">
        <v>0.31627285480499268</v>
      </c>
      <c r="CK8" s="10">
        <v>1.9625449553132057E-2</v>
      </c>
      <c r="CL8" s="10">
        <v>6.2836050055921078E-3</v>
      </c>
      <c r="CM8" s="11">
        <v>0.34909090399742126</v>
      </c>
      <c r="CN8" s="11">
        <v>0.51098901033401489</v>
      </c>
      <c r="CO8" s="11">
        <v>0.3382352888584137</v>
      </c>
      <c r="CP8" s="11">
        <v>1.4563758373260498</v>
      </c>
      <c r="CQ8" s="11">
        <v>-2.3303570747375488</v>
      </c>
      <c r="CR8" s="3">
        <v>31.546742022471907</v>
      </c>
      <c r="CS8" s="3">
        <v>1.9140214485366314</v>
      </c>
      <c r="CT8" s="3">
        <v>1.0362694300518134</v>
      </c>
      <c r="CU8" s="10">
        <v>0.16481916671618818</v>
      </c>
      <c r="CV8" s="11">
        <v>6.4866793155670163E-2</v>
      </c>
      <c r="CW8" s="3">
        <v>0.06</v>
      </c>
      <c r="CX8" s="3">
        <v>10.776494082365451</v>
      </c>
      <c r="CY8" s="3">
        <v>407686708.35066587</v>
      </c>
      <c r="CZ8" s="3">
        <v>0.16481916671618818</v>
      </c>
      <c r="DA8" s="3">
        <v>3.3072772905451631</v>
      </c>
      <c r="DB8" s="3">
        <v>1328413983.4781733</v>
      </c>
      <c r="DC8" s="3">
        <v>0.15657820838037875</v>
      </c>
      <c r="DD8" s="3">
        <v>1.493519910313901</v>
      </c>
      <c r="DE8" s="3">
        <v>2941663763.3418684</v>
      </c>
      <c r="DF8" s="3">
        <v>0.1450408667102456</v>
      </c>
      <c r="DG8" s="3">
        <v>0.81111652341255203</v>
      </c>
      <c r="DH8" s="3">
        <v>5416525583.1749363</v>
      </c>
      <c r="DI8" s="3">
        <v>0.13185533337295055</v>
      </c>
      <c r="DJ8" s="3">
        <v>0.332381845759679</v>
      </c>
      <c r="DK8" s="3">
        <v>13218030575.522379</v>
      </c>
      <c r="DL8" s="3">
        <v>0.11537341670133172</v>
      </c>
      <c r="DM8" s="3">
        <v>371000000</v>
      </c>
      <c r="DN8" s="3">
        <v>0.16481916671618818</v>
      </c>
      <c r="DO8" s="3">
        <v>4393433400</v>
      </c>
      <c r="DP8" s="3">
        <v>1881400800</v>
      </c>
      <c r="DQ8" s="3">
        <v>841</v>
      </c>
      <c r="DR8" s="3">
        <v>-0.2279978439126345</v>
      </c>
      <c r="DS8" s="3">
        <v>-0.56958308918237754</v>
      </c>
      <c r="DT8" s="12">
        <v>-0.15666666666666665</v>
      </c>
      <c r="DU8" s="3">
        <v>-0.15333333333333338</v>
      </c>
      <c r="DV8" s="3">
        <v>-0.31000000000000005</v>
      </c>
      <c r="DW8" s="3">
        <v>-8.2434915773353747</v>
      </c>
      <c r="DX8" s="3">
        <v>0.31143132075471641</v>
      </c>
      <c r="DY8" s="3">
        <v>-8.0295675038284831</v>
      </c>
      <c r="DZ8" s="3">
        <v>2481</v>
      </c>
      <c r="EA8" s="3">
        <v>-8.0152119310303487</v>
      </c>
      <c r="EB8" s="3">
        <v>8</v>
      </c>
      <c r="EC8" s="3">
        <v>3.9816390232869085E-2</v>
      </c>
      <c r="ED8" s="3">
        <v>0.32789226029498175</v>
      </c>
      <c r="EE8" s="13">
        <v>-3.0314000000000001</v>
      </c>
      <c r="EF8" s="3">
        <v>-3.0114999999999998</v>
      </c>
      <c r="EG8" s="3">
        <v>19.121431320754716</v>
      </c>
      <c r="EH8" s="3" t="s">
        <v>1123</v>
      </c>
      <c r="EI8" s="3">
        <v>0</v>
      </c>
      <c r="EJ8" s="3">
        <v>0</v>
      </c>
      <c r="EK8" s="15">
        <v>45470</v>
      </c>
      <c r="EL8" s="16">
        <v>-0.83</v>
      </c>
      <c r="EM8" s="16">
        <v>-4.55</v>
      </c>
      <c r="EN8" s="16">
        <v>1.06</v>
      </c>
      <c r="EO8" s="16">
        <v>5.0599999999999996</v>
      </c>
      <c r="EP8" s="16">
        <v>-1.99</v>
      </c>
    </row>
    <row r="9" spans="1:146" ht="108" x14ac:dyDescent="0.25">
      <c r="C9" s="7" t="str">
        <f>""&amp;CHAR(10)&amp;Basic_Fundamental_Information_Constructure(F9)&amp;CHAR(10)&amp;Basic_Fundamental_Information_Concatenate("")</f>
        <v xml:space="preserve">
市值43.84295亿, 利润-3.79亿; PE; 平均PE-18.7; 平均PEG-41.31, PB2.91; ROIC3.57%; ROE-11.2833%; 股利率0%; 毛利18.3833%; 净利-13.81%; 上一年度营收增9.36%, 利润增64.14%; 当季营收增-24.7%, 利润增-118.05%; 过往5年营收增.45%, 利润增-97.04%
Income profile:
</v>
      </c>
      <c r="D9" s="3" t="s">
        <v>184</v>
      </c>
      <c r="E9" s="3" t="s">
        <v>185</v>
      </c>
      <c r="F9" s="3">
        <v>6.63</v>
      </c>
      <c r="G9" s="3">
        <v>0.3</v>
      </c>
      <c r="H9" s="3" t="s">
        <v>1975</v>
      </c>
      <c r="I9" s="3">
        <v>4384295000</v>
      </c>
      <c r="K9" s="3">
        <v>2.91</v>
      </c>
      <c r="L9" s="3" t="s">
        <v>176</v>
      </c>
      <c r="M9" s="3" t="s">
        <v>1267</v>
      </c>
      <c r="N9" s="3" t="s">
        <v>1976</v>
      </c>
      <c r="O9" s="3" t="s">
        <v>380</v>
      </c>
      <c r="P9" s="3">
        <v>-24.67</v>
      </c>
      <c r="Q9" s="3" t="s">
        <v>1268</v>
      </c>
      <c r="R9" s="3">
        <v>-23465044</v>
      </c>
      <c r="S9" s="5">
        <v>-1.18</v>
      </c>
      <c r="T9" s="3" t="s">
        <v>1269</v>
      </c>
      <c r="U9" s="3">
        <v>527422470</v>
      </c>
      <c r="V9" s="3">
        <v>661281290</v>
      </c>
      <c r="W9" s="3">
        <v>2.87</v>
      </c>
      <c r="X9" s="3">
        <v>0.16</v>
      </c>
      <c r="Y9" s="3">
        <v>-3.42</v>
      </c>
      <c r="Z9" s="3" t="s">
        <v>1958</v>
      </c>
      <c r="AA9" s="3" t="s">
        <v>1977</v>
      </c>
      <c r="AB9" s="3" t="s">
        <v>1978</v>
      </c>
      <c r="AC9" s="3" t="s">
        <v>1979</v>
      </c>
      <c r="AD9" s="3" t="s">
        <v>47</v>
      </c>
      <c r="AE9" s="3">
        <v>9621737</v>
      </c>
      <c r="AF9" s="3" t="s">
        <v>1270</v>
      </c>
      <c r="AG9" s="3" t="s">
        <v>1980</v>
      </c>
      <c r="AH9" s="3" t="s">
        <v>1271</v>
      </c>
      <c r="AI9" s="3" t="s">
        <v>1981</v>
      </c>
      <c r="AJ9" s="3" t="s">
        <v>1272</v>
      </c>
      <c r="AK9" s="3" t="s">
        <v>1982</v>
      </c>
      <c r="AL9" s="3" t="s">
        <v>1273</v>
      </c>
      <c r="AM9" s="3" t="s">
        <v>47</v>
      </c>
      <c r="AN9" s="3" t="s">
        <v>1983</v>
      </c>
      <c r="AO9" s="3" t="s">
        <v>399</v>
      </c>
      <c r="AP9" s="3" t="s">
        <v>1984</v>
      </c>
      <c r="AQ9" s="3" t="s">
        <v>1985</v>
      </c>
      <c r="AR9" s="3" t="s">
        <v>47</v>
      </c>
      <c r="AS9" s="3" t="s">
        <v>1986</v>
      </c>
      <c r="AT9" s="3" t="s">
        <v>664</v>
      </c>
      <c r="AU9" s="3" t="s">
        <v>1987</v>
      </c>
      <c r="AV9" s="3" t="s">
        <v>139</v>
      </c>
      <c r="AW9" s="3" t="s">
        <v>79</v>
      </c>
      <c r="AX9" s="3" t="s">
        <v>810</v>
      </c>
      <c r="AY9" s="3" t="s">
        <v>620</v>
      </c>
      <c r="AZ9" s="3" t="s">
        <v>186</v>
      </c>
      <c r="BA9" s="3" t="s">
        <v>190</v>
      </c>
      <c r="BB9" s="3" t="s">
        <v>191</v>
      </c>
      <c r="BC9" s="3" t="s">
        <v>964</v>
      </c>
      <c r="BD9" s="3" t="s">
        <v>114</v>
      </c>
      <c r="BE9" s="3" t="s">
        <v>187</v>
      </c>
      <c r="BF9" s="3" t="s">
        <v>192</v>
      </c>
      <c r="BG9" s="3" t="s">
        <v>193</v>
      </c>
      <c r="BH9" s="3" t="s">
        <v>1268</v>
      </c>
      <c r="BI9" s="3" t="s">
        <v>1070</v>
      </c>
      <c r="BJ9" s="3" t="s">
        <v>810</v>
      </c>
      <c r="BK9" s="3" t="s">
        <v>1269</v>
      </c>
      <c r="BL9" s="3" t="s">
        <v>174</v>
      </c>
      <c r="BM9" s="3" t="s">
        <v>964</v>
      </c>
      <c r="BN9" s="3">
        <v>3.16</v>
      </c>
      <c r="BO9" s="3" t="s">
        <v>47</v>
      </c>
      <c r="BP9" s="3">
        <v>3.98</v>
      </c>
      <c r="BQ9" s="3">
        <v>4.08</v>
      </c>
      <c r="BR9" s="3">
        <v>-43.3</v>
      </c>
      <c r="BS9" s="3">
        <v>5.37</v>
      </c>
      <c r="BT9" s="3" t="s">
        <v>856</v>
      </c>
      <c r="BU9" s="3" t="s">
        <v>226</v>
      </c>
      <c r="BV9" s="3">
        <v>18.05</v>
      </c>
      <c r="BW9" s="3">
        <v>17.41</v>
      </c>
      <c r="BX9" s="3">
        <v>19.690000000000001</v>
      </c>
      <c r="BY9" s="3">
        <v>-11.19</v>
      </c>
      <c r="BZ9" s="3">
        <v>-34.21</v>
      </c>
      <c r="CA9" s="3">
        <v>3.97</v>
      </c>
      <c r="CB9" s="3">
        <v>10.68</v>
      </c>
      <c r="CC9" s="3">
        <v>-2.36</v>
      </c>
      <c r="CD9" s="3" t="s">
        <v>129</v>
      </c>
      <c r="CE9" s="3" t="s">
        <v>1988</v>
      </c>
      <c r="CF9" s="10">
        <v>-0.24698133918770582</v>
      </c>
      <c r="CG9" s="11">
        <v>-1.1805003384615385</v>
      </c>
      <c r="CH9" s="10">
        <v>9.363904595375061E-2</v>
      </c>
      <c r="CI9" s="10">
        <v>-0.27368670701980591</v>
      </c>
      <c r="CJ9" s="10">
        <v>7.7584043145179749E-2</v>
      </c>
      <c r="CK9" s="10">
        <v>0.11969433724880219</v>
      </c>
      <c r="CL9" s="10">
        <v>5.4054236970841885E-3</v>
      </c>
      <c r="CM9" s="11">
        <v>0.64143800735473633</v>
      </c>
      <c r="CN9" s="11">
        <v>-8.0466670989990234</v>
      </c>
      <c r="CO9" s="11">
        <v>0.7281564474105835</v>
      </c>
      <c r="CP9" s="11">
        <v>0.61964708566665649</v>
      </c>
      <c r="CQ9" s="11">
        <v>1.2053276300430298</v>
      </c>
      <c r="CR9" s="3">
        <v>-18.701513807860845</v>
      </c>
      <c r="CS9" s="3">
        <v>-41.308967228200977</v>
      </c>
      <c r="CT9" s="3">
        <v>0</v>
      </c>
      <c r="CU9" s="10">
        <v>4.527228605002165E-3</v>
      </c>
      <c r="CV9" s="11">
        <v>-0.97041958570480347</v>
      </c>
      <c r="CW9" s="3">
        <v>0.06</v>
      </c>
      <c r="CX9" s="3" t="e">
        <v>#VALUE!</v>
      </c>
      <c r="CY9" s="3" t="s">
        <v>757</v>
      </c>
      <c r="CZ9" s="3">
        <v>4.527228605002165E-3</v>
      </c>
      <c r="DA9" s="3" t="e">
        <v>#VALUE!</v>
      </c>
      <c r="DB9" s="3" t="s">
        <v>758</v>
      </c>
      <c r="DC9" s="3">
        <v>4.3008671747520565E-3</v>
      </c>
      <c r="DD9" s="3" t="e">
        <v>#VALUE!</v>
      </c>
      <c r="DE9" s="3" t="s">
        <v>758</v>
      </c>
      <c r="DF9" s="3">
        <v>3.9839611724019055E-3</v>
      </c>
      <c r="DG9" s="3" t="e">
        <v>#VALUE!</v>
      </c>
      <c r="DH9" s="3" t="s">
        <v>758</v>
      </c>
      <c r="DI9" s="3">
        <v>3.6217828840017321E-3</v>
      </c>
      <c r="DJ9" s="3" t="e">
        <v>#VALUE!</v>
      </c>
      <c r="DK9" s="3" t="s">
        <v>758</v>
      </c>
      <c r="DL9" s="3">
        <v>3.1690600235015154E-3</v>
      </c>
      <c r="DM9" s="3">
        <v>-379000000</v>
      </c>
      <c r="DN9" s="3">
        <v>4.527228605002165E-3</v>
      </c>
      <c r="DO9" s="3">
        <v>5623295000</v>
      </c>
      <c r="DP9" s="3">
        <v>1363368399.9999998</v>
      </c>
      <c r="DQ9" s="3">
        <v>1020</v>
      </c>
      <c r="DR9" s="3">
        <v>-0.25150856779270797</v>
      </c>
      <c r="DS9" s="3">
        <v>-0.21008075275673499</v>
      </c>
      <c r="DT9" s="12">
        <v>-0.59</v>
      </c>
      <c r="DU9" s="3">
        <v>-0.99833333333333341</v>
      </c>
      <c r="DV9" s="3">
        <v>-1.5883333333333334</v>
      </c>
      <c r="DW9" s="3">
        <v>5.2209737827715355</v>
      </c>
      <c r="DX9" s="3">
        <v>1.2188397790055183</v>
      </c>
      <c r="DY9" s="3">
        <v>5.0903428725143298</v>
      </c>
      <c r="DZ9" s="3">
        <v>4086</v>
      </c>
      <c r="EA9" s="3">
        <v>5.0181039337484687</v>
      </c>
      <c r="EB9" s="3">
        <v>5</v>
      </c>
      <c r="EC9" s="3">
        <v>0.22380793504682403</v>
      </c>
      <c r="ED9" s="3">
        <v>0.54742211139831276</v>
      </c>
      <c r="EE9" s="13">
        <v>-3.0215000000000001</v>
      </c>
      <c r="EF9" s="3">
        <v>-3.0049000000000001</v>
      </c>
      <c r="EG9" s="3">
        <v>81.408839779005518</v>
      </c>
      <c r="EH9" s="3" t="s">
        <v>1123</v>
      </c>
      <c r="EI9" s="3">
        <v>1</v>
      </c>
      <c r="EJ9" s="3">
        <v>0</v>
      </c>
      <c r="EK9" s="15">
        <v>45470</v>
      </c>
      <c r="EL9" s="16">
        <v>-0.99</v>
      </c>
      <c r="EM9" s="16">
        <v>-3.65</v>
      </c>
      <c r="EN9" s="16">
        <v>0.69</v>
      </c>
      <c r="EO9" s="16">
        <v>3.25</v>
      </c>
      <c r="EP9" s="16">
        <v>-1.66</v>
      </c>
    </row>
    <row r="10" spans="1:146" ht="108" x14ac:dyDescent="0.25">
      <c r="C10" s="7" t="str">
        <f>""&amp;CHAR(10)&amp;Basic_Fundamental_Information_Constructure(F10)&amp;CHAR(10)&amp;Basic_Fundamental_Information_Concatenate("")</f>
        <v xml:space="preserve">
市值121.786728亿, 利润5.34亿; PE28.39; 平均PE30.92; 平均PEG1.28, PB3.43; ROIC14.0767%; ROE15.3267%; 股利率2.0991%; 毛利37.3233%; 净利22.3167%; 上一年度营收增19.08%, 利润增20%; 当季营收增-9.32%, 利润增-49.71%; 过往5年营收增24.24%, 利润增26.48%
Income profile:
</v>
      </c>
      <c r="D10" s="3" t="s">
        <v>195</v>
      </c>
      <c r="E10" s="3" t="s">
        <v>196</v>
      </c>
      <c r="F10" s="3">
        <v>11.91</v>
      </c>
      <c r="G10" s="3">
        <v>0.93</v>
      </c>
      <c r="H10" s="3" t="s">
        <v>1989</v>
      </c>
      <c r="I10" s="3">
        <v>12178672800</v>
      </c>
      <c r="J10" s="3">
        <v>28.39</v>
      </c>
      <c r="K10" s="3">
        <v>3.43</v>
      </c>
      <c r="L10" s="3" t="s">
        <v>176</v>
      </c>
      <c r="M10" s="3" t="s">
        <v>1274</v>
      </c>
      <c r="N10" s="3" t="s">
        <v>1990</v>
      </c>
      <c r="O10" s="3" t="s">
        <v>1275</v>
      </c>
      <c r="P10" s="3">
        <v>-9.34</v>
      </c>
      <c r="Q10" s="3" t="s">
        <v>1276</v>
      </c>
      <c r="R10" s="3">
        <v>105613102</v>
      </c>
      <c r="S10" s="5">
        <v>-0.49759999999999999</v>
      </c>
      <c r="T10" s="3" t="s">
        <v>1277</v>
      </c>
      <c r="U10" s="3">
        <v>841435770</v>
      </c>
      <c r="V10" s="3">
        <v>1022558590</v>
      </c>
      <c r="W10" s="3">
        <v>1.78</v>
      </c>
      <c r="X10" s="3">
        <v>0.1</v>
      </c>
      <c r="Y10" s="3">
        <v>18.47</v>
      </c>
      <c r="Z10" s="3" t="s">
        <v>1991</v>
      </c>
      <c r="AA10" s="3" t="s">
        <v>658</v>
      </c>
      <c r="AB10" s="3" t="s">
        <v>1992</v>
      </c>
      <c r="AC10" s="3" t="s">
        <v>1993</v>
      </c>
      <c r="AD10" s="3" t="s">
        <v>47</v>
      </c>
      <c r="AE10" s="3">
        <v>231475</v>
      </c>
      <c r="AF10" s="3" t="s">
        <v>1278</v>
      </c>
      <c r="AG10" s="3">
        <v>0.47</v>
      </c>
      <c r="AH10" s="3" t="s">
        <v>1279</v>
      </c>
      <c r="AI10" s="3" t="s">
        <v>437</v>
      </c>
      <c r="AJ10" s="3" t="s">
        <v>1280</v>
      </c>
      <c r="AK10" s="3" t="s">
        <v>410</v>
      </c>
      <c r="AL10" s="3" t="s">
        <v>1281</v>
      </c>
      <c r="AM10" s="3" t="s">
        <v>47</v>
      </c>
      <c r="AN10" s="3" t="s">
        <v>1994</v>
      </c>
      <c r="AO10" s="3" t="s">
        <v>1995</v>
      </c>
      <c r="AP10" s="3" t="s">
        <v>47</v>
      </c>
      <c r="AQ10" s="3" t="s">
        <v>1176</v>
      </c>
      <c r="AR10" s="3" t="s">
        <v>1996</v>
      </c>
      <c r="AS10" s="3" t="s">
        <v>1997</v>
      </c>
      <c r="AT10" s="3" t="s">
        <v>47</v>
      </c>
      <c r="AU10" s="3" t="s">
        <v>1998</v>
      </c>
      <c r="AV10" s="3" t="s">
        <v>766</v>
      </c>
      <c r="AW10" s="3" t="s">
        <v>1999</v>
      </c>
      <c r="AX10" s="3" t="s">
        <v>965</v>
      </c>
      <c r="AY10" s="3" t="s">
        <v>621</v>
      </c>
      <c r="AZ10" s="3" t="s">
        <v>197</v>
      </c>
      <c r="BA10" s="3" t="s">
        <v>202</v>
      </c>
      <c r="BB10" s="3" t="s">
        <v>203</v>
      </c>
      <c r="BC10" s="3" t="s">
        <v>346</v>
      </c>
      <c r="BD10" s="3" t="s">
        <v>165</v>
      </c>
      <c r="BE10" s="3" t="s">
        <v>189</v>
      </c>
      <c r="BF10" s="3" t="s">
        <v>205</v>
      </c>
      <c r="BG10" s="3" t="s">
        <v>206</v>
      </c>
      <c r="BH10" s="3" t="s">
        <v>1276</v>
      </c>
      <c r="BI10" s="3" t="s">
        <v>1283</v>
      </c>
      <c r="BJ10" s="3" t="s">
        <v>965</v>
      </c>
      <c r="BK10" s="3" t="s">
        <v>1277</v>
      </c>
      <c r="BL10" s="3" t="s">
        <v>58</v>
      </c>
      <c r="BM10" s="3" t="s">
        <v>346</v>
      </c>
      <c r="BN10" s="3">
        <v>11.79</v>
      </c>
      <c r="BO10" s="3">
        <v>12.82</v>
      </c>
      <c r="BP10" s="3">
        <v>17.62</v>
      </c>
      <c r="BQ10" s="3">
        <v>13.26</v>
      </c>
      <c r="BR10" s="3">
        <v>14.7</v>
      </c>
      <c r="BS10" s="3">
        <v>18.02</v>
      </c>
      <c r="BT10" s="3" t="s">
        <v>860</v>
      </c>
      <c r="BU10" s="3" t="s">
        <v>226</v>
      </c>
      <c r="BV10" s="3">
        <v>36.65</v>
      </c>
      <c r="BW10" s="3">
        <v>37.01</v>
      </c>
      <c r="BX10" s="3">
        <v>38.31</v>
      </c>
      <c r="BY10" s="3">
        <v>21.55</v>
      </c>
      <c r="BZ10" s="3">
        <v>20.79</v>
      </c>
      <c r="CA10" s="3">
        <v>24.61</v>
      </c>
      <c r="CB10" s="3">
        <v>-2.93</v>
      </c>
      <c r="CC10" s="3">
        <v>-15.71</v>
      </c>
      <c r="CD10" s="3" t="s">
        <v>2000</v>
      </c>
      <c r="CE10" s="3" t="s">
        <v>297</v>
      </c>
      <c r="CF10" s="10">
        <v>-9.3150684931506855E-2</v>
      </c>
      <c r="CG10" s="11">
        <v>-0.49708046666666666</v>
      </c>
      <c r="CH10" s="10">
        <v>0.19080783426761627</v>
      </c>
      <c r="CI10" s="10">
        <v>1.9403662532567978E-2</v>
      </c>
      <c r="CJ10" s="10">
        <v>0.15590806305408478</v>
      </c>
      <c r="CK10" s="10">
        <v>0.25205478072166443</v>
      </c>
      <c r="CL10" s="10">
        <v>0.59388643503189087</v>
      </c>
      <c r="CM10" s="11">
        <v>0.20000000298023224</v>
      </c>
      <c r="CN10" s="11">
        <v>-9.1836735606193542E-2</v>
      </c>
      <c r="CO10" s="11">
        <v>0.20987653732299805</v>
      </c>
      <c r="CP10" s="11">
        <v>0.31921824812889099</v>
      </c>
      <c r="CQ10" s="11">
        <v>0.68681317567825317</v>
      </c>
      <c r="CR10" s="3">
        <v>30.923418027930598</v>
      </c>
      <c r="CS10" s="3">
        <v>1.2756545979479914</v>
      </c>
      <c r="CT10" s="3">
        <v>2.0990764063811924</v>
      </c>
      <c r="CU10" s="10">
        <v>0.24241215512156486</v>
      </c>
      <c r="CV10" s="11">
        <v>0.26481424570083617</v>
      </c>
      <c r="CW10" s="3">
        <v>0.06</v>
      </c>
      <c r="CX10" s="3">
        <v>18.350814986412303</v>
      </c>
      <c r="CY10" s="3">
        <v>625894425.31595814</v>
      </c>
      <c r="CZ10" s="3">
        <v>0.24241215512156486</v>
      </c>
      <c r="DA10" s="3">
        <v>5.283021082589185</v>
      </c>
      <c r="DB10" s="3">
        <v>2174072868.6191278</v>
      </c>
      <c r="DC10" s="3">
        <v>0.2302915473654866</v>
      </c>
      <c r="DD10" s="3">
        <v>2.1758198944369922</v>
      </c>
      <c r="DE10" s="3">
        <v>5278779199.2185984</v>
      </c>
      <c r="DF10" s="3">
        <v>0.21332269650697708</v>
      </c>
      <c r="DG10" s="3">
        <v>1.0552342089965632</v>
      </c>
      <c r="DH10" s="3">
        <v>10884477305.679737</v>
      </c>
      <c r="DI10" s="3">
        <v>0.1939297240972519</v>
      </c>
      <c r="DJ10" s="3">
        <v>0.32710752496613965</v>
      </c>
      <c r="DK10" s="3">
        <v>35112835760.011734</v>
      </c>
      <c r="DL10" s="3">
        <v>0.1696885085850954</v>
      </c>
      <c r="DM10" s="3">
        <v>534000000</v>
      </c>
      <c r="DN10" s="3">
        <v>0.24241215512156486</v>
      </c>
      <c r="DO10" s="3">
        <v>11485672800</v>
      </c>
      <c r="DP10" s="3">
        <v>3343537200</v>
      </c>
      <c r="DQ10" s="3">
        <v>1186</v>
      </c>
      <c r="DR10" s="3">
        <v>-0.33556284005307169</v>
      </c>
      <c r="DS10" s="3">
        <v>-0.76189471236750284</v>
      </c>
      <c r="DT10" s="12">
        <v>7.6666666666666591E-2</v>
      </c>
      <c r="DU10" s="3">
        <v>0.39666666666666672</v>
      </c>
      <c r="DV10" s="3">
        <v>0.47333333333333333</v>
      </c>
      <c r="DW10" s="3">
        <v>-8.186505410566518</v>
      </c>
      <c r="DX10" s="3">
        <v>0.3772639484978535</v>
      </c>
      <c r="DY10" s="3">
        <v>-8.0256004690705733</v>
      </c>
      <c r="DZ10" s="3">
        <v>751</v>
      </c>
      <c r="EA10" s="3">
        <v>-8.0218380517962089</v>
      </c>
      <c r="EB10" s="3">
        <v>8</v>
      </c>
      <c r="EC10" s="3">
        <v>3.1276936414958871E-2</v>
      </c>
      <c r="ED10" s="3">
        <v>0.22785980410178747</v>
      </c>
      <c r="EE10" s="13">
        <v>-3.1114099999999998</v>
      </c>
      <c r="EF10" s="3">
        <v>-3.1463100000000002</v>
      </c>
      <c r="EG10" s="3">
        <v>24.137263948497854</v>
      </c>
      <c r="EH10" s="3" t="s">
        <v>1182</v>
      </c>
      <c r="EI10" s="3">
        <v>0</v>
      </c>
      <c r="EJ10" s="3">
        <v>1</v>
      </c>
      <c r="EK10" s="15">
        <v>45470</v>
      </c>
      <c r="EL10" s="16">
        <v>-1.31</v>
      </c>
      <c r="EM10" s="16">
        <v>-3.43</v>
      </c>
      <c r="EN10" s="16">
        <v>-0.81</v>
      </c>
      <c r="EO10" s="16">
        <v>2.44</v>
      </c>
      <c r="EP10" s="16">
        <v>-3.49</v>
      </c>
    </row>
    <row r="11" spans="1:146" ht="192" x14ac:dyDescent="0.25">
      <c r="C11" s="7" t="str">
        <f>"公司自成立以来始终专注于高端智能机械装备及其核心控制和功能部件研发、生产和销售，主要产品包括应用于金属成形机床的数控系统、电液伺服系统、广泛适用于各种机械装备的交流伺服系统，以及工业机器人及成套设备等。 "&amp;CHAR(10)&amp;Basic_Fundamental_Information_Constructure(C11)&amp;CHAR(10)&amp;Basic_Fundamental_Information_Concatenate("工业机器人及智能制造系统 17.32亿 77.29% 78.11% 33.44%
自动化核心部件及运动控制系统 5.09亿 22.71% 21.89% 31.90%")</f>
        <v>公司自成立以来始终专注于高端智能机械装备及其核心控制和功能部件研发、生产和销售，主要产品包括应用于金属成形机床的数控系统、电液伺服系统、广泛适用于各种机械装备的交流伺服系统，以及工业机器人及成套设备等。 
市值117.473699亿, 利润1.35亿; PE119.2; 平均PE98.61; 平均PEG3.63, PB4.36; ROIC4.21%; ROE5.7133%; 股利率.4441%; 毛利32.7733%; 净利4.25%; 上一年度营收增19.87%, 利润增-18.67%; 当季营收增1.72%, 利润增-84.83%; 过往5年营收增27.13%, 利润增15.74%
Income profile:
工业机器人及智能制造系统 17.32亿 77.29% 78.11% 33.44%
自动化核心部件及运动控制系统 5.09亿 22.71% 21.89% 31.90%</v>
      </c>
      <c r="D11" s="3" t="s">
        <v>208</v>
      </c>
      <c r="E11" s="3" t="s">
        <v>209</v>
      </c>
      <c r="F11" s="3">
        <v>13.51</v>
      </c>
      <c r="G11" s="3">
        <v>-1.39</v>
      </c>
      <c r="H11" s="3" t="s">
        <v>2001</v>
      </c>
      <c r="I11" s="3">
        <v>11747369900</v>
      </c>
      <c r="J11" s="3">
        <v>119.2</v>
      </c>
      <c r="K11" s="3">
        <v>4.3600000000000003</v>
      </c>
      <c r="L11" s="3" t="s">
        <v>176</v>
      </c>
      <c r="M11" s="3" t="s">
        <v>1284</v>
      </c>
      <c r="N11" s="3" t="s">
        <v>2002</v>
      </c>
      <c r="O11" s="3" t="s">
        <v>1285</v>
      </c>
      <c r="P11" s="3">
        <v>1.73</v>
      </c>
      <c r="Q11" s="3" t="s">
        <v>1286</v>
      </c>
      <c r="R11" s="3">
        <v>6529407</v>
      </c>
      <c r="S11" s="5">
        <v>-0.84830000000000005</v>
      </c>
      <c r="T11" s="3" t="s">
        <v>97</v>
      </c>
      <c r="U11" s="3">
        <v>786972950</v>
      </c>
      <c r="V11" s="3">
        <v>869531450</v>
      </c>
      <c r="W11" s="3">
        <v>3.58</v>
      </c>
      <c r="X11" s="3">
        <v>0.1</v>
      </c>
      <c r="Y11" s="3">
        <v>0.85</v>
      </c>
      <c r="Z11" s="3" t="s">
        <v>2003</v>
      </c>
      <c r="AA11" s="3" t="s">
        <v>2004</v>
      </c>
      <c r="AB11" s="3" t="s">
        <v>2005</v>
      </c>
      <c r="AC11" s="3" t="s">
        <v>117</v>
      </c>
      <c r="AD11" s="3" t="s">
        <v>47</v>
      </c>
      <c r="AE11" s="3">
        <v>27000699</v>
      </c>
      <c r="AF11" s="3" t="s">
        <v>1287</v>
      </c>
      <c r="AG11" s="3" t="s">
        <v>2006</v>
      </c>
      <c r="AH11" s="3" t="s">
        <v>1288</v>
      </c>
      <c r="AI11" s="3" t="s">
        <v>217</v>
      </c>
      <c r="AJ11" s="3" t="s">
        <v>1289</v>
      </c>
      <c r="AK11" s="3" t="s">
        <v>2007</v>
      </c>
      <c r="AL11" s="3" t="s">
        <v>1290</v>
      </c>
      <c r="AM11" s="3" t="s">
        <v>47</v>
      </c>
      <c r="AN11" s="3" t="s">
        <v>75</v>
      </c>
      <c r="AO11" s="3" t="s">
        <v>2008</v>
      </c>
      <c r="AP11" s="3" t="s">
        <v>307</v>
      </c>
      <c r="AQ11" s="3" t="s">
        <v>2009</v>
      </c>
      <c r="AR11" s="3" t="s">
        <v>47</v>
      </c>
      <c r="AS11" s="3" t="s">
        <v>2010</v>
      </c>
      <c r="AT11" s="3" t="s">
        <v>2011</v>
      </c>
      <c r="AU11" s="3" t="s">
        <v>2012</v>
      </c>
      <c r="AV11" s="3" t="s">
        <v>2013</v>
      </c>
      <c r="AW11" s="3" t="s">
        <v>2014</v>
      </c>
      <c r="AX11" s="3" t="s">
        <v>966</v>
      </c>
      <c r="AY11" s="3" t="s">
        <v>622</v>
      </c>
      <c r="AZ11" s="3" t="s">
        <v>210</v>
      </c>
      <c r="BA11" s="3" t="s">
        <v>131</v>
      </c>
      <c r="BB11" s="3" t="s">
        <v>211</v>
      </c>
      <c r="BC11" s="3" t="s">
        <v>113</v>
      </c>
      <c r="BD11" s="3" t="s">
        <v>65</v>
      </c>
      <c r="BE11" s="3" t="s">
        <v>76</v>
      </c>
      <c r="BF11" s="3" t="s">
        <v>213</v>
      </c>
      <c r="BG11" s="3" t="s">
        <v>146</v>
      </c>
      <c r="BH11" s="3" t="s">
        <v>1286</v>
      </c>
      <c r="BI11" s="3" t="s">
        <v>1292</v>
      </c>
      <c r="BJ11" s="3" t="s">
        <v>966</v>
      </c>
      <c r="BK11" s="3" t="s">
        <v>97</v>
      </c>
      <c r="BL11" s="3" t="s">
        <v>1293</v>
      </c>
      <c r="BM11" s="3" t="s">
        <v>113</v>
      </c>
      <c r="BN11" s="3">
        <v>3.41</v>
      </c>
      <c r="BO11" s="3">
        <v>4.3499999999999996</v>
      </c>
      <c r="BP11" s="3">
        <v>4.87</v>
      </c>
      <c r="BQ11" s="3">
        <v>5.19</v>
      </c>
      <c r="BR11" s="3">
        <v>6.2</v>
      </c>
      <c r="BS11" s="3">
        <v>5.75</v>
      </c>
      <c r="BT11" s="3" t="s">
        <v>865</v>
      </c>
      <c r="BU11" s="3" t="s">
        <v>226</v>
      </c>
      <c r="BV11" s="3">
        <v>31.93</v>
      </c>
      <c r="BW11" s="3">
        <v>33.85</v>
      </c>
      <c r="BX11" s="3">
        <v>32.54</v>
      </c>
      <c r="BY11" s="3">
        <v>2.85</v>
      </c>
      <c r="BZ11" s="3">
        <v>4.71</v>
      </c>
      <c r="CA11" s="3">
        <v>5.19</v>
      </c>
      <c r="CB11" s="3">
        <v>-4.99</v>
      </c>
      <c r="CC11" s="3">
        <v>-10.17</v>
      </c>
      <c r="CD11" s="3" t="s">
        <v>2015</v>
      </c>
      <c r="CE11" s="3" t="s">
        <v>178</v>
      </c>
      <c r="CF11" s="10">
        <v>1.7241379310344706E-2</v>
      </c>
      <c r="CG11" s="11">
        <v>-0.8483138307140119</v>
      </c>
      <c r="CH11" s="10">
        <v>0.1986602246761322</v>
      </c>
      <c r="CI11" s="10">
        <v>0.2850993275642395</v>
      </c>
      <c r="CJ11" s="10">
        <v>0.20318718254566193</v>
      </c>
      <c r="CK11" s="10">
        <v>0.58760291337966919</v>
      </c>
      <c r="CL11" s="10">
        <v>8.2135528326034546E-2</v>
      </c>
      <c r="CM11" s="11">
        <v>-0.1867469847202301</v>
      </c>
      <c r="CN11" s="11">
        <v>0.36065572500228882</v>
      </c>
      <c r="CO11" s="11">
        <v>-4.6875E-2</v>
      </c>
      <c r="CP11" s="11">
        <v>1.0378271341323853</v>
      </c>
      <c r="CQ11" s="11">
        <v>-0.37809902429580688</v>
      </c>
      <c r="CR11" s="3">
        <v>98.605254808257286</v>
      </c>
      <c r="CS11" s="3">
        <v>3.6340507185035134</v>
      </c>
      <c r="CT11" s="3">
        <v>0.44411547002220575</v>
      </c>
      <c r="CU11" s="10">
        <v>0.27133703529834746</v>
      </c>
      <c r="CV11" s="11">
        <v>0.15735237002372743</v>
      </c>
      <c r="CW11" s="3">
        <v>0.06</v>
      </c>
      <c r="CX11" s="3">
        <v>99.992670984880817</v>
      </c>
      <c r="CY11" s="3">
        <v>161915565.81629899</v>
      </c>
      <c r="CZ11" s="3">
        <v>0.27133703529834746</v>
      </c>
      <c r="DA11" s="3">
        <v>28.118008983743284</v>
      </c>
      <c r="DB11" s="3">
        <v>575800722.92318523</v>
      </c>
      <c r="DC11" s="3">
        <v>0.25777018353343006</v>
      </c>
      <c r="DD11" s="3">
        <v>11.18396817688599</v>
      </c>
      <c r="DE11" s="3">
        <v>1447640912.7719789</v>
      </c>
      <c r="DF11" s="3">
        <v>0.23877659106254576</v>
      </c>
      <c r="DG11" s="3">
        <v>5.1903866703567125</v>
      </c>
      <c r="DH11" s="3">
        <v>3119299375.6065011</v>
      </c>
      <c r="DI11" s="3">
        <v>0.21706962823867798</v>
      </c>
      <c r="DJ11" s="3">
        <v>1.4389669521555506</v>
      </c>
      <c r="DK11" s="3">
        <v>11251384109.792843</v>
      </c>
      <c r="DL11" s="3">
        <v>0.18993592470884321</v>
      </c>
      <c r="DM11" s="3">
        <v>135000000</v>
      </c>
      <c r="DN11" s="3">
        <v>0.27133703529834746</v>
      </c>
      <c r="DO11" s="3">
        <v>16190369900</v>
      </c>
      <c r="DP11" s="3">
        <v>778915100</v>
      </c>
      <c r="DQ11" s="3">
        <v>1228</v>
      </c>
      <c r="DR11" s="3">
        <v>-0.25409565598800277</v>
      </c>
      <c r="DS11" s="3">
        <v>-1.0056662007377393</v>
      </c>
      <c r="DT11" s="12">
        <v>0.12666666666666662</v>
      </c>
      <c r="DU11" s="3">
        <v>-0.32333333333333336</v>
      </c>
      <c r="DV11" s="3">
        <v>-0.19666666666666674</v>
      </c>
      <c r="DW11" s="3">
        <v>-8.4906588003933141</v>
      </c>
      <c r="DX11" s="3">
        <v>0.42781926345608912</v>
      </c>
      <c r="DY11" s="3">
        <v>-8.0725288224823881</v>
      </c>
      <c r="DZ11" s="3">
        <v>2197</v>
      </c>
      <c r="EA11" s="3">
        <v>-8.041345686867162</v>
      </c>
      <c r="EB11" s="3">
        <v>8</v>
      </c>
      <c r="EC11" s="3">
        <v>6.0009560321251182E-2</v>
      </c>
      <c r="ED11" s="3">
        <v>0.40596576466555639</v>
      </c>
      <c r="EE11" s="13">
        <v>1.5310000000000001E-2</v>
      </c>
      <c r="EF11" s="3">
        <v>5.4610000000000006E-2</v>
      </c>
      <c r="EG11" s="3">
        <v>28.147819263456089</v>
      </c>
      <c r="EH11" s="3">
        <v>-1</v>
      </c>
      <c r="EI11" s="3">
        <v>0</v>
      </c>
      <c r="EJ11" s="3">
        <v>0</v>
      </c>
      <c r="EK11" s="15">
        <v>45470</v>
      </c>
      <c r="EL11" s="16">
        <v>-0.74</v>
      </c>
      <c r="EM11" s="16">
        <v>-3.13</v>
      </c>
      <c r="EN11" s="16">
        <v>1.1200000000000001</v>
      </c>
      <c r="EO11" s="16">
        <v>2.4300000000000002</v>
      </c>
      <c r="EP11" s="16">
        <v>-3.93</v>
      </c>
    </row>
    <row r="12" spans="1:146" ht="108" x14ac:dyDescent="0.25">
      <c r="C12" s="7" t="str">
        <f>""&amp;CHAR(10)&amp;Basic_Fundamental_Information_Constructure(F12)&amp;CHAR(10)&amp;Basic_Fundamental_Information_Concatenate("")</f>
        <v xml:space="preserve">
市值52.857705亿, 利润1.74亿; PE29.78; 平均PE23.1; 平均PEG2.3, PB1.82; ROIC6.5233%; ROE6.46%; 股利率1.3396%; 毛利34.3533%; 净利8.0333%; 上一年度营收增-11.98%, 利润增-44.41%; 当季营收增2.06%, 利润增13.19%; 过往5年营收增10.03%, 利润增132.23%
Income profile:
</v>
      </c>
      <c r="D12" s="3" t="s">
        <v>343</v>
      </c>
      <c r="E12" s="3" t="s">
        <v>344</v>
      </c>
      <c r="F12" s="3">
        <v>12.84</v>
      </c>
      <c r="G12" s="3">
        <v>1.02</v>
      </c>
      <c r="H12" s="3" t="s">
        <v>2016</v>
      </c>
      <c r="I12" s="3">
        <v>5285770500</v>
      </c>
      <c r="J12" s="3">
        <v>29.78</v>
      </c>
      <c r="K12" s="3">
        <v>1.82</v>
      </c>
      <c r="L12" s="3" t="s">
        <v>176</v>
      </c>
      <c r="M12" s="3" t="s">
        <v>1294</v>
      </c>
      <c r="N12" s="3" t="s">
        <v>2017</v>
      </c>
      <c r="O12" s="3" t="s">
        <v>608</v>
      </c>
      <c r="P12" s="3">
        <v>2.11</v>
      </c>
      <c r="Q12" s="3" t="s">
        <v>1295</v>
      </c>
      <c r="R12" s="3">
        <v>33574644</v>
      </c>
      <c r="S12" s="5">
        <v>0.13189999999999999</v>
      </c>
      <c r="T12" s="3" t="s">
        <v>143</v>
      </c>
      <c r="U12" s="3">
        <v>410025370</v>
      </c>
      <c r="V12" s="3">
        <v>411664370</v>
      </c>
      <c r="W12" s="3">
        <v>1.83</v>
      </c>
      <c r="X12" s="3">
        <v>0.09</v>
      </c>
      <c r="Y12" s="3">
        <v>7.8</v>
      </c>
      <c r="Z12" s="3" t="s">
        <v>2018</v>
      </c>
      <c r="AA12" s="3" t="s">
        <v>248</v>
      </c>
      <c r="AB12" s="3" t="s">
        <v>2019</v>
      </c>
      <c r="AC12" s="3" t="s">
        <v>2020</v>
      </c>
      <c r="AD12" s="3" t="s">
        <v>47</v>
      </c>
      <c r="AE12" s="3">
        <v>-913961</v>
      </c>
      <c r="AF12" s="3" t="s">
        <v>1296</v>
      </c>
      <c r="AG12" s="3" t="s">
        <v>2021</v>
      </c>
      <c r="AH12" s="3" t="s">
        <v>1297</v>
      </c>
      <c r="AI12" s="3" t="s">
        <v>664</v>
      </c>
      <c r="AJ12" s="3" t="s">
        <v>1299</v>
      </c>
      <c r="AK12" s="3" t="s">
        <v>2022</v>
      </c>
      <c r="AL12" s="3" t="s">
        <v>1300</v>
      </c>
      <c r="AM12" s="3" t="s">
        <v>47</v>
      </c>
      <c r="AN12" s="3" t="s">
        <v>2023</v>
      </c>
      <c r="AO12" s="3" t="s">
        <v>259</v>
      </c>
      <c r="AP12" s="3" t="s">
        <v>1135</v>
      </c>
      <c r="AQ12" s="3" t="s">
        <v>2024</v>
      </c>
      <c r="AR12" s="3" t="s">
        <v>47</v>
      </c>
      <c r="AS12" s="3" t="s">
        <v>2025</v>
      </c>
      <c r="AT12" s="3" t="s">
        <v>2026</v>
      </c>
      <c r="AU12" s="3" t="s">
        <v>2027</v>
      </c>
      <c r="AV12" s="3" t="s">
        <v>2028</v>
      </c>
      <c r="AW12" s="3" t="s">
        <v>2029</v>
      </c>
      <c r="AX12" s="3" t="s">
        <v>967</v>
      </c>
      <c r="AY12" s="3" t="s">
        <v>567</v>
      </c>
      <c r="AZ12" s="3" t="s">
        <v>137</v>
      </c>
      <c r="BA12" s="3" t="s">
        <v>348</v>
      </c>
      <c r="BB12" s="3" t="s">
        <v>349</v>
      </c>
      <c r="BC12" s="3" t="s">
        <v>397</v>
      </c>
      <c r="BD12" s="3" t="s">
        <v>623</v>
      </c>
      <c r="BE12" s="3" t="s">
        <v>138</v>
      </c>
      <c r="BF12" s="3" t="s">
        <v>74</v>
      </c>
      <c r="BG12" s="3" t="s">
        <v>350</v>
      </c>
      <c r="BH12" s="3" t="s">
        <v>1295</v>
      </c>
      <c r="BI12" s="3" t="s">
        <v>1301</v>
      </c>
      <c r="BJ12" s="3" t="s">
        <v>967</v>
      </c>
      <c r="BK12" s="3" t="s">
        <v>143</v>
      </c>
      <c r="BL12" s="3" t="s">
        <v>1302</v>
      </c>
      <c r="BM12" s="3" t="s">
        <v>397</v>
      </c>
      <c r="BN12" s="3">
        <v>5.65</v>
      </c>
      <c r="BO12" s="3">
        <v>11.44</v>
      </c>
      <c r="BP12" s="3">
        <v>2.48</v>
      </c>
      <c r="BQ12" s="3">
        <v>6.01</v>
      </c>
      <c r="BR12" s="3">
        <v>11.96</v>
      </c>
      <c r="BS12" s="3">
        <v>1.41</v>
      </c>
      <c r="BT12" s="3" t="s">
        <v>1303</v>
      </c>
      <c r="BU12" s="3" t="s">
        <v>747</v>
      </c>
      <c r="BV12" s="3">
        <v>33.26</v>
      </c>
      <c r="BW12" s="3">
        <v>35.909999999999997</v>
      </c>
      <c r="BX12" s="3">
        <v>33.89</v>
      </c>
      <c r="BY12" s="3">
        <v>7.9</v>
      </c>
      <c r="BZ12" s="3">
        <v>11.82</v>
      </c>
      <c r="CA12" s="3">
        <v>4.38</v>
      </c>
      <c r="CB12" s="3">
        <v>-5.31</v>
      </c>
      <c r="CC12" s="3">
        <v>-9.9499999999999993</v>
      </c>
      <c r="CD12" s="3" t="s">
        <v>2030</v>
      </c>
      <c r="CE12" s="3" t="s">
        <v>57</v>
      </c>
      <c r="CF12" s="10">
        <v>2.0637898686679174E-2</v>
      </c>
      <c r="CG12" s="11">
        <v>0.13191907409217948</v>
      </c>
      <c r="CH12" s="10">
        <v>-0.1198398545384407</v>
      </c>
      <c r="CI12" s="10">
        <v>0.5020824670791626</v>
      </c>
      <c r="CJ12" s="10">
        <v>7.2989046573638916E-2</v>
      </c>
      <c r="CK12" s="10">
        <v>7.5854703783988953E-2</v>
      </c>
      <c r="CL12" s="10">
        <v>-2.9548956081271172E-2</v>
      </c>
      <c r="CM12" s="11">
        <v>-0.44408944249153137</v>
      </c>
      <c r="CN12" s="11">
        <v>7.9323420524597168</v>
      </c>
      <c r="CO12" s="11">
        <v>-0.8804054856300354</v>
      </c>
      <c r="CP12" s="11">
        <v>0.11832061409950256</v>
      </c>
      <c r="CQ12" s="11">
        <v>-0.11486486345529556</v>
      </c>
      <c r="CR12" s="3">
        <v>23.098085476240627</v>
      </c>
      <c r="CS12" s="3">
        <v>2.30272808790362</v>
      </c>
      <c r="CT12" s="3">
        <v>1.3395638629283488</v>
      </c>
      <c r="CU12" s="10">
        <v>0.10030748136341572</v>
      </c>
      <c r="CV12" s="11">
        <v>1.3222605749964713</v>
      </c>
      <c r="CW12" s="3">
        <v>0.06</v>
      </c>
      <c r="CX12" s="3">
        <v>26.790299905319912</v>
      </c>
      <c r="CY12" s="3">
        <v>180616511.09173048</v>
      </c>
      <c r="CZ12" s="3">
        <v>0.10030748136341572</v>
      </c>
      <c r="DA12" s="3">
        <v>8.6788275583145218</v>
      </c>
      <c r="DB12" s="3">
        <v>557537347.92948425</v>
      </c>
      <c r="DC12" s="3">
        <v>9.5292107295244927E-2</v>
      </c>
      <c r="DD12" s="3">
        <v>4.2226711019866574</v>
      </c>
      <c r="DE12" s="3">
        <v>1145902767.0242856</v>
      </c>
      <c r="DF12" s="3">
        <v>8.827058359980583E-2</v>
      </c>
      <c r="DG12" s="3">
        <v>2.5023745695048945</v>
      </c>
      <c r="DH12" s="3">
        <v>1933671545.0066981</v>
      </c>
      <c r="DI12" s="3">
        <v>8.024598509073258E-2</v>
      </c>
      <c r="DJ12" s="3">
        <v>1.2553261093037227</v>
      </c>
      <c r="DK12" s="3">
        <v>3854592415.5786624</v>
      </c>
      <c r="DL12" s="3">
        <v>7.0215236954390997E-2</v>
      </c>
      <c r="DM12" s="3">
        <v>174000000</v>
      </c>
      <c r="DN12" s="3">
        <v>0.10030748136341572</v>
      </c>
      <c r="DO12" s="3">
        <v>4838770500</v>
      </c>
      <c r="DP12" s="3">
        <v>1555309600</v>
      </c>
      <c r="DQ12" s="3">
        <v>1417</v>
      </c>
      <c r="DR12" s="3">
        <v>-7.9669582676736544E-2</v>
      </c>
      <c r="DS12" s="3">
        <v>-1.1903415009042919</v>
      </c>
      <c r="DT12" s="12">
        <v>-0.28999999999999998</v>
      </c>
      <c r="DU12" s="3">
        <v>-0.10000000000000005</v>
      </c>
      <c r="DV12" s="3">
        <v>-0.39</v>
      </c>
      <c r="DW12" s="3">
        <v>-8.5336683417085428</v>
      </c>
      <c r="DX12" s="3">
        <v>0.34987272727272822</v>
      </c>
      <c r="DY12" s="3">
        <v>-8.0639722795797173</v>
      </c>
      <c r="DZ12" s="3">
        <v>2652</v>
      </c>
      <c r="EA12" s="3">
        <v>-8.0307717931911835</v>
      </c>
      <c r="EB12" s="3">
        <v>8</v>
      </c>
      <c r="EC12" s="3">
        <v>4.4843327101638651E-2</v>
      </c>
      <c r="ED12" s="3">
        <v>0.37409115586078046</v>
      </c>
      <c r="EE12" s="13">
        <v>-4.0568099999999996</v>
      </c>
      <c r="EF12" s="3">
        <v>-4.0826099999999999</v>
      </c>
      <c r="EG12" s="3">
        <v>23.119872727272728</v>
      </c>
      <c r="EH12" s="3" t="s">
        <v>1195</v>
      </c>
      <c r="EI12" s="3">
        <v>0</v>
      </c>
      <c r="EJ12" s="3">
        <v>0</v>
      </c>
      <c r="EK12" s="15">
        <v>45470</v>
      </c>
      <c r="EL12" s="16">
        <v>0</v>
      </c>
      <c r="EM12" s="16">
        <v>-5.69</v>
      </c>
      <c r="EN12" s="16">
        <v>1.32</v>
      </c>
      <c r="EO12" s="16">
        <v>3.59</v>
      </c>
      <c r="EP12" s="16">
        <v>-2.58</v>
      </c>
    </row>
    <row r="13" spans="1:146" ht="108" x14ac:dyDescent="0.25">
      <c r="C13" s="7" t="str">
        <f>""&amp;CHAR(10)&amp;Basic_Fundamental_Information_Constructure(F13)&amp;CHAR(10)&amp;Basic_Fundamental_Information_Concatenate("")</f>
        <v xml:space="preserve">
市值38.180689亿, 利润-5722.99万; PE; 平均PE23.12; 平均PEG2.33, PB2.43; ROIC12.6%; ROE9.6867%; 股利率0%; 毛利48.3733%; 净利9.4%; 上一年度营收增-25.64%, 利润增-128.33%; 当季营收增41.75%, 利润增200.73%; 过往5年营收增9.94%, 利润增-2.54%
Income profile:
</v>
      </c>
      <c r="D13" s="3" t="s">
        <v>352</v>
      </c>
      <c r="E13" s="3" t="s">
        <v>353</v>
      </c>
      <c r="F13" s="3">
        <v>27.48</v>
      </c>
      <c r="G13" s="3">
        <v>0.84</v>
      </c>
      <c r="H13" s="3" t="s">
        <v>2031</v>
      </c>
      <c r="I13" s="3">
        <v>3818068900</v>
      </c>
      <c r="K13" s="3">
        <v>2.4300000000000002</v>
      </c>
      <c r="L13" s="3" t="s">
        <v>176</v>
      </c>
      <c r="M13" s="3" t="s">
        <v>1304</v>
      </c>
      <c r="N13" s="3" t="s">
        <v>2032</v>
      </c>
      <c r="O13" s="3" t="s">
        <v>840</v>
      </c>
      <c r="P13" s="3">
        <v>41.51</v>
      </c>
      <c r="Q13" s="3" t="s">
        <v>1170</v>
      </c>
      <c r="R13" s="3">
        <v>10630098</v>
      </c>
      <c r="S13" s="5">
        <v>2.0070000000000001</v>
      </c>
      <c r="T13" s="3" t="s">
        <v>1305</v>
      </c>
      <c r="U13" s="3">
        <v>71321041</v>
      </c>
      <c r="V13" s="3">
        <v>138939920</v>
      </c>
      <c r="W13" s="3">
        <v>1.65</v>
      </c>
      <c r="X13" s="3">
        <v>0.1</v>
      </c>
      <c r="Y13" s="3">
        <v>2.57</v>
      </c>
      <c r="Z13" s="3" t="s">
        <v>1171</v>
      </c>
      <c r="AA13" s="3" t="s">
        <v>129</v>
      </c>
      <c r="AB13" s="3" t="s">
        <v>2033</v>
      </c>
      <c r="AC13" s="3" t="s">
        <v>2034</v>
      </c>
      <c r="AD13" s="3" t="s">
        <v>47</v>
      </c>
      <c r="AE13" s="3">
        <v>377549</v>
      </c>
      <c r="AF13" s="3" t="s">
        <v>1306</v>
      </c>
      <c r="AG13" s="3">
        <v>880.04</v>
      </c>
      <c r="AH13" s="3" t="s">
        <v>1307</v>
      </c>
      <c r="AI13" s="3" t="s">
        <v>1029</v>
      </c>
      <c r="AJ13" s="3" t="s">
        <v>1308</v>
      </c>
      <c r="AK13" s="3" t="s">
        <v>2035</v>
      </c>
      <c r="AL13" s="3" t="s">
        <v>1309</v>
      </c>
      <c r="AM13" s="3" t="s">
        <v>47</v>
      </c>
      <c r="AN13" s="3" t="s">
        <v>99</v>
      </c>
      <c r="AO13" s="3" t="s">
        <v>159</v>
      </c>
      <c r="AP13" s="3" t="s">
        <v>2036</v>
      </c>
      <c r="AQ13" s="3" t="s">
        <v>132</v>
      </c>
      <c r="AR13" s="3" t="s">
        <v>47</v>
      </c>
      <c r="AS13" s="3" t="s">
        <v>2037</v>
      </c>
      <c r="AT13" s="3" t="s">
        <v>47</v>
      </c>
      <c r="AU13" s="3" t="s">
        <v>1003</v>
      </c>
      <c r="AV13" s="3" t="s">
        <v>283</v>
      </c>
      <c r="AW13" s="3" t="s">
        <v>48</v>
      </c>
      <c r="AX13" s="3" t="s">
        <v>968</v>
      </c>
      <c r="AY13" s="3" t="s">
        <v>625</v>
      </c>
      <c r="AZ13" s="3" t="s">
        <v>354</v>
      </c>
      <c r="BA13" s="3" t="s">
        <v>356</v>
      </c>
      <c r="BB13" s="3" t="s">
        <v>172</v>
      </c>
      <c r="BC13" s="3" t="s">
        <v>834</v>
      </c>
      <c r="BD13" s="3" t="s">
        <v>110</v>
      </c>
      <c r="BE13" s="3" t="s">
        <v>355</v>
      </c>
      <c r="BF13" s="3" t="s">
        <v>114</v>
      </c>
      <c r="BG13" s="3" t="s">
        <v>142</v>
      </c>
      <c r="BH13" s="3" t="s">
        <v>1170</v>
      </c>
      <c r="BI13" s="3" t="s">
        <v>71</v>
      </c>
      <c r="BJ13" s="3" t="s">
        <v>968</v>
      </c>
      <c r="BK13" s="3" t="s">
        <v>1305</v>
      </c>
      <c r="BL13" s="3" t="s">
        <v>1310</v>
      </c>
      <c r="BM13" s="3" t="s">
        <v>834</v>
      </c>
      <c r="BN13" s="3" t="s">
        <v>47</v>
      </c>
      <c r="BO13" s="3">
        <v>10.34</v>
      </c>
      <c r="BP13" s="3">
        <v>14.86</v>
      </c>
      <c r="BQ13" s="3">
        <v>-0.32</v>
      </c>
      <c r="BR13" s="3">
        <v>12.28</v>
      </c>
      <c r="BS13" s="3">
        <v>17.100000000000001</v>
      </c>
      <c r="BT13" s="3" t="s">
        <v>856</v>
      </c>
      <c r="BU13" s="3" t="s">
        <v>747</v>
      </c>
      <c r="BV13" s="3">
        <v>47.17</v>
      </c>
      <c r="BW13" s="3">
        <v>48.71</v>
      </c>
      <c r="BX13" s="3">
        <v>49.24</v>
      </c>
      <c r="BY13" s="3">
        <v>-9.1300000000000008</v>
      </c>
      <c r="BZ13" s="3">
        <v>16.420000000000002</v>
      </c>
      <c r="CA13" s="3">
        <v>20.91</v>
      </c>
      <c r="CB13" s="3">
        <v>-8.0299999999999994</v>
      </c>
      <c r="CC13" s="3">
        <v>-16.52</v>
      </c>
      <c r="CD13" s="3" t="s">
        <v>2038</v>
      </c>
      <c r="CE13" s="3" t="s">
        <v>2039</v>
      </c>
      <c r="CF13" s="10">
        <v>0.4175257731958763</v>
      </c>
      <c r="CG13" s="11">
        <v>2.0073439721016619</v>
      </c>
      <c r="CH13" s="10">
        <v>-0.25636807084083557</v>
      </c>
      <c r="CI13" s="10">
        <v>2.4711170699447393E-3</v>
      </c>
      <c r="CJ13" s="10">
        <v>-0.11773255467414856</v>
      </c>
      <c r="CK13" s="10">
        <v>0.66787880659103394</v>
      </c>
      <c r="CL13" s="10">
        <v>0.20087336003780365</v>
      </c>
      <c r="CM13" s="11">
        <v>-1.2833163738250732</v>
      </c>
      <c r="CN13" s="11">
        <v>-0.16872428357601166</v>
      </c>
      <c r="CO13" s="11">
        <v>-0.28739002346992493</v>
      </c>
      <c r="CP13" s="11">
        <v>1.2733333110809326</v>
      </c>
      <c r="CQ13" s="11">
        <v>0.33928570151329041</v>
      </c>
      <c r="CR13" s="3">
        <v>23.121825537528839</v>
      </c>
      <c r="CS13" s="3">
        <v>2.3255654471677838</v>
      </c>
      <c r="CT13" s="3">
        <v>0</v>
      </c>
      <c r="CU13" s="10">
        <v>9.9424531636759642E-2</v>
      </c>
      <c r="CV13" s="11">
        <v>-2.5362333655357359E-2</v>
      </c>
      <c r="CW13" s="3">
        <v>0.06</v>
      </c>
      <c r="CX13" s="3" t="e">
        <v>#VALUE!</v>
      </c>
      <c r="CY13" s="3" t="s">
        <v>758</v>
      </c>
      <c r="CZ13" s="3">
        <v>9.9424531636759642E-2</v>
      </c>
      <c r="DA13" s="3" t="e">
        <v>#VALUE!</v>
      </c>
      <c r="DB13" s="3" t="s">
        <v>758</v>
      </c>
      <c r="DC13" s="3">
        <v>9.4453305054921652E-2</v>
      </c>
      <c r="DD13" s="3" t="e">
        <v>#VALUE!</v>
      </c>
      <c r="DE13" s="3" t="s">
        <v>758</v>
      </c>
      <c r="DF13" s="3">
        <v>8.7493587840348483E-2</v>
      </c>
      <c r="DG13" s="3" t="e">
        <v>#VALUE!</v>
      </c>
      <c r="DH13" s="3" t="s">
        <v>758</v>
      </c>
      <c r="DI13" s="3">
        <v>7.9539625309407724E-2</v>
      </c>
      <c r="DJ13" s="3" t="e">
        <v>#VALUE!</v>
      </c>
      <c r="DK13" s="3" t="s">
        <v>758</v>
      </c>
      <c r="DL13" s="3">
        <v>6.9597172145731745E-2</v>
      </c>
      <c r="DM13" s="3">
        <v>-57229900</v>
      </c>
      <c r="DN13" s="3">
        <v>9.9424531636759642E-2</v>
      </c>
      <c r="DO13" s="3">
        <v>3143068900</v>
      </c>
      <c r="DP13" s="3">
        <v>1407661300</v>
      </c>
      <c r="DQ13" s="3">
        <v>1433</v>
      </c>
      <c r="DR13" s="3">
        <v>0.31810124155911668</v>
      </c>
      <c r="DS13" s="3">
        <v>2.0327063057570194</v>
      </c>
      <c r="DT13" s="12">
        <v>-0.27333333333333337</v>
      </c>
      <c r="DU13" s="3">
        <v>-0.70000000000000007</v>
      </c>
      <c r="DV13" s="3">
        <v>-0.97333333333333338</v>
      </c>
      <c r="DW13" s="3">
        <v>-9.4860774818401943</v>
      </c>
      <c r="DX13" s="3">
        <v>0.33228309139639434</v>
      </c>
      <c r="DY13" s="3">
        <v>-9.049717507500791</v>
      </c>
      <c r="DZ13" s="3">
        <v>3536</v>
      </c>
      <c r="EA13" s="3">
        <v>-9.0153141598446656</v>
      </c>
      <c r="EB13" s="3">
        <v>9</v>
      </c>
      <c r="EC13" s="3">
        <v>3.9470297665350609E-2</v>
      </c>
      <c r="ED13" s="3">
        <v>0.38589269376288687</v>
      </c>
      <c r="EE13" s="13">
        <v>4.00291</v>
      </c>
      <c r="EF13" s="3">
        <v>4.01241</v>
      </c>
      <c r="EG13" s="3">
        <v>23.102283091396394</v>
      </c>
      <c r="EH13" s="3" t="s">
        <v>1196</v>
      </c>
      <c r="EI13" s="3">
        <v>0</v>
      </c>
      <c r="EJ13" s="3">
        <v>0</v>
      </c>
      <c r="EK13" s="15">
        <v>45470</v>
      </c>
      <c r="EL13" s="16">
        <v>-0.67</v>
      </c>
      <c r="EM13" s="16">
        <v>-4.3499999999999996</v>
      </c>
      <c r="EN13" s="16">
        <v>7.0000000000000007E-2</v>
      </c>
      <c r="EO13" s="16">
        <v>3.59</v>
      </c>
      <c r="EP13" s="16">
        <v>-0.95</v>
      </c>
    </row>
    <row r="14" spans="1:146" ht="108" x14ac:dyDescent="0.25">
      <c r="C14" s="7" t="str">
        <f>""&amp;CHAR(10)&amp;Basic_Fundamental_Information_Constructure(F14)&amp;CHAR(10)&amp;Basic_Fundamental_Information_Concatenate("")</f>
        <v xml:space="preserve">
市值59.971564亿, 利润1.39亿; PE38.05; 平均PE38.09; 平均PEG1.95, PB4.35; ROIC13.4633%; ROE15.3533%; 股利率.6189%; 毛利39.1533%; 净利15.19%; 上一年度营收增5.75%, 利润增-36.82%; 当季营收增20.95%, 利润增220.52%; 过往5年营收增19.58%, 利润增15.96%
Income profile:
</v>
      </c>
      <c r="D14" s="3" t="s">
        <v>215</v>
      </c>
      <c r="E14" s="3" t="s">
        <v>216</v>
      </c>
      <c r="F14" s="3">
        <v>19.39</v>
      </c>
      <c r="G14" s="3">
        <v>-1.97</v>
      </c>
      <c r="H14" s="3" t="s">
        <v>2040</v>
      </c>
      <c r="I14" s="3">
        <v>5997156400</v>
      </c>
      <c r="J14" s="3">
        <v>38.049999999999997</v>
      </c>
      <c r="K14" s="3">
        <v>4.3499999999999996</v>
      </c>
      <c r="L14" s="3" t="s">
        <v>176</v>
      </c>
      <c r="M14" s="3" t="s">
        <v>986</v>
      </c>
      <c r="N14" s="3" t="s">
        <v>2041</v>
      </c>
      <c r="O14" s="3" t="s">
        <v>1198</v>
      </c>
      <c r="P14" s="3">
        <v>21.21</v>
      </c>
      <c r="Q14" s="3" t="s">
        <v>1311</v>
      </c>
      <c r="R14" s="3">
        <v>113874550</v>
      </c>
      <c r="S14" s="5">
        <v>0.53659999999999997</v>
      </c>
      <c r="T14" s="3" t="s">
        <v>95</v>
      </c>
      <c r="U14" s="3">
        <v>216691760</v>
      </c>
      <c r="V14" s="3">
        <v>309291200</v>
      </c>
      <c r="W14" s="3">
        <v>1.69</v>
      </c>
      <c r="X14" s="3">
        <v>0.16</v>
      </c>
      <c r="Y14" s="3">
        <v>14.37</v>
      </c>
      <c r="Z14" s="3" t="s">
        <v>405</v>
      </c>
      <c r="AA14" s="3" t="s">
        <v>851</v>
      </c>
      <c r="AB14" s="3" t="s">
        <v>2042</v>
      </c>
      <c r="AC14" s="3" t="s">
        <v>2043</v>
      </c>
      <c r="AD14" s="3" t="s">
        <v>47</v>
      </c>
      <c r="AE14" s="3">
        <v>1061693</v>
      </c>
      <c r="AF14" s="3" t="s">
        <v>70</v>
      </c>
      <c r="AG14" s="3" t="s">
        <v>2044</v>
      </c>
      <c r="AH14" s="3" t="s">
        <v>1312</v>
      </c>
      <c r="AI14" s="3" t="s">
        <v>327</v>
      </c>
      <c r="AJ14" s="3" t="s">
        <v>1313</v>
      </c>
      <c r="AK14" s="3" t="s">
        <v>2045</v>
      </c>
      <c r="AL14" s="3" t="s">
        <v>1314</v>
      </c>
      <c r="AM14" s="3" t="s">
        <v>47</v>
      </c>
      <c r="AN14" s="3" t="s">
        <v>2046</v>
      </c>
      <c r="AO14" s="3" t="s">
        <v>844</v>
      </c>
      <c r="AP14" s="3" t="s">
        <v>2047</v>
      </c>
      <c r="AQ14" s="3" t="s">
        <v>432</v>
      </c>
      <c r="AR14" s="3" t="s">
        <v>47</v>
      </c>
      <c r="AS14" s="3" t="s">
        <v>1621</v>
      </c>
      <c r="AT14" s="3" t="s">
        <v>1067</v>
      </c>
      <c r="AU14" s="3" t="s">
        <v>2048</v>
      </c>
      <c r="AV14" s="3" t="s">
        <v>2049</v>
      </c>
      <c r="AW14" s="3" t="s">
        <v>2050</v>
      </c>
      <c r="AX14" s="3" t="s">
        <v>819</v>
      </c>
      <c r="AY14" s="3" t="s">
        <v>345</v>
      </c>
      <c r="AZ14" s="3" t="s">
        <v>217</v>
      </c>
      <c r="BA14" s="3" t="s">
        <v>222</v>
      </c>
      <c r="BB14" s="3" t="s">
        <v>223</v>
      </c>
      <c r="BC14" s="3" t="s">
        <v>84</v>
      </c>
      <c r="BD14" s="3" t="s">
        <v>626</v>
      </c>
      <c r="BE14" s="3" t="s">
        <v>218</v>
      </c>
      <c r="BF14" s="3" t="s">
        <v>101</v>
      </c>
      <c r="BG14" s="3" t="s">
        <v>224</v>
      </c>
      <c r="BH14" s="3" t="s">
        <v>1311</v>
      </c>
      <c r="BI14" s="3" t="s">
        <v>1315</v>
      </c>
      <c r="BJ14" s="3" t="s">
        <v>819</v>
      </c>
      <c r="BK14" s="3" t="s">
        <v>95</v>
      </c>
      <c r="BL14" s="3" t="s">
        <v>1316</v>
      </c>
      <c r="BM14" s="3" t="s">
        <v>84</v>
      </c>
      <c r="BN14" s="3">
        <v>5.87</v>
      </c>
      <c r="BO14" s="3">
        <v>16.239999999999998</v>
      </c>
      <c r="BP14" s="3">
        <v>18.28</v>
      </c>
      <c r="BQ14" s="3">
        <v>7.45</v>
      </c>
      <c r="BR14" s="3">
        <v>19.07</v>
      </c>
      <c r="BS14" s="3">
        <v>19.54</v>
      </c>
      <c r="BT14" s="3" t="s">
        <v>862</v>
      </c>
      <c r="BU14" s="3" t="s">
        <v>226</v>
      </c>
      <c r="BV14" s="3">
        <v>38.25</v>
      </c>
      <c r="BW14" s="3">
        <v>37.57</v>
      </c>
      <c r="BX14" s="3">
        <v>41.64</v>
      </c>
      <c r="BY14" s="3">
        <v>9.8000000000000007</v>
      </c>
      <c r="BZ14" s="3">
        <v>16.84</v>
      </c>
      <c r="CA14" s="3">
        <v>18.93</v>
      </c>
      <c r="CB14" s="3">
        <v>6.54</v>
      </c>
      <c r="CC14" s="3">
        <v>1.36</v>
      </c>
      <c r="CD14" s="3" t="s">
        <v>2051</v>
      </c>
      <c r="CE14" s="3" t="s">
        <v>125</v>
      </c>
      <c r="CF14" s="10">
        <v>0.20952380952380953</v>
      </c>
      <c r="CG14" s="11">
        <v>2.2052237965762025</v>
      </c>
      <c r="CH14" s="10">
        <v>5.7548627257347107E-2</v>
      </c>
      <c r="CI14" s="10">
        <v>0.11221939325332642</v>
      </c>
      <c r="CJ14" s="10">
        <v>0.27167025208473206</v>
      </c>
      <c r="CK14" s="10">
        <v>0.4268476665019989</v>
      </c>
      <c r="CL14" s="10">
        <v>0.11055276542901993</v>
      </c>
      <c r="CM14" s="11">
        <v>-0.36818182468414307</v>
      </c>
      <c r="CN14" s="11">
        <v>9.1743115335702896E-3</v>
      </c>
      <c r="CO14" s="11">
        <v>0.23863635957241058</v>
      </c>
      <c r="CP14" s="11">
        <v>0.62962961196899414</v>
      </c>
      <c r="CQ14" s="11">
        <v>0.28883510828018188</v>
      </c>
      <c r="CR14" s="3">
        <v>38.085380916908463</v>
      </c>
      <c r="CS14" s="3">
        <v>1.9454370133092915</v>
      </c>
      <c r="CT14" s="3">
        <v>0.61887570912841672</v>
      </c>
      <c r="CU14" s="10">
        <v>0.19576774090528487</v>
      </c>
      <c r="CV14" s="11">
        <v>0.15961871333420277</v>
      </c>
      <c r="CW14" s="3">
        <v>0.06</v>
      </c>
      <c r="CX14" s="3">
        <v>35.586936509963614</v>
      </c>
      <c r="CY14" s="3">
        <v>156803505.64701375</v>
      </c>
      <c r="CZ14" s="3">
        <v>0.19576774090528487</v>
      </c>
      <c r="DA14" s="3">
        <v>10.644960007537637</v>
      </c>
      <c r="DB14" s="3">
        <v>524206422.19874209</v>
      </c>
      <c r="DC14" s="3">
        <v>0.18597935386002062</v>
      </c>
      <c r="DD14" s="3">
        <v>4.634972033306112</v>
      </c>
      <c r="DE14" s="3">
        <v>1203924502.6511393</v>
      </c>
      <c r="DF14" s="3">
        <v>0.17227561199665067</v>
      </c>
      <c r="DG14" s="3">
        <v>2.4084213459243657</v>
      </c>
      <c r="DH14" s="3">
        <v>2316935286.0299883</v>
      </c>
      <c r="DI14" s="3">
        <v>0.15661419272422791</v>
      </c>
      <c r="DJ14" s="3">
        <v>0.88655830427444404</v>
      </c>
      <c r="DK14" s="3">
        <v>6294178705.5582075</v>
      </c>
      <c r="DL14" s="3">
        <v>0.13703741863369939</v>
      </c>
      <c r="DM14" s="3">
        <v>139000000</v>
      </c>
      <c r="DN14" s="3">
        <v>0.19576774090528487</v>
      </c>
      <c r="DO14" s="3">
        <v>5580156400</v>
      </c>
      <c r="DP14" s="3">
        <v>828788900</v>
      </c>
      <c r="DQ14" s="3">
        <v>1437</v>
      </c>
      <c r="DR14" s="3">
        <v>1.3756068618524658E-2</v>
      </c>
      <c r="DS14" s="3">
        <v>2.0456050832419996</v>
      </c>
      <c r="DT14" s="12">
        <v>-0.19000000000000003</v>
      </c>
      <c r="DU14" s="3">
        <v>0.73999999999999988</v>
      </c>
      <c r="DV14" s="3">
        <v>0.54999999999999982</v>
      </c>
      <c r="DW14" s="3">
        <v>5.2079510703363914</v>
      </c>
      <c r="DX14" s="3">
        <v>1.1911763888888856</v>
      </c>
      <c r="DY14" s="3">
        <v>5.0605504417261296</v>
      </c>
      <c r="DZ14" s="3">
        <v>995</v>
      </c>
      <c r="EA14" s="3">
        <v>5.048760287221727</v>
      </c>
      <c r="EB14" s="3">
        <v>5</v>
      </c>
      <c r="EC14" s="3">
        <v>0.20334914152100028</v>
      </c>
      <c r="ED14" s="3">
        <v>0.69837098501347594</v>
      </c>
      <c r="EE14" s="13">
        <v>1.0179</v>
      </c>
      <c r="EF14" s="3">
        <v>1.00841</v>
      </c>
      <c r="EG14" s="3">
        <v>90.291176388888886</v>
      </c>
      <c r="EH14" s="3" t="s">
        <v>953</v>
      </c>
      <c r="EI14" s="3">
        <v>1</v>
      </c>
      <c r="EJ14" s="3">
        <v>1</v>
      </c>
      <c r="EK14" s="15">
        <v>45470</v>
      </c>
      <c r="EL14" s="16">
        <v>0.75</v>
      </c>
      <c r="EM14" s="16">
        <v>-5.31</v>
      </c>
      <c r="EN14" s="16">
        <v>-0.45</v>
      </c>
      <c r="EO14" s="16">
        <v>2.99</v>
      </c>
      <c r="EP14" s="16">
        <v>-2.63</v>
      </c>
    </row>
    <row r="15" spans="1:146" ht="108" x14ac:dyDescent="0.25">
      <c r="C15" s="7" t="str">
        <f>""&amp;CHAR(10)&amp;Basic_Fundamental_Information_Constructure(F15)&amp;CHAR(10)&amp;Basic_Fundamental_Information_Concatenate("")</f>
        <v xml:space="preserve">
市值148.20026亿, 利润4857.16万; PE281.3; 平均PE-722.54; 平均PEG-124.82, PB3.43; ROIC.74%; ROE-4.4433%; 股利率0%; 毛利10.0233%; 净利-4.9633%; 上一年度营收增10.93%, 利润增9.49%; 当季营收增2.66%, 利润增9.26%; 过往5年营收增5.79%, 利润增-38.89%
Income profile:
</v>
      </c>
      <c r="D15" s="3" t="s">
        <v>225</v>
      </c>
      <c r="E15" s="3" t="s">
        <v>226</v>
      </c>
      <c r="F15" s="3">
        <v>9.56</v>
      </c>
      <c r="G15" s="3">
        <v>-0.52</v>
      </c>
      <c r="H15" s="3" t="s">
        <v>2052</v>
      </c>
      <c r="I15" s="3">
        <v>14820026000</v>
      </c>
      <c r="J15" s="3">
        <v>281.3</v>
      </c>
      <c r="K15" s="3">
        <v>3.43</v>
      </c>
      <c r="L15" s="3" t="s">
        <v>176</v>
      </c>
      <c r="M15" s="3" t="s">
        <v>1317</v>
      </c>
      <c r="N15" s="3" t="s">
        <v>2053</v>
      </c>
      <c r="O15" s="3" t="s">
        <v>53</v>
      </c>
      <c r="P15" s="3">
        <v>2.71</v>
      </c>
      <c r="Q15" s="3" t="s">
        <v>1174</v>
      </c>
      <c r="R15" s="3">
        <v>-40371268</v>
      </c>
      <c r="S15" s="5">
        <v>9.2600000000000002E-2</v>
      </c>
      <c r="T15" s="3" t="s">
        <v>1318</v>
      </c>
      <c r="U15" s="3">
        <v>1518235000</v>
      </c>
      <c r="V15" s="3">
        <v>1550212000</v>
      </c>
      <c r="W15" s="3">
        <v>2.65</v>
      </c>
      <c r="X15" s="3">
        <v>0.06</v>
      </c>
      <c r="Y15" s="3">
        <v>-5.95</v>
      </c>
      <c r="Z15" s="3" t="s">
        <v>2054</v>
      </c>
      <c r="AA15" s="3" t="s">
        <v>2055</v>
      </c>
      <c r="AB15" s="3" t="s">
        <v>2056</v>
      </c>
      <c r="AC15" s="3" t="s">
        <v>2057</v>
      </c>
      <c r="AD15" s="3" t="s">
        <v>47</v>
      </c>
      <c r="AE15" s="3">
        <v>10847210</v>
      </c>
      <c r="AF15" s="3" t="s">
        <v>1319</v>
      </c>
      <c r="AG15" s="3" t="s">
        <v>2058</v>
      </c>
      <c r="AH15" s="3" t="s">
        <v>1320</v>
      </c>
      <c r="AI15" s="3" t="s">
        <v>2059</v>
      </c>
      <c r="AJ15" s="3" t="s">
        <v>1321</v>
      </c>
      <c r="AK15" s="3" t="s">
        <v>90</v>
      </c>
      <c r="AL15" s="3" t="s">
        <v>1322</v>
      </c>
      <c r="AM15" s="3" t="s">
        <v>47</v>
      </c>
      <c r="AN15" s="3" t="s">
        <v>154</v>
      </c>
      <c r="AO15" s="3" t="s">
        <v>2060</v>
      </c>
      <c r="AP15" s="3" t="s">
        <v>1578</v>
      </c>
      <c r="AQ15" s="3" t="s">
        <v>1681</v>
      </c>
      <c r="AR15" s="3" t="s">
        <v>973</v>
      </c>
      <c r="AS15" s="3" t="s">
        <v>2061</v>
      </c>
      <c r="AT15" s="3" t="s">
        <v>1854</v>
      </c>
      <c r="AU15" s="3" t="s">
        <v>2062</v>
      </c>
      <c r="AV15" s="3" t="s">
        <v>2063</v>
      </c>
      <c r="AW15" s="3" t="s">
        <v>2064</v>
      </c>
      <c r="AX15" s="3" t="s">
        <v>972</v>
      </c>
      <c r="AY15" s="3" t="s">
        <v>599</v>
      </c>
      <c r="AZ15" s="3" t="s">
        <v>227</v>
      </c>
      <c r="BA15" s="3" t="s">
        <v>233</v>
      </c>
      <c r="BB15" s="3" t="s">
        <v>234</v>
      </c>
      <c r="BC15" s="3" t="s">
        <v>1323</v>
      </c>
      <c r="BD15" s="3" t="s">
        <v>627</v>
      </c>
      <c r="BE15" s="3" t="s">
        <v>228</v>
      </c>
      <c r="BF15" s="3" t="s">
        <v>138</v>
      </c>
      <c r="BG15" s="3" t="s">
        <v>158</v>
      </c>
      <c r="BH15" s="3" t="s">
        <v>1174</v>
      </c>
      <c r="BI15" s="3" t="s">
        <v>1324</v>
      </c>
      <c r="BJ15" s="3" t="s">
        <v>972</v>
      </c>
      <c r="BK15" s="3" t="s">
        <v>1318</v>
      </c>
      <c r="BL15" s="3" t="s">
        <v>1325</v>
      </c>
      <c r="BM15" s="3" t="s">
        <v>1323</v>
      </c>
      <c r="BN15" s="3" t="s">
        <v>47</v>
      </c>
      <c r="BO15" s="3">
        <v>0.74</v>
      </c>
      <c r="BP15" s="3" t="s">
        <v>47</v>
      </c>
      <c r="BQ15" s="3">
        <v>-1.87</v>
      </c>
      <c r="BR15" s="3">
        <v>1.06</v>
      </c>
      <c r="BS15" s="3">
        <v>-12.52</v>
      </c>
      <c r="BT15" s="3" t="s">
        <v>856</v>
      </c>
      <c r="BU15" s="3" t="s">
        <v>226</v>
      </c>
      <c r="BV15" s="3">
        <v>13.88</v>
      </c>
      <c r="BW15" s="3">
        <v>8.6199999999999992</v>
      </c>
      <c r="BX15" s="3">
        <v>7.57</v>
      </c>
      <c r="BY15" s="3">
        <v>1.1499999999999999</v>
      </c>
      <c r="BZ15" s="3">
        <v>0.81</v>
      </c>
      <c r="CA15" s="3">
        <v>-16.850000000000001</v>
      </c>
      <c r="CB15" s="3">
        <v>-1.85</v>
      </c>
      <c r="CC15" s="3">
        <v>-6.37</v>
      </c>
      <c r="CD15" s="3" t="s">
        <v>2065</v>
      </c>
      <c r="CE15" s="3" t="s">
        <v>167</v>
      </c>
      <c r="CF15" s="10">
        <v>2.661064425770308E-2</v>
      </c>
      <c r="CG15" s="11">
        <v>9.2613290538930776E-2</v>
      </c>
      <c r="CH15" s="10">
        <v>0.10934006422758102</v>
      </c>
      <c r="CI15" s="10">
        <v>8.4293551743030548E-2</v>
      </c>
      <c r="CJ15" s="10">
        <v>0.23984958231449127</v>
      </c>
      <c r="CK15" s="10">
        <v>-3.0965369194746017E-2</v>
      </c>
      <c r="CL15" s="10">
        <v>-0.11308565735816956</v>
      </c>
      <c r="CM15" s="11">
        <v>9.4864875078201294E-2</v>
      </c>
      <c r="CN15" s="11">
        <v>1.0789378881454468</v>
      </c>
      <c r="CO15" s="11">
        <v>-0.41919192671775818</v>
      </c>
      <c r="CP15" s="11">
        <v>-2.3515357971191406</v>
      </c>
      <c r="CQ15" s="11">
        <v>-0.3474387526512146</v>
      </c>
      <c r="CR15" s="3">
        <v>-722.5445027964829</v>
      </c>
      <c r="CS15" s="3">
        <v>-124.82104157119343</v>
      </c>
      <c r="CT15" s="3">
        <v>0</v>
      </c>
      <c r="CU15" s="10">
        <v>5.7886434346437456E-2</v>
      </c>
      <c r="CV15" s="11">
        <v>-0.38887274265289307</v>
      </c>
      <c r="CW15" s="3">
        <v>0.06</v>
      </c>
      <c r="CX15" s="3">
        <v>367.34641022187748</v>
      </c>
      <c r="CY15" s="3">
        <v>48474751.636322089</v>
      </c>
      <c r="CZ15" s="3">
        <v>5.7886434346437456E-2</v>
      </c>
      <c r="DA15" s="3">
        <v>123.36665428236742</v>
      </c>
      <c r="DB15" s="3">
        <v>144342294.95470014</v>
      </c>
      <c r="DC15" s="3">
        <v>5.4992112629115582E-2</v>
      </c>
      <c r="DD15" s="3">
        <v>62.959138717973396</v>
      </c>
      <c r="DE15" s="3">
        <v>282834650.57816142</v>
      </c>
      <c r="DF15" s="3">
        <v>5.0940062224864961E-2</v>
      </c>
      <c r="DG15" s="3">
        <v>39.351238345508577</v>
      </c>
      <c r="DH15" s="3">
        <v>452515009.6587097</v>
      </c>
      <c r="DI15" s="3">
        <v>4.6309147477149967E-2</v>
      </c>
      <c r="DJ15" s="3">
        <v>22.14510702950502</v>
      </c>
      <c r="DK15" s="3">
        <v>804106567.48124182</v>
      </c>
      <c r="DL15" s="3">
        <v>4.052050404250622E-2</v>
      </c>
      <c r="DM15" s="3">
        <v>48571600</v>
      </c>
      <c r="DN15" s="3">
        <v>5.7886434346437456E-2</v>
      </c>
      <c r="DO15" s="3">
        <v>17807026000</v>
      </c>
      <c r="DP15" s="3">
        <v>1922633700</v>
      </c>
      <c r="DQ15" s="3">
        <v>1521</v>
      </c>
      <c r="DR15" s="3">
        <v>-3.1275790088734379E-2</v>
      </c>
      <c r="DS15" s="3">
        <v>0.48148603319182381</v>
      </c>
      <c r="DT15" s="12">
        <v>-0.3066666666666667</v>
      </c>
      <c r="DU15" s="3">
        <v>-1.6783333333333335</v>
      </c>
      <c r="DV15" s="3">
        <v>-1.9850000000000001</v>
      </c>
      <c r="DW15" s="3">
        <v>-2.0636999999999999</v>
      </c>
      <c r="DX15" s="3">
        <v>0.39169505523809534</v>
      </c>
      <c r="DY15" s="3">
        <v>-2.0090259750186665</v>
      </c>
      <c r="DZ15" s="3">
        <v>4376</v>
      </c>
      <c r="EA15" s="3">
        <v>-2.0012964903451471</v>
      </c>
      <c r="EB15" s="3">
        <v>2</v>
      </c>
      <c r="EC15" s="3">
        <v>4.7986920498615672E-2</v>
      </c>
      <c r="ED15" s="3">
        <v>0.33866335701181516</v>
      </c>
      <c r="EE15" s="13">
        <v>-5.0585100000000001</v>
      </c>
      <c r="EF15" s="3">
        <v>-5.0758099999999997</v>
      </c>
      <c r="EG15" s="3">
        <v>25.141695055238095</v>
      </c>
      <c r="EH15" s="3" t="s">
        <v>1496</v>
      </c>
      <c r="EI15" s="3">
        <v>0</v>
      </c>
      <c r="EJ15" s="3">
        <v>0</v>
      </c>
      <c r="EK15" s="15">
        <v>45470</v>
      </c>
      <c r="EL15" s="16">
        <v>-0.5</v>
      </c>
      <c r="EM15" s="16">
        <v>-4.3</v>
      </c>
      <c r="EN15" s="16">
        <v>0.21</v>
      </c>
      <c r="EO15" s="16">
        <v>2.82</v>
      </c>
      <c r="EP15" s="16">
        <v>-1.73</v>
      </c>
    </row>
    <row r="16" spans="1:146" ht="108" x14ac:dyDescent="0.25">
      <c r="C16" s="7" t="str">
        <f>""&amp;CHAR(10)&amp;Basic_Fundamental_Information_Constructure(F16)&amp;CHAR(10)&amp;Basic_Fundamental_Information_Concatenate("")</f>
        <v xml:space="preserve">
市值50.006875亿, 利润-2.20亿; PE; 平均PE-34.37; 平均PEG-7.38, PB2.96; ROIC2.225%; ROE.76%; 股利率0%; 毛利23.37%; 净利-2.8633%; 上一年度营收增4.71%, 利润增-957.92%; 当季营收增110.54%, 利润增1566.35%; 过往5年营收增4.66%, 利润增-622.56%
Income profile:
</v>
      </c>
      <c r="D16" s="3" t="s">
        <v>358</v>
      </c>
      <c r="E16" s="3" t="s">
        <v>359</v>
      </c>
      <c r="F16" s="3">
        <v>4.49</v>
      </c>
      <c r="G16" s="3">
        <v>1.35</v>
      </c>
      <c r="H16" s="3" t="s">
        <v>2066</v>
      </c>
      <c r="I16" s="3">
        <v>5000687500</v>
      </c>
      <c r="K16" s="3">
        <v>2.96</v>
      </c>
      <c r="L16" s="3" t="s">
        <v>176</v>
      </c>
      <c r="M16" s="3" t="s">
        <v>1326</v>
      </c>
      <c r="N16" s="3" t="s">
        <v>2067</v>
      </c>
      <c r="O16" s="3" t="s">
        <v>673</v>
      </c>
      <c r="P16" s="3">
        <v>110.71</v>
      </c>
      <c r="Q16" s="3" t="s">
        <v>1327</v>
      </c>
      <c r="R16" s="3">
        <v>11031215</v>
      </c>
      <c r="S16" s="5">
        <v>15.66</v>
      </c>
      <c r="T16" s="3" t="s">
        <v>1328</v>
      </c>
      <c r="U16" s="3">
        <v>1112338860</v>
      </c>
      <c r="V16" s="3">
        <v>1113738860</v>
      </c>
      <c r="W16" s="3">
        <v>1.97</v>
      </c>
      <c r="X16" s="3">
        <v>0.21</v>
      </c>
      <c r="Y16" s="3">
        <v>1.58</v>
      </c>
      <c r="Z16" s="3" t="s">
        <v>1645</v>
      </c>
      <c r="AA16" s="3" t="s">
        <v>140</v>
      </c>
      <c r="AB16" s="3" t="s">
        <v>2068</v>
      </c>
      <c r="AC16" s="3" t="s">
        <v>2069</v>
      </c>
      <c r="AD16" s="3" t="s">
        <v>47</v>
      </c>
      <c r="AE16" s="3">
        <v>-1637471</v>
      </c>
      <c r="AF16" s="3" t="s">
        <v>1329</v>
      </c>
      <c r="AG16" s="3" t="s">
        <v>2070</v>
      </c>
      <c r="AH16" s="3" t="s">
        <v>1330</v>
      </c>
      <c r="AI16" s="3" t="s">
        <v>736</v>
      </c>
      <c r="AJ16" s="3" t="s">
        <v>1331</v>
      </c>
      <c r="AK16" s="3" t="s">
        <v>2071</v>
      </c>
      <c r="AL16" s="3" t="s">
        <v>1332</v>
      </c>
      <c r="AM16" s="3" t="s">
        <v>47</v>
      </c>
      <c r="AN16" s="3" t="s">
        <v>2072</v>
      </c>
      <c r="AO16" s="3" t="s">
        <v>47</v>
      </c>
      <c r="AP16" s="3" t="s">
        <v>690</v>
      </c>
      <c r="AQ16" s="3" t="s">
        <v>1262</v>
      </c>
      <c r="AR16" s="3" t="s">
        <v>47</v>
      </c>
      <c r="AS16" s="3" t="s">
        <v>1217</v>
      </c>
      <c r="AT16" s="3" t="s">
        <v>47</v>
      </c>
      <c r="AU16" s="3" t="s">
        <v>2073</v>
      </c>
      <c r="AV16" s="3" t="s">
        <v>1659</v>
      </c>
      <c r="AW16" s="3" t="s">
        <v>2074</v>
      </c>
      <c r="AX16" s="3" t="s">
        <v>974</v>
      </c>
      <c r="AY16" s="3" t="s">
        <v>628</v>
      </c>
      <c r="AZ16" s="3" t="s">
        <v>360</v>
      </c>
      <c r="BA16" s="3" t="s">
        <v>362</v>
      </c>
      <c r="BB16" s="3" t="s">
        <v>363</v>
      </c>
      <c r="BC16" s="3" t="s">
        <v>975</v>
      </c>
      <c r="BD16" s="3" t="s">
        <v>629</v>
      </c>
      <c r="BE16" s="3" t="s">
        <v>361</v>
      </c>
      <c r="BF16" s="3" t="s">
        <v>364</v>
      </c>
      <c r="BG16" s="3" t="s">
        <v>365</v>
      </c>
      <c r="BH16" s="3" t="s">
        <v>1327</v>
      </c>
      <c r="BI16" s="3" t="s">
        <v>277</v>
      </c>
      <c r="BJ16" s="3" t="s">
        <v>974</v>
      </c>
      <c r="BK16" s="3" t="s">
        <v>1328</v>
      </c>
      <c r="BL16" s="3" t="s">
        <v>1333</v>
      </c>
      <c r="BM16" s="3" t="s">
        <v>975</v>
      </c>
      <c r="BN16" s="3" t="s">
        <v>47</v>
      </c>
      <c r="BO16" s="3">
        <v>1.65</v>
      </c>
      <c r="BP16" s="3">
        <v>2.8</v>
      </c>
      <c r="BQ16" s="3">
        <v>-1.91</v>
      </c>
      <c r="BR16" s="3">
        <v>1.35</v>
      </c>
      <c r="BS16" s="3">
        <v>2.84</v>
      </c>
      <c r="BT16" s="3" t="s">
        <v>856</v>
      </c>
      <c r="BU16" s="3" t="s">
        <v>747</v>
      </c>
      <c r="BV16" s="3">
        <v>17.010000000000002</v>
      </c>
      <c r="BW16" s="3">
        <v>22.93</v>
      </c>
      <c r="BX16" s="3">
        <v>30.17</v>
      </c>
      <c r="BY16" s="3">
        <v>-14.87</v>
      </c>
      <c r="BZ16" s="3">
        <v>2.31</v>
      </c>
      <c r="CA16" s="3">
        <v>3.97</v>
      </c>
      <c r="CB16" s="3">
        <v>-3.02</v>
      </c>
      <c r="CC16" s="3">
        <v>-12.98</v>
      </c>
      <c r="CD16" s="3" t="s">
        <v>2075</v>
      </c>
      <c r="CE16" s="3" t="s">
        <v>91</v>
      </c>
      <c r="CF16" s="10">
        <v>1.1054216867469879</v>
      </c>
      <c r="CG16" s="11">
        <v>15.663466767371601</v>
      </c>
      <c r="CH16" s="10">
        <v>4.7050606459379196E-2</v>
      </c>
      <c r="CI16" s="10">
        <v>0.1827242523431778</v>
      </c>
      <c r="CJ16" s="10">
        <v>-4.2163833975791931E-2</v>
      </c>
      <c r="CK16" s="10">
        <v>-3.6042992025613785E-2</v>
      </c>
      <c r="CL16" s="10">
        <v>8.1260368227958679E-2</v>
      </c>
      <c r="CM16" s="11">
        <v>-9.5792388916015625</v>
      </c>
      <c r="CN16" s="11">
        <v>-0.48977696895599365</v>
      </c>
      <c r="CO16" s="11">
        <v>1.0975903272628784</v>
      </c>
      <c r="CP16" s="11">
        <v>-23.25419807434082</v>
      </c>
      <c r="CQ16" s="11">
        <v>1.0976443290710449</v>
      </c>
      <c r="CR16" s="3">
        <v>-34.370718570008115</v>
      </c>
      <c r="CS16" s="3">
        <v>-7.381126704922659</v>
      </c>
      <c r="CT16" s="3">
        <v>0</v>
      </c>
      <c r="CU16" s="10">
        <v>4.656568020582199E-2</v>
      </c>
      <c r="CV16" s="11">
        <v>-6.225595855712891</v>
      </c>
      <c r="CW16" s="3">
        <v>0.06</v>
      </c>
      <c r="CX16" s="3" t="e">
        <v>#VALUE!</v>
      </c>
      <c r="CY16" s="3" t="s">
        <v>758</v>
      </c>
      <c r="CZ16" s="3">
        <v>4.656568020582199E-2</v>
      </c>
      <c r="DA16" s="3" t="e">
        <v>#VALUE!</v>
      </c>
      <c r="DB16" s="3" t="s">
        <v>758</v>
      </c>
      <c r="DC16" s="3">
        <v>4.4237396195530888E-2</v>
      </c>
      <c r="DD16" s="3" t="e">
        <v>#VALUE!</v>
      </c>
      <c r="DE16" s="3" t="s">
        <v>758</v>
      </c>
      <c r="DF16" s="3">
        <v>4.0977798581123354E-2</v>
      </c>
      <c r="DG16" s="3" t="e">
        <v>#VALUE!</v>
      </c>
      <c r="DH16" s="3" t="s">
        <v>758</v>
      </c>
      <c r="DI16" s="3">
        <v>3.7252544164657592E-2</v>
      </c>
      <c r="DJ16" s="3" t="e">
        <v>#VALUE!</v>
      </c>
      <c r="DK16" s="3" t="s">
        <v>758</v>
      </c>
      <c r="DL16" s="3">
        <v>3.2595976144075389E-2</v>
      </c>
      <c r="DM16" s="3">
        <v>-220000000.00000003</v>
      </c>
      <c r="DN16" s="3">
        <v>4.656568020582199E-2</v>
      </c>
      <c r="DO16" s="3">
        <v>4707687500</v>
      </c>
      <c r="DP16" s="3">
        <v>751755200.00000024</v>
      </c>
      <c r="DQ16" s="3">
        <v>1543</v>
      </c>
      <c r="DR16" s="3">
        <v>1.0588560065411659</v>
      </c>
      <c r="DS16" s="3">
        <v>21.889062623084492</v>
      </c>
      <c r="DT16" s="12">
        <v>-0.28999999999999998</v>
      </c>
      <c r="DU16" s="3">
        <v>-1.5233333333333334</v>
      </c>
      <c r="DV16" s="3">
        <v>-1.8133333333333335</v>
      </c>
      <c r="DW16" s="3">
        <v>-8.2326656394453011</v>
      </c>
      <c r="DX16" s="3">
        <v>0.37172833333333499</v>
      </c>
      <c r="DY16" s="3">
        <v>-8.0306486569080633</v>
      </c>
      <c r="DZ16" s="3">
        <v>4262</v>
      </c>
      <c r="EA16" s="3">
        <v>-8.0050861176238826</v>
      </c>
      <c r="EB16" s="3">
        <v>8</v>
      </c>
      <c r="EC16" s="3">
        <v>2.1289640553621338E-2</v>
      </c>
      <c r="ED16" s="3">
        <v>0.1616177781567216</v>
      </c>
      <c r="EE16" s="13">
        <v>-3.0508099999999998</v>
      </c>
      <c r="EF16" s="3">
        <v>-3.0702099999999999</v>
      </c>
      <c r="EG16" s="3">
        <v>24.131728333333335</v>
      </c>
      <c r="EH16" s="3" t="s">
        <v>1182</v>
      </c>
      <c r="EI16" s="3">
        <v>0</v>
      </c>
      <c r="EJ16" s="3">
        <v>0</v>
      </c>
      <c r="EK16" s="15">
        <v>45470</v>
      </c>
      <c r="EL16" s="16">
        <v>-1.66</v>
      </c>
      <c r="EM16" s="16">
        <v>-3.59</v>
      </c>
      <c r="EN16" s="16">
        <v>0.22</v>
      </c>
      <c r="EO16" s="16">
        <v>1.53</v>
      </c>
      <c r="EP16" s="16">
        <v>-1.94</v>
      </c>
    </row>
    <row r="17" spans="1:146" ht="108" x14ac:dyDescent="0.25">
      <c r="C17" s="7" t="str">
        <f>""&amp;CHAR(10)&amp;Basic_Fundamental_Information_Constructure(F17)&amp;CHAR(10)&amp;Basic_Fundamental_Information_Concatenate("")</f>
        <v xml:space="preserve">
市值17.399545亿, 利润1.40亿; PE9.96; 平均PE-7.68; 平均PEG-.24, PB2.75; ROIC24.27%; ROE-25.6533%; 股利率0%; 毛利32.1167%; 净利-49%; 上一年度营收增21.99%, 利润增145.31%; 当季营收增-26.24%, 利润增126.3%; 过往5年营收增31.93%, 利润增-453.47%
Income profile:
</v>
      </c>
      <c r="D17" s="3" t="s">
        <v>509</v>
      </c>
      <c r="E17" s="3" t="s">
        <v>510</v>
      </c>
      <c r="F17" s="3">
        <v>6.03</v>
      </c>
      <c r="G17" s="3">
        <v>6.91</v>
      </c>
      <c r="H17" s="3" t="s">
        <v>2076</v>
      </c>
      <c r="I17" s="3">
        <v>1739954500</v>
      </c>
      <c r="J17" s="3">
        <v>9.9600000000000009</v>
      </c>
      <c r="K17" s="3">
        <v>2.75</v>
      </c>
      <c r="L17" s="3" t="s">
        <v>176</v>
      </c>
      <c r="M17" s="3" t="s">
        <v>212</v>
      </c>
      <c r="N17" s="3" t="s">
        <v>493</v>
      </c>
      <c r="O17" s="3" t="s">
        <v>1334</v>
      </c>
      <c r="P17" s="3">
        <v>-26.32</v>
      </c>
      <c r="Q17" s="3" t="s">
        <v>830</v>
      </c>
      <c r="R17" s="3">
        <v>7225301</v>
      </c>
      <c r="S17" s="5">
        <v>1.2629999999999999</v>
      </c>
      <c r="T17" s="3" t="s">
        <v>55</v>
      </c>
      <c r="U17" s="3">
        <v>270018950</v>
      </c>
      <c r="V17" s="3">
        <v>288549670</v>
      </c>
      <c r="W17" s="3">
        <v>1.76</v>
      </c>
      <c r="X17" s="3">
        <v>7.0000000000000007E-2</v>
      </c>
      <c r="Y17" s="3">
        <v>8.91</v>
      </c>
      <c r="Z17" s="3" t="s">
        <v>2077</v>
      </c>
      <c r="AA17" s="3" t="s">
        <v>2078</v>
      </c>
      <c r="AB17" s="3" t="s">
        <v>2079</v>
      </c>
      <c r="AC17" s="3" t="s">
        <v>2080</v>
      </c>
      <c r="AD17" s="3" t="s">
        <v>47</v>
      </c>
      <c r="AE17" s="3">
        <v>683005</v>
      </c>
      <c r="AF17" s="3" t="s">
        <v>1336</v>
      </c>
      <c r="AG17" s="3" t="s">
        <v>2081</v>
      </c>
      <c r="AH17" s="3" t="s">
        <v>1337</v>
      </c>
      <c r="AI17" s="3" t="s">
        <v>2082</v>
      </c>
      <c r="AJ17" s="3" t="s">
        <v>1338</v>
      </c>
      <c r="AK17" s="3" t="s">
        <v>2083</v>
      </c>
      <c r="AL17" s="3" t="s">
        <v>1339</v>
      </c>
      <c r="AM17" s="3" t="s">
        <v>47</v>
      </c>
      <c r="AN17" s="3" t="s">
        <v>2084</v>
      </c>
      <c r="AO17" s="3" t="s">
        <v>2085</v>
      </c>
      <c r="AP17" s="3" t="s">
        <v>47</v>
      </c>
      <c r="AQ17" s="3" t="s">
        <v>230</v>
      </c>
      <c r="AR17" s="3" t="s">
        <v>47</v>
      </c>
      <c r="AS17" s="3" t="s">
        <v>1952</v>
      </c>
      <c r="AT17" s="3" t="s">
        <v>47</v>
      </c>
      <c r="AU17" s="3" t="s">
        <v>2086</v>
      </c>
      <c r="AV17" s="3" t="s">
        <v>2087</v>
      </c>
      <c r="AW17" s="3" t="s">
        <v>2088</v>
      </c>
      <c r="AX17" s="3" t="s">
        <v>149</v>
      </c>
      <c r="AY17" s="3" t="s">
        <v>630</v>
      </c>
      <c r="AZ17" s="3" t="s">
        <v>511</v>
      </c>
      <c r="BA17" s="3" t="s">
        <v>269</v>
      </c>
      <c r="BB17" s="3" t="s">
        <v>513</v>
      </c>
      <c r="BC17" s="3" t="s">
        <v>1340</v>
      </c>
      <c r="BD17" s="3" t="s">
        <v>631</v>
      </c>
      <c r="BE17" s="3" t="s">
        <v>251</v>
      </c>
      <c r="BF17" s="3" t="s">
        <v>514</v>
      </c>
      <c r="BG17" s="3" t="s">
        <v>219</v>
      </c>
      <c r="BH17" s="3" t="s">
        <v>830</v>
      </c>
      <c r="BI17" s="3" t="s">
        <v>61</v>
      </c>
      <c r="BJ17" s="3" t="s">
        <v>149</v>
      </c>
      <c r="BK17" s="3" t="s">
        <v>55</v>
      </c>
      <c r="BL17" s="3" t="s">
        <v>1341</v>
      </c>
      <c r="BM17" s="3" t="s">
        <v>1340</v>
      </c>
      <c r="BN17" s="3">
        <v>24.27</v>
      </c>
      <c r="BO17" s="3" t="s">
        <v>47</v>
      </c>
      <c r="BP17" s="3" t="s">
        <v>47</v>
      </c>
      <c r="BQ17" s="3">
        <v>30.44</v>
      </c>
      <c r="BR17" s="3">
        <v>-45.5</v>
      </c>
      <c r="BS17" s="3">
        <v>-61.9</v>
      </c>
      <c r="BT17" s="3" t="s">
        <v>856</v>
      </c>
      <c r="BU17" s="3" t="s">
        <v>748</v>
      </c>
      <c r="BV17" s="3">
        <v>41.38</v>
      </c>
      <c r="BW17" s="3">
        <v>25.96</v>
      </c>
      <c r="BX17" s="3">
        <v>29.01</v>
      </c>
      <c r="BY17" s="3">
        <v>28.39</v>
      </c>
      <c r="BZ17" s="3">
        <v>-82.86</v>
      </c>
      <c r="CA17" s="3">
        <v>-92.53</v>
      </c>
      <c r="CB17" s="3">
        <v>9.64</v>
      </c>
      <c r="CC17" s="3">
        <v>-5.04</v>
      </c>
      <c r="CD17" s="3" t="s">
        <v>2089</v>
      </c>
      <c r="CE17" s="3" t="s">
        <v>1016</v>
      </c>
      <c r="CF17" s="10">
        <v>-0.26243000000000011</v>
      </c>
      <c r="CG17" s="11">
        <v>1.2630232397288699</v>
      </c>
      <c r="CH17" s="10">
        <v>0.21994884312152863</v>
      </c>
      <c r="CI17" s="10">
        <v>-0.44929578900337219</v>
      </c>
      <c r="CJ17" s="10">
        <v>-0.40185344219207764</v>
      </c>
      <c r="CK17" s="10">
        <v>2.9174919128417969</v>
      </c>
      <c r="CL17" s="10">
        <v>-0.68954920768737793</v>
      </c>
      <c r="CM17" s="11">
        <v>1.4530744552612305</v>
      </c>
      <c r="CN17" s="11">
        <v>0.52752292156219482</v>
      </c>
      <c r="CO17" s="11">
        <v>-19.047651290893555</v>
      </c>
      <c r="CP17" s="11">
        <v>1.0520652532577515</v>
      </c>
      <c r="CQ17" s="11">
        <v>-6.658536434173584</v>
      </c>
      <c r="CR17" s="3">
        <v>-7.6776100475185887</v>
      </c>
      <c r="CS17" s="3">
        <v>-0.24041481099957379</v>
      </c>
      <c r="CT17" s="3">
        <v>0</v>
      </c>
      <c r="CU17" s="10">
        <v>0.31934846341609957</v>
      </c>
      <c r="CV17" s="11">
        <v>-4.534705018997192</v>
      </c>
      <c r="CW17" s="3">
        <v>0.06</v>
      </c>
      <c r="CX17" s="3">
        <v>9.1243725690191528</v>
      </c>
      <c r="CY17" s="3">
        <v>174253570.63986221</v>
      </c>
      <c r="CZ17" s="3">
        <v>0.31934846341609957</v>
      </c>
      <c r="DA17" s="3">
        <v>2.4685480893418914</v>
      </c>
      <c r="DB17" s="3">
        <v>644084880.04131925</v>
      </c>
      <c r="DC17" s="3">
        <v>0.30338104024529455</v>
      </c>
      <c r="DD17" s="3">
        <v>0.92629787488895299</v>
      </c>
      <c r="DE17" s="3">
        <v>1716461349.0996165</v>
      </c>
      <c r="DF17" s="3">
        <v>0.28102664780616765</v>
      </c>
      <c r="DG17" s="3">
        <v>0.39889153543622857</v>
      </c>
      <c r="DH17" s="3">
        <v>3985931910.6915183</v>
      </c>
      <c r="DI17" s="3">
        <v>0.25547877073287967</v>
      </c>
      <c r="DJ17" s="3">
        <v>9.1275932490806108E-2</v>
      </c>
      <c r="DK17" s="3">
        <v>17419208509.977703</v>
      </c>
      <c r="DL17" s="3">
        <v>0.22354392439126969</v>
      </c>
      <c r="DM17" s="3">
        <v>140000000</v>
      </c>
      <c r="DN17" s="3">
        <v>0.31934846341609957</v>
      </c>
      <c r="DO17" s="3">
        <v>1589954500</v>
      </c>
      <c r="DP17" s="3">
        <v>290794730</v>
      </c>
      <c r="DQ17" s="3">
        <v>1588</v>
      </c>
      <c r="DR17" s="3">
        <v>-0.58177846341609962</v>
      </c>
      <c r="DS17" s="3">
        <v>5.7977282587260621</v>
      </c>
      <c r="DT17" s="12">
        <v>-0.31833333333333336</v>
      </c>
      <c r="DU17" s="3">
        <v>-1.4400000000000002</v>
      </c>
      <c r="DV17" s="3">
        <v>-1.7583333333333335</v>
      </c>
      <c r="DW17" s="3">
        <v>5.5228215767634854</v>
      </c>
      <c r="DX17" s="3">
        <v>1.1551665563909763</v>
      </c>
      <c r="DY17" s="3">
        <v>5.1490912286525443</v>
      </c>
      <c r="DZ17" s="3">
        <v>4223</v>
      </c>
      <c r="EA17" s="3">
        <v>5.0258794363629757</v>
      </c>
      <c r="EB17" s="3">
        <v>5</v>
      </c>
      <c r="EC17" s="3">
        <v>0.26288125715063199</v>
      </c>
      <c r="ED17" s="3">
        <v>0.92185168674772699</v>
      </c>
      <c r="EE17" s="13">
        <v>4.3899999999999995E-2</v>
      </c>
      <c r="EF17" s="3">
        <v>3.3000000000000002E-2</v>
      </c>
      <c r="EG17" s="3">
        <v>87.285166556390976</v>
      </c>
      <c r="EH17" s="3" t="s">
        <v>759</v>
      </c>
      <c r="EI17" s="3">
        <v>1</v>
      </c>
      <c r="EJ17" s="3">
        <v>0</v>
      </c>
      <c r="EK17" s="15">
        <v>45470</v>
      </c>
      <c r="EL17" s="16">
        <v>-0.89</v>
      </c>
      <c r="EM17" s="16">
        <v>-5.42</v>
      </c>
      <c r="EN17" s="16">
        <v>1.53</v>
      </c>
      <c r="EO17" s="16">
        <v>3.76</v>
      </c>
      <c r="EP17" s="16">
        <v>-1.0900000000000001</v>
      </c>
    </row>
    <row r="18" spans="1:146" ht="300" x14ac:dyDescent="0.25">
      <c r="C18" s="7" t="str">
        <f>"公司主营业务是工业自动化和新能源相关产品研发、生产和销售,公司的主要产品包括①服务于智能装备&amp;工业机器人领域的工业自动化产品,包括各种变频器、伺服系统、控制系统、工业视觉系统、传感器等核心部件及电气解决方案,②服务于新能源汽车领域动力总成核心部件,包括各种电机控制器、辅助动力系统等,③服务于轨道交通领域牵引与控制系统,包括牵引变流器、辅助变流器、高压箱、牵引电机和TCMS等,④服务于设备后服务市场的工业互联网解决方案,包括智能硬件、信息化管理平台等。"&amp;CHAR(10)&amp;Basic_Fundamental_Information_Constructure(F18)&amp;CHAR(10)&amp;Basic_Fundamental_Information_Concatenate("驱动层 33.00亿 31.74% 40.61% 46.54%
电梯 22.06亿 21.22% 14.77% 25.31%
新能源汽车&amp;轨道交通 21.92亿 21.08% 12.13% 20.92%
执行层 14.22亿 13.68% 14.29% 38.01%
控制层 6.73亿 6.47% 10.59% 59.53%
工业机器人 2.66亿 2.56% 3.62% 51.41%
通用自动化-其他 1.73亿 1.66% 2.10% 45.83%")</f>
        <v>公司主营业务是工业自动化和新能源相关产品研发、生产和销售,公司的主要产品包括①服务于智能装备&amp;工业机器人领域的工业自动化产品,包括各种变频器、伺服系统、控制系统、工业视觉系统、传感器等核心部件及电气解决方案,②服务于新能源汽车领域动力总成核心部件,包括各种电机控制器、辅助动力系统等,③服务于轨道交通领域牵引与控制系统,包括牵引变流器、辅助变流器、高压箱、牵引电机和TCMS等,④服务于设备后服务市场的工业互联网解决方案,包括智能硬件、信息化管理平台等。
市值1355.9433亿, 利润47.42亿; PE28.21; 平均PE48.27; 平均PEG1.22, PB5.35; ROIC18.7633%; ROE22.4333%; 股利率.8888%; 毛利34.7933%; 净利18.3367%; 上一年度营收增32.21%, 利润增9.77%; 当季营收增35.76%, 利润增8.59%; 过往5年营收增39.58%, 利润增40.6%
Income profile:
驱动层 33.00亿 31.74% 40.61% 46.54%
电梯 22.06亿 21.22% 14.77% 25.31%
新能源汽车&amp;轨道交通 21.92亿 21.08% 12.13% 20.92%
执行层 14.22亿 13.68% 14.29% 38.01%
控制层 6.73亿 6.47% 10.59% 59.53%
工业机器人 2.66亿 2.56% 3.62% 51.41%
通用自动化-其他 1.73亿 1.66% 2.10% 45.83%</v>
      </c>
      <c r="D18" s="3" t="s">
        <v>369</v>
      </c>
      <c r="E18" s="3" t="s">
        <v>370</v>
      </c>
      <c r="F18" s="3">
        <v>50.63</v>
      </c>
      <c r="G18" s="3">
        <v>-0.86</v>
      </c>
      <c r="H18" s="3" t="s">
        <v>2090</v>
      </c>
      <c r="I18" s="3">
        <v>135594330000</v>
      </c>
      <c r="J18" s="3">
        <v>28.21</v>
      </c>
      <c r="K18" s="3">
        <v>5.35</v>
      </c>
      <c r="L18" s="3" t="s">
        <v>176</v>
      </c>
      <c r="M18" s="3" t="s">
        <v>1342</v>
      </c>
      <c r="N18" s="3" t="s">
        <v>2091</v>
      </c>
      <c r="O18" s="3" t="s">
        <v>1343</v>
      </c>
      <c r="P18" s="3">
        <v>35.770000000000003</v>
      </c>
      <c r="Q18" s="3" t="s">
        <v>1344</v>
      </c>
      <c r="R18" s="3">
        <v>811139200</v>
      </c>
      <c r="S18" s="5">
        <v>8.5599999999999996E-2</v>
      </c>
      <c r="T18" s="3" t="s">
        <v>1345</v>
      </c>
      <c r="U18" s="3">
        <v>2267103900</v>
      </c>
      <c r="V18" s="3">
        <v>2678142100</v>
      </c>
      <c r="W18" s="3">
        <v>1.96</v>
      </c>
      <c r="X18" s="3">
        <v>0.13</v>
      </c>
      <c r="Y18" s="3">
        <v>12.68</v>
      </c>
      <c r="Z18" s="3" t="s">
        <v>2092</v>
      </c>
      <c r="AA18" s="3" t="s">
        <v>2093</v>
      </c>
      <c r="AB18" s="3" t="s">
        <v>68</v>
      </c>
      <c r="AC18" s="3" t="s">
        <v>1101</v>
      </c>
      <c r="AD18" s="3" t="s">
        <v>47</v>
      </c>
      <c r="AE18" s="3">
        <v>-14527946</v>
      </c>
      <c r="AF18" s="3" t="s">
        <v>1346</v>
      </c>
      <c r="AG18" s="3" t="s">
        <v>2094</v>
      </c>
      <c r="AH18" s="3" t="s">
        <v>1347</v>
      </c>
      <c r="AI18" s="3" t="s">
        <v>2095</v>
      </c>
      <c r="AJ18" s="3" t="s">
        <v>1348</v>
      </c>
      <c r="AK18" s="3" t="s">
        <v>2096</v>
      </c>
      <c r="AL18" s="3" t="s">
        <v>1349</v>
      </c>
      <c r="AM18" s="3" t="s">
        <v>47</v>
      </c>
      <c r="AN18" s="3" t="s">
        <v>2097</v>
      </c>
      <c r="AO18" s="3" t="s">
        <v>1239</v>
      </c>
      <c r="AP18" s="3" t="s">
        <v>2098</v>
      </c>
      <c r="AQ18" s="3" t="s">
        <v>2099</v>
      </c>
      <c r="AR18" s="3" t="s">
        <v>47</v>
      </c>
      <c r="AS18" s="3" t="s">
        <v>2100</v>
      </c>
      <c r="AT18" s="3" t="s">
        <v>2101</v>
      </c>
      <c r="AU18" s="3" t="s">
        <v>2102</v>
      </c>
      <c r="AV18" s="3" t="s">
        <v>2103</v>
      </c>
      <c r="AW18" s="3" t="s">
        <v>267</v>
      </c>
      <c r="AX18" s="3" t="s">
        <v>978</v>
      </c>
      <c r="AY18" s="3" t="s">
        <v>632</v>
      </c>
      <c r="AZ18" s="3" t="s">
        <v>371</v>
      </c>
      <c r="BA18" s="3" t="s">
        <v>373</v>
      </c>
      <c r="BB18" s="3" t="s">
        <v>374</v>
      </c>
      <c r="BC18" s="3" t="s">
        <v>979</v>
      </c>
      <c r="BD18" s="3" t="s">
        <v>633</v>
      </c>
      <c r="BE18" s="3" t="s">
        <v>372</v>
      </c>
      <c r="BF18" s="3" t="s">
        <v>170</v>
      </c>
      <c r="BG18" s="3" t="s">
        <v>266</v>
      </c>
      <c r="BH18" s="3" t="s">
        <v>1344</v>
      </c>
      <c r="BI18" s="3" t="s">
        <v>1350</v>
      </c>
      <c r="BJ18" s="3" t="s">
        <v>978</v>
      </c>
      <c r="BK18" s="3" t="s">
        <v>1345</v>
      </c>
      <c r="BL18" s="3" t="s">
        <v>1351</v>
      </c>
      <c r="BM18" s="3" t="s">
        <v>979</v>
      </c>
      <c r="BN18" s="3">
        <v>12.73</v>
      </c>
      <c r="BO18" s="3">
        <v>20.04</v>
      </c>
      <c r="BP18" s="3">
        <v>23.52</v>
      </c>
      <c r="BQ18" s="3">
        <v>15.64</v>
      </c>
      <c r="BR18" s="3">
        <v>24.31</v>
      </c>
      <c r="BS18" s="3">
        <v>27.35</v>
      </c>
      <c r="BT18" s="3" t="s">
        <v>1352</v>
      </c>
      <c r="BU18" s="3" t="s">
        <v>747</v>
      </c>
      <c r="BV18" s="3">
        <v>33.549999999999997</v>
      </c>
      <c r="BW18" s="3">
        <v>35.01</v>
      </c>
      <c r="BX18" s="3">
        <v>35.82</v>
      </c>
      <c r="BY18" s="3">
        <v>15.7</v>
      </c>
      <c r="BZ18" s="3">
        <v>18.8</v>
      </c>
      <c r="CA18" s="3">
        <v>20.51</v>
      </c>
      <c r="CB18" s="3">
        <v>-1.31</v>
      </c>
      <c r="CC18" s="3">
        <v>-15.11</v>
      </c>
      <c r="CD18" s="3" t="s">
        <v>2104</v>
      </c>
      <c r="CE18" s="3" t="s">
        <v>1044</v>
      </c>
      <c r="CF18" s="10">
        <v>0.3575909661229611</v>
      </c>
      <c r="CG18" s="11">
        <v>8.5862382864792502E-2</v>
      </c>
      <c r="CH18" s="10">
        <v>0.32214885950088501</v>
      </c>
      <c r="CI18" s="10">
        <v>0.28228285908699036</v>
      </c>
      <c r="CJ18" s="10">
        <v>0.55876976251602173</v>
      </c>
      <c r="CK18" s="10">
        <v>0.55764544010162354</v>
      </c>
      <c r="CL18" s="10">
        <v>0.25808653235435486</v>
      </c>
      <c r="CM18" s="11">
        <v>9.768521785736084E-2</v>
      </c>
      <c r="CN18" s="11">
        <v>0.20906803011894226</v>
      </c>
      <c r="CO18" s="11">
        <v>0.70142853260040283</v>
      </c>
      <c r="CP18" s="11">
        <v>1.2058823108673096</v>
      </c>
      <c r="CQ18" s="11">
        <v>-0.18423311412334442</v>
      </c>
      <c r="CR18" s="3">
        <v>48.271388394446426</v>
      </c>
      <c r="CS18" s="3">
        <v>1.2196314208446906</v>
      </c>
      <c r="CT18" s="3">
        <v>0.88880110606359863</v>
      </c>
      <c r="CU18" s="10">
        <v>0.39578669071197509</v>
      </c>
      <c r="CV18" s="11">
        <v>0.40596619546413421</v>
      </c>
      <c r="CW18" s="3">
        <v>0.06</v>
      </c>
      <c r="CX18" s="3">
        <v>21.410743813148198</v>
      </c>
      <c r="CY18" s="3">
        <v>6244170271.0907412</v>
      </c>
      <c r="CZ18" s="3">
        <v>0.39578669071197509</v>
      </c>
      <c r="DA18" s="3">
        <v>5.4525651332080383</v>
      </c>
      <c r="DB18" s="3">
        <v>24519162400.420807</v>
      </c>
      <c r="DC18" s="3">
        <v>0.37599735617637631</v>
      </c>
      <c r="DD18" s="3">
        <v>1.8633699351386401</v>
      </c>
      <c r="DE18" s="3">
        <v>71747604959.641525</v>
      </c>
      <c r="DF18" s="3">
        <v>0.34829228782653809</v>
      </c>
      <c r="DG18" s="3">
        <v>0.70986065401258203</v>
      </c>
      <c r="DH18" s="3">
        <v>188336019533.25104</v>
      </c>
      <c r="DI18" s="3">
        <v>0.31662935256958008</v>
      </c>
      <c r="DJ18" s="3">
        <v>0.11831661483611276</v>
      </c>
      <c r="DK18" s="3">
        <v>1129953981401.3867</v>
      </c>
      <c r="DL18" s="3">
        <v>0.27705068349838252</v>
      </c>
      <c r="DM18" s="3">
        <v>4742000000</v>
      </c>
      <c r="DN18" s="3">
        <v>0.39578669071197509</v>
      </c>
      <c r="DO18" s="3">
        <v>133692330000</v>
      </c>
      <c r="DP18" s="3">
        <v>12532315000</v>
      </c>
      <c r="DQ18" s="3">
        <v>1614</v>
      </c>
      <c r="DR18" s="3">
        <v>-3.8195724589013991E-2</v>
      </c>
      <c r="DS18" s="3">
        <v>-0.32010381259934173</v>
      </c>
      <c r="DT18" s="12">
        <v>0.22666666666666657</v>
      </c>
      <c r="DU18" s="3">
        <v>0.54999999999999993</v>
      </c>
      <c r="DV18" s="3">
        <v>0.77666666666666651</v>
      </c>
      <c r="DW18" s="3">
        <v>-2.1511</v>
      </c>
      <c r="DX18" s="3">
        <v>0.35439530026109695</v>
      </c>
      <c r="DY18" s="3">
        <v>-2.0233291298694516</v>
      </c>
      <c r="DZ18" s="3">
        <v>380</v>
      </c>
      <c r="EA18" s="3">
        <v>-2.0215942826384552</v>
      </c>
      <c r="EB18" s="3">
        <v>2</v>
      </c>
      <c r="EC18" s="3">
        <v>2.2080008375955855E-2</v>
      </c>
      <c r="ED18" s="3">
        <v>0.14300958862489035</v>
      </c>
      <c r="EE18" s="13">
        <v>-3.0599099999999999</v>
      </c>
      <c r="EF18" s="3">
        <v>-3.07131</v>
      </c>
      <c r="EG18" s="3">
        <v>20.154395300261097</v>
      </c>
      <c r="EH18" s="3" t="s">
        <v>1182</v>
      </c>
      <c r="EI18" s="3">
        <v>0</v>
      </c>
      <c r="EJ18" s="3">
        <v>1</v>
      </c>
      <c r="EK18" s="15">
        <v>45470</v>
      </c>
      <c r="EL18" s="16">
        <v>0.06</v>
      </c>
      <c r="EM18" s="16">
        <v>-1.43</v>
      </c>
      <c r="EN18" s="16">
        <v>1.41</v>
      </c>
      <c r="EO18" s="16">
        <v>0.37</v>
      </c>
      <c r="EP18" s="16">
        <v>-1.1399999999999999</v>
      </c>
    </row>
    <row r="19" spans="1:146" ht="108" x14ac:dyDescent="0.25">
      <c r="A19" s="3"/>
      <c r="B19" s="3"/>
      <c r="C19" s="7" t="str">
        <f>""&amp;CHAR(10)&amp;Basic_Fundamental_Information_Constructure(F19)&amp;CHAR(10)&amp;Basic_Fundamental_Information_Concatenate("")</f>
        <v xml:space="preserve">
市值11.09808亿, 利润-3149.65万; PE; 平均PE-34.13; 平均PEG-3.45, PB17.62; ROIC0%; ROE-33.2233%; 股利率0%; 毛利32.4967%; 净利-16.36%; 上一年度营收增4.56%, 利润增43.4%; 当季营收增-.57%, 利润增213.38%; 过往5年营收增9.89%, 利润增-280.75%
Income profile:
</v>
      </c>
      <c r="D19" s="3" t="s">
        <v>1353</v>
      </c>
      <c r="E19" s="3" t="s">
        <v>2105</v>
      </c>
      <c r="F19" s="3">
        <v>7.34</v>
      </c>
      <c r="G19" s="3">
        <v>1.66</v>
      </c>
      <c r="H19" s="3" t="s">
        <v>2106</v>
      </c>
      <c r="I19" s="3">
        <v>1109808000</v>
      </c>
      <c r="K19" s="3">
        <v>17.62</v>
      </c>
      <c r="L19" s="3" t="s">
        <v>176</v>
      </c>
      <c r="M19" s="3" t="s">
        <v>145</v>
      </c>
      <c r="N19" s="3" t="s">
        <v>2107</v>
      </c>
      <c r="O19" s="3" t="s">
        <v>1354</v>
      </c>
      <c r="P19" s="5">
        <v>-0.56999999999999995</v>
      </c>
      <c r="Q19" s="3" t="s">
        <v>840</v>
      </c>
      <c r="R19" s="3">
        <v>3125328</v>
      </c>
      <c r="S19" s="3">
        <v>2.1339999999999999</v>
      </c>
      <c r="T19" s="3" t="s">
        <v>1355</v>
      </c>
      <c r="U19" s="3">
        <v>151019350</v>
      </c>
      <c r="V19" s="3">
        <v>151200000</v>
      </c>
      <c r="W19" s="3">
        <v>4.08</v>
      </c>
      <c r="X19" s="3">
        <v>0.23</v>
      </c>
      <c r="Y19" s="3">
        <v>5.19</v>
      </c>
      <c r="Z19" s="3" t="s">
        <v>2108</v>
      </c>
      <c r="AA19" s="3" t="s">
        <v>2109</v>
      </c>
      <c r="AB19" s="3" t="s">
        <v>2110</v>
      </c>
      <c r="AC19" s="3" t="s">
        <v>2111</v>
      </c>
      <c r="AD19" s="3" t="s">
        <v>47</v>
      </c>
      <c r="AE19" s="3">
        <v>215058</v>
      </c>
      <c r="AF19" s="3" t="s">
        <v>1356</v>
      </c>
      <c r="AG19" s="3" t="s">
        <v>47</v>
      </c>
      <c r="AH19" s="3" t="s">
        <v>1357</v>
      </c>
      <c r="AI19" s="3" t="s">
        <v>2112</v>
      </c>
      <c r="AJ19" s="3" t="s">
        <v>1358</v>
      </c>
      <c r="AK19" s="3" t="s">
        <v>2113</v>
      </c>
      <c r="AL19" s="3" t="s">
        <v>1359</v>
      </c>
      <c r="AM19" s="3" t="s">
        <v>47</v>
      </c>
      <c r="AN19" s="3" t="s">
        <v>2114</v>
      </c>
      <c r="AO19" s="3" t="s">
        <v>47</v>
      </c>
      <c r="AP19" s="3" t="s">
        <v>2115</v>
      </c>
      <c r="AQ19" s="3" t="s">
        <v>2116</v>
      </c>
      <c r="AR19" s="3" t="s">
        <v>47</v>
      </c>
      <c r="AS19" s="3" t="s">
        <v>777</v>
      </c>
      <c r="AT19" s="3" t="s">
        <v>47</v>
      </c>
      <c r="AU19" s="3" t="s">
        <v>2117</v>
      </c>
      <c r="AV19" s="3" t="s">
        <v>2118</v>
      </c>
      <c r="AW19" s="3" t="s">
        <v>2119</v>
      </c>
      <c r="AX19" s="3" t="s">
        <v>93</v>
      </c>
      <c r="AY19" s="3" t="s">
        <v>1175</v>
      </c>
      <c r="AZ19" s="3" t="s">
        <v>115</v>
      </c>
      <c r="BA19" s="3" t="s">
        <v>836</v>
      </c>
      <c r="BB19" s="3" t="s">
        <v>1065</v>
      </c>
      <c r="BC19" s="3" t="s">
        <v>1360</v>
      </c>
      <c r="BD19" s="3" t="s">
        <v>1361</v>
      </c>
      <c r="BE19" s="3" t="s">
        <v>1362</v>
      </c>
      <c r="BF19" s="3" t="s">
        <v>1363</v>
      </c>
      <c r="BG19" s="3" t="s">
        <v>1364</v>
      </c>
      <c r="BH19" s="3" t="s">
        <v>840</v>
      </c>
      <c r="BI19" s="3" t="s">
        <v>1365</v>
      </c>
      <c r="BJ19" s="3" t="s">
        <v>93</v>
      </c>
      <c r="BK19" s="3" t="s">
        <v>1355</v>
      </c>
      <c r="BL19" s="3" t="s">
        <v>1366</v>
      </c>
      <c r="BM19" s="3" t="s">
        <v>1360</v>
      </c>
      <c r="BN19" s="3" t="s">
        <v>47</v>
      </c>
      <c r="BO19" s="3" t="s">
        <v>47</v>
      </c>
      <c r="BP19" s="3" t="s">
        <v>47</v>
      </c>
      <c r="BQ19" s="3">
        <v>-18.260000000000002</v>
      </c>
      <c r="BR19" s="3">
        <v>-46.07</v>
      </c>
      <c r="BS19" s="3">
        <v>-35.340000000000003</v>
      </c>
      <c r="BT19" s="3" t="s">
        <v>856</v>
      </c>
      <c r="BU19" s="3" t="s">
        <v>808</v>
      </c>
      <c r="BV19" s="3">
        <v>31.78</v>
      </c>
      <c r="BW19" s="3">
        <v>33.82</v>
      </c>
      <c r="BX19" s="3">
        <v>31.89</v>
      </c>
      <c r="BY19" s="3">
        <v>-9.94</v>
      </c>
      <c r="BZ19" s="3">
        <v>-20.6</v>
      </c>
      <c r="CA19" s="3">
        <v>-18.54</v>
      </c>
      <c r="CB19" s="3">
        <v>-6.02</v>
      </c>
      <c r="CC19" s="10">
        <v>-17.440000000000001</v>
      </c>
      <c r="CD19" s="11" t="s">
        <v>2120</v>
      </c>
      <c r="CE19" s="10" t="s">
        <v>201</v>
      </c>
      <c r="CF19" s="10">
        <v>-5.6843761702199281E-3</v>
      </c>
      <c r="CG19" s="10">
        <v>2.1338030110647561</v>
      </c>
      <c r="CH19" s="10">
        <v>4.5627377927303314E-2</v>
      </c>
      <c r="CI19" s="10">
        <v>-0.24207492172718048</v>
      </c>
      <c r="CJ19" s="11">
        <v>0.7614213228225708</v>
      </c>
      <c r="CK19" s="11">
        <v>-0.11261261254549026</v>
      </c>
      <c r="CL19" s="11">
        <v>4.2253520339727402E-2</v>
      </c>
      <c r="CM19" s="11">
        <v>0.43403229117393494</v>
      </c>
      <c r="CN19" s="11">
        <v>0.12824983894824982</v>
      </c>
      <c r="CO19" s="3">
        <v>-0.14970004558563232</v>
      </c>
      <c r="CP19" s="3">
        <v>-14.046145439147949</v>
      </c>
      <c r="CQ19" s="3">
        <v>-0.40407449007034302</v>
      </c>
      <c r="CR19" s="10">
        <v>-34.128214103951208</v>
      </c>
      <c r="CS19" s="11">
        <v>-3.4499798543773239</v>
      </c>
      <c r="CT19" s="3">
        <v>0</v>
      </c>
      <c r="CU19" s="3">
        <v>9.8922937363386157E-2</v>
      </c>
      <c r="CV19" s="3">
        <v>-2.8075275689363481</v>
      </c>
      <c r="CW19" s="3">
        <v>0.06</v>
      </c>
      <c r="CX19" s="3" t="e">
        <v>#VALUE!</v>
      </c>
      <c r="CY19" s="3" t="s">
        <v>758</v>
      </c>
      <c r="CZ19" s="3">
        <v>9.8922937363386157E-2</v>
      </c>
      <c r="DA19" s="3" t="e">
        <v>#VALUE!</v>
      </c>
      <c r="DB19" s="3" t="s">
        <v>758</v>
      </c>
      <c r="DC19" s="3">
        <v>9.3976790495216844E-2</v>
      </c>
      <c r="DD19" s="3" t="e">
        <v>#VALUE!</v>
      </c>
      <c r="DE19" s="3" t="s">
        <v>758</v>
      </c>
      <c r="DF19" s="3">
        <v>8.7052184879779823E-2</v>
      </c>
      <c r="DG19" s="3" t="e">
        <v>#VALUE!</v>
      </c>
      <c r="DH19" s="3" t="s">
        <v>758</v>
      </c>
      <c r="DI19" s="3">
        <v>7.9138349890708934E-2</v>
      </c>
      <c r="DJ19" s="3" t="e">
        <v>#VALUE!</v>
      </c>
      <c r="DK19" s="3" t="s">
        <v>758</v>
      </c>
      <c r="DL19" s="3">
        <v>6.9246056154370308E-2</v>
      </c>
      <c r="DM19" s="3">
        <v>-31496500</v>
      </c>
      <c r="DN19" s="3">
        <v>9.8922937363386157E-2</v>
      </c>
      <c r="DO19" s="3">
        <v>1262218000</v>
      </c>
      <c r="DP19" s="3">
        <v>7123400</v>
      </c>
      <c r="DQ19" s="12">
        <v>1705</v>
      </c>
      <c r="DR19" s="3">
        <v>-0.10460731353360608</v>
      </c>
      <c r="DS19" s="3">
        <v>4.9413305800011038</v>
      </c>
      <c r="DT19" s="3">
        <v>-0.32333333333333331</v>
      </c>
      <c r="DU19" s="3">
        <v>-1.3933333333333333</v>
      </c>
      <c r="DV19" s="3">
        <v>-1.7166666666666666</v>
      </c>
      <c r="DW19" s="3">
        <v>-9.3451834862385326</v>
      </c>
      <c r="DX19" s="3">
        <v>0.29922021857923486</v>
      </c>
      <c r="DY19" s="3">
        <v>-9.0446046855416853</v>
      </c>
      <c r="DZ19" s="3">
        <v>4197</v>
      </c>
      <c r="EA19" s="3">
        <v>-9.0079694868687987</v>
      </c>
      <c r="EB19" s="13">
        <v>9</v>
      </c>
      <c r="EC19" s="13">
        <v>0.15639748677248677</v>
      </c>
      <c r="ED19" s="3">
        <v>1.2103174603174602</v>
      </c>
      <c r="EE19" s="3">
        <v>2.0853999999999999</v>
      </c>
      <c r="EF19" s="3">
        <v>2.1025</v>
      </c>
      <c r="EG19" s="3">
        <v>17.129220218579235</v>
      </c>
      <c r="EH19" s="15" t="s">
        <v>1191</v>
      </c>
      <c r="EI19" s="3">
        <v>0</v>
      </c>
      <c r="EJ19" s="3">
        <v>0</v>
      </c>
      <c r="EK19" s="3">
        <v>45470</v>
      </c>
      <c r="EL19" s="3">
        <v>-2.19</v>
      </c>
      <c r="EM19" s="3">
        <v>3.56</v>
      </c>
      <c r="EN19" s="16">
        <v>-4.2</v>
      </c>
      <c r="EO19" s="16">
        <v>0.93</v>
      </c>
      <c r="EP19" s="16">
        <v>1.71</v>
      </c>
    </row>
    <row r="20" spans="1:146" ht="216" x14ac:dyDescent="0.25">
      <c r="C20" s="7" t="str">
        <f>"公司的主营业务为激光加工服务与智能装备制造，主要有两大类：应用服务和智能装备。“光韵达”品牌是深圳市知名品牌、广东省著名商标，并被中国电子商会评为中国电子企业最有潜力品牌，公司也是《表面贴装技术印刷模板》行业标准制定的主导参与者。"&amp;CHAR(10)&amp;Basic_Fundamental_Information_Constructure(F20)&amp;CHAR(10)&amp;Basic_Fundamental_Information_Concatenate("激光应用服务 2.39亿 49.99% 52.69% 42.27%
智能装备 1.20亿 25.09% 17.42% 27.85%
航空零部件 8697.29万 18.22% 23.32% 51.34%
激光器 1833.48万 3.84% 2.42% 25.32%
租赁及其他 1364.85万 2.86% 4.14% 58.15%")</f>
        <v>公司的主营业务为激光加工服务与智能装备制造，主要有两大类：应用服务和智能装备。“光韵达”品牌是深圳市知名品牌、广东省著名商标，并被中国电子商会评为中国电子企业最有潜力品牌，公司也是《表面贴装技术印刷模板》行业标准制定的主导参与者。
市值26.388385亿, 利润5681.58万; PE46.93; 平均PE31.75; 平均PEG2.33, PB1.68; ROIC4.7833%; ROE5.2%; 股利率0%; 毛利37.22%; 净利7.5533%; 上一年度营收增4.17%, 利润增-29.04%; 当季营收增-.47%, 利润增-8.8%; 过往5年营收增13.65%, 利润增2.97%
Income profile:
激光应用服务 2.39亿 49.99% 52.69% 42.27%
智能装备 1.20亿 25.09% 17.42% 27.85%
航空零部件 8697.29万 18.22% 23.32% 51.34%
激光器 1833.48万 3.84% 2.42% 25.32%
租赁及其他 1364.85万 2.86% 4.14% 58.15%</v>
      </c>
      <c r="D20" s="3" t="s">
        <v>470</v>
      </c>
      <c r="E20" s="3" t="s">
        <v>471</v>
      </c>
      <c r="F20" s="3">
        <v>5.28</v>
      </c>
      <c r="G20" s="3">
        <v>2.33</v>
      </c>
      <c r="H20" s="3" t="s">
        <v>2121</v>
      </c>
      <c r="I20" s="3">
        <v>2638838500</v>
      </c>
      <c r="J20" s="3">
        <v>46.93</v>
      </c>
      <c r="K20" s="3">
        <v>1.68</v>
      </c>
      <c r="L20" s="3" t="s">
        <v>176</v>
      </c>
      <c r="M20" s="3" t="s">
        <v>1367</v>
      </c>
      <c r="N20" s="3" t="s">
        <v>2122</v>
      </c>
      <c r="O20" s="3" t="s">
        <v>58</v>
      </c>
      <c r="P20" s="3">
        <v>-0.82</v>
      </c>
      <c r="Q20" s="3" t="s">
        <v>1162</v>
      </c>
      <c r="R20" s="3">
        <v>6124686</v>
      </c>
      <c r="S20" s="5">
        <v>-8.7999999999999995E-2</v>
      </c>
      <c r="T20" s="3" t="s">
        <v>1368</v>
      </c>
      <c r="U20" s="3">
        <v>417792860</v>
      </c>
      <c r="V20" s="3">
        <v>499780020</v>
      </c>
      <c r="W20" s="3">
        <v>1.62</v>
      </c>
      <c r="X20" s="3">
        <v>0.08</v>
      </c>
      <c r="Y20" s="3">
        <v>2.41</v>
      </c>
      <c r="Z20" s="3" t="s">
        <v>760</v>
      </c>
      <c r="AA20" s="3" t="s">
        <v>95</v>
      </c>
      <c r="AB20" s="3" t="s">
        <v>2123</v>
      </c>
      <c r="AC20" s="3" t="s">
        <v>2124</v>
      </c>
      <c r="AD20" s="3" t="s">
        <v>47</v>
      </c>
      <c r="AE20" s="3">
        <v>5708978</v>
      </c>
      <c r="AF20" s="3" t="s">
        <v>70</v>
      </c>
      <c r="AG20" s="3" t="s">
        <v>2125</v>
      </c>
      <c r="AH20" s="3" t="s">
        <v>1369</v>
      </c>
      <c r="AI20" s="3" t="s">
        <v>110</v>
      </c>
      <c r="AJ20" s="3" t="s">
        <v>1370</v>
      </c>
      <c r="AK20" s="3" t="s">
        <v>2126</v>
      </c>
      <c r="AL20" s="3" t="s">
        <v>1371</v>
      </c>
      <c r="AM20" s="3" t="s">
        <v>47</v>
      </c>
      <c r="AN20" s="3" t="s">
        <v>57</v>
      </c>
      <c r="AO20" s="3" t="s">
        <v>635</v>
      </c>
      <c r="AP20" s="3" t="s">
        <v>47</v>
      </c>
      <c r="AQ20" s="3" t="s">
        <v>145</v>
      </c>
      <c r="AR20" s="3" t="s">
        <v>2127</v>
      </c>
      <c r="AS20" s="3" t="s">
        <v>2060</v>
      </c>
      <c r="AT20" s="3" t="s">
        <v>289</v>
      </c>
      <c r="AU20" s="3" t="s">
        <v>2128</v>
      </c>
      <c r="AV20" s="3" t="s">
        <v>2129</v>
      </c>
      <c r="AW20" s="3" t="s">
        <v>2130</v>
      </c>
      <c r="AX20" s="3" t="s">
        <v>980</v>
      </c>
      <c r="AY20" s="3" t="s">
        <v>636</v>
      </c>
      <c r="AZ20" s="3" t="s">
        <v>472</v>
      </c>
      <c r="BA20" s="3" t="s">
        <v>422</v>
      </c>
      <c r="BB20" s="3" t="s">
        <v>140</v>
      </c>
      <c r="BC20" s="3" t="s">
        <v>1373</v>
      </c>
      <c r="BD20" s="3" t="s">
        <v>637</v>
      </c>
      <c r="BE20" s="3" t="s">
        <v>174</v>
      </c>
      <c r="BF20" s="3" t="s">
        <v>473</v>
      </c>
      <c r="BG20" s="3" t="s">
        <v>474</v>
      </c>
      <c r="BH20" s="3" t="s">
        <v>1162</v>
      </c>
      <c r="BI20" s="3" t="s">
        <v>828</v>
      </c>
      <c r="BJ20" s="3" t="s">
        <v>980</v>
      </c>
      <c r="BK20" s="3" t="s">
        <v>1368</v>
      </c>
      <c r="BL20" s="3" t="s">
        <v>1374</v>
      </c>
      <c r="BM20" s="3" t="s">
        <v>1373</v>
      </c>
      <c r="BN20" s="3">
        <v>3</v>
      </c>
      <c r="BO20" s="3">
        <v>4.96</v>
      </c>
      <c r="BP20" s="3">
        <v>6.39</v>
      </c>
      <c r="BQ20" s="3">
        <v>3.53</v>
      </c>
      <c r="BR20" s="3">
        <v>5.45</v>
      </c>
      <c r="BS20" s="3">
        <v>6.62</v>
      </c>
      <c r="BT20" s="3" t="s">
        <v>856</v>
      </c>
      <c r="BU20" s="3" t="s">
        <v>808</v>
      </c>
      <c r="BV20" s="3">
        <v>32.86</v>
      </c>
      <c r="BW20" s="3">
        <v>39.32</v>
      </c>
      <c r="BX20" s="3">
        <v>39.479999999999997</v>
      </c>
      <c r="BY20" s="3">
        <v>4.4400000000000004</v>
      </c>
      <c r="BZ20" s="3">
        <v>7.88</v>
      </c>
      <c r="CA20" s="3">
        <v>10.34</v>
      </c>
      <c r="CB20" s="3">
        <v>-3.47</v>
      </c>
      <c r="CC20" s="3">
        <v>-12.15</v>
      </c>
      <c r="CD20" s="3" t="s">
        <v>2131</v>
      </c>
      <c r="CE20" s="3" t="s">
        <v>259</v>
      </c>
      <c r="CF20" s="10">
        <v>-4.7393364928909956E-3</v>
      </c>
      <c r="CG20" s="11">
        <v>-8.8031983799639654E-2</v>
      </c>
      <c r="CH20" s="10">
        <v>4.1747573763132095E-2</v>
      </c>
      <c r="CI20" s="10">
        <v>0.10752688348293304</v>
      </c>
      <c r="CJ20" s="10">
        <v>4.8478014767169952E-2</v>
      </c>
      <c r="CK20" s="10">
        <v>0.1227848082780838</v>
      </c>
      <c r="CL20" s="10">
        <v>0.36206895112991333</v>
      </c>
      <c r="CM20" s="11">
        <v>-0.2904064953327179</v>
      </c>
      <c r="CN20" s="11">
        <v>-0.12536616623401642</v>
      </c>
      <c r="CO20" s="11">
        <v>-0.29580995440483093</v>
      </c>
      <c r="CP20" s="11">
        <v>0.80336648225784302</v>
      </c>
      <c r="CQ20" s="11">
        <v>5.6490406394004822E-2</v>
      </c>
      <c r="CR20" s="3">
        <v>31.745495579037868</v>
      </c>
      <c r="CS20" s="3">
        <v>2.3253153954470651</v>
      </c>
      <c r="CT20" s="3">
        <v>0</v>
      </c>
      <c r="CU20" s="10">
        <v>0.13652124628424644</v>
      </c>
      <c r="CV20" s="11">
        <v>2.965485453605652E-2</v>
      </c>
      <c r="CW20" s="3">
        <v>0.06</v>
      </c>
      <c r="CX20" s="3">
        <v>34.141987057919373</v>
      </c>
      <c r="CY20" s="3">
        <v>60917324.362864606</v>
      </c>
      <c r="CZ20" s="3">
        <v>0.13652124628424644</v>
      </c>
      <c r="DA20" s="3">
        <v>10.728563697087907</v>
      </c>
      <c r="DB20" s="3">
        <v>193859919.99698317</v>
      </c>
      <c r="DC20" s="3">
        <v>0.12969518397003413</v>
      </c>
      <c r="DD20" s="3">
        <v>5.0072766336991981</v>
      </c>
      <c r="DE20" s="3">
        <v>415363210.81255883</v>
      </c>
      <c r="DF20" s="3">
        <v>0.12013869673013687</v>
      </c>
      <c r="DG20" s="3">
        <v>2.827926752873283</v>
      </c>
      <c r="DH20" s="3">
        <v>735464063.16457927</v>
      </c>
      <c r="DI20" s="3">
        <v>0.10921699702739716</v>
      </c>
      <c r="DJ20" s="3">
        <v>1.2711803046301273</v>
      </c>
      <c r="DK20" s="3">
        <v>1636147517.7238259</v>
      </c>
      <c r="DL20" s="3">
        <v>9.5564872398972503E-2</v>
      </c>
      <c r="DM20" s="3">
        <v>56815800</v>
      </c>
      <c r="DN20" s="3">
        <v>0.13652124628424644</v>
      </c>
      <c r="DO20" s="3">
        <v>2079838499.9999998</v>
      </c>
      <c r="DP20" s="3">
        <v>566193700</v>
      </c>
      <c r="DQ20" s="3">
        <v>1712</v>
      </c>
      <c r="DR20" s="3">
        <v>-0.14126058277713743</v>
      </c>
      <c r="DS20" s="3">
        <v>-0.11768683833569618</v>
      </c>
      <c r="DT20" s="12">
        <v>-0.34</v>
      </c>
      <c r="DU20" s="3">
        <v>-6.6666666666666693E-2</v>
      </c>
      <c r="DV20" s="3">
        <v>-0.40666666666666673</v>
      </c>
      <c r="DW20" s="3">
        <v>-8.2855967078189305</v>
      </c>
      <c r="DX20" s="3">
        <v>0.400298383371825</v>
      </c>
      <c r="DY20" s="3">
        <v>-8.0343568222469326</v>
      </c>
      <c r="DZ20" s="3">
        <v>2692</v>
      </c>
      <c r="EA20" s="3">
        <v>-8.0162572986679219</v>
      </c>
      <c r="EB20" s="3">
        <v>8</v>
      </c>
      <c r="EC20" s="3">
        <v>0.10422425450301115</v>
      </c>
      <c r="ED20" s="3">
        <v>0.8663811730608999</v>
      </c>
      <c r="EE20" s="13">
        <v>1.091</v>
      </c>
      <c r="EF20" s="3">
        <v>1.0798000000000001</v>
      </c>
      <c r="EG20" s="3">
        <v>28.120298383371825</v>
      </c>
      <c r="EH20" s="3" t="s">
        <v>948</v>
      </c>
      <c r="EI20" s="3">
        <v>0</v>
      </c>
      <c r="EJ20" s="3">
        <v>0</v>
      </c>
      <c r="EK20" s="15">
        <v>45470</v>
      </c>
      <c r="EL20" s="16">
        <v>-0.55000000000000004</v>
      </c>
      <c r="EM20" s="16">
        <v>-5.01</v>
      </c>
      <c r="EN20" s="16">
        <v>0.78</v>
      </c>
      <c r="EO20" s="16">
        <v>4.07</v>
      </c>
      <c r="EP20" s="16">
        <v>-1.1200000000000001</v>
      </c>
    </row>
    <row r="21" spans="1:146" ht="108" x14ac:dyDescent="0.25">
      <c r="C21" s="7" t="str">
        <f>""&amp;CHAR(10)&amp;Basic_Fundamental_Information_Constructure(F21)&amp;CHAR(10)&amp;Basic_Fundamental_Information_Concatenate("")</f>
        <v xml:space="preserve">
市值47.635462亿, 利润2032.65万; PE229.2; 平均PE-23.92; 平均PEG-8.36, PB2.47; ROIC3.03%; ROE-5.8033%; 股利率0%; 毛利18.8467%; 净利-9.8567%; 上一年度营收增30.06%, 利润增103.99%; 当季营收增5.99%, 利润增4.52%; 过往5年营收增2.86%, 利润增-193.47%
Income profile:
</v>
      </c>
      <c r="D21" s="3" t="s">
        <v>235</v>
      </c>
      <c r="E21" s="3" t="s">
        <v>236</v>
      </c>
      <c r="F21" s="3">
        <v>3.4</v>
      </c>
      <c r="G21" s="3">
        <v>2.1</v>
      </c>
      <c r="H21" s="3" t="s">
        <v>2132</v>
      </c>
      <c r="I21" s="3">
        <v>4763546200</v>
      </c>
      <c r="J21" s="3">
        <v>229.2</v>
      </c>
      <c r="K21" s="3">
        <v>2.4700000000000002</v>
      </c>
      <c r="L21" s="3" t="s">
        <v>176</v>
      </c>
      <c r="M21" s="3" t="s">
        <v>1375</v>
      </c>
      <c r="N21" s="3" t="s">
        <v>1204</v>
      </c>
      <c r="O21" s="3" t="s">
        <v>1167</v>
      </c>
      <c r="P21" s="3">
        <v>5.84</v>
      </c>
      <c r="Q21" s="3" t="s">
        <v>1376</v>
      </c>
      <c r="R21" s="3">
        <v>10560781</v>
      </c>
      <c r="S21" s="5">
        <v>4.5199999999999997E-2</v>
      </c>
      <c r="T21" s="3" t="s">
        <v>1377</v>
      </c>
      <c r="U21" s="3">
        <v>1005539560</v>
      </c>
      <c r="V21" s="3">
        <v>1401043000</v>
      </c>
      <c r="W21" s="3">
        <v>2.42</v>
      </c>
      <c r="X21" s="3">
        <v>0.09</v>
      </c>
      <c r="Y21" s="3">
        <v>2.59</v>
      </c>
      <c r="Z21" s="3" t="s">
        <v>2133</v>
      </c>
      <c r="AA21" s="3" t="s">
        <v>1988</v>
      </c>
      <c r="AB21" s="3" t="s">
        <v>2134</v>
      </c>
      <c r="AC21" s="3" t="s">
        <v>2135</v>
      </c>
      <c r="AD21" s="3" t="s">
        <v>47</v>
      </c>
      <c r="AE21" s="3">
        <v>1152409</v>
      </c>
      <c r="AF21" s="3" t="s">
        <v>1378</v>
      </c>
      <c r="AG21" s="3" t="s">
        <v>2136</v>
      </c>
      <c r="AH21" s="3" t="s">
        <v>1379</v>
      </c>
      <c r="AI21" s="3" t="s">
        <v>681</v>
      </c>
      <c r="AJ21" s="3" t="s">
        <v>1380</v>
      </c>
      <c r="AK21" s="3" t="s">
        <v>2137</v>
      </c>
      <c r="AL21" s="3" t="s">
        <v>1381</v>
      </c>
      <c r="AM21" s="3" t="s">
        <v>47</v>
      </c>
      <c r="AN21" s="3" t="s">
        <v>2138</v>
      </c>
      <c r="AO21" s="3" t="s">
        <v>91</v>
      </c>
      <c r="AP21" s="3" t="s">
        <v>113</v>
      </c>
      <c r="AQ21" s="3" t="s">
        <v>287</v>
      </c>
      <c r="AR21" s="3" t="s">
        <v>47</v>
      </c>
      <c r="AS21" s="3" t="s">
        <v>2139</v>
      </c>
      <c r="AT21" s="3" t="s">
        <v>47</v>
      </c>
      <c r="AU21" s="3" t="s">
        <v>2140</v>
      </c>
      <c r="AV21" s="3" t="s">
        <v>2141</v>
      </c>
      <c r="AW21" s="3" t="s">
        <v>2142</v>
      </c>
      <c r="AX21" s="3" t="s">
        <v>850</v>
      </c>
      <c r="AY21" s="3" t="s">
        <v>638</v>
      </c>
      <c r="AZ21" s="3" t="s">
        <v>237</v>
      </c>
      <c r="BA21" s="3" t="s">
        <v>244</v>
      </c>
      <c r="BB21" s="3" t="s">
        <v>245</v>
      </c>
      <c r="BC21" s="3" t="s">
        <v>981</v>
      </c>
      <c r="BD21" s="3" t="s">
        <v>639</v>
      </c>
      <c r="BE21" s="3" t="s">
        <v>238</v>
      </c>
      <c r="BF21" s="3" t="s">
        <v>159</v>
      </c>
      <c r="BG21" s="3" t="s">
        <v>249</v>
      </c>
      <c r="BH21" s="3" t="s">
        <v>1376</v>
      </c>
      <c r="BI21" s="3" t="s">
        <v>389</v>
      </c>
      <c r="BJ21" s="3" t="s">
        <v>850</v>
      </c>
      <c r="BK21" s="3" t="s">
        <v>1377</v>
      </c>
      <c r="BL21" s="3" t="s">
        <v>1382</v>
      </c>
      <c r="BM21" s="3" t="s">
        <v>981</v>
      </c>
      <c r="BN21" s="3">
        <v>2.0699999999999998</v>
      </c>
      <c r="BO21" s="3" t="s">
        <v>47</v>
      </c>
      <c r="BP21" s="3">
        <v>3.99</v>
      </c>
      <c r="BQ21" s="3">
        <v>1.99</v>
      </c>
      <c r="BR21" s="3">
        <v>-23.61</v>
      </c>
      <c r="BS21" s="3">
        <v>4.21</v>
      </c>
      <c r="BT21" s="3" t="s">
        <v>856</v>
      </c>
      <c r="BU21" s="3" t="s">
        <v>226</v>
      </c>
      <c r="BV21" s="3">
        <v>18.100000000000001</v>
      </c>
      <c r="BW21" s="3">
        <v>18.39</v>
      </c>
      <c r="BX21" s="3">
        <v>20.05</v>
      </c>
      <c r="BY21" s="3">
        <v>1.43</v>
      </c>
      <c r="BZ21" s="3">
        <v>-38.08</v>
      </c>
      <c r="CA21" s="3">
        <v>7.08</v>
      </c>
      <c r="CB21" s="3">
        <v>-3.41</v>
      </c>
      <c r="CC21" s="3">
        <v>-5.29</v>
      </c>
      <c r="CD21" s="3" t="s">
        <v>111</v>
      </c>
      <c r="CE21" s="3" t="s">
        <v>2143</v>
      </c>
      <c r="CF21" s="10">
        <v>5.9850374064837904E-2</v>
      </c>
      <c r="CG21" s="11">
        <v>4.5228626853263128E-2</v>
      </c>
      <c r="CH21" s="10">
        <v>0.30059975385665894</v>
      </c>
      <c r="CI21" s="10">
        <v>-6.5171733498573303E-2</v>
      </c>
      <c r="CJ21" s="10">
        <v>0.22174662351608276</v>
      </c>
      <c r="CK21" s="10">
        <v>-0.39948585629463196</v>
      </c>
      <c r="CL21" s="10">
        <v>8.5379429161548615E-2</v>
      </c>
      <c r="CM21" s="11">
        <v>1.0399341583251953</v>
      </c>
      <c r="CN21" s="11">
        <v>-6.1012740135192871</v>
      </c>
      <c r="CO21" s="11">
        <v>1.0760509967803955</v>
      </c>
      <c r="CP21" s="11">
        <v>-5.8413286209106445</v>
      </c>
      <c r="CQ21" s="11">
        <v>0.15319149196147919</v>
      </c>
      <c r="CR21" s="3">
        <v>-23.919498499658335</v>
      </c>
      <c r="CS21" s="3">
        <v>-8.3594732095340873</v>
      </c>
      <c r="CT21" s="3">
        <v>0</v>
      </c>
      <c r="CU21" s="10">
        <v>2.8613643348217012E-2</v>
      </c>
      <c r="CV21" s="11">
        <v>-1.9346851974725723</v>
      </c>
      <c r="CW21" s="3">
        <v>0.06</v>
      </c>
      <c r="CX21" s="3">
        <v>295.79992775413422</v>
      </c>
      <c r="CY21" s="3">
        <v>19724637.001431633</v>
      </c>
      <c r="CZ21" s="3">
        <v>2.8613643348217012E-2</v>
      </c>
      <c r="DA21" s="3">
        <v>101.85824196855191</v>
      </c>
      <c r="DB21" s="3">
        <v>57281041.644144803</v>
      </c>
      <c r="DC21" s="3">
        <v>2.718296118080616E-2</v>
      </c>
      <c r="DD21" s="3">
        <v>53.685498224877776</v>
      </c>
      <c r="DE21" s="3">
        <v>108680116.47317228</v>
      </c>
      <c r="DF21" s="3">
        <v>2.5180006146430969E-2</v>
      </c>
      <c r="DG21" s="3">
        <v>34.737044517617058</v>
      </c>
      <c r="DH21" s="3">
        <v>167963230.06239009</v>
      </c>
      <c r="DI21" s="3">
        <v>2.2890914678573612E-2</v>
      </c>
      <c r="DJ21" s="3">
        <v>20.968969882660677</v>
      </c>
      <c r="DK21" s="3">
        <v>278246677.47863996</v>
      </c>
      <c r="DL21" s="3">
        <v>2.0029550343751906E-2</v>
      </c>
      <c r="DM21" s="3">
        <v>20326500</v>
      </c>
      <c r="DN21" s="3">
        <v>2.8613643348217012E-2</v>
      </c>
      <c r="DO21" s="3">
        <v>5834546200</v>
      </c>
      <c r="DP21" s="3">
        <v>1085451700</v>
      </c>
      <c r="DQ21" s="3">
        <v>1760</v>
      </c>
      <c r="DR21" s="3">
        <v>3.1236730716620892E-2</v>
      </c>
      <c r="DS21" s="3">
        <v>1.9799138243258354</v>
      </c>
      <c r="DT21" s="12">
        <v>-0.25666666666666665</v>
      </c>
      <c r="DU21" s="3">
        <v>-0.22666666666666649</v>
      </c>
      <c r="DV21" s="3">
        <v>-0.48333333333333317</v>
      </c>
      <c r="DW21" s="3">
        <v>-8.6446124763705097</v>
      </c>
      <c r="DX21" s="3">
        <v>0.39133942161339474</v>
      </c>
      <c r="DY21" s="3">
        <v>-8.1040014041023962</v>
      </c>
      <c r="DZ21" s="3">
        <v>2855</v>
      </c>
      <c r="EA21" s="3">
        <v>-8.0458949444718009</v>
      </c>
      <c r="EB21" s="3">
        <v>8</v>
      </c>
      <c r="EC21" s="3">
        <v>7.565792056346593E-2</v>
      </c>
      <c r="ED21" s="3">
        <v>0.4689363566999728</v>
      </c>
      <c r="EE21" s="13">
        <v>-3.0990099999999998</v>
      </c>
      <c r="EF21" s="3">
        <v>-3.0961099999999999</v>
      </c>
      <c r="EG21" s="3">
        <v>23.161339421613395</v>
      </c>
      <c r="EH21" s="3" t="s">
        <v>1182</v>
      </c>
      <c r="EI21" s="3">
        <v>0</v>
      </c>
      <c r="EJ21" s="3">
        <v>0</v>
      </c>
      <c r="EK21" s="15">
        <v>45470</v>
      </c>
      <c r="EL21" s="16">
        <v>-2.4900000000000002</v>
      </c>
      <c r="EM21" s="16">
        <v>-5.0999999999999996</v>
      </c>
      <c r="EN21" s="16">
        <v>0.6</v>
      </c>
      <c r="EO21" s="16">
        <v>3.26</v>
      </c>
      <c r="EP21" s="16">
        <v>0.28999999999999998</v>
      </c>
    </row>
    <row r="22" spans="1:146" ht="108" x14ac:dyDescent="0.25">
      <c r="C22" s="7" t="str">
        <f>""&amp;CHAR(10)&amp;Basic_Fundamental_Information_Constructure(F22)&amp;CHAR(10)&amp;Basic_Fundamental_Information_Concatenate("")</f>
        <v xml:space="preserve">
市值41.081538亿, 利润7754.35万; PE47.98; 平均PE-13.11; 平均PEG-1.64, PB2.35; ROIC8.25%; ROE5.345%; 股利率0%; 毛利10.7767%; 净利2.4267%; 上一年度营收增-20.18%, 利润增-26.85%; 当季营收增23.45%, 利润增36.06%; 过往5年营收增7.99%, 利润增-1218.07%
Income profile:
</v>
      </c>
      <c r="D22" s="3" t="s">
        <v>376</v>
      </c>
      <c r="E22" s="3" t="s">
        <v>762</v>
      </c>
      <c r="F22" s="3">
        <v>2.89</v>
      </c>
      <c r="G22" s="3">
        <v>2.85</v>
      </c>
      <c r="H22" s="3" t="s">
        <v>2144</v>
      </c>
      <c r="I22" s="3">
        <v>4108153800</v>
      </c>
      <c r="J22" s="3">
        <v>47.98</v>
      </c>
      <c r="K22" s="3">
        <v>2.35</v>
      </c>
      <c r="L22" s="3" t="s">
        <v>176</v>
      </c>
      <c r="M22" s="3" t="s">
        <v>1383</v>
      </c>
      <c r="N22" s="3" t="s">
        <v>2145</v>
      </c>
      <c r="O22" s="3" t="s">
        <v>1144</v>
      </c>
      <c r="P22" s="3">
        <v>23.58</v>
      </c>
      <c r="Q22" s="3" t="s">
        <v>1384</v>
      </c>
      <c r="R22" s="3">
        <v>30490577</v>
      </c>
      <c r="S22" s="5">
        <v>0.36059999999999998</v>
      </c>
      <c r="T22" s="3" t="s">
        <v>1385</v>
      </c>
      <c r="U22" s="3">
        <v>1366622400</v>
      </c>
      <c r="V22" s="3">
        <v>1421506500</v>
      </c>
      <c r="W22" s="3">
        <v>1.73</v>
      </c>
      <c r="X22" s="3">
        <v>0.24</v>
      </c>
      <c r="Y22" s="3">
        <v>4.0199999999999996</v>
      </c>
      <c r="Z22" s="3" t="s">
        <v>2146</v>
      </c>
      <c r="AA22" s="3" t="s">
        <v>1928</v>
      </c>
      <c r="AB22" s="3" t="s">
        <v>2147</v>
      </c>
      <c r="AC22" s="3" t="s">
        <v>2148</v>
      </c>
      <c r="AD22" s="3" t="s">
        <v>47</v>
      </c>
      <c r="AE22" s="3">
        <v>-1618076</v>
      </c>
      <c r="AF22" s="3" t="s">
        <v>1386</v>
      </c>
      <c r="AG22" s="3" t="s">
        <v>2149</v>
      </c>
      <c r="AH22" s="3" t="s">
        <v>1387</v>
      </c>
      <c r="AI22" s="3" t="s">
        <v>1108</v>
      </c>
      <c r="AJ22" s="3" t="s">
        <v>1388</v>
      </c>
      <c r="AK22" s="3" t="s">
        <v>2150</v>
      </c>
      <c r="AL22" s="3" t="s">
        <v>1389</v>
      </c>
      <c r="AM22" s="3" t="s">
        <v>47</v>
      </c>
      <c r="AN22" s="3" t="s">
        <v>2151</v>
      </c>
      <c r="AO22" s="3" t="s">
        <v>2152</v>
      </c>
      <c r="AP22" s="3" t="s">
        <v>2153</v>
      </c>
      <c r="AQ22" s="3" t="s">
        <v>2154</v>
      </c>
      <c r="AR22" s="3" t="s">
        <v>47</v>
      </c>
      <c r="AS22" s="3" t="s">
        <v>1136</v>
      </c>
      <c r="AT22" s="3" t="s">
        <v>2155</v>
      </c>
      <c r="AU22" s="3" t="s">
        <v>1372</v>
      </c>
      <c r="AV22" s="3" t="s">
        <v>2156</v>
      </c>
      <c r="AW22" s="3" t="s">
        <v>2157</v>
      </c>
      <c r="AX22" s="3" t="s">
        <v>982</v>
      </c>
      <c r="AY22" s="3" t="s">
        <v>640</v>
      </c>
      <c r="AZ22" s="3" t="s">
        <v>377</v>
      </c>
      <c r="BA22" s="3" t="s">
        <v>382</v>
      </c>
      <c r="BB22" s="3" t="s">
        <v>383</v>
      </c>
      <c r="BC22" s="3" t="s">
        <v>111</v>
      </c>
      <c r="BD22" s="3" t="s">
        <v>641</v>
      </c>
      <c r="BE22" s="3" t="s">
        <v>378</v>
      </c>
      <c r="BF22" s="3" t="s">
        <v>384</v>
      </c>
      <c r="BG22" s="3" t="s">
        <v>385</v>
      </c>
      <c r="BH22" s="3" t="s">
        <v>1384</v>
      </c>
      <c r="BI22" s="3" t="s">
        <v>1390</v>
      </c>
      <c r="BJ22" s="3" t="s">
        <v>982</v>
      </c>
      <c r="BK22" s="3" t="s">
        <v>1385</v>
      </c>
      <c r="BL22" s="3" t="s">
        <v>1391</v>
      </c>
      <c r="BM22" s="3" t="s">
        <v>111</v>
      </c>
      <c r="BN22" s="3">
        <v>3.15</v>
      </c>
      <c r="BO22" s="3">
        <v>6.46</v>
      </c>
      <c r="BP22" s="3">
        <v>15.14</v>
      </c>
      <c r="BQ22" s="3">
        <v>4.12</v>
      </c>
      <c r="BR22" s="3">
        <v>6.57</v>
      </c>
      <c r="BS22" s="3" t="s">
        <v>47</v>
      </c>
      <c r="BT22" s="3" t="s">
        <v>856</v>
      </c>
      <c r="BU22" s="3" t="s">
        <v>747</v>
      </c>
      <c r="BV22" s="3">
        <v>11.52</v>
      </c>
      <c r="BW22" s="3">
        <v>11.09</v>
      </c>
      <c r="BX22" s="3">
        <v>9.7200000000000006</v>
      </c>
      <c r="BY22" s="3">
        <v>2.72</v>
      </c>
      <c r="BZ22" s="3">
        <v>2.97</v>
      </c>
      <c r="CA22" s="3">
        <v>1.59</v>
      </c>
      <c r="CB22" s="3">
        <v>0.7</v>
      </c>
      <c r="CC22" s="3">
        <v>-13.21</v>
      </c>
      <c r="CD22" s="3" t="s">
        <v>2158</v>
      </c>
      <c r="CE22" s="3" t="s">
        <v>405</v>
      </c>
      <c r="CF22" s="10">
        <v>0.23452768729641693</v>
      </c>
      <c r="CG22" s="11">
        <v>0.36055478706314925</v>
      </c>
      <c r="CH22" s="10">
        <v>-0.20178622007369995</v>
      </c>
      <c r="CI22" s="10">
        <v>0.66264498233795166</v>
      </c>
      <c r="CJ22" s="10">
        <v>0.34687504172325134</v>
      </c>
      <c r="CK22" s="10">
        <v>1.073906198143959E-2</v>
      </c>
      <c r="CL22" s="10">
        <v>-0.41908252239227295</v>
      </c>
      <c r="CM22" s="11">
        <v>-0.26845750212669373</v>
      </c>
      <c r="CN22" s="11">
        <v>2.0890190601348877</v>
      </c>
      <c r="CO22" s="11">
        <v>1.058658242225647</v>
      </c>
      <c r="CP22" s="11">
        <v>0.6193884015083313</v>
      </c>
      <c r="CQ22" s="11">
        <v>-64.402091979980469</v>
      </c>
      <c r="CR22" s="3">
        <v>-13.111831468845166</v>
      </c>
      <c r="CS22" s="3">
        <v>-1.6414807818617339</v>
      </c>
      <c r="CT22" s="3">
        <v>0</v>
      </c>
      <c r="CU22" s="10">
        <v>7.9878068715333941E-2</v>
      </c>
      <c r="CV22" s="11">
        <v>-12.180696755647659</v>
      </c>
      <c r="CW22" s="3">
        <v>0.06</v>
      </c>
      <c r="CX22" s="3">
        <v>49.319860205364307</v>
      </c>
      <c r="CY22" s="3">
        <v>78997665.114554241</v>
      </c>
      <c r="CZ22" s="3">
        <v>7.9878068715333941E-2</v>
      </c>
      <c r="DA22" s="3">
        <v>16.256165466271007</v>
      </c>
      <c r="DB22" s="3">
        <v>239672375.88002583</v>
      </c>
      <c r="DC22" s="3">
        <v>7.5884165279567234E-2</v>
      </c>
      <c r="DD22" s="3">
        <v>8.0945341462267795</v>
      </c>
      <c r="DE22" s="3">
        <v>481331442.87446982</v>
      </c>
      <c r="DF22" s="3">
        <v>7.0292700469493874E-2</v>
      </c>
      <c r="DG22" s="3">
        <v>4.9236684322409143</v>
      </c>
      <c r="DH22" s="3">
        <v>791311164.35205197</v>
      </c>
      <c r="DI22" s="3">
        <v>6.3902454972267153E-2</v>
      </c>
      <c r="DJ22" s="3">
        <v>2.6155442406160025</v>
      </c>
      <c r="DK22" s="3">
        <v>1489614948.7734888</v>
      </c>
      <c r="DL22" s="3">
        <v>5.5914648100733752E-2</v>
      </c>
      <c r="DM22" s="3">
        <v>77543500</v>
      </c>
      <c r="DN22" s="3">
        <v>7.9878068715333941E-2</v>
      </c>
      <c r="DO22" s="3">
        <v>3896153800</v>
      </c>
      <c r="DP22" s="3">
        <v>981318800</v>
      </c>
      <c r="DQ22" s="3">
        <v>1762</v>
      </c>
      <c r="DR22" s="3">
        <v>0.154649618581083</v>
      </c>
      <c r="DS22" s="3">
        <v>12.541251542710809</v>
      </c>
      <c r="DT22" s="12">
        <v>-0.27333333333333337</v>
      </c>
      <c r="DU22" s="3">
        <v>-0.14666666666666683</v>
      </c>
      <c r="DV22" s="3">
        <v>-0.42000000000000021</v>
      </c>
      <c r="DW22" s="3">
        <v>-2.1320999999999999</v>
      </c>
      <c r="DX22" s="3">
        <v>0.39188268656716363</v>
      </c>
      <c r="DY22" s="3">
        <v>-2.0147797028955226</v>
      </c>
      <c r="DZ22" s="3">
        <v>2712</v>
      </c>
      <c r="EA22" s="3">
        <v>-2.0069357588147678</v>
      </c>
      <c r="EB22" s="3">
        <v>2</v>
      </c>
      <c r="EC22" s="3">
        <v>2.6366886116947055E-2</v>
      </c>
      <c r="ED22" s="3">
        <v>0.23566547180755065</v>
      </c>
      <c r="EE22" s="13">
        <v>5.6099999999999997E-2</v>
      </c>
      <c r="EF22" s="3">
        <v>4.2399999999999993E-2</v>
      </c>
      <c r="EG22" s="3">
        <v>28.111882686567164</v>
      </c>
      <c r="EH22" s="3" t="s">
        <v>759</v>
      </c>
      <c r="EI22" s="3">
        <v>0</v>
      </c>
      <c r="EJ22" s="3">
        <v>0</v>
      </c>
      <c r="EK22" s="15">
        <v>45470</v>
      </c>
      <c r="EL22" s="16">
        <v>-2.36</v>
      </c>
      <c r="EM22" s="16">
        <v>-4.5</v>
      </c>
      <c r="EN22" s="16">
        <v>1.45</v>
      </c>
      <c r="EO22" s="16">
        <v>3.93</v>
      </c>
      <c r="EP22" s="16">
        <v>-1.37</v>
      </c>
    </row>
    <row r="23" spans="1:146" ht="108" x14ac:dyDescent="0.25">
      <c r="C23" s="7" t="str">
        <f>""&amp;CHAR(10)&amp;Basic_Fundamental_Information_Constructure(F23)&amp;CHAR(10)&amp;Basic_Fundamental_Information_Concatenate("")</f>
        <v xml:space="preserve">
市值25.718335亿, 利润3942.14万; PE54.48; 平均PE34.67; 平均PEG3.83, PB3.03; ROIC8.03%; ROE9.3567%; 股利率1.1792%; 毛利34.0533%; 净利7.79%; 上一年度营收增-8.98%, 利润增-55.76%; 当季营收增-9.86%, 利润增293.68%; 过往5年营收增9.04%, 利润增58.08%
Income profile:
</v>
      </c>
      <c r="D23" s="3" t="s">
        <v>515</v>
      </c>
      <c r="E23" s="3" t="s">
        <v>516</v>
      </c>
      <c r="F23" s="3">
        <v>10.6</v>
      </c>
      <c r="G23" s="3">
        <v>0</v>
      </c>
      <c r="H23" s="3" t="s">
        <v>2159</v>
      </c>
      <c r="I23" s="3">
        <v>2571833500</v>
      </c>
      <c r="J23" s="3">
        <v>54.48</v>
      </c>
      <c r="K23" s="3">
        <v>3.03</v>
      </c>
      <c r="L23" s="3" t="s">
        <v>176</v>
      </c>
      <c r="M23" s="3" t="s">
        <v>1198</v>
      </c>
      <c r="N23" s="3" t="s">
        <v>2160</v>
      </c>
      <c r="O23" s="3" t="s">
        <v>76</v>
      </c>
      <c r="P23" s="3">
        <v>-10.37</v>
      </c>
      <c r="Q23" s="3" t="s">
        <v>1092</v>
      </c>
      <c r="R23" s="3">
        <v>10432131</v>
      </c>
      <c r="S23" s="5">
        <v>2.9369999999999998</v>
      </c>
      <c r="T23" s="3" t="s">
        <v>1392</v>
      </c>
      <c r="U23" s="3">
        <v>240937730</v>
      </c>
      <c r="V23" s="3">
        <v>242625800</v>
      </c>
      <c r="W23" s="3">
        <v>1.36</v>
      </c>
      <c r="X23" s="3">
        <v>0.11</v>
      </c>
      <c r="Y23" s="3">
        <v>7.42</v>
      </c>
      <c r="Z23" s="3" t="s">
        <v>135</v>
      </c>
      <c r="AA23" s="3" t="s">
        <v>2161</v>
      </c>
      <c r="AB23" s="3" t="s">
        <v>2162</v>
      </c>
      <c r="AC23" s="3" t="s">
        <v>2163</v>
      </c>
      <c r="AD23" s="3" t="s">
        <v>47</v>
      </c>
      <c r="AE23" s="3">
        <v>-487250</v>
      </c>
      <c r="AF23" s="3" t="s">
        <v>1393</v>
      </c>
      <c r="AG23" s="3">
        <v>6050</v>
      </c>
      <c r="AH23" s="3" t="s">
        <v>1394</v>
      </c>
      <c r="AI23" s="3" t="s">
        <v>88</v>
      </c>
      <c r="AJ23" s="3" t="s">
        <v>1395</v>
      </c>
      <c r="AK23" s="3" t="s">
        <v>2164</v>
      </c>
      <c r="AL23" s="3" t="s">
        <v>1396</v>
      </c>
      <c r="AM23" s="3" t="s">
        <v>47</v>
      </c>
      <c r="AN23" s="3">
        <v>0</v>
      </c>
      <c r="AO23" s="3" t="s">
        <v>47</v>
      </c>
      <c r="AP23" s="3" t="s">
        <v>2165</v>
      </c>
      <c r="AQ23" s="3" t="s">
        <v>194</v>
      </c>
      <c r="AR23" s="3" t="s">
        <v>47</v>
      </c>
      <c r="AS23" s="3" t="s">
        <v>410</v>
      </c>
      <c r="AT23" s="3" t="s">
        <v>47</v>
      </c>
      <c r="AU23" s="3" t="s">
        <v>2166</v>
      </c>
      <c r="AV23" s="3" t="s">
        <v>2167</v>
      </c>
      <c r="AW23" s="3" t="s">
        <v>2168</v>
      </c>
      <c r="AX23" s="3" t="s">
        <v>984</v>
      </c>
      <c r="AY23" s="3" t="s">
        <v>643</v>
      </c>
      <c r="AZ23" s="3" t="s">
        <v>517</v>
      </c>
      <c r="BA23" s="3" t="s">
        <v>169</v>
      </c>
      <c r="BB23" s="3" t="s">
        <v>518</v>
      </c>
      <c r="BC23" s="3" t="s">
        <v>985</v>
      </c>
      <c r="BD23" s="3" t="s">
        <v>644</v>
      </c>
      <c r="BE23" s="3" t="s">
        <v>219</v>
      </c>
      <c r="BF23" s="3" t="s">
        <v>519</v>
      </c>
      <c r="BG23" s="3" t="s">
        <v>520</v>
      </c>
      <c r="BH23" s="3" t="s">
        <v>1092</v>
      </c>
      <c r="BI23" s="3" t="s">
        <v>652</v>
      </c>
      <c r="BJ23" s="3" t="s">
        <v>984</v>
      </c>
      <c r="BK23" s="3" t="s">
        <v>1392</v>
      </c>
      <c r="BL23" s="3" t="s">
        <v>1397</v>
      </c>
      <c r="BM23" s="3" t="s">
        <v>985</v>
      </c>
      <c r="BN23" s="3">
        <v>3.33</v>
      </c>
      <c r="BO23" s="3">
        <v>11.31</v>
      </c>
      <c r="BP23" s="3">
        <v>9.4499999999999993</v>
      </c>
      <c r="BQ23" s="3">
        <v>4.6399999999999997</v>
      </c>
      <c r="BR23" s="3">
        <v>12.13</v>
      </c>
      <c r="BS23" s="3">
        <v>11.3</v>
      </c>
      <c r="BT23" s="3" t="s">
        <v>1050</v>
      </c>
      <c r="BU23" s="3" t="s">
        <v>748</v>
      </c>
      <c r="BV23" s="3">
        <v>34.96</v>
      </c>
      <c r="BW23" s="3">
        <v>37.380000000000003</v>
      </c>
      <c r="BX23" s="3">
        <v>29.82</v>
      </c>
      <c r="BY23" s="3">
        <v>5.0199999999999996</v>
      </c>
      <c r="BZ23" s="3">
        <v>11.24</v>
      </c>
      <c r="CA23" s="3">
        <v>7.11</v>
      </c>
      <c r="CB23" s="3">
        <v>-7.34</v>
      </c>
      <c r="CC23" s="3">
        <v>-24.29</v>
      </c>
      <c r="CD23" s="3" t="s">
        <v>2169</v>
      </c>
      <c r="CE23" s="3" t="s">
        <v>839</v>
      </c>
      <c r="CF23" s="10">
        <v>-9.8591549295774641E-2</v>
      </c>
      <c r="CG23" s="11">
        <v>2.9368017661043813</v>
      </c>
      <c r="CH23" s="10">
        <v>-8.9759796857833862E-2</v>
      </c>
      <c r="CI23" s="10">
        <v>-0.20020222663879395</v>
      </c>
      <c r="CJ23" s="10">
        <v>0.1187782809138298</v>
      </c>
      <c r="CK23" s="10">
        <v>0.78585857152938843</v>
      </c>
      <c r="CL23" s="10">
        <v>-0.16243654489517212</v>
      </c>
      <c r="CM23" s="11">
        <v>-0.55757641792297363</v>
      </c>
      <c r="CN23" s="11">
        <v>0.11412966996431351</v>
      </c>
      <c r="CO23" s="11">
        <v>-0.34979107975959778</v>
      </c>
      <c r="CP23" s="11">
        <v>4.4490361213684082</v>
      </c>
      <c r="CQ23" s="11">
        <v>-0.75188809633255005</v>
      </c>
      <c r="CR23" s="3">
        <v>34.672394093717244</v>
      </c>
      <c r="CS23" s="3">
        <v>3.8334209327770097</v>
      </c>
      <c r="CT23" s="3">
        <v>1.179245283018868</v>
      </c>
      <c r="CU23" s="10">
        <v>9.0447656810283661E-2</v>
      </c>
      <c r="CV23" s="11">
        <v>0.58078203946352003</v>
      </c>
      <c r="CW23" s="3">
        <v>0.06</v>
      </c>
      <c r="CX23" s="3">
        <v>51.729706500720042</v>
      </c>
      <c r="CY23" s="3">
        <v>40553748.356774449</v>
      </c>
      <c r="CZ23" s="3">
        <v>9.0447656810283661E-2</v>
      </c>
      <c r="DA23" s="3">
        <v>16.898378984587715</v>
      </c>
      <c r="DB23" s="3">
        <v>124144067.42287789</v>
      </c>
      <c r="DC23" s="3">
        <v>8.592527396976947E-2</v>
      </c>
      <c r="DD23" s="3">
        <v>8.3144642063633718</v>
      </c>
      <c r="DE23" s="3">
        <v>252311327.33657679</v>
      </c>
      <c r="DF23" s="3">
        <v>7.9593937993049618E-2</v>
      </c>
      <c r="DG23" s="3">
        <v>4.9901248142775962</v>
      </c>
      <c r="DH23" s="3">
        <v>420396999.68981564</v>
      </c>
      <c r="DI23" s="3">
        <v>7.2358125448226937E-2</v>
      </c>
      <c r="DJ23" s="3">
        <v>2.5745830060455912</v>
      </c>
      <c r="DK23" s="3">
        <v>814824573.561584</v>
      </c>
      <c r="DL23" s="3">
        <v>6.3313359767198554E-2</v>
      </c>
      <c r="DM23" s="3">
        <v>39421400</v>
      </c>
      <c r="DN23" s="3">
        <v>9.0447656810283661E-2</v>
      </c>
      <c r="DO23" s="3">
        <v>2097833500</v>
      </c>
      <c r="DP23" s="3">
        <v>583261980</v>
      </c>
      <c r="DQ23" s="3">
        <v>1872</v>
      </c>
      <c r="DR23" s="3">
        <v>-0.18903920610605829</v>
      </c>
      <c r="DS23" s="3">
        <v>2.3560197266408611</v>
      </c>
      <c r="DT23" s="12">
        <v>-0.45666666666666672</v>
      </c>
      <c r="DU23" s="3">
        <v>0.13999999999999999</v>
      </c>
      <c r="DV23" s="3">
        <v>-0.31666666666666676</v>
      </c>
      <c r="DW23" s="3">
        <v>-9.3021819678880195</v>
      </c>
      <c r="DX23" s="3">
        <v>0.26083479853480018</v>
      </c>
      <c r="DY23" s="3">
        <v>-9.0274486381739578</v>
      </c>
      <c r="DZ23" s="3">
        <v>2495</v>
      </c>
      <c r="EA23" s="3">
        <v>-9.0140466122945018</v>
      </c>
      <c r="EB23" s="3">
        <v>9</v>
      </c>
      <c r="EC23" s="3">
        <v>0.10220636057665755</v>
      </c>
      <c r="ED23" s="3">
        <v>1.1251894893288348</v>
      </c>
      <c r="EE23" s="13">
        <v>3.9100000000000003E-3</v>
      </c>
      <c r="EF23" s="3">
        <v>2.2410000000000003E-2</v>
      </c>
      <c r="EG23" s="3">
        <v>17.0908347985348</v>
      </c>
      <c r="EH23" s="3">
        <v>-1</v>
      </c>
      <c r="EI23" s="3">
        <v>0</v>
      </c>
      <c r="EJ23" s="3">
        <v>0</v>
      </c>
      <c r="EK23" s="15">
        <v>45470</v>
      </c>
      <c r="EL23" s="16">
        <v>-2.1800000000000002</v>
      </c>
      <c r="EM23" s="16">
        <v>-5.9</v>
      </c>
      <c r="EN23" s="16">
        <v>-1.73</v>
      </c>
      <c r="EO23" s="16">
        <v>4.8099999999999996</v>
      </c>
      <c r="EP23" s="16">
        <v>-1.85</v>
      </c>
    </row>
    <row r="24" spans="1:146" ht="168" x14ac:dyDescent="0.25">
      <c r="C24" s="7" t="str">
        <f>"公司系医药、生物工业自动化控制系统整体解决方案的提供商。其主要产品包括自动化控制系统、工业软件信息化产品、系统设备、康复评定设备、康复训练设备、物理理疗设备、中医传统康复设备等"&amp;CHAR(10)&amp;Basic_Fundamental_Information_Constructure(F24)&amp;CHAR(10)&amp;Basic_Fundamental_Information_Concatenate("控制系统 2.45亿 54.88% 39.51% 28.97%
康复医疗器械 1.12亿 25.15% 45.30% 72.48%
系统设备及其他 8743.01万 19.57% 14.42% 29.65%")</f>
        <v>公司系医药、生物工业自动化控制系统整体解决方案的提供商。其主要产品包括自动化控制系统、工业软件信息化产品、系统设备、康复评定设备、康复训练设备、物理理疗设备、中医传统康复设备等
市值38.472406亿, 利润1.70亿; PE21.55; 平均PE35.97; 平均PEG3.11, PB1.77; ROIC5.5633%; ROE6.1267%; 股利率.3905%; 毛利40.8967%; 净利12.8367%; 上一年度营收增20.74%, 利润增36%; 当季营收增9.39%, 利润增37.71%; 过往5年营收增11.57%, 利润增16.38%
Income profile:
控制系统 2.45亿 54.88% 39.51% 28.97%
康复医疗器械 1.12亿 25.15% 45.30% 72.48%
系统设备及其他 8743.01万 19.57% 14.42% 29.65%</v>
      </c>
      <c r="D24" s="3" t="s">
        <v>813</v>
      </c>
      <c r="E24" s="3" t="s">
        <v>814</v>
      </c>
      <c r="F24" s="3">
        <v>14.09</v>
      </c>
      <c r="G24" s="3">
        <v>2.4700000000000002</v>
      </c>
      <c r="H24" s="3" t="s">
        <v>2170</v>
      </c>
      <c r="I24" s="3">
        <v>3847240600</v>
      </c>
      <c r="J24" s="3">
        <v>21.55</v>
      </c>
      <c r="K24" s="3">
        <v>1.77</v>
      </c>
      <c r="L24" s="3" t="s">
        <v>176</v>
      </c>
      <c r="M24" s="3" t="s">
        <v>1153</v>
      </c>
      <c r="N24" s="3" t="s">
        <v>2171</v>
      </c>
      <c r="O24" s="3" t="s">
        <v>220</v>
      </c>
      <c r="P24" s="3">
        <v>9.36</v>
      </c>
      <c r="Q24" s="3" t="s">
        <v>1398</v>
      </c>
      <c r="R24" s="3">
        <v>30781307</v>
      </c>
      <c r="S24" s="5">
        <v>0.37709999999999999</v>
      </c>
      <c r="T24" s="3" t="s">
        <v>347</v>
      </c>
      <c r="U24" s="3">
        <v>258673860</v>
      </c>
      <c r="V24" s="3">
        <v>273047600</v>
      </c>
      <c r="W24" s="3">
        <v>1.57</v>
      </c>
      <c r="X24" s="3">
        <v>0.08</v>
      </c>
      <c r="Y24" s="3">
        <v>11.41</v>
      </c>
      <c r="Z24" s="3" t="s">
        <v>1673</v>
      </c>
      <c r="AA24" s="3" t="s">
        <v>64</v>
      </c>
      <c r="AB24" s="3" t="s">
        <v>2172</v>
      </c>
      <c r="AC24" s="3" t="s">
        <v>2173</v>
      </c>
      <c r="AD24" s="3" t="s">
        <v>47</v>
      </c>
      <c r="AE24" s="3">
        <v>3857114</v>
      </c>
      <c r="AF24" s="3" t="s">
        <v>1401</v>
      </c>
      <c r="AG24" s="3" t="s">
        <v>2174</v>
      </c>
      <c r="AH24" s="3" t="s">
        <v>1402</v>
      </c>
      <c r="AI24" s="3" t="s">
        <v>75</v>
      </c>
      <c r="AJ24" s="3" t="s">
        <v>1403</v>
      </c>
      <c r="AK24" s="3" t="s">
        <v>1404</v>
      </c>
      <c r="AL24" s="3" t="s">
        <v>1405</v>
      </c>
      <c r="AM24" s="3" t="s">
        <v>47</v>
      </c>
      <c r="AN24" s="3" t="s">
        <v>704</v>
      </c>
      <c r="AO24" s="3" t="s">
        <v>77</v>
      </c>
      <c r="AP24" s="3" t="s">
        <v>138</v>
      </c>
      <c r="AQ24" s="3" t="s">
        <v>289</v>
      </c>
      <c r="AR24" s="3" t="s">
        <v>47</v>
      </c>
      <c r="AS24" s="3" t="s">
        <v>1166</v>
      </c>
      <c r="AT24" s="3" t="s">
        <v>81</v>
      </c>
      <c r="AU24" s="3" t="s">
        <v>2175</v>
      </c>
      <c r="AV24" s="3" t="s">
        <v>2176</v>
      </c>
      <c r="AW24" s="3" t="s">
        <v>2177</v>
      </c>
      <c r="AX24" s="3" t="s">
        <v>986</v>
      </c>
      <c r="AY24" s="3" t="s">
        <v>815</v>
      </c>
      <c r="AZ24" s="3" t="s">
        <v>258</v>
      </c>
      <c r="BA24" s="3" t="s">
        <v>816</v>
      </c>
      <c r="BB24" s="3" t="s">
        <v>816</v>
      </c>
      <c r="BC24" s="3" t="s">
        <v>763</v>
      </c>
      <c r="BD24" s="3" t="s">
        <v>52</v>
      </c>
      <c r="BE24" s="3" t="s">
        <v>817</v>
      </c>
      <c r="BF24" s="3" t="s">
        <v>818</v>
      </c>
      <c r="BG24" s="3" t="s">
        <v>123</v>
      </c>
      <c r="BH24" s="3" t="s">
        <v>1398</v>
      </c>
      <c r="BI24" s="3" t="s">
        <v>306</v>
      </c>
      <c r="BJ24" s="3" t="s">
        <v>986</v>
      </c>
      <c r="BK24" s="3" t="s">
        <v>347</v>
      </c>
      <c r="BL24" s="3" t="s">
        <v>1406</v>
      </c>
      <c r="BM24" s="3" t="s">
        <v>763</v>
      </c>
      <c r="BN24" s="3">
        <v>5.36</v>
      </c>
      <c r="BO24" s="3">
        <v>5.98</v>
      </c>
      <c r="BP24" s="3">
        <v>5.35</v>
      </c>
      <c r="BQ24" s="3">
        <v>6.17</v>
      </c>
      <c r="BR24" s="3">
        <v>6.54</v>
      </c>
      <c r="BS24" s="3">
        <v>5.67</v>
      </c>
      <c r="BT24" s="3" t="s">
        <v>2178</v>
      </c>
      <c r="BU24" s="3" t="s">
        <v>748</v>
      </c>
      <c r="BV24" s="3">
        <v>42.93</v>
      </c>
      <c r="BW24" s="3">
        <v>41.57</v>
      </c>
      <c r="BX24" s="3">
        <v>38.19</v>
      </c>
      <c r="BY24" s="3">
        <v>14.27</v>
      </c>
      <c r="BZ24" s="3">
        <v>12.91</v>
      </c>
      <c r="CA24" s="3">
        <v>11.33</v>
      </c>
      <c r="CB24" s="3">
        <v>-6.56</v>
      </c>
      <c r="CC24" s="3">
        <v>-13.51</v>
      </c>
      <c r="CD24" s="3" t="s">
        <v>2179</v>
      </c>
      <c r="CE24" s="3" t="s">
        <v>1063</v>
      </c>
      <c r="CF24" s="10">
        <v>9.3877551020408151E-2</v>
      </c>
      <c r="CG24" s="11">
        <v>0.37709797202077638</v>
      </c>
      <c r="CH24" s="10">
        <v>0.20739220082759857</v>
      </c>
      <c r="CI24" s="10">
        <v>6.4480870962142944E-2</v>
      </c>
      <c r="CJ24" s="10">
        <v>0.19764398038387299</v>
      </c>
      <c r="CK24" s="10">
        <v>0.10885340720415115</v>
      </c>
      <c r="CL24" s="10">
        <v>0</v>
      </c>
      <c r="CM24" s="11">
        <v>0.36000001430511475</v>
      </c>
      <c r="CN24" s="11">
        <v>0.21359223127365112</v>
      </c>
      <c r="CO24" s="11">
        <v>0.70566797256469727</v>
      </c>
      <c r="CP24" s="11">
        <v>-0.25807240605354309</v>
      </c>
      <c r="CQ24" s="11">
        <v>-0.20204015076160431</v>
      </c>
      <c r="CR24" s="3">
        <v>35.96791230872693</v>
      </c>
      <c r="CS24" s="3">
        <v>3.1094181700966077</v>
      </c>
      <c r="CT24" s="3">
        <v>0.39054293825408087</v>
      </c>
      <c r="CU24" s="10">
        <v>0.11567409187555314</v>
      </c>
      <c r="CV24" s="11">
        <v>0.16382953226566316</v>
      </c>
      <c r="CW24" s="3">
        <v>0.06</v>
      </c>
      <c r="CX24" s="3">
        <v>16.153014884005117</v>
      </c>
      <c r="CY24" s="3">
        <v>178928863.79136232</v>
      </c>
      <c r="CZ24" s="3">
        <v>0.11567409187555314</v>
      </c>
      <c r="DA24" s="3">
        <v>5.1654624076451734</v>
      </c>
      <c r="DB24" s="3">
        <v>559531823.46701086</v>
      </c>
      <c r="DC24" s="3">
        <v>0.10989038728177547</v>
      </c>
      <c r="DD24" s="3">
        <v>2.4694906716787193</v>
      </c>
      <c r="DE24" s="3">
        <v>1170379233.7207987</v>
      </c>
      <c r="DF24" s="3">
        <v>0.10179320085048676</v>
      </c>
      <c r="DG24" s="3">
        <v>1.4342571570317879</v>
      </c>
      <c r="DH24" s="3">
        <v>2015148110.5253029</v>
      </c>
      <c r="DI24" s="3">
        <v>9.2539273500442512E-2</v>
      </c>
      <c r="DJ24" s="3">
        <v>0.6876188904163969</v>
      </c>
      <c r="DK24" s="3">
        <v>4203259451.2488971</v>
      </c>
      <c r="DL24" s="3">
        <v>8.0971864312887193E-2</v>
      </c>
      <c r="DM24" s="3">
        <v>170000000</v>
      </c>
      <c r="DN24" s="3">
        <v>0.11567409187555314</v>
      </c>
      <c r="DO24" s="3">
        <v>2890240600</v>
      </c>
      <c r="DP24" s="3">
        <v>767757699.99999988</v>
      </c>
      <c r="DQ24" s="3">
        <v>1902</v>
      </c>
      <c r="DR24" s="3">
        <v>-2.1796540855144986E-2</v>
      </c>
      <c r="DS24" s="3">
        <v>0.21326843975511323</v>
      </c>
      <c r="DT24" s="12">
        <v>-0.14000000000000001</v>
      </c>
      <c r="DU24" s="3">
        <v>0.58666666666666667</v>
      </c>
      <c r="DV24" s="3">
        <v>0.44666666666666666</v>
      </c>
      <c r="DW24" s="3">
        <v>-9.4855662472242788</v>
      </c>
      <c r="DX24" s="3">
        <v>0.40858060200668833</v>
      </c>
      <c r="DY24" s="3">
        <v>-9.1255580125213829</v>
      </c>
      <c r="DZ24" s="3">
        <v>788</v>
      </c>
      <c r="EA24" s="3">
        <v>-9.106196033291079</v>
      </c>
      <c r="EB24" s="3">
        <v>9</v>
      </c>
      <c r="EC24" s="3">
        <v>0.28315795487673212</v>
      </c>
      <c r="ED24" s="3">
        <v>1.0950471639377164</v>
      </c>
      <c r="EE24" s="13">
        <v>3.09E-2</v>
      </c>
      <c r="EF24" s="3">
        <v>1.6900000000000002E-2</v>
      </c>
      <c r="EG24" s="3">
        <v>15.258580602006688</v>
      </c>
      <c r="EH24" s="3" t="s">
        <v>759</v>
      </c>
      <c r="EI24" s="3">
        <v>0</v>
      </c>
      <c r="EJ24" s="3">
        <v>1</v>
      </c>
      <c r="EK24" s="15">
        <v>45470</v>
      </c>
      <c r="EL24" s="16">
        <v>5.88</v>
      </c>
      <c r="EM24" s="16">
        <v>-7.0000000000000007E-2</v>
      </c>
      <c r="EN24" s="16">
        <v>-2.06</v>
      </c>
      <c r="EO24" s="16">
        <v>5.04</v>
      </c>
      <c r="EP24" s="16">
        <v>-1.4</v>
      </c>
    </row>
    <row r="25" spans="1:146" ht="108" x14ac:dyDescent="0.25">
      <c r="C25" s="7" t="str">
        <f>""&amp;CHAR(10)&amp;Basic_Fundamental_Information_Constructure(F25)&amp;CHAR(10)&amp;Basic_Fundamental_Information_Concatenate("")</f>
        <v xml:space="preserve">
市值26.89659亿, 利润987.58万; PE; 平均PE-72.87; 平均PEG-4.64, PB4.05; ROIC11.58%; ROE-2.38%; 股利率0%; 毛利31.5033%; 净利-8.6167%; 上一年度营收增36.13%, 利润增115.56%; 当季营收增-17.62%, 利润增-660.76%; 过往5年营收增-15.72%, 利润增-49.53%
Income profile:
</v>
      </c>
      <c r="D25" s="3" t="s">
        <v>521</v>
      </c>
      <c r="E25" s="3" t="s">
        <v>522</v>
      </c>
      <c r="F25" s="3">
        <v>17.27</v>
      </c>
      <c r="G25" s="3">
        <v>-6.4</v>
      </c>
      <c r="H25" s="3" t="s">
        <v>2180</v>
      </c>
      <c r="I25" s="3">
        <v>2689659000</v>
      </c>
      <c r="K25" s="3">
        <v>4.05</v>
      </c>
      <c r="L25" s="3" t="s">
        <v>176</v>
      </c>
      <c r="M25" s="3" t="s">
        <v>160</v>
      </c>
      <c r="N25" s="3" t="s">
        <v>222</v>
      </c>
      <c r="O25" s="3" t="s">
        <v>1407</v>
      </c>
      <c r="P25" s="3">
        <v>-17.62</v>
      </c>
      <c r="Q25" s="3" t="s">
        <v>1171</v>
      </c>
      <c r="R25" s="3">
        <v>-12336155</v>
      </c>
      <c r="S25" s="5">
        <v>-6.6079999999999997</v>
      </c>
      <c r="T25" s="3" t="s">
        <v>1408</v>
      </c>
      <c r="U25" s="3">
        <v>81760195</v>
      </c>
      <c r="V25" s="3">
        <v>155741690</v>
      </c>
      <c r="W25" s="3">
        <v>1.51</v>
      </c>
      <c r="X25" s="3">
        <v>0.05</v>
      </c>
      <c r="Y25" s="3">
        <v>-33.229999999999997</v>
      </c>
      <c r="Z25" s="3" t="s">
        <v>2181</v>
      </c>
      <c r="AA25" s="3" t="s">
        <v>2182</v>
      </c>
      <c r="AB25" s="3" t="s">
        <v>2183</v>
      </c>
      <c r="AC25" s="3" t="s">
        <v>2184</v>
      </c>
      <c r="AD25" s="3" t="s">
        <v>47</v>
      </c>
      <c r="AE25" s="3">
        <v>548255</v>
      </c>
      <c r="AF25" s="3" t="s">
        <v>1409</v>
      </c>
      <c r="AG25" s="3" t="s">
        <v>2185</v>
      </c>
      <c r="AH25" s="3" t="s">
        <v>1410</v>
      </c>
      <c r="AI25" s="3" t="s">
        <v>2186</v>
      </c>
      <c r="AJ25" s="3" t="s">
        <v>1411</v>
      </c>
      <c r="AK25" s="3" t="s">
        <v>47</v>
      </c>
      <c r="AL25" s="3" t="s">
        <v>1412</v>
      </c>
      <c r="AM25" s="3" t="s">
        <v>47</v>
      </c>
      <c r="AN25" s="3" t="s">
        <v>1413</v>
      </c>
      <c r="AO25" s="3" t="s">
        <v>2187</v>
      </c>
      <c r="AP25" s="3" t="s">
        <v>2188</v>
      </c>
      <c r="AQ25" s="3" t="s">
        <v>827</v>
      </c>
      <c r="AR25" s="3" t="s">
        <v>47</v>
      </c>
      <c r="AS25" s="3" t="s">
        <v>2189</v>
      </c>
      <c r="AT25" s="3" t="s">
        <v>1079</v>
      </c>
      <c r="AU25" s="3" t="s">
        <v>2190</v>
      </c>
      <c r="AV25" s="3" t="s">
        <v>2191</v>
      </c>
      <c r="AW25" s="3" t="s">
        <v>2192</v>
      </c>
      <c r="AX25" s="3" t="s">
        <v>987</v>
      </c>
      <c r="AY25" s="3" t="s">
        <v>645</v>
      </c>
      <c r="AZ25" s="3" t="s">
        <v>381</v>
      </c>
      <c r="BA25" s="3" t="s">
        <v>523</v>
      </c>
      <c r="BB25" s="3" t="s">
        <v>524</v>
      </c>
      <c r="BC25" s="3" t="s">
        <v>988</v>
      </c>
      <c r="BD25" s="3" t="s">
        <v>646</v>
      </c>
      <c r="BE25" s="3" t="s">
        <v>98</v>
      </c>
      <c r="BF25" s="3" t="s">
        <v>525</v>
      </c>
      <c r="BG25" s="3" t="s">
        <v>526</v>
      </c>
      <c r="BH25" s="3" t="s">
        <v>1171</v>
      </c>
      <c r="BI25" s="3" t="s">
        <v>1414</v>
      </c>
      <c r="BJ25" s="3" t="s">
        <v>987</v>
      </c>
      <c r="BK25" s="3" t="s">
        <v>1408</v>
      </c>
      <c r="BL25" s="3" t="s">
        <v>1415</v>
      </c>
      <c r="BM25" s="3" t="s">
        <v>988</v>
      </c>
      <c r="BN25" s="3" t="s">
        <v>47</v>
      </c>
      <c r="BO25" s="3" t="s">
        <v>47</v>
      </c>
      <c r="BP25" s="3">
        <v>11.58</v>
      </c>
      <c r="BQ25" s="3">
        <v>0.78</v>
      </c>
      <c r="BR25" s="3">
        <v>-25.49</v>
      </c>
      <c r="BS25" s="3">
        <v>17.57</v>
      </c>
      <c r="BT25" s="3" t="s">
        <v>856</v>
      </c>
      <c r="BU25" s="3" t="s">
        <v>748</v>
      </c>
      <c r="BV25" s="3">
        <v>33.25</v>
      </c>
      <c r="BW25" s="3">
        <v>20.89</v>
      </c>
      <c r="BX25" s="3">
        <v>40.369999999999997</v>
      </c>
      <c r="BY25" s="3">
        <v>-0.5</v>
      </c>
      <c r="BZ25" s="3">
        <v>-34.6</v>
      </c>
      <c r="CA25" s="3">
        <v>9.25</v>
      </c>
      <c r="CB25" s="3">
        <v>-22.56</v>
      </c>
      <c r="CC25" s="3">
        <v>19.02</v>
      </c>
      <c r="CD25" s="3" t="s">
        <v>118</v>
      </c>
      <c r="CE25" s="3" t="s">
        <v>159</v>
      </c>
      <c r="CF25" s="10">
        <v>-0.17624636446429096</v>
      </c>
      <c r="CG25" s="11">
        <v>-6.6075980726396653</v>
      </c>
      <c r="CH25" s="10">
        <v>0.36125653982162476</v>
      </c>
      <c r="CI25" s="10">
        <v>-0.44476744532585144</v>
      </c>
      <c r="CJ25" s="10">
        <v>-5.4945055395364761E-2</v>
      </c>
      <c r="CK25" s="10">
        <v>-0.2601625919342041</v>
      </c>
      <c r="CL25" s="10">
        <v>-0.38729763031005859</v>
      </c>
      <c r="CM25" s="11">
        <v>1.1555935144424438</v>
      </c>
      <c r="CN25" s="11">
        <v>-2.9893872737884521</v>
      </c>
      <c r="CO25" s="11">
        <v>-0.69614094495773315</v>
      </c>
      <c r="CP25" s="11">
        <v>1.4861111640930176</v>
      </c>
      <c r="CQ25" s="11">
        <v>-1.43282151222229</v>
      </c>
      <c r="CR25" s="3">
        <v>-72.865277866826574</v>
      </c>
      <c r="CS25" s="3">
        <v>-4.6356901301706186</v>
      </c>
      <c r="CT25" s="3">
        <v>0</v>
      </c>
      <c r="CU25" s="10">
        <v>-0.15718323662877082</v>
      </c>
      <c r="CV25" s="11">
        <v>-0.49532901048660277</v>
      </c>
      <c r="CW25" s="3">
        <v>0.06</v>
      </c>
      <c r="CX25" s="3" t="e">
        <v>#VALUE!</v>
      </c>
      <c r="CY25" s="3" t="s">
        <v>1416</v>
      </c>
      <c r="CZ25" s="3">
        <v>-0.15718323662877082</v>
      </c>
      <c r="DA25" s="3">
        <v>76.978033847046987</v>
      </c>
      <c r="DB25" s="3" t="s">
        <v>1417</v>
      </c>
      <c r="DC25" s="3">
        <v>-0.14932407479733226</v>
      </c>
      <c r="DD25" s="3">
        <v>38.489016923523494</v>
      </c>
      <c r="DE25" s="3" t="s">
        <v>1418</v>
      </c>
      <c r="DF25" s="3">
        <v>-0.13832124823331832</v>
      </c>
      <c r="DG25" s="3">
        <v>23.093410154114096</v>
      </c>
      <c r="DH25" s="3" t="s">
        <v>1419</v>
      </c>
      <c r="DI25" s="3">
        <v>-0.12574658930301666</v>
      </c>
      <c r="DJ25" s="3">
        <v>11.546705077057048</v>
      </c>
      <c r="DK25" s="3" t="s">
        <v>1420</v>
      </c>
      <c r="DL25" s="3">
        <v>-0.11002826564013957</v>
      </c>
      <c r="DM25" s="3">
        <v>9875800</v>
      </c>
      <c r="DN25" s="3">
        <v>-0.15718323662877082</v>
      </c>
      <c r="DO25" s="3">
        <v>2280659000</v>
      </c>
      <c r="DP25" s="3">
        <v>222435460</v>
      </c>
      <c r="DQ25" s="3">
        <v>1932</v>
      </c>
      <c r="DR25" s="3">
        <v>-1.9063127835520138E-2</v>
      </c>
      <c r="DS25" s="3">
        <v>-6.1122690621530626</v>
      </c>
      <c r="DT25" s="12">
        <v>-0.64</v>
      </c>
      <c r="DU25" s="3">
        <v>-1.9316666666666669</v>
      </c>
      <c r="DV25" s="3">
        <v>-2.5716666666666668</v>
      </c>
      <c r="DW25" s="3">
        <v>-5.8430851063829792</v>
      </c>
      <c r="DX25" s="3">
        <v>0.56435424354243524</v>
      </c>
      <c r="DY25" s="3">
        <v>-5.3577667425610427</v>
      </c>
      <c r="DZ25" s="3">
        <v>4717</v>
      </c>
      <c r="EA25" s="3">
        <v>-5.0275151330384524</v>
      </c>
      <c r="EB25" s="3">
        <v>5</v>
      </c>
      <c r="EC25" s="3">
        <v>0.73840215808625154</v>
      </c>
      <c r="ED25" s="3">
        <v>1.7400607377510799</v>
      </c>
      <c r="EE25" s="13">
        <v>5.0567099999999998</v>
      </c>
      <c r="EF25" s="3">
        <v>5.1436000000000002</v>
      </c>
      <c r="EG25" s="3">
        <v>14.424354243542435</v>
      </c>
      <c r="EH25" s="3" t="s">
        <v>2193</v>
      </c>
      <c r="EI25" s="3">
        <v>0</v>
      </c>
      <c r="EJ25" s="3">
        <v>0</v>
      </c>
      <c r="EK25" s="15">
        <v>45470</v>
      </c>
      <c r="EL25" s="16">
        <v>-7.2</v>
      </c>
      <c r="EM25" s="16">
        <v>1.28</v>
      </c>
      <c r="EN25" s="16">
        <v>2.66</v>
      </c>
      <c r="EO25" s="16">
        <v>-4.5599999999999996</v>
      </c>
      <c r="EP25" s="16">
        <v>20.03</v>
      </c>
    </row>
    <row r="26" spans="1:146" ht="108" x14ac:dyDescent="0.25">
      <c r="C26" s="7" t="str">
        <f>""&amp;CHAR(10)&amp;Basic_Fundamental_Information_Constructure(F26)&amp;CHAR(10)&amp;Basic_Fundamental_Information_Concatenate("")</f>
        <v xml:space="preserve">
市值27.08172亿, 利润2406.50万; PE130.5; 平均PE172.34; 平均PEG120.19, PB4.12; ROIC8.3933%; ROE8.76%; 股利率1.227%; 毛利37.3%; 净利12.7733%; 上一年度营收增-27.07%, 利润增-71.24%; 当季营收增3.24%, 利润增-30.69%; 过往5年营收增-1.43%, 利润增-120.59%
Income profile:
</v>
      </c>
      <c r="D26" s="3" t="s">
        <v>387</v>
      </c>
      <c r="E26" s="3" t="s">
        <v>388</v>
      </c>
      <c r="F26" s="3">
        <v>13.04</v>
      </c>
      <c r="G26" s="3">
        <v>1.8</v>
      </c>
      <c r="H26" s="3" t="s">
        <v>2194</v>
      </c>
      <c r="I26" s="3">
        <v>2708172000</v>
      </c>
      <c r="J26" s="3">
        <v>130.5</v>
      </c>
      <c r="K26" s="3">
        <v>4.12</v>
      </c>
      <c r="L26" s="3" t="s">
        <v>176</v>
      </c>
      <c r="M26" s="3" t="s">
        <v>221</v>
      </c>
      <c r="N26" s="3" t="s">
        <v>1275</v>
      </c>
      <c r="O26" s="3" t="s">
        <v>1421</v>
      </c>
      <c r="P26" s="3">
        <v>3.24</v>
      </c>
      <c r="Q26" s="3" t="s">
        <v>1073</v>
      </c>
      <c r="R26" s="3">
        <v>7488079</v>
      </c>
      <c r="S26" s="5">
        <v>-0.30690000000000001</v>
      </c>
      <c r="T26" s="3" t="s">
        <v>1422</v>
      </c>
      <c r="U26" s="3">
        <v>164357750</v>
      </c>
      <c r="V26" s="3">
        <v>207681900</v>
      </c>
      <c r="W26" s="3">
        <v>1.31</v>
      </c>
      <c r="X26" s="3">
        <v>0.08</v>
      </c>
      <c r="Y26" s="3">
        <v>9.99</v>
      </c>
      <c r="Z26" s="3" t="s">
        <v>2195</v>
      </c>
      <c r="AA26" s="3" t="s">
        <v>2196</v>
      </c>
      <c r="AB26" s="3" t="s">
        <v>2197</v>
      </c>
      <c r="AC26" s="3" t="s">
        <v>2198</v>
      </c>
      <c r="AD26" s="3" t="s">
        <v>47</v>
      </c>
      <c r="AE26" s="3">
        <v>-892202</v>
      </c>
      <c r="AF26" s="3" t="s">
        <v>70</v>
      </c>
      <c r="AG26" s="3" t="s">
        <v>2199</v>
      </c>
      <c r="AH26" s="3" t="s">
        <v>1423</v>
      </c>
      <c r="AI26" s="3" t="s">
        <v>764</v>
      </c>
      <c r="AJ26" s="3" t="s">
        <v>1424</v>
      </c>
      <c r="AK26" s="3" t="s">
        <v>2200</v>
      </c>
      <c r="AL26" s="3" t="s">
        <v>1425</v>
      </c>
      <c r="AM26" s="3" t="s">
        <v>47</v>
      </c>
      <c r="AN26" s="3">
        <v>0</v>
      </c>
      <c r="AO26" s="3" t="s">
        <v>47</v>
      </c>
      <c r="AP26" s="3" t="s">
        <v>2201</v>
      </c>
      <c r="AQ26" s="3" t="s">
        <v>2202</v>
      </c>
      <c r="AR26" s="3" t="s">
        <v>47</v>
      </c>
      <c r="AS26" s="3" t="s">
        <v>161</v>
      </c>
      <c r="AT26" s="3" t="s">
        <v>47</v>
      </c>
      <c r="AU26" s="3" t="s">
        <v>2203</v>
      </c>
      <c r="AV26" s="3" t="s">
        <v>2204</v>
      </c>
      <c r="AW26" s="3" t="s">
        <v>2205</v>
      </c>
      <c r="AX26" s="3" t="s">
        <v>658</v>
      </c>
      <c r="AY26" s="3" t="s">
        <v>598</v>
      </c>
      <c r="AZ26" s="3" t="s">
        <v>389</v>
      </c>
      <c r="BA26" s="3" t="s">
        <v>133</v>
      </c>
      <c r="BB26" s="3" t="s">
        <v>157</v>
      </c>
      <c r="BC26" s="3" t="s">
        <v>989</v>
      </c>
      <c r="BD26" s="3" t="s">
        <v>647</v>
      </c>
      <c r="BE26" s="3" t="s">
        <v>390</v>
      </c>
      <c r="BF26" s="3" t="s">
        <v>368</v>
      </c>
      <c r="BG26" s="3" t="s">
        <v>392</v>
      </c>
      <c r="BH26" s="3" t="s">
        <v>1073</v>
      </c>
      <c r="BI26" s="3" t="s">
        <v>1426</v>
      </c>
      <c r="BJ26" s="3" t="s">
        <v>658</v>
      </c>
      <c r="BK26" s="3" t="s">
        <v>1422</v>
      </c>
      <c r="BL26" s="3" t="s">
        <v>1427</v>
      </c>
      <c r="BM26" s="3" t="s">
        <v>989</v>
      </c>
      <c r="BN26" s="3">
        <v>2.86</v>
      </c>
      <c r="BO26" s="3">
        <v>12.17</v>
      </c>
      <c r="BP26" s="3">
        <v>10.15</v>
      </c>
      <c r="BQ26" s="3">
        <v>3.36</v>
      </c>
      <c r="BR26" s="3">
        <v>12.84</v>
      </c>
      <c r="BS26" s="3">
        <v>10.08</v>
      </c>
      <c r="BT26" s="3" t="s">
        <v>864</v>
      </c>
      <c r="BU26" s="3" t="s">
        <v>747</v>
      </c>
      <c r="BV26" s="3">
        <v>39.01</v>
      </c>
      <c r="BW26" s="3">
        <v>40.18</v>
      </c>
      <c r="BX26" s="3">
        <v>32.71</v>
      </c>
      <c r="BY26" s="3">
        <v>6.99</v>
      </c>
      <c r="BZ26" s="3">
        <v>18.57</v>
      </c>
      <c r="CA26" s="3">
        <v>12.76</v>
      </c>
      <c r="CB26" s="3">
        <v>-5.44</v>
      </c>
      <c r="CC26" s="3">
        <v>-26.45</v>
      </c>
      <c r="CD26" s="3" t="s">
        <v>2206</v>
      </c>
      <c r="CE26" s="3" t="s">
        <v>1157</v>
      </c>
      <c r="CF26" s="10">
        <v>3.2431376523273013E-2</v>
      </c>
      <c r="CG26" s="11">
        <v>-0.30689038838905536</v>
      </c>
      <c r="CH26" s="10">
        <v>-0.27069351077079773</v>
      </c>
      <c r="CI26" s="10">
        <v>-0.126953125</v>
      </c>
      <c r="CJ26" s="10">
        <v>0.2768079936504364</v>
      </c>
      <c r="CK26" s="10">
        <v>0.25312501192092896</v>
      </c>
      <c r="CL26" s="10">
        <v>-0.20398010313510895</v>
      </c>
      <c r="CM26" s="11">
        <v>-0.71237266063690186</v>
      </c>
      <c r="CN26" s="11">
        <v>0.35138624906539917</v>
      </c>
      <c r="CO26" s="11">
        <v>0.18785518407821655</v>
      </c>
      <c r="CP26" s="11">
        <v>1.3429012298583984</v>
      </c>
      <c r="CQ26" s="11">
        <v>-7.1991477012634277</v>
      </c>
      <c r="CR26" s="3">
        <v>172.33952378427111</v>
      </c>
      <c r="CS26" s="3">
        <v>120.19148380799948</v>
      </c>
      <c r="CT26" s="3">
        <v>1.2269938650306751</v>
      </c>
      <c r="CU26" s="10">
        <v>-1.4338746666908264E-2</v>
      </c>
      <c r="CV26" s="11">
        <v>-1.205875539779663</v>
      </c>
      <c r="CW26" s="3">
        <v>0.06</v>
      </c>
      <c r="CX26" s="3">
        <v>94.833658840639927</v>
      </c>
      <c r="CY26" s="3" t="s">
        <v>1428</v>
      </c>
      <c r="CZ26" s="3">
        <v>-1.4338746666908264E-2</v>
      </c>
      <c r="DA26" s="3">
        <v>31.611219613546645</v>
      </c>
      <c r="DB26" s="3" t="s">
        <v>1429</v>
      </c>
      <c r="DC26" s="3">
        <v>-1.362180933356285E-2</v>
      </c>
      <c r="DD26" s="3">
        <v>15.805609806773322</v>
      </c>
      <c r="DE26" s="3" t="s">
        <v>1430</v>
      </c>
      <c r="DF26" s="3">
        <v>-1.2618097066879273E-2</v>
      </c>
      <c r="DG26" s="3">
        <v>9.4833658840639927</v>
      </c>
      <c r="DH26" s="3" t="s">
        <v>1431</v>
      </c>
      <c r="DI26" s="3">
        <v>-1.1470997333526613E-2</v>
      </c>
      <c r="DJ26" s="3">
        <v>4.7416829420319964</v>
      </c>
      <c r="DK26" s="3" t="s">
        <v>1432</v>
      </c>
      <c r="DL26" s="3">
        <v>-1.0037122666835784E-2</v>
      </c>
      <c r="DM26" s="3">
        <v>24065000</v>
      </c>
      <c r="DN26" s="3">
        <v>-1.4338746666908264E-2</v>
      </c>
      <c r="DO26" s="3">
        <v>2282172000</v>
      </c>
      <c r="DP26" s="3">
        <v>480715970</v>
      </c>
      <c r="DQ26" s="3">
        <v>1955</v>
      </c>
      <c r="DR26" s="3">
        <v>4.6770123190181277E-2</v>
      </c>
      <c r="DS26" s="3">
        <v>0.89898515139060764</v>
      </c>
      <c r="DT26" s="12">
        <v>-0.45666666666666672</v>
      </c>
      <c r="DU26" s="3">
        <v>-0.87333333333333341</v>
      </c>
      <c r="DV26" s="3">
        <v>-1.33</v>
      </c>
      <c r="DW26" s="3">
        <v>-8.205671077504725</v>
      </c>
      <c r="DX26" s="3">
        <v>0.29692680412371186</v>
      </c>
      <c r="DY26" s="3">
        <v>-8.0158216186931188</v>
      </c>
      <c r="DZ26" s="3">
        <v>3882</v>
      </c>
      <c r="EA26" s="3">
        <v>-8.0038021424178378</v>
      </c>
      <c r="EB26" s="3">
        <v>8</v>
      </c>
      <c r="EC26" s="3">
        <v>0.17964733566093144</v>
      </c>
      <c r="ED26" s="3">
        <v>2.3353022097736971</v>
      </c>
      <c r="EE26" s="13">
        <v>5.0067000000000004</v>
      </c>
      <c r="EF26" s="3">
        <v>5.02691</v>
      </c>
      <c r="EG26" s="3">
        <v>22.076926804123712</v>
      </c>
      <c r="EH26" s="3" t="s">
        <v>1194</v>
      </c>
      <c r="EI26" s="3">
        <v>0</v>
      </c>
      <c r="EJ26" s="3">
        <v>0</v>
      </c>
      <c r="EK26" s="15">
        <v>45470</v>
      </c>
      <c r="EL26" s="16">
        <v>-2.99</v>
      </c>
      <c r="EM26" s="16">
        <v>-5.6</v>
      </c>
      <c r="EN26" s="16">
        <v>0.68</v>
      </c>
      <c r="EO26" s="16">
        <v>3.32</v>
      </c>
      <c r="EP26" s="16">
        <v>-3.36</v>
      </c>
    </row>
    <row r="27" spans="1:146" ht="108" x14ac:dyDescent="0.25">
      <c r="C27" s="7" t="str">
        <f>""&amp;CHAR(10)&amp;Basic_Fundamental_Information_Constructure(F27)&amp;CHAR(10)&amp;Basic_Fundamental_Information_Concatenate("")</f>
        <v xml:space="preserve">
市值22.857619亿, 利润-2.48亿; PE; 平均PE107.89; 平均PEG15.03, PB1.74; ROIC3.635%; ROE2.4033%; 股利率0%; 毛利20.32%; 净利-6.3067%; 上一年度营收增-23.71%, 利润增-644.94%; 当季营收增31.68%, 利润增-134.27%; 过往5年营收增7.18%, 利润增-131.14%
Income profile:
</v>
      </c>
      <c r="D27" s="3" t="s">
        <v>527</v>
      </c>
      <c r="E27" s="3" t="s">
        <v>528</v>
      </c>
      <c r="F27" s="3">
        <v>5.61</v>
      </c>
      <c r="G27" s="3">
        <v>-5.4</v>
      </c>
      <c r="H27" s="3" t="s">
        <v>2207</v>
      </c>
      <c r="I27" s="3">
        <v>2285761900</v>
      </c>
      <c r="K27" s="3">
        <v>1.74</v>
      </c>
      <c r="L27" s="3" t="s">
        <v>176</v>
      </c>
      <c r="M27" s="3" t="s">
        <v>1433</v>
      </c>
      <c r="N27" s="3" t="s">
        <v>2208</v>
      </c>
      <c r="O27" s="3" t="s">
        <v>1138</v>
      </c>
      <c r="P27" s="3">
        <v>31.77</v>
      </c>
      <c r="Q27" s="3" t="s">
        <v>1434</v>
      </c>
      <c r="R27" s="3">
        <v>-6419669</v>
      </c>
      <c r="S27" s="5">
        <v>-1.343</v>
      </c>
      <c r="T27" s="3" t="s">
        <v>1435</v>
      </c>
      <c r="U27" s="3">
        <v>395887380</v>
      </c>
      <c r="V27" s="3">
        <v>407444190</v>
      </c>
      <c r="W27" s="3">
        <v>2.3199999999999998</v>
      </c>
      <c r="X27" s="3">
        <v>0.06</v>
      </c>
      <c r="Y27" s="3">
        <v>-3.02</v>
      </c>
      <c r="Z27" s="3" t="s">
        <v>1077</v>
      </c>
      <c r="AA27" s="3" t="s">
        <v>366</v>
      </c>
      <c r="AB27" s="3" t="s">
        <v>2209</v>
      </c>
      <c r="AC27" s="3" t="s">
        <v>2210</v>
      </c>
      <c r="AD27" s="3" t="s">
        <v>47</v>
      </c>
      <c r="AE27" s="3">
        <v>5220144</v>
      </c>
      <c r="AF27" s="3" t="s">
        <v>1436</v>
      </c>
      <c r="AG27" s="3" t="s">
        <v>2211</v>
      </c>
      <c r="AH27" s="3" t="s">
        <v>1437</v>
      </c>
      <c r="AI27" s="3" t="s">
        <v>1981</v>
      </c>
      <c r="AJ27" s="3" t="s">
        <v>1438</v>
      </c>
      <c r="AK27" s="3" t="s">
        <v>2212</v>
      </c>
      <c r="AL27" s="3" t="s">
        <v>1439</v>
      </c>
      <c r="AM27" s="3" t="s">
        <v>47</v>
      </c>
      <c r="AN27" s="3" t="s">
        <v>56</v>
      </c>
      <c r="AO27" s="3" t="s">
        <v>531</v>
      </c>
      <c r="AP27" s="3" t="s">
        <v>201</v>
      </c>
      <c r="AQ27" s="3" t="s">
        <v>769</v>
      </c>
      <c r="AR27" s="3" t="s">
        <v>47</v>
      </c>
      <c r="AS27" s="3" t="s">
        <v>1025</v>
      </c>
      <c r="AT27" s="3" t="s">
        <v>106</v>
      </c>
      <c r="AU27" s="3" t="s">
        <v>2213</v>
      </c>
      <c r="AV27" s="3" t="s">
        <v>2214</v>
      </c>
      <c r="AW27" s="3" t="s">
        <v>2215</v>
      </c>
      <c r="AX27" s="3" t="s">
        <v>809</v>
      </c>
      <c r="AY27" s="3" t="s">
        <v>648</v>
      </c>
      <c r="AZ27" s="3" t="s">
        <v>529</v>
      </c>
      <c r="BA27" s="3" t="s">
        <v>307</v>
      </c>
      <c r="BB27" s="3" t="s">
        <v>532</v>
      </c>
      <c r="BC27" s="3" t="s">
        <v>1440</v>
      </c>
      <c r="BD27" s="3" t="s">
        <v>649</v>
      </c>
      <c r="BE27" s="3" t="s">
        <v>100</v>
      </c>
      <c r="BF27" s="3" t="s">
        <v>533</v>
      </c>
      <c r="BG27" s="3" t="s">
        <v>534</v>
      </c>
      <c r="BH27" s="3" t="s">
        <v>1434</v>
      </c>
      <c r="BI27" s="3" t="s">
        <v>777</v>
      </c>
      <c r="BJ27" s="3" t="s">
        <v>809</v>
      </c>
      <c r="BK27" s="3" t="s">
        <v>1435</v>
      </c>
      <c r="BL27" s="3" t="s">
        <v>1441</v>
      </c>
      <c r="BM27" s="3" t="s">
        <v>1440</v>
      </c>
      <c r="BN27" s="3" t="s">
        <v>47</v>
      </c>
      <c r="BO27" s="3">
        <v>2.69</v>
      </c>
      <c r="BP27" s="3">
        <v>4.58</v>
      </c>
      <c r="BQ27" s="3">
        <v>-0.42</v>
      </c>
      <c r="BR27" s="3">
        <v>2.91</v>
      </c>
      <c r="BS27" s="3">
        <v>4.72</v>
      </c>
      <c r="BT27" s="3" t="s">
        <v>856</v>
      </c>
      <c r="BU27" s="3" t="s">
        <v>748</v>
      </c>
      <c r="BV27" s="3">
        <v>12.33</v>
      </c>
      <c r="BW27" s="3">
        <v>24.12</v>
      </c>
      <c r="BX27" s="3">
        <v>24.51</v>
      </c>
      <c r="BY27" s="3">
        <v>-28.5</v>
      </c>
      <c r="BZ27" s="3">
        <v>3.99</v>
      </c>
      <c r="CA27" s="3">
        <v>5.59</v>
      </c>
      <c r="CB27" s="3">
        <v>-2.2599999999999998</v>
      </c>
      <c r="CC27" s="3">
        <v>15.43</v>
      </c>
      <c r="CD27" s="3" t="s">
        <v>1731</v>
      </c>
      <c r="CE27" s="3" t="s">
        <v>2216</v>
      </c>
      <c r="CF27" s="10">
        <v>0.31677018633540371</v>
      </c>
      <c r="CG27" s="11">
        <v>-1.3427076905008488</v>
      </c>
      <c r="CH27" s="10">
        <v>-0.23709540069103241</v>
      </c>
      <c r="CI27" s="10">
        <v>-0.12076918035745621</v>
      </c>
      <c r="CJ27" s="10">
        <v>0.25603863596916199</v>
      </c>
      <c r="CK27" s="10">
        <v>0.40625</v>
      </c>
      <c r="CL27" s="10">
        <v>5.4441262036561966E-2</v>
      </c>
      <c r="CM27" s="11">
        <v>-6.4493522644042969</v>
      </c>
      <c r="CN27" s="11">
        <v>-0.36194375157356262</v>
      </c>
      <c r="CO27" s="11">
        <v>-0.31417307257652283</v>
      </c>
      <c r="CP27" s="11">
        <v>0.14891615509986877</v>
      </c>
      <c r="CQ27" s="11">
        <v>0.41962689161300659</v>
      </c>
      <c r="CR27" s="3">
        <v>107.88732011006974</v>
      </c>
      <c r="CS27" s="3">
        <v>15.031728480315397</v>
      </c>
      <c r="CT27" s="3">
        <v>0</v>
      </c>
      <c r="CU27" s="10">
        <v>7.1773063391447067E-2</v>
      </c>
      <c r="CV27" s="11">
        <v>-1.3113852083683013</v>
      </c>
      <c r="CW27" s="3">
        <v>0.06</v>
      </c>
      <c r="CX27" s="3" t="e">
        <v>#VALUE!</v>
      </c>
      <c r="CY27" s="3" t="s">
        <v>757</v>
      </c>
      <c r="CZ27" s="3">
        <v>7.1773063391447067E-2</v>
      </c>
      <c r="DA27" s="3" t="e">
        <v>#VALUE!</v>
      </c>
      <c r="DB27" s="3" t="s">
        <v>758</v>
      </c>
      <c r="DC27" s="3">
        <v>6.8184410221874714E-2</v>
      </c>
      <c r="DD27" s="3" t="e">
        <v>#VALUE!</v>
      </c>
      <c r="DE27" s="3" t="s">
        <v>758</v>
      </c>
      <c r="DF27" s="3">
        <v>6.3160295784473422E-2</v>
      </c>
      <c r="DG27" s="3" t="e">
        <v>#VALUE!</v>
      </c>
      <c r="DH27" s="3" t="s">
        <v>758</v>
      </c>
      <c r="DI27" s="3">
        <v>5.7418450713157654E-2</v>
      </c>
      <c r="DJ27" s="3" t="e">
        <v>#VALUE!</v>
      </c>
      <c r="DK27" s="3" t="s">
        <v>758</v>
      </c>
      <c r="DL27" s="3">
        <v>5.0241144374012947E-2</v>
      </c>
      <c r="DM27" s="3">
        <v>-248000000</v>
      </c>
      <c r="DN27" s="3">
        <v>7.1773063391447067E-2</v>
      </c>
      <c r="DO27" s="3">
        <v>2854761900</v>
      </c>
      <c r="DP27" s="3">
        <v>809783600</v>
      </c>
      <c r="DQ27" s="3">
        <v>1957</v>
      </c>
      <c r="DR27" s="3">
        <v>0.24499712294395665</v>
      </c>
      <c r="DS27" s="3">
        <v>-3.1322482132547513E-2</v>
      </c>
      <c r="DT27" s="12">
        <v>-0.35666666666666669</v>
      </c>
      <c r="DU27" s="3">
        <v>-1.8316666666666668</v>
      </c>
      <c r="DV27" s="3">
        <v>-2.1883333333333335</v>
      </c>
      <c r="DW27" s="3">
        <v>2.1543000000000001</v>
      </c>
      <c r="DX27" s="3">
        <v>0.70037079953649717</v>
      </c>
      <c r="DY27" s="3">
        <v>2.055605214368482</v>
      </c>
      <c r="DZ27" s="3">
        <v>4524</v>
      </c>
      <c r="EA27" s="3">
        <v>2.0063766449354072</v>
      </c>
      <c r="EB27" s="3">
        <v>2</v>
      </c>
      <c r="EC27" s="3">
        <v>0.7632947226465544</v>
      </c>
      <c r="ED27" s="3">
        <v>2.118081497247513</v>
      </c>
      <c r="EE27" s="13">
        <v>3.4810000000000001E-2</v>
      </c>
      <c r="EF27" s="3">
        <v>1.7809999999999996E-2</v>
      </c>
      <c r="EG27" s="3">
        <v>34.360370799536497</v>
      </c>
      <c r="EH27" s="3">
        <v>-1</v>
      </c>
      <c r="EI27" s="3">
        <v>1</v>
      </c>
      <c r="EJ27" s="3">
        <v>0</v>
      </c>
      <c r="EK27" s="15">
        <v>45470</v>
      </c>
      <c r="EL27" s="16">
        <v>-2.9</v>
      </c>
      <c r="EM27" s="16">
        <v>-6.18</v>
      </c>
      <c r="EN27" s="16">
        <v>0.23</v>
      </c>
      <c r="EO27" s="16">
        <v>6.58</v>
      </c>
      <c r="EP27" s="16">
        <v>1.7</v>
      </c>
    </row>
    <row r="28" spans="1:146" ht="108" x14ac:dyDescent="0.25">
      <c r="C28" s="7" t="str">
        <f>""&amp;CHAR(10)&amp;Basic_Fundamental_Information_Constructure(F28)&amp;CHAR(10)&amp;Basic_Fundamental_Information_Concatenate("")</f>
        <v xml:space="preserve">
市值55.822691亿, 利润8803.34万; PE52.69; 平均PE28.09; 平均PEG.84, PB2.37; ROIC3.5833%; ROE4.5167%; 股利率.3272%; 毛利21.4133%; 净利3.1767%; 上一年度营收增-8.65%, 利润增-44.98%; 当季营收增25.28%, 利润增148.7%; 过往5年营收增33.35%, 利润增39.81%
Income profile:
</v>
      </c>
      <c r="D28" s="3" t="s">
        <v>252</v>
      </c>
      <c r="E28" s="3" t="s">
        <v>253</v>
      </c>
      <c r="F28" s="3">
        <v>13.14</v>
      </c>
      <c r="G28" s="3">
        <v>-0.68</v>
      </c>
      <c r="H28" s="3" t="s">
        <v>1873</v>
      </c>
      <c r="I28" s="3">
        <v>5582269100</v>
      </c>
      <c r="J28" s="3">
        <v>52.69</v>
      </c>
      <c r="K28" s="3">
        <v>2.37</v>
      </c>
      <c r="L28" s="3" t="s">
        <v>176</v>
      </c>
      <c r="M28" s="3" t="s">
        <v>1443</v>
      </c>
      <c r="N28" s="3" t="s">
        <v>999</v>
      </c>
      <c r="O28" s="3" t="s">
        <v>1444</v>
      </c>
      <c r="P28" s="3">
        <v>-8.65</v>
      </c>
      <c r="Q28" s="3" t="s">
        <v>1445</v>
      </c>
      <c r="R28" s="3">
        <v>29969102</v>
      </c>
      <c r="S28" s="5">
        <v>1.4870000000000001</v>
      </c>
      <c r="T28" s="3" t="s">
        <v>1446</v>
      </c>
      <c r="U28" s="3">
        <v>285547800</v>
      </c>
      <c r="V28" s="3">
        <v>424830220</v>
      </c>
      <c r="W28" s="3">
        <v>2.82</v>
      </c>
      <c r="X28" s="3">
        <v>0.66</v>
      </c>
      <c r="Y28" s="3">
        <v>2.33</v>
      </c>
      <c r="Z28" s="3" t="s">
        <v>1447</v>
      </c>
      <c r="AA28" s="3" t="s">
        <v>1448</v>
      </c>
      <c r="AB28" s="3" t="s">
        <v>351</v>
      </c>
      <c r="AC28" s="3" t="s">
        <v>1072</v>
      </c>
      <c r="AD28" s="3" t="s">
        <v>194</v>
      </c>
      <c r="AE28" s="3">
        <v>11046867</v>
      </c>
      <c r="AF28" s="3" t="s">
        <v>1449</v>
      </c>
      <c r="AG28" s="3" t="s">
        <v>1450</v>
      </c>
      <c r="AH28" s="3" t="s">
        <v>1451</v>
      </c>
      <c r="AI28" s="3" t="s">
        <v>1452</v>
      </c>
      <c r="AJ28" s="3" t="s">
        <v>1453</v>
      </c>
      <c r="AK28" s="3" t="s">
        <v>347</v>
      </c>
      <c r="AL28" s="3" t="s">
        <v>1454</v>
      </c>
      <c r="AM28" s="3" t="s">
        <v>47</v>
      </c>
      <c r="AN28" s="3" t="s">
        <v>1081</v>
      </c>
      <c r="AO28" s="3" t="s">
        <v>771</v>
      </c>
      <c r="AP28" s="3" t="s">
        <v>77</v>
      </c>
      <c r="AQ28" s="3" t="s">
        <v>1455</v>
      </c>
      <c r="AR28" s="3" t="s">
        <v>47</v>
      </c>
      <c r="AS28" s="3" t="s">
        <v>1456</v>
      </c>
      <c r="AT28" s="3" t="s">
        <v>198</v>
      </c>
      <c r="AU28" s="3" t="s">
        <v>71</v>
      </c>
      <c r="AV28" s="3" t="s">
        <v>1282</v>
      </c>
      <c r="AW28" s="3" t="s">
        <v>1457</v>
      </c>
      <c r="AX28" s="3" t="s">
        <v>991</v>
      </c>
      <c r="AY28" s="3" t="s">
        <v>650</v>
      </c>
      <c r="AZ28" s="3" t="s">
        <v>254</v>
      </c>
      <c r="BA28" s="3" t="s">
        <v>256</v>
      </c>
      <c r="BB28" s="3" t="s">
        <v>257</v>
      </c>
      <c r="BC28" s="3" t="s">
        <v>992</v>
      </c>
      <c r="BD28" s="3" t="s">
        <v>651</v>
      </c>
      <c r="BE28" s="3" t="s">
        <v>130</v>
      </c>
      <c r="BF28" s="3" t="s">
        <v>260</v>
      </c>
      <c r="BG28" s="3" t="s">
        <v>161</v>
      </c>
      <c r="BH28" s="3" t="s">
        <v>1445</v>
      </c>
      <c r="BI28" s="3" t="s">
        <v>303</v>
      </c>
      <c r="BJ28" s="3" t="s">
        <v>991</v>
      </c>
      <c r="BK28" s="3" t="s">
        <v>1446</v>
      </c>
      <c r="BL28" s="3" t="s">
        <v>1458</v>
      </c>
      <c r="BM28" s="3" t="s">
        <v>992</v>
      </c>
      <c r="BN28" s="3">
        <v>2.54</v>
      </c>
      <c r="BO28" s="3">
        <v>5.54</v>
      </c>
      <c r="BP28" s="3">
        <v>2.67</v>
      </c>
      <c r="BQ28" s="3">
        <v>3.54</v>
      </c>
      <c r="BR28" s="3">
        <v>7.03</v>
      </c>
      <c r="BS28" s="3">
        <v>2.98</v>
      </c>
      <c r="BT28" s="3" t="s">
        <v>1459</v>
      </c>
      <c r="BU28" s="3" t="s">
        <v>226</v>
      </c>
      <c r="BV28" s="3">
        <v>21.15</v>
      </c>
      <c r="BW28" s="3">
        <v>18.55</v>
      </c>
      <c r="BX28" s="3">
        <v>24.54</v>
      </c>
      <c r="BY28" s="3">
        <v>4.09</v>
      </c>
      <c r="BZ28" s="3">
        <v>3.38</v>
      </c>
      <c r="CA28" s="3">
        <v>2.06</v>
      </c>
      <c r="CB28" s="3">
        <v>3.55</v>
      </c>
      <c r="CC28" s="3">
        <v>-3.88</v>
      </c>
      <c r="CD28" s="3" t="s">
        <v>1874</v>
      </c>
      <c r="CE28" s="3" t="s">
        <v>138</v>
      </c>
      <c r="CF28" s="10">
        <v>0.25281602002503129</v>
      </c>
      <c r="CG28" s="11">
        <v>1.4870417672882383</v>
      </c>
      <c r="CH28" s="10">
        <v>-8.6476735770702362E-2</v>
      </c>
      <c r="CI28" s="10">
        <v>0.51351356506347656</v>
      </c>
      <c r="CJ28" s="10">
        <v>0.1952812522649765</v>
      </c>
      <c r="CK28" s="10">
        <v>0.65963858366012573</v>
      </c>
      <c r="CL28" s="10">
        <v>0.38564273715019226</v>
      </c>
      <c r="CM28" s="11">
        <v>-0.44979125261306763</v>
      </c>
      <c r="CN28" s="11">
        <v>1.4466590881347656</v>
      </c>
      <c r="CO28" s="11">
        <v>-0.87423980236053467</v>
      </c>
      <c r="CP28" s="11">
        <v>1.7807486057281494</v>
      </c>
      <c r="CQ28" s="11">
        <v>8.7209299206733704E-2</v>
      </c>
      <c r="CR28" s="3">
        <v>28.088567978949182</v>
      </c>
      <c r="CS28" s="3">
        <v>0.84218571735700165</v>
      </c>
      <c r="CT28" s="3">
        <v>0.32724505327245051</v>
      </c>
      <c r="CU28" s="10">
        <v>0.33351988047361375</v>
      </c>
      <c r="CV28" s="11">
        <v>0.39811718761920928</v>
      </c>
      <c r="CW28" s="3">
        <v>0.06</v>
      </c>
      <c r="CX28" s="3">
        <v>69.032193234256965</v>
      </c>
      <c r="CY28" s="3">
        <v>110749329.28838286</v>
      </c>
      <c r="CZ28" s="3">
        <v>0.33351988047361375</v>
      </c>
      <c r="DA28" s="3">
        <v>18.466256587889401</v>
      </c>
      <c r="DB28" s="3">
        <v>414012935.62735099</v>
      </c>
      <c r="DC28" s="3">
        <v>0.31684388644993305</v>
      </c>
      <c r="DD28" s="3">
        <v>6.8105698526475775</v>
      </c>
      <c r="DE28" s="3">
        <v>1122559384.2236178</v>
      </c>
      <c r="DF28" s="3">
        <v>0.29349749481678011</v>
      </c>
      <c r="DG28" s="3">
        <v>2.8677423451526365</v>
      </c>
      <c r="DH28" s="3">
        <v>2665953973.4881859</v>
      </c>
      <c r="DI28" s="3">
        <v>0.26681590437889102</v>
      </c>
      <c r="DJ28" s="3">
        <v>0.6192956781310005</v>
      </c>
      <c r="DK28" s="3">
        <v>12345103268.075424</v>
      </c>
      <c r="DL28" s="3">
        <v>0.2334639163315296</v>
      </c>
      <c r="DM28" s="3">
        <v>88033400</v>
      </c>
      <c r="DN28" s="3">
        <v>0.33351988047361375</v>
      </c>
      <c r="DO28" s="3">
        <v>7645269100</v>
      </c>
      <c r="DP28" s="3">
        <v>1825974399.9999995</v>
      </c>
      <c r="DQ28" s="3">
        <v>2079</v>
      </c>
      <c r="DR28" s="3">
        <v>-8.0703860448582465E-2</v>
      </c>
      <c r="DS28" s="3">
        <v>1.088924579669029</v>
      </c>
      <c r="DT28" s="12">
        <v>0.17666666666666661</v>
      </c>
      <c r="DU28" s="3">
        <v>0.32</v>
      </c>
      <c r="DV28" s="3">
        <v>0.49666666666666659</v>
      </c>
      <c r="DW28" s="3">
        <v>6.4777927321668907</v>
      </c>
      <c r="DX28" s="3">
        <v>0.41146075085324169</v>
      </c>
      <c r="DY28" s="3">
        <v>6.0580330640012123</v>
      </c>
      <c r="DZ28" s="3">
        <v>716</v>
      </c>
      <c r="EA28" s="3">
        <v>6.0499095696072986</v>
      </c>
      <c r="EB28" s="3">
        <v>6</v>
      </c>
      <c r="EC28" s="3">
        <v>8.3769935199054346E-2</v>
      </c>
      <c r="ED28" s="3">
        <v>0.68968728260433076</v>
      </c>
      <c r="EE28" s="13">
        <v>-2.09321</v>
      </c>
      <c r="EF28" s="3">
        <v>-2.1000100000000002</v>
      </c>
      <c r="EG28" s="3">
        <v>29.121460750853242</v>
      </c>
      <c r="EH28" s="3" t="s">
        <v>958</v>
      </c>
      <c r="EI28" s="3">
        <v>0</v>
      </c>
      <c r="EJ28" s="3">
        <v>1</v>
      </c>
      <c r="EK28" s="15">
        <v>45432</v>
      </c>
      <c r="EL28" s="16">
        <v>0.47</v>
      </c>
      <c r="EM28" s="16">
        <v>-0.31</v>
      </c>
      <c r="EN28" s="16">
        <v>0.94</v>
      </c>
      <c r="EO28" s="16">
        <v>3.12</v>
      </c>
      <c r="EP28" s="16">
        <v>-0.68</v>
      </c>
    </row>
    <row r="29" spans="1:146" ht="192" x14ac:dyDescent="0.25">
      <c r="A29" s="7" t="s">
        <v>1877</v>
      </c>
      <c r="B29" s="7" t="s">
        <v>1193</v>
      </c>
      <c r="C29" s="7" t="str">
        <f>"公司一家专业从事光纤激光器及其关键器件与材料的研发、生产和销售。公司主要产品包括10W至1,000W的脉冲光纤激光器；10W至30,000W连续光纤激光器；75W至450W准连续光纤激光器；80W至6,000W直接半导体激光器等。"&amp;CHAR(10)&amp;Basic_Fundamental_Information_Constructure(F29)&amp;CHAR(10)&amp;Basic_Fundamental_Information_Concatenate("连续光纤激光器 14.72亿 82.15% 3.60亿 86.71% 24.46%
脉冲光纤激光器 2.15亿 11.99% 5519.50万 13.29% 25.69%")</f>
        <v>公司一家专业从事光纤激光器及其关键器件与材料的研发、生产和销售。公司主要产品包括10W至1,000W的脉冲光纤激光器；10W至30,000W连续光纤激光器；75W至450W准连续光纤激光器；80W至6,000W直接半导体激光器等。
市值94.946549亿, 利润2.17亿; PE40.07; 平均PE31.9; 平均PEG1.47, PB2.89; ROIC8.07%; ROE7.9467%; 股利率.7139%; 毛利24.47%; 净利7.5533%; 上一年度营收增15.4%, 利润增430.91%; 当季营收增1.91%, 利润增44.3%; 过往5年营收增21.77%, 利润增73.16%
Income profile:
连续光纤激光器 14.72亿 82.15% 3.60亿 86.71% 24.46%
脉冲光纤激光器 2.15亿 11.99% 5519.50万 13.29% 25.69%</v>
      </c>
      <c r="D29" s="3" t="s">
        <v>475</v>
      </c>
      <c r="E29" s="3" t="s">
        <v>476</v>
      </c>
      <c r="F29" s="3">
        <v>16.809999999999999</v>
      </c>
      <c r="G29" s="3">
        <v>0.3</v>
      </c>
      <c r="H29" s="3" t="s">
        <v>2217</v>
      </c>
      <c r="I29" s="3">
        <v>9494654900</v>
      </c>
      <c r="J29" s="3">
        <v>40.07</v>
      </c>
      <c r="K29" s="3">
        <v>2.89</v>
      </c>
      <c r="L29" s="3" t="s">
        <v>176</v>
      </c>
      <c r="M29" s="3" t="s">
        <v>1460</v>
      </c>
      <c r="N29" s="3" t="s">
        <v>2218</v>
      </c>
      <c r="O29" s="3" t="s">
        <v>507</v>
      </c>
      <c r="P29" s="3">
        <v>1.94</v>
      </c>
      <c r="Q29" s="3" t="s">
        <v>1461</v>
      </c>
      <c r="R29" s="3">
        <v>63581496</v>
      </c>
      <c r="S29" s="5">
        <v>0.443</v>
      </c>
      <c r="T29" s="3" t="s">
        <v>295</v>
      </c>
      <c r="U29" s="3">
        <v>509274390</v>
      </c>
      <c r="V29" s="3">
        <v>564821830</v>
      </c>
      <c r="W29" s="3">
        <v>1.73</v>
      </c>
      <c r="X29" s="3">
        <v>0.14000000000000001</v>
      </c>
      <c r="Y29" s="3">
        <v>8.0500000000000007</v>
      </c>
      <c r="Z29" s="3" t="s">
        <v>1620</v>
      </c>
      <c r="AA29" s="3" t="s">
        <v>1640</v>
      </c>
      <c r="AB29" s="3" t="s">
        <v>2219</v>
      </c>
      <c r="AC29" s="3" t="s">
        <v>2220</v>
      </c>
      <c r="AD29" s="3" t="s">
        <v>47</v>
      </c>
      <c r="AE29" s="3">
        <v>2006866</v>
      </c>
      <c r="AF29" s="3" t="s">
        <v>70</v>
      </c>
      <c r="AG29" s="3" t="s">
        <v>2221</v>
      </c>
      <c r="AH29" s="3" t="s">
        <v>1463</v>
      </c>
      <c r="AI29" s="3" t="s">
        <v>1324</v>
      </c>
      <c r="AJ29" s="3" t="s">
        <v>1464</v>
      </c>
      <c r="AK29" s="3" t="s">
        <v>404</v>
      </c>
      <c r="AL29" s="3" t="s">
        <v>1465</v>
      </c>
      <c r="AM29" s="3" t="s">
        <v>47</v>
      </c>
      <c r="AN29" s="3" t="s">
        <v>2222</v>
      </c>
      <c r="AO29" s="3" t="s">
        <v>262</v>
      </c>
      <c r="AP29" s="3" t="s">
        <v>2223</v>
      </c>
      <c r="AQ29" s="3" t="s">
        <v>657</v>
      </c>
      <c r="AR29" s="3" t="s">
        <v>47</v>
      </c>
      <c r="AS29" s="3" t="s">
        <v>2224</v>
      </c>
      <c r="AT29" s="3" t="s">
        <v>1466</v>
      </c>
      <c r="AU29" s="3" t="s">
        <v>2225</v>
      </c>
      <c r="AV29" s="3" t="s">
        <v>2226</v>
      </c>
      <c r="AW29" s="3" t="s">
        <v>2227</v>
      </c>
      <c r="AX29" s="3" t="s">
        <v>995</v>
      </c>
      <c r="AY29" s="3" t="s">
        <v>653</v>
      </c>
      <c r="AZ29" s="3" t="s">
        <v>477</v>
      </c>
      <c r="BA29" s="3" t="s">
        <v>479</v>
      </c>
      <c r="BB29" s="3" t="s">
        <v>480</v>
      </c>
      <c r="BC29" s="3" t="s">
        <v>996</v>
      </c>
      <c r="BD29" s="3" t="s">
        <v>63</v>
      </c>
      <c r="BE29" s="3" t="s">
        <v>350</v>
      </c>
      <c r="BF29" s="3" t="s">
        <v>481</v>
      </c>
      <c r="BG29" s="3" t="s">
        <v>259</v>
      </c>
      <c r="BH29" s="3" t="s">
        <v>1461</v>
      </c>
      <c r="BI29" s="3" t="s">
        <v>1298</v>
      </c>
      <c r="BJ29" s="3" t="s">
        <v>995</v>
      </c>
      <c r="BK29" s="3" t="s">
        <v>295</v>
      </c>
      <c r="BL29" s="3" t="s">
        <v>1467</v>
      </c>
      <c r="BM29" s="3" t="s">
        <v>996</v>
      </c>
      <c r="BN29" s="3">
        <v>4.82</v>
      </c>
      <c r="BO29" s="3">
        <v>2.46</v>
      </c>
      <c r="BP29" s="3">
        <v>16.93</v>
      </c>
      <c r="BQ29" s="3">
        <v>5.48</v>
      </c>
      <c r="BR29" s="3">
        <v>1.35</v>
      </c>
      <c r="BS29" s="3">
        <v>17.010000000000002</v>
      </c>
      <c r="BT29" s="3" t="s">
        <v>862</v>
      </c>
      <c r="BU29" s="3" t="s">
        <v>808</v>
      </c>
      <c r="BV29" s="3">
        <v>26</v>
      </c>
      <c r="BW29" s="3">
        <v>18.059999999999999</v>
      </c>
      <c r="BX29" s="3">
        <v>29.35</v>
      </c>
      <c r="BY29" s="3">
        <v>6.12</v>
      </c>
      <c r="BZ29" s="3">
        <v>1.82</v>
      </c>
      <c r="CA29" s="3">
        <v>14.72</v>
      </c>
      <c r="CB29" s="3">
        <v>-5.3</v>
      </c>
      <c r="CC29" s="3">
        <v>-13.79</v>
      </c>
      <c r="CD29" s="3" t="s">
        <v>2228</v>
      </c>
      <c r="CE29" s="3" t="s">
        <v>64</v>
      </c>
      <c r="CF29" s="10">
        <v>1.9083969465648856E-2</v>
      </c>
      <c r="CG29" s="11">
        <v>0.44296465750253589</v>
      </c>
      <c r="CH29" s="10">
        <v>0.15396678447723389</v>
      </c>
      <c r="CI29" s="10">
        <v>-6.4809367060661316E-2</v>
      </c>
      <c r="CJ29" s="10">
        <v>0.47173067927360535</v>
      </c>
      <c r="CK29" s="10">
        <v>0.15273629128932953</v>
      </c>
      <c r="CL29" s="10">
        <v>0.3748289942741394</v>
      </c>
      <c r="CM29" s="11">
        <v>4.3090763092041016</v>
      </c>
      <c r="CN29" s="11">
        <v>-0.9137691855430603</v>
      </c>
      <c r="CO29" s="11">
        <v>0.60135138034820557</v>
      </c>
      <c r="CP29" s="11">
        <v>-8.9230768382549286E-2</v>
      </c>
      <c r="CQ29" s="11">
        <v>-0.24942263960838318</v>
      </c>
      <c r="CR29" s="3">
        <v>31.899198117850904</v>
      </c>
      <c r="CS29" s="3">
        <v>1.4653451694827524</v>
      </c>
      <c r="CT29" s="3">
        <v>0.71386079714455686</v>
      </c>
      <c r="CU29" s="10">
        <v>0.21769067645072937</v>
      </c>
      <c r="CV29" s="11">
        <v>0.73160101920366283</v>
      </c>
      <c r="CW29" s="3">
        <v>0.06</v>
      </c>
      <c r="CX29" s="3">
        <v>34.726359366487898</v>
      </c>
      <c r="CY29" s="3">
        <v>249281959.23566818</v>
      </c>
      <c r="CZ29" s="3">
        <v>0.21769067645072937</v>
      </c>
      <c r="DA29" s="3">
        <v>10.201726260737784</v>
      </c>
      <c r="DB29" s="3">
        <v>848548047.53151202</v>
      </c>
      <c r="DC29" s="3">
        <v>0.20680614262819288</v>
      </c>
      <c r="DD29" s="3">
        <v>4.3277312774949568</v>
      </c>
      <c r="DE29" s="3">
        <v>2000275512.7187047</v>
      </c>
      <c r="DF29" s="3">
        <v>0.19156779527664183</v>
      </c>
      <c r="DG29" s="3">
        <v>2.1777600478555419</v>
      </c>
      <c r="DH29" s="3">
        <v>3975026958.7892747</v>
      </c>
      <c r="DI29" s="3">
        <v>0.17415254116058351</v>
      </c>
      <c r="DJ29" s="3">
        <v>0.74047924612393012</v>
      </c>
      <c r="DK29" s="3">
        <v>11690611108.027166</v>
      </c>
      <c r="DL29" s="3">
        <v>0.15238347351551054</v>
      </c>
      <c r="DM29" s="3">
        <v>217000000</v>
      </c>
      <c r="DN29" s="3">
        <v>0.21769067645072937</v>
      </c>
      <c r="DO29" s="3">
        <v>8656654900</v>
      </c>
      <c r="DP29" s="3">
        <v>1913831400</v>
      </c>
      <c r="DQ29" s="3">
        <v>2207</v>
      </c>
      <c r="DR29" s="3">
        <v>-0.19860670698508051</v>
      </c>
      <c r="DS29" s="3">
        <v>-0.28863636170112694</v>
      </c>
      <c r="DT29" s="12">
        <v>7.6666666666666591E-2</v>
      </c>
      <c r="DU29" s="3">
        <v>0.38666666666666666</v>
      </c>
      <c r="DV29" s="3">
        <v>0.46333333333333326</v>
      </c>
      <c r="DW29" s="3">
        <v>-8.384336475707034</v>
      </c>
      <c r="DX29" s="3">
        <v>0.37430548780487682</v>
      </c>
      <c r="DY29" s="3">
        <v>-8.0516184978510417</v>
      </c>
      <c r="DZ29" s="3">
        <v>3296</v>
      </c>
      <c r="EA29" s="3">
        <v>-8.0183240616637548</v>
      </c>
      <c r="EB29" s="3">
        <v>8</v>
      </c>
      <c r="EC29" s="3">
        <v>3.8996545158320101E-2</v>
      </c>
      <c r="ED29" s="3">
        <v>0.29035704940795226</v>
      </c>
      <c r="EE29" s="13">
        <v>-3.1181000000000001</v>
      </c>
      <c r="EF29" s="3">
        <v>-3.1324999999999998</v>
      </c>
      <c r="EG29" s="3">
        <v>24.134305487804877</v>
      </c>
      <c r="EH29" s="3" t="s">
        <v>1123</v>
      </c>
      <c r="EI29" s="3">
        <v>0</v>
      </c>
      <c r="EJ29" s="3">
        <v>0</v>
      </c>
      <c r="EK29" s="15">
        <v>45470</v>
      </c>
      <c r="EL29" s="16">
        <v>1.93</v>
      </c>
      <c r="EM29" s="16">
        <v>-6</v>
      </c>
      <c r="EN29" s="16">
        <v>3.7</v>
      </c>
      <c r="EO29" s="16">
        <v>1.46</v>
      </c>
      <c r="EP29" s="16">
        <v>1.44</v>
      </c>
    </row>
    <row r="30" spans="1:146" ht="108" x14ac:dyDescent="0.25">
      <c r="C30" s="7" t="str">
        <f>""&amp;CHAR(10)&amp;Basic_Fundamental_Information_Constructure(F30)&amp;CHAR(10)&amp;Basic_Fundamental_Information_Concatenate("")</f>
        <v xml:space="preserve">
市值124.444945亿, 利润7713.28万; PE157.9; 平均PE405.06; 平均PEG12.23, PB12.57; ROIC2.885%; ROE-.0367%; 股利率.2243%; 毛利20.11%; 净利1.1267%; 上一年度营收增74.09%, 利润增195.05%; 当季营收增1.54%, 利润增39.23%; 过往5年营收增33.12%, 利润增43.71%
Income profile:
</v>
      </c>
      <c r="D30" s="3" t="s">
        <v>535</v>
      </c>
      <c r="E30" s="3" t="s">
        <v>536</v>
      </c>
      <c r="F30" s="3">
        <v>80.260000000000005</v>
      </c>
      <c r="G30" s="3">
        <v>1.96</v>
      </c>
      <c r="H30" s="3" t="s">
        <v>2229</v>
      </c>
      <c r="I30" s="3">
        <v>12444494500</v>
      </c>
      <c r="J30" s="3">
        <v>157.9</v>
      </c>
      <c r="K30" s="3">
        <v>12.57</v>
      </c>
      <c r="L30" s="3" t="s">
        <v>176</v>
      </c>
      <c r="M30" s="3" t="s">
        <v>1468</v>
      </c>
      <c r="N30" s="3" t="s">
        <v>2230</v>
      </c>
      <c r="O30" s="3" t="s">
        <v>93</v>
      </c>
      <c r="P30" s="3">
        <v>1.52</v>
      </c>
      <c r="Q30" s="3" t="s">
        <v>182</v>
      </c>
      <c r="R30" s="3">
        <v>5898083</v>
      </c>
      <c r="S30" s="5">
        <v>0.39229999999999998</v>
      </c>
      <c r="T30" s="3" t="s">
        <v>1469</v>
      </c>
      <c r="U30" s="3">
        <v>146107680</v>
      </c>
      <c r="V30" s="3">
        <v>155052260</v>
      </c>
      <c r="W30" s="3">
        <v>2.75</v>
      </c>
      <c r="X30" s="3">
        <v>0.1</v>
      </c>
      <c r="Y30" s="3">
        <v>2.1800000000000002</v>
      </c>
      <c r="Z30" s="3" t="s">
        <v>1462</v>
      </c>
      <c r="AA30" s="3" t="s">
        <v>1067</v>
      </c>
      <c r="AB30" s="3" t="s">
        <v>2231</v>
      </c>
      <c r="AC30" s="3" t="s">
        <v>2232</v>
      </c>
      <c r="AD30" s="3" t="s">
        <v>47</v>
      </c>
      <c r="AE30" s="3">
        <v>2779131</v>
      </c>
      <c r="AF30" s="3" t="s">
        <v>1470</v>
      </c>
      <c r="AG30" s="3" t="s">
        <v>2233</v>
      </c>
      <c r="AH30" s="3" t="s">
        <v>1471</v>
      </c>
      <c r="AI30" s="3" t="s">
        <v>119</v>
      </c>
      <c r="AJ30" s="3" t="s">
        <v>1472</v>
      </c>
      <c r="AK30" s="3" t="s">
        <v>47</v>
      </c>
      <c r="AL30" s="3" t="s">
        <v>1473</v>
      </c>
      <c r="AM30" s="3" t="s">
        <v>47</v>
      </c>
      <c r="AN30" s="3" t="s">
        <v>2234</v>
      </c>
      <c r="AO30" s="3" t="s">
        <v>2235</v>
      </c>
      <c r="AP30" s="3" t="s">
        <v>2236</v>
      </c>
      <c r="AQ30" s="3" t="s">
        <v>1301</v>
      </c>
      <c r="AR30" s="3" t="s">
        <v>47</v>
      </c>
      <c r="AS30" s="3" t="s">
        <v>2237</v>
      </c>
      <c r="AT30" s="3" t="s">
        <v>2238</v>
      </c>
      <c r="AU30" s="3" t="s">
        <v>1139</v>
      </c>
      <c r="AV30" s="3" t="s">
        <v>2239</v>
      </c>
      <c r="AW30" s="3" t="s">
        <v>347</v>
      </c>
      <c r="AX30" s="3" t="s">
        <v>977</v>
      </c>
      <c r="AY30" s="3" t="s">
        <v>654</v>
      </c>
      <c r="AZ30" s="3" t="s">
        <v>537</v>
      </c>
      <c r="BA30" s="3" t="s">
        <v>499</v>
      </c>
      <c r="BB30" s="3" t="s">
        <v>539</v>
      </c>
      <c r="BC30" s="3" t="s">
        <v>1474</v>
      </c>
      <c r="BD30" s="3" t="s">
        <v>655</v>
      </c>
      <c r="BE30" s="3" t="s">
        <v>538</v>
      </c>
      <c r="BF30" s="3" t="s">
        <v>540</v>
      </c>
      <c r="BG30" s="3" t="s">
        <v>541</v>
      </c>
      <c r="BH30" s="3" t="s">
        <v>182</v>
      </c>
      <c r="BI30" s="3" t="s">
        <v>761</v>
      </c>
      <c r="BJ30" s="3" t="s">
        <v>977</v>
      </c>
      <c r="BK30" s="3" t="s">
        <v>1469</v>
      </c>
      <c r="BL30" s="3" t="s">
        <v>1475</v>
      </c>
      <c r="BM30" s="3" t="s">
        <v>1474</v>
      </c>
      <c r="BN30" s="3">
        <v>2.62</v>
      </c>
      <c r="BO30" s="3">
        <v>3.15</v>
      </c>
      <c r="BP30" s="3" t="s">
        <v>47</v>
      </c>
      <c r="BQ30" s="3">
        <v>3.66</v>
      </c>
      <c r="BR30" s="3">
        <v>3.04</v>
      </c>
      <c r="BS30" s="3">
        <v>-6.81</v>
      </c>
      <c r="BT30" s="3" t="s">
        <v>1476</v>
      </c>
      <c r="BU30" s="3" t="s">
        <v>748</v>
      </c>
      <c r="BV30" s="3">
        <v>22.85</v>
      </c>
      <c r="BW30" s="3">
        <v>22.17</v>
      </c>
      <c r="BX30" s="3">
        <v>15.31</v>
      </c>
      <c r="BY30" s="3">
        <v>4.8600000000000003</v>
      </c>
      <c r="BZ30" s="3">
        <v>2.84</v>
      </c>
      <c r="CA30" s="3">
        <v>-4.32</v>
      </c>
      <c r="CB30" s="3">
        <v>-8.1199999999999992</v>
      </c>
      <c r="CC30" s="3">
        <v>-12.15</v>
      </c>
      <c r="CD30" s="3" t="s">
        <v>2240</v>
      </c>
      <c r="CE30" s="3" t="s">
        <v>298</v>
      </c>
      <c r="CF30" s="10">
        <v>1.5444015444015444E-2</v>
      </c>
      <c r="CG30" s="11">
        <v>0.39233799957508086</v>
      </c>
      <c r="CH30" s="10">
        <v>0.74086380004882813</v>
      </c>
      <c r="CI30" s="10">
        <v>-0.16850829124450684</v>
      </c>
      <c r="CJ30" s="10">
        <v>1.0568181276321411</v>
      </c>
      <c r="CK30" s="10">
        <v>-0.46177369356155396</v>
      </c>
      <c r="CL30" s="10">
        <v>0.4886191189289093</v>
      </c>
      <c r="CM30" s="11">
        <v>1.9505317211151123</v>
      </c>
      <c r="CN30" s="11">
        <v>1.557692289352417</v>
      </c>
      <c r="CO30" s="11">
        <v>0.30318403244018555</v>
      </c>
      <c r="CP30" s="11">
        <v>-1.6735086441040039</v>
      </c>
      <c r="CQ30" s="11">
        <v>4.7784451395273209E-2</v>
      </c>
      <c r="CR30" s="3">
        <v>405.0597198480815</v>
      </c>
      <c r="CS30" s="3">
        <v>12.229923229472686</v>
      </c>
      <c r="CT30" s="3">
        <v>0.224271118863693</v>
      </c>
      <c r="CU30" s="10">
        <v>0.33120381236076357</v>
      </c>
      <c r="CV30" s="11">
        <v>0.43713677003979684</v>
      </c>
      <c r="CW30" s="3">
        <v>0.06</v>
      </c>
      <c r="CX30" s="3">
        <v>134.65304379868346</v>
      </c>
      <c r="CY30" s="3">
        <v>96867431.526471958</v>
      </c>
      <c r="CZ30" s="3">
        <v>0.33120381236076357</v>
      </c>
      <c r="DA30" s="3">
        <v>36.086500781009327</v>
      </c>
      <c r="DB30" s="3">
        <v>361450797.88019216</v>
      </c>
      <c r="DC30" s="3">
        <v>0.31464362174272537</v>
      </c>
      <c r="DD30" s="3">
        <v>13.346788528549048</v>
      </c>
      <c r="DE30" s="3">
        <v>977275879.66945779</v>
      </c>
      <c r="DF30" s="3">
        <v>0.29145935487747193</v>
      </c>
      <c r="DG30" s="3">
        <v>5.6406714877425497</v>
      </c>
      <c r="DH30" s="3">
        <v>2312401019.6913862</v>
      </c>
      <c r="DI30" s="3">
        <v>0.26496304988861086</v>
      </c>
      <c r="DJ30" s="3">
        <v>1.2297367955410612</v>
      </c>
      <c r="DK30" s="3">
        <v>10606736780.825613</v>
      </c>
      <c r="DL30" s="3">
        <v>0.23184266865253447</v>
      </c>
      <c r="DM30" s="3">
        <v>77132800</v>
      </c>
      <c r="DN30" s="3">
        <v>0.33120381236076357</v>
      </c>
      <c r="DO30" s="3">
        <v>13043494500</v>
      </c>
      <c r="DP30" s="3">
        <v>165165900</v>
      </c>
      <c r="DQ30" s="3">
        <v>2216</v>
      </c>
      <c r="DR30" s="3">
        <v>-0.3157597969167481</v>
      </c>
      <c r="DS30" s="3">
        <v>-4.4798770464715976E-2</v>
      </c>
      <c r="DT30" s="12">
        <v>-6.6666666666666714E-3</v>
      </c>
      <c r="DU30" s="3">
        <v>-0.11333333333333347</v>
      </c>
      <c r="DV30" s="3">
        <v>-0.12000000000000013</v>
      </c>
      <c r="DW30" s="3">
        <v>-9.6683127572016456</v>
      </c>
      <c r="DX30" s="3">
        <v>0.38400860215053667</v>
      </c>
      <c r="DY30" s="3">
        <v>-9.1029259135359979</v>
      </c>
      <c r="DZ30" s="3">
        <v>3870</v>
      </c>
      <c r="EA30" s="3">
        <v>-9.0249761512298701</v>
      </c>
      <c r="EB30" s="3">
        <v>9</v>
      </c>
      <c r="EC30" s="3">
        <v>0.18474803269555698</v>
      </c>
      <c r="ED30" s="3">
        <v>1.199595542818918</v>
      </c>
      <c r="EE30" s="13">
        <v>-1.0309999999999999</v>
      </c>
      <c r="EF30" s="3">
        <v>-1.0465</v>
      </c>
      <c r="EG30" s="3">
        <v>23.154008602150537</v>
      </c>
      <c r="EH30" s="3" t="s">
        <v>957</v>
      </c>
      <c r="EI30" s="3">
        <v>0</v>
      </c>
      <c r="EJ30" s="3">
        <v>0</v>
      </c>
      <c r="EK30" s="15">
        <v>45470</v>
      </c>
      <c r="EL30" s="16">
        <v>-0.27</v>
      </c>
      <c r="EM30" s="16">
        <v>-5.22</v>
      </c>
      <c r="EN30" s="16">
        <v>2.9</v>
      </c>
      <c r="EO30" s="16">
        <v>0.14000000000000001</v>
      </c>
      <c r="EP30" s="16">
        <v>1.55</v>
      </c>
    </row>
    <row r="31" spans="1:146" ht="108" x14ac:dyDescent="0.25">
      <c r="C31" s="7" t="str">
        <f>""&amp;CHAR(10)&amp;Basic_Fundamental_Information_Constructure(F31)&amp;CHAR(10)&amp;Basic_Fundamental_Information_Concatenate("")</f>
        <v xml:space="preserve">
市值42.29501亿, 利润7260.98万; PE46.39; 平均PE43.95; 平均PEG2.48, PB2.55; ROIC8.03%; ROE8.6833%; 股利率1.0944%; 毛利32.7067%; 净利16.7033%; 上一年度营收增44.3%, 利润增-43.71%; 当季营收增-48.43%, 利润增-44.58%; 过往5年营收增17.7%, 利润增-2.48%
Income profile:
</v>
      </c>
      <c r="D31" s="3" t="s">
        <v>542</v>
      </c>
      <c r="E31" s="3" t="s">
        <v>543</v>
      </c>
      <c r="F31" s="3">
        <v>14.62</v>
      </c>
      <c r="G31" s="3">
        <v>0.76</v>
      </c>
      <c r="H31" s="3" t="s">
        <v>2241</v>
      </c>
      <c r="I31" s="3">
        <v>4229501000</v>
      </c>
      <c r="J31" s="3">
        <v>46.39</v>
      </c>
      <c r="K31" s="3">
        <v>2.5499999999999998</v>
      </c>
      <c r="L31" s="3" t="s">
        <v>176</v>
      </c>
      <c r="M31" s="3" t="s">
        <v>268</v>
      </c>
      <c r="N31" s="3" t="s">
        <v>2242</v>
      </c>
      <c r="O31" s="3" t="s">
        <v>64</v>
      </c>
      <c r="P31" s="3">
        <v>21.36</v>
      </c>
      <c r="Q31" s="3" t="s">
        <v>2243</v>
      </c>
      <c r="R31" s="3">
        <v>31792405</v>
      </c>
      <c r="S31" s="5">
        <v>0.379</v>
      </c>
      <c r="T31" s="3" t="s">
        <v>2244</v>
      </c>
      <c r="U31" s="3">
        <v>194552340</v>
      </c>
      <c r="V31" s="3">
        <v>289295560</v>
      </c>
      <c r="W31" s="3">
        <v>1.1200000000000001</v>
      </c>
      <c r="X31" s="3">
        <v>0.09</v>
      </c>
      <c r="Y31" s="3">
        <v>19.190000000000001</v>
      </c>
      <c r="Z31" s="3" t="s">
        <v>117</v>
      </c>
      <c r="AA31" s="3" t="s">
        <v>61</v>
      </c>
      <c r="AB31" s="3" t="s">
        <v>2245</v>
      </c>
      <c r="AC31" s="3" t="s">
        <v>2246</v>
      </c>
      <c r="AD31" s="3" t="s">
        <v>47</v>
      </c>
      <c r="AE31" s="3">
        <v>-1229399</v>
      </c>
      <c r="AF31" s="3" t="s">
        <v>1478</v>
      </c>
      <c r="AG31" s="3" t="s">
        <v>2247</v>
      </c>
      <c r="AH31" s="3" t="s">
        <v>1479</v>
      </c>
      <c r="AI31" s="3" t="s">
        <v>2060</v>
      </c>
      <c r="AJ31" s="3" t="s">
        <v>1480</v>
      </c>
      <c r="AK31" s="3" t="s">
        <v>2248</v>
      </c>
      <c r="AL31" s="3" t="s">
        <v>1481</v>
      </c>
      <c r="AM31" s="3" t="s">
        <v>47</v>
      </c>
      <c r="AN31" s="3" t="s">
        <v>2249</v>
      </c>
      <c r="AO31" s="3" t="s">
        <v>2250</v>
      </c>
      <c r="AP31" s="3" t="s">
        <v>2251</v>
      </c>
      <c r="AQ31" s="3" t="s">
        <v>2252</v>
      </c>
      <c r="AR31" s="3" t="s">
        <v>47</v>
      </c>
      <c r="AS31" s="3" t="s">
        <v>143</v>
      </c>
      <c r="AT31" s="3" t="s">
        <v>47</v>
      </c>
      <c r="AU31" s="3" t="s">
        <v>2253</v>
      </c>
      <c r="AV31" s="3" t="s">
        <v>2254</v>
      </c>
      <c r="AW31" s="3" t="s">
        <v>2255</v>
      </c>
      <c r="AX31" s="3" t="s">
        <v>997</v>
      </c>
      <c r="AY31" s="3" t="s">
        <v>656</v>
      </c>
      <c r="AZ31" s="3" t="s">
        <v>357</v>
      </c>
      <c r="BA31" s="3" t="s">
        <v>68</v>
      </c>
      <c r="BB31" s="3" t="s">
        <v>214</v>
      </c>
      <c r="BC31" s="3" t="s">
        <v>99</v>
      </c>
      <c r="BD31" s="3" t="s">
        <v>146</v>
      </c>
      <c r="BE31" s="3" t="s">
        <v>544</v>
      </c>
      <c r="BF31" s="3" t="s">
        <v>545</v>
      </c>
      <c r="BG31" s="3" t="s">
        <v>546</v>
      </c>
      <c r="BH31" s="3" t="s">
        <v>686</v>
      </c>
      <c r="BI31" s="3" t="s">
        <v>1045</v>
      </c>
      <c r="BJ31" s="3" t="s">
        <v>997</v>
      </c>
      <c r="BK31" s="3" t="s">
        <v>1477</v>
      </c>
      <c r="BL31" s="3" t="s">
        <v>2256</v>
      </c>
      <c r="BM31" s="3" t="s">
        <v>99</v>
      </c>
      <c r="BN31" s="3">
        <v>4.05</v>
      </c>
      <c r="BO31" s="3">
        <v>11.1</v>
      </c>
      <c r="BP31" s="3">
        <v>8.94</v>
      </c>
      <c r="BQ31" s="3">
        <v>4.8899999999999997</v>
      </c>
      <c r="BR31" s="3">
        <v>11.42</v>
      </c>
      <c r="BS31" s="3">
        <v>9.74</v>
      </c>
      <c r="BT31" s="3" t="s">
        <v>864</v>
      </c>
      <c r="BU31" s="3" t="s">
        <v>748</v>
      </c>
      <c r="BV31" s="3">
        <v>30.15</v>
      </c>
      <c r="BW31" s="3">
        <v>34.31</v>
      </c>
      <c r="BX31" s="3">
        <v>33.659999999999997</v>
      </c>
      <c r="BY31" s="3">
        <v>14.5</v>
      </c>
      <c r="BZ31" s="3">
        <v>18.84</v>
      </c>
      <c r="CA31" s="3">
        <v>16.77</v>
      </c>
      <c r="CB31" s="3">
        <v>-7.29</v>
      </c>
      <c r="CC31" s="3">
        <v>-9.31</v>
      </c>
      <c r="CD31" s="3" t="s">
        <v>2257</v>
      </c>
      <c r="CE31" s="3" t="s">
        <v>2258</v>
      </c>
      <c r="CF31" s="10">
        <v>-0.48427672955974843</v>
      </c>
      <c r="CG31" s="11">
        <v>-0.44582315792409449</v>
      </c>
      <c r="CH31" s="10">
        <v>0.44298246502876282</v>
      </c>
      <c r="CI31" s="10">
        <v>0.16326530277729034</v>
      </c>
      <c r="CJ31" s="10">
        <v>0.21991701424121857</v>
      </c>
      <c r="CK31" s="10">
        <v>0.13947990536689758</v>
      </c>
      <c r="CL31" s="10">
        <v>-8.0434784293174744E-2</v>
      </c>
      <c r="CM31" s="11">
        <v>-0.43713334202766418</v>
      </c>
      <c r="CN31" s="11">
        <v>0.2772277295589447</v>
      </c>
      <c r="CO31" s="11">
        <v>0.13273520767688751</v>
      </c>
      <c r="CP31" s="11">
        <v>3.1418714672327042E-2</v>
      </c>
      <c r="CQ31" s="11">
        <v>-0.12814860045909882</v>
      </c>
      <c r="CR31" s="3">
        <v>43.952129825454122</v>
      </c>
      <c r="CS31" s="3">
        <v>2.4825823610022661</v>
      </c>
      <c r="CT31" s="3">
        <v>1.0943912448700412</v>
      </c>
      <c r="CU31" s="10">
        <v>0.1770419806241989</v>
      </c>
      <c r="CV31" s="11">
        <v>-2.478005811572075E-2</v>
      </c>
      <c r="CW31" s="3">
        <v>0.06</v>
      </c>
      <c r="CX31" s="3">
        <v>33.890580013734038</v>
      </c>
      <c r="CY31" s="3">
        <v>80627153.58936505</v>
      </c>
      <c r="CZ31" s="3">
        <v>0.1770419806241989</v>
      </c>
      <c r="DA31" s="3">
        <v>10.295855132208974</v>
      </c>
      <c r="DB31" s="3">
        <v>265398159.25068697</v>
      </c>
      <c r="DC31" s="3">
        <v>0.16818988159298895</v>
      </c>
      <c r="DD31" s="3">
        <v>4.5831987688759064</v>
      </c>
      <c r="DE31" s="3">
        <v>596199540.49476767</v>
      </c>
      <c r="DF31" s="3">
        <v>0.15579694294929503</v>
      </c>
      <c r="DG31" s="3">
        <v>2.4464409644122207</v>
      </c>
      <c r="DH31" s="3">
        <v>1116929057.2505221</v>
      </c>
      <c r="DI31" s="3">
        <v>0.14163358449935912</v>
      </c>
      <c r="DJ31" s="3">
        <v>0.96161911738656047</v>
      </c>
      <c r="DK31" s="3">
        <v>2841562683.8058839</v>
      </c>
      <c r="DL31" s="3">
        <v>0.12392938643693922</v>
      </c>
      <c r="DM31" s="3">
        <v>72609800</v>
      </c>
      <c r="DN31" s="3">
        <v>0.1770419806241989</v>
      </c>
      <c r="DO31" s="3">
        <v>2732501000</v>
      </c>
      <c r="DP31" s="3">
        <v>1365158200</v>
      </c>
      <c r="DQ31" s="3">
        <v>2259</v>
      </c>
      <c r="DR31" s="3">
        <v>-0.66131871018394728</v>
      </c>
      <c r="DS31" s="3">
        <v>-0.42104309980837373</v>
      </c>
      <c r="DT31" s="12">
        <v>1.0000000000000011E-2</v>
      </c>
      <c r="DU31" s="3">
        <v>-0.23666666666666666</v>
      </c>
      <c r="DV31" s="3">
        <v>-0.22666666666666666</v>
      </c>
      <c r="DW31" s="3">
        <v>-9.7830290010741141</v>
      </c>
      <c r="DX31" s="3">
        <v>0.33042223105053409</v>
      </c>
      <c r="DY31" s="3">
        <v>-9.1177849693188406</v>
      </c>
      <c r="DZ31" s="3">
        <v>2335</v>
      </c>
      <c r="EA31" s="3">
        <v>-9.0639634618120901</v>
      </c>
      <c r="EB31" s="3">
        <v>9</v>
      </c>
      <c r="EC31" s="3">
        <v>2.552199556743975E-2</v>
      </c>
      <c r="ED31" s="3">
        <v>0.1696690402023453</v>
      </c>
      <c r="EE31" s="13">
        <v>-2.0409000000000002</v>
      </c>
      <c r="EF31" s="3">
        <v>-2.0179999999999998</v>
      </c>
      <c r="EG31" s="3">
        <v>18.150422231050534</v>
      </c>
      <c r="EH31" s="3" t="s">
        <v>1037</v>
      </c>
      <c r="EI31" s="3">
        <v>0</v>
      </c>
      <c r="EJ31" s="3">
        <v>0</v>
      </c>
      <c r="EK31" s="15">
        <v>45470</v>
      </c>
      <c r="EL31" s="16">
        <v>0.73</v>
      </c>
      <c r="EM31" s="16">
        <v>-4.0199999999999996</v>
      </c>
      <c r="EN31" s="16">
        <v>0.89</v>
      </c>
      <c r="EO31" s="16">
        <v>3.81</v>
      </c>
      <c r="EP31" s="16">
        <v>-2.29</v>
      </c>
    </row>
    <row r="32" spans="1:146" ht="108" x14ac:dyDescent="0.25">
      <c r="C32" s="7" t="str">
        <f>""&amp;CHAR(10)&amp;Basic_Fundamental_Information_Constructure(F32)&amp;CHAR(10)&amp;Basic_Fundamental_Information_Concatenate("")</f>
        <v xml:space="preserve">
市值19.572644亿, 利润2050.02万; PE; 平均PE23.32; 平均PEG.76, PB2.01; ROIC14%; ROE3.43%; 股利率1.5015%; 毛利49.6733%; 净利-6.4267%; 上一年度营收增113.81%, 利润增131.57%; 当季营收增-88.31%, 利润增-5280.16%; 过往5年营收增30.72%, 利润增14.28%
Income profile:
</v>
      </c>
      <c r="D32" s="3" t="s">
        <v>263</v>
      </c>
      <c r="E32" s="3" t="s">
        <v>264</v>
      </c>
      <c r="F32" s="3">
        <v>13.32</v>
      </c>
      <c r="G32" s="3">
        <v>0.38</v>
      </c>
      <c r="H32" s="3" t="s">
        <v>2259</v>
      </c>
      <c r="I32" s="3">
        <v>1957264400</v>
      </c>
      <c r="K32" s="3">
        <v>2.0099999999999998</v>
      </c>
      <c r="L32" s="3" t="s">
        <v>176</v>
      </c>
      <c r="M32" s="3" t="s">
        <v>1482</v>
      </c>
      <c r="N32" s="3" t="s">
        <v>2260</v>
      </c>
      <c r="O32" s="3" t="s">
        <v>1483</v>
      </c>
      <c r="P32" s="3">
        <v>-96.16</v>
      </c>
      <c r="Q32" s="3" t="s">
        <v>2261</v>
      </c>
      <c r="R32" s="3">
        <v>-33028700</v>
      </c>
      <c r="S32" s="5">
        <v>-1.579</v>
      </c>
      <c r="T32" s="3" t="s">
        <v>2262</v>
      </c>
      <c r="U32" s="3">
        <v>110254079</v>
      </c>
      <c r="V32" s="3">
        <v>146941770</v>
      </c>
      <c r="W32" s="3">
        <v>1.77</v>
      </c>
      <c r="X32" s="3">
        <v>0</v>
      </c>
      <c r="Y32" s="3">
        <v>-416.4</v>
      </c>
      <c r="Z32" s="3" t="s">
        <v>2263</v>
      </c>
      <c r="AA32" s="3" t="s">
        <v>2264</v>
      </c>
      <c r="AB32" s="3" t="s">
        <v>2265</v>
      </c>
      <c r="AC32" s="3" t="s">
        <v>2266</v>
      </c>
      <c r="AD32" s="3" t="s">
        <v>47</v>
      </c>
      <c r="AE32" s="3">
        <v>375670</v>
      </c>
      <c r="AF32" s="3" t="s">
        <v>1486</v>
      </c>
      <c r="AG32" s="3">
        <v>833</v>
      </c>
      <c r="AH32" s="3" t="s">
        <v>1487</v>
      </c>
      <c r="AI32" s="3" t="s">
        <v>163</v>
      </c>
      <c r="AJ32" s="3" t="s">
        <v>1488</v>
      </c>
      <c r="AK32" s="3" t="s">
        <v>2267</v>
      </c>
      <c r="AL32" s="3" t="s">
        <v>1489</v>
      </c>
      <c r="AM32" s="3" t="s">
        <v>47</v>
      </c>
      <c r="AN32" s="3" t="s">
        <v>2268</v>
      </c>
      <c r="AO32" s="3" t="s">
        <v>2269</v>
      </c>
      <c r="AP32" s="3" t="s">
        <v>2270</v>
      </c>
      <c r="AQ32" s="3" t="s">
        <v>330</v>
      </c>
      <c r="AR32" s="3" t="s">
        <v>47</v>
      </c>
      <c r="AS32" s="3" t="s">
        <v>681</v>
      </c>
      <c r="AT32" s="3" t="s">
        <v>47</v>
      </c>
      <c r="AU32" s="3" t="s">
        <v>2271</v>
      </c>
      <c r="AV32" s="3" t="s">
        <v>2272</v>
      </c>
      <c r="AW32" s="3" t="s">
        <v>2273</v>
      </c>
      <c r="AX32" s="3" t="s">
        <v>149</v>
      </c>
      <c r="AY32" s="3" t="s">
        <v>657</v>
      </c>
      <c r="AZ32" s="3" t="s">
        <v>267</v>
      </c>
      <c r="BA32" s="3" t="s">
        <v>189</v>
      </c>
      <c r="BB32" s="3" t="s">
        <v>270</v>
      </c>
      <c r="BC32" s="3" t="s">
        <v>1490</v>
      </c>
      <c r="BD32" s="3" t="s">
        <v>91</v>
      </c>
      <c r="BE32" s="3" t="s">
        <v>268</v>
      </c>
      <c r="BF32" s="3" t="s">
        <v>271</v>
      </c>
      <c r="BG32" s="3" t="s">
        <v>272</v>
      </c>
      <c r="BH32" s="3" t="s">
        <v>1484</v>
      </c>
      <c r="BI32" s="3" t="s">
        <v>2274</v>
      </c>
      <c r="BJ32" s="3" t="s">
        <v>149</v>
      </c>
      <c r="BK32" s="3" t="s">
        <v>1485</v>
      </c>
      <c r="BL32" s="3" t="s">
        <v>2275</v>
      </c>
      <c r="BM32" s="3" t="s">
        <v>1490</v>
      </c>
      <c r="BN32" s="3" t="s">
        <v>47</v>
      </c>
      <c r="BO32" s="3" t="s">
        <v>47</v>
      </c>
      <c r="BP32" s="3">
        <v>14</v>
      </c>
      <c r="BQ32" s="3">
        <v>0.46</v>
      </c>
      <c r="BR32" s="3">
        <v>-4.8499999999999996</v>
      </c>
      <c r="BS32" s="3">
        <v>14.68</v>
      </c>
      <c r="BT32" s="3" t="s">
        <v>858</v>
      </c>
      <c r="BU32" s="3" t="s">
        <v>226</v>
      </c>
      <c r="BV32" s="3">
        <v>43.52</v>
      </c>
      <c r="BW32" s="3">
        <v>49.68</v>
      </c>
      <c r="BX32" s="3">
        <v>55.82</v>
      </c>
      <c r="BY32" s="3">
        <v>-26.1</v>
      </c>
      <c r="BZ32" s="3">
        <v>-16.59</v>
      </c>
      <c r="CA32" s="3">
        <v>23.41</v>
      </c>
      <c r="CB32" s="3">
        <v>-8.39</v>
      </c>
      <c r="CC32" s="3">
        <v>-15.21</v>
      </c>
      <c r="CD32" s="3" t="s">
        <v>2276</v>
      </c>
      <c r="CE32" s="3" t="s">
        <v>2277</v>
      </c>
      <c r="CF32" s="10">
        <v>-0.88311022299244901</v>
      </c>
      <c r="CG32" s="11">
        <v>-52.801599749058973</v>
      </c>
      <c r="CH32" s="10">
        <v>1.1381074190139771</v>
      </c>
      <c r="CI32" s="10">
        <v>-0.49154746532440186</v>
      </c>
      <c r="CJ32" s="10">
        <v>0.25653594732284546</v>
      </c>
      <c r="CK32" s="10">
        <v>0.51111114025115967</v>
      </c>
      <c r="CL32" s="10">
        <v>0.12188365310430527</v>
      </c>
      <c r="CM32" s="11">
        <v>1.3157447576522827</v>
      </c>
      <c r="CN32" s="11">
        <v>-1.3607027530670166</v>
      </c>
      <c r="CO32" s="11">
        <v>0.1111111119389534</v>
      </c>
      <c r="CP32" s="11">
        <v>0.43362832069396973</v>
      </c>
      <c r="CQ32" s="11">
        <v>0.21422600746154785</v>
      </c>
      <c r="CR32" s="3">
        <v>23.317556232453882</v>
      </c>
      <c r="CS32" s="3">
        <v>0.75899021841445546</v>
      </c>
      <c r="CT32" s="3">
        <v>1.5015015015015014</v>
      </c>
      <c r="CU32" s="10">
        <v>0.30721813887357713</v>
      </c>
      <c r="CV32" s="11">
        <v>0.14280148893594741</v>
      </c>
      <c r="CW32" s="3">
        <v>0.06</v>
      </c>
      <c r="CX32" s="3">
        <v>66.581264692180966</v>
      </c>
      <c r="CY32" s="3">
        <v>25281352.160883117</v>
      </c>
      <c r="CZ32" s="3">
        <v>0.30721813887357713</v>
      </c>
      <c r="DA32" s="3">
        <v>18.189026457915542</v>
      </c>
      <c r="DB32" s="3">
        <v>92542852.906097844</v>
      </c>
      <c r="DC32" s="3">
        <v>0.29185723192989826</v>
      </c>
      <c r="DD32" s="3">
        <v>6.9267634670048377</v>
      </c>
      <c r="DE32" s="3">
        <v>243008788.73923072</v>
      </c>
      <c r="DF32" s="3">
        <v>0.27035196220874785</v>
      </c>
      <c r="DG32" s="3">
        <v>3.0403652083339869</v>
      </c>
      <c r="DH32" s="3">
        <v>553638883.70580637</v>
      </c>
      <c r="DI32" s="3">
        <v>0.24577451109886173</v>
      </c>
      <c r="DJ32" s="3">
        <v>0.73075619466232011</v>
      </c>
      <c r="DK32" s="3">
        <v>2303455533.1793399</v>
      </c>
      <c r="DL32" s="3">
        <v>0.21505269721150397</v>
      </c>
      <c r="DM32" s="3">
        <v>20500200</v>
      </c>
      <c r="DN32" s="3">
        <v>0.30721813887357713</v>
      </c>
      <c r="DO32" s="3">
        <v>1683264400</v>
      </c>
      <c r="DP32" s="3">
        <v>863522420</v>
      </c>
      <c r="DQ32" s="3">
        <v>2310</v>
      </c>
      <c r="DR32" s="3">
        <v>-1.1903283618660261</v>
      </c>
      <c r="DS32" s="3">
        <v>-52.944401237994917</v>
      </c>
      <c r="DT32" s="12">
        <v>-6.6666666666666714E-3</v>
      </c>
      <c r="DU32" s="3">
        <v>-1.0649999999999999</v>
      </c>
      <c r="DV32" s="3">
        <v>-1.0716666666666665</v>
      </c>
      <c r="DW32" s="3">
        <v>-9.5516107823800134</v>
      </c>
      <c r="DX32" s="3">
        <v>0.36759562234965815</v>
      </c>
      <c r="DY32" s="3">
        <v>-9.0538347976011586</v>
      </c>
      <c r="DZ32" s="3">
        <v>472</v>
      </c>
      <c r="EA32" s="3">
        <v>-9.0488621900732245</v>
      </c>
      <c r="EB32" s="3">
        <v>9</v>
      </c>
      <c r="EC32" s="3">
        <v>4.4278083760662473E-2</v>
      </c>
      <c r="ED32" s="3">
        <v>0.4536892403024681</v>
      </c>
      <c r="EE32" s="13">
        <v>-1.1007</v>
      </c>
      <c r="EF32" s="3">
        <v>-1.0463</v>
      </c>
      <c r="EG32" s="3">
        <v>27.097595622349658</v>
      </c>
      <c r="EH32" s="3" t="s">
        <v>957</v>
      </c>
      <c r="EI32" s="3">
        <v>0</v>
      </c>
      <c r="EJ32" s="3">
        <v>1</v>
      </c>
      <c r="EK32" s="15">
        <v>45470</v>
      </c>
      <c r="EL32" s="16">
        <v>7.59</v>
      </c>
      <c r="EM32" s="16">
        <v>-3.07</v>
      </c>
      <c r="EN32" s="16">
        <v>-2.84</v>
      </c>
      <c r="EO32" s="16">
        <v>15.17</v>
      </c>
      <c r="EP32" s="16">
        <v>-5.44</v>
      </c>
    </row>
    <row r="33" spans="1:146" ht="216" x14ac:dyDescent="0.25">
      <c r="A33" s="9"/>
      <c r="B33" s="9"/>
      <c r="C33" s="7" t="str">
        <f>"公司的主营业务为研发、生产及销售激光器和整体解决方案。公司的主营产品包含DPSS调Q纳秒激光器、超短脉冲激光器（皮秒、飞秒级）、MOPA纳秒/亚纳秒激光器、定制激光模组。公司是全球少数同时具有纳秒、亚纳秒、皮秒、飞秒级微加工激光器核心技术和生产能力的工业激光器生产厂商之一，是全球少数实现工业深紫外纳秒激光器批量供应的生产商之一。"&amp;CHAR(10)&amp;Basic_Fundamental_Information_Constructure(F33)&amp;CHAR(10)&amp;Basic_Fundamental_Information_Concatenate("激光器 2.07亿 64.60% 60.67% 49.38%
激光模组 6757.53万 21.13% 23.49% 58.44%
其他主营 3444.59万 10.77% 11.87% 57.92%")</f>
        <v>公司的主营业务为研发、生产及销售激光器和整体解决方案。公司的主营产品包含DPSS调Q纳秒激光器、超短脉冲激光器（皮秒、飞秒级）、MOPA纳秒/亚纳秒激光器、定制激光模组。公司是全球少数同时具有纳秒、亚纳秒、皮秒、飞秒级微加工激光器核心技术和生产能力的工业激光器生产厂商之一，是全球少数实现工业深紫外纳秒激光器批量供应的生产商之一。
市值21.423724亿, 利润2328.68万; PE; 平均PE40.08; 平均PEG2.14, PB2.21; ROIC5.57%; ROE3.7467%; 股利率0%; 毛利48.5433%; 净利8.4933%; 上一年度营收增78.75%, 利润增3.16%; 当季营收增-24.53%, 利润增-262.05%; 过往5年营收增18.75%, 利润增-9.15%
Income profile:
激光器 2.07亿 64.60% 60.67% 49.38%
激光模组 6757.53万 21.13% 23.49% 58.44%
其他主营 3444.59万 10.77% 11.87% 57.92%</v>
      </c>
      <c r="D33" s="3" t="s">
        <v>482</v>
      </c>
      <c r="E33" s="3" t="s">
        <v>483</v>
      </c>
      <c r="F33" s="3">
        <v>14.14</v>
      </c>
      <c r="G33" s="3">
        <v>0.28000000000000003</v>
      </c>
      <c r="H33" s="3" t="s">
        <v>2278</v>
      </c>
      <c r="I33" s="3">
        <v>2142372400</v>
      </c>
      <c r="K33" s="3">
        <v>2.21</v>
      </c>
      <c r="L33" s="3" t="s">
        <v>176</v>
      </c>
      <c r="M33" s="3" t="s">
        <v>298</v>
      </c>
      <c r="N33" s="3" t="s">
        <v>1514</v>
      </c>
      <c r="O33" s="3" t="s">
        <v>1491</v>
      </c>
      <c r="P33" s="3">
        <v>35.74</v>
      </c>
      <c r="Q33" s="3" t="s">
        <v>255</v>
      </c>
      <c r="R33" s="3">
        <v>-14364689</v>
      </c>
      <c r="S33" s="5">
        <v>-1.8979999999999999</v>
      </c>
      <c r="T33" s="3" t="s">
        <v>2279</v>
      </c>
      <c r="U33" s="3">
        <v>69942357</v>
      </c>
      <c r="V33" s="3">
        <v>151511480</v>
      </c>
      <c r="W33" s="3">
        <v>1.23</v>
      </c>
      <c r="X33" s="3">
        <v>7.0000000000000007E-2</v>
      </c>
      <c r="Y33" s="3">
        <v>-18.68</v>
      </c>
      <c r="Z33" s="3" t="s">
        <v>2280</v>
      </c>
      <c r="AA33" s="3" t="s">
        <v>2281</v>
      </c>
      <c r="AB33" s="3" t="s">
        <v>2282</v>
      </c>
      <c r="AC33" s="3" t="s">
        <v>2283</v>
      </c>
      <c r="AD33" s="3" t="s">
        <v>47</v>
      </c>
      <c r="AE33" s="3">
        <v>-819836</v>
      </c>
      <c r="AF33" s="3" t="s">
        <v>70</v>
      </c>
      <c r="AG33" s="3" t="s">
        <v>2284</v>
      </c>
      <c r="AH33" s="3" t="s">
        <v>1493</v>
      </c>
      <c r="AI33" s="3" t="s">
        <v>2285</v>
      </c>
      <c r="AJ33" s="3" t="s">
        <v>1494</v>
      </c>
      <c r="AK33" s="3" t="s">
        <v>2286</v>
      </c>
      <c r="AL33" s="3" t="s">
        <v>1495</v>
      </c>
      <c r="AM33" s="3" t="s">
        <v>47</v>
      </c>
      <c r="AN33" s="3" t="s">
        <v>2287</v>
      </c>
      <c r="AO33" s="3" t="s">
        <v>2288</v>
      </c>
      <c r="AP33" s="3" t="s">
        <v>2289</v>
      </c>
      <c r="AQ33" s="3" t="s">
        <v>100</v>
      </c>
      <c r="AR33" s="3" t="s">
        <v>2290</v>
      </c>
      <c r="AS33" s="3" t="s">
        <v>273</v>
      </c>
      <c r="AT33" s="3" t="s">
        <v>47</v>
      </c>
      <c r="AU33" s="3" t="s">
        <v>2291</v>
      </c>
      <c r="AV33" s="3" t="s">
        <v>2292</v>
      </c>
      <c r="AW33" s="3" t="s">
        <v>2293</v>
      </c>
      <c r="AX33" s="3" t="s">
        <v>133</v>
      </c>
      <c r="AY33" s="3" t="s">
        <v>149</v>
      </c>
      <c r="AZ33" s="3" t="s">
        <v>148</v>
      </c>
      <c r="BA33" s="3" t="s">
        <v>232</v>
      </c>
      <c r="BB33" s="3" t="s">
        <v>485</v>
      </c>
      <c r="BC33" s="3" t="s">
        <v>998</v>
      </c>
      <c r="BD33" s="3" t="s">
        <v>659</v>
      </c>
      <c r="BE33" s="3" t="s">
        <v>484</v>
      </c>
      <c r="BF33" s="3" t="s">
        <v>486</v>
      </c>
      <c r="BG33" s="3" t="s">
        <v>487</v>
      </c>
      <c r="BH33" s="3" t="s">
        <v>1152</v>
      </c>
      <c r="BI33" s="3" t="s">
        <v>100</v>
      </c>
      <c r="BJ33" s="3" t="s">
        <v>133</v>
      </c>
      <c r="BK33" s="3" t="s">
        <v>1492</v>
      </c>
      <c r="BL33" s="3" t="s">
        <v>2294</v>
      </c>
      <c r="BM33" s="3" t="s">
        <v>998</v>
      </c>
      <c r="BN33" s="3" t="s">
        <v>47</v>
      </c>
      <c r="BO33" s="3">
        <v>2.02</v>
      </c>
      <c r="BP33" s="3">
        <v>9.1199999999999992</v>
      </c>
      <c r="BQ33" s="3">
        <v>-0.64</v>
      </c>
      <c r="BR33" s="3">
        <v>2.31</v>
      </c>
      <c r="BS33" s="3">
        <v>9.57</v>
      </c>
      <c r="BT33" s="3" t="s">
        <v>856</v>
      </c>
      <c r="BU33" s="3" t="s">
        <v>808</v>
      </c>
      <c r="BV33" s="3">
        <v>43.21</v>
      </c>
      <c r="BW33" s="3">
        <v>52.58</v>
      </c>
      <c r="BX33" s="3">
        <v>49.84</v>
      </c>
      <c r="BY33" s="3">
        <v>-1.45</v>
      </c>
      <c r="BZ33" s="3">
        <v>7.47</v>
      </c>
      <c r="CA33" s="3">
        <v>19.46</v>
      </c>
      <c r="CB33" s="3">
        <v>-9.82</v>
      </c>
      <c r="CC33" s="3">
        <v>-18.41</v>
      </c>
      <c r="CD33" s="3" t="s">
        <v>2295</v>
      </c>
      <c r="CE33" s="3" t="s">
        <v>2296</v>
      </c>
      <c r="CF33" s="10">
        <v>-0.24531923076923076</v>
      </c>
      <c r="CG33" s="11">
        <v>-2.6205102489762306</v>
      </c>
      <c r="CH33" s="10">
        <v>0.78750002384185791</v>
      </c>
      <c r="CI33" s="10">
        <v>-0.18158568441867828</v>
      </c>
      <c r="CJ33" s="10">
        <v>0.15339232981204987</v>
      </c>
      <c r="CK33" s="10">
        <v>-5.5710308253765106E-2</v>
      </c>
      <c r="CL33" s="10">
        <v>0.2336769700050354</v>
      </c>
      <c r="CM33" s="11">
        <v>3.1594429165124893E-2</v>
      </c>
      <c r="CN33" s="11">
        <v>-0.6986534595489502</v>
      </c>
      <c r="CO33" s="11">
        <v>0.14237202703952789</v>
      </c>
      <c r="CP33" s="11">
        <v>-9.0026929974555969E-2</v>
      </c>
      <c r="CQ33" s="11">
        <v>0.1571258157491684</v>
      </c>
      <c r="CR33" s="3">
        <v>40.084415853730412</v>
      </c>
      <c r="CS33" s="3">
        <v>2.1383525236731491</v>
      </c>
      <c r="CT33" s="3">
        <v>0</v>
      </c>
      <c r="CU33" s="10">
        <v>0.18745466619729995</v>
      </c>
      <c r="CV33" s="11">
        <v>-9.1517623513936996E-2</v>
      </c>
      <c r="CW33" s="3">
        <v>0.06</v>
      </c>
      <c r="CX33" s="3">
        <v>51.87956537122534</v>
      </c>
      <c r="CY33" s="3">
        <v>26086810.680003095</v>
      </c>
      <c r="CZ33" s="3">
        <v>0.18745466619729995</v>
      </c>
      <c r="DA33" s="3">
        <v>15.625487944526173</v>
      </c>
      <c r="DB33" s="3">
        <v>86613128.806265876</v>
      </c>
      <c r="DC33" s="3">
        <v>0.17808193288743493</v>
      </c>
      <c r="DD33" s="3">
        <v>6.8708017015215237</v>
      </c>
      <c r="DE33" s="3">
        <v>196974452.0061318</v>
      </c>
      <c r="DF33" s="3">
        <v>0.16496010625362395</v>
      </c>
      <c r="DG33" s="3">
        <v>3.6133044896603153</v>
      </c>
      <c r="DH33" s="3">
        <v>374552547.08612442</v>
      </c>
      <c r="DI33" s="3">
        <v>0.14996373295783996</v>
      </c>
      <c r="DJ33" s="3">
        <v>1.3697527698009175</v>
      </c>
      <c r="DK33" s="3">
        <v>988041367.63797283</v>
      </c>
      <c r="DL33" s="3">
        <v>0.13121826633810996</v>
      </c>
      <c r="DM33" s="3">
        <v>23286800</v>
      </c>
      <c r="DN33" s="3">
        <v>0.18745466619729995</v>
      </c>
      <c r="DO33" s="3">
        <v>1353372400</v>
      </c>
      <c r="DP33" s="3">
        <v>627769030</v>
      </c>
      <c r="DQ33" s="3">
        <v>2470</v>
      </c>
      <c r="DR33" s="3">
        <v>-0.43277389696653068</v>
      </c>
      <c r="DS33" s="3">
        <v>-2.5289926254622936</v>
      </c>
      <c r="DT33" s="12">
        <v>-2.3333333333333355E-2</v>
      </c>
      <c r="DU33" s="3">
        <v>-1.0983333333333334</v>
      </c>
      <c r="DV33" s="3">
        <v>-1.1216666666666668</v>
      </c>
      <c r="DW33" s="3">
        <v>-9.5334057577403577</v>
      </c>
      <c r="DX33" s="3">
        <v>0.37089498990239833</v>
      </c>
      <c r="DY33" s="3">
        <v>-9.0591520261184986</v>
      </c>
      <c r="DZ33" s="3">
        <v>1985</v>
      </c>
      <c r="EA33" s="3">
        <v>-9.0361741842701182</v>
      </c>
      <c r="EB33" s="3">
        <v>9</v>
      </c>
      <c r="EC33" s="3">
        <v>5.9002789755601359E-2</v>
      </c>
      <c r="ED33" s="3">
        <v>0.53206001287823201</v>
      </c>
      <c r="EE33" s="13">
        <v>-3.02271</v>
      </c>
      <c r="EF33" s="3">
        <v>-3.0371100000000002</v>
      </c>
      <c r="EG33" s="3">
        <v>26.110894989902398</v>
      </c>
      <c r="EH33" s="3" t="s">
        <v>1182</v>
      </c>
      <c r="EI33" s="3">
        <v>0</v>
      </c>
      <c r="EJ33" s="3">
        <v>0</v>
      </c>
      <c r="EK33" s="15">
        <v>45470</v>
      </c>
      <c r="EL33" s="16">
        <v>-1.54</v>
      </c>
      <c r="EM33" s="16">
        <v>-5.44</v>
      </c>
      <c r="EN33" s="16">
        <v>0.73</v>
      </c>
      <c r="EO33" s="16">
        <v>4.79</v>
      </c>
      <c r="EP33" s="16">
        <v>-1.44</v>
      </c>
    </row>
    <row r="34" spans="1:146" ht="276" x14ac:dyDescent="0.25">
      <c r="A34" s="7" t="s">
        <v>1869</v>
      </c>
      <c r="B34" s="7" t="s">
        <v>1868</v>
      </c>
      <c r="C34" s="7" t="str">
        <f>"公司专业从事自动化零部件研发、生产和销售，提供FA工厂自动化零部件一站式供应。公司的主要产品为直线运动零件、传动零部件、气动元件、铝型材及配件、工业框体结构部件、机械加工件、机械小零件、电子电气类、工业自动化设备。"&amp;CHAR(10)&amp;Basic_Fundamental_Information_Constructure(F34)&amp;CHAR(10)&amp;Basic_Fundamental_Information_Concatenate("新能源 6.07亿 39.71% 2.30亿 36.66% 37.87%
其他业务 4.70亿 30.80% 2.16亿 34.47% 45.91%
3C行业 2.97亿 19.48% 1.22亿 19.48% 41.04%
光伏产业 1.53亿 10.01%  5878.39万 9.38% 38.44%")</f>
        <v>公司专业从事自动化零部件研发、生产和销售，提供FA工厂自动化零部件一站式供应。公司的主要产品为直线运动零件、传动零部件、气动元件、铝型材及配件、工业框体结构部件、机械加工件、机械小零件、电子电气类、工业自动化设备。
市值106.776675亿, 利润2.17亿; PE22.21; 平均PE39.15; 平均PEG.95, PB3.38; ROIC19.21%; ROE19.72%; 股利率2.1598%; 毛利39.5333%; 净利20.43%; 上一年度营收增36.9%, 利润增-57.11%; 当季营收增-6.09%, 利润增169.72%; 过往5年营收增41.23%, 利润增30.56%
Income profile:
新能源 6.07亿 39.71% 2.30亿 36.66% 37.87%
其他业务 4.70亿 30.80% 2.16亿 34.47% 45.91%
3C行业 2.97亿 19.48% 1.22亿 19.48% 41.04%
光伏产业 1.53亿 10.01%  5878.39万 9.38% 38.44%</v>
      </c>
      <c r="D34" s="3" t="s">
        <v>547</v>
      </c>
      <c r="E34" s="3" t="s">
        <v>548</v>
      </c>
      <c r="F34" s="3">
        <v>18.52</v>
      </c>
      <c r="G34" s="3">
        <v>-0.22</v>
      </c>
      <c r="H34" s="3" t="s">
        <v>2297</v>
      </c>
      <c r="I34" s="3">
        <v>10677667500</v>
      </c>
      <c r="J34" s="3">
        <v>22.21</v>
      </c>
      <c r="K34" s="3">
        <v>3.38</v>
      </c>
      <c r="L34" s="3" t="s">
        <v>176</v>
      </c>
      <c r="M34" s="3" t="s">
        <v>1497</v>
      </c>
      <c r="N34" s="3" t="s">
        <v>2298</v>
      </c>
      <c r="O34" s="3" t="s">
        <v>1173</v>
      </c>
      <c r="P34" s="3">
        <v>-23.22</v>
      </c>
      <c r="Q34" s="3" t="s">
        <v>2299</v>
      </c>
      <c r="R34" s="3">
        <v>96286776</v>
      </c>
      <c r="S34" s="5">
        <v>-0.4022</v>
      </c>
      <c r="T34" s="3" t="s">
        <v>295</v>
      </c>
      <c r="U34" s="3">
        <v>297949290</v>
      </c>
      <c r="V34" s="3">
        <v>576547920</v>
      </c>
      <c r="W34" s="3">
        <v>1.17</v>
      </c>
      <c r="X34" s="3">
        <v>0.15</v>
      </c>
      <c r="Y34" s="3">
        <v>17.82</v>
      </c>
      <c r="Z34" s="3" t="s">
        <v>658</v>
      </c>
      <c r="AA34" s="3" t="s">
        <v>2285</v>
      </c>
      <c r="AB34" s="3" t="s">
        <v>2300</v>
      </c>
      <c r="AC34" s="3" t="s">
        <v>2301</v>
      </c>
      <c r="AD34" s="3" t="s">
        <v>47</v>
      </c>
      <c r="AE34" s="3">
        <v>-2053677</v>
      </c>
      <c r="AF34" s="3" t="s">
        <v>70</v>
      </c>
      <c r="AG34" s="3" t="s">
        <v>2302</v>
      </c>
      <c r="AH34" s="3" t="s">
        <v>1500</v>
      </c>
      <c r="AI34" s="3" t="s">
        <v>1442</v>
      </c>
      <c r="AJ34" s="3" t="s">
        <v>1501</v>
      </c>
      <c r="AK34" s="3" t="s">
        <v>2303</v>
      </c>
      <c r="AL34" s="3" t="s">
        <v>1502</v>
      </c>
      <c r="AM34" s="3" t="s">
        <v>47</v>
      </c>
      <c r="AN34" s="3" t="s">
        <v>113</v>
      </c>
      <c r="AO34" s="3" t="s">
        <v>47</v>
      </c>
      <c r="AP34" s="3" t="s">
        <v>47</v>
      </c>
      <c r="AQ34" s="3" t="s">
        <v>1880</v>
      </c>
      <c r="AR34" s="3" t="s">
        <v>47</v>
      </c>
      <c r="AS34" s="3" t="s">
        <v>1301</v>
      </c>
      <c r="AT34" s="3" t="s">
        <v>47</v>
      </c>
      <c r="AU34" s="3" t="s">
        <v>164</v>
      </c>
      <c r="AV34" s="3" t="s">
        <v>2304</v>
      </c>
      <c r="AW34" s="3" t="s">
        <v>2305</v>
      </c>
      <c r="AX34" s="3" t="s">
        <v>999</v>
      </c>
      <c r="AY34" s="3" t="s">
        <v>661</v>
      </c>
      <c r="AZ34" s="3" t="s">
        <v>549</v>
      </c>
      <c r="BA34" s="3" t="s">
        <v>550</v>
      </c>
      <c r="BB34" s="3" t="s">
        <v>246</v>
      </c>
      <c r="BC34" s="3" t="s">
        <v>287</v>
      </c>
      <c r="BD34" s="3" t="s">
        <v>389</v>
      </c>
      <c r="BE34" s="3" t="s">
        <v>159</v>
      </c>
      <c r="BF34" s="3" t="s">
        <v>289</v>
      </c>
      <c r="BG34" s="3" t="s">
        <v>551</v>
      </c>
      <c r="BH34" s="3" t="s">
        <v>1498</v>
      </c>
      <c r="BI34" s="3" t="s">
        <v>2306</v>
      </c>
      <c r="BJ34" s="3" t="s">
        <v>999</v>
      </c>
      <c r="BK34" s="3" t="s">
        <v>1499</v>
      </c>
      <c r="BL34" s="3" t="s">
        <v>2307</v>
      </c>
      <c r="BM34" s="3" t="s">
        <v>287</v>
      </c>
      <c r="BN34" s="3">
        <v>15.8</v>
      </c>
      <c r="BO34" s="3">
        <v>20.059999999999999</v>
      </c>
      <c r="BP34" s="3">
        <v>21.77</v>
      </c>
      <c r="BQ34" s="3">
        <v>15.99</v>
      </c>
      <c r="BR34" s="3">
        <v>20.51</v>
      </c>
      <c r="BS34" s="3">
        <v>22.66</v>
      </c>
      <c r="BT34" s="3" t="s">
        <v>857</v>
      </c>
      <c r="BU34" s="3" t="s">
        <v>748</v>
      </c>
      <c r="BV34" s="3">
        <v>37.950000000000003</v>
      </c>
      <c r="BW34" s="3">
        <v>39.08</v>
      </c>
      <c r="BX34" s="3">
        <v>41.57</v>
      </c>
      <c r="BY34" s="3">
        <v>18.93</v>
      </c>
      <c r="BZ34" s="3">
        <v>20.14</v>
      </c>
      <c r="CA34" s="3">
        <v>22.22</v>
      </c>
      <c r="CB34" s="3">
        <v>-5.8</v>
      </c>
      <c r="CC34" s="3">
        <v>-20.239999999999998</v>
      </c>
      <c r="CD34" s="3" t="s">
        <v>2308</v>
      </c>
      <c r="CE34" s="3" t="s">
        <v>100</v>
      </c>
      <c r="CF34" s="10">
        <v>-6.0869565217391307E-2</v>
      </c>
      <c r="CG34" s="11">
        <v>1.6971841228045603</v>
      </c>
      <c r="CH34" s="10">
        <v>0.36898607015609741</v>
      </c>
      <c r="CI34" s="10">
        <v>0.39489737153053284</v>
      </c>
      <c r="CJ34" s="10">
        <v>0.49008271098136902</v>
      </c>
      <c r="CK34" s="10">
        <v>0.59001314640045166</v>
      </c>
      <c r="CL34" s="10">
        <v>0.21760000288486481</v>
      </c>
      <c r="CM34" s="11">
        <v>-0.57114624977111816</v>
      </c>
      <c r="CN34" s="11">
        <v>0.26184538006782532</v>
      </c>
      <c r="CO34" s="11">
        <v>0.47970479726791382</v>
      </c>
      <c r="CP34" s="11">
        <v>0.88194441795349121</v>
      </c>
      <c r="CQ34" s="11">
        <v>0.47552472352981567</v>
      </c>
      <c r="CR34" s="3">
        <v>39.145974892710001</v>
      </c>
      <c r="CS34" s="3">
        <v>0.94941714964880985</v>
      </c>
      <c r="CT34" s="3">
        <v>2.159827213822894</v>
      </c>
      <c r="CU34" s="10">
        <v>0.41231586039066315</v>
      </c>
      <c r="CV34" s="11">
        <v>0.30557461380958556</v>
      </c>
      <c r="CW34" s="3">
        <v>0.06</v>
      </c>
      <c r="CX34" s="3">
        <v>27.962529701128226</v>
      </c>
      <c r="CY34" s="3">
        <v>289125039.34412634</v>
      </c>
      <c r="CZ34" s="3">
        <v>0.41231586039066315</v>
      </c>
      <c r="DA34" s="3">
        <v>7.029697674558764</v>
      </c>
      <c r="DB34" s="3">
        <v>1150073285.4073207</v>
      </c>
      <c r="DC34" s="3">
        <v>0.39170006737112995</v>
      </c>
      <c r="DD34" s="3">
        <v>2.3540830480364572</v>
      </c>
      <c r="DE34" s="3">
        <v>3434317029.1903801</v>
      </c>
      <c r="DF34" s="3">
        <v>0.36283795714378358</v>
      </c>
      <c r="DG34" s="3">
        <v>0.87298789790180009</v>
      </c>
      <c r="DH34" s="3">
        <v>9260915895.204565</v>
      </c>
      <c r="DI34" s="3">
        <v>0.32985268831253056</v>
      </c>
      <c r="DJ34" s="3">
        <v>0.13571655248099251</v>
      </c>
      <c r="DK34" s="3">
        <v>59570239239.110359</v>
      </c>
      <c r="DL34" s="3">
        <v>0.28862110227346416</v>
      </c>
      <c r="DM34" s="3">
        <v>217000000</v>
      </c>
      <c r="DN34" s="3">
        <v>0.41231586039066315</v>
      </c>
      <c r="DO34" s="3">
        <v>8084667500</v>
      </c>
      <c r="DP34" s="3">
        <v>2133145800</v>
      </c>
      <c r="DQ34" s="3">
        <v>2478</v>
      </c>
      <c r="DR34" s="3">
        <v>-0.47318542560805443</v>
      </c>
      <c r="DS34" s="3">
        <v>1.3916095089949747</v>
      </c>
      <c r="DT34" s="12">
        <v>0.22666666666666657</v>
      </c>
      <c r="DU34" s="3">
        <v>0.66999999999999993</v>
      </c>
      <c r="DV34" s="3">
        <v>0.8966666666666665</v>
      </c>
      <c r="DW34" s="3">
        <v>-8.2865612648221347</v>
      </c>
      <c r="DX34" s="3">
        <v>0.42588557692307805</v>
      </c>
      <c r="DY34" s="3">
        <v>-8.0418051554423844</v>
      </c>
      <c r="DZ34" s="3">
        <v>816</v>
      </c>
      <c r="EA34" s="3">
        <v>-8.0351294202484542</v>
      </c>
      <c r="EB34" s="3">
        <v>8</v>
      </c>
      <c r="EC34" s="3">
        <v>2.6315418846710955E-2</v>
      </c>
      <c r="ED34" s="3">
        <v>0.1803839653085558</v>
      </c>
      <c r="EE34" s="13">
        <v>-1.0031000000000001</v>
      </c>
      <c r="EF34" s="3">
        <v>-1.0160100000000001</v>
      </c>
      <c r="EG34" s="3">
        <v>28.145885576923078</v>
      </c>
      <c r="EH34" s="3" t="s">
        <v>954</v>
      </c>
      <c r="EI34" s="3">
        <v>0</v>
      </c>
      <c r="EJ34" s="3">
        <v>1</v>
      </c>
      <c r="EK34" s="15">
        <v>45470</v>
      </c>
      <c r="EL34" s="16">
        <v>-0.11</v>
      </c>
      <c r="EM34" s="16">
        <v>-4.82</v>
      </c>
      <c r="EN34" s="16">
        <v>1.77</v>
      </c>
      <c r="EO34" s="16">
        <v>3.01</v>
      </c>
      <c r="EP34" s="16">
        <v>-1.91</v>
      </c>
    </row>
    <row r="35" spans="1:146" ht="108" x14ac:dyDescent="0.25">
      <c r="C35" s="7" t="str">
        <f>""&amp;CHAR(10)&amp;Basic_Fundamental_Information_Constructure(F35)&amp;CHAR(10)&amp;Basic_Fundamental_Information_Concatenate("")</f>
        <v xml:space="preserve">
市值23.519866亿, 利润1876.96万; PE133.1; 平均PE35.58; 平均PEG1.94, PB1.94; ROIC9.4533%; ROE9.4%; 股利率.5626%; 毛利25.8367%; 净利11.96%; 上一年度营收增-71.27%, 利润增-71.15%; 当季营收增319.24%, 利润增-299.99%; 过往5年营收增-18.35%, 利润增-15.8%
Income profile:
</v>
      </c>
      <c r="D35" s="3" t="s">
        <v>767</v>
      </c>
      <c r="E35" s="3" t="s">
        <v>768</v>
      </c>
      <c r="F35" s="3">
        <v>21.33</v>
      </c>
      <c r="G35" s="3">
        <v>1.57</v>
      </c>
      <c r="H35" s="3" t="s">
        <v>2309</v>
      </c>
      <c r="I35" s="3">
        <v>2351986600</v>
      </c>
      <c r="J35" s="3">
        <v>133.1</v>
      </c>
      <c r="K35" s="3">
        <v>1.94</v>
      </c>
      <c r="L35" s="3" t="s">
        <v>176</v>
      </c>
      <c r="M35" s="3" t="s">
        <v>1154</v>
      </c>
      <c r="N35" s="3" t="s">
        <v>1155</v>
      </c>
      <c r="O35" s="3" t="s">
        <v>1503</v>
      </c>
      <c r="P35" s="3">
        <v>-42.06</v>
      </c>
      <c r="Q35" s="3" t="s">
        <v>200</v>
      </c>
      <c r="R35" s="3">
        <v>-7050512</v>
      </c>
      <c r="S35" s="5">
        <v>-1.3979999999999999</v>
      </c>
      <c r="T35" s="3" t="s">
        <v>2310</v>
      </c>
      <c r="U35" s="3">
        <v>36256909</v>
      </c>
      <c r="V35" s="3">
        <v>110266600</v>
      </c>
      <c r="W35" s="3">
        <v>1.3</v>
      </c>
      <c r="X35" s="3">
        <v>0.05</v>
      </c>
      <c r="Y35" s="3">
        <v>-10.86</v>
      </c>
      <c r="Z35" s="3" t="s">
        <v>2311</v>
      </c>
      <c r="AA35" s="3" t="s">
        <v>2312</v>
      </c>
      <c r="AB35" s="3" t="s">
        <v>2313</v>
      </c>
      <c r="AC35" s="3" t="s">
        <v>2314</v>
      </c>
      <c r="AD35" s="3" t="s">
        <v>47</v>
      </c>
      <c r="AE35" s="3">
        <v>4545596</v>
      </c>
      <c r="AF35" s="3" t="s">
        <v>1506</v>
      </c>
      <c r="AG35" s="3" t="s">
        <v>2315</v>
      </c>
      <c r="AH35" s="3" t="s">
        <v>1507</v>
      </c>
      <c r="AI35" s="3" t="s">
        <v>2316</v>
      </c>
      <c r="AJ35" s="3" t="s">
        <v>1508</v>
      </c>
      <c r="AK35" s="3" t="s">
        <v>2317</v>
      </c>
      <c r="AL35" s="3" t="s">
        <v>1509</v>
      </c>
      <c r="AM35" s="3" t="s">
        <v>47</v>
      </c>
      <c r="AN35" s="3" t="s">
        <v>2318</v>
      </c>
      <c r="AO35" s="3" t="s">
        <v>1510</v>
      </c>
      <c r="AP35" s="3" t="s">
        <v>1511</v>
      </c>
      <c r="AQ35" s="3" t="s">
        <v>2319</v>
      </c>
      <c r="AR35" s="3" t="s">
        <v>47</v>
      </c>
      <c r="AS35" s="3" t="s">
        <v>2320</v>
      </c>
      <c r="AT35" s="3" t="s">
        <v>47</v>
      </c>
      <c r="AU35" s="3" t="s">
        <v>2321</v>
      </c>
      <c r="AV35" s="3" t="s">
        <v>2322</v>
      </c>
      <c r="AW35" s="3" t="s">
        <v>2323</v>
      </c>
      <c r="AX35" s="3" t="s">
        <v>231</v>
      </c>
      <c r="AY35" s="3" t="s">
        <v>769</v>
      </c>
      <c r="AZ35" s="3" t="s">
        <v>771</v>
      </c>
      <c r="BA35" s="3" t="s">
        <v>772</v>
      </c>
      <c r="BB35" s="3" t="s">
        <v>773</v>
      </c>
      <c r="BC35" s="3" t="s">
        <v>1000</v>
      </c>
      <c r="BD35" s="3" t="s">
        <v>770</v>
      </c>
      <c r="BE35" s="3" t="s">
        <v>774</v>
      </c>
      <c r="BF35" s="3" t="s">
        <v>775</v>
      </c>
      <c r="BG35" s="3" t="s">
        <v>776</v>
      </c>
      <c r="BH35" s="3" t="s">
        <v>1504</v>
      </c>
      <c r="BI35" s="3" t="s">
        <v>2324</v>
      </c>
      <c r="BJ35" s="3" t="s">
        <v>231</v>
      </c>
      <c r="BK35" s="3" t="s">
        <v>1505</v>
      </c>
      <c r="BL35" s="3" t="s">
        <v>2325</v>
      </c>
      <c r="BM35" s="3" t="s">
        <v>1000</v>
      </c>
      <c r="BN35" s="3">
        <v>4.0599999999999996</v>
      </c>
      <c r="BO35" s="3">
        <v>7.56</v>
      </c>
      <c r="BP35" s="3">
        <v>16.739999999999998</v>
      </c>
      <c r="BQ35" s="3">
        <v>3.53</v>
      </c>
      <c r="BR35" s="3">
        <v>7.54</v>
      </c>
      <c r="BS35" s="3">
        <v>17.13</v>
      </c>
      <c r="BT35" s="3" t="s">
        <v>862</v>
      </c>
      <c r="BU35" s="3" t="s">
        <v>226</v>
      </c>
      <c r="BV35" s="3">
        <v>23.44</v>
      </c>
      <c r="BW35" s="3">
        <v>27.62</v>
      </c>
      <c r="BX35" s="3">
        <v>26.45</v>
      </c>
      <c r="BY35" s="3">
        <v>7.9</v>
      </c>
      <c r="BZ35" s="3">
        <v>12.1</v>
      </c>
      <c r="CA35" s="3">
        <v>15.88</v>
      </c>
      <c r="CB35" s="3">
        <v>-1.66</v>
      </c>
      <c r="CC35" s="3">
        <v>6.44</v>
      </c>
      <c r="CD35" s="3" t="s">
        <v>2326</v>
      </c>
      <c r="CE35" s="3" t="s">
        <v>2327</v>
      </c>
      <c r="CF35" s="10">
        <v>3.1924454113834404</v>
      </c>
      <c r="CG35" s="11">
        <v>-2.9998615799177424</v>
      </c>
      <c r="CH35" s="10">
        <v>-0.71272724866867065</v>
      </c>
      <c r="CI35" s="10">
        <v>6.3829787075519562E-2</v>
      </c>
      <c r="CJ35" s="10">
        <v>-0.17543859779834747</v>
      </c>
      <c r="CK35" s="10">
        <v>9.6618356183171272E-3</v>
      </c>
      <c r="CL35" s="10">
        <v>-0.10260115563869476</v>
      </c>
      <c r="CM35" s="11">
        <v>-0.71150767803192139</v>
      </c>
      <c r="CN35" s="11">
        <v>-0.19348704814910889</v>
      </c>
      <c r="CO35" s="11">
        <v>0.16001461446285248</v>
      </c>
      <c r="CP35" s="11">
        <v>-0.20305612683296204</v>
      </c>
      <c r="CQ35" s="11">
        <v>0.15828554332256317</v>
      </c>
      <c r="CR35" s="3">
        <v>35.578794292535903</v>
      </c>
      <c r="CS35" s="3">
        <v>1.9393736652643909</v>
      </c>
      <c r="CT35" s="3">
        <v>0.56258790436005623</v>
      </c>
      <c r="CU35" s="10">
        <v>-0.18345507588237525</v>
      </c>
      <c r="CV35" s="11">
        <v>-0.15795013904571534</v>
      </c>
      <c r="CW35" s="3">
        <v>0.06</v>
      </c>
      <c r="CX35" s="3" t="e">
        <v>#VALUE!</v>
      </c>
      <c r="CY35" s="3" t="s">
        <v>1416</v>
      </c>
      <c r="CZ35" s="3">
        <v>-0.18345507588237525</v>
      </c>
      <c r="DA35" s="3">
        <v>27.082562583468302</v>
      </c>
      <c r="DB35" s="3" t="s">
        <v>2328</v>
      </c>
      <c r="DC35" s="3">
        <v>-0.17428232208825647</v>
      </c>
      <c r="DD35" s="3">
        <v>13.541281291734151</v>
      </c>
      <c r="DE35" s="3" t="s">
        <v>2329</v>
      </c>
      <c r="DF35" s="3">
        <v>-0.16144046677649021</v>
      </c>
      <c r="DG35" s="3">
        <v>8.1247687750404918</v>
      </c>
      <c r="DH35" s="3" t="s">
        <v>2330</v>
      </c>
      <c r="DI35" s="3">
        <v>-0.1467640607059002</v>
      </c>
      <c r="DJ35" s="3">
        <v>4.0623843875202459</v>
      </c>
      <c r="DK35" s="3" t="s">
        <v>2331</v>
      </c>
      <c r="DL35" s="3">
        <v>-0.12841855311766268</v>
      </c>
      <c r="DM35" s="3">
        <v>18769600</v>
      </c>
      <c r="DN35" s="3">
        <v>-0.18345507588237525</v>
      </c>
      <c r="DO35" s="3">
        <v>1524986600</v>
      </c>
      <c r="DP35" s="3">
        <v>933550690</v>
      </c>
      <c r="DQ35" s="3">
        <v>2553</v>
      </c>
      <c r="DR35" s="3">
        <v>3.3759004872658158</v>
      </c>
      <c r="DS35" s="3">
        <v>-2.841911440872027</v>
      </c>
      <c r="DT35" s="12">
        <v>-0.90666666666666662</v>
      </c>
      <c r="DU35" s="3">
        <v>-1.2649999999999999</v>
      </c>
      <c r="DV35" s="3">
        <v>-2.1716666666666664</v>
      </c>
      <c r="DW35" s="3">
        <v>2.0644</v>
      </c>
      <c r="DX35" s="3">
        <v>0.53761909357831972</v>
      </c>
      <c r="DY35" s="3">
        <v>2.0236746696264438</v>
      </c>
      <c r="DZ35" s="3">
        <v>3523</v>
      </c>
      <c r="EA35" s="3">
        <v>2.0073525833066861</v>
      </c>
      <c r="EB35" s="3">
        <v>2</v>
      </c>
      <c r="EC35" s="3">
        <v>0.22107601032406912</v>
      </c>
      <c r="ED35" s="3">
        <v>0.6013724917608777</v>
      </c>
      <c r="EE35" s="13">
        <v>-2.0036100000000001</v>
      </c>
      <c r="EF35" s="3">
        <v>-2.01891</v>
      </c>
      <c r="EG35" s="3">
        <v>17.36761909357832</v>
      </c>
      <c r="EH35" s="3" t="s">
        <v>958</v>
      </c>
      <c r="EI35" s="3">
        <v>1</v>
      </c>
      <c r="EJ35" s="3">
        <v>0</v>
      </c>
      <c r="EK35" s="15">
        <v>45470</v>
      </c>
      <c r="EL35" s="16">
        <v>-1.02</v>
      </c>
      <c r="EM35" s="16">
        <v>-5.77</v>
      </c>
      <c r="EN35" s="16">
        <v>0.8</v>
      </c>
      <c r="EO35" s="16">
        <v>3.97</v>
      </c>
      <c r="EP35" s="16">
        <v>-1.53</v>
      </c>
    </row>
    <row r="36" spans="1:146" ht="108" x14ac:dyDescent="0.25">
      <c r="C36" s="7" t="str">
        <f>""&amp;CHAR(10)&amp;Basic_Fundamental_Information_Constructure(F36)&amp;CHAR(10)&amp;Basic_Fundamental_Information_Concatenate("")</f>
        <v xml:space="preserve">
市值31.20156亿, 利润1.36亿; PE70.79; 平均PE36.18; 平均PEG1.35, PB1.74; ROIC2.6367%; ROE3.8767%; 股利率.2991%; 毛利17.9733%; 净利4.9533%; 上一年度营收增132.76%, 利润增532.68%; 当季营收增24.25%, 利润增-45.02%; 过往5年营收增26.89%, 利润增89.33%
Income profile:
</v>
      </c>
      <c r="D36" s="3" t="s">
        <v>662</v>
      </c>
      <c r="E36" s="3" t="s">
        <v>663</v>
      </c>
      <c r="F36" s="3">
        <v>23.4</v>
      </c>
      <c r="G36" s="3">
        <v>-1.27</v>
      </c>
      <c r="H36" s="3" t="s">
        <v>1875</v>
      </c>
      <c r="I36" s="3">
        <v>3120156000</v>
      </c>
      <c r="J36" s="3">
        <v>70.790000000000006</v>
      </c>
      <c r="K36" s="3">
        <v>1.74</v>
      </c>
      <c r="L36" s="3" t="s">
        <v>176</v>
      </c>
      <c r="M36" s="3" t="s">
        <v>1513</v>
      </c>
      <c r="N36" s="3" t="s">
        <v>245</v>
      </c>
      <c r="O36" s="3" t="s">
        <v>290</v>
      </c>
      <c r="P36" s="3">
        <v>187.19</v>
      </c>
      <c r="Q36" s="3" t="s">
        <v>1521</v>
      </c>
      <c r="R36" s="3">
        <v>28782163</v>
      </c>
      <c r="S36" s="5">
        <v>1.218</v>
      </c>
      <c r="T36" s="3" t="s">
        <v>320</v>
      </c>
      <c r="U36" s="3">
        <v>46715000</v>
      </c>
      <c r="V36" s="3">
        <v>133340000</v>
      </c>
      <c r="W36" s="3">
        <v>1.77</v>
      </c>
      <c r="X36" s="3">
        <v>0.12</v>
      </c>
      <c r="Y36" s="3">
        <v>7.69</v>
      </c>
      <c r="Z36" s="3" t="s">
        <v>60</v>
      </c>
      <c r="AA36" s="3" t="s">
        <v>1119</v>
      </c>
      <c r="AB36" s="3" t="s">
        <v>2332</v>
      </c>
      <c r="AC36" s="3" t="s">
        <v>2333</v>
      </c>
      <c r="AD36" s="3" t="s">
        <v>47</v>
      </c>
      <c r="AE36" s="3">
        <v>-492200</v>
      </c>
      <c r="AF36" s="3" t="s">
        <v>1516</v>
      </c>
      <c r="AG36" s="3" t="s">
        <v>2334</v>
      </c>
      <c r="AH36" s="3" t="s">
        <v>1517</v>
      </c>
      <c r="AI36" s="3" t="s">
        <v>154</v>
      </c>
      <c r="AJ36" s="3" t="s">
        <v>1518</v>
      </c>
      <c r="AK36" s="3" t="s">
        <v>2335</v>
      </c>
      <c r="AL36" s="3" t="s">
        <v>1519</v>
      </c>
      <c r="AM36" s="3" t="s">
        <v>47</v>
      </c>
      <c r="AN36" s="3" t="s">
        <v>2336</v>
      </c>
      <c r="AO36" s="3" t="s">
        <v>47</v>
      </c>
      <c r="AP36" s="3" t="s">
        <v>2337</v>
      </c>
      <c r="AQ36" s="3" t="s">
        <v>116</v>
      </c>
      <c r="AR36" s="3" t="s">
        <v>47</v>
      </c>
      <c r="AS36" s="3" t="s">
        <v>2338</v>
      </c>
      <c r="AT36" s="3" t="s">
        <v>47</v>
      </c>
      <c r="AU36" s="3" t="s">
        <v>2339</v>
      </c>
      <c r="AV36" s="3" t="s">
        <v>1177</v>
      </c>
      <c r="AW36" s="3" t="s">
        <v>47</v>
      </c>
      <c r="AX36" s="3" t="s">
        <v>1001</v>
      </c>
      <c r="AY36" s="3" t="s">
        <v>664</v>
      </c>
      <c r="AZ36" s="3" t="s">
        <v>426</v>
      </c>
      <c r="BA36" s="3" t="s">
        <v>53</v>
      </c>
      <c r="BB36" s="3" t="s">
        <v>666</v>
      </c>
      <c r="BC36" s="3" t="s">
        <v>1002</v>
      </c>
      <c r="BD36" s="3" t="s">
        <v>665</v>
      </c>
      <c r="BE36" s="3" t="s">
        <v>668</v>
      </c>
      <c r="BF36" s="3" t="s">
        <v>284</v>
      </c>
      <c r="BG36" s="3" t="s">
        <v>669</v>
      </c>
      <c r="BH36" s="3" t="s">
        <v>1514</v>
      </c>
      <c r="BI36" s="3" t="s">
        <v>512</v>
      </c>
      <c r="BJ36" s="3" t="s">
        <v>1001</v>
      </c>
      <c r="BK36" s="3" t="s">
        <v>1515</v>
      </c>
      <c r="BL36" s="3" t="s">
        <v>1526</v>
      </c>
      <c r="BM36" s="3" t="s">
        <v>1002</v>
      </c>
      <c r="BN36" s="3">
        <v>1.39</v>
      </c>
      <c r="BO36" s="3">
        <v>0.92</v>
      </c>
      <c r="BP36" s="3">
        <v>5.6</v>
      </c>
      <c r="BQ36" s="3">
        <v>1.52</v>
      </c>
      <c r="BR36" s="3">
        <v>1.24</v>
      </c>
      <c r="BS36" s="3">
        <v>8.8699999999999992</v>
      </c>
      <c r="BT36" s="3" t="s">
        <v>859</v>
      </c>
      <c r="BU36" s="3" t="s">
        <v>226</v>
      </c>
      <c r="BV36" s="3">
        <v>17.079999999999998</v>
      </c>
      <c r="BW36" s="3">
        <v>16.489999999999998</v>
      </c>
      <c r="BX36" s="3">
        <v>20.350000000000001</v>
      </c>
      <c r="BY36" s="3">
        <v>2.9</v>
      </c>
      <c r="BZ36" s="3">
        <v>3.06</v>
      </c>
      <c r="CA36" s="3">
        <v>8.9</v>
      </c>
      <c r="CB36" s="3">
        <v>-3.23</v>
      </c>
      <c r="CC36" s="3">
        <v>-7.4</v>
      </c>
      <c r="CD36" s="3" t="s">
        <v>2340</v>
      </c>
      <c r="CE36" s="3" t="s">
        <v>2341</v>
      </c>
      <c r="CF36" s="10">
        <v>0.2425249169435216</v>
      </c>
      <c r="CG36" s="11">
        <v>-0.45022266409944911</v>
      </c>
      <c r="CH36" s="10">
        <v>1.3276352882385254</v>
      </c>
      <c r="CI36" s="10">
        <v>-0.13440197706222534</v>
      </c>
      <c r="CJ36" s="10">
        <v>9.8915986716747284E-2</v>
      </c>
      <c r="CK36" s="10">
        <v>6.8212822079658508E-3</v>
      </c>
      <c r="CL36" s="10">
        <v>4.5649074018001556E-2</v>
      </c>
      <c r="CM36" s="11">
        <v>5.3267879486083984</v>
      </c>
      <c r="CN36" s="11">
        <v>-0.70216357707977295</v>
      </c>
      <c r="CO36" s="11">
        <v>-0.26874625682830811</v>
      </c>
      <c r="CP36" s="11">
        <v>-1.3016959652304649E-2</v>
      </c>
      <c r="CQ36" s="11">
        <v>0.12351976335048676</v>
      </c>
      <c r="CR36" s="3">
        <v>36.18455286768539</v>
      </c>
      <c r="CS36" s="3">
        <v>1.3455311603113986</v>
      </c>
      <c r="CT36" s="3">
        <v>0.29914529914529914</v>
      </c>
      <c r="CU36" s="10">
        <v>0.26892393082380295</v>
      </c>
      <c r="CV36" s="11">
        <v>0.89327618367969985</v>
      </c>
      <c r="CW36" s="3">
        <v>0.06</v>
      </c>
      <c r="CX36" s="3">
        <v>17.531096314510087</v>
      </c>
      <c r="CY36" s="3">
        <v>162805334.5207898</v>
      </c>
      <c r="CZ36" s="3">
        <v>0.26892393082380295</v>
      </c>
      <c r="DA36" s="3">
        <v>4.9394019227682957</v>
      </c>
      <c r="DB36" s="3">
        <v>577834329.86971498</v>
      </c>
      <c r="DC36" s="3">
        <v>0.25547773428261278</v>
      </c>
      <c r="DD36" s="3">
        <v>1.9703871883806152</v>
      </c>
      <c r="DE36" s="3">
        <v>1448525455.7231059</v>
      </c>
      <c r="DF36" s="3">
        <v>0.23665305912494661</v>
      </c>
      <c r="DG36" s="3">
        <v>0.91783562523575324</v>
      </c>
      <c r="DH36" s="3">
        <v>3109659204.2468257</v>
      </c>
      <c r="DI36" s="3">
        <v>0.21513914465904238</v>
      </c>
      <c r="DJ36" s="3">
        <v>0.25687209326483379</v>
      </c>
      <c r="DK36" s="3">
        <v>11111195317.964649</v>
      </c>
      <c r="DL36" s="3">
        <v>0.18824675157666204</v>
      </c>
      <c r="DM36" s="3">
        <v>136000000</v>
      </c>
      <c r="DN36" s="3">
        <v>0.26892393082380295</v>
      </c>
      <c r="DO36" s="3">
        <v>2854156000</v>
      </c>
      <c r="DP36" s="3">
        <v>1513230200</v>
      </c>
      <c r="DQ36" s="3">
        <v>2624</v>
      </c>
      <c r="DR36" s="3">
        <v>-2.6399013880281347E-2</v>
      </c>
      <c r="DS36" s="3">
        <v>-1.343498847779149</v>
      </c>
      <c r="DT36" s="12">
        <v>-0.10666666666666669</v>
      </c>
      <c r="DU36" s="3">
        <v>-0.35333333333333333</v>
      </c>
      <c r="DV36" s="3">
        <v>-0.46</v>
      </c>
      <c r="DW36" s="3">
        <v>-8.436486486486487</v>
      </c>
      <c r="DX36" s="3">
        <v>0.50648573698889954</v>
      </c>
      <c r="DY36" s="3">
        <v>-8.0813985041181287</v>
      </c>
      <c r="DZ36" s="3">
        <v>3263</v>
      </c>
      <c r="EA36" s="3">
        <v>-8.0294213379855552</v>
      </c>
      <c r="EB36" s="3">
        <v>8</v>
      </c>
      <c r="EC36" s="3">
        <v>0.10490025498725064</v>
      </c>
      <c r="ED36" s="3">
        <v>0.56251087445627723</v>
      </c>
      <c r="EE36" s="13">
        <v>-3.0476999999999999</v>
      </c>
      <c r="EF36" s="3">
        <v>-3.0388999999999999</v>
      </c>
      <c r="EG36" s="3">
        <v>32.186485736988899</v>
      </c>
      <c r="EH36" s="3" t="s">
        <v>1123</v>
      </c>
      <c r="EI36" s="3">
        <v>0</v>
      </c>
      <c r="EJ36" s="3">
        <v>0</v>
      </c>
      <c r="EK36" s="15">
        <v>45470</v>
      </c>
      <c r="EL36" s="16">
        <v>-0.64</v>
      </c>
      <c r="EM36" s="16">
        <v>-4.74</v>
      </c>
      <c r="EN36" s="16">
        <v>1.62</v>
      </c>
      <c r="EO36" s="16">
        <v>5.56</v>
      </c>
      <c r="EP36" s="16">
        <v>-0.88</v>
      </c>
    </row>
    <row r="37" spans="1:146" ht="108" x14ac:dyDescent="0.25">
      <c r="C37" s="7" t="str">
        <f>""&amp;CHAR(10)&amp;Basic_Fundamental_Information_Constructure(F37)&amp;CHAR(10)&amp;Basic_Fundamental_Information_Concatenate("")</f>
        <v xml:space="preserve">
市值127.932亿, 利润9098.03万; PE87.15; 平均PE36.04; 平均PEG15.51, PB2.68; ROIC13.42%; ROE15.09%; 股利率0%; 毛利36.2367%; 净利13.64%; 上一年度营收增-85.14%, 利润增-79.08%; 当季营收增636.27%, 利润增223.75%; 过往5年营收增2.32%, 利润增1.51%
Income profile:
</v>
      </c>
      <c r="D37" s="3" t="s">
        <v>670</v>
      </c>
      <c r="E37" s="3" t="s">
        <v>671</v>
      </c>
      <c r="F37" s="3">
        <v>30.46</v>
      </c>
      <c r="G37" s="3">
        <v>1.03</v>
      </c>
      <c r="H37" s="3" t="s">
        <v>2342</v>
      </c>
      <c r="I37" s="3">
        <v>12793200000</v>
      </c>
      <c r="J37" s="3">
        <v>87.15</v>
      </c>
      <c r="K37" s="3">
        <v>2.68</v>
      </c>
      <c r="L37" s="3" t="s">
        <v>176</v>
      </c>
      <c r="M37" s="3" t="s">
        <v>1520</v>
      </c>
      <c r="N37" s="3" t="s">
        <v>2343</v>
      </c>
      <c r="O37" s="3" t="s">
        <v>736</v>
      </c>
      <c r="P37" s="3">
        <v>149.08000000000001</v>
      </c>
      <c r="Q37" s="3" t="s">
        <v>2344</v>
      </c>
      <c r="R37" s="3">
        <v>63601152</v>
      </c>
      <c r="S37" s="5">
        <v>0.21490000000000001</v>
      </c>
      <c r="T37" s="3" t="s">
        <v>2345</v>
      </c>
      <c r="U37" s="3">
        <v>58403051</v>
      </c>
      <c r="V37" s="3">
        <v>420000000</v>
      </c>
      <c r="W37" s="3">
        <v>1.39</v>
      </c>
      <c r="X37" s="3">
        <v>0.12</v>
      </c>
      <c r="Y37" s="3">
        <v>8.44</v>
      </c>
      <c r="Z37" s="3" t="s">
        <v>1738</v>
      </c>
      <c r="AA37" s="3" t="s">
        <v>831</v>
      </c>
      <c r="AB37" s="3" t="s">
        <v>2346</v>
      </c>
      <c r="AC37" s="3" t="s">
        <v>2347</v>
      </c>
      <c r="AD37" s="3" t="s">
        <v>47</v>
      </c>
      <c r="AE37" s="3">
        <v>-1746939</v>
      </c>
      <c r="AF37" s="3" t="s">
        <v>1522</v>
      </c>
      <c r="AG37" s="3" t="s">
        <v>2348</v>
      </c>
      <c r="AH37" s="3" t="s">
        <v>1523</v>
      </c>
      <c r="AI37" s="3" t="s">
        <v>2349</v>
      </c>
      <c r="AJ37" s="3" t="s">
        <v>1524</v>
      </c>
      <c r="AK37" s="3" t="s">
        <v>432</v>
      </c>
      <c r="AL37" s="3" t="s">
        <v>1525</v>
      </c>
      <c r="AM37" s="3" t="s">
        <v>47</v>
      </c>
      <c r="AN37" s="3" t="s">
        <v>407</v>
      </c>
      <c r="AO37" s="3" t="s">
        <v>2350</v>
      </c>
      <c r="AP37" s="3" t="s">
        <v>2351</v>
      </c>
      <c r="AQ37" s="3" t="s">
        <v>2352</v>
      </c>
      <c r="AR37" s="3" t="s">
        <v>47</v>
      </c>
      <c r="AS37" s="3" t="s">
        <v>2353</v>
      </c>
      <c r="AT37" s="3" t="s">
        <v>47</v>
      </c>
      <c r="AU37" s="3" t="s">
        <v>2354</v>
      </c>
      <c r="AV37" s="3" t="s">
        <v>2355</v>
      </c>
      <c r="AW37" s="3" t="s">
        <v>319</v>
      </c>
      <c r="AX37" s="3" t="s">
        <v>1004</v>
      </c>
      <c r="AY37" s="3" t="s">
        <v>672</v>
      </c>
      <c r="AZ37" s="3" t="s">
        <v>674</v>
      </c>
      <c r="BA37" s="3" t="s">
        <v>675</v>
      </c>
      <c r="BB37" s="3" t="s">
        <v>676</v>
      </c>
      <c r="BC37" s="3" t="s">
        <v>1005</v>
      </c>
      <c r="BD37" s="3" t="s">
        <v>673</v>
      </c>
      <c r="BE37" s="3" t="s">
        <v>530</v>
      </c>
      <c r="BF37" s="3" t="s">
        <v>145</v>
      </c>
      <c r="BG37" s="3" t="s">
        <v>124</v>
      </c>
      <c r="BH37" s="3" t="s">
        <v>1521</v>
      </c>
      <c r="BI37" s="3" t="s">
        <v>123</v>
      </c>
      <c r="BJ37" s="3" t="s">
        <v>1004</v>
      </c>
      <c r="BK37" s="3" t="s">
        <v>320</v>
      </c>
      <c r="BL37" s="3" t="s">
        <v>2356</v>
      </c>
      <c r="BM37" s="3" t="s">
        <v>1005</v>
      </c>
      <c r="BN37" s="3">
        <v>2.4700000000000002</v>
      </c>
      <c r="BO37" s="3">
        <v>9.23</v>
      </c>
      <c r="BP37" s="3">
        <v>28.56</v>
      </c>
      <c r="BQ37" s="3">
        <v>2.93</v>
      </c>
      <c r="BR37" s="3">
        <v>8.59</v>
      </c>
      <c r="BS37" s="3">
        <v>33.75</v>
      </c>
      <c r="BT37" s="3" t="s">
        <v>856</v>
      </c>
      <c r="BU37" s="3" t="s">
        <v>748</v>
      </c>
      <c r="BV37" s="3">
        <v>35.04</v>
      </c>
      <c r="BW37" s="3">
        <v>37.33</v>
      </c>
      <c r="BX37" s="3">
        <v>36.340000000000003</v>
      </c>
      <c r="BY37" s="3">
        <v>8.3000000000000007</v>
      </c>
      <c r="BZ37" s="3">
        <v>15.51</v>
      </c>
      <c r="CA37" s="3">
        <v>17.11</v>
      </c>
      <c r="CB37" s="3">
        <v>-3.49</v>
      </c>
      <c r="CC37" s="3">
        <v>-10.01</v>
      </c>
      <c r="CD37" s="3" t="s">
        <v>2357</v>
      </c>
      <c r="CE37" s="3" t="s">
        <v>2358</v>
      </c>
      <c r="CF37" s="10">
        <v>6.3627450980392153</v>
      </c>
      <c r="CG37" s="11">
        <v>2.2375236446933062</v>
      </c>
      <c r="CH37" s="10">
        <v>-0.85139977931976318</v>
      </c>
      <c r="CI37" s="10">
        <v>-0.3173241913318634</v>
      </c>
      <c r="CJ37" s="10">
        <v>0.84660643339157104</v>
      </c>
      <c r="CK37" s="10">
        <v>0.67044579982757568</v>
      </c>
      <c r="CL37" s="10">
        <v>-0.23215320706367493</v>
      </c>
      <c r="CM37" s="11">
        <v>-0.79084992408752441</v>
      </c>
      <c r="CN37" s="11">
        <v>-0.37768241763114929</v>
      </c>
      <c r="CO37" s="11">
        <v>1.299342155456543</v>
      </c>
      <c r="CP37" s="11">
        <v>0.3333333432674408</v>
      </c>
      <c r="CQ37" s="11">
        <v>-0.3887399435043335</v>
      </c>
      <c r="CR37" s="3">
        <v>36.037516403320723</v>
      </c>
      <c r="CS37" s="3">
        <v>15.510006105453479</v>
      </c>
      <c r="CT37" s="3">
        <v>0</v>
      </c>
      <c r="CU37" s="10">
        <v>2.3235011100769042E-2</v>
      </c>
      <c r="CV37" s="11">
        <v>1.5080642700195313E-2</v>
      </c>
      <c r="CW37" s="3">
        <v>0.06</v>
      </c>
      <c r="CX37" s="3">
        <v>105.8266681186805</v>
      </c>
      <c r="CY37" s="3">
        <v>87824743.660803109</v>
      </c>
      <c r="CZ37" s="3">
        <v>2.3235011100769042E-2</v>
      </c>
      <c r="DA37" s="3">
        <v>36.60993088489753</v>
      </c>
      <c r="DB37" s="3">
        <v>253871006.45508403</v>
      </c>
      <c r="DC37" s="3">
        <v>2.207326054573059E-2</v>
      </c>
      <c r="DD37" s="3">
        <v>19.408953362415222</v>
      </c>
      <c r="DE37" s="3">
        <v>478861473.17958432</v>
      </c>
      <c r="DF37" s="3">
        <v>2.0446809768676757E-2</v>
      </c>
      <c r="DG37" s="3">
        <v>12.636113523338812</v>
      </c>
      <c r="DH37" s="3">
        <v>735526788.5836637</v>
      </c>
      <c r="DI37" s="3">
        <v>1.8588008880615233E-2</v>
      </c>
      <c r="DJ37" s="3">
        <v>7.7202609506806201</v>
      </c>
      <c r="DK37" s="3">
        <v>1203871223.9617524</v>
      </c>
      <c r="DL37" s="3">
        <v>1.6264507770538329E-2</v>
      </c>
      <c r="DM37" s="3">
        <v>90980300</v>
      </c>
      <c r="DN37" s="3">
        <v>2.3235011100769042E-2</v>
      </c>
      <c r="DO37" s="3">
        <v>9294200000</v>
      </c>
      <c r="DP37" s="3">
        <v>3547973700</v>
      </c>
      <c r="DQ37" s="3">
        <v>2625</v>
      </c>
      <c r="DR37" s="3">
        <v>6.3395100869384464</v>
      </c>
      <c r="DS37" s="3">
        <v>2.2224430019931107</v>
      </c>
      <c r="DT37" s="12">
        <v>-0.52333333333333332</v>
      </c>
      <c r="DU37" s="3">
        <v>-0.19999999999999996</v>
      </c>
      <c r="DV37" s="3">
        <v>-0.72333333333333327</v>
      </c>
      <c r="DW37" s="3">
        <v>-8.3486513486513481</v>
      </c>
      <c r="DX37" s="3">
        <v>0.34103285454250565</v>
      </c>
      <c r="DY37" s="3">
        <v>-8.0421982679673665</v>
      </c>
      <c r="DZ37" s="3">
        <v>1576</v>
      </c>
      <c r="EA37" s="3">
        <v>-8.0291836945198973</v>
      </c>
      <c r="EB37" s="3">
        <v>8</v>
      </c>
      <c r="EC37" s="3">
        <v>6.3959523809523806E-3</v>
      </c>
      <c r="ED37" s="3">
        <v>5.2844761904761901E-2</v>
      </c>
      <c r="EE37" s="13">
        <v>-2.0221100000000001</v>
      </c>
      <c r="EF37" s="3">
        <v>-2.0415100000000002</v>
      </c>
      <c r="EG37" s="3">
        <v>22.121032854542506</v>
      </c>
      <c r="EH37" s="3" t="s">
        <v>958</v>
      </c>
      <c r="EI37" s="3">
        <v>0</v>
      </c>
      <c r="EJ37" s="3">
        <v>0</v>
      </c>
      <c r="EK37" s="15">
        <v>45470</v>
      </c>
      <c r="EL37" s="16">
        <v>-1.31</v>
      </c>
      <c r="EM37" s="16">
        <v>-4.2699999999999996</v>
      </c>
      <c r="EN37" s="16">
        <v>1.47</v>
      </c>
      <c r="EO37" s="16">
        <v>4.3499999999999996</v>
      </c>
      <c r="EP37" s="16">
        <v>-1.94</v>
      </c>
    </row>
    <row r="38" spans="1:146" ht="108" x14ac:dyDescent="0.25">
      <c r="C38" s="7" t="str">
        <f>""&amp;CHAR(10)&amp;Basic_Fundamental_Information_Constructure(F38)&amp;CHAR(10)&amp;Basic_Fundamental_Information_Concatenate("")</f>
        <v xml:space="preserve">
市值30.217813亿, 利润1050.22万; PE80.71; 平均PE39.21; 平均PEG2.29, PB2.62; ROIC19.04%; ROE21.0933%; 股利率1.4451%; 毛利40.0667%; 净利20.3067%; 上一年度营收增13.39%, 利润增-91.02%; 当季营收增-20.83%, 利润增-1428.52%; 过往5年营收增17.11%, 利润增-2.83%
Income profile:
</v>
      </c>
      <c r="D38" s="3" t="s">
        <v>822</v>
      </c>
      <c r="E38" s="3" t="s">
        <v>823</v>
      </c>
      <c r="F38" s="3">
        <v>34.6</v>
      </c>
      <c r="G38" s="3">
        <v>1.23</v>
      </c>
      <c r="H38" s="3" t="s">
        <v>2359</v>
      </c>
      <c r="I38" s="3">
        <v>3021781300</v>
      </c>
      <c r="J38" s="3">
        <v>80.709999999999994</v>
      </c>
      <c r="K38" s="3">
        <v>2.62</v>
      </c>
      <c r="L38" s="3" t="s">
        <v>176</v>
      </c>
      <c r="M38" s="3" t="s">
        <v>108</v>
      </c>
      <c r="N38" s="3" t="s">
        <v>1124</v>
      </c>
      <c r="O38" s="3" t="s">
        <v>1527</v>
      </c>
      <c r="P38" s="3">
        <v>-41.76</v>
      </c>
      <c r="Q38" s="3" t="s">
        <v>1497</v>
      </c>
      <c r="R38" s="3">
        <v>-6402956</v>
      </c>
      <c r="S38" s="5">
        <v>-1.2230000000000001</v>
      </c>
      <c r="T38" s="3" t="s">
        <v>2360</v>
      </c>
      <c r="U38" s="3">
        <v>25817366</v>
      </c>
      <c r="V38" s="3">
        <v>87334720</v>
      </c>
      <c r="W38" s="3">
        <v>1.1299999999999999</v>
      </c>
      <c r="X38" s="3">
        <v>0.06</v>
      </c>
      <c r="Y38" s="3">
        <v>-7.57</v>
      </c>
      <c r="Z38" s="3" t="s">
        <v>2361</v>
      </c>
      <c r="AA38" s="3" t="s">
        <v>2362</v>
      </c>
      <c r="AB38" s="3" t="s">
        <v>2363</v>
      </c>
      <c r="AC38" s="3" t="s">
        <v>2364</v>
      </c>
      <c r="AD38" s="3" t="s">
        <v>47</v>
      </c>
      <c r="AE38" s="3">
        <v>-1863131</v>
      </c>
      <c r="AF38" s="3" t="s">
        <v>1530</v>
      </c>
      <c r="AG38" s="3">
        <v>9576.11</v>
      </c>
      <c r="AH38" s="3" t="s">
        <v>1531</v>
      </c>
      <c r="AI38" s="3" t="s">
        <v>840</v>
      </c>
      <c r="AJ38" s="3" t="s">
        <v>1532</v>
      </c>
      <c r="AK38" s="3" t="s">
        <v>2365</v>
      </c>
      <c r="AL38" s="3" t="s">
        <v>1533</v>
      </c>
      <c r="AM38" s="3" t="s">
        <v>47</v>
      </c>
      <c r="AN38" s="3">
        <v>0</v>
      </c>
      <c r="AO38" s="3" t="s">
        <v>47</v>
      </c>
      <c r="AP38" s="3" t="s">
        <v>47</v>
      </c>
      <c r="AQ38" s="3" t="s">
        <v>2366</v>
      </c>
      <c r="AR38" s="3" t="s">
        <v>47</v>
      </c>
      <c r="AS38" s="3" t="s">
        <v>154</v>
      </c>
      <c r="AT38" s="3" t="s">
        <v>47</v>
      </c>
      <c r="AU38" s="3" t="s">
        <v>2367</v>
      </c>
      <c r="AV38" s="3" t="s">
        <v>2368</v>
      </c>
      <c r="AW38" s="3" t="s">
        <v>2369</v>
      </c>
      <c r="AX38" s="3" t="s">
        <v>128</v>
      </c>
      <c r="AY38" s="3" t="s">
        <v>261</v>
      </c>
      <c r="AZ38" s="3" t="s">
        <v>178</v>
      </c>
      <c r="BA38" s="3" t="s">
        <v>391</v>
      </c>
      <c r="BB38" s="3" t="s">
        <v>156</v>
      </c>
      <c r="BC38" s="3" t="s">
        <v>106</v>
      </c>
      <c r="BD38" s="3" t="s">
        <v>118</v>
      </c>
      <c r="BE38" s="3" t="s">
        <v>824</v>
      </c>
      <c r="BF38" s="3" t="s">
        <v>825</v>
      </c>
      <c r="BG38" s="3" t="s">
        <v>826</v>
      </c>
      <c r="BH38" s="3" t="s">
        <v>1528</v>
      </c>
      <c r="BI38" s="3" t="s">
        <v>123</v>
      </c>
      <c r="BJ38" s="3" t="s">
        <v>128</v>
      </c>
      <c r="BK38" s="3" t="s">
        <v>1529</v>
      </c>
      <c r="BL38" s="3" t="s">
        <v>2370</v>
      </c>
      <c r="BM38" s="3" t="s">
        <v>106</v>
      </c>
      <c r="BN38" s="3">
        <v>3.23</v>
      </c>
      <c r="BO38" s="3">
        <v>14.95</v>
      </c>
      <c r="BP38" s="3">
        <v>38.94</v>
      </c>
      <c r="BQ38" s="3">
        <v>4.6399999999999997</v>
      </c>
      <c r="BR38" s="3">
        <v>17.350000000000001</v>
      </c>
      <c r="BS38" s="3">
        <v>41.29</v>
      </c>
      <c r="BT38" s="3" t="s">
        <v>1534</v>
      </c>
      <c r="BU38" s="3" t="s">
        <v>747</v>
      </c>
      <c r="BV38" s="3">
        <v>36.06</v>
      </c>
      <c r="BW38" s="3">
        <v>43.21</v>
      </c>
      <c r="BX38" s="3">
        <v>40.93</v>
      </c>
      <c r="BY38" s="3">
        <v>17.02</v>
      </c>
      <c r="BZ38" s="3">
        <v>22.96</v>
      </c>
      <c r="CA38" s="3">
        <v>20.94</v>
      </c>
      <c r="CB38" s="3">
        <v>-10.039999999999999</v>
      </c>
      <c r="CC38" s="3">
        <v>-10.63</v>
      </c>
      <c r="CD38" s="3" t="s">
        <v>2371</v>
      </c>
      <c r="CE38" s="3" t="s">
        <v>2372</v>
      </c>
      <c r="CF38" s="10">
        <v>-0.20827254901960784</v>
      </c>
      <c r="CG38" s="11">
        <v>-14.285165910718549</v>
      </c>
      <c r="CH38" s="10">
        <v>0.13385826349258423</v>
      </c>
      <c r="CI38" s="10">
        <v>-7.468123733997345E-2</v>
      </c>
      <c r="CJ38" s="10">
        <v>0.55524080991744995</v>
      </c>
      <c r="CK38" s="10">
        <v>0.25177305936813354</v>
      </c>
      <c r="CL38" s="10">
        <v>-1.0526316240429878E-2</v>
      </c>
      <c r="CM38" s="11">
        <v>-0.91023761034011841</v>
      </c>
      <c r="CN38" s="11">
        <v>1.7391303554177284E-2</v>
      </c>
      <c r="CO38" s="11">
        <v>0.23539675772190094</v>
      </c>
      <c r="CP38" s="11">
        <v>0.37919050455093384</v>
      </c>
      <c r="CQ38" s="11">
        <v>0.13692232966423035</v>
      </c>
      <c r="CR38" s="1">
        <v>39.205742547623544</v>
      </c>
      <c r="CS38" s="1">
        <v>2.2909527577021604</v>
      </c>
      <c r="CT38" s="1">
        <v>1.445086705202312</v>
      </c>
      <c r="CU38" s="10">
        <v>0.17113291583955287</v>
      </c>
      <c r="CV38" s="11">
        <v>-2.8267342969775199E-2</v>
      </c>
      <c r="CW38" s="3">
        <v>0.06</v>
      </c>
      <c r="CX38" s="3">
        <v>170.19170900141322</v>
      </c>
      <c r="CY38" s="3">
        <v>11603275.574273728</v>
      </c>
      <c r="CZ38" s="3">
        <v>0.17113291583955287</v>
      </c>
      <c r="DA38" s="3">
        <v>51.957950659358652</v>
      </c>
      <c r="DB38" s="3">
        <v>38007297.727095842</v>
      </c>
      <c r="DC38" s="3">
        <v>0.16257627004757522</v>
      </c>
      <c r="DD38" s="3">
        <v>23.290330340817064</v>
      </c>
      <c r="DE38" s="3">
        <v>84789750.557514906</v>
      </c>
      <c r="DF38" s="3">
        <v>0.15059696593880653</v>
      </c>
      <c r="DG38" s="3">
        <v>12.53667954097609</v>
      </c>
      <c r="DH38" s="3">
        <v>157520282.26815838</v>
      </c>
      <c r="DI38" s="3">
        <v>0.13690633267164229</v>
      </c>
      <c r="DJ38" s="3">
        <v>5.0285956793423852</v>
      </c>
      <c r="DK38" s="3">
        <v>392710296.45760906</v>
      </c>
      <c r="DL38" s="3">
        <v>0.119793041087687</v>
      </c>
      <c r="DM38" s="3">
        <v>10502200</v>
      </c>
      <c r="DN38" s="3">
        <v>0.17113291583955287</v>
      </c>
      <c r="DO38" s="3">
        <v>1974781300</v>
      </c>
      <c r="DP38" s="3">
        <v>1075574720</v>
      </c>
      <c r="DQ38" s="3">
        <v>2716</v>
      </c>
      <c r="DR38" s="3">
        <v>-0.37940546485916071</v>
      </c>
      <c r="DS38" s="3">
        <v>-14.256898567748774</v>
      </c>
      <c r="DT38" s="12">
        <v>-0.19000000000000003</v>
      </c>
      <c r="DU38" s="3">
        <v>-0.98166666666666658</v>
      </c>
      <c r="DV38" s="3">
        <v>-1.1716666666666666</v>
      </c>
      <c r="DW38" s="3">
        <v>-9.9444967074317958</v>
      </c>
      <c r="DX38" s="3">
        <v>0.31356826587068581</v>
      </c>
      <c r="DY38" s="3">
        <v>-9.1261547873322364</v>
      </c>
      <c r="DZ38" s="3">
        <v>2617</v>
      </c>
      <c r="EA38" s="3">
        <v>-9.0615467484969212</v>
      </c>
      <c r="EB38" s="3">
        <v>9</v>
      </c>
      <c r="EC38" s="3">
        <v>0.11405315091180232</v>
      </c>
      <c r="ED38" s="3">
        <v>0.8538940755749832</v>
      </c>
      <c r="EE38" s="13">
        <v>-3.0291999999999999</v>
      </c>
      <c r="EF38" s="3">
        <v>-3.0314999999999999</v>
      </c>
      <c r="EG38" s="3">
        <v>18.133568265870686</v>
      </c>
      <c r="EH38" s="3" t="s">
        <v>1123</v>
      </c>
      <c r="EI38" s="3">
        <v>0</v>
      </c>
      <c r="EJ38" s="3">
        <v>0</v>
      </c>
      <c r="EK38" s="15">
        <v>45470</v>
      </c>
      <c r="EL38" s="16">
        <v>-0.78</v>
      </c>
      <c r="EM38" s="16">
        <v>-4.42</v>
      </c>
      <c r="EN38" s="16">
        <v>0.12</v>
      </c>
      <c r="EO38" s="16">
        <v>3.21</v>
      </c>
      <c r="EP38" s="16">
        <v>0.23</v>
      </c>
    </row>
    <row r="39" spans="1:146" ht="108" x14ac:dyDescent="0.25">
      <c r="A39" s="3"/>
      <c r="B39" s="3"/>
      <c r="C39" s="7" t="str">
        <f>""&amp;CHAR(10)&amp;Basic_Fundamental_Information_Constructure(F39)&amp;CHAR(10)&amp;Basic_Fundamental_Information_Concatenate("")</f>
        <v xml:space="preserve">
市值25.49484亿, 利润5294.74万; PE54.4; 平均PE39.66; 平均PEG.7, PB2.44; ROIC12.79%; ROE10.675%; 股利率.7107%; 毛利23.8167%; 净利8.7567%; 上一年度营收增225.26%, 利润增-21.05%; 当季营收增-57.33%, 利润增315.03%; 过往5年营收增56.56%, 利润增7.55%
Income profile:
</v>
      </c>
      <c r="D39" s="3" t="s">
        <v>1006</v>
      </c>
      <c r="E39" s="3" t="s">
        <v>1007</v>
      </c>
      <c r="F39" s="3">
        <v>14.07</v>
      </c>
      <c r="G39" s="3">
        <v>0.56999999999999995</v>
      </c>
      <c r="H39" s="3" t="s">
        <v>2373</v>
      </c>
      <c r="I39" s="3">
        <v>2549484000</v>
      </c>
      <c r="J39" s="3">
        <v>54.4</v>
      </c>
      <c r="K39" s="3">
        <v>2.44</v>
      </c>
      <c r="L39" s="3" t="s">
        <v>176</v>
      </c>
      <c r="M39" s="3" t="s">
        <v>1068</v>
      </c>
      <c r="N39" s="3" t="s">
        <v>2374</v>
      </c>
      <c r="O39" s="3" t="s">
        <v>764</v>
      </c>
      <c r="P39" s="5">
        <v>23.08</v>
      </c>
      <c r="Q39" s="3" t="s">
        <v>2375</v>
      </c>
      <c r="R39" s="3">
        <v>12596945</v>
      </c>
      <c r="S39" s="3">
        <v>-2.2700000000000001E-2</v>
      </c>
      <c r="T39" s="3" t="s">
        <v>2376</v>
      </c>
      <c r="U39" s="3">
        <v>67700000</v>
      </c>
      <c r="V39" s="3">
        <v>181200000</v>
      </c>
      <c r="W39" s="3">
        <v>1.36</v>
      </c>
      <c r="X39" s="3">
        <v>0.14000000000000001</v>
      </c>
      <c r="Y39" s="3">
        <v>6.37</v>
      </c>
      <c r="Z39" s="3" t="s">
        <v>366</v>
      </c>
      <c r="AA39" s="3" t="s">
        <v>1872</v>
      </c>
      <c r="AB39" s="3" t="s">
        <v>2377</v>
      </c>
      <c r="AC39" s="3" t="s">
        <v>2378</v>
      </c>
      <c r="AD39" s="3" t="s">
        <v>47</v>
      </c>
      <c r="AE39" s="3">
        <v>-2050934</v>
      </c>
      <c r="AF39" s="3" t="s">
        <v>1537</v>
      </c>
      <c r="AG39" s="3" t="s">
        <v>2379</v>
      </c>
      <c r="AH39" s="3" t="s">
        <v>1538</v>
      </c>
      <c r="AI39" s="3" t="s">
        <v>2380</v>
      </c>
      <c r="AJ39" s="3" t="s">
        <v>1539</v>
      </c>
      <c r="AK39" s="3" t="s">
        <v>2381</v>
      </c>
      <c r="AL39" s="3" t="s">
        <v>1540</v>
      </c>
      <c r="AM39" s="3" t="s">
        <v>47</v>
      </c>
      <c r="AN39" s="3" t="s">
        <v>2382</v>
      </c>
      <c r="AO39" s="3" t="s">
        <v>47</v>
      </c>
      <c r="AP39" s="3" t="s">
        <v>1072</v>
      </c>
      <c r="AQ39" s="3" t="s">
        <v>96</v>
      </c>
      <c r="AR39" s="3" t="s">
        <v>47</v>
      </c>
      <c r="AS39" s="3" t="s">
        <v>178</v>
      </c>
      <c r="AT39" s="3" t="s">
        <v>47</v>
      </c>
      <c r="AU39" s="3" t="s">
        <v>2383</v>
      </c>
      <c r="AV39" s="3" t="s">
        <v>2384</v>
      </c>
      <c r="AW39" s="3" t="s">
        <v>2385</v>
      </c>
      <c r="AX39" s="3" t="s">
        <v>848</v>
      </c>
      <c r="AY39" s="3" t="s">
        <v>375</v>
      </c>
      <c r="AZ39" s="3" t="s">
        <v>1062</v>
      </c>
      <c r="BA39" s="3" t="s">
        <v>976</v>
      </c>
      <c r="BB39" s="3" t="s">
        <v>1085</v>
      </c>
      <c r="BC39" s="3" t="s">
        <v>1541</v>
      </c>
      <c r="BD39" s="3" t="s">
        <v>1008</v>
      </c>
      <c r="BE39" s="3" t="s">
        <v>1086</v>
      </c>
      <c r="BF39" s="3" t="s">
        <v>1087</v>
      </c>
      <c r="BG39" s="3" t="s">
        <v>1088</v>
      </c>
      <c r="BH39" s="3" t="s">
        <v>1535</v>
      </c>
      <c r="BI39" s="3" t="s">
        <v>2386</v>
      </c>
      <c r="BJ39" s="3" t="s">
        <v>848</v>
      </c>
      <c r="BK39" s="3" t="s">
        <v>1536</v>
      </c>
      <c r="BL39" s="3" t="s">
        <v>2387</v>
      </c>
      <c r="BM39" s="3" t="s">
        <v>1541</v>
      </c>
      <c r="BN39" s="3">
        <v>5.23</v>
      </c>
      <c r="BO39" s="3">
        <v>14.25</v>
      </c>
      <c r="BP39" s="3">
        <v>18.89</v>
      </c>
      <c r="BQ39" s="3">
        <v>6.39</v>
      </c>
      <c r="BR39" s="3">
        <v>14.96</v>
      </c>
      <c r="BS39" s="3" t="s">
        <v>47</v>
      </c>
      <c r="BT39" s="3" t="s">
        <v>863</v>
      </c>
      <c r="BU39" s="3" t="s">
        <v>747</v>
      </c>
      <c r="BV39" s="3">
        <v>23.95</v>
      </c>
      <c r="BW39" s="3">
        <v>23.08</v>
      </c>
      <c r="BX39" s="3">
        <v>24.42</v>
      </c>
      <c r="BY39" s="3">
        <v>6.59</v>
      </c>
      <c r="BZ39" s="3">
        <v>10.09</v>
      </c>
      <c r="CA39" s="3">
        <v>9.59</v>
      </c>
      <c r="CB39" s="3">
        <v>-6.32</v>
      </c>
      <c r="CC39" s="1">
        <v>-3.1</v>
      </c>
      <c r="CD39" s="1" t="s">
        <v>2388</v>
      </c>
      <c r="CE39" s="1" t="s">
        <v>52</v>
      </c>
      <c r="CF39" s="10">
        <v>-0.57327586206896541</v>
      </c>
      <c r="CG39" s="11">
        <v>3.1502849894570373</v>
      </c>
      <c r="CH39" s="10">
        <v>2.252631664276123</v>
      </c>
      <c r="CI39" s="10">
        <v>-0.13185378909111023</v>
      </c>
      <c r="CJ39" s="10">
        <v>0.22756409645080566</v>
      </c>
      <c r="CK39" s="10">
        <v>0.22593320906162262</v>
      </c>
      <c r="CL39" s="10">
        <v>0.25369459390640259</v>
      </c>
      <c r="CM39" s="11">
        <v>-0.21048739552497864</v>
      </c>
      <c r="CN39" s="11">
        <v>-8.6920641362667084E-2</v>
      </c>
      <c r="CO39" s="11">
        <v>-0.14971727132797241</v>
      </c>
      <c r="CP39" s="11">
        <v>0.38052651286125183</v>
      </c>
      <c r="CQ39" s="11">
        <v>0.44416004419326782</v>
      </c>
      <c r="CR39" s="1">
        <v>39.656479456248888</v>
      </c>
      <c r="CS39" s="1">
        <v>0.70114751247304563</v>
      </c>
      <c r="CT39" s="1">
        <v>0.71073205401563611</v>
      </c>
      <c r="CU39" s="10">
        <v>0.56559395492076869</v>
      </c>
      <c r="CV39" s="11">
        <v>7.5512249767780301E-2</v>
      </c>
      <c r="CW39" s="3">
        <v>0.06</v>
      </c>
      <c r="CX39" s="3">
        <v>24.494051092174239</v>
      </c>
      <c r="CY39" s="3">
        <v>78202008.838464051</v>
      </c>
      <c r="CZ39" s="3">
        <v>0.56559395492076869</v>
      </c>
      <c r="DA39" s="3">
        <v>5.4779346975017305</v>
      </c>
      <c r="DB39" s="3">
        <v>349672660.55098766</v>
      </c>
      <c r="DC39" s="3">
        <v>0.53731425717473025</v>
      </c>
      <c r="DD39" s="3">
        <v>1.5197602525813743</v>
      </c>
      <c r="DE39" s="3">
        <v>1260385640.9236081</v>
      </c>
      <c r="DF39" s="3">
        <v>0.49772268033027645</v>
      </c>
      <c r="DG39" s="3">
        <v>0.4376528674853441</v>
      </c>
      <c r="DH39" s="3">
        <v>4376719867.0625525</v>
      </c>
      <c r="DI39" s="3">
        <v>0.45247516393661497</v>
      </c>
      <c r="DJ39" s="3">
        <v>3.552275127656896E-2</v>
      </c>
      <c r="DK39" s="3">
        <v>53922737714.954689</v>
      </c>
      <c r="DL39" s="3">
        <v>0.39591576844453807</v>
      </c>
      <c r="DM39" s="3">
        <v>52947400</v>
      </c>
      <c r="DN39" s="3">
        <v>0.56559395492076869</v>
      </c>
      <c r="DO39" s="3">
        <v>1915484000</v>
      </c>
      <c r="DP39" s="3">
        <v>646946860</v>
      </c>
      <c r="DQ39" s="12">
        <v>2724</v>
      </c>
      <c r="DR39" s="3">
        <v>-1.1388698169897342</v>
      </c>
      <c r="DS39" s="3">
        <v>3.0747727396892568</v>
      </c>
      <c r="DT39" s="3">
        <v>0.20999999999999988</v>
      </c>
      <c r="DU39" s="3">
        <v>4.9999999999999968E-2</v>
      </c>
      <c r="DV39" s="3">
        <v>0.25999999999999984</v>
      </c>
      <c r="DW39" s="3">
        <v>-5.4905063291139244</v>
      </c>
      <c r="DX39" s="3">
        <v>0.36719126213592312</v>
      </c>
      <c r="DY39" s="3">
        <v>-5.1114387519970501</v>
      </c>
      <c r="DZ39" s="3">
        <v>1395</v>
      </c>
      <c r="EA39" s="3">
        <v>-5.0810166269411043</v>
      </c>
      <c r="EB39" s="13">
        <v>5</v>
      </c>
      <c r="EC39" s="13">
        <v>0.12914293598233995</v>
      </c>
      <c r="ED39" s="3">
        <v>0.56843267108167772</v>
      </c>
      <c r="EE39" s="3">
        <v>7.0400000000000004E-2</v>
      </c>
      <c r="EF39" s="3">
        <v>5.4900000000000004E-2</v>
      </c>
      <c r="EG39" s="3">
        <v>14.227191262135923</v>
      </c>
      <c r="EH39" s="15" t="s">
        <v>759</v>
      </c>
      <c r="EI39" s="16">
        <v>0</v>
      </c>
      <c r="EJ39" s="16">
        <v>1</v>
      </c>
      <c r="EK39" s="16">
        <v>45470</v>
      </c>
      <c r="EL39" s="16">
        <v>-2.54</v>
      </c>
      <c r="EM39" s="16">
        <v>-6.79</v>
      </c>
      <c r="EN39" s="16">
        <v>-2.62</v>
      </c>
      <c r="EO39" s="16">
        <v>5.28</v>
      </c>
      <c r="EP39" s="16">
        <v>-1.55</v>
      </c>
    </row>
    <row r="40" spans="1:146" ht="180" x14ac:dyDescent="0.25">
      <c r="A40" s="3"/>
      <c r="B40" s="3"/>
      <c r="C40" s="7" t="str">
        <f>"公司主要从事智能装备的研发、设计、生产、销售及技术服务，重点面向智能制造中检测和组装工序提供自主研发的智能检测、组装装备，主要产品有视觉检测装备、功能检测装备和智能组装装备"&amp;CHAR(10)&amp;Basic_Fundamental_Information_Constructure(F40)&amp;CHAR(10)&amp;Basic_Fundamental_Information_Concatenate("智能装备 1.60亿 95.56% 4811.65万 94.97% 30.01%
治具及配件 745.73万 4.44% 254.69万 5.03% 34.15%")</f>
        <v>公司主要从事智能装备的研发、设计、生产、销售及技术服务，重点面向智能制造中检测和组装工序提供自主研发的智能检测、组装装备，主要产品有视觉检测装备、功能检测装备和智能组装装备
市值21.41601亿, 利润7316.88万; PE46.83; 平均PE44.3; 平均PEG1.41, PB1.88; ROIC20.8033%; ROE17.315%; 股利率.7472%; 毛利42.2367%; 净利16.8833%; 上一年度营收增-38.89%, 利润增8.49%; 当季营收增-32.74%, 利润增-131.74%; 过往5年营收增31.43%, 利润增29.17%
Income profile:
智能装备 1.60亿 95.56% 4811.65万 94.97% 30.01%
治具及配件 745.73万 4.44% 254.69万 5.03% 34.15%</v>
      </c>
      <c r="D40" s="3" t="s">
        <v>1009</v>
      </c>
      <c r="E40" s="3" t="s">
        <v>1089</v>
      </c>
      <c r="F40" s="3">
        <v>40.15</v>
      </c>
      <c r="G40" s="3">
        <v>1.36</v>
      </c>
      <c r="H40" s="3" t="s">
        <v>2389</v>
      </c>
      <c r="I40" s="3">
        <v>2141601000</v>
      </c>
      <c r="J40" s="3">
        <v>46.83</v>
      </c>
      <c r="K40" s="3">
        <v>1.88</v>
      </c>
      <c r="L40" s="3" t="s">
        <v>176</v>
      </c>
      <c r="M40" s="3" t="s">
        <v>1176</v>
      </c>
      <c r="N40" s="3" t="s">
        <v>1060</v>
      </c>
      <c r="O40" s="3" t="s">
        <v>1542</v>
      </c>
      <c r="P40" s="5">
        <v>5.19</v>
      </c>
      <c r="Q40" s="3" t="s">
        <v>84</v>
      </c>
      <c r="R40" s="3">
        <v>-4963840</v>
      </c>
      <c r="S40" s="3">
        <v>0.23530000000000001</v>
      </c>
      <c r="T40" s="3" t="s">
        <v>2390</v>
      </c>
      <c r="U40" s="3">
        <v>24680000</v>
      </c>
      <c r="V40" s="3">
        <v>53340000</v>
      </c>
      <c r="W40" s="3">
        <v>1.1499999999999999</v>
      </c>
      <c r="X40" s="3">
        <v>0.02</v>
      </c>
      <c r="Y40" s="3">
        <v>-16.11</v>
      </c>
      <c r="Z40" s="3" t="s">
        <v>2391</v>
      </c>
      <c r="AA40" s="3" t="s">
        <v>2392</v>
      </c>
      <c r="AB40" s="3" t="s">
        <v>2393</v>
      </c>
      <c r="AC40" s="3" t="s">
        <v>2394</v>
      </c>
      <c r="AD40" s="3" t="s">
        <v>47</v>
      </c>
      <c r="AE40" s="3">
        <v>-6049193</v>
      </c>
      <c r="AF40" s="3" t="s">
        <v>70</v>
      </c>
      <c r="AG40" s="3" t="s">
        <v>2395</v>
      </c>
      <c r="AH40" s="3" t="s">
        <v>1544</v>
      </c>
      <c r="AI40" s="3" t="s">
        <v>2396</v>
      </c>
      <c r="AJ40" s="3" t="s">
        <v>1545</v>
      </c>
      <c r="AK40" s="3" t="s">
        <v>2397</v>
      </c>
      <c r="AL40" s="3" t="s">
        <v>1546</v>
      </c>
      <c r="AM40" s="3" t="s">
        <v>47</v>
      </c>
      <c r="AN40" s="3">
        <v>0</v>
      </c>
      <c r="AO40" s="3" t="s">
        <v>2398</v>
      </c>
      <c r="AP40" s="3" t="s">
        <v>2399</v>
      </c>
      <c r="AQ40" s="3" t="s">
        <v>123</v>
      </c>
      <c r="AR40" s="3" t="s">
        <v>47</v>
      </c>
      <c r="AS40" s="3" t="s">
        <v>179</v>
      </c>
      <c r="AT40" s="3" t="s">
        <v>47</v>
      </c>
      <c r="AU40" s="3" t="s">
        <v>2400</v>
      </c>
      <c r="AV40" s="3" t="s">
        <v>2401</v>
      </c>
      <c r="AW40" s="3" t="s">
        <v>2402</v>
      </c>
      <c r="AX40" s="3" t="s">
        <v>660</v>
      </c>
      <c r="AY40" s="3" t="s">
        <v>485</v>
      </c>
      <c r="AZ40" s="3" t="s">
        <v>110</v>
      </c>
      <c r="BA40" s="3" t="s">
        <v>123</v>
      </c>
      <c r="BB40" s="3" t="s">
        <v>1011</v>
      </c>
      <c r="BC40" s="3" t="s">
        <v>1010</v>
      </c>
      <c r="BD40" s="3" t="s">
        <v>1012</v>
      </c>
      <c r="BE40" s="3" t="s">
        <v>1013</v>
      </c>
      <c r="BF40" s="3" t="s">
        <v>1014</v>
      </c>
      <c r="BG40" s="3" t="s">
        <v>1015</v>
      </c>
      <c r="BH40" s="3" t="s">
        <v>456</v>
      </c>
      <c r="BI40" s="3" t="s">
        <v>2403</v>
      </c>
      <c r="BJ40" s="3" t="s">
        <v>660</v>
      </c>
      <c r="BK40" s="3" t="s">
        <v>1543</v>
      </c>
      <c r="BL40" s="3" t="s">
        <v>2404</v>
      </c>
      <c r="BM40" s="3" t="s">
        <v>1010</v>
      </c>
      <c r="BN40" s="3">
        <v>0.32</v>
      </c>
      <c r="BO40" s="3">
        <v>28.03</v>
      </c>
      <c r="BP40" s="3">
        <v>34.06</v>
      </c>
      <c r="BQ40" s="3">
        <v>1.42</v>
      </c>
      <c r="BR40" s="3">
        <v>33.21</v>
      </c>
      <c r="BS40" s="3" t="s">
        <v>47</v>
      </c>
      <c r="BT40" s="3" t="s">
        <v>861</v>
      </c>
      <c r="BU40" s="3" t="s">
        <v>748</v>
      </c>
      <c r="BV40" s="3">
        <v>39.72</v>
      </c>
      <c r="BW40" s="3">
        <v>41.68</v>
      </c>
      <c r="BX40" s="3">
        <v>45.31</v>
      </c>
      <c r="BY40" s="3">
        <v>12.13</v>
      </c>
      <c r="BZ40" s="3">
        <v>18.75</v>
      </c>
      <c r="CA40" s="3">
        <v>19.77</v>
      </c>
      <c r="CB40" s="3">
        <v>-7.17</v>
      </c>
      <c r="CC40" s="1">
        <v>-7.98</v>
      </c>
      <c r="CD40" s="1" t="s">
        <v>2405</v>
      </c>
      <c r="CE40" s="1" t="s">
        <v>2406</v>
      </c>
      <c r="CF40" s="10">
        <v>-0.32743275899330054</v>
      </c>
      <c r="CG40" s="11">
        <v>-1.3173668697692558</v>
      </c>
      <c r="CH40" s="10">
        <v>-0.3888888955116272</v>
      </c>
      <c r="CI40" s="10">
        <v>0.23711340129375458</v>
      </c>
      <c r="CJ40" s="10">
        <v>0.19753086566925049</v>
      </c>
      <c r="CK40" s="10">
        <v>1.3823529481887817</v>
      </c>
      <c r="CL40" s="10">
        <v>0.14325423538684845</v>
      </c>
      <c r="CM40" s="11">
        <v>8.4940187633037567E-2</v>
      </c>
      <c r="CN40" s="11">
        <v>0.17371955513954163</v>
      </c>
      <c r="CO40" s="11">
        <v>0.27351489663124084</v>
      </c>
      <c r="CP40" s="11">
        <v>0.98325246572494507</v>
      </c>
      <c r="CQ40" s="11">
        <v>-5.7152092456817627E-2</v>
      </c>
      <c r="CR40" s="1">
        <v>44.299164012944715</v>
      </c>
      <c r="CS40" s="1">
        <v>1.4095780719486253</v>
      </c>
      <c r="CT40" s="1">
        <v>0.74719800747198006</v>
      </c>
      <c r="CU40" s="10">
        <v>0.3142725110054016</v>
      </c>
      <c r="CV40" s="11">
        <v>0.29165500253438947</v>
      </c>
      <c r="CW40" s="3">
        <v>0.06</v>
      </c>
      <c r="CX40" s="3">
        <v>14.049755394600099</v>
      </c>
      <c r="CY40" s="3">
        <v>90720511.795520782</v>
      </c>
      <c r="CZ40" s="3">
        <v>0.3142725110054016</v>
      </c>
      <c r="DA40" s="3">
        <v>3.8165509039903309</v>
      </c>
      <c r="DB40" s="3">
        <v>333966723.37511921</v>
      </c>
      <c r="DC40" s="3">
        <v>0.29855888545513148</v>
      </c>
      <c r="DD40" s="3">
        <v>1.441001961525858</v>
      </c>
      <c r="DE40" s="3">
        <v>884524125.59545839</v>
      </c>
      <c r="DF40" s="3">
        <v>0.27655980968475341</v>
      </c>
      <c r="DG40" s="3">
        <v>0.62552445881018914</v>
      </c>
      <c r="DH40" s="3">
        <v>2037651736.9511342</v>
      </c>
      <c r="DI40" s="3">
        <v>0.2514180088043213</v>
      </c>
      <c r="DJ40" s="3">
        <v>0.14611630616979665</v>
      </c>
      <c r="DK40" s="3">
        <v>8723194785.1106415</v>
      </c>
      <c r="DL40" s="3">
        <v>0.2199907577037811</v>
      </c>
      <c r="DM40" s="3">
        <v>73168800</v>
      </c>
      <c r="DN40" s="3">
        <v>0.3142725110054016</v>
      </c>
      <c r="DO40" s="3">
        <v>1274601000</v>
      </c>
      <c r="DP40" s="3">
        <v>1026289160</v>
      </c>
      <c r="DQ40" s="12">
        <v>2751</v>
      </c>
      <c r="DR40" s="3">
        <v>-0.64170526999870214</v>
      </c>
      <c r="DS40" s="3">
        <v>-1.6090218723036451</v>
      </c>
      <c r="DT40" s="3">
        <v>-9.0000000000000011E-2</v>
      </c>
      <c r="DU40" s="3">
        <v>-0.38166666666666665</v>
      </c>
      <c r="DV40" s="3">
        <v>-0.47166666666666668</v>
      </c>
      <c r="DW40" s="3">
        <v>-9.8984962406015029</v>
      </c>
      <c r="DX40" s="3">
        <v>0.30056519609982202</v>
      </c>
      <c r="DY40" s="3">
        <v>-9.1712221122851787</v>
      </c>
      <c r="DZ40" s="3">
        <v>3046</v>
      </c>
      <c r="EA40" s="3">
        <v>-9.069158990167633</v>
      </c>
      <c r="EB40" s="13">
        <v>9</v>
      </c>
      <c r="EC40" s="13">
        <v>0.14736970378702663</v>
      </c>
      <c r="ED40" s="3">
        <v>0.77332958380202466</v>
      </c>
      <c r="EE40" s="3">
        <v>-1.0498000000000001</v>
      </c>
      <c r="EF40" s="3">
        <v>-1.0932999999999999</v>
      </c>
      <c r="EG40" s="3">
        <v>11.190565196099822</v>
      </c>
      <c r="EH40" s="15" t="s">
        <v>957</v>
      </c>
      <c r="EI40" s="16">
        <v>0</v>
      </c>
      <c r="EJ40" s="16">
        <v>0</v>
      </c>
      <c r="EK40" s="16">
        <v>45470</v>
      </c>
      <c r="EL40" s="16">
        <v>3.34</v>
      </c>
      <c r="EM40" s="16">
        <v>-5.77</v>
      </c>
      <c r="EN40" s="16">
        <v>10.29</v>
      </c>
      <c r="EO40" s="16">
        <v>0.09</v>
      </c>
      <c r="EP40" s="16">
        <v>4.3499999999999996</v>
      </c>
    </row>
    <row r="41" spans="1:146" ht="108" x14ac:dyDescent="0.25">
      <c r="A41" s="3"/>
      <c r="B41" s="3"/>
      <c r="C41" s="7" t="str">
        <f>""&amp;CHAR(10)&amp;Basic_Fundamental_Information_Constructure(F41)&amp;CHAR(10)&amp;Basic_Fundamental_Information_Concatenate("")</f>
        <v xml:space="preserve">
市值26.370667亿, 利润5671.38万; PE32.87; 平均PE29.37; 平均PEG31.09, PB1.63; ROIC14.0567%; ROE13.27%; 股利率.6646%; 毛利29.7233%; 净利19.2867%; 上一年度营收增-27.93%, 利润增-46.5%; 当季营收增-1.86%, 利润增87.25%; 过往5年营收增.94%, 利润增-3.9%
Income profile:
</v>
      </c>
      <c r="D41" s="3" t="s">
        <v>1090</v>
      </c>
      <c r="E41" s="3" t="s">
        <v>1091</v>
      </c>
      <c r="F41" s="3">
        <v>35.96</v>
      </c>
      <c r="G41" s="3">
        <v>0.56000000000000005</v>
      </c>
      <c r="H41" s="3" t="s">
        <v>2407</v>
      </c>
      <c r="I41" s="3">
        <v>2637066700</v>
      </c>
      <c r="J41" s="3">
        <v>32.869999999999997</v>
      </c>
      <c r="K41" s="3">
        <v>1.63</v>
      </c>
      <c r="L41" s="3" t="s">
        <v>176</v>
      </c>
      <c r="M41" s="3" t="s">
        <v>1547</v>
      </c>
      <c r="N41" s="3" t="s">
        <v>2408</v>
      </c>
      <c r="O41" s="3" t="s">
        <v>1548</v>
      </c>
      <c r="P41" s="5">
        <v>-22.47</v>
      </c>
      <c r="Q41" s="3" t="s">
        <v>1122</v>
      </c>
      <c r="R41" s="3">
        <v>19202737</v>
      </c>
      <c r="S41" s="3">
        <v>-0.1414</v>
      </c>
      <c r="T41" s="3" t="s">
        <v>2409</v>
      </c>
      <c r="U41" s="3">
        <v>18333334</v>
      </c>
      <c r="V41" s="3">
        <v>73333334</v>
      </c>
      <c r="W41" s="3">
        <v>1.06</v>
      </c>
      <c r="X41" s="3">
        <v>0.05</v>
      </c>
      <c r="Y41" s="3">
        <v>21.05</v>
      </c>
      <c r="Z41" s="3" t="s">
        <v>2410</v>
      </c>
      <c r="AA41" s="3" t="s">
        <v>2411</v>
      </c>
      <c r="AB41" s="3" t="s">
        <v>2412</v>
      </c>
      <c r="AC41" s="3" t="s">
        <v>2413</v>
      </c>
      <c r="AD41" s="3" t="s">
        <v>47</v>
      </c>
      <c r="AE41" s="3">
        <v>-4413304</v>
      </c>
      <c r="AF41" s="3" t="s">
        <v>1550</v>
      </c>
      <c r="AG41" s="3">
        <v>0</v>
      </c>
      <c r="AH41" s="3" t="s">
        <v>1551</v>
      </c>
      <c r="AI41" s="3" t="s">
        <v>1738</v>
      </c>
      <c r="AJ41" s="3" t="s">
        <v>1552</v>
      </c>
      <c r="AK41" s="3" t="s">
        <v>47</v>
      </c>
      <c r="AL41" s="3" t="s">
        <v>1553</v>
      </c>
      <c r="AM41" s="3" t="s">
        <v>47</v>
      </c>
      <c r="AN41" s="3">
        <v>0</v>
      </c>
      <c r="AO41" s="3" t="s">
        <v>47</v>
      </c>
      <c r="AP41" s="3" t="s">
        <v>2414</v>
      </c>
      <c r="AQ41" s="3" t="s">
        <v>2415</v>
      </c>
      <c r="AR41" s="3" t="s">
        <v>47</v>
      </c>
      <c r="AS41" s="3" t="s">
        <v>2416</v>
      </c>
      <c r="AT41" s="3" t="s">
        <v>47</v>
      </c>
      <c r="AU41" s="3" t="s">
        <v>2417</v>
      </c>
      <c r="AV41" s="3" t="s">
        <v>2418</v>
      </c>
      <c r="AW41" s="3">
        <v>0</v>
      </c>
      <c r="AX41" s="3" t="s">
        <v>697</v>
      </c>
      <c r="AY41" s="3" t="s">
        <v>167</v>
      </c>
      <c r="AZ41" s="3" t="s">
        <v>281</v>
      </c>
      <c r="BA41" s="3" t="s">
        <v>1094</v>
      </c>
      <c r="BB41" s="3" t="s">
        <v>1095</v>
      </c>
      <c r="BC41" s="3" t="s">
        <v>111</v>
      </c>
      <c r="BD41" s="3" t="s">
        <v>52</v>
      </c>
      <c r="BE41" s="3" t="s">
        <v>1096</v>
      </c>
      <c r="BF41" s="3" t="s">
        <v>1097</v>
      </c>
      <c r="BG41" s="3" t="s">
        <v>1098</v>
      </c>
      <c r="BH41" s="3" t="s">
        <v>158</v>
      </c>
      <c r="BI41" s="3" t="s">
        <v>2419</v>
      </c>
      <c r="BJ41" s="3" t="s">
        <v>697</v>
      </c>
      <c r="BK41" s="3" t="s">
        <v>1549</v>
      </c>
      <c r="BL41" s="3" t="s">
        <v>2420</v>
      </c>
      <c r="BM41" s="3" t="s">
        <v>111</v>
      </c>
      <c r="BN41" s="3">
        <v>6.18</v>
      </c>
      <c r="BO41" s="3">
        <v>16.48</v>
      </c>
      <c r="BP41" s="3">
        <v>19.510000000000002</v>
      </c>
      <c r="BQ41" s="3">
        <v>9.36</v>
      </c>
      <c r="BR41" s="3">
        <v>17.18</v>
      </c>
      <c r="BS41" s="3" t="s">
        <v>47</v>
      </c>
      <c r="BT41" s="3" t="s">
        <v>1554</v>
      </c>
      <c r="BU41" s="3" t="s">
        <v>747</v>
      </c>
      <c r="BV41" s="3">
        <v>28.05</v>
      </c>
      <c r="BW41" s="3">
        <v>30.99</v>
      </c>
      <c r="BX41" s="3">
        <v>30.13</v>
      </c>
      <c r="BY41" s="3">
        <v>18.55</v>
      </c>
      <c r="BZ41" s="3">
        <v>19.75</v>
      </c>
      <c r="CA41" s="3">
        <v>19.559999999999999</v>
      </c>
      <c r="CB41" s="3">
        <v>-10.1</v>
      </c>
      <c r="CC41" s="10">
        <v>-4.34</v>
      </c>
      <c r="CD41" s="11" t="s">
        <v>2421</v>
      </c>
      <c r="CE41" s="10" t="s">
        <v>2422</v>
      </c>
      <c r="CF41" s="10">
        <v>-1.8629343421627427E-2</v>
      </c>
      <c r="CG41" s="10">
        <v>0.87248781106170525</v>
      </c>
      <c r="CH41" s="10">
        <v>-0.27932959794998169</v>
      </c>
      <c r="CI41" s="10">
        <v>2.2857142612338066E-2</v>
      </c>
      <c r="CJ41" s="11">
        <v>8.4710747003555298E-2</v>
      </c>
      <c r="CK41" s="11">
        <v>3.4188035875558853E-2</v>
      </c>
      <c r="CL41" s="11">
        <v>0.18481013178825378</v>
      </c>
      <c r="CM41" s="11">
        <v>-0.46496415138244629</v>
      </c>
      <c r="CN41" s="11">
        <v>2.9126213863492012E-2</v>
      </c>
      <c r="CO41" s="3">
        <v>6.4621493220329285E-2</v>
      </c>
      <c r="CP41" s="3">
        <v>2.6987779885530472E-2</v>
      </c>
      <c r="CQ41" s="3">
        <v>0.14919634163379669</v>
      </c>
      <c r="CR41" s="10">
        <v>29.374580101908016</v>
      </c>
      <c r="CS41" s="11">
        <v>31.09312226056662</v>
      </c>
      <c r="CT41" s="3">
        <v>0.6646273637374861</v>
      </c>
      <c r="CU41" s="3">
        <v>9.4472918659448627E-3</v>
      </c>
      <c r="CV41" s="3">
        <v>-3.9006464555859564E-2</v>
      </c>
      <c r="CW41" s="3">
        <v>0.06</v>
      </c>
      <c r="CX41" s="3">
        <v>20.588020394564001</v>
      </c>
      <c r="CY41" s="3">
        <v>54009048.888138518</v>
      </c>
      <c r="CZ41" s="3">
        <v>9.4472918659448627E-3</v>
      </c>
      <c r="DA41" s="3">
        <v>7.2072541233919756</v>
      </c>
      <c r="DB41" s="3">
        <v>154280587.44190416</v>
      </c>
      <c r="DC41" s="3">
        <v>8.9749272726476186E-3</v>
      </c>
      <c r="DD41" s="3">
        <v>3.8783361159245628</v>
      </c>
      <c r="DE41" s="3">
        <v>286705269.15765345</v>
      </c>
      <c r="DF41" s="3">
        <v>8.3136168420314786E-3</v>
      </c>
      <c r="DG41" s="3">
        <v>2.5644105426267267</v>
      </c>
      <c r="DH41" s="3">
        <v>433604285.08496147</v>
      </c>
      <c r="DI41" s="3">
        <v>7.5578334927558907E-3</v>
      </c>
      <c r="DJ41" s="3">
        <v>1.6140023791011593</v>
      </c>
      <c r="DK41" s="3">
        <v>688932937.39705694</v>
      </c>
      <c r="DL41" s="3">
        <v>6.6131043061614034E-3</v>
      </c>
      <c r="DM41" s="3">
        <v>56713800</v>
      </c>
      <c r="DN41" s="3">
        <v>9.4472918659448627E-3</v>
      </c>
      <c r="DO41" s="3">
        <v>1111939400</v>
      </c>
      <c r="DP41" s="3">
        <v>1560014500</v>
      </c>
      <c r="DQ41" s="12">
        <v>2787</v>
      </c>
      <c r="DR41" s="3">
        <v>-2.8076635287572288E-2</v>
      </c>
      <c r="DS41" s="3">
        <v>0.9114942756175648</v>
      </c>
      <c r="DT41" s="3">
        <v>-0.50666666666666671</v>
      </c>
      <c r="DU41" s="3">
        <v>-0.16666666666666666</v>
      </c>
      <c r="DV41" s="3">
        <v>-0.67333333333333334</v>
      </c>
      <c r="DW41" s="3">
        <v>-5.4297029702970301</v>
      </c>
      <c r="DX41" s="3">
        <v>0.19831635370378742</v>
      </c>
      <c r="DY41" s="3">
        <v>-5.0293557401063795</v>
      </c>
      <c r="DZ41" s="3">
        <v>418</v>
      </c>
      <c r="EA41" s="3">
        <v>-5.0269544290761514</v>
      </c>
      <c r="EB41" s="13">
        <v>5</v>
      </c>
      <c r="EC41" s="13">
        <v>7.7914090200780994E-2</v>
      </c>
      <c r="ED41" s="3">
        <v>1.1404895350864588</v>
      </c>
      <c r="EE41" s="3">
        <v>-5.1049100000000003</v>
      </c>
      <c r="EF41" s="3">
        <v>-5.1042100000000001</v>
      </c>
      <c r="EG41" s="3">
        <v>13.068316353703787</v>
      </c>
      <c r="EH41" s="15" t="s">
        <v>1496</v>
      </c>
      <c r="EI41" s="3">
        <v>0</v>
      </c>
      <c r="EJ41" s="3">
        <v>1</v>
      </c>
      <c r="EK41" s="3">
        <v>45470</v>
      </c>
      <c r="EL41" s="3">
        <v>0.64</v>
      </c>
      <c r="EM41" s="3">
        <v>-7.54</v>
      </c>
      <c r="EN41" s="16">
        <v>-0.13</v>
      </c>
      <c r="EO41" s="16">
        <v>3</v>
      </c>
      <c r="EP41" s="16">
        <v>7.0000000000000007E-2</v>
      </c>
    </row>
    <row r="42" spans="1:146" ht="108" x14ac:dyDescent="0.25">
      <c r="A42" s="3"/>
      <c r="B42" s="3"/>
      <c r="C42" s="7" t="str">
        <f>""&amp;CHAR(10)&amp;Basic_Fundamental_Information_Constructure(F42)&amp;CHAR(10)&amp;Basic_Fundamental_Information_Concatenate("")</f>
        <v xml:space="preserve">
市值104.562614亿, 利润1.33亿; PE193; 平均PE154.74; 平均PEG.43, PB8.3; ROIC6.8233%; ROE5.795%; 股利率.1435%; 毛利52.0767%; 净利15.5633%; 上一年度营收增1776.72%, 利润增149.38%; 当季营收增-93.34%, 利润增-88.4%; 过往5年营收增359.23%, 利润增37%
Income profile:
</v>
      </c>
      <c r="D42" s="3" t="s">
        <v>1099</v>
      </c>
      <c r="E42" s="3" t="s">
        <v>1100</v>
      </c>
      <c r="F42" s="3">
        <v>26.14</v>
      </c>
      <c r="G42" s="3">
        <v>0.73</v>
      </c>
      <c r="H42" s="3" t="s">
        <v>2423</v>
      </c>
      <c r="I42" s="3">
        <v>10456261400</v>
      </c>
      <c r="J42" s="3">
        <v>193</v>
      </c>
      <c r="K42" s="3">
        <v>8.3000000000000007</v>
      </c>
      <c r="L42" s="3" t="s">
        <v>176</v>
      </c>
      <c r="M42" s="3" t="s">
        <v>243</v>
      </c>
      <c r="N42" s="3" t="s">
        <v>1764</v>
      </c>
      <c r="O42" s="3" t="s">
        <v>1555</v>
      </c>
      <c r="P42" s="5">
        <v>14.19</v>
      </c>
      <c r="Q42" s="3" t="s">
        <v>2424</v>
      </c>
      <c r="R42" s="3">
        <v>4723755</v>
      </c>
      <c r="S42" s="3">
        <v>1.474</v>
      </c>
      <c r="T42" s="3" t="s">
        <v>207</v>
      </c>
      <c r="U42" s="3">
        <v>36707667</v>
      </c>
      <c r="V42" s="3">
        <v>400010000</v>
      </c>
      <c r="W42" s="3">
        <v>1.1100000000000001</v>
      </c>
      <c r="X42" s="3">
        <v>0.06</v>
      </c>
      <c r="Y42" s="3">
        <v>5.0199999999999996</v>
      </c>
      <c r="Z42" s="3" t="s">
        <v>2425</v>
      </c>
      <c r="AA42" s="3" t="s">
        <v>2426</v>
      </c>
      <c r="AB42" s="3" t="s">
        <v>2427</v>
      </c>
      <c r="AC42" s="3" t="s">
        <v>2428</v>
      </c>
      <c r="AD42" s="3" t="s">
        <v>47</v>
      </c>
      <c r="AE42" s="3">
        <v>-3107127</v>
      </c>
      <c r="AF42" s="3" t="s">
        <v>1557</v>
      </c>
      <c r="AG42" s="3">
        <v>0</v>
      </c>
      <c r="AH42" s="3" t="s">
        <v>1558</v>
      </c>
      <c r="AI42" s="3" t="s">
        <v>1870</v>
      </c>
      <c r="AJ42" s="3" t="s">
        <v>1559</v>
      </c>
      <c r="AK42" s="3" t="s">
        <v>2429</v>
      </c>
      <c r="AL42" s="3" t="s">
        <v>1560</v>
      </c>
      <c r="AM42" s="3" t="s">
        <v>47</v>
      </c>
      <c r="AN42" s="3" t="s">
        <v>2430</v>
      </c>
      <c r="AO42" s="3" t="s">
        <v>2431</v>
      </c>
      <c r="AP42" s="3" t="s">
        <v>47</v>
      </c>
      <c r="AQ42" s="3" t="s">
        <v>2432</v>
      </c>
      <c r="AR42" s="3" t="s">
        <v>47</v>
      </c>
      <c r="AS42" s="3" t="s">
        <v>763</v>
      </c>
      <c r="AT42" s="3" t="s">
        <v>1561</v>
      </c>
      <c r="AU42" s="3" t="s">
        <v>2433</v>
      </c>
      <c r="AV42" s="3" t="s">
        <v>2434</v>
      </c>
      <c r="AW42" s="3" t="s">
        <v>2435</v>
      </c>
      <c r="AX42" s="3" t="s">
        <v>1049</v>
      </c>
      <c r="AY42" s="3" t="s">
        <v>1101</v>
      </c>
      <c r="AZ42" s="3" t="s">
        <v>116</v>
      </c>
      <c r="BA42" s="3" t="s">
        <v>821</v>
      </c>
      <c r="BB42" s="3" t="s">
        <v>1063</v>
      </c>
      <c r="BC42" s="3" t="s">
        <v>1562</v>
      </c>
      <c r="BD42" s="3" t="s">
        <v>1102</v>
      </c>
      <c r="BE42" s="3" t="s">
        <v>1103</v>
      </c>
      <c r="BF42" s="3" t="s">
        <v>1104</v>
      </c>
      <c r="BG42" s="3" t="s">
        <v>1105</v>
      </c>
      <c r="BH42" s="3" t="s">
        <v>1161</v>
      </c>
      <c r="BI42" s="3" t="s">
        <v>2436</v>
      </c>
      <c r="BJ42" s="3" t="s">
        <v>1049</v>
      </c>
      <c r="BK42" s="3" t="s">
        <v>1556</v>
      </c>
      <c r="BL42" s="3" t="s">
        <v>2437</v>
      </c>
      <c r="BM42" s="3" t="s">
        <v>1562</v>
      </c>
      <c r="BN42" s="3">
        <v>2.52</v>
      </c>
      <c r="BO42" s="3">
        <v>6.83</v>
      </c>
      <c r="BP42" s="3">
        <v>11.12</v>
      </c>
      <c r="BQ42" s="3">
        <v>3.89</v>
      </c>
      <c r="BR42" s="3">
        <v>7.7</v>
      </c>
      <c r="BS42" s="3" t="s">
        <v>47</v>
      </c>
      <c r="BT42" s="3" t="s">
        <v>1563</v>
      </c>
      <c r="BU42" s="3" t="s">
        <v>747</v>
      </c>
      <c r="BV42" s="3">
        <v>46.8</v>
      </c>
      <c r="BW42" s="3">
        <v>53.67</v>
      </c>
      <c r="BX42" s="3">
        <v>55.76</v>
      </c>
      <c r="BY42" s="3">
        <v>12.69</v>
      </c>
      <c r="BZ42" s="3">
        <v>14.99</v>
      </c>
      <c r="CA42" s="3">
        <v>19.010000000000002</v>
      </c>
      <c r="CB42" s="3">
        <v>-5.8</v>
      </c>
      <c r="CC42" s="10">
        <v>-20.059999999999999</v>
      </c>
      <c r="CD42" s="11" t="s">
        <v>2438</v>
      </c>
      <c r="CE42" s="10" t="s">
        <v>2439</v>
      </c>
      <c r="CF42" s="10">
        <v>-0.9333958528951487</v>
      </c>
      <c r="CG42" s="10">
        <v>-0.88396915345162996</v>
      </c>
      <c r="CH42" s="10">
        <v>17.767242431640625</v>
      </c>
      <c r="CI42" s="10">
        <v>2.958579920232296E-2</v>
      </c>
      <c r="CJ42" s="11">
        <v>0.19434629380702972</v>
      </c>
      <c r="CK42" s="11">
        <v>0.1411290317773819</v>
      </c>
      <c r="CL42" s="11">
        <v>-0.1705685555934906</v>
      </c>
      <c r="CM42" s="11">
        <v>1.4937982559204102</v>
      </c>
      <c r="CN42" s="11">
        <v>-0.18316501379013062</v>
      </c>
      <c r="CO42" s="3">
        <v>1.3105865716934204</v>
      </c>
      <c r="CP42" s="3">
        <v>-0.4366549551486969</v>
      </c>
      <c r="CQ42" s="3">
        <v>-0.33461299538612366</v>
      </c>
      <c r="CR42" s="10">
        <v>154.74465501013253</v>
      </c>
      <c r="CS42" s="11">
        <v>0.4307619920986156</v>
      </c>
      <c r="CT42" s="3">
        <v>0.14345830145371077</v>
      </c>
      <c r="CU42" s="3">
        <v>3.5923470001667739</v>
      </c>
      <c r="CV42" s="3">
        <v>0.3699903726577759</v>
      </c>
      <c r="CW42" s="3">
        <v>0.06</v>
      </c>
      <c r="CX42" s="3">
        <v>16.166446690485255</v>
      </c>
      <c r="CY42" s="3">
        <v>576209576.43601966</v>
      </c>
      <c r="CZ42" s="3">
        <v>3.5923470001667739</v>
      </c>
      <c r="DA42" s="3">
        <v>0.7479836992378871</v>
      </c>
      <c r="DB42" s="3">
        <v>12453829421.003725</v>
      </c>
      <c r="DC42" s="3">
        <v>3.4127296501584352</v>
      </c>
      <c r="DD42" s="3">
        <v>1.4264557782016749E-2</v>
      </c>
      <c r="DE42" s="3">
        <v>653035414230.90588</v>
      </c>
      <c r="DF42" s="3">
        <v>3.1612653601467611</v>
      </c>
      <c r="DG42" s="3">
        <v>1.1970256103676942E-4</v>
      </c>
      <c r="DH42" s="3">
        <v>77820067668715.969</v>
      </c>
      <c r="DI42" s="3">
        <v>2.8738776001334192</v>
      </c>
      <c r="DJ42" s="3">
        <v>1.896460098534216E-9</v>
      </c>
      <c r="DK42" s="3">
        <v>4.9119205867815588E+18</v>
      </c>
      <c r="DL42" s="3">
        <v>2.5146429001167414</v>
      </c>
      <c r="DM42" s="3">
        <v>133000000</v>
      </c>
      <c r="DN42" s="3">
        <v>3.5923470001667739</v>
      </c>
      <c r="DO42" s="3">
        <v>9315261400</v>
      </c>
      <c r="DP42" s="3">
        <v>941552080</v>
      </c>
      <c r="DQ42" s="12">
        <v>2812</v>
      </c>
      <c r="DR42" s="3">
        <v>-4.5257428530619226</v>
      </c>
      <c r="DS42" s="3">
        <v>-1.2539595261094059</v>
      </c>
      <c r="DT42" s="3">
        <v>-0.10666666666666669</v>
      </c>
      <c r="DU42" s="3">
        <v>-0.20666666666666664</v>
      </c>
      <c r="DV42" s="3">
        <v>-0.31333333333333335</v>
      </c>
      <c r="DW42" s="3">
        <v>-8.2891326021934191</v>
      </c>
      <c r="DX42" s="3">
        <v>0.30932127343305865</v>
      </c>
      <c r="DY42" s="3">
        <v>-8.0344996702847329</v>
      </c>
      <c r="DZ42" s="3">
        <v>947</v>
      </c>
      <c r="EA42" s="3">
        <v>-8.0281060914667997</v>
      </c>
      <c r="EB42" s="13">
        <v>8</v>
      </c>
      <c r="EC42" s="13">
        <v>1.9626009349766254E-2</v>
      </c>
      <c r="ED42" s="3">
        <v>0.16448038799030024</v>
      </c>
      <c r="EE42" s="3">
        <v>6.0164099999999996</v>
      </c>
      <c r="EF42" s="3">
        <v>6.0811099999999998</v>
      </c>
      <c r="EG42" s="3">
        <v>19.119321273433059</v>
      </c>
      <c r="EH42" s="15" t="s">
        <v>1197</v>
      </c>
      <c r="EI42" s="3">
        <v>0</v>
      </c>
      <c r="EJ42" s="3">
        <v>1</v>
      </c>
      <c r="EK42" s="3">
        <v>45470</v>
      </c>
      <c r="EL42" s="3">
        <v>19.989999999999998</v>
      </c>
      <c r="EM42" s="3">
        <v>-8.06</v>
      </c>
      <c r="EN42" s="16">
        <v>3.4</v>
      </c>
      <c r="EO42" s="16">
        <v>0.88</v>
      </c>
      <c r="EP42" s="16">
        <v>-6.47</v>
      </c>
    </row>
    <row r="43" spans="1:146" ht="108" x14ac:dyDescent="0.25">
      <c r="A43" s="3"/>
      <c r="B43" s="3"/>
      <c r="C43" s="7" t="str">
        <f>""&amp;CHAR(10)&amp;Basic_Fundamental_Information_Constructure(F43)&amp;CHAR(10)&amp;Basic_Fundamental_Information_Concatenate("")</f>
        <v xml:space="preserve">
市值22.565362亿, 利润8309.72万; PE27.21; 平均PE30.89; 平均PEG.97, PB2.16; ROIC16.08%; ROE12.45%; 股利率1.7726%; 毛利43.61%; 净利15.9533%; 上一年度营收增53.93%, 利润增-6.67%; 当季营收增-39.75%, 利润增-264.56%; 过往5年营收增31.98%, 利润增17.66%
Income profile:
</v>
      </c>
      <c r="D43" s="3" t="s">
        <v>1106</v>
      </c>
      <c r="E43" s="3" t="s">
        <v>1107</v>
      </c>
      <c r="F43" s="3">
        <v>42.31</v>
      </c>
      <c r="G43" s="3">
        <v>-1.42</v>
      </c>
      <c r="H43" s="3" t="s">
        <v>2440</v>
      </c>
      <c r="I43" s="3">
        <v>2256536200</v>
      </c>
      <c r="J43" s="3">
        <v>27.21</v>
      </c>
      <c r="K43" s="3">
        <v>2.16</v>
      </c>
      <c r="L43" s="3" t="s">
        <v>176</v>
      </c>
      <c r="M43" s="3" t="s">
        <v>133</v>
      </c>
      <c r="N43" s="3" t="s">
        <v>2374</v>
      </c>
      <c r="O43" s="3" t="s">
        <v>1564</v>
      </c>
      <c r="P43" s="5">
        <v>33.76</v>
      </c>
      <c r="Q43" s="3" t="s">
        <v>2441</v>
      </c>
      <c r="R43" s="3">
        <v>-10035667</v>
      </c>
      <c r="S43" s="3">
        <v>0.1636</v>
      </c>
      <c r="T43" s="3" t="s">
        <v>2442</v>
      </c>
      <c r="U43" s="3">
        <v>13333400</v>
      </c>
      <c r="V43" s="3">
        <v>53333400</v>
      </c>
      <c r="W43" s="3">
        <v>1.23</v>
      </c>
      <c r="X43" s="3">
        <v>0.03</v>
      </c>
      <c r="Y43" s="3">
        <v>-22.92</v>
      </c>
      <c r="Z43" s="3" t="s">
        <v>2443</v>
      </c>
      <c r="AA43" s="3" t="s">
        <v>2444</v>
      </c>
      <c r="AB43" s="3" t="s">
        <v>2445</v>
      </c>
      <c r="AC43" s="3" t="s">
        <v>2446</v>
      </c>
      <c r="AD43" s="3" t="s">
        <v>47</v>
      </c>
      <c r="AE43" s="3">
        <v>-2259467</v>
      </c>
      <c r="AF43" s="3" t="s">
        <v>70</v>
      </c>
      <c r="AG43" s="3" t="s">
        <v>2447</v>
      </c>
      <c r="AH43" s="3" t="s">
        <v>1566</v>
      </c>
      <c r="AI43" s="3" t="s">
        <v>2448</v>
      </c>
      <c r="AJ43" s="3" t="s">
        <v>1567</v>
      </c>
      <c r="AK43" s="3" t="s">
        <v>2449</v>
      </c>
      <c r="AL43" s="3" t="s">
        <v>1568</v>
      </c>
      <c r="AM43" s="3" t="s">
        <v>47</v>
      </c>
      <c r="AN43" s="3" t="s">
        <v>2450</v>
      </c>
      <c r="AO43" s="3" t="s">
        <v>2451</v>
      </c>
      <c r="AP43" s="3" t="s">
        <v>2452</v>
      </c>
      <c r="AQ43" s="3" t="s">
        <v>2453</v>
      </c>
      <c r="AR43" s="3" t="s">
        <v>47</v>
      </c>
      <c r="AS43" s="3" t="s">
        <v>1146</v>
      </c>
      <c r="AT43" s="3" t="s">
        <v>47</v>
      </c>
      <c r="AU43" s="3" t="s">
        <v>2454</v>
      </c>
      <c r="AV43" s="3" t="s">
        <v>2455</v>
      </c>
      <c r="AW43" s="3" t="s">
        <v>2456</v>
      </c>
      <c r="AX43" s="3" t="s">
        <v>1109</v>
      </c>
      <c r="AY43" s="3" t="s">
        <v>1064</v>
      </c>
      <c r="AZ43" s="3" t="s">
        <v>1080</v>
      </c>
      <c r="BA43" s="3" t="s">
        <v>127</v>
      </c>
      <c r="BB43" s="3" t="s">
        <v>50</v>
      </c>
      <c r="BC43" s="3" t="s">
        <v>1569</v>
      </c>
      <c r="BD43" s="3" t="s">
        <v>1110</v>
      </c>
      <c r="BE43" s="3" t="s">
        <v>1111</v>
      </c>
      <c r="BF43" s="3" t="s">
        <v>1112</v>
      </c>
      <c r="BG43" s="3" t="s">
        <v>1113</v>
      </c>
      <c r="BH43" s="3" t="s">
        <v>1158</v>
      </c>
      <c r="BI43" s="3" t="s">
        <v>2457</v>
      </c>
      <c r="BJ43" s="3" t="s">
        <v>1109</v>
      </c>
      <c r="BK43" s="3" t="s">
        <v>1565</v>
      </c>
      <c r="BL43" s="3" t="s">
        <v>2458</v>
      </c>
      <c r="BM43" s="3" t="s">
        <v>1569</v>
      </c>
      <c r="BN43" s="3">
        <v>3.76</v>
      </c>
      <c r="BO43" s="3">
        <v>18.63</v>
      </c>
      <c r="BP43" s="3">
        <v>25.85</v>
      </c>
      <c r="BQ43" s="3">
        <v>5.63</v>
      </c>
      <c r="BR43" s="3">
        <v>19.27</v>
      </c>
      <c r="BS43" s="3" t="s">
        <v>47</v>
      </c>
      <c r="BT43" s="3" t="s">
        <v>1570</v>
      </c>
      <c r="BU43" s="3" t="s">
        <v>748</v>
      </c>
      <c r="BV43" s="3">
        <v>36.44</v>
      </c>
      <c r="BW43" s="3">
        <v>45.56</v>
      </c>
      <c r="BX43" s="3">
        <v>48.83</v>
      </c>
      <c r="BY43" s="3">
        <v>12.3</v>
      </c>
      <c r="BZ43" s="3">
        <v>16.27</v>
      </c>
      <c r="CA43" s="3">
        <v>19.29</v>
      </c>
      <c r="CB43" s="3">
        <v>-13.74</v>
      </c>
      <c r="CC43" s="1">
        <v>-4.5999999999999996</v>
      </c>
      <c r="CD43" s="1" t="s">
        <v>2459</v>
      </c>
      <c r="CE43" s="1" t="s">
        <v>2460</v>
      </c>
      <c r="CF43" s="10">
        <v>-0.39749387295535898</v>
      </c>
      <c r="CG43" s="11">
        <v>-2.6456499352278504</v>
      </c>
      <c r="CH43" s="10">
        <v>0.53930532932281494</v>
      </c>
      <c r="CI43" s="10">
        <v>0.11405295133590698</v>
      </c>
      <c r="CJ43" s="10">
        <v>0.23057644069194794</v>
      </c>
      <c r="CK43" s="10">
        <v>0.6352459192276001</v>
      </c>
      <c r="CL43" s="10">
        <v>7.9646021127700806E-2</v>
      </c>
      <c r="CM43" s="11">
        <v>-6.6658169031143188E-2</v>
      </c>
      <c r="CN43" s="11">
        <v>-5.9102050960063934E-2</v>
      </c>
      <c r="CO43" s="11">
        <v>0.15653862059116364</v>
      </c>
      <c r="CP43" s="11">
        <v>0.70797020196914673</v>
      </c>
      <c r="CQ43" s="11">
        <v>0.1443156898021698</v>
      </c>
      <c r="CR43" s="1">
        <v>30.887823493943333</v>
      </c>
      <c r="CS43" s="1">
        <v>0.9659528526058474</v>
      </c>
      <c r="CT43" s="3">
        <v>1.7726305837863388</v>
      </c>
      <c r="CU43" s="10">
        <v>0.31976533234119414</v>
      </c>
      <c r="CV43" s="11">
        <v>0.17661285847425462</v>
      </c>
      <c r="CW43" s="3">
        <v>0.06</v>
      </c>
      <c r="CX43" s="3">
        <v>14.803009754134482</v>
      </c>
      <c r="CY43" s="3">
        <v>103461135.63643649</v>
      </c>
      <c r="CZ43" s="3">
        <v>0.31976533234119414</v>
      </c>
      <c r="DA43" s="3">
        <v>4.0035371823019323</v>
      </c>
      <c r="DB43" s="3">
        <v>382545766.47128963</v>
      </c>
      <c r="DC43" s="3">
        <v>0.30377706572413443</v>
      </c>
      <c r="DD43" s="3">
        <v>1.5015243964009588</v>
      </c>
      <c r="DE43" s="3">
        <v>1019987556.4266403</v>
      </c>
      <c r="DF43" s="3">
        <v>0.28139349246025086</v>
      </c>
      <c r="DG43" s="3">
        <v>0.64617586071776145</v>
      </c>
      <c r="DH43" s="3">
        <v>2370153843.7211118</v>
      </c>
      <c r="DI43" s="3">
        <v>0.2558122658729553</v>
      </c>
      <c r="DJ43" s="3">
        <v>0.1476099468342397</v>
      </c>
      <c r="DK43" s="3">
        <v>10375562303.534031</v>
      </c>
      <c r="DL43" s="3">
        <v>0.22383573263883588</v>
      </c>
      <c r="DM43" s="3">
        <v>83097200</v>
      </c>
      <c r="DN43" s="3">
        <v>0.31976533234119414</v>
      </c>
      <c r="DO43" s="3">
        <v>1531536200</v>
      </c>
      <c r="DP43" s="3">
        <v>862722220</v>
      </c>
      <c r="DQ43" s="12">
        <v>2814</v>
      </c>
      <c r="DR43" s="3">
        <v>-0.71725920529655318</v>
      </c>
      <c r="DS43" s="3">
        <v>-2.8222627937021052</v>
      </c>
      <c r="DT43" s="3">
        <v>9.3333333333333338E-2</v>
      </c>
      <c r="DU43" s="3">
        <v>-0.53166666666666662</v>
      </c>
      <c r="DV43" s="3">
        <v>-0.4383333333333333</v>
      </c>
      <c r="DW43" s="3">
        <v>-5.3347889374090247</v>
      </c>
      <c r="DX43" s="3">
        <v>0.27997843107353548</v>
      </c>
      <c r="DY43" s="3">
        <v>-5.0435153408252011</v>
      </c>
      <c r="DZ43" s="3">
        <v>3206</v>
      </c>
      <c r="EA43" s="3">
        <v>-5.0162139352115815</v>
      </c>
      <c r="EB43" s="13">
        <v>5</v>
      </c>
      <c r="EC43" s="13">
        <v>0.18129164838543951</v>
      </c>
      <c r="ED43" s="3">
        <v>1.3947826315217107</v>
      </c>
      <c r="EE43" s="3">
        <v>4.0771100000000002</v>
      </c>
      <c r="EF43" s="3">
        <v>4.0999100000000004</v>
      </c>
      <c r="EG43" s="3">
        <v>15.129978431073535</v>
      </c>
      <c r="EH43" s="15" t="s">
        <v>1196</v>
      </c>
      <c r="EI43" s="3">
        <v>0</v>
      </c>
      <c r="EJ43" s="3">
        <v>0</v>
      </c>
      <c r="EK43" s="3">
        <v>45470</v>
      </c>
      <c r="EL43" s="3">
        <v>-0.2</v>
      </c>
      <c r="EM43" s="3">
        <v>-6.2</v>
      </c>
      <c r="EN43" s="16">
        <v>0.71</v>
      </c>
      <c r="EO43" s="16">
        <v>5.08</v>
      </c>
      <c r="EP43" s="16">
        <v>-2.2799999999999998</v>
      </c>
    </row>
    <row r="44" spans="1:146" ht="108" x14ac:dyDescent="0.25">
      <c r="A44" s="3"/>
      <c r="B44" s="3"/>
      <c r="C44" s="7" t="str">
        <f>""&amp;CHAR(10)&amp;Basic_Fundamental_Information_Constructure(F44)&amp;CHAR(10)&amp;Basic_Fundamental_Information_Concatenate("")</f>
        <v xml:space="preserve">
市值29.924284亿, 利润5498.87万; PE36.49; 平均PE36.77; 平均PEG2.06, PB2.94; ROIC32.0967%; ROE27.515%; 股利率2.3464%; 毛利52.81%; 净利29.9867%; 上一年度营收增12.66%, 利润增-52.6%; 当季营收增-35.87%, 利润增65.67%; 过往5年营收增17.87%, 利润增7.25%
Income profile:
</v>
      </c>
      <c r="D44" s="5" t="s">
        <v>1183</v>
      </c>
      <c r="E44" s="3" t="s">
        <v>1184</v>
      </c>
      <c r="F44" s="3">
        <v>28.98</v>
      </c>
      <c r="G44" s="3">
        <v>1.33</v>
      </c>
      <c r="H44" s="3" t="s">
        <v>2461</v>
      </c>
      <c r="I44" s="3">
        <v>2992428400</v>
      </c>
      <c r="J44" s="3">
        <v>36.49</v>
      </c>
      <c r="K44" s="3">
        <v>2.94</v>
      </c>
      <c r="L44" s="3" t="s">
        <v>176</v>
      </c>
      <c r="M44" s="3" t="s">
        <v>1571</v>
      </c>
      <c r="N44" s="3" t="s">
        <v>2462</v>
      </c>
      <c r="O44" s="3" t="s">
        <v>1572</v>
      </c>
      <c r="P44" s="5">
        <v>-35.26</v>
      </c>
      <c r="Q44" s="3" t="s">
        <v>1879</v>
      </c>
      <c r="R44" s="3">
        <v>14553839</v>
      </c>
      <c r="S44" s="3">
        <v>-0.54430000000000001</v>
      </c>
      <c r="T44" s="3" t="s">
        <v>2463</v>
      </c>
      <c r="U44" s="3">
        <v>25820000</v>
      </c>
      <c r="V44" s="3">
        <v>103258400</v>
      </c>
      <c r="W44" s="3">
        <v>1.0900000000000001</v>
      </c>
      <c r="X44" s="3">
        <v>0.06</v>
      </c>
      <c r="Y44" s="3">
        <v>23.08</v>
      </c>
      <c r="Z44" s="3" t="s">
        <v>2464</v>
      </c>
      <c r="AA44" s="3" t="s">
        <v>2465</v>
      </c>
      <c r="AB44" s="3" t="s">
        <v>2466</v>
      </c>
      <c r="AC44" s="3" t="s">
        <v>2467</v>
      </c>
      <c r="AD44" s="3" t="s">
        <v>47</v>
      </c>
      <c r="AE44" s="3">
        <v>-1290776</v>
      </c>
      <c r="AF44" s="3" t="s">
        <v>1574</v>
      </c>
      <c r="AG44" s="3">
        <v>2.95</v>
      </c>
      <c r="AH44" s="3" t="s">
        <v>1575</v>
      </c>
      <c r="AI44" s="3" t="s">
        <v>2468</v>
      </c>
      <c r="AJ44" s="3" t="s">
        <v>1576</v>
      </c>
      <c r="AK44" s="3" t="s">
        <v>2469</v>
      </c>
      <c r="AL44" s="3" t="s">
        <v>1577</v>
      </c>
      <c r="AM44" s="3" t="s">
        <v>47</v>
      </c>
      <c r="AN44" s="3">
        <v>0</v>
      </c>
      <c r="AO44" s="3" t="s">
        <v>47</v>
      </c>
      <c r="AP44" s="3" t="s">
        <v>47</v>
      </c>
      <c r="AQ44" s="3" t="s">
        <v>2470</v>
      </c>
      <c r="AR44" s="3" t="s">
        <v>47</v>
      </c>
      <c r="AS44" s="3" t="s">
        <v>2471</v>
      </c>
      <c r="AT44" s="3" t="s">
        <v>47</v>
      </c>
      <c r="AU44" s="3" t="s">
        <v>2472</v>
      </c>
      <c r="AV44" s="3" t="s">
        <v>2473</v>
      </c>
      <c r="AW44" s="3" t="s">
        <v>2474</v>
      </c>
      <c r="AX44" s="3" t="s">
        <v>1122</v>
      </c>
      <c r="AY44" s="3" t="s">
        <v>1578</v>
      </c>
      <c r="AZ44" s="3" t="s">
        <v>241</v>
      </c>
      <c r="BA44" s="3" t="s">
        <v>50</v>
      </c>
      <c r="BB44" s="3" t="s">
        <v>87</v>
      </c>
      <c r="BC44" s="3" t="s">
        <v>108</v>
      </c>
      <c r="BD44" s="3" t="s">
        <v>106</v>
      </c>
      <c r="BE44" s="3" t="s">
        <v>1579</v>
      </c>
      <c r="BF44" s="3" t="s">
        <v>1580</v>
      </c>
      <c r="BG44" s="3" t="s">
        <v>1581</v>
      </c>
      <c r="BH44" s="3" t="s">
        <v>1152</v>
      </c>
      <c r="BI44" s="3" t="s">
        <v>2475</v>
      </c>
      <c r="BJ44" s="3" t="s">
        <v>1122</v>
      </c>
      <c r="BK44" s="3" t="s">
        <v>1573</v>
      </c>
      <c r="BL44" s="3" t="s">
        <v>2476</v>
      </c>
      <c r="BM44" s="3" t="s">
        <v>108</v>
      </c>
      <c r="BN44" s="3">
        <v>19.82</v>
      </c>
      <c r="BO44" s="3">
        <v>33.409999999999997</v>
      </c>
      <c r="BP44" s="3">
        <v>43.06</v>
      </c>
      <c r="BQ44" s="3">
        <v>19.96</v>
      </c>
      <c r="BR44" s="3">
        <v>35.07</v>
      </c>
      <c r="BS44" s="3" t="s">
        <v>47</v>
      </c>
      <c r="BT44" s="3" t="s">
        <v>1582</v>
      </c>
      <c r="BU44" s="3" t="s">
        <v>748</v>
      </c>
      <c r="BV44" s="3">
        <v>51.06</v>
      </c>
      <c r="BW44" s="3">
        <v>51.94</v>
      </c>
      <c r="BX44" s="3">
        <v>55.43</v>
      </c>
      <c r="BY44" s="3">
        <v>27.02</v>
      </c>
      <c r="BZ44" s="3">
        <v>30.03</v>
      </c>
      <c r="CA44" s="3">
        <v>32.909999999999997</v>
      </c>
      <c r="CB44" s="3">
        <v>-8.93</v>
      </c>
      <c r="CC44" s="1">
        <v>-14.86</v>
      </c>
      <c r="CD44" s="1" t="s">
        <v>2477</v>
      </c>
      <c r="CE44" s="1" t="s">
        <v>2478</v>
      </c>
      <c r="CF44" s="10">
        <v>-0.35871772024688647</v>
      </c>
      <c r="CG44" s="11">
        <v>0.65674464403615418</v>
      </c>
      <c r="CH44" s="10">
        <v>0.12661498785018921</v>
      </c>
      <c r="CI44" s="10">
        <v>8.7078653275966644E-2</v>
      </c>
      <c r="CJ44" s="10">
        <v>0.40711462497711182</v>
      </c>
      <c r="CK44" s="10">
        <v>0.11946902424097061</v>
      </c>
      <c r="CL44" s="10">
        <v>0.15306122601032257</v>
      </c>
      <c r="CM44" s="11">
        <v>-0.52595949172973633</v>
      </c>
      <c r="CN44" s="11">
        <v>-8.5470089688897133E-3</v>
      </c>
      <c r="CO44" s="11">
        <v>0.50516384840011597</v>
      </c>
      <c r="CP44" s="11">
        <v>0.14183057844638824</v>
      </c>
      <c r="CQ44" s="11">
        <v>0.24979346990585327</v>
      </c>
      <c r="CR44" s="1">
        <v>36.771905305418919</v>
      </c>
      <c r="CS44" s="1">
        <v>2.0581170873205901</v>
      </c>
      <c r="CT44" s="1">
        <v>2.3464458247066942</v>
      </c>
      <c r="CU44" s="10">
        <v>0.17866770327091216</v>
      </c>
      <c r="CV44" s="11">
        <v>7.2456279210746294E-2</v>
      </c>
      <c r="CW44" s="3">
        <v>0.06</v>
      </c>
      <c r="CX44" s="3">
        <v>33.786151135838175</v>
      </c>
      <c r="CY44" s="3">
        <v>61144721.447974719</v>
      </c>
      <c r="CZ44" s="3">
        <v>0.17866770327091216</v>
      </c>
      <c r="DA44" s="3">
        <v>10.250301046035885</v>
      </c>
      <c r="DB44" s="3">
        <v>201539914.84951824</v>
      </c>
      <c r="DC44" s="3">
        <v>0.16973431810736656</v>
      </c>
      <c r="DD44" s="3">
        <v>4.5541949526131056</v>
      </c>
      <c r="DE44" s="3">
        <v>453613607.1238364</v>
      </c>
      <c r="DF44" s="3">
        <v>0.15722757887840272</v>
      </c>
      <c r="DG44" s="3">
        <v>2.4253371143158833</v>
      </c>
      <c r="DH44" s="3">
        <v>851776352.16402256</v>
      </c>
      <c r="DI44" s="3">
        <v>0.14293416261672973</v>
      </c>
      <c r="DJ44" s="3">
        <v>0.94798976488597309</v>
      </c>
      <c r="DK44" s="3">
        <v>2179184709.0759315</v>
      </c>
      <c r="DL44" s="3">
        <v>0.12506739228963851</v>
      </c>
      <c r="DM44" s="3">
        <v>54988700</v>
      </c>
      <c r="DN44" s="3">
        <v>0.17866770327091216</v>
      </c>
      <c r="DO44" s="3">
        <v>2065844800</v>
      </c>
      <c r="DP44" s="3">
        <v>913736800</v>
      </c>
      <c r="DQ44" s="12">
        <v>2837</v>
      </c>
      <c r="DR44" s="3">
        <v>-0.53738542351779861</v>
      </c>
      <c r="DS44" s="3">
        <v>0.58428836482540791</v>
      </c>
      <c r="DT44" s="3">
        <v>-0.20666666666666669</v>
      </c>
      <c r="DU44" s="3">
        <v>6.6666666666666652E-2</v>
      </c>
      <c r="DV44" s="3">
        <v>-0.14000000000000004</v>
      </c>
      <c r="DW44" s="3">
        <v>-9.6009421265141324</v>
      </c>
      <c r="DX44" s="3">
        <v>0.32623528129474022</v>
      </c>
      <c r="DY44" s="3">
        <v>-9.0638412558520898</v>
      </c>
      <c r="DZ44" s="3">
        <v>1234</v>
      </c>
      <c r="EA44" s="3">
        <v>-9.048424404634579</v>
      </c>
      <c r="EB44" s="13">
        <v>9</v>
      </c>
      <c r="EC44" s="13">
        <v>7.4456896484934879E-2</v>
      </c>
      <c r="ED44" s="3">
        <v>0.70086791970435336</v>
      </c>
      <c r="EE44" s="3">
        <v>37.079909999999998</v>
      </c>
      <c r="EF44" s="3">
        <v>37.075310000000002</v>
      </c>
      <c r="EG44" s="3">
        <v>22.10623528129474</v>
      </c>
      <c r="EH44" s="15" t="s">
        <v>2479</v>
      </c>
      <c r="EI44" s="3">
        <v>0</v>
      </c>
      <c r="EJ44" s="3">
        <v>1</v>
      </c>
      <c r="EK44" s="3">
        <v>45470</v>
      </c>
      <c r="EL44" s="3">
        <v>-2.69</v>
      </c>
      <c r="EM44" s="3">
        <v>-5.7</v>
      </c>
      <c r="EN44" s="16">
        <v>-1.07</v>
      </c>
      <c r="EO44" s="16">
        <v>6.93</v>
      </c>
      <c r="EP44" s="16">
        <v>0.46</v>
      </c>
    </row>
    <row r="45" spans="1:146" ht="108" x14ac:dyDescent="0.25">
      <c r="C45" s="7" t="str">
        <f>""&amp;CHAR(10)&amp;Basic_Fundamental_Information_Constructure(F45)&amp;CHAR(10)&amp;Basic_Fundamental_Information_Concatenate("")</f>
        <v xml:space="preserve">
市值31.25021亿, 利润4.30亿; PE24.66; 平均PE10.91; 平均PEG.03, PB1.54; ROIC4.8933%; ROE7.5033%; 股利率1.4881%; 毛利15.3333%; 净利9.22%; 上一年度营收增596.51%, 利润增200.7%; 当季营收增-68.43%, 利润增-54.43%; 过往5年营收增413.88%, 利润增200.7%
Income profile:
</v>
      </c>
      <c r="D45" s="3" t="s">
        <v>677</v>
      </c>
      <c r="E45" s="3" t="s">
        <v>678</v>
      </c>
      <c r="F45" s="3">
        <v>6.72</v>
      </c>
      <c r="G45" s="3">
        <v>-1.32</v>
      </c>
      <c r="H45" s="3" t="s">
        <v>2480</v>
      </c>
      <c r="I45" s="3">
        <v>3125021000</v>
      </c>
      <c r="J45" s="3">
        <v>24.66</v>
      </c>
      <c r="K45" s="3">
        <v>1.54</v>
      </c>
      <c r="L45" s="3" t="s">
        <v>176</v>
      </c>
      <c r="M45" s="3" t="s">
        <v>1583</v>
      </c>
      <c r="N45" s="3" t="s">
        <v>2481</v>
      </c>
      <c r="O45" s="3" t="s">
        <v>1584</v>
      </c>
      <c r="P45" s="3">
        <v>62.27</v>
      </c>
      <c r="Q45" s="3" t="s">
        <v>2482</v>
      </c>
      <c r="R45" s="3">
        <v>51952643</v>
      </c>
      <c r="S45" s="5">
        <v>0.11840000000000001</v>
      </c>
      <c r="T45" s="3" t="s">
        <v>2483</v>
      </c>
      <c r="U45" s="3">
        <v>456882880</v>
      </c>
      <c r="V45" s="3">
        <v>465032880</v>
      </c>
      <c r="W45" s="3">
        <v>1.88</v>
      </c>
      <c r="X45" s="3" t="s">
        <v>47</v>
      </c>
      <c r="Y45" s="3">
        <v>8.19</v>
      </c>
      <c r="Z45" s="3" t="s">
        <v>47</v>
      </c>
      <c r="AA45" s="3" t="s">
        <v>47</v>
      </c>
      <c r="AB45" s="3" t="s">
        <v>47</v>
      </c>
      <c r="AC45" s="3" t="s">
        <v>47</v>
      </c>
      <c r="AD45" s="3" t="s">
        <v>47</v>
      </c>
      <c r="AE45" s="3">
        <v>5619788</v>
      </c>
      <c r="AF45" s="3" t="s">
        <v>70</v>
      </c>
      <c r="AG45" s="3" t="s">
        <v>47</v>
      </c>
      <c r="AH45" s="3" t="s">
        <v>1586</v>
      </c>
      <c r="AI45" s="3" t="s">
        <v>1146</v>
      </c>
      <c r="AJ45" s="3" t="s">
        <v>1587</v>
      </c>
      <c r="AK45" s="3" t="s">
        <v>47</v>
      </c>
      <c r="AL45" s="3" t="s">
        <v>1588</v>
      </c>
      <c r="AM45" s="3" t="s">
        <v>47</v>
      </c>
      <c r="AN45" s="3" t="s">
        <v>2484</v>
      </c>
      <c r="AO45" s="3" t="s">
        <v>47</v>
      </c>
      <c r="AP45" s="3" t="s">
        <v>47</v>
      </c>
      <c r="AQ45" s="3" t="s">
        <v>1135</v>
      </c>
      <c r="AR45" s="3" t="s">
        <v>2485</v>
      </c>
      <c r="AS45" s="3" t="s">
        <v>47</v>
      </c>
      <c r="AT45" s="3" t="s">
        <v>47</v>
      </c>
      <c r="AU45" s="3" t="s">
        <v>101</v>
      </c>
      <c r="AV45" s="3" t="s">
        <v>2486</v>
      </c>
      <c r="AW45" s="3" t="s">
        <v>2487</v>
      </c>
      <c r="AX45" s="3" t="s">
        <v>812</v>
      </c>
      <c r="AY45" s="3" t="s">
        <v>47</v>
      </c>
      <c r="AZ45" s="3" t="s">
        <v>606</v>
      </c>
      <c r="BA45" s="3" t="s">
        <v>260</v>
      </c>
      <c r="BB45" s="3" t="s">
        <v>498</v>
      </c>
      <c r="BC45" s="3" t="s">
        <v>820</v>
      </c>
      <c r="BD45" s="3" t="s">
        <v>47</v>
      </c>
      <c r="BE45" s="3" t="s">
        <v>47</v>
      </c>
      <c r="BF45" s="3" t="s">
        <v>47</v>
      </c>
      <c r="BG45" s="3" t="s">
        <v>47</v>
      </c>
      <c r="BH45" s="3" t="s">
        <v>1585</v>
      </c>
      <c r="BI45" s="3" t="s">
        <v>2488</v>
      </c>
      <c r="BJ45" s="3" t="s">
        <v>812</v>
      </c>
      <c r="BK45" s="3" t="s">
        <v>243</v>
      </c>
      <c r="BL45" s="3" t="s">
        <v>1219</v>
      </c>
      <c r="BM45" s="3" t="s">
        <v>820</v>
      </c>
      <c r="BN45" s="3">
        <v>4.5999999999999996</v>
      </c>
      <c r="BO45" s="3">
        <v>5.45</v>
      </c>
      <c r="BP45" s="3">
        <v>4.63</v>
      </c>
      <c r="BQ45" s="3">
        <v>6.72</v>
      </c>
      <c r="BR45" s="3">
        <v>9.52</v>
      </c>
      <c r="BS45" s="3">
        <v>6.27</v>
      </c>
      <c r="BT45" s="3" t="s">
        <v>863</v>
      </c>
      <c r="BU45" s="3" t="s">
        <v>226</v>
      </c>
      <c r="BV45" s="3">
        <v>15.62</v>
      </c>
      <c r="BW45" s="3">
        <v>14.6</v>
      </c>
      <c r="BX45" s="3">
        <v>15.78</v>
      </c>
      <c r="BY45" s="3">
        <v>5.67</v>
      </c>
      <c r="BZ45" s="3">
        <v>12.74</v>
      </c>
      <c r="CA45" s="3">
        <v>9.25</v>
      </c>
      <c r="CB45" s="3">
        <v>-5.75</v>
      </c>
      <c r="CC45" s="3">
        <v>-20.190000000000001</v>
      </c>
      <c r="CD45" s="3" t="s">
        <v>2489</v>
      </c>
      <c r="CE45" s="3" t="s">
        <v>834</v>
      </c>
      <c r="CF45" s="10">
        <v>-0.68426294820717126</v>
      </c>
      <c r="CG45" s="11">
        <v>-0.54427506140350868</v>
      </c>
      <c r="CH45" s="10">
        <v>5.9651470184326172</v>
      </c>
      <c r="CI45" s="10" t="s">
        <v>47</v>
      </c>
      <c r="CJ45" s="10" t="s">
        <v>47</v>
      </c>
      <c r="CK45" s="10">
        <v>7.1336889266967773</v>
      </c>
      <c r="CL45" s="10">
        <v>-0.68251276016235352</v>
      </c>
      <c r="CM45" s="11">
        <v>2.0069930553436279</v>
      </c>
      <c r="CN45" s="11" t="s">
        <v>47</v>
      </c>
      <c r="CO45" s="11" t="s">
        <v>47</v>
      </c>
      <c r="CP45" s="11" t="s">
        <v>47</v>
      </c>
      <c r="CQ45" s="11" t="s">
        <v>47</v>
      </c>
      <c r="CR45" s="3">
        <v>10.907577661431064</v>
      </c>
      <c r="CS45" s="3">
        <v>2.6354607959876535E-2</v>
      </c>
      <c r="CT45" s="3">
        <v>1.4880952380952381</v>
      </c>
      <c r="CU45" s="10">
        <v>4.1387743949890137</v>
      </c>
      <c r="CV45" s="11">
        <v>2.0069930553436279</v>
      </c>
      <c r="CW45" s="3">
        <v>0.06</v>
      </c>
      <c r="CX45" s="3">
        <v>1.4712775487325129</v>
      </c>
      <c r="CY45" s="3">
        <v>2084597160.2313921</v>
      </c>
      <c r="CZ45" s="3">
        <v>4.1387743949890137</v>
      </c>
      <c r="DA45" s="3">
        <v>5.6154160417425346E-2</v>
      </c>
      <c r="DB45" s="3">
        <v>54617876524.216797</v>
      </c>
      <c r="DC45" s="3">
        <v>3.9318356752395629</v>
      </c>
      <c r="DD45" s="3">
        <v>7.8031482886744337E-4</v>
      </c>
      <c r="DE45" s="3">
        <v>3930491753503.5244</v>
      </c>
      <c r="DF45" s="3">
        <v>3.6421214675903322</v>
      </c>
      <c r="DG45" s="3">
        <v>4.3445719713346203E-6</v>
      </c>
      <c r="DH45" s="3">
        <v>705943190776014.25</v>
      </c>
      <c r="DI45" s="3">
        <v>3.311019515991211</v>
      </c>
      <c r="DJ45" s="3">
        <v>2.5502083624020285E-11</v>
      </c>
      <c r="DK45" s="3">
        <v>1.2026550634910428E+20</v>
      </c>
      <c r="DL45" s="3">
        <v>2.8971420764923095</v>
      </c>
      <c r="DM45" s="3">
        <v>430000000</v>
      </c>
      <c r="DN45" s="3">
        <v>4.1387743949890137</v>
      </c>
      <c r="DO45" s="3">
        <v>3067021000</v>
      </c>
      <c r="DP45" s="3">
        <v>1704333600</v>
      </c>
      <c r="DQ45" s="3">
        <v>3012</v>
      </c>
      <c r="DR45" s="3">
        <v>-4.8230373431961846</v>
      </c>
      <c r="DS45" s="3">
        <v>-2.5512681167471367</v>
      </c>
      <c r="DT45" s="12">
        <v>-0.21000000000000008</v>
      </c>
      <c r="DU45" s="3">
        <v>0.23999999999999988</v>
      </c>
      <c r="DV45" s="3">
        <v>2.9999999999999805E-2</v>
      </c>
      <c r="DW45" s="3">
        <v>-8.2847944526993569</v>
      </c>
      <c r="DX45" s="3">
        <v>0.55213910891088858</v>
      </c>
      <c r="DY45" s="3">
        <v>-8.051872207837425</v>
      </c>
      <c r="DZ45" s="3">
        <v>4720</v>
      </c>
      <c r="EA45" s="3">
        <v>-8.003958935627514</v>
      </c>
      <c r="EB45" s="3">
        <v>8</v>
      </c>
      <c r="EC45" s="3">
        <v>7.9117201347139149E-2</v>
      </c>
      <c r="ED45" s="3">
        <v>0.43437788743023936</v>
      </c>
      <c r="EE45" s="13">
        <v>-1.06341</v>
      </c>
      <c r="EF45" s="3">
        <v>-1.0739099999999999</v>
      </c>
      <c r="EG45" s="3">
        <v>37.182139108910889</v>
      </c>
      <c r="EH45" s="3" t="s">
        <v>954</v>
      </c>
      <c r="EI45" s="3">
        <v>0</v>
      </c>
      <c r="EJ45" s="3">
        <v>0</v>
      </c>
      <c r="EK45" s="15">
        <v>45470</v>
      </c>
      <c r="EL45" s="16">
        <v>-1.3</v>
      </c>
      <c r="EM45" s="16">
        <v>-4.9400000000000004</v>
      </c>
      <c r="EN45" s="16">
        <v>-1.91</v>
      </c>
      <c r="EO45" s="16">
        <v>1.06</v>
      </c>
      <c r="EP45" s="16">
        <v>-1.05</v>
      </c>
    </row>
    <row r="46" spans="1:146" ht="216" x14ac:dyDescent="0.25">
      <c r="C46" s="7" t="str">
        <f>"公司的主营业务是工业控制/驱动领域产品与系统的研发、生产、销售。公司的主要服务是为中高端塑料机械制造商提供优质的自动化系统解决方案。主要产品有：塑机控制系统、伺服系统、塑料网络管理系统及相关零组件；"&amp;CHAR(10)&amp;Basic_Fundamental_Information_Constructure(F46)&amp;CHAR(10)&amp;Basic_Fundamental_Information_Concatenate("工业控制类 2.69亿 52.57% 利润占比60.60% 40.49%
驱动系统类 2.07亿 40.36% 利润占比32.00% 27.86%
新能源类 2797.39万 5.46% 利润占比5.75% 36.99%
其他业务 824.71万 1.61% 利润占比1.65% 35.96%")</f>
        <v>公司的主营业务是工业控制/驱动领域产品与系统的研发、生产、销售。公司的主要服务是为中高端塑料机械制造商提供优质的自动化系统解决方案。主要产品有：塑机控制系统、伺服系统、塑料网络管理系统及相关零组件；
市值29.184612亿, 利润6871.94万; PE40.7; 平均PE48.76; 平均PEG144.71, PB2.13; ROIC3.14%; ROE4.3467%; 股利率2.0776%; 毛利36.3533%; 净利8.19%; 上一年度营收增-13.78%, 利润增44.02%; 当季营收增21.92%, 利润增14.05%; 过往5年营收增.34%, 利润增16.87%
Income profile:
工业控制类 2.69亿 52.57% 利润占比60.60% 40.49%
驱动系统类 2.07亿 40.36% 利润占比32.00% 27.86%
新能源类 2797.39万 5.46% 利润占比5.75% 36.99%
其他业务 824.71万 1.61% 利润占比1.65% 35.96%</v>
      </c>
      <c r="D46" s="3" t="s">
        <v>393</v>
      </c>
      <c r="E46" s="3" t="s">
        <v>394</v>
      </c>
      <c r="F46" s="3">
        <v>7.22</v>
      </c>
      <c r="G46" s="3">
        <v>0.84</v>
      </c>
      <c r="H46" s="3" t="s">
        <v>2490</v>
      </c>
      <c r="I46" s="3">
        <v>2918461200</v>
      </c>
      <c r="J46" s="3">
        <v>40.700000000000003</v>
      </c>
      <c r="K46" s="3">
        <v>2.13</v>
      </c>
      <c r="L46" s="3" t="s">
        <v>176</v>
      </c>
      <c r="M46" s="3" t="s">
        <v>1400</v>
      </c>
      <c r="N46" s="3" t="s">
        <v>2491</v>
      </c>
      <c r="O46" s="3" t="s">
        <v>1071</v>
      </c>
      <c r="P46" s="3">
        <v>11.59</v>
      </c>
      <c r="Q46" s="3" t="s">
        <v>2492</v>
      </c>
      <c r="R46" s="3">
        <v>16879402</v>
      </c>
      <c r="S46" s="5">
        <v>0.8458</v>
      </c>
      <c r="T46" s="3" t="s">
        <v>2493</v>
      </c>
      <c r="U46" s="3">
        <v>404219000</v>
      </c>
      <c r="V46" s="3">
        <v>404219000</v>
      </c>
      <c r="W46" s="3">
        <v>1.5</v>
      </c>
      <c r="X46" s="3">
        <v>0.09</v>
      </c>
      <c r="Y46" s="3">
        <v>8.7200000000000006</v>
      </c>
      <c r="Z46" s="3" t="s">
        <v>268</v>
      </c>
      <c r="AA46" s="3" t="s">
        <v>61</v>
      </c>
      <c r="AB46" s="3" t="s">
        <v>2494</v>
      </c>
      <c r="AC46" s="3" t="s">
        <v>2495</v>
      </c>
      <c r="AD46" s="3" t="s">
        <v>47</v>
      </c>
      <c r="AE46" s="3">
        <v>-890419</v>
      </c>
      <c r="AF46" s="3" t="s">
        <v>1590</v>
      </c>
      <c r="AG46" s="3" t="s">
        <v>2496</v>
      </c>
      <c r="AH46" s="3" t="s">
        <v>1591</v>
      </c>
      <c r="AI46" s="3" t="s">
        <v>660</v>
      </c>
      <c r="AJ46" s="3" t="s">
        <v>1592</v>
      </c>
      <c r="AK46" s="3" t="s">
        <v>2497</v>
      </c>
      <c r="AL46" s="3" t="s">
        <v>1593</v>
      </c>
      <c r="AM46" s="3" t="s">
        <v>47</v>
      </c>
      <c r="AN46" s="3" t="s">
        <v>2498</v>
      </c>
      <c r="AO46" s="3" t="s">
        <v>75</v>
      </c>
      <c r="AP46" s="3" t="s">
        <v>2499</v>
      </c>
      <c r="AQ46" s="3" t="s">
        <v>65</v>
      </c>
      <c r="AR46" s="3" t="s">
        <v>2500</v>
      </c>
      <c r="AS46" s="3" t="s">
        <v>846</v>
      </c>
      <c r="AT46" s="3" t="s">
        <v>410</v>
      </c>
      <c r="AU46" s="3" t="s">
        <v>2501</v>
      </c>
      <c r="AV46" s="3" t="s">
        <v>2502</v>
      </c>
      <c r="AW46" s="3" t="s">
        <v>2503</v>
      </c>
      <c r="AX46" s="3" t="s">
        <v>53</v>
      </c>
      <c r="AY46" s="3" t="s">
        <v>624</v>
      </c>
      <c r="AZ46" s="3" t="s">
        <v>395</v>
      </c>
      <c r="BA46" s="3" t="s">
        <v>399</v>
      </c>
      <c r="BB46" s="3" t="s">
        <v>380</v>
      </c>
      <c r="BC46" s="3" t="s">
        <v>1594</v>
      </c>
      <c r="BD46" s="3" t="s">
        <v>679</v>
      </c>
      <c r="BE46" s="3" t="s">
        <v>396</v>
      </c>
      <c r="BF46" s="3" t="s">
        <v>400</v>
      </c>
      <c r="BG46" s="3" t="s">
        <v>778</v>
      </c>
      <c r="BH46" s="3" t="s">
        <v>1148</v>
      </c>
      <c r="BI46" s="3" t="s">
        <v>96</v>
      </c>
      <c r="BJ46" s="3" t="s">
        <v>53</v>
      </c>
      <c r="BK46" s="3" t="s">
        <v>1589</v>
      </c>
      <c r="BL46" s="3" t="s">
        <v>2504</v>
      </c>
      <c r="BM46" s="3" t="s">
        <v>1594</v>
      </c>
      <c r="BN46" s="3">
        <v>1.69</v>
      </c>
      <c r="BO46" s="3">
        <v>2.98</v>
      </c>
      <c r="BP46" s="3">
        <v>4.75</v>
      </c>
      <c r="BQ46" s="3">
        <v>2.52</v>
      </c>
      <c r="BR46" s="3">
        <v>3.63</v>
      </c>
      <c r="BS46" s="3">
        <v>6.89</v>
      </c>
      <c r="BT46" s="3" t="s">
        <v>1218</v>
      </c>
      <c r="BU46" s="3" t="s">
        <v>747</v>
      </c>
      <c r="BV46" s="3">
        <v>37.659999999999997</v>
      </c>
      <c r="BW46" s="3">
        <v>36.130000000000003</v>
      </c>
      <c r="BX46" s="3">
        <v>35.270000000000003</v>
      </c>
      <c r="BY46" s="3">
        <v>8.81</v>
      </c>
      <c r="BZ46" s="3">
        <v>6.7</v>
      </c>
      <c r="CA46" s="3">
        <v>9.06</v>
      </c>
      <c r="CB46" s="3">
        <v>-4.5</v>
      </c>
      <c r="CC46" s="3">
        <v>-8.0299999999999994</v>
      </c>
      <c r="CD46" s="3" t="s">
        <v>2505</v>
      </c>
      <c r="CE46" s="3" t="s">
        <v>1138</v>
      </c>
      <c r="CF46" s="10">
        <v>0.21917808219178081</v>
      </c>
      <c r="CG46" s="11">
        <v>0.14052325384974021</v>
      </c>
      <c r="CH46" s="10">
        <v>-0.13778990507125854</v>
      </c>
      <c r="CI46" s="10">
        <v>-0.21604278683662415</v>
      </c>
      <c r="CJ46" s="10">
        <v>0.24666666984558105</v>
      </c>
      <c r="CK46" s="10">
        <v>0.24792012572288513</v>
      </c>
      <c r="CL46" s="10">
        <v>-0.12390670925378799</v>
      </c>
      <c r="CM46" s="11">
        <v>0.44019028544425964</v>
      </c>
      <c r="CN46" s="11">
        <v>-0.4628429114818573</v>
      </c>
      <c r="CO46" s="11">
        <v>0.43472251296043396</v>
      </c>
      <c r="CP46" s="11">
        <v>0.86812663078308105</v>
      </c>
      <c r="CQ46" s="11">
        <v>-0.43647736310958862</v>
      </c>
      <c r="CR46" s="3">
        <v>48.758297248854952</v>
      </c>
      <c r="CS46" s="3">
        <v>144.70575114329841</v>
      </c>
      <c r="CT46" s="3">
        <v>2.0775623268698062</v>
      </c>
      <c r="CU46" s="10">
        <v>3.3694788813591003E-3</v>
      </c>
      <c r="CV46" s="11">
        <v>0.16874383091926576</v>
      </c>
      <c r="CW46" s="3">
        <v>0.06</v>
      </c>
      <c r="CX46" s="3">
        <v>33.874354458359257</v>
      </c>
      <c r="CY46" s="3">
        <v>65048064.68588648</v>
      </c>
      <c r="CZ46" s="3">
        <v>3.3694788813591003E-3</v>
      </c>
      <c r="DA46" s="3">
        <v>11.920696779979409</v>
      </c>
      <c r="DB46" s="3">
        <v>184843322.55650297</v>
      </c>
      <c r="DC46" s="3">
        <v>3.2010049372911452E-3</v>
      </c>
      <c r="DD46" s="3">
        <v>6.4566807478464074</v>
      </c>
      <c r="DE46" s="3">
        <v>341268414.22892916</v>
      </c>
      <c r="DF46" s="3">
        <v>2.9651414155960083E-3</v>
      </c>
      <c r="DG46" s="3">
        <v>4.2979275551740272</v>
      </c>
      <c r="DH46" s="3">
        <v>512679930.43469989</v>
      </c>
      <c r="DI46" s="3">
        <v>2.6955831050872806E-3</v>
      </c>
      <c r="DJ46" s="3">
        <v>2.7392005227683627</v>
      </c>
      <c r="DK46" s="3">
        <v>804417632.6941849</v>
      </c>
      <c r="DL46" s="3">
        <v>2.35863521695137E-3</v>
      </c>
      <c r="DM46" s="3">
        <v>68719400</v>
      </c>
      <c r="DN46" s="3">
        <v>3.3694788813591003E-3</v>
      </c>
      <c r="DO46" s="3">
        <v>2203461200</v>
      </c>
      <c r="DP46" s="3">
        <v>767526920</v>
      </c>
      <c r="DQ46" s="3">
        <v>3858</v>
      </c>
      <c r="DR46" s="3">
        <v>0.2158086033104217</v>
      </c>
      <c r="DS46" s="3">
        <v>-2.8220577069525549E-2</v>
      </c>
      <c r="DT46" s="12">
        <v>-0.34</v>
      </c>
      <c r="DU46" s="3">
        <v>0.28333333333333338</v>
      </c>
      <c r="DV46" s="3">
        <v>-5.6666666666666643E-2</v>
      </c>
      <c r="DW46" s="3">
        <v>-8.5603985056039846</v>
      </c>
      <c r="DX46" s="3">
        <v>0.31883726415094227</v>
      </c>
      <c r="DY46" s="3">
        <v>-8.0609922401842145</v>
      </c>
      <c r="DZ46" s="3">
        <v>2263</v>
      </c>
      <c r="EA46" s="3">
        <v>-8.0339813909597773</v>
      </c>
      <c r="EB46" s="3">
        <v>8</v>
      </c>
      <c r="EC46" s="3">
        <v>5.7081680969969247E-2</v>
      </c>
      <c r="ED46" s="3">
        <v>0.52446817195629103</v>
      </c>
      <c r="EE46" s="13">
        <v>2.1032999999999999</v>
      </c>
      <c r="EF46" s="3">
        <v>2.0623999999999998</v>
      </c>
      <c r="EG46" s="3">
        <v>21.108837264150942</v>
      </c>
      <c r="EH46" s="3" t="s">
        <v>1191</v>
      </c>
      <c r="EI46" s="3">
        <v>0</v>
      </c>
      <c r="EJ46" s="3">
        <v>0</v>
      </c>
      <c r="EK46" s="15">
        <v>45470</v>
      </c>
      <c r="EL46" s="16">
        <v>1.33</v>
      </c>
      <c r="EM46" s="16">
        <v>-3.8</v>
      </c>
      <c r="EN46" s="16">
        <v>1.75</v>
      </c>
      <c r="EO46" s="16">
        <v>4.04</v>
      </c>
      <c r="EP46" s="16">
        <v>-4.09</v>
      </c>
    </row>
    <row r="47" spans="1:146" ht="204" x14ac:dyDescent="0.25">
      <c r="C47" s="7" t="str">
        <f>"公司主要业务为智能装备电脑控制系统及相关产品的研发、生产和销售。公司产品有缝制机械电控产品、针织机械电控产品、缝制、针织行业智能工厂系统。经过多年发展，公司在刺绣机电控系统、袜机控制系统、特种工业缝纫机控制系统等产品型号/规格、生产规模、技术水平、产品质量、服务/技术支持体系、人才队伍等方面均处于行业领先。"&amp;CHAR(10)&amp;Basic_Fundamental_Information_Constructure(F47)&amp;CHAR(10)&amp;Basic_Fundamental_Information_Concatenate("缝制设备电控系统 9.43亿 62.68% 72.32% 47.49%
针织设备电控系统 5.15亿 34.24% 22.00% 26.44%
其他业务 4637.29万 3.08% 5.69% 75.96%")</f>
        <v>公司主要业务为智能装备电脑控制系统及相关产品的研发、生产和销售。公司产品有缝制机械电控产品、针织机械电控产品、缝制、针织行业智能工厂系统。经过多年发展，公司在刺绣机电控系统、袜机控制系统、特种工业缝纫机控制系统等产品型号/规格、生产规模、技术水平、产品质量、服务/技术支持体系、人才队伍等方面均处于行业领先。
市值155.5063亿, 利润1872.60万; PE32.33; 平均PE56.52; 平均PEG.9, PB6.74; ROIC16.6367%; ROE18.58%; 股利率2.1398%; 毛利40.34%; 净利24.7767%; 上一年度营收增252.63%, 利润增-95.7%; 当季营收增-55.99%, 利润增3841.15%; 过往5年营收增63.12%, 利润增-10.81%
Income profile:
缝制设备电控系统 9.43亿 62.68% 72.32% 47.49%
针织设备电控系统 5.15亿 34.24% 22.00% 26.44%
其他业务 4637.29万 3.08% 5.69% 75.96%</v>
      </c>
      <c r="D47" s="3" t="s">
        <v>402</v>
      </c>
      <c r="E47" s="3" t="s">
        <v>403</v>
      </c>
      <c r="F47" s="3">
        <v>14.02</v>
      </c>
      <c r="G47" s="3">
        <v>1.37</v>
      </c>
      <c r="H47" s="3" t="s">
        <v>2506</v>
      </c>
      <c r="I47" s="3">
        <v>15550630000</v>
      </c>
      <c r="J47" s="3">
        <v>32.33</v>
      </c>
      <c r="K47" s="3">
        <v>6.74</v>
      </c>
      <c r="L47" s="3" t="s">
        <v>176</v>
      </c>
      <c r="M47" s="3" t="s">
        <v>1595</v>
      </c>
      <c r="N47" s="3" t="s">
        <v>1252</v>
      </c>
      <c r="O47" s="3" t="s">
        <v>1596</v>
      </c>
      <c r="P47" s="3">
        <v>50.7</v>
      </c>
      <c r="Q47" s="3" t="s">
        <v>2507</v>
      </c>
      <c r="R47" s="3">
        <v>315000000</v>
      </c>
      <c r="S47" s="5">
        <v>1.0369999999999999</v>
      </c>
      <c r="T47" s="3" t="s">
        <v>2508</v>
      </c>
      <c r="U47" s="3">
        <v>1109174770</v>
      </c>
      <c r="V47" s="3">
        <v>1109174770</v>
      </c>
      <c r="W47" s="3">
        <v>1.72</v>
      </c>
      <c r="X47" s="3">
        <v>0.15</v>
      </c>
      <c r="Y47" s="3">
        <v>25.43</v>
      </c>
      <c r="Z47" s="3" t="s">
        <v>104</v>
      </c>
      <c r="AA47" s="3" t="s">
        <v>2509</v>
      </c>
      <c r="AB47" s="3" t="s">
        <v>2510</v>
      </c>
      <c r="AC47" s="3" t="s">
        <v>2511</v>
      </c>
      <c r="AD47" s="3" t="s">
        <v>47</v>
      </c>
      <c r="AE47" s="3">
        <v>463083</v>
      </c>
      <c r="AF47" s="3" t="s">
        <v>1598</v>
      </c>
      <c r="AG47" s="3" t="s">
        <v>2512</v>
      </c>
      <c r="AH47" s="3" t="s">
        <v>1599</v>
      </c>
      <c r="AI47" s="3" t="s">
        <v>2513</v>
      </c>
      <c r="AJ47" s="3" t="s">
        <v>1600</v>
      </c>
      <c r="AK47" s="3" t="s">
        <v>761</v>
      </c>
      <c r="AL47" s="3" t="s">
        <v>1601</v>
      </c>
      <c r="AM47" s="3" t="s">
        <v>47</v>
      </c>
      <c r="AN47" s="3" t="s">
        <v>2514</v>
      </c>
      <c r="AO47" s="3" t="s">
        <v>2515</v>
      </c>
      <c r="AP47" s="3" t="s">
        <v>432</v>
      </c>
      <c r="AQ47" s="3" t="s">
        <v>843</v>
      </c>
      <c r="AR47" s="3" t="s">
        <v>2516</v>
      </c>
      <c r="AS47" s="3" t="s">
        <v>2517</v>
      </c>
      <c r="AT47" s="3" t="s">
        <v>2518</v>
      </c>
      <c r="AU47" s="3" t="s">
        <v>2519</v>
      </c>
      <c r="AV47" s="3" t="s">
        <v>2520</v>
      </c>
      <c r="AW47" s="3" t="s">
        <v>135</v>
      </c>
      <c r="AX47" s="3" t="s">
        <v>1018</v>
      </c>
      <c r="AY47" s="3" t="s">
        <v>680</v>
      </c>
      <c r="AZ47" s="3" t="s">
        <v>404</v>
      </c>
      <c r="BA47" s="3" t="s">
        <v>406</v>
      </c>
      <c r="BB47" s="3" t="s">
        <v>183</v>
      </c>
      <c r="BC47" s="3" t="s">
        <v>1005</v>
      </c>
      <c r="BD47" s="3" t="s">
        <v>681</v>
      </c>
      <c r="BE47" s="3" t="s">
        <v>141</v>
      </c>
      <c r="BF47" s="3" t="s">
        <v>151</v>
      </c>
      <c r="BG47" s="3" t="s">
        <v>766</v>
      </c>
      <c r="BH47" s="3" t="s">
        <v>1597</v>
      </c>
      <c r="BI47" s="3" t="s">
        <v>211</v>
      </c>
      <c r="BJ47" s="3" t="s">
        <v>1018</v>
      </c>
      <c r="BK47" s="3" t="s">
        <v>189</v>
      </c>
      <c r="BL47" s="3" t="s">
        <v>2521</v>
      </c>
      <c r="BM47" s="3" t="s">
        <v>1005</v>
      </c>
      <c r="BN47" s="3">
        <v>11.34</v>
      </c>
      <c r="BO47" s="3">
        <v>20.53</v>
      </c>
      <c r="BP47" s="3">
        <v>18.04</v>
      </c>
      <c r="BQ47" s="3">
        <v>13.86</v>
      </c>
      <c r="BR47" s="3">
        <v>22.78</v>
      </c>
      <c r="BS47" s="3">
        <v>19.100000000000001</v>
      </c>
      <c r="BT47" s="3" t="s">
        <v>861</v>
      </c>
      <c r="BU47" s="3" t="s">
        <v>747</v>
      </c>
      <c r="BV47" s="3">
        <v>39.33</v>
      </c>
      <c r="BW47" s="3">
        <v>40.53</v>
      </c>
      <c r="BX47" s="3">
        <v>41.16</v>
      </c>
      <c r="BY47" s="3">
        <v>21.54</v>
      </c>
      <c r="BZ47" s="3">
        <v>28.56</v>
      </c>
      <c r="CA47" s="3">
        <v>24.23</v>
      </c>
      <c r="CB47" s="3">
        <v>1.45</v>
      </c>
      <c r="CC47" s="3">
        <v>3.32</v>
      </c>
      <c r="CD47" s="3" t="s">
        <v>2522</v>
      </c>
      <c r="CE47" s="3" t="s">
        <v>206</v>
      </c>
      <c r="CF47" s="10">
        <v>-0.55989048596851476</v>
      </c>
      <c r="CG47" s="11">
        <v>38.411455596426691</v>
      </c>
      <c r="CH47" s="10">
        <v>2.5262825489044189</v>
      </c>
      <c r="CI47" s="10">
        <v>6.1794064939022064E-2</v>
      </c>
      <c r="CJ47" s="10">
        <v>0.80672264099121094</v>
      </c>
      <c r="CK47" s="10">
        <v>-0.14388489723205566</v>
      </c>
      <c r="CL47" s="10">
        <v>-9.488377720117569E-2</v>
      </c>
      <c r="CM47" s="11">
        <v>-0.95695167779922485</v>
      </c>
      <c r="CN47" s="11">
        <v>0.21508379280567169</v>
      </c>
      <c r="CO47" s="11">
        <v>0.67289721965789795</v>
      </c>
      <c r="CP47" s="11">
        <v>-0.16078431904315948</v>
      </c>
      <c r="CQ47" s="11">
        <v>-0.31081080436706543</v>
      </c>
      <c r="CR47" s="3">
        <v>56.522875389374128</v>
      </c>
      <c r="CS47" s="3">
        <v>0.89547413989545199</v>
      </c>
      <c r="CT47" s="3">
        <v>2.1398002853067046</v>
      </c>
      <c r="CU47" s="10">
        <v>0.6312061160802841</v>
      </c>
      <c r="CV47" s="11">
        <v>-0.10811315774917603</v>
      </c>
      <c r="CW47" s="3">
        <v>0.06</v>
      </c>
      <c r="CX47" s="3">
        <v>502.05280578440806</v>
      </c>
      <c r="CY47" s="3">
        <v>28816948.801622078</v>
      </c>
      <c r="CZ47" s="3">
        <v>0.6312061160802841</v>
      </c>
      <c r="DA47" s="3">
        <v>106.95915629476919</v>
      </c>
      <c r="DB47" s="3">
        <v>135263127.54495367</v>
      </c>
      <c r="DC47" s="3">
        <v>0.59964581027626984</v>
      </c>
      <c r="DD47" s="3">
        <v>27.391501033764335</v>
      </c>
      <c r="DE47" s="3">
        <v>528179524.81561232</v>
      </c>
      <c r="DF47" s="3">
        <v>0.55546138215065</v>
      </c>
      <c r="DG47" s="3">
        <v>7.0761304980823789</v>
      </c>
      <c r="DH47" s="3">
        <v>2044568002.7976739</v>
      </c>
      <c r="DI47" s="3">
        <v>0.5049648928642273</v>
      </c>
      <c r="DJ47" s="3">
        <v>0.4361090683785776</v>
      </c>
      <c r="DK47" s="3">
        <v>33174338827.187466</v>
      </c>
      <c r="DL47" s="3">
        <v>0.44184428125619885</v>
      </c>
      <c r="DM47" s="3">
        <v>18726000</v>
      </c>
      <c r="DN47" s="3">
        <v>0.6312061160802841</v>
      </c>
      <c r="DO47" s="3">
        <v>14467630000</v>
      </c>
      <c r="DP47" s="3">
        <v>1825516900</v>
      </c>
      <c r="DQ47" s="3">
        <v>3867</v>
      </c>
      <c r="DR47" s="3">
        <v>-1.1910966020487987</v>
      </c>
      <c r="DS47" s="3">
        <v>38.519568754175864</v>
      </c>
      <c r="DT47" s="12">
        <v>0.12666666666666662</v>
      </c>
      <c r="DU47" s="3">
        <v>-0.1333333333333333</v>
      </c>
      <c r="DV47" s="3">
        <v>-6.6666666666666818E-3</v>
      </c>
      <c r="DW47" s="3">
        <v>1.0331999999999999</v>
      </c>
      <c r="DX47" s="3">
        <v>0.65165989010989134</v>
      </c>
      <c r="DY47" s="3">
        <v>1.0060311083516484</v>
      </c>
      <c r="DZ47" s="3">
        <v>4188</v>
      </c>
      <c r="EA47" s="3">
        <v>1.0010881960665792</v>
      </c>
      <c r="EB47" s="3">
        <v>1</v>
      </c>
      <c r="EC47" s="3">
        <v>2.9807836325018464E-2</v>
      </c>
      <c r="ED47" s="3">
        <v>0.1640859537401847</v>
      </c>
      <c r="EE47" s="13">
        <v>-1.07301</v>
      </c>
      <c r="EF47" s="3">
        <v>-1.04691</v>
      </c>
      <c r="EG47" s="3">
        <v>47.181659890109891</v>
      </c>
      <c r="EH47" s="3" t="s">
        <v>954</v>
      </c>
      <c r="EI47" s="3">
        <v>0</v>
      </c>
      <c r="EJ47" s="3">
        <v>0</v>
      </c>
      <c r="EK47" s="15">
        <v>45470</v>
      </c>
      <c r="EL47" s="16">
        <v>-3.26</v>
      </c>
      <c r="EM47" s="16">
        <v>-5.0599999999999996</v>
      </c>
      <c r="EN47" s="16">
        <v>-4.7300000000000004</v>
      </c>
      <c r="EO47" s="16">
        <v>-4.97</v>
      </c>
      <c r="EP47" s="16">
        <v>2.61</v>
      </c>
    </row>
    <row r="48" spans="1:146" ht="108" x14ac:dyDescent="0.25">
      <c r="C48" s="7" t="str">
        <f>""&amp;CHAR(10)&amp;Basic_Fundamental_Information_Constructure(F48)&amp;CHAR(10)&amp;Basic_Fundamental_Information_Concatenate("")</f>
        <v xml:space="preserve">
市值55.546263亿, 利润1.86亿; PE28.38; 平均PE26.99; 平均PEG.29, PB3.9; ROIC16.9333%; ROE18.3033%; 股利率2.7064%; 毛利50.2867%; 净利29.53%; 上一年度营收增382.91%, 利润增-31.87%; 当季营收增-73.15%, 利润增81.22%; 过往5年营收增93.4%, 利润增6.79%
Income profile:
</v>
      </c>
      <c r="D48" s="3" t="s">
        <v>408</v>
      </c>
      <c r="E48" s="3" t="s">
        <v>1019</v>
      </c>
      <c r="F48" s="3">
        <v>22.17</v>
      </c>
      <c r="G48" s="3">
        <v>-1.07</v>
      </c>
      <c r="H48" s="3" t="s">
        <v>2523</v>
      </c>
      <c r="I48" s="3">
        <v>5554626300</v>
      </c>
      <c r="J48" s="3">
        <v>28.38</v>
      </c>
      <c r="K48" s="3">
        <v>3.9</v>
      </c>
      <c r="L48" s="3" t="s">
        <v>176</v>
      </c>
      <c r="M48" s="3" t="s">
        <v>846</v>
      </c>
      <c r="N48" s="3" t="s">
        <v>2524</v>
      </c>
      <c r="O48" s="3" t="s">
        <v>844</v>
      </c>
      <c r="P48" s="3">
        <v>4.08</v>
      </c>
      <c r="Q48" s="3" t="s">
        <v>2525</v>
      </c>
      <c r="R48" s="3">
        <v>59806995</v>
      </c>
      <c r="S48" s="5">
        <v>8.6300000000000002E-2</v>
      </c>
      <c r="T48" s="3" t="s">
        <v>298</v>
      </c>
      <c r="U48" s="3">
        <v>249153320</v>
      </c>
      <c r="V48" s="3">
        <v>250546970</v>
      </c>
      <c r="W48" s="3">
        <v>1.28</v>
      </c>
      <c r="X48" s="3">
        <v>0.12</v>
      </c>
      <c r="Y48" s="3">
        <v>26.26</v>
      </c>
      <c r="Z48" s="3" t="s">
        <v>347</v>
      </c>
      <c r="AA48" s="3" t="s">
        <v>1219</v>
      </c>
      <c r="AB48" s="3" t="s">
        <v>2526</v>
      </c>
      <c r="AC48" s="3" t="s">
        <v>2527</v>
      </c>
      <c r="AD48" s="3" t="s">
        <v>47</v>
      </c>
      <c r="AE48" s="3">
        <v>-1049088</v>
      </c>
      <c r="AF48" s="3" t="s">
        <v>1602</v>
      </c>
      <c r="AG48" s="3" t="s">
        <v>2528</v>
      </c>
      <c r="AH48" s="3" t="s">
        <v>1603</v>
      </c>
      <c r="AI48" s="3" t="s">
        <v>66</v>
      </c>
      <c r="AJ48" s="3" t="s">
        <v>1604</v>
      </c>
      <c r="AK48" s="3" t="s">
        <v>2529</v>
      </c>
      <c r="AL48" s="3" t="s">
        <v>1605</v>
      </c>
      <c r="AM48" s="3" t="s">
        <v>47</v>
      </c>
      <c r="AN48" s="3" t="s">
        <v>2530</v>
      </c>
      <c r="AO48" s="3" t="s">
        <v>1159</v>
      </c>
      <c r="AP48" s="3" t="s">
        <v>2531</v>
      </c>
      <c r="AQ48" s="3" t="s">
        <v>117</v>
      </c>
      <c r="AR48" s="3" t="s">
        <v>47</v>
      </c>
      <c r="AS48" s="3" t="s">
        <v>438</v>
      </c>
      <c r="AT48" s="3" t="s">
        <v>47</v>
      </c>
      <c r="AU48" s="3" t="s">
        <v>2532</v>
      </c>
      <c r="AV48" s="3" t="s">
        <v>2533</v>
      </c>
      <c r="AW48" s="3" t="s">
        <v>2534</v>
      </c>
      <c r="AX48" s="3" t="s">
        <v>853</v>
      </c>
      <c r="AY48" s="3" t="s">
        <v>682</v>
      </c>
      <c r="AZ48" s="3" t="s">
        <v>163</v>
      </c>
      <c r="BA48" s="3" t="s">
        <v>409</v>
      </c>
      <c r="BB48" s="3" t="s">
        <v>150</v>
      </c>
      <c r="BC48" s="3" t="s">
        <v>839</v>
      </c>
      <c r="BD48" s="3" t="s">
        <v>220</v>
      </c>
      <c r="BE48" s="3" t="s">
        <v>82</v>
      </c>
      <c r="BF48" s="3" t="s">
        <v>143</v>
      </c>
      <c r="BG48" s="3" t="s">
        <v>83</v>
      </c>
      <c r="BH48" s="3" t="s">
        <v>1143</v>
      </c>
      <c r="BI48" s="3" t="s">
        <v>2535</v>
      </c>
      <c r="BJ48" s="3" t="s">
        <v>853</v>
      </c>
      <c r="BK48" s="3" t="s">
        <v>987</v>
      </c>
      <c r="BL48" s="3" t="s">
        <v>2536</v>
      </c>
      <c r="BM48" s="3" t="s">
        <v>839</v>
      </c>
      <c r="BN48" s="3">
        <v>10.199999999999999</v>
      </c>
      <c r="BO48" s="3">
        <v>19.41</v>
      </c>
      <c r="BP48" s="3">
        <v>21.19</v>
      </c>
      <c r="BQ48" s="3">
        <v>11.32</v>
      </c>
      <c r="BR48" s="3">
        <v>20.85</v>
      </c>
      <c r="BS48" s="3">
        <v>22.74</v>
      </c>
      <c r="BT48" s="3" t="s">
        <v>1606</v>
      </c>
      <c r="BU48" s="3" t="s">
        <v>747</v>
      </c>
      <c r="BV48" s="3">
        <v>47.3</v>
      </c>
      <c r="BW48" s="3">
        <v>51.92</v>
      </c>
      <c r="BX48" s="3">
        <v>51.64</v>
      </c>
      <c r="BY48" s="3">
        <v>23.76</v>
      </c>
      <c r="BZ48" s="3">
        <v>30.47</v>
      </c>
      <c r="CA48" s="3">
        <v>34.36</v>
      </c>
      <c r="CB48" s="3">
        <v>-5.98</v>
      </c>
      <c r="CC48" s="3">
        <v>1.74</v>
      </c>
      <c r="CD48" s="3" t="s">
        <v>2537</v>
      </c>
      <c r="CE48" s="3" t="s">
        <v>2538</v>
      </c>
      <c r="CF48" s="10">
        <v>-0.73150357995226734</v>
      </c>
      <c r="CG48" s="11">
        <v>0.8122453153786483</v>
      </c>
      <c r="CH48" s="10">
        <v>3.8290789127349854</v>
      </c>
      <c r="CI48" s="10">
        <v>0.15364916622638702</v>
      </c>
      <c r="CJ48" s="10">
        <v>0.45981308817863464</v>
      </c>
      <c r="CK48" s="10">
        <v>0.16052061319351196</v>
      </c>
      <c r="CL48" s="10">
        <v>6.7129626870155334E-2</v>
      </c>
      <c r="CM48" s="11">
        <v>-0.31868132948875427</v>
      </c>
      <c r="CN48" s="11">
        <v>1.8656715750694275E-2</v>
      </c>
      <c r="CO48" s="11">
        <v>0.51412427425384521</v>
      </c>
      <c r="CP48" s="11">
        <v>1.7241379246115685E-2</v>
      </c>
      <c r="CQ48" s="11">
        <v>0.10828025639057159</v>
      </c>
      <c r="CR48" s="3">
        <v>26.986038704453438</v>
      </c>
      <c r="CS48" s="3">
        <v>0.28891790883375817</v>
      </c>
      <c r="CT48" s="3">
        <v>2.7063599458728009</v>
      </c>
      <c r="CU48" s="10">
        <v>0.93403828144073486</v>
      </c>
      <c r="CV48" s="11">
        <v>6.7924259230494499E-2</v>
      </c>
      <c r="CW48" s="3">
        <v>0.06</v>
      </c>
      <c r="CX48" s="3">
        <v>13.223442757464381</v>
      </c>
      <c r="CY48" s="3">
        <v>339368981.46035534</v>
      </c>
      <c r="CZ48" s="3">
        <v>0.93403828144073486</v>
      </c>
      <c r="DA48" s="3">
        <v>2.2771502279787676</v>
      </c>
      <c r="DB48" s="3">
        <v>1970720352.5097611</v>
      </c>
      <c r="DC48" s="3">
        <v>0.88733636736869803</v>
      </c>
      <c r="DD48" s="3">
        <v>0.40708351078305999</v>
      </c>
      <c r="DE48" s="3">
        <v>11023846903.962448</v>
      </c>
      <c r="DF48" s="3">
        <v>0.82195368766784671</v>
      </c>
      <c r="DG48" s="3">
        <v>6.4529080126244087E-2</v>
      </c>
      <c r="DH48" s="3">
        <v>69544247201.733704</v>
      </c>
      <c r="DI48" s="3">
        <v>0.74723062515258798</v>
      </c>
      <c r="DJ48" s="3">
        <v>1.1859046422720654E-3</v>
      </c>
      <c r="DK48" s="3">
        <v>3784137560505.8701</v>
      </c>
      <c r="DL48" s="3">
        <v>0.65382679700851432</v>
      </c>
      <c r="DM48" s="3">
        <v>186000000</v>
      </c>
      <c r="DN48" s="3">
        <v>0.93403828144073486</v>
      </c>
      <c r="DO48" s="3">
        <v>4487626300</v>
      </c>
      <c r="DP48" s="3">
        <v>1003242700</v>
      </c>
      <c r="DQ48" s="3">
        <v>4007</v>
      </c>
      <c r="DR48" s="3">
        <v>-1.6655418613930022</v>
      </c>
      <c r="DS48" s="3">
        <v>0.7443210561481538</v>
      </c>
      <c r="DT48" s="12">
        <v>0.26</v>
      </c>
      <c r="DU48" s="3">
        <v>-3.3333333333333326E-2</v>
      </c>
      <c r="DV48" s="3">
        <v>0.22666666666666668</v>
      </c>
      <c r="DW48" s="3">
        <v>-4.2909698996655514</v>
      </c>
      <c r="DX48" s="3">
        <v>0.4185297295144963</v>
      </c>
      <c r="DY48" s="3">
        <v>-4.0490370784874949</v>
      </c>
      <c r="DZ48" s="3">
        <v>608</v>
      </c>
      <c r="EA48" s="3">
        <v>-4.0432025298142271</v>
      </c>
      <c r="EB48" s="3">
        <v>4</v>
      </c>
      <c r="EC48" s="3">
        <v>4.9191973864221944E-2</v>
      </c>
      <c r="ED48" s="3">
        <v>0.29188898193420582</v>
      </c>
      <c r="EE48" s="13">
        <v>3.7100000000000019E-3</v>
      </c>
      <c r="EF48" s="3">
        <v>3.7710000000000007E-2</v>
      </c>
      <c r="EG48" s="3">
        <v>25.168529729514496</v>
      </c>
      <c r="EH48" s="3">
        <v>-1</v>
      </c>
      <c r="EI48" s="3">
        <v>0</v>
      </c>
      <c r="EJ48" s="3">
        <v>1</v>
      </c>
      <c r="EK48" s="15">
        <v>45470</v>
      </c>
      <c r="EL48" s="16">
        <v>0.34</v>
      </c>
      <c r="EM48" s="16">
        <v>-4.83</v>
      </c>
      <c r="EN48" s="16">
        <v>1.28</v>
      </c>
      <c r="EO48" s="16">
        <v>2.13</v>
      </c>
      <c r="EP48" s="16">
        <v>-3.4</v>
      </c>
    </row>
    <row r="49" spans="1:146" ht="108" x14ac:dyDescent="0.25">
      <c r="A49" s="3"/>
      <c r="B49" s="3"/>
      <c r="C49" s="7" t="str">
        <f>""&amp;CHAR(10)&amp;Basic_Fundamental_Information_Constructure(F49)&amp;CHAR(10)&amp;Basic_Fundamental_Information_Concatenate("")</f>
        <v xml:space="preserve">
市值43.456258亿, 利润7807.91万; PE21.88; 平均PE29.88; 平均PEG2.67, PB1.61; ROIC23.52%; ROE19.09%; 股利率.4793%; 毛利42.5967%; 净利30.3567%; 上一年度营收增20.15%, 利润增-47.95%; 当季营收增3.57%, 利润增183.03%; 过往5年营收增11.19%, 利润增-3.34%
Income profile:
</v>
      </c>
      <c r="D49" s="3" t="s">
        <v>1114</v>
      </c>
      <c r="E49" s="3" t="s">
        <v>1115</v>
      </c>
      <c r="F49" s="3">
        <v>29.21</v>
      </c>
      <c r="G49" s="3">
        <v>0.03</v>
      </c>
      <c r="H49" s="3" t="s">
        <v>2539</v>
      </c>
      <c r="I49" s="3">
        <v>4345625800</v>
      </c>
      <c r="J49" s="3">
        <v>21.88</v>
      </c>
      <c r="K49" s="3">
        <v>1.61</v>
      </c>
      <c r="L49" s="3" t="s">
        <v>176</v>
      </c>
      <c r="M49" s="3" t="s">
        <v>397</v>
      </c>
      <c r="N49" s="3" t="s">
        <v>1257</v>
      </c>
      <c r="O49" s="3" t="s">
        <v>1083</v>
      </c>
      <c r="P49" s="5">
        <v>5.36</v>
      </c>
      <c r="Q49" s="3" t="s">
        <v>1970</v>
      </c>
      <c r="R49" s="3">
        <v>47220054</v>
      </c>
      <c r="S49" s="3">
        <v>0.1565</v>
      </c>
      <c r="T49" s="3" t="s">
        <v>2540</v>
      </c>
      <c r="U49" s="3">
        <v>37192963</v>
      </c>
      <c r="V49" s="3">
        <v>148771850</v>
      </c>
      <c r="W49" s="3">
        <v>1.1000000000000001</v>
      </c>
      <c r="X49" s="3">
        <v>0.05</v>
      </c>
      <c r="Y49" s="3">
        <v>32.409999999999997</v>
      </c>
      <c r="Z49" s="3" t="s">
        <v>2541</v>
      </c>
      <c r="AA49" s="3" t="s">
        <v>2542</v>
      </c>
      <c r="AB49" s="3" t="s">
        <v>2543</v>
      </c>
      <c r="AC49" s="3" t="s">
        <v>2544</v>
      </c>
      <c r="AD49" s="3" t="s">
        <v>47</v>
      </c>
      <c r="AE49" s="3">
        <v>-4535791</v>
      </c>
      <c r="AF49" s="3" t="s">
        <v>1608</v>
      </c>
      <c r="AG49" s="3" t="s">
        <v>2545</v>
      </c>
      <c r="AH49" s="3" t="s">
        <v>1609</v>
      </c>
      <c r="AI49" s="3" t="s">
        <v>1160</v>
      </c>
      <c r="AJ49" s="3" t="s">
        <v>1610</v>
      </c>
      <c r="AK49" s="3" t="s">
        <v>142</v>
      </c>
      <c r="AL49" s="3" t="s">
        <v>1611</v>
      </c>
      <c r="AM49" s="3" t="s">
        <v>47</v>
      </c>
      <c r="AN49" s="3" t="s">
        <v>366</v>
      </c>
      <c r="AO49" s="3" t="s">
        <v>47</v>
      </c>
      <c r="AP49" s="3" t="s">
        <v>1612</v>
      </c>
      <c r="AQ49" s="3" t="s">
        <v>820</v>
      </c>
      <c r="AR49" s="3" t="s">
        <v>47</v>
      </c>
      <c r="AS49" s="3" t="s">
        <v>291</v>
      </c>
      <c r="AT49" s="3" t="s">
        <v>47</v>
      </c>
      <c r="AU49" s="3" t="s">
        <v>2546</v>
      </c>
      <c r="AV49" s="3" t="s">
        <v>2547</v>
      </c>
      <c r="AW49" s="3" t="s">
        <v>2548</v>
      </c>
      <c r="AX49" s="3" t="s">
        <v>1116</v>
      </c>
      <c r="AY49" s="3" t="s">
        <v>1117</v>
      </c>
      <c r="AZ49" s="3" t="s">
        <v>1118</v>
      </c>
      <c r="BA49" s="3" t="s">
        <v>835</v>
      </c>
      <c r="BB49" s="3" t="s">
        <v>47</v>
      </c>
      <c r="BC49" s="3" t="s">
        <v>114</v>
      </c>
      <c r="BD49" s="3" t="s">
        <v>115</v>
      </c>
      <c r="BE49" s="3" t="s">
        <v>1072</v>
      </c>
      <c r="BF49" s="3" t="s">
        <v>243</v>
      </c>
      <c r="BG49" s="3" t="s">
        <v>47</v>
      </c>
      <c r="BH49" s="3" t="s">
        <v>1607</v>
      </c>
      <c r="BI49" s="3" t="s">
        <v>55</v>
      </c>
      <c r="BJ49" s="3" t="s">
        <v>1116</v>
      </c>
      <c r="BK49" s="3" t="s">
        <v>92</v>
      </c>
      <c r="BL49" s="3" t="s">
        <v>2549</v>
      </c>
      <c r="BM49" s="3" t="s">
        <v>114</v>
      </c>
      <c r="BN49" s="3">
        <v>8.6</v>
      </c>
      <c r="BO49" s="3">
        <v>22.85</v>
      </c>
      <c r="BP49" s="3">
        <v>39.11</v>
      </c>
      <c r="BQ49" s="3">
        <v>15.02</v>
      </c>
      <c r="BR49" s="3">
        <v>23.16</v>
      </c>
      <c r="BS49" s="3" t="s">
        <v>47</v>
      </c>
      <c r="BT49" s="3" t="s">
        <v>1613</v>
      </c>
      <c r="BU49" s="3" t="s">
        <v>747</v>
      </c>
      <c r="BV49" s="3">
        <v>42.61</v>
      </c>
      <c r="BW49" s="3">
        <v>41.36</v>
      </c>
      <c r="BX49" s="3">
        <v>43.82</v>
      </c>
      <c r="BY49" s="3">
        <v>31.18</v>
      </c>
      <c r="BZ49" s="3">
        <v>28.07</v>
      </c>
      <c r="CA49" s="3">
        <v>31.82</v>
      </c>
      <c r="CB49" s="3">
        <v>-2.63</v>
      </c>
      <c r="CC49" s="10">
        <v>-14.04</v>
      </c>
      <c r="CD49" s="11" t="s">
        <v>2550</v>
      </c>
      <c r="CE49" s="10" t="s">
        <v>2551</v>
      </c>
      <c r="CF49" s="10">
        <v>3.5714285714285712E-2</v>
      </c>
      <c r="CG49" s="10">
        <v>1.8302936980783753</v>
      </c>
      <c r="CH49" s="10">
        <v>0.20149253308773041</v>
      </c>
      <c r="CI49" s="10">
        <v>-0.13548387587070465</v>
      </c>
      <c r="CJ49" s="11">
        <v>-9.5846643671393394E-3</v>
      </c>
      <c r="CK49" s="11">
        <v>0.3911111056804657</v>
      </c>
      <c r="CL49" s="11" t="s">
        <v>47</v>
      </c>
      <c r="CM49" s="11">
        <v>-0.47947263717651367</v>
      </c>
      <c r="CN49" s="11">
        <v>-0.2385786771774292</v>
      </c>
      <c r="CO49" s="3">
        <v>8.8397793471813202E-2</v>
      </c>
      <c r="CP49" s="3">
        <v>0.49586775898933411</v>
      </c>
      <c r="CQ49" s="3" t="s">
        <v>47</v>
      </c>
      <c r="CR49" s="10">
        <v>29.884133652033182</v>
      </c>
      <c r="CS49" s="11">
        <v>2.6709979843072729</v>
      </c>
      <c r="CT49" s="3">
        <v>0.47928791509756929</v>
      </c>
      <c r="CU49" s="3">
        <v>0.11188377463258803</v>
      </c>
      <c r="CV49" s="3">
        <v>-3.3446440473198891E-2</v>
      </c>
      <c r="CW49" s="3">
        <v>0.06</v>
      </c>
      <c r="CX49" s="3">
        <v>23.951230963470522</v>
      </c>
      <c r="CY49" s="3">
        <v>81900834.365957841</v>
      </c>
      <c r="CZ49" s="3">
        <v>0.11188377463258803</v>
      </c>
      <c r="DA49" s="3">
        <v>7.6836886115700631</v>
      </c>
      <c r="DB49" s="3">
        <v>255297409.76829708</v>
      </c>
      <c r="DC49" s="3">
        <v>0.10628958590095862</v>
      </c>
      <c r="DD49" s="3">
        <v>3.6893923749145707</v>
      </c>
      <c r="DE49" s="3">
        <v>531693460.78171533</v>
      </c>
      <c r="DF49" s="3">
        <v>9.8457721676677462E-2</v>
      </c>
      <c r="DG49" s="3">
        <v>2.153519443156426</v>
      </c>
      <c r="DH49" s="3">
        <v>910893006.43825793</v>
      </c>
      <c r="DI49" s="3">
        <v>8.9507019706070431E-2</v>
      </c>
      <c r="DJ49" s="3">
        <v>1.0442408217327561</v>
      </c>
      <c r="DK49" s="3">
        <v>1878518593.7712963</v>
      </c>
      <c r="DL49" s="3">
        <v>7.8318642242811612E-2</v>
      </c>
      <c r="DM49" s="3">
        <v>78079100</v>
      </c>
      <c r="DN49" s="3">
        <v>0.11188377463258803</v>
      </c>
      <c r="DO49" s="3">
        <v>1961625800</v>
      </c>
      <c r="DP49" s="3">
        <v>2385296000</v>
      </c>
      <c r="DQ49" s="12">
        <v>4051</v>
      </c>
      <c r="DR49" s="3">
        <v>-7.6169488918302317E-2</v>
      </c>
      <c r="DS49" s="3">
        <v>1.8637401385515742</v>
      </c>
      <c r="DT49" s="3">
        <v>-0.18800000000000003</v>
      </c>
      <c r="DU49" s="3">
        <v>-0.24000000000000005</v>
      </c>
      <c r="DV49" s="3">
        <v>-0.42800000000000005</v>
      </c>
      <c r="DW49" s="3">
        <v>-8.1873219373219381</v>
      </c>
      <c r="DX49" s="3">
        <v>0.29883447900835108</v>
      </c>
      <c r="DY49" s="3">
        <v>-8.020387085455269</v>
      </c>
      <c r="DZ49" s="3">
        <v>2195</v>
      </c>
      <c r="EA49" s="3">
        <v>-8.01162981489278</v>
      </c>
      <c r="EB49" s="13">
        <v>8</v>
      </c>
      <c r="EC49" s="13">
        <v>1.0493248554750111E-2</v>
      </c>
      <c r="ED49" s="3">
        <v>9.6414745128194632E-2</v>
      </c>
      <c r="EE49" s="3">
        <v>11.02811</v>
      </c>
      <c r="EF49" s="3">
        <v>11.042210000000001</v>
      </c>
      <c r="EG49" s="3">
        <v>19.108834479008351</v>
      </c>
      <c r="EH49" s="15" t="s">
        <v>2552</v>
      </c>
      <c r="EI49" s="3">
        <v>0</v>
      </c>
      <c r="EJ49" s="3">
        <v>0</v>
      </c>
      <c r="EK49" s="3">
        <v>45470</v>
      </c>
      <c r="EL49" s="3">
        <v>-1.44</v>
      </c>
      <c r="EM49" s="3">
        <v>-5.09</v>
      </c>
      <c r="EN49" s="16">
        <v>2.17</v>
      </c>
      <c r="EO49" s="16">
        <v>3.07</v>
      </c>
      <c r="EP49" s="16">
        <v>-1.41</v>
      </c>
    </row>
    <row r="50" spans="1:146" ht="108" x14ac:dyDescent="0.25">
      <c r="C50" s="7" t="str">
        <f>""&amp;CHAR(10)&amp;Basic_Fundamental_Information_Constructure(F50)&amp;CHAR(10)&amp;Basic_Fundamental_Information_Concatenate("")</f>
        <v xml:space="preserve">
市值137.61719亿, 利润1.90亿; PE19.42; 平均PE75.48; 平均PEG5.78, PB6.13; ROIC11.9633%; ROE18.6767%; 股利率0%; 毛利42.0467%; 净利11.6%; 上一年度营收增-77%, 利润增-38.11%; 当季营收增389.87%, 利润增125.64%; 过往5年营收增13.05%, 利润增15.99%
Income profile:
</v>
      </c>
      <c r="D50" s="3" t="s">
        <v>411</v>
      </c>
      <c r="E50" s="3" t="s">
        <v>412</v>
      </c>
      <c r="F50" s="3">
        <v>68.7</v>
      </c>
      <c r="G50" s="3">
        <v>-0.17</v>
      </c>
      <c r="H50" s="3" t="s">
        <v>2553</v>
      </c>
      <c r="I50" s="3">
        <v>13761719000</v>
      </c>
      <c r="J50" s="3">
        <v>19.420000000000002</v>
      </c>
      <c r="K50" s="3">
        <v>6.13</v>
      </c>
      <c r="L50" s="3" t="s">
        <v>176</v>
      </c>
      <c r="M50" s="3" t="s">
        <v>1614</v>
      </c>
      <c r="N50" s="3" t="s">
        <v>2554</v>
      </c>
      <c r="O50" s="3" t="s">
        <v>1145</v>
      </c>
      <c r="P50" s="3">
        <v>8.26</v>
      </c>
      <c r="Q50" s="3" t="s">
        <v>2555</v>
      </c>
      <c r="R50" s="3">
        <v>94451588</v>
      </c>
      <c r="S50" s="5">
        <v>0.30080000000000001</v>
      </c>
      <c r="T50" s="3" t="s">
        <v>833</v>
      </c>
      <c r="U50" s="3">
        <v>186048650</v>
      </c>
      <c r="V50" s="3">
        <v>200316150</v>
      </c>
      <c r="W50" s="3">
        <v>2.0499999999999998</v>
      </c>
      <c r="X50" s="3">
        <v>0.17</v>
      </c>
      <c r="Y50" s="3">
        <v>13.01</v>
      </c>
      <c r="Z50" s="3" t="s">
        <v>2556</v>
      </c>
      <c r="AA50" s="3" t="s">
        <v>2557</v>
      </c>
      <c r="AB50" s="3" t="s">
        <v>2558</v>
      </c>
      <c r="AC50" s="3" t="s">
        <v>2559</v>
      </c>
      <c r="AD50" s="3" t="s">
        <v>47</v>
      </c>
      <c r="AE50" s="3">
        <v>-8354541</v>
      </c>
      <c r="AF50" s="3" t="s">
        <v>1616</v>
      </c>
      <c r="AG50" s="3" t="s">
        <v>2560</v>
      </c>
      <c r="AH50" s="3" t="s">
        <v>1617</v>
      </c>
      <c r="AI50" s="3" t="s">
        <v>1172</v>
      </c>
      <c r="AJ50" s="3" t="s">
        <v>1618</v>
      </c>
      <c r="AK50" s="3" t="s">
        <v>2561</v>
      </c>
      <c r="AL50" s="3" t="s">
        <v>1619</v>
      </c>
      <c r="AM50" s="3" t="s">
        <v>47</v>
      </c>
      <c r="AN50" s="3" t="s">
        <v>2562</v>
      </c>
      <c r="AO50" s="3" t="s">
        <v>81</v>
      </c>
      <c r="AP50" s="3" t="s">
        <v>50</v>
      </c>
      <c r="AQ50" s="3" t="s">
        <v>2468</v>
      </c>
      <c r="AR50" s="3" t="s">
        <v>47</v>
      </c>
      <c r="AS50" s="3" t="s">
        <v>2563</v>
      </c>
      <c r="AT50" s="3" t="s">
        <v>2564</v>
      </c>
      <c r="AU50" s="3" t="s">
        <v>2565</v>
      </c>
      <c r="AV50" s="3" t="s">
        <v>731</v>
      </c>
      <c r="AW50" s="3" t="s">
        <v>2566</v>
      </c>
      <c r="AX50" s="3" t="s">
        <v>1020</v>
      </c>
      <c r="AY50" s="3" t="s">
        <v>683</v>
      </c>
      <c r="AZ50" s="3" t="s">
        <v>413</v>
      </c>
      <c r="BA50" s="3" t="s">
        <v>363</v>
      </c>
      <c r="BB50" s="3" t="s">
        <v>415</v>
      </c>
      <c r="BC50" s="3" t="s">
        <v>205</v>
      </c>
      <c r="BD50" s="3" t="s">
        <v>366</v>
      </c>
      <c r="BE50" s="3" t="s">
        <v>173</v>
      </c>
      <c r="BF50" s="3" t="s">
        <v>65</v>
      </c>
      <c r="BG50" s="3" t="s">
        <v>243</v>
      </c>
      <c r="BH50" s="3" t="s">
        <v>1615</v>
      </c>
      <c r="BI50" s="3" t="s">
        <v>200</v>
      </c>
      <c r="BJ50" s="3" t="s">
        <v>1020</v>
      </c>
      <c r="BK50" s="3" t="s">
        <v>172</v>
      </c>
      <c r="BL50" s="3" t="s">
        <v>2567</v>
      </c>
      <c r="BM50" s="3" t="s">
        <v>205</v>
      </c>
      <c r="BN50" s="3">
        <v>13.35</v>
      </c>
      <c r="BO50" s="3">
        <v>12.98</v>
      </c>
      <c r="BP50" s="3">
        <v>9.56</v>
      </c>
      <c r="BQ50" s="3">
        <v>21.63</v>
      </c>
      <c r="BR50" s="3">
        <v>20.51</v>
      </c>
      <c r="BS50" s="3">
        <v>13.89</v>
      </c>
      <c r="BT50" s="3" t="s">
        <v>856</v>
      </c>
      <c r="BU50" s="3" t="s">
        <v>747</v>
      </c>
      <c r="BV50" s="3">
        <v>46.92</v>
      </c>
      <c r="BW50" s="3">
        <v>40.1</v>
      </c>
      <c r="BX50" s="3">
        <v>39.119999999999997</v>
      </c>
      <c r="BY50" s="3">
        <v>15.59</v>
      </c>
      <c r="BZ50" s="3">
        <v>10.97</v>
      </c>
      <c r="CA50" s="3">
        <v>8.24</v>
      </c>
      <c r="CB50" s="3">
        <v>-10.08</v>
      </c>
      <c r="CC50" s="3">
        <v>6.26</v>
      </c>
      <c r="CD50" s="3" t="s">
        <v>2568</v>
      </c>
      <c r="CE50" s="3" t="s">
        <v>159</v>
      </c>
      <c r="CF50" s="10">
        <v>3.8987341772151898</v>
      </c>
      <c r="CG50" s="11">
        <v>1.2563793424717753</v>
      </c>
      <c r="CH50" s="10">
        <v>-0.76996588706970215</v>
      </c>
      <c r="CI50" s="10">
        <v>0.26347553730010986</v>
      </c>
      <c r="CJ50" s="10">
        <v>0.14349114894866943</v>
      </c>
      <c r="CK50" s="10">
        <v>0.68159204721450806</v>
      </c>
      <c r="CL50" s="10">
        <v>0.33407080173492432</v>
      </c>
      <c r="CM50" s="11">
        <v>-0.38110747933387756</v>
      </c>
      <c r="CN50" s="11">
        <v>0.7150837779045105</v>
      </c>
      <c r="CO50" s="11">
        <v>2.2857142612338066E-2</v>
      </c>
      <c r="CP50" s="11">
        <v>0.43442621827125549</v>
      </c>
      <c r="CQ50" s="11">
        <v>8.2644624635577202E-3</v>
      </c>
      <c r="CR50" s="3">
        <v>75.475606946983547</v>
      </c>
      <c r="CS50" s="3">
        <v>5.7821212475527979</v>
      </c>
      <c r="CT50" s="3">
        <v>0</v>
      </c>
      <c r="CU50" s="10">
        <v>0.13053272962570189</v>
      </c>
      <c r="CV50" s="11">
        <v>0.15990482438355685</v>
      </c>
      <c r="CW50" s="3">
        <v>0.06</v>
      </c>
      <c r="CX50" s="3">
        <v>68.232025095360569</v>
      </c>
      <c r="CY50" s="3">
        <v>202642659.0838522</v>
      </c>
      <c r="CZ50" s="3">
        <v>0.13053272962570189</v>
      </c>
      <c r="DA50" s="3">
        <v>21.548705849209259</v>
      </c>
      <c r="DB50" s="3">
        <v>641649623.72937024</v>
      </c>
      <c r="DC50" s="3">
        <v>0.1240060931444168</v>
      </c>
      <c r="DD50" s="3">
        <v>10.127209088307115</v>
      </c>
      <c r="DE50" s="3">
        <v>1365303992.3866432</v>
      </c>
      <c r="DF50" s="3">
        <v>0.11486880207061767</v>
      </c>
      <c r="DG50" s="3">
        <v>5.7660767324035795</v>
      </c>
      <c r="DH50" s="3">
        <v>2397942247.6808343</v>
      </c>
      <c r="DI50" s="3">
        <v>0.10442618370056152</v>
      </c>
      <c r="DJ50" s="3">
        <v>2.6412146800781042</v>
      </c>
      <c r="DK50" s="3">
        <v>5234984912.1659155</v>
      </c>
      <c r="DL50" s="3">
        <v>9.1372910737991322E-2</v>
      </c>
      <c r="DM50" s="3">
        <v>190000000</v>
      </c>
      <c r="DN50" s="3">
        <v>0.13053272962570189</v>
      </c>
      <c r="DO50" s="3">
        <v>13826719000</v>
      </c>
      <c r="DP50" s="3">
        <v>783671400</v>
      </c>
      <c r="DQ50" s="3">
        <v>4059</v>
      </c>
      <c r="DR50" s="3">
        <v>3.7682014475894881</v>
      </c>
      <c r="DS50" s="3">
        <v>1.0964745180882185</v>
      </c>
      <c r="DT50" s="12">
        <v>-0.29000000000000004</v>
      </c>
      <c r="DU50" s="3">
        <v>0.47</v>
      </c>
      <c r="DV50" s="3">
        <v>0.17999999999999994</v>
      </c>
      <c r="DW50" s="3">
        <v>-5.621031746031746</v>
      </c>
      <c r="DX50" s="3">
        <v>0.26874317343173348</v>
      </c>
      <c r="DY50" s="3">
        <v>-5.0675329628653429</v>
      </c>
      <c r="DZ50" s="3">
        <v>136</v>
      </c>
      <c r="EA50" s="3">
        <v>-5.0657356080806686</v>
      </c>
      <c r="EB50" s="3">
        <v>5</v>
      </c>
      <c r="EC50" s="3">
        <v>0.14711444883500407</v>
      </c>
      <c r="ED50" s="3">
        <v>1.352861464240402</v>
      </c>
      <c r="EE50" s="13">
        <v>5.0072099999999997</v>
      </c>
      <c r="EF50" s="3">
        <v>5.03111</v>
      </c>
      <c r="EG50" s="3">
        <v>16.108743173431733</v>
      </c>
      <c r="EH50" s="3" t="s">
        <v>1194</v>
      </c>
      <c r="EI50" s="3">
        <v>0</v>
      </c>
      <c r="EJ50" s="3">
        <v>1</v>
      </c>
      <c r="EK50" s="15">
        <v>45470</v>
      </c>
      <c r="EL50" s="16">
        <v>-1.31</v>
      </c>
      <c r="EM50" s="16">
        <v>-4.22</v>
      </c>
      <c r="EN50" s="16">
        <v>0.48</v>
      </c>
      <c r="EO50" s="16">
        <v>3</v>
      </c>
      <c r="EP50" s="16">
        <v>-2.39</v>
      </c>
    </row>
    <row r="51" spans="1:146" ht="108" x14ac:dyDescent="0.25">
      <c r="C51" s="7" t="str">
        <f>""&amp;CHAR(10)&amp;Basic_Fundamental_Information_Constructure(F51)&amp;CHAR(10)&amp;Basic_Fundamental_Information_Concatenate("")</f>
        <v xml:space="preserve">
市值38.147984亿, 利润1.31亿; PE18.83; 平均PE17.59; 平均PEG.32, PB1.77; ROIC12.4633%; ROE12.5833%; 股利率.8106%; 毛利37.8367%; 净利17.74%; 上一年度营收增172.13%, 利润增-40.99%; 当季营收增-26.88%, 利润增176.44%; 过往5年营收增54.82%, 利润增7.34%
Income profile:
</v>
      </c>
      <c r="D51" s="3" t="s">
        <v>274</v>
      </c>
      <c r="E51" s="3" t="s">
        <v>275</v>
      </c>
      <c r="F51" s="3">
        <v>27.14</v>
      </c>
      <c r="G51" s="3">
        <v>-0.18</v>
      </c>
      <c r="H51" s="3" t="s">
        <v>2569</v>
      </c>
      <c r="I51" s="3">
        <v>3814798400</v>
      </c>
      <c r="J51" s="3">
        <v>18.829999999999998</v>
      </c>
      <c r="K51" s="3">
        <v>1.77</v>
      </c>
      <c r="L51" s="3" t="s">
        <v>176</v>
      </c>
      <c r="M51" s="3" t="s">
        <v>1621</v>
      </c>
      <c r="N51" s="3" t="s">
        <v>2570</v>
      </c>
      <c r="O51" s="3" t="s">
        <v>1078</v>
      </c>
      <c r="P51" s="3">
        <v>3.39</v>
      </c>
      <c r="Q51" s="3" t="s">
        <v>2571</v>
      </c>
      <c r="R51" s="3">
        <v>44471994</v>
      </c>
      <c r="S51" s="5">
        <v>8.6099999999999996E-2</v>
      </c>
      <c r="T51" s="3" t="s">
        <v>112</v>
      </c>
      <c r="U51" s="3">
        <v>140560000</v>
      </c>
      <c r="V51" s="3">
        <v>140560000</v>
      </c>
      <c r="W51" s="3">
        <v>1.4</v>
      </c>
      <c r="X51" s="3">
        <v>0.12</v>
      </c>
      <c r="Y51" s="3">
        <v>13.08</v>
      </c>
      <c r="Z51" s="3" t="s">
        <v>1688</v>
      </c>
      <c r="AA51" s="3" t="s">
        <v>845</v>
      </c>
      <c r="AB51" s="3" t="s">
        <v>2572</v>
      </c>
      <c r="AC51" s="3" t="s">
        <v>2573</v>
      </c>
      <c r="AD51" s="3" t="s">
        <v>47</v>
      </c>
      <c r="AE51" s="3">
        <v>-1161698</v>
      </c>
      <c r="AF51" s="3" t="s">
        <v>1622</v>
      </c>
      <c r="AG51" s="3" t="s">
        <v>2574</v>
      </c>
      <c r="AH51" s="3" t="s">
        <v>1623</v>
      </c>
      <c r="AI51" s="3" t="s">
        <v>1335</v>
      </c>
      <c r="AJ51" s="3" t="s">
        <v>1624</v>
      </c>
      <c r="AK51" s="3" t="s">
        <v>2575</v>
      </c>
      <c r="AL51" s="3" t="s">
        <v>1625</v>
      </c>
      <c r="AM51" s="3" t="s">
        <v>47</v>
      </c>
      <c r="AN51" s="3" t="s">
        <v>2576</v>
      </c>
      <c r="AO51" s="3" t="s">
        <v>201</v>
      </c>
      <c r="AP51" s="3" t="s">
        <v>298</v>
      </c>
      <c r="AQ51" s="3" t="s">
        <v>1095</v>
      </c>
      <c r="AR51" s="3" t="s">
        <v>47</v>
      </c>
      <c r="AS51" s="3" t="s">
        <v>1894</v>
      </c>
      <c r="AT51" s="3" t="s">
        <v>47</v>
      </c>
      <c r="AU51" s="3" t="s">
        <v>2577</v>
      </c>
      <c r="AV51" s="3" t="s">
        <v>2578</v>
      </c>
      <c r="AW51" s="3" t="s">
        <v>65</v>
      </c>
      <c r="AX51" s="3" t="s">
        <v>838</v>
      </c>
      <c r="AY51" s="3" t="s">
        <v>634</v>
      </c>
      <c r="AZ51" s="3" t="s">
        <v>276</v>
      </c>
      <c r="BA51" s="3" t="s">
        <v>280</v>
      </c>
      <c r="BB51" s="3" t="s">
        <v>188</v>
      </c>
      <c r="BC51" s="3" t="s">
        <v>836</v>
      </c>
      <c r="BD51" s="3" t="s">
        <v>530</v>
      </c>
      <c r="BE51" s="3" t="s">
        <v>277</v>
      </c>
      <c r="BF51" s="3" t="s">
        <v>282</v>
      </c>
      <c r="BG51" s="3" t="s">
        <v>283</v>
      </c>
      <c r="BH51" s="3" t="s">
        <v>680</v>
      </c>
      <c r="BI51" s="3" t="s">
        <v>2579</v>
      </c>
      <c r="BJ51" s="3" t="s">
        <v>838</v>
      </c>
      <c r="BK51" s="3" t="s">
        <v>67</v>
      </c>
      <c r="BL51" s="3" t="s">
        <v>2580</v>
      </c>
      <c r="BM51" s="3" t="s">
        <v>836</v>
      </c>
      <c r="BN51" s="3">
        <v>7.29</v>
      </c>
      <c r="BO51" s="3">
        <v>11.75</v>
      </c>
      <c r="BP51" s="3">
        <v>18.350000000000001</v>
      </c>
      <c r="BQ51" s="3">
        <v>7.63</v>
      </c>
      <c r="BR51" s="3">
        <v>11.88</v>
      </c>
      <c r="BS51" s="3">
        <v>18.239999999999998</v>
      </c>
      <c r="BT51" s="3" t="s">
        <v>1626</v>
      </c>
      <c r="BU51" s="3" t="s">
        <v>226</v>
      </c>
      <c r="BV51" s="3">
        <v>35.81</v>
      </c>
      <c r="BW51" s="3">
        <v>37.33</v>
      </c>
      <c r="BX51" s="3">
        <v>40.369999999999997</v>
      </c>
      <c r="BY51" s="3">
        <v>13.23</v>
      </c>
      <c r="BZ51" s="3">
        <v>16.63</v>
      </c>
      <c r="CA51" s="3">
        <v>23.36</v>
      </c>
      <c r="CB51" s="3">
        <v>-5.04</v>
      </c>
      <c r="CC51" s="3">
        <v>-5.4</v>
      </c>
      <c r="CD51" s="3" t="s">
        <v>2581</v>
      </c>
      <c r="CE51" s="3" t="s">
        <v>2582</v>
      </c>
      <c r="CF51" s="10">
        <v>-0.26881720430107536</v>
      </c>
      <c r="CG51" s="11">
        <v>1.7644165032306192</v>
      </c>
      <c r="CH51" s="10">
        <v>1.7213481664657593</v>
      </c>
      <c r="CI51" s="10">
        <v>2.7713624760508537E-2</v>
      </c>
      <c r="CJ51" s="10">
        <v>0.14550270140171051</v>
      </c>
      <c r="CK51" s="10">
        <v>0.74461537599563599</v>
      </c>
      <c r="CL51" s="10">
        <v>0.10169491171836853</v>
      </c>
      <c r="CM51" s="11">
        <v>-0.40990990400314331</v>
      </c>
      <c r="CN51" s="11">
        <v>-0.26973685622215271</v>
      </c>
      <c r="CO51" s="11">
        <v>-8.4337346255779266E-2</v>
      </c>
      <c r="CP51" s="11">
        <v>1.0368098020553589</v>
      </c>
      <c r="CQ51" s="11">
        <v>9.3959733843803406E-2</v>
      </c>
      <c r="CR51" s="3">
        <v>17.5932285933897</v>
      </c>
      <c r="CS51" s="3">
        <v>0.32094185257150942</v>
      </c>
      <c r="CT51" s="3">
        <v>0.81061164333087699</v>
      </c>
      <c r="CU51" s="10">
        <v>0.54817495606839661</v>
      </c>
      <c r="CV51" s="11">
        <v>7.3357085883617404E-2</v>
      </c>
      <c r="CW51" s="3">
        <v>0.06</v>
      </c>
      <c r="CX51" s="3">
        <v>12.553102729764724</v>
      </c>
      <c r="CY51" s="3">
        <v>191331055.89147165</v>
      </c>
      <c r="CZ51" s="3">
        <v>0.54817495606839661</v>
      </c>
      <c r="DA51" s="3">
        <v>2.8442752709764418</v>
      </c>
      <c r="DB51" s="3">
        <v>844432472.66129088</v>
      </c>
      <c r="DC51" s="3">
        <v>0.52076620826497677</v>
      </c>
      <c r="DD51" s="3">
        <v>0.80610632800349091</v>
      </c>
      <c r="DE51" s="3">
        <v>2979505701.1258183</v>
      </c>
      <c r="DF51" s="3">
        <v>0.48239396134018903</v>
      </c>
      <c r="DG51" s="3">
        <v>0.2389392865657404</v>
      </c>
      <c r="DH51" s="3">
        <v>10051919190.522831</v>
      </c>
      <c r="DI51" s="3">
        <v>0.4385399648547173</v>
      </c>
      <c r="DJ51" s="3">
        <v>2.087541211532834E-2</v>
      </c>
      <c r="DK51" s="3">
        <v>115053939377.62857</v>
      </c>
      <c r="DL51" s="3">
        <v>0.38372246924787762</v>
      </c>
      <c r="DM51" s="3">
        <v>131000000</v>
      </c>
      <c r="DN51" s="3">
        <v>0.54817495606839661</v>
      </c>
      <c r="DO51" s="3">
        <v>2401798400</v>
      </c>
      <c r="DP51" s="3">
        <v>1399428600</v>
      </c>
      <c r="DQ51" s="3">
        <v>4144</v>
      </c>
      <c r="DR51" s="3">
        <v>-0.81699216036947198</v>
      </c>
      <c r="DS51" s="3">
        <v>1.6910594173470017</v>
      </c>
      <c r="DT51" s="12">
        <v>0.12666666666666662</v>
      </c>
      <c r="DU51" s="3">
        <v>-8.3333333333333356E-2</v>
      </c>
      <c r="DV51" s="3">
        <v>4.3333333333333265E-2</v>
      </c>
      <c r="DW51" s="3">
        <v>-8.9333333333333336</v>
      </c>
      <c r="DX51" s="3">
        <v>0.44132465456301218</v>
      </c>
      <c r="DY51" s="3">
        <v>-8.0759030109254759</v>
      </c>
      <c r="DZ51" s="3">
        <v>3733</v>
      </c>
      <c r="EA51" s="3">
        <v>-8.0204537076407796</v>
      </c>
      <c r="EB51" s="3">
        <v>8</v>
      </c>
      <c r="EC51" s="3">
        <v>4.4715424018212865E-2</v>
      </c>
      <c r="ED51" s="3">
        <v>0.54983850313033578</v>
      </c>
      <c r="EE51" s="13">
        <v>-3.0213000000000001</v>
      </c>
      <c r="EF51" s="3">
        <v>-3.0030100000000002</v>
      </c>
      <c r="EG51" s="3">
        <v>36.081324654563012</v>
      </c>
      <c r="EH51" s="3" t="s">
        <v>1182</v>
      </c>
      <c r="EI51" s="3">
        <v>0</v>
      </c>
      <c r="EJ51" s="3">
        <v>0</v>
      </c>
      <c r="EK51" s="15">
        <v>45470</v>
      </c>
      <c r="EL51" s="16">
        <v>-1.48</v>
      </c>
      <c r="EM51" s="16">
        <v>-5.35</v>
      </c>
      <c r="EN51" s="16">
        <v>-2.2599999999999998</v>
      </c>
      <c r="EO51" s="16">
        <v>6.02</v>
      </c>
      <c r="EP51" s="16">
        <v>-2.4300000000000002</v>
      </c>
    </row>
    <row r="52" spans="1:146" ht="168" x14ac:dyDescent="0.25">
      <c r="A52" s="7" t="s">
        <v>1133</v>
      </c>
      <c r="B52" s="7" t="s">
        <v>1134</v>
      </c>
      <c r="C52" s="7" t="str">
        <f>"公司主要从事线性驱动系统的研发、生产和销售业务。公司主要产品按应用领域可分为医疗康护驱动系统、智慧办公驱动系统及智能家居控制系统等。"&amp;CHAR(10)&amp;Basic_Fundamental_Information_Constructure(F52)&amp;CHAR(10)&amp;Basic_Fundamental_Information_Concatenate("(海外占比78%）
线性驱动产品 26.33亿 99.84% 99.95% 26.98%
其他业务 422.73万 0.16% 0.05% 8.38%")</f>
        <v>公司主要从事线性驱动系统的研发、生产和销售业务。公司主要产品按应用领域可分为医疗康护驱动系统、智慧办公驱动系统及智能家居控制系统等。
市值73.496172亿, 利润2007.66万; PE28.05; 平均PE28.25; 平均PEG1.78, PB1.76; ROIC4.59%; ROE6.8767%; 股利率.8896%; 毛利27.6633%; 净利9.24%; 上一年度营收增-34.89%, 利润增-93.88%; 当季营收增28.44%, 利润增213.33%; 过往5年营收增15.83%, 利润增-10.26%
Income profile:
(海外占比78%）
线性驱动产品 26.33亿 99.84% 99.95% 26.98%
其他业务 422.73万 0.16% 0.05% 8.38%</v>
      </c>
      <c r="D52" s="3" t="s">
        <v>416</v>
      </c>
      <c r="E52" s="3" t="s">
        <v>417</v>
      </c>
      <c r="F52" s="3">
        <v>19.11</v>
      </c>
      <c r="G52" s="3">
        <v>0.42</v>
      </c>
      <c r="H52" s="3" t="s">
        <v>2583</v>
      </c>
      <c r="I52" s="3">
        <v>7349617200</v>
      </c>
      <c r="J52" s="3">
        <v>28.05</v>
      </c>
      <c r="K52" s="3">
        <v>1.76</v>
      </c>
      <c r="L52" s="3" t="s">
        <v>176</v>
      </c>
      <c r="M52" s="3" t="s">
        <v>1149</v>
      </c>
      <c r="N52" s="3" t="s">
        <v>2584</v>
      </c>
      <c r="O52" s="3" t="s">
        <v>1627</v>
      </c>
      <c r="P52" s="3">
        <v>32.450000000000003</v>
      </c>
      <c r="Q52" s="3" t="s">
        <v>1681</v>
      </c>
      <c r="R52" s="3">
        <v>69369220</v>
      </c>
      <c r="S52" s="5">
        <v>4.2080000000000002</v>
      </c>
      <c r="T52" s="3" t="s">
        <v>2585</v>
      </c>
      <c r="U52" s="3">
        <v>382246960</v>
      </c>
      <c r="V52" s="3">
        <v>384595360</v>
      </c>
      <c r="W52" s="3">
        <v>1.51</v>
      </c>
      <c r="X52" s="3">
        <v>0.11</v>
      </c>
      <c r="Y52" s="3">
        <v>9.68</v>
      </c>
      <c r="Z52" s="3" t="s">
        <v>539</v>
      </c>
      <c r="AA52" s="3" t="s">
        <v>2586</v>
      </c>
      <c r="AB52" s="3" t="s">
        <v>2587</v>
      </c>
      <c r="AC52" s="3" t="s">
        <v>2588</v>
      </c>
      <c r="AD52" s="3" t="s">
        <v>47</v>
      </c>
      <c r="AE52" s="3">
        <v>3397781</v>
      </c>
      <c r="AF52" s="3" t="s">
        <v>1629</v>
      </c>
      <c r="AG52" s="3" t="s">
        <v>2589</v>
      </c>
      <c r="AH52" s="3" t="s">
        <v>1630</v>
      </c>
      <c r="AI52" s="3" t="s">
        <v>2590</v>
      </c>
      <c r="AJ52" s="3" t="s">
        <v>1631</v>
      </c>
      <c r="AK52" s="3" t="s">
        <v>47</v>
      </c>
      <c r="AL52" s="3" t="s">
        <v>1632</v>
      </c>
      <c r="AM52" s="3" t="s">
        <v>47</v>
      </c>
      <c r="AN52" s="3" t="s">
        <v>2591</v>
      </c>
      <c r="AO52" s="3" t="s">
        <v>853</v>
      </c>
      <c r="AP52" s="3" t="s">
        <v>432</v>
      </c>
      <c r="AQ52" s="3" t="s">
        <v>738</v>
      </c>
      <c r="AR52" s="3" t="s">
        <v>47</v>
      </c>
      <c r="AS52" s="3" t="s">
        <v>2353</v>
      </c>
      <c r="AT52" s="3" t="s">
        <v>115</v>
      </c>
      <c r="AU52" s="3" t="s">
        <v>75</v>
      </c>
      <c r="AV52" s="3" t="s">
        <v>2592</v>
      </c>
      <c r="AW52" s="3" t="s">
        <v>2593</v>
      </c>
      <c r="AX52" s="3" t="s">
        <v>1022</v>
      </c>
      <c r="AY52" s="3" t="s">
        <v>642</v>
      </c>
      <c r="AZ52" s="3" t="s">
        <v>418</v>
      </c>
      <c r="BA52" s="3" t="s">
        <v>419</v>
      </c>
      <c r="BB52" s="3" t="s">
        <v>420</v>
      </c>
      <c r="BC52" s="3" t="s">
        <v>247</v>
      </c>
      <c r="BD52" s="3" t="s">
        <v>198</v>
      </c>
      <c r="BE52" s="3" t="s">
        <v>189</v>
      </c>
      <c r="BF52" s="3" t="s">
        <v>152</v>
      </c>
      <c r="BG52" s="3" t="s">
        <v>160</v>
      </c>
      <c r="BH52" s="3" t="s">
        <v>1628</v>
      </c>
      <c r="BI52" s="3" t="s">
        <v>831</v>
      </c>
      <c r="BJ52" s="3" t="s">
        <v>1022</v>
      </c>
      <c r="BK52" s="3" t="s">
        <v>56</v>
      </c>
      <c r="BL52" s="3" t="s">
        <v>2594</v>
      </c>
      <c r="BM52" s="3" t="s">
        <v>247</v>
      </c>
      <c r="BN52" s="3">
        <v>3.01</v>
      </c>
      <c r="BO52" s="3">
        <v>5.48</v>
      </c>
      <c r="BP52" s="3">
        <v>5.28</v>
      </c>
      <c r="BQ52" s="3">
        <v>4.6900000000000004</v>
      </c>
      <c r="BR52" s="3">
        <v>8.51</v>
      </c>
      <c r="BS52" s="3">
        <v>7.43</v>
      </c>
      <c r="BT52" s="3" t="s">
        <v>1633</v>
      </c>
      <c r="BU52" s="3" t="s">
        <v>747</v>
      </c>
      <c r="BV52" s="3">
        <v>29.16</v>
      </c>
      <c r="BW52" s="3">
        <v>26.88</v>
      </c>
      <c r="BX52" s="3">
        <v>26.95</v>
      </c>
      <c r="BY52" s="3">
        <v>6.74</v>
      </c>
      <c r="BZ52" s="3">
        <v>10.78</v>
      </c>
      <c r="CA52" s="3">
        <v>10.199999999999999</v>
      </c>
      <c r="CB52" s="3">
        <v>-6.23</v>
      </c>
      <c r="CC52" s="3">
        <v>-1.7</v>
      </c>
      <c r="CD52" s="3" t="s">
        <v>2595</v>
      </c>
      <c r="CE52" s="3" t="s">
        <v>760</v>
      </c>
      <c r="CF52" s="10">
        <v>0.28442028985507245</v>
      </c>
      <c r="CG52" s="11">
        <v>2.133278529325414</v>
      </c>
      <c r="CH52" s="10">
        <v>-0.34885269403457642</v>
      </c>
      <c r="CI52" s="10">
        <v>0.14031101763248444</v>
      </c>
      <c r="CJ52" s="10">
        <v>0.41167020797729492</v>
      </c>
      <c r="CK52" s="10">
        <v>0.32670453190803528</v>
      </c>
      <c r="CL52" s="10">
        <v>0.2616487443447113</v>
      </c>
      <c r="CM52" s="11">
        <v>-0.93879085779190063</v>
      </c>
      <c r="CN52" s="11">
        <v>0.21481481194496155</v>
      </c>
      <c r="CO52" s="11">
        <v>-0.3333333432674408</v>
      </c>
      <c r="CP52" s="11">
        <v>0.42605632543563843</v>
      </c>
      <c r="CQ52" s="11">
        <v>0.11811023950576782</v>
      </c>
      <c r="CR52" s="3">
        <v>28.248263538124906</v>
      </c>
      <c r="CS52" s="3">
        <v>1.7845175504188877</v>
      </c>
      <c r="CT52" s="3">
        <v>0.88958660387231814</v>
      </c>
      <c r="CU52" s="10">
        <v>0.1582963615655899</v>
      </c>
      <c r="CV52" s="11">
        <v>-0.10262856483459473</v>
      </c>
      <c r="CW52" s="3">
        <v>0.06</v>
      </c>
      <c r="CX52" s="3">
        <v>262.12622059295086</v>
      </c>
      <c r="CY52" s="3">
        <v>21938351.634535588</v>
      </c>
      <c r="CZ52" s="3">
        <v>0.1582963615655899</v>
      </c>
      <c r="DA52" s="3">
        <v>80.883932002109105</v>
      </c>
      <c r="DB52" s="3">
        <v>71097151.902185574</v>
      </c>
      <c r="DC52" s="3">
        <v>0.15038154348731039</v>
      </c>
      <c r="DD52" s="3">
        <v>36.805935444384502</v>
      </c>
      <c r="DE52" s="3">
        <v>156241571.65328544</v>
      </c>
      <c r="DF52" s="3">
        <v>0.13930079817771912</v>
      </c>
      <c r="DG52" s="3">
        <v>20.172323053725187</v>
      </c>
      <c r="DH52" s="3">
        <v>285074613.60222685</v>
      </c>
      <c r="DI52" s="3">
        <v>0.12663708925247194</v>
      </c>
      <c r="DJ52" s="3">
        <v>8.4486392909865398</v>
      </c>
      <c r="DK52" s="3">
        <v>680656020.68430901</v>
      </c>
      <c r="DL52" s="3">
        <v>0.11080745309591293</v>
      </c>
      <c r="DM52" s="3">
        <v>20076600</v>
      </c>
      <c r="DN52" s="3">
        <v>0.1582963615655899</v>
      </c>
      <c r="DO52" s="3">
        <v>5750617200</v>
      </c>
      <c r="DP52" s="3">
        <v>2124058500</v>
      </c>
      <c r="DQ52" s="3">
        <v>4193</v>
      </c>
      <c r="DR52" s="3">
        <v>0.12612392828948255</v>
      </c>
      <c r="DS52" s="3">
        <v>2.2359070941600088</v>
      </c>
      <c r="DT52" s="12">
        <v>-0.25666666666666677</v>
      </c>
      <c r="DU52" s="3">
        <v>-0.20000000000000004</v>
      </c>
      <c r="DV52" s="3">
        <v>-0.45666666666666678</v>
      </c>
      <c r="DW52" s="3">
        <v>-5.2728731942215088</v>
      </c>
      <c r="DX52" s="3">
        <v>0.37629090909090862</v>
      </c>
      <c r="DY52" s="3">
        <v>-5.0535625273602802</v>
      </c>
      <c r="DZ52" s="3">
        <v>3939</v>
      </c>
      <c r="EA52" s="3">
        <v>-5.0122743091074149</v>
      </c>
      <c r="EB52" s="3">
        <v>5</v>
      </c>
      <c r="EC52" s="3">
        <v>0.10667003366863291</v>
      </c>
      <c r="ED52" s="3">
        <v>0.54342829305064944</v>
      </c>
      <c r="EE52" s="13">
        <v>-2.0428999999999999</v>
      </c>
      <c r="EF52" s="3">
        <v>-2.0289000000000001</v>
      </c>
      <c r="EG52" s="3">
        <v>18.196290909090909</v>
      </c>
      <c r="EH52" s="3" t="s">
        <v>1037</v>
      </c>
      <c r="EI52" s="3">
        <v>0</v>
      </c>
      <c r="EJ52" s="3">
        <v>0</v>
      </c>
      <c r="EK52" s="15">
        <v>45470</v>
      </c>
      <c r="EL52" s="16">
        <v>0.6</v>
      </c>
      <c r="EM52" s="16">
        <v>-5.18</v>
      </c>
      <c r="EN52" s="16">
        <v>1.79</v>
      </c>
      <c r="EO52" s="16">
        <v>3.2</v>
      </c>
      <c r="EP52" s="16">
        <v>-1.4</v>
      </c>
    </row>
    <row r="53" spans="1:146" ht="108" x14ac:dyDescent="0.25">
      <c r="C53" s="7" t="str">
        <f>""&amp;CHAR(10)&amp;Basic_Fundamental_Information_Constructure(F53)&amp;CHAR(10)&amp;Basic_Fundamental_Information_Concatenate("")</f>
        <v xml:space="preserve">
市值31.510499亿, 利润1.38亿; PE; 平均PE14.55; 平均PEG.17, PB1.35; ROIC22.14%; ROE4.7967%; 股利率0%; 毛利44.4%; 净利7.2233%; 上一年度营收增364.28%, 利润增240.86%; 当季营收增-95.02%, 利润增-185.77%; 过往5年营收增85.28%, 利润增46.94%
Income profile:
</v>
      </c>
      <c r="D53" s="3" t="s">
        <v>285</v>
      </c>
      <c r="E53" s="3" t="s">
        <v>286</v>
      </c>
      <c r="F53" s="3">
        <v>15.26</v>
      </c>
      <c r="G53" s="3">
        <v>0.39</v>
      </c>
      <c r="H53" s="3" t="s">
        <v>2596</v>
      </c>
      <c r="I53" s="3">
        <v>3151049900</v>
      </c>
      <c r="K53" s="3">
        <v>1.35</v>
      </c>
      <c r="L53" s="3" t="s">
        <v>176</v>
      </c>
      <c r="M53" s="3" t="s">
        <v>1634</v>
      </c>
      <c r="N53" s="3" t="s">
        <v>2597</v>
      </c>
      <c r="O53" s="3" t="s">
        <v>1635</v>
      </c>
      <c r="P53" s="3">
        <v>-73.06</v>
      </c>
      <c r="Q53" s="3" t="s">
        <v>2598</v>
      </c>
      <c r="R53" s="3">
        <v>-34459572</v>
      </c>
      <c r="S53" s="5">
        <v>-4.0309999999999997</v>
      </c>
      <c r="T53" s="3" t="s">
        <v>194</v>
      </c>
      <c r="U53" s="3">
        <v>206490820</v>
      </c>
      <c r="V53" s="3">
        <v>206490820</v>
      </c>
      <c r="W53" s="3">
        <v>1.59</v>
      </c>
      <c r="X53" s="3">
        <v>0.01</v>
      </c>
      <c r="Y53" s="3">
        <v>-89.48</v>
      </c>
      <c r="Z53" s="3" t="s">
        <v>2599</v>
      </c>
      <c r="AA53" s="3" t="s">
        <v>2600</v>
      </c>
      <c r="AB53" s="3" t="s">
        <v>2601</v>
      </c>
      <c r="AC53" s="3" t="s">
        <v>2602</v>
      </c>
      <c r="AD53" s="3" t="s">
        <v>47</v>
      </c>
      <c r="AE53" s="3">
        <v>5461217</v>
      </c>
      <c r="AF53" s="3" t="s">
        <v>1638</v>
      </c>
      <c r="AG53" s="3" t="s">
        <v>2603</v>
      </c>
      <c r="AH53" s="3" t="s">
        <v>1639</v>
      </c>
      <c r="AI53" s="3" t="s">
        <v>2604</v>
      </c>
      <c r="AJ53" s="3" t="s">
        <v>1641</v>
      </c>
      <c r="AK53" s="3" t="s">
        <v>2605</v>
      </c>
      <c r="AL53" s="3" t="s">
        <v>1642</v>
      </c>
      <c r="AM53" s="3" t="s">
        <v>47</v>
      </c>
      <c r="AN53" s="3" t="s">
        <v>150</v>
      </c>
      <c r="AO53" s="3" t="s">
        <v>167</v>
      </c>
      <c r="AP53" s="3" t="s">
        <v>47</v>
      </c>
      <c r="AQ53" s="3" t="s">
        <v>2386</v>
      </c>
      <c r="AR53" s="3" t="s">
        <v>47</v>
      </c>
      <c r="AS53" s="3" t="s">
        <v>2606</v>
      </c>
      <c r="AT53" s="3" t="s">
        <v>47</v>
      </c>
      <c r="AU53" s="3" t="s">
        <v>2607</v>
      </c>
      <c r="AV53" s="3" t="s">
        <v>2608</v>
      </c>
      <c r="AW53" s="3" t="s">
        <v>2609</v>
      </c>
      <c r="AX53" s="3" t="s">
        <v>1023</v>
      </c>
      <c r="AY53" s="3" t="s">
        <v>685</v>
      </c>
      <c r="AZ53" s="3" t="s">
        <v>288</v>
      </c>
      <c r="BA53" s="3" t="s">
        <v>147</v>
      </c>
      <c r="BB53" s="3" t="s">
        <v>103</v>
      </c>
      <c r="BC53" s="3" t="s">
        <v>1643</v>
      </c>
      <c r="BD53" s="3" t="s">
        <v>212</v>
      </c>
      <c r="BE53" s="3" t="s">
        <v>136</v>
      </c>
      <c r="BF53" s="3" t="s">
        <v>291</v>
      </c>
      <c r="BG53" s="3" t="s">
        <v>230</v>
      </c>
      <c r="BH53" s="3" t="s">
        <v>1636</v>
      </c>
      <c r="BI53" s="3" t="s">
        <v>1843</v>
      </c>
      <c r="BJ53" s="3" t="s">
        <v>1023</v>
      </c>
      <c r="BK53" s="3" t="s">
        <v>1637</v>
      </c>
      <c r="BL53" s="3" t="s">
        <v>2610</v>
      </c>
      <c r="BM53" s="3" t="s">
        <v>1643</v>
      </c>
      <c r="BN53" s="3" t="s">
        <v>47</v>
      </c>
      <c r="BO53" s="3" t="s">
        <v>47</v>
      </c>
      <c r="BP53" s="3">
        <v>22.14</v>
      </c>
      <c r="BQ53" s="3">
        <v>-3.68</v>
      </c>
      <c r="BR53" s="3">
        <v>-3.83</v>
      </c>
      <c r="BS53" s="3">
        <v>21.9</v>
      </c>
      <c r="BT53" s="3" t="s">
        <v>856</v>
      </c>
      <c r="BU53" s="3" t="s">
        <v>226</v>
      </c>
      <c r="BV53" s="3">
        <v>40.49</v>
      </c>
      <c r="BW53" s="3">
        <v>32.79</v>
      </c>
      <c r="BX53" s="3">
        <v>59.92</v>
      </c>
      <c r="BY53" s="3">
        <v>-1.32</v>
      </c>
      <c r="BZ53" s="3">
        <v>-14.65</v>
      </c>
      <c r="CA53" s="3">
        <v>37.64</v>
      </c>
      <c r="CB53" s="3">
        <v>-3.3</v>
      </c>
      <c r="CC53" s="3">
        <v>-20.77</v>
      </c>
      <c r="CD53" s="3" t="s">
        <v>2611</v>
      </c>
      <c r="CE53" s="3" t="s">
        <v>2612</v>
      </c>
      <c r="CF53" s="10">
        <v>-0.95023814814814811</v>
      </c>
      <c r="CG53" s="11">
        <v>-1.8577388369354995</v>
      </c>
      <c r="CH53" s="10">
        <v>3.6427502632141113</v>
      </c>
      <c r="CI53" s="10">
        <v>-0.47937741875648499</v>
      </c>
      <c r="CJ53" s="10">
        <v>0.27733591198921204</v>
      </c>
      <c r="CK53" s="10">
        <v>0.38950276374816895</v>
      </c>
      <c r="CL53" s="10">
        <v>0.43366336822509766</v>
      </c>
      <c r="CM53" s="11">
        <v>2.4085671901702881</v>
      </c>
      <c r="CN53" s="11">
        <v>-1.2028403282165527</v>
      </c>
      <c r="CO53" s="11">
        <v>0.4375</v>
      </c>
      <c r="CP53" s="11">
        <v>0.3125</v>
      </c>
      <c r="CQ53" s="11">
        <v>0.39130434393882751</v>
      </c>
      <c r="CR53" s="3">
        <v>14.554188165752533</v>
      </c>
      <c r="CS53" s="3">
        <v>0.1706685649393585</v>
      </c>
      <c r="CT53" s="3">
        <v>0</v>
      </c>
      <c r="CU53" s="10">
        <v>0.852774977684021</v>
      </c>
      <c r="CV53" s="11">
        <v>0.4694062411785126</v>
      </c>
      <c r="CW53" s="3">
        <v>0.06</v>
      </c>
      <c r="CX53" s="3">
        <v>9.4318096808811447</v>
      </c>
      <c r="CY53" s="3">
        <v>241210327.28339139</v>
      </c>
      <c r="CZ53" s="3">
        <v>0.852774977684021</v>
      </c>
      <c r="DA53" s="3">
        <v>1.7166197740359519</v>
      </c>
      <c r="DB53" s="3">
        <v>1325307988.647434</v>
      </c>
      <c r="DC53" s="3">
        <v>0.81013622879981995</v>
      </c>
      <c r="DD53" s="3">
        <v>0.33728884065473869</v>
      </c>
      <c r="DE53" s="3">
        <v>6745108719.2322054</v>
      </c>
      <c r="DF53" s="3">
        <v>0.75044198036193843</v>
      </c>
      <c r="DG53" s="3">
        <v>6.0773004165390658E-2</v>
      </c>
      <c r="DH53" s="3">
        <v>37435205503.558235</v>
      </c>
      <c r="DI53" s="3">
        <v>0.6822199821472168</v>
      </c>
      <c r="DJ53" s="3">
        <v>1.5282762519706376E-3</v>
      </c>
      <c r="DK53" s="3">
        <v>1488637867052.1343</v>
      </c>
      <c r="DL53" s="3">
        <v>0.5969424843788147</v>
      </c>
      <c r="DM53" s="3">
        <v>138000000</v>
      </c>
      <c r="DN53" s="3">
        <v>0.852774977684021</v>
      </c>
      <c r="DO53" s="3">
        <v>2275049900</v>
      </c>
      <c r="DP53" s="3">
        <v>833312800</v>
      </c>
      <c r="DQ53" s="3">
        <v>4242</v>
      </c>
      <c r="DR53" s="3">
        <v>-1.8030131258321691</v>
      </c>
      <c r="DS53" s="3">
        <v>-2.3271450781140119</v>
      </c>
      <c r="DT53" s="12">
        <v>5.9999999999999908E-2</v>
      </c>
      <c r="DU53" s="3">
        <v>-0.96499999999999997</v>
      </c>
      <c r="DV53" s="3">
        <v>-0.90500000000000003</v>
      </c>
      <c r="DW53" s="3">
        <v>-8.1588830043331733</v>
      </c>
      <c r="DX53" s="3">
        <v>0.34122015654616189</v>
      </c>
      <c r="DY53" s="3">
        <v>-8.0192598226577925</v>
      </c>
      <c r="DZ53" s="3">
        <v>1168</v>
      </c>
      <c r="EA53" s="3">
        <v>-8.0148575774788693</v>
      </c>
      <c r="EB53" s="3">
        <v>8</v>
      </c>
      <c r="EC53" s="3">
        <v>4.7820043525421616E-2</v>
      </c>
      <c r="ED53" s="3">
        <v>0.39448920780110225</v>
      </c>
      <c r="EE53" s="13">
        <v>5.5209999999999995E-2</v>
      </c>
      <c r="EF53" s="3">
        <v>7.9709999999999989E-2</v>
      </c>
      <c r="EG53" s="3">
        <v>22.121220156546162</v>
      </c>
      <c r="EH53" s="3">
        <v>-1</v>
      </c>
      <c r="EI53" s="3">
        <v>0</v>
      </c>
      <c r="EJ53" s="3">
        <v>1</v>
      </c>
      <c r="EK53" s="15">
        <v>45470</v>
      </c>
      <c r="EL53" s="16">
        <v>-0.41</v>
      </c>
      <c r="EM53" s="16">
        <v>-5.32</v>
      </c>
      <c r="EN53" s="16">
        <v>0.12</v>
      </c>
      <c r="EO53" s="16">
        <v>1.87</v>
      </c>
      <c r="EP53" s="16">
        <v>-2.4500000000000002</v>
      </c>
    </row>
    <row r="54" spans="1:146" ht="192" x14ac:dyDescent="0.25">
      <c r="C54" s="7" t="str">
        <f>"公司的主营业务是柔性自动化装备与工业机器人系统应用业务，汽车发动机配套零部件业务。公司的产品可分为柔性自动化生产线与工业机器人系统应用两大类。"&amp;CHAR(10)&amp;Basic_Fundamental_Information_Constructure(F54)&amp;CHAR(10)&amp;Basic_Fundamental_Information_Concatenate("智能装备产品 4.08亿 60.25% 1.22亿 75.01% 29.86%
汽车零部件 2.66亿 39.31% 3878.83万 23.88% 14.57%
其他业务 294.18万 0.43% 179.91万 1.11% 61.16%")</f>
        <v>公司的主营业务是柔性自动化装备与工业机器人系统应用业务，汽车发动机配套零部件业务。公司的产品可分为柔性自动化生产线与工业机器人系统应用两大类。
市值53.795463亿, 利润-2003.14万; PE59.29; 平均PE83.11; 平均PEG6.88, PB4.9; ROIC4.7967%; ROE5.26%; 股利率.5183%; 毛利25.1067%; 净利10.8733%; 上一年度营收增-87.11%, 利润增-131.09%; 当季营收增163.95%, 利润增539.71%; 过往5年营收增-12.09%, 利润增-16.13%
Income profile:
智能装备产品 4.08亿 60.25% 1.22亿 75.01% 29.86%
汽车零部件 2.66亿 39.31% 3878.83万 23.88% 14.57%
其他业务 294.18万 0.43% 179.91万 1.11% 61.16%</v>
      </c>
      <c r="D54" s="3" t="s">
        <v>552</v>
      </c>
      <c r="E54" s="3" t="s">
        <v>553</v>
      </c>
      <c r="F54" s="3">
        <v>20.45</v>
      </c>
      <c r="G54" s="3">
        <v>2.71</v>
      </c>
      <c r="H54" s="3" t="s">
        <v>2613</v>
      </c>
      <c r="I54" s="3">
        <v>5379546300</v>
      </c>
      <c r="J54" s="3">
        <v>59.29</v>
      </c>
      <c r="K54" s="3">
        <v>4.9000000000000004</v>
      </c>
      <c r="L54" s="3" t="s">
        <v>176</v>
      </c>
      <c r="M54" s="3" t="s">
        <v>161</v>
      </c>
      <c r="N54" s="3" t="s">
        <v>2260</v>
      </c>
      <c r="O54" s="3" t="s">
        <v>1644</v>
      </c>
      <c r="P54" s="3">
        <v>-16.829999999999998</v>
      </c>
      <c r="Q54" s="3" t="s">
        <v>2614</v>
      </c>
      <c r="R54" s="3">
        <v>11219746</v>
      </c>
      <c r="S54" s="5">
        <v>-0.1343</v>
      </c>
      <c r="T54" s="3" t="s">
        <v>2615</v>
      </c>
      <c r="U54" s="3">
        <v>262181400</v>
      </c>
      <c r="V54" s="3">
        <v>263058500</v>
      </c>
      <c r="W54" s="3">
        <v>1.1399999999999999</v>
      </c>
      <c r="X54" s="3">
        <v>0.08</v>
      </c>
      <c r="Y54" s="3">
        <v>11.4</v>
      </c>
      <c r="Z54" s="3" t="s">
        <v>2616</v>
      </c>
      <c r="AA54" s="3" t="s">
        <v>2617</v>
      </c>
      <c r="AB54" s="3" t="s">
        <v>2618</v>
      </c>
      <c r="AC54" s="3" t="s">
        <v>2619</v>
      </c>
      <c r="AD54" s="3" t="s">
        <v>47</v>
      </c>
      <c r="AE54" s="3">
        <v>-1329066</v>
      </c>
      <c r="AF54" s="3" t="s">
        <v>1647</v>
      </c>
      <c r="AG54" s="3" t="s">
        <v>2620</v>
      </c>
      <c r="AH54" s="3" t="s">
        <v>1648</v>
      </c>
      <c r="AI54" s="3" t="s">
        <v>1870</v>
      </c>
      <c r="AJ54" s="3" t="s">
        <v>1649</v>
      </c>
      <c r="AK54" s="3" t="s">
        <v>47</v>
      </c>
      <c r="AL54" s="3" t="s">
        <v>1650</v>
      </c>
      <c r="AM54" s="3" t="s">
        <v>47</v>
      </c>
      <c r="AN54" s="3" t="s">
        <v>2621</v>
      </c>
      <c r="AO54" s="3" t="s">
        <v>1511</v>
      </c>
      <c r="AP54" s="3" t="s">
        <v>47</v>
      </c>
      <c r="AQ54" s="3" t="s">
        <v>2622</v>
      </c>
      <c r="AR54" s="3" t="s">
        <v>47</v>
      </c>
      <c r="AS54" s="3" t="s">
        <v>109</v>
      </c>
      <c r="AT54" s="3" t="s">
        <v>47</v>
      </c>
      <c r="AU54" s="3" t="s">
        <v>2623</v>
      </c>
      <c r="AV54" s="3" t="s">
        <v>2624</v>
      </c>
      <c r="AW54" s="3" t="s">
        <v>2625</v>
      </c>
      <c r="AX54" s="3" t="s">
        <v>849</v>
      </c>
      <c r="AY54" s="3" t="s">
        <v>686</v>
      </c>
      <c r="AZ54" s="3" t="s">
        <v>375</v>
      </c>
      <c r="BA54" s="3" t="s">
        <v>554</v>
      </c>
      <c r="BB54" s="3" t="s">
        <v>171</v>
      </c>
      <c r="BC54" s="3" t="s">
        <v>1024</v>
      </c>
      <c r="BD54" s="3" t="s">
        <v>687</v>
      </c>
      <c r="BE54" s="3" t="s">
        <v>99</v>
      </c>
      <c r="BF54" s="3" t="s">
        <v>555</v>
      </c>
      <c r="BG54" s="3" t="s">
        <v>780</v>
      </c>
      <c r="BH54" s="3" t="s">
        <v>1645</v>
      </c>
      <c r="BI54" s="3" t="s">
        <v>2626</v>
      </c>
      <c r="BJ54" s="3" t="s">
        <v>849</v>
      </c>
      <c r="BK54" s="3" t="s">
        <v>1646</v>
      </c>
      <c r="BL54" s="3" t="s">
        <v>2627</v>
      </c>
      <c r="BM54" s="3" t="s">
        <v>1024</v>
      </c>
      <c r="BN54" s="3">
        <v>3.87</v>
      </c>
      <c r="BO54" s="3">
        <v>6.11</v>
      </c>
      <c r="BP54" s="3">
        <v>4.41</v>
      </c>
      <c r="BQ54" s="3">
        <v>4.2</v>
      </c>
      <c r="BR54" s="3">
        <v>6.4</v>
      </c>
      <c r="BS54" s="3">
        <v>5.18</v>
      </c>
      <c r="BT54" s="3" t="s">
        <v>1651</v>
      </c>
      <c r="BU54" s="3" t="s">
        <v>748</v>
      </c>
      <c r="BV54" s="3">
        <v>26.11</v>
      </c>
      <c r="BW54" s="3">
        <v>23.98</v>
      </c>
      <c r="BX54" s="3">
        <v>25.23</v>
      </c>
      <c r="BY54" s="3">
        <v>13.44</v>
      </c>
      <c r="BZ54" s="3">
        <v>9.9700000000000006</v>
      </c>
      <c r="CA54" s="3">
        <v>9.2100000000000009</v>
      </c>
      <c r="CB54" s="3">
        <v>-3.08</v>
      </c>
      <c r="CC54" s="3">
        <v>-12.47</v>
      </c>
      <c r="CD54" s="3" t="s">
        <v>2628</v>
      </c>
      <c r="CE54" s="3" t="s">
        <v>448</v>
      </c>
      <c r="CF54" s="10">
        <v>1.6394585670406887</v>
      </c>
      <c r="CG54" s="11">
        <v>5.3971414014735855</v>
      </c>
      <c r="CH54" s="10">
        <v>-0.8710930347442627</v>
      </c>
      <c r="CI54" s="10">
        <v>0.20677362382411957</v>
      </c>
      <c r="CJ54" s="10">
        <v>-0.26762402057647705</v>
      </c>
      <c r="CK54" s="10">
        <v>-3.7688441574573517E-2</v>
      </c>
      <c r="CL54" s="10">
        <v>0.36535161733627319</v>
      </c>
      <c r="CM54" s="11">
        <v>-1.3109384775161743</v>
      </c>
      <c r="CN54" s="11">
        <v>0.29315507411956787</v>
      </c>
      <c r="CO54" s="11">
        <v>-0.61381393671035767</v>
      </c>
      <c r="CP54" s="11">
        <v>0.29006832838058472</v>
      </c>
      <c r="CQ54" s="11">
        <v>0.53487581014633179</v>
      </c>
      <c r="CR54" s="3">
        <v>83.113437007293129</v>
      </c>
      <c r="CS54" s="3">
        <v>6.8770604548556094</v>
      </c>
      <c r="CT54" s="3">
        <v>0.51833740831295849</v>
      </c>
      <c r="CU54" s="10">
        <v>-0.1208560511469841</v>
      </c>
      <c r="CV54" s="11">
        <v>-0.16133064031600952</v>
      </c>
      <c r="CW54" s="3">
        <v>0.06</v>
      </c>
      <c r="CX54" s="3" t="e">
        <v>#VALUE!</v>
      </c>
      <c r="CY54" s="3" t="s">
        <v>758</v>
      </c>
      <c r="CZ54" s="3">
        <v>-0.1208560511469841</v>
      </c>
      <c r="DA54" s="3" t="e">
        <v>#VALUE!</v>
      </c>
      <c r="DB54" s="3" t="s">
        <v>758</v>
      </c>
      <c r="DC54" s="3">
        <v>-0.11481324858963489</v>
      </c>
      <c r="DD54" s="3" t="e">
        <v>#VALUE!</v>
      </c>
      <c r="DE54" s="3" t="s">
        <v>758</v>
      </c>
      <c r="DF54" s="3">
        <v>-0.10635332500934601</v>
      </c>
      <c r="DG54" s="3" t="e">
        <v>#VALUE!</v>
      </c>
      <c r="DH54" s="3" t="s">
        <v>758</v>
      </c>
      <c r="DI54" s="3">
        <v>-9.6684840917587278E-2</v>
      </c>
      <c r="DJ54" s="3" t="e">
        <v>#VALUE!</v>
      </c>
      <c r="DK54" s="3" t="s">
        <v>758</v>
      </c>
      <c r="DL54" s="3">
        <v>-8.4599235802888861E-2</v>
      </c>
      <c r="DM54" s="3">
        <v>-20031400</v>
      </c>
      <c r="DN54" s="3">
        <v>-0.1208560511469841</v>
      </c>
      <c r="DO54" s="3">
        <v>4453546300</v>
      </c>
      <c r="DP54" s="3">
        <v>639315190</v>
      </c>
      <c r="DQ54" s="3">
        <v>4400</v>
      </c>
      <c r="DR54" s="3">
        <v>1.7603146181876728</v>
      </c>
      <c r="DS54" s="3">
        <v>5.558472041789595</v>
      </c>
      <c r="DT54" s="12">
        <v>-0.65666666666666662</v>
      </c>
      <c r="DU54" s="3">
        <v>-0.87000000000000011</v>
      </c>
      <c r="DV54" s="3">
        <v>-1.5266666666666668</v>
      </c>
      <c r="DW54" s="3">
        <v>-8.2469927826784275</v>
      </c>
      <c r="DX54" s="3">
        <v>0.63563126760563105</v>
      </c>
      <c r="DY54" s="3">
        <v>-8.0433796555112558</v>
      </c>
      <c r="DZ54" s="3">
        <v>4982</v>
      </c>
      <c r="EA54" s="3">
        <v>-8.0010866136801262</v>
      </c>
      <c r="EB54" s="3">
        <v>8</v>
      </c>
      <c r="EC54" s="3">
        <v>0.23701610098134065</v>
      </c>
      <c r="ED54" s="3">
        <v>1.349509709817398</v>
      </c>
      <c r="EE54" s="13">
        <v>-4.1140100000000004</v>
      </c>
      <c r="EF54" s="3">
        <v>-4.1178100000000004</v>
      </c>
      <c r="EG54" s="3">
        <v>46.175631267605631</v>
      </c>
      <c r="EH54" s="3" t="s">
        <v>1195</v>
      </c>
      <c r="EI54" s="3">
        <v>0</v>
      </c>
      <c r="EJ54" s="3">
        <v>0</v>
      </c>
      <c r="EK54" s="15">
        <v>45470</v>
      </c>
      <c r="EL54" s="16">
        <v>-3.77</v>
      </c>
      <c r="EM54" s="16">
        <v>-4.9000000000000004</v>
      </c>
      <c r="EN54" s="16">
        <v>-5.15</v>
      </c>
      <c r="EO54" s="16">
        <v>-5.07</v>
      </c>
      <c r="EP54" s="16">
        <v>-0.38</v>
      </c>
    </row>
    <row r="55" spans="1:146" ht="204" x14ac:dyDescent="0.25">
      <c r="C55" s="7" t="str">
        <f>"公司的主营业务为医疗服务和医药流通行业的药品智能化管理提供相应的产品及服务。公司的主要产品是智慧药房项目、智能化静配中心项目、智能化药品耗材管理项目。"&amp;CHAR(10)&amp;Basic_Fundamental_Information_Constructure(F55)&amp;CHAR(10)&amp;Basic_Fundamental_Information_Concatenate("项目收入 2.24亿 78.04% 利润占比80.32% 61.46%
维保收入 4019.21万 14.01% 利润占比15.61% 66.52%
其他业务 2245.43万 7.83% 利润占比3.91% 29.84%
经营租赁收入 32.96万 0.11% 利润占比0.16% 84.80%")</f>
        <v>公司的主营业务为医疗服务和医药流通行业的药品智能化管理提供相应的产品及服务。公司的主要产品是智慧药房项目、智能化静配中心项目、智能化药品耗材管理项目。
市值28.8728亿, 利润1452.39万; PE52.21; 平均PE33.91; 平均PEG.24, PB2.73; ROIC10.3333%; ROE10.9667%; 股利率.471%; 毛利52.2467%; 净利27.7733%; 上一年度营收增649.07%, 利润增-87.48%; 当季营收增-94.71%, 利润增-80.8%; 过往5年营收增139.67%, 利润增-7.72%
Income profile:
项目收入 2.24亿 78.04% 利润占比80.32% 61.46%
维保收入 4019.21万 14.01% 利润占比15.61% 66.52%
其他业务 2245.43万 7.83% 利润占比3.91% 29.84%
经营租赁收入 32.96万 0.11% 利润占比0.16% 84.80%</v>
      </c>
      <c r="D55" s="3" t="s">
        <v>556</v>
      </c>
      <c r="E55" s="3" t="s">
        <v>557</v>
      </c>
      <c r="F55" s="3">
        <v>21.23</v>
      </c>
      <c r="G55" s="3">
        <v>3.61</v>
      </c>
      <c r="H55" s="3" t="s">
        <v>2629</v>
      </c>
      <c r="I55" s="3">
        <v>2887280000</v>
      </c>
      <c r="J55" s="3">
        <v>52.21</v>
      </c>
      <c r="K55" s="3">
        <v>2.73</v>
      </c>
      <c r="L55" s="3" t="s">
        <v>176</v>
      </c>
      <c r="M55" s="3" t="s">
        <v>366</v>
      </c>
      <c r="N55" s="3" t="s">
        <v>2630</v>
      </c>
      <c r="O55" s="3" t="s">
        <v>1653</v>
      </c>
      <c r="P55" s="3">
        <v>-41.85</v>
      </c>
      <c r="Q55" s="3" t="s">
        <v>2631</v>
      </c>
      <c r="R55" s="3">
        <v>5242316</v>
      </c>
      <c r="S55" s="5">
        <v>-0.4728</v>
      </c>
      <c r="T55" s="3" t="s">
        <v>2632</v>
      </c>
      <c r="U55" s="3">
        <v>136000000</v>
      </c>
      <c r="V55" s="3">
        <v>136000000</v>
      </c>
      <c r="W55" s="3">
        <v>1.1499999999999999</v>
      </c>
      <c r="X55" s="3">
        <v>0.03</v>
      </c>
      <c r="Y55" s="3">
        <v>6.62</v>
      </c>
      <c r="Z55" s="3" t="s">
        <v>2633</v>
      </c>
      <c r="AA55" s="3" t="s">
        <v>2634</v>
      </c>
      <c r="AB55" s="3" t="s">
        <v>2635</v>
      </c>
      <c r="AC55" s="3" t="s">
        <v>2636</v>
      </c>
      <c r="AD55" s="3" t="s">
        <v>47</v>
      </c>
      <c r="AE55" s="3">
        <v>498727</v>
      </c>
      <c r="AF55" s="3" t="s">
        <v>1655</v>
      </c>
      <c r="AG55" s="3">
        <v>359.68</v>
      </c>
      <c r="AH55" s="3" t="s">
        <v>1656</v>
      </c>
      <c r="AI55" s="3" t="s">
        <v>811</v>
      </c>
      <c r="AJ55" s="3" t="s">
        <v>1657</v>
      </c>
      <c r="AK55" s="3" t="s">
        <v>47</v>
      </c>
      <c r="AL55" s="3" t="s">
        <v>1658</v>
      </c>
      <c r="AM55" s="3" t="s">
        <v>47</v>
      </c>
      <c r="AN55" s="3" t="s">
        <v>2637</v>
      </c>
      <c r="AO55" s="3" t="s">
        <v>2638</v>
      </c>
      <c r="AP55" s="3" t="s">
        <v>2639</v>
      </c>
      <c r="AQ55" s="3" t="s">
        <v>2640</v>
      </c>
      <c r="AR55" s="3" t="s">
        <v>47</v>
      </c>
      <c r="AS55" s="3" t="s">
        <v>161</v>
      </c>
      <c r="AT55" s="3" t="s">
        <v>47</v>
      </c>
      <c r="AU55" s="3" t="s">
        <v>2641</v>
      </c>
      <c r="AV55" s="3" t="s">
        <v>2642</v>
      </c>
      <c r="AW55" s="3" t="s">
        <v>2643</v>
      </c>
      <c r="AX55" s="3" t="s">
        <v>667</v>
      </c>
      <c r="AY55" s="3" t="s">
        <v>165</v>
      </c>
      <c r="AZ55" s="3" t="s">
        <v>59</v>
      </c>
      <c r="BA55" s="3" t="s">
        <v>69</v>
      </c>
      <c r="BB55" s="3" t="s">
        <v>291</v>
      </c>
      <c r="BC55" s="3" t="s">
        <v>108</v>
      </c>
      <c r="BD55" s="3" t="s">
        <v>72</v>
      </c>
      <c r="BE55" s="3" t="s">
        <v>558</v>
      </c>
      <c r="BF55" s="3" t="s">
        <v>559</v>
      </c>
      <c r="BG55" s="3" t="s">
        <v>781</v>
      </c>
      <c r="BH55" s="3" t="s">
        <v>126</v>
      </c>
      <c r="BI55" s="3" t="s">
        <v>2555</v>
      </c>
      <c r="BJ55" s="3" t="s">
        <v>667</v>
      </c>
      <c r="BK55" s="3" t="s">
        <v>1654</v>
      </c>
      <c r="BL55" s="3" t="s">
        <v>2644</v>
      </c>
      <c r="BM55" s="3" t="s">
        <v>108</v>
      </c>
      <c r="BN55" s="3">
        <v>6.42</v>
      </c>
      <c r="BO55" s="3">
        <v>11.37</v>
      </c>
      <c r="BP55" s="3">
        <v>13.21</v>
      </c>
      <c r="BQ55" s="3">
        <v>7.15</v>
      </c>
      <c r="BR55" s="3">
        <v>12.11</v>
      </c>
      <c r="BS55" s="3">
        <v>13.64</v>
      </c>
      <c r="BT55" s="3" t="s">
        <v>863</v>
      </c>
      <c r="BU55" s="3" t="s">
        <v>748</v>
      </c>
      <c r="BV55" s="3">
        <v>54.82</v>
      </c>
      <c r="BW55" s="3">
        <v>59.58</v>
      </c>
      <c r="BX55" s="3">
        <v>42.34</v>
      </c>
      <c r="BY55" s="3">
        <v>20.149999999999999</v>
      </c>
      <c r="BZ55" s="3">
        <v>37.21</v>
      </c>
      <c r="CA55" s="3">
        <v>25.96</v>
      </c>
      <c r="CB55" s="3">
        <v>-5.48</v>
      </c>
      <c r="CC55" s="3">
        <v>-32.86</v>
      </c>
      <c r="CD55" s="3" t="s">
        <v>2645</v>
      </c>
      <c r="CE55" s="3" t="s">
        <v>2646</v>
      </c>
      <c r="CF55" s="10">
        <v>-0.94713189910979223</v>
      </c>
      <c r="CG55" s="11">
        <v>-0.80795688998300219</v>
      </c>
      <c r="CH55" s="10">
        <v>6.4906830787658691</v>
      </c>
      <c r="CI55" s="10">
        <v>-0.34285715222358704</v>
      </c>
      <c r="CJ55" s="10">
        <v>0.707317054271698</v>
      </c>
      <c r="CK55" s="10">
        <v>-4.3333332985639572E-2</v>
      </c>
      <c r="CL55" s="10">
        <v>0.171875</v>
      </c>
      <c r="CM55" s="11">
        <v>-0.87479394674301147</v>
      </c>
      <c r="CN55" s="11">
        <v>-1.6949152573943138E-2</v>
      </c>
      <c r="CO55" s="11">
        <v>0.23251377046108246</v>
      </c>
      <c r="CP55" s="11">
        <v>4.1748594492673874E-2</v>
      </c>
      <c r="CQ55" s="11">
        <v>0.23133613169193268</v>
      </c>
      <c r="CR55" s="3">
        <v>33.914660883344062</v>
      </c>
      <c r="CS55" s="3">
        <v>0.24281351889142236</v>
      </c>
      <c r="CT55" s="3">
        <v>0.47103155911446065</v>
      </c>
      <c r="CU55" s="10">
        <v>1.3967369295656682</v>
      </c>
      <c r="CV55" s="11">
        <v>-7.722892053425312E-2</v>
      </c>
      <c r="CW55" s="3">
        <v>0.06</v>
      </c>
      <c r="CX55" s="3">
        <v>58.657245241875465</v>
      </c>
      <c r="CY55" s="3">
        <v>32839591.972942274</v>
      </c>
      <c r="CZ55" s="3">
        <v>1.3967369295656682</v>
      </c>
      <c r="DA55" s="3">
        <v>7.5389811538790159</v>
      </c>
      <c r="DB55" s="3">
        <v>255509326.88150775</v>
      </c>
      <c r="DC55" s="3">
        <v>1.3269000830873847</v>
      </c>
      <c r="DD55" s="3">
        <v>0.81365133935977096</v>
      </c>
      <c r="DE55" s="3">
        <v>2367451396.9530377</v>
      </c>
      <c r="DF55" s="3">
        <v>1.2291284980177881</v>
      </c>
      <c r="DG55" s="3">
        <v>6.5546727035986199E-2</v>
      </c>
      <c r="DH55" s="3">
        <v>29387889939.072651</v>
      </c>
      <c r="DI55" s="3">
        <v>1.1173895436525345</v>
      </c>
      <c r="DJ55" s="3">
        <v>2.3551663409851918E-4</v>
      </c>
      <c r="DK55" s="3">
        <v>8178955203623.6055</v>
      </c>
      <c r="DL55" s="3">
        <v>0.97771585069596767</v>
      </c>
      <c r="DM55" s="3">
        <v>14523900.000000002</v>
      </c>
      <c r="DN55" s="3">
        <v>1.3967369295656682</v>
      </c>
      <c r="DO55" s="3">
        <v>1926280000</v>
      </c>
      <c r="DP55" s="3">
        <v>575895830</v>
      </c>
      <c r="DQ55" s="3">
        <v>4482</v>
      </c>
      <c r="DR55" s="3">
        <v>-2.3438688286754603</v>
      </c>
      <c r="DS55" s="3">
        <v>-0.73072796944874907</v>
      </c>
      <c r="DT55" s="12">
        <v>7.6666666666666661E-2</v>
      </c>
      <c r="DU55" s="3">
        <v>-0.54</v>
      </c>
      <c r="DV55" s="3">
        <v>-0.46333333333333337</v>
      </c>
      <c r="DW55" s="3">
        <v>-8.1667681071211202</v>
      </c>
      <c r="DX55" s="3">
        <v>0.40917377293429014</v>
      </c>
      <c r="DY55" s="3">
        <v>-8.024877427744368</v>
      </c>
      <c r="DZ55" s="3">
        <v>3705</v>
      </c>
      <c r="EA55" s="3">
        <v>-8.0068400755344111</v>
      </c>
      <c r="EB55" s="3">
        <v>8</v>
      </c>
      <c r="EC55" s="3">
        <v>7.7741911764705879E-2</v>
      </c>
      <c r="ED55" s="3">
        <v>0.52115</v>
      </c>
      <c r="EE55" s="13">
        <v>6.0103999999999997</v>
      </c>
      <c r="EF55" s="3">
        <v>6.0091000000000001</v>
      </c>
      <c r="EG55" s="3">
        <v>26.14917377293429</v>
      </c>
      <c r="EH55" s="3" t="s">
        <v>2647</v>
      </c>
      <c r="EI55" s="3">
        <v>0</v>
      </c>
      <c r="EJ55" s="3">
        <v>0</v>
      </c>
      <c r="EK55" s="15">
        <v>45470</v>
      </c>
      <c r="EL55" s="16">
        <v>1.25</v>
      </c>
      <c r="EM55" s="16">
        <v>-0.14000000000000001</v>
      </c>
      <c r="EN55" s="16">
        <v>0.69</v>
      </c>
      <c r="EO55" s="16">
        <v>4.5</v>
      </c>
      <c r="EP55" s="16">
        <v>-0.13</v>
      </c>
    </row>
    <row r="56" spans="1:146" ht="180" x14ac:dyDescent="0.25">
      <c r="A56" s="9"/>
      <c r="B56" s="9"/>
      <c r="C56" s="7" t="str">
        <f>"公司的主营业务是从事线性驱动系统的研发、生产与销售。历经多年发展，公司已形成集技术研发、产品开发、生产制造、国内外营销于一体的全流程服务体系，主要为智能家居、智慧办公、医疗康护、汽车零部件等领域提供配套线性驱动系统产品。"&amp;CHAR(10)&amp;Basic_Fundamental_Information_Constructure(F56)&amp;CHAR(10)&amp;Basic_Fundamental_Information_Concatenate("（境外占比48%）
线性驱动产品 16.93亿 98.50% 96.64% 20.53%
其他业务 2576.77万 1.50% 3.36% 46.88%")</f>
        <v>公司的主营业务是从事线性驱动系统的研发、生产与销售。历经多年发展，公司已形成集技术研发、产品开发、生产制造、国内外营销于一体的全流程服务体系，主要为智能家居、智慧办公、医疗康护、汽车零部件等领域提供配套线性驱动系统产品。
市值20.982455亿, 利润8053.93万; PE19.48; 平均PE14.05; 平均PEG2.11, PB.96; ROIC3.8267%; ROE4.1167%; 股利率1.539%; 毛利21.7533%; 净利6.5467%; 上一年度营收增-47.95%, 利润增65.67%; 当季营收增126.42%, 利润增55.15%; 过往5年营收增-6.66%, 利润增-12.46%
Income profile:
（境外占比48%）
线性驱动产品 16.93亿 98.50% 96.64% 20.53%
其他业务 2576.77万 1.50% 3.36% 46.88%</v>
      </c>
      <c r="D56" s="3" t="s">
        <v>423</v>
      </c>
      <c r="E56" s="3" t="s">
        <v>424</v>
      </c>
      <c r="F56" s="3">
        <v>29.89</v>
      </c>
      <c r="G56" s="3">
        <v>1.32</v>
      </c>
      <c r="H56" s="3" t="s">
        <v>2648</v>
      </c>
      <c r="I56" s="3">
        <v>2098245500</v>
      </c>
      <c r="J56" s="3">
        <v>19.48</v>
      </c>
      <c r="K56" s="3">
        <v>0.96</v>
      </c>
      <c r="L56" s="3" t="s">
        <v>176</v>
      </c>
      <c r="M56" s="3" t="s">
        <v>1108</v>
      </c>
      <c r="N56" s="3" t="s">
        <v>1202</v>
      </c>
      <c r="O56" s="3" t="s">
        <v>134</v>
      </c>
      <c r="P56" s="3">
        <v>5.96</v>
      </c>
      <c r="Q56" s="3" t="s">
        <v>2649</v>
      </c>
      <c r="R56" s="3">
        <v>19597628</v>
      </c>
      <c r="S56" s="5">
        <v>3.1700000000000001E-3</v>
      </c>
      <c r="T56" s="3" t="s">
        <v>2650</v>
      </c>
      <c r="U56" s="3">
        <v>70198912</v>
      </c>
      <c r="V56" s="3">
        <v>70198912</v>
      </c>
      <c r="W56" s="3">
        <v>1.26</v>
      </c>
      <c r="X56" s="3">
        <v>0.09</v>
      </c>
      <c r="Y56" s="3">
        <v>8.16</v>
      </c>
      <c r="Z56" s="3" t="s">
        <v>1077</v>
      </c>
      <c r="AA56" s="3" t="s">
        <v>206</v>
      </c>
      <c r="AB56" s="3" t="s">
        <v>2651</v>
      </c>
      <c r="AC56" s="3" t="s">
        <v>2652</v>
      </c>
      <c r="AD56" s="3" t="s">
        <v>47</v>
      </c>
      <c r="AE56" s="3">
        <v>-2834142</v>
      </c>
      <c r="AF56" s="3" t="s">
        <v>1661</v>
      </c>
      <c r="AG56" s="3" t="s">
        <v>2653</v>
      </c>
      <c r="AH56" s="3" t="s">
        <v>1662</v>
      </c>
      <c r="AI56" s="3" t="s">
        <v>524</v>
      </c>
      <c r="AJ56" s="3" t="s">
        <v>1664</v>
      </c>
      <c r="AK56" s="3" t="s">
        <v>47</v>
      </c>
      <c r="AL56" s="3" t="s">
        <v>1665</v>
      </c>
      <c r="AM56" s="3" t="s">
        <v>47</v>
      </c>
      <c r="AN56" s="3" t="s">
        <v>86</v>
      </c>
      <c r="AO56" s="3" t="s">
        <v>2654</v>
      </c>
      <c r="AP56" s="3" t="s">
        <v>811</v>
      </c>
      <c r="AQ56" s="3" t="s">
        <v>297</v>
      </c>
      <c r="AR56" s="3" t="s">
        <v>47</v>
      </c>
      <c r="AS56" s="3" t="s">
        <v>2655</v>
      </c>
      <c r="AT56" s="3" t="s">
        <v>47</v>
      </c>
      <c r="AU56" s="3" t="s">
        <v>2656</v>
      </c>
      <c r="AV56" s="3" t="s">
        <v>1704</v>
      </c>
      <c r="AW56" s="3" t="s">
        <v>2657</v>
      </c>
      <c r="AX56" s="3" t="s">
        <v>1025</v>
      </c>
      <c r="AY56" s="3" t="s">
        <v>688</v>
      </c>
      <c r="AZ56" s="3" t="s">
        <v>425</v>
      </c>
      <c r="BA56" s="3" t="s">
        <v>427</v>
      </c>
      <c r="BB56" s="3" t="s">
        <v>166</v>
      </c>
      <c r="BC56" s="3" t="s">
        <v>1666</v>
      </c>
      <c r="BD56" s="3" t="s">
        <v>106</v>
      </c>
      <c r="BE56" s="3" t="s">
        <v>80</v>
      </c>
      <c r="BF56" s="3" t="s">
        <v>125</v>
      </c>
      <c r="BG56" s="3" t="s">
        <v>119</v>
      </c>
      <c r="BH56" s="3" t="s">
        <v>1660</v>
      </c>
      <c r="BI56" s="3" t="s">
        <v>111</v>
      </c>
      <c r="BJ56" s="3" t="s">
        <v>1025</v>
      </c>
      <c r="BK56" s="3" t="s">
        <v>101</v>
      </c>
      <c r="BL56" s="3" t="s">
        <v>2658</v>
      </c>
      <c r="BM56" s="3" t="s">
        <v>1666</v>
      </c>
      <c r="BN56" s="3">
        <v>3.48</v>
      </c>
      <c r="BO56" s="3">
        <v>2.2799999999999998</v>
      </c>
      <c r="BP56" s="3">
        <v>5.72</v>
      </c>
      <c r="BQ56" s="3">
        <v>4.18</v>
      </c>
      <c r="BR56" s="3">
        <v>2.35</v>
      </c>
      <c r="BS56" s="3">
        <v>5.82</v>
      </c>
      <c r="BT56" s="3" t="s">
        <v>1667</v>
      </c>
      <c r="BU56" s="3" t="s">
        <v>747</v>
      </c>
      <c r="BV56" s="3">
        <v>25.41</v>
      </c>
      <c r="BW56" s="3">
        <v>18.93</v>
      </c>
      <c r="BX56" s="3">
        <v>20.92</v>
      </c>
      <c r="BY56" s="3">
        <v>8.7200000000000006</v>
      </c>
      <c r="BZ56" s="3">
        <v>4.1399999999999997</v>
      </c>
      <c r="CA56" s="3">
        <v>6.78</v>
      </c>
      <c r="CB56" s="3">
        <v>-3.46</v>
      </c>
      <c r="CC56" s="3">
        <v>-11.72</v>
      </c>
      <c r="CD56" s="3" t="s">
        <v>2659</v>
      </c>
      <c r="CE56" s="3" t="s">
        <v>2660</v>
      </c>
      <c r="CF56" s="10">
        <v>1.2641509433962264</v>
      </c>
      <c r="CG56" s="11">
        <v>0.55150086292889122</v>
      </c>
      <c r="CH56" s="10">
        <v>-0.47952219843864441</v>
      </c>
      <c r="CI56" s="10">
        <v>-0.31781139969825745</v>
      </c>
      <c r="CJ56" s="10">
        <v>0.35062894225120544</v>
      </c>
      <c r="CK56" s="10">
        <v>4.0916528552770615E-2</v>
      </c>
      <c r="CL56" s="10">
        <v>7.2870880365371704E-2</v>
      </c>
      <c r="CM56" s="11">
        <v>0.65669625997543335</v>
      </c>
      <c r="CN56" s="11">
        <v>-0.58449232578277588</v>
      </c>
      <c r="CO56" s="11">
        <v>-0.32369941473007202</v>
      </c>
      <c r="CP56" s="11">
        <v>-0.19907407462596893</v>
      </c>
      <c r="CQ56" s="11">
        <v>-0.17241379618644714</v>
      </c>
      <c r="CR56" s="3">
        <v>14.048341261102866</v>
      </c>
      <c r="CS56" s="3">
        <v>2.1098848721514281</v>
      </c>
      <c r="CT56" s="3">
        <v>1.5389762462361993</v>
      </c>
      <c r="CU56" s="10">
        <v>-6.6583449393510824E-2</v>
      </c>
      <c r="CV56" s="11">
        <v>-0.12459667026996613</v>
      </c>
      <c r="CW56" s="3">
        <v>0.06</v>
      </c>
      <c r="CX56" s="3">
        <v>5.2303099232300259</v>
      </c>
      <c r="CY56" s="3" t="s">
        <v>2661</v>
      </c>
      <c r="CZ56" s="3">
        <v>-6.6583449393510824E-2</v>
      </c>
      <c r="DA56" s="3">
        <v>1.7434366410766753</v>
      </c>
      <c r="DB56" s="3" t="s">
        <v>2662</v>
      </c>
      <c r="DC56" s="3">
        <v>-6.3254276923835284E-2</v>
      </c>
      <c r="DD56" s="3">
        <v>0.87171832053833764</v>
      </c>
      <c r="DE56" s="3" t="s">
        <v>2663</v>
      </c>
      <c r="DF56" s="3">
        <v>-5.8593435466289527E-2</v>
      </c>
      <c r="DG56" s="3">
        <v>0.52303099232300254</v>
      </c>
      <c r="DH56" s="3" t="s">
        <v>2664</v>
      </c>
      <c r="DI56" s="3">
        <v>-5.3266759514808665E-2</v>
      </c>
      <c r="DJ56" s="3">
        <v>0.26151549616150127</v>
      </c>
      <c r="DK56" s="3" t="s">
        <v>2665</v>
      </c>
      <c r="DL56" s="3">
        <v>-4.6608414575457571E-2</v>
      </c>
      <c r="DM56" s="3">
        <v>80539300</v>
      </c>
      <c r="DN56" s="3">
        <v>-6.6583449393510824E-2</v>
      </c>
      <c r="DO56" s="3">
        <v>421245500</v>
      </c>
      <c r="DP56" s="3">
        <v>1170263600</v>
      </c>
      <c r="DQ56" s="3">
        <v>4500</v>
      </c>
      <c r="DR56" s="3">
        <v>1.3307343927897373</v>
      </c>
      <c r="DS56" s="3">
        <v>0.67609753319885735</v>
      </c>
      <c r="DT56" s="12">
        <v>-0.62333333333333341</v>
      </c>
      <c r="DU56" s="3">
        <v>-0.1666666666666666</v>
      </c>
      <c r="DV56" s="3">
        <v>-0.79</v>
      </c>
      <c r="DW56" s="3">
        <v>-8.2952218430034126</v>
      </c>
      <c r="DX56" s="3">
        <v>0.32654757932893902</v>
      </c>
      <c r="DY56" s="3">
        <v>-8.0373596095971092</v>
      </c>
      <c r="DZ56" s="3">
        <v>2534</v>
      </c>
      <c r="EA56" s="3">
        <v>-8.0188333374407339</v>
      </c>
      <c r="EB56" s="3">
        <v>8</v>
      </c>
      <c r="EC56" s="3">
        <v>1.9991762835298642E-2</v>
      </c>
      <c r="ED56" s="3">
        <v>0.15797823191333793</v>
      </c>
      <c r="EE56" s="13">
        <v>1.0164</v>
      </c>
      <c r="EF56" s="3">
        <v>1.00021</v>
      </c>
      <c r="EG56" s="3">
        <v>20.126547579328939</v>
      </c>
      <c r="EH56" s="3" t="s">
        <v>953</v>
      </c>
      <c r="EI56" s="3">
        <v>0</v>
      </c>
      <c r="EJ56" s="3">
        <v>0</v>
      </c>
      <c r="EK56" s="15">
        <v>45470</v>
      </c>
      <c r="EL56" s="16">
        <v>0.34</v>
      </c>
      <c r="EM56" s="16">
        <v>-5.31</v>
      </c>
      <c r="EN56" s="16">
        <v>0.28000000000000003</v>
      </c>
      <c r="EO56" s="16">
        <v>4.38</v>
      </c>
      <c r="EP56" s="16">
        <v>-1.66</v>
      </c>
    </row>
    <row r="57" spans="1:146" ht="240" x14ac:dyDescent="0.25">
      <c r="A57" s="7" t="s">
        <v>593</v>
      </c>
      <c r="C57" s="7" t="str">
        <f>"公司主营业务是精密测量仪器、智能检测装备、智能制造系统、无人物流车的生产及销售。利润多在第四季度体现。公司战略升级为“工业视觉+产业智能”"&amp;CHAR(10)&amp;Basic_Fundamental_Information_Constructure(F57)&amp;CHAR(10)&amp;Basic_Fundamental_Information_Concatenate("智能检测装备 8.22亿 85.24% 利润占比86.95% 毛利43.33%
精密测量仪器 8485.94万 8.80% 利润占比10.49% 毛利50.63%
智能制造系统 4225.55万 4.38% 利润占比2.41% 毛利23.37%
无人物流车 1153.87万 1.20% 利润占比-0.27% 毛利-9.55%
其他 369.71万 0.38% 利润占比0.42% 毛利46.41%")</f>
        <v>公司主营业务是精密测量仪器、智能检测装备、智能制造系统、无人物流车的生产及销售。利润多在第四季度体现。公司战略升级为“工业视觉+产业智能”
市值60.570395亿, 利润-4316.82万; PE28.76; 平均PE68.9; 平均PEG6.43, PB3.24; ROIC5.8667%; ROE6.91%; 股利率1.9139%; 毛利41.5533%; 净利11.0767%; 上一年度营收增-87.92%, 利润增-128.4%; 当季营收增380.53%, 利润增-1378.14%; 过往5年营收增10.72%, 利润增-14.61%
Income profile:
智能检测装备 8.22亿 85.24% 利润占比86.95% 毛利43.33%
精密测量仪器 8485.94万 8.80% 利润占比10.49% 毛利50.63%
智能制造系统 4225.55万 4.38% 利润占比2.41% 毛利23.37%
无人物流车 1153.87万 1.20% 利润占比-0.27% 毛利-9.55%
其他 369.71万 0.38% 利润占比0.42% 毛利46.41%</v>
      </c>
      <c r="D57" s="3" t="s">
        <v>560</v>
      </c>
      <c r="E57" s="3" t="s">
        <v>561</v>
      </c>
      <c r="F57" s="3">
        <v>31.35</v>
      </c>
      <c r="G57" s="3">
        <v>0.67</v>
      </c>
      <c r="H57" s="3" t="s">
        <v>2666</v>
      </c>
      <c r="I57" s="3">
        <v>6057039500</v>
      </c>
      <c r="J57" s="3">
        <v>28.76</v>
      </c>
      <c r="K57" s="3">
        <v>3.24</v>
      </c>
      <c r="L57" s="3" t="s">
        <v>176</v>
      </c>
      <c r="M57" s="3" t="s">
        <v>1668</v>
      </c>
      <c r="N57" s="3" t="s">
        <v>2667</v>
      </c>
      <c r="O57" s="3" t="s">
        <v>79</v>
      </c>
      <c r="P57" s="3">
        <v>6.2</v>
      </c>
      <c r="Q57" s="3" t="s">
        <v>92</v>
      </c>
      <c r="R57" s="3">
        <v>-37997043</v>
      </c>
      <c r="S57" s="5">
        <v>-0.1363</v>
      </c>
      <c r="T57" s="3" t="s">
        <v>2668</v>
      </c>
      <c r="U57" s="3">
        <v>193207000</v>
      </c>
      <c r="V57" s="3">
        <v>193207000</v>
      </c>
      <c r="W57" s="3">
        <v>1.82</v>
      </c>
      <c r="X57" s="3">
        <v>0.06</v>
      </c>
      <c r="Y57" s="3">
        <v>-19.66</v>
      </c>
      <c r="Z57" s="3" t="s">
        <v>851</v>
      </c>
      <c r="AA57" s="3" t="s">
        <v>106</v>
      </c>
      <c r="AB57" s="3" t="s">
        <v>2669</v>
      </c>
      <c r="AC57" s="3" t="s">
        <v>2670</v>
      </c>
      <c r="AD57" s="3" t="s">
        <v>47</v>
      </c>
      <c r="AE57" s="3">
        <v>1990359</v>
      </c>
      <c r="AF57" s="3" t="s">
        <v>1669</v>
      </c>
      <c r="AG57" s="3" t="s">
        <v>2671</v>
      </c>
      <c r="AH57" s="3" t="s">
        <v>1670</v>
      </c>
      <c r="AI57" s="3" t="s">
        <v>149</v>
      </c>
      <c r="AJ57" s="3" t="s">
        <v>1671</v>
      </c>
      <c r="AK57" s="3" t="s">
        <v>2672</v>
      </c>
      <c r="AL57" s="3" t="s">
        <v>1672</v>
      </c>
      <c r="AM57" s="3" t="s">
        <v>47</v>
      </c>
      <c r="AN57" s="3" t="s">
        <v>2673</v>
      </c>
      <c r="AO57" s="3" t="s">
        <v>844</v>
      </c>
      <c r="AP57" s="3" t="s">
        <v>201</v>
      </c>
      <c r="AQ57" s="3" t="s">
        <v>126</v>
      </c>
      <c r="AR57" s="3" t="s">
        <v>47</v>
      </c>
      <c r="AS57" s="3" t="s">
        <v>2674</v>
      </c>
      <c r="AT57" s="3" t="s">
        <v>2675</v>
      </c>
      <c r="AU57" s="3" t="s">
        <v>2676</v>
      </c>
      <c r="AV57" s="3" t="s">
        <v>2677</v>
      </c>
      <c r="AW57" s="3" t="s">
        <v>125</v>
      </c>
      <c r="AX57" s="3" t="s">
        <v>837</v>
      </c>
      <c r="AY57" s="3" t="s">
        <v>689</v>
      </c>
      <c r="AZ57" s="3" t="s">
        <v>563</v>
      </c>
      <c r="BA57" s="3" t="s">
        <v>89</v>
      </c>
      <c r="BB57" s="3" t="s">
        <v>128</v>
      </c>
      <c r="BC57" s="3" t="s">
        <v>242</v>
      </c>
      <c r="BD57" s="3" t="s">
        <v>122</v>
      </c>
      <c r="BE57" s="3" t="s">
        <v>48</v>
      </c>
      <c r="BF57" s="3" t="s">
        <v>564</v>
      </c>
      <c r="BG57" s="3" t="s">
        <v>782</v>
      </c>
      <c r="BH57" s="3" t="s">
        <v>1147</v>
      </c>
      <c r="BI57" s="3" t="s">
        <v>2678</v>
      </c>
      <c r="BJ57" s="3" t="s">
        <v>837</v>
      </c>
      <c r="BK57" s="3" t="s">
        <v>86</v>
      </c>
      <c r="BL57" s="3" t="s">
        <v>2679</v>
      </c>
      <c r="BM57" s="3" t="s">
        <v>242</v>
      </c>
      <c r="BN57" s="3">
        <v>2.2400000000000002</v>
      </c>
      <c r="BO57" s="3">
        <v>7.99</v>
      </c>
      <c r="BP57" s="3">
        <v>7.37</v>
      </c>
      <c r="BQ57" s="3">
        <v>2.41</v>
      </c>
      <c r="BR57" s="3">
        <v>9.51</v>
      </c>
      <c r="BS57" s="3">
        <v>8.81</v>
      </c>
      <c r="BT57" s="3" t="s">
        <v>1674</v>
      </c>
      <c r="BU57" s="3" t="s">
        <v>748</v>
      </c>
      <c r="BV57" s="3">
        <v>41.66</v>
      </c>
      <c r="BW57" s="3">
        <v>40.549999999999997</v>
      </c>
      <c r="BX57" s="3">
        <v>42.45</v>
      </c>
      <c r="BY57" s="3">
        <v>13.06</v>
      </c>
      <c r="BZ57" s="3">
        <v>9.57</v>
      </c>
      <c r="CA57" s="3">
        <v>10.6</v>
      </c>
      <c r="CB57" s="3">
        <v>-4.3</v>
      </c>
      <c r="CC57" s="3">
        <v>-3.48</v>
      </c>
      <c r="CD57" s="3" t="s">
        <v>2680</v>
      </c>
      <c r="CE57" s="3" t="s">
        <v>2681</v>
      </c>
      <c r="CF57" s="10">
        <v>3.8052504207706326</v>
      </c>
      <c r="CG57" s="11">
        <v>-13.781390725900568</v>
      </c>
      <c r="CH57" s="10">
        <v>-0.8791692852973938</v>
      </c>
      <c r="CI57" s="10">
        <v>0.25612649321556091</v>
      </c>
      <c r="CJ57" s="10">
        <v>0.3122406005859375</v>
      </c>
      <c r="CK57" s="10">
        <v>0.78188538551330566</v>
      </c>
      <c r="CL57" s="10">
        <v>6.4960628747940063E-2</v>
      </c>
      <c r="CM57" s="11">
        <v>-1.2840012311935425</v>
      </c>
      <c r="CN57" s="11">
        <v>0.13432836532592773</v>
      </c>
      <c r="CO57" s="11">
        <v>0.25233644247055054</v>
      </c>
      <c r="CP57" s="11">
        <v>0.2863885760307312</v>
      </c>
      <c r="CQ57" s="11">
        <v>-0.11955437809228897</v>
      </c>
      <c r="CR57" s="3">
        <v>68.897364980188016</v>
      </c>
      <c r="CS57" s="3">
        <v>6.4264675810234442</v>
      </c>
      <c r="CT57" s="3">
        <v>1.9138755980861244</v>
      </c>
      <c r="CU57" s="10">
        <v>0.10720876455307007</v>
      </c>
      <c r="CV57" s="11">
        <v>-0.1461004450917244</v>
      </c>
      <c r="CW57" s="3">
        <v>0.06</v>
      </c>
      <c r="CX57" s="3" t="e">
        <v>#VALUE!</v>
      </c>
      <c r="CY57" s="3" t="s">
        <v>757</v>
      </c>
      <c r="CZ57" s="3">
        <v>0.10720876455307007</v>
      </c>
      <c r="DA57" s="3" t="e">
        <v>#VALUE!</v>
      </c>
      <c r="DB57" s="3" t="s">
        <v>758</v>
      </c>
      <c r="DC57" s="3">
        <v>0.10184832632541657</v>
      </c>
      <c r="DD57" s="3" t="e">
        <v>#VALUE!</v>
      </c>
      <c r="DE57" s="3" t="s">
        <v>758</v>
      </c>
      <c r="DF57" s="3">
        <v>9.434371280670166E-2</v>
      </c>
      <c r="DG57" s="3" t="e">
        <v>#VALUE!</v>
      </c>
      <c r="DH57" s="3" t="s">
        <v>758</v>
      </c>
      <c r="DI57" s="3">
        <v>8.5767011642456065E-2</v>
      </c>
      <c r="DJ57" s="3" t="e">
        <v>#VALUE!</v>
      </c>
      <c r="DK57" s="3" t="s">
        <v>758</v>
      </c>
      <c r="DL57" s="3">
        <v>7.5046135187149046E-2</v>
      </c>
      <c r="DM57" s="3">
        <v>-43168200</v>
      </c>
      <c r="DN57" s="3">
        <v>0.10720876455307007</v>
      </c>
      <c r="DO57" s="3">
        <v>5506039500</v>
      </c>
      <c r="DP57" s="3">
        <v>958829900</v>
      </c>
      <c r="DQ57" s="3">
        <v>4542</v>
      </c>
      <c r="DR57" s="3">
        <v>3.6980416562175624</v>
      </c>
      <c r="DS57" s="3">
        <v>-13.635290280808844</v>
      </c>
      <c r="DT57" s="12">
        <v>-0.25666666666666665</v>
      </c>
      <c r="DU57" s="3">
        <v>-1.3983333333333334</v>
      </c>
      <c r="DV57" s="3">
        <v>-1.655</v>
      </c>
      <c r="DW57" s="3">
        <v>-4.8093023255813954</v>
      </c>
      <c r="DX57" s="3">
        <v>0.2807979994590738</v>
      </c>
      <c r="DY57" s="3">
        <v>-4.1463202414226918</v>
      </c>
      <c r="DZ57" s="3">
        <v>4753</v>
      </c>
      <c r="EA57" s="3">
        <v>-4.0102223730309001</v>
      </c>
      <c r="EB57" s="3">
        <v>4</v>
      </c>
      <c r="EC57" s="3">
        <v>2.1105342974115846E-2</v>
      </c>
      <c r="ED57" s="3">
        <v>0.11673438332979653</v>
      </c>
      <c r="EE57" s="13">
        <v>-4.077</v>
      </c>
      <c r="EF57" s="3">
        <v>-4.0556000000000001</v>
      </c>
      <c r="EG57" s="3">
        <v>10.180797999459074</v>
      </c>
      <c r="EH57" s="3" t="s">
        <v>1762</v>
      </c>
      <c r="EI57" s="3">
        <v>0</v>
      </c>
      <c r="EJ57" s="3">
        <v>0</v>
      </c>
      <c r="EK57" s="15">
        <v>45470</v>
      </c>
      <c r="EL57" s="16">
        <v>-2.2799999999999998</v>
      </c>
      <c r="EM57" s="16">
        <v>-6.54</v>
      </c>
      <c r="EN57" s="16">
        <v>-0.38</v>
      </c>
      <c r="EO57" s="16">
        <v>7.8</v>
      </c>
      <c r="EP57" s="16">
        <v>-2.14</v>
      </c>
    </row>
    <row r="58" spans="1:146" ht="188.5" customHeight="1" x14ac:dyDescent="0.25">
      <c r="A58" s="7" t="s">
        <v>1180</v>
      </c>
      <c r="B58" s="7" t="s">
        <v>798</v>
      </c>
      <c r="C58" s="7" t="str">
        <f>"公司的主营业务是精密传动装置研发、设计、生产和销售。公司的主要产品为产品包括谐波减速器、机电一体化执行器及精密零部件。"&amp;CHAR(10)&amp;Basic_Fundamental_Information_Constructure(F58)&amp;CHAR(10)&amp;Basic_Fundamental_Information_Concatenate("谐波减速器及金属件 4.16亿 93.43% 93.60% 48.78%
机电一体化产品 2565.82万 5.76% 5.01% 42.37%
其他业务 353.05万 0.79% 1.38% 85.00%
智能自动化装备 11.75万 0.03% 0.0034% 6.27%")</f>
        <v>公司的主营业务是精密传动装置研发、设计、生产和销售。公司的主要产品为产品包括谐波减速器、机电一体化执行器及精密零部件。
市值125.154749亿, 利润1.36亿; PE157.2; 平均PE109.53; 平均PEG1.67, PB6.16; ROIC6.21%; ROE7.58%; 股利率.4043%; 毛利47.45%; 净利33.9267%; 上一年度营收增221.3%, 利润增-12.26%; 当季营收增-74.24%, 利润增-35.29%; 过往5年营收增65.47%, 利润增26.06%
Income profile:
谐波减速器及金属件 4.16亿 93.43% 93.60% 48.78%
机电一体化产品 2565.82万 5.76% 5.01% 42.37%
其他业务 353.05万 0.79% 1.38% 85.00%
智能自动化装备 11.75万 0.03% 0.0034% 6.27%</v>
      </c>
      <c r="D58" s="3" t="s">
        <v>292</v>
      </c>
      <c r="E58" s="3" t="s">
        <v>293</v>
      </c>
      <c r="F58" s="3">
        <v>74.2</v>
      </c>
      <c r="G58" s="3">
        <v>-2.2000000000000002</v>
      </c>
      <c r="H58" s="3" t="s">
        <v>2682</v>
      </c>
      <c r="I58" s="3">
        <v>12515474900</v>
      </c>
      <c r="J58" s="3">
        <v>157.19999999999999</v>
      </c>
      <c r="K58" s="3">
        <v>6.16</v>
      </c>
      <c r="L58" s="3" t="s">
        <v>176</v>
      </c>
      <c r="M58" s="3" t="s">
        <v>1652</v>
      </c>
      <c r="N58" s="3" t="s">
        <v>2683</v>
      </c>
      <c r="O58" s="3" t="s">
        <v>1675</v>
      </c>
      <c r="P58" s="3">
        <v>-7.45</v>
      </c>
      <c r="Q58" s="3" t="s">
        <v>2684</v>
      </c>
      <c r="R58" s="3">
        <v>20115815</v>
      </c>
      <c r="S58" s="5">
        <v>-0.18390000000000001</v>
      </c>
      <c r="T58" s="3" t="s">
        <v>320</v>
      </c>
      <c r="U58" s="3">
        <v>168672170</v>
      </c>
      <c r="V58" s="3">
        <v>168672170</v>
      </c>
      <c r="W58" s="3">
        <v>1.41</v>
      </c>
      <c r="X58" s="3">
        <v>0.03</v>
      </c>
      <c r="Y58" s="3">
        <v>25.33</v>
      </c>
      <c r="Z58" s="3" t="s">
        <v>2685</v>
      </c>
      <c r="AA58" s="3" t="s">
        <v>2686</v>
      </c>
      <c r="AB58" s="3" t="s">
        <v>2687</v>
      </c>
      <c r="AC58" s="3" t="s">
        <v>1512</v>
      </c>
      <c r="AD58" s="3" t="s">
        <v>47</v>
      </c>
      <c r="AE58" s="3">
        <v>-1945332</v>
      </c>
      <c r="AF58" s="3" t="s">
        <v>1677</v>
      </c>
      <c r="AG58" s="3" t="s">
        <v>47</v>
      </c>
      <c r="AH58" s="3" t="s">
        <v>1678</v>
      </c>
      <c r="AI58" s="3" t="s">
        <v>2688</v>
      </c>
      <c r="AJ58" s="3" t="s">
        <v>1679</v>
      </c>
      <c r="AK58" s="3" t="s">
        <v>2689</v>
      </c>
      <c r="AL58" s="3" t="s">
        <v>1680</v>
      </c>
      <c r="AM58" s="3" t="s">
        <v>47</v>
      </c>
      <c r="AN58" s="3" t="s">
        <v>61</v>
      </c>
      <c r="AO58" s="3" t="s">
        <v>765</v>
      </c>
      <c r="AP58" s="3" t="s">
        <v>2690</v>
      </c>
      <c r="AQ58" s="3" t="s">
        <v>2691</v>
      </c>
      <c r="AR58" s="3" t="s">
        <v>47</v>
      </c>
      <c r="AS58" s="3" t="s">
        <v>2556</v>
      </c>
      <c r="AT58" s="3" t="s">
        <v>122</v>
      </c>
      <c r="AU58" s="3" t="s">
        <v>2692</v>
      </c>
      <c r="AV58" s="3" t="s">
        <v>2693</v>
      </c>
      <c r="AW58" s="3" t="s">
        <v>2694</v>
      </c>
      <c r="AX58" s="3" t="s">
        <v>102</v>
      </c>
      <c r="AY58" s="3" t="s">
        <v>199</v>
      </c>
      <c r="AZ58" s="3" t="s">
        <v>295</v>
      </c>
      <c r="BA58" s="3" t="s">
        <v>298</v>
      </c>
      <c r="BB58" s="3" t="s">
        <v>84</v>
      </c>
      <c r="BC58" s="3" t="s">
        <v>75</v>
      </c>
      <c r="BD58" s="3" t="s">
        <v>81</v>
      </c>
      <c r="BE58" s="3" t="s">
        <v>296</v>
      </c>
      <c r="BF58" s="3" t="s">
        <v>299</v>
      </c>
      <c r="BG58" s="3" t="s">
        <v>783</v>
      </c>
      <c r="BH58" s="3" t="s">
        <v>1578</v>
      </c>
      <c r="BI58" s="3" t="s">
        <v>1045</v>
      </c>
      <c r="BJ58" s="3" t="s">
        <v>102</v>
      </c>
      <c r="BK58" s="3" t="s">
        <v>1676</v>
      </c>
      <c r="BL58" s="3" t="s">
        <v>2695</v>
      </c>
      <c r="BM58" s="3" t="s">
        <v>75</v>
      </c>
      <c r="BN58" s="3">
        <v>2.04</v>
      </c>
      <c r="BO58" s="3">
        <v>6.78</v>
      </c>
      <c r="BP58" s="3">
        <v>9.81</v>
      </c>
      <c r="BQ58" s="3">
        <v>3.69</v>
      </c>
      <c r="BR58" s="3">
        <v>8.26</v>
      </c>
      <c r="BS58" s="3">
        <v>10.79</v>
      </c>
      <c r="BT58" s="3" t="s">
        <v>861</v>
      </c>
      <c r="BU58" s="3" t="s">
        <v>226</v>
      </c>
      <c r="BV58" s="3">
        <v>41.14</v>
      </c>
      <c r="BW58" s="3">
        <v>48.69</v>
      </c>
      <c r="BX58" s="3">
        <v>52.52</v>
      </c>
      <c r="BY58" s="3">
        <v>23.82</v>
      </c>
      <c r="BZ58" s="3">
        <v>35.090000000000003</v>
      </c>
      <c r="CA58" s="3">
        <v>42.87</v>
      </c>
      <c r="CB58" s="3">
        <v>-9.6199999999999992</v>
      </c>
      <c r="CC58" s="3">
        <v>-35.950000000000003</v>
      </c>
      <c r="CD58" s="3" t="s">
        <v>2696</v>
      </c>
      <c r="CE58" s="3" t="s">
        <v>2697</v>
      </c>
      <c r="CF58" s="10">
        <v>-0.74236761006289309</v>
      </c>
      <c r="CG58" s="11">
        <v>-0.35292707013130714</v>
      </c>
      <c r="CH58" s="10">
        <v>2.2130043506622314</v>
      </c>
      <c r="CI58" s="10">
        <v>6.772009190171957E-3</v>
      </c>
      <c r="CJ58" s="10">
        <v>1.0414746999740601</v>
      </c>
      <c r="CK58" s="10">
        <v>0.1666666716337204</v>
      </c>
      <c r="CL58" s="10">
        <v>-0.15454545617103577</v>
      </c>
      <c r="CM58" s="11">
        <v>-0.12258064746856689</v>
      </c>
      <c r="CN58" s="11">
        <v>-0.17989417910575867</v>
      </c>
      <c r="CO58" s="11">
        <v>1.3034005165100098</v>
      </c>
      <c r="CP58" s="11">
        <v>0.40312901139259338</v>
      </c>
      <c r="CQ58" s="11">
        <v>-0.10125885903835297</v>
      </c>
      <c r="CR58" s="3">
        <v>109.52901161584825</v>
      </c>
      <c r="CS58" s="3">
        <v>1.6730301720138627</v>
      </c>
      <c r="CT58" s="3">
        <v>0.40431266846361186</v>
      </c>
      <c r="CU58" s="10">
        <v>0.65467445505782962</v>
      </c>
      <c r="CV58" s="11">
        <v>0.26055916845798494</v>
      </c>
      <c r="CW58" s="3">
        <v>0.06</v>
      </c>
      <c r="CX58" s="3">
        <v>53.088030119950986</v>
      </c>
      <c r="CY58" s="3">
        <v>212297854.61119321</v>
      </c>
      <c r="CZ58" s="3">
        <v>0.65467445505782962</v>
      </c>
      <c r="DA58" s="3">
        <v>11.117750395358133</v>
      </c>
      <c r="DB58" s="3">
        <v>1013736997.0732237</v>
      </c>
      <c r="DC58" s="3">
        <v>0.62194073230493807</v>
      </c>
      <c r="DD58" s="3">
        <v>2.7672080830830947</v>
      </c>
      <c r="DE58" s="3">
        <v>4072868595.9326053</v>
      </c>
      <c r="DF58" s="3">
        <v>0.57611352045089004</v>
      </c>
      <c r="DG58" s="3">
        <v>0.6877034199666936</v>
      </c>
      <c r="DH58" s="3">
        <v>16388568927.788441</v>
      </c>
      <c r="DI58" s="3">
        <v>0.52373956404626376</v>
      </c>
      <c r="DJ58" s="3">
        <v>3.8443909865787274E-2</v>
      </c>
      <c r="DK58" s="3">
        <v>293166718456.75177</v>
      </c>
      <c r="DL58" s="3">
        <v>0.45827211854048072</v>
      </c>
      <c r="DM58" s="3">
        <v>136000000</v>
      </c>
      <c r="DN58" s="3">
        <v>0.65467445505782962</v>
      </c>
      <c r="DO58" s="3">
        <v>11270474900</v>
      </c>
      <c r="DP58" s="3">
        <v>1085897400</v>
      </c>
      <c r="DQ58" s="3">
        <v>4555</v>
      </c>
      <c r="DR58" s="3">
        <v>-1.3970420651207227</v>
      </c>
      <c r="DS58" s="3">
        <v>-0.61348623858929208</v>
      </c>
      <c r="DT58" s="12">
        <v>0.14333333333333331</v>
      </c>
      <c r="DU58" s="3">
        <v>1.3333333333333308E-2</v>
      </c>
      <c r="DV58" s="3">
        <v>0.15666666666666662</v>
      </c>
      <c r="DW58" s="3">
        <v>-9.2675938803894304</v>
      </c>
      <c r="DX58" s="3">
        <v>0.47360399587259522</v>
      </c>
      <c r="DY58" s="3">
        <v>-9.0437794281027646</v>
      </c>
      <c r="DZ58" s="3">
        <v>692</v>
      </c>
      <c r="EA58" s="3">
        <v>-9.0378507853929584</v>
      </c>
      <c r="EB58" s="3">
        <v>9</v>
      </c>
      <c r="EC58" s="3">
        <v>8.5541082444128155E-2</v>
      </c>
      <c r="ED58" s="3">
        <v>0.52285448156622405</v>
      </c>
      <c r="EE58" s="13">
        <v>4.0888099999999996</v>
      </c>
      <c r="EF58" s="3">
        <v>4.1112000000000002</v>
      </c>
      <c r="EG58" s="3">
        <v>31.163603995872595</v>
      </c>
      <c r="EH58" s="3" t="s">
        <v>1756</v>
      </c>
      <c r="EI58" s="3">
        <v>0</v>
      </c>
      <c r="EJ58" s="3">
        <v>1</v>
      </c>
      <c r="EK58" s="15">
        <v>45470</v>
      </c>
      <c r="EL58" s="16">
        <v>-0.22</v>
      </c>
      <c r="EM58" s="16">
        <v>-1.25</v>
      </c>
      <c r="EN58" s="16">
        <v>-2.11</v>
      </c>
      <c r="EO58" s="16">
        <v>3.27</v>
      </c>
      <c r="EP58" s="16">
        <v>20</v>
      </c>
    </row>
    <row r="59" spans="1:146" ht="180" x14ac:dyDescent="0.25">
      <c r="A59" s="7" t="s">
        <v>1190</v>
      </c>
      <c r="C59" s="7" t="str">
        <f>"公司是从事研发、生产和销售激光器以及主要用于集成电路和半导体光电相关器件精密检测及微加工的智能装备的公司。公司主要产品为脉冲光纤激光器、连续光纤激光器和固体激光器等。"&amp;CHAR(10)&amp;Basic_Fundamental_Information_Constructure(F59)&amp;CHAR(10)&amp;Basic_Fundamental_Information_Concatenate("激光器 6.09亿 50.81% 39.67% 27.24%
激光/光学智能装备 4.90亿 40.89% 49.24% 42.01%
其他 5659.65万 4.72% 7.76% 57.38%
光纤器件 4272.87万 3.56% 3.29% 32.23%")</f>
        <v>公司是从事研发、生产和销售激光器以及主要用于集成电路和半导体光电相关器件精密检测及微加工的智能装备的公司。公司主要产品为脉冲光纤激光器、连续光纤激光器和固体激光器等。
市值34.227297亿, 利润3478.85万; PE33.1; 平均PE50.69; 平均PEG19, PB1.74; ROIC4.54%; ROE4.77%; 股利率.9735%; 毛利37.21%; 净利7.5167%; 上一年度营收增-60.53%, 利润增-54.7%; 当季营收增244.63%, 利润增398.84%; 过往5年营收增2.67%, 利润增-5.35%
Income profile:
激光器 6.09亿 50.81% 39.67% 27.24%
激光/光学智能装备 4.90亿 40.89% 49.24% 42.01%
其他 5659.65万 4.72% 7.76% 57.38%
光纤器件 4272.87万 3.56% 3.29% 32.23%</v>
      </c>
      <c r="D59" s="3" t="s">
        <v>488</v>
      </c>
      <c r="E59" s="3" t="s">
        <v>489</v>
      </c>
      <c r="F59" s="3">
        <v>36.01</v>
      </c>
      <c r="G59" s="3">
        <v>-0.52</v>
      </c>
      <c r="H59" s="3" t="s">
        <v>2698</v>
      </c>
      <c r="I59" s="3">
        <v>3422729700</v>
      </c>
      <c r="J59" s="3">
        <v>33.1</v>
      </c>
      <c r="K59" s="3">
        <v>1.74</v>
      </c>
      <c r="L59" s="3" t="s">
        <v>176</v>
      </c>
      <c r="M59" s="3" t="s">
        <v>188</v>
      </c>
      <c r="N59" s="3" t="s">
        <v>1719</v>
      </c>
      <c r="O59" s="3" t="s">
        <v>291</v>
      </c>
      <c r="P59" s="3">
        <v>-13.76</v>
      </c>
      <c r="Q59" s="3" t="s">
        <v>983</v>
      </c>
      <c r="R59" s="3">
        <v>26290136</v>
      </c>
      <c r="S59" s="5">
        <v>-0.13189999999999999</v>
      </c>
      <c r="T59" s="3" t="s">
        <v>2699</v>
      </c>
      <c r="U59" s="3">
        <v>95049423</v>
      </c>
      <c r="V59" s="3">
        <v>95049423</v>
      </c>
      <c r="W59" s="3">
        <v>1.28</v>
      </c>
      <c r="X59" s="3">
        <v>0.1</v>
      </c>
      <c r="Y59" s="3">
        <v>9.9499999999999993</v>
      </c>
      <c r="Z59" s="3" t="s">
        <v>961</v>
      </c>
      <c r="AA59" s="3" t="s">
        <v>242</v>
      </c>
      <c r="AB59" s="3" t="s">
        <v>2700</v>
      </c>
      <c r="AC59" s="3" t="s">
        <v>2701</v>
      </c>
      <c r="AD59" s="3" t="s">
        <v>47</v>
      </c>
      <c r="AE59" s="3">
        <v>562849</v>
      </c>
      <c r="AF59" s="3" t="s">
        <v>1683</v>
      </c>
      <c r="AG59" s="3" t="s">
        <v>47</v>
      </c>
      <c r="AH59" s="3" t="s">
        <v>1684</v>
      </c>
      <c r="AI59" s="3" t="s">
        <v>124</v>
      </c>
      <c r="AJ59" s="3" t="s">
        <v>1685</v>
      </c>
      <c r="AK59" s="3" t="s">
        <v>2702</v>
      </c>
      <c r="AL59" s="3" t="s">
        <v>1686</v>
      </c>
      <c r="AM59" s="3" t="s">
        <v>47</v>
      </c>
      <c r="AN59" s="3" t="s">
        <v>2703</v>
      </c>
      <c r="AO59" s="3" t="s">
        <v>2704</v>
      </c>
      <c r="AP59" s="3" t="s">
        <v>2705</v>
      </c>
      <c r="AQ59" s="3" t="s">
        <v>432</v>
      </c>
      <c r="AR59" s="3" t="s">
        <v>47</v>
      </c>
      <c r="AS59" s="3" t="s">
        <v>2706</v>
      </c>
      <c r="AT59" s="3" t="s">
        <v>2707</v>
      </c>
      <c r="AU59" s="3" t="s">
        <v>2708</v>
      </c>
      <c r="AV59" s="3" t="s">
        <v>2709</v>
      </c>
      <c r="AW59" s="3" t="s">
        <v>2710</v>
      </c>
      <c r="AX59" s="3" t="s">
        <v>1026</v>
      </c>
      <c r="AY59" s="3" t="s">
        <v>691</v>
      </c>
      <c r="AZ59" s="3" t="s">
        <v>490</v>
      </c>
      <c r="BA59" s="3" t="s">
        <v>492</v>
      </c>
      <c r="BB59" s="3" t="s">
        <v>398</v>
      </c>
      <c r="BC59" s="3" t="s">
        <v>1687</v>
      </c>
      <c r="BD59" s="3" t="s">
        <v>692</v>
      </c>
      <c r="BE59" s="3" t="s">
        <v>491</v>
      </c>
      <c r="BF59" s="3" t="s">
        <v>494</v>
      </c>
      <c r="BG59" s="3" t="s">
        <v>784</v>
      </c>
      <c r="BH59" s="3" t="s">
        <v>1682</v>
      </c>
      <c r="BI59" s="3" t="s">
        <v>2711</v>
      </c>
      <c r="BJ59" s="3" t="s">
        <v>1026</v>
      </c>
      <c r="BK59" s="3" t="s">
        <v>48</v>
      </c>
      <c r="BL59" s="3" t="s">
        <v>2712</v>
      </c>
      <c r="BM59" s="3" t="s">
        <v>1687</v>
      </c>
      <c r="BN59" s="3">
        <v>4.07</v>
      </c>
      <c r="BO59" s="3">
        <v>4.13</v>
      </c>
      <c r="BP59" s="3">
        <v>5.42</v>
      </c>
      <c r="BQ59" s="3">
        <v>4.45</v>
      </c>
      <c r="BR59" s="3">
        <v>4.3600000000000003</v>
      </c>
      <c r="BS59" s="3">
        <v>5.5</v>
      </c>
      <c r="BT59" s="3" t="s">
        <v>2713</v>
      </c>
      <c r="BU59" s="3" t="s">
        <v>808</v>
      </c>
      <c r="BV59" s="3">
        <v>41.11</v>
      </c>
      <c r="BW59" s="3">
        <v>35.630000000000003</v>
      </c>
      <c r="BX59" s="3">
        <v>34.89</v>
      </c>
      <c r="BY59" s="3">
        <v>8.5</v>
      </c>
      <c r="BZ59" s="3">
        <v>6.48</v>
      </c>
      <c r="CA59" s="3">
        <v>7.57</v>
      </c>
      <c r="CB59" s="3">
        <v>-10.84</v>
      </c>
      <c r="CC59" s="3">
        <v>-17.260000000000002</v>
      </c>
      <c r="CD59" s="3" t="s">
        <v>2714</v>
      </c>
      <c r="CE59" s="3" t="s">
        <v>2715</v>
      </c>
      <c r="CF59" s="10">
        <v>2.4463354415213416</v>
      </c>
      <c r="CG59" s="11">
        <v>3.9884323599286144</v>
      </c>
      <c r="CH59" s="10">
        <v>-0.60528558492660522</v>
      </c>
      <c r="CI59" s="10">
        <v>-2.1684842184185982E-2</v>
      </c>
      <c r="CJ59" s="10">
        <v>0.40398132801055908</v>
      </c>
      <c r="CK59" s="10">
        <v>0.5035211443901062</v>
      </c>
      <c r="CL59" s="10">
        <v>-0.14714714884757996</v>
      </c>
      <c r="CM59" s="11">
        <v>-0.54698991775512695</v>
      </c>
      <c r="CN59" s="11">
        <v>-0.15860527753829956</v>
      </c>
      <c r="CO59" s="11">
        <v>1.0603824853897095</v>
      </c>
      <c r="CP59" s="11">
        <v>-0.31481426954269409</v>
      </c>
      <c r="CQ59" s="11">
        <v>-0.30752134323120117</v>
      </c>
      <c r="CR59" s="3">
        <v>50.686869464710014</v>
      </c>
      <c r="CS59" s="3">
        <v>19.000228217982126</v>
      </c>
      <c r="CT59" s="3">
        <v>0.97353512913079709</v>
      </c>
      <c r="CU59" s="10">
        <v>2.6676979288458823E-2</v>
      </c>
      <c r="CV59" s="11">
        <v>-5.3509664535522458E-2</v>
      </c>
      <c r="CW59" s="3">
        <v>0.06</v>
      </c>
      <c r="CX59" s="3">
        <v>60.357267306425101</v>
      </c>
      <c r="CY59" s="3">
        <v>33694860.466015615</v>
      </c>
      <c r="CZ59" s="3">
        <v>2.6676979288458823E-2</v>
      </c>
      <c r="DA59" s="3">
        <v>20.818507939569418</v>
      </c>
      <c r="DB59" s="3">
        <v>97688542.613302335</v>
      </c>
      <c r="DC59" s="3">
        <v>2.534313032403588E-2</v>
      </c>
      <c r="DD59" s="3">
        <v>10.995803058306088</v>
      </c>
      <c r="DE59" s="3">
        <v>184955085.97380224</v>
      </c>
      <c r="DF59" s="3">
        <v>2.3475741773843765E-2</v>
      </c>
      <c r="DG59" s="3">
        <v>7.1306543420017041</v>
      </c>
      <c r="DH59" s="3">
        <v>285209407.50426209</v>
      </c>
      <c r="DI59" s="3">
        <v>2.1341583430767058E-2</v>
      </c>
      <c r="DJ59" s="3">
        <v>4.3232601091571254</v>
      </c>
      <c r="DK59" s="3">
        <v>470415762.32999349</v>
      </c>
      <c r="DL59" s="3">
        <v>1.8673885501921176E-2</v>
      </c>
      <c r="DM59" s="3">
        <v>34788500</v>
      </c>
      <c r="DN59" s="3">
        <v>2.6676979288458823E-2</v>
      </c>
      <c r="DO59" s="3">
        <v>2033729700</v>
      </c>
      <c r="DP59" s="3">
        <v>1205169600</v>
      </c>
      <c r="DQ59" s="3">
        <v>4562</v>
      </c>
      <c r="DR59" s="3">
        <v>2.4196584622328827</v>
      </c>
      <c r="DS59" s="3">
        <v>4.0419420244641371</v>
      </c>
      <c r="DT59" s="12">
        <v>-0.52333333333333332</v>
      </c>
      <c r="DU59" s="3">
        <v>-0.26666666666666661</v>
      </c>
      <c r="DV59" s="3">
        <v>-0.78999999999999992</v>
      </c>
      <c r="DW59" s="3">
        <v>-9.628041714947857</v>
      </c>
      <c r="DX59" s="3">
        <v>0.32738538765572234</v>
      </c>
      <c r="DY59" s="3">
        <v>-9.0988445887710316</v>
      </c>
      <c r="DZ59" s="3">
        <v>2132</v>
      </c>
      <c r="EA59" s="3">
        <v>-9.0576045372524714</v>
      </c>
      <c r="EB59" s="3">
        <v>9</v>
      </c>
      <c r="EC59" s="3">
        <v>9.9288346021837504E-2</v>
      </c>
      <c r="ED59" s="3">
        <v>0.63086127308737061</v>
      </c>
      <c r="EE59" s="13">
        <v>-3.0367000000000002</v>
      </c>
      <c r="EF59" s="3">
        <v>-3.0181</v>
      </c>
      <c r="EG59" s="3">
        <v>17.157385387655722</v>
      </c>
      <c r="EH59" s="3" t="s">
        <v>1123</v>
      </c>
      <c r="EI59" s="3">
        <v>0</v>
      </c>
      <c r="EJ59" s="3">
        <v>0</v>
      </c>
      <c r="EK59" s="15">
        <v>45470</v>
      </c>
      <c r="EL59" s="16">
        <v>-1.63</v>
      </c>
      <c r="EM59" s="16">
        <v>-4.49</v>
      </c>
      <c r="EN59" s="16">
        <v>0.31</v>
      </c>
      <c r="EO59" s="16">
        <v>3.98</v>
      </c>
      <c r="EP59" s="16">
        <v>-1.86</v>
      </c>
    </row>
    <row r="60" spans="1:146" ht="108" x14ac:dyDescent="0.25">
      <c r="C60" s="7" t="str">
        <f>""&amp;CHAR(10)&amp;Basic_Fundamental_Information_Constructure(F60)&amp;CHAR(10)&amp;Basic_Fundamental_Information_Concatenate("")</f>
        <v xml:space="preserve">
市值27.97576亿, 利润1.62亿; PE70; 平均PE57.3; 平均PEG9.24, PB3.1; ROIC1.715%; ROE-.58%; 股利率.7407%; 毛利16.91%; 净利-.2233%; 上一年度营收增-64.21%, 利润增358.24%; 当季营收增79.65%, 利润增-98.08%; 过往5年营收增-6.2%, 利润增-9.4%
Income profile:
</v>
      </c>
      <c r="D60" s="3" t="s">
        <v>300</v>
      </c>
      <c r="E60" s="3" t="s">
        <v>301</v>
      </c>
      <c r="F60" s="3">
        <v>29.7</v>
      </c>
      <c r="G60" s="3">
        <v>0.95</v>
      </c>
      <c r="H60" s="3" t="s">
        <v>2716</v>
      </c>
      <c r="I60" s="3">
        <v>2797576000</v>
      </c>
      <c r="J60" s="3">
        <v>70</v>
      </c>
      <c r="K60" s="3">
        <v>3.1</v>
      </c>
      <c r="L60" s="3" t="s">
        <v>176</v>
      </c>
      <c r="M60" s="3" t="s">
        <v>1690</v>
      </c>
      <c r="N60" s="3" t="s">
        <v>2717</v>
      </c>
      <c r="O60" s="3" t="s">
        <v>113</v>
      </c>
      <c r="P60" s="3">
        <v>-34.950000000000003</v>
      </c>
      <c r="Q60" s="3" t="s">
        <v>660</v>
      </c>
      <c r="R60" s="3">
        <v>1058342</v>
      </c>
      <c r="S60" s="5">
        <v>-0.89749999999999996</v>
      </c>
      <c r="T60" s="3" t="s">
        <v>268</v>
      </c>
      <c r="U60" s="3">
        <v>94194479</v>
      </c>
      <c r="V60" s="3">
        <v>94194479</v>
      </c>
      <c r="W60" s="3">
        <v>1.71</v>
      </c>
      <c r="X60" s="3">
        <v>0.1</v>
      </c>
      <c r="Y60" s="3">
        <v>1.04</v>
      </c>
      <c r="Z60" s="3" t="s">
        <v>113</v>
      </c>
      <c r="AA60" s="3" t="s">
        <v>112</v>
      </c>
      <c r="AB60" s="3" t="s">
        <v>2718</v>
      </c>
      <c r="AC60" s="3" t="s">
        <v>2719</v>
      </c>
      <c r="AD60" s="3" t="s">
        <v>47</v>
      </c>
      <c r="AE60" s="3">
        <v>-1101508</v>
      </c>
      <c r="AF60" s="3" t="s">
        <v>1692</v>
      </c>
      <c r="AG60" s="3">
        <v>7758</v>
      </c>
      <c r="AH60" s="3" t="s">
        <v>1693</v>
      </c>
      <c r="AI60" s="3" t="s">
        <v>60</v>
      </c>
      <c r="AJ60" s="3" t="s">
        <v>1694</v>
      </c>
      <c r="AK60" s="3" t="s">
        <v>2720</v>
      </c>
      <c r="AL60" s="3" t="s">
        <v>1695</v>
      </c>
      <c r="AM60" s="3" t="s">
        <v>47</v>
      </c>
      <c r="AN60" s="3" t="s">
        <v>2721</v>
      </c>
      <c r="AO60" s="3" t="s">
        <v>2722</v>
      </c>
      <c r="AP60" s="3" t="s">
        <v>113</v>
      </c>
      <c r="AQ60" s="3" t="s">
        <v>78</v>
      </c>
      <c r="AR60" s="3" t="s">
        <v>47</v>
      </c>
      <c r="AS60" s="3" t="s">
        <v>2723</v>
      </c>
      <c r="AT60" s="3" t="s">
        <v>1696</v>
      </c>
      <c r="AU60" s="3" t="s">
        <v>2724</v>
      </c>
      <c r="AV60" s="3" t="s">
        <v>2725</v>
      </c>
      <c r="AW60" s="3" t="s">
        <v>2726</v>
      </c>
      <c r="AX60" s="3" t="s">
        <v>288</v>
      </c>
      <c r="AY60" s="3" t="s">
        <v>1029</v>
      </c>
      <c r="AZ60" s="3" t="s">
        <v>303</v>
      </c>
      <c r="BA60" s="3" t="s">
        <v>302</v>
      </c>
      <c r="BB60" s="3" t="s">
        <v>307</v>
      </c>
      <c r="BC60" s="3" t="s">
        <v>1028</v>
      </c>
      <c r="BD60" s="3" t="s">
        <v>1030</v>
      </c>
      <c r="BE60" s="3" t="s">
        <v>304</v>
      </c>
      <c r="BF60" s="3" t="s">
        <v>308</v>
      </c>
      <c r="BG60" s="3" t="s">
        <v>785</v>
      </c>
      <c r="BH60" s="3" t="s">
        <v>1151</v>
      </c>
      <c r="BI60" s="3" t="s">
        <v>2727</v>
      </c>
      <c r="BJ60" s="3" t="s">
        <v>288</v>
      </c>
      <c r="BK60" s="3" t="s">
        <v>1691</v>
      </c>
      <c r="BL60" s="3" t="s">
        <v>2728</v>
      </c>
      <c r="BM60" s="3" t="s">
        <v>1028</v>
      </c>
      <c r="BN60" s="3">
        <v>1.76</v>
      </c>
      <c r="BO60" s="3" t="s">
        <v>47</v>
      </c>
      <c r="BP60" s="3">
        <v>1.67</v>
      </c>
      <c r="BQ60" s="3">
        <v>2.23</v>
      </c>
      <c r="BR60" s="3">
        <v>-6.92</v>
      </c>
      <c r="BS60" s="3">
        <v>2.95</v>
      </c>
      <c r="BT60" s="3" t="s">
        <v>1697</v>
      </c>
      <c r="BU60" s="3" t="s">
        <v>226</v>
      </c>
      <c r="BV60" s="3">
        <v>17.97</v>
      </c>
      <c r="BW60" s="3">
        <v>16.91</v>
      </c>
      <c r="BX60" s="3">
        <v>15.85</v>
      </c>
      <c r="BY60" s="3">
        <v>5.22</v>
      </c>
      <c r="BZ60" s="3">
        <v>-8.5500000000000007</v>
      </c>
      <c r="CA60" s="3">
        <v>2.66</v>
      </c>
      <c r="CB60" s="3">
        <v>8.7899999999999991</v>
      </c>
      <c r="CC60" s="3">
        <v>62.55</v>
      </c>
      <c r="CD60" s="3" t="s">
        <v>2729</v>
      </c>
      <c r="CE60" s="3" t="s">
        <v>2730</v>
      </c>
      <c r="CF60" s="10">
        <v>0.79654457378603405</v>
      </c>
      <c r="CG60" s="11">
        <v>-0.98076616083598367</v>
      </c>
      <c r="CH60" s="10">
        <v>-0.64214712381362915</v>
      </c>
      <c r="CI60" s="10">
        <v>8.0558538436889648E-2</v>
      </c>
      <c r="CJ60" s="10">
        <v>0.16520650684833527</v>
      </c>
      <c r="CK60" s="10">
        <v>9.3023255467414856E-2</v>
      </c>
      <c r="CL60" s="10">
        <v>-6.793478038161993E-3</v>
      </c>
      <c r="CM60" s="11">
        <v>3.5824224948883057</v>
      </c>
      <c r="CN60" s="11">
        <v>-3.4524056911468506</v>
      </c>
      <c r="CO60" s="11">
        <v>-0.4877903163433075</v>
      </c>
      <c r="CP60" s="11">
        <v>-0.18261958658695221</v>
      </c>
      <c r="CQ60" s="11">
        <v>7.0387423038482666E-2</v>
      </c>
      <c r="CR60" s="3">
        <v>57.295070300182516</v>
      </c>
      <c r="CS60" s="3">
        <v>9.2366024848331012</v>
      </c>
      <c r="CT60" s="3">
        <v>0.74074074074074081</v>
      </c>
      <c r="CU60" s="10">
        <v>-6.2030460219830275E-2</v>
      </c>
      <c r="CV60" s="11">
        <v>-9.4001135230064398E-2</v>
      </c>
      <c r="CW60" s="3">
        <v>0.06</v>
      </c>
      <c r="CX60" s="3">
        <v>16.244296296296298</v>
      </c>
      <c r="CY60" s="3" t="s">
        <v>2731</v>
      </c>
      <c r="CZ60" s="3">
        <v>-6.2030460219830275E-2</v>
      </c>
      <c r="DA60" s="3">
        <v>5.4147654320987657</v>
      </c>
      <c r="DB60" s="3" t="s">
        <v>2732</v>
      </c>
      <c r="DC60" s="3">
        <v>-5.8928937208838759E-2</v>
      </c>
      <c r="DD60" s="3">
        <v>2.7073827160493829</v>
      </c>
      <c r="DE60" s="3" t="s">
        <v>2733</v>
      </c>
      <c r="DF60" s="3">
        <v>-5.4586804993450644E-2</v>
      </c>
      <c r="DG60" s="3">
        <v>1.6244296296296297</v>
      </c>
      <c r="DH60" s="3" t="s">
        <v>2734</v>
      </c>
      <c r="DI60" s="3">
        <v>-4.9624368175864221E-2</v>
      </c>
      <c r="DJ60" s="3">
        <v>0.81221481481481483</v>
      </c>
      <c r="DK60" s="3" t="s">
        <v>2735</v>
      </c>
      <c r="DL60" s="3">
        <v>-4.3421322153881191E-2</v>
      </c>
      <c r="DM60" s="3">
        <v>162000000</v>
      </c>
      <c r="DN60" s="3">
        <v>-6.2030460219830275E-2</v>
      </c>
      <c r="DO60" s="3">
        <v>2631576000</v>
      </c>
      <c r="DP60" s="3">
        <v>543945600</v>
      </c>
      <c r="DQ60" s="3">
        <v>4618</v>
      </c>
      <c r="DR60" s="3">
        <v>0.85857503400586432</v>
      </c>
      <c r="DS60" s="3">
        <v>-0.8867650256059193</v>
      </c>
      <c r="DT60" s="12">
        <v>-0.64</v>
      </c>
      <c r="DU60" s="3">
        <v>-1.1066666666666667</v>
      </c>
      <c r="DV60" s="3">
        <v>-1.7466666666666666</v>
      </c>
      <c r="DW60" s="3">
        <v>9.1405275779376502</v>
      </c>
      <c r="DX60" s="3">
        <v>0.44317513170941525</v>
      </c>
      <c r="DY60" s="3">
        <v>9.025741157597535</v>
      </c>
      <c r="DZ60" s="3">
        <v>3087</v>
      </c>
      <c r="EA60" s="3">
        <v>9.0101906774598461</v>
      </c>
      <c r="EB60" s="3">
        <v>9</v>
      </c>
      <c r="EC60" s="3">
        <v>0.16351595298913432</v>
      </c>
      <c r="ED60" s="3">
        <v>0.89267546137178588</v>
      </c>
      <c r="EE60" s="13">
        <v>-3.0268100000000002</v>
      </c>
      <c r="EF60" s="3">
        <v>-3.07091</v>
      </c>
      <c r="EG60" s="3">
        <v>26.183175131709415</v>
      </c>
      <c r="EH60" s="3" t="s">
        <v>1182</v>
      </c>
      <c r="EI60" s="3">
        <v>1</v>
      </c>
      <c r="EJ60" s="3">
        <v>0</v>
      </c>
      <c r="EK60" s="15">
        <v>45470</v>
      </c>
      <c r="EL60" s="16">
        <v>0.56000000000000005</v>
      </c>
      <c r="EM60" s="16">
        <v>-4.58</v>
      </c>
      <c r="EN60" s="16">
        <v>-1.67</v>
      </c>
      <c r="EO60" s="16">
        <v>3.19</v>
      </c>
      <c r="EP60" s="16">
        <v>-4.41</v>
      </c>
    </row>
    <row r="61" spans="1:146" ht="180" x14ac:dyDescent="0.25">
      <c r="A61" s="7" t="s">
        <v>1185</v>
      </c>
      <c r="B61" s="7" t="s">
        <v>1186</v>
      </c>
      <c r="C61" s="7" t="str">
        <f>"公司主营业务是从事自动化设备,自动化柔性生产线,自动化关键零部件以及工装夹(治)具等产品的研发,设计,生产,销售及技术服务。公司的主要产品包括自动化设备(线)、治具类产品和核心零部件。"&amp;CHAR(10)&amp;Basic_Fundamental_Information_Constructure(F61)&amp;CHAR(10)&amp;Basic_Fundamental_Information_Concatenate("自动化设备(线) 40.96亿 85.13% 12.53亿 80.72% 30.59%
治具及零部件 7.15亿 14.85% 2.99亿 19.26% 41.84%")</f>
        <v>公司主营业务是从事自动化设备,自动化柔性生产线,自动化关键零部件以及工装夹(治)具等产品的研发,设计,生产,销售及技术服务。公司的主要产品包括自动化设备(线)、治具类产品和核心零部件。
市值86.292348亿, 利润3151.87万; PE27.22; 平均PE36.89; 平均PEG13.38, PB2.07; ROIC6.42%; ROE9.1567%; 股利率.6729%; 毛利33.2167%; 净利6.62%; 上一年度营收增-93.74%, 利润增-90.48%; 当季营收增807.74%, 利润增-234.09%; 过往5年营收增-2.76%, 利润增-13.22%
Income profile:
自动化设备(线) 40.96亿 85.13% 12.53亿 80.72% 30.59%
治具及零部件 7.15亿 14.85% 2.99亿 19.26% 41.84%</v>
      </c>
      <c r="D61" s="3" t="s">
        <v>565</v>
      </c>
      <c r="E61" s="3" t="s">
        <v>566</v>
      </c>
      <c r="F61" s="3">
        <v>19.32</v>
      </c>
      <c r="G61" s="3">
        <v>-1.18</v>
      </c>
      <c r="H61" s="3" t="s">
        <v>2736</v>
      </c>
      <c r="I61" s="3">
        <v>8629234800</v>
      </c>
      <c r="J61" s="3">
        <v>27.22</v>
      </c>
      <c r="K61" s="3">
        <v>2.0699999999999998</v>
      </c>
      <c r="L61" s="3" t="s">
        <v>176</v>
      </c>
      <c r="M61" s="3" t="s">
        <v>1698</v>
      </c>
      <c r="N61" s="3" t="s">
        <v>2737</v>
      </c>
      <c r="O61" s="3" t="s">
        <v>1621</v>
      </c>
      <c r="P61" s="3">
        <v>-15.88</v>
      </c>
      <c r="Q61" s="3" t="s">
        <v>512</v>
      </c>
      <c r="R61" s="3">
        <v>-21277243</v>
      </c>
      <c r="S61" s="5">
        <v>-1.409</v>
      </c>
      <c r="T61" s="3" t="s">
        <v>2738</v>
      </c>
      <c r="U61" s="3">
        <v>442107020</v>
      </c>
      <c r="V61" s="3">
        <v>446647770</v>
      </c>
      <c r="W61" s="3">
        <v>1.94</v>
      </c>
      <c r="X61" s="3">
        <v>0.09</v>
      </c>
      <c r="Y61" s="3">
        <v>-2.29</v>
      </c>
      <c r="Z61" s="3" t="s">
        <v>1121</v>
      </c>
      <c r="AA61" s="3" t="s">
        <v>1168</v>
      </c>
      <c r="AB61" s="3" t="s">
        <v>2739</v>
      </c>
      <c r="AC61" s="3" t="s">
        <v>2740</v>
      </c>
      <c r="AD61" s="3" t="s">
        <v>47</v>
      </c>
      <c r="AE61" s="3">
        <v>5911505</v>
      </c>
      <c r="AF61" s="3" t="s">
        <v>1700</v>
      </c>
      <c r="AG61" s="3" t="s">
        <v>2741</v>
      </c>
      <c r="AH61" s="3" t="s">
        <v>1701</v>
      </c>
      <c r="AI61" s="3" t="s">
        <v>2742</v>
      </c>
      <c r="AJ61" s="3" t="s">
        <v>1702</v>
      </c>
      <c r="AK61" s="3" t="s">
        <v>2743</v>
      </c>
      <c r="AL61" s="3" t="s">
        <v>1703</v>
      </c>
      <c r="AM61" s="3" t="s">
        <v>47</v>
      </c>
      <c r="AN61" s="3" t="s">
        <v>2744</v>
      </c>
      <c r="AO61" s="3" t="s">
        <v>2745</v>
      </c>
      <c r="AP61" s="3" t="s">
        <v>846</v>
      </c>
      <c r="AQ61" s="3" t="s">
        <v>699</v>
      </c>
      <c r="AR61" s="3" t="s">
        <v>47</v>
      </c>
      <c r="AS61" s="3" t="s">
        <v>2746</v>
      </c>
      <c r="AT61" s="3" t="s">
        <v>1871</v>
      </c>
      <c r="AU61" s="3" t="s">
        <v>2747</v>
      </c>
      <c r="AV61" s="3" t="s">
        <v>2748</v>
      </c>
      <c r="AW61" s="3" t="s">
        <v>2509</v>
      </c>
      <c r="AX61" s="3" t="s">
        <v>1032</v>
      </c>
      <c r="AY61" s="3" t="s">
        <v>693</v>
      </c>
      <c r="AZ61" s="3" t="s">
        <v>568</v>
      </c>
      <c r="BA61" s="3" t="s">
        <v>569</v>
      </c>
      <c r="BB61" s="3" t="s">
        <v>570</v>
      </c>
      <c r="BC61" s="3" t="s">
        <v>690</v>
      </c>
      <c r="BD61" s="3" t="s">
        <v>79</v>
      </c>
      <c r="BE61" s="3" t="s">
        <v>401</v>
      </c>
      <c r="BF61" s="3" t="s">
        <v>410</v>
      </c>
      <c r="BG61" s="3" t="s">
        <v>342</v>
      </c>
      <c r="BH61" s="3" t="s">
        <v>1699</v>
      </c>
      <c r="BI61" s="3" t="s">
        <v>2749</v>
      </c>
      <c r="BJ61" s="3" t="s">
        <v>1032</v>
      </c>
      <c r="BK61" s="3" t="s">
        <v>832</v>
      </c>
      <c r="BL61" s="3" t="s">
        <v>2750</v>
      </c>
      <c r="BM61" s="3" t="s">
        <v>690</v>
      </c>
      <c r="BN61" s="3">
        <v>4.13</v>
      </c>
      <c r="BO61" s="3">
        <v>8.2200000000000006</v>
      </c>
      <c r="BP61" s="3">
        <v>6.91</v>
      </c>
      <c r="BQ61" s="3">
        <v>5.92</v>
      </c>
      <c r="BR61" s="3">
        <v>12.4</v>
      </c>
      <c r="BS61" s="3">
        <v>9.15</v>
      </c>
      <c r="BT61" s="3" t="s">
        <v>1031</v>
      </c>
      <c r="BU61" s="3" t="s">
        <v>748</v>
      </c>
      <c r="BV61" s="3">
        <v>33.79</v>
      </c>
      <c r="BW61" s="3">
        <v>32.26</v>
      </c>
      <c r="BX61" s="3">
        <v>33.6</v>
      </c>
      <c r="BY61" s="3">
        <v>7.94</v>
      </c>
      <c r="BZ61" s="3">
        <v>6.82</v>
      </c>
      <c r="CA61" s="3">
        <v>5.0999999999999996</v>
      </c>
      <c r="CB61" s="3">
        <v>-9.2100000000000009</v>
      </c>
      <c r="CC61" s="3">
        <v>-7.03</v>
      </c>
      <c r="CD61" s="3" t="s">
        <v>2751</v>
      </c>
      <c r="CE61" s="3" t="s">
        <v>763</v>
      </c>
      <c r="CF61" s="10">
        <v>8.0773813159881644</v>
      </c>
      <c r="CG61" s="11">
        <v>-2.3409238322115504</v>
      </c>
      <c r="CH61" s="10">
        <v>-0.93744802474975586</v>
      </c>
      <c r="CI61" s="10">
        <v>0.25738179683685303</v>
      </c>
      <c r="CJ61" s="10">
        <v>0.47362348437309265</v>
      </c>
      <c r="CK61" s="10">
        <v>0.23022258281707764</v>
      </c>
      <c r="CL61" s="10">
        <v>-0.16163623332977295</v>
      </c>
      <c r="CM61" s="11">
        <v>-0.90477734804153442</v>
      </c>
      <c r="CN61" s="11">
        <v>0.71502590179443359</v>
      </c>
      <c r="CO61" s="11">
        <v>-0.19246861338615417</v>
      </c>
      <c r="CP61" s="11">
        <v>-0.16433566808700562</v>
      </c>
      <c r="CQ61" s="11">
        <v>-0.11455108225345612</v>
      </c>
      <c r="CR61" s="3">
        <v>36.889717821358559</v>
      </c>
      <c r="CS61" s="3">
        <v>13.379763076969915</v>
      </c>
      <c r="CT61" s="3">
        <v>0.67287784679089024</v>
      </c>
      <c r="CU61" s="10">
        <v>-2.7571278810501098E-2</v>
      </c>
      <c r="CV61" s="11">
        <v>-0.13222136199474335</v>
      </c>
      <c r="CW61" s="3">
        <v>0.06</v>
      </c>
      <c r="CX61" s="3" t="e">
        <v>#VALUE!</v>
      </c>
      <c r="CY61" s="3" t="s">
        <v>1416</v>
      </c>
      <c r="CZ61" s="3">
        <v>-2.7571278810501098E-2</v>
      </c>
      <c r="DA61" s="3">
        <v>85.76109632271212</v>
      </c>
      <c r="DB61" s="3" t="s">
        <v>2752</v>
      </c>
      <c r="DC61" s="3">
        <v>-2.6192714869976041E-2</v>
      </c>
      <c r="DD61" s="3">
        <v>42.88054816135606</v>
      </c>
      <c r="DE61" s="3" t="s">
        <v>2753</v>
      </c>
      <c r="DF61" s="3">
        <v>-2.4262725353240967E-2</v>
      </c>
      <c r="DG61" s="3">
        <v>25.728328896813636</v>
      </c>
      <c r="DH61" s="3" t="s">
        <v>2754</v>
      </c>
      <c r="DI61" s="3">
        <v>-2.2057023048400879E-2</v>
      </c>
      <c r="DJ61" s="3">
        <v>12.864164448406818</v>
      </c>
      <c r="DK61" s="3" t="s">
        <v>2755</v>
      </c>
      <c r="DL61" s="3">
        <v>-1.9299895167350766E-2</v>
      </c>
      <c r="DM61" s="3">
        <v>31518700</v>
      </c>
      <c r="DN61" s="3">
        <v>-2.7571278810501098E-2</v>
      </c>
      <c r="DO61" s="3">
        <v>8109234800</v>
      </c>
      <c r="DP61" s="3">
        <v>3194811700</v>
      </c>
      <c r="DQ61" s="3">
        <v>4624</v>
      </c>
      <c r="DR61" s="3">
        <v>8.1049525947986663</v>
      </c>
      <c r="DS61" s="3">
        <v>-2.208702470216807</v>
      </c>
      <c r="DT61" s="12">
        <v>-0.47333333333333333</v>
      </c>
      <c r="DU61" s="3">
        <v>-1.1816666666666666</v>
      </c>
      <c r="DV61" s="3">
        <v>-1.655</v>
      </c>
      <c r="DW61" s="3">
        <v>-5.7633007600434309</v>
      </c>
      <c r="DX61" s="3">
        <v>0.26822159999999962</v>
      </c>
      <c r="DY61" s="3">
        <v>-5.1055046523344192</v>
      </c>
      <c r="DZ61" s="3">
        <v>3977</v>
      </c>
      <c r="EA61" s="3">
        <v>-5.0233927144999795</v>
      </c>
      <c r="EB61" s="3">
        <v>5</v>
      </c>
      <c r="EC61" s="3">
        <v>3.8683054434593953E-2</v>
      </c>
      <c r="ED61" s="3">
        <v>0.27986258612687132</v>
      </c>
      <c r="EE61" s="13">
        <v>-3.0700099999999999</v>
      </c>
      <c r="EF61" s="3">
        <v>-3.1069100000000001</v>
      </c>
      <c r="EG61" s="3">
        <v>13.1382216</v>
      </c>
      <c r="EH61" s="3" t="s">
        <v>1182</v>
      </c>
      <c r="EI61" s="3">
        <v>0</v>
      </c>
      <c r="EJ61" s="3">
        <v>0</v>
      </c>
      <c r="EK61" s="15">
        <v>45470</v>
      </c>
      <c r="EL61" s="16">
        <v>-0.23</v>
      </c>
      <c r="EM61" s="16">
        <v>-5.2</v>
      </c>
      <c r="EN61" s="16">
        <v>0.24</v>
      </c>
      <c r="EO61" s="16">
        <v>3.33</v>
      </c>
      <c r="EP61" s="16">
        <v>-3.69</v>
      </c>
    </row>
    <row r="62" spans="1:146" ht="108" x14ac:dyDescent="0.25">
      <c r="A62" s="9"/>
      <c r="B62" s="9"/>
      <c r="C62" s="7" t="str">
        <f>""&amp;CHAR(10)&amp;Basic_Fundamental_Information_Constructure(F62)&amp;CHAR(10)&amp;Basic_Fundamental_Information_Concatenate("")</f>
        <v xml:space="preserve">
市值22.99309亿, 利润1.87亿; PE569.2; 平均PE16.75; 平均PEG.19, PB1.19; ROIC11.87%; ROE12.4033%; 股利率.5319%; 毛利59.1967%; 净利18.0467%; 上一年度营收增390.02%, 利润增19.11%; 当季营收增-81.07%, 利润增-96.13%; 过往5年营收增87.65%, 利润增19.28%
Income profile:
</v>
      </c>
      <c r="D62" s="3" t="s">
        <v>694</v>
      </c>
      <c r="E62" s="3" t="s">
        <v>829</v>
      </c>
      <c r="F62" s="3">
        <v>28.2</v>
      </c>
      <c r="G62" s="3">
        <v>0.36</v>
      </c>
      <c r="H62" s="3" t="s">
        <v>2756</v>
      </c>
      <c r="I62" s="3">
        <v>2299309000</v>
      </c>
      <c r="J62" s="3">
        <v>569.20000000000005</v>
      </c>
      <c r="K62" s="3">
        <v>1.19</v>
      </c>
      <c r="L62" s="3" t="s">
        <v>176</v>
      </c>
      <c r="M62" s="3" t="s">
        <v>241</v>
      </c>
      <c r="N62" s="3" t="s">
        <v>2757</v>
      </c>
      <c r="O62" s="3" t="s">
        <v>242</v>
      </c>
      <c r="P62" s="3">
        <v>8.19</v>
      </c>
      <c r="Q62" s="3" t="s">
        <v>2758</v>
      </c>
      <c r="R62" s="3">
        <v>4062505</v>
      </c>
      <c r="S62" s="5">
        <v>-0.86080000000000001</v>
      </c>
      <c r="T62" s="3" t="s">
        <v>260</v>
      </c>
      <c r="U62" s="3">
        <v>21828080</v>
      </c>
      <c r="V62" s="3">
        <v>81535780</v>
      </c>
      <c r="W62" s="3">
        <v>1.1599999999999999</v>
      </c>
      <c r="X62" s="3">
        <v>7.0000000000000007E-2</v>
      </c>
      <c r="Y62" s="3">
        <v>2.38</v>
      </c>
      <c r="Z62" s="3" t="s">
        <v>114</v>
      </c>
      <c r="AA62" s="3" t="s">
        <v>2759</v>
      </c>
      <c r="AB62" s="3" t="s">
        <v>2760</v>
      </c>
      <c r="AC62" s="3" t="s">
        <v>2761</v>
      </c>
      <c r="AD62" s="3" t="s">
        <v>47</v>
      </c>
      <c r="AE62" s="3">
        <v>-7902078</v>
      </c>
      <c r="AF62" s="3" t="s">
        <v>1707</v>
      </c>
      <c r="AG62" s="3">
        <v>5002.6400000000003</v>
      </c>
      <c r="AH62" s="3" t="s">
        <v>1708</v>
      </c>
      <c r="AI62" s="3" t="s">
        <v>2762</v>
      </c>
      <c r="AJ62" s="3" t="s">
        <v>1709</v>
      </c>
      <c r="AK62" s="3" t="s">
        <v>2763</v>
      </c>
      <c r="AL62" s="3" t="s">
        <v>1710</v>
      </c>
      <c r="AM62" s="3" t="s">
        <v>47</v>
      </c>
      <c r="AN62" s="3" t="s">
        <v>2764</v>
      </c>
      <c r="AO62" s="3" t="s">
        <v>47</v>
      </c>
      <c r="AP62" s="3" t="s">
        <v>2765</v>
      </c>
      <c r="AQ62" s="3" t="s">
        <v>282</v>
      </c>
      <c r="AR62" s="3" t="s">
        <v>47</v>
      </c>
      <c r="AS62" s="3" t="s">
        <v>971</v>
      </c>
      <c r="AT62" s="3" t="s">
        <v>47</v>
      </c>
      <c r="AU62" s="3" t="s">
        <v>2766</v>
      </c>
      <c r="AV62" s="3" t="s">
        <v>77</v>
      </c>
      <c r="AW62" s="3" t="s">
        <v>2767</v>
      </c>
      <c r="AX62" s="3" t="s">
        <v>1033</v>
      </c>
      <c r="AY62" s="3" t="s">
        <v>204</v>
      </c>
      <c r="AZ62" s="3" t="s">
        <v>695</v>
      </c>
      <c r="BA62" s="3" t="s">
        <v>88</v>
      </c>
      <c r="BB62" s="3" t="s">
        <v>386</v>
      </c>
      <c r="BC62" s="3" t="s">
        <v>83</v>
      </c>
      <c r="BD62" s="3" t="s">
        <v>109</v>
      </c>
      <c r="BE62" s="3" t="s">
        <v>207</v>
      </c>
      <c r="BF62" s="3" t="s">
        <v>696</v>
      </c>
      <c r="BG62" s="3" t="s">
        <v>112</v>
      </c>
      <c r="BH62" s="3" t="s">
        <v>1705</v>
      </c>
      <c r="BI62" s="3" t="s">
        <v>524</v>
      </c>
      <c r="BJ62" s="3" t="s">
        <v>1033</v>
      </c>
      <c r="BK62" s="3" t="s">
        <v>1706</v>
      </c>
      <c r="BL62" s="3" t="s">
        <v>98</v>
      </c>
      <c r="BM62" s="3" t="s">
        <v>83</v>
      </c>
      <c r="BN62" s="3">
        <v>0.01</v>
      </c>
      <c r="BO62" s="3">
        <v>10.82</v>
      </c>
      <c r="BP62" s="3">
        <v>24.78</v>
      </c>
      <c r="BQ62" s="3">
        <v>1.63</v>
      </c>
      <c r="BR62" s="3">
        <v>10.59</v>
      </c>
      <c r="BS62" s="3">
        <v>24.99</v>
      </c>
      <c r="BT62" s="3" t="s">
        <v>1218</v>
      </c>
      <c r="BU62" s="3" t="s">
        <v>747</v>
      </c>
      <c r="BV62" s="3">
        <v>56.17</v>
      </c>
      <c r="BW62" s="3">
        <v>59.48</v>
      </c>
      <c r="BX62" s="3">
        <v>61.94</v>
      </c>
      <c r="BY62" s="3">
        <v>5.91</v>
      </c>
      <c r="BZ62" s="3">
        <v>23.94</v>
      </c>
      <c r="CA62" s="3">
        <v>24.29</v>
      </c>
      <c r="CB62" s="3">
        <v>-9.67</v>
      </c>
      <c r="CC62" s="3">
        <v>-4.0199999999999996</v>
      </c>
      <c r="CD62" s="3" t="s">
        <v>2768</v>
      </c>
      <c r="CE62" s="3" t="s">
        <v>2769</v>
      </c>
      <c r="CF62" s="10">
        <v>-0.8107098381070984</v>
      </c>
      <c r="CG62" s="11">
        <v>-0.96130947619047624</v>
      </c>
      <c r="CH62" s="10">
        <v>3.900153636932373</v>
      </c>
      <c r="CI62" s="10">
        <v>3.6624204367399216E-2</v>
      </c>
      <c r="CJ62" s="10">
        <v>0.23865877091884613</v>
      </c>
      <c r="CK62" s="10">
        <v>0.39669421315193176</v>
      </c>
      <c r="CL62" s="10">
        <v>-0.1897321492433548</v>
      </c>
      <c r="CM62" s="11">
        <v>0.19108280539512634</v>
      </c>
      <c r="CN62" s="11">
        <v>2.6143791154026985E-2</v>
      </c>
      <c r="CO62" s="11">
        <v>0.15037593245506287</v>
      </c>
      <c r="CP62" s="11">
        <v>1.1165974140167236</v>
      </c>
      <c r="CQ62" s="11">
        <v>-0.52033048868179321</v>
      </c>
      <c r="CR62" s="3">
        <v>16.745859950157598</v>
      </c>
      <c r="CS62" s="3">
        <v>0.1910581531682578</v>
      </c>
      <c r="CT62" s="3">
        <v>0.53191489361702127</v>
      </c>
      <c r="CU62" s="10">
        <v>0.87647973522543909</v>
      </c>
      <c r="CV62" s="11">
        <v>0.19277389086782931</v>
      </c>
      <c r="CW62" s="3">
        <v>0.06</v>
      </c>
      <c r="CX62" s="3">
        <v>1.9523630678485233</v>
      </c>
      <c r="CY62" s="3">
        <v>331039349.51618588</v>
      </c>
      <c r="CZ62" s="3">
        <v>0.87647973522543909</v>
      </c>
      <c r="DA62" s="3">
        <v>0.34960113580100377</v>
      </c>
      <c r="DB62" s="3">
        <v>1848703948.0554931</v>
      </c>
      <c r="DC62" s="3">
        <v>0.83265574846416712</v>
      </c>
      <c r="DD62" s="3">
        <v>6.6812585130512844E-2</v>
      </c>
      <c r="DE62" s="3">
        <v>9673461949.3840752</v>
      </c>
      <c r="DF62" s="3">
        <v>0.77130216699838638</v>
      </c>
      <c r="DG62" s="3">
        <v>1.1593761316291046E-2</v>
      </c>
      <c r="DH62" s="3">
        <v>55746274428.802933</v>
      </c>
      <c r="DI62" s="3">
        <v>0.70118378818035132</v>
      </c>
      <c r="DJ62" s="3">
        <v>2.6583256735301773E-4</v>
      </c>
      <c r="DK62" s="3">
        <v>2431263431849.2705</v>
      </c>
      <c r="DL62" s="3">
        <v>0.61353581465780738</v>
      </c>
      <c r="DM62" s="3">
        <v>187000000</v>
      </c>
      <c r="DN62" s="3">
        <v>0.87647973522543909</v>
      </c>
      <c r="DO62" s="3">
        <v>646309000.00000024</v>
      </c>
      <c r="DP62" s="3">
        <v>1675996300</v>
      </c>
      <c r="DQ62" s="3">
        <v>4650</v>
      </c>
      <c r="DR62" s="3">
        <v>-1.6871895733325375</v>
      </c>
      <c r="DS62" s="3">
        <v>-1.1540833670583055</v>
      </c>
      <c r="DT62" s="12">
        <v>1.0000000000000011E-2</v>
      </c>
      <c r="DU62" s="3">
        <v>-6.6666666666666714E-3</v>
      </c>
      <c r="DV62" s="3">
        <v>3.3333333333333392E-3</v>
      </c>
      <c r="DW62" s="3">
        <v>-5.4157187176835571</v>
      </c>
      <c r="DX62" s="3">
        <v>0.23534823731728338</v>
      </c>
      <c r="DY62" s="3">
        <v>-5.0437952341277636</v>
      </c>
      <c r="DZ62" s="3">
        <v>2982</v>
      </c>
      <c r="EA62" s="3">
        <v>-5.0182380153080004</v>
      </c>
      <c r="EB62" s="3">
        <v>5</v>
      </c>
      <c r="EC62" s="3">
        <v>3.3809696798141872E-2</v>
      </c>
      <c r="ED62" s="3">
        <v>0.32093272425921476</v>
      </c>
      <c r="EE62" s="13">
        <v>-1.0237099999999999</v>
      </c>
      <c r="EF62" s="3">
        <v>-1.0576099999999999</v>
      </c>
      <c r="EG62" s="3">
        <v>13.105348237317283</v>
      </c>
      <c r="EH62" s="3" t="s">
        <v>954</v>
      </c>
      <c r="EI62" s="3">
        <v>0</v>
      </c>
      <c r="EJ62" s="3">
        <v>0</v>
      </c>
      <c r="EK62" s="15">
        <v>45470</v>
      </c>
      <c r="EL62" s="16">
        <v>0.67</v>
      </c>
      <c r="EM62" s="16">
        <v>-2.14</v>
      </c>
      <c r="EN62" s="16">
        <v>-3.96</v>
      </c>
      <c r="EO62" s="16">
        <v>0.85</v>
      </c>
      <c r="EP62" s="16">
        <v>-3.39</v>
      </c>
    </row>
    <row r="63" spans="1:146" ht="108" x14ac:dyDescent="0.25">
      <c r="C63" s="7" t="str">
        <f>""&amp;CHAR(10)&amp;Basic_Fundamental_Information_Constructure(F63)&amp;CHAR(10)&amp;Basic_Fundamental_Information_Concatenate("")</f>
        <v xml:space="preserve">
市值31.1052亿, 利润1.12亿; PE53.85; 平均PE44.19; 平均PEG1.13, PB4.09; ROIC9.2767%; ROE10.3833%; 股利率.8102%; 毛利37.0233%; 净利14.26%; 上一年度营收增138.22%, 利润增23%; 当季营收增-71.28%, 利润增-88.22%; 过往5年营收增39.25%, 利润增26.24%
Income profile:
</v>
      </c>
      <c r="D63" s="3" t="s">
        <v>428</v>
      </c>
      <c r="E63" s="3" t="s">
        <v>429</v>
      </c>
      <c r="F63" s="3">
        <v>37.03</v>
      </c>
      <c r="G63" s="3">
        <v>-0.99</v>
      </c>
      <c r="H63" s="3" t="s">
        <v>2770</v>
      </c>
      <c r="I63" s="3">
        <v>3110520000</v>
      </c>
      <c r="J63" s="3">
        <v>53.85</v>
      </c>
      <c r="K63" s="3">
        <v>4.09</v>
      </c>
      <c r="L63" s="3" t="s">
        <v>176</v>
      </c>
      <c r="M63" s="3" t="s">
        <v>67</v>
      </c>
      <c r="N63" s="3" t="s">
        <v>258</v>
      </c>
      <c r="O63" s="3" t="s">
        <v>142</v>
      </c>
      <c r="P63" s="3">
        <v>6.52</v>
      </c>
      <c r="Q63" s="3" t="s">
        <v>2771</v>
      </c>
      <c r="R63" s="3">
        <v>11087645</v>
      </c>
      <c r="S63" s="5">
        <v>-0.20860000000000001</v>
      </c>
      <c r="T63" s="3" t="s">
        <v>142</v>
      </c>
      <c r="U63" s="3">
        <v>84000000</v>
      </c>
      <c r="V63" s="3">
        <v>84000000</v>
      </c>
      <c r="W63" s="3">
        <v>1.22</v>
      </c>
      <c r="X63" s="3">
        <v>0.12</v>
      </c>
      <c r="Y63" s="3">
        <v>9.8800000000000008</v>
      </c>
      <c r="Z63" s="3" t="s">
        <v>123</v>
      </c>
      <c r="AA63" s="3" t="s">
        <v>2772</v>
      </c>
      <c r="AB63" s="3" t="s">
        <v>2773</v>
      </c>
      <c r="AC63" s="3" t="s">
        <v>2774</v>
      </c>
      <c r="AD63" s="3" t="s">
        <v>47</v>
      </c>
      <c r="AE63" s="3">
        <v>-1702796</v>
      </c>
      <c r="AF63" s="3" t="s">
        <v>1712</v>
      </c>
      <c r="AG63" s="3">
        <v>7250</v>
      </c>
      <c r="AH63" s="3" t="s">
        <v>1713</v>
      </c>
      <c r="AI63" s="3" t="s">
        <v>2775</v>
      </c>
      <c r="AJ63" s="3" t="s">
        <v>1714</v>
      </c>
      <c r="AK63" s="3" t="s">
        <v>2776</v>
      </c>
      <c r="AL63" s="3" t="s">
        <v>1715</v>
      </c>
      <c r="AM63" s="3" t="s">
        <v>47</v>
      </c>
      <c r="AN63" s="3" t="s">
        <v>2777</v>
      </c>
      <c r="AO63" s="3" t="s">
        <v>2778</v>
      </c>
      <c r="AP63" s="3" t="s">
        <v>47</v>
      </c>
      <c r="AQ63" s="3" t="s">
        <v>2779</v>
      </c>
      <c r="AR63" s="3" t="s">
        <v>47</v>
      </c>
      <c r="AS63" s="3" t="s">
        <v>289</v>
      </c>
      <c r="AT63" s="3" t="s">
        <v>47</v>
      </c>
      <c r="AU63" s="3" t="s">
        <v>2780</v>
      </c>
      <c r="AV63" s="3" t="s">
        <v>2781</v>
      </c>
      <c r="AW63" s="3" t="s">
        <v>2782</v>
      </c>
      <c r="AX63" s="3" t="s">
        <v>1034</v>
      </c>
      <c r="AY63" s="3" t="s">
        <v>697</v>
      </c>
      <c r="AZ63" s="3" t="s">
        <v>430</v>
      </c>
      <c r="BA63" s="3" t="s">
        <v>248</v>
      </c>
      <c r="BB63" s="3" t="s">
        <v>85</v>
      </c>
      <c r="BC63" s="3" t="s">
        <v>1035</v>
      </c>
      <c r="BD63" s="3" t="s">
        <v>698</v>
      </c>
      <c r="BE63" s="3" t="s">
        <v>431</v>
      </c>
      <c r="BF63" s="3" t="s">
        <v>433</v>
      </c>
      <c r="BG63" s="3" t="s">
        <v>434</v>
      </c>
      <c r="BH63" s="3" t="s">
        <v>287</v>
      </c>
      <c r="BI63" s="3" t="s">
        <v>832</v>
      </c>
      <c r="BJ63" s="3" t="s">
        <v>1034</v>
      </c>
      <c r="BK63" s="3" t="s">
        <v>1711</v>
      </c>
      <c r="BL63" s="3" t="s">
        <v>2783</v>
      </c>
      <c r="BM63" s="3" t="s">
        <v>1035</v>
      </c>
      <c r="BN63" s="3">
        <v>5.14</v>
      </c>
      <c r="BO63" s="3">
        <v>11.69</v>
      </c>
      <c r="BP63" s="3">
        <v>11</v>
      </c>
      <c r="BQ63" s="3">
        <v>6.02</v>
      </c>
      <c r="BR63" s="3">
        <v>13.32</v>
      </c>
      <c r="BS63" s="3">
        <v>11.81</v>
      </c>
      <c r="BT63" s="3" t="s">
        <v>861</v>
      </c>
      <c r="BU63" s="3" t="s">
        <v>747</v>
      </c>
      <c r="BV63" s="3">
        <v>38.18</v>
      </c>
      <c r="BW63" s="3">
        <v>37.94</v>
      </c>
      <c r="BX63" s="3">
        <v>34.950000000000003</v>
      </c>
      <c r="BY63" s="3">
        <v>12.03</v>
      </c>
      <c r="BZ63" s="3">
        <v>16.829999999999998</v>
      </c>
      <c r="CA63" s="3">
        <v>13.92</v>
      </c>
      <c r="CB63" s="3">
        <v>-7.4</v>
      </c>
      <c r="CC63" s="3">
        <v>-20.11</v>
      </c>
      <c r="CD63" s="3" t="s">
        <v>2784</v>
      </c>
      <c r="CE63" s="3" t="s">
        <v>2785</v>
      </c>
      <c r="CF63" s="10">
        <v>-0.71282051282051284</v>
      </c>
      <c r="CG63" s="11">
        <v>-0.88221961730772702</v>
      </c>
      <c r="CH63" s="10">
        <v>1.3821892738342285</v>
      </c>
      <c r="CI63" s="10">
        <v>3.7243948318064213E-3</v>
      </c>
      <c r="CJ63" s="10">
        <v>0.23732718825340271</v>
      </c>
      <c r="CK63" s="10">
        <v>0.25797101855278015</v>
      </c>
      <c r="CL63" s="10">
        <v>8.1504702568054199E-2</v>
      </c>
      <c r="CM63" s="11">
        <v>0.23001900315284729</v>
      </c>
      <c r="CN63" s="11">
        <v>0.21877454221248627</v>
      </c>
      <c r="CO63" s="11">
        <v>0.12901584804058075</v>
      </c>
      <c r="CP63" s="11">
        <v>0.56545758247375488</v>
      </c>
      <c r="CQ63" s="11">
        <v>0.16895733773708344</v>
      </c>
      <c r="CR63" s="3">
        <v>44.186493599474964</v>
      </c>
      <c r="CS63" s="3">
        <v>1.1256463132235368</v>
      </c>
      <c r="CT63" s="3">
        <v>0.81015392924655683</v>
      </c>
      <c r="CU63" s="10">
        <v>0.39254331560805439</v>
      </c>
      <c r="CV63" s="11">
        <v>0.26244486272335055</v>
      </c>
      <c r="CW63" s="3">
        <v>0.06</v>
      </c>
      <c r="CX63" s="3">
        <v>17.300380032278561</v>
      </c>
      <c r="CY63" s="3">
        <v>147136652.21519068</v>
      </c>
      <c r="CZ63" s="3">
        <v>0.39254331560805439</v>
      </c>
      <c r="DA63" s="3">
        <v>4.4170094703108154</v>
      </c>
      <c r="DB63" s="3">
        <v>576299420.93397355</v>
      </c>
      <c r="DC63" s="3">
        <v>0.37291614982765164</v>
      </c>
      <c r="DD63" s="3">
        <v>1.5154966982265283</v>
      </c>
      <c r="DE63" s="3">
        <v>1679660538.3428617</v>
      </c>
      <c r="DF63" s="3">
        <v>0.34543811773508787</v>
      </c>
      <c r="DG63" s="3">
        <v>0.58038510216054529</v>
      </c>
      <c r="DH63" s="3">
        <v>4385915473.2332563</v>
      </c>
      <c r="DI63" s="3">
        <v>0.31403465248644352</v>
      </c>
      <c r="DJ63" s="3">
        <v>9.806402890460178E-2</v>
      </c>
      <c r="DK63" s="3">
        <v>25957734231.74691</v>
      </c>
      <c r="DL63" s="3">
        <v>0.27478032092563803</v>
      </c>
      <c r="DM63" s="3">
        <v>112000000.00000001</v>
      </c>
      <c r="DN63" s="3">
        <v>0.39254331560805439</v>
      </c>
      <c r="DO63" s="3">
        <v>2545520000</v>
      </c>
      <c r="DP63" s="3">
        <v>611245500</v>
      </c>
      <c r="DQ63" s="3">
        <v>4678</v>
      </c>
      <c r="DR63" s="3">
        <v>-1.1053638284285672</v>
      </c>
      <c r="DS63" s="3">
        <v>-1.1446644800310777</v>
      </c>
      <c r="DT63" s="12">
        <v>0.14333333333333331</v>
      </c>
      <c r="DU63" s="3">
        <v>9.3333333333333268E-2</v>
      </c>
      <c r="DV63" s="3">
        <v>0.23666666666666658</v>
      </c>
      <c r="DW63" s="3">
        <v>-9.3679761312779704</v>
      </c>
      <c r="DX63" s="3">
        <v>0.46090643671026926</v>
      </c>
      <c r="DY63" s="3">
        <v>-9.0481704441400304</v>
      </c>
      <c r="DZ63" s="3">
        <v>3178</v>
      </c>
      <c r="EA63" s="3">
        <v>-9.0182123870995188</v>
      </c>
      <c r="EB63" s="3">
        <v>9</v>
      </c>
      <c r="EC63" s="3">
        <v>7.1311904761904757E-2</v>
      </c>
      <c r="ED63" s="3">
        <v>0.5447547619047618</v>
      </c>
      <c r="EE63" s="13">
        <v>-3.0626099999999998</v>
      </c>
      <c r="EF63" s="3">
        <v>-3.1011099999999998</v>
      </c>
      <c r="EG63" s="3">
        <v>33.130906436710269</v>
      </c>
      <c r="EH63" s="3" t="s">
        <v>1182</v>
      </c>
      <c r="EI63" s="3">
        <v>0</v>
      </c>
      <c r="EJ63" s="3">
        <v>0</v>
      </c>
      <c r="EK63" s="15">
        <v>45470</v>
      </c>
      <c r="EL63" s="16">
        <v>-0.47</v>
      </c>
      <c r="EM63" s="16">
        <v>-6.13</v>
      </c>
      <c r="EN63" s="16">
        <v>-0.9</v>
      </c>
      <c r="EO63" s="16">
        <v>5.32</v>
      </c>
      <c r="EP63" s="16">
        <v>-3.85</v>
      </c>
    </row>
    <row r="64" spans="1:146" ht="108" x14ac:dyDescent="0.25">
      <c r="C64" s="7" t="str">
        <f>""&amp;CHAR(10)&amp;Basic_Fundamental_Information_Constructure(F64)&amp;CHAR(10)&amp;Basic_Fundamental_Information_Concatenate("")</f>
        <v xml:space="preserve">
市值38.507364亿, 利润2.02亿; PE; 平均PE-58.08; 平均PEG-35.05, PB2.18; ROIC0%; ROE-7.4533%; 股利率0%; 毛利13.0867%; 净利-10.8767%; 上一年度营收增-11.14%, 利润增216.76%; 当季营收增9.84%, 利润增-127.38%; 过往5年营收增-1.66%, 利润增-35.21%
Income profile:
</v>
      </c>
      <c r="D64" s="3" t="s">
        <v>309</v>
      </c>
      <c r="E64" s="3" t="s">
        <v>310</v>
      </c>
      <c r="F64" s="3">
        <v>7.38</v>
      </c>
      <c r="G64" s="3">
        <v>-0.54</v>
      </c>
      <c r="H64" s="3" t="s">
        <v>2786</v>
      </c>
      <c r="I64" s="3">
        <v>3850736400</v>
      </c>
      <c r="K64" s="3">
        <v>2.1800000000000002</v>
      </c>
      <c r="L64" s="3" t="s">
        <v>176</v>
      </c>
      <c r="M64" s="3" t="s">
        <v>1716</v>
      </c>
      <c r="N64" s="3" t="s">
        <v>2787</v>
      </c>
      <c r="O64" s="3" t="s">
        <v>405</v>
      </c>
      <c r="P64" s="3">
        <v>-14.06</v>
      </c>
      <c r="Q64" s="3" t="s">
        <v>2788</v>
      </c>
      <c r="R64" s="3">
        <v>-19376428</v>
      </c>
      <c r="S64" s="5">
        <v>0.52239999999999998</v>
      </c>
      <c r="T64" s="3" t="s">
        <v>834</v>
      </c>
      <c r="U64" s="3">
        <v>521780000</v>
      </c>
      <c r="V64" s="3">
        <v>521780000</v>
      </c>
      <c r="W64" s="3">
        <v>1.88</v>
      </c>
      <c r="X64" s="3">
        <v>0.1</v>
      </c>
      <c r="Y64" s="3">
        <v>-6.04</v>
      </c>
      <c r="Z64" s="3" t="s">
        <v>846</v>
      </c>
      <c r="AA64" s="3" t="s">
        <v>1027</v>
      </c>
      <c r="AB64" s="3" t="s">
        <v>2789</v>
      </c>
      <c r="AC64" s="3" t="s">
        <v>2790</v>
      </c>
      <c r="AD64" s="3" t="s">
        <v>47</v>
      </c>
      <c r="AE64" s="3">
        <v>11304019</v>
      </c>
      <c r="AF64" s="3" t="s">
        <v>1720</v>
      </c>
      <c r="AG64" s="3" t="s">
        <v>2791</v>
      </c>
      <c r="AH64" s="3" t="s">
        <v>1721</v>
      </c>
      <c r="AI64" s="3" t="s">
        <v>172</v>
      </c>
      <c r="AJ64" s="3" t="s">
        <v>1722</v>
      </c>
      <c r="AK64" s="3" t="s">
        <v>2792</v>
      </c>
      <c r="AL64" s="3" t="s">
        <v>1723</v>
      </c>
      <c r="AM64" s="3" t="s">
        <v>47</v>
      </c>
      <c r="AN64" s="3" t="s">
        <v>2793</v>
      </c>
      <c r="AO64" s="3" t="s">
        <v>291</v>
      </c>
      <c r="AP64" s="3" t="s">
        <v>2794</v>
      </c>
      <c r="AQ64" s="3" t="s">
        <v>189</v>
      </c>
      <c r="AR64" s="3" t="s">
        <v>47</v>
      </c>
      <c r="AS64" s="3" t="s">
        <v>980</v>
      </c>
      <c r="AT64" s="3" t="s">
        <v>681</v>
      </c>
      <c r="AU64" s="3" t="s">
        <v>2795</v>
      </c>
      <c r="AV64" s="3" t="s">
        <v>2796</v>
      </c>
      <c r="AW64" s="3" t="s">
        <v>2797</v>
      </c>
      <c r="AX64" s="3" t="s">
        <v>1036</v>
      </c>
      <c r="AY64" s="3" t="s">
        <v>699</v>
      </c>
      <c r="AZ64" s="3" t="s">
        <v>276</v>
      </c>
      <c r="BA64" s="3" t="s">
        <v>312</v>
      </c>
      <c r="BB64" s="3" t="s">
        <v>313</v>
      </c>
      <c r="BC64" s="3" t="s">
        <v>993</v>
      </c>
      <c r="BD64" s="3" t="s">
        <v>700</v>
      </c>
      <c r="BE64" s="3" t="s">
        <v>311</v>
      </c>
      <c r="BF64" s="3" t="s">
        <v>314</v>
      </c>
      <c r="BG64" s="3" t="s">
        <v>315</v>
      </c>
      <c r="BH64" s="3" t="s">
        <v>1717</v>
      </c>
      <c r="BI64" s="3" t="s">
        <v>2798</v>
      </c>
      <c r="BJ64" s="3" t="s">
        <v>1036</v>
      </c>
      <c r="BK64" s="3" t="s">
        <v>1718</v>
      </c>
      <c r="BL64" s="3" t="s">
        <v>2799</v>
      </c>
      <c r="BM64" s="3" t="s">
        <v>993</v>
      </c>
      <c r="BN64" s="3" t="s">
        <v>47</v>
      </c>
      <c r="BO64" s="3" t="s">
        <v>47</v>
      </c>
      <c r="BP64" s="3" t="s">
        <v>47</v>
      </c>
      <c r="BQ64" s="3">
        <v>-3.12</v>
      </c>
      <c r="BR64" s="3">
        <v>-9.5299999999999994</v>
      </c>
      <c r="BS64" s="3">
        <v>-9.7100000000000009</v>
      </c>
      <c r="BT64" s="3" t="s">
        <v>856</v>
      </c>
      <c r="BU64" s="3" t="s">
        <v>226</v>
      </c>
      <c r="BV64" s="3">
        <v>17.309999999999999</v>
      </c>
      <c r="BW64" s="3">
        <v>10.63</v>
      </c>
      <c r="BX64" s="3">
        <v>11.32</v>
      </c>
      <c r="BY64" s="3">
        <v>-2.56</v>
      </c>
      <c r="BZ64" s="3">
        <v>-13.26</v>
      </c>
      <c r="CA64" s="3">
        <v>-16.809999999999999</v>
      </c>
      <c r="CB64" s="3">
        <v>-5.63</v>
      </c>
      <c r="CC64" s="3">
        <v>-11.51</v>
      </c>
      <c r="CD64" s="3" t="s">
        <v>2800</v>
      </c>
      <c r="CE64" s="3" t="s">
        <v>2801</v>
      </c>
      <c r="CF64" s="10">
        <v>9.8360655737704916E-2</v>
      </c>
      <c r="CG64" s="11">
        <v>-1.2737963105575141</v>
      </c>
      <c r="CH64" s="10">
        <v>-0.11144578456878662</v>
      </c>
      <c r="CI64" s="10">
        <v>0.15780289471149445</v>
      </c>
      <c r="CJ64" s="10">
        <v>1.1463901028037071E-2</v>
      </c>
      <c r="CK64" s="10">
        <v>-0.10567823052406311</v>
      </c>
      <c r="CL64" s="10">
        <v>-3.500761091709137E-2</v>
      </c>
      <c r="CM64" s="11">
        <v>2.1676299571990967</v>
      </c>
      <c r="CN64" s="11">
        <v>0.10362694412469864</v>
      </c>
      <c r="CO64" s="11">
        <v>-0.14201183617115021</v>
      </c>
      <c r="CP64" s="11">
        <v>-2.9594402313232422</v>
      </c>
      <c r="CQ64" s="11">
        <v>-0.93041378259658813</v>
      </c>
      <c r="CR64" s="3">
        <v>-58.081437730882982</v>
      </c>
      <c r="CS64" s="3">
        <v>-35.045891931081066</v>
      </c>
      <c r="CT64" s="3">
        <v>0</v>
      </c>
      <c r="CU64" s="10">
        <v>-1.6572966054081918E-2</v>
      </c>
      <c r="CV64" s="11">
        <v>-0.35212178975343705</v>
      </c>
      <c r="CW64" s="3">
        <v>0.06</v>
      </c>
      <c r="CX64" s="3" t="e">
        <v>#VALUE!</v>
      </c>
      <c r="CY64" s="3" t="s">
        <v>1416</v>
      </c>
      <c r="CZ64" s="3">
        <v>-1.6572966054081918E-2</v>
      </c>
      <c r="DA64" s="3">
        <v>5.9632613861386137</v>
      </c>
      <c r="DB64" s="3" t="s">
        <v>2802</v>
      </c>
      <c r="DC64" s="3">
        <v>-1.5744317751377822E-2</v>
      </c>
      <c r="DD64" s="3">
        <v>2.9816306930693068</v>
      </c>
      <c r="DE64" s="3" t="s">
        <v>2803</v>
      </c>
      <c r="DF64" s="3">
        <v>-1.4584210127592088E-2</v>
      </c>
      <c r="DG64" s="3">
        <v>1.7889784158415842</v>
      </c>
      <c r="DH64" s="3" t="s">
        <v>2804</v>
      </c>
      <c r="DI64" s="3">
        <v>-1.3258372843265535E-2</v>
      </c>
      <c r="DJ64" s="3">
        <v>0.89448920792079212</v>
      </c>
      <c r="DK64" s="3" t="s">
        <v>2805</v>
      </c>
      <c r="DL64" s="3">
        <v>-1.1601076237857342E-2</v>
      </c>
      <c r="DM64" s="3">
        <v>202000000</v>
      </c>
      <c r="DN64" s="3">
        <v>-1.6572966054081918E-2</v>
      </c>
      <c r="DO64" s="3">
        <v>3613736400</v>
      </c>
      <c r="DP64" s="3">
        <v>1254063100</v>
      </c>
      <c r="DQ64" s="3">
        <v>4682</v>
      </c>
      <c r="DR64" s="3">
        <v>0.11493362179178683</v>
      </c>
      <c r="DS64" s="3">
        <v>-0.92167452080407708</v>
      </c>
      <c r="DT64" s="12">
        <v>-0.28999999999999998</v>
      </c>
      <c r="DU64" s="3">
        <v>-2.6983333333333328</v>
      </c>
      <c r="DV64" s="3">
        <v>-2.9883333333333328</v>
      </c>
      <c r="DW64" s="3">
        <v>-8.4891398783666379</v>
      </c>
      <c r="DX64" s="3">
        <v>0.33501001560077182</v>
      </c>
      <c r="DY64" s="3">
        <v>-8.0611473838255723</v>
      </c>
      <c r="DZ64" s="3">
        <v>1141</v>
      </c>
      <c r="EA64" s="3">
        <v>-8.0474939268891781</v>
      </c>
      <c r="EB64" s="3">
        <v>8</v>
      </c>
      <c r="EC64" s="3">
        <v>2.0332898922917706E-2</v>
      </c>
      <c r="ED64" s="3">
        <v>0.16265015907087277</v>
      </c>
      <c r="EE64" s="13">
        <v>2.03111</v>
      </c>
      <c r="EF64" s="3">
        <v>2.08731</v>
      </c>
      <c r="EG64" s="3">
        <v>21.125010015600772</v>
      </c>
      <c r="EH64" s="3" t="s">
        <v>956</v>
      </c>
      <c r="EI64" s="3">
        <v>0</v>
      </c>
      <c r="EJ64" s="3">
        <v>1</v>
      </c>
      <c r="EK64" s="15">
        <v>45470</v>
      </c>
      <c r="EL64" s="16">
        <v>5.94</v>
      </c>
      <c r="EM64" s="16">
        <v>-5.64</v>
      </c>
      <c r="EN64" s="16">
        <v>-3.46</v>
      </c>
      <c r="EO64" s="16">
        <v>10.130000000000001</v>
      </c>
      <c r="EP64" s="16">
        <v>-5.62</v>
      </c>
    </row>
    <row r="65" spans="1:146" ht="204" x14ac:dyDescent="0.25">
      <c r="C65" s="7" t="str">
        <f>"公司的主营业务为激光行业上游的高功率半导体激光元器件、激光光学元器件的研发、生产和销售。公司主要产品为半导体激光业务典型产品、激光光学业务典型产品、汽车应用业务典型产品、光学系统业务典型产品。"&amp;CHAR(10)&amp;Basic_Fundamental_Information_Constructure(F65)&amp;CHAR(10)&amp;Basic_Fundamental_Information_Concatenate("激光光学 2.10亿 44.13% 51.96% 63.89%
半导体激光 1.99亿 41.82% 37.54% 48.71%
汽车应用（激光雷达） 5178.46万 10.88% 8.72% 43.45%
光学系统 1164.16万 2.45% 1.39% 30.83%")</f>
        <v>公司的主营业务为激光行业上游的高功率半导体激光元器件、激光光学元器件的研发、生产和销售。公司主要产品为半导体激光业务典型产品、激光光学业务典型产品、汽车应用业务典型产品、光学系统业务典型产品。
市值45.922651亿, 利润1178.38万; PE77.61; 平均PE153.37; 平均PEG15.56, PB1.96; ROIC3.0067%; ROE5.5733%; 股利率.61%; 毛利52.16%; 净利17.5567%; 上一年度营收增-.72%, 利润增-90.72%; 当季营收增164.08%, 利润增65.16%; 过往5年营收增9.86%, 利润增-59.3%
Income profile:
激光光学 2.10亿 44.13% 51.96% 63.89%
半导体激光 1.99亿 41.82% 37.54% 48.71%
汽车应用（激光雷达） 5178.46万 10.88% 8.72% 43.45%
光学系统 1164.16万 2.45% 1.39% 30.83%</v>
      </c>
      <c r="D65" s="3" t="s">
        <v>701</v>
      </c>
      <c r="E65" s="3" t="s">
        <v>702</v>
      </c>
      <c r="F65" s="3">
        <v>50.82</v>
      </c>
      <c r="G65" s="3">
        <v>-0.47</v>
      </c>
      <c r="H65" s="3" t="s">
        <v>2806</v>
      </c>
      <c r="I65" s="3">
        <v>4592265100</v>
      </c>
      <c r="J65" s="3">
        <v>77.61</v>
      </c>
      <c r="K65" s="3">
        <v>1.96</v>
      </c>
      <c r="L65" s="3" t="s">
        <v>176</v>
      </c>
      <c r="M65" s="3" t="s">
        <v>626</v>
      </c>
      <c r="N65" s="3" t="s">
        <v>2807</v>
      </c>
      <c r="O65" s="3" t="s">
        <v>117</v>
      </c>
      <c r="P65" s="3">
        <v>17.38</v>
      </c>
      <c r="Q65" s="3" t="s">
        <v>2808</v>
      </c>
      <c r="R65" s="3">
        <v>-16189740</v>
      </c>
      <c r="S65" s="5">
        <v>-2.0659999999999998</v>
      </c>
      <c r="T65" s="3" t="s">
        <v>2809</v>
      </c>
      <c r="U65" s="3">
        <v>68781687</v>
      </c>
      <c r="V65" s="3">
        <v>90363344</v>
      </c>
      <c r="W65" s="3">
        <v>1.27</v>
      </c>
      <c r="X65" s="3">
        <v>0.05</v>
      </c>
      <c r="Y65" s="3">
        <v>-11.82</v>
      </c>
      <c r="Z65" s="3" t="s">
        <v>200</v>
      </c>
      <c r="AA65" s="3" t="s">
        <v>2810</v>
      </c>
      <c r="AB65" s="3" t="s">
        <v>2811</v>
      </c>
      <c r="AC65" s="3" t="s">
        <v>2812</v>
      </c>
      <c r="AD65" s="3" t="s">
        <v>47</v>
      </c>
      <c r="AE65" s="3">
        <v>8647345</v>
      </c>
      <c r="AF65" s="3" t="s">
        <v>1725</v>
      </c>
      <c r="AG65" s="3" t="s">
        <v>2813</v>
      </c>
      <c r="AH65" s="3" t="s">
        <v>1726</v>
      </c>
      <c r="AI65" s="3" t="s">
        <v>2814</v>
      </c>
      <c r="AJ65" s="3" t="s">
        <v>1727</v>
      </c>
      <c r="AK65" s="3" t="s">
        <v>2815</v>
      </c>
      <c r="AL65" s="3" t="s">
        <v>1728</v>
      </c>
      <c r="AM65" s="3" t="s">
        <v>47</v>
      </c>
      <c r="AN65" s="3" t="s">
        <v>2816</v>
      </c>
      <c r="AO65" s="3" t="s">
        <v>2817</v>
      </c>
      <c r="AP65" s="3" t="s">
        <v>47</v>
      </c>
      <c r="AQ65" s="3" t="s">
        <v>2818</v>
      </c>
      <c r="AR65" s="3" t="s">
        <v>47</v>
      </c>
      <c r="AS65" s="3" t="s">
        <v>1083</v>
      </c>
      <c r="AT65" s="3" t="s">
        <v>2819</v>
      </c>
      <c r="AU65" s="3" t="s">
        <v>2820</v>
      </c>
      <c r="AV65" s="3" t="s">
        <v>2821</v>
      </c>
      <c r="AW65" s="3" t="s">
        <v>485</v>
      </c>
      <c r="AX65" s="3" t="s">
        <v>831</v>
      </c>
      <c r="AY65" s="3" t="s">
        <v>684</v>
      </c>
      <c r="AZ65" s="3" t="s">
        <v>660</v>
      </c>
      <c r="BA65" s="3" t="s">
        <v>405</v>
      </c>
      <c r="BB65" s="3" t="s">
        <v>448</v>
      </c>
      <c r="BC65" s="3" t="s">
        <v>90</v>
      </c>
      <c r="BD65" s="3" t="s">
        <v>703</v>
      </c>
      <c r="BE65" s="3" t="s">
        <v>705</v>
      </c>
      <c r="BF65" s="3" t="s">
        <v>706</v>
      </c>
      <c r="BG65" s="3" t="s">
        <v>707</v>
      </c>
      <c r="BH65" s="3" t="s">
        <v>686</v>
      </c>
      <c r="BI65" s="3" t="s">
        <v>2822</v>
      </c>
      <c r="BJ65" s="3" t="s">
        <v>831</v>
      </c>
      <c r="BK65" s="3" t="s">
        <v>1724</v>
      </c>
      <c r="BL65" s="3" t="s">
        <v>2823</v>
      </c>
      <c r="BM65" s="3" t="s">
        <v>90</v>
      </c>
      <c r="BN65" s="3">
        <v>0.45</v>
      </c>
      <c r="BO65" s="3">
        <v>4.21</v>
      </c>
      <c r="BP65" s="3">
        <v>4.3600000000000003</v>
      </c>
      <c r="BQ65" s="3">
        <v>1.74</v>
      </c>
      <c r="BR65" s="3">
        <v>5.31</v>
      </c>
      <c r="BS65" s="3">
        <v>9.67</v>
      </c>
      <c r="BT65" s="3" t="s">
        <v>1729</v>
      </c>
      <c r="BU65" s="3" t="s">
        <v>808</v>
      </c>
      <c r="BV65" s="3">
        <v>47.96</v>
      </c>
      <c r="BW65" s="3">
        <v>54.26</v>
      </c>
      <c r="BX65" s="3">
        <v>54.26</v>
      </c>
      <c r="BY65" s="3">
        <v>16.14</v>
      </c>
      <c r="BZ65" s="3">
        <v>22.89</v>
      </c>
      <c r="CA65" s="3">
        <v>13.64</v>
      </c>
      <c r="CB65" s="3">
        <v>-7.6</v>
      </c>
      <c r="CC65" s="3">
        <v>-20.059999999999999</v>
      </c>
      <c r="CD65" s="3" t="s">
        <v>2824</v>
      </c>
      <c r="CE65" s="3" t="s">
        <v>2825</v>
      </c>
      <c r="CF65" s="10">
        <v>1.6408060433978884</v>
      </c>
      <c r="CG65" s="11">
        <v>0.65157054034335593</v>
      </c>
      <c r="CH65" s="10">
        <v>-7.2463769465684891E-3</v>
      </c>
      <c r="CI65" s="10">
        <v>0.15966387093067169</v>
      </c>
      <c r="CJ65" s="10">
        <v>0.32222223281860352</v>
      </c>
      <c r="CK65" s="10">
        <v>7.46268630027771E-2</v>
      </c>
      <c r="CL65" s="10">
        <v>-5.6338027119636536E-2</v>
      </c>
      <c r="CM65" s="11">
        <v>-0.90721416473388672</v>
      </c>
      <c r="CN65" s="11">
        <v>0.87421786785125732</v>
      </c>
      <c r="CO65" s="11">
        <v>0.94326353073120117</v>
      </c>
      <c r="CP65" s="11">
        <v>1.433542013168335</v>
      </c>
      <c r="CQ65" s="11">
        <v>-5.3089070320129395</v>
      </c>
      <c r="CR65" s="3">
        <v>153.37287629904648</v>
      </c>
      <c r="CS65" s="3">
        <v>15.557312753734045</v>
      </c>
      <c r="CT65" s="3">
        <v>0.60999606454151911</v>
      </c>
      <c r="CU65" s="10">
        <v>9.8585712537169454E-2</v>
      </c>
      <c r="CV65" s="11">
        <v>-0.5930195569992065</v>
      </c>
      <c r="CW65" s="3">
        <v>0.06</v>
      </c>
      <c r="CX65" s="3">
        <v>202.43313176624497</v>
      </c>
      <c r="CY65" s="3">
        <v>12212749.357920282</v>
      </c>
      <c r="CZ65" s="3">
        <v>9.8585712537169454E-2</v>
      </c>
      <c r="DA65" s="3">
        <v>65.674519225628956</v>
      </c>
      <c r="DB65" s="3">
        <v>37644205.532839566</v>
      </c>
      <c r="DC65" s="3">
        <v>9.365642691031098E-2</v>
      </c>
      <c r="DD65" s="3">
        <v>32.016519085951415</v>
      </c>
      <c r="DE65" s="3">
        <v>77218422.570016667</v>
      </c>
      <c r="DF65" s="3">
        <v>8.6755427032709123E-2</v>
      </c>
      <c r="DG65" s="3">
        <v>19.015484852696218</v>
      </c>
      <c r="DH65" s="3">
        <v>130013255.99380948</v>
      </c>
      <c r="DI65" s="3">
        <v>7.8868570029735574E-2</v>
      </c>
      <c r="DJ65" s="3">
        <v>9.5866213984641817</v>
      </c>
      <c r="DK65" s="3">
        <v>257887007.03211951</v>
      </c>
      <c r="DL65" s="3">
        <v>6.9009998776018613E-2</v>
      </c>
      <c r="DM65" s="3">
        <v>11783800.000000002</v>
      </c>
      <c r="DN65" s="3">
        <v>9.8585712537169454E-2</v>
      </c>
      <c r="DO65" s="3">
        <v>2472265100</v>
      </c>
      <c r="DP65" s="3">
        <v>1653662000</v>
      </c>
      <c r="DQ65" s="3">
        <v>4684</v>
      </c>
      <c r="DR65" s="3">
        <v>1.542220330860719</v>
      </c>
      <c r="DS65" s="3">
        <v>1.2445900973425625</v>
      </c>
      <c r="DT65" s="12">
        <v>-0.15666666666666665</v>
      </c>
      <c r="DU65" s="3">
        <v>-0.82833333333333348</v>
      </c>
      <c r="DV65" s="3">
        <v>-0.9850000000000001</v>
      </c>
      <c r="DW65" s="3">
        <v>-9.3788634097706876</v>
      </c>
      <c r="DX65" s="3">
        <v>0.30537078604793849</v>
      </c>
      <c r="DY65" s="3">
        <v>-9.0399211352923405</v>
      </c>
      <c r="DZ65" s="3">
        <v>2439</v>
      </c>
      <c r="EA65" s="3">
        <v>-9.0208668008543729</v>
      </c>
      <c r="EB65" s="3">
        <v>9</v>
      </c>
      <c r="EC65" s="3">
        <v>7.8235263183708645E-2</v>
      </c>
      <c r="ED65" s="3">
        <v>0.74247584285946744</v>
      </c>
      <c r="EE65" s="13">
        <v>-5.0162100000000001</v>
      </c>
      <c r="EF65" s="3">
        <v>-5.03301</v>
      </c>
      <c r="EG65" s="3">
        <v>20.105370786047938</v>
      </c>
      <c r="EH65" s="3" t="s">
        <v>1496</v>
      </c>
      <c r="EI65" s="3">
        <v>0</v>
      </c>
      <c r="EJ65" s="3">
        <v>0</v>
      </c>
      <c r="EK65" s="15">
        <v>45470</v>
      </c>
      <c r="EL65" s="16">
        <v>-2.23</v>
      </c>
      <c r="EM65" s="16">
        <v>-5.69</v>
      </c>
      <c r="EN65" s="16">
        <v>-3.13</v>
      </c>
      <c r="EO65" s="16">
        <v>5.19</v>
      </c>
      <c r="EP65" s="16">
        <v>-1.68</v>
      </c>
    </row>
    <row r="66" spans="1:146" ht="192" x14ac:dyDescent="0.25">
      <c r="A66" s="7" t="s">
        <v>949</v>
      </c>
      <c r="B66" s="7" t="s">
        <v>950</v>
      </c>
      <c r="C66" s="7" t="str">
        <f>"公司的主营业务为精密激光加工设备及激光器的研发、生产、销售，并为客户提供激光设备租赁和激光加工服务。公司的主要产品及服务为激光器、激光加工设备、激光设备租赁、激光加工服务。"&amp;CHAR(10)&amp;Basic_Fundamental_Information_Constructure(F66)&amp;CHAR(10)&amp;Basic_Fundamental_Information_Concatenate("精密激光加工设备 4.04亿 73.46% 70.69% 48.83%
激光器 5709.31万 10.39% 10.60% 51.77%
其他主营业务 4617.20万 8.41% 10.58% 63.87%
激光加工服务 2774.93万 5.05% 5.45% 54.75%
激光设备租赁服务 1117.33万 2.03% 2.10% 52.49%")</f>
        <v>公司的主营业务为精密激光加工设备及激光器的研发、生产、销售，并为客户提供激光设备租赁和激光加工服务。公司的主要产品及服务为激光器、激光加工设备、激光设备租赁、激光加工服务。
市值21.333504亿, 利润1800.32万; PE79.03; 平均PE50.54; 平均PEG15.41, PB1.65; ROIC11.11%; ROE7.3833%; 股利率1.4535%; 毛利49.02%; 净利11.5133%; 上一年度营收增-78.87%, 利润增-73.29%; 当季营收增465.18%, 利润增-317.8%; 过往5年营收增-3.28%, 利润增107.49%
Income profile:
精密激光加工设备 4.04亿 73.46% 70.69% 48.83%
激光器 5709.31万 10.39% 10.60% 51.77%
其他主营业务 4617.20万 8.41% 10.58% 63.87%
激光加工服务 2774.93万 5.05% 5.45% 54.75%
激光设备租赁服务 1117.33万 2.03% 2.10% 52.49%</v>
      </c>
      <c r="D66" s="3" t="s">
        <v>708</v>
      </c>
      <c r="E66" s="3" t="s">
        <v>786</v>
      </c>
      <c r="F66" s="3">
        <v>20.64</v>
      </c>
      <c r="G66" s="3">
        <v>-0.19</v>
      </c>
      <c r="H66" s="3" t="s">
        <v>2826</v>
      </c>
      <c r="I66" s="3">
        <v>2133350400</v>
      </c>
      <c r="J66" s="3">
        <v>79.03</v>
      </c>
      <c r="K66" s="3">
        <v>1.65</v>
      </c>
      <c r="L66" s="3" t="s">
        <v>176</v>
      </c>
      <c r="M66" s="3" t="s">
        <v>1082</v>
      </c>
      <c r="N66" s="3" t="s">
        <v>2827</v>
      </c>
      <c r="O66" s="3" t="s">
        <v>108</v>
      </c>
      <c r="P66" s="3">
        <v>18.2</v>
      </c>
      <c r="Q66" s="3" t="s">
        <v>105</v>
      </c>
      <c r="R66" s="3">
        <v>-7263465</v>
      </c>
      <c r="S66" s="5">
        <v>-2.516</v>
      </c>
      <c r="T66" s="3" t="s">
        <v>2828</v>
      </c>
      <c r="U66" s="3">
        <v>79615000</v>
      </c>
      <c r="V66" s="3">
        <v>103360000</v>
      </c>
      <c r="W66" s="3">
        <v>1.34</v>
      </c>
      <c r="X66" s="3">
        <v>7.0000000000000007E-2</v>
      </c>
      <c r="Y66" s="3">
        <v>-6.28</v>
      </c>
      <c r="Z66" s="3" t="s">
        <v>51</v>
      </c>
      <c r="AA66" s="3" t="s">
        <v>2829</v>
      </c>
      <c r="AB66" s="3" t="s">
        <v>2830</v>
      </c>
      <c r="AC66" s="3" t="s">
        <v>2831</v>
      </c>
      <c r="AD66" s="3" t="s">
        <v>47</v>
      </c>
      <c r="AE66" s="3">
        <v>-2727548</v>
      </c>
      <c r="AF66" s="3" t="s">
        <v>1732</v>
      </c>
      <c r="AG66" s="3">
        <v>5000.3900000000003</v>
      </c>
      <c r="AH66" s="3" t="s">
        <v>1733</v>
      </c>
      <c r="AI66" s="3" t="s">
        <v>1069</v>
      </c>
      <c r="AJ66" s="3" t="s">
        <v>1734</v>
      </c>
      <c r="AK66" s="3" t="s">
        <v>2832</v>
      </c>
      <c r="AL66" s="3" t="s">
        <v>1735</v>
      </c>
      <c r="AM66" s="3" t="s">
        <v>47</v>
      </c>
      <c r="AN66" s="3" t="s">
        <v>2833</v>
      </c>
      <c r="AO66" s="3" t="s">
        <v>47</v>
      </c>
      <c r="AP66" s="3" t="s">
        <v>2834</v>
      </c>
      <c r="AQ66" s="3" t="s">
        <v>142</v>
      </c>
      <c r="AR66" s="3" t="s">
        <v>47</v>
      </c>
      <c r="AS66" s="3" t="s">
        <v>1080</v>
      </c>
      <c r="AT66" s="3" t="s">
        <v>2835</v>
      </c>
      <c r="AU66" s="3" t="s">
        <v>2836</v>
      </c>
      <c r="AV66" s="3" t="s">
        <v>2837</v>
      </c>
      <c r="AW66" s="3" t="s">
        <v>2838</v>
      </c>
      <c r="AX66" s="3" t="s">
        <v>492</v>
      </c>
      <c r="AY66" s="3" t="s">
        <v>261</v>
      </c>
      <c r="AZ66" s="3" t="s">
        <v>635</v>
      </c>
      <c r="BA66" s="3" t="s">
        <v>178</v>
      </c>
      <c r="BB66" s="3" t="s">
        <v>342</v>
      </c>
      <c r="BC66" s="3" t="s">
        <v>1038</v>
      </c>
      <c r="BD66" s="3" t="s">
        <v>709</v>
      </c>
      <c r="BE66" s="3" t="s">
        <v>710</v>
      </c>
      <c r="BF66" s="3" t="s">
        <v>711</v>
      </c>
      <c r="BG66" s="3" t="s">
        <v>787</v>
      </c>
      <c r="BH66" s="3" t="s">
        <v>746</v>
      </c>
      <c r="BI66" s="3" t="s">
        <v>2839</v>
      </c>
      <c r="BJ66" s="3" t="s">
        <v>492</v>
      </c>
      <c r="BK66" s="3" t="s">
        <v>1730</v>
      </c>
      <c r="BL66" s="3" t="s">
        <v>2840</v>
      </c>
      <c r="BM66" s="3" t="s">
        <v>1038</v>
      </c>
      <c r="BN66" s="3" t="s">
        <v>47</v>
      </c>
      <c r="BO66" s="3">
        <v>6.41</v>
      </c>
      <c r="BP66" s="3">
        <v>15.81</v>
      </c>
      <c r="BQ66" s="3">
        <v>-0.56000000000000005</v>
      </c>
      <c r="BR66" s="3">
        <v>6.34</v>
      </c>
      <c r="BS66" s="3">
        <v>16.37</v>
      </c>
      <c r="BT66" s="3" t="s">
        <v>861</v>
      </c>
      <c r="BU66" s="3" t="s">
        <v>808</v>
      </c>
      <c r="BV66" s="3">
        <v>46.61</v>
      </c>
      <c r="BW66" s="3">
        <v>49.71</v>
      </c>
      <c r="BX66" s="3">
        <v>50.74</v>
      </c>
      <c r="BY66" s="3">
        <v>6.71</v>
      </c>
      <c r="BZ66" s="3">
        <v>11.86</v>
      </c>
      <c r="CA66" s="3">
        <v>15.97</v>
      </c>
      <c r="CB66" s="3">
        <v>-6.27</v>
      </c>
      <c r="CC66" s="3">
        <v>-20.46</v>
      </c>
      <c r="CD66" s="3" t="s">
        <v>2841</v>
      </c>
      <c r="CE66" s="3" t="s">
        <v>2842</v>
      </c>
      <c r="CF66" s="10">
        <v>4.6518370906681339</v>
      </c>
      <c r="CG66" s="11">
        <v>-3.1780158325586974</v>
      </c>
      <c r="CH66" s="10">
        <v>-0.78873240947723389</v>
      </c>
      <c r="CI66" s="10">
        <v>3.4608379006385803E-2</v>
      </c>
      <c r="CJ66" s="10">
        <v>0.310262531042099</v>
      </c>
      <c r="CK66" s="10">
        <v>0.18696883320808411</v>
      </c>
      <c r="CL66" s="10">
        <v>9.2879258096218109E-2</v>
      </c>
      <c r="CM66" s="11">
        <v>-0.73289614915847778</v>
      </c>
      <c r="CN66" s="11">
        <v>-0.23157384991645813</v>
      </c>
      <c r="CO66" s="11">
        <v>0.30473533272743225</v>
      </c>
      <c r="CP66" s="11">
        <v>2.2968246936798096</v>
      </c>
      <c r="CQ66" s="11">
        <v>3.7373344898223877</v>
      </c>
      <c r="CR66" s="3">
        <v>50.535823097607981</v>
      </c>
      <c r="CS66" s="3">
        <v>15.406003593091425</v>
      </c>
      <c r="CT66" s="3">
        <v>1.4534883720930232</v>
      </c>
      <c r="CU66" s="10">
        <v>-3.2802681624889377E-2</v>
      </c>
      <c r="CV66" s="11">
        <v>1.0748849034309387</v>
      </c>
      <c r="CW66" s="3">
        <v>0.06</v>
      </c>
      <c r="CX66" s="3" t="e">
        <v>#VALUE!</v>
      </c>
      <c r="CY66" s="3" t="s">
        <v>1416</v>
      </c>
      <c r="CZ66" s="3">
        <v>-3.2802681624889377E-2</v>
      </c>
      <c r="DA66" s="3">
        <v>23.724493423391397</v>
      </c>
      <c r="DB66" s="3" t="s">
        <v>2843</v>
      </c>
      <c r="DC66" s="3">
        <v>-3.1162547543644906E-2</v>
      </c>
      <c r="DD66" s="3">
        <v>11.862246711695699</v>
      </c>
      <c r="DE66" s="3" t="s">
        <v>2844</v>
      </c>
      <c r="DF66" s="3">
        <v>-2.8866359829902651E-2</v>
      </c>
      <c r="DG66" s="3">
        <v>7.1173480270174192</v>
      </c>
      <c r="DH66" s="3" t="s">
        <v>2845</v>
      </c>
      <c r="DI66" s="3">
        <v>-2.6242145299911503E-2</v>
      </c>
      <c r="DJ66" s="3">
        <v>3.5586740135087096</v>
      </c>
      <c r="DK66" s="3" t="s">
        <v>2846</v>
      </c>
      <c r="DL66" s="3">
        <v>-2.2961877137422562E-2</v>
      </c>
      <c r="DM66" s="3">
        <v>18003200</v>
      </c>
      <c r="DN66" s="3">
        <v>-3.2802681624889377E-2</v>
      </c>
      <c r="DO66" s="3">
        <v>1281350400</v>
      </c>
      <c r="DP66" s="3">
        <v>1011858600</v>
      </c>
      <c r="DQ66" s="3">
        <v>4687</v>
      </c>
      <c r="DR66" s="3">
        <v>4.6846397722930231</v>
      </c>
      <c r="DS66" s="3">
        <v>-4.2529007359896358</v>
      </c>
      <c r="DT66" s="12">
        <v>-0.52333333333333332</v>
      </c>
      <c r="DU66" s="3">
        <v>-0.37183333333333346</v>
      </c>
      <c r="DV66" s="3">
        <v>-0.89516666666666678</v>
      </c>
      <c r="DW66" s="3">
        <v>-9.306451612903226</v>
      </c>
      <c r="DX66" s="3">
        <v>0.35430964887129335</v>
      </c>
      <c r="DY66" s="3">
        <v>-9.0319658601379764</v>
      </c>
      <c r="DZ66" s="3">
        <v>2837</v>
      </c>
      <c r="EA66" s="3">
        <v>-9.0142188649889672</v>
      </c>
      <c r="EB66" s="3">
        <v>9</v>
      </c>
      <c r="EC66" s="3">
        <v>4.9627515479876164E-2</v>
      </c>
      <c r="ED66" s="3">
        <v>0.47577109133126932</v>
      </c>
      <c r="EE66" s="13">
        <v>-4.0941000000000001</v>
      </c>
      <c r="EF66" s="3">
        <v>-4.0590000000000002</v>
      </c>
      <c r="EG66" s="3">
        <v>25.104309648871293</v>
      </c>
      <c r="EH66" s="3" t="s">
        <v>1762</v>
      </c>
      <c r="EI66" s="3">
        <v>0</v>
      </c>
      <c r="EJ66" s="3">
        <v>0</v>
      </c>
      <c r="EK66" s="15">
        <v>45470</v>
      </c>
      <c r="EL66" s="16">
        <v>-4.0199999999999996</v>
      </c>
      <c r="EM66" s="16">
        <v>-7.09</v>
      </c>
      <c r="EN66" s="16">
        <v>-1.25</v>
      </c>
      <c r="EO66" s="16">
        <v>8.01</v>
      </c>
      <c r="EP66" s="16">
        <v>-3.51</v>
      </c>
    </row>
    <row r="67" spans="1:146" ht="168" x14ac:dyDescent="0.25">
      <c r="C67" s="7" t="str">
        <f>"公司的主营业务是激光切割控制系统的研发、生产和销售。主要产品包括随动控制系统、板卡控制系统、总线控制系统以及其他相关配套产品。"&amp;CHAR(10)&amp;Basic_Fundamental_Information_Constructure(F67)&amp;CHAR(10)&amp;Basic_Fundamental_Information_Concatenate("其他 1.20亿 29.36% 27.49% 73.92%
板卡系统 1.09亿 26.57% 26.87% 79.85%
随动系统 1.04亿 25.36% 27.44% 85.45%
总线系统 7650.59万 18.71% 18.20% 76.80%")</f>
        <v>公司的主营业务是激光切割控制系统的研发、生产和销售。主要产品包括随动控制系统、板卡控制系统、总线控制系统以及其他相关配套产品。
市值370.5545亿, 利润375.15万; PE46.88; 平均PE124.23; 平均PEG4.24, PB7.09; ROIC14.49%; ROE15.1467%; 股利率1.3917%; 毛利79.8633%; 净利56.1367%; 上一年度营收增-17.04%, 利润增-99.22%; 当季营收增25.74%, 利润增1444.36%; 过往5年营收增29.31%, 利润增12.82%
Income profile:
其他 1.20亿 29.36% 27.49% 73.92%
板卡系统 1.09亿 26.57% 26.87% 79.85%
随动系统 1.04亿 25.36% 27.44% 85.45%
总线系统 7650.59万 18.71% 18.20% 76.80%</v>
      </c>
      <c r="D67" s="3" t="s">
        <v>435</v>
      </c>
      <c r="E67" s="3" t="s">
        <v>436</v>
      </c>
      <c r="F67" s="3">
        <v>180.36</v>
      </c>
      <c r="G67" s="3">
        <v>1.49</v>
      </c>
      <c r="H67" s="3" t="s">
        <v>2847</v>
      </c>
      <c r="I67" s="3">
        <v>37055450000</v>
      </c>
      <c r="J67" s="3">
        <v>46.88</v>
      </c>
      <c r="K67" s="3">
        <v>7.09</v>
      </c>
      <c r="L67" s="3" t="s">
        <v>176</v>
      </c>
      <c r="M67" s="3" t="s">
        <v>240</v>
      </c>
      <c r="N67" s="3" t="s">
        <v>2848</v>
      </c>
      <c r="O67" s="3" t="s">
        <v>1198</v>
      </c>
      <c r="P67" s="3">
        <v>40.31</v>
      </c>
      <c r="Q67" s="3" t="s">
        <v>2849</v>
      </c>
      <c r="R67" s="3">
        <v>193550950</v>
      </c>
      <c r="S67" s="5">
        <v>0.46550000000000002</v>
      </c>
      <c r="T67" s="3" t="s">
        <v>2850</v>
      </c>
      <c r="U67" s="3">
        <v>205452710</v>
      </c>
      <c r="V67" s="3">
        <v>205452710</v>
      </c>
      <c r="W67" s="3">
        <v>1.04</v>
      </c>
      <c r="X67" s="3">
        <v>7.0000000000000007E-2</v>
      </c>
      <c r="Y67" s="3">
        <v>53.75</v>
      </c>
      <c r="Z67" s="3" t="s">
        <v>1071</v>
      </c>
      <c r="AA67" s="3" t="s">
        <v>2851</v>
      </c>
      <c r="AB67" s="3" t="s">
        <v>2852</v>
      </c>
      <c r="AC67" s="3" t="s">
        <v>2853</v>
      </c>
      <c r="AD67" s="3" t="s">
        <v>47</v>
      </c>
      <c r="AE67" s="3">
        <v>-9354561</v>
      </c>
      <c r="AF67" s="3" t="s">
        <v>1739</v>
      </c>
      <c r="AG67" s="3" t="s">
        <v>2854</v>
      </c>
      <c r="AH67" s="3" t="s">
        <v>1740</v>
      </c>
      <c r="AI67" s="3" t="s">
        <v>2855</v>
      </c>
      <c r="AJ67" s="3" t="s">
        <v>1742</v>
      </c>
      <c r="AK67" s="3" t="s">
        <v>2856</v>
      </c>
      <c r="AL67" s="3" t="s">
        <v>1743</v>
      </c>
      <c r="AM67" s="3" t="s">
        <v>47</v>
      </c>
      <c r="AN67" s="3" t="s">
        <v>174</v>
      </c>
      <c r="AO67" s="3" t="s">
        <v>47</v>
      </c>
      <c r="AP67" s="3" t="s">
        <v>47</v>
      </c>
      <c r="AQ67" s="3" t="s">
        <v>2857</v>
      </c>
      <c r="AR67" s="3" t="s">
        <v>47</v>
      </c>
      <c r="AS67" s="3" t="s">
        <v>2858</v>
      </c>
      <c r="AT67" s="3" t="s">
        <v>47</v>
      </c>
      <c r="AU67" s="3" t="s">
        <v>96</v>
      </c>
      <c r="AV67" s="3" t="s">
        <v>652</v>
      </c>
      <c r="AW67" s="3" t="s">
        <v>2859</v>
      </c>
      <c r="AX67" s="3" t="s">
        <v>970</v>
      </c>
      <c r="AY67" s="3" t="s">
        <v>94</v>
      </c>
      <c r="AZ67" s="3" t="s">
        <v>437</v>
      </c>
      <c r="BA67" s="3" t="s">
        <v>49</v>
      </c>
      <c r="BB67" s="3" t="s">
        <v>306</v>
      </c>
      <c r="BC67" s="3" t="s">
        <v>765</v>
      </c>
      <c r="BD67" s="3" t="s">
        <v>231</v>
      </c>
      <c r="BE67" s="3" t="s">
        <v>438</v>
      </c>
      <c r="BF67" s="3" t="s">
        <v>330</v>
      </c>
      <c r="BG67" s="3" t="s">
        <v>95</v>
      </c>
      <c r="BH67" s="3" t="s">
        <v>1736</v>
      </c>
      <c r="BI67" s="3" t="s">
        <v>269</v>
      </c>
      <c r="BJ67" s="3" t="s">
        <v>970</v>
      </c>
      <c r="BK67" s="3" t="s">
        <v>1737</v>
      </c>
      <c r="BL67" s="3" t="s">
        <v>2860</v>
      </c>
      <c r="BM67" s="3" t="s">
        <v>765</v>
      </c>
      <c r="BN67" s="3">
        <v>12.27</v>
      </c>
      <c r="BO67" s="3">
        <v>12.29</v>
      </c>
      <c r="BP67" s="3">
        <v>18.91</v>
      </c>
      <c r="BQ67" s="3">
        <v>12.62</v>
      </c>
      <c r="BR67" s="3">
        <v>12.48</v>
      </c>
      <c r="BS67" s="3">
        <v>20.34</v>
      </c>
      <c r="BT67" s="3" t="s">
        <v>1744</v>
      </c>
      <c r="BU67" s="3" t="s">
        <v>747</v>
      </c>
      <c r="BV67" s="3">
        <v>80.33</v>
      </c>
      <c r="BW67" s="3">
        <v>78.97</v>
      </c>
      <c r="BX67" s="3">
        <v>80.290000000000006</v>
      </c>
      <c r="BY67" s="3">
        <v>53.55</v>
      </c>
      <c r="BZ67" s="3">
        <v>54.77</v>
      </c>
      <c r="CA67" s="3">
        <v>60.09</v>
      </c>
      <c r="CB67" s="3">
        <v>-2.27</v>
      </c>
      <c r="CC67" s="3">
        <v>-10.08</v>
      </c>
      <c r="CD67" s="3" t="s">
        <v>2861</v>
      </c>
      <c r="CE67" s="3" t="s">
        <v>2862</v>
      </c>
      <c r="CF67" s="10">
        <v>0.25742574257425743</v>
      </c>
      <c r="CG67" s="11">
        <v>14.443552119239117</v>
      </c>
      <c r="CH67" s="10">
        <v>-0.17037862539291382</v>
      </c>
      <c r="CI67" s="10">
        <v>-1.6429353505373001E-2</v>
      </c>
      <c r="CJ67" s="10">
        <v>0.59894919395446777</v>
      </c>
      <c r="CK67" s="10">
        <v>0.51861703395843506</v>
      </c>
      <c r="CL67" s="10">
        <v>0.53469389677047729</v>
      </c>
      <c r="CM67" s="11">
        <v>-0.99218440055847168</v>
      </c>
      <c r="CN67" s="11">
        <v>-0.12727272510528564</v>
      </c>
      <c r="CO67" s="11">
        <v>0.48247978091239929</v>
      </c>
      <c r="CP67" s="11">
        <v>0.50813007354736328</v>
      </c>
      <c r="CQ67" s="11">
        <v>0.76978415250778198</v>
      </c>
      <c r="CR67" s="3">
        <v>124.22545811527465</v>
      </c>
      <c r="CS67" s="3">
        <v>4.2384686007171792</v>
      </c>
      <c r="CT67" s="3">
        <v>1.3916611222000443</v>
      </c>
      <c r="CU67" s="10">
        <v>0.29309042915701866</v>
      </c>
      <c r="CV67" s="11">
        <v>0.12818737626075744</v>
      </c>
      <c r="CW67" s="3">
        <v>0.06</v>
      </c>
      <c r="CX67" s="3">
        <v>7011.0029826513228</v>
      </c>
      <c r="CY67" s="3">
        <v>4576442.2122476939</v>
      </c>
      <c r="CZ67" s="3">
        <v>0.29309042915701866</v>
      </c>
      <c r="DA67" s="3">
        <v>1937.1724403496848</v>
      </c>
      <c r="DB67" s="3">
        <v>16563032.45477112</v>
      </c>
      <c r="DC67" s="3">
        <v>0.27843590769916771</v>
      </c>
      <c r="DD67" s="3">
        <v>750.48399556637935</v>
      </c>
      <c r="DE67" s="3">
        <v>42753010.310080737</v>
      </c>
      <c r="DF67" s="3">
        <v>0.25791957765817641</v>
      </c>
      <c r="DG67" s="3">
        <v>336.76560457620724</v>
      </c>
      <c r="DH67" s="3">
        <v>95275317.79968144</v>
      </c>
      <c r="DI67" s="3">
        <v>0.23447234332561495</v>
      </c>
      <c r="DJ67" s="3">
        <v>85.665154744551728</v>
      </c>
      <c r="DK67" s="3">
        <v>374544937.15299827</v>
      </c>
      <c r="DL67" s="3">
        <v>0.20516330040991304</v>
      </c>
      <c r="DM67" s="3">
        <v>3751500</v>
      </c>
      <c r="DN67" s="3">
        <v>0.29309042915701866</v>
      </c>
      <c r="DO67" s="3">
        <v>32085450000</v>
      </c>
      <c r="DP67" s="3">
        <v>4629029500</v>
      </c>
      <c r="DQ67" s="3">
        <v>4704</v>
      </c>
      <c r="DR67" s="3">
        <v>-3.5664686582761229E-2</v>
      </c>
      <c r="DS67" s="3">
        <v>14.315364742978359</v>
      </c>
      <c r="DT67" s="12">
        <v>-0.25666666666666677</v>
      </c>
      <c r="DU67" s="3">
        <v>0.1166666666666667</v>
      </c>
      <c r="DV67" s="3">
        <v>-0.14000000000000007</v>
      </c>
      <c r="DW67" s="3">
        <v>-2.1008</v>
      </c>
      <c r="DX67" s="3">
        <v>0.44518569267607661</v>
      </c>
      <c r="DY67" s="3">
        <v>-2.0126187178217485</v>
      </c>
      <c r="DZ67" s="3">
        <v>3777</v>
      </c>
      <c r="EA67" s="3">
        <v>-2.0032917320658301</v>
      </c>
      <c r="EB67" s="3">
        <v>2</v>
      </c>
      <c r="EC67" s="3">
        <v>1.7965204742249444E-2</v>
      </c>
      <c r="ED67" s="3">
        <v>0.14350845019274752</v>
      </c>
      <c r="EE67" s="13">
        <v>-3.0944099999999999</v>
      </c>
      <c r="EF67" s="3">
        <v>-3.1269100000000001</v>
      </c>
      <c r="EG67" s="3">
        <v>32.125185692676077</v>
      </c>
      <c r="EH67" s="3" t="s">
        <v>1182</v>
      </c>
      <c r="EI67" s="3">
        <v>0</v>
      </c>
      <c r="EJ67" s="3">
        <v>0</v>
      </c>
      <c r="EK67" s="15">
        <v>45470</v>
      </c>
      <c r="EL67" s="16">
        <v>5.91</v>
      </c>
      <c r="EM67" s="16">
        <v>-8.77</v>
      </c>
      <c r="EN67" s="16">
        <v>-1.4</v>
      </c>
      <c r="EO67" s="16">
        <v>3.72</v>
      </c>
      <c r="EP67" s="16">
        <v>-3.25</v>
      </c>
    </row>
    <row r="68" spans="1:146" ht="108" x14ac:dyDescent="0.25">
      <c r="C68" s="7" t="str">
        <f>""&amp;CHAR(10)&amp;Basic_Fundamental_Information_Constructure(F68)&amp;CHAR(10)&amp;Basic_Fundamental_Information_Concatenate("")</f>
        <v xml:space="preserve">
市值9.065056亿, 利润-1.31亿; PE97.91; 平均PE-246.5; 平均PEG-6.62, PB1.99; ROIC2.1533%; ROE2.3133%; 股利率.4417%; 毛利30.9133%; 净利5.1567%; 上一年度营收增81.05%, 利润增-1465.37%; 当季营收增-15.74%, 利润增104.6%; 过往5年营收增37.23%, 利润增-299.68%
Income profile:
</v>
      </c>
      <c r="D68" s="3" t="s">
        <v>571</v>
      </c>
      <c r="E68" s="3" t="s">
        <v>572</v>
      </c>
      <c r="F68" s="3">
        <v>22.64</v>
      </c>
      <c r="G68" s="3">
        <v>1.21</v>
      </c>
      <c r="H68" s="3" t="s">
        <v>2863</v>
      </c>
      <c r="I68" s="3">
        <v>906505600</v>
      </c>
      <c r="J68" s="3">
        <v>97.91</v>
      </c>
      <c r="K68" s="3">
        <v>1.99</v>
      </c>
      <c r="L68" s="3" t="s">
        <v>176</v>
      </c>
      <c r="M68" s="3" t="s">
        <v>1171</v>
      </c>
      <c r="N68" s="3" t="s">
        <v>2864</v>
      </c>
      <c r="O68" s="3" t="s">
        <v>1745</v>
      </c>
      <c r="P68" s="3">
        <v>8.75</v>
      </c>
      <c r="Q68" s="3" t="s">
        <v>1977</v>
      </c>
      <c r="R68" s="3">
        <v>1545915</v>
      </c>
      <c r="S68" s="5">
        <v>-0.56659999999999999</v>
      </c>
      <c r="T68" s="3" t="s">
        <v>731</v>
      </c>
      <c r="U68" s="3">
        <v>40040000</v>
      </c>
      <c r="V68" s="3">
        <v>40040000</v>
      </c>
      <c r="W68" s="3">
        <v>1.56</v>
      </c>
      <c r="X68" s="3">
        <v>0.11</v>
      </c>
      <c r="Y68" s="3">
        <v>3.25</v>
      </c>
      <c r="Z68" s="3" t="s">
        <v>2865</v>
      </c>
      <c r="AA68" s="3" t="s">
        <v>2866</v>
      </c>
      <c r="AB68" s="3" t="s">
        <v>2867</v>
      </c>
      <c r="AC68" s="3" t="s">
        <v>2868</v>
      </c>
      <c r="AD68" s="3" t="s">
        <v>47</v>
      </c>
      <c r="AE68" s="3">
        <v>-146916</v>
      </c>
      <c r="AF68" s="3" t="s">
        <v>70</v>
      </c>
      <c r="AG68" s="3" t="s">
        <v>47</v>
      </c>
      <c r="AH68" s="3" t="s">
        <v>1747</v>
      </c>
      <c r="AI68" s="3" t="s">
        <v>2869</v>
      </c>
      <c r="AJ68" s="3" t="s">
        <v>1748</v>
      </c>
      <c r="AK68" s="3" t="s">
        <v>2870</v>
      </c>
      <c r="AL68" s="3" t="s">
        <v>1749</v>
      </c>
      <c r="AM68" s="3" t="s">
        <v>47</v>
      </c>
      <c r="AN68" s="3" t="s">
        <v>2871</v>
      </c>
      <c r="AO68" s="3" t="s">
        <v>284</v>
      </c>
      <c r="AP68" s="3" t="s">
        <v>2872</v>
      </c>
      <c r="AQ68" s="3" t="s">
        <v>2873</v>
      </c>
      <c r="AR68" s="3" t="s">
        <v>2874</v>
      </c>
      <c r="AS68" s="3" t="s">
        <v>198</v>
      </c>
      <c r="AT68" s="3" t="s">
        <v>47</v>
      </c>
      <c r="AU68" s="3" t="s">
        <v>2875</v>
      </c>
      <c r="AV68" s="3" t="s">
        <v>2876</v>
      </c>
      <c r="AW68" s="3" t="s">
        <v>2877</v>
      </c>
      <c r="AX68" s="3" t="s">
        <v>852</v>
      </c>
      <c r="AY68" s="3" t="s">
        <v>294</v>
      </c>
      <c r="AZ68" s="3" t="s">
        <v>207</v>
      </c>
      <c r="BA68" s="3" t="s">
        <v>250</v>
      </c>
      <c r="BB68" s="3" t="s">
        <v>179</v>
      </c>
      <c r="BC68" s="3" t="s">
        <v>1039</v>
      </c>
      <c r="BD68" s="3" t="s">
        <v>712</v>
      </c>
      <c r="BE68" s="3" t="s">
        <v>573</v>
      </c>
      <c r="BF68" s="3" t="s">
        <v>574</v>
      </c>
      <c r="BG68" s="3" t="s">
        <v>575</v>
      </c>
      <c r="BH68" s="3" t="s">
        <v>120</v>
      </c>
      <c r="BI68" s="3" t="s">
        <v>2878</v>
      </c>
      <c r="BJ68" s="3" t="s">
        <v>852</v>
      </c>
      <c r="BK68" s="3" t="s">
        <v>1746</v>
      </c>
      <c r="BL68" s="3" t="s">
        <v>2879</v>
      </c>
      <c r="BM68" s="3" t="s">
        <v>1039</v>
      </c>
      <c r="BN68" s="3">
        <v>2.1</v>
      </c>
      <c r="BO68" s="3">
        <v>2.1800000000000002</v>
      </c>
      <c r="BP68" s="3">
        <v>2.1800000000000002</v>
      </c>
      <c r="BQ68" s="3">
        <v>1.71</v>
      </c>
      <c r="BR68" s="3">
        <v>2.1800000000000002</v>
      </c>
      <c r="BS68" s="3">
        <v>3.05</v>
      </c>
      <c r="BT68" s="3" t="s">
        <v>1750</v>
      </c>
      <c r="BU68" s="3" t="s">
        <v>748</v>
      </c>
      <c r="BV68" s="3">
        <v>31.64</v>
      </c>
      <c r="BW68" s="3">
        <v>29.74</v>
      </c>
      <c r="BX68" s="3">
        <v>31.36</v>
      </c>
      <c r="BY68" s="3">
        <v>4.1399999999999997</v>
      </c>
      <c r="BZ68" s="3">
        <v>4.01</v>
      </c>
      <c r="CA68" s="3">
        <v>7.32</v>
      </c>
      <c r="CB68" s="3">
        <v>-4.03</v>
      </c>
      <c r="CC68" s="3">
        <v>-8.7799999999999994</v>
      </c>
      <c r="CD68" s="3" t="s">
        <v>2880</v>
      </c>
      <c r="CE68" s="3" t="s">
        <v>2881</v>
      </c>
      <c r="CF68" s="10">
        <v>-0.15741800570014405</v>
      </c>
      <c r="CG68" s="11">
        <v>1.045965188226794</v>
      </c>
      <c r="CH68" s="10">
        <v>0.81045752763748169</v>
      </c>
      <c r="CI68" s="10">
        <v>0.52999997138977051</v>
      </c>
      <c r="CJ68" s="10">
        <v>0.50375938415527344</v>
      </c>
      <c r="CK68" s="10">
        <v>-0.46153846383094788</v>
      </c>
      <c r="CL68" s="10">
        <v>0.47904190421104431</v>
      </c>
      <c r="CM68" s="11">
        <v>-14.653655052185059</v>
      </c>
      <c r="CN68" s="11">
        <v>-0.27626913785934448</v>
      </c>
      <c r="CO68" s="11">
        <v>-0.169277623295784</v>
      </c>
      <c r="CP68" s="11">
        <v>-0.6430087685585022</v>
      </c>
      <c r="CQ68" s="11">
        <v>0.75838333368301392</v>
      </c>
      <c r="CR68" s="3">
        <v>-246.49938590806298</v>
      </c>
      <c r="CS68" s="3">
        <v>-6.6202045169802206</v>
      </c>
      <c r="CT68" s="3">
        <v>0.44169611307420492</v>
      </c>
      <c r="CU68" s="10">
        <v>0.3723440647125244</v>
      </c>
      <c r="CV68" s="11">
        <v>-2.9967654496431351</v>
      </c>
      <c r="CW68" s="3">
        <v>0.06</v>
      </c>
      <c r="CX68" s="3" t="e">
        <v>#VALUE!</v>
      </c>
      <c r="CY68" s="3" t="s">
        <v>758</v>
      </c>
      <c r="CZ68" s="3">
        <v>0.3723440647125244</v>
      </c>
      <c r="DA68" s="3" t="e">
        <v>#VALUE!</v>
      </c>
      <c r="DB68" s="3" t="s">
        <v>758</v>
      </c>
      <c r="DC68" s="3">
        <v>0.35372686147689819</v>
      </c>
      <c r="DD68" s="3" t="e">
        <v>#VALUE!</v>
      </c>
      <c r="DE68" s="3" t="s">
        <v>758</v>
      </c>
      <c r="DF68" s="3">
        <v>0.32766277694702145</v>
      </c>
      <c r="DG68" s="3" t="e">
        <v>#VALUE!</v>
      </c>
      <c r="DH68" s="3" t="s">
        <v>758</v>
      </c>
      <c r="DI68" s="3">
        <v>0.29787525177001956</v>
      </c>
      <c r="DJ68" s="3" t="e">
        <v>#VALUE!</v>
      </c>
      <c r="DK68" s="3" t="s">
        <v>758</v>
      </c>
      <c r="DL68" s="3">
        <v>0.26064084529876708</v>
      </c>
      <c r="DM68" s="3">
        <v>-131000000</v>
      </c>
      <c r="DN68" s="3">
        <v>0.3723440647125244</v>
      </c>
      <c r="DO68" s="3">
        <v>680505600</v>
      </c>
      <c r="DP68" s="3">
        <v>213623710</v>
      </c>
      <c r="DQ68" s="3">
        <v>4728</v>
      </c>
      <c r="DR68" s="3">
        <v>-0.52976207041266843</v>
      </c>
      <c r="DS68" s="3">
        <v>4.042730637869929</v>
      </c>
      <c r="DT68" s="12">
        <v>0.16</v>
      </c>
      <c r="DU68" s="3">
        <v>-1.5066666666666668</v>
      </c>
      <c r="DV68" s="3">
        <v>-1.3466666666666669</v>
      </c>
      <c r="DW68" s="3">
        <v>-8.4589977220956722</v>
      </c>
      <c r="DX68" s="3">
        <v>0.29318117729996601</v>
      </c>
      <c r="DY68" s="3">
        <v>-8.0473599253438337</v>
      </c>
      <c r="DZ68" s="3">
        <v>4069</v>
      </c>
      <c r="EA68" s="3">
        <v>-8.0096480787246431</v>
      </c>
      <c r="EB68" s="3">
        <v>8</v>
      </c>
      <c r="EC68" s="3">
        <v>2.9243256743256743E-2</v>
      </c>
      <c r="ED68" s="3">
        <v>0.28341658341658343</v>
      </c>
      <c r="EE68" s="13">
        <v>-2.01091</v>
      </c>
      <c r="EF68" s="3">
        <v>-2.0409100000000002</v>
      </c>
      <c r="EG68" s="3">
        <v>19.103181177299966</v>
      </c>
      <c r="EH68" s="3" t="s">
        <v>958</v>
      </c>
      <c r="EI68" s="3">
        <v>0</v>
      </c>
      <c r="EJ68" s="3">
        <v>0</v>
      </c>
      <c r="EK68" s="15">
        <v>45470</v>
      </c>
      <c r="EL68" s="16">
        <v>-8.6300000000000008</v>
      </c>
      <c r="EM68" s="16">
        <v>-14.98</v>
      </c>
      <c r="EN68" s="16">
        <v>-6.87</v>
      </c>
      <c r="EO68" s="16">
        <v>1.77</v>
      </c>
      <c r="EP68" s="16">
        <v>-3</v>
      </c>
    </row>
    <row r="69" spans="1:146" ht="180" x14ac:dyDescent="0.25">
      <c r="A69" s="7" t="s">
        <v>854</v>
      </c>
      <c r="B69" s="7" t="s">
        <v>855</v>
      </c>
      <c r="C69" s="7" t="str">
        <f>"公司的主营业务为提供工业机器人自动化、智能化的系统集成整体解决方案，主要涉及柔性自动化、智能化的工作站和生产线的研发、设计、生产、装配及销售。"&amp;CHAR(10)&amp;Basic_Fundamental_Information_Constructure(F69)&amp;CHAR(10)&amp;Basic_Fundamental_Information_Concatenate("工业机器人系统集成 5.32亿 90.54% 88.11% 16.22%
定制夹具 4122.03万 7.02% 8.99% 21.36%
其他 1436.69万 2.45% 2.90% 19.76%")</f>
        <v>公司的主营业务为提供工业机器人自动化、智能化的系统集成整体解决方案，主要涉及柔性自动化、智能化的工作站和生产线的研发、设计、生产、装配及销售。
市值18.536122亿, 利润1.47亿; PE21.69; 平均PE33.61; 平均PEG.24, PB1.96; ROIC3.56%; ROE3.52%; 股利率2.2379%; 毛利18.4%; 净利6.18%; 上一年度营收增624.8%, 利润增361.65%; 当季营收增-88%, 利润增-75.96%; 过往5年营收增137.83%, 利润增69.27%
Income profile:
工业机器人系统集成 5.32亿 90.54% 88.11% 16.22%
定制夹具 4122.03万 7.02% 8.99% 21.36%
其他 1436.69万 2.45% 2.90% 19.76%</v>
      </c>
      <c r="D69" s="3" t="s">
        <v>316</v>
      </c>
      <c r="E69" s="3" t="s">
        <v>317</v>
      </c>
      <c r="F69" s="3">
        <v>15.64</v>
      </c>
      <c r="G69" s="3">
        <v>-1.01</v>
      </c>
      <c r="H69" s="3" t="s">
        <v>2882</v>
      </c>
      <c r="I69" s="3">
        <v>1853612200</v>
      </c>
      <c r="J69" s="3">
        <v>21.69</v>
      </c>
      <c r="K69" s="3">
        <v>1.96</v>
      </c>
      <c r="L69" s="3" t="s">
        <v>176</v>
      </c>
      <c r="M69" s="3" t="s">
        <v>1150</v>
      </c>
      <c r="N69" s="3" t="s">
        <v>2883</v>
      </c>
      <c r="O69" s="3" t="s">
        <v>122</v>
      </c>
      <c r="P69" s="3">
        <v>19.54</v>
      </c>
      <c r="Q69" s="3" t="s">
        <v>2884</v>
      </c>
      <c r="R69" s="3">
        <v>4276331</v>
      </c>
      <c r="S69" s="5">
        <v>6.0650000000000004</v>
      </c>
      <c r="T69" s="3" t="s">
        <v>154</v>
      </c>
      <c r="U69" s="3">
        <v>118517405</v>
      </c>
      <c r="V69" s="3">
        <v>118517405</v>
      </c>
      <c r="W69" s="3">
        <v>1.98</v>
      </c>
      <c r="X69" s="3">
        <v>7.0000000000000007E-2</v>
      </c>
      <c r="Y69" s="3">
        <v>5.0199999999999996</v>
      </c>
      <c r="Z69" s="3" t="s">
        <v>207</v>
      </c>
      <c r="AA69" s="3" t="s">
        <v>98</v>
      </c>
      <c r="AB69" s="3" t="s">
        <v>2885</v>
      </c>
      <c r="AC69" s="3" t="s">
        <v>2886</v>
      </c>
      <c r="AD69" s="3" t="s">
        <v>47</v>
      </c>
      <c r="AE69" s="3">
        <v>2039325</v>
      </c>
      <c r="AF69" s="3" t="s">
        <v>1752</v>
      </c>
      <c r="AG69" s="3" t="s">
        <v>2887</v>
      </c>
      <c r="AH69" s="3" t="s">
        <v>1753</v>
      </c>
      <c r="AI69" s="3" t="s">
        <v>1462</v>
      </c>
      <c r="AJ69" s="3" t="s">
        <v>1754</v>
      </c>
      <c r="AK69" s="3" t="s">
        <v>2888</v>
      </c>
      <c r="AL69" s="3" t="s">
        <v>1755</v>
      </c>
      <c r="AM69" s="3" t="s">
        <v>47</v>
      </c>
      <c r="AN69" s="3" t="s">
        <v>2889</v>
      </c>
      <c r="AO69" s="3" t="s">
        <v>2890</v>
      </c>
      <c r="AP69" s="3" t="s">
        <v>61</v>
      </c>
      <c r="AQ69" s="3" t="s">
        <v>1199</v>
      </c>
      <c r="AR69" s="3" t="s">
        <v>47</v>
      </c>
      <c r="AS69" s="3" t="s">
        <v>2891</v>
      </c>
      <c r="AT69" s="3" t="s">
        <v>108</v>
      </c>
      <c r="AU69" s="3" t="s">
        <v>2892</v>
      </c>
      <c r="AV69" s="3" t="s">
        <v>2893</v>
      </c>
      <c r="AW69" s="3" t="s">
        <v>2894</v>
      </c>
      <c r="AX69" s="3" t="s">
        <v>426</v>
      </c>
      <c r="AY69" s="3" t="s">
        <v>713</v>
      </c>
      <c r="AZ69" s="3" t="s">
        <v>104</v>
      </c>
      <c r="BA69" s="3" t="s">
        <v>104</v>
      </c>
      <c r="BB69" s="3" t="s">
        <v>319</v>
      </c>
      <c r="BC69" s="3" t="s">
        <v>1040</v>
      </c>
      <c r="BD69" s="3" t="s">
        <v>714</v>
      </c>
      <c r="BE69" s="3" t="s">
        <v>318</v>
      </c>
      <c r="BF69" s="3" t="s">
        <v>321</v>
      </c>
      <c r="BG69" s="3" t="s">
        <v>322</v>
      </c>
      <c r="BH69" s="3" t="s">
        <v>490</v>
      </c>
      <c r="BI69" s="3" t="s">
        <v>2745</v>
      </c>
      <c r="BJ69" s="3" t="s">
        <v>426</v>
      </c>
      <c r="BK69" s="3" t="s">
        <v>1751</v>
      </c>
      <c r="BL69" s="3" t="s">
        <v>2895</v>
      </c>
      <c r="BM69" s="3" t="s">
        <v>1040</v>
      </c>
      <c r="BN69" s="3">
        <v>4.08</v>
      </c>
      <c r="BO69" s="3">
        <v>3.95</v>
      </c>
      <c r="BP69" s="3">
        <v>2.65</v>
      </c>
      <c r="BQ69" s="3">
        <v>4.28</v>
      </c>
      <c r="BR69" s="3">
        <v>3.72</v>
      </c>
      <c r="BS69" s="3">
        <v>2.56</v>
      </c>
      <c r="BT69" s="3" t="s">
        <v>1689</v>
      </c>
      <c r="BU69" s="3" t="s">
        <v>226</v>
      </c>
      <c r="BV69" s="3">
        <v>22.95</v>
      </c>
      <c r="BW69" s="3">
        <v>15.58</v>
      </c>
      <c r="BX69" s="3">
        <v>16.670000000000002</v>
      </c>
      <c r="BY69" s="3">
        <v>9.58</v>
      </c>
      <c r="BZ69" s="3">
        <v>4.8</v>
      </c>
      <c r="CA69" s="3">
        <v>4.16</v>
      </c>
      <c r="CB69" s="3">
        <v>-11.19</v>
      </c>
      <c r="CC69" s="3">
        <v>-17.55</v>
      </c>
      <c r="CD69" s="3" t="s">
        <v>2896</v>
      </c>
      <c r="CE69" s="3" t="s">
        <v>2897</v>
      </c>
      <c r="CF69" s="10">
        <v>-0.88003581020590871</v>
      </c>
      <c r="CG69" s="11">
        <v>-0.75956622942892971</v>
      </c>
      <c r="CH69" s="10">
        <v>6.2479677200317383</v>
      </c>
      <c r="CI69" s="10">
        <v>0.25724020600318909</v>
      </c>
      <c r="CJ69" s="10">
        <v>0.24101479351520538</v>
      </c>
      <c r="CK69" s="10">
        <v>0</v>
      </c>
      <c r="CL69" s="10">
        <v>0.1452784538269043</v>
      </c>
      <c r="CM69" s="11">
        <v>3.6164717674255371</v>
      </c>
      <c r="CN69" s="11">
        <v>0.46264439821243286</v>
      </c>
      <c r="CO69" s="11">
        <v>-0.26298382878303528</v>
      </c>
      <c r="CP69" s="11">
        <v>-0.43629187345504761</v>
      </c>
      <c r="CQ69" s="11">
        <v>8.3527706563472748E-2</v>
      </c>
      <c r="CR69" s="3">
        <v>33.608994009312404</v>
      </c>
      <c r="CS69" s="3">
        <v>0.24384378064934012</v>
      </c>
      <c r="CT69" s="3">
        <v>2.2378516624040921</v>
      </c>
      <c r="CU69" s="10">
        <v>1.3783002346754074</v>
      </c>
      <c r="CV69" s="11">
        <v>0.69267363399267201</v>
      </c>
      <c r="CW69" s="3">
        <v>0.06</v>
      </c>
      <c r="CX69" s="3">
        <v>5.513938933068804</v>
      </c>
      <c r="CY69" s="3">
        <v>329820881.60121214</v>
      </c>
      <c r="CZ69" s="3">
        <v>1.3783002346754074</v>
      </c>
      <c r="DA69" s="3">
        <v>0.71650528327344509</v>
      </c>
      <c r="DB69" s="3">
        <v>2538169979.2797618</v>
      </c>
      <c r="DC69" s="3">
        <v>1.309385222941637</v>
      </c>
      <c r="DD69" s="3">
        <v>7.881175742315763E-2</v>
      </c>
      <c r="DE69" s="3">
        <v>23075392041.259426</v>
      </c>
      <c r="DF69" s="3">
        <v>1.2129042065143585</v>
      </c>
      <c r="DG69" s="3">
        <v>6.5112146900508346E-3</v>
      </c>
      <c r="DH69" s="3">
        <v>279304597770.18988</v>
      </c>
      <c r="DI69" s="3">
        <v>1.102640187740326</v>
      </c>
      <c r="DJ69" s="3">
        <v>2.4852318850741503E-5</v>
      </c>
      <c r="DK69" s="3">
        <v>73176761127291.719</v>
      </c>
      <c r="DL69" s="3">
        <v>0.9648101642727851</v>
      </c>
      <c r="DM69" s="3">
        <v>147000000</v>
      </c>
      <c r="DN69" s="3">
        <v>1.3783002346754074</v>
      </c>
      <c r="DO69" s="3">
        <v>1818612200</v>
      </c>
      <c r="DP69" s="3">
        <v>626274500</v>
      </c>
      <c r="DQ69" s="3">
        <v>4731</v>
      </c>
      <c r="DR69" s="3">
        <v>-2.2583360448813163</v>
      </c>
      <c r="DS69" s="3">
        <v>-1.4522398634216018</v>
      </c>
      <c r="DT69" s="12">
        <v>0.14333333333333331</v>
      </c>
      <c r="DU69" s="3">
        <v>-0.24000000000000002</v>
      </c>
      <c r="DV69" s="3">
        <v>-9.6666666666666706E-2</v>
      </c>
      <c r="DW69" s="3">
        <v>-9.6376068376068371</v>
      </c>
      <c r="DX69" s="3">
        <v>0.55117950888742251</v>
      </c>
      <c r="DY69" s="3">
        <v>-9.0772648834444567</v>
      </c>
      <c r="DZ69" s="3">
        <v>316</v>
      </c>
      <c r="EA69" s="3">
        <v>-9.0724868593410424</v>
      </c>
      <c r="EB69" s="3">
        <v>9</v>
      </c>
      <c r="EC69" s="3">
        <v>9.0936010622237301E-2</v>
      </c>
      <c r="ED69" s="3">
        <v>0.75042395671758089</v>
      </c>
      <c r="EE69" s="13">
        <v>-3.0794100000000002</v>
      </c>
      <c r="EF69" s="3">
        <v>-3.1027100000000001</v>
      </c>
      <c r="EG69" s="3">
        <v>43.121179508887423</v>
      </c>
      <c r="EH69" s="3" t="s">
        <v>1182</v>
      </c>
      <c r="EI69" s="3">
        <v>0</v>
      </c>
      <c r="EJ69" s="3">
        <v>1</v>
      </c>
      <c r="EK69" s="15">
        <v>45470</v>
      </c>
      <c r="EL69" s="16">
        <v>-2.73</v>
      </c>
      <c r="EM69" s="16">
        <v>-2.93</v>
      </c>
      <c r="EN69" s="16">
        <v>-1.1299999999999999</v>
      </c>
      <c r="EO69" s="16">
        <v>4.08</v>
      </c>
      <c r="EP69" s="16">
        <v>-2.33</v>
      </c>
    </row>
    <row r="70" spans="1:146" ht="180" x14ac:dyDescent="0.25">
      <c r="A70" s="7" t="s">
        <v>947</v>
      </c>
      <c r="C70" s="7" t="str">
        <f>"公司主要业务是以工业机器人技术及工业焊接技术为技术支撑，为客户提供焊接机器人及工业焊接设备。公司主要产品为机器人专用焊接设备、工业机器人整机（即机器人手臂及控制器）、全手动焊接设备、半自动焊接设备。"&amp;CHAR(10)&amp;Basic_Fundamental_Information_Constructure(F70)&amp;CHAR(10)&amp;Basic_Fundamental_Information_Concatenate("焊接机器人 2.92亿 53.91% 51.25% 20.31%
工业焊接设备 2.15亿 39.56% 39.86% 21.52%
售后业务 1869.02万 3.45% 3.96% 24.53%")</f>
        <v>公司主要业务是以工业机器人技术及工业焊接技术为技术支撑，为客户提供焊接机器人及工业焊接设备。公司主要产品为机器人专用焊接设备、工业机器人整机（即机器人手臂及控制器）、全手动焊接设备、半自动焊接设备。
市值20.851214亿, 利润-8.48亿; PE71.63; 平均PE-19.95; 平均PEG-1.09, PB2.04; ROIC4.3033%; ROE6.6667%; 股利率.7903%; 毛利19.71%; 净利8.54%; 上一年度营收增79.95%, 利润增-2384.8%; 当季营收增111.19%, 利润增104.81%; 过往5年营收增18.38%, 利润增-442.36%
Income profile:
焊接机器人 2.92亿 53.91% 51.25% 20.31%
工业焊接设备 2.15亿 39.56% 39.86% 21.52%
售后业务 1869.02万 3.45% 3.96% 24.53%</v>
      </c>
      <c r="D70" s="3" t="s">
        <v>323</v>
      </c>
      <c r="E70" s="3" t="s">
        <v>324</v>
      </c>
      <c r="F70" s="3">
        <v>18.98</v>
      </c>
      <c r="G70" s="3">
        <v>0.96</v>
      </c>
      <c r="H70" s="3" t="s">
        <v>2898</v>
      </c>
      <c r="I70" s="3">
        <v>2085121400</v>
      </c>
      <c r="J70" s="3">
        <v>71.63</v>
      </c>
      <c r="K70" s="3">
        <v>2.04</v>
      </c>
      <c r="L70" s="3" t="s">
        <v>176</v>
      </c>
      <c r="M70" s="3" t="s">
        <v>75</v>
      </c>
      <c r="N70" s="3" t="s">
        <v>2899</v>
      </c>
      <c r="O70" s="3" t="s">
        <v>62</v>
      </c>
      <c r="P70" s="3">
        <v>19.12</v>
      </c>
      <c r="Q70" s="3" t="s">
        <v>1627</v>
      </c>
      <c r="R70" s="3">
        <v>12269308</v>
      </c>
      <c r="S70" s="5">
        <v>0.52790000000000004</v>
      </c>
      <c r="T70" s="3" t="s">
        <v>2900</v>
      </c>
      <c r="U70" s="3">
        <v>70102553</v>
      </c>
      <c r="V70" s="3">
        <v>109858870</v>
      </c>
      <c r="W70" s="3">
        <v>1.18</v>
      </c>
      <c r="X70" s="3">
        <v>0.13</v>
      </c>
      <c r="Y70" s="3">
        <v>7.7</v>
      </c>
      <c r="Z70" s="3" t="s">
        <v>289</v>
      </c>
      <c r="AA70" s="3" t="s">
        <v>76</v>
      </c>
      <c r="AB70" s="3" t="s">
        <v>2901</v>
      </c>
      <c r="AC70" s="3" t="s">
        <v>2902</v>
      </c>
      <c r="AD70" s="3" t="s">
        <v>47</v>
      </c>
      <c r="AE70" s="3">
        <v>-3288040</v>
      </c>
      <c r="AF70" s="3" t="s">
        <v>1758</v>
      </c>
      <c r="AG70" s="3" t="s">
        <v>2903</v>
      </c>
      <c r="AH70" s="3" t="s">
        <v>1759</v>
      </c>
      <c r="AI70" s="3" t="s">
        <v>660</v>
      </c>
      <c r="AJ70" s="3" t="s">
        <v>1760</v>
      </c>
      <c r="AK70" s="3" t="s">
        <v>2904</v>
      </c>
      <c r="AL70" s="3" t="s">
        <v>1761</v>
      </c>
      <c r="AM70" s="3" t="s">
        <v>47</v>
      </c>
      <c r="AN70" s="3" t="s">
        <v>2905</v>
      </c>
      <c r="AO70" s="3" t="s">
        <v>47</v>
      </c>
      <c r="AP70" s="3" t="s">
        <v>2906</v>
      </c>
      <c r="AQ70" s="3" t="s">
        <v>2907</v>
      </c>
      <c r="AR70" s="3" t="s">
        <v>47</v>
      </c>
      <c r="AS70" s="3" t="s">
        <v>206</v>
      </c>
      <c r="AT70" s="3" t="s">
        <v>47</v>
      </c>
      <c r="AU70" s="3" t="s">
        <v>2908</v>
      </c>
      <c r="AV70" s="3" t="s">
        <v>2909</v>
      </c>
      <c r="AW70" s="3" t="s">
        <v>2910</v>
      </c>
      <c r="AX70" s="3" t="s">
        <v>843</v>
      </c>
      <c r="AY70" s="3" t="s">
        <v>715</v>
      </c>
      <c r="AZ70" s="3" t="s">
        <v>239</v>
      </c>
      <c r="BA70" s="3" t="s">
        <v>326</v>
      </c>
      <c r="BB70" s="3" t="s">
        <v>305</v>
      </c>
      <c r="BC70" s="3" t="s">
        <v>1041</v>
      </c>
      <c r="BD70" s="3" t="s">
        <v>716</v>
      </c>
      <c r="BE70" s="3" t="s">
        <v>325</v>
      </c>
      <c r="BF70" s="3" t="s">
        <v>328</v>
      </c>
      <c r="BG70" s="3" t="s">
        <v>329</v>
      </c>
      <c r="BH70" s="3" t="s">
        <v>357</v>
      </c>
      <c r="BI70" s="3" t="s">
        <v>2911</v>
      </c>
      <c r="BJ70" s="3" t="s">
        <v>843</v>
      </c>
      <c r="BK70" s="3" t="s">
        <v>1757</v>
      </c>
      <c r="BL70" s="3" t="s">
        <v>2912</v>
      </c>
      <c r="BM70" s="3" t="s">
        <v>1041</v>
      </c>
      <c r="BN70" s="3">
        <v>1.1000000000000001</v>
      </c>
      <c r="BO70" s="3">
        <v>3.08</v>
      </c>
      <c r="BP70" s="3">
        <v>8.73</v>
      </c>
      <c r="BQ70" s="3">
        <v>1.47</v>
      </c>
      <c r="BR70" s="3">
        <v>3.32</v>
      </c>
      <c r="BS70" s="3">
        <v>15.21</v>
      </c>
      <c r="BT70" s="3" t="s">
        <v>1218</v>
      </c>
      <c r="BU70" s="3" t="s">
        <v>226</v>
      </c>
      <c r="BV70" s="3">
        <v>18.670000000000002</v>
      </c>
      <c r="BW70" s="3">
        <v>19.100000000000001</v>
      </c>
      <c r="BX70" s="3">
        <v>21.36</v>
      </c>
      <c r="BY70" s="3">
        <v>5.16</v>
      </c>
      <c r="BZ70" s="3">
        <v>9.42</v>
      </c>
      <c r="CA70" s="3">
        <v>11.04</v>
      </c>
      <c r="CB70" s="3">
        <v>-5.34</v>
      </c>
      <c r="CC70" s="3">
        <v>-7.1</v>
      </c>
      <c r="CD70" s="3" t="s">
        <v>2913</v>
      </c>
      <c r="CE70" s="3" t="s">
        <v>2914</v>
      </c>
      <c r="CF70" s="10">
        <v>1.1118903410902137</v>
      </c>
      <c r="CG70" s="11">
        <v>1.0481149333333333</v>
      </c>
      <c r="CH70" s="10">
        <v>0.79949235916137695</v>
      </c>
      <c r="CI70" s="10">
        <v>-0.27306273579597473</v>
      </c>
      <c r="CJ70" s="10">
        <v>-8.7542086839675903E-2</v>
      </c>
      <c r="CK70" s="10">
        <v>0.45232275128364563</v>
      </c>
      <c r="CL70" s="10">
        <v>2.7638191357254982E-2</v>
      </c>
      <c r="CM70" s="11">
        <v>-23.848028182983398</v>
      </c>
      <c r="CN70" s="11">
        <v>-0.37985619902610779</v>
      </c>
      <c r="CO70" s="11">
        <v>-0.19177219271659851</v>
      </c>
      <c r="CP70" s="11">
        <v>2.5983290672302246</v>
      </c>
      <c r="CQ70" s="11">
        <v>-0.29648494720458984</v>
      </c>
      <c r="CR70" s="3">
        <v>-19.948319798710688</v>
      </c>
      <c r="CS70" s="3">
        <v>-1.0855064926919902</v>
      </c>
      <c r="CT70" s="3">
        <v>0.79030558482613278</v>
      </c>
      <c r="CU70" s="10">
        <v>0.18376969583332539</v>
      </c>
      <c r="CV70" s="11">
        <v>-4.4235624909400943</v>
      </c>
      <c r="CW70" s="3">
        <v>0.06</v>
      </c>
      <c r="CX70" s="3" t="e">
        <v>#VALUE!</v>
      </c>
      <c r="CY70" s="3" t="s">
        <v>758</v>
      </c>
      <c r="CZ70" s="3">
        <v>0.18376969583332539</v>
      </c>
      <c r="DA70" s="3" t="e">
        <v>#VALUE!</v>
      </c>
      <c r="DB70" s="3" t="s">
        <v>758</v>
      </c>
      <c r="DC70" s="3">
        <v>0.17458121104165911</v>
      </c>
      <c r="DD70" s="3" t="e">
        <v>#VALUE!</v>
      </c>
      <c r="DE70" s="3" t="s">
        <v>758</v>
      </c>
      <c r="DF70" s="3">
        <v>0.16171733233332636</v>
      </c>
      <c r="DG70" s="3" t="e">
        <v>#VALUE!</v>
      </c>
      <c r="DH70" s="3" t="s">
        <v>758</v>
      </c>
      <c r="DI70" s="3">
        <v>0.14701575666666031</v>
      </c>
      <c r="DJ70" s="3" t="e">
        <v>#VALUE!</v>
      </c>
      <c r="DK70" s="3" t="s">
        <v>758</v>
      </c>
      <c r="DL70" s="3">
        <v>0.12863878708332777</v>
      </c>
      <c r="DM70" s="3">
        <v>-848000000</v>
      </c>
      <c r="DN70" s="3">
        <v>0.18376969583332539</v>
      </c>
      <c r="DO70" s="3">
        <v>1216121400</v>
      </c>
      <c r="DP70" s="3">
        <v>839928760</v>
      </c>
      <c r="DQ70" s="3">
        <v>4760</v>
      </c>
      <c r="DR70" s="3">
        <v>0.92812064525688831</v>
      </c>
      <c r="DS70" s="3">
        <v>5.4716774242734276</v>
      </c>
      <c r="DT70" s="12">
        <v>-0.14000000000000004</v>
      </c>
      <c r="DU70" s="3">
        <v>-0.56666666666666676</v>
      </c>
      <c r="DV70" s="3">
        <v>-0.70666666666666678</v>
      </c>
      <c r="DW70" s="3">
        <v>-8.7521126760563384</v>
      </c>
      <c r="DX70" s="3">
        <v>0.32626355280075114</v>
      </c>
      <c r="DY70" s="3">
        <v>-8.079922165064227</v>
      </c>
      <c r="DZ70" s="3">
        <v>4906</v>
      </c>
      <c r="EA70" s="3">
        <v>-8.0031906304644043</v>
      </c>
      <c r="EB70" s="3">
        <v>8</v>
      </c>
      <c r="EC70" s="3">
        <v>4.0324463559474076E-2</v>
      </c>
      <c r="ED70" s="3">
        <v>0.37947595856392841</v>
      </c>
      <c r="EE70" s="13">
        <v>4.0548000000000002</v>
      </c>
      <c r="EF70" s="3">
        <v>4.0332999999999997</v>
      </c>
      <c r="EG70" s="3">
        <v>22.106263552800751</v>
      </c>
      <c r="EH70" s="3" t="s">
        <v>1756</v>
      </c>
      <c r="EI70" s="3">
        <v>0</v>
      </c>
      <c r="EJ70" s="3">
        <v>0</v>
      </c>
      <c r="EK70" s="15">
        <v>45470</v>
      </c>
      <c r="EL70" s="16">
        <v>0.26</v>
      </c>
      <c r="EM70" s="16">
        <v>-4.17</v>
      </c>
      <c r="EN70" s="16">
        <v>-4.42</v>
      </c>
      <c r="EO70" s="16">
        <v>2.93</v>
      </c>
      <c r="EP70" s="16">
        <v>-2.15</v>
      </c>
    </row>
    <row r="71" spans="1:146" ht="108" x14ac:dyDescent="0.25">
      <c r="C71" s="7" t="str">
        <f>""&amp;CHAR(10)&amp;Basic_Fundamental_Information_Constructure(F71)&amp;CHAR(10)&amp;Basic_Fundamental_Information_Concatenate("")</f>
        <v xml:space="preserve">
市值30.881732亿, 利润4222.41万; PE174.5; 平均PE54.49; 平均PEG1.51, PB2.51; ROIC13.6867%; ROE14.58%; 股利率.3508%; 毛利46.71%; 净利20.6133%; 上一年度营收增-52.48%, 利润增-65.39%; 当季营收增-51.53%, 利润增-191.12%; 过往5年营收增36.01%, 利润增34.52%
Income profile:
</v>
      </c>
      <c r="D71" s="3" t="s">
        <v>717</v>
      </c>
      <c r="E71" s="3" t="s">
        <v>788</v>
      </c>
      <c r="F71" s="3">
        <v>30.22</v>
      </c>
      <c r="G71" s="3">
        <v>-1.6</v>
      </c>
      <c r="H71" s="3" t="s">
        <v>2915</v>
      </c>
      <c r="I71" s="3">
        <v>3088173200</v>
      </c>
      <c r="J71" s="3">
        <v>174.5</v>
      </c>
      <c r="K71" s="3">
        <v>2.5099999999999998</v>
      </c>
      <c r="L71" s="3" t="s">
        <v>176</v>
      </c>
      <c r="M71" s="3" t="s">
        <v>1763</v>
      </c>
      <c r="N71" s="3" t="s">
        <v>2916</v>
      </c>
      <c r="O71" s="3" t="s">
        <v>1765</v>
      </c>
      <c r="P71" s="3">
        <v>-55.26</v>
      </c>
      <c r="Q71" s="3" t="s">
        <v>84</v>
      </c>
      <c r="R71" s="3">
        <v>-11174381</v>
      </c>
      <c r="S71" s="5">
        <v>-2.9209999999999998</v>
      </c>
      <c r="T71" s="3" t="s">
        <v>2917</v>
      </c>
      <c r="U71" s="3">
        <v>60826233</v>
      </c>
      <c r="V71" s="3">
        <v>102189714</v>
      </c>
      <c r="W71" s="3">
        <v>1.21</v>
      </c>
      <c r="X71" s="3">
        <v>0.02</v>
      </c>
      <c r="Y71" s="3">
        <v>-50.11</v>
      </c>
      <c r="Z71" s="3" t="s">
        <v>2918</v>
      </c>
      <c r="AA71" s="3" t="s">
        <v>2919</v>
      </c>
      <c r="AB71" s="3" t="s">
        <v>2920</v>
      </c>
      <c r="AC71" s="3" t="s">
        <v>2921</v>
      </c>
      <c r="AD71" s="3" t="s">
        <v>47</v>
      </c>
      <c r="AE71" s="3">
        <v>-1980661</v>
      </c>
      <c r="AF71" s="3" t="s">
        <v>1767</v>
      </c>
      <c r="AG71" s="3" t="s">
        <v>47</v>
      </c>
      <c r="AH71" s="3" t="s">
        <v>1768</v>
      </c>
      <c r="AI71" s="3" t="s">
        <v>438</v>
      </c>
      <c r="AJ71" s="3" t="s">
        <v>1769</v>
      </c>
      <c r="AK71" s="3" t="s">
        <v>2922</v>
      </c>
      <c r="AL71" s="3" t="s">
        <v>1770</v>
      </c>
      <c r="AM71" s="3" t="s">
        <v>47</v>
      </c>
      <c r="AN71" s="3" t="s">
        <v>1084</v>
      </c>
      <c r="AO71" s="3" t="s">
        <v>47</v>
      </c>
      <c r="AP71" s="3" t="s">
        <v>2923</v>
      </c>
      <c r="AQ71" s="3" t="s">
        <v>2924</v>
      </c>
      <c r="AR71" s="3" t="s">
        <v>47</v>
      </c>
      <c r="AS71" s="3" t="s">
        <v>531</v>
      </c>
      <c r="AT71" s="3" t="s">
        <v>2925</v>
      </c>
      <c r="AU71" s="3" t="s">
        <v>2926</v>
      </c>
      <c r="AV71" s="3" t="s">
        <v>118</v>
      </c>
      <c r="AW71" s="3" t="s">
        <v>2927</v>
      </c>
      <c r="AX71" s="3" t="s">
        <v>983</v>
      </c>
      <c r="AY71" s="3" t="s">
        <v>60</v>
      </c>
      <c r="AZ71" s="3" t="s">
        <v>56</v>
      </c>
      <c r="BA71" s="3" t="s">
        <v>146</v>
      </c>
      <c r="BB71" s="3" t="s">
        <v>719</v>
      </c>
      <c r="BC71" s="3" t="s">
        <v>65</v>
      </c>
      <c r="BD71" s="3" t="s">
        <v>718</v>
      </c>
      <c r="BE71" s="3" t="s">
        <v>720</v>
      </c>
      <c r="BF71" s="3" t="s">
        <v>721</v>
      </c>
      <c r="BG71" s="3" t="s">
        <v>789</v>
      </c>
      <c r="BH71" s="3" t="s">
        <v>151</v>
      </c>
      <c r="BI71" s="3" t="s">
        <v>2928</v>
      </c>
      <c r="BJ71" s="3" t="s">
        <v>983</v>
      </c>
      <c r="BK71" s="3" t="s">
        <v>1766</v>
      </c>
      <c r="BL71" s="3" t="s">
        <v>2929</v>
      </c>
      <c r="BM71" s="3" t="s">
        <v>65</v>
      </c>
      <c r="BN71" s="3">
        <v>-1.94</v>
      </c>
      <c r="BO71" s="3">
        <v>16.37</v>
      </c>
      <c r="BP71" s="3">
        <v>26.63</v>
      </c>
      <c r="BQ71" s="3">
        <v>0.18</v>
      </c>
      <c r="BR71" s="3">
        <v>15.48</v>
      </c>
      <c r="BS71" s="3">
        <v>28.08</v>
      </c>
      <c r="BT71" s="3" t="s">
        <v>1651</v>
      </c>
      <c r="BU71" s="3" t="s">
        <v>226</v>
      </c>
      <c r="BV71" s="3">
        <v>47.84</v>
      </c>
      <c r="BW71" s="3">
        <v>47.68</v>
      </c>
      <c r="BX71" s="3">
        <v>44.61</v>
      </c>
      <c r="BY71" s="3">
        <v>13.69</v>
      </c>
      <c r="BZ71" s="3">
        <v>26.24</v>
      </c>
      <c r="CA71" s="3">
        <v>21.91</v>
      </c>
      <c r="CB71" s="3">
        <v>-5.86</v>
      </c>
      <c r="CC71" s="3">
        <v>-10.76</v>
      </c>
      <c r="CD71" s="3" t="s">
        <v>2930</v>
      </c>
      <c r="CE71" s="3" t="s">
        <v>2931</v>
      </c>
      <c r="CF71" s="10">
        <v>-0.51529568178313478</v>
      </c>
      <c r="CG71" s="11">
        <v>-1.9111827685182168</v>
      </c>
      <c r="CH71" s="10">
        <v>-0.52483803033828735</v>
      </c>
      <c r="CI71" s="10">
        <v>0.32664754986763</v>
      </c>
      <c r="CJ71" s="10">
        <v>0.69417476654052734</v>
      </c>
      <c r="CK71" s="10">
        <v>1.0396039485931396</v>
      </c>
      <c r="CL71" s="10">
        <v>0.26509344577789307</v>
      </c>
      <c r="CM71" s="11">
        <v>-0.6539008617401123</v>
      </c>
      <c r="CN71" s="11">
        <v>0.59689408540725708</v>
      </c>
      <c r="CO71" s="11">
        <v>0.44032788276672363</v>
      </c>
      <c r="CP71" s="11">
        <v>0.98751860857009888</v>
      </c>
      <c r="CQ71" s="11">
        <v>0.35516646504402161</v>
      </c>
      <c r="CR71" s="3">
        <v>54.489850040744521</v>
      </c>
      <c r="CS71" s="3">
        <v>1.5130339424401349</v>
      </c>
      <c r="CT71" s="3">
        <v>0.35076108537392459</v>
      </c>
      <c r="CU71" s="10">
        <v>0.36013633608818052</v>
      </c>
      <c r="CV71" s="11">
        <v>0.34520123600959779</v>
      </c>
      <c r="CW71" s="3">
        <v>0.06</v>
      </c>
      <c r="CX71" s="3">
        <v>39.962777382595895</v>
      </c>
      <c r="CY71" s="3">
        <v>54179747.800585799</v>
      </c>
      <c r="CZ71" s="3">
        <v>0.36013633608818052</v>
      </c>
      <c r="DA71" s="3">
        <v>10.466679639509939</v>
      </c>
      <c r="DB71" s="3">
        <v>206863425.13310894</v>
      </c>
      <c r="DC71" s="3">
        <v>0.3421295192837715</v>
      </c>
      <c r="DD71" s="3">
        <v>3.7366687330065487</v>
      </c>
      <c r="DE71" s="3">
        <v>579439429.79871464</v>
      </c>
      <c r="DF71" s="3">
        <v>0.31691997575759884</v>
      </c>
      <c r="DG71" s="3">
        <v>1.5079028333818056</v>
      </c>
      <c r="DH71" s="3">
        <v>1435883766.5581675</v>
      </c>
      <c r="DI71" s="3">
        <v>0.28810906887054444</v>
      </c>
      <c r="DJ71" s="3">
        <v>0.29173887298789974</v>
      </c>
      <c r="DK71" s="3">
        <v>7421613643.1355982</v>
      </c>
      <c r="DL71" s="3">
        <v>0.25209543526172634</v>
      </c>
      <c r="DM71" s="3">
        <v>42224100</v>
      </c>
      <c r="DN71" s="3">
        <v>0.36013633608818052</v>
      </c>
      <c r="DO71" s="3">
        <v>2165173200</v>
      </c>
      <c r="DP71" s="3">
        <v>814112350</v>
      </c>
      <c r="DQ71" s="3">
        <v>4791</v>
      </c>
      <c r="DR71" s="3">
        <v>-0.8754320178713153</v>
      </c>
      <c r="DS71" s="3">
        <v>-2.2563840045278147</v>
      </c>
      <c r="DT71" s="12">
        <v>0.14333333333333331</v>
      </c>
      <c r="DU71" s="3">
        <v>-0.6150000000000001</v>
      </c>
      <c r="DV71" s="3">
        <v>-0.47166666666666679</v>
      </c>
      <c r="DW71" s="3">
        <v>-8.5446096654275099</v>
      </c>
      <c r="DX71" s="3">
        <v>0.3663559485926251</v>
      </c>
      <c r="DY71" s="3">
        <v>-8.0688146708878055</v>
      </c>
      <c r="DZ71" s="3">
        <v>1935</v>
      </c>
      <c r="EA71" s="3">
        <v>-8.042756669289389</v>
      </c>
      <c r="EB71" s="3">
        <v>8</v>
      </c>
      <c r="EC71" s="3">
        <v>2.1098992409353451E-2</v>
      </c>
      <c r="ED71" s="3">
        <v>0.16698060237256365</v>
      </c>
      <c r="EE71" s="13">
        <v>-2.0175999999999998</v>
      </c>
      <c r="EF71" s="3">
        <v>-2.0044</v>
      </c>
      <c r="EG71" s="3">
        <v>24.126355948592625</v>
      </c>
      <c r="EH71" s="3" t="s">
        <v>1037</v>
      </c>
      <c r="EI71" s="3">
        <v>0</v>
      </c>
      <c r="EJ71" s="3">
        <v>0</v>
      </c>
      <c r="EK71" s="15">
        <v>45470</v>
      </c>
      <c r="EL71" s="16">
        <v>-3.47</v>
      </c>
      <c r="EM71" s="16">
        <v>-6.33</v>
      </c>
      <c r="EN71" s="16">
        <v>0.06</v>
      </c>
      <c r="EO71" s="16">
        <v>5.84</v>
      </c>
      <c r="EP71" s="16">
        <v>-1.32</v>
      </c>
    </row>
    <row r="72" spans="1:146" ht="108" x14ac:dyDescent="0.25">
      <c r="C72" s="7" t="str">
        <f>""&amp;CHAR(10)&amp;Basic_Fundamental_Information_Constructure(F72)&amp;CHAR(10)&amp;Basic_Fundamental_Information_Concatenate("")</f>
        <v xml:space="preserve">
市值48.394342亿, 利润3633.09万; PE; 平均PE1108.59; 平均PEG107.31, PB2.77; ROIC4.005%; ROE2.2533%; 股利率0%; 毛利18.9967%; 净利-1.9667%; 上一年度营收增-81%, 利润增-14.06%; 当季营收增611.38%, 利润增-3940.2%; 过往5年营收增-10.33%, 利润增34.37%
Income profile:
</v>
      </c>
      <c r="D72" s="3" t="s">
        <v>722</v>
      </c>
      <c r="E72" s="3" t="s">
        <v>723</v>
      </c>
      <c r="F72" s="3">
        <v>3.94</v>
      </c>
      <c r="G72" s="3">
        <v>0.77</v>
      </c>
      <c r="H72" s="3" t="s">
        <v>2932</v>
      </c>
      <c r="I72" s="3">
        <v>4839434200</v>
      </c>
      <c r="K72" s="3">
        <v>2.77</v>
      </c>
      <c r="L72" s="3" t="s">
        <v>176</v>
      </c>
      <c r="M72" s="3" t="s">
        <v>1771</v>
      </c>
      <c r="N72" s="3" t="s">
        <v>1971</v>
      </c>
      <c r="O72" s="3" t="s">
        <v>1081</v>
      </c>
      <c r="P72" s="3">
        <v>119.45</v>
      </c>
      <c r="Q72" s="3" t="s">
        <v>2933</v>
      </c>
      <c r="R72" s="3">
        <v>-38276871</v>
      </c>
      <c r="S72" s="5">
        <v>0.15920000000000001</v>
      </c>
      <c r="T72" s="3" t="s">
        <v>2934</v>
      </c>
      <c r="U72" s="3">
        <v>468182800</v>
      </c>
      <c r="V72" s="3">
        <v>1228282800</v>
      </c>
      <c r="W72" s="3">
        <v>2.89</v>
      </c>
      <c r="X72" s="3">
        <v>0.09</v>
      </c>
      <c r="Y72" s="3">
        <v>-8.2200000000000006</v>
      </c>
      <c r="Z72" s="3" t="s">
        <v>537</v>
      </c>
      <c r="AA72" s="3" t="s">
        <v>414</v>
      </c>
      <c r="AB72" s="3" t="s">
        <v>2935</v>
      </c>
      <c r="AC72" s="3" t="s">
        <v>2936</v>
      </c>
      <c r="AD72" s="3" t="s">
        <v>47</v>
      </c>
      <c r="AE72" s="3">
        <v>16996497</v>
      </c>
      <c r="AF72" s="3" t="s">
        <v>1772</v>
      </c>
      <c r="AG72" s="3" t="s">
        <v>2937</v>
      </c>
      <c r="AH72" s="3" t="s">
        <v>1773</v>
      </c>
      <c r="AI72" s="3" t="s">
        <v>2938</v>
      </c>
      <c r="AJ72" s="3" t="s">
        <v>1774</v>
      </c>
      <c r="AK72" s="3" t="s">
        <v>2939</v>
      </c>
      <c r="AL72" s="3" t="s">
        <v>1775</v>
      </c>
      <c r="AM72" s="3" t="s">
        <v>47</v>
      </c>
      <c r="AN72" s="3" t="s">
        <v>846</v>
      </c>
      <c r="AO72" s="3" t="s">
        <v>109</v>
      </c>
      <c r="AP72" s="3" t="s">
        <v>47</v>
      </c>
      <c r="AQ72" s="3" t="s">
        <v>1167</v>
      </c>
      <c r="AR72" s="3" t="s">
        <v>47</v>
      </c>
      <c r="AS72" s="3" t="s">
        <v>2940</v>
      </c>
      <c r="AT72" s="3" t="s">
        <v>1076</v>
      </c>
      <c r="AU72" s="3" t="s">
        <v>2941</v>
      </c>
      <c r="AV72" s="3" t="s">
        <v>2942</v>
      </c>
      <c r="AW72" s="3" t="s">
        <v>2943</v>
      </c>
      <c r="AX72" s="3" t="s">
        <v>1042</v>
      </c>
      <c r="AY72" s="3" t="s">
        <v>724</v>
      </c>
      <c r="AZ72" s="3" t="s">
        <v>726</v>
      </c>
      <c r="BA72" s="3" t="s">
        <v>727</v>
      </c>
      <c r="BB72" s="3" t="s">
        <v>728</v>
      </c>
      <c r="BC72" s="3" t="s">
        <v>1043</v>
      </c>
      <c r="BD72" s="3" t="s">
        <v>725</v>
      </c>
      <c r="BE72" s="3" t="s">
        <v>729</v>
      </c>
      <c r="BF72" s="3" t="s">
        <v>730</v>
      </c>
      <c r="BG72" s="3" t="s">
        <v>731</v>
      </c>
      <c r="BH72" s="3" t="s">
        <v>1156</v>
      </c>
      <c r="BI72" s="3" t="s">
        <v>2944</v>
      </c>
      <c r="BJ72" s="3" t="s">
        <v>1042</v>
      </c>
      <c r="BK72" s="3" t="s">
        <v>1140</v>
      </c>
      <c r="BL72" s="3" t="s">
        <v>2945</v>
      </c>
      <c r="BM72" s="3" t="s">
        <v>1043</v>
      </c>
      <c r="BN72" s="3" t="s">
        <v>47</v>
      </c>
      <c r="BO72" s="3">
        <v>3.5</v>
      </c>
      <c r="BP72" s="3">
        <v>4.51</v>
      </c>
      <c r="BQ72" s="3">
        <v>-4.55</v>
      </c>
      <c r="BR72" s="3">
        <v>2.66</v>
      </c>
      <c r="BS72" s="3">
        <v>8.65</v>
      </c>
      <c r="BT72" s="3" t="s">
        <v>856</v>
      </c>
      <c r="BU72" s="3" t="s">
        <v>748</v>
      </c>
      <c r="BV72" s="3">
        <v>17.239999999999998</v>
      </c>
      <c r="BW72" s="3">
        <v>21.39</v>
      </c>
      <c r="BX72" s="3">
        <v>18.36</v>
      </c>
      <c r="BY72" s="3">
        <v>-10.01</v>
      </c>
      <c r="BZ72" s="3">
        <v>2.09</v>
      </c>
      <c r="CA72" s="3">
        <v>2.02</v>
      </c>
      <c r="CB72" s="3">
        <v>-2.96</v>
      </c>
      <c r="CC72" s="3">
        <v>-14.16</v>
      </c>
      <c r="CD72" s="3" t="s">
        <v>2946</v>
      </c>
      <c r="CE72" s="3" t="s">
        <v>1169</v>
      </c>
      <c r="CF72" s="10">
        <v>6.1137803876490517</v>
      </c>
      <c r="CG72" s="11">
        <v>-39.402017099430019</v>
      </c>
      <c r="CH72" s="10">
        <v>-0.81002503633499146</v>
      </c>
      <c r="CI72" s="10">
        <v>-6.7756980657577515E-2</v>
      </c>
      <c r="CJ72" s="10">
        <v>0.26852396130561829</v>
      </c>
      <c r="CK72" s="10">
        <v>-0.23073410987854004</v>
      </c>
      <c r="CL72" s="10">
        <v>0.3234761655330658</v>
      </c>
      <c r="CM72" s="11">
        <v>-0.14064621925354004</v>
      </c>
      <c r="CN72" s="11">
        <v>-2.0848967134952545E-2</v>
      </c>
      <c r="CO72" s="11">
        <v>1.8020865917205811</v>
      </c>
      <c r="CP72" s="11">
        <v>-1.6032286882400513</v>
      </c>
      <c r="CQ72" s="11">
        <v>1.6812083721160889</v>
      </c>
      <c r="CR72" s="3">
        <v>1108.5931819656923</v>
      </c>
      <c r="CS72" s="3">
        <v>107.31450544572667</v>
      </c>
      <c r="CT72" s="3">
        <v>0</v>
      </c>
      <c r="CU72" s="10">
        <v>-0.10330320000648499</v>
      </c>
      <c r="CV72" s="11">
        <v>0.3437142178416252</v>
      </c>
      <c r="CW72" s="3">
        <v>0.06</v>
      </c>
      <c r="CX72" s="3" t="e">
        <v>#VALUE!</v>
      </c>
      <c r="CY72" s="3" t="s">
        <v>1416</v>
      </c>
      <c r="CZ72" s="3">
        <v>-0.10330320000648499</v>
      </c>
      <c r="DA72" s="3">
        <v>59.007935393838302</v>
      </c>
      <c r="DB72" s="3" t="s">
        <v>2947</v>
      </c>
      <c r="DC72" s="3">
        <v>-9.8138040006160734E-2</v>
      </c>
      <c r="DD72" s="3">
        <v>29.503967696919151</v>
      </c>
      <c r="DE72" s="3" t="s">
        <v>2948</v>
      </c>
      <c r="DF72" s="3">
        <v>-9.0906816005706798E-2</v>
      </c>
      <c r="DG72" s="3">
        <v>17.702380618151491</v>
      </c>
      <c r="DH72" s="3" t="s">
        <v>2949</v>
      </c>
      <c r="DI72" s="3">
        <v>-8.2642560005187993E-2</v>
      </c>
      <c r="DJ72" s="3">
        <v>8.8511903090757453</v>
      </c>
      <c r="DK72" s="3" t="s">
        <v>2950</v>
      </c>
      <c r="DL72" s="3">
        <v>-7.2312240004539494E-2</v>
      </c>
      <c r="DM72" s="3">
        <v>36330900</v>
      </c>
      <c r="DN72" s="3">
        <v>-0.10330320000648499</v>
      </c>
      <c r="DO72" s="3">
        <v>6431434200</v>
      </c>
      <c r="DP72" s="3">
        <v>849631300</v>
      </c>
      <c r="DQ72" s="3">
        <v>4805</v>
      </c>
      <c r="DR72" s="3">
        <v>6.2170835876555364</v>
      </c>
      <c r="DS72" s="3">
        <v>-39.745731317271641</v>
      </c>
      <c r="DT72" s="12">
        <v>-0.65666666666666662</v>
      </c>
      <c r="DU72" s="3">
        <v>-0.94833333333333336</v>
      </c>
      <c r="DV72" s="3">
        <v>-1.605</v>
      </c>
      <c r="DW72" s="3">
        <v>-8.2090395480225986</v>
      </c>
      <c r="DX72" s="3">
        <v>0.46286070038910226</v>
      </c>
      <c r="DY72" s="3">
        <v>-8.0277731407593045</v>
      </c>
      <c r="DZ72" s="3">
        <v>1551</v>
      </c>
      <c r="EA72" s="3">
        <v>-8.0193433675073127</v>
      </c>
      <c r="EB72" s="3">
        <v>8</v>
      </c>
      <c r="EC72" s="3">
        <v>2.7799135508532725E-2</v>
      </c>
      <c r="ED72" s="3">
        <v>0.20923520218633687</v>
      </c>
      <c r="EE72" s="13">
        <v>3.0297100000000001</v>
      </c>
      <c r="EF72" s="3">
        <v>3.0403099999999998</v>
      </c>
      <c r="EG72" s="3">
        <v>33.132860700389102</v>
      </c>
      <c r="EH72" s="3" t="s">
        <v>1192</v>
      </c>
      <c r="EI72" s="3">
        <v>0</v>
      </c>
      <c r="EJ72" s="3">
        <v>0</v>
      </c>
      <c r="EK72" s="15">
        <v>45470</v>
      </c>
      <c r="EL72" s="16">
        <v>-2.5</v>
      </c>
      <c r="EM72" s="16">
        <v>-6.81</v>
      </c>
      <c r="EN72" s="16">
        <v>-2.0499999999999998</v>
      </c>
      <c r="EO72" s="16">
        <v>5.62</v>
      </c>
      <c r="EP72" s="16">
        <v>-1.06</v>
      </c>
    </row>
    <row r="73" spans="1:146" ht="168" x14ac:dyDescent="0.25">
      <c r="C73" s="7" t="str">
        <f>"公司主营业务是医用耗材智能装备的研发、生产、销售和服务。公司的主要产品包括安全输注类、血液净化类两大类设备。"&amp;CHAR(10)&amp;Basic_Fundamental_Information_Constructure(F73)&amp;CHAR(10)&amp;Basic_Fundamental_Information_Concatenate("医用耗材智能设备连线机 1.10亿 55.66% 5668.38万 54.24% 51.52%
医用耗材智能设备单机 8764.31万 44.34% 4782.61万 45.76% 54.57%")</f>
        <v>公司主营业务是医用耗材智能装备的研发、生产、销售和服务。公司的主要产品包括安全输注类、血液净化类两大类设备。
市值21.270219亿, 利润-5631.08万; PE21.94; 平均PE53.84; 平均PEG5.31, PB2.35; ROIC8.36%; ROE8.5567%; 股利率3.885%; 毛利50.95%; 净利21.0567%; 上一年度营收增-13.58%, 利润增-184.02%; 当季营收增79.64%, 利润增153.94%; 过往5年营收增10.14%, 利润增-32.22%
Income profile:
医用耗材智能设备连线机 1.10亿 55.66% 5668.38万 54.24% 51.52%
医用耗材智能设备单机 8764.31万 44.34% 4782.61万 45.76% 54.57%</v>
      </c>
      <c r="D73" s="3" t="s">
        <v>576</v>
      </c>
      <c r="E73" s="3" t="s">
        <v>577</v>
      </c>
      <c r="F73" s="3">
        <v>12.87</v>
      </c>
      <c r="G73" s="3">
        <v>4.55</v>
      </c>
      <c r="H73" s="3" t="s">
        <v>2951</v>
      </c>
      <c r="I73" s="3">
        <v>2127021900</v>
      </c>
      <c r="J73" s="3">
        <v>21.94</v>
      </c>
      <c r="K73" s="3">
        <v>2.35</v>
      </c>
      <c r="L73" s="3" t="s">
        <v>176</v>
      </c>
      <c r="M73" s="3" t="s">
        <v>58</v>
      </c>
      <c r="N73" s="3" t="s">
        <v>2952</v>
      </c>
      <c r="O73" s="3" t="s">
        <v>1776</v>
      </c>
      <c r="P73" s="3">
        <v>2.08</v>
      </c>
      <c r="Q73" s="3" t="s">
        <v>690</v>
      </c>
      <c r="R73" s="3">
        <v>10513161</v>
      </c>
      <c r="S73" s="5">
        <v>-0.21609999999999999</v>
      </c>
      <c r="T73" s="3" t="s">
        <v>2953</v>
      </c>
      <c r="U73" s="3">
        <v>165269770</v>
      </c>
      <c r="V73" s="3">
        <v>165269770</v>
      </c>
      <c r="W73" s="3">
        <v>1.17</v>
      </c>
      <c r="X73" s="3">
        <v>7.0000000000000007E-2</v>
      </c>
      <c r="Y73" s="3">
        <v>12.95</v>
      </c>
      <c r="Z73" s="3" t="s">
        <v>2954</v>
      </c>
      <c r="AA73" s="3" t="s">
        <v>2955</v>
      </c>
      <c r="AB73" s="3" t="s">
        <v>2956</v>
      </c>
      <c r="AC73" s="3" t="s">
        <v>2957</v>
      </c>
      <c r="AD73" s="3" t="s">
        <v>47</v>
      </c>
      <c r="AE73" s="3">
        <v>-983733</v>
      </c>
      <c r="AF73" s="3" t="s">
        <v>1778</v>
      </c>
      <c r="AG73" s="3">
        <v>1400</v>
      </c>
      <c r="AH73" s="3" t="s">
        <v>1779</v>
      </c>
      <c r="AI73" s="3" t="s">
        <v>1871</v>
      </c>
      <c r="AJ73" s="3" t="s">
        <v>1780</v>
      </c>
      <c r="AK73" s="3" t="s">
        <v>47</v>
      </c>
      <c r="AL73" s="3" t="s">
        <v>1781</v>
      </c>
      <c r="AM73" s="3" t="s">
        <v>47</v>
      </c>
      <c r="AN73" s="3" t="s">
        <v>2958</v>
      </c>
      <c r="AO73" s="3" t="s">
        <v>47</v>
      </c>
      <c r="AP73" s="3" t="s">
        <v>2959</v>
      </c>
      <c r="AQ73" s="3" t="s">
        <v>2960</v>
      </c>
      <c r="AR73" s="3" t="s">
        <v>1782</v>
      </c>
      <c r="AS73" s="3" t="s">
        <v>55</v>
      </c>
      <c r="AT73" s="3" t="s">
        <v>47</v>
      </c>
      <c r="AU73" s="3" t="s">
        <v>2961</v>
      </c>
      <c r="AV73" s="3" t="s">
        <v>2962</v>
      </c>
      <c r="AW73" s="3" t="s">
        <v>2963</v>
      </c>
      <c r="AX73" s="3" t="s">
        <v>1044</v>
      </c>
      <c r="AY73" s="3" t="s">
        <v>240</v>
      </c>
      <c r="AZ73" s="3" t="s">
        <v>93</v>
      </c>
      <c r="BA73" s="3" t="s">
        <v>58</v>
      </c>
      <c r="BB73" s="3" t="s">
        <v>86</v>
      </c>
      <c r="BC73" s="3" t="s">
        <v>1783</v>
      </c>
      <c r="BD73" s="3" t="s">
        <v>732</v>
      </c>
      <c r="BE73" s="3" t="s">
        <v>578</v>
      </c>
      <c r="BF73" s="3" t="s">
        <v>579</v>
      </c>
      <c r="BG73" s="3" t="s">
        <v>580</v>
      </c>
      <c r="BH73" s="3" t="s">
        <v>765</v>
      </c>
      <c r="BI73" s="3" t="s">
        <v>2964</v>
      </c>
      <c r="BJ73" s="3" t="s">
        <v>1044</v>
      </c>
      <c r="BK73" s="3" t="s">
        <v>1777</v>
      </c>
      <c r="BL73" s="3" t="s">
        <v>2965</v>
      </c>
      <c r="BM73" s="3" t="s">
        <v>1783</v>
      </c>
      <c r="BN73" s="3">
        <v>8.8800000000000008</v>
      </c>
      <c r="BO73" s="3">
        <v>8.49</v>
      </c>
      <c r="BP73" s="3">
        <v>7.71</v>
      </c>
      <c r="BQ73" s="3">
        <v>8.52</v>
      </c>
      <c r="BR73" s="3">
        <v>8.51</v>
      </c>
      <c r="BS73" s="3">
        <v>8.64</v>
      </c>
      <c r="BT73" s="3" t="s">
        <v>1534</v>
      </c>
      <c r="BU73" s="3" t="s">
        <v>748</v>
      </c>
      <c r="BV73" s="3">
        <v>52.27</v>
      </c>
      <c r="BW73" s="3">
        <v>50.46</v>
      </c>
      <c r="BX73" s="3">
        <v>50.12</v>
      </c>
      <c r="BY73" s="3">
        <v>22.82</v>
      </c>
      <c r="BZ73" s="3">
        <v>20.079999999999998</v>
      </c>
      <c r="CA73" s="3">
        <v>20.27</v>
      </c>
      <c r="CB73" s="3">
        <v>-2.0499999999999998</v>
      </c>
      <c r="CC73" s="3">
        <v>-29.23</v>
      </c>
      <c r="CD73" s="3" t="s">
        <v>2966</v>
      </c>
      <c r="CE73" s="3" t="s">
        <v>2967</v>
      </c>
      <c r="CF73" s="10">
        <v>0.79639853327363164</v>
      </c>
      <c r="CG73" s="11">
        <v>1.5394407614551799</v>
      </c>
      <c r="CH73" s="10">
        <v>-0.13577023148536682</v>
      </c>
      <c r="CI73" s="10">
        <v>0.21202531456947327</v>
      </c>
      <c r="CJ73" s="10">
        <v>0.20152091979980469</v>
      </c>
      <c r="CK73" s="10">
        <v>0.25238096714019775</v>
      </c>
      <c r="CL73" s="10">
        <v>-2.3255813866853714E-2</v>
      </c>
      <c r="CM73" s="11">
        <v>-1.8401511907577515</v>
      </c>
      <c r="CN73" s="11">
        <v>3.9477907121181488E-2</v>
      </c>
      <c r="CO73" s="11">
        <v>9.1535910964012146E-2</v>
      </c>
      <c r="CP73" s="11">
        <v>0.26351329684257507</v>
      </c>
      <c r="CQ73" s="11">
        <v>-0.16529162228107452</v>
      </c>
      <c r="CR73" s="3">
        <v>53.842521738029845</v>
      </c>
      <c r="CS73" s="3">
        <v>5.3109487997820191</v>
      </c>
      <c r="CT73" s="3">
        <v>3.885003885003885</v>
      </c>
      <c r="CU73" s="10">
        <v>0.10138023123145104</v>
      </c>
      <c r="CV73" s="11">
        <v>-0.32218313962221146</v>
      </c>
      <c r="CW73" s="3">
        <v>0.06</v>
      </c>
      <c r="CX73" s="3" t="e">
        <v>#VALUE!</v>
      </c>
      <c r="CY73" s="3" t="s">
        <v>758</v>
      </c>
      <c r="CZ73" s="3">
        <v>0.10138023123145104</v>
      </c>
      <c r="DA73" s="3" t="e">
        <v>#VALUE!</v>
      </c>
      <c r="DB73" s="3" t="s">
        <v>758</v>
      </c>
      <c r="DC73" s="3">
        <v>9.6311219669878489E-2</v>
      </c>
      <c r="DD73" s="3" t="e">
        <v>#VALUE!</v>
      </c>
      <c r="DE73" s="3" t="s">
        <v>758</v>
      </c>
      <c r="DF73" s="3">
        <v>8.9214603483676921E-2</v>
      </c>
      <c r="DG73" s="3" t="e">
        <v>#VALUE!</v>
      </c>
      <c r="DH73" s="3" t="s">
        <v>758</v>
      </c>
      <c r="DI73" s="3">
        <v>8.1104184985160838E-2</v>
      </c>
      <c r="DJ73" s="3" t="e">
        <v>#VALUE!</v>
      </c>
      <c r="DK73" s="3" t="s">
        <v>758</v>
      </c>
      <c r="DL73" s="3">
        <v>7.0966161862015723E-2</v>
      </c>
      <c r="DM73" s="3">
        <v>-56310800</v>
      </c>
      <c r="DN73" s="3">
        <v>0.10138023123145104</v>
      </c>
      <c r="DO73" s="3">
        <v>1386021900</v>
      </c>
      <c r="DP73" s="3">
        <v>541773050</v>
      </c>
      <c r="DQ73" s="3">
        <v>4809</v>
      </c>
      <c r="DR73" s="3">
        <v>0.69501830204218062</v>
      </c>
      <c r="DS73" s="3">
        <v>1.8616239010773914</v>
      </c>
      <c r="DT73" s="12">
        <v>-4.0000000000000036E-2</v>
      </c>
      <c r="DU73" s="3">
        <v>-0.95333333333333348</v>
      </c>
      <c r="DV73" s="3">
        <v>-0.99333333333333351</v>
      </c>
      <c r="DW73" s="3">
        <v>-3.1496249999999999</v>
      </c>
      <c r="DX73" s="3">
        <v>0.4547018189105414</v>
      </c>
      <c r="DY73" s="3">
        <v>-3.0291322596544896</v>
      </c>
      <c r="DZ73" s="3">
        <v>4152</v>
      </c>
      <c r="EA73" s="3">
        <v>-3.0054615860565561</v>
      </c>
      <c r="EB73" s="3">
        <v>3</v>
      </c>
      <c r="EC73" s="3">
        <v>3.9975247741919163E-2</v>
      </c>
      <c r="ED73" s="3">
        <v>0.20531522491983864</v>
      </c>
      <c r="EE73" s="13">
        <v>-3.0133100000000002</v>
      </c>
      <c r="EF73" s="3">
        <v>-3.04731</v>
      </c>
      <c r="EG73" s="3">
        <v>26.194701818910541</v>
      </c>
      <c r="EH73" s="3" t="s">
        <v>1182</v>
      </c>
      <c r="EI73" s="3">
        <v>0</v>
      </c>
      <c r="EJ73" s="3">
        <v>0</v>
      </c>
      <c r="EK73" s="15">
        <v>45470</v>
      </c>
      <c r="EL73" s="16">
        <v>-0.8</v>
      </c>
      <c r="EM73" s="16">
        <v>-5.17</v>
      </c>
      <c r="EN73" s="16">
        <v>-4.6900000000000004</v>
      </c>
      <c r="EO73" s="16">
        <v>2.29</v>
      </c>
      <c r="EP73" s="16">
        <v>-3.4</v>
      </c>
    </row>
    <row r="74" spans="1:146" ht="108" x14ac:dyDescent="0.25">
      <c r="C74" s="7" t="str">
        <f>""&amp;CHAR(10)&amp;Basic_Fundamental_Information_Constructure(F74)&amp;CHAR(10)&amp;Basic_Fundamental_Information_Concatenate("")</f>
        <v xml:space="preserve">
市值30.186435亿, 利润-4754.67万; PE39.98; 平均PE43.59; 平均PEG1.25, PB2.24; ROIC5.1367%; ROE6.4433%; 股利率1.9194%; 毛利57.74%; 净利24.6067%; 上一年度营收增137.42%, 利润增-158.25%; 当季营收增-52.01%, 利润增360.36%; 过往5年营收增34.84%, 利润增-24.41%
Income profile:
</v>
      </c>
      <c r="D74" s="3" t="s">
        <v>581</v>
      </c>
      <c r="E74" s="3" t="s">
        <v>582</v>
      </c>
      <c r="F74" s="3">
        <v>20.84</v>
      </c>
      <c r="G74" s="3">
        <v>-2.98</v>
      </c>
      <c r="H74" s="3" t="s">
        <v>2968</v>
      </c>
      <c r="I74" s="3">
        <v>3018643500</v>
      </c>
      <c r="J74" s="3">
        <v>39.979999999999997</v>
      </c>
      <c r="K74" s="3">
        <v>2.2400000000000002</v>
      </c>
      <c r="L74" s="3" t="s">
        <v>176</v>
      </c>
      <c r="M74" s="3" t="s">
        <v>1075</v>
      </c>
      <c r="N74" s="3" t="s">
        <v>2969</v>
      </c>
      <c r="O74" s="3" t="s">
        <v>1784</v>
      </c>
      <c r="P74" s="3">
        <v>36.159999999999997</v>
      </c>
      <c r="Q74" s="3" t="s">
        <v>1916</v>
      </c>
      <c r="R74" s="3">
        <v>8313772</v>
      </c>
      <c r="S74" s="5">
        <v>5.0730000000000004</v>
      </c>
      <c r="T74" s="3" t="s">
        <v>2970</v>
      </c>
      <c r="U74" s="3">
        <v>144848540</v>
      </c>
      <c r="V74" s="3">
        <v>144848540</v>
      </c>
      <c r="W74" s="3">
        <v>1.18</v>
      </c>
      <c r="X74" s="3">
        <v>0.05</v>
      </c>
      <c r="Y74" s="3">
        <v>10.5</v>
      </c>
      <c r="Z74" s="3" t="s">
        <v>2971</v>
      </c>
      <c r="AA74" s="3" t="s">
        <v>2972</v>
      </c>
      <c r="AB74" s="3" t="s">
        <v>2973</v>
      </c>
      <c r="AC74" s="3" t="s">
        <v>2974</v>
      </c>
      <c r="AD74" s="3" t="s">
        <v>47</v>
      </c>
      <c r="AE74" s="3">
        <v>-5329065</v>
      </c>
      <c r="AF74" s="3" t="s">
        <v>1786</v>
      </c>
      <c r="AG74" s="3" t="s">
        <v>47</v>
      </c>
      <c r="AH74" s="3" t="s">
        <v>1787</v>
      </c>
      <c r="AI74" s="3" t="s">
        <v>523</v>
      </c>
      <c r="AJ74" s="3" t="s">
        <v>1788</v>
      </c>
      <c r="AK74" s="3" t="s">
        <v>2975</v>
      </c>
      <c r="AL74" s="3" t="s">
        <v>1789</v>
      </c>
      <c r="AM74" s="3" t="s">
        <v>47</v>
      </c>
      <c r="AN74" s="3" t="s">
        <v>2976</v>
      </c>
      <c r="AO74" s="3" t="s">
        <v>2977</v>
      </c>
      <c r="AP74" s="3" t="s">
        <v>47</v>
      </c>
      <c r="AQ74" s="3" t="s">
        <v>2978</v>
      </c>
      <c r="AR74" s="3" t="s">
        <v>47</v>
      </c>
      <c r="AS74" s="3" t="s">
        <v>961</v>
      </c>
      <c r="AT74" s="3" t="s">
        <v>47</v>
      </c>
      <c r="AU74" s="3" t="s">
        <v>2979</v>
      </c>
      <c r="AV74" s="3" t="s">
        <v>1817</v>
      </c>
      <c r="AW74" s="3" t="s">
        <v>2980</v>
      </c>
      <c r="AX74" s="3" t="s">
        <v>1045</v>
      </c>
      <c r="AY74" s="3" t="s">
        <v>733</v>
      </c>
      <c r="AZ74" s="3" t="s">
        <v>155</v>
      </c>
      <c r="BA74" s="3" t="s">
        <v>159</v>
      </c>
      <c r="BB74" s="3" t="s">
        <v>127</v>
      </c>
      <c r="BC74" s="3" t="s">
        <v>1790</v>
      </c>
      <c r="BD74" s="3" t="s">
        <v>65</v>
      </c>
      <c r="BE74" s="3" t="s">
        <v>123</v>
      </c>
      <c r="BF74" s="3" t="s">
        <v>583</v>
      </c>
      <c r="BG74" s="3" t="s">
        <v>584</v>
      </c>
      <c r="BH74" s="3" t="s">
        <v>1137</v>
      </c>
      <c r="BI74" s="3" t="s">
        <v>283</v>
      </c>
      <c r="BJ74" s="3" t="s">
        <v>1045</v>
      </c>
      <c r="BK74" s="3" t="s">
        <v>1785</v>
      </c>
      <c r="BL74" s="3" t="s">
        <v>2981</v>
      </c>
      <c r="BM74" s="3" t="s">
        <v>1790</v>
      </c>
      <c r="BN74" s="3">
        <v>1.57</v>
      </c>
      <c r="BO74" s="3">
        <v>5.22</v>
      </c>
      <c r="BP74" s="3">
        <v>8.6199999999999992</v>
      </c>
      <c r="BQ74" s="3">
        <v>3.39</v>
      </c>
      <c r="BR74" s="3">
        <v>6.19</v>
      </c>
      <c r="BS74" s="3">
        <v>9.75</v>
      </c>
      <c r="BT74" s="3" t="s">
        <v>857</v>
      </c>
      <c r="BU74" s="3" t="s">
        <v>748</v>
      </c>
      <c r="BV74" s="3">
        <v>57.02</v>
      </c>
      <c r="BW74" s="3">
        <v>57.41</v>
      </c>
      <c r="BX74" s="3">
        <v>58.79</v>
      </c>
      <c r="BY74" s="3">
        <v>20.52</v>
      </c>
      <c r="BZ74" s="3">
        <v>25.07</v>
      </c>
      <c r="CA74" s="3">
        <v>28.23</v>
      </c>
      <c r="CB74" s="3">
        <v>-14.06</v>
      </c>
      <c r="CC74" s="3">
        <v>13.51</v>
      </c>
      <c r="CD74" s="3" t="s">
        <v>2982</v>
      </c>
      <c r="CE74" s="3" t="s">
        <v>72</v>
      </c>
      <c r="CF74" s="10">
        <v>-0.52010805369127522</v>
      </c>
      <c r="CG74" s="11">
        <v>3.6035863710384568</v>
      </c>
      <c r="CH74" s="10">
        <v>1.3742138147354126</v>
      </c>
      <c r="CI74" s="10">
        <v>-0.257009357213974</v>
      </c>
      <c r="CJ74" s="10">
        <v>0.22285714745521545</v>
      </c>
      <c r="CK74" s="10">
        <v>0.29151290655136108</v>
      </c>
      <c r="CL74" s="10">
        <v>0.11065573990345001</v>
      </c>
      <c r="CM74" s="11">
        <v>-1.5825324058532715</v>
      </c>
      <c r="CN74" s="11">
        <v>-0.33097782731056213</v>
      </c>
      <c r="CO74" s="11">
        <v>0.19607843458652496</v>
      </c>
      <c r="CP74" s="11">
        <v>0.11776167154312134</v>
      </c>
      <c r="CQ74" s="11">
        <v>0.37920621037483215</v>
      </c>
      <c r="CR74" s="3">
        <v>43.59138014276094</v>
      </c>
      <c r="CS74" s="3">
        <v>1.251022363632621</v>
      </c>
      <c r="CT74" s="3">
        <v>1.9193857965451055</v>
      </c>
      <c r="CU74" s="10">
        <v>0.34844605028629305</v>
      </c>
      <c r="CV74" s="11">
        <v>-0.24409278333187104</v>
      </c>
      <c r="CW74" s="3">
        <v>0.06</v>
      </c>
      <c r="CX74" s="3" t="e">
        <v>#VALUE!</v>
      </c>
      <c r="CY74" s="3" t="s">
        <v>758</v>
      </c>
      <c r="CZ74" s="3">
        <v>0.34844605028629305</v>
      </c>
      <c r="DA74" s="3" t="e">
        <v>#VALUE!</v>
      </c>
      <c r="DB74" s="3" t="s">
        <v>758</v>
      </c>
      <c r="DC74" s="3">
        <v>0.3310237477719784</v>
      </c>
      <c r="DD74" s="3" t="e">
        <v>#VALUE!</v>
      </c>
      <c r="DE74" s="3" t="s">
        <v>758</v>
      </c>
      <c r="DF74" s="3">
        <v>0.30663252425193788</v>
      </c>
      <c r="DG74" s="3" t="e">
        <v>#VALUE!</v>
      </c>
      <c r="DH74" s="3" t="s">
        <v>758</v>
      </c>
      <c r="DI74" s="3">
        <v>0.27875684022903446</v>
      </c>
      <c r="DJ74" s="3" t="e">
        <v>#VALUE!</v>
      </c>
      <c r="DK74" s="3" t="s">
        <v>758</v>
      </c>
      <c r="DL74" s="3">
        <v>0.24391223520040511</v>
      </c>
      <c r="DM74" s="3">
        <v>-47546700</v>
      </c>
      <c r="DN74" s="3">
        <v>0.34844605028629305</v>
      </c>
      <c r="DO74" s="3">
        <v>1845643500</v>
      </c>
      <c r="DP74" s="3">
        <v>1000702000</v>
      </c>
      <c r="DQ74" s="3">
        <v>4811</v>
      </c>
      <c r="DR74" s="3">
        <v>-0.86855410397756827</v>
      </c>
      <c r="DS74" s="3">
        <v>3.8476791543703279</v>
      </c>
      <c r="DT74" s="12">
        <v>-6.6666666666666714E-3</v>
      </c>
      <c r="DU74" s="3">
        <v>-0.88666666666666671</v>
      </c>
      <c r="DV74" s="3">
        <v>-0.89333333333333342</v>
      </c>
      <c r="DW74" s="3">
        <v>-5.960881934566145</v>
      </c>
      <c r="DX74" s="3">
        <v>0.34403728813559464</v>
      </c>
      <c r="DY74" s="3">
        <v>-5.1287940087277288</v>
      </c>
      <c r="DZ74" s="3">
        <v>1796</v>
      </c>
      <c r="EA74" s="3">
        <v>-5.0835270733705862</v>
      </c>
      <c r="EB74" s="3">
        <v>5</v>
      </c>
      <c r="EC74" s="3">
        <v>0.10919267808981714</v>
      </c>
      <c r="ED74" s="3">
        <v>0.81464404128615997</v>
      </c>
      <c r="EE74" s="13">
        <v>-4.0175099999999997</v>
      </c>
      <c r="EF74" s="3">
        <v>-4.0585100000000001</v>
      </c>
      <c r="EG74" s="3">
        <v>21.134037288135595</v>
      </c>
      <c r="EH74" s="3" t="s">
        <v>1195</v>
      </c>
      <c r="EI74" s="3">
        <v>0</v>
      </c>
      <c r="EJ74" s="3">
        <v>0</v>
      </c>
      <c r="EK74" s="15">
        <v>45470</v>
      </c>
      <c r="EL74" s="16">
        <v>0.19</v>
      </c>
      <c r="EM74" s="16">
        <v>-6.29</v>
      </c>
      <c r="EN74" s="16">
        <v>-4.2300000000000004</v>
      </c>
      <c r="EO74" s="16">
        <v>5.0599999999999996</v>
      </c>
      <c r="EP74" s="16">
        <v>-4.0999999999999996</v>
      </c>
    </row>
    <row r="75" spans="1:146" ht="108" x14ac:dyDescent="0.25">
      <c r="C75" s="7" t="str">
        <f>""&amp;CHAR(10)&amp;Basic_Fundamental_Information_Constructure(F75)&amp;CHAR(10)&amp;Basic_Fundamental_Information_Concatenate("")</f>
        <v xml:space="preserve">
市值36.847335亿, 利润8883.85万; PE216.1; 平均PE44.75; 平均PEG2.16, PB2.37; ROIC9.77%; ROE10.1767%; 股利率.4524%; 毛利32.12%; 净利9.42%; 上一年度营收增-44.49%, 利润增-1.7%; 当季营收增91.59%, 利润增53.78%; 过往5年营收增20.73%, 利润增20.55%
Income profile:
</v>
      </c>
      <c r="D75" s="3" t="s">
        <v>734</v>
      </c>
      <c r="E75" s="3" t="s">
        <v>735</v>
      </c>
      <c r="F75" s="3">
        <v>24.4</v>
      </c>
      <c r="G75" s="3">
        <v>-1.45</v>
      </c>
      <c r="H75" s="3" t="s">
        <v>2983</v>
      </c>
      <c r="I75" s="3">
        <v>3684733500</v>
      </c>
      <c r="J75" s="3">
        <v>216.1</v>
      </c>
      <c r="K75" s="3">
        <v>2.37</v>
      </c>
      <c r="L75" s="3" t="s">
        <v>176</v>
      </c>
      <c r="M75" s="3" t="s">
        <v>1791</v>
      </c>
      <c r="N75" s="3" t="s">
        <v>2984</v>
      </c>
      <c r="O75" s="3" t="s">
        <v>273</v>
      </c>
      <c r="P75" s="3">
        <v>-25.48</v>
      </c>
      <c r="Q75" s="3" t="s">
        <v>1178</v>
      </c>
      <c r="R75" s="3">
        <v>-15009154</v>
      </c>
      <c r="S75" s="5">
        <v>-1.698</v>
      </c>
      <c r="T75" s="3" t="s">
        <v>2985</v>
      </c>
      <c r="U75" s="3">
        <v>105580706</v>
      </c>
      <c r="V75" s="3">
        <v>151013670</v>
      </c>
      <c r="W75" s="3">
        <v>1.35</v>
      </c>
      <c r="X75" s="3">
        <v>0.1</v>
      </c>
      <c r="Y75" s="3">
        <v>-8.2200000000000006</v>
      </c>
      <c r="Z75" s="3" t="s">
        <v>844</v>
      </c>
      <c r="AA75" s="3" t="s">
        <v>289</v>
      </c>
      <c r="AB75" s="3" t="s">
        <v>2986</v>
      </c>
      <c r="AC75" s="3" t="s">
        <v>2987</v>
      </c>
      <c r="AD75" s="3" t="s">
        <v>47</v>
      </c>
      <c r="AE75" s="3">
        <v>749089</v>
      </c>
      <c r="AF75" s="3" t="s">
        <v>1793</v>
      </c>
      <c r="AG75" s="3" t="s">
        <v>2988</v>
      </c>
      <c r="AH75" s="3" t="s">
        <v>1794</v>
      </c>
      <c r="AI75" s="3" t="s">
        <v>51</v>
      </c>
      <c r="AJ75" s="3" t="s">
        <v>1795</v>
      </c>
      <c r="AK75" s="3" t="s">
        <v>100</v>
      </c>
      <c r="AL75" s="3" t="s">
        <v>1796</v>
      </c>
      <c r="AM75" s="3" t="s">
        <v>47</v>
      </c>
      <c r="AN75" s="3" t="s">
        <v>2989</v>
      </c>
      <c r="AO75" s="3" t="s">
        <v>56</v>
      </c>
      <c r="AP75" s="3" t="s">
        <v>2990</v>
      </c>
      <c r="AQ75" s="3" t="s">
        <v>56</v>
      </c>
      <c r="AR75" s="3" t="s">
        <v>47</v>
      </c>
      <c r="AS75" s="3" t="s">
        <v>281</v>
      </c>
      <c r="AT75" s="3" t="s">
        <v>47</v>
      </c>
      <c r="AU75" s="3" t="s">
        <v>2991</v>
      </c>
      <c r="AV75" s="3" t="s">
        <v>2992</v>
      </c>
      <c r="AW75" s="3" t="s">
        <v>2993</v>
      </c>
      <c r="AX75" s="3" t="s">
        <v>1046</v>
      </c>
      <c r="AY75" s="3" t="s">
        <v>736</v>
      </c>
      <c r="AZ75" s="3" t="s">
        <v>608</v>
      </c>
      <c r="BA75" s="3" t="s">
        <v>397</v>
      </c>
      <c r="BB75" s="3" t="s">
        <v>116</v>
      </c>
      <c r="BC75" s="3" t="s">
        <v>1047</v>
      </c>
      <c r="BD75" s="3" t="s">
        <v>61</v>
      </c>
      <c r="BE75" s="3" t="s">
        <v>48</v>
      </c>
      <c r="BF75" s="3" t="s">
        <v>737</v>
      </c>
      <c r="BG75" s="3" t="s">
        <v>790</v>
      </c>
      <c r="BH75" s="3" t="s">
        <v>420</v>
      </c>
      <c r="BI75" s="3" t="s">
        <v>48</v>
      </c>
      <c r="BJ75" s="3" t="s">
        <v>1046</v>
      </c>
      <c r="BK75" s="3" t="s">
        <v>1792</v>
      </c>
      <c r="BL75" s="3" t="s">
        <v>2994</v>
      </c>
      <c r="BM75" s="3" t="s">
        <v>1047</v>
      </c>
      <c r="BN75" s="3">
        <v>3.74</v>
      </c>
      <c r="BO75" s="3">
        <v>7.24</v>
      </c>
      <c r="BP75" s="3">
        <v>18.329999999999998</v>
      </c>
      <c r="BQ75" s="3">
        <v>4.0199999999999996</v>
      </c>
      <c r="BR75" s="3">
        <v>7.41</v>
      </c>
      <c r="BS75" s="3">
        <v>19.100000000000001</v>
      </c>
      <c r="BT75" s="3" t="s">
        <v>2995</v>
      </c>
      <c r="BU75" s="3" t="s">
        <v>747</v>
      </c>
      <c r="BV75" s="3">
        <v>29.45</v>
      </c>
      <c r="BW75" s="3">
        <v>30.44</v>
      </c>
      <c r="BX75" s="3">
        <v>36.47</v>
      </c>
      <c r="BY75" s="3">
        <v>4.6500000000000004</v>
      </c>
      <c r="BZ75" s="3">
        <v>9.1999999999999993</v>
      </c>
      <c r="CA75" s="3">
        <v>14.41</v>
      </c>
      <c r="CB75" s="3">
        <v>-0.56999999999999995</v>
      </c>
      <c r="CC75" s="3">
        <v>-5.86</v>
      </c>
      <c r="CD75" s="3" t="s">
        <v>2996</v>
      </c>
      <c r="CE75" s="3" t="s">
        <v>2997</v>
      </c>
      <c r="CF75" s="10">
        <v>0.91588785046728949</v>
      </c>
      <c r="CG75" s="11">
        <v>0.53784997290373437</v>
      </c>
      <c r="CH75" s="10">
        <v>-0.44491526484489441</v>
      </c>
      <c r="CI75" s="10">
        <v>0.25699067115783691</v>
      </c>
      <c r="CJ75" s="10">
        <v>0.3805147111415863</v>
      </c>
      <c r="CK75" s="10">
        <v>0.73801916837692261</v>
      </c>
      <c r="CL75" s="10">
        <v>0.10600706934928894</v>
      </c>
      <c r="CM75" s="11">
        <v>-1.7013348639011383E-2</v>
      </c>
      <c r="CN75" s="11">
        <v>-0.17839913070201874</v>
      </c>
      <c r="CO75" s="11">
        <v>2.8037382289767265E-2</v>
      </c>
      <c r="CP75" s="11">
        <v>1.2468748092651367</v>
      </c>
      <c r="CQ75" s="11">
        <v>-5.2051693201065063E-2</v>
      </c>
      <c r="CR75" s="3">
        <v>44.747244789179902</v>
      </c>
      <c r="CS75" s="3">
        <v>2.1583319887605841</v>
      </c>
      <c r="CT75" s="3">
        <v>0.45237704918032784</v>
      </c>
      <c r="CU75" s="10">
        <v>0.20732327103614806</v>
      </c>
      <c r="CV75" s="11">
        <v>0.20548960380256176</v>
      </c>
      <c r="CW75" s="3">
        <v>0.06</v>
      </c>
      <c r="CX75" s="3">
        <v>26.957711048003738</v>
      </c>
      <c r="CY75" s="3">
        <v>101185649.44711778</v>
      </c>
      <c r="CZ75" s="3">
        <v>0.20732327103614806</v>
      </c>
      <c r="DA75" s="3">
        <v>7.9872836731847165</v>
      </c>
      <c r="DB75" s="3">
        <v>341509530.85060382</v>
      </c>
      <c r="DC75" s="3">
        <v>0.19695710748434064</v>
      </c>
      <c r="DD75" s="3">
        <v>3.4304153423106225</v>
      </c>
      <c r="DE75" s="3">
        <v>795161293.25689244</v>
      </c>
      <c r="DF75" s="3">
        <v>0.18244447851181028</v>
      </c>
      <c r="DG75" s="3">
        <v>1.7527513332591103</v>
      </c>
      <c r="DH75" s="3">
        <v>1556258123.0093737</v>
      </c>
      <c r="DI75" s="3">
        <v>0.16585861682891845</v>
      </c>
      <c r="DJ75" s="3">
        <v>0.61896688997999438</v>
      </c>
      <c r="DK75" s="3">
        <v>4406913429.7121496</v>
      </c>
      <c r="DL75" s="3">
        <v>0.14512628972530364</v>
      </c>
      <c r="DM75" s="3">
        <v>88838500</v>
      </c>
      <c r="DN75" s="3">
        <v>0.20732327103614806</v>
      </c>
      <c r="DO75" s="3">
        <v>2727733500</v>
      </c>
      <c r="DP75" s="3">
        <v>842846130</v>
      </c>
      <c r="DQ75" s="3">
        <v>4819</v>
      </c>
      <c r="DR75" s="3">
        <v>0.70856457943114148</v>
      </c>
      <c r="DS75" s="3">
        <v>0.33236036910117261</v>
      </c>
      <c r="DT75" s="12">
        <v>-9.0000000000000011E-2</v>
      </c>
      <c r="DU75" s="3">
        <v>-0.15500000000000005</v>
      </c>
      <c r="DV75" s="3">
        <v>-0.24500000000000005</v>
      </c>
      <c r="DW75" s="3">
        <v>-1.0586</v>
      </c>
      <c r="DX75" s="3">
        <v>0.3834605835613476</v>
      </c>
      <c r="DY75" s="3">
        <v>-1.0089927901966951</v>
      </c>
      <c r="DZ75" s="3">
        <v>2061</v>
      </c>
      <c r="EA75" s="3">
        <v>-1.0053657568120788</v>
      </c>
      <c r="EB75" s="3">
        <v>1</v>
      </c>
      <c r="EC75" s="3">
        <v>4.3304688906640042E-2</v>
      </c>
      <c r="ED75" s="3">
        <v>0.28218769863681875</v>
      </c>
      <c r="EE75" s="13">
        <v>3.0867</v>
      </c>
      <c r="EF75" s="3">
        <v>3.0343</v>
      </c>
      <c r="EG75" s="3">
        <v>23.153460583561348</v>
      </c>
      <c r="EH75" s="3" t="s">
        <v>969</v>
      </c>
      <c r="EI75" s="3">
        <v>0</v>
      </c>
      <c r="EJ75" s="3">
        <v>0</v>
      </c>
      <c r="EK75" s="15">
        <v>45470</v>
      </c>
      <c r="EL75" s="16">
        <v>0.26</v>
      </c>
      <c r="EM75" s="16">
        <v>-6.47</v>
      </c>
      <c r="EN75" s="16">
        <v>-2.34</v>
      </c>
      <c r="EO75" s="16">
        <v>5.36</v>
      </c>
      <c r="EP75" s="16">
        <v>-5.24</v>
      </c>
    </row>
    <row r="76" spans="1:146" ht="216" x14ac:dyDescent="0.25">
      <c r="A76" s="7" t="s">
        <v>596</v>
      </c>
      <c r="B76" s="7" t="s">
        <v>597</v>
      </c>
      <c r="C76" s="7" t="str">
        <f>"公司的主营业务专注于医疗物资的智能管理领域，目前主要为各级医疗服务机构提供医疗物资智能化管理整体解决方案；公司主要产品包括覆盖自动化药房、自动化病区、自动化物流三大板块的医疗物资智能管理设备及软件信息平台"&amp;CHAR(10)&amp;Basic_Fundamental_Information_Constructure(F76)&amp;CHAR(10)&amp;Basic_Fundamental_Information_Concatenate("销售商品 2.71亿 87.33% 利润占比91.83% 62.01%
提供维保维修费 2932.23万 9.46% 利润占比5.70% 35.55%
其他业务 996.37万 3.21% 利润占比2.47% 45.30%")</f>
        <v>公司的主营业务专注于医疗物资的智能管理领域，目前主要为各级医疗服务机构提供医疗物资智能化管理整体解决方案；公司主要产品包括覆盖自动化药房、自动化病区、自动化物流三大板块的医疗物资智能管理设备及软件信息平台
市值10.8466亿, 利润1.95亿; PE83.42; 平均PE11.44; 平均PEG.31, PB1.38; ROIC9.4667%; ROE10.51%; 股利率1.0676%; 毛利55.22%; 净利17.9233%; 上一年度营收增106.5%, 利润增91.18%; 当季营收增-74.28%, 利润增-125.66%; 过往5年营收增36.58%, 利润增33.97%
Income profile:
销售商品 2.71亿 87.33% 利润占比91.83% 62.01%
提供维保维修费 2932.23万 9.46% 利润占比5.70% 35.55%
其他业务 996.37万 3.21% 利润占比2.47% 45.30%</v>
      </c>
      <c r="D76" s="3" t="s">
        <v>585</v>
      </c>
      <c r="E76" s="3" t="s">
        <v>2998</v>
      </c>
      <c r="F76" s="3">
        <v>14.05</v>
      </c>
      <c r="G76" s="3">
        <v>3.61</v>
      </c>
      <c r="H76" s="3" t="s">
        <v>2999</v>
      </c>
      <c r="I76" s="3">
        <v>1084660000</v>
      </c>
      <c r="J76" s="3">
        <v>83.42</v>
      </c>
      <c r="K76" s="3">
        <v>1.38</v>
      </c>
      <c r="L76" s="3" t="s">
        <v>176</v>
      </c>
      <c r="M76" s="3" t="s">
        <v>1797</v>
      </c>
      <c r="N76" s="3" t="s">
        <v>1164</v>
      </c>
      <c r="O76" s="3" t="s">
        <v>1798</v>
      </c>
      <c r="P76" s="3">
        <v>9.34</v>
      </c>
      <c r="Q76" s="3" t="s">
        <v>3000</v>
      </c>
      <c r="R76" s="3">
        <v>-13968038</v>
      </c>
      <c r="S76" s="5">
        <v>-6.4749999999999996</v>
      </c>
      <c r="T76" s="3" t="s">
        <v>811</v>
      </c>
      <c r="U76" s="3">
        <v>54145000</v>
      </c>
      <c r="V76" s="3">
        <v>77200000</v>
      </c>
      <c r="W76" s="3">
        <v>1.74</v>
      </c>
      <c r="X76" s="3">
        <v>0.04</v>
      </c>
      <c r="Y76" s="3">
        <v>-27.51</v>
      </c>
      <c r="Z76" s="3" t="s">
        <v>3001</v>
      </c>
      <c r="AA76" s="3" t="s">
        <v>3002</v>
      </c>
      <c r="AB76" s="3" t="s">
        <v>3003</v>
      </c>
      <c r="AC76" s="3" t="s">
        <v>3004</v>
      </c>
      <c r="AD76" s="3" t="s">
        <v>47</v>
      </c>
      <c r="AE76" s="3">
        <v>862265</v>
      </c>
      <c r="AF76" s="3" t="s">
        <v>1800</v>
      </c>
      <c r="AG76" s="3">
        <v>5111.3900000000003</v>
      </c>
      <c r="AH76" s="3" t="s">
        <v>1801</v>
      </c>
      <c r="AI76" s="3" t="s">
        <v>3005</v>
      </c>
      <c r="AJ76" s="3" t="s">
        <v>1802</v>
      </c>
      <c r="AK76" s="3" t="s">
        <v>3006</v>
      </c>
      <c r="AL76" s="3" t="s">
        <v>1803</v>
      </c>
      <c r="AM76" s="3" t="s">
        <v>47</v>
      </c>
      <c r="AN76" s="3" t="s">
        <v>3007</v>
      </c>
      <c r="AO76" s="3" t="s">
        <v>1093</v>
      </c>
      <c r="AP76" s="3" t="s">
        <v>3008</v>
      </c>
      <c r="AQ76" s="3" t="s">
        <v>612</v>
      </c>
      <c r="AR76" s="3" t="s">
        <v>47</v>
      </c>
      <c r="AS76" s="3" t="s">
        <v>1985</v>
      </c>
      <c r="AT76" s="3" t="s">
        <v>1804</v>
      </c>
      <c r="AU76" s="3" t="s">
        <v>3009</v>
      </c>
      <c r="AV76" s="3" t="s">
        <v>3010</v>
      </c>
      <c r="AW76" s="3" t="s">
        <v>3011</v>
      </c>
      <c r="AX76" s="3" t="s">
        <v>830</v>
      </c>
      <c r="AY76" s="3" t="s">
        <v>738</v>
      </c>
      <c r="AZ76" s="3" t="s">
        <v>168</v>
      </c>
      <c r="BA76" s="3" t="s">
        <v>485</v>
      </c>
      <c r="BB76" s="3" t="s">
        <v>401</v>
      </c>
      <c r="BC76" s="3" t="s">
        <v>123</v>
      </c>
      <c r="BD76" s="3" t="s">
        <v>739</v>
      </c>
      <c r="BE76" s="3" t="s">
        <v>586</v>
      </c>
      <c r="BF76" s="3" t="s">
        <v>587</v>
      </c>
      <c r="BG76" s="3" t="s">
        <v>588</v>
      </c>
      <c r="BH76" s="3" t="s">
        <v>381</v>
      </c>
      <c r="BI76" s="3" t="s">
        <v>295</v>
      </c>
      <c r="BJ76" s="3" t="s">
        <v>830</v>
      </c>
      <c r="BK76" s="3" t="s">
        <v>1799</v>
      </c>
      <c r="BL76" s="3" t="s">
        <v>3012</v>
      </c>
      <c r="BM76" s="3" t="s">
        <v>123</v>
      </c>
      <c r="BN76" s="3">
        <v>4.63</v>
      </c>
      <c r="BO76" s="3">
        <v>10.79</v>
      </c>
      <c r="BP76" s="3">
        <v>12.98</v>
      </c>
      <c r="BQ76" s="3">
        <v>5.45</v>
      </c>
      <c r="BR76" s="3">
        <v>12.38</v>
      </c>
      <c r="BS76" s="3">
        <v>13.7</v>
      </c>
      <c r="BT76" s="3" t="s">
        <v>1218</v>
      </c>
      <c r="BU76" s="3" t="s">
        <v>748</v>
      </c>
      <c r="BV76" s="3">
        <v>53.28</v>
      </c>
      <c r="BW76" s="3">
        <v>52.77</v>
      </c>
      <c r="BX76" s="3">
        <v>59.61</v>
      </c>
      <c r="BY76" s="3">
        <v>7.82</v>
      </c>
      <c r="BZ76" s="3">
        <v>21.38</v>
      </c>
      <c r="CA76" s="3">
        <v>24.57</v>
      </c>
      <c r="CB76" s="3">
        <v>-4.49</v>
      </c>
      <c r="CC76" s="3">
        <v>-17.600000000000001</v>
      </c>
      <c r="CD76" s="3" t="s">
        <v>3013</v>
      </c>
      <c r="CE76" s="3" t="s">
        <v>3014</v>
      </c>
      <c r="CF76" s="10">
        <v>-0.74276221198156678</v>
      </c>
      <c r="CG76" s="11">
        <v>-1.2566186977665341</v>
      </c>
      <c r="CH76" s="10">
        <v>1.0649895668029785</v>
      </c>
      <c r="CI76" s="10">
        <v>0.22622108459472656</v>
      </c>
      <c r="CJ76" s="10">
        <v>0.25483870506286621</v>
      </c>
      <c r="CK76" s="10">
        <v>6.5292097628116608E-2</v>
      </c>
      <c r="CL76" s="10">
        <v>0.21757322549819946</v>
      </c>
      <c r="CM76" s="11">
        <v>0.91176468133926392</v>
      </c>
      <c r="CN76" s="11">
        <v>6.7084014415740967E-2</v>
      </c>
      <c r="CO76" s="11">
        <v>0.33395844697952271</v>
      </c>
      <c r="CP76" s="11">
        <v>0.33800458908081055</v>
      </c>
      <c r="CQ76" s="11">
        <v>4.7442279756069183E-2</v>
      </c>
      <c r="CR76" s="3">
        <v>11.43895885851566</v>
      </c>
      <c r="CS76" s="3">
        <v>0.3127253279278035</v>
      </c>
      <c r="CT76" s="3">
        <v>1.0676156583629892</v>
      </c>
      <c r="CU76" s="10">
        <v>0.36578293591737748</v>
      </c>
      <c r="CV76" s="11">
        <v>0.33965080231428146</v>
      </c>
      <c r="CW76" s="3">
        <v>0.06</v>
      </c>
      <c r="CX76" s="3">
        <v>3.7239825312764632</v>
      </c>
      <c r="CY76" s="3">
        <v>251252521.23008358</v>
      </c>
      <c r="CZ76" s="3">
        <v>0.36578293591737748</v>
      </c>
      <c r="DA76" s="3">
        <v>0.97100881517710125</v>
      </c>
      <c r="DB76" s="3">
        <v>963595783.45264149</v>
      </c>
      <c r="DC76" s="3">
        <v>0.34749378912150858</v>
      </c>
      <c r="DD76" s="3">
        <v>0.34426791944424323</v>
      </c>
      <c r="DE76" s="3">
        <v>2717825121.5229397</v>
      </c>
      <c r="DF76" s="3">
        <v>0.32188898360729218</v>
      </c>
      <c r="DG76" s="3">
        <v>0.13767116550061967</v>
      </c>
      <c r="DH76" s="3">
        <v>6796339644.5262785</v>
      </c>
      <c r="DI76" s="3">
        <v>0.29262634873390198</v>
      </c>
      <c r="DJ76" s="3">
        <v>2.6017343384145481E-2</v>
      </c>
      <c r="DK76" s="3">
        <v>35962933885.485596</v>
      </c>
      <c r="DL76" s="3">
        <v>0.25604805514216422</v>
      </c>
      <c r="DM76" s="3">
        <v>195000000</v>
      </c>
      <c r="DN76" s="3">
        <v>0.36578293591737748</v>
      </c>
      <c r="DO76" s="3">
        <v>935660000</v>
      </c>
      <c r="DP76" s="3">
        <v>193581770</v>
      </c>
      <c r="DQ76" s="3">
        <v>4827</v>
      </c>
      <c r="DR76" s="3">
        <v>-1.1085451478989443</v>
      </c>
      <c r="DS76" s="3">
        <v>-1.5962695000808156</v>
      </c>
      <c r="DT76" s="12">
        <v>0.27666666666666662</v>
      </c>
      <c r="DU76" s="3">
        <v>-0.31500000000000006</v>
      </c>
      <c r="DV76" s="3">
        <v>-3.8333333333333441E-2</v>
      </c>
      <c r="DW76" s="3">
        <v>-8.255113636363637</v>
      </c>
      <c r="DX76" s="3">
        <v>0.32833059085340777</v>
      </c>
      <c r="DY76" s="3">
        <v>-8.0250854745983968</v>
      </c>
      <c r="DZ76" s="3">
        <v>1894</v>
      </c>
      <c r="EA76" s="3">
        <v>-8.0157876489840394</v>
      </c>
      <c r="EB76" s="3">
        <v>8</v>
      </c>
      <c r="EC76" s="3">
        <v>3.5142487046632122E-2</v>
      </c>
      <c r="ED76" s="3">
        <v>0.35739119170984457</v>
      </c>
      <c r="EE76" s="13">
        <v>-1.0115099999999999</v>
      </c>
      <c r="EF76" s="3">
        <v>-1.03721</v>
      </c>
      <c r="EG76" s="3">
        <v>23.098330590853408</v>
      </c>
      <c r="EH76" s="3" t="s">
        <v>954</v>
      </c>
      <c r="EI76" s="3">
        <v>0</v>
      </c>
      <c r="EJ76" s="3">
        <v>0</v>
      </c>
      <c r="EK76" s="15">
        <v>45470</v>
      </c>
      <c r="EL76" s="16">
        <v>-2.2799999999999998</v>
      </c>
      <c r="EM76" s="16">
        <v>-5.0999999999999996</v>
      </c>
      <c r="EN76" s="16">
        <v>-0.59</v>
      </c>
      <c r="EO76" s="16">
        <v>4.26</v>
      </c>
      <c r="EP76" s="16">
        <v>-2.57</v>
      </c>
    </row>
    <row r="77" spans="1:146" ht="108" x14ac:dyDescent="0.25">
      <c r="C77" s="7" t="str">
        <f>""&amp;CHAR(10)&amp;Basic_Fundamental_Information_Constructure(F77)&amp;CHAR(10)&amp;Basic_Fundamental_Information_Concatenate("")</f>
        <v xml:space="preserve">
市值11.7562亿, 利润14.79亿; PE27.83; 平均PE4; 平均PEG.01, PB1.59; ROIC9.0633%; ROE9.01%; 股利率1.4631%; 毛利30.8767%; 净利14.44%; 上一年度营收增2745.11%, 利润增3125.98%; 当季营收增-96.48%, 利润增-97.87%; 过往5年营收增560.63%, 利润增631.32%
Income profile:
</v>
      </c>
      <c r="D77" s="3" t="s">
        <v>439</v>
      </c>
      <c r="E77" s="3" t="s">
        <v>440</v>
      </c>
      <c r="F77" s="3">
        <v>13.67</v>
      </c>
      <c r="G77" s="3">
        <v>1.33</v>
      </c>
      <c r="H77" s="3" t="s">
        <v>3015</v>
      </c>
      <c r="I77" s="3">
        <v>1175620000</v>
      </c>
      <c r="J77" s="3">
        <v>27.83</v>
      </c>
      <c r="K77" s="3">
        <v>1.59</v>
      </c>
      <c r="L77" s="3" t="s">
        <v>176</v>
      </c>
      <c r="M77" s="3" t="s">
        <v>142</v>
      </c>
      <c r="N77" s="3" t="s">
        <v>3016</v>
      </c>
      <c r="O77" s="3" t="s">
        <v>1805</v>
      </c>
      <c r="P77" s="3">
        <v>-16.399999999999999</v>
      </c>
      <c r="Q77" s="3" t="s">
        <v>3017</v>
      </c>
      <c r="R77" s="3">
        <v>8081168</v>
      </c>
      <c r="S77" s="5">
        <v>-0.52370000000000005</v>
      </c>
      <c r="T77" s="3" t="s">
        <v>3018</v>
      </c>
      <c r="U77" s="3">
        <v>86000000</v>
      </c>
      <c r="V77" s="3">
        <v>86000000</v>
      </c>
      <c r="W77" s="3">
        <v>1.1499999999999999</v>
      </c>
      <c r="X77" s="3">
        <v>0.1</v>
      </c>
      <c r="Y77" s="3">
        <v>9.7899999999999991</v>
      </c>
      <c r="Z77" s="3" t="s">
        <v>3019</v>
      </c>
      <c r="AA77" s="3" t="s">
        <v>3020</v>
      </c>
      <c r="AB77" s="3" t="s">
        <v>3021</v>
      </c>
      <c r="AC77" s="3" t="s">
        <v>3022</v>
      </c>
      <c r="AD77" s="3" t="s">
        <v>47</v>
      </c>
      <c r="AE77" s="3">
        <v>-375329</v>
      </c>
      <c r="AF77" s="3" t="s">
        <v>1807</v>
      </c>
      <c r="AG77" s="3" t="s">
        <v>3023</v>
      </c>
      <c r="AH77" s="3" t="s">
        <v>1808</v>
      </c>
      <c r="AI77" s="3" t="s">
        <v>3024</v>
      </c>
      <c r="AJ77" s="3" t="s">
        <v>1809</v>
      </c>
      <c r="AK77" s="3" t="s">
        <v>3025</v>
      </c>
      <c r="AL77" s="3" t="s">
        <v>1810</v>
      </c>
      <c r="AM77" s="3" t="s">
        <v>47</v>
      </c>
      <c r="AN77" s="3">
        <v>0</v>
      </c>
      <c r="AO77" s="3" t="s">
        <v>47</v>
      </c>
      <c r="AP77" s="3" t="s">
        <v>3026</v>
      </c>
      <c r="AQ77" s="3" t="s">
        <v>3027</v>
      </c>
      <c r="AR77" s="3" t="s">
        <v>47</v>
      </c>
      <c r="AS77" s="3" t="s">
        <v>98</v>
      </c>
      <c r="AT77" s="3" t="s">
        <v>47</v>
      </c>
      <c r="AU77" s="3" t="s">
        <v>3028</v>
      </c>
      <c r="AV77" s="3" t="s">
        <v>3029</v>
      </c>
      <c r="AW77" s="3" t="s">
        <v>3030</v>
      </c>
      <c r="AX77" s="3" t="s">
        <v>1049</v>
      </c>
      <c r="AY77" s="3" t="s">
        <v>346</v>
      </c>
      <c r="AZ77" s="3" t="s">
        <v>107</v>
      </c>
      <c r="BA77" s="3" t="s">
        <v>367</v>
      </c>
      <c r="BB77" s="3" t="s">
        <v>442</v>
      </c>
      <c r="BC77" s="3" t="s">
        <v>1811</v>
      </c>
      <c r="BD77" s="3" t="s">
        <v>740</v>
      </c>
      <c r="BE77" s="3" t="s">
        <v>441</v>
      </c>
      <c r="BF77" s="3" t="s">
        <v>443</v>
      </c>
      <c r="BG77" s="3" t="s">
        <v>444</v>
      </c>
      <c r="BH77" s="3" t="s">
        <v>124</v>
      </c>
      <c r="BI77" s="3" t="s">
        <v>2597</v>
      </c>
      <c r="BJ77" s="3" t="s">
        <v>1049</v>
      </c>
      <c r="BK77" s="3" t="s">
        <v>1806</v>
      </c>
      <c r="BL77" s="3" t="s">
        <v>846</v>
      </c>
      <c r="BM77" s="3" t="s">
        <v>1811</v>
      </c>
      <c r="BN77" s="3">
        <v>6.1</v>
      </c>
      <c r="BO77" s="3">
        <v>6.4</v>
      </c>
      <c r="BP77" s="3">
        <v>14.69</v>
      </c>
      <c r="BQ77" s="3">
        <v>6.42</v>
      </c>
      <c r="BR77" s="3">
        <v>6.85</v>
      </c>
      <c r="BS77" s="3">
        <v>13.76</v>
      </c>
      <c r="BT77" s="3" t="s">
        <v>858</v>
      </c>
      <c r="BU77" s="3" t="s">
        <v>747</v>
      </c>
      <c r="BV77" s="3">
        <v>32.869999999999997</v>
      </c>
      <c r="BW77" s="3">
        <v>28.61</v>
      </c>
      <c r="BX77" s="3">
        <v>31.15</v>
      </c>
      <c r="BY77" s="3">
        <v>13.7</v>
      </c>
      <c r="BZ77" s="3">
        <v>13.19</v>
      </c>
      <c r="CA77" s="3">
        <v>16.43</v>
      </c>
      <c r="CB77" s="3">
        <v>-4.07</v>
      </c>
      <c r="CC77" s="3">
        <v>-13.7</v>
      </c>
      <c r="CD77" s="3" t="s">
        <v>3031</v>
      </c>
      <c r="CE77" s="3" t="s">
        <v>3032</v>
      </c>
      <c r="CF77" s="10">
        <v>-0.96482088661551579</v>
      </c>
      <c r="CG77" s="11">
        <v>-0.97873376842105264</v>
      </c>
      <c r="CH77" s="10">
        <v>27.451147079467773</v>
      </c>
      <c r="CI77" s="10">
        <v>-0.21797752380371094</v>
      </c>
      <c r="CJ77" s="10">
        <v>0.10421836376190186</v>
      </c>
      <c r="CK77" s="10">
        <v>0.43416368961334229</v>
      </c>
      <c r="CL77" s="10">
        <v>0.2600896954536438</v>
      </c>
      <c r="CM77" s="11">
        <v>31.259754180908203</v>
      </c>
      <c r="CN77" s="11">
        <v>-0.37356817722320557</v>
      </c>
      <c r="CO77" s="11">
        <v>4.0184933692216873E-2</v>
      </c>
      <c r="CP77" s="11">
        <v>0.25725489854812622</v>
      </c>
      <c r="CQ77" s="11">
        <v>0.3825075626373291</v>
      </c>
      <c r="CR77" s="3">
        <v>3.9968155663277303</v>
      </c>
      <c r="CS77" s="3">
        <v>7.1291144227204331E-3</v>
      </c>
      <c r="CT77" s="3">
        <v>1.463057790782736</v>
      </c>
      <c r="CU77" s="10">
        <v>5.6063282608985903</v>
      </c>
      <c r="CV77" s="11">
        <v>6.3132266797125336</v>
      </c>
      <c r="CW77" s="3">
        <v>0.06</v>
      </c>
      <c r="CX77" s="3">
        <v>5.9518116286337026E-2</v>
      </c>
      <c r="CY77" s="3">
        <v>9217697639.4990711</v>
      </c>
      <c r="CZ77" s="3">
        <v>5.6063282608985903</v>
      </c>
      <c r="DA77" s="3">
        <v>1.4595901096387687E-3</v>
      </c>
      <c r="DB77" s="3">
        <v>375872648339.45532</v>
      </c>
      <c r="DC77" s="3">
        <v>5.3260118478536604</v>
      </c>
      <c r="DD77" s="3">
        <v>9.9034831081931204E-6</v>
      </c>
      <c r="DE77" s="3">
        <v>55396671454523.75</v>
      </c>
      <c r="DF77" s="3">
        <v>4.9335688695907596</v>
      </c>
      <c r="DG77" s="3">
        <v>2.1741228731119714E-8</v>
      </c>
      <c r="DH77" s="3">
        <v>2.5234084365007508E+16</v>
      </c>
      <c r="DI77" s="3">
        <v>4.4850626087188727</v>
      </c>
      <c r="DJ77" s="3">
        <v>1.3274899863747919E-14</v>
      </c>
      <c r="DK77" s="3">
        <v>4.1327618711325436E+22</v>
      </c>
      <c r="DL77" s="3">
        <v>3.9244297826290131</v>
      </c>
      <c r="DM77" s="3">
        <v>1479000000</v>
      </c>
      <c r="DN77" s="3">
        <v>5.6063282608985903</v>
      </c>
      <c r="DO77" s="3">
        <v>548620000</v>
      </c>
      <c r="DP77" s="3">
        <v>465790360</v>
      </c>
      <c r="DQ77" s="3">
        <v>4883</v>
      </c>
      <c r="DR77" s="3">
        <v>-6.5711491475141059</v>
      </c>
      <c r="DS77" s="3">
        <v>-7.2919604481335867</v>
      </c>
      <c r="DT77" s="12">
        <v>-7.3333333333333403E-2</v>
      </c>
      <c r="DU77" s="3">
        <v>-7.3333333333333403E-2</v>
      </c>
      <c r="DV77" s="3">
        <v>-0.14666666666666681</v>
      </c>
      <c r="DW77" s="3">
        <v>-8.2970802919708024</v>
      </c>
      <c r="DX77" s="3">
        <v>0.24458018696066597</v>
      </c>
      <c r="DY77" s="3">
        <v>-8.0310687124766353</v>
      </c>
      <c r="DZ77" s="3">
        <v>2065</v>
      </c>
      <c r="EA77" s="3">
        <v>-8.0185135478456662</v>
      </c>
      <c r="EB77" s="3">
        <v>8</v>
      </c>
      <c r="EC77" s="3">
        <v>2.4365116279069766E-2</v>
      </c>
      <c r="ED77" s="3">
        <v>0.23298023255813954</v>
      </c>
      <c r="EE77" s="13">
        <v>-2.0538099999999999</v>
      </c>
      <c r="EF77" s="3">
        <v>-2.0937100000000002</v>
      </c>
      <c r="EG77" s="3">
        <v>14.104580186960666</v>
      </c>
      <c r="EH77" s="3" t="s">
        <v>958</v>
      </c>
      <c r="EI77" s="3">
        <v>0</v>
      </c>
      <c r="EJ77" s="3">
        <v>0</v>
      </c>
      <c r="EK77" s="15">
        <v>45470</v>
      </c>
      <c r="EL77" s="16">
        <v>2.48</v>
      </c>
      <c r="EM77" s="16">
        <v>-2.2000000000000002</v>
      </c>
      <c r="EN77" s="16">
        <v>-4.22</v>
      </c>
      <c r="EO77" s="16">
        <v>1.04</v>
      </c>
      <c r="EP77" s="16">
        <v>-3.99</v>
      </c>
    </row>
    <row r="78" spans="1:146" ht="108" x14ac:dyDescent="0.25">
      <c r="C78" s="7" t="str">
        <f>""&amp;CHAR(10)&amp;Basic_Fundamental_Information_Constructure(F78)&amp;CHAR(10)&amp;Basic_Fundamental_Information_Concatenate("")</f>
        <v xml:space="preserve">
市值71.6571亿, 利润1.49亿; PE48.72; 平均PE58.61; 平均PEG566.56, PB1.83; ROIC6.1667%; ROE7.4767%; 股利率.3234%; 毛利32.72%; 净利6.5267%; 上一年度营收增-75.55%, 利润增-20.74%; 当季营收增225.74%, 利润增-123.49%; 过往5年营收增.1%, 利润增48.1%
Income profile:
</v>
      </c>
      <c r="D78" s="3" t="s">
        <v>791</v>
      </c>
      <c r="E78" s="3" t="s">
        <v>792</v>
      </c>
      <c r="F78" s="3">
        <v>15.46</v>
      </c>
      <c r="G78" s="3">
        <v>0.45</v>
      </c>
      <c r="H78" s="3" t="s">
        <v>3033</v>
      </c>
      <c r="I78" s="3">
        <v>7165710000</v>
      </c>
      <c r="J78" s="3">
        <v>48.72</v>
      </c>
      <c r="K78" s="3">
        <v>1.83</v>
      </c>
      <c r="L78" s="3" t="s">
        <v>176</v>
      </c>
      <c r="M78" s="3" t="s">
        <v>1812</v>
      </c>
      <c r="N78" s="3" t="s">
        <v>3034</v>
      </c>
      <c r="O78" s="3" t="s">
        <v>199</v>
      </c>
      <c r="P78" s="3">
        <v>-19.45</v>
      </c>
      <c r="Q78" s="3" t="s">
        <v>3035</v>
      </c>
      <c r="R78" s="3">
        <v>-6675130</v>
      </c>
      <c r="S78" s="5">
        <v>-1.6559999999999999</v>
      </c>
      <c r="T78" s="3" t="s">
        <v>283</v>
      </c>
      <c r="U78" s="3">
        <v>236986440</v>
      </c>
      <c r="V78" s="3">
        <v>463500000</v>
      </c>
      <c r="W78" s="3">
        <v>1.26</v>
      </c>
      <c r="X78" s="3">
        <v>0.09</v>
      </c>
      <c r="Y78" s="3">
        <v>-2.0499999999999998</v>
      </c>
      <c r="Z78" s="3" t="s">
        <v>357</v>
      </c>
      <c r="AA78" s="3" t="s">
        <v>59</v>
      </c>
      <c r="AB78" s="3" t="s">
        <v>3036</v>
      </c>
      <c r="AC78" s="3" t="s">
        <v>3037</v>
      </c>
      <c r="AD78" s="3" t="s">
        <v>47</v>
      </c>
      <c r="AE78" s="3">
        <v>-12130764</v>
      </c>
      <c r="AF78" s="3" t="s">
        <v>1813</v>
      </c>
      <c r="AG78" s="3" t="s">
        <v>3038</v>
      </c>
      <c r="AH78" s="3" t="s">
        <v>1814</v>
      </c>
      <c r="AI78" s="3" t="s">
        <v>3039</v>
      </c>
      <c r="AJ78" s="3" t="s">
        <v>1815</v>
      </c>
      <c r="AK78" s="3" t="s">
        <v>3040</v>
      </c>
      <c r="AL78" s="3" t="s">
        <v>1816</v>
      </c>
      <c r="AM78" s="3" t="s">
        <v>47</v>
      </c>
      <c r="AN78" s="3" t="s">
        <v>3041</v>
      </c>
      <c r="AO78" s="3" t="s">
        <v>3042</v>
      </c>
      <c r="AP78" s="3" t="s">
        <v>3043</v>
      </c>
      <c r="AQ78" s="3" t="s">
        <v>2320</v>
      </c>
      <c r="AR78" s="3" t="s">
        <v>3044</v>
      </c>
      <c r="AS78" s="3" t="s">
        <v>1074</v>
      </c>
      <c r="AT78" s="3" t="s">
        <v>3045</v>
      </c>
      <c r="AU78" s="3" t="s">
        <v>3046</v>
      </c>
      <c r="AV78" s="3" t="s">
        <v>3047</v>
      </c>
      <c r="AW78" s="3" t="s">
        <v>3048</v>
      </c>
      <c r="AX78" s="3" t="s">
        <v>990</v>
      </c>
      <c r="AY78" s="3" t="s">
        <v>779</v>
      </c>
      <c r="AZ78" s="3" t="s">
        <v>793</v>
      </c>
      <c r="BA78" s="3" t="s">
        <v>794</v>
      </c>
      <c r="BB78" s="3" t="s">
        <v>795</v>
      </c>
      <c r="BC78" s="3" t="s">
        <v>66</v>
      </c>
      <c r="BD78" s="3" t="s">
        <v>161</v>
      </c>
      <c r="BE78" s="3" t="s">
        <v>135</v>
      </c>
      <c r="BF78" s="3" t="s">
        <v>796</v>
      </c>
      <c r="BG78" s="3" t="s">
        <v>797</v>
      </c>
      <c r="BH78" s="3" t="s">
        <v>1741</v>
      </c>
      <c r="BI78" s="3" t="s">
        <v>320</v>
      </c>
      <c r="BJ78" s="3" t="s">
        <v>990</v>
      </c>
      <c r="BK78" s="3" t="s">
        <v>64</v>
      </c>
      <c r="BL78" s="3" t="s">
        <v>3049</v>
      </c>
      <c r="BM78" s="3" t="s">
        <v>66</v>
      </c>
      <c r="BN78" s="3">
        <v>1.97</v>
      </c>
      <c r="BO78" s="3">
        <v>5.63</v>
      </c>
      <c r="BP78" s="3">
        <v>10.9</v>
      </c>
      <c r="BQ78" s="3">
        <v>3.49</v>
      </c>
      <c r="BR78" s="3">
        <v>7</v>
      </c>
      <c r="BS78" s="3">
        <v>11.94</v>
      </c>
      <c r="BT78" s="3" t="s">
        <v>1017</v>
      </c>
      <c r="BU78" s="3" t="s">
        <v>748</v>
      </c>
      <c r="BV78" s="3">
        <v>31.47</v>
      </c>
      <c r="BW78" s="3">
        <v>33.31</v>
      </c>
      <c r="BX78" s="3">
        <v>33.380000000000003</v>
      </c>
      <c r="BY78" s="3">
        <v>5.68</v>
      </c>
      <c r="BZ78" s="3">
        <v>6.8</v>
      </c>
      <c r="CA78" s="3">
        <v>7.1</v>
      </c>
      <c r="CB78" s="3">
        <v>-7.31</v>
      </c>
      <c r="CC78" s="3">
        <v>-8.7899999999999991</v>
      </c>
      <c r="CD78" s="3" t="s">
        <v>3050</v>
      </c>
      <c r="CE78" s="3" t="s">
        <v>3051</v>
      </c>
      <c r="CF78" s="10">
        <v>2.2573529411764706</v>
      </c>
      <c r="CG78" s="11">
        <v>-1.2349256347267876</v>
      </c>
      <c r="CH78" s="10">
        <v>-0.75554746389389038</v>
      </c>
      <c r="CI78" s="10">
        <v>0.12848930060863495</v>
      </c>
      <c r="CJ78" s="10">
        <v>0.38803413510322571</v>
      </c>
      <c r="CK78" s="10">
        <v>0.22641508281230927</v>
      </c>
      <c r="CL78" s="10">
        <v>1.7780983820557594E-2</v>
      </c>
      <c r="CM78" s="11">
        <v>-0.20744681358337402</v>
      </c>
      <c r="CN78" s="11">
        <v>9.3023255467414856E-2</v>
      </c>
      <c r="CO78" s="11">
        <v>0.30303031206130981</v>
      </c>
      <c r="CP78" s="11">
        <v>2.5439000129699707</v>
      </c>
      <c r="CQ78" s="11">
        <v>-0.32739892601966858</v>
      </c>
      <c r="CR78" s="3">
        <v>58.605243443242379</v>
      </c>
      <c r="CS78" s="3">
        <v>566.55846626349671</v>
      </c>
      <c r="CT78" s="3">
        <v>0.32341526520051744</v>
      </c>
      <c r="CU78" s="10">
        <v>1.0344076901674271E-3</v>
      </c>
      <c r="CV78" s="11">
        <v>0.48102156817913055</v>
      </c>
      <c r="CW78" s="3">
        <v>0.06</v>
      </c>
      <c r="CX78" s="3">
        <v>31.161005742201414</v>
      </c>
      <c r="CY78" s="3">
        <v>140711440.32625937</v>
      </c>
      <c r="CZ78" s="3">
        <v>1.0344076901674271E-3</v>
      </c>
      <c r="DA78" s="3">
        <v>10.987958122615005</v>
      </c>
      <c r="DB78" s="3">
        <v>399046843.01404041</v>
      </c>
      <c r="DC78" s="3">
        <v>9.8268730565905568E-4</v>
      </c>
      <c r="DD78" s="3">
        <v>5.9663568544235579</v>
      </c>
      <c r="DE78" s="3">
        <v>734905756.89402521</v>
      </c>
      <c r="DF78" s="3">
        <v>9.1027876734733589E-4</v>
      </c>
      <c r="DG78" s="3">
        <v>3.981679850132815</v>
      </c>
      <c r="DH78" s="3">
        <v>1101221134.0531914</v>
      </c>
      <c r="DI78" s="3">
        <v>8.2752615213394171E-4</v>
      </c>
      <c r="DJ78" s="3">
        <v>2.5496794374069824</v>
      </c>
      <c r="DK78" s="3">
        <v>1719710303.8408778</v>
      </c>
      <c r="DL78" s="3">
        <v>7.2408538311719895E-4</v>
      </c>
      <c r="DM78" s="3">
        <v>149000000</v>
      </c>
      <c r="DN78" s="3">
        <v>1.0344076901674271E-3</v>
      </c>
      <c r="DO78" s="3">
        <v>4384710000</v>
      </c>
      <c r="DP78" s="3">
        <v>3078281300</v>
      </c>
      <c r="DQ78" s="3">
        <v>4887</v>
      </c>
      <c r="DR78" s="3">
        <v>2.256318533486303</v>
      </c>
      <c r="DS78" s="3">
        <v>-1.7159472029059182</v>
      </c>
      <c r="DT78" s="12">
        <v>-0.52333333333333332</v>
      </c>
      <c r="DU78" s="3">
        <v>-0.58499999999999996</v>
      </c>
      <c r="DV78" s="3">
        <v>-1.1083333333333334</v>
      </c>
      <c r="DW78" s="3">
        <v>-9.8316268486916947</v>
      </c>
      <c r="DX78" s="3">
        <v>0.37094232494190194</v>
      </c>
      <c r="DY78" s="3">
        <v>-9.1088951530517974</v>
      </c>
      <c r="DZ78" s="3">
        <v>190</v>
      </c>
      <c r="EA78" s="3">
        <v>-9.104846213897229</v>
      </c>
      <c r="EB78" s="3">
        <v>9</v>
      </c>
      <c r="EC78" s="3">
        <v>2.1185113268608415E-2</v>
      </c>
      <c r="ED78" s="3">
        <v>0.16178964401294499</v>
      </c>
      <c r="EE78" s="13">
        <v>2.861E-2</v>
      </c>
      <c r="EF78" s="3">
        <v>5.1310000000000001E-2</v>
      </c>
      <c r="EG78" s="3">
        <v>24.130942324941902</v>
      </c>
      <c r="EH78" s="3">
        <v>-1</v>
      </c>
      <c r="EI78" s="3">
        <v>0</v>
      </c>
      <c r="EJ78" s="3">
        <v>1</v>
      </c>
      <c r="EK78" s="15">
        <v>45470</v>
      </c>
      <c r="EL78" s="16">
        <v>-1.63</v>
      </c>
      <c r="EM78" s="16">
        <v>-5.59</v>
      </c>
      <c r="EN78" s="3">
        <v>-1.83</v>
      </c>
      <c r="EO78" s="3">
        <v>2.99</v>
      </c>
      <c r="EP78" s="3">
        <v>-2.27</v>
      </c>
    </row>
    <row r="79" spans="1:146" ht="201.75" customHeight="1" x14ac:dyDescent="0.25">
      <c r="A79" s="7" t="s">
        <v>952</v>
      </c>
      <c r="B79" s="7" t="s">
        <v>951</v>
      </c>
      <c r="C79" s="7" t="str">
        <f>"公司主要从事精密激光焊接机及激光焊接自动化成套设备的研发、生产、销售。公司产品目前主要包括：激光焊接机，激光焊接工作平台以及激光焊机系统。"&amp;CHAR(10)&amp;Basic_Fundamental_Information_Constructure(F79)&amp;CHAR(10)&amp;Basic_Fundamental_Information_Concatenate("激光焊接自动化成套设备 9.21亿 65.81% 61.53% 34.64%
激光器及激光焊接机 2.09亿 14.92% 16.45% 40.84%
工作台 1.60亿 11.41% 8.59% 27.88%")</f>
        <v>公司主要从事精密激光焊接机及激光焊接自动化成套设备的研发、生产、销售。公司产品目前主要包括：激光焊接机，激光焊接工作平台以及激光焊机系统。
市值53.97547亿, 利润-1.29亿; PE23.81; 平均PE71.58; 平均PEG2.28, PB1.77; ROIC10.0867%; ROE10.5067%; 股利率.9422%; 毛利35.3033%; 净利8.0633%; 上一年度营收增5.71%, 利润增-148.31%; 当季营收增4.45%, 利润增405.15%; 过往5年营收增31.33%, 利润增11.72%
Income profile:
激光焊接自动化成套设备 9.21亿 65.81% 61.53% 34.64%
激光器及激光焊接机 2.09亿 14.92% 16.45% 40.84%
工作台 1.60亿 11.41% 8.59% 27.88%</v>
      </c>
      <c r="D79" s="3" t="s">
        <v>495</v>
      </c>
      <c r="E79" s="3" t="s">
        <v>496</v>
      </c>
      <c r="F79" s="3">
        <v>15.92</v>
      </c>
      <c r="G79" s="3">
        <v>0.95</v>
      </c>
      <c r="H79" s="3" t="s">
        <v>3052</v>
      </c>
      <c r="I79" s="3">
        <v>5397547000</v>
      </c>
      <c r="J79" s="3">
        <v>23.81</v>
      </c>
      <c r="K79" s="3">
        <v>1.77</v>
      </c>
      <c r="L79" s="3" t="s">
        <v>176</v>
      </c>
      <c r="M79" s="3" t="s">
        <v>1819</v>
      </c>
      <c r="N79" s="3" t="s">
        <v>3053</v>
      </c>
      <c r="O79" s="3" t="s">
        <v>478</v>
      </c>
      <c r="P79" s="3">
        <v>-5.01</v>
      </c>
      <c r="Q79" s="3" t="s">
        <v>3054</v>
      </c>
      <c r="R79" s="3">
        <v>28415225</v>
      </c>
      <c r="S79" s="5">
        <v>-0.67720000000000002</v>
      </c>
      <c r="T79" s="3" t="s">
        <v>3055</v>
      </c>
      <c r="U79" s="3">
        <v>339041900</v>
      </c>
      <c r="V79" s="3">
        <v>339041900</v>
      </c>
      <c r="W79" s="3">
        <v>2.25</v>
      </c>
      <c r="X79" s="3">
        <v>0.11</v>
      </c>
      <c r="Y79" s="3">
        <v>3.79</v>
      </c>
      <c r="Z79" s="3" t="s">
        <v>1627</v>
      </c>
      <c r="AA79" s="3" t="s">
        <v>3056</v>
      </c>
      <c r="AB79" s="3" t="s">
        <v>3057</v>
      </c>
      <c r="AC79" s="3" t="s">
        <v>229</v>
      </c>
      <c r="AD79" s="3" t="s">
        <v>47</v>
      </c>
      <c r="AE79" s="3">
        <v>-3729352</v>
      </c>
      <c r="AF79" s="3" t="s">
        <v>1821</v>
      </c>
      <c r="AG79" s="3" t="s">
        <v>3058</v>
      </c>
      <c r="AH79" s="3" t="s">
        <v>1822</v>
      </c>
      <c r="AI79" s="3" t="s">
        <v>3059</v>
      </c>
      <c r="AJ79" s="3" t="s">
        <v>1823</v>
      </c>
      <c r="AK79" s="3" t="s">
        <v>3060</v>
      </c>
      <c r="AL79" s="3" t="s">
        <v>1824</v>
      </c>
      <c r="AM79" s="3" t="s">
        <v>47</v>
      </c>
      <c r="AN79" s="3" t="s">
        <v>123</v>
      </c>
      <c r="AO79" s="3" t="s">
        <v>1988</v>
      </c>
      <c r="AP79" s="3" t="s">
        <v>287</v>
      </c>
      <c r="AQ79" s="3" t="s">
        <v>654</v>
      </c>
      <c r="AR79" s="3" t="s">
        <v>47</v>
      </c>
      <c r="AS79" s="3" t="s">
        <v>3061</v>
      </c>
      <c r="AT79" s="3" t="s">
        <v>3062</v>
      </c>
      <c r="AU79" s="3" t="s">
        <v>3063</v>
      </c>
      <c r="AV79" s="3" t="s">
        <v>3064</v>
      </c>
      <c r="AW79" s="3" t="s">
        <v>320</v>
      </c>
      <c r="AX79" s="3" t="s">
        <v>1051</v>
      </c>
      <c r="AY79" s="3" t="s">
        <v>741</v>
      </c>
      <c r="AZ79" s="3" t="s">
        <v>379</v>
      </c>
      <c r="BA79" s="3" t="s">
        <v>153</v>
      </c>
      <c r="BB79" s="3" t="s">
        <v>499</v>
      </c>
      <c r="BC79" s="3" t="s">
        <v>619</v>
      </c>
      <c r="BD79" s="3" t="s">
        <v>742</v>
      </c>
      <c r="BE79" s="3" t="s">
        <v>497</v>
      </c>
      <c r="BF79" s="3" t="s">
        <v>500</v>
      </c>
      <c r="BG79" s="3" t="s">
        <v>501</v>
      </c>
      <c r="BH79" s="3" t="s">
        <v>1820</v>
      </c>
      <c r="BI79" s="3" t="s">
        <v>1738</v>
      </c>
      <c r="BJ79" s="3" t="s">
        <v>1051</v>
      </c>
      <c r="BK79" s="3" t="s">
        <v>410</v>
      </c>
      <c r="BL79" s="3" t="s">
        <v>3065</v>
      </c>
      <c r="BM79" s="3" t="s">
        <v>619</v>
      </c>
      <c r="BN79" s="3">
        <v>9.4499999999999993</v>
      </c>
      <c r="BO79" s="3">
        <v>14.88</v>
      </c>
      <c r="BP79" s="3">
        <v>5.93</v>
      </c>
      <c r="BQ79" s="3">
        <v>9.1300000000000008</v>
      </c>
      <c r="BR79" s="3">
        <v>16.14</v>
      </c>
      <c r="BS79" s="3">
        <v>6.25</v>
      </c>
      <c r="BT79" s="3" t="s">
        <v>1218</v>
      </c>
      <c r="BU79" s="3" t="s">
        <v>808</v>
      </c>
      <c r="BV79" s="3">
        <v>32.93</v>
      </c>
      <c r="BW79" s="3">
        <v>35.94</v>
      </c>
      <c r="BX79" s="3">
        <v>37.04</v>
      </c>
      <c r="BY79" s="3">
        <v>8.15</v>
      </c>
      <c r="BZ79" s="3">
        <v>9.4600000000000009</v>
      </c>
      <c r="CA79" s="3">
        <v>6.58</v>
      </c>
      <c r="CB79" s="3">
        <v>-4.67</v>
      </c>
      <c r="CC79" s="3">
        <v>17.66</v>
      </c>
      <c r="CD79" s="3" t="s">
        <v>3066</v>
      </c>
      <c r="CE79" s="3" t="s">
        <v>1094</v>
      </c>
      <c r="CF79" s="10">
        <v>4.4476327116212341E-2</v>
      </c>
      <c r="CG79" s="11">
        <v>4.0514959353085835</v>
      </c>
      <c r="CH79" s="10">
        <v>5.7051710784435272E-2</v>
      </c>
      <c r="CI79" s="10">
        <v>1.0157144069671631</v>
      </c>
      <c r="CJ79" s="10">
        <v>0.59453302621841431</v>
      </c>
      <c r="CK79" s="10">
        <v>-0.13155291974544525</v>
      </c>
      <c r="CL79" s="10">
        <v>3.0581040307879448E-2</v>
      </c>
      <c r="CM79" s="11">
        <v>-1.483146071434021</v>
      </c>
      <c r="CN79" s="11">
        <v>1.9017924070358276</v>
      </c>
      <c r="CO79" s="11">
        <v>0.37392184138298035</v>
      </c>
      <c r="CP79" s="11">
        <v>-7.0801481604576111E-2</v>
      </c>
      <c r="CQ79" s="11">
        <v>-0.13558477163314819</v>
      </c>
      <c r="CR79" s="3">
        <v>71.580140214957368</v>
      </c>
      <c r="CS79" s="3">
        <v>2.2849675746506346</v>
      </c>
      <c r="CT79" s="3">
        <v>0.94221105527638194</v>
      </c>
      <c r="CU79" s="10">
        <v>0.31326545290648938</v>
      </c>
      <c r="CV79" s="11">
        <v>0.11723638474941253</v>
      </c>
      <c r="CW79" s="3">
        <v>0.06</v>
      </c>
      <c r="CX79" s="3" t="e">
        <v>#VALUE!</v>
      </c>
      <c r="CY79" s="3" t="s">
        <v>758</v>
      </c>
      <c r="CZ79" s="3">
        <v>0.31326545290648938</v>
      </c>
      <c r="DA79" s="3" t="e">
        <v>#VALUE!</v>
      </c>
      <c r="DB79" s="3" t="s">
        <v>758</v>
      </c>
      <c r="DC79" s="3">
        <v>0.29760218026116492</v>
      </c>
      <c r="DD79" s="3" t="e">
        <v>#VALUE!</v>
      </c>
      <c r="DE79" s="3" t="s">
        <v>758</v>
      </c>
      <c r="DF79" s="3">
        <v>0.27567359855771068</v>
      </c>
      <c r="DG79" s="3" t="e">
        <v>#VALUE!</v>
      </c>
      <c r="DH79" s="3" t="s">
        <v>758</v>
      </c>
      <c r="DI79" s="3">
        <v>0.25061236232519152</v>
      </c>
      <c r="DJ79" s="3" t="e">
        <v>#VALUE!</v>
      </c>
      <c r="DK79" s="3" t="s">
        <v>758</v>
      </c>
      <c r="DL79" s="3">
        <v>0.21928581703454256</v>
      </c>
      <c r="DM79" s="3">
        <v>-129000000</v>
      </c>
      <c r="DN79" s="3">
        <v>0.31326545290648938</v>
      </c>
      <c r="DO79" s="3">
        <v>6315547000</v>
      </c>
      <c r="DP79" s="3">
        <v>2096844800.0000005</v>
      </c>
      <c r="DQ79" s="3">
        <v>4944</v>
      </c>
      <c r="DR79" s="3">
        <v>-0.26878912579027703</v>
      </c>
      <c r="DS79" s="3">
        <v>3.9342595505591711</v>
      </c>
      <c r="DT79" s="12">
        <v>-6.6666666666666714E-3</v>
      </c>
      <c r="DU79" s="3">
        <v>-0.34166666666666679</v>
      </c>
      <c r="DV79" s="3">
        <v>-0.34833333333333344</v>
      </c>
      <c r="DW79" s="3">
        <v>-6.2091356918943124</v>
      </c>
      <c r="DX79" s="3">
        <v>0.30216410256410431</v>
      </c>
      <c r="DY79" s="3">
        <v>-6.0276402310333346</v>
      </c>
      <c r="DZ79" s="3">
        <v>3665</v>
      </c>
      <c r="EA79" s="3">
        <v>-6.007816073159133</v>
      </c>
      <c r="EB79" s="3">
        <v>6</v>
      </c>
      <c r="EC79" s="3">
        <v>0.18243408853006074</v>
      </c>
      <c r="ED79" s="3">
        <v>1.3803603625392613</v>
      </c>
      <c r="EE79" s="13">
        <v>2.0887099999999998</v>
      </c>
      <c r="EF79" s="3">
        <v>2.10351</v>
      </c>
      <c r="EG79" s="3">
        <v>17.132164102564104</v>
      </c>
      <c r="EH79" s="3" t="s">
        <v>956</v>
      </c>
      <c r="EI79" s="3">
        <v>0</v>
      </c>
      <c r="EJ79" s="3">
        <v>0</v>
      </c>
      <c r="EK79" s="15">
        <v>45470</v>
      </c>
      <c r="EL79" s="16">
        <v>0.16</v>
      </c>
      <c r="EM79" s="16">
        <v>-3.99</v>
      </c>
      <c r="EN79" s="3">
        <v>-3.12</v>
      </c>
      <c r="EO79" s="3">
        <v>4.2</v>
      </c>
      <c r="EP79" s="3">
        <v>-1.48</v>
      </c>
    </row>
    <row r="80" spans="1:146" ht="204" x14ac:dyDescent="0.25">
      <c r="A80" s="7" t="s">
        <v>955</v>
      </c>
      <c r="B80" s="7" t="s">
        <v>1189</v>
      </c>
      <c r="C80" s="7" t="str">
        <f>"公司主要从事消费类电子、动力电池、钣金加工等行业的激光及自动化设备的研发、设计、生产及销售。公司主要产品根据应用领域分为三大类别，分别为动力电池激光及自动化设备、通用激光及自动化设备、显示及脆性材料精密激光及自动化设备。"&amp;CHAR(10)&amp;Basic_Fundamental_Information_Constructure(F80)&amp;CHAR(10)&amp;Basic_Fundamental_Information_Concatenate("动力电池激光及自动化设备 11.12亿 56.06% 46.42% 20.64%
通用激光及自动化设备 7.24亿 36.47% 37.58% 25.69%
其他业务 1.48亿 7.47% 16.00% 53.38%")</f>
        <v>公司主要从事消费类电子、动力电池、钣金加工等行业的激光及自动化设备的研发、设计、生产及销售。公司主要产品根据应用领域分为三大类别，分别为动力电池激光及自动化设备、通用激光及自动化设备、显示及脆性材料精密激光及自动化设备。
市值62.677523亿, 利润-2387.54万; PE18.91; 平均PE48.72; 平均PEG1.65, PB2.63; ROIC9.1467%; ROE14.41%; 股利率.3254%; 毛利28.21%; 净利7.1%; 上一年度营收增-65.99%, 利润增-106.28%; 当季营收增161.35%, 利润增112.91%; 过往5年营收增29.59%, 利润增42.28%
Income profile:
动力电池激光及自动化设备 11.12亿 56.06% 46.42% 20.64%
通用激光及自动化设备 7.24亿 36.47% 37.58% 25.69%
其他业务 1.48亿 7.47% 16.00% 53.38%</v>
      </c>
      <c r="D80" s="3" t="s">
        <v>502</v>
      </c>
      <c r="E80" s="3" t="s">
        <v>503</v>
      </c>
      <c r="F80" s="3">
        <v>30.73</v>
      </c>
      <c r="G80" s="3">
        <v>-0.87</v>
      </c>
      <c r="H80" s="3" t="s">
        <v>3067</v>
      </c>
      <c r="I80" s="3">
        <v>6267752300</v>
      </c>
      <c r="J80" s="3">
        <v>18.91</v>
      </c>
      <c r="K80" s="3">
        <v>2.63</v>
      </c>
      <c r="L80" s="3" t="s">
        <v>176</v>
      </c>
      <c r="M80" s="3" t="s">
        <v>1825</v>
      </c>
      <c r="N80" s="3" t="s">
        <v>1614</v>
      </c>
      <c r="O80" s="3" t="s">
        <v>1826</v>
      </c>
      <c r="P80" s="3">
        <v>17.04</v>
      </c>
      <c r="Q80" s="3" t="s">
        <v>3068</v>
      </c>
      <c r="R80" s="3">
        <v>41361786</v>
      </c>
      <c r="S80" s="5">
        <v>0.31009999999999999</v>
      </c>
      <c r="T80" s="3" t="s">
        <v>3069</v>
      </c>
      <c r="U80" s="3">
        <v>203962000</v>
      </c>
      <c r="V80" s="3">
        <v>203962000</v>
      </c>
      <c r="W80" s="3">
        <v>4.54</v>
      </c>
      <c r="X80" s="3">
        <v>0.1</v>
      </c>
      <c r="Y80" s="3">
        <v>3.6</v>
      </c>
      <c r="Z80" s="3" t="s">
        <v>3070</v>
      </c>
      <c r="AA80" s="3" t="s">
        <v>3071</v>
      </c>
      <c r="AB80" s="3" t="s">
        <v>3072</v>
      </c>
      <c r="AC80" s="3" t="s">
        <v>3073</v>
      </c>
      <c r="AD80" s="3" t="s">
        <v>47</v>
      </c>
      <c r="AE80" s="3">
        <v>4714332</v>
      </c>
      <c r="AF80" s="3" t="s">
        <v>1828</v>
      </c>
      <c r="AG80" s="3" t="s">
        <v>3074</v>
      </c>
      <c r="AH80" s="3" t="s">
        <v>1829</v>
      </c>
      <c r="AI80" s="3" t="s">
        <v>1797</v>
      </c>
      <c r="AJ80" s="3" t="s">
        <v>1830</v>
      </c>
      <c r="AK80" s="3" t="s">
        <v>3075</v>
      </c>
      <c r="AL80" s="3" t="s">
        <v>1831</v>
      </c>
      <c r="AM80" s="3" t="s">
        <v>47</v>
      </c>
      <c r="AN80" s="3" t="s">
        <v>836</v>
      </c>
      <c r="AO80" s="3" t="s">
        <v>3076</v>
      </c>
      <c r="AP80" s="3" t="s">
        <v>1291</v>
      </c>
      <c r="AQ80" s="3" t="s">
        <v>3077</v>
      </c>
      <c r="AR80" s="3" t="s">
        <v>47</v>
      </c>
      <c r="AS80" s="3" t="s">
        <v>3078</v>
      </c>
      <c r="AT80" s="3" t="s">
        <v>1064</v>
      </c>
      <c r="AU80" s="3" t="s">
        <v>3079</v>
      </c>
      <c r="AV80" s="3" t="s">
        <v>3055</v>
      </c>
      <c r="AW80" s="3" t="s">
        <v>3080</v>
      </c>
      <c r="AX80" s="3" t="s">
        <v>1052</v>
      </c>
      <c r="AY80" s="3" t="s">
        <v>743</v>
      </c>
      <c r="AZ80" s="3" t="s">
        <v>504</v>
      </c>
      <c r="BA80" s="3" t="s">
        <v>506</v>
      </c>
      <c r="BB80" s="3" t="s">
        <v>507</v>
      </c>
      <c r="BC80" s="3" t="s">
        <v>846</v>
      </c>
      <c r="BD80" s="3" t="s">
        <v>229</v>
      </c>
      <c r="BE80" s="3" t="s">
        <v>505</v>
      </c>
      <c r="BF80" s="3" t="s">
        <v>96</v>
      </c>
      <c r="BG80" s="3" t="s">
        <v>508</v>
      </c>
      <c r="BH80" s="3" t="s">
        <v>1827</v>
      </c>
      <c r="BI80" s="3" t="s">
        <v>389</v>
      </c>
      <c r="BJ80" s="3" t="s">
        <v>1052</v>
      </c>
      <c r="BK80" s="3" t="s">
        <v>667</v>
      </c>
      <c r="BL80" s="3" t="s">
        <v>3081</v>
      </c>
      <c r="BM80" s="3" t="s">
        <v>846</v>
      </c>
      <c r="BN80" s="3">
        <v>8.01</v>
      </c>
      <c r="BO80" s="3">
        <v>14.22</v>
      </c>
      <c r="BP80" s="3">
        <v>5.21</v>
      </c>
      <c r="BQ80" s="3">
        <v>14.35</v>
      </c>
      <c r="BR80" s="3">
        <v>21.27</v>
      </c>
      <c r="BS80" s="3">
        <v>7.61</v>
      </c>
      <c r="BT80" s="3" t="s">
        <v>863</v>
      </c>
      <c r="BU80" s="3" t="s">
        <v>808</v>
      </c>
      <c r="BV80" s="3">
        <v>29.21</v>
      </c>
      <c r="BW80" s="3">
        <v>30.5</v>
      </c>
      <c r="BX80" s="3">
        <v>24.92</v>
      </c>
      <c r="BY80" s="3">
        <v>6.66</v>
      </c>
      <c r="BZ80" s="3">
        <v>9.15</v>
      </c>
      <c r="CA80" s="3">
        <v>5.49</v>
      </c>
      <c r="CB80" s="3">
        <v>-6.57</v>
      </c>
      <c r="CC80" s="3">
        <v>-28.72</v>
      </c>
      <c r="CD80" s="3" t="s">
        <v>3082</v>
      </c>
      <c r="CE80" s="3" t="s">
        <v>1199</v>
      </c>
      <c r="CF80" s="10">
        <v>1.6134663341645885</v>
      </c>
      <c r="CG80" s="11">
        <v>1.1290876615020333</v>
      </c>
      <c r="CH80" s="10">
        <v>-0.6599268913269043</v>
      </c>
      <c r="CI80" s="10">
        <v>1.0690523386001587</v>
      </c>
      <c r="CJ80" s="10">
        <v>0.5018925666809082</v>
      </c>
      <c r="CK80" s="10">
        <v>0.28128024935722351</v>
      </c>
      <c r="CL80" s="10">
        <v>0.28714108467102051</v>
      </c>
      <c r="CM80" s="11">
        <v>-1.0628299713134766</v>
      </c>
      <c r="CN80" s="11">
        <v>2.4862384796142578</v>
      </c>
      <c r="CO80" s="11">
        <v>0.40917003154754639</v>
      </c>
      <c r="CP80" s="11">
        <v>-0.47020208835601807</v>
      </c>
      <c r="CQ80" s="11">
        <v>0.75178617238998413</v>
      </c>
      <c r="CR80" s="1">
        <v>48.724549784107303</v>
      </c>
      <c r="CS80" s="1">
        <v>1.6467234648907936</v>
      </c>
      <c r="CT80" s="1">
        <v>0.32541490400260331</v>
      </c>
      <c r="CU80" s="10">
        <v>0.29588786959648133</v>
      </c>
      <c r="CV80" s="11">
        <v>0.42283252477645872</v>
      </c>
      <c r="CW80" s="3">
        <v>0.06</v>
      </c>
      <c r="CX80" s="3" t="e">
        <v>#VALUE!</v>
      </c>
      <c r="CY80" s="3" t="s">
        <v>758</v>
      </c>
      <c r="CZ80" s="3">
        <v>0.29588786959648133</v>
      </c>
      <c r="DA80" s="3" t="e">
        <v>#VALUE!</v>
      </c>
      <c r="DB80" s="3" t="s">
        <v>758</v>
      </c>
      <c r="DC80" s="3">
        <v>0.28109347611665725</v>
      </c>
      <c r="DD80" s="3" t="e">
        <v>#VALUE!</v>
      </c>
      <c r="DE80" s="3" t="s">
        <v>758</v>
      </c>
      <c r="DF80" s="3">
        <v>0.26038132524490359</v>
      </c>
      <c r="DG80" s="3" t="e">
        <v>#VALUE!</v>
      </c>
      <c r="DH80" s="3" t="s">
        <v>758</v>
      </c>
      <c r="DI80" s="3">
        <v>0.23671029567718507</v>
      </c>
      <c r="DJ80" s="3" t="e">
        <v>#VALUE!</v>
      </c>
      <c r="DK80" s="3" t="s">
        <v>758</v>
      </c>
      <c r="DL80" s="3">
        <v>0.20712150871753693</v>
      </c>
      <c r="DM80" s="3">
        <v>-23875400</v>
      </c>
      <c r="DN80" s="3">
        <v>0.29588786959648133</v>
      </c>
      <c r="DO80" s="3">
        <v>12430752300</v>
      </c>
      <c r="DP80" s="3">
        <v>611358900</v>
      </c>
      <c r="DQ80" s="3">
        <v>4971</v>
      </c>
      <c r="DR80" s="3">
        <v>1.3175784645681072</v>
      </c>
      <c r="DS80" s="3">
        <v>0.70625513672557461</v>
      </c>
      <c r="DT80" s="12">
        <v>-0.12333333333333345</v>
      </c>
      <c r="DU80" s="3">
        <v>-3.8333333333333407E-2</v>
      </c>
      <c r="DV80" s="3">
        <v>-0.16166666666666685</v>
      </c>
      <c r="DW80" s="3">
        <v>-9.2287604456824521</v>
      </c>
      <c r="DX80" s="3">
        <v>0.2802277777777793</v>
      </c>
      <c r="DY80" s="3">
        <v>-9.0137777332869078</v>
      </c>
      <c r="DZ80" s="3">
        <v>3623</v>
      </c>
      <c r="EA80" s="3">
        <v>-9.0040092934241933</v>
      </c>
      <c r="EB80" s="3">
        <v>9</v>
      </c>
      <c r="EC80" s="3">
        <v>6.9097675057118488E-2</v>
      </c>
      <c r="ED80" s="3">
        <v>1.1472725311577647</v>
      </c>
      <c r="EE80" s="13">
        <v>8.2709999999999992E-2</v>
      </c>
      <c r="EF80" s="3">
        <v>0.10131</v>
      </c>
      <c r="EG80" s="3">
        <v>22.060227777777779</v>
      </c>
      <c r="EH80" s="3">
        <v>-1</v>
      </c>
      <c r="EI80" s="3">
        <v>0</v>
      </c>
      <c r="EJ80" s="3">
        <v>0</v>
      </c>
      <c r="EK80" s="15">
        <v>45470</v>
      </c>
      <c r="EL80" s="16">
        <v>0.18</v>
      </c>
      <c r="EM80" s="16">
        <v>-6.75</v>
      </c>
      <c r="EN80" s="3">
        <v>-2.19</v>
      </c>
      <c r="EO80" s="3">
        <v>4.87</v>
      </c>
      <c r="EP80" s="3">
        <v>-1.86</v>
      </c>
    </row>
    <row r="81" spans="1:146" ht="204" x14ac:dyDescent="0.25">
      <c r="A81" s="3"/>
      <c r="B81" s="3"/>
      <c r="C81" s="7" t="str">
        <f>"公司主要从事消费类电子、动力电池、钣金加工等行业的激光及自动化设备的研发、设计、生产及销售。公司主要产品根据应用领域分为三大类别，分别为动力电池激光及自动化设备、通用激光及自动化设备、显示及脆性材料精密激光及自动化设备。"&amp;CHAR(10)&amp;Basic_Fundamental_Information_Constructure(F81)&amp;CHAR(10)&amp;Basic_Fundamental_Information_Concatenate("动力电池激光及自动化设备 11.12亿 56.06% 46.42% 20.64%
通用激光及自动化设备 7.24亿 36.47% 37.58% 25.69%
其他业务 1.48亿 7.47% 16.00% 53.38%")</f>
        <v>公司主要从事消费类电子、动力电池、钣金加工等行业的激光及自动化设备的研发、设计、生产及销售。公司主要产品根据应用领域分为三大类别，分别为动力电池激光及自动化设备、通用激光及自动化设备、显示及脆性材料精密激光及自动化设备。
市值82.4865亿, 利润1.23亿; PE19.12; 平均PE29.46; 平均PEG2.95, PB1.93; ROIC24.1567%; ROE20.845%; 股利率2.0997%; 毛利48.35%; 净利21.0967%; 上一年度营收增-39.53%, 利润增-69.02%; 当季营收增92.21%, 利润增629.36%; 过往5年营收增9.97%, 利润增1.49%
Income profile:
动力电池激光及自动化设备 11.12亿 56.06% 46.42% 20.64%
通用激光及自动化设备 7.24亿 36.47% 37.58% 25.69%
其他业务 1.48亿 7.47% 16.00% 53.38%</v>
      </c>
      <c r="D81" s="3" t="s">
        <v>1053</v>
      </c>
      <c r="E81" s="3" t="s">
        <v>1054</v>
      </c>
      <c r="F81" s="3">
        <v>19.05</v>
      </c>
      <c r="G81" s="3">
        <v>0.26</v>
      </c>
      <c r="H81" s="3" t="s">
        <v>3083</v>
      </c>
      <c r="I81" s="3">
        <v>8248650000</v>
      </c>
      <c r="J81" s="3">
        <v>19.12</v>
      </c>
      <c r="K81" s="3">
        <v>1.93</v>
      </c>
      <c r="L81" s="3" t="s">
        <v>176</v>
      </c>
      <c r="M81" s="3" t="s">
        <v>1832</v>
      </c>
      <c r="N81" s="3" t="s">
        <v>3084</v>
      </c>
      <c r="O81" s="3" t="s">
        <v>1048</v>
      </c>
      <c r="P81" s="5">
        <v>0.32</v>
      </c>
      <c r="Q81" s="3" t="s">
        <v>3085</v>
      </c>
      <c r="R81" s="3">
        <v>100449681</v>
      </c>
      <c r="S81" s="3">
        <v>7.4999999999999997E-2</v>
      </c>
      <c r="T81" s="3" t="s">
        <v>219</v>
      </c>
      <c r="U81" s="3">
        <v>70810000</v>
      </c>
      <c r="V81" s="3">
        <v>433000000</v>
      </c>
      <c r="W81" s="3">
        <v>1.3</v>
      </c>
      <c r="X81" s="3">
        <v>0.09</v>
      </c>
      <c r="Y81" s="3">
        <v>21.42</v>
      </c>
      <c r="Z81" s="3" t="s">
        <v>2285</v>
      </c>
      <c r="AA81" s="3" t="s">
        <v>821</v>
      </c>
      <c r="AB81" s="3" t="s">
        <v>3086</v>
      </c>
      <c r="AC81" s="3" t="s">
        <v>3087</v>
      </c>
      <c r="AD81" s="3" t="s">
        <v>47</v>
      </c>
      <c r="AE81" s="3">
        <v>-12807455</v>
      </c>
      <c r="AF81" s="3" t="s">
        <v>1834</v>
      </c>
      <c r="AG81" s="3" t="s">
        <v>3088</v>
      </c>
      <c r="AH81" s="3" t="s">
        <v>1835</v>
      </c>
      <c r="AI81" s="3" t="s">
        <v>3089</v>
      </c>
      <c r="AJ81" s="3" t="s">
        <v>1836</v>
      </c>
      <c r="AK81" s="3" t="s">
        <v>1199</v>
      </c>
      <c r="AL81" s="3" t="s">
        <v>1837</v>
      </c>
      <c r="AM81" s="3" t="s">
        <v>47</v>
      </c>
      <c r="AN81" s="3" t="s">
        <v>3090</v>
      </c>
      <c r="AO81" s="3" t="s">
        <v>47</v>
      </c>
      <c r="AP81" s="3" t="s">
        <v>111</v>
      </c>
      <c r="AQ81" s="3" t="s">
        <v>2468</v>
      </c>
      <c r="AR81" s="3" t="s">
        <v>47</v>
      </c>
      <c r="AS81" s="3" t="s">
        <v>3091</v>
      </c>
      <c r="AT81" s="3" t="s">
        <v>47</v>
      </c>
      <c r="AU81" s="3" t="s">
        <v>3092</v>
      </c>
      <c r="AV81" s="3" t="s">
        <v>3093</v>
      </c>
      <c r="AW81" s="3" t="s">
        <v>3094</v>
      </c>
      <c r="AX81" s="3" t="s">
        <v>1055</v>
      </c>
      <c r="AY81" s="3" t="s">
        <v>1120</v>
      </c>
      <c r="AZ81" s="3" t="s">
        <v>1124</v>
      </c>
      <c r="BA81" s="3" t="s">
        <v>513</v>
      </c>
      <c r="BB81" s="3" t="s">
        <v>47</v>
      </c>
      <c r="BC81" s="3" t="s">
        <v>162</v>
      </c>
      <c r="BD81" s="3" t="s">
        <v>438</v>
      </c>
      <c r="BE81" s="3" t="s">
        <v>512</v>
      </c>
      <c r="BF81" s="3" t="s">
        <v>994</v>
      </c>
      <c r="BG81" s="3" t="s">
        <v>47</v>
      </c>
      <c r="BH81" s="3" t="s">
        <v>1833</v>
      </c>
      <c r="BI81" s="3" t="s">
        <v>127</v>
      </c>
      <c r="BJ81" s="3" t="s">
        <v>1055</v>
      </c>
      <c r="BK81" s="3" t="s">
        <v>1167</v>
      </c>
      <c r="BL81" s="3" t="s">
        <v>3095</v>
      </c>
      <c r="BM81" s="3" t="s">
        <v>162</v>
      </c>
      <c r="BN81" s="3">
        <v>10.64</v>
      </c>
      <c r="BO81" s="3">
        <v>28.53</v>
      </c>
      <c r="BP81" s="3">
        <v>33.299999999999997</v>
      </c>
      <c r="BQ81" s="3">
        <v>12.66</v>
      </c>
      <c r="BR81" s="3">
        <v>29.03</v>
      </c>
      <c r="BS81" s="3" t="s">
        <v>47</v>
      </c>
      <c r="BT81" s="3" t="s">
        <v>857</v>
      </c>
      <c r="BU81" s="3" t="s">
        <v>747</v>
      </c>
      <c r="BV81" s="3">
        <v>46.26</v>
      </c>
      <c r="BW81" s="3">
        <v>47.03</v>
      </c>
      <c r="BX81" s="3">
        <v>51.76</v>
      </c>
      <c r="BY81" s="3">
        <v>19.239999999999998</v>
      </c>
      <c r="BZ81" s="3">
        <v>20.149999999999999</v>
      </c>
      <c r="CA81" s="3">
        <v>23.9</v>
      </c>
      <c r="CB81" s="3">
        <v>-6.57</v>
      </c>
      <c r="CC81" s="1">
        <v>-10.56</v>
      </c>
      <c r="CD81" s="1" t="s">
        <v>3096</v>
      </c>
      <c r="CE81" s="1" t="s">
        <v>3097</v>
      </c>
      <c r="CF81" s="10">
        <v>0.9221311475409838</v>
      </c>
      <c r="CG81" s="11">
        <v>6.2936024483927886</v>
      </c>
      <c r="CH81" s="10">
        <v>-0.39532521367073059</v>
      </c>
      <c r="CI81" s="10">
        <v>0.26722478866577148</v>
      </c>
      <c r="CJ81" s="10">
        <v>0.33533951640129089</v>
      </c>
      <c r="CK81" s="10">
        <v>0.19159843027591705</v>
      </c>
      <c r="CL81" s="10" t="s">
        <v>47</v>
      </c>
      <c r="CM81" s="11">
        <v>-0.69017630815505981</v>
      </c>
      <c r="CN81" s="11">
        <v>7.0080861449241638E-2</v>
      </c>
      <c r="CO81" s="11">
        <v>0.23255814611911774</v>
      </c>
      <c r="CP81" s="11">
        <v>0.44711539149284363</v>
      </c>
      <c r="CQ81" s="11" t="s">
        <v>47</v>
      </c>
      <c r="CR81" s="1">
        <v>29.459464285714287</v>
      </c>
      <c r="CS81" s="1">
        <v>2.9545328796745536</v>
      </c>
      <c r="CT81" s="1">
        <v>2.0997375328083989</v>
      </c>
      <c r="CU81" s="10">
        <v>9.970938041806221E-2</v>
      </c>
      <c r="CV81" s="11">
        <v>1.4894522726535797E-2</v>
      </c>
      <c r="CW81" s="3">
        <v>0.06</v>
      </c>
      <c r="CX81" s="3">
        <v>41.248658412026408</v>
      </c>
      <c r="CY81" s="3">
        <v>127607786.59568082</v>
      </c>
      <c r="CZ81" s="3">
        <v>9.970938041806221E-2</v>
      </c>
      <c r="DA81" s="3">
        <v>13.369426074281545</v>
      </c>
      <c r="DB81" s="3">
        <v>393707999.93617988</v>
      </c>
      <c r="DC81" s="3">
        <v>9.4723911397159091E-2</v>
      </c>
      <c r="DD81" s="3">
        <v>6.509305704062669</v>
      </c>
      <c r="DE81" s="3">
        <v>808634628.53108668</v>
      </c>
      <c r="DF81" s="3">
        <v>8.7744254767894742E-2</v>
      </c>
      <c r="DG81" s="3">
        <v>3.8604358477293346</v>
      </c>
      <c r="DH81" s="3">
        <v>1363485939.8313847</v>
      </c>
      <c r="DI81" s="3">
        <v>7.9767504334449776E-2</v>
      </c>
      <c r="DJ81" s="3">
        <v>1.9399475984505761</v>
      </c>
      <c r="DK81" s="3">
        <v>2713294938.5870237</v>
      </c>
      <c r="DL81" s="3">
        <v>6.9796566292643539E-2</v>
      </c>
      <c r="DM81" s="3">
        <v>123000000</v>
      </c>
      <c r="DN81" s="3">
        <v>9.970938041806221E-2</v>
      </c>
      <c r="DO81" s="3">
        <v>5263650000</v>
      </c>
      <c r="DP81" s="3">
        <v>3909203500</v>
      </c>
      <c r="DQ81" s="12">
        <v>4981</v>
      </c>
      <c r="DR81" s="3">
        <v>0.82242176712292159</v>
      </c>
      <c r="DS81" s="3">
        <v>6.2787079256662528</v>
      </c>
      <c r="DT81" s="3">
        <v>-0.24800000000000005</v>
      </c>
      <c r="DU81" s="3">
        <v>-0.1</v>
      </c>
      <c r="DV81" s="3">
        <v>-0.34800000000000009</v>
      </c>
      <c r="DW81" s="3">
        <v>-9.6221590909090917</v>
      </c>
      <c r="DX81" s="3">
        <v>0.31385601761983006</v>
      </c>
      <c r="DY81" s="3">
        <v>-9.1019445109623369</v>
      </c>
      <c r="DZ81" s="3">
        <v>1371</v>
      </c>
      <c r="EA81" s="3">
        <v>-9.0745930580211702</v>
      </c>
      <c r="EB81" s="13">
        <v>9</v>
      </c>
      <c r="EC81" s="13">
        <v>8.1096997690531178E-3</v>
      </c>
      <c r="ED81" s="3">
        <v>4.949284064665127E-2</v>
      </c>
      <c r="EE81" s="3">
        <v>6.5200000000000008E-2</v>
      </c>
      <c r="EF81" s="3">
        <v>4.1299999999999989E-2</v>
      </c>
      <c r="EG81" s="3">
        <v>15.16385601761983</v>
      </c>
      <c r="EH81" s="15" t="s">
        <v>759</v>
      </c>
      <c r="EI81" s="16">
        <v>0</v>
      </c>
      <c r="EJ81" s="16">
        <v>1</v>
      </c>
      <c r="EK81" s="16">
        <v>45470</v>
      </c>
      <c r="EL81" s="16">
        <v>-1.99</v>
      </c>
      <c r="EM81" s="16">
        <v>-6.08</v>
      </c>
      <c r="EN81" s="3">
        <v>3.33</v>
      </c>
      <c r="EO81" s="3">
        <v>3.23</v>
      </c>
      <c r="EP81" s="3">
        <v>-2.39</v>
      </c>
    </row>
    <row r="82" spans="1:146" ht="204" x14ac:dyDescent="0.25">
      <c r="A82" s="3"/>
      <c r="B82" s="3"/>
      <c r="C82" s="7" t="str">
        <f>"公司主要从事消费类电子、动力电池、钣金加工等行业的激光及自动化设备的研发、设计、生产及销售。公司主要产品根据应用领域分为三大类别，分别为动力电池激光及自动化设备、通用激光及自动化设备、显示及脆性材料精密激光及自动化设备。"&amp;CHAR(10)&amp;Basic_Fundamental_Information_Constructure(F82)&amp;CHAR(10)&amp;Basic_Fundamental_Information_Concatenate("动力电池激光及自动化设备 11.12亿 56.06% 46.42% 20.64%
通用激光及自动化设备 7.24亿 36.47% 37.58% 25.69%
其他业务 1.48亿 7.47% 16.00% 53.38%")</f>
        <v>公司主要从事消费类电子、动力电池、钣金加工等行业的激光及自动化设备的研发、设计、生产及销售。公司主要产品根据应用领域分为三大类别，分别为动力电池激光及自动化设备、通用激光及自动化设备、显示及脆性材料精密激光及自动化设备。
市值31.670916亿, 利润2.26亿; PE24.02; 平均PE35.66; 平均PEG.58, PB1.44; ROIC19.7667%; ROE17.945%; 股利率2.955%; 毛利44.3333%; 净利26.29%; 上一年度营收增115.05%, 利润增134.24%; 当季营收增-49.69%, 利润增-52.57%; 过往5年营收增61.69%, 利润增80.62%
Income profile:
动力电池激光及自动化设备 11.12亿 56.06% 46.42% 20.64%
通用激光及自动化设备 7.24亿 36.47% 37.58% 25.69%
其他业务 1.48亿 7.47% 16.00% 53.38%</v>
      </c>
      <c r="D82" s="3" t="s">
        <v>1056</v>
      </c>
      <c r="E82" s="3" t="s">
        <v>1057</v>
      </c>
      <c r="F82" s="3">
        <v>53.55</v>
      </c>
      <c r="G82" s="3">
        <v>-0.45</v>
      </c>
      <c r="H82" s="3" t="s">
        <v>3098</v>
      </c>
      <c r="I82" s="3">
        <v>3167091600</v>
      </c>
      <c r="J82" s="3">
        <v>24.02</v>
      </c>
      <c r="K82" s="3">
        <v>1.44</v>
      </c>
      <c r="L82" s="3" t="s">
        <v>176</v>
      </c>
      <c r="M82" s="3" t="s">
        <v>223</v>
      </c>
      <c r="N82" s="3" t="s">
        <v>3099</v>
      </c>
      <c r="O82" s="3" t="s">
        <v>1838</v>
      </c>
      <c r="P82" s="5">
        <v>-17.73</v>
      </c>
      <c r="Q82" s="3" t="s">
        <v>3100</v>
      </c>
      <c r="R82" s="3">
        <v>24311744</v>
      </c>
      <c r="S82" s="3">
        <v>-6.25E-2</v>
      </c>
      <c r="T82" s="3" t="s">
        <v>50</v>
      </c>
      <c r="U82" s="3">
        <v>14309056</v>
      </c>
      <c r="V82" s="3">
        <v>59142700</v>
      </c>
      <c r="W82" s="3">
        <v>1.27</v>
      </c>
      <c r="X82" s="3">
        <v>0.03</v>
      </c>
      <c r="Y82" s="3">
        <v>28.43</v>
      </c>
      <c r="Z82" s="3" t="s">
        <v>3101</v>
      </c>
      <c r="AA82" s="3" t="s">
        <v>3102</v>
      </c>
      <c r="AB82" s="3" t="s">
        <v>3103</v>
      </c>
      <c r="AC82" s="3" t="s">
        <v>3104</v>
      </c>
      <c r="AD82" s="3" t="s">
        <v>47</v>
      </c>
      <c r="AE82" s="3">
        <v>-11584669</v>
      </c>
      <c r="AF82" s="3" t="s">
        <v>1839</v>
      </c>
      <c r="AG82" s="3" t="s">
        <v>3105</v>
      </c>
      <c r="AH82" s="3" t="s">
        <v>1840</v>
      </c>
      <c r="AI82" s="3" t="s">
        <v>3106</v>
      </c>
      <c r="AJ82" s="3" t="s">
        <v>1841</v>
      </c>
      <c r="AK82" s="3" t="s">
        <v>3107</v>
      </c>
      <c r="AL82" s="3" t="s">
        <v>1842</v>
      </c>
      <c r="AM82" s="3" t="s">
        <v>47</v>
      </c>
      <c r="AN82" s="3" t="s">
        <v>98</v>
      </c>
      <c r="AO82" s="3" t="s">
        <v>47</v>
      </c>
      <c r="AP82" s="3" t="s">
        <v>3108</v>
      </c>
      <c r="AQ82" s="3" t="s">
        <v>3109</v>
      </c>
      <c r="AR82" s="3" t="s">
        <v>47</v>
      </c>
      <c r="AS82" s="3" t="s">
        <v>163</v>
      </c>
      <c r="AT82" s="3" t="s">
        <v>3110</v>
      </c>
      <c r="AU82" s="3" t="s">
        <v>3111</v>
      </c>
      <c r="AV82" s="3" t="s">
        <v>3112</v>
      </c>
      <c r="AW82" s="3" t="s">
        <v>3113</v>
      </c>
      <c r="AX82" s="3" t="s">
        <v>120</v>
      </c>
      <c r="AY82" s="3" t="s">
        <v>74</v>
      </c>
      <c r="AZ82" s="3" t="s">
        <v>132</v>
      </c>
      <c r="BA82" s="3" t="s">
        <v>54</v>
      </c>
      <c r="BB82" s="3" t="s">
        <v>47</v>
      </c>
      <c r="BC82" s="3" t="s">
        <v>1058</v>
      </c>
      <c r="BD82" s="3" t="s">
        <v>1059</v>
      </c>
      <c r="BE82" s="3" t="s">
        <v>1125</v>
      </c>
      <c r="BF82" s="3" t="s">
        <v>1126</v>
      </c>
      <c r="BG82" s="3" t="s">
        <v>47</v>
      </c>
      <c r="BH82" s="3" t="s">
        <v>77</v>
      </c>
      <c r="BI82" s="3" t="s">
        <v>347</v>
      </c>
      <c r="BJ82" s="3" t="s">
        <v>120</v>
      </c>
      <c r="BK82" s="3" t="s">
        <v>207</v>
      </c>
      <c r="BL82" s="3" t="s">
        <v>3114</v>
      </c>
      <c r="BM82" s="3" t="s">
        <v>1058</v>
      </c>
      <c r="BN82" s="3">
        <v>6.8</v>
      </c>
      <c r="BO82" s="3">
        <v>25.94</v>
      </c>
      <c r="BP82" s="3">
        <v>26.56</v>
      </c>
      <c r="BQ82" s="3">
        <v>6.93</v>
      </c>
      <c r="BR82" s="3">
        <v>28.96</v>
      </c>
      <c r="BS82" s="3" t="s">
        <v>47</v>
      </c>
      <c r="BT82" s="3" t="s">
        <v>3115</v>
      </c>
      <c r="BU82" s="3" t="s">
        <v>748</v>
      </c>
      <c r="BV82" s="3">
        <v>45.17</v>
      </c>
      <c r="BW82" s="3">
        <v>43.67</v>
      </c>
      <c r="BX82" s="3">
        <v>44.16</v>
      </c>
      <c r="BY82" s="3">
        <v>31.09</v>
      </c>
      <c r="BZ82" s="3">
        <v>25.95</v>
      </c>
      <c r="CA82" s="3">
        <v>21.83</v>
      </c>
      <c r="CB82" s="3">
        <v>-4.7699999999999996</v>
      </c>
      <c r="CC82" s="1">
        <v>-9.8800000000000008</v>
      </c>
      <c r="CD82" s="1" t="s">
        <v>3116</v>
      </c>
      <c r="CE82" s="1" t="s">
        <v>3117</v>
      </c>
      <c r="CF82" s="10">
        <v>-0.49694882352941167</v>
      </c>
      <c r="CG82" s="11">
        <v>-0.52572815306703702</v>
      </c>
      <c r="CH82" s="10">
        <v>1.1505376100540161</v>
      </c>
      <c r="CI82" s="10">
        <v>0.41984733939170837</v>
      </c>
      <c r="CJ82" s="10">
        <v>0.5878787636756897</v>
      </c>
      <c r="CK82" s="10">
        <v>0.3095238208770752</v>
      </c>
      <c r="CL82" s="10" t="s">
        <v>47</v>
      </c>
      <c r="CM82" s="11">
        <v>1.3424372673034668</v>
      </c>
      <c r="CN82" s="11">
        <v>0.68860310316085815</v>
      </c>
      <c r="CO82" s="11">
        <v>0.37265282869338989</v>
      </c>
      <c r="CP82" s="11">
        <v>0.82118403911590576</v>
      </c>
      <c r="CQ82" s="11" t="s">
        <v>47</v>
      </c>
      <c r="CR82" s="1">
        <v>35.657591638598525</v>
      </c>
      <c r="CS82" s="1">
        <v>0.57796858355668068</v>
      </c>
      <c r="CT82" s="1">
        <v>2.9549953314659199</v>
      </c>
      <c r="CU82" s="10">
        <v>0.61694688349962234</v>
      </c>
      <c r="CV82" s="11">
        <v>0.80621930956840515</v>
      </c>
      <c r="CW82" s="3">
        <v>0.06</v>
      </c>
      <c r="CX82" s="3">
        <v>4.5340478768253307</v>
      </c>
      <c r="CY82" s="3">
        <v>344745278.93482506</v>
      </c>
      <c r="CZ82" s="3">
        <v>0.61694688349962234</v>
      </c>
      <c r="DA82" s="3">
        <v>0.97612265585783198</v>
      </c>
      <c r="DB82" s="3">
        <v>1601327036.7404089</v>
      </c>
      <c r="DC82" s="3">
        <v>0.58609953932464121</v>
      </c>
      <c r="DD82" s="3">
        <v>0.25435294606458353</v>
      </c>
      <c r="DE82" s="3">
        <v>6145364636.7560091</v>
      </c>
      <c r="DF82" s="3">
        <v>0.54291325747966768</v>
      </c>
      <c r="DG82" s="3">
        <v>6.7275031108170805E-2</v>
      </c>
      <c r="DH82" s="3">
        <v>23234349717.15913</v>
      </c>
      <c r="DI82" s="3">
        <v>0.4935575067996979</v>
      </c>
      <c r="DJ82" s="3">
        <v>4.4005715775823637E-3</v>
      </c>
      <c r="DK82" s="3">
        <v>355201948756.56335</v>
      </c>
      <c r="DL82" s="3">
        <v>0.43186281844973562</v>
      </c>
      <c r="DM82" s="3">
        <v>225999999.99999997</v>
      </c>
      <c r="DN82" s="3">
        <v>0.61694688349962234</v>
      </c>
      <c r="DO82" s="3">
        <v>1563091600</v>
      </c>
      <c r="DP82" s="3">
        <v>2113163700</v>
      </c>
      <c r="DQ82" s="12">
        <v>5025</v>
      </c>
      <c r="DR82" s="3">
        <v>-1.1138957070290341</v>
      </c>
      <c r="DS82" s="3">
        <v>-1.3319474626354422</v>
      </c>
      <c r="DT82" s="3">
        <v>0.35200000000000004</v>
      </c>
      <c r="DU82" s="3">
        <v>0.93599999999999994</v>
      </c>
      <c r="DV82" s="3">
        <v>1.288</v>
      </c>
      <c r="DW82" s="3">
        <v>-8.4827935222672064</v>
      </c>
      <c r="DX82" s="3">
        <v>0.644116424116427</v>
      </c>
      <c r="DY82" s="3">
        <v>-8.0840622816837389</v>
      </c>
      <c r="DZ82" s="3">
        <v>119</v>
      </c>
      <c r="EA82" s="3">
        <v>-8.0821046669048027</v>
      </c>
      <c r="EB82" s="13">
        <v>8</v>
      </c>
      <c r="EC82" s="13">
        <v>9.0628260123396462E-3</v>
      </c>
      <c r="ED82" s="3">
        <v>5.2050379844004409E-2</v>
      </c>
      <c r="EE82" s="3">
        <v>-1.0014000000000001</v>
      </c>
      <c r="EF82" s="3">
        <v>-1.01881</v>
      </c>
      <c r="EG82" s="3">
        <v>47.174116424116427</v>
      </c>
      <c r="EH82" s="15" t="s">
        <v>954</v>
      </c>
      <c r="EI82" s="16">
        <v>0</v>
      </c>
      <c r="EJ82" s="16">
        <v>1</v>
      </c>
      <c r="EK82" s="16">
        <v>45470</v>
      </c>
      <c r="EL82" s="16">
        <v>-1.1000000000000001</v>
      </c>
      <c r="EM82" s="16">
        <v>-5.05</v>
      </c>
      <c r="EN82" s="3">
        <v>1.77</v>
      </c>
      <c r="EO82" s="3">
        <v>2.2000000000000002</v>
      </c>
      <c r="EP82" s="3">
        <v>-2.02</v>
      </c>
    </row>
    <row r="83" spans="1:146" ht="108" x14ac:dyDescent="0.25">
      <c r="A83" s="3"/>
      <c r="B83" s="3"/>
      <c r="C83" s="7" t="str">
        <f>""&amp;CHAR(10)&amp;Basic_Fundamental_Information_Constructure(F83)&amp;CHAR(10)&amp;Basic_Fundamental_Information_Concatenate("")</f>
        <v xml:space="preserve">
市值26.731177亿, 利润7159.38万; PE24.69; 平均PE65.31; 平均PEG.57, PB1.62; ROIC10.15%; ROE12.08%; 股利率1.1748%; 毛利33.0633%; 净利14.1867%; 上一年度营收增262.15%, 利润增-23.75%; 当季营收增-62.93%, 利润增480.67%; 过往5年营收增115.58%, 利润增133.44%
Income profile:
</v>
      </c>
      <c r="D83" s="3" t="s">
        <v>1127</v>
      </c>
      <c r="E83" s="3" t="s">
        <v>1128</v>
      </c>
      <c r="F83" s="3">
        <v>28.09</v>
      </c>
      <c r="G83" s="3">
        <v>1.44</v>
      </c>
      <c r="H83" s="3" t="s">
        <v>3118</v>
      </c>
      <c r="I83" s="3">
        <v>2673117700</v>
      </c>
      <c r="J83" s="3">
        <v>24.69</v>
      </c>
      <c r="K83" s="3">
        <v>1.62</v>
      </c>
      <c r="L83" s="3" t="s">
        <v>176</v>
      </c>
      <c r="M83" s="3" t="s">
        <v>1843</v>
      </c>
      <c r="N83" s="3" t="s">
        <v>3119</v>
      </c>
      <c r="O83" s="3" t="s">
        <v>827</v>
      </c>
      <c r="P83" s="5">
        <v>4.6900000000000004</v>
      </c>
      <c r="Q83" s="3" t="s">
        <v>3120</v>
      </c>
      <c r="R83" s="3">
        <v>15840609</v>
      </c>
      <c r="S83" s="3">
        <v>0.82579999999999998</v>
      </c>
      <c r="T83" s="3" t="s">
        <v>3121</v>
      </c>
      <c r="U83" s="3">
        <v>19032522</v>
      </c>
      <c r="V83" s="3">
        <v>95162608</v>
      </c>
      <c r="W83" s="3">
        <v>1.44</v>
      </c>
      <c r="X83" s="3">
        <v>0.05</v>
      </c>
      <c r="Y83" s="3">
        <v>13.1</v>
      </c>
      <c r="Z83" s="3" t="s">
        <v>48</v>
      </c>
      <c r="AA83" s="3" t="s">
        <v>3122</v>
      </c>
      <c r="AB83" s="3" t="s">
        <v>3123</v>
      </c>
      <c r="AC83" s="3" t="s">
        <v>3124</v>
      </c>
      <c r="AD83" s="3" t="s">
        <v>47</v>
      </c>
      <c r="AE83" s="3">
        <v>-42428</v>
      </c>
      <c r="AF83" s="3" t="s">
        <v>1844</v>
      </c>
      <c r="AG83" s="3">
        <v>8111.58</v>
      </c>
      <c r="AH83" s="3" t="s">
        <v>1845</v>
      </c>
      <c r="AI83" s="3" t="s">
        <v>127</v>
      </c>
      <c r="AJ83" s="3" t="s">
        <v>1846</v>
      </c>
      <c r="AK83" s="3" t="s">
        <v>3125</v>
      </c>
      <c r="AL83" s="3" t="s">
        <v>1847</v>
      </c>
      <c r="AM83" s="3" t="s">
        <v>47</v>
      </c>
      <c r="AN83" s="3" t="s">
        <v>3126</v>
      </c>
      <c r="AO83" s="3" t="s">
        <v>73</v>
      </c>
      <c r="AP83" s="3" t="s">
        <v>78</v>
      </c>
      <c r="AQ83" s="3" t="s">
        <v>55</v>
      </c>
      <c r="AR83" s="3" t="s">
        <v>47</v>
      </c>
      <c r="AS83" s="3" t="s">
        <v>1958</v>
      </c>
      <c r="AT83" s="3" t="s">
        <v>47</v>
      </c>
      <c r="AU83" s="3" t="s">
        <v>3127</v>
      </c>
      <c r="AV83" s="3" t="s">
        <v>3128</v>
      </c>
      <c r="AW83" s="3" t="s">
        <v>3129</v>
      </c>
      <c r="AX83" s="3" t="s">
        <v>1034</v>
      </c>
      <c r="AY83" s="3" t="s">
        <v>162</v>
      </c>
      <c r="AZ83" s="3" t="s">
        <v>56</v>
      </c>
      <c r="BA83" s="3" t="s">
        <v>105</v>
      </c>
      <c r="BB83" s="3" t="s">
        <v>47</v>
      </c>
      <c r="BC83" s="3" t="s">
        <v>1129</v>
      </c>
      <c r="BD83" s="3" t="s">
        <v>1130</v>
      </c>
      <c r="BE83" s="3" t="s">
        <v>1131</v>
      </c>
      <c r="BF83" s="3" t="s">
        <v>1132</v>
      </c>
      <c r="BG83" s="3" t="s">
        <v>47</v>
      </c>
      <c r="BH83" s="3" t="s">
        <v>1738</v>
      </c>
      <c r="BI83" s="3" t="s">
        <v>3130</v>
      </c>
      <c r="BJ83" s="3" t="s">
        <v>1034</v>
      </c>
      <c r="BK83" s="3" t="s">
        <v>146</v>
      </c>
      <c r="BL83" s="3" t="s">
        <v>3131</v>
      </c>
      <c r="BM83" s="3" t="s">
        <v>1129</v>
      </c>
      <c r="BN83" s="3">
        <v>4.29</v>
      </c>
      <c r="BO83" s="3">
        <v>15.05</v>
      </c>
      <c r="BP83" s="3">
        <v>11.11</v>
      </c>
      <c r="BQ83" s="3">
        <v>6.16</v>
      </c>
      <c r="BR83" s="3">
        <v>18</v>
      </c>
      <c r="BS83" s="3" t="s">
        <v>47</v>
      </c>
      <c r="BT83" s="3" t="s">
        <v>1848</v>
      </c>
      <c r="BU83" s="3" t="s">
        <v>808</v>
      </c>
      <c r="BV83" s="3">
        <v>32.729999999999997</v>
      </c>
      <c r="BW83" s="3">
        <v>34.700000000000003</v>
      </c>
      <c r="BX83" s="3">
        <v>31.76</v>
      </c>
      <c r="BY83" s="3">
        <v>14.5</v>
      </c>
      <c r="BZ83" s="3">
        <v>17.420000000000002</v>
      </c>
      <c r="CA83" s="3">
        <v>10.64</v>
      </c>
      <c r="CB83" s="3">
        <v>-10</v>
      </c>
      <c r="CC83" s="10">
        <v>-8.5299999999999994</v>
      </c>
      <c r="CD83" s="11" t="s">
        <v>3132</v>
      </c>
      <c r="CE83" s="10" t="s">
        <v>3133</v>
      </c>
      <c r="CF83" s="10">
        <v>-0.62928348909657317</v>
      </c>
      <c r="CG83" s="10">
        <v>4.8067406036720177</v>
      </c>
      <c r="CH83" s="10">
        <v>2.6215212345123291</v>
      </c>
      <c r="CI83" s="10">
        <v>0.35768261551856995</v>
      </c>
      <c r="CJ83" s="11">
        <v>0.92718446254730225</v>
      </c>
      <c r="CK83" s="11">
        <v>0.71666663885116577</v>
      </c>
      <c r="CL83" s="11" t="s">
        <v>47</v>
      </c>
      <c r="CM83" s="11">
        <v>-0.23750561475753784</v>
      </c>
      <c r="CN83" s="11">
        <v>1.2253290414810181</v>
      </c>
      <c r="CO83" s="3">
        <v>2.5527694225311279</v>
      </c>
      <c r="CP83" s="3">
        <v>1.7969106435775757</v>
      </c>
      <c r="CQ83" s="3" t="s">
        <v>47</v>
      </c>
      <c r="CR83" s="10">
        <v>65.307964924350657</v>
      </c>
      <c r="CS83" s="11">
        <v>0.56506328054057486</v>
      </c>
      <c r="CT83" s="3">
        <v>1.1747953008187966</v>
      </c>
      <c r="CU83" s="3">
        <v>1.1557637378573418</v>
      </c>
      <c r="CV83" s="3">
        <v>1.334375873208046</v>
      </c>
      <c r="CW83" s="3">
        <v>0.06</v>
      </c>
      <c r="CX83" s="3">
        <v>12.576087470564829</v>
      </c>
      <c r="CY83" s="3">
        <v>145603130.09001034</v>
      </c>
      <c r="CZ83" s="3">
        <v>1.1557637378573418</v>
      </c>
      <c r="DA83" s="3">
        <v>1.8737638363416138</v>
      </c>
      <c r="DB83" s="3">
        <v>977240388.82889462</v>
      </c>
      <c r="DC83" s="3">
        <v>1.0979755509644746</v>
      </c>
      <c r="DD83" s="3">
        <v>0.26110531616095173</v>
      </c>
      <c r="DE83" s="3">
        <v>7012946832.8069353</v>
      </c>
      <c r="DF83" s="3">
        <v>1.0170720893144607</v>
      </c>
      <c r="DG83" s="3">
        <v>2.9584515752452922E-2</v>
      </c>
      <c r="DH83" s="3">
        <v>61894462472.253845</v>
      </c>
      <c r="DI83" s="3">
        <v>0.92461099028587346</v>
      </c>
      <c r="DJ83" s="3">
        <v>2.4103799270681361E-4</v>
      </c>
      <c r="DK83" s="3">
        <v>7596801149216.666</v>
      </c>
      <c r="DL83" s="3">
        <v>0.80903461650013919</v>
      </c>
      <c r="DM83" s="3">
        <v>71593800</v>
      </c>
      <c r="DN83" s="3">
        <v>1.1557637378573418</v>
      </c>
      <c r="DO83" s="3">
        <v>1831117700</v>
      </c>
      <c r="DP83" s="3">
        <v>1221783800</v>
      </c>
      <c r="DQ83" s="12">
        <v>5037</v>
      </c>
      <c r="DR83" s="3">
        <v>-1.7850472269539148</v>
      </c>
      <c r="DS83" s="3">
        <v>3.4723647304639718</v>
      </c>
      <c r="DT83" s="3">
        <v>0.61199999999999999</v>
      </c>
      <c r="DU83" s="3">
        <v>1.464</v>
      </c>
      <c r="DV83" s="3">
        <v>2.0760000000000001</v>
      </c>
      <c r="DW83" s="3">
        <v>-5.8529999999999998</v>
      </c>
      <c r="DX83" s="3">
        <v>0.27256248001158923</v>
      </c>
      <c r="DY83" s="3">
        <v>-5.1301357954498865</v>
      </c>
      <c r="DZ83" s="3">
        <v>3726</v>
      </c>
      <c r="EA83" s="3">
        <v>-5.0352461723879927</v>
      </c>
      <c r="EB83" s="13">
        <v>5</v>
      </c>
      <c r="EC83" s="13">
        <v>5.8650137037017734E-2</v>
      </c>
      <c r="ED83" s="3">
        <v>0.38443355818915764</v>
      </c>
      <c r="EE83" s="3">
        <v>8.0432100000000002</v>
      </c>
      <c r="EF83" s="3">
        <v>8.0293100000000006</v>
      </c>
      <c r="EG83" s="3">
        <v>12.152562480011589</v>
      </c>
      <c r="EH83" s="15" t="s">
        <v>3134</v>
      </c>
      <c r="EI83" s="3">
        <v>0</v>
      </c>
      <c r="EJ83" s="3">
        <v>0</v>
      </c>
      <c r="EK83" s="3">
        <v>45470</v>
      </c>
      <c r="EL83" s="3">
        <v>1.41</v>
      </c>
      <c r="EM83" s="3">
        <v>-7.18</v>
      </c>
      <c r="EN83" s="3">
        <v>-4.55</v>
      </c>
      <c r="EO83" s="3">
        <v>2.72</v>
      </c>
      <c r="EP83" s="3">
        <v>1.39</v>
      </c>
    </row>
    <row r="84" spans="1:146" ht="216" x14ac:dyDescent="0.25">
      <c r="A84" s="7" t="s">
        <v>1187</v>
      </c>
      <c r="B84" s="7" t="s">
        <v>1188</v>
      </c>
      <c r="C84" s="7" t="str">
        <f>"公司是一家从事机器视觉核心软硬件产品的研发、生产和销售的高新技术企业。公司的主要产品为光源、光源控制器、镜头、相机、视觉控制系统。公司的业务规模位居行业前五，且公司属于前五名企业中唯一一个以生产销售自主机器视觉核心软硬件为主的企业，属于行业内较有规模和影响力的企业。"&amp;CHAR(10)&amp;Basic_Fundamental_Information_Constructure(F84)&amp;CHAR(10)&amp;Basic_Fundamental_Information_Concatenate("机器视觉核心部件 9.63亿 84.44% 6.48亿 85.81% 67.26%
机器视觉配件 1.77亿 15.55% 1.07亿 14.19% 60.39%")</f>
        <v>公司是一家从事机器视觉核心软硬件产品的研发、生产和销售的高新技术企业。公司的主要产品为光源、光源控制器、镜头、相机、视觉控制系统。公司的业务规模位居行业前五，且公司属于前五名企业中唯一一个以生产销售自主机器视觉核心软硬件为主的企业，属于行业内较有规模和影响力的企业。
市值70.859893亿, 利润1.17亿; PE38.22; 平均PE31.92; 平均PEG1.16, PB2.41; ROIC10.1467%; ROE11.04%; 股利率.9143%; 毛利65.6467%; 净利27.8667%; 上一年度营收增23.75%, 利润增-64%; 当季营收增17.62%, 利润增171.06%; 过往5年营收增27.43%, 利润增7.25%
Income profile:
机器视觉核心部件 9.63亿 84.44% 6.48亿 85.81% 67.26%
机器视觉配件 1.77亿 15.55% 1.07亿 14.19% 60.39%</v>
      </c>
      <c r="D84" s="3" t="s">
        <v>589</v>
      </c>
      <c r="E84" s="3" t="s">
        <v>590</v>
      </c>
      <c r="F84" s="3">
        <v>57.97</v>
      </c>
      <c r="G84" s="3">
        <v>1.38</v>
      </c>
      <c r="H84" s="3" t="s">
        <v>3135</v>
      </c>
      <c r="I84" s="3">
        <v>7085989300</v>
      </c>
      <c r="J84" s="3">
        <v>38.22</v>
      </c>
      <c r="K84" s="3">
        <v>2.41</v>
      </c>
      <c r="L84" s="3" t="s">
        <v>176</v>
      </c>
      <c r="M84" s="3" t="s">
        <v>1075</v>
      </c>
      <c r="N84" s="3" t="s">
        <v>3136</v>
      </c>
      <c r="O84" s="3" t="s">
        <v>961</v>
      </c>
      <c r="P84" s="3">
        <v>-9.5299999999999994</v>
      </c>
      <c r="Q84" s="3" t="s">
        <v>3137</v>
      </c>
      <c r="R84" s="3">
        <v>57301928</v>
      </c>
      <c r="S84" s="5">
        <v>-0.12670000000000001</v>
      </c>
      <c r="T84" s="3" t="s">
        <v>106</v>
      </c>
      <c r="U84" s="3">
        <v>122235455</v>
      </c>
      <c r="V84" s="3">
        <v>122235455</v>
      </c>
      <c r="W84" s="3">
        <v>1.08</v>
      </c>
      <c r="X84" s="3">
        <v>7.0000000000000007E-2</v>
      </c>
      <c r="Y84" s="3">
        <v>25.27</v>
      </c>
      <c r="Z84" s="3" t="s">
        <v>161</v>
      </c>
      <c r="AA84" s="3" t="s">
        <v>3138</v>
      </c>
      <c r="AB84" s="3" t="s">
        <v>3139</v>
      </c>
      <c r="AC84" s="3" t="s">
        <v>3140</v>
      </c>
      <c r="AD84" s="3" t="s">
        <v>47</v>
      </c>
      <c r="AE84" s="3">
        <v>-4128867</v>
      </c>
      <c r="AF84" s="3" t="s">
        <v>1849</v>
      </c>
      <c r="AG84" s="3" t="s">
        <v>3141</v>
      </c>
      <c r="AH84" s="3" t="s">
        <v>1850</v>
      </c>
      <c r="AI84" s="3" t="s">
        <v>507</v>
      </c>
      <c r="AJ84" s="3" t="s">
        <v>1851</v>
      </c>
      <c r="AK84" s="3" t="s">
        <v>3142</v>
      </c>
      <c r="AL84" s="3" t="s">
        <v>1852</v>
      </c>
      <c r="AM84" s="3" t="s">
        <v>47</v>
      </c>
      <c r="AN84" s="3" t="s">
        <v>834</v>
      </c>
      <c r="AO84" s="3" t="s">
        <v>47</v>
      </c>
      <c r="AP84" s="3" t="s">
        <v>47</v>
      </c>
      <c r="AQ84" s="3" t="s">
        <v>283</v>
      </c>
      <c r="AR84" s="3" t="s">
        <v>3143</v>
      </c>
      <c r="AS84" s="3" t="s">
        <v>84</v>
      </c>
      <c r="AT84" s="3" t="s">
        <v>47</v>
      </c>
      <c r="AU84" s="3" t="s">
        <v>3144</v>
      </c>
      <c r="AV84" s="3" t="s">
        <v>1872</v>
      </c>
      <c r="AW84" s="3" t="s">
        <v>3145</v>
      </c>
      <c r="AX84" s="3" t="s">
        <v>1060</v>
      </c>
      <c r="AY84" s="3" t="s">
        <v>744</v>
      </c>
      <c r="AZ84" s="3" t="s">
        <v>468</v>
      </c>
      <c r="BA84" s="3" t="s">
        <v>167</v>
      </c>
      <c r="BB84" s="3" t="s">
        <v>121</v>
      </c>
      <c r="BC84" s="3" t="s">
        <v>481</v>
      </c>
      <c r="BD84" s="3" t="s">
        <v>269</v>
      </c>
      <c r="BE84" s="3" t="s">
        <v>127</v>
      </c>
      <c r="BF84" s="3" t="s">
        <v>56</v>
      </c>
      <c r="BG84" s="3" t="s">
        <v>117</v>
      </c>
      <c r="BH84" s="3" t="s">
        <v>1046</v>
      </c>
      <c r="BI84" s="3" t="s">
        <v>79</v>
      </c>
      <c r="BJ84" s="3" t="s">
        <v>1060</v>
      </c>
      <c r="BK84" s="3" t="s">
        <v>71</v>
      </c>
      <c r="BL84" s="3" t="s">
        <v>3146</v>
      </c>
      <c r="BM84" s="3" t="s">
        <v>481</v>
      </c>
      <c r="BN84" s="3">
        <v>6.89</v>
      </c>
      <c r="BO84" s="3">
        <v>11.78</v>
      </c>
      <c r="BP84" s="3">
        <v>11.77</v>
      </c>
      <c r="BQ84" s="3">
        <v>7.45</v>
      </c>
      <c r="BR84" s="3">
        <v>13.03</v>
      </c>
      <c r="BS84" s="3">
        <v>12.64</v>
      </c>
      <c r="BT84" s="3" t="s">
        <v>1021</v>
      </c>
      <c r="BU84" s="3" t="s">
        <v>748</v>
      </c>
      <c r="BV84" s="3">
        <v>64.23</v>
      </c>
      <c r="BW84" s="3">
        <v>66.2</v>
      </c>
      <c r="BX84" s="3">
        <v>66.510000000000005</v>
      </c>
      <c r="BY84" s="3">
        <v>20.52</v>
      </c>
      <c r="BZ84" s="3">
        <v>28.47</v>
      </c>
      <c r="CA84" s="3">
        <v>34.61</v>
      </c>
      <c r="CB84" s="3">
        <v>-9.4600000000000009</v>
      </c>
      <c r="CC84" s="1">
        <v>-15.59</v>
      </c>
      <c r="CD84" s="1" t="s">
        <v>3147</v>
      </c>
      <c r="CE84" s="1" t="s">
        <v>3148</v>
      </c>
      <c r="CF84" s="10">
        <v>0.17616580310880828</v>
      </c>
      <c r="CG84" s="11">
        <v>1.7106182650734634</v>
      </c>
      <c r="CH84" s="10">
        <v>0.23751102387905121</v>
      </c>
      <c r="CI84" s="10">
        <v>0.30399993062019348</v>
      </c>
      <c r="CJ84" s="10">
        <v>0.3629283607006073</v>
      </c>
      <c r="CK84" s="10">
        <v>0.22285714745521545</v>
      </c>
      <c r="CL84" s="10">
        <v>0.24407583475112915</v>
      </c>
      <c r="CM84" s="11">
        <v>-0.63999998569488525</v>
      </c>
      <c r="CN84" s="11">
        <v>7.2607263922691345E-2</v>
      </c>
      <c r="CO84" s="11">
        <v>0.24180327355861664</v>
      </c>
      <c r="CP84" s="11">
        <v>0.18446601927280426</v>
      </c>
      <c r="CQ84" s="11">
        <v>0.50364965200424194</v>
      </c>
      <c r="CR84" s="1">
        <v>31.918870720720722</v>
      </c>
      <c r="CS84" s="1">
        <v>1.1637565809478521</v>
      </c>
      <c r="CT84" s="1">
        <v>0.914265999654994</v>
      </c>
      <c r="CU84" s="10">
        <v>0.2742744594812393</v>
      </c>
      <c r="CV84" s="11">
        <v>7.2505244612693781E-2</v>
      </c>
      <c r="CW84" s="3">
        <v>0.06</v>
      </c>
      <c r="CX84" s="3">
        <v>30.700014937203477</v>
      </c>
      <c r="CY84" s="3">
        <v>140651048.82953304</v>
      </c>
      <c r="CZ84" s="3">
        <v>0.2742744594812393</v>
      </c>
      <c r="DA84" s="3">
        <v>8.6123637515472335</v>
      </c>
      <c r="DB84" s="3">
        <v>501370985.31448609</v>
      </c>
      <c r="DC84" s="3">
        <v>0.26056073650717732</v>
      </c>
      <c r="DD84" s="3">
        <v>3.413437737051555</v>
      </c>
      <c r="DE84" s="3">
        <v>1264997235.2300103</v>
      </c>
      <c r="DF84" s="3">
        <v>0.24136152434349059</v>
      </c>
      <c r="DG84" s="3">
        <v>1.5770054006286112</v>
      </c>
      <c r="DH84" s="3">
        <v>2738094174.1092348</v>
      </c>
      <c r="DI84" s="3">
        <v>0.21941956758499145</v>
      </c>
      <c r="DJ84" s="3">
        <v>0.43219490902526031</v>
      </c>
      <c r="DK84" s="3">
        <v>9990837952.5766888</v>
      </c>
      <c r="DL84" s="3">
        <v>0.19199212163686749</v>
      </c>
      <c r="DM84" s="3">
        <v>117000000</v>
      </c>
      <c r="DN84" s="3">
        <v>0.2742744594812393</v>
      </c>
      <c r="DO84" s="3">
        <v>4317989300</v>
      </c>
      <c r="DP84" s="3">
        <v>2393228200</v>
      </c>
      <c r="DQ84" s="3">
        <v>5066</v>
      </c>
      <c r="DR84" s="3">
        <v>-9.8108656372431019E-2</v>
      </c>
      <c r="DS84" s="3">
        <v>1.6381130204607697</v>
      </c>
      <c r="DT84" s="12">
        <v>0.22666666666666657</v>
      </c>
      <c r="DU84" s="3">
        <v>1.6666666666666607E-2</v>
      </c>
      <c r="DV84" s="3">
        <v>0.24333333333333318</v>
      </c>
      <c r="DW84" s="3">
        <v>-9.6067992302758185</v>
      </c>
      <c r="DX84" s="3">
        <v>0.36396562263491888</v>
      </c>
      <c r="DY84" s="3">
        <v>-9.0994942136065635</v>
      </c>
      <c r="DZ84" s="3">
        <v>1001</v>
      </c>
      <c r="EA84" s="3">
        <v>-9.08000425121514</v>
      </c>
      <c r="EB84" s="3">
        <v>9</v>
      </c>
      <c r="EC84" s="3">
        <v>3.6865735886531449E-2</v>
      </c>
      <c r="ED84" s="3">
        <v>0.22483820263114332</v>
      </c>
      <c r="EE84" s="13">
        <v>4.0638100000000001</v>
      </c>
      <c r="EF84" s="3">
        <v>4.0720099999999997</v>
      </c>
      <c r="EG84" s="3">
        <v>20.163965622634919</v>
      </c>
      <c r="EH84" s="3" t="s">
        <v>1196</v>
      </c>
      <c r="EI84" s="3">
        <v>0</v>
      </c>
      <c r="EJ84" s="3">
        <v>1</v>
      </c>
      <c r="EK84" s="15">
        <v>45470</v>
      </c>
      <c r="EL84" s="16">
        <v>-0.88</v>
      </c>
      <c r="EM84" s="16">
        <v>-1.71</v>
      </c>
      <c r="EN84" s="3">
        <v>-2.69</v>
      </c>
      <c r="EO84" s="3">
        <v>-0.47</v>
      </c>
      <c r="EP84" s="3">
        <v>-0.82</v>
      </c>
    </row>
    <row r="85" spans="1:146" ht="108" x14ac:dyDescent="0.25">
      <c r="C85" s="7" t="str">
        <f>""&amp;CHAR(10)&amp;Basic_Fundamental_Information_Constructure(F85)&amp;CHAR(10)&amp;Basic_Fundamental_Information_Concatenate("")</f>
        <v xml:space="preserve">
市值50.201628亿, 利润-8656.25万; PE24.9; 平均PE83.48; 平均PEG5.33, PB2.52; ROIC12.9067%; ROE15.1433%; 股利率1.1789%; 毛利35.6833%; 净利15.0467%; 上一年度营收增-28.7%, 利润增-161.83%; 当季营收增130.99%, 利润增1205.29%; 过往5年营收增15.66%, 利润增1.74%
Income profile:
</v>
      </c>
      <c r="D85" s="3" t="s">
        <v>445</v>
      </c>
      <c r="E85" s="3" t="s">
        <v>446</v>
      </c>
      <c r="F85" s="3">
        <v>23.75</v>
      </c>
      <c r="G85" s="3">
        <v>-1.66</v>
      </c>
      <c r="H85" s="3" t="s">
        <v>3149</v>
      </c>
      <c r="I85" s="3">
        <v>5020162800</v>
      </c>
      <c r="J85" s="3">
        <v>24.9</v>
      </c>
      <c r="K85" s="3">
        <v>2.52</v>
      </c>
      <c r="L85" s="3" t="s">
        <v>176</v>
      </c>
      <c r="M85" s="3" t="s">
        <v>1254</v>
      </c>
      <c r="N85" s="3" t="s">
        <v>3150</v>
      </c>
      <c r="O85" s="3" t="s">
        <v>247</v>
      </c>
      <c r="P85" s="3">
        <v>15.21</v>
      </c>
      <c r="Q85" s="3" t="s">
        <v>3151</v>
      </c>
      <c r="R85" s="3">
        <v>53652024</v>
      </c>
      <c r="S85" s="5">
        <v>0.25290000000000001</v>
      </c>
      <c r="T85" s="3" t="s">
        <v>3152</v>
      </c>
      <c r="U85" s="3">
        <v>210259270</v>
      </c>
      <c r="V85" s="3">
        <v>211375270</v>
      </c>
      <c r="W85" s="3">
        <v>1.36</v>
      </c>
      <c r="X85" s="3">
        <v>0.12</v>
      </c>
      <c r="Y85" s="3">
        <v>16.399999999999999</v>
      </c>
      <c r="Z85" s="3" t="s">
        <v>279</v>
      </c>
      <c r="AA85" s="3" t="s">
        <v>87</v>
      </c>
      <c r="AB85" s="3" t="s">
        <v>3153</v>
      </c>
      <c r="AC85" s="3" t="s">
        <v>3154</v>
      </c>
      <c r="AD85" s="3" t="s">
        <v>47</v>
      </c>
      <c r="AE85" s="3">
        <v>-7510615</v>
      </c>
      <c r="AF85" s="3" t="s">
        <v>70</v>
      </c>
      <c r="AG85" s="3" t="s">
        <v>3155</v>
      </c>
      <c r="AH85" s="3" t="s">
        <v>1855</v>
      </c>
      <c r="AI85" s="3" t="s">
        <v>151</v>
      </c>
      <c r="AJ85" s="3" t="s">
        <v>1856</v>
      </c>
      <c r="AK85" s="3" t="s">
        <v>987</v>
      </c>
      <c r="AL85" s="3" t="s">
        <v>1857</v>
      </c>
      <c r="AM85" s="3" t="s">
        <v>47</v>
      </c>
      <c r="AN85" s="3" t="s">
        <v>3156</v>
      </c>
      <c r="AO85" s="3" t="s">
        <v>3157</v>
      </c>
      <c r="AP85" s="3" t="s">
        <v>1872</v>
      </c>
      <c r="AQ85" s="3" t="s">
        <v>59</v>
      </c>
      <c r="AR85" s="3" t="s">
        <v>3158</v>
      </c>
      <c r="AS85" s="3" t="s">
        <v>1645</v>
      </c>
      <c r="AT85" s="3" t="s">
        <v>47</v>
      </c>
      <c r="AU85" s="3" t="s">
        <v>3159</v>
      </c>
      <c r="AV85" s="3" t="s">
        <v>3160</v>
      </c>
      <c r="AW85" s="3" t="s">
        <v>3161</v>
      </c>
      <c r="AX85" s="3" t="s">
        <v>960</v>
      </c>
      <c r="AY85" s="3" t="s">
        <v>562</v>
      </c>
      <c r="AZ85" s="3" t="s">
        <v>255</v>
      </c>
      <c r="BA85" s="3" t="s">
        <v>102</v>
      </c>
      <c r="BB85" s="3" t="s">
        <v>407</v>
      </c>
      <c r="BC85" s="3" t="s">
        <v>55</v>
      </c>
      <c r="BD85" s="3" t="s">
        <v>90</v>
      </c>
      <c r="BE85" s="3" t="s">
        <v>447</v>
      </c>
      <c r="BF85" s="3" t="s">
        <v>449</v>
      </c>
      <c r="BG85" s="3" t="s">
        <v>450</v>
      </c>
      <c r="BH85" s="3" t="s">
        <v>1853</v>
      </c>
      <c r="BI85" s="3" t="s">
        <v>652</v>
      </c>
      <c r="BJ85" s="3" t="s">
        <v>960</v>
      </c>
      <c r="BK85" s="3" t="s">
        <v>987</v>
      </c>
      <c r="BL85" s="3" t="s">
        <v>3162</v>
      </c>
      <c r="BM85" s="3" t="s">
        <v>55</v>
      </c>
      <c r="BN85" s="3">
        <v>10.119999999999999</v>
      </c>
      <c r="BO85" s="3">
        <v>14</v>
      </c>
      <c r="BP85" s="3">
        <v>14.6</v>
      </c>
      <c r="BQ85" s="3">
        <v>14.66</v>
      </c>
      <c r="BR85" s="3">
        <v>15.18</v>
      </c>
      <c r="BS85" s="3">
        <v>15.59</v>
      </c>
      <c r="BT85" s="3" t="s">
        <v>1858</v>
      </c>
      <c r="BU85" s="3" t="s">
        <v>747</v>
      </c>
      <c r="BV85" s="3">
        <v>38.08</v>
      </c>
      <c r="BW85" s="3">
        <v>35.880000000000003</v>
      </c>
      <c r="BX85" s="3">
        <v>33.090000000000003</v>
      </c>
      <c r="BY85" s="3">
        <v>14.45</v>
      </c>
      <c r="BZ85" s="3">
        <v>15.24</v>
      </c>
      <c r="CA85" s="3">
        <v>15.45</v>
      </c>
      <c r="CB85" s="3">
        <v>-11.94</v>
      </c>
      <c r="CC85" s="3">
        <v>-14.81</v>
      </c>
      <c r="CD85" s="3" t="s">
        <v>3163</v>
      </c>
      <c r="CE85" s="3" t="s">
        <v>3164</v>
      </c>
      <c r="CF85" s="10">
        <v>1.3098591549295775</v>
      </c>
      <c r="CG85" s="11">
        <v>12.052929276281906</v>
      </c>
      <c r="CH85" s="10">
        <v>-0.28697571158409119</v>
      </c>
      <c r="CI85" s="10">
        <v>0.10622710734605789</v>
      </c>
      <c r="CJ85" s="10">
        <v>0.43181818723678589</v>
      </c>
      <c r="CK85" s="10">
        <v>0.28251120448112488</v>
      </c>
      <c r="CL85" s="10">
        <v>0.24929971992969513</v>
      </c>
      <c r="CM85" s="11">
        <v>-1.6183035373687744</v>
      </c>
      <c r="CN85" s="11">
        <v>0.10236220806837082</v>
      </c>
      <c r="CO85" s="11">
        <v>0.4505084753036499</v>
      </c>
      <c r="CP85" s="11">
        <v>0.52128100395202637</v>
      </c>
      <c r="CQ85" s="11">
        <v>0.63130652904510498</v>
      </c>
      <c r="CR85" s="3">
        <v>83.477474561258617</v>
      </c>
      <c r="CS85" s="3">
        <v>5.3314314107444272</v>
      </c>
      <c r="CT85" s="3">
        <v>1.1789473684210525</v>
      </c>
      <c r="CU85" s="10">
        <v>0.15657610148191453</v>
      </c>
      <c r="CV85" s="11">
        <v>1.7430935800075532E-2</v>
      </c>
      <c r="CW85" s="3">
        <v>0.06</v>
      </c>
      <c r="CX85" s="3" t="e">
        <v>#VALUE!</v>
      </c>
      <c r="CY85" s="3" t="s">
        <v>758</v>
      </c>
      <c r="CZ85" s="3">
        <v>0.15657610148191453</v>
      </c>
      <c r="DA85" s="3" t="e">
        <v>#VALUE!</v>
      </c>
      <c r="DB85" s="3" t="s">
        <v>758</v>
      </c>
      <c r="DC85" s="3">
        <v>0.14874729640781881</v>
      </c>
      <c r="DD85" s="3" t="e">
        <v>#VALUE!</v>
      </c>
      <c r="DE85" s="3" t="s">
        <v>758</v>
      </c>
      <c r="DF85" s="3">
        <v>0.13778696930408479</v>
      </c>
      <c r="DG85" s="3" t="e">
        <v>#VALUE!</v>
      </c>
      <c r="DH85" s="3" t="s">
        <v>758</v>
      </c>
      <c r="DI85" s="3">
        <v>0.12526088118553164</v>
      </c>
      <c r="DJ85" s="3" t="e">
        <v>#VALUE!</v>
      </c>
      <c r="DK85" s="3" t="s">
        <v>758</v>
      </c>
      <c r="DL85" s="3">
        <v>0.10960327103734016</v>
      </c>
      <c r="DM85" s="3">
        <v>-86562500</v>
      </c>
      <c r="DN85" s="3">
        <v>0.15657610148191453</v>
      </c>
      <c r="DO85" s="3">
        <v>3624162800</v>
      </c>
      <c r="DP85" s="3">
        <v>839689400</v>
      </c>
      <c r="DQ85" s="3">
        <v>5076</v>
      </c>
      <c r="DR85" s="3">
        <v>1.153283053447663</v>
      </c>
      <c r="DS85" s="3">
        <v>12.035498340481832</v>
      </c>
      <c r="DT85" s="12">
        <v>-0.25666666666666677</v>
      </c>
      <c r="DU85" s="3">
        <v>-0.3</v>
      </c>
      <c r="DV85" s="3">
        <v>-0.55666666666666675</v>
      </c>
      <c r="DW85" s="3">
        <v>-9.8062120189061446</v>
      </c>
      <c r="DX85" s="3">
        <v>0.37486353755736418</v>
      </c>
      <c r="DY85" s="3">
        <v>-9.1409770856471919</v>
      </c>
      <c r="DZ85" s="3">
        <v>3667</v>
      </c>
      <c r="EA85" s="3">
        <v>-9.0398101633246384</v>
      </c>
      <c r="EB85" s="3">
        <v>9</v>
      </c>
      <c r="EC85" s="3">
        <v>5.137734418979098E-2</v>
      </c>
      <c r="ED85" s="3">
        <v>0.29381393575511461</v>
      </c>
      <c r="EE85" s="13">
        <v>9.8710000000000006E-2</v>
      </c>
      <c r="EF85" s="3">
        <v>0.12321</v>
      </c>
      <c r="EG85" s="3">
        <v>20.174863537557364</v>
      </c>
      <c r="EH85" s="3">
        <v>-1</v>
      </c>
      <c r="EI85" s="3">
        <v>0</v>
      </c>
      <c r="EJ85" s="3">
        <v>0</v>
      </c>
      <c r="EK85" s="15">
        <v>45470</v>
      </c>
      <c r="EL85" s="16">
        <v>-2.09</v>
      </c>
      <c r="EM85" s="16">
        <v>-5.4</v>
      </c>
      <c r="EN85" s="3">
        <v>-2.57</v>
      </c>
      <c r="EO85" s="3">
        <v>2.35</v>
      </c>
      <c r="EP85" s="3">
        <v>-2.4500000000000002</v>
      </c>
    </row>
    <row r="86" spans="1:146" ht="264" x14ac:dyDescent="0.25">
      <c r="A86" s="7" t="s">
        <v>595</v>
      </c>
      <c r="B86" s="7" t="s">
        <v>594</v>
      </c>
      <c r="C86" s="7" t="str">
        <f>"公司的主营业务是自动化主控设备、现场总线控制系统和自动化仪表的开发、生产、销售及技术服务；公司主要产品包括集散控制系统（DCS）、安全仪表系统（SIS）、可编程逻辑控制器（PLC）、回路评估与整定（PID）、高级报警管理（AAS）、先进控制与优化软件（APC）、实时优化软件（RTO）、实时数据库（RTDB）、仿真培训系统（OTS）、安全栅、压力变送器、智能控制阀等，主要应用于化工、石化、电力、制药、冶金、建材、造纸等流程工业领域。"&amp;CHAR(10)&amp;Basic_Fundamental_Information_Constructure(F86)&amp;CHAR(10)&amp;Basic_Fundamental_Information_Concatenate("工业自动化及智能制造解决方案 18.14亿 68.00% 75.51% 40.87%
仪器仪表 3.19亿 11.96% 6.73% 20.71%
工业软件 2.63亿 9.85% 10.71% 40.02%
运维服务 9880.83万 3.71% 4.72% 46.88%")</f>
        <v>公司的主营业务是自动化主控设备、现场总线控制系统和自动化仪表的开发、生产、销售及技术服务；公司主要产品包括集散控制系统（DCS）、安全仪表系统（SIS）、可编程逻辑控制器（PLC）、回路评估与整定（PID）、高级报警管理（AAS）、先进控制与优化软件（APC）、实时优化软件（RTO）、实时数据库（RTDB）、仿真培训系统（OTS）、安全栅、压力变送器、智能控制阀等，主要应用于化工、石化、电力、制药、冶金、建材、造纸等流程工业领域。
市值293.84841亿, 利润5.27亿; PE25.45; 平均PE59.16; 平均PEG1, PB2.95; ROIC11.6633%; ROE13.1167%; 股利率1.8817%; 毛利36.0567%; 净利12.7533%; 上一年度营收增161.34%, 利润增-33.96%; 当季营收增-51.53%, 利润增25.37%; 过往5年营收增58.89%, 利润增16.94%
Income profile:
工业自动化及智能制造解决方案 18.14亿 68.00% 75.51% 40.87%
仪器仪表 3.19亿 11.96% 6.73% 20.71%
工业软件 2.63亿 9.85% 10.71% 40.02%
运维服务 9880.83万 3.71% 4.72% 46.88%</v>
      </c>
      <c r="D86" s="3" t="s">
        <v>451</v>
      </c>
      <c r="E86" s="3" t="s">
        <v>452</v>
      </c>
      <c r="F86" s="3">
        <v>37.200000000000003</v>
      </c>
      <c r="G86" s="3">
        <v>2.09</v>
      </c>
      <c r="H86" s="3" t="s">
        <v>3165</v>
      </c>
      <c r="I86" s="3">
        <v>29384841000</v>
      </c>
      <c r="J86" s="3">
        <v>25.45</v>
      </c>
      <c r="K86" s="3">
        <v>2.95</v>
      </c>
      <c r="L86" s="3" t="s">
        <v>176</v>
      </c>
      <c r="M86" s="3" t="s">
        <v>1859</v>
      </c>
      <c r="N86" s="3" t="s">
        <v>3166</v>
      </c>
      <c r="O86" s="3" t="s">
        <v>1860</v>
      </c>
      <c r="P86" s="3">
        <v>20.25</v>
      </c>
      <c r="Q86" s="3" t="s">
        <v>3167</v>
      </c>
      <c r="R86" s="3">
        <v>145425150</v>
      </c>
      <c r="S86" s="5">
        <v>0.57389999999999997</v>
      </c>
      <c r="T86" s="3" t="s">
        <v>3168</v>
      </c>
      <c r="U86" s="3">
        <v>777975780</v>
      </c>
      <c r="V86" s="3">
        <v>789915090</v>
      </c>
      <c r="W86" s="3">
        <v>1.75</v>
      </c>
      <c r="X86" s="3">
        <v>0.1</v>
      </c>
      <c r="Y86" s="3">
        <v>8.3000000000000007</v>
      </c>
      <c r="Z86" s="3" t="s">
        <v>3169</v>
      </c>
      <c r="AA86" s="3" t="s">
        <v>691</v>
      </c>
      <c r="AB86" s="3" t="s">
        <v>132</v>
      </c>
      <c r="AC86" s="3" t="s">
        <v>3170</v>
      </c>
      <c r="AD86" s="3" t="s">
        <v>47</v>
      </c>
      <c r="AE86" s="3">
        <v>-29621238</v>
      </c>
      <c r="AF86" s="3" t="s">
        <v>1863</v>
      </c>
      <c r="AG86" s="3" t="s">
        <v>3171</v>
      </c>
      <c r="AH86" s="3" t="s">
        <v>1864</v>
      </c>
      <c r="AI86" s="3" t="s">
        <v>3172</v>
      </c>
      <c r="AJ86" s="3" t="s">
        <v>1865</v>
      </c>
      <c r="AK86" s="3" t="s">
        <v>3173</v>
      </c>
      <c r="AL86" s="3" t="s">
        <v>1866</v>
      </c>
      <c r="AM86" s="3" t="s">
        <v>47</v>
      </c>
      <c r="AN86" s="3" t="s">
        <v>3174</v>
      </c>
      <c r="AO86" s="3" t="s">
        <v>994</v>
      </c>
      <c r="AP86" s="3" t="s">
        <v>3175</v>
      </c>
      <c r="AQ86" s="3" t="s">
        <v>3176</v>
      </c>
      <c r="AR86" s="3" t="s">
        <v>3177</v>
      </c>
      <c r="AS86" s="3" t="s">
        <v>3178</v>
      </c>
      <c r="AT86" s="3" t="s">
        <v>47</v>
      </c>
      <c r="AU86" s="3" t="s">
        <v>3179</v>
      </c>
      <c r="AV86" s="3" t="s">
        <v>282</v>
      </c>
      <c r="AW86" s="3" t="s">
        <v>3180</v>
      </c>
      <c r="AX86" s="3" t="s">
        <v>1061</v>
      </c>
      <c r="AY86" s="3" t="s">
        <v>745</v>
      </c>
      <c r="AZ86" s="3" t="s">
        <v>453</v>
      </c>
      <c r="BA86" s="3" t="s">
        <v>454</v>
      </c>
      <c r="BB86" s="3" t="s">
        <v>455</v>
      </c>
      <c r="BC86" s="3" t="s">
        <v>842</v>
      </c>
      <c r="BD86" s="3" t="s">
        <v>746</v>
      </c>
      <c r="BE86" s="3" t="s">
        <v>68</v>
      </c>
      <c r="BF86" s="3" t="s">
        <v>456</v>
      </c>
      <c r="BG86" s="3" t="s">
        <v>156</v>
      </c>
      <c r="BH86" s="3" t="s">
        <v>1861</v>
      </c>
      <c r="BI86" s="3" t="s">
        <v>3181</v>
      </c>
      <c r="BJ86" s="3" t="s">
        <v>1061</v>
      </c>
      <c r="BK86" s="3" t="s">
        <v>1862</v>
      </c>
      <c r="BL86" s="3" t="s">
        <v>108</v>
      </c>
      <c r="BM86" s="3" t="s">
        <v>842</v>
      </c>
      <c r="BN86" s="3">
        <v>6.51</v>
      </c>
      <c r="BO86" s="3">
        <v>15.3</v>
      </c>
      <c r="BP86" s="3">
        <v>13.18</v>
      </c>
      <c r="BQ86" s="3">
        <v>9.1199999999999992</v>
      </c>
      <c r="BR86" s="3">
        <v>16.440000000000001</v>
      </c>
      <c r="BS86" s="3">
        <v>13.79</v>
      </c>
      <c r="BT86" s="3" t="s">
        <v>1867</v>
      </c>
      <c r="BU86" s="3" t="s">
        <v>747</v>
      </c>
      <c r="BV86" s="3">
        <v>33.19</v>
      </c>
      <c r="BW86" s="3">
        <v>35.68</v>
      </c>
      <c r="BX86" s="3">
        <v>39.299999999999997</v>
      </c>
      <c r="BY86" s="3">
        <v>13.03</v>
      </c>
      <c r="BZ86" s="3">
        <v>12.19</v>
      </c>
      <c r="CA86" s="3">
        <v>13.04</v>
      </c>
      <c r="CB86" s="3">
        <v>-1.33</v>
      </c>
      <c r="CC86" s="3">
        <v>-10.79</v>
      </c>
      <c r="CD86" s="3" t="s">
        <v>3182</v>
      </c>
      <c r="CE86" s="3" t="s">
        <v>619</v>
      </c>
      <c r="CF86" s="10">
        <v>-0.51533742331288346</v>
      </c>
      <c r="CG86" s="11">
        <v>0.25366508620689671</v>
      </c>
      <c r="CH86" s="10">
        <v>1.6133756637573242</v>
      </c>
      <c r="CI86" s="10">
        <v>0.46581101417541504</v>
      </c>
      <c r="CJ86" s="10">
        <v>0.43051597476005554</v>
      </c>
      <c r="CK86" s="10">
        <v>0.24517151713371277</v>
      </c>
      <c r="CL86" s="10">
        <v>0.18940460681915283</v>
      </c>
      <c r="CM86" s="11">
        <v>-0.33959898352622986</v>
      </c>
      <c r="CN86" s="11">
        <v>0.37113401293754578</v>
      </c>
      <c r="CO86" s="11">
        <v>0.37588652968406677</v>
      </c>
      <c r="CP86" s="11">
        <v>0.15890410542488098</v>
      </c>
      <c r="CQ86" s="11">
        <v>0.28070175647735596</v>
      </c>
      <c r="CR86" s="3">
        <v>59.164109395973149</v>
      </c>
      <c r="CS86" s="3">
        <v>1.0047300864522291</v>
      </c>
      <c r="CT86" s="3">
        <v>1.8817204301075268</v>
      </c>
      <c r="CU86" s="10">
        <v>0.58885575532913204</v>
      </c>
      <c r="CV86" s="11">
        <v>0.16940548419952392</v>
      </c>
      <c r="CW86" s="3">
        <v>0.06</v>
      </c>
      <c r="CX86" s="3">
        <v>34.572433524430153</v>
      </c>
      <c r="CY86" s="3">
        <v>789931116.09287965</v>
      </c>
      <c r="CZ86" s="3">
        <v>0.58885575532913204</v>
      </c>
      <c r="DA86" s="3">
        <v>7.5991521075927135</v>
      </c>
      <c r="DB86" s="3">
        <v>3593801073.2425394</v>
      </c>
      <c r="DC86" s="3">
        <v>0.55941296756267544</v>
      </c>
      <c r="DD86" s="3">
        <v>2.049152545365291</v>
      </c>
      <c r="DE86" s="3">
        <v>13327383098.817383</v>
      </c>
      <c r="DF86" s="3">
        <v>0.51819306468963622</v>
      </c>
      <c r="DG86" s="3">
        <v>0.56778921408541683</v>
      </c>
      <c r="DH86" s="3">
        <v>48098555454.228081</v>
      </c>
      <c r="DI86" s="3">
        <v>0.47108460426330567</v>
      </c>
      <c r="DJ86" s="3">
        <v>4.1783203282646286E-2</v>
      </c>
      <c r="DK86" s="3">
        <v>653608121312.7699</v>
      </c>
      <c r="DL86" s="3">
        <v>0.41219902873039238</v>
      </c>
      <c r="DM86" s="3">
        <v>526999999.99999994</v>
      </c>
      <c r="DN86" s="3">
        <v>0.58885575532913204</v>
      </c>
      <c r="DO86" s="3">
        <v>27309841000</v>
      </c>
      <c r="DP86" s="3">
        <v>7660014000.000001</v>
      </c>
      <c r="DQ86" s="3">
        <v>5099</v>
      </c>
      <c r="DR86" s="3">
        <v>-1.1041931786420154</v>
      </c>
      <c r="DS86" s="3">
        <v>8.4259602007372786E-2</v>
      </c>
      <c r="DT86" s="12">
        <v>0.39333333333333331</v>
      </c>
      <c r="DU86" s="3">
        <v>0.55333333333333323</v>
      </c>
      <c r="DV86" s="3">
        <v>0.94666666666666655</v>
      </c>
      <c r="DW86" s="3">
        <v>-2.1078999999999999</v>
      </c>
      <c r="DX86" s="3">
        <v>0.35926404494381869</v>
      </c>
      <c r="DY86" s="3">
        <v>-2.0128685904494383</v>
      </c>
      <c r="DZ86" s="3">
        <v>361</v>
      </c>
      <c r="EA86" s="3">
        <v>-2.0119594786779613</v>
      </c>
      <c r="EB86" s="3">
        <v>2</v>
      </c>
      <c r="EC86" s="3">
        <v>4.0312560682946315E-2</v>
      </c>
      <c r="ED86" s="3">
        <v>0.33801101331030403</v>
      </c>
      <c r="EE86" s="13">
        <v>-2.1004100000000001</v>
      </c>
      <c r="EF86" s="3">
        <v>-2.1307100000000001</v>
      </c>
      <c r="EG86" s="3">
        <v>24.119264044943819</v>
      </c>
      <c r="EH86" s="3" t="s">
        <v>958</v>
      </c>
      <c r="EI86" s="3">
        <v>0</v>
      </c>
      <c r="EJ86" s="3">
        <v>1</v>
      </c>
      <c r="EK86" s="15">
        <v>45470</v>
      </c>
      <c r="EL86" s="16">
        <v>-2.19</v>
      </c>
      <c r="EM86" s="16">
        <v>-4.12</v>
      </c>
      <c r="EN86" s="3">
        <v>-0.28000000000000003</v>
      </c>
      <c r="EO86" s="3">
        <v>1.49</v>
      </c>
      <c r="EP86" s="3">
        <v>-3.03</v>
      </c>
    </row>
    <row r="87" spans="1:146" x14ac:dyDescent="0.25">
      <c r="Q87" s="5"/>
    </row>
    <row r="88" spans="1:146" x14ac:dyDescent="0.25">
      <c r="Q88" s="5"/>
    </row>
    <row r="89" spans="1:146" x14ac:dyDescent="0.25">
      <c r="Q89" s="5"/>
    </row>
    <row r="90" spans="1:146" x14ac:dyDescent="0.25">
      <c r="Q90" s="5"/>
    </row>
    <row r="91" spans="1:146" x14ac:dyDescent="0.25">
      <c r="Q91" s="5"/>
    </row>
    <row r="92" spans="1:146" x14ac:dyDescent="0.25">
      <c r="Q92" s="5"/>
    </row>
    <row r="93" spans="1:146" x14ac:dyDescent="0.25">
      <c r="Q93" s="5"/>
    </row>
    <row r="94" spans="1:146" x14ac:dyDescent="0.25">
      <c r="Q94" s="5"/>
    </row>
    <row r="95" spans="1:146" x14ac:dyDescent="0.25">
      <c r="Q95" s="5"/>
    </row>
    <row r="96" spans="1:146" x14ac:dyDescent="0.25">
      <c r="Q96" s="5"/>
    </row>
    <row r="97" spans="17:17" x14ac:dyDescent="0.25">
      <c r="Q97" s="5"/>
    </row>
    <row r="98" spans="17:17" x14ac:dyDescent="0.25">
      <c r="Q98" s="5"/>
    </row>
    <row r="99" spans="17:17" x14ac:dyDescent="0.25">
      <c r="Q99" s="5"/>
    </row>
    <row r="100" spans="17:17" x14ac:dyDescent="0.25">
      <c r="Q100" s="5"/>
    </row>
    <row r="101" spans="17:17" x14ac:dyDescent="0.25">
      <c r="Q101" s="4"/>
    </row>
    <row r="102" spans="17:17" x14ac:dyDescent="0.25">
      <c r="Q102" s="5"/>
    </row>
    <row r="103" spans="17:17" x14ac:dyDescent="0.25">
      <c r="Q103" s="5"/>
    </row>
    <row r="104" spans="17:17" x14ac:dyDescent="0.25">
      <c r="Q104" s="5"/>
    </row>
    <row r="105" spans="17:17" x14ac:dyDescent="0.25">
      <c r="Q105" s="5"/>
    </row>
    <row r="106" spans="17:17" x14ac:dyDescent="0.25">
      <c r="Q106" s="5"/>
    </row>
    <row r="107" spans="17:17" x14ac:dyDescent="0.25">
      <c r="Q107" s="5"/>
    </row>
    <row r="108" spans="17:17" x14ac:dyDescent="0.25">
      <c r="Q108" s="5"/>
    </row>
    <row r="109" spans="17:17" x14ac:dyDescent="0.25">
      <c r="Q109" s="5"/>
    </row>
    <row r="110" spans="17:17" x14ac:dyDescent="0.25">
      <c r="Q110" s="5"/>
    </row>
    <row r="111" spans="17:17" x14ac:dyDescent="0.25">
      <c r="Q111" s="5"/>
    </row>
    <row r="112" spans="17:17" x14ac:dyDescent="0.25">
      <c r="Q112" s="5"/>
    </row>
    <row r="113" spans="17:17" x14ac:dyDescent="0.25">
      <c r="Q113" s="5"/>
    </row>
    <row r="114" spans="17:17" x14ac:dyDescent="0.25">
      <c r="Q114" s="5"/>
    </row>
    <row r="115" spans="17:17" x14ac:dyDescent="0.25">
      <c r="Q115" s="5"/>
    </row>
    <row r="116" spans="17:17" x14ac:dyDescent="0.25">
      <c r="Q116" s="5"/>
    </row>
    <row r="117" spans="17:17" x14ac:dyDescent="0.25">
      <c r="Q117" s="5"/>
    </row>
    <row r="118" spans="17:17" x14ac:dyDescent="0.25">
      <c r="Q118" s="5"/>
    </row>
    <row r="119" spans="17:17" x14ac:dyDescent="0.25">
      <c r="Q119" s="5"/>
    </row>
  </sheetData>
  <autoFilter ref="BU1:BU119"/>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自动化设备&quot;,&quot;&quot;'" altText="更新基本面按钮_x000a_">
                <anchor moveWithCells="1" sizeWithCells="1">
                  <from>
                    <xdr:col>147</xdr:col>
                    <xdr:colOff>298450</xdr:colOff>
                    <xdr:row>0</xdr:row>
                    <xdr:rowOff>82550</xdr:rowOff>
                  </from>
                  <to>
                    <xdr:col>147</xdr:col>
                    <xdr:colOff>1447800</xdr:colOff>
                    <xdr:row>0</xdr:row>
                    <xdr:rowOff>393700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6"/>
  <sheetViews>
    <sheetView workbookViewId="0">
      <selection activeCell="I58" sqref="I58"/>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自动化设备</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2024-07-09T23:29:01Z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