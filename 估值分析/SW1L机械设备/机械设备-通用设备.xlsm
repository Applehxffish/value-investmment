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机械设备\"/>
    </mc:Choice>
  </mc:AlternateContent>
  <bookViews>
    <workbookView xWindow="0" yWindow="0" windowWidth="3800" windowHeight="2960"/>
  </bookViews>
  <sheets>
    <sheet name="通用设备" sheetId="15" r:id="rId1"/>
    <sheet name="估值-增速与年化收益" sheetId="14" r:id="rId2"/>
  </sheets>
  <functionGroups builtInGroupCount="18"/>
  <definedNames>
    <definedName name="_xlnm._FilterDatabase" localSheetId="0" hidden="1">通用设备!$BU$1:$BU$221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18" i="15"/>
  <c r="C216" i="15"/>
  <c r="C214" i="15"/>
  <c r="C212" i="15"/>
  <c r="C213" i="15"/>
  <c r="C208" i="15"/>
  <c r="C207" i="15"/>
  <c r="C200" i="15"/>
  <c r="C192" i="15"/>
  <c r="C193" i="15"/>
  <c r="C190" i="15"/>
  <c r="C186" i="15"/>
  <c r="C181" i="15"/>
  <c r="C166" i="15"/>
  <c r="C147" i="15"/>
  <c r="C144" i="15"/>
  <c r="C141" i="15"/>
  <c r="C133" i="15"/>
  <c r="C126" i="15"/>
  <c r="C122" i="15"/>
  <c r="C113" i="15"/>
  <c r="C106" i="15"/>
  <c r="C97" i="15"/>
  <c r="C95" i="15"/>
  <c r="C93" i="15"/>
  <c r="C92" i="15"/>
  <c r="C90" i="15"/>
  <c r="C89" i="15"/>
  <c r="C84" i="15"/>
  <c r="C80" i="15"/>
  <c r="C74" i="15"/>
  <c r="C78" i="15"/>
  <c r="C76" i="15"/>
  <c r="C77" i="15"/>
  <c r="C75" i="15"/>
  <c r="C72" i="15"/>
  <c r="C69" i="15"/>
  <c r="C68" i="15"/>
  <c r="C65" i="15"/>
  <c r="C59" i="15"/>
  <c r="C54" i="15"/>
  <c r="C55" i="15"/>
  <c r="C45" i="15"/>
  <c r="C43" i="15"/>
  <c r="C41" i="15"/>
  <c r="C22" i="15"/>
  <c r="C17" i="15"/>
  <c r="C15" i="15"/>
  <c r="C8" i="15"/>
  <c r="C217" i="15"/>
  <c r="C189" i="15"/>
  <c r="C171" i="15"/>
  <c r="C154" i="15"/>
  <c r="C135" i="15"/>
  <c r="C116" i="15"/>
  <c r="C98" i="15"/>
  <c r="C66" i="15"/>
  <c r="C44" i="15"/>
  <c r="C26" i="15"/>
  <c r="C168" i="15"/>
  <c r="C117" i="15"/>
  <c r="C61" i="15"/>
  <c r="C197" i="15"/>
  <c r="C195" i="15"/>
  <c r="C174" i="15"/>
  <c r="C157" i="15"/>
  <c r="C138" i="15"/>
  <c r="C119" i="15"/>
  <c r="C101" i="15"/>
  <c r="C71" i="15"/>
  <c r="C48" i="15"/>
  <c r="C29" i="15"/>
  <c r="C198" i="15"/>
  <c r="C151" i="15"/>
  <c r="C91" i="15"/>
  <c r="C64" i="15"/>
  <c r="C194" i="15"/>
  <c r="C169" i="15"/>
  <c r="C152" i="15"/>
  <c r="C132" i="15"/>
  <c r="C114" i="15"/>
  <c r="C94" i="15"/>
  <c r="C62" i="15"/>
  <c r="C40" i="15"/>
  <c r="C23" i="15"/>
  <c r="C172" i="15"/>
  <c r="C103" i="15"/>
  <c r="C27" i="15"/>
  <c r="C209" i="15"/>
  <c r="C184" i="15"/>
  <c r="C167" i="15"/>
  <c r="C150" i="15"/>
  <c r="C130" i="15"/>
  <c r="C111" i="15"/>
  <c r="C87" i="15"/>
  <c r="C60" i="15"/>
  <c r="C38" i="15"/>
  <c r="C20" i="15"/>
  <c r="C155" i="15"/>
  <c r="C108" i="15"/>
  <c r="C46" i="15"/>
  <c r="C215" i="15"/>
  <c r="C188" i="15"/>
  <c r="C170" i="15"/>
  <c r="C153" i="15"/>
  <c r="C134" i="15"/>
  <c r="C115" i="15"/>
  <c r="C96" i="15"/>
  <c r="C63" i="15"/>
  <c r="C42" i="15"/>
  <c r="C24" i="15"/>
  <c r="C191" i="15"/>
  <c r="C140" i="15"/>
  <c r="C50" i="15"/>
  <c r="C211" i="15"/>
  <c r="C187" i="15"/>
  <c r="C164" i="15"/>
  <c r="C148" i="15"/>
  <c r="C128" i="15"/>
  <c r="C109" i="15"/>
  <c r="C85" i="15"/>
  <c r="C57" i="15"/>
  <c r="C36" i="15"/>
  <c r="C18" i="15"/>
  <c r="C159" i="15"/>
  <c r="C99" i="15"/>
  <c r="C204" i="15"/>
  <c r="C202" i="15"/>
  <c r="C179" i="15"/>
  <c r="C162" i="15"/>
  <c r="C145" i="15"/>
  <c r="C125" i="15"/>
  <c r="C107" i="15"/>
  <c r="C82" i="15"/>
  <c r="C53" i="15"/>
  <c r="C34" i="15"/>
  <c r="C203" i="15"/>
  <c r="C146" i="15"/>
  <c r="C83" i="15"/>
  <c r="C31" i="15"/>
  <c r="C206" i="15"/>
  <c r="C183" i="15"/>
  <c r="C165" i="15"/>
  <c r="C149" i="15"/>
  <c r="C129" i="15"/>
  <c r="C110" i="15"/>
  <c r="C86" i="15"/>
  <c r="C58" i="15"/>
  <c r="C37" i="15"/>
  <c r="C19" i="15"/>
  <c r="C176" i="15"/>
  <c r="C127" i="15"/>
  <c r="C35" i="15"/>
  <c r="C205" i="15"/>
  <c r="C182" i="15"/>
  <c r="C160" i="15"/>
  <c r="C142" i="15"/>
  <c r="C123" i="15"/>
  <c r="C104" i="15"/>
  <c r="C79" i="15"/>
  <c r="C51" i="15"/>
  <c r="C32" i="15"/>
  <c r="C210" i="15"/>
  <c r="C136" i="15"/>
  <c r="C56" i="15"/>
  <c r="C185" i="15"/>
  <c r="C39" i="15"/>
  <c r="C9" i="15"/>
  <c r="C196" i="15"/>
  <c r="C175" i="15"/>
  <c r="C158" i="15"/>
  <c r="C139" i="15"/>
  <c r="C120" i="15"/>
  <c r="C102" i="15"/>
  <c r="C73" i="15"/>
  <c r="C49" i="15"/>
  <c r="C30" i="15"/>
  <c r="C180" i="15"/>
  <c r="C131" i="15"/>
  <c r="C67" i="15"/>
  <c r="C16" i="15"/>
  <c r="C201" i="15"/>
  <c r="C177" i="15"/>
  <c r="C161" i="15"/>
  <c r="C143" i="15"/>
  <c r="C124" i="15"/>
  <c r="C105" i="15"/>
  <c r="C81" i="15"/>
  <c r="C52" i="15"/>
  <c r="C33" i="15"/>
  <c r="C88" i="15"/>
  <c r="C163" i="15"/>
  <c r="C112" i="15"/>
  <c r="C21" i="15"/>
  <c r="C199" i="15"/>
  <c r="C173" i="15"/>
  <c r="C156" i="15"/>
  <c r="C137" i="15"/>
  <c r="C118" i="15"/>
  <c r="C100" i="15"/>
  <c r="C70" i="15"/>
  <c r="C47" i="15"/>
  <c r="C28" i="15"/>
  <c r="C121" i="15"/>
  <c r="C14" i="15"/>
  <c r="C13" i="15"/>
  <c r="C12" i="15"/>
  <c r="C11" i="15"/>
  <c r="C10" i="15"/>
  <c r="C7" i="15"/>
  <c r="C6" i="15"/>
  <c r="C5" i="15"/>
  <c r="C4" i="15"/>
  <c r="C3" i="15"/>
  <c r="C2" i="15"/>
</calcChain>
</file>

<file path=xl/sharedStrings.xml><?xml version="1.0" encoding="utf-8"?>
<sst xmlns="http://schemas.openxmlformats.org/spreadsheetml/2006/main" count="12079" uniqueCount="6927">
  <si>
    <t>&lt;-增速</t>
    <phoneticPr fontId="1" type="noConversion"/>
  </si>
  <si>
    <t>&lt;-估值</t>
    <phoneticPr fontId="1" type="noConversion"/>
  </si>
  <si>
    <t>&lt;-折合年化收益</t>
    <phoneticPr fontId="1" type="noConversion"/>
  </si>
  <si>
    <t>现价</t>
  </si>
  <si>
    <t>市净率</t>
  </si>
  <si>
    <t>雪人股份</t>
  </si>
  <si>
    <t>杭齿前进</t>
  </si>
  <si>
    <t>申科股份</t>
  </si>
  <si>
    <t>科新机电</t>
  </si>
  <si>
    <t>富瑞特装</t>
  </si>
  <si>
    <t>巨力索具</t>
  </si>
  <si>
    <t>华中数控</t>
  </si>
  <si>
    <t>宝色股份</t>
  </si>
  <si>
    <t>亿利达</t>
  </si>
  <si>
    <t>赛福天</t>
  </si>
  <si>
    <t>泰尔股份</t>
  </si>
  <si>
    <t>开山股份</t>
  </si>
  <si>
    <t>宇环数控</t>
  </si>
  <si>
    <t>上海沪工</t>
  </si>
  <si>
    <t>金通灵</t>
  </si>
  <si>
    <t>岱勒新材</t>
  </si>
  <si>
    <t>中核科技</t>
  </si>
  <si>
    <t>昊志机电</t>
  </si>
  <si>
    <t>宏盛股份</t>
  </si>
  <si>
    <t>智能自控</t>
  </si>
  <si>
    <t>应流股份</t>
  </si>
  <si>
    <t>凤形股份</t>
  </si>
  <si>
    <t>海鸥股份</t>
  </si>
  <si>
    <t>黄河旋风</t>
  </si>
  <si>
    <t>大西洋</t>
  </si>
  <si>
    <t>鲍斯股份</t>
  </si>
  <si>
    <t>泰嘉股份</t>
  </si>
  <si>
    <t>宝馨科技</t>
  </si>
  <si>
    <t>三超新材</t>
  </si>
  <si>
    <t>中大力德</t>
  </si>
  <si>
    <t>宁波精达</t>
  </si>
  <si>
    <t>宇晶股份</t>
  </si>
  <si>
    <t>金太阳</t>
  </si>
  <si>
    <t>江苏神通</t>
  </si>
  <si>
    <t>四方达</t>
  </si>
  <si>
    <t>恒锋工具</t>
  </si>
  <si>
    <t>日发精机</t>
  </si>
  <si>
    <t>伟隆股份</t>
  </si>
  <si>
    <t>晋亿实业</t>
  </si>
  <si>
    <t>纽威股份</t>
  </si>
  <si>
    <t>力星股份</t>
  </si>
  <si>
    <t>陕鼓动力</t>
  </si>
  <si>
    <t>山东章鼓</t>
  </si>
  <si>
    <t>亚威股份</t>
  </si>
  <si>
    <t>汉钟精机</t>
  </si>
  <si>
    <t>瑞凌股份</t>
  </si>
  <si>
    <t>百达精工</t>
  </si>
  <si>
    <t>君禾股份</t>
  </si>
  <si>
    <t>五洲新春</t>
  </si>
  <si>
    <t>海容冷链</t>
  </si>
  <si>
    <t>佳士科技</t>
  </si>
  <si>
    <t>冰轮环境</t>
  </si>
  <si>
    <t>四方科技</t>
  </si>
  <si>
    <t>中金环境</t>
  </si>
  <si>
    <t>山东威达</t>
  </si>
  <si>
    <t>通润装备</t>
  </si>
  <si>
    <t>巨星科技</t>
  </si>
  <si>
    <t>大元泵业</t>
  </si>
  <si>
    <t>凌霄泵业</t>
  </si>
  <si>
    <t>中集集团</t>
  </si>
  <si>
    <t>锐奇股份</t>
  </si>
  <si>
    <t>华东数控</t>
  </si>
  <si>
    <t>宁波东力</t>
  </si>
  <si>
    <t>恒星科技</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</si>
  <si>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</si>
  <si>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</si>
  <si>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</si>
  <si>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</si>
  <si>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</si>
  <si>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</si>
  <si>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</si>
  <si>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</si>
  <si>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</si>
  <si>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</si>
  <si>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</si>
  <si>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</si>
  <si>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</si>
  <si>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</si>
  <si>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</si>
  <si>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SZ000410</t>
  </si>
  <si>
    <t>通用设备</t>
  </si>
  <si>
    <t>7.36亿</t>
  </si>
  <si>
    <t>10.02亿</t>
  </si>
  <si>
    <t>-29.88亿</t>
  </si>
  <si>
    <t>1.34亿</t>
  </si>
  <si>
    <t>--</t>
  </si>
  <si>
    <t>SZ000837</t>
  </si>
  <si>
    <t>31.65亿</t>
  </si>
  <si>
    <t>-2.98亿</t>
  </si>
  <si>
    <t>17.54亿</t>
  </si>
  <si>
    <t>1.08亿</t>
  </si>
  <si>
    <t>2.32亿</t>
  </si>
  <si>
    <t>3.94亿</t>
  </si>
  <si>
    <t>12.42亿</t>
  </si>
  <si>
    <t>SZ002248</t>
  </si>
  <si>
    <t>4.59亿</t>
  </si>
  <si>
    <t>1.61亿</t>
  </si>
  <si>
    <t>2663.59万</t>
  </si>
  <si>
    <t>1.43亿</t>
  </si>
  <si>
    <t>1.50亿</t>
  </si>
  <si>
    <t>SZ002520</t>
  </si>
  <si>
    <t>21.60亿</t>
  </si>
  <si>
    <t>1.76亿</t>
  </si>
  <si>
    <t>5.49亿</t>
  </si>
  <si>
    <t>1.15亿</t>
  </si>
  <si>
    <t>5.59亿</t>
  </si>
  <si>
    <t>2.40亿</t>
  </si>
  <si>
    <t>SZ002559</t>
  </si>
  <si>
    <t>14.68亿</t>
  </si>
  <si>
    <t>9706.58万</t>
  </si>
  <si>
    <t>4.51亿</t>
  </si>
  <si>
    <t>3.43亿</t>
  </si>
  <si>
    <t>SZ002685</t>
  </si>
  <si>
    <t>华东重机</t>
  </si>
  <si>
    <t>3.57亿</t>
  </si>
  <si>
    <t>3.67亿</t>
  </si>
  <si>
    <t>1.04亿</t>
  </si>
  <si>
    <t>4.82亿</t>
  </si>
  <si>
    <t>1.96亿</t>
  </si>
  <si>
    <t>4.32亿</t>
  </si>
  <si>
    <t>SZ002903</t>
  </si>
  <si>
    <t>1.87亿</t>
  </si>
  <si>
    <t>7122.73万</t>
  </si>
  <si>
    <t>395.68万</t>
  </si>
  <si>
    <t>2.04亿</t>
  </si>
  <si>
    <t>SZ002943</t>
  </si>
  <si>
    <t>3.04亿</t>
  </si>
  <si>
    <t>7.73亿</t>
  </si>
  <si>
    <t>3.02亿</t>
  </si>
  <si>
    <t>1370.33万</t>
  </si>
  <si>
    <t>1.41亿</t>
  </si>
  <si>
    <t>1.71亿</t>
  </si>
  <si>
    <t>1.85亿</t>
  </si>
  <si>
    <t>1.70亿</t>
  </si>
  <si>
    <t>SZ300161</t>
  </si>
  <si>
    <t>9.06亿</t>
  </si>
  <si>
    <t>1532.93万</t>
  </si>
  <si>
    <t>3.28亿</t>
  </si>
  <si>
    <t>1.13亿</t>
  </si>
  <si>
    <t>2.94亿</t>
  </si>
  <si>
    <t>4.40亿</t>
  </si>
  <si>
    <t>SZ300809</t>
  </si>
  <si>
    <t>华辰装备</t>
  </si>
  <si>
    <t>3.78亿</t>
  </si>
  <si>
    <t>4.25亿</t>
  </si>
  <si>
    <t>2.16亿</t>
  </si>
  <si>
    <t>1.19亿</t>
  </si>
  <si>
    <t>SH601882</t>
  </si>
  <si>
    <t>11.65亿</t>
  </si>
  <si>
    <t>7671.84万</t>
  </si>
  <si>
    <t>6.32亿</t>
  </si>
  <si>
    <t>3.77亿</t>
  </si>
  <si>
    <t>2.93亿</t>
  </si>
  <si>
    <t>1.77亿</t>
  </si>
  <si>
    <t>3.24亿</t>
  </si>
  <si>
    <t>1.86亿</t>
  </si>
  <si>
    <t>SH603088</t>
  </si>
  <si>
    <t>3.10亿</t>
  </si>
  <si>
    <t>5.25亿</t>
  </si>
  <si>
    <t>6274.64万</t>
  </si>
  <si>
    <t>1.45亿</t>
  </si>
  <si>
    <t>1.57亿</t>
  </si>
  <si>
    <t>1.53亿</t>
  </si>
  <si>
    <t>SH688558</t>
  </si>
  <si>
    <t>国盛智科</t>
  </si>
  <si>
    <t>1.98亿</t>
  </si>
  <si>
    <t>6.65亿</t>
  </si>
  <si>
    <t>8428.98万</t>
  </si>
  <si>
    <t>2.71亿</t>
  </si>
  <si>
    <t>1.21亿</t>
  </si>
  <si>
    <t>1.31亿</t>
  </si>
  <si>
    <t>SH688577</t>
  </si>
  <si>
    <t>浙海德曼</t>
  </si>
  <si>
    <t>2.14亿</t>
  </si>
  <si>
    <t>3.62亿</t>
  </si>
  <si>
    <t>3.85亿</t>
  </si>
  <si>
    <t>4559.82万</t>
  </si>
  <si>
    <t>0亿</t>
  </si>
  <si>
    <t>1.20亿</t>
  </si>
  <si>
    <t>SZ000595</t>
  </si>
  <si>
    <t>3.54亿</t>
  </si>
  <si>
    <t>3.11亿</t>
  </si>
  <si>
    <t>-3.15亿</t>
  </si>
  <si>
    <t>1.49亿</t>
  </si>
  <si>
    <t>1.07亿</t>
  </si>
  <si>
    <t>2.51亿</t>
  </si>
  <si>
    <t>1.26亿</t>
  </si>
  <si>
    <t>1.56亿</t>
  </si>
  <si>
    <t>SZ000777</t>
  </si>
  <si>
    <t>12.66亿</t>
  </si>
  <si>
    <t>1.36亿</t>
  </si>
  <si>
    <t>3.63亿</t>
  </si>
  <si>
    <t>2.18亿</t>
  </si>
  <si>
    <t>2.28亿</t>
  </si>
  <si>
    <t>SZ002026</t>
  </si>
  <si>
    <t>6.67亿</t>
  </si>
  <si>
    <t>15.75亿</t>
  </si>
  <si>
    <t>-1.18亿</t>
  </si>
  <si>
    <t>5.81亿</t>
  </si>
  <si>
    <t>1.29亿</t>
  </si>
  <si>
    <t>SZ002122</t>
  </si>
  <si>
    <t>11.79亿</t>
  </si>
  <si>
    <t>-16.54亿</t>
  </si>
  <si>
    <t>2.54亿</t>
  </si>
  <si>
    <t>3.64亿</t>
  </si>
  <si>
    <t>1.01亿</t>
  </si>
  <si>
    <t>SZ002164</t>
  </si>
  <si>
    <t>10.20亿</t>
  </si>
  <si>
    <t>2186.08万</t>
  </si>
  <si>
    <t>3.61亿</t>
  </si>
  <si>
    <t>1.10亿</t>
  </si>
  <si>
    <t>5.02亿</t>
  </si>
  <si>
    <t>2.95亿</t>
  </si>
  <si>
    <t>2.12亿</t>
  </si>
  <si>
    <t>1.40亿</t>
  </si>
  <si>
    <t>2.82亿</t>
  </si>
  <si>
    <t>SZ002347</t>
  </si>
  <si>
    <t>8.18亿</t>
  </si>
  <si>
    <t>2519.34万</t>
  </si>
  <si>
    <t>3.08亿</t>
  </si>
  <si>
    <t>2.20亿</t>
  </si>
  <si>
    <t>2.35亿</t>
  </si>
  <si>
    <t>2.43亿</t>
  </si>
  <si>
    <t>1.54亿</t>
  </si>
  <si>
    <t>3.29亿</t>
  </si>
  <si>
    <t>1.83亿</t>
  </si>
  <si>
    <t>4.98亿</t>
  </si>
  <si>
    <t>1.89亿</t>
  </si>
  <si>
    <t>SZ002438</t>
  </si>
  <si>
    <t>13.74亿</t>
  </si>
  <si>
    <t>13.48亿</t>
  </si>
  <si>
    <t>1.72亿</t>
  </si>
  <si>
    <t>1.88亿</t>
  </si>
  <si>
    <t>4.19亿</t>
  </si>
  <si>
    <t>1.11亿</t>
  </si>
  <si>
    <t>3.56亿</t>
  </si>
  <si>
    <t>7.35亿</t>
  </si>
  <si>
    <t>2.81亿</t>
  </si>
  <si>
    <t>SZ002514</t>
  </si>
  <si>
    <t>8.27亿</t>
  </si>
  <si>
    <t>6629.74万</t>
  </si>
  <si>
    <t>2.53亿</t>
  </si>
  <si>
    <t>1.68亿</t>
  </si>
  <si>
    <t>1.32亿</t>
  </si>
  <si>
    <t>1.02亿</t>
  </si>
  <si>
    <t>3.40亿</t>
  </si>
  <si>
    <t>SZ002633</t>
  </si>
  <si>
    <t>4.93亿</t>
  </si>
  <si>
    <t>1.23亿</t>
  </si>
  <si>
    <t>-2887.13万</t>
  </si>
  <si>
    <t>SZ002795</t>
  </si>
  <si>
    <t>永和智控</t>
  </si>
  <si>
    <t>4.10亿</t>
  </si>
  <si>
    <t>5.92亿</t>
  </si>
  <si>
    <t>6019.95万</t>
  </si>
  <si>
    <t>2.07亿</t>
  </si>
  <si>
    <t>1.46亿</t>
  </si>
  <si>
    <t>3.34亿</t>
  </si>
  <si>
    <t>1.80亿</t>
  </si>
  <si>
    <t>SZ002871</t>
  </si>
  <si>
    <t>1.84亿</t>
  </si>
  <si>
    <t>3.55亿</t>
  </si>
  <si>
    <t>5298.39万</t>
  </si>
  <si>
    <t>SZ002877</t>
  </si>
  <si>
    <t>5.99亿</t>
  </si>
  <si>
    <t>4.77亿</t>
  </si>
  <si>
    <t>7010.79万</t>
  </si>
  <si>
    <t>2.21亿</t>
  </si>
  <si>
    <t>1.59亿</t>
  </si>
  <si>
    <t>1.16亿</t>
  </si>
  <si>
    <t>2.01亿</t>
  </si>
  <si>
    <t>1.51亿</t>
  </si>
  <si>
    <t>SZ002896</t>
  </si>
  <si>
    <t>3.84亿</t>
  </si>
  <si>
    <t>6.76亿</t>
  </si>
  <si>
    <t>5250.68万</t>
  </si>
  <si>
    <t>1.44亿</t>
  </si>
  <si>
    <t>1.14亿</t>
  </si>
  <si>
    <t>SZ300092</t>
  </si>
  <si>
    <t>4.62亿</t>
  </si>
  <si>
    <t>5.94亿</t>
  </si>
  <si>
    <t>4373.48万</t>
  </si>
  <si>
    <t>2.48亿</t>
  </si>
  <si>
    <t>1.75亿</t>
  </si>
  <si>
    <t>4.68亿</t>
  </si>
  <si>
    <t>1.18亿</t>
  </si>
  <si>
    <t>13.50亿</t>
  </si>
  <si>
    <t>2.57亿</t>
  </si>
  <si>
    <t>4.27亿</t>
  </si>
  <si>
    <t>2.27亿</t>
  </si>
  <si>
    <t>2.70亿</t>
  </si>
  <si>
    <t>1.24亿</t>
  </si>
  <si>
    <t>SZ300421</t>
  </si>
  <si>
    <t>11.22亿</t>
  </si>
  <si>
    <t>7.29亿</t>
  </si>
  <si>
    <t>3868.95万</t>
  </si>
  <si>
    <t>3.14亿</t>
  </si>
  <si>
    <t>5.30亿</t>
  </si>
  <si>
    <t>SZ300488</t>
  </si>
  <si>
    <t>1.69亿</t>
  </si>
  <si>
    <t>3.52亿</t>
  </si>
  <si>
    <t>5.58亿</t>
  </si>
  <si>
    <t>1.28亿</t>
  </si>
  <si>
    <t>1.74亿</t>
  </si>
  <si>
    <t>SZ300780</t>
  </si>
  <si>
    <t>德恩精工</t>
  </si>
  <si>
    <t>2.89亿</t>
  </si>
  <si>
    <t>4.85亿</t>
  </si>
  <si>
    <t>6743.53万</t>
  </si>
  <si>
    <t>1.47亿</t>
  </si>
  <si>
    <t>3.25亿</t>
  </si>
  <si>
    <t>SZ300817</t>
  </si>
  <si>
    <t>6746.14万</t>
  </si>
  <si>
    <t>SZ300838</t>
  </si>
  <si>
    <t>浙江力诺</t>
  </si>
  <si>
    <t>1.97亿</t>
  </si>
  <si>
    <t>4.52亿</t>
  </si>
  <si>
    <t>6777.67万</t>
  </si>
  <si>
    <t>1.27亿</t>
  </si>
  <si>
    <t>4.22亿</t>
  </si>
  <si>
    <t>3.60亿</t>
  </si>
  <si>
    <t>1.22亿</t>
  </si>
  <si>
    <t>4.30亿</t>
  </si>
  <si>
    <t>SZ300885</t>
  </si>
  <si>
    <t>海昌新材</t>
  </si>
  <si>
    <t>5956.41万</t>
  </si>
  <si>
    <t>SH600592</t>
  </si>
  <si>
    <t>9.46亿</t>
  </si>
  <si>
    <t>1.33亿</t>
  </si>
  <si>
    <t>1.35亿</t>
  </si>
  <si>
    <t>2.78亿</t>
  </si>
  <si>
    <t>SH601002</t>
  </si>
  <si>
    <t>13.58亿</t>
  </si>
  <si>
    <t>29.47亿</t>
  </si>
  <si>
    <t>1.39亿</t>
  </si>
  <si>
    <t>9.65亿</t>
  </si>
  <si>
    <t>8.07亿</t>
  </si>
  <si>
    <t>1.09亿</t>
  </si>
  <si>
    <t>2.59亿</t>
  </si>
  <si>
    <t>6.37亿</t>
  </si>
  <si>
    <t>2.23亿</t>
  </si>
  <si>
    <t>SH601177</t>
  </si>
  <si>
    <t>16.53亿</t>
  </si>
  <si>
    <t>1973.28万</t>
  </si>
  <si>
    <t>2.25亿</t>
  </si>
  <si>
    <t>5.28亿</t>
  </si>
  <si>
    <t>4.45亿</t>
  </si>
  <si>
    <t>2.17亿</t>
  </si>
  <si>
    <t>SH603308</t>
  </si>
  <si>
    <t>18.60亿</t>
  </si>
  <si>
    <t>2.19亿</t>
  </si>
  <si>
    <t>SH603667</t>
  </si>
  <si>
    <t>18.18亿</t>
  </si>
  <si>
    <t>3.45亿</t>
  </si>
  <si>
    <t>5.86亿</t>
  </si>
  <si>
    <t>SH603699</t>
  </si>
  <si>
    <t>30.57亿</t>
  </si>
  <si>
    <t>4.55亿</t>
  </si>
  <si>
    <t>2.34亿</t>
  </si>
  <si>
    <t>3.49亿</t>
  </si>
  <si>
    <t>7.63亿</t>
  </si>
  <si>
    <t>SH603915</t>
  </si>
  <si>
    <t>国茂股份</t>
  </si>
  <si>
    <t>18.96亿</t>
  </si>
  <si>
    <t>2.84亿</t>
  </si>
  <si>
    <t>2.47亿</t>
  </si>
  <si>
    <t>1.12亿</t>
  </si>
  <si>
    <t>1.62亿</t>
  </si>
  <si>
    <t>1.60亿</t>
  </si>
  <si>
    <t>3.13亿</t>
  </si>
  <si>
    <t>SZ002046</t>
  </si>
  <si>
    <t>20.85亿</t>
  </si>
  <si>
    <t>2751.13万</t>
  </si>
  <si>
    <t>2.75亿</t>
  </si>
  <si>
    <t>3.00亿</t>
  </si>
  <si>
    <t>SZ002282</t>
  </si>
  <si>
    <t>博深股份</t>
  </si>
  <si>
    <t>4.29亿</t>
  </si>
  <si>
    <t>11.68亿</t>
  </si>
  <si>
    <t>7221.98万</t>
  </si>
  <si>
    <t>SZ002760</t>
  </si>
  <si>
    <t>5.45亿</t>
  </si>
  <si>
    <t>6.11亿</t>
  </si>
  <si>
    <t>6615.25万</t>
  </si>
  <si>
    <t>3.68亿</t>
  </si>
  <si>
    <t>SZ300179</t>
  </si>
  <si>
    <t>1.82亿</t>
  </si>
  <si>
    <t>5.01亿</t>
  </si>
  <si>
    <t>1.17亿</t>
  </si>
  <si>
    <t>1.37亿</t>
  </si>
  <si>
    <t>SZ300554</t>
  </si>
  <si>
    <t>985.46万</t>
  </si>
  <si>
    <t>SZ300606</t>
  </si>
  <si>
    <t>6093.70万</t>
  </si>
  <si>
    <t>1.94亿</t>
  </si>
  <si>
    <t>SZ300700</t>
  </si>
  <si>
    <t>5.34亿</t>
  </si>
  <si>
    <t>2.62亿</t>
  </si>
  <si>
    <t>-4583.22万</t>
  </si>
  <si>
    <t>3.44亿</t>
  </si>
  <si>
    <t>SZ300861</t>
  </si>
  <si>
    <t>美畅股份</t>
  </si>
  <si>
    <t>2.09亿</t>
  </si>
  <si>
    <t>11.93亿</t>
  </si>
  <si>
    <t>4.08亿</t>
  </si>
  <si>
    <t>SH600172</t>
  </si>
  <si>
    <t>29.14亿</t>
  </si>
  <si>
    <t>11.57亿</t>
  </si>
  <si>
    <t>SH688028</t>
  </si>
  <si>
    <t>沃尔德</t>
  </si>
  <si>
    <t>2.55亿</t>
  </si>
  <si>
    <t>6002.16万</t>
  </si>
  <si>
    <t>14.39亿</t>
  </si>
  <si>
    <t>1.03亿</t>
  </si>
  <si>
    <t>14.45亿</t>
  </si>
  <si>
    <t>4.56亿</t>
  </si>
  <si>
    <t>6.73亿</t>
  </si>
  <si>
    <t>1.64亿</t>
  </si>
  <si>
    <t>3.41亿</t>
  </si>
  <si>
    <t>15.11亿</t>
  </si>
  <si>
    <t>10.73亿</t>
  </si>
  <si>
    <t>8.20亿</t>
  </si>
  <si>
    <t>21.62亿</t>
  </si>
  <si>
    <t>40.44亿</t>
  </si>
  <si>
    <t>11.75亿</t>
  </si>
  <si>
    <t>SH605100</t>
  </si>
  <si>
    <t>1.52亿</t>
  </si>
  <si>
    <t>2.33亿</t>
  </si>
  <si>
    <t>2.08亿</t>
  </si>
  <si>
    <t>SZ000530</t>
  </si>
  <si>
    <t>冰山冷热</t>
  </si>
  <si>
    <t>18.32亿</t>
  </si>
  <si>
    <t>8911.21万</t>
  </si>
  <si>
    <t>3.83亿</t>
  </si>
  <si>
    <t>SZ000811</t>
  </si>
  <si>
    <t>38.21亿</t>
  </si>
  <si>
    <t>1.99亿</t>
  </si>
  <si>
    <t>SZ002158</t>
  </si>
  <si>
    <t>18.07亿</t>
  </si>
  <si>
    <t>2.46亿</t>
  </si>
  <si>
    <t>5.54亿</t>
  </si>
  <si>
    <t>SZ002639</t>
  </si>
  <si>
    <t>15.14亿</t>
  </si>
  <si>
    <t>5692.64万</t>
  </si>
  <si>
    <t>4.78亿</t>
  </si>
  <si>
    <t>1.91亿</t>
  </si>
  <si>
    <t>2.22亿</t>
  </si>
  <si>
    <t>2.58亿</t>
  </si>
  <si>
    <t>5.12亿</t>
  </si>
  <si>
    <t>4.76亿</t>
  </si>
  <si>
    <t>SH603187</t>
  </si>
  <si>
    <t>15.36亿</t>
  </si>
  <si>
    <t>2.98亿</t>
  </si>
  <si>
    <t>SH603277</t>
  </si>
  <si>
    <t>银都股份</t>
  </si>
  <si>
    <t>17.26亿</t>
  </si>
  <si>
    <t>2.97亿</t>
  </si>
  <si>
    <t>5.39亿</t>
  </si>
  <si>
    <t>2.50亿</t>
  </si>
  <si>
    <t>SH603339</t>
  </si>
  <si>
    <t>4.35亿</t>
  </si>
  <si>
    <t>7.61亿</t>
  </si>
  <si>
    <t>4.86亿</t>
  </si>
  <si>
    <t>SZ002444</t>
  </si>
  <si>
    <t>66.25亿</t>
  </si>
  <si>
    <t>8.95亿</t>
  </si>
  <si>
    <t>SZ002598</t>
  </si>
  <si>
    <t>10.79亿</t>
  </si>
  <si>
    <t>7514.97万</t>
  </si>
  <si>
    <t>3.01亿</t>
  </si>
  <si>
    <t>SZ002686</t>
  </si>
  <si>
    <t>14.81亿</t>
  </si>
  <si>
    <t>-4.45亿</t>
  </si>
  <si>
    <t>4.15亿</t>
  </si>
  <si>
    <t>1.66亿</t>
  </si>
  <si>
    <t>1.30亿</t>
  </si>
  <si>
    <t>SZ002884</t>
  </si>
  <si>
    <t>11.35亿</t>
  </si>
  <si>
    <t>2.72亿</t>
  </si>
  <si>
    <t>4.05亿</t>
  </si>
  <si>
    <t>1.42亿</t>
  </si>
  <si>
    <t>1.38亿</t>
  </si>
  <si>
    <t>11.96亿</t>
  </si>
  <si>
    <t>SZ300091</t>
  </si>
  <si>
    <t>5.55亿</t>
  </si>
  <si>
    <t>3.98亿</t>
  </si>
  <si>
    <t>4.38亿</t>
  </si>
  <si>
    <t>SZ300126</t>
  </si>
  <si>
    <t>924.61万</t>
  </si>
  <si>
    <t>2.11亿</t>
  </si>
  <si>
    <t>SZ300145</t>
  </si>
  <si>
    <t>40.94亿</t>
  </si>
  <si>
    <t>2292.77万</t>
  </si>
  <si>
    <t>SZ300154</t>
  </si>
  <si>
    <t>SZ300193</t>
  </si>
  <si>
    <t>9.66亿</t>
  </si>
  <si>
    <t>3.20亿</t>
  </si>
  <si>
    <t>1.48亿</t>
  </si>
  <si>
    <t>8.64亿</t>
  </si>
  <si>
    <t>4.23亿</t>
  </si>
  <si>
    <t>SZ300257</t>
  </si>
  <si>
    <t>26.33亿</t>
  </si>
  <si>
    <t>10.09亿</t>
  </si>
  <si>
    <t>5.97亿</t>
  </si>
  <si>
    <t>2.10亿</t>
  </si>
  <si>
    <t>5.56亿</t>
  </si>
  <si>
    <t>5.35亿</t>
  </si>
  <si>
    <t>SZ300420</t>
  </si>
  <si>
    <t>12.91亿</t>
  </si>
  <si>
    <t>1.55亿</t>
  </si>
  <si>
    <t>3.50亿</t>
  </si>
  <si>
    <t>2.83亿</t>
  </si>
  <si>
    <t>SZ300441</t>
  </si>
  <si>
    <t>15.60亿</t>
  </si>
  <si>
    <t>-1.45亿</t>
  </si>
  <si>
    <t>5.48亿</t>
  </si>
  <si>
    <t>1.05亿</t>
  </si>
  <si>
    <t>SZ300470</t>
  </si>
  <si>
    <t>中密控股</t>
  </si>
  <si>
    <t>8.88亿</t>
  </si>
  <si>
    <t>3.26亿</t>
  </si>
  <si>
    <t>SZ300503</t>
  </si>
  <si>
    <t>10.08亿</t>
  </si>
  <si>
    <t>-1.55亿</t>
  </si>
  <si>
    <t>4.81亿</t>
  </si>
  <si>
    <t>4.17亿</t>
  </si>
  <si>
    <t>3.87亿</t>
  </si>
  <si>
    <t>3.22亿</t>
  </si>
  <si>
    <t>2.68亿</t>
  </si>
  <si>
    <t>4.91亿</t>
  </si>
  <si>
    <t>1.67亿</t>
  </si>
  <si>
    <t>SH600243</t>
  </si>
  <si>
    <t>7.06亿</t>
  </si>
  <si>
    <t>5.00亿</t>
  </si>
  <si>
    <t>SH601369</t>
  </si>
  <si>
    <t>73.04亿</t>
  </si>
  <si>
    <t>6.03亿</t>
  </si>
  <si>
    <t>1.73亿</t>
  </si>
  <si>
    <t>SH603090</t>
  </si>
  <si>
    <t>3103.22万</t>
  </si>
  <si>
    <t>SH603131</t>
  </si>
  <si>
    <t>9.07亿</t>
  </si>
  <si>
    <t>9522.95万</t>
  </si>
  <si>
    <t>SH603269</t>
  </si>
  <si>
    <t>4849.66万</t>
  </si>
  <si>
    <t>2.30亿</t>
  </si>
  <si>
    <t>2.02亿</t>
  </si>
  <si>
    <t>SH603331</t>
  </si>
  <si>
    <t>8.52亿</t>
  </si>
  <si>
    <t>7471.58万</t>
  </si>
  <si>
    <t>2.86亿</t>
  </si>
  <si>
    <t>4.03亿</t>
  </si>
  <si>
    <t>SH603617</t>
  </si>
  <si>
    <t>6.70亿</t>
  </si>
  <si>
    <t>7504.45万</t>
  </si>
  <si>
    <t>4.28亿</t>
  </si>
  <si>
    <t>SH603757</t>
  </si>
  <si>
    <t>4.01亿</t>
  </si>
  <si>
    <t>4.12亿</t>
  </si>
  <si>
    <t>12.05亿</t>
  </si>
  <si>
    <t>4.02亿</t>
  </si>
  <si>
    <t>2.77亿</t>
  </si>
  <si>
    <t>3.70亿</t>
  </si>
  <si>
    <t>4.73亿</t>
  </si>
  <si>
    <t>SH688333</t>
  </si>
  <si>
    <t>铂力特</t>
  </si>
  <si>
    <t>7426.86万</t>
  </si>
  <si>
    <t>SH688360</t>
  </si>
  <si>
    <t>德马科技</t>
  </si>
  <si>
    <t>7.89亿</t>
  </si>
  <si>
    <t>6401.36万</t>
  </si>
  <si>
    <t>SZ000039</t>
  </si>
  <si>
    <t>858.15亿</t>
  </si>
  <si>
    <t>15.42亿</t>
  </si>
  <si>
    <t>1.25亿</t>
  </si>
  <si>
    <t>SZ002132</t>
  </si>
  <si>
    <t>33.86亿</t>
  </si>
  <si>
    <t>8484.53万</t>
  </si>
  <si>
    <t>12.75亿</t>
  </si>
  <si>
    <t>3.15亿</t>
  </si>
  <si>
    <t>SZ002150</t>
  </si>
  <si>
    <t>14.72亿</t>
  </si>
  <si>
    <t>5.23亿</t>
  </si>
  <si>
    <t>SZ002342</t>
  </si>
  <si>
    <t>19.66亿</t>
  </si>
  <si>
    <t>1822.66万</t>
  </si>
  <si>
    <t>5.80亿</t>
  </si>
  <si>
    <t>7.97亿</t>
  </si>
  <si>
    <t>SZ002843</t>
  </si>
  <si>
    <t>5.47亿</t>
  </si>
  <si>
    <t>6174.40万</t>
  </si>
  <si>
    <t>3.86亿</t>
  </si>
  <si>
    <t>1.06亿</t>
  </si>
  <si>
    <t>SZ300228</t>
  </si>
  <si>
    <t>15.74亿</t>
  </si>
  <si>
    <t>-3.27亿</t>
  </si>
  <si>
    <t>8.34亿</t>
  </si>
  <si>
    <t>3.80亿</t>
  </si>
  <si>
    <t>SZ300402</t>
  </si>
  <si>
    <t>9.17亿</t>
  </si>
  <si>
    <t>3450.62万</t>
  </si>
  <si>
    <t>3.88亿</t>
  </si>
  <si>
    <t>SH600558</t>
  </si>
  <si>
    <t>27.88亿</t>
  </si>
  <si>
    <t>8297.49万</t>
  </si>
  <si>
    <t>SH600860</t>
  </si>
  <si>
    <t>-1.30亿</t>
  </si>
  <si>
    <t>4.61亿</t>
  </si>
  <si>
    <t>6.21亿</t>
  </si>
  <si>
    <t>SH600992</t>
  </si>
  <si>
    <t>21.88亿</t>
  </si>
  <si>
    <t>2919.88万</t>
  </si>
  <si>
    <t>SH603028</t>
  </si>
  <si>
    <t>1436.51万</t>
  </si>
  <si>
    <t>2.87亿</t>
  </si>
  <si>
    <t>3.59亿</t>
  </si>
  <si>
    <t>SH603278</t>
  </si>
  <si>
    <t>27.30亿</t>
  </si>
  <si>
    <t>11.14亿</t>
  </si>
  <si>
    <t>6.25亿</t>
  </si>
  <si>
    <t>SH603969</t>
  </si>
  <si>
    <t>26.47亿</t>
  </si>
  <si>
    <t>8.94亿</t>
  </si>
  <si>
    <t>3.82亿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</si>
  <si>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</si>
  <si>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</si>
  <si>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</si>
  <si>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</si>
  <si>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</si>
  <si>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</si>
  <si>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</si>
  <si>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</si>
  <si>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</si>
  <si>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</si>
  <si>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</si>
  <si>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</si>
  <si>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</si>
  <si>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941.59亿</t>
  </si>
  <si>
    <t>53.50亿</t>
  </si>
  <si>
    <t>934.98亿</t>
  </si>
  <si>
    <t>33.80亿</t>
  </si>
  <si>
    <t>5.40亿</t>
  </si>
  <si>
    <t>13.43亿</t>
  </si>
  <si>
    <t>-7.23亿</t>
  </si>
  <si>
    <t>5.03亿</t>
  </si>
  <si>
    <t>-1.13亿</t>
  </si>
  <si>
    <t>50.15亿</t>
  </si>
  <si>
    <t>-7.88亿</t>
  </si>
  <si>
    <t>2.06亿</t>
  </si>
  <si>
    <t>17.27亿</t>
  </si>
  <si>
    <t>2134.11万</t>
  </si>
  <si>
    <t>4.63亿</t>
  </si>
  <si>
    <t>7.46亿</t>
  </si>
  <si>
    <t>5.83亿</t>
  </si>
  <si>
    <t>2.05亿</t>
  </si>
  <si>
    <t>1080.36万</t>
  </si>
  <si>
    <t>4.36亿</t>
  </si>
  <si>
    <t>-9819.44万</t>
  </si>
  <si>
    <t>11.67亿</t>
  </si>
  <si>
    <t>12.26亿</t>
  </si>
  <si>
    <t>8.74亿</t>
  </si>
  <si>
    <t>9.67亿</t>
  </si>
  <si>
    <t>6.12亿</t>
  </si>
  <si>
    <t>36.06亿</t>
  </si>
  <si>
    <t>3.06亿</t>
  </si>
  <si>
    <t>4.00亿</t>
  </si>
  <si>
    <t>1.78亿</t>
  </si>
  <si>
    <t>5.78亿</t>
  </si>
  <si>
    <t>2.42亿</t>
  </si>
  <si>
    <t>40.95亿</t>
  </si>
  <si>
    <t>4.20亿</t>
  </si>
  <si>
    <t>31.88亿</t>
  </si>
  <si>
    <t>-2.80亿</t>
  </si>
  <si>
    <t>7.02亿</t>
  </si>
  <si>
    <t>21.65亿</t>
  </si>
  <si>
    <t>16.62亿</t>
  </si>
  <si>
    <t>11.81亿</t>
  </si>
  <si>
    <t>国机精工</t>
  </si>
  <si>
    <t>23.55亿</t>
  </si>
  <si>
    <t>6227.32万</t>
  </si>
  <si>
    <t>2.00亿</t>
  </si>
  <si>
    <t>3.39亿</t>
  </si>
  <si>
    <t>20.66亿</t>
  </si>
  <si>
    <t>14.94亿</t>
  </si>
  <si>
    <t>4.24亿</t>
  </si>
  <si>
    <t>2290.67万</t>
  </si>
  <si>
    <t>3.53亿</t>
  </si>
  <si>
    <t>7.22亿</t>
  </si>
  <si>
    <t>1.90亿</t>
  </si>
  <si>
    <t>18.71亿</t>
  </si>
  <si>
    <t>-6.35亿</t>
  </si>
  <si>
    <t>28.33亿</t>
  </si>
  <si>
    <t>30.14亿</t>
  </si>
  <si>
    <t>20.64亿</t>
  </si>
  <si>
    <t>-1.39亿</t>
  </si>
  <si>
    <t>14.24亿</t>
  </si>
  <si>
    <t>2.91亿</t>
  </si>
  <si>
    <t>2.61亿</t>
  </si>
  <si>
    <t>13.46亿</t>
  </si>
  <si>
    <t>22.72亿</t>
  </si>
  <si>
    <t>3.76亿</t>
  </si>
  <si>
    <t>1.81亿</t>
  </si>
  <si>
    <t>5.84亿</t>
  </si>
  <si>
    <t>2.03亿</t>
  </si>
  <si>
    <t>17.32亿</t>
  </si>
  <si>
    <t>12.38亿</t>
  </si>
  <si>
    <t>14.61亿</t>
  </si>
  <si>
    <t>7.84亿</t>
  </si>
  <si>
    <t>117.61亿</t>
  </si>
  <si>
    <t>-28.01亿</t>
  </si>
  <si>
    <t>-8446.96万</t>
  </si>
  <si>
    <t>8308.41万</t>
  </si>
  <si>
    <t>-5.75亿</t>
  </si>
  <si>
    <t>3.18亿</t>
  </si>
  <si>
    <t>6.05亿</t>
  </si>
  <si>
    <t>12.92亿</t>
  </si>
  <si>
    <t>5.51亿</t>
  </si>
  <si>
    <t>2.73亿</t>
  </si>
  <si>
    <t>10.54亿</t>
  </si>
  <si>
    <t>4.34亿</t>
  </si>
  <si>
    <t>8617.22万</t>
  </si>
  <si>
    <t>22.15亿</t>
  </si>
  <si>
    <t>3315.68万</t>
  </si>
  <si>
    <t>16.85亿</t>
  </si>
  <si>
    <t>14.16亿</t>
  </si>
  <si>
    <t>1781.66万</t>
  </si>
  <si>
    <t>4.04亿</t>
  </si>
  <si>
    <t>8.12亿</t>
  </si>
  <si>
    <t>2643.41万</t>
  </si>
  <si>
    <t>2006.01万</t>
  </si>
  <si>
    <t>15.86亿</t>
  </si>
  <si>
    <t>10.87亿</t>
  </si>
  <si>
    <t>7.56亿</t>
  </si>
  <si>
    <t>3.17亿</t>
  </si>
  <si>
    <t>85.44亿</t>
  </si>
  <si>
    <t>2.45亿</t>
  </si>
  <si>
    <t>2.26亿</t>
  </si>
  <si>
    <t>3.99亿</t>
  </si>
  <si>
    <t>59.35亿</t>
  </si>
  <si>
    <t>7.17亿</t>
  </si>
  <si>
    <t>6.22亿</t>
  </si>
  <si>
    <t>9.70亿</t>
  </si>
  <si>
    <t>6.39亿</t>
  </si>
  <si>
    <t>4.96亿</t>
  </si>
  <si>
    <t>-3.89亿</t>
  </si>
  <si>
    <t>9431.19万</t>
  </si>
  <si>
    <t>-1.79亿</t>
  </si>
  <si>
    <t>19.15亿</t>
  </si>
  <si>
    <t>2.49亿</t>
  </si>
  <si>
    <t>19.69亿</t>
  </si>
  <si>
    <t>2.39亿</t>
  </si>
  <si>
    <t>16.39亿</t>
  </si>
  <si>
    <t>3.47亿</t>
  </si>
  <si>
    <t>15.33亿</t>
  </si>
  <si>
    <t>8.93亿</t>
  </si>
  <si>
    <t>11.29亿</t>
  </si>
  <si>
    <t>8157.06万</t>
  </si>
  <si>
    <t>9.43亿</t>
  </si>
  <si>
    <t>4.46亿</t>
  </si>
  <si>
    <t>8401.74万</t>
  </si>
  <si>
    <t>-3267.52万</t>
  </si>
  <si>
    <t>2.31亿</t>
  </si>
  <si>
    <t>406.49万</t>
  </si>
  <si>
    <t>14.58亿</t>
  </si>
  <si>
    <t>-1.81亿</t>
  </si>
  <si>
    <t>13.03亿</t>
  </si>
  <si>
    <t>9.37亿</t>
  </si>
  <si>
    <t>1540.57万</t>
  </si>
  <si>
    <t>-10.73亿</t>
  </si>
  <si>
    <t>136.83亿</t>
  </si>
  <si>
    <t>99.48亿</t>
  </si>
  <si>
    <t>21.40亿</t>
  </si>
  <si>
    <t>14.84亿</t>
  </si>
  <si>
    <t>2510.50万</t>
  </si>
  <si>
    <t>4.16亿</t>
  </si>
  <si>
    <t>2573.44万</t>
  </si>
  <si>
    <t>7.04亿</t>
  </si>
  <si>
    <t>6096.50万</t>
  </si>
  <si>
    <t>4.69亿</t>
  </si>
  <si>
    <t>3.07亿</t>
  </si>
  <si>
    <t>3046.20万</t>
  </si>
  <si>
    <t>6.48亿</t>
  </si>
  <si>
    <t>1292.47万</t>
  </si>
  <si>
    <t>6.44亿</t>
  </si>
  <si>
    <t>8133.26万</t>
  </si>
  <si>
    <t>4155.45万</t>
  </si>
  <si>
    <t>5571.88万</t>
  </si>
  <si>
    <t>5796.81万</t>
  </si>
  <si>
    <t>7768.04万</t>
  </si>
  <si>
    <t>7.07亿</t>
  </si>
  <si>
    <t>5.52亿</t>
  </si>
  <si>
    <t>5708.43万</t>
  </si>
  <si>
    <t>2.74亿</t>
  </si>
  <si>
    <t>6304.38万</t>
  </si>
  <si>
    <t>14.35亿</t>
  </si>
  <si>
    <t>3.33亿</t>
  </si>
  <si>
    <t>11.04亿</t>
  </si>
  <si>
    <t>9.84亿</t>
  </si>
  <si>
    <t>7023.19万</t>
  </si>
  <si>
    <t>7287.62万</t>
  </si>
  <si>
    <t>4334.50万</t>
  </si>
  <si>
    <t>3434.63万</t>
  </si>
  <si>
    <t>3.65亿</t>
  </si>
  <si>
    <t>-597.50万</t>
  </si>
  <si>
    <t>2.41亿</t>
  </si>
  <si>
    <t>1.58亿</t>
  </si>
  <si>
    <t>9898.26万</t>
  </si>
  <si>
    <t>SZ003025</t>
  </si>
  <si>
    <t>思进智能</t>
  </si>
  <si>
    <t>9363.33万</t>
  </si>
  <si>
    <t>8062.95万</t>
  </si>
  <si>
    <t>7651.77万</t>
  </si>
  <si>
    <t>5.53亿</t>
  </si>
  <si>
    <t>1.00亿</t>
  </si>
  <si>
    <t>3.71亿</t>
  </si>
  <si>
    <t>4.11亿</t>
  </si>
  <si>
    <t>3.95亿</t>
  </si>
  <si>
    <t>7998.98万</t>
  </si>
  <si>
    <t>3.74亿</t>
  </si>
  <si>
    <t>683.88万</t>
  </si>
  <si>
    <t>2.80亿</t>
  </si>
  <si>
    <t>1153.49万</t>
  </si>
  <si>
    <t>5.27亿</t>
  </si>
  <si>
    <t>-4478.66万</t>
  </si>
  <si>
    <t>42.18亿</t>
  </si>
  <si>
    <t>-19.60亿</t>
  </si>
  <si>
    <t>43.63亿</t>
  </si>
  <si>
    <t>5.10亿</t>
  </si>
  <si>
    <t>6687.88万</t>
  </si>
  <si>
    <t>13.22亿</t>
  </si>
  <si>
    <t>2777.46万</t>
  </si>
  <si>
    <t>9.85亿</t>
  </si>
  <si>
    <t>8.13亿</t>
  </si>
  <si>
    <t>1668.32万</t>
  </si>
  <si>
    <t>7528.78万</t>
  </si>
  <si>
    <t>6456.58万</t>
  </si>
  <si>
    <t>1.63亿</t>
  </si>
  <si>
    <t>18.06亿</t>
  </si>
  <si>
    <t>7141.69万</t>
  </si>
  <si>
    <t>3.12亿</t>
  </si>
  <si>
    <t>1282.23万</t>
  </si>
  <si>
    <t>26.12亿</t>
  </si>
  <si>
    <t>22.21亿</t>
  </si>
  <si>
    <t>1.92亿</t>
  </si>
  <si>
    <t>10.92亿</t>
  </si>
  <si>
    <t>4045.34万</t>
  </si>
  <si>
    <t>7.14亿</t>
  </si>
  <si>
    <t>1463.77万</t>
  </si>
  <si>
    <t>16.32亿</t>
  </si>
  <si>
    <t>7.87亿</t>
  </si>
  <si>
    <t>6059.99万</t>
  </si>
  <si>
    <t>2.15亿</t>
  </si>
  <si>
    <t>7306.49万</t>
  </si>
  <si>
    <t>7.64亿</t>
  </si>
  <si>
    <t>1.79亿</t>
  </si>
  <si>
    <t>16.14亿</t>
  </si>
  <si>
    <t>19.71亿</t>
  </si>
  <si>
    <t>9854.98万</t>
  </si>
  <si>
    <t>15.05亿</t>
  </si>
  <si>
    <t>9.24亿</t>
  </si>
  <si>
    <t>7.05亿</t>
  </si>
  <si>
    <t>8270.42万</t>
  </si>
  <si>
    <t>6925.21万</t>
  </si>
  <si>
    <t>7463.52万</t>
  </si>
  <si>
    <t>5072.51万</t>
  </si>
  <si>
    <t>2003.07万</t>
  </si>
  <si>
    <t>3713.16万</t>
  </si>
  <si>
    <t>7128.03万</t>
  </si>
  <si>
    <t>5360.35万</t>
  </si>
  <si>
    <t>6.82亿</t>
  </si>
  <si>
    <t>5.65亿</t>
  </si>
  <si>
    <t>150.38万</t>
  </si>
  <si>
    <t>3.30亿</t>
  </si>
  <si>
    <t>3400.94万</t>
  </si>
  <si>
    <t>9827.56万</t>
  </si>
  <si>
    <t>5.36亿</t>
  </si>
  <si>
    <t>7834.53万</t>
  </si>
  <si>
    <t>3354.35万</t>
  </si>
  <si>
    <t>7464.74万</t>
  </si>
  <si>
    <t>5.32亿</t>
  </si>
  <si>
    <t>6729.72万</t>
  </si>
  <si>
    <t>4.70亿</t>
  </si>
  <si>
    <t>6208.34万</t>
  </si>
  <si>
    <t>7202.40万</t>
  </si>
  <si>
    <t>4.06亿</t>
  </si>
  <si>
    <t>4.57亿</t>
  </si>
  <si>
    <t>4.50亿</t>
  </si>
  <si>
    <t>21.58亿</t>
  </si>
  <si>
    <t>10.24亿</t>
  </si>
  <si>
    <t>6262.61万</t>
  </si>
  <si>
    <t>4604.63万</t>
  </si>
  <si>
    <t>SZ300943</t>
  </si>
  <si>
    <t>春晖智控</t>
  </si>
  <si>
    <t>7374.13万</t>
  </si>
  <si>
    <t>5.72亿</t>
  </si>
  <si>
    <t>7567.81万</t>
  </si>
  <si>
    <t>7566.84万</t>
  </si>
  <si>
    <t>SZ300946</t>
  </si>
  <si>
    <t>恒而达</t>
  </si>
  <si>
    <t>9.48亿</t>
  </si>
  <si>
    <t>9304.18万</t>
  </si>
  <si>
    <t>7201.15万</t>
  </si>
  <si>
    <t>6463.61万</t>
  </si>
  <si>
    <t>7.50亿</t>
  </si>
  <si>
    <t>2.13亿</t>
  </si>
  <si>
    <t>SZ300985</t>
  </si>
  <si>
    <t>致远新能</t>
  </si>
  <si>
    <t>13.20亿</t>
  </si>
  <si>
    <t>4359.84万</t>
  </si>
  <si>
    <t>SZ300990</t>
  </si>
  <si>
    <t>7404.77万</t>
  </si>
  <si>
    <t>7770.48万</t>
  </si>
  <si>
    <t>SZ300992</t>
  </si>
  <si>
    <t>泰福泵业</t>
  </si>
  <si>
    <t>6888.66万</t>
  </si>
  <si>
    <t>3825.57万</t>
  </si>
  <si>
    <t>24.51亿</t>
  </si>
  <si>
    <t>31.66亿</t>
  </si>
  <si>
    <t>29.81亿</t>
  </si>
  <si>
    <t>青海华鼎</t>
  </si>
  <si>
    <t>9.18亿</t>
  </si>
  <si>
    <t>11.59亿</t>
  </si>
  <si>
    <t>SH600421</t>
  </si>
  <si>
    <t>994.52万</t>
  </si>
  <si>
    <t>2326.78万</t>
  </si>
  <si>
    <t>100.27万</t>
  </si>
  <si>
    <t>326.38万</t>
  </si>
  <si>
    <t>-893.00万</t>
  </si>
  <si>
    <t>2.92亿</t>
  </si>
  <si>
    <t>30.12亿</t>
  </si>
  <si>
    <t>25.74亿</t>
  </si>
  <si>
    <t>6211.44万</t>
  </si>
  <si>
    <t>10.26亿</t>
  </si>
  <si>
    <t>8.90亿</t>
  </si>
  <si>
    <t>8775.22万</t>
  </si>
  <si>
    <t>8.38亿</t>
  </si>
  <si>
    <t>京城股份</t>
  </si>
  <si>
    <t>10.88亿</t>
  </si>
  <si>
    <t>12.03亿</t>
  </si>
  <si>
    <t>-9393.62万</t>
  </si>
  <si>
    <t>21.30亿</t>
  </si>
  <si>
    <t>3018.66万</t>
  </si>
  <si>
    <t>6.85亿</t>
  </si>
  <si>
    <t>20.76亿</t>
  </si>
  <si>
    <t>2561.04万</t>
  </si>
  <si>
    <t>25.22亿</t>
  </si>
  <si>
    <t>34.71亿</t>
  </si>
  <si>
    <t>19.18亿</t>
  </si>
  <si>
    <t>5.14亿</t>
  </si>
  <si>
    <t>16.35亿</t>
  </si>
  <si>
    <t>1450.58万</t>
  </si>
  <si>
    <t>80.65亿</t>
  </si>
  <si>
    <t>50.39亿</t>
  </si>
  <si>
    <t>12.72亿</t>
  </si>
  <si>
    <t>5377.17万</t>
  </si>
  <si>
    <t>5.19亿</t>
  </si>
  <si>
    <t>1691.13万</t>
  </si>
  <si>
    <t>6735.28万</t>
  </si>
  <si>
    <t>4042.26万</t>
  </si>
  <si>
    <t>654.22万</t>
  </si>
  <si>
    <t>3262.39万</t>
  </si>
  <si>
    <t>10.86亿</t>
  </si>
  <si>
    <t>7.13亿</t>
  </si>
  <si>
    <t>7422.98万</t>
  </si>
  <si>
    <t>18.90亿</t>
  </si>
  <si>
    <t>12.12亿</t>
  </si>
  <si>
    <t>4647.45万</t>
  </si>
  <si>
    <t>6.04亿</t>
  </si>
  <si>
    <t>3318.77万</t>
  </si>
  <si>
    <t>2.79亿</t>
  </si>
  <si>
    <t>14.86亿</t>
  </si>
  <si>
    <t>13.60亿</t>
  </si>
  <si>
    <t>30.74亿</t>
  </si>
  <si>
    <t>24.39亿</t>
  </si>
  <si>
    <t>18.33亿</t>
  </si>
  <si>
    <t>16.81亿</t>
  </si>
  <si>
    <t>7314.08万</t>
  </si>
  <si>
    <t>9.68亿</t>
  </si>
  <si>
    <t>8148.69万</t>
  </si>
  <si>
    <t>7.75亿</t>
  </si>
  <si>
    <t>7047.44万</t>
  </si>
  <si>
    <t>11.03亿</t>
  </si>
  <si>
    <t>12.31亿</t>
  </si>
  <si>
    <t>7.38亿</t>
  </si>
  <si>
    <t>9730.60万</t>
  </si>
  <si>
    <t>6879.34万</t>
  </si>
  <si>
    <t>6210.02万</t>
  </si>
  <si>
    <t>11.46亿</t>
  </si>
  <si>
    <t>36.32亿</t>
  </si>
  <si>
    <t>5.87亿</t>
  </si>
  <si>
    <t>27.81亿</t>
  </si>
  <si>
    <t>23.95亿</t>
  </si>
  <si>
    <t>14.13亿</t>
  </si>
  <si>
    <t>7.67亿</t>
  </si>
  <si>
    <t>21.84亿</t>
  </si>
  <si>
    <t>17.67亿</t>
  </si>
  <si>
    <t>25.57亿</t>
  </si>
  <si>
    <t>23.38亿</t>
  </si>
  <si>
    <t>SH605060</t>
  </si>
  <si>
    <t>15.92亿</t>
  </si>
  <si>
    <t>9.29亿</t>
  </si>
  <si>
    <t>3.48亿</t>
  </si>
  <si>
    <t>4949.08万</t>
  </si>
  <si>
    <t>6629.79万</t>
  </si>
  <si>
    <t>SH688059</t>
  </si>
  <si>
    <t>华锐精密</t>
  </si>
  <si>
    <t>8900.49万</t>
  </si>
  <si>
    <t>7181.19万</t>
  </si>
  <si>
    <t>5416.13万</t>
  </si>
  <si>
    <t>SH688308</t>
  </si>
  <si>
    <t>欧科亿</t>
  </si>
  <si>
    <t>8843.78万</t>
  </si>
  <si>
    <t>6709.49万</t>
  </si>
  <si>
    <t>8670.23万</t>
  </si>
  <si>
    <t>5718.36万</t>
  </si>
  <si>
    <t>SH688355</t>
  </si>
  <si>
    <t>明志科技</t>
  </si>
  <si>
    <t>5.90亿</t>
  </si>
  <si>
    <t>4.71亿</t>
  </si>
  <si>
    <t>7412.48万</t>
  </si>
  <si>
    <t>2835.82万</t>
  </si>
  <si>
    <t>6643.88万</t>
  </si>
  <si>
    <t>5802.94万</t>
  </si>
  <si>
    <t>SH688557</t>
  </si>
  <si>
    <t>兰剑智能</t>
  </si>
  <si>
    <t>8374.73万</t>
  </si>
  <si>
    <t>7333.90万</t>
  </si>
  <si>
    <t>3575.73万</t>
  </si>
  <si>
    <t>7.44亿</t>
  </si>
  <si>
    <t>9553.52万</t>
  </si>
  <si>
    <t>5323.47万</t>
  </si>
  <si>
    <t>5766.26万</t>
  </si>
  <si>
    <t>秦川机床</t>
  </si>
  <si>
    <t>6.88亿</t>
  </si>
  <si>
    <t>8.60亿</t>
  </si>
  <si>
    <t>SZ300984</t>
  </si>
  <si>
    <t>金沃股份</t>
  </si>
  <si>
    <t>3.23亿</t>
  </si>
  <si>
    <t>5776.05万</t>
  </si>
  <si>
    <t>5.44亿</t>
  </si>
  <si>
    <t>6358.61万</t>
  </si>
  <si>
    <t>5178.54万</t>
  </si>
  <si>
    <t>同飞股份</t>
  </si>
  <si>
    <t>6982.28万</t>
  </si>
  <si>
    <t>SZ301018</t>
  </si>
  <si>
    <t>申菱环境</t>
  </si>
  <si>
    <t>14.67亿</t>
  </si>
  <si>
    <t>2.63亿</t>
  </si>
  <si>
    <t>11.18亿</t>
  </si>
  <si>
    <t>华嵘控股</t>
  </si>
  <si>
    <t>2.76亿</t>
  </si>
  <si>
    <t>6.94亿</t>
  </si>
  <si>
    <t>SH688305</t>
  </si>
  <si>
    <t>科德数控</t>
  </si>
  <si>
    <t>3523.36万</t>
  </si>
  <si>
    <t>4246.15万</t>
  </si>
  <si>
    <t>-3755.35万</t>
  </si>
  <si>
    <t>4.87亿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</si>
  <si>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</si>
  <si>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</si>
  <si>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</si>
  <si>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</si>
  <si>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</si>
  <si>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</si>
  <si>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</si>
  <si>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</si>
  <si>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</si>
  <si>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</si>
  <si>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</si>
  <si>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</si>
  <si>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</si>
  <si>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</si>
  <si>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</si>
  <si>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5.41亿</t>
  </si>
  <si>
    <t>SZ300083</t>
  </si>
  <si>
    <t>创世纪</t>
  </si>
  <si>
    <t>6.26亿</t>
  </si>
  <si>
    <t>55.07亿</t>
  </si>
  <si>
    <t>-28.66亿</t>
  </si>
  <si>
    <t>7.34亿</t>
  </si>
  <si>
    <t>5.79亿</t>
  </si>
  <si>
    <t>7.78亿</t>
  </si>
  <si>
    <t>SH688697</t>
  </si>
  <si>
    <t>纽威数控</t>
  </si>
  <si>
    <t>6.06亿</t>
  </si>
  <si>
    <t>6.36亿</t>
  </si>
  <si>
    <t>6222.99万</t>
  </si>
  <si>
    <t>6224.76万</t>
  </si>
  <si>
    <t>6.87亿</t>
  </si>
  <si>
    <t>SZ300818</t>
  </si>
  <si>
    <t>耐普矿机</t>
  </si>
  <si>
    <t>4062.34万</t>
  </si>
  <si>
    <t>6940.91万</t>
  </si>
  <si>
    <t>6549.13万</t>
  </si>
  <si>
    <t>6.31亿</t>
  </si>
  <si>
    <t>12.04亿</t>
  </si>
  <si>
    <t>6.42亿</t>
  </si>
  <si>
    <t>11.32亿</t>
  </si>
  <si>
    <t>5.68亿</t>
  </si>
  <si>
    <t>SH603912</t>
  </si>
  <si>
    <t>佳力图</t>
  </si>
  <si>
    <t>8457.30万</t>
  </si>
  <si>
    <t>SZ001696</t>
  </si>
  <si>
    <t>宗申动力</t>
  </si>
  <si>
    <t>55.94亿</t>
  </si>
  <si>
    <t>57.88亿</t>
  </si>
  <si>
    <t>5.11亿</t>
  </si>
  <si>
    <t>6.40亿</t>
  </si>
  <si>
    <t>9.53亿</t>
  </si>
  <si>
    <t>SZ300263</t>
  </si>
  <si>
    <t>隆华科技</t>
  </si>
  <si>
    <t>18.24亿</t>
  </si>
  <si>
    <t>18.74亿</t>
  </si>
  <si>
    <t>16.11亿</t>
  </si>
  <si>
    <t>5.77亿</t>
  </si>
  <si>
    <t>SZ301028</t>
  </si>
  <si>
    <t>东亚机械</t>
  </si>
  <si>
    <t>8523.96万</t>
  </si>
  <si>
    <t>9457.76万</t>
  </si>
  <si>
    <t>SZ301032</t>
  </si>
  <si>
    <t>新柴股份</t>
  </si>
  <si>
    <t>24.61亿</t>
  </si>
  <si>
    <t>9368.51万</t>
  </si>
  <si>
    <t>13.11亿</t>
  </si>
  <si>
    <t>18.88亿</t>
  </si>
  <si>
    <t>5402.25万</t>
  </si>
  <si>
    <t>7287.59万</t>
  </si>
  <si>
    <t>SZ301043</t>
  </si>
  <si>
    <t>绿岛风</t>
  </si>
  <si>
    <t>7048.34万</t>
  </si>
  <si>
    <t>6836.79万</t>
  </si>
  <si>
    <t>5189.47万</t>
  </si>
  <si>
    <t>SZ301070</t>
  </si>
  <si>
    <t>开勒股份</t>
  </si>
  <si>
    <t>6326.49万</t>
  </si>
  <si>
    <t>2.66亿</t>
  </si>
  <si>
    <t>6560.92万</t>
  </si>
  <si>
    <t>6127.86万</t>
  </si>
  <si>
    <t>SZ301083</t>
  </si>
  <si>
    <t>百胜智能</t>
  </si>
  <si>
    <t>6625.37万</t>
  </si>
  <si>
    <t>4.72亿</t>
  </si>
  <si>
    <t>4217.71万</t>
  </si>
  <si>
    <t>4579.38万</t>
  </si>
  <si>
    <t>12.11亿</t>
  </si>
  <si>
    <t>SH688211</t>
  </si>
  <si>
    <t>中科微至</t>
  </si>
  <si>
    <t>7.51亿</t>
  </si>
  <si>
    <t>4289.14万</t>
  </si>
  <si>
    <t>宝塔实业</t>
  </si>
  <si>
    <t>16.15亿</t>
  </si>
  <si>
    <t>5.98亿</t>
  </si>
  <si>
    <t>SZ002931</t>
  </si>
  <si>
    <t>锋龙股份</t>
  </si>
  <si>
    <t>7714.96万</t>
  </si>
  <si>
    <t>5760.13万</t>
  </si>
  <si>
    <t>4575.77万</t>
  </si>
  <si>
    <t>16.96亿</t>
  </si>
  <si>
    <t>4.09亿</t>
  </si>
  <si>
    <t>SZ300828</t>
  </si>
  <si>
    <t>锐新科技</t>
  </si>
  <si>
    <t>6574.87万</t>
  </si>
  <si>
    <t>6256.66万</t>
  </si>
  <si>
    <t>6153.97万</t>
  </si>
  <si>
    <t>5.75亿</t>
  </si>
  <si>
    <t>16.34亿</t>
  </si>
  <si>
    <t>SH600114</t>
  </si>
  <si>
    <t>东睦股份</t>
  </si>
  <si>
    <t>32.83亿</t>
  </si>
  <si>
    <t>龙溪股份</t>
  </si>
  <si>
    <t>5.09亿</t>
  </si>
  <si>
    <t>贵绳股份</t>
  </si>
  <si>
    <t>10.83亿</t>
  </si>
  <si>
    <t>12.18亿</t>
  </si>
  <si>
    <t>大业股份</t>
  </si>
  <si>
    <t>9.08亿</t>
  </si>
  <si>
    <t>SH688257</t>
  </si>
  <si>
    <t>新锐股份</t>
  </si>
  <si>
    <t>7.30亿</t>
  </si>
  <si>
    <t>7631.92万</t>
  </si>
  <si>
    <t>6382.28万</t>
  </si>
  <si>
    <t>SH688379</t>
  </si>
  <si>
    <t>华光新材</t>
  </si>
  <si>
    <t>6468.21万</t>
  </si>
  <si>
    <t>5932.23万</t>
  </si>
  <si>
    <t>4943.24万</t>
  </si>
  <si>
    <t>公司主营业务收入主要来源于车载 LNG 供气系统销售收入，产品结构较为单一，报告期各期，车载 LNG 供气系统销售单价为 31,639.71 元/台、29,889.54 元/台和 28,000.23 元/台，平均单价每年存在 5.5%-6.5%的降幅</t>
    <phoneticPr fontId="1" type="noConversion"/>
  </si>
  <si>
    <t>1.我国紧固件产业产量居世界第一，是名副其实的生产大国和出口大国，紧固件全行业基本上保持着平缓的增长，但国内紧固件产品结构不合理的状况依然存在，低端产品过剩，高端产品产能不足，紧固件产品正从低端转向中高端发展</t>
    <phoneticPr fontId="1" type="noConversion"/>
  </si>
  <si>
    <t>公司生产销售的船用齿轮箱市场占有率多年来位居国内第一</t>
    <phoneticPr fontId="1" type="noConversion"/>
  </si>
  <si>
    <t>1.20%的毛利能做到12%的净利；2.公司紧盯新型轻卡发动机核心零部件的市场增量需求，公司在现有重卡发动机核心零部件的基础上，向轻卡发动机核心零部件延伸</t>
    <phoneticPr fontId="1" type="noConversion"/>
  </si>
  <si>
    <t>1。公司零部件除核心客户潍柴动力外，公司也在积极拓展其他新客户。</t>
    <phoneticPr fontId="1" type="noConversion"/>
  </si>
  <si>
    <t xml:space="preserve">1.营业总收入： 5.87亿元 同比增长88.19%；净利润： 0.39亿元 同比增长167.1% </t>
    <phoneticPr fontId="1" type="noConversion"/>
  </si>
  <si>
    <t>1.和宁德签了一个1.4亿的合同单；2.目前产能支撑10亿新募投的产能可达20亿</t>
    <phoneticPr fontId="1" type="noConversion"/>
  </si>
  <si>
    <t>1.同时受行业特点限制，截至目前本行业没有世界 500 强。原因主要有：一、每个系统解决方案都是个性化的，属于
定制化产品，所以达到规模化比较困难；二、本行业涉及的产业链比较长，从方案设计到设备设计、加工生产、设
备制造、组装、安装调试等，故涉及的专业也比较广，机械、电气、规划、计算机、软件等等。因此本行业的发展
是需要一定的积累，比如日本大福、圣斐迩、德马泰克、村田机械等都是近上百年的企业。因此，成就百年高科技
公司，需要长期技术及项目的积累。</t>
    <phoneticPr fontId="1" type="noConversion"/>
  </si>
  <si>
    <t>1.高铁轨道扣件行业的竞争者稳定，国内主要参与者有祥和实业，中原利达、晋亿实业（601002.SH)、安徽巢湖铸造、翼辰实业(01596.HK)等6家。国际市场上，主要参与者为德国福斯罗VOSSOLH、英国潘德路PANDROL、富适扣，三家国外公司在国内份额都较少；2.去年5亿利润里有4亿是投资收益；3.被证监会立案调查不正常信息披露；</t>
    <phoneticPr fontId="1" type="noConversion"/>
  </si>
  <si>
    <t>主营业务是金金刚石工具的研发、生产和销售。主要产品为金刚石工具、电动工具、合金工具、纸基涂附磨具、布基涂附磨具、薄膜基涂附磨具、轨交装备零部件、租赁业等。
2021H1:
涂附磨具行业 4.73亿 58.86% 利润占比39.95% 19.35%
五金工具行业 2.61亿 32.52% 利润占比43.71% 38.33%
轨交装备零部件行业 5705.50万 7.10% 利润占比13.05% 52.38%
租赁业等 1217.40万 1.52% 利润占比3.29% 61.86%</t>
    <phoneticPr fontId="1" type="noConversion"/>
  </si>
  <si>
    <t>1.高铁闸片都是粉末冶金技术。闸片市场上的主要参与者,外资主要有克诺尔,国内主要有北京天宜上佳,以及北京浦然、瑞斯福等厂家。</t>
    <phoneticPr fontId="1" type="noConversion"/>
  </si>
  <si>
    <t>1.问：制动盘和刹车片的更换周期?答：刹车片一般每年更换2-3次,当然和列车运行的线路、停靠站频率等都有关系,平均约2.5次。制动盘更换周期长一些,轮盘和轴盘更换周期也不同,轮盘有时会随轮对维修、更换更换,一般约2-2.5年更换,轴盘更换周期要长一些。产品设计标准是240万公里。</t>
    <phoneticPr fontId="1" type="noConversion"/>
  </si>
  <si>
    <t>流通股本</t>
  </si>
  <si>
    <t>净利润[20201231]</t>
  </si>
  <si>
    <t>投入资本回报率roic%[20201231]</t>
  </si>
  <si>
    <t>净资产收益率%[20201231]</t>
  </si>
  <si>
    <t>1636.96亿</t>
  </si>
  <si>
    <t>66.65亿</t>
  </si>
  <si>
    <t>16.99亿</t>
  </si>
  <si>
    <t>-8.63亿</t>
  </si>
  <si>
    <t>20.89亿</t>
  </si>
  <si>
    <t>-2.69亿</t>
  </si>
  <si>
    <t>-1.77亿</t>
  </si>
  <si>
    <t>15.58亿</t>
  </si>
  <si>
    <t>53.83亿</t>
  </si>
  <si>
    <t>50.52亿</t>
  </si>
  <si>
    <t>3.69亿</t>
  </si>
  <si>
    <t>9.45亿</t>
  </si>
  <si>
    <t>33.10亿</t>
  </si>
  <si>
    <t>33.28亿</t>
  </si>
  <si>
    <t>2.29亿</t>
  </si>
  <si>
    <t>-7.27亿</t>
  </si>
  <si>
    <t>33.96亿</t>
  </si>
  <si>
    <t>7.20亿</t>
  </si>
  <si>
    <t>10.15亿</t>
  </si>
  <si>
    <t>19.21亿</t>
  </si>
  <si>
    <t>1419.21万</t>
  </si>
  <si>
    <t>15.83亿</t>
  </si>
  <si>
    <t>24.66亿</t>
  </si>
  <si>
    <t>2395.89万</t>
  </si>
  <si>
    <t>10.59亿</t>
  </si>
  <si>
    <t>1819.11万</t>
  </si>
  <si>
    <t>19.10亿</t>
  </si>
  <si>
    <t>2.96亿</t>
  </si>
  <si>
    <t>109.20亿</t>
  </si>
  <si>
    <t>12.70亿</t>
  </si>
  <si>
    <t>SZ002445</t>
  </si>
  <si>
    <t>中南文化</t>
  </si>
  <si>
    <t>7.45亿</t>
  </si>
  <si>
    <t>-17.98亿</t>
  </si>
  <si>
    <t>-21.01亿</t>
  </si>
  <si>
    <t>12.49亿</t>
  </si>
  <si>
    <t>6.34亿</t>
  </si>
  <si>
    <t>1233.19万</t>
  </si>
  <si>
    <t>21.85亿</t>
  </si>
  <si>
    <t>5100.83万</t>
  </si>
  <si>
    <t>19.99亿</t>
  </si>
  <si>
    <t>-1161.54万</t>
  </si>
  <si>
    <t>20.09亿</t>
  </si>
  <si>
    <t>-14.08亿</t>
  </si>
  <si>
    <t>19.06亿</t>
  </si>
  <si>
    <t>4309.66万</t>
  </si>
  <si>
    <t>9547.43万</t>
  </si>
  <si>
    <t>1868.29万</t>
  </si>
  <si>
    <t>9.74亿</t>
  </si>
  <si>
    <t>6982.24万</t>
  </si>
  <si>
    <t>6099.35万</t>
  </si>
  <si>
    <t>6327.30万</t>
  </si>
  <si>
    <t>20.63亿</t>
  </si>
  <si>
    <t>4.83亿</t>
  </si>
  <si>
    <t>8136.05万</t>
  </si>
  <si>
    <t>7352.44万</t>
  </si>
  <si>
    <t>7921.51万</t>
  </si>
  <si>
    <t>-676.58万</t>
  </si>
  <si>
    <t>11.91亿</t>
  </si>
  <si>
    <t>9.75亿</t>
  </si>
  <si>
    <t>52.62亿</t>
  </si>
  <si>
    <t>34.26亿</t>
  </si>
  <si>
    <t>54.26亿</t>
  </si>
  <si>
    <t>-6.97亿</t>
  </si>
  <si>
    <t>307.10万</t>
  </si>
  <si>
    <t>9346.67万</t>
  </si>
  <si>
    <t>2.90亿</t>
  </si>
  <si>
    <t>1022.68万</t>
  </si>
  <si>
    <t>51.87亿</t>
  </si>
  <si>
    <t>-7.79亿</t>
  </si>
  <si>
    <t>8.69亿</t>
  </si>
  <si>
    <t>3122.89万</t>
  </si>
  <si>
    <t>15.87亿</t>
  </si>
  <si>
    <t>4220.42万</t>
  </si>
  <si>
    <t>15.56亿</t>
  </si>
  <si>
    <t>34.85亿</t>
  </si>
  <si>
    <t>30.32亿</t>
  </si>
  <si>
    <t>22.09亿</t>
  </si>
  <si>
    <t>12.57亿</t>
  </si>
  <si>
    <t>5291.53万</t>
  </si>
  <si>
    <t>3.21亿</t>
  </si>
  <si>
    <t>9033.08万</t>
  </si>
  <si>
    <t>8.29亿</t>
  </si>
  <si>
    <t>8.80亿</t>
  </si>
  <si>
    <t>21.72亿</t>
  </si>
  <si>
    <t>-7501.10万</t>
  </si>
  <si>
    <t>4.47亿</t>
  </si>
  <si>
    <t>6750.28万</t>
  </si>
  <si>
    <t>-7812.23万</t>
  </si>
  <si>
    <t>7103.79万</t>
  </si>
  <si>
    <t>7657.59万</t>
  </si>
  <si>
    <t>10.53亿</t>
  </si>
  <si>
    <t>7570.17万</t>
  </si>
  <si>
    <t>8526.56万</t>
  </si>
  <si>
    <t>18.48亿</t>
  </si>
  <si>
    <t>8437.58万</t>
  </si>
  <si>
    <t>5.31亿</t>
  </si>
  <si>
    <t>7218.87万</t>
  </si>
  <si>
    <t>8.96亿</t>
  </si>
  <si>
    <t>6288.45万</t>
  </si>
  <si>
    <t>1931.83万</t>
  </si>
  <si>
    <t>3.09亿</t>
  </si>
  <si>
    <t>5.61亿</t>
  </si>
  <si>
    <t>6112.09万</t>
  </si>
  <si>
    <t>17.98亿</t>
  </si>
  <si>
    <t>24.83亿</t>
  </si>
  <si>
    <t>7961.30万</t>
  </si>
  <si>
    <t>5280.46万</t>
  </si>
  <si>
    <t>6156.02万</t>
  </si>
  <si>
    <t>SZ301137</t>
  </si>
  <si>
    <t>哈焊华通</t>
  </si>
  <si>
    <t>17.16亿</t>
  </si>
  <si>
    <t>7691.63万</t>
  </si>
  <si>
    <t>13.63亿</t>
  </si>
  <si>
    <t>10.78亿</t>
  </si>
  <si>
    <t>7933.26万</t>
  </si>
  <si>
    <t>6965.48万</t>
  </si>
  <si>
    <t>6713.03万</t>
  </si>
  <si>
    <t>SZ301151</t>
  </si>
  <si>
    <t>冠龙节能</t>
  </si>
  <si>
    <t>10.47亿</t>
  </si>
  <si>
    <t>8.30亿</t>
  </si>
  <si>
    <t>SZ301268</t>
  </si>
  <si>
    <t>铭利达</t>
  </si>
  <si>
    <t>18.38亿</t>
  </si>
  <si>
    <t>15.16亿</t>
  </si>
  <si>
    <t>13.61亿</t>
  </si>
  <si>
    <t>9.42亿</t>
  </si>
  <si>
    <t>9587.84万</t>
  </si>
  <si>
    <t>5840.63万</t>
  </si>
  <si>
    <t>金属制品</t>
  </si>
  <si>
    <t>-886.37万</t>
  </si>
  <si>
    <t>2.38亿</t>
  </si>
  <si>
    <t>7.54亿</t>
  </si>
  <si>
    <t>34.45亿</t>
  </si>
  <si>
    <t>7739.56万</t>
  </si>
  <si>
    <t>11.83亿</t>
  </si>
  <si>
    <t>-2328.23万</t>
  </si>
  <si>
    <t>25.29亿</t>
  </si>
  <si>
    <t>3103.17万</t>
  </si>
  <si>
    <t>28.74亿</t>
  </si>
  <si>
    <t>103.61亿</t>
  </si>
  <si>
    <t>9.16亿</t>
  </si>
  <si>
    <t>5696.00万</t>
  </si>
  <si>
    <t>8579.15万</t>
  </si>
  <si>
    <t>1466.50万</t>
  </si>
  <si>
    <t>26.62亿</t>
  </si>
  <si>
    <t>11.30亿</t>
  </si>
  <si>
    <t>5293.42万</t>
  </si>
  <si>
    <t>24.59亿</t>
  </si>
  <si>
    <t>20.40亿</t>
  </si>
  <si>
    <t>9183.21万</t>
  </si>
  <si>
    <t>16.50亿</t>
  </si>
  <si>
    <t>9236.67万</t>
  </si>
  <si>
    <t>24.23亿</t>
  </si>
  <si>
    <t>39.62亿</t>
  </si>
  <si>
    <t>8514.64万</t>
  </si>
  <si>
    <t>29.44亿</t>
  </si>
  <si>
    <t>31.50亿</t>
  </si>
  <si>
    <t>7.99亿</t>
  </si>
  <si>
    <t>13.54亿</t>
  </si>
  <si>
    <t>5445.00万</t>
  </si>
  <si>
    <t>22.10亿</t>
  </si>
  <si>
    <t>7286.69万</t>
  </si>
  <si>
    <t>9.90亿</t>
  </si>
  <si>
    <t>-5330.55万</t>
  </si>
  <si>
    <t>14.83亿</t>
  </si>
  <si>
    <t>7683.63万</t>
  </si>
  <si>
    <t>3.19亿</t>
  </si>
  <si>
    <t>4520.56万</t>
  </si>
  <si>
    <t>8050.24万</t>
  </si>
  <si>
    <t>11.37亿</t>
  </si>
  <si>
    <t>7300.67万</t>
  </si>
  <si>
    <t>17.13亿</t>
  </si>
  <si>
    <t>其他通用设备</t>
  </si>
  <si>
    <t xml:space="preserve">    名称</t>
  </si>
  <si>
    <t>净利润?</t>
  </si>
  <si>
    <t>扣非净利润</t>
  </si>
  <si>
    <t>营业总收入[20201231]</t>
  </si>
  <si>
    <t>投入资本回报率roic%[20211231]</t>
  </si>
  <si>
    <t>净资产收益率%[20211231]</t>
  </si>
  <si>
    <t>单季营收增速</t>
  </si>
  <si>
    <t>单季利润增速</t>
  </si>
  <si>
    <t/>
  </si>
  <si>
    <t>扭亏</t>
  </si>
  <si>
    <t>亏损</t>
  </si>
  <si>
    <t>2.69亿</t>
  </si>
  <si>
    <t>1.93亿</t>
  </si>
  <si>
    <t>8.56亿</t>
  </si>
  <si>
    <t>5.67亿</t>
  </si>
  <si>
    <t>3.97亿</t>
  </si>
  <si>
    <t>4.18亿</t>
  </si>
  <si>
    <t>8.03亿</t>
  </si>
  <si>
    <t>5.29亿</t>
  </si>
  <si>
    <t>4.33亿</t>
  </si>
  <si>
    <t>3.91亿</t>
  </si>
  <si>
    <t>3.27亿</t>
  </si>
  <si>
    <t>7.52亿</t>
  </si>
  <si>
    <t>8.91亿</t>
  </si>
  <si>
    <t>5.07亿</t>
  </si>
  <si>
    <t>6.19亿</t>
  </si>
  <si>
    <t>5.33亿</t>
  </si>
  <si>
    <t>6.66亿</t>
  </si>
  <si>
    <t>6.90亿</t>
  </si>
  <si>
    <t>SZ301107</t>
  </si>
  <si>
    <t>瑜欣电子</t>
  </si>
  <si>
    <t>6.55亿</t>
  </si>
  <si>
    <t>8211.94万</t>
  </si>
  <si>
    <t>5810.48万</t>
  </si>
  <si>
    <t>3508.30万</t>
  </si>
  <si>
    <t>5437.71万</t>
  </si>
  <si>
    <t>SZ301125</t>
  </si>
  <si>
    <t>4.80亿</t>
  </si>
  <si>
    <t>5447.65万</t>
  </si>
  <si>
    <t>5513.13万</t>
  </si>
  <si>
    <t>4941.94万</t>
  </si>
  <si>
    <t>4220.28万</t>
  </si>
  <si>
    <t>3.58亿</t>
  </si>
  <si>
    <t>海天精工</t>
  </si>
  <si>
    <t>15.00亿</t>
  </si>
  <si>
    <t>8.57亿</t>
  </si>
  <si>
    <t>5.69亿</t>
  </si>
  <si>
    <t>SH688251</t>
  </si>
  <si>
    <t>6828.86万</t>
  </si>
  <si>
    <t>5367.46万</t>
  </si>
  <si>
    <t>2156.66万</t>
  </si>
  <si>
    <t>433.73万</t>
  </si>
  <si>
    <t>3.90亿</t>
  </si>
  <si>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</si>
  <si>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</si>
  <si>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</si>
  <si>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</si>
  <si>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</si>
  <si>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</si>
  <si>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</si>
  <si>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</si>
  <si>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</si>
  <si>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1增速</t>
    <phoneticPr fontId="1" type="noConversion"/>
  </si>
  <si>
    <t>N-1</t>
    <phoneticPr fontId="1" type="noConversion"/>
  </si>
  <si>
    <t>N</t>
    <phoneticPr fontId="1" type="noConversion"/>
  </si>
  <si>
    <t>机床工具</t>
  </si>
  <si>
    <t>10.94亿</t>
  </si>
  <si>
    <t>制冷空调设备</t>
  </si>
  <si>
    <t>7.47亿</t>
  </si>
  <si>
    <t>2.44亿</t>
  </si>
  <si>
    <t>12.77亿</t>
  </si>
  <si>
    <t>2.36亿</t>
  </si>
  <si>
    <t>4.13亿</t>
  </si>
  <si>
    <t>3.79亿</t>
  </si>
  <si>
    <t>4.88亿</t>
  </si>
  <si>
    <t>4.94亿</t>
  </si>
  <si>
    <t>磨具磨料</t>
  </si>
  <si>
    <t>4.37亿</t>
  </si>
  <si>
    <t>3.72亿</t>
  </si>
  <si>
    <t>6.56亿</t>
  </si>
  <si>
    <t>11.21亿</t>
  </si>
  <si>
    <t>10.29亿</t>
  </si>
  <si>
    <t>20.24亿</t>
  </si>
  <si>
    <t>6.02亿</t>
  </si>
  <si>
    <t>2.56亿</t>
  </si>
  <si>
    <t>8.21亿</t>
  </si>
  <si>
    <t>3.89亿</t>
  </si>
  <si>
    <t>4.43亿</t>
  </si>
  <si>
    <t>5.46亿</t>
  </si>
  <si>
    <t>15.30亿</t>
  </si>
  <si>
    <t>6.43亿</t>
  </si>
  <si>
    <t>6.59亿</t>
  </si>
  <si>
    <t>SZ300466</t>
  </si>
  <si>
    <t>赛摩智能</t>
  </si>
  <si>
    <t>-952.48万</t>
  </si>
  <si>
    <t>1894.00万</t>
  </si>
  <si>
    <t>-2.03亿</t>
  </si>
  <si>
    <t>-2.13亿</t>
  </si>
  <si>
    <t>3.37亿</t>
  </si>
  <si>
    <t>6.96亿</t>
  </si>
  <si>
    <t>7.69亿</t>
  </si>
  <si>
    <t>腾亚精工</t>
  </si>
  <si>
    <t>SZ301309</t>
  </si>
  <si>
    <t>7033.96万</t>
  </si>
  <si>
    <t>5111.36万</t>
  </si>
  <si>
    <t>5376.66万</t>
  </si>
  <si>
    <t>SH600202</t>
  </si>
  <si>
    <t>哈空调</t>
  </si>
  <si>
    <t>8.53亿</t>
  </si>
  <si>
    <t>9.05亿</t>
  </si>
  <si>
    <t>SH600343</t>
  </si>
  <si>
    <t>航天动力</t>
  </si>
  <si>
    <t>12.73亿</t>
  </si>
  <si>
    <t>23.15亿</t>
  </si>
  <si>
    <t>11.84亿</t>
  </si>
  <si>
    <t>5.70亿</t>
  </si>
  <si>
    <t>SH603201</t>
  </si>
  <si>
    <t>常润股份</t>
  </si>
  <si>
    <t>30.56亿</t>
  </si>
  <si>
    <t>24.74亿</t>
  </si>
  <si>
    <t>24.55亿</t>
  </si>
  <si>
    <t>23.81亿</t>
  </si>
  <si>
    <t>7100.01万</t>
  </si>
  <si>
    <t>8.92亿</t>
  </si>
  <si>
    <t>10.75亿</t>
  </si>
  <si>
    <t>7.15亿</t>
  </si>
  <si>
    <t>12.22亿</t>
  </si>
  <si>
    <t>13.17亿</t>
  </si>
  <si>
    <t>3.03亿</t>
  </si>
  <si>
    <t>华丰股份</t>
  </si>
  <si>
    <t>井松智能</t>
  </si>
  <si>
    <t>SH688455</t>
  </si>
  <si>
    <t>8649.30万</t>
  </si>
  <si>
    <t>13.69亿</t>
  </si>
  <si>
    <t>6146.42万</t>
  </si>
  <si>
    <t>1272.83万</t>
  </si>
  <si>
    <t>1594.19万</t>
  </si>
  <si>
    <r>
      <t>1.公司目前用户以航空航天业为主，其对高端数控机床产品的定制化要求较高，毛利 率相对也较高。若公司在拓展其他领域下游客户过程中，行业竞争加剧，定制化配置有 所差异，下游客户的结构变化可能使公司毛利率有所波动。若产品售价及原材料采购价 格发生不利变化，公司</t>
    </r>
    <r>
      <rPr>
        <sz val="9"/>
        <color rgb="FFFF0000"/>
        <rFont val="宋体"/>
        <family val="3"/>
        <charset val="134"/>
        <scheme val="minor"/>
      </rPr>
      <t>毛利率存在下降</t>
    </r>
    <r>
      <rPr>
        <sz val="9"/>
        <color theme="1"/>
        <rFont val="宋体"/>
        <family val="2"/>
        <charset val="134"/>
        <scheme val="minor"/>
      </rPr>
      <t>的风险;2.持有龙芯中科0.05%的股份，战略合作，难道后续采用龙芯处理器做数控的控制cpu?</t>
    </r>
    <phoneticPr fontId="1" type="noConversion"/>
  </si>
  <si>
    <t>1.Cybelec 瑞士、Cybelec 中国、Infranor 法国和 Mavilor 以定制化产品为主；2.当下游行业市场低迷时，数控机床和机器人投资力度减弱，公司产品的市场需求相应下降。</t>
    <phoneticPr fontId="1" type="noConversion"/>
  </si>
  <si>
    <t>SZ301273</t>
  </si>
  <si>
    <t>瑞晨环保</t>
  </si>
  <si>
    <t>8272.50万</t>
  </si>
  <si>
    <t>6844.23万</t>
  </si>
  <si>
    <t>3556.07万</t>
  </si>
  <si>
    <t>3111.85万</t>
  </si>
  <si>
    <t>SH688448</t>
  </si>
  <si>
    <t>5975.93万</t>
  </si>
  <si>
    <t>4824.51万</t>
  </si>
  <si>
    <t>4112.63万</t>
  </si>
  <si>
    <t>2971.80万</t>
  </si>
  <si>
    <t>科捷智能</t>
  </si>
  <si>
    <t>3.81亿</t>
  </si>
  <si>
    <t>8.63亿</t>
  </si>
  <si>
    <t>万得凯</t>
  </si>
  <si>
    <t>磁谷科技</t>
  </si>
  <si>
    <t>8.78亿</t>
  </si>
  <si>
    <t>36.58亿</t>
  </si>
  <si>
    <t>21.39亿</t>
  </si>
  <si>
    <t>3.46亿</t>
  </si>
  <si>
    <t>1.65亿</t>
  </si>
  <si>
    <t>8.89亿</t>
  </si>
  <si>
    <t>6.92亿</t>
  </si>
  <si>
    <t>6.53亿</t>
  </si>
  <si>
    <t>18.46亿</t>
  </si>
  <si>
    <t>12.96亿</t>
  </si>
  <si>
    <t>4.48亿</t>
  </si>
  <si>
    <t>12.32亿</t>
  </si>
  <si>
    <t>3.66亿</t>
  </si>
  <si>
    <t>9.23亿</t>
  </si>
  <si>
    <t>5.38亿</t>
  </si>
  <si>
    <t>15.67亿</t>
  </si>
  <si>
    <t>4.42亿</t>
  </si>
  <si>
    <t>12.64亿</t>
  </si>
  <si>
    <t>14.20亿</t>
  </si>
  <si>
    <t>9.14亿</t>
  </si>
  <si>
    <t>7.77亿</t>
  </si>
  <si>
    <t>12.87亿</t>
  </si>
  <si>
    <t>13.27亿</t>
  </si>
  <si>
    <t>3.35亿</t>
  </si>
  <si>
    <t>8.98亿</t>
  </si>
  <si>
    <t>3.92亿</t>
  </si>
  <si>
    <t>7.49亿</t>
  </si>
  <si>
    <t>6.95亿</t>
  </si>
  <si>
    <t>8.10亿</t>
  </si>
  <si>
    <t>5.05亿</t>
  </si>
  <si>
    <t>4.64亿</t>
  </si>
  <si>
    <t>11.60亿</t>
  </si>
  <si>
    <t>6.57亿</t>
  </si>
  <si>
    <t>7.08亿</t>
  </si>
  <si>
    <t>12.62亿</t>
  </si>
  <si>
    <t>7.03亿</t>
  </si>
  <si>
    <t>12.02亿</t>
  </si>
  <si>
    <t>4.14亿</t>
  </si>
  <si>
    <t>7.09亿</t>
  </si>
  <si>
    <t>4.89亿</t>
  </si>
  <si>
    <t>5.96亿</t>
  </si>
  <si>
    <t>16.19亿</t>
  </si>
  <si>
    <t>-1.12亿</t>
  </si>
  <si>
    <t>7.66亿</t>
  </si>
  <si>
    <t>5.08亿</t>
  </si>
  <si>
    <t>SZ301311</t>
  </si>
  <si>
    <t>昆船智能</t>
  </si>
  <si>
    <t>9982.00万</t>
  </si>
  <si>
    <t>15.47亿</t>
  </si>
  <si>
    <t>15.20亿</t>
  </si>
  <si>
    <t>9083.07万</t>
  </si>
  <si>
    <t>7931.44万</t>
  </si>
  <si>
    <t>6329.45万</t>
  </si>
  <si>
    <t>SZ301377</t>
  </si>
  <si>
    <t>鼎泰高科</t>
  </si>
  <si>
    <t>7.00亿</t>
  </si>
  <si>
    <t>7119.32万</t>
  </si>
  <si>
    <t>6952.22万</t>
  </si>
  <si>
    <t>12.19亿</t>
  </si>
  <si>
    <t>24.64亿</t>
  </si>
  <si>
    <t>17.19亿</t>
  </si>
  <si>
    <t>16.95亿</t>
  </si>
  <si>
    <t>9.51亿</t>
  </si>
  <si>
    <t>11.07亿</t>
  </si>
  <si>
    <t>8.77亿</t>
  </si>
  <si>
    <t>11.88亿</t>
  </si>
  <si>
    <t>9.33亿</t>
  </si>
  <si>
    <t>-3.41亿</t>
  </si>
  <si>
    <t>23.01亿</t>
  </si>
  <si>
    <t>7.94亿</t>
  </si>
  <si>
    <t>9.27亿</t>
  </si>
  <si>
    <t>-1.27亿</t>
  </si>
  <si>
    <t>8.45亿</t>
  </si>
  <si>
    <t>13.47亿</t>
  </si>
  <si>
    <t>5.24亿</t>
  </si>
  <si>
    <t>5.26亿</t>
  </si>
  <si>
    <t>9.81亿</t>
  </si>
  <si>
    <t>8.55亿</t>
  </si>
  <si>
    <t>5.18亿</t>
  </si>
  <si>
    <r>
      <t>1.：公司于2022年9月26日收到并披露了</t>
    </r>
    <r>
      <rPr>
        <sz val="9"/>
        <color rgb="FFFF0000"/>
        <rFont val="宋体"/>
        <family val="3"/>
        <charset val="134"/>
        <scheme val="minor"/>
      </rPr>
      <t>公司第二大股东武汉华中科大资产管理有限公司</t>
    </r>
    <r>
      <rPr>
        <sz val="9"/>
        <color theme="1"/>
        <rFont val="宋体"/>
        <family val="2"/>
        <charset val="134"/>
        <scheme val="minor"/>
      </rPr>
      <t>股份减持计划，目前该减持计划正在实施中。华科资产的。减持是根据国家政策要求推动高校所属企业体制改革工作的需要，并遵守国家相关规定减持。</t>
    </r>
    <phoneticPr fontId="1" type="noConversion"/>
  </si>
  <si>
    <r>
      <t>1.公司以自主可控的数控技术为核心，将核心技术应用领域不断延伸，形成了“</t>
    </r>
    <r>
      <rPr>
        <sz val="9"/>
        <color rgb="FFFF0000"/>
        <rFont val="宋体"/>
        <family val="3"/>
        <charset val="134"/>
        <scheme val="minor"/>
      </rPr>
      <t>一核三军</t>
    </r>
    <r>
      <rPr>
        <sz val="9"/>
        <color theme="1"/>
        <rFont val="宋体"/>
        <family val="2"/>
        <charset val="134"/>
        <scheme val="minor"/>
      </rPr>
      <t>”的发展战略，即“以数控系统技术为核心，以机床数控系统、工业机器人、新能源汽车配套为三个主体”。2.为了保障国防安全，公司</t>
    </r>
    <r>
      <rPr>
        <b/>
        <sz val="9"/>
        <color rgb="FFFF0000"/>
        <rFont val="宋体"/>
        <family val="3"/>
        <charset val="134"/>
        <scheme val="minor"/>
      </rPr>
      <t>承担了80%的国防军工领域的“换脑工程”项目</t>
    </r>
    <r>
      <rPr>
        <sz val="9"/>
        <color theme="1"/>
        <rFont val="宋体"/>
        <family val="2"/>
        <charset val="134"/>
        <scheme val="minor"/>
      </rPr>
      <t>，并于2019年实现了十大军工集团首次国产数控系统的批量配套。3.教育板块，2021 年大概占我们数控系统业务的 10%-20%。4.基本上已经可以做到</t>
    </r>
    <r>
      <rPr>
        <sz val="9"/>
        <color rgb="FFFF0000"/>
        <rFont val="宋体"/>
        <family val="3"/>
        <charset val="134"/>
        <scheme val="minor"/>
      </rPr>
      <t>供应链全国产化适配</t>
    </r>
    <r>
      <rPr>
        <sz val="9"/>
        <color theme="1"/>
        <rFont val="宋体"/>
        <family val="2"/>
        <charset val="134"/>
        <scheme val="minor"/>
      </rPr>
      <t>，即使是未来面临非常极端各类的环境，我们不会因为这一块去受限.08年受到过美国制裁。</t>
    </r>
    <phoneticPr fontId="1" type="noConversion"/>
  </si>
  <si>
    <r>
      <t>1.问：产品技术上和同行有什么差距吗？答：产品技术在</t>
    </r>
    <r>
      <rPr>
        <sz val="9"/>
        <color rgb="FFFF0000"/>
        <rFont val="宋体"/>
        <family val="3"/>
        <charset val="134"/>
        <scheme val="minor"/>
      </rPr>
      <t>原理上各企业基本是相通</t>
    </r>
    <r>
      <rPr>
        <sz val="9"/>
        <color theme="1"/>
        <rFont val="宋体"/>
        <family val="2"/>
        <charset val="134"/>
        <scheme val="minor"/>
      </rPr>
      <t>的，但在生产装备、工艺控制等技术层面还是会形成各自的特点，从而形成</t>
    </r>
    <r>
      <rPr>
        <sz val="9"/>
        <color rgb="FFFF0000"/>
        <rFont val="宋体"/>
        <family val="3"/>
        <charset val="134"/>
        <scheme val="minor"/>
      </rPr>
      <t>产品品质差异。产品品质好坏</t>
    </r>
    <r>
      <rPr>
        <sz val="9"/>
        <color theme="1"/>
        <rFont val="宋体"/>
        <family val="2"/>
        <charset val="134"/>
        <scheme val="minor"/>
      </rPr>
      <t>的衡量主要在于客户端的应用综合表现。金刚线产品并非标准化产品，加上不同客户的切片机型、生产经验和管理水平均不同，从而对金刚线的品质要求也比较高，品质加技术服务是我们立足市场的根本。目前公司产品在下游客户端的应用整体表现基本都靠前。</t>
    </r>
    <phoneticPr fontId="1" type="noConversion"/>
  </si>
  <si>
    <r>
      <t>1.前次可转债项目建设了</t>
    </r>
    <r>
      <rPr>
        <b/>
        <sz val="9"/>
        <color rgb="FFFF0000"/>
        <rFont val="宋体"/>
        <family val="3"/>
        <charset val="134"/>
        <scheme val="minor"/>
      </rPr>
      <t>28条单机16线机生产线</t>
    </r>
    <r>
      <rPr>
        <sz val="9"/>
        <color theme="1"/>
        <rFont val="宋体"/>
        <family val="2"/>
        <charset val="134"/>
        <scheme val="minor"/>
      </rPr>
      <t>。从目前的使用状况看,该16线机型生产效率、人工成本、单耗等方面指标较优。目前计划金湖新产能项目均采用单机16线型设备。</t>
    </r>
    <phoneticPr fontId="1" type="noConversion"/>
  </si>
  <si>
    <r>
      <t>1.年公司宣布扩产以来，公司产能</t>
    </r>
    <r>
      <rPr>
        <sz val="9"/>
        <color rgb="FFFF0000"/>
        <rFont val="宋体"/>
        <family val="3"/>
        <charset val="134"/>
        <scheme val="minor"/>
      </rPr>
      <t>一直逐月提升</t>
    </r>
    <r>
      <rPr>
        <sz val="9"/>
        <color theme="1"/>
        <rFont val="宋体"/>
        <family val="2"/>
        <charset val="134"/>
        <scheme val="minor"/>
      </rPr>
      <t>，扩产所需设备在本月基本到位安装调试完成并形成300万公里每月。2.</t>
    </r>
    <r>
      <rPr>
        <b/>
        <sz val="9"/>
        <color rgb="FFFF0000"/>
        <rFont val="宋体"/>
        <family val="3"/>
        <charset val="134"/>
        <scheme val="minor"/>
      </rPr>
      <t>未来在600万公里/月以内</t>
    </r>
    <r>
      <rPr>
        <sz val="9"/>
        <color theme="1"/>
        <rFont val="宋体"/>
        <family val="2"/>
        <charset val="134"/>
        <scheme val="minor"/>
      </rPr>
      <t>产能暂不需要安排新的生产基地。</t>
    </r>
    <r>
      <rPr>
        <sz val="9"/>
        <color theme="1"/>
        <rFont val="宋体"/>
        <family val="3"/>
        <charset val="134"/>
        <scheme val="minor"/>
      </rPr>
      <t>3.公司</t>
    </r>
    <r>
      <rPr>
        <b/>
        <sz val="9"/>
        <color rgb="FFFF0000"/>
        <rFont val="宋体"/>
        <family val="3"/>
        <charset val="134"/>
        <scheme val="minor"/>
      </rPr>
      <t>20线机已是行业内线数最多</t>
    </r>
    <r>
      <rPr>
        <sz val="9"/>
        <color theme="1"/>
        <rFont val="宋体"/>
        <family val="3"/>
        <charset val="134"/>
        <scheme val="minor"/>
      </rPr>
      <t>的机型，但线数越多，生产管理控制的要求也就越高，风险难度加大，所以暂未开展更多线数机型开发。</t>
    </r>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</si>
  <si>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</si>
  <si>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</si>
  <si>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</si>
  <si>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</si>
  <si>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</si>
  <si>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</si>
  <si>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</si>
  <si>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</si>
  <si>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</si>
  <si>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</si>
  <si>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</si>
  <si>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</si>
  <si>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</si>
  <si>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</si>
  <si>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</si>
  <si>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</si>
  <si>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</si>
  <si>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</si>
  <si>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</si>
  <si>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</si>
  <si>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</si>
  <si>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</si>
  <si>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</si>
  <si>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</si>
  <si>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</si>
  <si>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</si>
  <si>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</si>
  <si>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</si>
  <si>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</si>
  <si>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</si>
  <si>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</si>
  <si>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</si>
  <si>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</si>
  <si>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</si>
  <si>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</si>
  <si>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</si>
  <si>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</si>
  <si>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</si>
  <si>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</si>
  <si>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</si>
  <si>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</si>
  <si>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</si>
  <si>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</si>
  <si>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</si>
  <si>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</si>
  <si>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</si>
  <si>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</si>
  <si>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</si>
  <si>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</si>
  <si>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</si>
  <si>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</si>
  <si>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</si>
  <si>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</si>
  <si>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</si>
  <si>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</si>
  <si>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</si>
  <si>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</si>
  <si>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</si>
  <si>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</si>
  <si>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</si>
  <si>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</si>
  <si>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</si>
  <si>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</si>
  <si>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</si>
  <si>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</si>
  <si>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</si>
  <si>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</si>
  <si>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</si>
  <si>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</si>
  <si>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</si>
  <si>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</si>
  <si>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不分配不转增</t>
  </si>
  <si>
    <t>10派0.1元(含税)</t>
  </si>
  <si>
    <t>10派2元(含税)</t>
  </si>
  <si>
    <t>10派1.5元(含税)</t>
  </si>
  <si>
    <t>10派0.5元(含税)</t>
  </si>
  <si>
    <t>10派1元(含税)</t>
  </si>
  <si>
    <t>10派0.2元(含税)</t>
  </si>
  <si>
    <t>10派3.5元(含税)</t>
  </si>
  <si>
    <t>10派10元(含税)</t>
  </si>
  <si>
    <t>10派0.55元(含税)</t>
  </si>
  <si>
    <t>10派5元(含税)</t>
  </si>
  <si>
    <t>10派1.8元(含税)</t>
  </si>
  <si>
    <t>10派0.35元(含税)</t>
  </si>
  <si>
    <t>SZ301255</t>
  </si>
  <si>
    <t>通力科技</t>
  </si>
  <si>
    <t>4.67亿</t>
  </si>
  <si>
    <t>9055.16万</t>
  </si>
  <si>
    <t>5515.30万</t>
  </si>
  <si>
    <t>3724.15万</t>
  </si>
  <si>
    <t>2330.04万</t>
  </si>
  <si>
    <t>SZ301368</t>
  </si>
  <si>
    <t>丰立智能</t>
  </si>
  <si>
    <t>6079.26万</t>
  </si>
  <si>
    <t>2.85亿</t>
  </si>
  <si>
    <t>4801.99万</t>
  </si>
  <si>
    <t>6243.26万</t>
  </si>
  <si>
    <t>2951.94万</t>
  </si>
  <si>
    <t>10派0.3元(含税)</t>
  </si>
  <si>
    <t>10派3元(含税)</t>
  </si>
  <si>
    <t>10派2.5元(含税)</t>
  </si>
  <si>
    <t>10转4股派2.5元(含税)</t>
  </si>
  <si>
    <t>10转4股派3元(含税)</t>
  </si>
  <si>
    <t>10派6元(含税)</t>
  </si>
  <si>
    <t>1-0</t>
  </si>
  <si>
    <t>-1-1</t>
  </si>
  <si>
    <t>SZ301317</t>
  </si>
  <si>
    <t>鑫磊股份</t>
  </si>
  <si>
    <t>n/a</t>
  </si>
  <si>
    <t>-1-0</t>
  </si>
  <si>
    <t>21.96亿</t>
  </si>
  <si>
    <t>2-0</t>
  </si>
  <si>
    <t>1-1</t>
  </si>
  <si>
    <t>开始亏损</t>
  </si>
  <si>
    <t>-2-1</t>
  </si>
  <si>
    <t>3-1</t>
  </si>
  <si>
    <t>SZ301160</t>
  </si>
  <si>
    <t>翔楼新材</t>
  </si>
  <si>
    <t>10.63亿</t>
  </si>
  <si>
    <t>7.12亿</t>
  </si>
  <si>
    <t>6821.59万</t>
  </si>
  <si>
    <t>6177.10万</t>
  </si>
  <si>
    <t>5582.45万</t>
  </si>
  <si>
    <t>5.57亿</t>
  </si>
  <si>
    <t>1.预计一季报业绩：净利润3.700亿元至4.000亿元，增长幅度为29.99%至40.53% ；</t>
    <phoneticPr fontId="1" type="noConversion"/>
  </si>
  <si>
    <t>1.预计年报业绩：净利润13.80亿元至15.30亿元，增长幅度为80.82%至100.48%（第四季度不赚钱或者亏损）</t>
    <phoneticPr fontId="1" type="noConversion"/>
  </si>
  <si>
    <t>1415.37亿</t>
  </si>
  <si>
    <t>32.19亿</t>
  </si>
  <si>
    <t>10.56亿</t>
  </si>
  <si>
    <t>沈阳机床</t>
  </si>
  <si>
    <t>16.70亿</t>
  </si>
  <si>
    <t>2575.60万</t>
  </si>
  <si>
    <t>6.83亿</t>
  </si>
  <si>
    <t>23.28亿</t>
  </si>
  <si>
    <t>28.93亿</t>
  </si>
  <si>
    <t>-8983.07万</t>
  </si>
  <si>
    <t>7.93亿</t>
  </si>
  <si>
    <t>61.02亿</t>
  </si>
  <si>
    <t>4.26亿</t>
  </si>
  <si>
    <t>41.01亿</t>
  </si>
  <si>
    <t>19.52亿</t>
  </si>
  <si>
    <t>5.89亿</t>
  </si>
  <si>
    <t>91.77亿</t>
  </si>
  <si>
    <t>76.30亿</t>
  </si>
  <si>
    <t>4.75亿</t>
  </si>
  <si>
    <t>24.67亿</t>
  </si>
  <si>
    <t>34.36亿</t>
  </si>
  <si>
    <t>15.93亿</t>
  </si>
  <si>
    <t>6.18亿</t>
  </si>
  <si>
    <t>汇洲智能</t>
  </si>
  <si>
    <t>8510.46万</t>
  </si>
  <si>
    <t>44.17亿</t>
  </si>
  <si>
    <t>16.78亿</t>
  </si>
  <si>
    <t>32.66亿</t>
  </si>
  <si>
    <t>1166.17万</t>
  </si>
  <si>
    <t>4.49亿</t>
  </si>
  <si>
    <t>SZ002272</t>
  </si>
  <si>
    <t>川润股份</t>
  </si>
  <si>
    <t>8.16亿</t>
  </si>
  <si>
    <t>6.50亿</t>
  </si>
  <si>
    <t>15.31亿</t>
  </si>
  <si>
    <t>5124.00万</t>
  </si>
  <si>
    <t>6502.64万</t>
  </si>
  <si>
    <t>6470.99万</t>
  </si>
  <si>
    <t>4498.68万</t>
  </si>
  <si>
    <t>14.54亿</t>
  </si>
  <si>
    <t>21.73亿</t>
  </si>
  <si>
    <t>908.48万</t>
  </si>
  <si>
    <t>4.74亿</t>
  </si>
  <si>
    <t>19.55亿</t>
  </si>
  <si>
    <t>6.84亿</t>
  </si>
  <si>
    <t>126.10亿</t>
  </si>
  <si>
    <t>-2-0</t>
  </si>
  <si>
    <t>2772.34万</t>
  </si>
  <si>
    <t>484.68万</t>
  </si>
  <si>
    <t>-1.46亿</t>
  </si>
  <si>
    <t>-15.30亿</t>
  </si>
  <si>
    <t>SZ002530</t>
  </si>
  <si>
    <t>金财互联</t>
  </si>
  <si>
    <t>10.91亿</t>
  </si>
  <si>
    <t>5.71亿</t>
  </si>
  <si>
    <t>12.20亿</t>
  </si>
  <si>
    <t>10.11亿</t>
  </si>
  <si>
    <t>-3.97亿</t>
  </si>
  <si>
    <t>-12.44亿</t>
  </si>
  <si>
    <t>-6.79亿</t>
  </si>
  <si>
    <t>18.30亿</t>
  </si>
  <si>
    <t>18.75亿</t>
  </si>
  <si>
    <t>5.16亿</t>
  </si>
  <si>
    <t>-3888.45万</t>
  </si>
  <si>
    <t>8.04亿</t>
  </si>
  <si>
    <t>14.76亿</t>
  </si>
  <si>
    <t>70.59亿</t>
  </si>
  <si>
    <t>76.35亿</t>
  </si>
  <si>
    <t>11.87亿</t>
  </si>
  <si>
    <t>3-0</t>
  </si>
  <si>
    <t>11.94亿</t>
  </si>
  <si>
    <t>19.08亿</t>
  </si>
  <si>
    <t>5.60亿</t>
  </si>
  <si>
    <t>9.78亿</t>
  </si>
  <si>
    <t>6636.36万</t>
  </si>
  <si>
    <t>10派0.7元(含税)</t>
  </si>
  <si>
    <t>5541.79万</t>
  </si>
  <si>
    <t>4859.24万</t>
  </si>
  <si>
    <t>9729.82万</t>
  </si>
  <si>
    <t>45.27亿</t>
  </si>
  <si>
    <t>5.21亿</t>
  </si>
  <si>
    <t>4.41亿</t>
  </si>
  <si>
    <t>9.00亿</t>
  </si>
  <si>
    <t>393.42万</t>
  </si>
  <si>
    <t>2.67亿</t>
  </si>
  <si>
    <t>52.64亿</t>
  </si>
  <si>
    <t>9.79亿</t>
  </si>
  <si>
    <t>4.66亿</t>
  </si>
  <si>
    <t>SZ300157</t>
  </si>
  <si>
    <t>新锦动力</t>
  </si>
  <si>
    <t>-1.08亿</t>
  </si>
  <si>
    <t>2460.00万</t>
  </si>
  <si>
    <t>4.21亿</t>
  </si>
  <si>
    <t>10.64亿</t>
  </si>
  <si>
    <t>14.88亿</t>
  </si>
  <si>
    <t>-7.19亿</t>
  </si>
  <si>
    <t>-12.09亿</t>
  </si>
  <si>
    <t>-12.08亿</t>
  </si>
  <si>
    <t>2619.51万</t>
  </si>
  <si>
    <t>16.63亿</t>
  </si>
  <si>
    <t>6.69亿</t>
  </si>
  <si>
    <t>9135.99万</t>
  </si>
  <si>
    <t>16.05亿</t>
  </si>
  <si>
    <t>-2.23亿</t>
  </si>
  <si>
    <t>11.90亿</t>
  </si>
  <si>
    <t>21.15亿</t>
  </si>
  <si>
    <t>37.54亿</t>
  </si>
  <si>
    <t>6430.26万</t>
  </si>
  <si>
    <t>4.58亿</t>
  </si>
  <si>
    <t>-1.53亿</t>
  </si>
  <si>
    <t>14.09亿</t>
  </si>
  <si>
    <t>1000.00万</t>
  </si>
  <si>
    <t>851.58万</t>
  </si>
  <si>
    <t>6234.37万</t>
  </si>
  <si>
    <t>6.97亿</t>
  </si>
  <si>
    <t>20.54亿</t>
  </si>
  <si>
    <t>6.13亿</t>
  </si>
  <si>
    <t>12.15亿</t>
  </si>
  <si>
    <t>3.05亿</t>
  </si>
  <si>
    <t>4.07亿</t>
  </si>
  <si>
    <t>1283.07万</t>
  </si>
  <si>
    <t>2584.29万</t>
  </si>
  <si>
    <t>10派1.6元(含税)</t>
  </si>
  <si>
    <t>3.36亿</t>
  </si>
  <si>
    <t>4721.14万</t>
  </si>
  <si>
    <t>7.16亿</t>
  </si>
  <si>
    <t>6147.43万</t>
  </si>
  <si>
    <t>9723.19万</t>
  </si>
  <si>
    <t>10派4元(含税)</t>
  </si>
  <si>
    <t>3.96亿</t>
  </si>
  <si>
    <t>10.13亿</t>
  </si>
  <si>
    <t>14.73亿</t>
  </si>
  <si>
    <t>8.06亿</t>
  </si>
  <si>
    <t>5720.13万</t>
  </si>
  <si>
    <t>9523.94万</t>
  </si>
  <si>
    <t>10派2.3元(含税)</t>
  </si>
  <si>
    <t>10.44亿</t>
  </si>
  <si>
    <t>4528.31万</t>
  </si>
  <si>
    <t>5.74亿</t>
  </si>
  <si>
    <t>-5156.50万</t>
  </si>
  <si>
    <t>5.42亿</t>
  </si>
  <si>
    <t>8.09亿</t>
  </si>
  <si>
    <t>6119.50万</t>
  </si>
  <si>
    <t>11.49亿</t>
  </si>
  <si>
    <t>7.95亿</t>
  </si>
  <si>
    <t>507.59万</t>
  </si>
  <si>
    <t>13.36亿</t>
  </si>
  <si>
    <t>20.94亿</t>
  </si>
  <si>
    <t>2217.18万</t>
  </si>
  <si>
    <t>4169.90万</t>
  </si>
  <si>
    <t>3009.51万</t>
  </si>
  <si>
    <t>500.00万</t>
  </si>
  <si>
    <t>5378.07万</t>
  </si>
  <si>
    <t>6571.30万</t>
  </si>
  <si>
    <t>10派5.5元(含税)</t>
  </si>
  <si>
    <t>15.71亿</t>
  </si>
  <si>
    <t>4605.39万</t>
  </si>
  <si>
    <t>3.32亿</t>
  </si>
  <si>
    <t>SZ301252</t>
  </si>
  <si>
    <t>同星科技</t>
  </si>
  <si>
    <t>8431.50万</t>
  </si>
  <si>
    <t>6976.52万</t>
  </si>
  <si>
    <t>4801.96万</t>
  </si>
  <si>
    <t>4120.60万</t>
  </si>
  <si>
    <t>2137.26万</t>
  </si>
  <si>
    <t>SZ301261</t>
  </si>
  <si>
    <t>恒工精密</t>
  </si>
  <si>
    <t>6056.66万</t>
  </si>
  <si>
    <t>4015.15万</t>
  </si>
  <si>
    <t>7554.94万</t>
  </si>
  <si>
    <t>6.89亿</t>
  </si>
  <si>
    <t>SZ301272</t>
  </si>
  <si>
    <t>英华特</t>
  </si>
  <si>
    <t>7036.56万</t>
  </si>
  <si>
    <t>4869.43万</t>
  </si>
  <si>
    <t>4912.19万</t>
  </si>
  <si>
    <t>3131.30万</t>
  </si>
  <si>
    <t>2062.17万</t>
  </si>
  <si>
    <t>9.92亿</t>
  </si>
  <si>
    <t>4.39亿</t>
  </si>
  <si>
    <t>5034.95万</t>
  </si>
  <si>
    <t>13.81亿</t>
  </si>
  <si>
    <t>7692.85万</t>
  </si>
  <si>
    <t>8.61亿</t>
  </si>
  <si>
    <t>7.32亿</t>
  </si>
  <si>
    <t>7.53亿</t>
  </si>
  <si>
    <t>6039.30万</t>
  </si>
  <si>
    <t>6673.61万</t>
  </si>
  <si>
    <t>5380.03万</t>
  </si>
  <si>
    <t>5271.86万</t>
  </si>
  <si>
    <t>SZ301353</t>
  </si>
  <si>
    <t>普莱得</t>
  </si>
  <si>
    <t>9513.11万</t>
  </si>
  <si>
    <t>6774.74万</t>
  </si>
  <si>
    <t>3700.39万</t>
  </si>
  <si>
    <t>3210.12万</t>
  </si>
  <si>
    <t>4489.90万</t>
  </si>
  <si>
    <t>SZ301399</t>
  </si>
  <si>
    <t>英特科技</t>
  </si>
  <si>
    <t>8601.98万</t>
  </si>
  <si>
    <t>6159.98万</t>
  </si>
  <si>
    <t>4368.32万</t>
  </si>
  <si>
    <t>894.81万</t>
  </si>
  <si>
    <t>SZ301448</t>
  </si>
  <si>
    <t>开创电气</t>
  </si>
  <si>
    <t>6.47亿</t>
  </si>
  <si>
    <t>5911.98万</t>
  </si>
  <si>
    <t>6749.29万</t>
  </si>
  <si>
    <t>9134.82万</t>
  </si>
  <si>
    <t>6322.86万</t>
  </si>
  <si>
    <t>3006.48万</t>
  </si>
  <si>
    <t>SZ301525</t>
  </si>
  <si>
    <t>儒竞科技</t>
  </si>
  <si>
    <t>12.90亿</t>
  </si>
  <si>
    <t>3253.45万</t>
  </si>
  <si>
    <t>942.93万</t>
  </si>
  <si>
    <t>196.29万</t>
  </si>
  <si>
    <t>3.16亿</t>
  </si>
  <si>
    <t>SZ301548</t>
  </si>
  <si>
    <t>9089.49万</t>
  </si>
  <si>
    <t>6323.89万</t>
  </si>
  <si>
    <t>4607.74万</t>
  </si>
  <si>
    <t>3333.43万</t>
  </si>
  <si>
    <t>3032.15万</t>
  </si>
  <si>
    <t>SZ301559</t>
  </si>
  <si>
    <t>中集环科</t>
  </si>
  <si>
    <t>55.39亿</t>
  </si>
  <si>
    <t>37.26亿</t>
  </si>
  <si>
    <t>-1.17亿</t>
  </si>
  <si>
    <t>24.10亿</t>
  </si>
  <si>
    <t>3081.89万</t>
  </si>
  <si>
    <t>3745.66万</t>
  </si>
  <si>
    <t>-3996.23万</t>
  </si>
  <si>
    <t>-648.71万</t>
  </si>
  <si>
    <t>-599.00万</t>
  </si>
  <si>
    <t>13.72亿</t>
  </si>
  <si>
    <t>23.87亿</t>
  </si>
  <si>
    <t>27.17亿</t>
  </si>
  <si>
    <t>9207.43万</t>
  </si>
  <si>
    <t>107.66亿</t>
  </si>
  <si>
    <t>26.63亿</t>
  </si>
  <si>
    <t>31.77亿</t>
  </si>
  <si>
    <t>7.96亿</t>
  </si>
  <si>
    <t>-7948.84万</t>
  </si>
  <si>
    <t>5339.16万</t>
  </si>
  <si>
    <t>27.62亿</t>
  </si>
  <si>
    <t>7375.23万</t>
  </si>
  <si>
    <t>SH603270</t>
  </si>
  <si>
    <t>金帝股份</t>
  </si>
  <si>
    <t>10.97亿</t>
  </si>
  <si>
    <t>5450.44万</t>
  </si>
  <si>
    <t>52.13亿</t>
  </si>
  <si>
    <t>-2.55亿</t>
  </si>
  <si>
    <t>50.87亿</t>
  </si>
  <si>
    <t>21.98亿</t>
  </si>
  <si>
    <t>2702.80万</t>
  </si>
  <si>
    <t>-1.26亿</t>
  </si>
  <si>
    <t>6.09亿</t>
  </si>
  <si>
    <t>10.00万</t>
  </si>
  <si>
    <t>5382.66万</t>
  </si>
  <si>
    <t>17.35亿</t>
  </si>
  <si>
    <t>32.00亿</t>
  </si>
  <si>
    <t>40.59亿</t>
  </si>
  <si>
    <t>3650.22万</t>
  </si>
  <si>
    <t>8.01亿</t>
  </si>
  <si>
    <t>26.97亿</t>
  </si>
  <si>
    <t>2359.35万</t>
  </si>
  <si>
    <t>6282.16万</t>
  </si>
  <si>
    <t>-1.19亿</t>
  </si>
  <si>
    <t>5.85亿</t>
  </si>
  <si>
    <t>10.55亿</t>
  </si>
  <si>
    <t>7949.88万</t>
  </si>
  <si>
    <t>3702.52万</t>
  </si>
  <si>
    <t>8167.84万</t>
  </si>
  <si>
    <t>871.82万</t>
  </si>
  <si>
    <t>SH688433</t>
  </si>
  <si>
    <t>4096.15万</t>
  </si>
  <si>
    <t>1795.05万</t>
  </si>
  <si>
    <t>4763.73万</t>
  </si>
  <si>
    <t>11.36亿</t>
  </si>
  <si>
    <t>16.69亿</t>
  </si>
  <si>
    <t>8903.69万</t>
  </si>
  <si>
    <t>9.15亿</t>
  </si>
  <si>
    <t>9052.38万</t>
  </si>
  <si>
    <t>11.63亿</t>
  </si>
  <si>
    <t>33.40亿</t>
  </si>
  <si>
    <t>29.05亿</t>
  </si>
  <si>
    <t>10.98亿</t>
  </si>
  <si>
    <t>崇德科技</t>
  </si>
  <si>
    <t>12.82亿</t>
  </si>
  <si>
    <t>18.79亿</t>
  </si>
  <si>
    <t>11.17亿</t>
  </si>
  <si>
    <t>2.37亿</t>
  </si>
  <si>
    <t>9.19亿</t>
  </si>
  <si>
    <t>8.17亿</t>
  </si>
  <si>
    <t>SZ001306</t>
  </si>
  <si>
    <t>8796.45万</t>
  </si>
  <si>
    <t>5.43亿</t>
  </si>
  <si>
    <t>8817.60万</t>
  </si>
  <si>
    <t>4215.12万</t>
  </si>
  <si>
    <t>2755.71万</t>
  </si>
  <si>
    <t>6.29亿</t>
  </si>
  <si>
    <t>15.79亿</t>
  </si>
  <si>
    <t>10.00亿</t>
  </si>
  <si>
    <t>8.83亿</t>
  </si>
  <si>
    <t>15.45亿</t>
  </si>
  <si>
    <t>10.10亿</t>
  </si>
  <si>
    <t>6.80亿</t>
  </si>
  <si>
    <t>2.64亿</t>
  </si>
  <si>
    <t>6.24亿</t>
  </si>
  <si>
    <t>15.28亿</t>
  </si>
  <si>
    <t>9.60亿</t>
  </si>
  <si>
    <t>10.18亿</t>
  </si>
  <si>
    <t>13.00亿</t>
  </si>
  <si>
    <t>12.56亿</t>
  </si>
  <si>
    <t>-1.94亿</t>
  </si>
  <si>
    <t>80.00万</t>
  </si>
  <si>
    <t>6.52亿</t>
  </si>
  <si>
    <t>-8.11亿</t>
  </si>
  <si>
    <t>3.73亿</t>
  </si>
  <si>
    <t>10.93亿</t>
  </si>
  <si>
    <t>15.48亿</t>
  </si>
  <si>
    <t>-1.20亿</t>
  </si>
  <si>
    <t>24.15亿</t>
  </si>
  <si>
    <t>80.00亿</t>
  </si>
  <si>
    <t>2.52亿</t>
  </si>
  <si>
    <t>14.04亿</t>
  </si>
  <si>
    <t>12.25亿</t>
  </si>
  <si>
    <t>10.74亿</t>
  </si>
  <si>
    <t>576.26万</t>
  </si>
  <si>
    <t>8.23亿</t>
  </si>
  <si>
    <t>9.89亿</t>
  </si>
  <si>
    <t>7.33亿</t>
  </si>
  <si>
    <t>5.22亿</t>
  </si>
  <si>
    <t>双飞集团</t>
  </si>
  <si>
    <t>-1.23亿</t>
  </si>
  <si>
    <t>4.44亿</t>
  </si>
  <si>
    <t>7000.00万</t>
  </si>
  <si>
    <t>6.64亿</t>
  </si>
  <si>
    <t>8728.63万</t>
  </si>
  <si>
    <t>6.62亿</t>
  </si>
  <si>
    <t>12.83亿</t>
  </si>
  <si>
    <t>9.76亿</t>
  </si>
  <si>
    <t>5.50亿</t>
  </si>
  <si>
    <t>-1.29亿</t>
  </si>
  <si>
    <t>28.37亿</t>
  </si>
  <si>
    <t>5.04亿</t>
  </si>
  <si>
    <t>-1.59亿</t>
  </si>
  <si>
    <t>10.16亿</t>
  </si>
  <si>
    <t>14.97亿</t>
  </si>
  <si>
    <t>-1.57亿</t>
  </si>
  <si>
    <t>20.58亿</t>
  </si>
  <si>
    <t>21.83亿</t>
  </si>
  <si>
    <t>23.67亿</t>
  </si>
  <si>
    <t>17.55亿</t>
  </si>
  <si>
    <t>17.40亿</t>
  </si>
  <si>
    <t>8.24亿</t>
  </si>
  <si>
    <t>9.57亿</t>
  </si>
  <si>
    <t>18.10亿</t>
  </si>
  <si>
    <t>9.28亿</t>
  </si>
  <si>
    <t>SH688648</t>
  </si>
  <si>
    <t>中邮科技</t>
  </si>
  <si>
    <t>22.19亿</t>
  </si>
  <si>
    <t>7910.57万</t>
  </si>
  <si>
    <t>14.25亿</t>
  </si>
  <si>
    <t>9369.06万</t>
  </si>
  <si>
    <t>4375.13万</t>
  </si>
  <si>
    <t>5049.12万</t>
  </si>
  <si>
    <t>8.46亿</t>
  </si>
  <si>
    <t>20.79亿</t>
  </si>
  <si>
    <t>-3-1</t>
  </si>
  <si>
    <t>-3-0</t>
  </si>
  <si>
    <t>夏厦精密</t>
  </si>
  <si>
    <t>SZ001379</t>
  </si>
  <si>
    <t>腾达科技</t>
  </si>
  <si>
    <t>13.62亿</t>
  </si>
  <si>
    <t>21.87亿</t>
  </si>
  <si>
    <t>-4-1</t>
  </si>
  <si>
    <t>-4-0</t>
  </si>
  <si>
    <t>SH603082</t>
  </si>
  <si>
    <t>北自科技</t>
  </si>
  <si>
    <r>
      <t>1.科德数控自 2008 年设立以来，一直集中资源</t>
    </r>
    <r>
      <rPr>
        <b/>
        <sz val="9"/>
        <color rgb="FFFF0000"/>
        <rFont val="宋体"/>
        <family val="3"/>
        <charset val="134"/>
        <scheme val="minor"/>
      </rPr>
      <t>聚焦航空、航天产业的战略</t>
    </r>
    <r>
      <rPr>
        <sz val="9"/>
        <color theme="1"/>
        <rFont val="宋体"/>
        <family val="2"/>
        <charset val="134"/>
        <scheme val="minor"/>
      </rPr>
      <t>刚需进行重点突破;航空航 天领域销售收入 9326 万元，占营收比重为47.07%;2.2025年500台产能目标是根据市场、公司自身发展的情况进行规划的;按200万一台计算，大概10亿营收，按20%净利计算，2025年</t>
    </r>
    <r>
      <rPr>
        <sz val="9"/>
        <color rgb="FFFF0000"/>
        <rFont val="宋体"/>
        <family val="3"/>
        <charset val="134"/>
        <scheme val="minor"/>
      </rPr>
      <t>大概2亿利润</t>
    </r>
    <r>
      <rPr>
        <sz val="9"/>
        <color theme="1"/>
        <rFont val="宋体"/>
        <family val="2"/>
        <charset val="134"/>
        <scheme val="minor"/>
      </rPr>
      <t>，再配合PE计算市值；3.公司自研自制的数控系统对标西门子840D，其功能已达到西门子840D的95.85%；单独售价不到西门子840D平均售价的50%，标准产品平均毛利率在50%以上;4.五轴联动数控机床是解决航天、航空发动机叶轮、叶盘、叶片、船用螺旋桨等</t>
    </r>
    <r>
      <rPr>
        <sz val="9"/>
        <color rgb="FFFF0000"/>
        <rFont val="宋体"/>
        <family val="3"/>
        <charset val="134"/>
        <scheme val="minor"/>
      </rPr>
      <t>关键工业产品切削加工的唯一手段</t>
    </r>
    <r>
      <rPr>
        <sz val="9"/>
        <rFont val="宋体"/>
        <family val="3"/>
        <charset val="134"/>
        <scheme val="minor"/>
      </rPr>
      <t>。5.预计年报业绩：</t>
    </r>
    <r>
      <rPr>
        <sz val="9"/>
        <color rgb="FFFF0000"/>
        <rFont val="宋体"/>
        <family val="3"/>
        <charset val="134"/>
        <scheme val="minor"/>
      </rPr>
      <t>净利润1.000亿元至1.100亿元，增长幅度为65.42%至81.96%</t>
    </r>
    <r>
      <rPr>
        <sz val="9"/>
        <rFont val="宋体"/>
        <family val="3"/>
        <charset val="134"/>
        <scheme val="minor"/>
      </rPr>
      <t>。原因：（一）主营业务影响公司聚焦五轴联动数控机床产品的研发、生产和销售。2023年公司订单快速增长，产品销售多元化，除传统五轴立式加工中心外，本年度五轴卧式铣车复合加工中心销量占比明显提升，市场需求旺盛。新机型高速叶尖磨产品受市场青睐。 　　随着公司经营规模的快速增长，规模效应逐步显现，销售毛利率显著提升，费用率逐步下降，盈利水平提升。故整体净利润及扣除非经常性损益后的净利润同比增速显著，公司经营业绩保持了较好增长。（二）非经常性损益影响2023年上半年公司通过二级市场转让了持有的龙芯中科技术股份有限公司的股票，取得投资收益986.45万元，对当期的净利润有正向的影响。</t>
    </r>
    <phoneticPr fontId="1" type="noConversion"/>
  </si>
  <si>
    <t xml:space="preserve">
</t>
    <phoneticPr fontId="1" type="noConversion"/>
  </si>
  <si>
    <t xml:space="preserve">
</t>
    <phoneticPr fontId="1" type="noConversion"/>
  </si>
  <si>
    <t>4-0</t>
  </si>
  <si>
    <t>4-1</t>
  </si>
  <si>
    <r>
      <t xml:space="preserve">1.2018 年我国低档数控机床国产化率约 82%， 中档数控机床国产化率约 65%， </t>
    </r>
    <r>
      <rPr>
        <sz val="9"/>
        <color rgb="FFFF0000"/>
        <rFont val="宋体"/>
        <family val="3"/>
        <charset val="134"/>
        <scheme val="minor"/>
      </rPr>
      <t>高档数控机床国产化率仅约 6%</t>
    </r>
    <r>
      <rPr>
        <sz val="9"/>
        <color theme="1"/>
        <rFont val="宋体"/>
        <family val="2"/>
        <charset val="134"/>
        <scheme val="minor"/>
      </rPr>
      <t>;2.在国内市场上，中高端滚珠丝杠市场 主要由德国和日本企业占据，</t>
    </r>
    <r>
      <rPr>
        <b/>
        <sz val="9"/>
        <color rgb="FFFF0000"/>
        <rFont val="宋体"/>
        <family val="3"/>
        <charset val="134"/>
        <scheme val="minor"/>
      </rPr>
      <t>THK、NSK、力士乐</t>
    </r>
    <r>
      <rPr>
        <sz val="9"/>
        <color theme="1"/>
        <rFont val="宋体"/>
        <family val="2"/>
        <charset val="134"/>
        <scheme val="minor"/>
      </rPr>
      <t>等国 际企业可以占据高端市场 90%的 市场份额</t>
    </r>
    <phoneticPr fontId="1" type="noConversion"/>
  </si>
  <si>
    <r>
      <t>1.公司是国内唯一的全系列（5Kg-800Kg）RV减速器产品供应商，特别是在</t>
    </r>
    <r>
      <rPr>
        <sz val="9"/>
        <color rgb="FFFF0000"/>
        <rFont val="宋体"/>
        <family val="3"/>
        <charset val="134"/>
        <scheme val="minor"/>
      </rPr>
      <t>中大规格领域</t>
    </r>
    <r>
      <rPr>
        <sz val="9"/>
        <color theme="1"/>
        <rFont val="宋体"/>
        <family val="2"/>
        <charset val="134"/>
        <scheme val="minor"/>
      </rPr>
      <t>的优势明显。公司的RV减速器目前在技术参数指标上，已经</t>
    </r>
    <r>
      <rPr>
        <b/>
        <sz val="9"/>
        <color rgb="FFFF0000"/>
        <rFont val="宋体"/>
        <family val="3"/>
        <charset val="134"/>
        <scheme val="minor"/>
      </rPr>
      <t>达到与国际品牌相当的水平</t>
    </r>
    <r>
      <rPr>
        <sz val="9"/>
        <color theme="1"/>
        <rFont val="宋体"/>
        <family val="2"/>
        <charset val="134"/>
        <scheme val="minor"/>
      </rPr>
      <t>；2.公司明 确 了 “</t>
    </r>
    <r>
      <rPr>
        <sz val="9"/>
        <color rgb="FFFF0000"/>
        <rFont val="宋体"/>
        <family val="3"/>
        <charset val="134"/>
        <scheme val="minor"/>
      </rPr>
      <t>5221</t>
    </r>
    <r>
      <rPr>
        <sz val="9"/>
        <color theme="1"/>
        <rFont val="宋体"/>
        <family val="2"/>
        <charset val="134"/>
        <scheme val="minor"/>
      </rPr>
      <t>” 发展目标，即到“十四五”末，实现</t>
    </r>
    <r>
      <rPr>
        <sz val="9"/>
        <color rgb="FFFF0000"/>
        <rFont val="宋体"/>
        <family val="3"/>
        <charset val="134"/>
        <scheme val="minor"/>
      </rPr>
      <t>主机板块收入占营业收入的50%，高端制造板块收入占营业收入的 20%，核心零部件板块收入占营业收入的 20%，智能制造板块收入占营业收入的10%</t>
    </r>
    <r>
      <rPr>
        <sz val="9"/>
        <color theme="1"/>
        <rFont val="宋体"/>
        <family val="2"/>
        <charset val="134"/>
        <scheme val="minor"/>
      </rPr>
      <t>。</t>
    </r>
    <r>
      <rPr>
        <sz val="9"/>
        <color theme="1"/>
        <rFont val="宋体"/>
        <family val="3"/>
        <charset val="134"/>
        <scheme val="minor"/>
      </rPr>
      <t>3.公司于 2022 年开启新一轮融资项目，积极布局</t>
    </r>
    <r>
      <rPr>
        <sz val="9"/>
        <color rgb="FFFF0000"/>
        <rFont val="宋体"/>
        <family val="3"/>
        <charset val="134"/>
        <scheme val="minor"/>
      </rPr>
      <t>滚珠丝杠、汽车零部件及刀具</t>
    </r>
    <r>
      <rPr>
        <sz val="9"/>
        <color theme="1"/>
        <rFont val="宋体"/>
        <family val="3"/>
        <charset val="134"/>
        <scheme val="minor"/>
      </rPr>
      <t>产品扩 产。</t>
    </r>
    <phoneticPr fontId="1" type="noConversion"/>
  </si>
  <si>
    <t>0.减速器头部企业，布局三大精密减速器。公司目前已实现三大精密减速器的量产：2008 年推出高精度行星减速器，2012 年开发RV减速器，2016 年开发谐波减速器。1.问：请问公司认为有哪些因素会导致精密减速器在工业机器人领域的国产替代进程被加快？答：（1）随着国内工业机器人厂家的迅速发展，市场竞争也将更加激烈，工业机器人厂家如果想要降成本，零部件国产化会是首选；（2）经过国内减速器生产厂家多年努力和不断的科技创新，国产减速器的质量也在不断提升，未来进口减速器的质量优势将不再那么明显；（3）工业机器人市场的前景也是非常广阔的，未来的增量将会很大，相比进口减速器价格较高、交货期长、服务时效性等问题，相信未来减速器实现国产替代是一个必然的趋势。</t>
    <phoneticPr fontId="1" type="noConversion"/>
  </si>
  <si>
    <r>
      <t>1.问：公司的RV减速器和谐波减速器和国外标的公司对比怎么样？答：公司的产品在精度、刚度、噪音等都已经做的比较好了，但和纳博特斯克和哈默纳科两家标杆企业相比，我们认为在实际负载寿命和大批量产品的稳定性上，可能还存在一定的差距。2.问：RV和谐波都是手动组装的吗？答：目前两个产品的装配都是手动组装的，因为产品零件较多，装配精度要求高，难度也较高，自动化装配产线没有办法完成这个装配工作。2.日企</t>
    </r>
    <r>
      <rPr>
        <b/>
        <sz val="9"/>
        <color rgb="FFFF0000"/>
        <rFont val="宋体"/>
        <family val="3"/>
        <charset val="134"/>
        <scheme val="minor"/>
      </rPr>
      <t>纳博特斯克、 哈默纳科</t>
    </r>
    <r>
      <rPr>
        <sz val="9"/>
        <color theme="1"/>
        <rFont val="宋体"/>
        <family val="2"/>
        <charset val="134"/>
        <scheme val="minor"/>
      </rPr>
      <t>分别占据全球 RV/谐波减速器 61%/82%的市场份额。3.分产品毛利率来看，减速电机维持在30%左右；减速器则由2013年的</t>
    </r>
    <r>
      <rPr>
        <sz val="9"/>
        <color rgb="FFFF0000"/>
        <rFont val="宋体"/>
        <family val="3"/>
        <charset val="134"/>
        <scheme val="minor"/>
      </rPr>
      <t>56.9%下滑至 2022 年的12.7%</t>
    </r>
    <r>
      <rPr>
        <sz val="9"/>
        <color theme="1"/>
        <rFont val="宋体"/>
        <family val="2"/>
        <charset val="134"/>
        <scheme val="minor"/>
      </rPr>
      <t>；</t>
    </r>
    <r>
      <rPr>
        <sz val="9"/>
        <color theme="1"/>
        <rFont val="宋体"/>
        <family val="3"/>
        <charset val="134"/>
        <scheme val="minor"/>
      </rPr>
      <t>4.行星减速 器领域，科峰智能为国内市占率靠前的大陆本土品牌；</t>
    </r>
    <r>
      <rPr>
        <sz val="9"/>
        <color rgb="FFFF0000"/>
        <rFont val="宋体"/>
        <family val="3"/>
        <charset val="134"/>
        <scheme val="minor"/>
      </rPr>
      <t>RV 减速器领域，双环、中大力德、秦川机床</t>
    </r>
    <r>
      <rPr>
        <sz val="9"/>
        <color theme="1"/>
        <rFont val="宋体"/>
        <family val="3"/>
        <charset val="134"/>
        <scheme val="minor"/>
      </rPr>
      <t>等众多国产品牌快速导入；谐波减速器领域，2022年</t>
    </r>
    <r>
      <rPr>
        <sz val="9"/>
        <color rgb="FFFF0000"/>
        <rFont val="宋体"/>
        <family val="3"/>
        <charset val="134"/>
        <scheme val="minor"/>
      </rPr>
      <t>绿的谐波国内市占率为 26%</t>
    </r>
    <r>
      <rPr>
        <sz val="9"/>
        <color theme="1"/>
        <rFont val="宋体"/>
        <family val="3"/>
        <charset val="134"/>
        <scheme val="minor"/>
      </rPr>
      <t>。</t>
    </r>
    <phoneticPr fontId="1" type="noConversion"/>
  </si>
  <si>
    <t>5-1</t>
  </si>
  <si>
    <t>-5-1</t>
  </si>
  <si>
    <r>
      <t>1.3D打印技术在多场景已具备使用优势，但其与传统精密加工相比还存在</t>
    </r>
    <r>
      <rPr>
        <sz val="9"/>
        <color rgb="FFFF0000"/>
        <rFont val="宋体"/>
        <family val="3"/>
        <charset val="134"/>
        <scheme val="minor"/>
      </rPr>
      <t>加工精度、 表面粗糙</t>
    </r>
    <r>
      <rPr>
        <sz val="9"/>
        <color theme="1"/>
        <rFont val="宋体"/>
        <family val="2"/>
        <charset val="134"/>
        <scheme val="minor"/>
      </rPr>
      <t>度等方面的差距,</t>
    </r>
    <r>
      <rPr>
        <sz val="9"/>
        <color rgb="FFFF0000"/>
        <rFont val="宋体"/>
        <family val="3"/>
        <charset val="134"/>
        <scheme val="minor"/>
      </rPr>
      <t>大批量制造</t>
    </r>
    <r>
      <rPr>
        <sz val="9"/>
        <color theme="1"/>
        <rFont val="宋体"/>
        <family val="2"/>
        <charset val="134"/>
        <scheme val="minor"/>
      </rPr>
      <t>方面存在劣势，未来两种技术将长期并存。2.航空航天领域领域在公司收入结构中占比均过半，且收入复合增长率达到138.38%。航空航天企业的价格低敏感度和对复杂精密、大型构件制造的高要求，使得增材制造技术在航空航天领域率先得到验证和应用，参考</t>
    </r>
    <r>
      <rPr>
        <b/>
        <sz val="9"/>
        <color rgb="FFFF0000"/>
        <rFont val="宋体"/>
        <family val="3"/>
        <charset val="134"/>
        <scheme val="minor"/>
      </rPr>
      <t>国防预算增速7.2%</t>
    </r>
    <r>
      <rPr>
        <sz val="9"/>
        <color theme="1"/>
        <rFont val="宋体"/>
        <family val="2"/>
        <charset val="134"/>
        <scheme val="minor"/>
      </rPr>
      <t>；</t>
    </r>
    <r>
      <rPr>
        <sz val="9"/>
        <color theme="1"/>
        <rFont val="宋体"/>
        <family val="3"/>
        <charset val="134"/>
        <scheme val="minor"/>
      </rPr>
      <t>3.公司金属3D打印设备主要竞争对手包括</t>
    </r>
    <r>
      <rPr>
        <sz val="9"/>
        <color rgb="FFFF0000"/>
        <rFont val="宋体"/>
        <family val="3"/>
        <charset val="134"/>
        <scheme val="minor"/>
      </rPr>
      <t xml:space="preserve"> EOS、SLM Solutions、铂力特</t>
    </r>
    <r>
      <rPr>
        <sz val="9"/>
        <color theme="1"/>
        <rFont val="宋体"/>
        <family val="3"/>
        <charset val="134"/>
        <scheme val="minor"/>
      </rPr>
      <t>；高分子 3D印设备主要竞争对手包括</t>
    </r>
    <r>
      <rPr>
        <sz val="9"/>
        <color rgb="FFFF0000"/>
        <rFont val="宋体"/>
        <family val="3"/>
        <charset val="134"/>
        <scheme val="minor"/>
      </rPr>
      <t>EOS、HP、3D Systems</t>
    </r>
    <r>
      <rPr>
        <sz val="9"/>
        <color theme="1"/>
        <rFont val="宋体"/>
        <family val="3"/>
        <charset val="134"/>
        <scheme val="minor"/>
      </rPr>
      <t>。4.主要零部件进口依赖性强，国产零件替代需求高。3D打印设备所需主要元器件包括振镜、激光器。公司</t>
    </r>
    <r>
      <rPr>
        <sz val="9"/>
        <color rgb="FFFF0000"/>
        <rFont val="宋体"/>
        <family val="3"/>
        <charset val="134"/>
        <scheme val="minor"/>
      </rPr>
      <t>激光器主要从美国、德国进口，振镜主要从德国</t>
    </r>
    <r>
      <rPr>
        <sz val="9"/>
        <color theme="1"/>
        <rFont val="宋体"/>
        <family val="3"/>
        <charset val="134"/>
        <scheme val="minor"/>
      </rPr>
      <t>进口。</t>
    </r>
    <phoneticPr fontId="1" type="noConversion"/>
  </si>
  <si>
    <r>
      <t>1.金属增材制造可使两种甚至多种不具备冶金结合性的材料</t>
    </r>
    <r>
      <rPr>
        <sz val="9"/>
        <color rgb="FFFF0000"/>
        <rFont val="宋体"/>
        <family val="3"/>
        <charset val="134"/>
        <scheme val="minor"/>
      </rPr>
      <t>形成新合金</t>
    </r>
    <r>
      <rPr>
        <sz val="9"/>
        <color theme="1"/>
        <rFont val="宋体"/>
        <family val="2"/>
        <charset val="134"/>
        <scheme val="minor"/>
      </rPr>
      <t>。2.金属打印装备价格有可能是非金属装备的</t>
    </r>
    <r>
      <rPr>
        <b/>
        <sz val="9"/>
        <color rgb="FFFF0000"/>
        <rFont val="宋体"/>
        <family val="3"/>
        <charset val="134"/>
        <scheme val="minor"/>
      </rPr>
      <t>10倍左右</t>
    </r>
    <r>
      <rPr>
        <sz val="9"/>
        <color theme="1"/>
        <rFont val="宋体"/>
        <family val="2"/>
        <charset val="134"/>
        <scheme val="minor"/>
      </rPr>
      <t>。</t>
    </r>
    <r>
      <rPr>
        <sz val="9"/>
        <color theme="1"/>
        <rFont val="宋体"/>
        <family val="3"/>
        <charset val="134"/>
        <scheme val="minor"/>
      </rPr>
      <t>3.公司的 BLT-S1500 配备</t>
    </r>
    <r>
      <rPr>
        <sz val="9"/>
        <color rgb="FFFF0000"/>
        <rFont val="宋体"/>
        <family val="3"/>
        <charset val="134"/>
        <scheme val="minor"/>
      </rPr>
      <t>26激光器</t>
    </r>
    <r>
      <rPr>
        <sz val="9"/>
        <color theme="1"/>
        <rFont val="宋体"/>
        <family val="3"/>
        <charset val="134"/>
        <scheme val="minor"/>
      </rPr>
      <t xml:space="preserve">，可实现 1500mm×1500mm×1200mm </t>
    </r>
    <r>
      <rPr>
        <sz val="9"/>
        <color rgb="FFFF0000"/>
        <rFont val="宋体"/>
        <family val="3"/>
        <charset val="134"/>
        <scheme val="minor"/>
      </rPr>
      <t>超大尺寸成形</t>
    </r>
    <r>
      <rPr>
        <sz val="9"/>
        <color theme="1"/>
        <rFont val="宋体"/>
        <family val="3"/>
        <charset val="134"/>
        <scheme val="minor"/>
      </rPr>
      <t>，突破成形尺寸限制，满足各领域大、中尺寸零部件的组合制造，大尺寸零部件的小批量生产，中小尺寸零件的快速批量生产。4.公司开发了 LSF-V、C1000、C600 等型号送粉式激光 增 材 制 造 设 备 ， LSF-V型设备成形尺寸达到1000mm×1500mm×3100mm，最低氧含量可控制到 100ppm，Z 轴重复定位精度达到±0.05mm。</t>
    </r>
    <phoneticPr fontId="1" type="noConversion"/>
  </si>
  <si>
    <r>
      <t>1.3D 打印设备可分为桌面级打印机和工业级打印机。近年来随着国外桌面级打印机相关专利保护到期，技术壁垒下降，与桌面级打印机市场相比，</t>
    </r>
    <r>
      <rPr>
        <sz val="9"/>
        <color rgb="FFFF0000"/>
        <rFont val="宋体"/>
        <family val="3"/>
        <charset val="134"/>
        <scheme val="minor"/>
      </rPr>
      <t>工业级打印机技术壁垒高，资本投入大，一直以来发展较为缓慢</t>
    </r>
    <r>
      <rPr>
        <sz val="9"/>
        <color theme="1"/>
        <rFont val="宋体"/>
        <family val="2"/>
        <charset val="134"/>
        <scheme val="minor"/>
      </rPr>
      <t>。2.粉末纯度将直接影响 3D 打印产品的成形质量，若杂质的增量过高，夹杂物的 存在将提高颗粒硬度，导致粉末成形性和材料韧性降低，进而降低产品的使用性能。 粉末颗粒形状（球状最好）直接影响到粉末的流动性和松装密度。3.竞争对手：先临三维（北交所），华曙高科（23年上市）；</t>
    </r>
    <phoneticPr fontId="1" type="noConversion"/>
  </si>
  <si>
    <r>
      <t>0.公司涉及标红领域：上游（</t>
    </r>
    <r>
      <rPr>
        <sz val="9"/>
        <color rgb="FFFF0000"/>
        <rFont val="宋体"/>
        <family val="3"/>
        <charset val="134"/>
        <scheme val="minor"/>
      </rPr>
      <t>材料</t>
    </r>
    <r>
      <rPr>
        <sz val="9"/>
        <color theme="1"/>
        <rFont val="宋体"/>
        <family val="2"/>
        <charset val="134"/>
        <scheme val="minor"/>
      </rPr>
      <t>，硬件-激光器和振镜，</t>
    </r>
    <r>
      <rPr>
        <sz val="9"/>
        <color rgb="FFFF0000"/>
        <rFont val="宋体"/>
        <family val="3"/>
        <charset val="134"/>
        <scheme val="minor"/>
      </rPr>
      <t>软件</t>
    </r>
    <r>
      <rPr>
        <sz val="9"/>
        <color theme="1"/>
        <rFont val="宋体"/>
        <family val="2"/>
        <charset val="134"/>
        <scheme val="minor"/>
      </rPr>
      <t>），中游（</t>
    </r>
    <r>
      <rPr>
        <sz val="9"/>
        <color rgb="FFFF0000"/>
        <rFont val="宋体"/>
        <family val="3"/>
        <charset val="134"/>
        <scheme val="minor"/>
      </rPr>
      <t>制造商</t>
    </r>
    <r>
      <rPr>
        <sz val="9"/>
        <color theme="1"/>
        <rFont val="宋体"/>
        <family val="2"/>
        <charset val="134"/>
        <scheme val="minor"/>
      </rPr>
      <t>，代理商，服务提供商），下游应用（航天，工业，汽车，消费电子。。。）。0-1.</t>
    </r>
    <r>
      <rPr>
        <b/>
        <sz val="9"/>
        <color rgb="FFFF0000"/>
        <rFont val="宋体"/>
        <family val="3"/>
        <charset val="134"/>
        <scheme val="minor"/>
      </rPr>
      <t>十大股东占比88%</t>
    </r>
    <r>
      <rPr>
        <sz val="9"/>
        <color theme="1"/>
        <rFont val="宋体"/>
        <family val="2"/>
        <charset val="134"/>
        <scheme val="minor"/>
      </rPr>
      <t>。1.3D打印优势：可快速加工成形结构复杂的零件，缩短产品研发周期，材料利用率高，制造模式优化。2.全球增材制造专用原材料销售金额从2012年的4.17亿美元增长 至2021年的25.98亿美元，</t>
    </r>
    <r>
      <rPr>
        <sz val="9"/>
        <color rgb="FFFF0000"/>
        <rFont val="宋体"/>
        <family val="3"/>
        <charset val="134"/>
        <scheme val="minor"/>
      </rPr>
      <t>年复合增长率22.54%</t>
    </r>
    <r>
      <rPr>
        <sz val="9"/>
        <color theme="1"/>
        <rFont val="宋体"/>
        <family val="2"/>
        <charset val="134"/>
        <scheme val="minor"/>
      </rPr>
      <t>；</t>
    </r>
    <r>
      <rPr>
        <sz val="9"/>
        <color theme="1"/>
        <rFont val="宋体"/>
        <family val="3"/>
        <charset val="134"/>
        <scheme val="minor"/>
      </rPr>
      <t>3.公司坚持“</t>
    </r>
    <r>
      <rPr>
        <b/>
        <sz val="9"/>
        <color rgb="FFFF0000"/>
        <rFont val="宋体"/>
        <family val="3"/>
        <charset val="134"/>
        <scheme val="minor"/>
      </rPr>
      <t>开放加速3D打印产业化</t>
    </r>
    <r>
      <rPr>
        <sz val="9"/>
        <color theme="1"/>
        <rFont val="宋体"/>
        <family val="3"/>
        <charset val="134"/>
        <scheme val="minor"/>
      </rPr>
      <t>”的战略，设备及其软件技术功能全方位开放。</t>
    </r>
    <phoneticPr fontId="1" type="noConversion"/>
  </si>
  <si>
    <t>2-1</t>
  </si>
  <si>
    <t>6.68亿</t>
  </si>
  <si>
    <t>14.34亿</t>
  </si>
  <si>
    <t>3.31亿</t>
  </si>
  <si>
    <t>8.02亿</t>
  </si>
  <si>
    <t>971.33亿</t>
  </si>
  <si>
    <t>324.43亿</t>
  </si>
  <si>
    <t>1278.10亿</t>
  </si>
  <si>
    <t>65.05亿</t>
  </si>
  <si>
    <t>-166103000亿</t>
  </si>
  <si>
    <t>665302000亿</t>
  </si>
  <si>
    <t>23773212000亿</t>
  </si>
  <si>
    <t>98485443000亿</t>
  </si>
  <si>
    <t>266.50亿</t>
  </si>
  <si>
    <t>10派0.22元(含税)</t>
  </si>
  <si>
    <t>9.88亿</t>
  </si>
  <si>
    <t>15.01亿</t>
  </si>
  <si>
    <t>3475.70万</t>
  </si>
  <si>
    <t>3003915亿</t>
  </si>
  <si>
    <t>-50038634亿</t>
  </si>
  <si>
    <t>405572590亿</t>
  </si>
  <si>
    <t>1725474300亿</t>
  </si>
  <si>
    <t>15.66亿</t>
  </si>
  <si>
    <t>-3471.22万</t>
  </si>
  <si>
    <t>0104271000</t>
  </si>
  <si>
    <t>0208542000</t>
  </si>
  <si>
    <t>0347570000</t>
  </si>
  <si>
    <t>0695140000</t>
  </si>
  <si>
    <t>50.59亿</t>
  </si>
  <si>
    <t>48.16亿</t>
  </si>
  <si>
    <t>4937.59万</t>
  </si>
  <si>
    <t>5589838亿</t>
  </si>
  <si>
    <t>24431908亿</t>
  </si>
  <si>
    <t>1704523500亿</t>
  </si>
  <si>
    <t>5124120200亿</t>
  </si>
  <si>
    <t>6.71亿</t>
  </si>
  <si>
    <t>1873.20万</t>
  </si>
  <si>
    <t>2539.24万</t>
  </si>
  <si>
    <t>5.62亿</t>
  </si>
  <si>
    <t>5719.98万</t>
  </si>
  <si>
    <t>-1.63亿</t>
  </si>
  <si>
    <t>-17148280亿</t>
  </si>
  <si>
    <t>147505150亿</t>
  </si>
  <si>
    <t>538749530亿</t>
  </si>
  <si>
    <t>5192.47万</t>
  </si>
  <si>
    <t>-1783.88万</t>
  </si>
  <si>
    <t>20.01亿</t>
  </si>
  <si>
    <t>19357600亿</t>
  </si>
  <si>
    <t>-8162040亿</t>
  </si>
  <si>
    <t>940736950亿</t>
  </si>
  <si>
    <t>2151133200亿</t>
  </si>
  <si>
    <t>-846.70万</t>
  </si>
  <si>
    <t>10派1.87元(含税)</t>
  </si>
  <si>
    <t>3.93亿</t>
  </si>
  <si>
    <t>56.67亿</t>
  </si>
  <si>
    <t>74.96亿</t>
  </si>
  <si>
    <t>8857284亿</t>
  </si>
  <si>
    <t>94372429亿</t>
  </si>
  <si>
    <t>1700674200亿</t>
  </si>
  <si>
    <t>6934490900亿</t>
  </si>
  <si>
    <t>14.87亿</t>
  </si>
  <si>
    <t>15.65亿</t>
  </si>
  <si>
    <t>SZ000816</t>
  </si>
  <si>
    <t>智慧农业</t>
  </si>
  <si>
    <t>-6699.69万</t>
  </si>
  <si>
    <t>13.33亿</t>
  </si>
  <si>
    <t>4013413亿</t>
  </si>
  <si>
    <t>-14621751亿</t>
  </si>
  <si>
    <t>179966510亿</t>
  </si>
  <si>
    <t>1065055800亿</t>
  </si>
  <si>
    <t>2.65亿</t>
  </si>
  <si>
    <t>-1.41亿</t>
  </si>
  <si>
    <t>22.82亿</t>
  </si>
  <si>
    <t>-2580.08万</t>
  </si>
  <si>
    <t>4617.51万</t>
  </si>
  <si>
    <t>5509.48万</t>
  </si>
  <si>
    <t>-9.60亿</t>
  </si>
  <si>
    <t>4227.81万</t>
  </si>
  <si>
    <t>486.15万</t>
  </si>
  <si>
    <t>44.68亿</t>
  </si>
  <si>
    <t>37.61亿</t>
  </si>
  <si>
    <t>5225.83万</t>
  </si>
  <si>
    <t>-22086亿</t>
  </si>
  <si>
    <t>4499124亿</t>
  </si>
  <si>
    <t>1062374850亿</t>
  </si>
  <si>
    <t>5575768000亿</t>
  </si>
  <si>
    <t>10.07亿</t>
  </si>
  <si>
    <t>5809.55万</t>
  </si>
  <si>
    <t>7174.04万</t>
  </si>
  <si>
    <t>1630238亿</t>
  </si>
  <si>
    <t>16818660亿</t>
  </si>
  <si>
    <t>233090920亿</t>
  </si>
  <si>
    <t>1192579300亿</t>
  </si>
  <si>
    <t>1831.53万</t>
  </si>
  <si>
    <t>10派6.45元(含税)</t>
  </si>
  <si>
    <t>7.65亿</t>
  </si>
  <si>
    <t>8560.68万</t>
  </si>
  <si>
    <t>16.07亿</t>
  </si>
  <si>
    <t>1717181亿</t>
  </si>
  <si>
    <t>5633298亿</t>
  </si>
  <si>
    <t>139921010亿</t>
  </si>
  <si>
    <t>1548142600亿</t>
  </si>
  <si>
    <t>15.99亿</t>
  </si>
  <si>
    <t>10.82亿</t>
  </si>
  <si>
    <t>5244.35万</t>
  </si>
  <si>
    <t>1275.37万</t>
  </si>
  <si>
    <t>3041.11万</t>
  </si>
  <si>
    <t>10派1.28元(含税)</t>
  </si>
  <si>
    <t>14-1</t>
  </si>
  <si>
    <t>48.77亿</t>
  </si>
  <si>
    <t>22.95亿</t>
  </si>
  <si>
    <t>79.97亿</t>
  </si>
  <si>
    <t>3027734亿</t>
  </si>
  <si>
    <t>117847573亿</t>
  </si>
  <si>
    <t>14.00亿</t>
  </si>
  <si>
    <t>2004719900亿</t>
  </si>
  <si>
    <t>6211497400亿</t>
  </si>
  <si>
    <t>21.01亿</t>
  </si>
  <si>
    <t>18.44亿</t>
  </si>
  <si>
    <t>5330010亿</t>
  </si>
  <si>
    <t>50363495亿</t>
  </si>
  <si>
    <t>510282490亿</t>
  </si>
  <si>
    <t>3448274400亿</t>
  </si>
  <si>
    <t>1612.53万</t>
  </si>
  <si>
    <t>10派1.2元(含税)</t>
  </si>
  <si>
    <t>17.91亿</t>
  </si>
  <si>
    <t>27.84亿</t>
  </si>
  <si>
    <t>-626733亿</t>
  </si>
  <si>
    <t>65764408亿</t>
  </si>
  <si>
    <t>967183580亿</t>
  </si>
  <si>
    <t>2633987000亿</t>
  </si>
  <si>
    <t>7444.45万</t>
  </si>
  <si>
    <t>12.93亿</t>
  </si>
  <si>
    <t>15772672亿</t>
  </si>
  <si>
    <t>-2543009亿</t>
  </si>
  <si>
    <t>130929673亿</t>
  </si>
  <si>
    <t>1778939900亿</t>
  </si>
  <si>
    <t>1794.06万</t>
  </si>
  <si>
    <t>5605.47万</t>
  </si>
  <si>
    <t>8.35亿</t>
  </si>
  <si>
    <t>0423000000</t>
  </si>
  <si>
    <t>0846000000</t>
  </si>
  <si>
    <t>01410000000</t>
  </si>
  <si>
    <t>02820000000</t>
  </si>
  <si>
    <t>SZ002131</t>
  </si>
  <si>
    <t>利欧股份</t>
  </si>
  <si>
    <t>109.61亿</t>
  </si>
  <si>
    <t>48.41亿</t>
  </si>
  <si>
    <t>204.71亿</t>
  </si>
  <si>
    <t>4.84亿</t>
  </si>
  <si>
    <t>73081212亿</t>
  </si>
  <si>
    <t>40268320亿</t>
  </si>
  <si>
    <t>5886602700亿</t>
  </si>
  <si>
    <t>15024702000亿</t>
  </si>
  <si>
    <t>202.68亿</t>
  </si>
  <si>
    <t>202.81亿</t>
  </si>
  <si>
    <t>155.48亿</t>
  </si>
  <si>
    <t>140.33亿</t>
  </si>
  <si>
    <t>122.50亿</t>
  </si>
  <si>
    <t>-4.41亿</t>
  </si>
  <si>
    <t>-10.19亿</t>
  </si>
  <si>
    <t>47.72亿</t>
  </si>
  <si>
    <t>-18.60亿</t>
  </si>
  <si>
    <t>51.94亿</t>
  </si>
  <si>
    <t>50.05亿</t>
  </si>
  <si>
    <t>11.26亿</t>
  </si>
  <si>
    <t>45.77亿</t>
  </si>
  <si>
    <t>5446.00万</t>
  </si>
  <si>
    <t>41.09亿</t>
  </si>
  <si>
    <t>-1856895亿</t>
  </si>
  <si>
    <t>1539025亿</t>
  </si>
  <si>
    <t>9.77亿</t>
  </si>
  <si>
    <t>1015185790亿</t>
  </si>
  <si>
    <t>3359170000亿</t>
  </si>
  <si>
    <t>8.31亿</t>
  </si>
  <si>
    <t>-460.80万</t>
  </si>
  <si>
    <t>23.02亿</t>
  </si>
  <si>
    <t>18.64亿</t>
  </si>
  <si>
    <t>25.18亿</t>
  </si>
  <si>
    <t>6438.68万</t>
  </si>
  <si>
    <t>19.07亿</t>
  </si>
  <si>
    <t>14481亿</t>
  </si>
  <si>
    <t>13205477亿</t>
  </si>
  <si>
    <t>9.49亿</t>
  </si>
  <si>
    <t>737136920亿</t>
  </si>
  <si>
    <t>2776136400亿</t>
  </si>
  <si>
    <t>1472.25万</t>
  </si>
  <si>
    <t>28.59亿</t>
  </si>
  <si>
    <t>38.52亿</t>
  </si>
  <si>
    <t>8.65亿</t>
  </si>
  <si>
    <t>13627552亿</t>
  </si>
  <si>
    <t>136357800亿</t>
  </si>
  <si>
    <t>672769000亿</t>
  </si>
  <si>
    <t>4803008600亿</t>
  </si>
  <si>
    <t>10派5.8元(含税)</t>
  </si>
  <si>
    <t>4042.03万</t>
  </si>
  <si>
    <t>449131亿</t>
  </si>
  <si>
    <t>4129853亿</t>
  </si>
  <si>
    <t>397727990亿</t>
  </si>
  <si>
    <t>1054914090亿</t>
  </si>
  <si>
    <t>894.40万</t>
  </si>
  <si>
    <t>040420300</t>
  </si>
  <si>
    <t>0121260900</t>
  </si>
  <si>
    <t>0242521800</t>
  </si>
  <si>
    <t>0404203000</t>
  </si>
  <si>
    <t>0808406000</t>
  </si>
  <si>
    <t>8051.70万</t>
  </si>
  <si>
    <t>-1624.24万</t>
  </si>
  <si>
    <t>-112758亿</t>
  </si>
  <si>
    <t>4895653亿</t>
  </si>
  <si>
    <t>22416070亿</t>
  </si>
  <si>
    <t>431139140亿</t>
  </si>
  <si>
    <t>7011.87万</t>
  </si>
  <si>
    <t>475.24万</t>
  </si>
  <si>
    <t>-7-0</t>
  </si>
  <si>
    <t>18.47亿</t>
  </si>
  <si>
    <t>16.64亿</t>
  </si>
  <si>
    <t>-6359.71万</t>
  </si>
  <si>
    <t>110383亿</t>
  </si>
  <si>
    <t>-21350168亿</t>
  </si>
  <si>
    <t>1037532190亿</t>
  </si>
  <si>
    <t>2296344900亿</t>
  </si>
  <si>
    <t>1198.42万</t>
  </si>
  <si>
    <t>-721.22万</t>
  </si>
  <si>
    <t>7447360亿</t>
  </si>
  <si>
    <t>48621942亿</t>
  </si>
  <si>
    <t>6.79亿</t>
  </si>
  <si>
    <t>483762140亿</t>
  </si>
  <si>
    <t>1869570800亿</t>
  </si>
  <si>
    <t>2529.81万</t>
  </si>
  <si>
    <t>-871.39万</t>
  </si>
  <si>
    <t>18.34亿</t>
  </si>
  <si>
    <t>34861亿</t>
  </si>
  <si>
    <t>824266亿</t>
  </si>
  <si>
    <t>1127896500亿</t>
  </si>
  <si>
    <t>2866150500亿</t>
  </si>
  <si>
    <t>203.58万</t>
  </si>
  <si>
    <t>10派0.03元(含税)</t>
  </si>
  <si>
    <t>-4251.55万</t>
  </si>
  <si>
    <t>-777453亿</t>
  </si>
  <si>
    <t>-9455141亿</t>
  </si>
  <si>
    <t>725912550亿</t>
  </si>
  <si>
    <t>1827380600亿</t>
  </si>
  <si>
    <t>546.90万</t>
  </si>
  <si>
    <t>-3856.33万</t>
  </si>
  <si>
    <t>266.88万</t>
  </si>
  <si>
    <t>25.68亿</t>
  </si>
  <si>
    <t>21.33亿</t>
  </si>
  <si>
    <t>14.57亿</t>
  </si>
  <si>
    <t>-31564亿</t>
  </si>
  <si>
    <t>80474775亿</t>
  </si>
  <si>
    <t>1153659390亿</t>
  </si>
  <si>
    <t>3100263400亿</t>
  </si>
  <si>
    <t>4.97亿</t>
  </si>
  <si>
    <t>7596.95万</t>
  </si>
  <si>
    <t>46.71亿</t>
  </si>
  <si>
    <t>33.06亿</t>
  </si>
  <si>
    <t>109.30亿</t>
  </si>
  <si>
    <t>16.92亿</t>
  </si>
  <si>
    <t>98979393亿</t>
  </si>
  <si>
    <t>431454250亿</t>
  </si>
  <si>
    <t>2687056500亿</t>
  </si>
  <si>
    <t>11747600000亿</t>
  </si>
  <si>
    <t>25.55亿</t>
  </si>
  <si>
    <t>7.21亿</t>
  </si>
  <si>
    <t>5.37亿</t>
  </si>
  <si>
    <t>6760179亿</t>
  </si>
  <si>
    <t>17210116亿</t>
  </si>
  <si>
    <t>277197500亿</t>
  </si>
  <si>
    <t>1771728200亿</t>
  </si>
  <si>
    <t>6131.12万</t>
  </si>
  <si>
    <t>0387000000</t>
  </si>
  <si>
    <t>0774000000</t>
  </si>
  <si>
    <t>01290000000</t>
  </si>
  <si>
    <t>02580000000</t>
  </si>
  <si>
    <t>-1.93亿</t>
  </si>
  <si>
    <t>1860638亿</t>
  </si>
  <si>
    <t>-39551325亿</t>
  </si>
  <si>
    <t>479873720亿</t>
  </si>
  <si>
    <t>1199282790亿</t>
  </si>
  <si>
    <t>3039.60万</t>
  </si>
  <si>
    <t>1022.08万</t>
  </si>
  <si>
    <t>-7-1</t>
  </si>
  <si>
    <t>29.62亿</t>
  </si>
  <si>
    <t>20.83亿</t>
  </si>
  <si>
    <t>-9.03亿</t>
  </si>
  <si>
    <t>655101亿</t>
  </si>
  <si>
    <t>-32479685亿</t>
  </si>
  <si>
    <t>327014270亿</t>
  </si>
  <si>
    <t>2084508700亿</t>
  </si>
  <si>
    <t>-1.92亿</t>
  </si>
  <si>
    <t>-3322.09万</t>
  </si>
  <si>
    <t>-8424.62万</t>
  </si>
  <si>
    <t>-3315797亿</t>
  </si>
  <si>
    <t>216275亿</t>
  </si>
  <si>
    <t>254344150亿</t>
  </si>
  <si>
    <t>1355222900亿</t>
  </si>
  <si>
    <t>-892.57万</t>
  </si>
  <si>
    <t>26.00亿</t>
  </si>
  <si>
    <t>19.28亿</t>
  </si>
  <si>
    <t>9885.45万</t>
  </si>
  <si>
    <t>-231142亿</t>
  </si>
  <si>
    <t>39411999亿</t>
  </si>
  <si>
    <t>333474130亿</t>
  </si>
  <si>
    <t>3094351600亿</t>
  </si>
  <si>
    <t>748.04万</t>
  </si>
  <si>
    <t>4998.10万</t>
  </si>
  <si>
    <t>20.05亿</t>
  </si>
  <si>
    <t>18.81亿</t>
  </si>
  <si>
    <t>2984548亿</t>
  </si>
  <si>
    <t>26882106亿</t>
  </si>
  <si>
    <t>803477010亿</t>
  </si>
  <si>
    <t>2034446800亿</t>
  </si>
  <si>
    <t>2937.26万</t>
  </si>
  <si>
    <t>6941.62万</t>
  </si>
  <si>
    <t>-1899.87万</t>
  </si>
  <si>
    <t>199062亿</t>
  </si>
  <si>
    <t>137053880亿</t>
  </si>
  <si>
    <t>424396280亿</t>
  </si>
  <si>
    <t>6136.32万</t>
  </si>
  <si>
    <t>-576.61万</t>
  </si>
  <si>
    <t>-8-0</t>
  </si>
  <si>
    <t>21.25亿</t>
  </si>
  <si>
    <t>20.32亿</t>
  </si>
  <si>
    <t>-1536.22万</t>
  </si>
  <si>
    <t>213239亿</t>
  </si>
  <si>
    <t>7390211亿</t>
  </si>
  <si>
    <t>712547900亿</t>
  </si>
  <si>
    <t>2412037900亿</t>
  </si>
  <si>
    <t>545.46万</t>
  </si>
  <si>
    <t>14.14亿</t>
  </si>
  <si>
    <t>-75530亿</t>
  </si>
  <si>
    <t>19105222亿</t>
  </si>
  <si>
    <t>40328884亿</t>
  </si>
  <si>
    <t>2321032400亿</t>
  </si>
  <si>
    <t>2512.95万</t>
  </si>
  <si>
    <t>12.53亿</t>
  </si>
  <si>
    <t>16.00亿</t>
  </si>
  <si>
    <t>2060.68万</t>
  </si>
  <si>
    <t>6957616亿</t>
  </si>
  <si>
    <t>329050150亿</t>
  </si>
  <si>
    <t>1567829500亿</t>
  </si>
  <si>
    <t>11.31亿</t>
  </si>
  <si>
    <t>3818.61万</t>
  </si>
  <si>
    <t>629.54万</t>
  </si>
  <si>
    <t>6.91亿</t>
  </si>
  <si>
    <t>-5963.59万</t>
  </si>
  <si>
    <t>418220亿</t>
  </si>
  <si>
    <t>-3498523亿</t>
  </si>
  <si>
    <t>161649900亿</t>
  </si>
  <si>
    <t>806083020亿</t>
  </si>
  <si>
    <t>-1.07亿</t>
  </si>
  <si>
    <t>6246.09万</t>
  </si>
  <si>
    <t>1354.55万</t>
  </si>
  <si>
    <t>-1.56亿</t>
  </si>
  <si>
    <t>-62180亿</t>
  </si>
  <si>
    <t>-22994636亿</t>
  </si>
  <si>
    <t>134219280亿</t>
  </si>
  <si>
    <t>587742370亿</t>
  </si>
  <si>
    <t>7.83亿</t>
  </si>
  <si>
    <t>7600.00万</t>
  </si>
  <si>
    <t>-1.60亿</t>
  </si>
  <si>
    <t>-2618.67万</t>
  </si>
  <si>
    <t>-1576.19万</t>
  </si>
  <si>
    <t>15.08亿</t>
  </si>
  <si>
    <t>18.45亿</t>
  </si>
  <si>
    <t>223649亿</t>
  </si>
  <si>
    <t>30765636亿</t>
  </si>
  <si>
    <t>432501390亿</t>
  </si>
  <si>
    <t>1464460000亿</t>
  </si>
  <si>
    <t>3677.45万</t>
  </si>
  <si>
    <t>9945.79万</t>
  </si>
  <si>
    <t>2986923亿</t>
  </si>
  <si>
    <t>17872883亿</t>
  </si>
  <si>
    <t>75885991亿</t>
  </si>
  <si>
    <t>653971160亿</t>
  </si>
  <si>
    <t>3125.48万</t>
  </si>
  <si>
    <t>11.73亿</t>
  </si>
  <si>
    <t>6.61亿</t>
  </si>
  <si>
    <t>-232832亿</t>
  </si>
  <si>
    <t>13520891亿</t>
  </si>
  <si>
    <t>415116210亿</t>
  </si>
  <si>
    <t>1388614500亿</t>
  </si>
  <si>
    <t>-1.47亿</t>
  </si>
  <si>
    <t>8362.78万</t>
  </si>
  <si>
    <t>1369.38万</t>
  </si>
  <si>
    <t>10派0.45元(含税)</t>
  </si>
  <si>
    <t>22.38亿</t>
  </si>
  <si>
    <t>13.16亿</t>
  </si>
  <si>
    <t>93860938亿</t>
  </si>
  <si>
    <t>166923740亿</t>
  </si>
  <si>
    <t>2136065200亿</t>
  </si>
  <si>
    <t>2244.11万</t>
  </si>
  <si>
    <t>7723.91万</t>
  </si>
  <si>
    <t>7314.80万</t>
  </si>
  <si>
    <t>-672477亿</t>
  </si>
  <si>
    <t>12667900亿</t>
  </si>
  <si>
    <t>176356570亿</t>
  </si>
  <si>
    <t>665008320亿</t>
  </si>
  <si>
    <t>1507.52万</t>
  </si>
  <si>
    <t>10派0.8元(含税)</t>
  </si>
  <si>
    <t>4006.82万</t>
  </si>
  <si>
    <t>2208297亿</t>
  </si>
  <si>
    <t>28.66万</t>
  </si>
  <si>
    <t>10300817亿</t>
  </si>
  <si>
    <t>105871491亿</t>
  </si>
  <si>
    <t>28.50万</t>
  </si>
  <si>
    <t>847560200亿</t>
  </si>
  <si>
    <t>9242.42万</t>
  </si>
  <si>
    <t>1964.60万</t>
  </si>
  <si>
    <t>-704.02万</t>
  </si>
  <si>
    <t>181138亿</t>
  </si>
  <si>
    <t>-3081534亿</t>
  </si>
  <si>
    <t>114796088亿</t>
  </si>
  <si>
    <t>556936260亿</t>
  </si>
  <si>
    <t>84.80万</t>
  </si>
  <si>
    <t>13.04亿</t>
  </si>
  <si>
    <t>81436亿</t>
  </si>
  <si>
    <t>25444577亿</t>
  </si>
  <si>
    <t>496521060亿</t>
  </si>
  <si>
    <t>1846393100亿</t>
  </si>
  <si>
    <t>1777.66万</t>
  </si>
  <si>
    <t>10转3股派4元(含税)</t>
  </si>
  <si>
    <t>10.43亿</t>
  </si>
  <si>
    <t>9758.99万</t>
  </si>
  <si>
    <t>536573亿</t>
  </si>
  <si>
    <t>34261144亿</t>
  </si>
  <si>
    <t>54270457亿</t>
  </si>
  <si>
    <t>710154090亿</t>
  </si>
  <si>
    <t>2572.67万</t>
  </si>
  <si>
    <t>35.36亿</t>
  </si>
  <si>
    <t>35.29亿</t>
  </si>
  <si>
    <t>1697601亿</t>
  </si>
  <si>
    <t>38342049亿</t>
  </si>
  <si>
    <t>1724515900亿</t>
  </si>
  <si>
    <t>5202076200亿</t>
  </si>
  <si>
    <t>21.89亿</t>
  </si>
  <si>
    <t>0194000000</t>
  </si>
  <si>
    <t>0582000000</t>
  </si>
  <si>
    <t>01164000000</t>
  </si>
  <si>
    <t>01940000000</t>
  </si>
  <si>
    <t>03880000000</t>
  </si>
  <si>
    <t>35.10亿</t>
  </si>
  <si>
    <t>14.50亿</t>
  </si>
  <si>
    <t>-5.06亿</t>
  </si>
  <si>
    <t>-26144901亿</t>
  </si>
  <si>
    <t>779696010亿</t>
  </si>
  <si>
    <t>2985265500亿</t>
  </si>
  <si>
    <t>6.46亿</t>
  </si>
  <si>
    <t>15.53亿</t>
  </si>
  <si>
    <t>16.86亿</t>
  </si>
  <si>
    <t>20.78亿</t>
  </si>
  <si>
    <t>13.88亿</t>
  </si>
  <si>
    <t>-3.62亿</t>
  </si>
  <si>
    <t>-6001.56万</t>
  </si>
  <si>
    <t>-4938.15万</t>
  </si>
  <si>
    <t>-6144.76万</t>
  </si>
  <si>
    <t>3.42亿</t>
  </si>
  <si>
    <t>-2803.41万</t>
  </si>
  <si>
    <t>-5-0</t>
  </si>
  <si>
    <t>15.23亿</t>
  </si>
  <si>
    <t>3064177亿</t>
  </si>
  <si>
    <t>45009092亿</t>
  </si>
  <si>
    <t>310764100亿</t>
  </si>
  <si>
    <t>1979827200亿</t>
  </si>
  <si>
    <t>4533.81万</t>
  </si>
  <si>
    <t>405.40万</t>
  </si>
  <si>
    <t>5656941亿</t>
  </si>
  <si>
    <t>6.90万</t>
  </si>
  <si>
    <t>-3116182亿</t>
  </si>
  <si>
    <t>2.24亿</t>
  </si>
  <si>
    <t>109755629亿</t>
  </si>
  <si>
    <t>964965310亿</t>
  </si>
  <si>
    <t>-152.42万</t>
  </si>
  <si>
    <t>55.26亿</t>
  </si>
  <si>
    <t>10.34亿</t>
  </si>
  <si>
    <t>54.33亿</t>
  </si>
  <si>
    <t>28619612亿</t>
  </si>
  <si>
    <t>56917952亿</t>
  </si>
  <si>
    <t>9.50亿</t>
  </si>
  <si>
    <t>1488749200亿</t>
  </si>
  <si>
    <t>5345122200亿</t>
  </si>
  <si>
    <t>3993.39万</t>
  </si>
  <si>
    <t>11.50亿</t>
  </si>
  <si>
    <t>173745亿</t>
  </si>
  <si>
    <t>29351273亿</t>
  </si>
  <si>
    <t>213169840亿</t>
  </si>
  <si>
    <t>1783694700亿</t>
  </si>
  <si>
    <t>8361.07万</t>
  </si>
  <si>
    <t>3797.61万</t>
  </si>
  <si>
    <t>16.94亿</t>
  </si>
  <si>
    <t>-1.75亿</t>
  </si>
  <si>
    <t>4328604亿</t>
  </si>
  <si>
    <t>-26722016亿</t>
  </si>
  <si>
    <t>347899170亿</t>
  </si>
  <si>
    <t>845125890亿</t>
  </si>
  <si>
    <t>68.57万</t>
  </si>
  <si>
    <t>-3594.25万</t>
  </si>
  <si>
    <t>-6-1</t>
  </si>
  <si>
    <t>25.45亿</t>
  </si>
  <si>
    <t>2709.07万</t>
  </si>
  <si>
    <t>-80971119亿</t>
  </si>
  <si>
    <t>867999220亿</t>
  </si>
  <si>
    <t>2933866100亿</t>
  </si>
  <si>
    <t>1859.37万</t>
  </si>
  <si>
    <t>-3854.53万</t>
  </si>
  <si>
    <t>2011649亿</t>
  </si>
  <si>
    <t>43.44万</t>
  </si>
  <si>
    <t>25041111亿</t>
  </si>
  <si>
    <t>193981200亿</t>
  </si>
  <si>
    <t>1013037540亿</t>
  </si>
  <si>
    <t>3423.10万</t>
  </si>
  <si>
    <t>3407.84万</t>
  </si>
  <si>
    <t>9.36亿</t>
  </si>
  <si>
    <t>17124亿</t>
  </si>
  <si>
    <t>46771159亿</t>
  </si>
  <si>
    <t>226267930亿</t>
  </si>
  <si>
    <t>2164139100亿</t>
  </si>
  <si>
    <t>7974.27万</t>
  </si>
  <si>
    <t>-1.25亿</t>
  </si>
  <si>
    <t>2710.40万</t>
  </si>
  <si>
    <t>6.54亿</t>
  </si>
  <si>
    <t>30.39亿</t>
  </si>
  <si>
    <t>50279亿</t>
  </si>
  <si>
    <t>17048219亿</t>
  </si>
  <si>
    <t>728049920亿</t>
  </si>
  <si>
    <t>2968445600亿</t>
  </si>
  <si>
    <t>271.58万</t>
  </si>
  <si>
    <t>10派0.4元(含税)</t>
  </si>
  <si>
    <t>80.28亿</t>
  </si>
  <si>
    <t>41.67亿</t>
  </si>
  <si>
    <t>19491亿</t>
  </si>
  <si>
    <t>76726889亿</t>
  </si>
  <si>
    <t>1270170460亿</t>
  </si>
  <si>
    <t>3848311400亿</t>
  </si>
  <si>
    <t>7630.44万</t>
  </si>
  <si>
    <t>30.40亿</t>
  </si>
  <si>
    <t>15751975亿</t>
  </si>
  <si>
    <t>51224857亿</t>
  </si>
  <si>
    <t>1151478650亿</t>
  </si>
  <si>
    <t>3311712900亿</t>
  </si>
  <si>
    <t>7948.16万</t>
  </si>
  <si>
    <t>五洋自控</t>
  </si>
  <si>
    <t>4100.19万</t>
  </si>
  <si>
    <t>9.80亿</t>
  </si>
  <si>
    <t>660506亿</t>
  </si>
  <si>
    <t>3193031亿</t>
  </si>
  <si>
    <t>786173530亿</t>
  </si>
  <si>
    <t>2201687200亿</t>
  </si>
  <si>
    <t>5437.97万</t>
  </si>
  <si>
    <t>4.31亿</t>
  </si>
  <si>
    <t>5988.33万</t>
  </si>
  <si>
    <t>14690212亿</t>
  </si>
  <si>
    <t>331402290亿</t>
  </si>
  <si>
    <t>965363860亿</t>
  </si>
  <si>
    <t>1681.16万</t>
  </si>
  <si>
    <t>13.82亿</t>
  </si>
  <si>
    <t>-325766亿</t>
  </si>
  <si>
    <t>58899374亿</t>
  </si>
  <si>
    <t>542151770亿</t>
  </si>
  <si>
    <t>2158606800亿</t>
  </si>
  <si>
    <t>3431.47万</t>
  </si>
  <si>
    <t>7519.96万</t>
  </si>
  <si>
    <t>-4550.94万</t>
  </si>
  <si>
    <t>-32520亿</t>
  </si>
  <si>
    <t>-9585087亿</t>
  </si>
  <si>
    <t>495377640亿</t>
  </si>
  <si>
    <t>992878160亿</t>
  </si>
  <si>
    <t>2122.01万</t>
  </si>
  <si>
    <t>740.42万</t>
  </si>
  <si>
    <t>6394588亿</t>
  </si>
  <si>
    <t>76176999亿</t>
  </si>
  <si>
    <t>637643770亿</t>
  </si>
  <si>
    <t>2307669200亿</t>
  </si>
  <si>
    <t>8056.40万</t>
  </si>
  <si>
    <t>1712588亿</t>
  </si>
  <si>
    <t>21523841亿</t>
  </si>
  <si>
    <t>170474320亿</t>
  </si>
  <si>
    <t>1272880390亿</t>
  </si>
  <si>
    <t>1955.52万</t>
  </si>
  <si>
    <t>11.02亿</t>
  </si>
  <si>
    <t>10.52亿</t>
  </si>
  <si>
    <t>3413868亿</t>
  </si>
  <si>
    <t>483747200亿</t>
  </si>
  <si>
    <t>1142494870亿</t>
  </si>
  <si>
    <t>2296.92万</t>
  </si>
  <si>
    <t>-1224.73万</t>
  </si>
  <si>
    <t>2691.50万</t>
  </si>
  <si>
    <t>101928亿</t>
  </si>
  <si>
    <t>2406522亿</t>
  </si>
  <si>
    <t>153930310亿</t>
  </si>
  <si>
    <t>605380280亿</t>
  </si>
  <si>
    <t>98.28万</t>
  </si>
  <si>
    <t>9426.54万</t>
  </si>
  <si>
    <t>5233.37万</t>
  </si>
  <si>
    <t>-315409亿</t>
  </si>
  <si>
    <t>5766559亿</t>
  </si>
  <si>
    <t>167076820亿</t>
  </si>
  <si>
    <t>571991230亿</t>
  </si>
  <si>
    <t>6458.50万</t>
  </si>
  <si>
    <t>40.51万</t>
  </si>
  <si>
    <t>8.48亿</t>
  </si>
  <si>
    <t>33.33万</t>
  </si>
  <si>
    <t>-566211亿</t>
  </si>
  <si>
    <t>209175320亿</t>
  </si>
  <si>
    <t>1013212190亿</t>
  </si>
  <si>
    <t>9096.12万</t>
  </si>
  <si>
    <t>2118.40万</t>
  </si>
  <si>
    <t>10转4股派1.25元(含税)</t>
  </si>
  <si>
    <t>-812.33万</t>
  </si>
  <si>
    <t>1524245亿</t>
  </si>
  <si>
    <t>-23374211亿</t>
  </si>
  <si>
    <t>100204627亿</t>
  </si>
  <si>
    <t>764328110亿</t>
  </si>
  <si>
    <t>750.31万</t>
  </si>
  <si>
    <t>4.79亿</t>
  </si>
  <si>
    <t>259851亿</t>
  </si>
  <si>
    <t>19169721亿</t>
  </si>
  <si>
    <t>123659724亿</t>
  </si>
  <si>
    <t>1563610500亿</t>
  </si>
  <si>
    <t>5817.63万</t>
  </si>
  <si>
    <t>-440313亿</t>
  </si>
  <si>
    <t>12110441亿</t>
  </si>
  <si>
    <t>244911330亿</t>
  </si>
  <si>
    <t>623115580亿</t>
  </si>
  <si>
    <t>10转2.5股派2.5元(含税)</t>
  </si>
  <si>
    <t>9.38亿</t>
  </si>
  <si>
    <t>8007.28万</t>
  </si>
  <si>
    <t>-1408265亿</t>
  </si>
  <si>
    <t>38291174亿</t>
  </si>
  <si>
    <t>176925840亿</t>
  </si>
  <si>
    <t>1170985770亿</t>
  </si>
  <si>
    <t>-1294.90万</t>
  </si>
  <si>
    <t>10送4股派1.8元(含税)</t>
  </si>
  <si>
    <t>7311.47万</t>
  </si>
  <si>
    <t>7536.46万</t>
  </si>
  <si>
    <t>535111亿</t>
  </si>
  <si>
    <t>12367594亿</t>
  </si>
  <si>
    <t>96400229亿</t>
  </si>
  <si>
    <t>492670120亿</t>
  </si>
  <si>
    <t>11.11亿</t>
  </si>
  <si>
    <t>5897022亿</t>
  </si>
  <si>
    <t>681892410亿</t>
  </si>
  <si>
    <t>1040699910亿</t>
  </si>
  <si>
    <t>45.12亿</t>
  </si>
  <si>
    <t>15.89亿</t>
  </si>
  <si>
    <t>4895409亿</t>
  </si>
  <si>
    <t>183926470亿</t>
  </si>
  <si>
    <t>589541810亿</t>
  </si>
  <si>
    <t>5918133600亿</t>
  </si>
  <si>
    <t>6243.28万</t>
  </si>
  <si>
    <t>6769.16万</t>
  </si>
  <si>
    <t>4617.85万</t>
  </si>
  <si>
    <t>198411亿</t>
  </si>
  <si>
    <t>14382705亿</t>
  </si>
  <si>
    <t>96037090亿</t>
  </si>
  <si>
    <t>728560750亿</t>
  </si>
  <si>
    <t>52.65万</t>
  </si>
  <si>
    <t>7645.53万</t>
  </si>
  <si>
    <t>2764768亿</t>
  </si>
  <si>
    <t>10974458亿</t>
  </si>
  <si>
    <t>141678340亿</t>
  </si>
  <si>
    <t>917669930亿</t>
  </si>
  <si>
    <t>7533.52万</t>
  </si>
  <si>
    <t>488591亿</t>
  </si>
  <si>
    <t>27827287亿</t>
  </si>
  <si>
    <t>148985040亿</t>
  </si>
  <si>
    <t>730185400亿</t>
  </si>
  <si>
    <t>3770.78万</t>
  </si>
  <si>
    <t>4473849亿</t>
  </si>
  <si>
    <t>253293620亿</t>
  </si>
  <si>
    <t>600997640亿</t>
  </si>
  <si>
    <t>7200.00万</t>
  </si>
  <si>
    <t>17.77亿</t>
  </si>
  <si>
    <t>5624.17万</t>
  </si>
  <si>
    <t>-671507亿</t>
  </si>
  <si>
    <t>21033578亿</t>
  </si>
  <si>
    <t>414339420亿</t>
  </si>
  <si>
    <t>1588498100亿</t>
  </si>
  <si>
    <t>-3559.68万</t>
  </si>
  <si>
    <t>10转4股派4元(含税)</t>
  </si>
  <si>
    <t>13.38亿</t>
  </si>
  <si>
    <t>2109053亿</t>
  </si>
  <si>
    <t>3733528亿</t>
  </si>
  <si>
    <t>638939450亿</t>
  </si>
  <si>
    <t>1334086680亿</t>
  </si>
  <si>
    <t>250.18万</t>
  </si>
  <si>
    <t>5350.36万</t>
  </si>
  <si>
    <t>51473亿</t>
  </si>
  <si>
    <t>8191273亿</t>
  </si>
  <si>
    <t>206328490亿</t>
  </si>
  <si>
    <t>946079790亿</t>
  </si>
  <si>
    <t>10派0.75元(含税)</t>
  </si>
  <si>
    <t>22.96亿</t>
  </si>
  <si>
    <t>25.11亿</t>
  </si>
  <si>
    <t>23.64亿</t>
  </si>
  <si>
    <t>-8418亿</t>
  </si>
  <si>
    <t>51704399亿</t>
  </si>
  <si>
    <t>1338043950亿</t>
  </si>
  <si>
    <t>3237307900亿</t>
  </si>
  <si>
    <t>-5.51亿</t>
  </si>
  <si>
    <t>9.59亿</t>
  </si>
  <si>
    <t>3123457亿</t>
  </si>
  <si>
    <t>44942047亿</t>
  </si>
  <si>
    <t>180526000亿</t>
  </si>
  <si>
    <t>932349420亿</t>
  </si>
  <si>
    <t>15.46亿</t>
  </si>
  <si>
    <t>23.16亿</t>
  </si>
  <si>
    <t>3195.89万</t>
  </si>
  <si>
    <t>22.97亿</t>
  </si>
  <si>
    <t>48658亿</t>
  </si>
  <si>
    <t>11623689亿</t>
  </si>
  <si>
    <t>606757050亿</t>
  </si>
  <si>
    <t>2138886400亿</t>
  </si>
  <si>
    <t>3000.00万</t>
  </si>
  <si>
    <t>9621.08万</t>
  </si>
  <si>
    <t>3557645亿</t>
  </si>
  <si>
    <t>17757345亿</t>
  </si>
  <si>
    <t>86259872亿</t>
  </si>
  <si>
    <t>849316900亿</t>
  </si>
  <si>
    <t>10派8.8元(含税)</t>
  </si>
  <si>
    <t>4746.85万</t>
  </si>
  <si>
    <t>2685.16万</t>
  </si>
  <si>
    <t>2000609亿</t>
  </si>
  <si>
    <t>-12151152亿</t>
  </si>
  <si>
    <t>59253273亿</t>
  </si>
  <si>
    <t>617234350亿</t>
  </si>
  <si>
    <t>344.35万</t>
  </si>
  <si>
    <t>7915.75万</t>
  </si>
  <si>
    <t>3518.58万</t>
  </si>
  <si>
    <t>613896亿</t>
  </si>
  <si>
    <t>8494066亿</t>
  </si>
  <si>
    <t>45479075亿</t>
  </si>
  <si>
    <t>718384390亿</t>
  </si>
  <si>
    <t>6156.87万</t>
  </si>
  <si>
    <t>9507.01万</t>
  </si>
  <si>
    <t>6260.47万</t>
  </si>
  <si>
    <t>4.53亿</t>
  </si>
  <si>
    <t>423894亿</t>
  </si>
  <si>
    <t>3866344亿</t>
  </si>
  <si>
    <t>72784823亿</t>
  </si>
  <si>
    <t>518597590亿</t>
  </si>
  <si>
    <t>476.58万</t>
  </si>
  <si>
    <t>-1607亿</t>
  </si>
  <si>
    <t>-5225710亿</t>
  </si>
  <si>
    <t>73300405亿</t>
  </si>
  <si>
    <t>300819080亿</t>
  </si>
  <si>
    <t>5076.74万</t>
  </si>
  <si>
    <t>10转4股派0.3元(含税)</t>
  </si>
  <si>
    <t>5799.08万</t>
  </si>
  <si>
    <t>14.05亿</t>
  </si>
  <si>
    <t>1794535亿</t>
  </si>
  <si>
    <t>-778794亿</t>
  </si>
  <si>
    <t>328933820亿</t>
  </si>
  <si>
    <t>1437802900亿</t>
  </si>
  <si>
    <t>10.57亿</t>
  </si>
  <si>
    <t>9850.07万</t>
  </si>
  <si>
    <t>-896.7亿</t>
  </si>
  <si>
    <t>5371239亿</t>
  </si>
  <si>
    <t>471400710亿</t>
  </si>
  <si>
    <t>2168132100亿</t>
  </si>
  <si>
    <t>13.53亿</t>
  </si>
  <si>
    <t>602347亿</t>
  </si>
  <si>
    <t>48251195亿</t>
  </si>
  <si>
    <t>380163060亿</t>
  </si>
  <si>
    <t>1252634080亿</t>
  </si>
  <si>
    <t>10派10.1元(含税)</t>
  </si>
  <si>
    <t>325309亿</t>
  </si>
  <si>
    <t>33104096亿</t>
  </si>
  <si>
    <t>332613280亿</t>
  </si>
  <si>
    <t>1399262900亿</t>
  </si>
  <si>
    <t>10转4.5股派7.5元(含税)</t>
  </si>
  <si>
    <t>8-1</t>
  </si>
  <si>
    <t>9030.63万</t>
  </si>
  <si>
    <t>8075.54万</t>
  </si>
  <si>
    <t>1265573亿</t>
  </si>
  <si>
    <t>14715752亿</t>
  </si>
  <si>
    <t>101398587亿</t>
  </si>
  <si>
    <t>898330340亿</t>
  </si>
  <si>
    <t>2520.53万</t>
  </si>
  <si>
    <t>9676.63万</t>
  </si>
  <si>
    <t>9600.98万</t>
  </si>
  <si>
    <t>1738.85万</t>
  </si>
  <si>
    <t>8.75亿</t>
  </si>
  <si>
    <t>3902199亿</t>
  </si>
  <si>
    <t>22362803亿</t>
  </si>
  <si>
    <t>209701190亿</t>
  </si>
  <si>
    <t>1792367200亿</t>
  </si>
  <si>
    <t>30.60亿</t>
  </si>
  <si>
    <t>40.70亿</t>
  </si>
  <si>
    <t>2640954亿</t>
  </si>
  <si>
    <t>-22338958亿</t>
  </si>
  <si>
    <t>527194200亿</t>
  </si>
  <si>
    <t>3061122900亿</t>
  </si>
  <si>
    <t>9487.92万</t>
  </si>
  <si>
    <t>8739.44万</t>
  </si>
  <si>
    <t>619571亿</t>
  </si>
  <si>
    <t>7482055亿</t>
  </si>
  <si>
    <t>60644591亿</t>
  </si>
  <si>
    <t>78.46万</t>
  </si>
  <si>
    <t>915624300亿</t>
  </si>
  <si>
    <t>10派5.1元(含税)</t>
  </si>
  <si>
    <t>3567.07万</t>
  </si>
  <si>
    <t>3051.66万</t>
  </si>
  <si>
    <t>-113845亿</t>
  </si>
  <si>
    <t>-19787595亿</t>
  </si>
  <si>
    <t>252826240亿</t>
  </si>
  <si>
    <t>876169770亿</t>
  </si>
  <si>
    <t>3110.31万</t>
  </si>
  <si>
    <t>-325.29万</t>
  </si>
  <si>
    <t>14.37亿</t>
  </si>
  <si>
    <t>39735071亿</t>
  </si>
  <si>
    <t>171343040亿</t>
  </si>
  <si>
    <t>1175190740亿</t>
  </si>
  <si>
    <t>155.88万</t>
  </si>
  <si>
    <t>29.99亿</t>
  </si>
  <si>
    <t>20.86亿</t>
  </si>
  <si>
    <t>8053.33万</t>
  </si>
  <si>
    <t>34518亿</t>
  </si>
  <si>
    <t>6721428亿</t>
  </si>
  <si>
    <t>414629400亿</t>
  </si>
  <si>
    <t>4048154300亿</t>
  </si>
  <si>
    <t>7.70亿</t>
  </si>
  <si>
    <t>10派0.56元(含税)</t>
  </si>
  <si>
    <t>6190.74万</t>
  </si>
  <si>
    <t>-834754亿</t>
  </si>
  <si>
    <t>12186330亿</t>
  </si>
  <si>
    <t>341488860亿</t>
  </si>
  <si>
    <t>1256996220亿</t>
  </si>
  <si>
    <t>8.43亿</t>
  </si>
  <si>
    <t>7862.39万</t>
  </si>
  <si>
    <t>15781422亿</t>
  </si>
  <si>
    <t>6.58亿</t>
  </si>
  <si>
    <t>133580110亿</t>
  </si>
  <si>
    <t>947718850亿</t>
  </si>
  <si>
    <t>-1.49亿</t>
  </si>
  <si>
    <t>9919.41万</t>
  </si>
  <si>
    <t>9862.59万</t>
  </si>
  <si>
    <t>2409.07万</t>
  </si>
  <si>
    <t>258603亿</t>
  </si>
  <si>
    <t>4080729亿</t>
  </si>
  <si>
    <t>140852710亿</t>
  </si>
  <si>
    <t>583217500亿</t>
  </si>
  <si>
    <t>10派0.85元(含税)</t>
  </si>
  <si>
    <t>575891亿</t>
  </si>
  <si>
    <t>35364193亿</t>
  </si>
  <si>
    <t>512027270亿</t>
  </si>
  <si>
    <t>2005477800亿</t>
  </si>
  <si>
    <t>8683.90万</t>
  </si>
  <si>
    <t>665753亿</t>
  </si>
  <si>
    <t>10144410亿</t>
  </si>
  <si>
    <t>127968814亿</t>
  </si>
  <si>
    <t>1085889160亿</t>
  </si>
  <si>
    <t>10转4.5股派5元(含税)</t>
  </si>
  <si>
    <t>5140.93万</t>
  </si>
  <si>
    <t>-31806亿</t>
  </si>
  <si>
    <t>17600578亿</t>
  </si>
  <si>
    <t>83046268亿</t>
  </si>
  <si>
    <t>696740140亿</t>
  </si>
  <si>
    <t>10转3股派2.5元(含税)</t>
  </si>
  <si>
    <t>5806445亿</t>
  </si>
  <si>
    <t>33953414亿</t>
  </si>
  <si>
    <t>330629280亿</t>
  </si>
  <si>
    <t>3524475900亿</t>
  </si>
  <si>
    <t>10派4.5元(含税)</t>
  </si>
  <si>
    <t>4146515亿</t>
  </si>
  <si>
    <t>23626252亿</t>
  </si>
  <si>
    <t>227891080亿</t>
  </si>
  <si>
    <t>1443675500亿</t>
  </si>
  <si>
    <t>10转4.5股派10元(含税)</t>
  </si>
  <si>
    <t>47.17亿</t>
  </si>
  <si>
    <t>610.21万</t>
  </si>
  <si>
    <t>3111.74万</t>
  </si>
  <si>
    <t>-19561239亿</t>
  </si>
  <si>
    <t>71166899亿</t>
  </si>
  <si>
    <t>333405300亿</t>
  </si>
  <si>
    <t>4839945700亿</t>
  </si>
  <si>
    <t>19-1</t>
  </si>
  <si>
    <t>SZ301596</t>
  </si>
  <si>
    <t>瑞迪智驱</t>
  </si>
  <si>
    <t>8630.57万</t>
  </si>
  <si>
    <t>328.85万</t>
  </si>
  <si>
    <t>653.38万</t>
  </si>
  <si>
    <t>23722100亿</t>
  </si>
  <si>
    <t>134538010亿</t>
  </si>
  <si>
    <t>511229120亿</t>
  </si>
  <si>
    <t>7488.43万</t>
  </si>
  <si>
    <t>38.51亿</t>
  </si>
  <si>
    <t>38.61亿</t>
  </si>
  <si>
    <t>-431054亿</t>
  </si>
  <si>
    <t>75252950亿</t>
  </si>
  <si>
    <t>1041877510亿</t>
  </si>
  <si>
    <t>2660188600亿</t>
  </si>
  <si>
    <t>10派2.0元(含税)</t>
  </si>
  <si>
    <t>-7.98亿</t>
  </si>
  <si>
    <t>-338232亿</t>
  </si>
  <si>
    <t>-125180535亿</t>
  </si>
  <si>
    <t>810567900亿</t>
  </si>
  <si>
    <t>3372602600亿</t>
  </si>
  <si>
    <t>14.23亿</t>
  </si>
  <si>
    <t>2133.68万</t>
  </si>
  <si>
    <t>-229331亿</t>
  </si>
  <si>
    <t>-5360550亿</t>
  </si>
  <si>
    <t>1069431330亿</t>
  </si>
  <si>
    <t>2342996600亿</t>
  </si>
  <si>
    <t>5726.44万</t>
  </si>
  <si>
    <t>264291亿</t>
  </si>
  <si>
    <t>-8047208亿</t>
  </si>
  <si>
    <t>59372279亿</t>
  </si>
  <si>
    <t>590201720亿</t>
  </si>
  <si>
    <t>14.52亿</t>
  </si>
  <si>
    <t>-1.95亿</t>
  </si>
  <si>
    <t>-877702亿</t>
  </si>
  <si>
    <t>-23713384亿</t>
  </si>
  <si>
    <t>625223060亿</t>
  </si>
  <si>
    <t>1681890000亿</t>
  </si>
  <si>
    <t>2197.56万</t>
  </si>
  <si>
    <t>-827.95万</t>
  </si>
  <si>
    <t>-801218亿</t>
  </si>
  <si>
    <t>64440177亿</t>
  </si>
  <si>
    <t>134860430亿</t>
  </si>
  <si>
    <t>34.38亿</t>
  </si>
  <si>
    <t>577348亿</t>
  </si>
  <si>
    <t>25891880亿</t>
  </si>
  <si>
    <t>361547650亿</t>
  </si>
  <si>
    <t>1770907300亿</t>
  </si>
  <si>
    <t>6808.24万</t>
  </si>
  <si>
    <t>19.04亿</t>
  </si>
  <si>
    <t>1964588亿</t>
  </si>
  <si>
    <t>48049950亿</t>
  </si>
  <si>
    <t>557133730亿</t>
  </si>
  <si>
    <t>2650793000亿</t>
  </si>
  <si>
    <t>10派1.27元(含税)</t>
  </si>
  <si>
    <t>13.78亿</t>
  </si>
  <si>
    <t>-5167.51万</t>
  </si>
  <si>
    <t>5361193亿</t>
  </si>
  <si>
    <t>-9784864亿</t>
  </si>
  <si>
    <t>419425860亿</t>
  </si>
  <si>
    <t>1371916200亿</t>
  </si>
  <si>
    <t>1831.52万</t>
  </si>
  <si>
    <t>3388.76万</t>
  </si>
  <si>
    <t>1241098亿</t>
  </si>
  <si>
    <t>6074276亿</t>
  </si>
  <si>
    <t>503194730亿</t>
  </si>
  <si>
    <t>1795113300亿</t>
  </si>
  <si>
    <t>2283.87万</t>
  </si>
  <si>
    <t>10派0.42元(含税)</t>
  </si>
  <si>
    <t>10.50亿</t>
  </si>
  <si>
    <t>23.14亿</t>
  </si>
  <si>
    <t>-1928.56万</t>
  </si>
  <si>
    <t>2032012亿</t>
  </si>
  <si>
    <t>-21076717亿</t>
  </si>
  <si>
    <t>688424230亿</t>
  </si>
  <si>
    <t>2927575800亿</t>
  </si>
  <si>
    <t>-2.32亿</t>
  </si>
  <si>
    <t>账面净赚</t>
  </si>
  <si>
    <t>23.56亿</t>
  </si>
  <si>
    <t>18.83亿</t>
  </si>
  <si>
    <t>47186842亿</t>
  </si>
  <si>
    <t>48493265亿</t>
  </si>
  <si>
    <t>455740830亿</t>
  </si>
  <si>
    <t>1787965000亿</t>
  </si>
  <si>
    <t>10派0.50元(含税)</t>
  </si>
  <si>
    <t>161.47亿</t>
  </si>
  <si>
    <t>24.92亿</t>
  </si>
  <si>
    <t>101.43亿</t>
  </si>
  <si>
    <t>-3571035亿</t>
  </si>
  <si>
    <t>220913320亿</t>
  </si>
  <si>
    <t>3885544100亿</t>
  </si>
  <si>
    <t>22466170000亿</t>
  </si>
  <si>
    <t>13.52亿</t>
  </si>
  <si>
    <t>10派3.9元(含税)</t>
  </si>
  <si>
    <t>23.04亿</t>
  </si>
  <si>
    <t>33.23亿</t>
  </si>
  <si>
    <t>3592940亿</t>
  </si>
  <si>
    <t>106948379亿</t>
  </si>
  <si>
    <t>353515520亿</t>
  </si>
  <si>
    <t>3595622300亿</t>
  </si>
  <si>
    <t>10派2.70元(含税)</t>
  </si>
  <si>
    <t>3183.51万</t>
  </si>
  <si>
    <t>104497亿</t>
  </si>
  <si>
    <t>-6617709亿</t>
  </si>
  <si>
    <t>283800260亿</t>
  </si>
  <si>
    <t>915410960亿</t>
  </si>
  <si>
    <t>28.05亿</t>
  </si>
  <si>
    <t>41207598亿</t>
  </si>
  <si>
    <t>460354820亿</t>
  </si>
  <si>
    <t>4144303100亿</t>
  </si>
  <si>
    <t>11.09亿</t>
  </si>
  <si>
    <t>7919.96万</t>
  </si>
  <si>
    <t>4372.14万</t>
  </si>
  <si>
    <t>5-0</t>
  </si>
  <si>
    <t>82232亿</t>
  </si>
  <si>
    <t>50340055亿</t>
  </si>
  <si>
    <t>112066369亿</t>
  </si>
  <si>
    <t>1150983040亿</t>
  </si>
  <si>
    <t>10派2.9元(含税)</t>
  </si>
  <si>
    <t>5377.96万</t>
  </si>
  <si>
    <t>6.15亿</t>
  </si>
  <si>
    <t>5472亿</t>
  </si>
  <si>
    <t>15669463亿</t>
  </si>
  <si>
    <t>206082360亿</t>
  </si>
  <si>
    <t>568934360亿</t>
  </si>
  <si>
    <t>267.88万</t>
  </si>
  <si>
    <t>-6-0</t>
  </si>
  <si>
    <t>-5424.56万</t>
  </si>
  <si>
    <t>165394亿</t>
  </si>
  <si>
    <t>16729325亿</t>
  </si>
  <si>
    <t>399863310亿</t>
  </si>
  <si>
    <t>1633800200亿</t>
  </si>
  <si>
    <t>32.05亿</t>
  </si>
  <si>
    <t>5625413亿</t>
  </si>
  <si>
    <t>97672866亿</t>
  </si>
  <si>
    <t>1571606900亿</t>
  </si>
  <si>
    <t>4235164800亿</t>
  </si>
  <si>
    <t>27.52亿</t>
  </si>
  <si>
    <t>522754亿</t>
  </si>
  <si>
    <t>47317700亿</t>
  </si>
  <si>
    <t>633905760亿</t>
  </si>
  <si>
    <t>2032036300亿</t>
  </si>
  <si>
    <t>10转4股派6.50元(含税)</t>
  </si>
  <si>
    <t>22.47亿</t>
  </si>
  <si>
    <t>8481.96万</t>
  </si>
  <si>
    <t>-4732亿</t>
  </si>
  <si>
    <t>12673521亿</t>
  </si>
  <si>
    <t>658539270亿</t>
  </si>
  <si>
    <t>3101287000亿</t>
  </si>
  <si>
    <t>1924.51万</t>
  </si>
  <si>
    <t>253807亿</t>
  </si>
  <si>
    <t>24627650亿</t>
  </si>
  <si>
    <t>423166350亿</t>
  </si>
  <si>
    <t>1810180000亿</t>
  </si>
  <si>
    <t>3466.65万</t>
  </si>
  <si>
    <t>26.53亿</t>
  </si>
  <si>
    <t>4010973亿</t>
  </si>
  <si>
    <t>158521610亿</t>
  </si>
  <si>
    <t>261718110亿</t>
  </si>
  <si>
    <t>2773085400亿</t>
  </si>
  <si>
    <t>46.83亿</t>
  </si>
  <si>
    <t>12.39亿</t>
  </si>
  <si>
    <t>55.56亿</t>
  </si>
  <si>
    <t>9585.25万</t>
  </si>
  <si>
    <t>-585750亿</t>
  </si>
  <si>
    <t>3414679亿</t>
  </si>
  <si>
    <t>1366970100亿</t>
  </si>
  <si>
    <t>4167409500亿</t>
  </si>
  <si>
    <t>39.04亿</t>
  </si>
  <si>
    <t>3351.24万</t>
  </si>
  <si>
    <t>24.12亿</t>
  </si>
  <si>
    <t>-122.3亿</t>
  </si>
  <si>
    <t>89622730亿</t>
  </si>
  <si>
    <t>1094477120亿</t>
  </si>
  <si>
    <t>3881824600亿</t>
  </si>
  <si>
    <t>24.04万</t>
  </si>
  <si>
    <t>19.24亿</t>
  </si>
  <si>
    <t>-1616592亿</t>
  </si>
  <si>
    <t>24815401亿</t>
  </si>
  <si>
    <t>381566390亿</t>
  </si>
  <si>
    <t>1160313000亿</t>
  </si>
  <si>
    <t>6735.77万</t>
  </si>
  <si>
    <t>22.29亿</t>
  </si>
  <si>
    <t>1804440亿</t>
  </si>
  <si>
    <t>50195380亿</t>
  </si>
  <si>
    <t>34025350亿</t>
  </si>
  <si>
    <t>2452381700亿</t>
  </si>
  <si>
    <t>10派2.6元(含税)</t>
  </si>
  <si>
    <t>31.06亿</t>
  </si>
  <si>
    <t>-812172亿</t>
  </si>
  <si>
    <t>34483780亿</t>
  </si>
  <si>
    <t>849900880亿</t>
  </si>
  <si>
    <t>2779798900亿</t>
  </si>
  <si>
    <t>40.55亿</t>
  </si>
  <si>
    <t>55.44亿</t>
  </si>
  <si>
    <t>882299亿</t>
  </si>
  <si>
    <t>193563390亿</t>
  </si>
  <si>
    <t>2210793800亿</t>
  </si>
  <si>
    <t>6183482800亿</t>
  </si>
  <si>
    <t>10派5.2元(含税)</t>
  </si>
  <si>
    <t>9.52亿</t>
  </si>
  <si>
    <t>12.78亿</t>
  </si>
  <si>
    <t>38856670亿</t>
  </si>
  <si>
    <t>336814530亿</t>
  </si>
  <si>
    <t>1663485800亿</t>
  </si>
  <si>
    <t>-1.82亿</t>
  </si>
  <si>
    <t>6.35亿</t>
  </si>
  <si>
    <t>3536.84万</t>
  </si>
  <si>
    <t>1707429亿</t>
  </si>
  <si>
    <t>581384亿</t>
  </si>
  <si>
    <t>312834690亿</t>
  </si>
  <si>
    <t>2611131400亿</t>
  </si>
  <si>
    <t>26.60亿</t>
  </si>
  <si>
    <t>19.68亿</t>
  </si>
  <si>
    <t>7151614亿</t>
  </si>
  <si>
    <t>57465567亿</t>
  </si>
  <si>
    <t>391708320亿</t>
  </si>
  <si>
    <t>3250620700亿</t>
  </si>
  <si>
    <t>-1.38亿</t>
  </si>
  <si>
    <t>8039.01万</t>
  </si>
  <si>
    <t>27.49亿</t>
  </si>
  <si>
    <t>23.34亿</t>
  </si>
  <si>
    <t>39202254亿</t>
  </si>
  <si>
    <t>1320909870亿</t>
  </si>
  <si>
    <t>2682976100亿</t>
  </si>
  <si>
    <t>10.72亿</t>
  </si>
  <si>
    <t>-4741470亿</t>
  </si>
  <si>
    <t>51170869亿</t>
  </si>
  <si>
    <t>330715680亿</t>
  </si>
  <si>
    <t>1354375300亿</t>
  </si>
  <si>
    <t>1041217亿</t>
  </si>
  <si>
    <t>28885561亿</t>
  </si>
  <si>
    <t>211165780亿</t>
  </si>
  <si>
    <t>1331975720亿</t>
  </si>
  <si>
    <t>9737.37万</t>
  </si>
  <si>
    <t>-369166亿</t>
  </si>
  <si>
    <t>21138992亿</t>
  </si>
  <si>
    <t>154297760亿</t>
  </si>
  <si>
    <t>787680730亿</t>
  </si>
  <si>
    <t>9.54亿</t>
  </si>
  <si>
    <t>56604亿</t>
  </si>
  <si>
    <t>16480801亿</t>
  </si>
  <si>
    <t>374335570亿</t>
  </si>
  <si>
    <t>1031673310亿</t>
  </si>
  <si>
    <t>10派8元(含税)</t>
  </si>
  <si>
    <t>30.47亿</t>
  </si>
  <si>
    <t>19.57亿</t>
  </si>
  <si>
    <t>2085.27万</t>
  </si>
  <si>
    <t>407317亿</t>
  </si>
  <si>
    <t>-69400899亿</t>
  </si>
  <si>
    <t>507609340亿</t>
  </si>
  <si>
    <t>4548233500亿</t>
  </si>
  <si>
    <t>2001.77万</t>
  </si>
  <si>
    <t>-1.33亿</t>
  </si>
  <si>
    <t>5274.10万</t>
  </si>
  <si>
    <t>4228.73万</t>
  </si>
  <si>
    <t>1087870亿</t>
  </si>
  <si>
    <t>-11301831亿</t>
  </si>
  <si>
    <t>343186730亿</t>
  </si>
  <si>
    <t>1257413030亿</t>
  </si>
  <si>
    <t>7089.40万</t>
  </si>
  <si>
    <t>10转4.5股派2.2元(含税)</t>
  </si>
  <si>
    <t>11.78亿</t>
  </si>
  <si>
    <t>15.49亿</t>
  </si>
  <si>
    <t>10.46亿</t>
  </si>
  <si>
    <t>2601127亿</t>
  </si>
  <si>
    <t>38745830亿</t>
  </si>
  <si>
    <t>572295040亿</t>
  </si>
  <si>
    <t>2364703000亿</t>
  </si>
  <si>
    <t>15787亿</t>
  </si>
  <si>
    <t>10584385亿</t>
  </si>
  <si>
    <t>134705970亿</t>
  </si>
  <si>
    <t>1004709950亿</t>
  </si>
  <si>
    <t>6034.29万</t>
  </si>
  <si>
    <t>758195亿</t>
  </si>
  <si>
    <t>13371772亿</t>
  </si>
  <si>
    <t>447508140亿</t>
  </si>
  <si>
    <t>2358212400亿</t>
  </si>
  <si>
    <t>1880033亿</t>
  </si>
  <si>
    <t>-13833698亿</t>
  </si>
  <si>
    <t>923166610亿</t>
  </si>
  <si>
    <t>4574169500亿</t>
  </si>
  <si>
    <t>6.10亿</t>
  </si>
  <si>
    <t>-1.31亿</t>
  </si>
  <si>
    <t>10转4股派1.46元(含税)</t>
  </si>
  <si>
    <t>1466.35万</t>
  </si>
  <si>
    <t>1087501亿</t>
  </si>
  <si>
    <t>2286351亿</t>
  </si>
  <si>
    <t>137980740亿</t>
  </si>
  <si>
    <t>1045621960亿</t>
  </si>
  <si>
    <t>13.84亿</t>
  </si>
  <si>
    <t>8758.52万</t>
  </si>
  <si>
    <t>1088315亿</t>
  </si>
  <si>
    <t>18461626亿</t>
  </si>
  <si>
    <t>660860190亿</t>
  </si>
  <si>
    <t>1715976200亿</t>
  </si>
  <si>
    <t>14.15亿</t>
  </si>
  <si>
    <t>4160.28万</t>
  </si>
  <si>
    <t>13.79亿</t>
  </si>
  <si>
    <t>-223773亿</t>
  </si>
  <si>
    <t>6795593亿</t>
  </si>
  <si>
    <t>340736070亿</t>
  </si>
  <si>
    <t>1485257200亿</t>
  </si>
  <si>
    <t>-246327亿</t>
  </si>
  <si>
    <t>24296842亿</t>
  </si>
  <si>
    <t>251271820亿</t>
  </si>
  <si>
    <t>1735864100亿</t>
  </si>
  <si>
    <t>9916.61万</t>
  </si>
  <si>
    <t>4366.51万</t>
  </si>
  <si>
    <t>4806.48万</t>
  </si>
  <si>
    <t>298989亿</t>
  </si>
  <si>
    <t>-3701668亿</t>
  </si>
  <si>
    <t>235629180亿</t>
  </si>
  <si>
    <t>1067856790亿</t>
  </si>
  <si>
    <t>14.21亿</t>
  </si>
  <si>
    <t>11.48亿</t>
  </si>
  <si>
    <t>-7792.91万</t>
  </si>
  <si>
    <t>2225782亿</t>
  </si>
  <si>
    <t>-33290822亿</t>
  </si>
  <si>
    <t>356362370亿</t>
  </si>
  <si>
    <t>2252256800亿</t>
  </si>
  <si>
    <t>7174.89万</t>
  </si>
  <si>
    <t>259033亿</t>
  </si>
  <si>
    <t>-14890218亿</t>
  </si>
  <si>
    <t>537828210亿</t>
  </si>
  <si>
    <t>1105596950亿</t>
  </si>
  <si>
    <t>10转4股派4.6元(含税)</t>
  </si>
  <si>
    <t>1593607亿</t>
  </si>
  <si>
    <t>24095110亿</t>
  </si>
  <si>
    <t>61951394亿</t>
  </si>
  <si>
    <t>1588373300亿</t>
  </si>
  <si>
    <t>3640.61万</t>
  </si>
  <si>
    <t>2944.11万</t>
  </si>
  <si>
    <t>2093917亿</t>
  </si>
  <si>
    <t>114000773亿</t>
  </si>
  <si>
    <t>762981160亿</t>
  </si>
  <si>
    <t>-1.90亿</t>
  </si>
  <si>
    <t>5972.85万</t>
  </si>
  <si>
    <t>10转4股派6元(含税)</t>
  </si>
  <si>
    <t>7159.38万</t>
  </si>
  <si>
    <t>-21269648亿</t>
  </si>
  <si>
    <t>273421900亿</t>
  </si>
  <si>
    <t>1905470100亿</t>
  </si>
  <si>
    <t>20.45亿</t>
  </si>
  <si>
    <t>23.21亿</t>
  </si>
  <si>
    <t>17.07亿</t>
  </si>
  <si>
    <t>1521571亿</t>
  </si>
  <si>
    <t>59901615亿</t>
  </si>
  <si>
    <t>269609380亿</t>
  </si>
  <si>
    <t>3246612800亿</t>
  </si>
  <si>
    <t>3.51亿</t>
  </si>
  <si>
    <t>1992.43万</t>
  </si>
  <si>
    <t>666.06亿</t>
  </si>
  <si>
    <t>318.45亿</t>
  </si>
  <si>
    <t>291.41亿</t>
  </si>
  <si>
    <t>13.65亿</t>
  </si>
  <si>
    <t>9725.90万</t>
  </si>
  <si>
    <t>236.37亿</t>
  </si>
  <si>
    <t>49.18亿</t>
  </si>
  <si>
    <t>139.28亿</t>
  </si>
  <si>
    <t>49.07亿</t>
  </si>
  <si>
    <t>202.29亿</t>
  </si>
  <si>
    <t>732.40万</t>
  </si>
  <si>
    <t>808.92亿</t>
  </si>
  <si>
    <t>179.49亿</t>
  </si>
  <si>
    <t>-19.62亿</t>
  </si>
  <si>
    <t>-44.97亿</t>
  </si>
  <si>
    <t>96.96亿</t>
  </si>
  <si>
    <t>441.07万</t>
  </si>
  <si>
    <t>2035.35万</t>
  </si>
  <si>
    <t>4002.15万</t>
  </si>
  <si>
    <t>56.94万</t>
  </si>
  <si>
    <t>5270.00万</t>
  </si>
  <si>
    <t>-2154.68万</t>
  </si>
  <si>
    <t>2841.08万</t>
  </si>
  <si>
    <t>1784.52万</t>
  </si>
  <si>
    <t>528.93万</t>
  </si>
  <si>
    <t>31.34亿</t>
  </si>
  <si>
    <t>4878.63万</t>
  </si>
  <si>
    <t>5761.29万</t>
  </si>
  <si>
    <t>95.39万</t>
  </si>
  <si>
    <t>17.08亿</t>
  </si>
  <si>
    <t>39.46亿</t>
  </si>
  <si>
    <t>-1.58亿</t>
  </si>
  <si>
    <t>1638.60万</t>
  </si>
  <si>
    <t>1375.72万</t>
  </si>
  <si>
    <t>3143.32万</t>
  </si>
  <si>
    <t>380.14万</t>
  </si>
  <si>
    <t>7237.08万</t>
  </si>
  <si>
    <t>5776.75万</t>
  </si>
  <si>
    <t>275.98万</t>
  </si>
  <si>
    <t>863.21万</t>
  </si>
  <si>
    <t>21.88万</t>
  </si>
  <si>
    <t>8156.53万</t>
  </si>
  <si>
    <t>4789.26万</t>
  </si>
  <si>
    <t>3214.58万</t>
  </si>
  <si>
    <t>1945.21万</t>
  </si>
  <si>
    <t>6009.98万</t>
  </si>
  <si>
    <t>-2035.71万</t>
  </si>
  <si>
    <t>-862.87万</t>
  </si>
  <si>
    <t>813.85万</t>
  </si>
  <si>
    <t>2687.23万</t>
  </si>
  <si>
    <t>542.73万</t>
  </si>
  <si>
    <t>19.89亿</t>
  </si>
  <si>
    <t>1433.63万</t>
  </si>
  <si>
    <t>3432.18万</t>
  </si>
  <si>
    <t>483.94万</t>
  </si>
  <si>
    <t>7997.65万</t>
  </si>
  <si>
    <t>9634.48万</t>
  </si>
  <si>
    <t>332.14万</t>
  </si>
  <si>
    <t>-768.09万</t>
  </si>
  <si>
    <t>1734.00万</t>
  </si>
  <si>
    <t>3333.38万</t>
  </si>
  <si>
    <t>608.46万</t>
  </si>
  <si>
    <t>59.30亿</t>
  </si>
  <si>
    <t>8464.93万</t>
  </si>
  <si>
    <t>46.18万</t>
  </si>
  <si>
    <t>17.14亿</t>
  </si>
  <si>
    <t>12.09亿</t>
  </si>
  <si>
    <t>42.32亿</t>
  </si>
  <si>
    <t>-3.77亿</t>
  </si>
  <si>
    <t>9675.79万</t>
  </si>
  <si>
    <t>2780.05万</t>
  </si>
  <si>
    <t>1746.03万</t>
  </si>
  <si>
    <t>24.88亿</t>
  </si>
  <si>
    <t>1903.69万</t>
  </si>
  <si>
    <t>1781.12万</t>
  </si>
  <si>
    <t>2.38万</t>
  </si>
  <si>
    <t>3274.52万</t>
  </si>
  <si>
    <t>6128.10万</t>
  </si>
  <si>
    <t>-8110.98万</t>
  </si>
  <si>
    <t>-1029.12万</t>
  </si>
  <si>
    <t>-1491.23万</t>
  </si>
  <si>
    <t>6.23亿</t>
  </si>
  <si>
    <t>768.07万</t>
  </si>
  <si>
    <t>54.29亿</t>
  </si>
  <si>
    <t>3446.70万</t>
  </si>
  <si>
    <t>8056.10万</t>
  </si>
  <si>
    <t>48.17万</t>
  </si>
  <si>
    <t>8442.59万</t>
  </si>
  <si>
    <t>29.69万</t>
  </si>
  <si>
    <t>32.76亿</t>
  </si>
  <si>
    <t>-6060.93万</t>
  </si>
  <si>
    <t>4546.37万</t>
  </si>
  <si>
    <t>145.88万</t>
  </si>
  <si>
    <t>8902.49万</t>
  </si>
  <si>
    <t>241.97万</t>
  </si>
  <si>
    <t>706.19万</t>
  </si>
  <si>
    <t>743.32万</t>
  </si>
  <si>
    <t>1400.87万</t>
  </si>
  <si>
    <t>5225.15万</t>
  </si>
  <si>
    <t>2220.07万</t>
  </si>
  <si>
    <t>-1868.48万</t>
  </si>
  <si>
    <t>555.80万</t>
  </si>
  <si>
    <t>4528.22万</t>
  </si>
  <si>
    <t>109.92万</t>
  </si>
  <si>
    <t>14.38亿</t>
  </si>
  <si>
    <t>416.06万</t>
  </si>
  <si>
    <t>723.08万</t>
  </si>
  <si>
    <t>1370.85万</t>
  </si>
  <si>
    <t>2537.15万</t>
  </si>
  <si>
    <t>7031.35万</t>
  </si>
  <si>
    <t>410.19万</t>
  </si>
  <si>
    <t>5774.30万</t>
  </si>
  <si>
    <t>1568.78万</t>
  </si>
  <si>
    <t>-8527.04万</t>
  </si>
  <si>
    <t>-1871.55万</t>
  </si>
  <si>
    <t>811.24万</t>
  </si>
  <si>
    <t>7717.13万</t>
  </si>
  <si>
    <t>6641.48万</t>
  </si>
  <si>
    <t>53.66亿</t>
  </si>
  <si>
    <t>21.75亿</t>
  </si>
  <si>
    <t>19.85亿</t>
  </si>
  <si>
    <t>4832.31万</t>
  </si>
  <si>
    <t>5190.76万</t>
  </si>
  <si>
    <t>62.68万</t>
  </si>
  <si>
    <t>829.76万</t>
  </si>
  <si>
    <t>27.24亿</t>
  </si>
  <si>
    <t>17.72亿</t>
  </si>
  <si>
    <t>-1.99亿</t>
  </si>
  <si>
    <t>37.68亿</t>
  </si>
  <si>
    <t>345.56万</t>
  </si>
  <si>
    <t>35.15亿</t>
  </si>
  <si>
    <t>750.65万</t>
  </si>
  <si>
    <t>3245.56万</t>
  </si>
  <si>
    <t>41.70万</t>
  </si>
  <si>
    <t>233.49万</t>
  </si>
  <si>
    <t>6300.26万</t>
  </si>
  <si>
    <t>63.91万</t>
  </si>
  <si>
    <t>15.27亿</t>
  </si>
  <si>
    <t>9165.71万</t>
  </si>
  <si>
    <t>6710.13万</t>
  </si>
  <si>
    <t>1977.35万</t>
  </si>
  <si>
    <t>516.33万</t>
  </si>
  <si>
    <t>34.98亿</t>
  </si>
  <si>
    <t>2105.71万</t>
  </si>
  <si>
    <t>6072.31万</t>
  </si>
  <si>
    <t>47.93万</t>
  </si>
  <si>
    <t>-1.42亿</t>
  </si>
  <si>
    <t>-6145.62万</t>
  </si>
  <si>
    <t>-2387.78万</t>
  </si>
  <si>
    <t>3478.64万</t>
  </si>
  <si>
    <t>SZ002058</t>
  </si>
  <si>
    <t>威尔泰</t>
  </si>
  <si>
    <t>212.38万</t>
  </si>
  <si>
    <t>3320.84万</t>
  </si>
  <si>
    <t>-1705.89万</t>
  </si>
  <si>
    <t>3672.27万</t>
  </si>
  <si>
    <t>2440.15万</t>
  </si>
  <si>
    <t>379.63万</t>
  </si>
  <si>
    <t>613.13万</t>
  </si>
  <si>
    <t>3.05万</t>
  </si>
  <si>
    <t>-5137521亿</t>
  </si>
  <si>
    <t>4806.05万</t>
  </si>
  <si>
    <t>44399684亿</t>
  </si>
  <si>
    <t>1005.24万</t>
  </si>
  <si>
    <t>235250530亿</t>
  </si>
  <si>
    <t>2902.57万</t>
  </si>
  <si>
    <t>2201.33万</t>
  </si>
  <si>
    <t>-839.03万</t>
  </si>
  <si>
    <t>-43.71万</t>
  </si>
  <si>
    <t>424.55万</t>
  </si>
  <si>
    <t>8951.26万</t>
  </si>
  <si>
    <t>-2098.58万</t>
  </si>
  <si>
    <t>1462.30万</t>
  </si>
  <si>
    <t>208.76万</t>
  </si>
  <si>
    <t>-1397.72万</t>
  </si>
  <si>
    <t>456.65万</t>
  </si>
  <si>
    <t>2475.83万</t>
  </si>
  <si>
    <t>-603.40万</t>
  </si>
  <si>
    <t>仪器仪表</t>
  </si>
  <si>
    <t>1499.62万</t>
  </si>
  <si>
    <t>9374.48万</t>
  </si>
  <si>
    <t>2594.89万</t>
  </si>
  <si>
    <t>1083.45万</t>
  </si>
  <si>
    <t>3747.47万</t>
  </si>
  <si>
    <t>1.65万</t>
  </si>
  <si>
    <t>205.77万</t>
  </si>
  <si>
    <t>5302.80万</t>
  </si>
  <si>
    <t>12.28亿</t>
  </si>
  <si>
    <t>-4941.96万</t>
  </si>
  <si>
    <t>-2421.54万</t>
  </si>
  <si>
    <t>6294.42万</t>
  </si>
  <si>
    <t>5846.92万</t>
  </si>
  <si>
    <t>134.57亿</t>
  </si>
  <si>
    <t>48.18亿</t>
  </si>
  <si>
    <t>44.63亿</t>
  </si>
  <si>
    <t>34.67万</t>
  </si>
  <si>
    <t>30.50亿</t>
  </si>
  <si>
    <t>5.17亿</t>
  </si>
  <si>
    <t>33.33亿</t>
  </si>
  <si>
    <t>667.65万</t>
  </si>
  <si>
    <t>72.32亿</t>
  </si>
  <si>
    <t>-5.46亿</t>
  </si>
  <si>
    <t>-13.16亿</t>
  </si>
  <si>
    <t>3970.82万</t>
  </si>
  <si>
    <t>47.05亿</t>
  </si>
  <si>
    <t>909.34万</t>
  </si>
  <si>
    <t>36.88亿</t>
  </si>
  <si>
    <t>11.38亿</t>
  </si>
  <si>
    <t>10.28亿</t>
  </si>
  <si>
    <t>1640.33万</t>
  </si>
  <si>
    <t>3373.09万</t>
  </si>
  <si>
    <t>7.93万</t>
  </si>
  <si>
    <t>9.44亿</t>
  </si>
  <si>
    <t>21.18亿</t>
  </si>
  <si>
    <t>40.19亿</t>
  </si>
  <si>
    <t>3940.87万</t>
  </si>
  <si>
    <t>-7862.64万</t>
  </si>
  <si>
    <t>4522.11万</t>
  </si>
  <si>
    <t>6181.10万</t>
  </si>
  <si>
    <t>249.40万</t>
  </si>
  <si>
    <t>7087.03万</t>
  </si>
  <si>
    <t>5577.86万</t>
  </si>
  <si>
    <t>162.86万</t>
  </si>
  <si>
    <t>71.74万</t>
  </si>
  <si>
    <t>14.96亿</t>
  </si>
  <si>
    <t>-1.24亿</t>
  </si>
  <si>
    <t>-1695.93万</t>
  </si>
  <si>
    <t>8876.32万</t>
  </si>
  <si>
    <t>1524.68万</t>
  </si>
  <si>
    <t>232.46万</t>
  </si>
  <si>
    <t>4434.68万</t>
  </si>
  <si>
    <t>3426.85万</t>
  </si>
  <si>
    <t>2.50万</t>
  </si>
  <si>
    <t>15.43亿</t>
  </si>
  <si>
    <t>1504.87万</t>
  </si>
  <si>
    <t>5748.80万</t>
  </si>
  <si>
    <t>38.93万</t>
  </si>
  <si>
    <t>25.26亿</t>
  </si>
  <si>
    <t>1366.90万</t>
  </si>
  <si>
    <t>9793.08万</t>
  </si>
  <si>
    <t>497.88万</t>
  </si>
  <si>
    <t>13.37亿</t>
  </si>
  <si>
    <t>1407.48万</t>
  </si>
  <si>
    <t>1484.45万</t>
  </si>
  <si>
    <t>52.92万</t>
  </si>
  <si>
    <t>7906.01万</t>
  </si>
  <si>
    <t>1511.57万</t>
  </si>
  <si>
    <t>6722.44万</t>
  </si>
  <si>
    <t>692.77万</t>
  </si>
  <si>
    <t>-3587.12万</t>
  </si>
  <si>
    <t>-6700.41万</t>
  </si>
  <si>
    <t>-288.73万</t>
  </si>
  <si>
    <t>2618.68万</t>
  </si>
  <si>
    <t>SZ002175</t>
  </si>
  <si>
    <t>东方智造</t>
  </si>
  <si>
    <t>5141.64万</t>
  </si>
  <si>
    <t>5787.49万</t>
  </si>
  <si>
    <t>4393.64万</t>
  </si>
  <si>
    <t>5629.85万</t>
  </si>
  <si>
    <t>3853.65万</t>
  </si>
  <si>
    <t>255.17万</t>
  </si>
  <si>
    <t>1393.65万</t>
  </si>
  <si>
    <t>-48288亿</t>
  </si>
  <si>
    <t>749844亿</t>
  </si>
  <si>
    <t>30482942亿</t>
  </si>
  <si>
    <t>267654320亿</t>
  </si>
  <si>
    <t>1801.40万</t>
  </si>
  <si>
    <t>3534.57万</t>
  </si>
  <si>
    <t>290.24万</t>
  </si>
  <si>
    <t>9388.71万</t>
  </si>
  <si>
    <t>950.44万</t>
  </si>
  <si>
    <t>124.48万</t>
  </si>
  <si>
    <t>-447.75万</t>
  </si>
  <si>
    <t>1551.28万</t>
  </si>
  <si>
    <t>-10.75亿</t>
  </si>
  <si>
    <t>-10.18亿</t>
  </si>
  <si>
    <t>5040.21万</t>
  </si>
  <si>
    <t>74.85万</t>
  </si>
  <si>
    <t>1517.06万</t>
  </si>
  <si>
    <t>6644.58万</t>
  </si>
  <si>
    <t>7525.98万</t>
  </si>
  <si>
    <t>6360.47万</t>
  </si>
  <si>
    <t>445.51万</t>
  </si>
  <si>
    <t>311.64万</t>
  </si>
  <si>
    <t>3757.18万</t>
  </si>
  <si>
    <t>6249.44万</t>
  </si>
  <si>
    <t>871.22万</t>
  </si>
  <si>
    <t>4125.74万</t>
  </si>
  <si>
    <t>578.29万</t>
  </si>
  <si>
    <t>-2407.45万</t>
  </si>
  <si>
    <t>-115.76万</t>
  </si>
  <si>
    <t>1387.79万</t>
  </si>
  <si>
    <t>16.61亿</t>
  </si>
  <si>
    <t>2006.65万</t>
  </si>
  <si>
    <t>3525.30万</t>
  </si>
  <si>
    <t>50.25万</t>
  </si>
  <si>
    <t>9895.96万</t>
  </si>
  <si>
    <t>1770.28万</t>
  </si>
  <si>
    <t>5518.77万</t>
  </si>
  <si>
    <t>-256.02万</t>
  </si>
  <si>
    <t>4673.24万</t>
  </si>
  <si>
    <t>270.98万</t>
  </si>
  <si>
    <t>34.82亿</t>
  </si>
  <si>
    <t>1300.05万</t>
  </si>
  <si>
    <t>1730.68万</t>
  </si>
  <si>
    <t>24.62万</t>
  </si>
  <si>
    <t>1952.66万</t>
  </si>
  <si>
    <t>108.00万</t>
  </si>
  <si>
    <t>339.92万</t>
  </si>
  <si>
    <t>-1291.53万</t>
  </si>
  <si>
    <t>-9782.04万</t>
  </si>
  <si>
    <t>-75.54万</t>
  </si>
  <si>
    <t>10派1.548703元(含税)</t>
  </si>
  <si>
    <t>1663.86万</t>
  </si>
  <si>
    <t>558.93万</t>
  </si>
  <si>
    <t>24.80亿</t>
  </si>
  <si>
    <t>4427.25万</t>
  </si>
  <si>
    <t>3088.24万</t>
  </si>
  <si>
    <t>51.72万</t>
  </si>
  <si>
    <t>8916.81万</t>
  </si>
  <si>
    <t>19.56亿</t>
  </si>
  <si>
    <t>-5141.40万</t>
  </si>
  <si>
    <t>3084.51万</t>
  </si>
  <si>
    <t>651.07万</t>
  </si>
  <si>
    <t>12.24亿</t>
  </si>
  <si>
    <t>1225.59万</t>
  </si>
  <si>
    <t>2301.91万</t>
  </si>
  <si>
    <t>412.95万</t>
  </si>
  <si>
    <t>850.74万</t>
  </si>
  <si>
    <t>6625.52万</t>
  </si>
  <si>
    <t>-8060.34万</t>
  </si>
  <si>
    <t>-230.18万</t>
  </si>
  <si>
    <t>-234.58万</t>
  </si>
  <si>
    <t>3437.77万</t>
  </si>
  <si>
    <t>415.06万</t>
  </si>
  <si>
    <t>33.61亿</t>
  </si>
  <si>
    <t>1795.24万</t>
  </si>
  <si>
    <t>2648.88万</t>
  </si>
  <si>
    <t>5549.32万</t>
  </si>
  <si>
    <t>-9741.00万</t>
  </si>
  <si>
    <t>-1.76亿</t>
  </si>
  <si>
    <t>-7876.05万</t>
  </si>
  <si>
    <t>2859.88万</t>
  </si>
  <si>
    <t>1232.85万</t>
  </si>
  <si>
    <t>154.40亿</t>
  </si>
  <si>
    <t>22.69亿</t>
  </si>
  <si>
    <t>57.97万</t>
  </si>
  <si>
    <t>58.53亿</t>
  </si>
  <si>
    <t>1557.18万</t>
  </si>
  <si>
    <t>18.89亿</t>
  </si>
  <si>
    <t>1824.61万</t>
  </si>
  <si>
    <t>15.35亿</t>
  </si>
  <si>
    <t>49.35亿</t>
  </si>
  <si>
    <t>-2.92亿</t>
  </si>
  <si>
    <t>9473.63万</t>
  </si>
  <si>
    <t>930.45万</t>
  </si>
  <si>
    <t>21.78亿</t>
  </si>
  <si>
    <t>953.97万</t>
  </si>
  <si>
    <t>751.20万</t>
  </si>
  <si>
    <t>7295.76万</t>
  </si>
  <si>
    <t>4234.85万</t>
  </si>
  <si>
    <t>7697.00万</t>
  </si>
  <si>
    <t>3617.82万</t>
  </si>
  <si>
    <t>2005.00万</t>
  </si>
  <si>
    <t>1975.70万</t>
  </si>
  <si>
    <t>2311.31万</t>
  </si>
  <si>
    <t>7410.31万</t>
  </si>
  <si>
    <t>546.70万</t>
  </si>
  <si>
    <t>809.46万</t>
  </si>
  <si>
    <t>2451.16万</t>
  </si>
  <si>
    <t>9725.41万</t>
  </si>
  <si>
    <t>5193.28万</t>
  </si>
  <si>
    <t>7.79亿</t>
  </si>
  <si>
    <t>9230.81万</t>
  </si>
  <si>
    <t>14.49万</t>
  </si>
  <si>
    <t>14.42亿</t>
  </si>
  <si>
    <t>3081.91万</t>
  </si>
  <si>
    <t>2484.90万</t>
  </si>
  <si>
    <t>-4121.34万</t>
  </si>
  <si>
    <t>1761.47万</t>
  </si>
  <si>
    <t>3709.36万</t>
  </si>
  <si>
    <t>955.41万</t>
  </si>
  <si>
    <t>1512.69万</t>
  </si>
  <si>
    <t>4206.34万</t>
  </si>
  <si>
    <t>7149.13万</t>
  </si>
  <si>
    <t>1144.86万</t>
  </si>
  <si>
    <t>1723.51万</t>
  </si>
  <si>
    <t>27.13亿</t>
  </si>
  <si>
    <t>2742.11万</t>
  </si>
  <si>
    <t>9414.54万</t>
  </si>
  <si>
    <t>-1801.08万</t>
  </si>
  <si>
    <t>-5085.81万</t>
  </si>
  <si>
    <t>5818.44万</t>
  </si>
  <si>
    <t>2005.70万</t>
  </si>
  <si>
    <t>1270.55万</t>
  </si>
  <si>
    <t>3916.48万</t>
  </si>
  <si>
    <t>5.29万</t>
  </si>
  <si>
    <t>5548.25万</t>
  </si>
  <si>
    <t>8318.44万</t>
  </si>
  <si>
    <t>624.04万</t>
  </si>
  <si>
    <t>15.19万</t>
  </si>
  <si>
    <t>3325.20万</t>
  </si>
  <si>
    <t>-6302.66万</t>
  </si>
  <si>
    <t>96.10万</t>
  </si>
  <si>
    <t>-281.19万</t>
  </si>
  <si>
    <t>1105.27万</t>
  </si>
  <si>
    <t>3576.12万</t>
  </si>
  <si>
    <t>2114.95万</t>
  </si>
  <si>
    <t>5.70万</t>
  </si>
  <si>
    <t>11.74亿</t>
  </si>
  <si>
    <t>24.03亿</t>
  </si>
  <si>
    <t>-3813.61万</t>
  </si>
  <si>
    <t>-1.14亿</t>
  </si>
  <si>
    <t>6262.01万</t>
  </si>
  <si>
    <t>179.71万</t>
  </si>
  <si>
    <t>13.14亿</t>
  </si>
  <si>
    <t>3222.19万</t>
  </si>
  <si>
    <t>4701.15万</t>
  </si>
  <si>
    <t>62.41万</t>
  </si>
  <si>
    <t>1753.02万</t>
  </si>
  <si>
    <t>12.50亿</t>
  </si>
  <si>
    <t>-699.81万</t>
  </si>
  <si>
    <t>-2587.75万</t>
  </si>
  <si>
    <t>1659.73万</t>
  </si>
  <si>
    <t>1168.55万</t>
  </si>
  <si>
    <t>9138.42万</t>
  </si>
  <si>
    <t>234.42万</t>
  </si>
  <si>
    <t>6920.68万</t>
  </si>
  <si>
    <t>5287.95万</t>
  </si>
  <si>
    <t>460.84万</t>
  </si>
  <si>
    <t>749.49万</t>
  </si>
  <si>
    <t>1.62万</t>
  </si>
  <si>
    <t>5608.66万</t>
  </si>
  <si>
    <t>3515.76万</t>
  </si>
  <si>
    <t>63.58万</t>
  </si>
  <si>
    <t>1691.86万</t>
  </si>
  <si>
    <t>8447.23万</t>
  </si>
  <si>
    <t>257.76万</t>
  </si>
  <si>
    <t>-64.46万</t>
  </si>
  <si>
    <t>-159.65万</t>
  </si>
  <si>
    <t>1244.52万</t>
  </si>
  <si>
    <t>385.46万</t>
  </si>
  <si>
    <t>2398.25万</t>
  </si>
  <si>
    <t>3716.57万</t>
  </si>
  <si>
    <t>64.56万</t>
  </si>
  <si>
    <t>884.24万</t>
  </si>
  <si>
    <t>10.32亿</t>
  </si>
  <si>
    <t>2140.75万</t>
  </si>
  <si>
    <t>6494.82万</t>
  </si>
  <si>
    <t>-7598.71万</t>
  </si>
  <si>
    <t>-2752.63万</t>
  </si>
  <si>
    <t>2409.04万</t>
  </si>
  <si>
    <t>870.24万</t>
  </si>
  <si>
    <t>14.30亿</t>
  </si>
  <si>
    <t>701.65万</t>
  </si>
  <si>
    <t>2596.60万</t>
  </si>
  <si>
    <t>4838.69万</t>
  </si>
  <si>
    <t>8007.51万</t>
  </si>
  <si>
    <t>9453.25万</t>
  </si>
  <si>
    <t>16.21亿</t>
  </si>
  <si>
    <t>-5996.61万</t>
  </si>
  <si>
    <t>-3681.66万</t>
  </si>
  <si>
    <t>6925.94万</t>
  </si>
  <si>
    <t>459.30万</t>
  </si>
  <si>
    <t>17.42亿</t>
  </si>
  <si>
    <t>1343.57万</t>
  </si>
  <si>
    <t>3166.56万</t>
  </si>
  <si>
    <t>48.48万</t>
  </si>
  <si>
    <t>813.21万</t>
  </si>
  <si>
    <t>1672.98万</t>
  </si>
  <si>
    <t>147.91万</t>
  </si>
  <si>
    <t>2291.06万</t>
  </si>
  <si>
    <t>-684.96万</t>
  </si>
  <si>
    <t>741.70万</t>
  </si>
  <si>
    <t>2467.22万</t>
  </si>
  <si>
    <t>64.41万</t>
  </si>
  <si>
    <t>824.06万</t>
  </si>
  <si>
    <t>1257.21万</t>
  </si>
  <si>
    <t>8096.72万</t>
  </si>
  <si>
    <t>339.57万</t>
  </si>
  <si>
    <t>1954.25万</t>
  </si>
  <si>
    <t>7341.53万</t>
  </si>
  <si>
    <t>7155.79万</t>
  </si>
  <si>
    <t>4950.00万</t>
  </si>
  <si>
    <t>-5691.20万</t>
  </si>
  <si>
    <t>-5282.21万</t>
  </si>
  <si>
    <t>-4120.20万</t>
  </si>
  <si>
    <t>350.04万</t>
  </si>
  <si>
    <t>2546.08万</t>
  </si>
  <si>
    <t>SZ002767</t>
  </si>
  <si>
    <t>先锋电子</t>
  </si>
  <si>
    <t>487.12万</t>
  </si>
  <si>
    <t>762.06万</t>
  </si>
  <si>
    <t>6877.39万</t>
  </si>
  <si>
    <t>1544.86万</t>
  </si>
  <si>
    <t>1109.71万</t>
  </si>
  <si>
    <t>-635976亿</t>
  </si>
  <si>
    <t>9.22万</t>
  </si>
  <si>
    <t>519362亿</t>
  </si>
  <si>
    <t>334100090亿</t>
  </si>
  <si>
    <t>464.53万</t>
  </si>
  <si>
    <t>791535970亿</t>
  </si>
  <si>
    <t>29.44万</t>
  </si>
  <si>
    <t>300.30万</t>
  </si>
  <si>
    <t>8170.29万</t>
  </si>
  <si>
    <t>-3009.55万</t>
  </si>
  <si>
    <t>-3897.06万</t>
  </si>
  <si>
    <t>234.50万</t>
  </si>
  <si>
    <t>5.63亿</t>
  </si>
  <si>
    <t>3341.45万</t>
  </si>
  <si>
    <t>2326.61万</t>
  </si>
  <si>
    <t>2091.47万</t>
  </si>
  <si>
    <t>2751.81万</t>
  </si>
  <si>
    <t>2582.05万</t>
  </si>
  <si>
    <t>8263.77万</t>
  </si>
  <si>
    <t>225.12万</t>
  </si>
  <si>
    <t>10派0.16元(含税)</t>
  </si>
  <si>
    <t>2288.28万</t>
  </si>
  <si>
    <t>661.10万</t>
  </si>
  <si>
    <t>7.82亿</t>
  </si>
  <si>
    <t>1259.34万</t>
  </si>
  <si>
    <t>2943.04万</t>
  </si>
  <si>
    <t>5610.12万</t>
  </si>
  <si>
    <t>6.98亿</t>
  </si>
  <si>
    <t>-1976.17万</t>
  </si>
  <si>
    <t>-2519.21万</t>
  </si>
  <si>
    <t>3777.66万</t>
  </si>
  <si>
    <t>2895.78万</t>
  </si>
  <si>
    <t>SZ002819</t>
  </si>
  <si>
    <t>东方中科</t>
  </si>
  <si>
    <t>108.02万</t>
  </si>
  <si>
    <t>33.79亿</t>
  </si>
  <si>
    <t>30.07亿</t>
  </si>
  <si>
    <t>-8507.59万</t>
  </si>
  <si>
    <t>7025.90万</t>
  </si>
  <si>
    <t>5224.30万</t>
  </si>
  <si>
    <t>746624亿</t>
  </si>
  <si>
    <t>3.24万</t>
  </si>
  <si>
    <t>-30838737亿</t>
  </si>
  <si>
    <t>985412730亿</t>
  </si>
  <si>
    <t>4136.54万</t>
  </si>
  <si>
    <t>3903749300亿</t>
  </si>
  <si>
    <t>7261.49万</t>
  </si>
  <si>
    <t>251.22万</t>
  </si>
  <si>
    <t>13.23亿</t>
  </si>
  <si>
    <t>-6205.70万</t>
  </si>
  <si>
    <t>2928.20万</t>
  </si>
  <si>
    <t>30.23亿</t>
  </si>
  <si>
    <t>10.30亿</t>
  </si>
  <si>
    <t>9.26亿</t>
  </si>
  <si>
    <t>5504.44万</t>
  </si>
  <si>
    <t>5611.25万</t>
  </si>
  <si>
    <t>4684.85万</t>
  </si>
  <si>
    <t>6.33亿</t>
  </si>
  <si>
    <t>-3342.15万</t>
  </si>
  <si>
    <t>808.10万</t>
  </si>
  <si>
    <t>6202.80万</t>
  </si>
  <si>
    <t>722.31万</t>
  </si>
  <si>
    <t>965.22万</t>
  </si>
  <si>
    <t>1810.06万</t>
  </si>
  <si>
    <t>5844.24万</t>
  </si>
  <si>
    <t>5053.45万</t>
  </si>
  <si>
    <t>-3.21亿</t>
  </si>
  <si>
    <t>2740.33万</t>
  </si>
  <si>
    <t>SZ002849</t>
  </si>
  <si>
    <t>威星智能</t>
  </si>
  <si>
    <t>200.05万</t>
  </si>
  <si>
    <t>12.44亿</t>
  </si>
  <si>
    <t>3396.11万</t>
  </si>
  <si>
    <t>4949.40万</t>
  </si>
  <si>
    <t>1661.84万</t>
  </si>
  <si>
    <t>2889678亿</t>
  </si>
  <si>
    <t>27050266亿</t>
  </si>
  <si>
    <t>820890750亿</t>
  </si>
  <si>
    <t>216.66万</t>
  </si>
  <si>
    <t>1763969600亿</t>
  </si>
  <si>
    <t>337.70万</t>
  </si>
  <si>
    <t>-5897.52万</t>
  </si>
  <si>
    <t>-8680.67万</t>
  </si>
  <si>
    <t>787.31万</t>
  </si>
  <si>
    <t>11.45亿</t>
  </si>
  <si>
    <t>11.98亿</t>
  </si>
  <si>
    <t>5943.76万</t>
  </si>
  <si>
    <t>5197.51万</t>
  </si>
  <si>
    <t>8376.64万</t>
  </si>
  <si>
    <t>6517.68万</t>
  </si>
  <si>
    <t>6302.51万</t>
  </si>
  <si>
    <t>841.96万</t>
  </si>
  <si>
    <t>1162.88万</t>
  </si>
  <si>
    <t>210.49万</t>
  </si>
  <si>
    <t>8201.54万</t>
  </si>
  <si>
    <t>6202.26万</t>
  </si>
  <si>
    <t>631.83万</t>
  </si>
  <si>
    <t>999.68万</t>
  </si>
  <si>
    <t>1.96万</t>
  </si>
  <si>
    <t>4069.94万</t>
  </si>
  <si>
    <t>4289.11万</t>
  </si>
  <si>
    <t>4716.35万</t>
  </si>
  <si>
    <t>3200.82万</t>
  </si>
  <si>
    <t>7261.47万</t>
  </si>
  <si>
    <t>-3176.84万</t>
  </si>
  <si>
    <t>1392.37万</t>
  </si>
  <si>
    <t>528.54万</t>
  </si>
  <si>
    <t>1574.13万</t>
  </si>
  <si>
    <t>1584.82万</t>
  </si>
  <si>
    <t>8006.90万</t>
  </si>
  <si>
    <t>7406.36万</t>
  </si>
  <si>
    <t>2244.16万</t>
  </si>
  <si>
    <t>9622.53万</t>
  </si>
  <si>
    <t>-5694.89万</t>
  </si>
  <si>
    <t>-1204.77万</t>
  </si>
  <si>
    <t>8968.65万</t>
  </si>
  <si>
    <t>2200.19万</t>
  </si>
  <si>
    <t>153.24万</t>
  </si>
  <si>
    <t>23.31亿</t>
  </si>
  <si>
    <t>482.28万</t>
  </si>
  <si>
    <t>457.83万</t>
  </si>
  <si>
    <t>13.71万</t>
  </si>
  <si>
    <t>15.62亿</t>
  </si>
  <si>
    <t>6616.02万</t>
  </si>
  <si>
    <t>5201.91万</t>
  </si>
  <si>
    <t>-9001.23万</t>
  </si>
  <si>
    <t>1246.29万</t>
  </si>
  <si>
    <t>5194.41万</t>
  </si>
  <si>
    <t>322.25万</t>
  </si>
  <si>
    <t>932.07万</t>
  </si>
  <si>
    <t>1367.96万</t>
  </si>
  <si>
    <t>12.88万</t>
  </si>
  <si>
    <t>462.16万</t>
  </si>
  <si>
    <t>6557.24万</t>
  </si>
  <si>
    <t>3129.20万</t>
  </si>
  <si>
    <t>-5896.35万</t>
  </si>
  <si>
    <t>860.72万</t>
  </si>
  <si>
    <t>1669.47万</t>
  </si>
  <si>
    <t>9410.24万</t>
  </si>
  <si>
    <t>326.78万</t>
  </si>
  <si>
    <t>9439.07万</t>
  </si>
  <si>
    <t>6646.77万</t>
  </si>
  <si>
    <t>773.37万</t>
  </si>
  <si>
    <t>943.36万</t>
  </si>
  <si>
    <t>7.77万</t>
  </si>
  <si>
    <t>952.87万</t>
  </si>
  <si>
    <t>9009.13万</t>
  </si>
  <si>
    <t>9169.24万</t>
  </si>
  <si>
    <t>-3696.87万</t>
  </si>
  <si>
    <t>-5968.36万</t>
  </si>
  <si>
    <t>2580.95万</t>
  </si>
  <si>
    <t>299.07万</t>
  </si>
  <si>
    <t>8333.88万</t>
  </si>
  <si>
    <t>245.15万</t>
  </si>
  <si>
    <t>1149.66万</t>
  </si>
  <si>
    <t>388.95万</t>
  </si>
  <si>
    <t>6326.81万</t>
  </si>
  <si>
    <t>828.77万</t>
  </si>
  <si>
    <t>7864.20万</t>
  </si>
  <si>
    <t>-1359.74万</t>
  </si>
  <si>
    <t>-2918.72万</t>
  </si>
  <si>
    <t>1880.78万</t>
  </si>
  <si>
    <t>1324.52万</t>
  </si>
  <si>
    <t>7765.29万</t>
  </si>
  <si>
    <t>399.84万</t>
  </si>
  <si>
    <t>14.22亿</t>
  </si>
  <si>
    <t>1266.17万</t>
  </si>
  <si>
    <t>2057.76万</t>
  </si>
  <si>
    <t>20.71万</t>
  </si>
  <si>
    <t>1.95亿</t>
  </si>
  <si>
    <t>9071.40万</t>
  </si>
  <si>
    <t>13.12亿</t>
  </si>
  <si>
    <t>-89.11万</t>
  </si>
  <si>
    <t>2741.08万</t>
  </si>
  <si>
    <t>358.01万</t>
  </si>
  <si>
    <t>9109.97万</t>
  </si>
  <si>
    <t>572.96万</t>
  </si>
  <si>
    <t>674.76万</t>
  </si>
  <si>
    <t>334.37万</t>
  </si>
  <si>
    <t>205.98万</t>
  </si>
  <si>
    <t>5359.69万</t>
  </si>
  <si>
    <t>-2500.74万</t>
  </si>
  <si>
    <t>-12.60万</t>
  </si>
  <si>
    <t>1623.07万</t>
  </si>
  <si>
    <t>SZ300007</t>
  </si>
  <si>
    <t>汉威科技</t>
  </si>
  <si>
    <t>514.02万</t>
  </si>
  <si>
    <t>30.13亿</t>
  </si>
  <si>
    <t>32.13亿</t>
  </si>
  <si>
    <t>5.93亿</t>
  </si>
  <si>
    <t>22.87亿</t>
  </si>
  <si>
    <t>4534.60万</t>
  </si>
  <si>
    <t>4837.89万</t>
  </si>
  <si>
    <t>1369514亿</t>
  </si>
  <si>
    <t>11.56万</t>
  </si>
  <si>
    <t>896604亿</t>
  </si>
  <si>
    <t>1434159600亿</t>
  </si>
  <si>
    <t>860.35万</t>
  </si>
  <si>
    <t>3306065700亿</t>
  </si>
  <si>
    <t>1454.11万</t>
  </si>
  <si>
    <t>7.40亿</t>
  </si>
  <si>
    <t>390.60万</t>
  </si>
  <si>
    <t>17.65亿</t>
  </si>
  <si>
    <t>-1.54亿</t>
  </si>
  <si>
    <t>-710.35万</t>
  </si>
  <si>
    <t>872.67万</t>
  </si>
  <si>
    <t>19.41亿</t>
  </si>
  <si>
    <t>18.19亿</t>
  </si>
  <si>
    <t>15.12亿</t>
  </si>
  <si>
    <t>-1.04亿</t>
  </si>
  <si>
    <t>6165.74万</t>
  </si>
  <si>
    <t>1408.15万</t>
  </si>
  <si>
    <t>3330.50万</t>
  </si>
  <si>
    <t>SZ300066</t>
  </si>
  <si>
    <t>三川智慧</t>
  </si>
  <si>
    <t>2502.02万</t>
  </si>
  <si>
    <t>26.31亿</t>
  </si>
  <si>
    <t>22.85亿</t>
  </si>
  <si>
    <t>2473.33万</t>
  </si>
  <si>
    <t>1514.16万</t>
  </si>
  <si>
    <t>-3057946亿</t>
  </si>
  <si>
    <t>-5824571亿</t>
  </si>
  <si>
    <t>682042750亿</t>
  </si>
  <si>
    <t>1613.28万</t>
  </si>
  <si>
    <t>1938597200亿</t>
  </si>
  <si>
    <t>8001.28万</t>
  </si>
  <si>
    <t>-6943.13万</t>
  </si>
  <si>
    <t>-1.96亿</t>
  </si>
  <si>
    <t>-1413.46万</t>
  </si>
  <si>
    <t>13.32亿</t>
  </si>
  <si>
    <t>9780.20万</t>
  </si>
  <si>
    <t>1752.84万</t>
  </si>
  <si>
    <t>2963.63万</t>
  </si>
  <si>
    <t>50.02亿</t>
  </si>
  <si>
    <t>4317.68万</t>
  </si>
  <si>
    <t>4688.93万</t>
  </si>
  <si>
    <t>437.28万</t>
  </si>
  <si>
    <t>3424.07万</t>
  </si>
  <si>
    <t>8.08亿</t>
  </si>
  <si>
    <t>35.01亿</t>
  </si>
  <si>
    <t>-8.43亿</t>
  </si>
  <si>
    <t>18.14亿</t>
  </si>
  <si>
    <t>5857.27万</t>
  </si>
  <si>
    <t>19.03亿</t>
  </si>
  <si>
    <t>1756.14万</t>
  </si>
  <si>
    <t>3879.20万</t>
  </si>
  <si>
    <t>8.05亿</t>
  </si>
  <si>
    <t>28.79亿</t>
  </si>
  <si>
    <t>-2859.80万</t>
  </si>
  <si>
    <t>-1424.68万</t>
  </si>
  <si>
    <t>-572.00万</t>
  </si>
  <si>
    <t>472.07万</t>
  </si>
  <si>
    <t>374.10万</t>
  </si>
  <si>
    <t>1571.52万</t>
  </si>
  <si>
    <t>2.43万</t>
  </si>
  <si>
    <t>1071.23万</t>
  </si>
  <si>
    <t>2797.56万</t>
  </si>
  <si>
    <t>7357.30万</t>
  </si>
  <si>
    <t>7.98亿</t>
  </si>
  <si>
    <t>-2690.48万</t>
  </si>
  <si>
    <t>3756.18万</t>
  </si>
  <si>
    <t>2807.95万</t>
  </si>
  <si>
    <t>SZ300112</t>
  </si>
  <si>
    <t>万讯自控</t>
  </si>
  <si>
    <t>368.61万</t>
  </si>
  <si>
    <t>12.43亿</t>
  </si>
  <si>
    <t>11.27亿</t>
  </si>
  <si>
    <t>2510.08万</t>
  </si>
  <si>
    <t>4867.22万</t>
  </si>
  <si>
    <t>2335.03万</t>
  </si>
  <si>
    <t>-978968亿</t>
  </si>
  <si>
    <t>11.87万</t>
  </si>
  <si>
    <t>-6894911亿</t>
  </si>
  <si>
    <t>310972240亿</t>
  </si>
  <si>
    <t>735.41万</t>
  </si>
  <si>
    <t>1035674740亿</t>
  </si>
  <si>
    <t>8545.86万</t>
  </si>
  <si>
    <t>1500.00万</t>
  </si>
  <si>
    <t>-589.77万</t>
  </si>
  <si>
    <t>2631.71万</t>
  </si>
  <si>
    <t>-248.39万</t>
  </si>
  <si>
    <t>9479.56万</t>
  </si>
  <si>
    <t>9254.14万</t>
  </si>
  <si>
    <t>9043.01万</t>
  </si>
  <si>
    <t>6415.10万</t>
  </si>
  <si>
    <t>5622.92万</t>
  </si>
  <si>
    <t>-206.16万</t>
  </si>
  <si>
    <t>1858.78万</t>
  </si>
  <si>
    <t>309.55万</t>
  </si>
  <si>
    <t>812.69万</t>
  </si>
  <si>
    <t>829.06万</t>
  </si>
  <si>
    <t>6060.96万</t>
  </si>
  <si>
    <t>886.74万</t>
  </si>
  <si>
    <t>998.40万</t>
  </si>
  <si>
    <t>6847.94万</t>
  </si>
  <si>
    <t>8705.00万</t>
  </si>
  <si>
    <t>-4798.03万</t>
  </si>
  <si>
    <t>-7786.62万</t>
  </si>
  <si>
    <t>-2043.63万</t>
  </si>
  <si>
    <t>1799.32万</t>
  </si>
  <si>
    <t>1512.79万</t>
  </si>
  <si>
    <t>152.06万</t>
  </si>
  <si>
    <t>35.38万</t>
  </si>
  <si>
    <t>36.93亿</t>
  </si>
  <si>
    <t>-7634.82万</t>
  </si>
  <si>
    <t>8355.01万</t>
  </si>
  <si>
    <t>211.56万</t>
  </si>
  <si>
    <t>17.85亿</t>
  </si>
  <si>
    <t>1391.29万</t>
  </si>
  <si>
    <t>1272.46万</t>
  </si>
  <si>
    <t>2.49万</t>
  </si>
  <si>
    <t>8.41亿</t>
  </si>
  <si>
    <t>370.26万</t>
  </si>
  <si>
    <t>922.82万</t>
  </si>
  <si>
    <t>8537.49万</t>
  </si>
  <si>
    <t>-60.49万</t>
  </si>
  <si>
    <t>2051.01万</t>
  </si>
  <si>
    <t>1309.23万</t>
  </si>
  <si>
    <t>1547.69万</t>
  </si>
  <si>
    <t>442.90万</t>
  </si>
  <si>
    <t>2960.49万</t>
  </si>
  <si>
    <t>6923.67万</t>
  </si>
  <si>
    <t>6562.03万</t>
  </si>
  <si>
    <t>736.56万</t>
  </si>
  <si>
    <t>2.25万</t>
  </si>
  <si>
    <t>14.92亿</t>
  </si>
  <si>
    <t>-3698.27万</t>
  </si>
  <si>
    <t>-131.78万</t>
  </si>
  <si>
    <t>-1039.84万</t>
  </si>
  <si>
    <t>5621.59万</t>
  </si>
  <si>
    <t>301.25万</t>
  </si>
  <si>
    <t>17.86亿</t>
  </si>
  <si>
    <t>4712.07万</t>
  </si>
  <si>
    <t>4552.23万</t>
  </si>
  <si>
    <t>11.03万</t>
  </si>
  <si>
    <t>8824.21万</t>
  </si>
  <si>
    <t>21.08亿</t>
  </si>
  <si>
    <t>-8350.61万</t>
  </si>
  <si>
    <t>8093.19万</t>
  </si>
  <si>
    <t>1816.28万</t>
  </si>
  <si>
    <t>9631.86万</t>
  </si>
  <si>
    <t>SZ300165</t>
  </si>
  <si>
    <t>天瑞仪器</t>
  </si>
  <si>
    <t>4801.77万</t>
  </si>
  <si>
    <t>23.23亿</t>
  </si>
  <si>
    <t>10.17亿</t>
  </si>
  <si>
    <t>8244.17万</t>
  </si>
  <si>
    <t>3372.45万</t>
  </si>
  <si>
    <t>2339.63万</t>
  </si>
  <si>
    <t>92845亿</t>
  </si>
  <si>
    <t>37.64万</t>
  </si>
  <si>
    <t>-8629031亿</t>
  </si>
  <si>
    <t>350561660亿</t>
  </si>
  <si>
    <t>2646.88万</t>
  </si>
  <si>
    <t>3290918600亿</t>
  </si>
  <si>
    <t>3.15万</t>
  </si>
  <si>
    <t>22.07万</t>
  </si>
  <si>
    <t>11.41亿</t>
  </si>
  <si>
    <t>-1704.60万</t>
  </si>
  <si>
    <t>-340.25万</t>
  </si>
  <si>
    <t>1569.70万</t>
  </si>
  <si>
    <t>15.70亿</t>
  </si>
  <si>
    <t>-8786.72万</t>
  </si>
  <si>
    <t>-5997.23万</t>
  </si>
  <si>
    <t>2110.51万</t>
  </si>
  <si>
    <t>2105.51万</t>
  </si>
  <si>
    <t>3617.73万</t>
  </si>
  <si>
    <t>888.11万</t>
  </si>
  <si>
    <t>-8-1</t>
  </si>
  <si>
    <t>1103.00万</t>
  </si>
  <si>
    <t>6291.24万</t>
  </si>
  <si>
    <t>1030.95万</t>
  </si>
  <si>
    <t>1727.87万</t>
  </si>
  <si>
    <t>18.61万</t>
  </si>
  <si>
    <t>5639.91万</t>
  </si>
  <si>
    <t>196.42万</t>
  </si>
  <si>
    <t>3604.67万</t>
  </si>
  <si>
    <t>7773.35万</t>
  </si>
  <si>
    <t>-1494.23万</t>
  </si>
  <si>
    <t>7986.05万</t>
  </si>
  <si>
    <t>3564.07万</t>
  </si>
  <si>
    <t>351.75万</t>
  </si>
  <si>
    <t>23.33亿</t>
  </si>
  <si>
    <t>999.42万</t>
  </si>
  <si>
    <t>1111.21万</t>
  </si>
  <si>
    <t>11.36万</t>
  </si>
  <si>
    <t>8282.70万</t>
  </si>
  <si>
    <t>8702.02万</t>
  </si>
  <si>
    <t>308.95万</t>
  </si>
  <si>
    <t>-3420.92万</t>
  </si>
  <si>
    <t>7948.91万</t>
  </si>
  <si>
    <t>-90.69万</t>
  </si>
  <si>
    <t>2296.70万</t>
  </si>
  <si>
    <t>SZ300203</t>
  </si>
  <si>
    <t>聚光科技</t>
  </si>
  <si>
    <t>846.55万</t>
  </si>
  <si>
    <t>65.54亿</t>
  </si>
  <si>
    <t>31.09亿</t>
  </si>
  <si>
    <t>31.82亿</t>
  </si>
  <si>
    <t>-3.23亿</t>
  </si>
  <si>
    <t>6871.08万</t>
  </si>
  <si>
    <t>20155475亿</t>
  </si>
  <si>
    <t>261.73万</t>
  </si>
  <si>
    <t>-36671269亿</t>
  </si>
  <si>
    <t>902637030亿</t>
  </si>
  <si>
    <t>3985545800亿</t>
  </si>
  <si>
    <t>9.69亿</t>
  </si>
  <si>
    <t>1692.56万</t>
  </si>
  <si>
    <t>1950.28万</t>
  </si>
  <si>
    <t>37.25亿</t>
  </si>
  <si>
    <t>-3854.26万</t>
  </si>
  <si>
    <t>-4015.83万</t>
  </si>
  <si>
    <t>34.51亿</t>
  </si>
  <si>
    <t>37.51亿</t>
  </si>
  <si>
    <t>38.96亿</t>
  </si>
  <si>
    <t>38.25亿</t>
  </si>
  <si>
    <t>-3.75亿</t>
  </si>
  <si>
    <t>3981.34万</t>
  </si>
  <si>
    <t>6.01亿</t>
  </si>
  <si>
    <t>-8732.85万</t>
  </si>
  <si>
    <t>2955.66万</t>
  </si>
  <si>
    <t>SZ300211</t>
  </si>
  <si>
    <t>亿通科技</t>
  </si>
  <si>
    <t>313.87万</t>
  </si>
  <si>
    <t>7630.20万</t>
  </si>
  <si>
    <t>1750.95万</t>
  </si>
  <si>
    <t>-55.60万</t>
  </si>
  <si>
    <t>2772.53万</t>
  </si>
  <si>
    <t>1133.38万</t>
  </si>
  <si>
    <t>43.11万</t>
  </si>
  <si>
    <t>421.35万</t>
  </si>
  <si>
    <t>-11522404亿</t>
  </si>
  <si>
    <t>29838280亿</t>
  </si>
  <si>
    <t>4.66万</t>
  </si>
  <si>
    <t>386926850亿</t>
  </si>
  <si>
    <t>12.33万</t>
  </si>
  <si>
    <t>398.68万</t>
  </si>
  <si>
    <t>820.02万</t>
  </si>
  <si>
    <t>66.33万</t>
  </si>
  <si>
    <t>3998.76万</t>
  </si>
  <si>
    <t>-2839.34万</t>
  </si>
  <si>
    <t>-126.21万</t>
  </si>
  <si>
    <t>-5.42万</t>
  </si>
  <si>
    <t>3.38亿</t>
  </si>
  <si>
    <t>8137.40万</t>
  </si>
  <si>
    <t>9890.87万</t>
  </si>
  <si>
    <t>2508.74万</t>
  </si>
  <si>
    <t>2846.33万</t>
  </si>
  <si>
    <t>923.07万</t>
  </si>
  <si>
    <t>634.30万</t>
  </si>
  <si>
    <t>497.90万</t>
  </si>
  <si>
    <t>4151.06万</t>
  </si>
  <si>
    <t>-452.27万</t>
  </si>
  <si>
    <t>1721.36万</t>
  </si>
  <si>
    <t>1376.07万</t>
  </si>
  <si>
    <t>20.71亿</t>
  </si>
  <si>
    <t>1104.54万</t>
  </si>
  <si>
    <t>4486.88万</t>
  </si>
  <si>
    <t>5.02万</t>
  </si>
  <si>
    <t>2821.21万</t>
  </si>
  <si>
    <t>3776.64万</t>
  </si>
  <si>
    <t>999.66万</t>
  </si>
  <si>
    <t>-9806.02万</t>
  </si>
  <si>
    <t>-1070.67万</t>
  </si>
  <si>
    <t>-1662.59万</t>
  </si>
  <si>
    <t>6671.29万</t>
  </si>
  <si>
    <t>431.23万</t>
  </si>
  <si>
    <t>62.92亿</t>
  </si>
  <si>
    <t>4552.42万</t>
  </si>
  <si>
    <t>8366.12万</t>
  </si>
  <si>
    <t>5.05万</t>
  </si>
  <si>
    <t>686.16万</t>
  </si>
  <si>
    <t>18.99亿</t>
  </si>
  <si>
    <t>28.19亿</t>
  </si>
  <si>
    <t>11.69亿</t>
  </si>
  <si>
    <t>63.44亿</t>
  </si>
  <si>
    <t>16.01亿</t>
  </si>
  <si>
    <t>-2651.61万</t>
  </si>
  <si>
    <t>-6995.93万</t>
  </si>
  <si>
    <t>2099.41万</t>
  </si>
  <si>
    <t>SZ300259</t>
  </si>
  <si>
    <t>新天科技</t>
  </si>
  <si>
    <t>1130.21万</t>
  </si>
  <si>
    <t>28.73亿</t>
  </si>
  <si>
    <t>8952.92万</t>
  </si>
  <si>
    <t>2341.94万</t>
  </si>
  <si>
    <t>1443.60万</t>
  </si>
  <si>
    <t>-25167208亿</t>
  </si>
  <si>
    <t>892.09万</t>
  </si>
  <si>
    <t>19094133亿</t>
  </si>
  <si>
    <t>507043710亿</t>
  </si>
  <si>
    <t>229.05万</t>
  </si>
  <si>
    <t>2304861800亿</t>
  </si>
  <si>
    <t>1851.96万</t>
  </si>
  <si>
    <t>65.97万</t>
  </si>
  <si>
    <t>3371.19万</t>
  </si>
  <si>
    <t>-3290.51万</t>
  </si>
  <si>
    <t>11.95亿</t>
  </si>
  <si>
    <t>4632.27万</t>
  </si>
  <si>
    <t>8329.68万</t>
  </si>
  <si>
    <t>597.47万</t>
  </si>
  <si>
    <t>33.44亿</t>
  </si>
  <si>
    <t>5.82亿</t>
  </si>
  <si>
    <t>4.99亿</t>
  </si>
  <si>
    <t>2294.27万</t>
  </si>
  <si>
    <t>2763.63万</t>
  </si>
  <si>
    <t>20.33万</t>
  </si>
  <si>
    <t>17.47亿</t>
  </si>
  <si>
    <t>-2.16亿</t>
  </si>
  <si>
    <t>-5625.89万</t>
  </si>
  <si>
    <t>-600.39万</t>
  </si>
  <si>
    <t>3370.24万</t>
  </si>
  <si>
    <t>SZ300306</t>
  </si>
  <si>
    <t>远方信息</t>
  </si>
  <si>
    <t>8566.36万</t>
  </si>
  <si>
    <t>9341.10万</t>
  </si>
  <si>
    <t>8178.54万</t>
  </si>
  <si>
    <t>3089.39万</t>
  </si>
  <si>
    <t>1135.12万</t>
  </si>
  <si>
    <t>1585.41万</t>
  </si>
  <si>
    <t>-636305亿</t>
  </si>
  <si>
    <t>10.24万</t>
  </si>
  <si>
    <t>6474559亿</t>
  </si>
  <si>
    <t>20624243亿</t>
  </si>
  <si>
    <t>10.59万</t>
  </si>
  <si>
    <t>1179183030亿</t>
  </si>
  <si>
    <t>1338.99万</t>
  </si>
  <si>
    <t>1228.41万</t>
  </si>
  <si>
    <t>-1439.51万</t>
  </si>
  <si>
    <t>-263.34万</t>
  </si>
  <si>
    <t>168.31万</t>
  </si>
  <si>
    <t>8001.07万</t>
  </si>
  <si>
    <t>7153.89万</t>
  </si>
  <si>
    <t>-4.85亿</t>
  </si>
  <si>
    <t>8389.00万</t>
  </si>
  <si>
    <t>1566.47万</t>
  </si>
  <si>
    <t>2158.98万</t>
  </si>
  <si>
    <t>SZ300349</t>
  </si>
  <si>
    <t>金卡智能</t>
  </si>
  <si>
    <t>326.62万</t>
  </si>
  <si>
    <t>28.92亿</t>
  </si>
  <si>
    <t>44.04亿</t>
  </si>
  <si>
    <t>7.19亿</t>
  </si>
  <si>
    <t>31.75亿</t>
  </si>
  <si>
    <t>3351.73万</t>
  </si>
  <si>
    <t>11022566亿</t>
  </si>
  <si>
    <t>269.23万</t>
  </si>
  <si>
    <t>85068300亿</t>
  </si>
  <si>
    <t>1827739500亿</t>
  </si>
  <si>
    <t>2086.91万</t>
  </si>
  <si>
    <t>4350367400亿</t>
  </si>
  <si>
    <t>9.34亿</t>
  </si>
  <si>
    <t>20.06亿</t>
  </si>
  <si>
    <t>-3.36亿</t>
  </si>
  <si>
    <t>-6640.45万</t>
  </si>
  <si>
    <t>27.39亿</t>
  </si>
  <si>
    <t>19.34亿</t>
  </si>
  <si>
    <t>19.72亿</t>
  </si>
  <si>
    <t>8109.00万</t>
  </si>
  <si>
    <t>1891.78万</t>
  </si>
  <si>
    <t>SZ300354</t>
  </si>
  <si>
    <t>东华测试</t>
  </si>
  <si>
    <t>221.51万</t>
  </si>
  <si>
    <t>6907.35万</t>
  </si>
  <si>
    <t>8774.87万</t>
  </si>
  <si>
    <t>7450.48万</t>
  </si>
  <si>
    <t>3414.85万</t>
  </si>
  <si>
    <t>1294.52万</t>
  </si>
  <si>
    <t>1433.92万</t>
  </si>
  <si>
    <t>2.36万</t>
  </si>
  <si>
    <t>27231752亿</t>
  </si>
  <si>
    <t>2184.65万</t>
  </si>
  <si>
    <t>309266510亿</t>
  </si>
  <si>
    <t>606.94万</t>
  </si>
  <si>
    <t>580526030亿</t>
  </si>
  <si>
    <t>1363.95万</t>
  </si>
  <si>
    <t>2264.52万</t>
  </si>
  <si>
    <t>6072.79万</t>
  </si>
  <si>
    <t>-3894.38万</t>
  </si>
  <si>
    <t>-1203.89万</t>
  </si>
  <si>
    <t>-332.50万</t>
  </si>
  <si>
    <t>8002.39万</t>
  </si>
  <si>
    <t>5035.66万</t>
  </si>
  <si>
    <t>3042.72万</t>
  </si>
  <si>
    <t>1762.47万</t>
  </si>
  <si>
    <t>7186.89万</t>
  </si>
  <si>
    <t>1028.87万</t>
  </si>
  <si>
    <t>1052.45万</t>
  </si>
  <si>
    <t>6584.53万</t>
  </si>
  <si>
    <t>SZ300370</t>
  </si>
  <si>
    <t>安控科技</t>
  </si>
  <si>
    <t>2242.18万</t>
  </si>
  <si>
    <t>8.33亿</t>
  </si>
  <si>
    <t>4251.74万</t>
  </si>
  <si>
    <t>-2.00亿</t>
  </si>
  <si>
    <t>6873.49万</t>
  </si>
  <si>
    <t>3049.60万</t>
  </si>
  <si>
    <t>589.20万</t>
  </si>
  <si>
    <t>1784.94万</t>
  </si>
  <si>
    <t>-181764亿</t>
  </si>
  <si>
    <t>13.01万</t>
  </si>
  <si>
    <t>-18198536亿</t>
  </si>
  <si>
    <t>5706.89万</t>
  </si>
  <si>
    <t>181530810亿</t>
  </si>
  <si>
    <t>4364.26万</t>
  </si>
  <si>
    <t>486097530亿</t>
  </si>
  <si>
    <t>613.08万</t>
  </si>
  <si>
    <t>7808.21万</t>
  </si>
  <si>
    <t>5.81万</t>
  </si>
  <si>
    <t>906.32万</t>
  </si>
  <si>
    <t>-1510.18万</t>
  </si>
  <si>
    <t>-716.42万</t>
  </si>
  <si>
    <t>3196.01万</t>
  </si>
  <si>
    <t>13.71亿</t>
  </si>
  <si>
    <t>-4.12亿</t>
  </si>
  <si>
    <t>-8.66亿</t>
  </si>
  <si>
    <t>-4.13亿</t>
  </si>
  <si>
    <t>-2014.15万</t>
  </si>
  <si>
    <t>5406.37万</t>
  </si>
  <si>
    <t>-6717.39万</t>
  </si>
  <si>
    <t>9070.89万</t>
  </si>
  <si>
    <t>SZ300371</t>
  </si>
  <si>
    <t>汇中股份</t>
  </si>
  <si>
    <t>115.35万</t>
  </si>
  <si>
    <t>4992.49万</t>
  </si>
  <si>
    <t>5212.56万</t>
  </si>
  <si>
    <t>2356.65万</t>
  </si>
  <si>
    <t>1082.39万</t>
  </si>
  <si>
    <t>904.94万</t>
  </si>
  <si>
    <t>499998亿</t>
  </si>
  <si>
    <t>3032557亿</t>
  </si>
  <si>
    <t>2278.46万</t>
  </si>
  <si>
    <t>291503810亿</t>
  </si>
  <si>
    <t>759022680亿</t>
  </si>
  <si>
    <t>396.58万</t>
  </si>
  <si>
    <t>178.55万</t>
  </si>
  <si>
    <t>2582.30万</t>
  </si>
  <si>
    <t>5060.49万</t>
  </si>
  <si>
    <t>8759.76万</t>
  </si>
  <si>
    <t>-2428.15万</t>
  </si>
  <si>
    <t>-1726.07万</t>
  </si>
  <si>
    <t>-909.99万</t>
  </si>
  <si>
    <t>8156.65万</t>
  </si>
  <si>
    <t>6995.56万</t>
  </si>
  <si>
    <t>688.84万</t>
  </si>
  <si>
    <t>680.30万</t>
  </si>
  <si>
    <t>4179.41万</t>
  </si>
  <si>
    <t>217.03万</t>
  </si>
  <si>
    <t>17.06亿</t>
  </si>
  <si>
    <t>6412.22万</t>
  </si>
  <si>
    <t>416.18万</t>
  </si>
  <si>
    <t>2155.00万</t>
  </si>
  <si>
    <t>9.67万</t>
  </si>
  <si>
    <t>17714050亿</t>
  </si>
  <si>
    <t>516847120亿</t>
  </si>
  <si>
    <t>2093490700亿</t>
  </si>
  <si>
    <t>9.98亿</t>
  </si>
  <si>
    <t>382.85万</t>
  </si>
  <si>
    <t>-20.23万</t>
  </si>
  <si>
    <t>-6239.59万</t>
  </si>
  <si>
    <t>6025.62万</t>
  </si>
  <si>
    <t>1736.73万</t>
  </si>
  <si>
    <t>1186.54万</t>
  </si>
  <si>
    <t>SZ300417</t>
  </si>
  <si>
    <t>南华仪器</t>
  </si>
  <si>
    <t>2040.90万</t>
  </si>
  <si>
    <t>1950.27万</t>
  </si>
  <si>
    <t>1441.22万</t>
  </si>
  <si>
    <t>-414.84万</t>
  </si>
  <si>
    <t>1967.53万</t>
  </si>
  <si>
    <t>814.78万</t>
  </si>
  <si>
    <t>442.22万</t>
  </si>
  <si>
    <t>474.04万</t>
  </si>
  <si>
    <t>1074894亿</t>
  </si>
  <si>
    <t>-5084777亿</t>
  </si>
  <si>
    <t>9511.39万</t>
  </si>
  <si>
    <t>26607794亿</t>
  </si>
  <si>
    <t>48.36万</t>
  </si>
  <si>
    <t>323056420亿</t>
  </si>
  <si>
    <t>395.23万</t>
  </si>
  <si>
    <t>3651.85万</t>
  </si>
  <si>
    <t>296.98万</t>
  </si>
  <si>
    <t>3886.54万</t>
  </si>
  <si>
    <t>-1.98万</t>
  </si>
  <si>
    <t>-3313.34万</t>
  </si>
  <si>
    <t>1224.48万</t>
  </si>
  <si>
    <t>6636.52万</t>
  </si>
  <si>
    <t>2788.30万</t>
  </si>
  <si>
    <t>2314.61万</t>
  </si>
  <si>
    <t>-320.38万</t>
  </si>
  <si>
    <t>6857.99万</t>
  </si>
  <si>
    <t>2497.38万</t>
  </si>
  <si>
    <t>25.52亿</t>
  </si>
  <si>
    <t>2057.43万</t>
  </si>
  <si>
    <t>2000.34万</t>
  </si>
  <si>
    <t>41.44万</t>
  </si>
  <si>
    <t>1107.31万</t>
  </si>
  <si>
    <t>1561.17万</t>
  </si>
  <si>
    <t>3710.63万</t>
  </si>
  <si>
    <t>780.33万</t>
  </si>
  <si>
    <t>-2553.99万</t>
  </si>
  <si>
    <t>3892.05万</t>
  </si>
  <si>
    <t>-1374.66万</t>
  </si>
  <si>
    <t>10派0.150147元(含税)</t>
  </si>
  <si>
    <t>7841.00万</t>
  </si>
  <si>
    <t>1172.00万</t>
  </si>
  <si>
    <t>77.31万</t>
  </si>
  <si>
    <t>1041.91万</t>
  </si>
  <si>
    <t>5429.70万</t>
  </si>
  <si>
    <t>4907.73万</t>
  </si>
  <si>
    <t>2630.00万</t>
  </si>
  <si>
    <t>2141.86万</t>
  </si>
  <si>
    <t>-1707.87万</t>
  </si>
  <si>
    <t>3806.37万</t>
  </si>
  <si>
    <t>5451.81万</t>
  </si>
  <si>
    <t>570.54万</t>
  </si>
  <si>
    <t>24.01亿</t>
  </si>
  <si>
    <t>3072.08万</t>
  </si>
  <si>
    <t>3314.35万</t>
  </si>
  <si>
    <t>19.43万</t>
  </si>
  <si>
    <t>2132.29万</t>
  </si>
  <si>
    <t>1352.39万</t>
  </si>
  <si>
    <t>13.40亿</t>
  </si>
  <si>
    <t>5368.46万</t>
  </si>
  <si>
    <t>-2989.10万</t>
  </si>
  <si>
    <t>-9783.21万</t>
  </si>
  <si>
    <t>3648.86万</t>
  </si>
  <si>
    <t>SZ300445</t>
  </si>
  <si>
    <t>康斯特</t>
  </si>
  <si>
    <t>183.73万</t>
  </si>
  <si>
    <t>8373.27万</t>
  </si>
  <si>
    <t>3867.37万</t>
  </si>
  <si>
    <t>1707.04万</t>
  </si>
  <si>
    <t>1201.68万</t>
  </si>
  <si>
    <t>63132亿</t>
  </si>
  <si>
    <t>22580992亿</t>
  </si>
  <si>
    <t>86453155亿</t>
  </si>
  <si>
    <t>1876.11万</t>
  </si>
  <si>
    <t>589102700亿</t>
  </si>
  <si>
    <t>570.33万</t>
  </si>
  <si>
    <t>1663.84万</t>
  </si>
  <si>
    <t>5769.27万</t>
  </si>
  <si>
    <t>2108.06万</t>
  </si>
  <si>
    <t>-6737.21万</t>
  </si>
  <si>
    <t>7545.93万</t>
  </si>
  <si>
    <t>7005.00万</t>
  </si>
  <si>
    <t>5983.68万</t>
  </si>
  <si>
    <t>7894.52万</t>
  </si>
  <si>
    <t>7401.02万</t>
  </si>
  <si>
    <t>1640.52万</t>
  </si>
  <si>
    <t>1145.16万</t>
  </si>
  <si>
    <t>8536.73万</t>
  </si>
  <si>
    <t>1481.85万</t>
  </si>
  <si>
    <t>7.85亿</t>
  </si>
  <si>
    <t>8483.77万</t>
  </si>
  <si>
    <t>4125.29万</t>
  </si>
  <si>
    <t>1470.14万</t>
  </si>
  <si>
    <t>1500.51万</t>
  </si>
  <si>
    <t>4.88万</t>
  </si>
  <si>
    <t>6469.88万</t>
  </si>
  <si>
    <t>411.71万</t>
  </si>
  <si>
    <t>437.50万</t>
  </si>
  <si>
    <t>-3762.67万</t>
  </si>
  <si>
    <t>-1974.02万</t>
  </si>
  <si>
    <t>2040.21万</t>
  </si>
  <si>
    <t>93.45万</t>
  </si>
  <si>
    <t>26.39亿</t>
  </si>
  <si>
    <t>2922.89万</t>
  </si>
  <si>
    <t>2252.43万</t>
  </si>
  <si>
    <t>1227.47万</t>
  </si>
  <si>
    <t>6384.40万</t>
  </si>
  <si>
    <t>457.01万</t>
  </si>
  <si>
    <t>-4297.93万</t>
  </si>
  <si>
    <t>-1509.15万</t>
  </si>
  <si>
    <t>420.95万</t>
  </si>
  <si>
    <t>2994.65万</t>
  </si>
  <si>
    <t>61.09万</t>
  </si>
  <si>
    <t>14.85亿</t>
  </si>
  <si>
    <t>6944.31万</t>
  </si>
  <si>
    <t>637.38万</t>
  </si>
  <si>
    <t>1078.91万</t>
  </si>
  <si>
    <t>3.18万</t>
  </si>
  <si>
    <t>2234.33万</t>
  </si>
  <si>
    <t>3681.23万</t>
  </si>
  <si>
    <t>4203.54万</t>
  </si>
  <si>
    <t>3843.82万</t>
  </si>
  <si>
    <t>2434.77万</t>
  </si>
  <si>
    <t>2996.59万</t>
  </si>
  <si>
    <t>342.67万</t>
  </si>
  <si>
    <t>2477.63万</t>
  </si>
  <si>
    <t>1226.72万</t>
  </si>
  <si>
    <t>11.10亿</t>
  </si>
  <si>
    <t>2759.51万</t>
  </si>
  <si>
    <t>2778.01万</t>
  </si>
  <si>
    <t>56.22万</t>
  </si>
  <si>
    <t>5442.46万</t>
  </si>
  <si>
    <t>5093.48万</t>
  </si>
  <si>
    <t>4290.88万</t>
  </si>
  <si>
    <t>423.92万</t>
  </si>
  <si>
    <t>1205.53万</t>
  </si>
  <si>
    <t>-1978.68万</t>
  </si>
  <si>
    <t>-1004.45万</t>
  </si>
  <si>
    <t>11.53亿</t>
  </si>
  <si>
    <t>5797.09万</t>
  </si>
  <si>
    <t>SZ300515</t>
  </si>
  <si>
    <t>三德科技</t>
  </si>
  <si>
    <t>9133.87万</t>
  </si>
  <si>
    <t>4.65亿</t>
  </si>
  <si>
    <t>5373.69万</t>
  </si>
  <si>
    <t>7293.93万</t>
  </si>
  <si>
    <t>3022.67万</t>
  </si>
  <si>
    <t>1764.62万</t>
  </si>
  <si>
    <t>852.91万</t>
  </si>
  <si>
    <t>799574亿</t>
  </si>
  <si>
    <t>1.28万</t>
  </si>
  <si>
    <t>18087842亿</t>
  </si>
  <si>
    <t>159985070亿</t>
  </si>
  <si>
    <t>2035.92万</t>
  </si>
  <si>
    <t>735027850亿</t>
  </si>
  <si>
    <t>382.62万</t>
  </si>
  <si>
    <t>1326.28万</t>
  </si>
  <si>
    <t>7815.18万</t>
  </si>
  <si>
    <t>-291.19万</t>
  </si>
  <si>
    <t>2620.90万</t>
  </si>
  <si>
    <t>-3594.40万</t>
  </si>
  <si>
    <t>9219.00万</t>
  </si>
  <si>
    <t>8632.97万</t>
  </si>
  <si>
    <t>7107.27万</t>
  </si>
  <si>
    <t>4402.23万</t>
  </si>
  <si>
    <t>3506.40万</t>
  </si>
  <si>
    <t>7849.64万</t>
  </si>
  <si>
    <t>1585.12万</t>
  </si>
  <si>
    <t>10派1.45元(含税)</t>
  </si>
  <si>
    <t>3158.25万</t>
  </si>
  <si>
    <t>SZ300553</t>
  </si>
  <si>
    <t>集智股份</t>
  </si>
  <si>
    <t>116.86万</t>
  </si>
  <si>
    <t>5077.22万</t>
  </si>
  <si>
    <t>3273.39万</t>
  </si>
  <si>
    <t>5172.99万</t>
  </si>
  <si>
    <t>2954.36万</t>
  </si>
  <si>
    <t>729.63万</t>
  </si>
  <si>
    <t>750.90万</t>
  </si>
  <si>
    <t>20408亿</t>
  </si>
  <si>
    <t>3307218亿</t>
  </si>
  <si>
    <t>63075202亿</t>
  </si>
  <si>
    <t>525.22万</t>
  </si>
  <si>
    <t>443230320亿</t>
  </si>
  <si>
    <t>2424.93万</t>
  </si>
  <si>
    <t>5931.97万</t>
  </si>
  <si>
    <t>-2099.40万</t>
  </si>
  <si>
    <t>-4927.41万</t>
  </si>
  <si>
    <t>2072.00万</t>
  </si>
  <si>
    <t>1855.83万</t>
  </si>
  <si>
    <t>2474.76万</t>
  </si>
  <si>
    <t>1273.09万</t>
  </si>
  <si>
    <t>2085.65万</t>
  </si>
  <si>
    <t>1637.02万</t>
  </si>
  <si>
    <t>7247.71万</t>
  </si>
  <si>
    <t>938.49万</t>
  </si>
  <si>
    <t>924.93万</t>
  </si>
  <si>
    <t>3914.13万</t>
  </si>
  <si>
    <t>375.78万</t>
  </si>
  <si>
    <t>8754.21万</t>
  </si>
  <si>
    <t>471.11万</t>
  </si>
  <si>
    <t>1016.32万</t>
  </si>
  <si>
    <t>1.89万</t>
  </si>
  <si>
    <t>6495.46万</t>
  </si>
  <si>
    <t>518.46万</t>
  </si>
  <si>
    <t>8664.39万</t>
  </si>
  <si>
    <t>460.02万</t>
  </si>
  <si>
    <t>4262.69万</t>
  </si>
  <si>
    <t>-5224.35万</t>
  </si>
  <si>
    <t>-2655.35万</t>
  </si>
  <si>
    <t>3180.44万</t>
  </si>
  <si>
    <t>2272.39万</t>
  </si>
  <si>
    <t>SZ300557</t>
  </si>
  <si>
    <t>理工光科</t>
  </si>
  <si>
    <t>328.95万</t>
  </si>
  <si>
    <t>2520.74万</t>
  </si>
  <si>
    <t>9219.71万</t>
  </si>
  <si>
    <t>6716.68万</t>
  </si>
  <si>
    <t>1272.44万</t>
  </si>
  <si>
    <t>614.39万</t>
  </si>
  <si>
    <t>-1305717亿</t>
  </si>
  <si>
    <t>5612728亿</t>
  </si>
  <si>
    <t>308954740亿</t>
  </si>
  <si>
    <t>1029.89万</t>
  </si>
  <si>
    <t>1333139430亿</t>
  </si>
  <si>
    <t>973.60万</t>
  </si>
  <si>
    <t>800.00万</t>
  </si>
  <si>
    <t>4869.67万</t>
  </si>
  <si>
    <t>5.73亿</t>
  </si>
  <si>
    <t>-4720.77万</t>
  </si>
  <si>
    <t>-4.49万</t>
  </si>
  <si>
    <t>-496.47万</t>
  </si>
  <si>
    <t>1966.46万</t>
  </si>
  <si>
    <t>1350.23万</t>
  </si>
  <si>
    <t>1334.54万</t>
  </si>
  <si>
    <t>1019.05万</t>
  </si>
  <si>
    <t>1794.34万</t>
  </si>
  <si>
    <t>8857.69万</t>
  </si>
  <si>
    <t>391.24万</t>
  </si>
  <si>
    <t>10转3股派2元(含税)</t>
  </si>
  <si>
    <t>2524.09万</t>
  </si>
  <si>
    <t>SZ300567</t>
  </si>
  <si>
    <t>精测电子</t>
  </si>
  <si>
    <t>531.33万</t>
  </si>
  <si>
    <t>41.51亿</t>
  </si>
  <si>
    <t>24.29亿</t>
  </si>
  <si>
    <t>4286.49万</t>
  </si>
  <si>
    <t>7141.41万</t>
  </si>
  <si>
    <t>51.21万</t>
  </si>
  <si>
    <t>-23723165亿</t>
  </si>
  <si>
    <t>1267223830亿</t>
  </si>
  <si>
    <t>382.39万</t>
  </si>
  <si>
    <t>5406421800亿</t>
  </si>
  <si>
    <t>5416.44万</t>
  </si>
  <si>
    <t>8.97亿</t>
  </si>
  <si>
    <t>26.40亿</t>
  </si>
  <si>
    <t>-8366.86万</t>
  </si>
  <si>
    <t>-3.31亿</t>
  </si>
  <si>
    <t>3954.16万</t>
  </si>
  <si>
    <t>27.31亿</t>
  </si>
  <si>
    <t>24.09亿</t>
  </si>
  <si>
    <t>20.77亿</t>
  </si>
  <si>
    <t>19.51亿</t>
  </si>
  <si>
    <t>13.90亿</t>
  </si>
  <si>
    <t>1187.57万</t>
  </si>
  <si>
    <t>2255.94万</t>
  </si>
  <si>
    <t>1890.06万</t>
  </si>
  <si>
    <t>9148.30万</t>
  </si>
  <si>
    <t>7067.70万</t>
  </si>
  <si>
    <t>419.76万</t>
  </si>
  <si>
    <t>783.73万</t>
  </si>
  <si>
    <t>4412.45万</t>
  </si>
  <si>
    <t>9958.17万</t>
  </si>
  <si>
    <t>7435.87万</t>
  </si>
  <si>
    <t>8137.13万</t>
  </si>
  <si>
    <t>1495.32万</t>
  </si>
  <si>
    <t>-4949.13万</t>
  </si>
  <si>
    <t>7048.85万</t>
  </si>
  <si>
    <t>6568.05万</t>
  </si>
  <si>
    <t>SZ300667</t>
  </si>
  <si>
    <t>必创科技</t>
  </si>
  <si>
    <t>1597.63万</t>
  </si>
  <si>
    <t>3628.81万</t>
  </si>
  <si>
    <t>1978.11万</t>
  </si>
  <si>
    <t>1732.42万</t>
  </si>
  <si>
    <t>-682647亿</t>
  </si>
  <si>
    <t>-4001904亿</t>
  </si>
  <si>
    <t>166051370亿</t>
  </si>
  <si>
    <t>805.33万</t>
  </si>
  <si>
    <t>863482800亿</t>
  </si>
  <si>
    <t>606.30万</t>
  </si>
  <si>
    <t>1000.99万</t>
  </si>
  <si>
    <t>8326.13万</t>
  </si>
  <si>
    <t>-2307.87万</t>
  </si>
  <si>
    <t>-2217.64万</t>
  </si>
  <si>
    <t>-711.64万</t>
  </si>
  <si>
    <t>7.18亿</t>
  </si>
  <si>
    <t>7.71亿</t>
  </si>
  <si>
    <t>414.94万</t>
  </si>
  <si>
    <t>7560.97万</t>
  </si>
  <si>
    <t>5060.50万</t>
  </si>
  <si>
    <t>3332.59万</t>
  </si>
  <si>
    <t>4733.44万</t>
  </si>
  <si>
    <t>1434.36万</t>
  </si>
  <si>
    <t>7228.64万</t>
  </si>
  <si>
    <t>357.04万</t>
  </si>
  <si>
    <t>577.15万</t>
  </si>
  <si>
    <t>1059.96万</t>
  </si>
  <si>
    <t>1.33万</t>
  </si>
  <si>
    <t>6611.70万</t>
  </si>
  <si>
    <t>-452.69万</t>
  </si>
  <si>
    <t>-4217.00万</t>
  </si>
  <si>
    <t>2218.27万</t>
  </si>
  <si>
    <t>SZ300720</t>
  </si>
  <si>
    <t>海川智能</t>
  </si>
  <si>
    <t>345.49万</t>
  </si>
  <si>
    <t>6093.23万</t>
  </si>
  <si>
    <t>4304.90万</t>
  </si>
  <si>
    <t>3618.58万</t>
  </si>
  <si>
    <t>3794.48万</t>
  </si>
  <si>
    <t>2105.11万</t>
  </si>
  <si>
    <t>607.93万</t>
  </si>
  <si>
    <t>703.02万</t>
  </si>
  <si>
    <t>920744亿</t>
  </si>
  <si>
    <t>4527253亿</t>
  </si>
  <si>
    <t>35005887亿</t>
  </si>
  <si>
    <t>286.14万</t>
  </si>
  <si>
    <t>516796300亿</t>
  </si>
  <si>
    <t>902.84万</t>
  </si>
  <si>
    <t>4864.65万</t>
  </si>
  <si>
    <t>-37.77万</t>
  </si>
  <si>
    <t>-177.22万</t>
  </si>
  <si>
    <t>-94.12万</t>
  </si>
  <si>
    <t>4093.23万</t>
  </si>
  <si>
    <t>7688.89万</t>
  </si>
  <si>
    <t>7309.57万</t>
  </si>
  <si>
    <t>4435.20万</t>
  </si>
  <si>
    <t>4664.09万</t>
  </si>
  <si>
    <t>4134.55万</t>
  </si>
  <si>
    <t>520.72万</t>
  </si>
  <si>
    <t>1240.07万</t>
  </si>
  <si>
    <t>364.20万</t>
  </si>
  <si>
    <t>11.77亿</t>
  </si>
  <si>
    <t>622.92万</t>
  </si>
  <si>
    <t>1225.90万</t>
  </si>
  <si>
    <t>10.87万</t>
  </si>
  <si>
    <t>26.47万</t>
  </si>
  <si>
    <t>9065.96万</t>
  </si>
  <si>
    <t>148.66万</t>
  </si>
  <si>
    <t>6747.70万</t>
  </si>
  <si>
    <t>-398.58万</t>
  </si>
  <si>
    <t>-1527.88万</t>
  </si>
  <si>
    <t>3583.77万</t>
  </si>
  <si>
    <t>2427.34万</t>
  </si>
  <si>
    <t>255.70万</t>
  </si>
  <si>
    <t>15.94亿</t>
  </si>
  <si>
    <t>8504.29万</t>
  </si>
  <si>
    <t>485.61万</t>
  </si>
  <si>
    <t>662.78万</t>
  </si>
  <si>
    <t>1347.41万</t>
  </si>
  <si>
    <t>4075.54万</t>
  </si>
  <si>
    <t>7916.23万</t>
  </si>
  <si>
    <t>6462.30万</t>
  </si>
  <si>
    <t>1167.69万</t>
  </si>
  <si>
    <t>-2.60亿</t>
  </si>
  <si>
    <t>4807.17万</t>
  </si>
  <si>
    <t>-526.00万</t>
  </si>
  <si>
    <t>1600.87万</t>
  </si>
  <si>
    <t>592.36万</t>
  </si>
  <si>
    <t>692.73万</t>
  </si>
  <si>
    <t>1418.81万</t>
  </si>
  <si>
    <t>475.01万</t>
  </si>
  <si>
    <t>7779.55万</t>
  </si>
  <si>
    <t>6305.09万</t>
  </si>
  <si>
    <t>2600.00万</t>
  </si>
  <si>
    <t>5329.38万</t>
  </si>
  <si>
    <t>3.67万</t>
  </si>
  <si>
    <t>1800.00万</t>
  </si>
  <si>
    <t>-3021.73万</t>
  </si>
  <si>
    <t>-2510.31万</t>
  </si>
  <si>
    <t>-2534.76万</t>
  </si>
  <si>
    <t>3152.70万</t>
  </si>
  <si>
    <t>205.36万</t>
  </si>
  <si>
    <t>13.67亿</t>
  </si>
  <si>
    <t>7443.61万</t>
  </si>
  <si>
    <t>1481.75万</t>
  </si>
  <si>
    <t>3238.76万</t>
  </si>
  <si>
    <t>3.97万</t>
  </si>
  <si>
    <t>2242.78万</t>
  </si>
  <si>
    <t>3585.00万</t>
  </si>
  <si>
    <t>-3094.97万</t>
  </si>
  <si>
    <t>778.08万</t>
  </si>
  <si>
    <t>1304.41万</t>
  </si>
  <si>
    <t>5765.37万</t>
  </si>
  <si>
    <t>297.63万</t>
  </si>
  <si>
    <t>14.18亿</t>
  </si>
  <si>
    <t>8523.02万</t>
  </si>
  <si>
    <t>112.55万</t>
  </si>
  <si>
    <t>666.01万</t>
  </si>
  <si>
    <t>8619.92万</t>
  </si>
  <si>
    <t>1689.07万</t>
  </si>
  <si>
    <t>8554.84万</t>
  </si>
  <si>
    <t>3001.88万</t>
  </si>
  <si>
    <t>1504.47万</t>
  </si>
  <si>
    <t>6927.90万</t>
  </si>
  <si>
    <t>4058.28万</t>
  </si>
  <si>
    <t>954.04万</t>
  </si>
  <si>
    <t>220.68万</t>
  </si>
  <si>
    <t>1554.36万</t>
  </si>
  <si>
    <t>10派1.507580元(含税)</t>
  </si>
  <si>
    <t>2528.24万</t>
  </si>
  <si>
    <t>80.79万</t>
  </si>
  <si>
    <t>27.78亿</t>
  </si>
  <si>
    <t>1605.92万</t>
  </si>
  <si>
    <t>838.70万</t>
  </si>
  <si>
    <t>6767.51万</t>
  </si>
  <si>
    <t>1495.72万</t>
  </si>
  <si>
    <t>329.26万</t>
  </si>
  <si>
    <t>4701.55万</t>
  </si>
  <si>
    <t>8921.66万</t>
  </si>
  <si>
    <t>2585.00万</t>
  </si>
  <si>
    <t>-6802.92万</t>
  </si>
  <si>
    <t>-1450.27万</t>
  </si>
  <si>
    <t>4612.15万</t>
  </si>
  <si>
    <t>5387.46万</t>
  </si>
  <si>
    <t>486.14万</t>
  </si>
  <si>
    <t>3693.04万</t>
  </si>
  <si>
    <t>244.52万</t>
  </si>
  <si>
    <t>66.54亿</t>
  </si>
  <si>
    <t>4198.11万</t>
  </si>
  <si>
    <t>2490.65万</t>
  </si>
  <si>
    <t>2237.36万</t>
  </si>
  <si>
    <t>115.61万</t>
  </si>
  <si>
    <t>6.63亿</t>
  </si>
  <si>
    <t>-1.28亿</t>
  </si>
  <si>
    <t>-409.44万</t>
  </si>
  <si>
    <t>798.58万</t>
  </si>
  <si>
    <t>1585.39万</t>
  </si>
  <si>
    <t>8858.55万</t>
  </si>
  <si>
    <t>661.68万</t>
  </si>
  <si>
    <t>8.50亿</t>
  </si>
  <si>
    <t>-394.58万</t>
  </si>
  <si>
    <t>4985.34万</t>
  </si>
  <si>
    <t>4362.06万</t>
  </si>
  <si>
    <t>105.14万</t>
  </si>
  <si>
    <t>397.97万</t>
  </si>
  <si>
    <t>34.57万</t>
  </si>
  <si>
    <t>3803.06万</t>
  </si>
  <si>
    <t>4.22万</t>
  </si>
  <si>
    <t>5911.54万</t>
  </si>
  <si>
    <t>488.11万</t>
  </si>
  <si>
    <t>1904.08万</t>
  </si>
  <si>
    <t>6624.74万</t>
  </si>
  <si>
    <t>168.59万</t>
  </si>
  <si>
    <t>10派0.804670元(含税)</t>
  </si>
  <si>
    <t>5615.56万</t>
  </si>
  <si>
    <t>SZ300897</t>
  </si>
  <si>
    <t>山科智能</t>
  </si>
  <si>
    <t>45.36万</t>
  </si>
  <si>
    <t>9.91亿</t>
  </si>
  <si>
    <t>9.47亿</t>
  </si>
  <si>
    <t>7318.30万</t>
  </si>
  <si>
    <t>2282.49万</t>
  </si>
  <si>
    <t>932.01万</t>
  </si>
  <si>
    <t>116592亿</t>
  </si>
  <si>
    <t>11.25万</t>
  </si>
  <si>
    <t>15431101亿</t>
  </si>
  <si>
    <t>338525110亿</t>
  </si>
  <si>
    <t>133.00万</t>
  </si>
  <si>
    <t>847339900亿</t>
  </si>
  <si>
    <t>1028.95万</t>
  </si>
  <si>
    <t>7113.33万</t>
  </si>
  <si>
    <t>192.08万</t>
  </si>
  <si>
    <t>-3167.67万</t>
  </si>
  <si>
    <t>-1733.28万</t>
  </si>
  <si>
    <t>164.32万</t>
  </si>
  <si>
    <t>5.64亿</t>
  </si>
  <si>
    <t>8096.53万</t>
  </si>
  <si>
    <t>8977.59万</t>
  </si>
  <si>
    <t>6982.92万</t>
  </si>
  <si>
    <t>6505.27万</t>
  </si>
  <si>
    <t>5271.43万</t>
  </si>
  <si>
    <t>9285.29万</t>
  </si>
  <si>
    <t>1916.57万</t>
  </si>
  <si>
    <t>10转4.8股派4元(含税)</t>
  </si>
  <si>
    <t>330.61万</t>
  </si>
  <si>
    <t>2341.59万</t>
  </si>
  <si>
    <t>264.64万</t>
  </si>
  <si>
    <t>19.23亿</t>
  </si>
  <si>
    <t>8008.87万</t>
  </si>
  <si>
    <t>8932.54万</t>
  </si>
  <si>
    <t>282.79万</t>
  </si>
  <si>
    <t>1080.19万</t>
  </si>
  <si>
    <t>9.40万</t>
  </si>
  <si>
    <t>1279.77万</t>
  </si>
  <si>
    <t>68.92万</t>
  </si>
  <si>
    <t>5000.00万</t>
  </si>
  <si>
    <t>8381.41万</t>
  </si>
  <si>
    <t>-2485.63万</t>
  </si>
  <si>
    <t>-1055.65万</t>
  </si>
  <si>
    <t>4290.84万</t>
  </si>
  <si>
    <t>2661.05万</t>
  </si>
  <si>
    <t>1401.46万</t>
  </si>
  <si>
    <t>321.64万</t>
  </si>
  <si>
    <t>3323.85万</t>
  </si>
  <si>
    <t>9831.76万</t>
  </si>
  <si>
    <t>286.83万</t>
  </si>
  <si>
    <t>578.09万</t>
  </si>
  <si>
    <t>6156.33万</t>
  </si>
  <si>
    <t>8258.76万</t>
  </si>
  <si>
    <t>5983.89万</t>
  </si>
  <si>
    <t>8362.89万</t>
  </si>
  <si>
    <t>7803.94万</t>
  </si>
  <si>
    <t>5157.61万</t>
  </si>
  <si>
    <t>-1255.49万</t>
  </si>
  <si>
    <t>-3221.31万</t>
  </si>
  <si>
    <t>-766.67万</t>
  </si>
  <si>
    <t>247.96万</t>
  </si>
  <si>
    <t>2475.25万</t>
  </si>
  <si>
    <t>6883.18万</t>
  </si>
  <si>
    <t>31.09万</t>
  </si>
  <si>
    <t>223.60万</t>
  </si>
  <si>
    <t>909.07万</t>
  </si>
  <si>
    <t>1.32万</t>
  </si>
  <si>
    <t>6329.51万</t>
  </si>
  <si>
    <t>9786.97万</t>
  </si>
  <si>
    <t>6305.96万</t>
  </si>
  <si>
    <t>-6357.95万</t>
  </si>
  <si>
    <t>2644.58万</t>
  </si>
  <si>
    <t>5015.12万</t>
  </si>
  <si>
    <t>230.00万</t>
  </si>
  <si>
    <t>2433.45万</t>
  </si>
  <si>
    <t>141.62万</t>
  </si>
  <si>
    <t>-4529.72万</t>
  </si>
  <si>
    <t>1771.44万</t>
  </si>
  <si>
    <t>1489.10万</t>
  </si>
  <si>
    <t>93.46万</t>
  </si>
  <si>
    <t>73.38万</t>
  </si>
  <si>
    <t>12.17亿</t>
  </si>
  <si>
    <t>-1605.07万</t>
  </si>
  <si>
    <t>9244.64万</t>
  </si>
  <si>
    <t>184.57万</t>
  </si>
  <si>
    <t>934.38万</t>
  </si>
  <si>
    <t>5231.17万</t>
  </si>
  <si>
    <t>108.95万</t>
  </si>
  <si>
    <t>1130.82万</t>
  </si>
  <si>
    <t>1578.17万</t>
  </si>
  <si>
    <t>3163.36万</t>
  </si>
  <si>
    <t>5.21万</t>
  </si>
  <si>
    <t>1597.77万</t>
  </si>
  <si>
    <t>6349.46万</t>
  </si>
  <si>
    <t>5779.08万</t>
  </si>
  <si>
    <t>-8833.74万</t>
  </si>
  <si>
    <t>-53.73万</t>
  </si>
  <si>
    <t>9564.25万</t>
  </si>
  <si>
    <t>-856.31万</t>
  </si>
  <si>
    <t>526.08万</t>
  </si>
  <si>
    <t>6446.13万</t>
  </si>
  <si>
    <t>9-0</t>
  </si>
  <si>
    <t>89.01万</t>
  </si>
  <si>
    <t>8.11亿</t>
  </si>
  <si>
    <t>780.40万</t>
  </si>
  <si>
    <t>803.82万</t>
  </si>
  <si>
    <t>62.70万</t>
  </si>
  <si>
    <t>16.57万</t>
  </si>
  <si>
    <t>-9759.90万</t>
  </si>
  <si>
    <t>-2705.26万</t>
  </si>
  <si>
    <t>2701.91万</t>
  </si>
  <si>
    <t>617.78万</t>
  </si>
  <si>
    <t>4932.94万</t>
  </si>
  <si>
    <t>SZ301006</t>
  </si>
  <si>
    <t>迈拓股份</t>
  </si>
  <si>
    <t>74.50万</t>
  </si>
  <si>
    <t>12.36亿</t>
  </si>
  <si>
    <t>5023.92万</t>
  </si>
  <si>
    <t>5335.02万</t>
  </si>
  <si>
    <t>4339.14万</t>
  </si>
  <si>
    <t>2566.50万</t>
  </si>
  <si>
    <t>1029.99万</t>
  </si>
  <si>
    <t>280.36万</t>
  </si>
  <si>
    <t>103131亿</t>
  </si>
  <si>
    <t>7078655亿</t>
  </si>
  <si>
    <t>283202330亿</t>
  </si>
  <si>
    <t>52.00万</t>
  </si>
  <si>
    <t>1115223620亿</t>
  </si>
  <si>
    <t>4232.48万</t>
  </si>
  <si>
    <t>1311.38万</t>
  </si>
  <si>
    <t>9089.66万</t>
  </si>
  <si>
    <t>108.34万</t>
  </si>
  <si>
    <t>-1218.90万</t>
  </si>
  <si>
    <t>7273.85万</t>
  </si>
  <si>
    <t>789.81万</t>
  </si>
  <si>
    <t>10派3.024350元(含税)</t>
  </si>
  <si>
    <t>406.94万</t>
  </si>
  <si>
    <t>2615.77万</t>
  </si>
  <si>
    <t>228.95万</t>
  </si>
  <si>
    <t>25.19亿</t>
  </si>
  <si>
    <t>4272.00万</t>
  </si>
  <si>
    <t>3096.98万</t>
  </si>
  <si>
    <t>54.87万</t>
  </si>
  <si>
    <t>2858.35万</t>
  </si>
  <si>
    <t>14.46亿</t>
  </si>
  <si>
    <t>1438.94万</t>
  </si>
  <si>
    <t>-1.40亿</t>
  </si>
  <si>
    <t>3414.99万</t>
  </si>
  <si>
    <t>9866.97万</t>
  </si>
  <si>
    <t>1956.76万</t>
  </si>
  <si>
    <t>1408.45万</t>
  </si>
  <si>
    <t>9920.99万</t>
  </si>
  <si>
    <t>0102000000</t>
  </si>
  <si>
    <t>0306000000</t>
  </si>
  <si>
    <t>0612000000</t>
  </si>
  <si>
    <t>01020000000</t>
  </si>
  <si>
    <t>02040000000</t>
  </si>
  <si>
    <t>217.56万</t>
  </si>
  <si>
    <t>28.81亿</t>
  </si>
  <si>
    <t>926.52万</t>
  </si>
  <si>
    <t>997.43万</t>
  </si>
  <si>
    <t>7.41万</t>
  </si>
  <si>
    <t>4645.61万</t>
  </si>
  <si>
    <t>7500.00万</t>
  </si>
  <si>
    <t>3870.00万</t>
  </si>
  <si>
    <t>1369.40万</t>
  </si>
  <si>
    <t>-4.14亿</t>
  </si>
  <si>
    <t>2987.32万</t>
  </si>
  <si>
    <t>1078.41万</t>
  </si>
  <si>
    <t>8637.02万</t>
  </si>
  <si>
    <t>258.13万</t>
  </si>
  <si>
    <t>4087.74万</t>
  </si>
  <si>
    <t>1634.81万</t>
  </si>
  <si>
    <t>1297.25万</t>
  </si>
  <si>
    <t>3092.89万</t>
  </si>
  <si>
    <t>4.90亿</t>
  </si>
  <si>
    <t>872.81万</t>
  </si>
  <si>
    <t>7.42亿</t>
  </si>
  <si>
    <t>6.49亿</t>
  </si>
  <si>
    <t>-1158.65万</t>
  </si>
  <si>
    <t>2477.16万</t>
  </si>
  <si>
    <t>-145.39万</t>
  </si>
  <si>
    <t>4448.58万</t>
  </si>
  <si>
    <t>781.65万</t>
  </si>
  <si>
    <t>2079.25万</t>
  </si>
  <si>
    <t>9840.87万</t>
  </si>
  <si>
    <t>040877400</t>
  </si>
  <si>
    <t>0122632200</t>
  </si>
  <si>
    <t>0245264400</t>
  </si>
  <si>
    <t>0408774000</t>
  </si>
  <si>
    <t>0817548000</t>
  </si>
  <si>
    <t>43.67万</t>
  </si>
  <si>
    <t>8.54亿</t>
  </si>
  <si>
    <t>883.72万</t>
  </si>
  <si>
    <t>9539.29万</t>
  </si>
  <si>
    <t>7059.66万</t>
  </si>
  <si>
    <t>1284.65万</t>
  </si>
  <si>
    <t>622.81万</t>
  </si>
  <si>
    <t>1414.75万</t>
  </si>
  <si>
    <t>4610.98万</t>
  </si>
  <si>
    <t>946.26万</t>
  </si>
  <si>
    <t>4364.21万</t>
  </si>
  <si>
    <t>-1459.22万</t>
  </si>
  <si>
    <t>6460.73万</t>
  </si>
  <si>
    <t>2860.01万</t>
  </si>
  <si>
    <t>422.77万</t>
  </si>
  <si>
    <t>272.09万</t>
  </si>
  <si>
    <t>2006.85万</t>
  </si>
  <si>
    <t>40.55万</t>
  </si>
  <si>
    <t>6221.64万</t>
  </si>
  <si>
    <t>2902.70万</t>
  </si>
  <si>
    <t>1411.36万</t>
  </si>
  <si>
    <t>1233.68万</t>
  </si>
  <si>
    <t>335.55万</t>
  </si>
  <si>
    <t>271.67万</t>
  </si>
  <si>
    <t>1900.00万</t>
  </si>
  <si>
    <t>3900.30万</t>
  </si>
  <si>
    <t>4953.20万</t>
  </si>
  <si>
    <t>3868.76万</t>
  </si>
  <si>
    <t>-3777.86万</t>
  </si>
  <si>
    <t>3039.52万</t>
  </si>
  <si>
    <t>7460.98万</t>
  </si>
  <si>
    <t>195.57万</t>
  </si>
  <si>
    <t>2525.68万</t>
  </si>
  <si>
    <t>729.70万</t>
  </si>
  <si>
    <t>15.32亿</t>
  </si>
  <si>
    <t>7786.14万</t>
  </si>
  <si>
    <t>7097.46万</t>
  </si>
  <si>
    <t>5919.36万</t>
  </si>
  <si>
    <t>441.71万</t>
  </si>
  <si>
    <t>564.93万</t>
  </si>
  <si>
    <t>5.48万</t>
  </si>
  <si>
    <t>498.85万</t>
  </si>
  <si>
    <t>5974.79万</t>
  </si>
  <si>
    <t>1866.90万</t>
  </si>
  <si>
    <t>9569.84万</t>
  </si>
  <si>
    <t>1327.63万</t>
  </si>
  <si>
    <t>7283.38万</t>
  </si>
  <si>
    <t>2096.09万</t>
  </si>
  <si>
    <t>4702.05万</t>
  </si>
  <si>
    <t>93.85万</t>
  </si>
  <si>
    <t>8913.40万</t>
  </si>
  <si>
    <t>7179.07万</t>
  </si>
  <si>
    <t>179.86万</t>
  </si>
  <si>
    <t>708.53万</t>
  </si>
  <si>
    <t>13.95万</t>
  </si>
  <si>
    <t>575.83万</t>
  </si>
  <si>
    <t>2222.55万</t>
  </si>
  <si>
    <t>6195.88万</t>
  </si>
  <si>
    <t>143.95万</t>
  </si>
  <si>
    <t>1877.28万</t>
  </si>
  <si>
    <t>7927.21万</t>
  </si>
  <si>
    <t>-1348.03万</t>
  </si>
  <si>
    <t>3727.07万</t>
  </si>
  <si>
    <t>778.04万</t>
  </si>
  <si>
    <t>3978.91万</t>
  </si>
  <si>
    <t>507.02万</t>
  </si>
  <si>
    <t>6.51亿</t>
  </si>
  <si>
    <t>3429.98万</t>
  </si>
  <si>
    <t>423.44万</t>
  </si>
  <si>
    <t>1843.93万</t>
  </si>
  <si>
    <t>3493.38万</t>
  </si>
  <si>
    <t>900.38万</t>
  </si>
  <si>
    <t>9007.73万</t>
  </si>
  <si>
    <t>-5959.38万</t>
  </si>
  <si>
    <t>-1846.23万</t>
  </si>
  <si>
    <t>3948.10万</t>
  </si>
  <si>
    <t>1528.76万</t>
  </si>
  <si>
    <t>4779.79万</t>
  </si>
  <si>
    <t>SZ301129</t>
  </si>
  <si>
    <t>瑞纳智能</t>
  </si>
  <si>
    <t>548.96万</t>
  </si>
  <si>
    <t>16.54亿</t>
  </si>
  <si>
    <t>2896.17万</t>
  </si>
  <si>
    <t>5050.24万</t>
  </si>
  <si>
    <t>5725.74万</t>
  </si>
  <si>
    <t>1321.65万</t>
  </si>
  <si>
    <t>929.64万</t>
  </si>
  <si>
    <t>1700.98万</t>
  </si>
  <si>
    <t>3716000亿</t>
  </si>
  <si>
    <t>-14630528亿</t>
  </si>
  <si>
    <t>441315170亿</t>
  </si>
  <si>
    <t>3121.52万</t>
  </si>
  <si>
    <t>1546290300亿</t>
  </si>
  <si>
    <t>2073.09万</t>
  </si>
  <si>
    <t>4151.27万</t>
  </si>
  <si>
    <t>9260.60万</t>
  </si>
  <si>
    <t>8.96万</t>
  </si>
  <si>
    <t>996.68万</t>
  </si>
  <si>
    <t>1584.39万</t>
  </si>
  <si>
    <t>9707.44万</t>
  </si>
  <si>
    <t>4278.84万</t>
  </si>
  <si>
    <t>5544.01万</t>
  </si>
  <si>
    <t>6715.63万</t>
  </si>
  <si>
    <t>957.53万</t>
  </si>
  <si>
    <t>5501.84万</t>
  </si>
  <si>
    <t>158.21万</t>
  </si>
  <si>
    <t>7596.56万</t>
  </si>
  <si>
    <t>1171.51万</t>
  </si>
  <si>
    <t>297.18万</t>
  </si>
  <si>
    <t>9282.87万</t>
  </si>
  <si>
    <t>64.29万</t>
  </si>
  <si>
    <t>-2291.99万</t>
  </si>
  <si>
    <t>-3.29亿</t>
  </si>
  <si>
    <t>1804.95万</t>
  </si>
  <si>
    <t>1863.10万</t>
  </si>
  <si>
    <t>1203.74万</t>
  </si>
  <si>
    <t>075965600</t>
  </si>
  <si>
    <t>0227896800</t>
  </si>
  <si>
    <t>0455793600</t>
  </si>
  <si>
    <t>0759656000</t>
  </si>
  <si>
    <t>01519312000</t>
  </si>
  <si>
    <t>163.96万</t>
  </si>
  <si>
    <t>24.43亿</t>
  </si>
  <si>
    <t>-5.03亿</t>
  </si>
  <si>
    <t>2551.24万</t>
  </si>
  <si>
    <t>1282.77万</t>
  </si>
  <si>
    <t>43.94万</t>
  </si>
  <si>
    <t>2688.40万</t>
  </si>
  <si>
    <t>-5379.82万</t>
  </si>
  <si>
    <t>-3030.20万</t>
  </si>
  <si>
    <t>3753.76万</t>
  </si>
  <si>
    <t>49.95万</t>
  </si>
  <si>
    <t>1339.10万</t>
  </si>
  <si>
    <t>96.93万</t>
  </si>
  <si>
    <t>3709.10万</t>
  </si>
  <si>
    <t>750.09万</t>
  </si>
  <si>
    <t>1200.32万</t>
  </si>
  <si>
    <t>53.25万</t>
  </si>
  <si>
    <t>3050.00万</t>
  </si>
  <si>
    <t>2424.15万</t>
  </si>
  <si>
    <t>2783.43万</t>
  </si>
  <si>
    <t>-4837.75万</t>
  </si>
  <si>
    <t>-2945.16万</t>
  </si>
  <si>
    <t>1726.08万</t>
  </si>
  <si>
    <t>511.95万</t>
  </si>
  <si>
    <t>3077.50万</t>
  </si>
  <si>
    <t>SZ301197</t>
  </si>
  <si>
    <t>工大科雅</t>
  </si>
  <si>
    <t>206.75万</t>
  </si>
  <si>
    <t>4834.64万</t>
  </si>
  <si>
    <t>3612.07万</t>
  </si>
  <si>
    <t>5132.58万</t>
  </si>
  <si>
    <t>3130.82万</t>
  </si>
  <si>
    <t>733.30万</t>
  </si>
  <si>
    <t>508.10万</t>
  </si>
  <si>
    <t>2140644亿</t>
  </si>
  <si>
    <t>-2020350亿</t>
  </si>
  <si>
    <t>416324400亿</t>
  </si>
  <si>
    <t>1183161190亿</t>
  </si>
  <si>
    <t>7972.00万</t>
  </si>
  <si>
    <t>940.48万</t>
  </si>
  <si>
    <t>5967.93万</t>
  </si>
  <si>
    <t>-6707.93万</t>
  </si>
  <si>
    <t>-7076.24万</t>
  </si>
  <si>
    <t>-5073.92万</t>
  </si>
  <si>
    <t>4054.41万</t>
  </si>
  <si>
    <t>8609.77万</t>
  </si>
  <si>
    <t>6172.69万</t>
  </si>
  <si>
    <t>6332.37万</t>
  </si>
  <si>
    <t>5857.68万</t>
  </si>
  <si>
    <t>8903.17万</t>
  </si>
  <si>
    <t>5666.42万</t>
  </si>
  <si>
    <t>1431.09万</t>
  </si>
  <si>
    <t>1366.45万</t>
  </si>
  <si>
    <t>7271.90万</t>
  </si>
  <si>
    <t>154.33万</t>
  </si>
  <si>
    <t>429.50万</t>
  </si>
  <si>
    <t>1085.63万</t>
  </si>
  <si>
    <t>-1.33万</t>
  </si>
  <si>
    <t>517.32万</t>
  </si>
  <si>
    <t>6229.06万</t>
  </si>
  <si>
    <t>-10.68万</t>
  </si>
  <si>
    <t>3701.57万</t>
  </si>
  <si>
    <t>-480.07万</t>
  </si>
  <si>
    <t>-1398.90万</t>
  </si>
  <si>
    <t>1046.70万</t>
  </si>
  <si>
    <t>127.27万</t>
  </si>
  <si>
    <t>7340.58万</t>
  </si>
  <si>
    <t>6539.00万</t>
  </si>
  <si>
    <t>292.63万</t>
  </si>
  <si>
    <t>309.38万</t>
  </si>
  <si>
    <t>900.80万</t>
  </si>
  <si>
    <t>7067.29万</t>
  </si>
  <si>
    <t>76.44万</t>
  </si>
  <si>
    <t>-2017.94万</t>
  </si>
  <si>
    <t>-3718.74万</t>
  </si>
  <si>
    <t>-31.40万</t>
  </si>
  <si>
    <t>3691.91万</t>
  </si>
  <si>
    <t>724.88万</t>
  </si>
  <si>
    <t>8677.23万</t>
  </si>
  <si>
    <t>781.15万</t>
  </si>
  <si>
    <t>614.18万</t>
  </si>
  <si>
    <t>1290.18万</t>
  </si>
  <si>
    <t>10.99万</t>
  </si>
  <si>
    <t>8956.80万</t>
  </si>
  <si>
    <t>9.32亿</t>
  </si>
  <si>
    <t>7207.89万</t>
  </si>
  <si>
    <t>7816.03万</t>
  </si>
  <si>
    <t>11.92亿</t>
  </si>
  <si>
    <t>-351.26万</t>
  </si>
  <si>
    <t>-4.33亿</t>
  </si>
  <si>
    <t>1801.60万</t>
  </si>
  <si>
    <t>5416.73万</t>
  </si>
  <si>
    <t>150.49万</t>
  </si>
  <si>
    <t>25.60亿</t>
  </si>
  <si>
    <t>4.95亿</t>
  </si>
  <si>
    <t>845.09万</t>
  </si>
  <si>
    <t>4523.02万</t>
  </si>
  <si>
    <t>2.21万</t>
  </si>
  <si>
    <t>5416.09万</t>
  </si>
  <si>
    <t>15.22亿</t>
  </si>
  <si>
    <t>-924.59万</t>
  </si>
  <si>
    <t>-6.44亿</t>
  </si>
  <si>
    <t>5464.74万</t>
  </si>
  <si>
    <t>2114.62万</t>
  </si>
  <si>
    <t>690.17万</t>
  </si>
  <si>
    <t>3912.33万</t>
  </si>
  <si>
    <t>27.00万</t>
  </si>
  <si>
    <t>8757.31万</t>
  </si>
  <si>
    <t>7063.70万</t>
  </si>
  <si>
    <t>478.04万</t>
  </si>
  <si>
    <t>464.17万</t>
  </si>
  <si>
    <t>2421.29万</t>
  </si>
  <si>
    <t>-533.99万</t>
  </si>
  <si>
    <t>-2.63亿</t>
  </si>
  <si>
    <t>-3.76万</t>
  </si>
  <si>
    <t>175.81万</t>
  </si>
  <si>
    <t>2866.72万</t>
  </si>
  <si>
    <t>111.74万</t>
  </si>
  <si>
    <t>11.52亿</t>
  </si>
  <si>
    <t>5251.54万</t>
  </si>
  <si>
    <t>2231.21万</t>
  </si>
  <si>
    <t>1596.46万</t>
  </si>
  <si>
    <t>853.74万</t>
  </si>
  <si>
    <t>5910.66万</t>
  </si>
  <si>
    <t>888.34万</t>
  </si>
  <si>
    <t>8384.53万</t>
  </si>
  <si>
    <t>-855.96万</t>
  </si>
  <si>
    <t>-1644.25万</t>
  </si>
  <si>
    <t>546.99万</t>
  </si>
  <si>
    <t>6443.32万</t>
  </si>
  <si>
    <t>637.21万</t>
  </si>
  <si>
    <t>3343.16万</t>
  </si>
  <si>
    <t>SZ301303</t>
  </si>
  <si>
    <t>真兰仪表</t>
  </si>
  <si>
    <t>85.93万</t>
  </si>
  <si>
    <t>31.59亿</t>
  </si>
  <si>
    <t>17.53亿</t>
  </si>
  <si>
    <t>2770.86万</t>
  </si>
  <si>
    <t>1629.12万</t>
  </si>
  <si>
    <t>11217372亿</t>
  </si>
  <si>
    <t>45440487亿</t>
  </si>
  <si>
    <t>793940290亿</t>
  </si>
  <si>
    <t>1954613300亿</t>
  </si>
  <si>
    <t>729.51万</t>
  </si>
  <si>
    <t>8696.65万</t>
  </si>
  <si>
    <t>6441.51万</t>
  </si>
  <si>
    <t>8007.33万</t>
  </si>
  <si>
    <t>-3851.93万</t>
  </si>
  <si>
    <t>-1046.66万</t>
  </si>
  <si>
    <t>6755.77万</t>
  </si>
  <si>
    <t>13.45亿</t>
  </si>
  <si>
    <t>4237.43万</t>
  </si>
  <si>
    <t>10转4股派3.5元(含税)</t>
  </si>
  <si>
    <t>446.24万</t>
  </si>
  <si>
    <t>4461.14万</t>
  </si>
  <si>
    <t>37.63万</t>
  </si>
  <si>
    <t>14.78亿</t>
  </si>
  <si>
    <t>476.42万</t>
  </si>
  <si>
    <t>849.54万</t>
  </si>
  <si>
    <t>6.99亿</t>
  </si>
  <si>
    <t>7873.22万</t>
  </si>
  <si>
    <t>-326.31万</t>
  </si>
  <si>
    <t>-6476.27万</t>
  </si>
  <si>
    <t>2791.93万</t>
  </si>
  <si>
    <t>3582.03万</t>
  </si>
  <si>
    <t>218.09万</t>
  </si>
  <si>
    <t>1433.89万</t>
  </si>
  <si>
    <t>116.90万</t>
  </si>
  <si>
    <t>18.59亿</t>
  </si>
  <si>
    <t>7256.67万</t>
  </si>
  <si>
    <t>2010.24万</t>
  </si>
  <si>
    <t>2815.54万</t>
  </si>
  <si>
    <t>2.64万</t>
  </si>
  <si>
    <t>4788.93万</t>
  </si>
  <si>
    <t>-3.90亿</t>
  </si>
  <si>
    <t>-5.55万</t>
  </si>
  <si>
    <t>-336.12万</t>
  </si>
  <si>
    <t>2872.51万</t>
  </si>
  <si>
    <t>924.84万</t>
  </si>
  <si>
    <t>8446.74万</t>
  </si>
  <si>
    <t>072566700</t>
  </si>
  <si>
    <t>0217700100</t>
  </si>
  <si>
    <t>0435400200</t>
  </si>
  <si>
    <t>0725667000</t>
  </si>
  <si>
    <t>01451334000</t>
  </si>
  <si>
    <t>40.14万</t>
  </si>
  <si>
    <t>10.49亿</t>
  </si>
  <si>
    <t>8217.06万</t>
  </si>
  <si>
    <t>1199.48万</t>
  </si>
  <si>
    <t>955.47万</t>
  </si>
  <si>
    <t>2.87万</t>
  </si>
  <si>
    <t>5.13亿</t>
  </si>
  <si>
    <t>990.92万</t>
  </si>
  <si>
    <t>3420.00万</t>
  </si>
  <si>
    <t>51.63万</t>
  </si>
  <si>
    <t>7.10亿</t>
  </si>
  <si>
    <t>-4610.07万</t>
  </si>
  <si>
    <t>2004.82万</t>
  </si>
  <si>
    <t>153.19万</t>
  </si>
  <si>
    <t>1335.92万</t>
  </si>
  <si>
    <t>082170600</t>
  </si>
  <si>
    <t>0246511800</t>
  </si>
  <si>
    <t>0493023600</t>
  </si>
  <si>
    <t>0821706000</t>
  </si>
  <si>
    <t>01643412000</t>
  </si>
  <si>
    <t>105.79万</t>
  </si>
  <si>
    <t>7197.88万</t>
  </si>
  <si>
    <t>2702.89万</t>
  </si>
  <si>
    <t>1850.10万</t>
  </si>
  <si>
    <t>1286.11万</t>
  </si>
  <si>
    <t>2344.95万</t>
  </si>
  <si>
    <t>8779.71万</t>
  </si>
  <si>
    <t>3561.66万</t>
  </si>
  <si>
    <t>447.84万</t>
  </si>
  <si>
    <t>-2031.66万</t>
  </si>
  <si>
    <t>-308.21万</t>
  </si>
  <si>
    <t>1736.98万</t>
  </si>
  <si>
    <t>704.75万</t>
  </si>
  <si>
    <t>2947.62万</t>
  </si>
  <si>
    <t>768.85万</t>
  </si>
  <si>
    <t>2458.33万</t>
  </si>
  <si>
    <t>9667.73万</t>
  </si>
  <si>
    <t>8649.81万</t>
  </si>
  <si>
    <t>144.68万</t>
  </si>
  <si>
    <t>628.00万</t>
  </si>
  <si>
    <t>19.46万</t>
  </si>
  <si>
    <t>562.15万</t>
  </si>
  <si>
    <t>9638.63万</t>
  </si>
  <si>
    <t>7262.03万</t>
  </si>
  <si>
    <t>-22.22万</t>
  </si>
  <si>
    <t>-5863.40万</t>
  </si>
  <si>
    <t>4258.61万</t>
  </si>
  <si>
    <t>121.59万</t>
  </si>
  <si>
    <t>3953.69万</t>
  </si>
  <si>
    <t>238.62万</t>
  </si>
  <si>
    <t>5449.92万</t>
  </si>
  <si>
    <t>1668.18万</t>
  </si>
  <si>
    <t>2257.05万</t>
  </si>
  <si>
    <t>5916.02万</t>
  </si>
  <si>
    <t>8355.10万</t>
  </si>
  <si>
    <t>6.72亿</t>
  </si>
  <si>
    <t>5942.84万</t>
  </si>
  <si>
    <t>1840.05万</t>
  </si>
  <si>
    <t>-6173.05万</t>
  </si>
  <si>
    <t>829.86万</t>
  </si>
  <si>
    <t>8488.31万</t>
  </si>
  <si>
    <t>554.84万</t>
  </si>
  <si>
    <t>1635.41万</t>
  </si>
  <si>
    <t>9572.09万</t>
  </si>
  <si>
    <t>65.16万</t>
  </si>
  <si>
    <t>37.97亿</t>
  </si>
  <si>
    <t>7439.89万</t>
  </si>
  <si>
    <t>6526.63万</t>
  </si>
  <si>
    <t>155.30万</t>
  </si>
  <si>
    <t>709.64万</t>
  </si>
  <si>
    <t>8.15亿</t>
  </si>
  <si>
    <t>1801.57万</t>
  </si>
  <si>
    <t>832.85万</t>
  </si>
  <si>
    <t>2465.41万</t>
  </si>
  <si>
    <t>3.37万</t>
  </si>
  <si>
    <t>4553.87万</t>
  </si>
  <si>
    <t>-2522.51万</t>
  </si>
  <si>
    <t>2944.22万</t>
  </si>
  <si>
    <t>-115.26万</t>
  </si>
  <si>
    <t>2948.33万</t>
  </si>
  <si>
    <t>465.11万</t>
  </si>
  <si>
    <t>6359.77万</t>
  </si>
  <si>
    <t>SZ301413</t>
  </si>
  <si>
    <t>安培龙</t>
  </si>
  <si>
    <t>140.18万</t>
  </si>
  <si>
    <t>11.61亿</t>
  </si>
  <si>
    <t>8338.62万</t>
  </si>
  <si>
    <t>477.03万</t>
  </si>
  <si>
    <t>1866.97万</t>
  </si>
  <si>
    <t>1000亿</t>
  </si>
  <si>
    <t>11326548亿</t>
  </si>
  <si>
    <t>306193700亿</t>
  </si>
  <si>
    <t>6147.87万</t>
  </si>
  <si>
    <t>1197435770亿</t>
  </si>
  <si>
    <t>3257.19万</t>
  </si>
  <si>
    <t>6805.24万</t>
  </si>
  <si>
    <t>-5903.96万</t>
  </si>
  <si>
    <t>-3549.96万</t>
  </si>
  <si>
    <t>8930.93万</t>
  </si>
  <si>
    <t>5263.68万</t>
  </si>
  <si>
    <t>6010.76万</t>
  </si>
  <si>
    <t>2723.57万</t>
  </si>
  <si>
    <t>1120.57万</t>
  </si>
  <si>
    <t>7989.15万</t>
  </si>
  <si>
    <t>2236.59万</t>
  </si>
  <si>
    <t>10转3股派3元(含税)</t>
  </si>
  <si>
    <t>656.08万</t>
  </si>
  <si>
    <t>5518.16万</t>
  </si>
  <si>
    <t>300.65万</t>
  </si>
  <si>
    <t>6.77亿</t>
  </si>
  <si>
    <t>722.80万</t>
  </si>
  <si>
    <t>1129.41万</t>
  </si>
  <si>
    <t>9932.47万</t>
  </si>
  <si>
    <t>660.86万</t>
  </si>
  <si>
    <t>-2967.42万</t>
  </si>
  <si>
    <t>-3.38万</t>
  </si>
  <si>
    <t>8776.68万</t>
  </si>
  <si>
    <t>2907.31万</t>
  </si>
  <si>
    <t>966.43万</t>
  </si>
  <si>
    <t>6698.05万</t>
  </si>
  <si>
    <t>87.62万</t>
  </si>
  <si>
    <t>31.00亿</t>
  </si>
  <si>
    <t>71.56亿</t>
  </si>
  <si>
    <t>697.01万</t>
  </si>
  <si>
    <t>560.73万</t>
  </si>
  <si>
    <t>3.71万</t>
  </si>
  <si>
    <t>24.85亿</t>
  </si>
  <si>
    <t>6581.09万</t>
  </si>
  <si>
    <t>-2614.01万</t>
  </si>
  <si>
    <t>-420.98万</t>
  </si>
  <si>
    <t>17.36亿</t>
  </si>
  <si>
    <t>506.53万</t>
  </si>
  <si>
    <t>3362.66万</t>
  </si>
  <si>
    <t>SZ301528</t>
  </si>
  <si>
    <t>多浦乐</t>
  </si>
  <si>
    <t>38.16万</t>
  </si>
  <si>
    <t>4873.52万</t>
  </si>
  <si>
    <t>1707.20万</t>
  </si>
  <si>
    <t>8414.74万</t>
  </si>
  <si>
    <t>2232.35万</t>
  </si>
  <si>
    <t>563.96万</t>
  </si>
  <si>
    <t>641.19万</t>
  </si>
  <si>
    <t>364.44万</t>
  </si>
  <si>
    <t>1027977亿</t>
  </si>
  <si>
    <t>-5146486亿</t>
  </si>
  <si>
    <t>163434470亿</t>
  </si>
  <si>
    <t>712.34万</t>
  </si>
  <si>
    <t>1180230500亿</t>
  </si>
  <si>
    <t>287.91万</t>
  </si>
  <si>
    <t>1064.52万</t>
  </si>
  <si>
    <t>2745.06万</t>
  </si>
  <si>
    <t>-1329.78万</t>
  </si>
  <si>
    <t>-69.98万</t>
  </si>
  <si>
    <t>9656.52万</t>
  </si>
  <si>
    <t>7248.90万</t>
  </si>
  <si>
    <t>8538.86万</t>
  </si>
  <si>
    <t>6381.50万</t>
  </si>
  <si>
    <t>5170.98万</t>
  </si>
  <si>
    <t>3383.13万</t>
  </si>
  <si>
    <t>1912.48万</t>
  </si>
  <si>
    <t>7780.72万</t>
  </si>
  <si>
    <t>1705.35万</t>
  </si>
  <si>
    <t>10派1.26元(含税)</t>
  </si>
  <si>
    <t>221.28万</t>
  </si>
  <si>
    <t>2177.99万</t>
  </si>
  <si>
    <t>10-1</t>
  </si>
  <si>
    <t>224.91万</t>
  </si>
  <si>
    <t>14.65亿</t>
  </si>
  <si>
    <t>8820.57万</t>
  </si>
  <si>
    <t>6976.29万</t>
  </si>
  <si>
    <t>549.40万</t>
  </si>
  <si>
    <t>746.81万</t>
  </si>
  <si>
    <t>5206.84万</t>
  </si>
  <si>
    <t>2606.84万</t>
  </si>
  <si>
    <t>4410.31万</t>
  </si>
  <si>
    <t>2136.06万</t>
  </si>
  <si>
    <t>2335.00万</t>
  </si>
  <si>
    <t>1169.80万</t>
  </si>
  <si>
    <t>8754.01万</t>
  </si>
  <si>
    <t>27-1</t>
  </si>
  <si>
    <t>102.27万</t>
  </si>
  <si>
    <t>23.52亿</t>
  </si>
  <si>
    <t>3.30万</t>
  </si>
  <si>
    <t>29.43亿</t>
  </si>
  <si>
    <t>1074.36万</t>
  </si>
  <si>
    <t>2708.63万</t>
  </si>
  <si>
    <t>720.00万</t>
  </si>
  <si>
    <t>19.98万</t>
  </si>
  <si>
    <t>8087.60万</t>
  </si>
  <si>
    <t>-3321.99万</t>
  </si>
  <si>
    <t>-470.50万</t>
  </si>
  <si>
    <t>42.27亿</t>
  </si>
  <si>
    <t>47.60亿</t>
  </si>
  <si>
    <t>46.63亿</t>
  </si>
  <si>
    <t>6627.98万</t>
  </si>
  <si>
    <t>464.73万</t>
  </si>
  <si>
    <t>4314.08万</t>
  </si>
  <si>
    <t>0206000000</t>
  </si>
  <si>
    <t>0618000000</t>
  </si>
  <si>
    <t>01236000000</t>
  </si>
  <si>
    <t>02060000000</t>
  </si>
  <si>
    <t>04120000000</t>
  </si>
  <si>
    <t>499.90万</t>
  </si>
  <si>
    <t>1734.34亿</t>
  </si>
  <si>
    <t>367.02亿</t>
  </si>
  <si>
    <t>23.51万</t>
  </si>
  <si>
    <t>3038.89万</t>
  </si>
  <si>
    <t>731.48万</t>
  </si>
  <si>
    <t>5531.38万</t>
  </si>
  <si>
    <t>7556.18万</t>
  </si>
  <si>
    <t>2490.00万</t>
  </si>
  <si>
    <t>2711.01万</t>
  </si>
  <si>
    <t>-3244.24万</t>
  </si>
  <si>
    <t>1389.03万</t>
  </si>
  <si>
    <t>6499.30万</t>
  </si>
  <si>
    <t>4700.89万</t>
  </si>
  <si>
    <t>2638.42万</t>
  </si>
  <si>
    <t>480.79亿</t>
  </si>
  <si>
    <t>9658.41万</t>
  </si>
  <si>
    <t>158.31亿</t>
  </si>
  <si>
    <t>1686.25万</t>
  </si>
  <si>
    <t>31-1</t>
  </si>
  <si>
    <t>1249.32万</t>
  </si>
  <si>
    <t>30.04亿</t>
  </si>
  <si>
    <t>1137.41亿</t>
  </si>
  <si>
    <t>-81.68亿</t>
  </si>
  <si>
    <t>19.38万</t>
  </si>
  <si>
    <t>4578.00万</t>
  </si>
  <si>
    <t>11.85万</t>
  </si>
  <si>
    <t>8185.42万</t>
  </si>
  <si>
    <t>-3849.27万</t>
  </si>
  <si>
    <t>-2052.14万</t>
  </si>
  <si>
    <t>222.80亿</t>
  </si>
  <si>
    <t>-38.40亿</t>
  </si>
  <si>
    <t>8599.86万</t>
  </si>
  <si>
    <t>1953.45万</t>
  </si>
  <si>
    <t>23.88亿</t>
  </si>
  <si>
    <t>47.56亿</t>
  </si>
  <si>
    <t>1.16万</t>
  </si>
  <si>
    <t>3136.70万</t>
  </si>
  <si>
    <t>7917.95万</t>
  </si>
  <si>
    <t>-2073.44万</t>
  </si>
  <si>
    <t>-4537.86万</t>
  </si>
  <si>
    <t>6618.16万</t>
  </si>
  <si>
    <t>6.17亿</t>
  </si>
  <si>
    <t>379.23万</t>
  </si>
  <si>
    <t>106.41亿</t>
  </si>
  <si>
    <t>-2.86亿</t>
  </si>
  <si>
    <t>106.63万</t>
  </si>
  <si>
    <t>293.69万</t>
  </si>
  <si>
    <t>2218.05万</t>
  </si>
  <si>
    <t>-602.74万</t>
  </si>
  <si>
    <t>19.13亿</t>
  </si>
  <si>
    <t>-7495.72万</t>
  </si>
  <si>
    <t>2240.49万</t>
  </si>
  <si>
    <t>493.28万</t>
  </si>
  <si>
    <t>6.56万</t>
  </si>
  <si>
    <t>-2680.42万</t>
  </si>
  <si>
    <t>-2331.07万</t>
  </si>
  <si>
    <t>-3377.01万</t>
  </si>
  <si>
    <t>-2719.74万</t>
  </si>
  <si>
    <t>2690.26万</t>
  </si>
  <si>
    <t>415.97万</t>
  </si>
  <si>
    <t>1040.64万</t>
  </si>
  <si>
    <t>2345.89万</t>
  </si>
  <si>
    <t>6.53万</t>
  </si>
  <si>
    <t>4507.71万</t>
  </si>
  <si>
    <t>9944.28万</t>
  </si>
  <si>
    <t>1249.15万</t>
  </si>
  <si>
    <t>-1700.39万</t>
  </si>
  <si>
    <t>11.15亿</t>
  </si>
  <si>
    <t>-1.97亿</t>
  </si>
  <si>
    <t>1725.07万</t>
  </si>
  <si>
    <t>-9711.04万</t>
  </si>
  <si>
    <t>405.16万</t>
  </si>
  <si>
    <t>4716.01万</t>
  </si>
  <si>
    <t>-180.23万</t>
  </si>
  <si>
    <t>1711.90万</t>
  </si>
  <si>
    <t>0663000000</t>
  </si>
  <si>
    <t>01326000000</t>
  </si>
  <si>
    <t>02210000000</t>
  </si>
  <si>
    <t>04420000000</t>
  </si>
  <si>
    <t>687.93万</t>
  </si>
  <si>
    <t>3980.70万</t>
  </si>
  <si>
    <t>77.03亿</t>
  </si>
  <si>
    <t>2247.52万</t>
  </si>
  <si>
    <t>1791.52万</t>
  </si>
  <si>
    <t>40.18万</t>
  </si>
  <si>
    <t>259.78万</t>
  </si>
  <si>
    <t>1.00万</t>
  </si>
  <si>
    <t>286.21万</t>
  </si>
  <si>
    <t>1107.15万</t>
  </si>
  <si>
    <t>1260.35万</t>
  </si>
  <si>
    <t>1288.51万</t>
  </si>
  <si>
    <t>-876.61万</t>
  </si>
  <si>
    <t>-73.85万</t>
  </si>
  <si>
    <t>868.72万</t>
  </si>
  <si>
    <t>3848.06万</t>
  </si>
  <si>
    <t>476.79万</t>
  </si>
  <si>
    <t>52.57亿</t>
  </si>
  <si>
    <t>1765.11万</t>
  </si>
  <si>
    <t>5236.38万</t>
  </si>
  <si>
    <t>200.78万</t>
  </si>
  <si>
    <t>7345.38万</t>
  </si>
  <si>
    <t>3177.47万</t>
  </si>
  <si>
    <t>1104.00万</t>
  </si>
  <si>
    <t>-3684.00万</t>
  </si>
  <si>
    <t>-992.67万</t>
  </si>
  <si>
    <t>-1247.09万</t>
  </si>
  <si>
    <t>10.03亿</t>
  </si>
  <si>
    <t>3556.80万</t>
  </si>
  <si>
    <t>385.74万</t>
  </si>
  <si>
    <t>24.21亿</t>
  </si>
  <si>
    <t>3437.68万</t>
  </si>
  <si>
    <t>614.40万</t>
  </si>
  <si>
    <t>1926.69万</t>
  </si>
  <si>
    <t>1.50万</t>
  </si>
  <si>
    <t>8774.50万</t>
  </si>
  <si>
    <t>4103.44万</t>
  </si>
  <si>
    <t>9332.18万</t>
  </si>
  <si>
    <t>-5235.39万</t>
  </si>
  <si>
    <t>-6458.35万</t>
  </si>
  <si>
    <t>-21.89万</t>
  </si>
  <si>
    <t>6944.65万</t>
  </si>
  <si>
    <t>183.80万</t>
  </si>
  <si>
    <t>2356.00万</t>
  </si>
  <si>
    <t>034376800</t>
  </si>
  <si>
    <t>0103130400</t>
  </si>
  <si>
    <t>0206260800</t>
  </si>
  <si>
    <t>0343768000</t>
  </si>
  <si>
    <t>0687536000</t>
  </si>
  <si>
    <t>286.27万</t>
  </si>
  <si>
    <t>383.12亿</t>
  </si>
  <si>
    <t>1049.28万</t>
  </si>
  <si>
    <t>2588.52万</t>
  </si>
  <si>
    <t>337.80万</t>
  </si>
  <si>
    <t>9000.00万</t>
  </si>
  <si>
    <t>-5315.86万</t>
  </si>
  <si>
    <t>-1241.47万</t>
  </si>
  <si>
    <t>4194.06万</t>
  </si>
  <si>
    <t>93.47亿</t>
  </si>
  <si>
    <t>2.60亿</t>
  </si>
  <si>
    <t>1784.56万</t>
  </si>
  <si>
    <t>1215.16万</t>
  </si>
  <si>
    <t>31.37亿</t>
  </si>
  <si>
    <t>2350.39万</t>
  </si>
  <si>
    <t>870.20万</t>
  </si>
  <si>
    <t>15.25亿</t>
  </si>
  <si>
    <t>-3522.10万</t>
  </si>
  <si>
    <t>-8056.84万</t>
  </si>
  <si>
    <t>8558.34万</t>
  </si>
  <si>
    <t>370.14万</t>
  </si>
  <si>
    <t>796.65亿</t>
  </si>
  <si>
    <t>-10.12亿</t>
  </si>
  <si>
    <t>523.55万</t>
  </si>
  <si>
    <t>2371.67万</t>
  </si>
  <si>
    <t>14.19万</t>
  </si>
  <si>
    <t>4493.63万</t>
  </si>
  <si>
    <t>5576.92万</t>
  </si>
  <si>
    <t>137.98万</t>
  </si>
  <si>
    <t>-493.15万</t>
  </si>
  <si>
    <t>-5145.95万</t>
  </si>
  <si>
    <t>171.65亿</t>
  </si>
  <si>
    <t>1949.11万</t>
  </si>
  <si>
    <t>214.25万</t>
  </si>
  <si>
    <t>24.97亿</t>
  </si>
  <si>
    <t>208.48亿</t>
  </si>
  <si>
    <t>8.85亿</t>
  </si>
  <si>
    <t>1412.06万</t>
  </si>
  <si>
    <t>3569.38万</t>
  </si>
  <si>
    <t>735.63万</t>
  </si>
  <si>
    <t>144.26万</t>
  </si>
  <si>
    <t>16.02亿</t>
  </si>
  <si>
    <t>-8911.15万</t>
  </si>
  <si>
    <t>-1544.82万</t>
  </si>
  <si>
    <t>626.78万</t>
  </si>
  <si>
    <t>47.95亿</t>
  </si>
  <si>
    <t>1133.26万</t>
  </si>
  <si>
    <t>606.04万</t>
  </si>
  <si>
    <t>96.25亿</t>
  </si>
  <si>
    <t>21.43亿</t>
  </si>
  <si>
    <t>19.09亿</t>
  </si>
  <si>
    <t>5923.02万</t>
  </si>
  <si>
    <t>481.10万</t>
  </si>
  <si>
    <t>126.14亿</t>
  </si>
  <si>
    <t>40.51亿</t>
  </si>
  <si>
    <t>52.25亿</t>
  </si>
  <si>
    <t>5648.23万</t>
  </si>
  <si>
    <t>160.22亿</t>
  </si>
  <si>
    <t>8.76亿</t>
  </si>
  <si>
    <t>-5.19亿</t>
  </si>
  <si>
    <t>19.86亿</t>
  </si>
  <si>
    <t>7049.73万</t>
  </si>
  <si>
    <t>4070.98万</t>
  </si>
  <si>
    <t>156.83万</t>
  </si>
  <si>
    <t>24.46亿</t>
  </si>
  <si>
    <t>209.54亿</t>
  </si>
  <si>
    <t>4478.02万</t>
  </si>
  <si>
    <t>797.22万</t>
  </si>
  <si>
    <t>1539.81万</t>
  </si>
  <si>
    <t>114.00万</t>
  </si>
  <si>
    <t>-38.25万</t>
  </si>
  <si>
    <t>34.19亿</t>
  </si>
  <si>
    <t>1115.99万</t>
  </si>
  <si>
    <t>6042.87万</t>
  </si>
  <si>
    <t>219.05万</t>
  </si>
  <si>
    <t>8.87亿</t>
  </si>
  <si>
    <t>6539.63万</t>
  </si>
  <si>
    <t>401.17万</t>
  </si>
  <si>
    <t>2515.12万</t>
  </si>
  <si>
    <t>18.59万</t>
  </si>
  <si>
    <t>1222.47万</t>
  </si>
  <si>
    <t>-4755.71万</t>
  </si>
  <si>
    <t>-2.71亿</t>
  </si>
  <si>
    <t>9740.48万</t>
  </si>
  <si>
    <t>595.56万</t>
  </si>
  <si>
    <t>10派0.3417元(含税)</t>
  </si>
  <si>
    <t>1159.48万</t>
  </si>
  <si>
    <t>9340.08万</t>
  </si>
  <si>
    <t>103.64万</t>
  </si>
  <si>
    <t>30.87亿</t>
  </si>
  <si>
    <t>9501.82万</t>
  </si>
  <si>
    <t>902.23万</t>
  </si>
  <si>
    <t>1152.12万</t>
  </si>
  <si>
    <t>11.72万</t>
  </si>
  <si>
    <t>28.12亿</t>
  </si>
  <si>
    <t>-353.87万</t>
  </si>
  <si>
    <t>-57.18万</t>
  </si>
  <si>
    <t>7147.25万</t>
  </si>
  <si>
    <t>501.25万</t>
  </si>
  <si>
    <t>4033.79万</t>
  </si>
  <si>
    <t>326.91万</t>
  </si>
  <si>
    <t>7.91亿</t>
  </si>
  <si>
    <t>17.58亿</t>
  </si>
  <si>
    <t>5887.07万</t>
  </si>
  <si>
    <t>8215.42万</t>
  </si>
  <si>
    <t>1836.04万</t>
  </si>
  <si>
    <t>219.56万</t>
  </si>
  <si>
    <t>4.58万</t>
  </si>
  <si>
    <t>7157.49万</t>
  </si>
  <si>
    <t>801.73万</t>
  </si>
  <si>
    <t>5759.50万</t>
  </si>
  <si>
    <t>351.48万</t>
  </si>
  <si>
    <t>356.89万</t>
  </si>
  <si>
    <t>-6785.11万</t>
  </si>
  <si>
    <t>-3.40万</t>
  </si>
  <si>
    <t>-827.63万</t>
  </si>
  <si>
    <t>2108.08万</t>
  </si>
  <si>
    <t>94.29万</t>
  </si>
  <si>
    <t>62.47亿</t>
  </si>
  <si>
    <t>9833.71万</t>
  </si>
  <si>
    <t>459.91万</t>
  </si>
  <si>
    <t>850.60万</t>
  </si>
  <si>
    <t>254.05万</t>
  </si>
  <si>
    <t>980.00万</t>
  </si>
  <si>
    <t>9485.84万</t>
  </si>
  <si>
    <t>1955.66万</t>
  </si>
  <si>
    <t>-623.19万</t>
  </si>
  <si>
    <t>-655.70万</t>
  </si>
  <si>
    <t>6232.75万</t>
  </si>
  <si>
    <t>515.89万</t>
  </si>
  <si>
    <t>5014.40万</t>
  </si>
  <si>
    <t>SH603100</t>
  </si>
  <si>
    <t>川仪股份</t>
  </si>
  <si>
    <t>251.17万</t>
  </si>
  <si>
    <t>43.48亿</t>
  </si>
  <si>
    <t>41.27亿</t>
  </si>
  <si>
    <t>24.94亿</t>
  </si>
  <si>
    <t>14.53亿</t>
  </si>
  <si>
    <t>9068.58万</t>
  </si>
  <si>
    <t>42289616亿</t>
  </si>
  <si>
    <t>22.70万</t>
  </si>
  <si>
    <t>122769900亿</t>
  </si>
  <si>
    <t>21.34亿</t>
  </si>
  <si>
    <t>1491565400亿</t>
  </si>
  <si>
    <t>4842.94万</t>
  </si>
  <si>
    <t>6469528600亿</t>
  </si>
  <si>
    <t>7323.71万</t>
  </si>
  <si>
    <t>628.19万</t>
  </si>
  <si>
    <t>35.44亿</t>
  </si>
  <si>
    <t>-3.80亿</t>
  </si>
  <si>
    <t>-1229.86万</t>
  </si>
  <si>
    <t>-628.89万</t>
  </si>
  <si>
    <t>63.70亿</t>
  </si>
  <si>
    <t>54.87亿</t>
  </si>
  <si>
    <t>42.53亿</t>
  </si>
  <si>
    <t>39.69亿</t>
  </si>
  <si>
    <t>35.57亿</t>
  </si>
  <si>
    <t>74.11亿</t>
  </si>
  <si>
    <t>7.39亿</t>
  </si>
  <si>
    <t>9010.94万</t>
  </si>
  <si>
    <t>10转3股派7.5元(含税)</t>
  </si>
  <si>
    <t>1409.30万</t>
  </si>
  <si>
    <t>9072.24万</t>
  </si>
  <si>
    <t>6-0</t>
  </si>
  <si>
    <t>623.54万</t>
  </si>
  <si>
    <t>1061.77万</t>
  </si>
  <si>
    <t>1075.07万</t>
  </si>
  <si>
    <t>9.30万</t>
  </si>
  <si>
    <t>2869.86万</t>
  </si>
  <si>
    <t>379.95万</t>
  </si>
  <si>
    <t>7211.47万</t>
  </si>
  <si>
    <t>-4655.17万</t>
  </si>
  <si>
    <t>8386.40万</t>
  </si>
  <si>
    <t>-150.39万</t>
  </si>
  <si>
    <t>4122.31万</t>
  </si>
  <si>
    <t>3347.20万</t>
  </si>
  <si>
    <t>289.50万</t>
  </si>
  <si>
    <t>-5.78亿</t>
  </si>
  <si>
    <t>5432.37万</t>
  </si>
  <si>
    <t>2493.93万</t>
  </si>
  <si>
    <t>81.54万</t>
  </si>
  <si>
    <t>17.93亿</t>
  </si>
  <si>
    <t>762.24万</t>
  </si>
  <si>
    <t>15.26亿</t>
  </si>
  <si>
    <t>-4783.55万</t>
  </si>
  <si>
    <t>-1855.61万</t>
  </si>
  <si>
    <t>-917.08万</t>
  </si>
  <si>
    <t>1610.97万</t>
  </si>
  <si>
    <t>105.04万</t>
  </si>
  <si>
    <t>15.69亿</t>
  </si>
  <si>
    <t>2567.96万</t>
  </si>
  <si>
    <t>2715.06万</t>
  </si>
  <si>
    <t>6.14万</t>
  </si>
  <si>
    <t>1629.15万</t>
  </si>
  <si>
    <t>8733.70万</t>
  </si>
  <si>
    <t>8021.42万</t>
  </si>
  <si>
    <t>-5596.04万</t>
  </si>
  <si>
    <t>7318.71万</t>
  </si>
  <si>
    <t>5505.67万</t>
  </si>
  <si>
    <t>692.72万</t>
  </si>
  <si>
    <t>2635.23万</t>
  </si>
  <si>
    <t>0191000000</t>
  </si>
  <si>
    <t>0573000000</t>
  </si>
  <si>
    <t>01146000000</t>
  </si>
  <si>
    <t>01910000000</t>
  </si>
  <si>
    <t>03820000000</t>
  </si>
  <si>
    <t>441.76万</t>
  </si>
  <si>
    <t>10.38亿</t>
  </si>
  <si>
    <t>2096.50万</t>
  </si>
  <si>
    <t>3216.06万</t>
  </si>
  <si>
    <t>12.08万</t>
  </si>
  <si>
    <t>1894.51万</t>
  </si>
  <si>
    <t>24.53亿</t>
  </si>
  <si>
    <t>8779.93万</t>
  </si>
  <si>
    <t>1025.35万</t>
  </si>
  <si>
    <t>-1087.31万</t>
  </si>
  <si>
    <t>699.35万</t>
  </si>
  <si>
    <t>2174.89万</t>
  </si>
  <si>
    <t>104.03万</t>
  </si>
  <si>
    <t>21.66亿</t>
  </si>
  <si>
    <t>-1328.81万</t>
  </si>
  <si>
    <t>497.59万</t>
  </si>
  <si>
    <t>2609.87万</t>
  </si>
  <si>
    <t>4.60亿</t>
  </si>
  <si>
    <t>2487.79万</t>
  </si>
  <si>
    <t>7593.65万</t>
  </si>
  <si>
    <t>5092.53万</t>
  </si>
  <si>
    <t>8363.51万</t>
  </si>
  <si>
    <t>9810.17万</t>
  </si>
  <si>
    <t>-5026.89万</t>
  </si>
  <si>
    <t>-3985.16万</t>
  </si>
  <si>
    <t>-3838.45万</t>
  </si>
  <si>
    <t>3608.20万</t>
  </si>
  <si>
    <t>-401.69万</t>
  </si>
  <si>
    <t>622.48万</t>
  </si>
  <si>
    <t>5117.68万</t>
  </si>
  <si>
    <t>116.30万</t>
  </si>
  <si>
    <t>29.64亿</t>
  </si>
  <si>
    <t>8320.56万</t>
  </si>
  <si>
    <t>3701.54万</t>
  </si>
  <si>
    <t>4151.22万</t>
  </si>
  <si>
    <t>53.55万</t>
  </si>
  <si>
    <t>-5714.64万</t>
  </si>
  <si>
    <t>-6207.10万</t>
  </si>
  <si>
    <t>609.66万</t>
  </si>
  <si>
    <t>3037.32万</t>
  </si>
  <si>
    <t>801.03万</t>
  </si>
  <si>
    <t>62.49亿</t>
  </si>
  <si>
    <t>12.60亿</t>
  </si>
  <si>
    <t>11.55亿</t>
  </si>
  <si>
    <t>1600.01万</t>
  </si>
  <si>
    <t>2569.06万</t>
  </si>
  <si>
    <t>13.73万</t>
  </si>
  <si>
    <t>19.91亿</t>
  </si>
  <si>
    <t>42.03亿</t>
  </si>
  <si>
    <t>-2.25亿</t>
  </si>
  <si>
    <t>-6091.12万</t>
  </si>
  <si>
    <t>4308.69万</t>
  </si>
  <si>
    <t>595.03万</t>
  </si>
  <si>
    <t>49.93亿</t>
  </si>
  <si>
    <t>6.00亿</t>
  </si>
  <si>
    <t>792.50万</t>
  </si>
  <si>
    <t>4330.78万</t>
  </si>
  <si>
    <t>3.11万</t>
  </si>
  <si>
    <t>6223.70万</t>
  </si>
  <si>
    <t>31.47亿</t>
  </si>
  <si>
    <t>25.66亿</t>
  </si>
  <si>
    <t>-7070.35万</t>
  </si>
  <si>
    <t>-3.82亿</t>
  </si>
  <si>
    <t>5209.80万</t>
  </si>
  <si>
    <t>2494.28万</t>
  </si>
  <si>
    <t>0192000000</t>
  </si>
  <si>
    <t>0576000000</t>
  </si>
  <si>
    <t>01152000000</t>
  </si>
  <si>
    <t>01920000000</t>
  </si>
  <si>
    <t>03840000000</t>
  </si>
  <si>
    <t>122.91万</t>
  </si>
  <si>
    <t>13.55亿</t>
  </si>
  <si>
    <t>1437.87万</t>
  </si>
  <si>
    <t>322.84万</t>
  </si>
  <si>
    <t>2680.73万</t>
  </si>
  <si>
    <t>1708.47万</t>
  </si>
  <si>
    <t>13.95亿</t>
  </si>
  <si>
    <t>-5936.91万</t>
  </si>
  <si>
    <t>-7855.63万</t>
  </si>
  <si>
    <t>1103.43万</t>
  </si>
  <si>
    <t>-1248.92万</t>
  </si>
  <si>
    <t>751.28万</t>
  </si>
  <si>
    <t>6134.57万</t>
  </si>
  <si>
    <t>187.94万</t>
  </si>
  <si>
    <t>25.21亿</t>
  </si>
  <si>
    <t>271.85亿</t>
  </si>
  <si>
    <t>904.61万</t>
  </si>
  <si>
    <t>1766.29万</t>
  </si>
  <si>
    <t>6.19万</t>
  </si>
  <si>
    <t>7280.59万</t>
  </si>
  <si>
    <t>9303.03万</t>
  </si>
  <si>
    <t>-2167.39万</t>
  </si>
  <si>
    <t>-3.16亿</t>
  </si>
  <si>
    <t>-835.57万</t>
  </si>
  <si>
    <t>41.86亿</t>
  </si>
  <si>
    <t>8525.57万</t>
  </si>
  <si>
    <t>725.47万</t>
  </si>
  <si>
    <t>4827.34万</t>
  </si>
  <si>
    <t>2193.39万</t>
  </si>
  <si>
    <t>14.28亿</t>
  </si>
  <si>
    <t>73.66亿</t>
  </si>
  <si>
    <t>765.41万</t>
  </si>
  <si>
    <t>1842.73万</t>
  </si>
  <si>
    <t>1000053亿</t>
  </si>
  <si>
    <t>1.18万</t>
  </si>
  <si>
    <t>13206045亿</t>
  </si>
  <si>
    <t>213906220亿</t>
  </si>
  <si>
    <t>14.40万</t>
  </si>
  <si>
    <t>1265266470亿</t>
  </si>
  <si>
    <t>6309.18万</t>
  </si>
  <si>
    <t>221.71万</t>
  </si>
  <si>
    <t>1101.03万</t>
  </si>
  <si>
    <t>-1.71亿</t>
  </si>
  <si>
    <t>2843.36万</t>
  </si>
  <si>
    <t>3661.92万</t>
  </si>
  <si>
    <t>2235.44万</t>
  </si>
  <si>
    <t>SH603662</t>
  </si>
  <si>
    <t>柯力传感</t>
  </si>
  <si>
    <t>457.30万</t>
  </si>
  <si>
    <t>11.24亿</t>
  </si>
  <si>
    <t>28.56亿</t>
  </si>
  <si>
    <t>10.80亿</t>
  </si>
  <si>
    <t>7923.31万</t>
  </si>
  <si>
    <t>1832.88万</t>
  </si>
  <si>
    <t>2144.79万</t>
  </si>
  <si>
    <t>10228783亿</t>
  </si>
  <si>
    <t>7.94万</t>
  </si>
  <si>
    <t>38758221亿</t>
  </si>
  <si>
    <t>8846.25万</t>
  </si>
  <si>
    <t>392596900亿</t>
  </si>
  <si>
    <t>2535322900亿</t>
  </si>
  <si>
    <t>801.77万</t>
  </si>
  <si>
    <t>-591.19万</t>
  </si>
  <si>
    <t>618.23万</t>
  </si>
  <si>
    <t>10.61亿</t>
  </si>
  <si>
    <t>10.31亿</t>
  </si>
  <si>
    <t>3603.45万</t>
  </si>
  <si>
    <t>10派3.32元(含税)</t>
  </si>
  <si>
    <t>2160.79万</t>
  </si>
  <si>
    <t>1392.70万</t>
  </si>
  <si>
    <t>30.15亿</t>
  </si>
  <si>
    <t>69.98亿</t>
  </si>
  <si>
    <t>-1.88亿</t>
  </si>
  <si>
    <t>1536.40万</t>
  </si>
  <si>
    <t>3946.72万</t>
  </si>
  <si>
    <t>123.29万</t>
  </si>
  <si>
    <t>8416.22万</t>
  </si>
  <si>
    <t>8.19亿</t>
  </si>
  <si>
    <t>46.45万</t>
  </si>
  <si>
    <t>18.63亿</t>
  </si>
  <si>
    <t>3714.39万</t>
  </si>
  <si>
    <t>-3.25亿</t>
  </si>
  <si>
    <t>561.32万</t>
  </si>
  <si>
    <t>4915.18万</t>
  </si>
  <si>
    <t>365.59万</t>
  </si>
  <si>
    <t>40.41亿</t>
  </si>
  <si>
    <t>17.89亿</t>
  </si>
  <si>
    <t>11.25亿</t>
  </si>
  <si>
    <t>5252.67万</t>
  </si>
  <si>
    <t>33.92万</t>
  </si>
  <si>
    <t>10.27亿</t>
  </si>
  <si>
    <t>370.34万</t>
  </si>
  <si>
    <t>-1.03亿</t>
  </si>
  <si>
    <t>7934.84万</t>
  </si>
  <si>
    <t>1023.41万</t>
  </si>
  <si>
    <t>2932.35万</t>
  </si>
  <si>
    <t>0131000000</t>
  </si>
  <si>
    <t>0393000000</t>
  </si>
  <si>
    <t>0786000000</t>
  </si>
  <si>
    <t>01310000000</t>
  </si>
  <si>
    <t>02620000000</t>
  </si>
  <si>
    <t>SH603700</t>
  </si>
  <si>
    <t>宁水集团</t>
  </si>
  <si>
    <t>62.99万</t>
  </si>
  <si>
    <t>15.98亿</t>
  </si>
  <si>
    <t>1995.90万</t>
  </si>
  <si>
    <t>4492.51万</t>
  </si>
  <si>
    <t>1967.76万</t>
  </si>
  <si>
    <t>-867192亿</t>
  </si>
  <si>
    <t>294.64万</t>
  </si>
  <si>
    <t>8807421亿</t>
  </si>
  <si>
    <t>735203770亿</t>
  </si>
  <si>
    <t>2489.64万</t>
  </si>
  <si>
    <t>1476730200亿</t>
  </si>
  <si>
    <t>844.11万</t>
  </si>
  <si>
    <t>-2118.92万</t>
  </si>
  <si>
    <t>8063.30万</t>
  </si>
  <si>
    <t>15.55亿</t>
  </si>
  <si>
    <t>17.17亿</t>
  </si>
  <si>
    <t>15.90亿</t>
  </si>
  <si>
    <t>673.42万</t>
  </si>
  <si>
    <t>427.49万</t>
  </si>
  <si>
    <t>3617.65万</t>
  </si>
  <si>
    <t>019959000</t>
  </si>
  <si>
    <t>059877000</t>
  </si>
  <si>
    <t>0119754000</t>
  </si>
  <si>
    <t>0199590000</t>
  </si>
  <si>
    <t>0399180000</t>
  </si>
  <si>
    <t>56.61万</t>
  </si>
  <si>
    <t>17.15亿</t>
  </si>
  <si>
    <t>1593.22万</t>
  </si>
  <si>
    <t>1978.33万</t>
  </si>
  <si>
    <t>17.38万</t>
  </si>
  <si>
    <t>1436.80万</t>
  </si>
  <si>
    <t>4647.17万</t>
  </si>
  <si>
    <t>-2875.69万</t>
  </si>
  <si>
    <t>-6961.76万</t>
  </si>
  <si>
    <t>-2200.01万</t>
  </si>
  <si>
    <t>6071.31万</t>
  </si>
  <si>
    <t>314.97万</t>
  </si>
  <si>
    <t>2376.46万</t>
  </si>
  <si>
    <t>324.79万</t>
  </si>
  <si>
    <t>18.95亿</t>
  </si>
  <si>
    <t>8369.06万</t>
  </si>
  <si>
    <t>1453.24万</t>
  </si>
  <si>
    <t>611.61万</t>
  </si>
  <si>
    <t>23.24万</t>
  </si>
  <si>
    <t>469.78万</t>
  </si>
  <si>
    <t>83.77万</t>
  </si>
  <si>
    <t>-4675.31万</t>
  </si>
  <si>
    <t>-5506.94万</t>
  </si>
  <si>
    <t>2111.05万</t>
  </si>
  <si>
    <t>418.59万</t>
  </si>
  <si>
    <t>36.62亿</t>
  </si>
  <si>
    <t>35.82亿</t>
  </si>
  <si>
    <t>1720.09万</t>
  </si>
  <si>
    <t>2324.76万</t>
  </si>
  <si>
    <t>87.20万</t>
  </si>
  <si>
    <t>6.41亿</t>
  </si>
  <si>
    <t>2727.80万</t>
  </si>
  <si>
    <t>460.64万</t>
  </si>
  <si>
    <t>6382.64万</t>
  </si>
  <si>
    <t>11.80亿</t>
  </si>
  <si>
    <t>706.37万</t>
  </si>
  <si>
    <t>-5919.99万</t>
  </si>
  <si>
    <t>-331.92万</t>
  </si>
  <si>
    <t>4042.16万</t>
  </si>
  <si>
    <t>2910.62万</t>
  </si>
  <si>
    <t>XD银龙股</t>
  </si>
  <si>
    <t>679.03万</t>
  </si>
  <si>
    <t>104.60亿</t>
  </si>
  <si>
    <t>3083.99万</t>
  </si>
  <si>
    <t>1895.32万</t>
  </si>
  <si>
    <t>1.08万</t>
  </si>
  <si>
    <t>170.87万</t>
  </si>
  <si>
    <t>8471.17万</t>
  </si>
  <si>
    <t>-909.19万</t>
  </si>
  <si>
    <t>23.43亿</t>
  </si>
  <si>
    <t>5363.92万</t>
  </si>
  <si>
    <t>4671.85万</t>
  </si>
  <si>
    <t>SH605056</t>
  </si>
  <si>
    <t>咸亨国际</t>
  </si>
  <si>
    <t>189.04万</t>
  </si>
  <si>
    <t>6503.26万</t>
  </si>
  <si>
    <t>4516.49万</t>
  </si>
  <si>
    <t>299911亿</t>
  </si>
  <si>
    <t>6.23万</t>
  </si>
  <si>
    <t>8071578亿</t>
  </si>
  <si>
    <t>869540290亿</t>
  </si>
  <si>
    <t>1322.89万</t>
  </si>
  <si>
    <t>1969031400亿</t>
  </si>
  <si>
    <t>120.50万</t>
  </si>
  <si>
    <t>5756.79万</t>
  </si>
  <si>
    <t>9485.10万</t>
  </si>
  <si>
    <t>-3057.22万</t>
  </si>
  <si>
    <t>-168.49万</t>
  </si>
  <si>
    <t>21.24亿</t>
  </si>
  <si>
    <t>19.93亿</t>
  </si>
  <si>
    <t>19.48亿</t>
  </si>
  <si>
    <t>15.21亿</t>
  </si>
  <si>
    <t>29.28亿</t>
  </si>
  <si>
    <t>9664.30万</t>
  </si>
  <si>
    <t>3052.62万</t>
  </si>
  <si>
    <t>1128.49万</t>
  </si>
  <si>
    <t>0133000000</t>
  </si>
  <si>
    <t>0399000000</t>
  </si>
  <si>
    <t>0798000000</t>
  </si>
  <si>
    <t>01330000000</t>
  </si>
  <si>
    <t>02660000000</t>
  </si>
  <si>
    <t>联德股份</t>
  </si>
  <si>
    <t>82.68万</t>
  </si>
  <si>
    <t>22.81亿</t>
  </si>
  <si>
    <t>284.85万</t>
  </si>
  <si>
    <t>2185.10万</t>
  </si>
  <si>
    <t>825.00万</t>
  </si>
  <si>
    <t>732.27万</t>
  </si>
  <si>
    <t>3582.36万</t>
  </si>
  <si>
    <t>-6254.32万</t>
  </si>
  <si>
    <t>5620.97万</t>
  </si>
  <si>
    <t>5428.56万</t>
  </si>
  <si>
    <t>378.84万</t>
  </si>
  <si>
    <t>4177.20万</t>
  </si>
  <si>
    <t>76.73万</t>
  </si>
  <si>
    <t>327.22万</t>
  </si>
  <si>
    <t>1219.60万</t>
  </si>
  <si>
    <t>345.60万</t>
  </si>
  <si>
    <t>5841.49万</t>
  </si>
  <si>
    <t>4414.20万</t>
  </si>
  <si>
    <t>-6060.35万</t>
  </si>
  <si>
    <t>640.27万</t>
  </si>
  <si>
    <t>543.80万</t>
  </si>
  <si>
    <t>7228.95万</t>
  </si>
  <si>
    <t>448.65万</t>
  </si>
  <si>
    <t>3991.97万</t>
  </si>
  <si>
    <t>124.19万</t>
  </si>
  <si>
    <t>19.39亿</t>
  </si>
  <si>
    <t>24.11亿</t>
  </si>
  <si>
    <t>7913.62万</t>
  </si>
  <si>
    <t>1664.60万</t>
  </si>
  <si>
    <t>1519.83万</t>
  </si>
  <si>
    <t>5150.02万</t>
  </si>
  <si>
    <t>5240.38万</t>
  </si>
  <si>
    <t>3292.91万</t>
  </si>
  <si>
    <t>3109.45万</t>
  </si>
  <si>
    <t>-9417.94万</t>
  </si>
  <si>
    <t>7051.48万</t>
  </si>
  <si>
    <t>795.54万</t>
  </si>
  <si>
    <t>5358.37万</t>
  </si>
  <si>
    <t>SH688056</t>
  </si>
  <si>
    <t>莱伯泰科</t>
  </si>
  <si>
    <t>19.63万</t>
  </si>
  <si>
    <t>9565.36万</t>
  </si>
  <si>
    <t>6030.02万</t>
  </si>
  <si>
    <t>1598.75万</t>
  </si>
  <si>
    <t>717.44万</t>
  </si>
  <si>
    <t>888657亿</t>
  </si>
  <si>
    <t>10416361亿</t>
  </si>
  <si>
    <t>56884529亿</t>
  </si>
  <si>
    <t>244.39万</t>
  </si>
  <si>
    <t>783510900亿</t>
  </si>
  <si>
    <t>314.80万</t>
  </si>
  <si>
    <t>3568.56万</t>
  </si>
  <si>
    <t>-128.23万</t>
  </si>
  <si>
    <t>-1019.00万</t>
  </si>
  <si>
    <t>4462.45万</t>
  </si>
  <si>
    <t>6941.31万</t>
  </si>
  <si>
    <t>6521.10万</t>
  </si>
  <si>
    <t>6132.36万</t>
  </si>
  <si>
    <t>5981.61万</t>
  </si>
  <si>
    <t>2756.25万</t>
  </si>
  <si>
    <t>4977.56万</t>
  </si>
  <si>
    <t>171.94万</t>
  </si>
  <si>
    <t>1357.84万</t>
  </si>
  <si>
    <t>86.28万</t>
  </si>
  <si>
    <t>12.80亿</t>
  </si>
  <si>
    <t>-674.67万</t>
  </si>
  <si>
    <t>846.67万</t>
  </si>
  <si>
    <t>905.66万</t>
  </si>
  <si>
    <t>6129.43万</t>
  </si>
  <si>
    <t>9089.74万</t>
  </si>
  <si>
    <t>5641.00万</t>
  </si>
  <si>
    <t>-3511.07万</t>
  </si>
  <si>
    <t>-9177.13万</t>
  </si>
  <si>
    <t>4453.60万</t>
  </si>
  <si>
    <t>420.57万</t>
  </si>
  <si>
    <t>423.05万</t>
  </si>
  <si>
    <t>2288.22万</t>
  </si>
  <si>
    <t>SH688112</t>
  </si>
  <si>
    <t>鼎阳科技</t>
  </si>
  <si>
    <t>47.57万</t>
  </si>
  <si>
    <t>9065.90万</t>
  </si>
  <si>
    <t>7367.03万</t>
  </si>
  <si>
    <t>3832.02万</t>
  </si>
  <si>
    <t>1777.97万</t>
  </si>
  <si>
    <t>405.79万</t>
  </si>
  <si>
    <t>9.76万</t>
  </si>
  <si>
    <t>29681897亿</t>
  </si>
  <si>
    <t>65770474亿</t>
  </si>
  <si>
    <t>27.63万</t>
  </si>
  <si>
    <t>1635887000亿</t>
  </si>
  <si>
    <t>3980.78万</t>
  </si>
  <si>
    <t>9746.53万</t>
  </si>
  <si>
    <t>1727.48万</t>
  </si>
  <si>
    <t>-502.56万</t>
  </si>
  <si>
    <t>-211.01万</t>
  </si>
  <si>
    <t>8105.85万</t>
  </si>
  <si>
    <t>5371.05万</t>
  </si>
  <si>
    <t>3542.89万</t>
  </si>
  <si>
    <t>2891.39万</t>
  </si>
  <si>
    <t>7766.00万</t>
  </si>
  <si>
    <t>1163.62万</t>
  </si>
  <si>
    <t>261.07万</t>
  </si>
  <si>
    <t>1872.83万</t>
  </si>
  <si>
    <t>SH688115</t>
  </si>
  <si>
    <t>思林杰</t>
  </si>
  <si>
    <t>112.97万</t>
  </si>
  <si>
    <t>2624.36万</t>
  </si>
  <si>
    <t>3553.79万</t>
  </si>
  <si>
    <t>1073.05万</t>
  </si>
  <si>
    <t>414.63万</t>
  </si>
  <si>
    <t>1143.17万</t>
  </si>
  <si>
    <t>1771250亿</t>
  </si>
  <si>
    <t>3.86万</t>
  </si>
  <si>
    <t>692001亿</t>
  </si>
  <si>
    <t>9.12亿</t>
  </si>
  <si>
    <t>132405179亿</t>
  </si>
  <si>
    <t>2232.55万</t>
  </si>
  <si>
    <t>1159325480亿</t>
  </si>
  <si>
    <t>8746.65万</t>
  </si>
  <si>
    <t>9.24万</t>
  </si>
  <si>
    <t>1101.35万</t>
  </si>
  <si>
    <t>3897.85万</t>
  </si>
  <si>
    <t>-1079.97万</t>
  </si>
  <si>
    <t>9537.85万</t>
  </si>
  <si>
    <t>-2153.35万</t>
  </si>
  <si>
    <t>5403.22万</t>
  </si>
  <si>
    <t>6603.94万</t>
  </si>
  <si>
    <t>6283.43万</t>
  </si>
  <si>
    <t>2958.85万</t>
  </si>
  <si>
    <t>4510.53万</t>
  </si>
  <si>
    <t>898.44万</t>
  </si>
  <si>
    <t>3972.92万</t>
  </si>
  <si>
    <t>10派1.3元(含税)</t>
  </si>
  <si>
    <t>789.71万</t>
  </si>
  <si>
    <t>4898.78万</t>
  </si>
  <si>
    <t>12.93万</t>
  </si>
  <si>
    <t>35.95亿</t>
  </si>
  <si>
    <t>6.78亿</t>
  </si>
  <si>
    <t>5785.44万</t>
  </si>
  <si>
    <t>3612.53万</t>
  </si>
  <si>
    <t>3393.09万</t>
  </si>
  <si>
    <t>35.39万</t>
  </si>
  <si>
    <t>859.21万</t>
  </si>
  <si>
    <t>27.51亿</t>
  </si>
  <si>
    <t>9368.47万</t>
  </si>
  <si>
    <t>-1648.76万</t>
  </si>
  <si>
    <t>-2119.64万</t>
  </si>
  <si>
    <t>1654.73万</t>
  </si>
  <si>
    <t>10派0.7935元(含税)</t>
  </si>
  <si>
    <t>59.64万</t>
  </si>
  <si>
    <t>636.54万</t>
  </si>
  <si>
    <t>7.90亿</t>
  </si>
  <si>
    <t>6408.48万</t>
  </si>
  <si>
    <t>3385.50万</t>
  </si>
  <si>
    <t>941.96万</t>
  </si>
  <si>
    <t>646.74万</t>
  </si>
  <si>
    <t>8579.22万</t>
  </si>
  <si>
    <t>3768.16万</t>
  </si>
  <si>
    <t>5204.00万</t>
  </si>
  <si>
    <t>3344.83万</t>
  </si>
  <si>
    <t>-4168.57万</t>
  </si>
  <si>
    <t>-1012.45万</t>
  </si>
  <si>
    <t>-159.63万</t>
  </si>
  <si>
    <t>1062.88万</t>
  </si>
  <si>
    <t>264.16万</t>
  </si>
  <si>
    <t>1395.80万</t>
  </si>
  <si>
    <t>89.20万</t>
  </si>
  <si>
    <t>5616.05万</t>
  </si>
  <si>
    <t>2109.28万</t>
  </si>
  <si>
    <t>3006.63万</t>
  </si>
  <si>
    <t>1.19万</t>
  </si>
  <si>
    <t>6540.98万</t>
  </si>
  <si>
    <t>-846.40万</t>
  </si>
  <si>
    <t>-153.13万</t>
  </si>
  <si>
    <t>-4816.85万</t>
  </si>
  <si>
    <t>6468.35万</t>
  </si>
  <si>
    <t>677.01万</t>
  </si>
  <si>
    <t>506.42万</t>
  </si>
  <si>
    <t>3130.74万</t>
  </si>
  <si>
    <t>056160500</t>
  </si>
  <si>
    <t>0168481500</t>
  </si>
  <si>
    <t>0336963000</t>
  </si>
  <si>
    <t>0561605000</t>
  </si>
  <si>
    <t>01123210000</t>
  </si>
  <si>
    <t>52.68万</t>
  </si>
  <si>
    <t>20.96亿</t>
  </si>
  <si>
    <t>-2.06亿</t>
  </si>
  <si>
    <t>8380.36万</t>
  </si>
  <si>
    <t>5713.55万</t>
  </si>
  <si>
    <t>1191.06万</t>
  </si>
  <si>
    <t>698.15万</t>
  </si>
  <si>
    <t>1676.72万</t>
  </si>
  <si>
    <t>645.84万</t>
  </si>
  <si>
    <t>1249.56万</t>
  </si>
  <si>
    <t>8130.68万</t>
  </si>
  <si>
    <t>-1810.14万</t>
  </si>
  <si>
    <t>-1246.29万</t>
  </si>
  <si>
    <t>-4552.62万</t>
  </si>
  <si>
    <t>271.04万</t>
  </si>
  <si>
    <t>1689.40万</t>
  </si>
  <si>
    <t>74.30万</t>
  </si>
  <si>
    <t>25.86亿</t>
  </si>
  <si>
    <t>1814.68万</t>
  </si>
  <si>
    <t>763.61万</t>
  </si>
  <si>
    <t>1045.84万</t>
  </si>
  <si>
    <t>1.63万</t>
  </si>
  <si>
    <t>12.84亿</t>
  </si>
  <si>
    <t>7800.00万</t>
  </si>
  <si>
    <t>4915.32万</t>
  </si>
  <si>
    <t>1184.43万</t>
  </si>
  <si>
    <t>720.14万</t>
  </si>
  <si>
    <t>5231.47万</t>
  </si>
  <si>
    <t>018146800</t>
  </si>
  <si>
    <t>054440400</t>
  </si>
  <si>
    <t>0108880800</t>
  </si>
  <si>
    <t>0181468000</t>
  </si>
  <si>
    <t>0362936000</t>
  </si>
  <si>
    <t>264.28万</t>
  </si>
  <si>
    <t>48.01亿</t>
  </si>
  <si>
    <t>2119.61万</t>
  </si>
  <si>
    <t>3283.46万</t>
  </si>
  <si>
    <t>9.81万</t>
  </si>
  <si>
    <t>8701.33万</t>
  </si>
  <si>
    <t>7702.81万</t>
  </si>
  <si>
    <t>-17.68亿</t>
  </si>
  <si>
    <t>-1273.10万</t>
  </si>
  <si>
    <t>3482.70万</t>
  </si>
  <si>
    <t>1349.57万</t>
  </si>
  <si>
    <t>7789.25万</t>
  </si>
  <si>
    <t>SH688337</t>
  </si>
  <si>
    <t>普源精电</t>
  </si>
  <si>
    <t>89.97万</t>
  </si>
  <si>
    <t>29.23亿</t>
  </si>
  <si>
    <t>6823.67万</t>
  </si>
  <si>
    <t>2502.41万</t>
  </si>
  <si>
    <t>2153.03万</t>
  </si>
  <si>
    <t>1992762亿</t>
  </si>
  <si>
    <t>71.97万</t>
  </si>
  <si>
    <t>-6693832亿</t>
  </si>
  <si>
    <t>151194170亿</t>
  </si>
  <si>
    <t>173.17万</t>
  </si>
  <si>
    <t>2451422400亿</t>
  </si>
  <si>
    <t>456.17万</t>
  </si>
  <si>
    <t>4991.93万</t>
  </si>
  <si>
    <t>79.05万</t>
  </si>
  <si>
    <t>-2642.50万</t>
  </si>
  <si>
    <t>9248.84万</t>
  </si>
  <si>
    <t>-389.77万</t>
  </si>
  <si>
    <t>-2716.64万</t>
  </si>
  <si>
    <t>4599.04万</t>
  </si>
  <si>
    <t>3909.56万</t>
  </si>
  <si>
    <t>6676.35万</t>
  </si>
  <si>
    <t>2657.98万</t>
  </si>
  <si>
    <t>10派5.0125元(含税)</t>
  </si>
  <si>
    <t>507.04万</t>
  </si>
  <si>
    <t>4074.86万</t>
  </si>
  <si>
    <t>49.49万</t>
  </si>
  <si>
    <t>8643.80万</t>
  </si>
  <si>
    <t>302.27万</t>
  </si>
  <si>
    <t>1774.51万</t>
  </si>
  <si>
    <t>120.90万</t>
  </si>
  <si>
    <t>790.76万</t>
  </si>
  <si>
    <t>1531.31万</t>
  </si>
  <si>
    <t>6510.80万</t>
  </si>
  <si>
    <t>5632.01万</t>
  </si>
  <si>
    <t>382.48万</t>
  </si>
  <si>
    <t>511.41万</t>
  </si>
  <si>
    <t>4035.78万</t>
  </si>
  <si>
    <t>9282.37万</t>
  </si>
  <si>
    <t>4708.19万</t>
  </si>
  <si>
    <t>428.85万</t>
  </si>
  <si>
    <t>2768.44万</t>
  </si>
  <si>
    <t>0116000000</t>
  </si>
  <si>
    <t>0348000000</t>
  </si>
  <si>
    <t>0696000000</t>
  </si>
  <si>
    <t>01160000000</t>
  </si>
  <si>
    <t>02320000000</t>
  </si>
  <si>
    <t>164.97万</t>
  </si>
  <si>
    <t>13.56亿</t>
  </si>
  <si>
    <t>1142.56万</t>
  </si>
  <si>
    <t>2966.20万</t>
  </si>
  <si>
    <t>5.68万</t>
  </si>
  <si>
    <t>8939.44万</t>
  </si>
  <si>
    <t>4760.51万</t>
  </si>
  <si>
    <t>9107.94万</t>
  </si>
  <si>
    <t>9.36万</t>
  </si>
  <si>
    <t>-5639.16万</t>
  </si>
  <si>
    <t>-4204.49万</t>
  </si>
  <si>
    <t>89.03万</t>
  </si>
  <si>
    <t>3136.71万</t>
  </si>
  <si>
    <t>719.04万</t>
  </si>
  <si>
    <t>5230.61万</t>
  </si>
  <si>
    <t>7-1</t>
  </si>
  <si>
    <t>76.03万</t>
  </si>
  <si>
    <t>-2194.85万</t>
  </si>
  <si>
    <t>451.27万</t>
  </si>
  <si>
    <t>1013.70万</t>
  </si>
  <si>
    <t>4639.95万</t>
  </si>
  <si>
    <t>5623.23万</t>
  </si>
  <si>
    <t>-6263.35万</t>
  </si>
  <si>
    <t>-2885.56万</t>
  </si>
  <si>
    <t>1061.72万</t>
  </si>
  <si>
    <t>4320.67万</t>
  </si>
  <si>
    <t>297.86万</t>
  </si>
  <si>
    <t>2304.60万</t>
  </si>
  <si>
    <t>XD华曙高</t>
  </si>
  <si>
    <t>46.65万</t>
  </si>
  <si>
    <t>19.58亿</t>
  </si>
  <si>
    <t>4446.46万</t>
  </si>
  <si>
    <t>9694.87万</t>
  </si>
  <si>
    <t>5733.92万</t>
  </si>
  <si>
    <t>1504.88万</t>
  </si>
  <si>
    <t>960.92万</t>
  </si>
  <si>
    <t>1749.51万</t>
  </si>
  <si>
    <t>3749.04万</t>
  </si>
  <si>
    <t>-5476.81万</t>
  </si>
  <si>
    <t>-4015.10万</t>
  </si>
  <si>
    <t>3290.15万</t>
  </si>
  <si>
    <t>-370.34万</t>
  </si>
  <si>
    <t>10派0.962元(含税)</t>
  </si>
  <si>
    <t>301.75万</t>
  </si>
  <si>
    <t>3126.66万</t>
  </si>
  <si>
    <t>49.75万</t>
  </si>
  <si>
    <t>4695.19万</t>
  </si>
  <si>
    <t>5577.13万</t>
  </si>
  <si>
    <t>2907.18万</t>
  </si>
  <si>
    <t>1089.71万</t>
  </si>
  <si>
    <t>532.76万</t>
  </si>
  <si>
    <t>5094.34万</t>
  </si>
  <si>
    <t>75.75万</t>
  </si>
  <si>
    <t>3628.88万</t>
  </si>
  <si>
    <t>-2075.24万</t>
  </si>
  <si>
    <t>-2002.44万</t>
  </si>
  <si>
    <t>86.86万</t>
  </si>
  <si>
    <t>1679.30万</t>
  </si>
  <si>
    <t>-1095.34万</t>
  </si>
  <si>
    <t>339.96万</t>
  </si>
  <si>
    <t>2424.75万</t>
  </si>
  <si>
    <t>77.98万</t>
  </si>
  <si>
    <t>26.81亿</t>
  </si>
  <si>
    <t>5511.93万</t>
  </si>
  <si>
    <t>1979.46万</t>
  </si>
  <si>
    <t>2560.09万</t>
  </si>
  <si>
    <t>16.27万</t>
  </si>
  <si>
    <t>928.44万</t>
  </si>
  <si>
    <t>6510.70万</t>
  </si>
  <si>
    <t>14.93亿</t>
  </si>
  <si>
    <t>-1.10亿</t>
  </si>
  <si>
    <t>5721.87万</t>
  </si>
  <si>
    <t>-1298.89万</t>
  </si>
  <si>
    <t>6.08亿</t>
  </si>
  <si>
    <t>1068.00万</t>
  </si>
  <si>
    <t>268.94万</t>
  </si>
  <si>
    <t>2681.04万</t>
  </si>
  <si>
    <t>SH688528</t>
  </si>
  <si>
    <t>秦川物联</t>
  </si>
  <si>
    <t>44.68万</t>
  </si>
  <si>
    <t>8665.60万</t>
  </si>
  <si>
    <t>7125.49万</t>
  </si>
  <si>
    <t>1138.87万</t>
  </si>
  <si>
    <t>1084.53万</t>
  </si>
  <si>
    <t>-130209亿</t>
  </si>
  <si>
    <t>14.66万</t>
  </si>
  <si>
    <t>-6647992亿</t>
  </si>
  <si>
    <t>8122.07万</t>
  </si>
  <si>
    <t>281477420亿</t>
  </si>
  <si>
    <t>582.00万</t>
  </si>
  <si>
    <t>466333070亿</t>
  </si>
  <si>
    <t>2644.01万</t>
  </si>
  <si>
    <t>4905.76万</t>
  </si>
  <si>
    <t>4919.13万</t>
  </si>
  <si>
    <t>8.32万</t>
  </si>
  <si>
    <t>-1434.39万</t>
  </si>
  <si>
    <t>-506.52万</t>
  </si>
  <si>
    <t>-8104.85万</t>
  </si>
  <si>
    <t>137.12万</t>
  </si>
  <si>
    <t>2920.33万</t>
  </si>
  <si>
    <t>4615.76万</t>
  </si>
  <si>
    <t>4422.95万</t>
  </si>
  <si>
    <t>4436.94万</t>
  </si>
  <si>
    <t>-5923.75万</t>
  </si>
  <si>
    <t>2802.75万</t>
  </si>
  <si>
    <t>304.94万</t>
  </si>
  <si>
    <t>2495.11万</t>
  </si>
  <si>
    <t>SH688539</t>
  </si>
  <si>
    <t>高华科技</t>
  </si>
  <si>
    <t>67.71万</t>
  </si>
  <si>
    <t>7501.20万</t>
  </si>
  <si>
    <t>10.40亿</t>
  </si>
  <si>
    <t>5284.09万</t>
  </si>
  <si>
    <t>2863.88万</t>
  </si>
  <si>
    <t>325.28万</t>
  </si>
  <si>
    <t>882.71万</t>
  </si>
  <si>
    <t>3923367亿</t>
  </si>
  <si>
    <t>16732967亿</t>
  </si>
  <si>
    <t>337827070亿</t>
  </si>
  <si>
    <t>4610.42万</t>
  </si>
  <si>
    <t>1685083100亿</t>
  </si>
  <si>
    <t>1521.71万</t>
  </si>
  <si>
    <t>1938.98万</t>
  </si>
  <si>
    <t>7259.88万</t>
  </si>
  <si>
    <t>-4397.33万</t>
  </si>
  <si>
    <t>-2142.34万</t>
  </si>
  <si>
    <t>-1002.95万</t>
  </si>
  <si>
    <t>8115.68万</t>
  </si>
  <si>
    <t>7001.35万</t>
  </si>
  <si>
    <t>3521.44万</t>
  </si>
  <si>
    <t>2069.89万</t>
  </si>
  <si>
    <t>9634.21万</t>
  </si>
  <si>
    <t>944.55万</t>
  </si>
  <si>
    <t>473.77万</t>
  </si>
  <si>
    <t>3925.54万</t>
  </si>
  <si>
    <t>22.50万</t>
  </si>
  <si>
    <t>10.81亿</t>
  </si>
  <si>
    <t>9872.12万</t>
  </si>
  <si>
    <t>4490.01万</t>
  </si>
  <si>
    <t>1754.18万</t>
  </si>
  <si>
    <t>1087.19万</t>
  </si>
  <si>
    <t>53.34万</t>
  </si>
  <si>
    <t>754.54万</t>
  </si>
  <si>
    <t>109.33万</t>
  </si>
  <si>
    <t>-4569.57万</t>
  </si>
  <si>
    <t>4271.47万</t>
  </si>
  <si>
    <t>-9.73万</t>
  </si>
  <si>
    <t>122.39万</t>
  </si>
  <si>
    <t>1178.12万</t>
  </si>
  <si>
    <t>77.53万</t>
  </si>
  <si>
    <t>48.05亿</t>
  </si>
  <si>
    <t>999.29万</t>
  </si>
  <si>
    <t>861.67万</t>
  </si>
  <si>
    <t>985.66万</t>
  </si>
  <si>
    <t>1246.83万</t>
  </si>
  <si>
    <t>-538.85万</t>
  </si>
  <si>
    <t>3157.13万</t>
  </si>
  <si>
    <t>532.80万</t>
  </si>
  <si>
    <t>3236.22万</t>
  </si>
  <si>
    <t>67.63万</t>
  </si>
  <si>
    <t>20.18亿</t>
  </si>
  <si>
    <t>1505.42万</t>
  </si>
  <si>
    <t>1191.83万</t>
  </si>
  <si>
    <t>5156.80万</t>
  </si>
  <si>
    <t>1152.53万</t>
  </si>
  <si>
    <t>-1367.49万</t>
  </si>
  <si>
    <t>48.71万</t>
  </si>
  <si>
    <t>3487.74万</t>
  </si>
  <si>
    <t>255.18万</t>
  </si>
  <si>
    <t>1441.43万</t>
  </si>
  <si>
    <t>SH688610</t>
  </si>
  <si>
    <t>XD埃科光</t>
  </si>
  <si>
    <t>50.77万</t>
  </si>
  <si>
    <t>9232.24万</t>
  </si>
  <si>
    <t>6288.80万</t>
  </si>
  <si>
    <t>4720.60万</t>
  </si>
  <si>
    <t>5636.34万</t>
  </si>
  <si>
    <t>3817.90万</t>
  </si>
  <si>
    <t>770.04万</t>
  </si>
  <si>
    <t>586.99万</t>
  </si>
  <si>
    <t>3900000亿</t>
  </si>
  <si>
    <t>3.41万</t>
  </si>
  <si>
    <t>5282498亿</t>
  </si>
  <si>
    <t>146823010亿</t>
  </si>
  <si>
    <t>1125.89万</t>
  </si>
  <si>
    <t>1470342900亿</t>
  </si>
  <si>
    <t>416.01万</t>
  </si>
  <si>
    <t>9.57万</t>
  </si>
  <si>
    <t>1955.72万</t>
  </si>
  <si>
    <t>2608.86万</t>
  </si>
  <si>
    <t>6325.66万</t>
  </si>
  <si>
    <t>-1954.08万</t>
  </si>
  <si>
    <t>-140.13万</t>
  </si>
  <si>
    <t>-5972.80万</t>
  </si>
  <si>
    <t>6856.38万</t>
  </si>
  <si>
    <t>3360.63万</t>
  </si>
  <si>
    <t>7048.35万</t>
  </si>
  <si>
    <t>4407.64万</t>
  </si>
  <si>
    <t>-2730.11万</t>
  </si>
  <si>
    <t>454.14万</t>
  </si>
  <si>
    <t>3728.42万</t>
  </si>
  <si>
    <t>1575.14万</t>
  </si>
  <si>
    <t>1303.17万</t>
  </si>
  <si>
    <t>229.64万</t>
  </si>
  <si>
    <t>1689.66万</t>
  </si>
  <si>
    <t>SH688622</t>
  </si>
  <si>
    <t>禾信仪器</t>
  </si>
  <si>
    <t>33.22万</t>
  </si>
  <si>
    <t>4660.31万</t>
  </si>
  <si>
    <t>6918.35万</t>
  </si>
  <si>
    <t>2425.99万</t>
  </si>
  <si>
    <t>1708.90万</t>
  </si>
  <si>
    <t>1377.36万</t>
  </si>
  <si>
    <t>-708549亿</t>
  </si>
  <si>
    <t>2.40万</t>
  </si>
  <si>
    <t>-16815719亿</t>
  </si>
  <si>
    <t>134637800亿</t>
  </si>
  <si>
    <t>805.81万</t>
  </si>
  <si>
    <t>512319070亿</t>
  </si>
  <si>
    <t>1988.47万</t>
  </si>
  <si>
    <t>9732.96万</t>
  </si>
  <si>
    <t>-1463.98万</t>
  </si>
  <si>
    <t>-3631.04万</t>
  </si>
  <si>
    <t>1644.21万</t>
  </si>
  <si>
    <t>-6332.83万</t>
  </si>
  <si>
    <t>7857.47万</t>
  </si>
  <si>
    <t>6945.40万</t>
  </si>
  <si>
    <t>4647.43万</t>
  </si>
  <si>
    <t>2003.51万</t>
  </si>
  <si>
    <t>-9610.61万</t>
  </si>
  <si>
    <t>2593.25万</t>
  </si>
  <si>
    <t>189.11万</t>
  </si>
  <si>
    <t>1691.47万</t>
  </si>
  <si>
    <t>SH688628</t>
  </si>
  <si>
    <t>优利德</t>
  </si>
  <si>
    <t>114.47万</t>
  </si>
  <si>
    <t>9.04亿</t>
  </si>
  <si>
    <t>7236.92万</t>
  </si>
  <si>
    <t>2480.40万</t>
  </si>
  <si>
    <t>1572.06万</t>
  </si>
  <si>
    <t>-366709亿</t>
  </si>
  <si>
    <t>54184638亿</t>
  </si>
  <si>
    <t>95364103亿</t>
  </si>
  <si>
    <t>14.65万</t>
  </si>
  <si>
    <t>850227770亿</t>
  </si>
  <si>
    <t>3.20万</t>
  </si>
  <si>
    <t>5202.89万</t>
  </si>
  <si>
    <t>8286.42万</t>
  </si>
  <si>
    <t>-1056.49万</t>
  </si>
  <si>
    <t>792.02万</t>
  </si>
  <si>
    <t>8.42亿</t>
  </si>
  <si>
    <t>8.86亿</t>
  </si>
  <si>
    <t>5326.84万</t>
  </si>
  <si>
    <t>3208.97万</t>
  </si>
  <si>
    <t>1166.21万</t>
  </si>
  <si>
    <t>10派9元(含税)</t>
  </si>
  <si>
    <t>360.03万</t>
  </si>
  <si>
    <t>1639.29万</t>
  </si>
  <si>
    <t>18-1</t>
  </si>
  <si>
    <t>78.04万</t>
  </si>
  <si>
    <t>4250.86万</t>
  </si>
  <si>
    <t>1234.57万</t>
  </si>
  <si>
    <t>1780.98万</t>
  </si>
  <si>
    <t>48.10万</t>
  </si>
  <si>
    <t>8.14亿</t>
  </si>
  <si>
    <t>619.98万</t>
  </si>
  <si>
    <t>649.36万</t>
  </si>
  <si>
    <t>-1007.91万</t>
  </si>
  <si>
    <t>-452.20万</t>
  </si>
  <si>
    <t>3547.68万</t>
  </si>
  <si>
    <t>-706.41万</t>
  </si>
  <si>
    <t>580.22万</t>
  </si>
  <si>
    <t>5141.87万</t>
  </si>
  <si>
    <t>0127525800</t>
  </si>
  <si>
    <t>0255051600</t>
  </si>
  <si>
    <t>0425086000</t>
  </si>
  <si>
    <t>0850172000</t>
  </si>
  <si>
    <t>SH688665</t>
  </si>
  <si>
    <t>四方光电</t>
  </si>
  <si>
    <t>62.67万</t>
  </si>
  <si>
    <t>9.95亿</t>
  </si>
  <si>
    <t>4913.37万</t>
  </si>
  <si>
    <t>8265.77万</t>
  </si>
  <si>
    <t>1218.13万</t>
  </si>
  <si>
    <t>1156.74万</t>
  </si>
  <si>
    <t>2028523亿</t>
  </si>
  <si>
    <t>16.75万</t>
  </si>
  <si>
    <t>16896492亿</t>
  </si>
  <si>
    <t>267431460亿</t>
  </si>
  <si>
    <t>2443.18万</t>
  </si>
  <si>
    <t>756143200亿</t>
  </si>
  <si>
    <t>1231.21万</t>
  </si>
  <si>
    <t>2070.90万</t>
  </si>
  <si>
    <t>5530.22万</t>
  </si>
  <si>
    <t>9234.11万</t>
  </si>
  <si>
    <t>-2638.55万</t>
  </si>
  <si>
    <t>-3792.50万</t>
  </si>
  <si>
    <t>-30.46万</t>
  </si>
  <si>
    <t>8447.47万</t>
  </si>
  <si>
    <t>6494.96万</t>
  </si>
  <si>
    <t>1104.79万</t>
  </si>
  <si>
    <t>1360.62万</t>
  </si>
  <si>
    <t>10转4.3股派8.6元(含税)</t>
  </si>
  <si>
    <t>221.63万</t>
  </si>
  <si>
    <t>2109.37万</t>
  </si>
  <si>
    <t>91.11万</t>
  </si>
  <si>
    <t>13.05亿</t>
  </si>
  <si>
    <t>3574.88万</t>
  </si>
  <si>
    <t>858.93万</t>
  </si>
  <si>
    <t>85.90万</t>
  </si>
  <si>
    <t>4287.88万</t>
  </si>
  <si>
    <t>-4039.65万</t>
  </si>
  <si>
    <t>-6718.71万</t>
  </si>
  <si>
    <t>4282.15万</t>
  </si>
  <si>
    <t>668.91万</t>
  </si>
  <si>
    <t>4903.02万</t>
  </si>
  <si>
    <t>SH688768</t>
  </si>
  <si>
    <t>容知日新</t>
  </si>
  <si>
    <t>60.98万</t>
  </si>
  <si>
    <t>6077.55万</t>
  </si>
  <si>
    <t>114.46亿</t>
  </si>
  <si>
    <t>9096.86万</t>
  </si>
  <si>
    <t>2295.05万</t>
  </si>
  <si>
    <t>2900.47万</t>
  </si>
  <si>
    <t>1123.10万</t>
  </si>
  <si>
    <t>-187294亿</t>
  </si>
  <si>
    <t>15.03万</t>
  </si>
  <si>
    <t>-19404663亿</t>
  </si>
  <si>
    <t>356575920亿</t>
  </si>
  <si>
    <t>1969.69万</t>
  </si>
  <si>
    <t>739750670亿</t>
  </si>
  <si>
    <t>6700.00万</t>
  </si>
  <si>
    <t>4582.44万</t>
  </si>
  <si>
    <t>5596.40万</t>
  </si>
  <si>
    <t>-2548.89万</t>
  </si>
  <si>
    <t>-1792.86万</t>
  </si>
  <si>
    <t>-1113.84万</t>
  </si>
  <si>
    <t>8123.55万</t>
  </si>
  <si>
    <t>7441.56万</t>
  </si>
  <si>
    <t>3984.44万</t>
  </si>
  <si>
    <t>1597.90万</t>
  </si>
  <si>
    <t>23.77亿</t>
  </si>
  <si>
    <t>6269.78万</t>
  </si>
  <si>
    <t>10派1.15元(含税)</t>
  </si>
  <si>
    <t>251.20万</t>
  </si>
  <si>
    <t>1784.46万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</si>
</sst>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rgb="FFFF0000"/>
      <name val="宋体"/>
      <family val="3"/>
      <charset val="134"/>
      <scheme val="minor"/>
    </font>
    <font>
      <sz val="9"/>
      <color theme="1"/>
      <name val="宋体"/>
      <family val="3"/>
      <charset val="134"/>
      <scheme val="minor"/>
    </font>
    <font>
      <sz val="9"/>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6"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298450</xdr:colOff>
          <xdr:row>0</xdr:row>
          <xdr:rowOff>107950</xdr:rowOff>
        </xdr:from>
        <xdr:to>
          <xdr:col>147</xdr:col>
          <xdr:colOff>1358900</xdr:colOff>
          <xdr:row>0</xdr:row>
          <xdr:rowOff>419100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21"/>
  <sheetViews>
    <sheetView tabSelected="1" zoomScaleNormal="100" workbookViewId="0">
      <pane xSplit="5" ySplit="1" topLeftCell="F215" activePane="bottomRight" state="frozen"/>
      <selection pane="topRight" activeCell="F1" sqref="F1"/>
      <selection pane="bottomLeft" activeCell="A2" sqref="A2"/>
      <selection pane="bottomRight" activeCell="D218" sqref="D218:EP218"/>
    </sheetView>
  </sheetViews>
  <sheetFormatPr defaultRowHeight="14"/>
  <cols>
    <col min="1" max="1" width="39" customWidth="1"/>
    <col min="2" max="2" width="38.81640625" customWidth="1"/>
    <col min="3" max="3" width="40.6328125" customWidth="1"/>
    <col min="148" max="148" width="21.54296875" customWidth="1"/>
  </cols>
  <sheetData>
    <row r="1" spans="1:146" ht="40.5" customHeight="1">
      <c r="A1" s="3" t="s">
        <v>69</v>
      </c>
      <c r="B1" s="4" t="s">
        <v>70</v>
      </c>
      <c r="C1" s="3" t="s">
        <v>71</v>
      </c>
      <c r="D1" t="s">
        <v>72</v>
      </c>
      <c r="E1" t="s">
        <v>1382</v>
      </c>
      <c r="F1" t="s">
        <v>3</v>
      </c>
      <c r="G1" t="s">
        <v>1621</v>
      </c>
      <c r="H1" t="s">
        <v>1622</v>
      </c>
      <c r="I1" t="s">
        <v>73</v>
      </c>
      <c r="J1" t="s">
        <v>74</v>
      </c>
      <c r="K1" t="s">
        <v>4</v>
      </c>
      <c r="L1" t="s">
        <v>75</v>
      </c>
      <c r="M1" t="s">
        <v>76</v>
      </c>
      <c r="N1" t="s">
        <v>77</v>
      </c>
      <c r="O1" t="s">
        <v>78</v>
      </c>
      <c r="P1" t="s">
        <v>1623</v>
      </c>
      <c r="Q1" t="s">
        <v>1435</v>
      </c>
      <c r="R1" t="s">
        <v>1383</v>
      </c>
      <c r="S1" t="s">
        <v>79</v>
      </c>
      <c r="T1" t="s">
        <v>1624</v>
      </c>
      <c r="U1" t="s">
        <v>1203</v>
      </c>
      <c r="V1" t="s">
        <v>80</v>
      </c>
      <c r="W1" t="s">
        <v>1436</v>
      </c>
      <c r="X1" t="s">
        <v>1437</v>
      </c>
      <c r="Y1" t="s">
        <v>1438</v>
      </c>
      <c r="Z1" t="s">
        <v>1439</v>
      </c>
      <c r="AA1" t="s">
        <v>1440</v>
      </c>
      <c r="AB1" t="s">
        <v>1625</v>
      </c>
      <c r="AC1" t="s">
        <v>1441</v>
      </c>
      <c r="AD1" t="s">
        <v>1442</v>
      </c>
      <c r="AE1" t="s">
        <v>81</v>
      </c>
      <c r="AF1" t="s">
        <v>82</v>
      </c>
      <c r="AG1" t="s">
        <v>1626</v>
      </c>
      <c r="AH1" t="s">
        <v>1384</v>
      </c>
      <c r="AI1" t="s">
        <v>1627</v>
      </c>
      <c r="AJ1" t="s">
        <v>83</v>
      </c>
      <c r="AK1" t="s">
        <v>1628</v>
      </c>
      <c r="AL1" t="s">
        <v>629</v>
      </c>
      <c r="AM1" t="s">
        <v>1629</v>
      </c>
      <c r="AN1" t="s">
        <v>1630</v>
      </c>
      <c r="AO1" t="s">
        <v>1631</v>
      </c>
      <c r="AP1" t="s">
        <v>1632</v>
      </c>
      <c r="AQ1" t="s">
        <v>1633</v>
      </c>
      <c r="AR1" t="s">
        <v>1634</v>
      </c>
      <c r="AS1" t="s">
        <v>1635</v>
      </c>
      <c r="AT1" t="s">
        <v>1636</v>
      </c>
      <c r="AU1" t="s">
        <v>1637</v>
      </c>
      <c r="AV1" t="s">
        <v>1638</v>
      </c>
      <c r="AW1" t="s">
        <v>1639</v>
      </c>
      <c r="AX1" t="s">
        <v>1385</v>
      </c>
      <c r="AY1" t="s">
        <v>630</v>
      </c>
      <c r="AZ1" t="s">
        <v>631</v>
      </c>
      <c r="BA1" t="s">
        <v>632</v>
      </c>
      <c r="BB1" t="s">
        <v>633</v>
      </c>
      <c r="BC1" t="s">
        <v>1204</v>
      </c>
      <c r="BD1" t="s">
        <v>634</v>
      </c>
      <c r="BE1" t="s">
        <v>635</v>
      </c>
      <c r="BF1" t="s">
        <v>636</v>
      </c>
      <c r="BG1" t="s">
        <v>637</v>
      </c>
      <c r="BH1" t="s">
        <v>1640</v>
      </c>
      <c r="BI1" t="s">
        <v>1641</v>
      </c>
      <c r="BJ1" t="s">
        <v>1642</v>
      </c>
      <c r="BK1" t="s">
        <v>1643</v>
      </c>
      <c r="BL1" t="s">
        <v>1644</v>
      </c>
      <c r="BM1" t="s">
        <v>1645</v>
      </c>
      <c r="BN1" t="s">
        <v>1386</v>
      </c>
      <c r="BO1" t="s">
        <v>1205</v>
      </c>
      <c r="BP1" t="s">
        <v>638</v>
      </c>
      <c r="BQ1" t="s">
        <v>1387</v>
      </c>
      <c r="BR1" t="s">
        <v>1206</v>
      </c>
      <c r="BS1" t="s">
        <v>639</v>
      </c>
      <c r="BT1" t="s">
        <v>1646</v>
      </c>
      <c r="BU1" t="s">
        <v>1443</v>
      </c>
      <c r="BV1" t="s">
        <v>1647</v>
      </c>
      <c r="BW1" t="s">
        <v>1076</v>
      </c>
      <c r="BX1" t="s">
        <v>640</v>
      </c>
      <c r="BY1" t="s">
        <v>1648</v>
      </c>
      <c r="BZ1" t="s">
        <v>1077</v>
      </c>
      <c r="CA1" t="s">
        <v>641</v>
      </c>
      <c r="CB1" t="s">
        <v>1649</v>
      </c>
      <c r="CC1" t="s">
        <v>1650</v>
      </c>
      <c r="CD1" t="s">
        <v>1651</v>
      </c>
      <c r="CE1" t="s">
        <v>1652</v>
      </c>
      <c r="CF1" s="1" t="s">
        <v>1388</v>
      </c>
      <c r="CG1" s="1" t="s">
        <v>1389</v>
      </c>
      <c r="CH1" s="1" t="s">
        <v>1063</v>
      </c>
      <c r="CI1" s="1" t="s">
        <v>1064</v>
      </c>
      <c r="CJ1" s="1" t="s">
        <v>1065</v>
      </c>
      <c r="CK1" s="1" t="s">
        <v>1066</v>
      </c>
      <c r="CL1" s="1" t="s">
        <v>1067</v>
      </c>
      <c r="CM1" s="1" t="s">
        <v>1068</v>
      </c>
      <c r="CN1" s="1" t="s">
        <v>1069</v>
      </c>
      <c r="CO1" s="1" t="s">
        <v>1070</v>
      </c>
      <c r="CP1" s="1" t="s">
        <v>1071</v>
      </c>
      <c r="CQ1" s="1" t="s">
        <v>1072</v>
      </c>
      <c r="CR1" s="1" t="s">
        <v>1653</v>
      </c>
      <c r="CS1" s="1" t="s">
        <v>1654</v>
      </c>
      <c r="CT1" s="1" t="s">
        <v>1655</v>
      </c>
      <c r="CU1" s="1" t="s">
        <v>1656</v>
      </c>
      <c r="CV1" s="1" t="s">
        <v>1657</v>
      </c>
      <c r="CW1" s="1" t="s">
        <v>1658</v>
      </c>
      <c r="CX1">
        <v>1</v>
      </c>
      <c r="CY1" t="s">
        <v>1659</v>
      </c>
      <c r="CZ1" t="s">
        <v>1444</v>
      </c>
      <c r="DA1">
        <v>3</v>
      </c>
      <c r="DB1" t="s">
        <v>1660</v>
      </c>
      <c r="DC1" t="s">
        <v>1661</v>
      </c>
      <c r="DD1">
        <v>6</v>
      </c>
      <c r="DE1" t="s">
        <v>1662</v>
      </c>
      <c r="DF1" t="s">
        <v>1663</v>
      </c>
      <c r="DG1">
        <v>10</v>
      </c>
      <c r="DH1" t="s">
        <v>1664</v>
      </c>
      <c r="DI1" t="s">
        <v>1665</v>
      </c>
      <c r="DJ1">
        <v>20</v>
      </c>
      <c r="DK1" t="s">
        <v>1666</v>
      </c>
      <c r="DL1" t="s">
        <v>1073</v>
      </c>
      <c r="DM1" t="s">
        <v>1074</v>
      </c>
      <c r="DN1" s="2" t="s">
        <v>1075</v>
      </c>
      <c r="DO1" t="s">
        <v>1667</v>
      </c>
      <c r="DP1" t="s">
        <v>1668</v>
      </c>
      <c r="DQ1" s="12" t="s">
        <v>1669</v>
      </c>
      <c r="DR1" s="1" t="s">
        <v>1670</v>
      </c>
      <c r="DS1" s="1" t="s">
        <v>1671</v>
      </c>
      <c r="DT1" t="s">
        <v>1672</v>
      </c>
      <c r="DU1" t="s">
        <v>1673</v>
      </c>
      <c r="DV1" t="s">
        <v>1674</v>
      </c>
      <c r="DW1" t="s">
        <v>1675</v>
      </c>
      <c r="DX1" t="s">
        <v>1676</v>
      </c>
      <c r="DY1" t="s">
        <v>1677</v>
      </c>
      <c r="DZ1" t="s">
        <v>1678</v>
      </c>
      <c r="EA1" t="s">
        <v>1679</v>
      </c>
      <c r="EB1" t="s">
        <v>1680</v>
      </c>
      <c r="EC1" t="s">
        <v>1681</v>
      </c>
      <c r="ED1" t="s">
        <v>1682</v>
      </c>
      <c r="EE1" t="s">
        <v>1683</v>
      </c>
      <c r="EF1" t="s">
        <v>1684</v>
      </c>
      <c r="EG1" t="s">
        <v>1685</v>
      </c>
      <c r="EH1" t="s">
        <v>1686</v>
      </c>
      <c r="EI1" t="s">
        <v>1687</v>
      </c>
      <c r="EK1" s="13" t="s">
        <v>1688</v>
      </c>
      <c r="EL1" t="s">
        <v>1689</v>
      </c>
      <c r="EM1" t="s">
        <v>1690</v>
      </c>
      <c r="EN1" t="s">
        <v>1691</v>
      </c>
      <c r="EO1" t="s">
        <v>1445</v>
      </c>
      <c r="EP1" t="s">
        <v>1446</v>
      </c>
    </row>
    <row r="2" spans="1:146" ht="96">
      <c r="A2" s="7"/>
      <c r="B2" s="7"/>
      <c r="C2" s="7" t="str">
        <f>""&amp;CHAR(10)&amp;Basic_Fundamental_Information_Constructure(F2)&amp;CHAR(10)&amp;Basic_Fundamental_Information_Concatenate("")</f>
        <v xml:space="preserve">
市值465.37451亿, 利润4.21亿; PE135; 平均PE13.57; 平均PEG1.3, PB1.02; ROIC5.35%; ROE7.6567%; 股利率.2549%; 毛利15.6933%; 净利3.2733%; 上一年度营收增-9.7%, 利润增-86.92%; 当季营收增21.74%, 利润增-47.73%; 过往5年营收增10.42%, 利润增15.71%
Income profile:
</v>
      </c>
      <c r="D2" t="s">
        <v>576</v>
      </c>
      <c r="E2" t="s">
        <v>64</v>
      </c>
      <c r="F2">
        <v>8.6300000000000008</v>
      </c>
      <c r="G2">
        <v>-0.35</v>
      </c>
      <c r="H2" t="s">
        <v>3372</v>
      </c>
      <c r="I2">
        <v>46537451000</v>
      </c>
      <c r="J2">
        <v>135</v>
      </c>
      <c r="K2">
        <v>1.02</v>
      </c>
      <c r="L2" t="s">
        <v>85</v>
      </c>
      <c r="M2" t="s">
        <v>2148</v>
      </c>
      <c r="N2" t="s">
        <v>3373</v>
      </c>
      <c r="O2" t="s">
        <v>2149</v>
      </c>
      <c r="P2">
        <v>21.74</v>
      </c>
      <c r="Q2" t="s">
        <v>2150</v>
      </c>
      <c r="R2">
        <v>83635000</v>
      </c>
      <c r="S2" s="5">
        <v>-0.47789999999999999</v>
      </c>
      <c r="T2" t="s">
        <v>1839</v>
      </c>
      <c r="U2">
        <v>2301407100</v>
      </c>
      <c r="V2">
        <v>5392520400</v>
      </c>
      <c r="W2">
        <v>2.59</v>
      </c>
      <c r="X2">
        <v>0.19</v>
      </c>
      <c r="Y2">
        <v>0.67</v>
      </c>
      <c r="Z2" t="s">
        <v>3374</v>
      </c>
      <c r="AA2" t="s">
        <v>3375</v>
      </c>
      <c r="AB2" t="s">
        <v>203</v>
      </c>
      <c r="AC2" t="s">
        <v>3376</v>
      </c>
      <c r="AD2" t="s">
        <v>90</v>
      </c>
      <c r="AE2">
        <v>153310000</v>
      </c>
      <c r="AF2" t="s">
        <v>2152</v>
      </c>
      <c r="AG2" t="s">
        <v>3377</v>
      </c>
      <c r="AH2" t="s">
        <v>2153</v>
      </c>
      <c r="AI2" t="s">
        <v>3378</v>
      </c>
      <c r="AJ2" t="s">
        <v>2154</v>
      </c>
      <c r="AK2" t="s">
        <v>1877</v>
      </c>
      <c r="AL2" t="s">
        <v>2155</v>
      </c>
      <c r="AM2" t="s">
        <v>90</v>
      </c>
      <c r="AN2" t="s">
        <v>3379</v>
      </c>
      <c r="AO2" t="s">
        <v>3380</v>
      </c>
      <c r="AP2" t="s">
        <v>3381</v>
      </c>
      <c r="AQ2" t="s">
        <v>3382</v>
      </c>
      <c r="AR2" t="s">
        <v>3383</v>
      </c>
      <c r="AS2" t="s">
        <v>3384</v>
      </c>
      <c r="AT2" t="s">
        <v>3385</v>
      </c>
      <c r="AU2" t="s">
        <v>3386</v>
      </c>
      <c r="AV2" t="s">
        <v>3387</v>
      </c>
      <c r="AW2" t="s">
        <v>3388</v>
      </c>
      <c r="AX2" t="s">
        <v>1747</v>
      </c>
      <c r="AY2" t="s">
        <v>1207</v>
      </c>
      <c r="AZ2" t="s">
        <v>642</v>
      </c>
      <c r="BA2" t="s">
        <v>577</v>
      </c>
      <c r="BB2" t="s">
        <v>644</v>
      </c>
      <c r="BC2" t="s">
        <v>1748</v>
      </c>
      <c r="BD2" t="s">
        <v>1208</v>
      </c>
      <c r="BE2" t="s">
        <v>643</v>
      </c>
      <c r="BF2" t="s">
        <v>578</v>
      </c>
      <c r="BG2" t="s">
        <v>645</v>
      </c>
      <c r="BH2" t="s">
        <v>2150</v>
      </c>
      <c r="BI2" t="s">
        <v>2156</v>
      </c>
      <c r="BJ2" t="s">
        <v>1747</v>
      </c>
      <c r="BK2" t="s">
        <v>1839</v>
      </c>
      <c r="BL2" t="s">
        <v>373</v>
      </c>
      <c r="BM2" t="s">
        <v>1748</v>
      </c>
      <c r="BN2">
        <v>1.94</v>
      </c>
      <c r="BO2">
        <v>5.39</v>
      </c>
      <c r="BP2">
        <v>8.7200000000000006</v>
      </c>
      <c r="BQ2">
        <v>0.97</v>
      </c>
      <c r="BR2">
        <v>7</v>
      </c>
      <c r="BS2">
        <v>15</v>
      </c>
      <c r="BT2" t="s">
        <v>2157</v>
      </c>
      <c r="BU2" t="s">
        <v>1337</v>
      </c>
      <c r="BV2">
        <v>13.77</v>
      </c>
      <c r="BW2">
        <v>15.28</v>
      </c>
      <c r="BX2">
        <v>18.03</v>
      </c>
      <c r="BY2">
        <v>1.46</v>
      </c>
      <c r="BZ2">
        <v>3.25</v>
      </c>
      <c r="CA2">
        <v>5.1100000000000003</v>
      </c>
      <c r="CB2">
        <v>-6.8</v>
      </c>
      <c r="CC2">
        <v>-5.27</v>
      </c>
      <c r="CD2" t="s">
        <v>308</v>
      </c>
      <c r="CE2" t="s">
        <v>2622</v>
      </c>
      <c r="CF2" s="8">
        <v>0.21737335834896809</v>
      </c>
      <c r="CG2" s="9">
        <v>-0.47728124999999999</v>
      </c>
      <c r="CH2" s="8">
        <v>-9.6985228359699249E-2</v>
      </c>
      <c r="CI2" s="8">
        <v>-0.1353667676448822</v>
      </c>
      <c r="CJ2" s="8">
        <v>0.73850607872009277</v>
      </c>
      <c r="CK2" s="8">
        <v>9.7232446074485779E-2</v>
      </c>
      <c r="CL2" s="8">
        <v>-8.2172863185405731E-2</v>
      </c>
      <c r="CM2" s="9">
        <v>-0.86921405792236328</v>
      </c>
      <c r="CN2" s="9">
        <v>-0.51702922582626343</v>
      </c>
      <c r="CO2" s="9">
        <v>0.24579435586929321</v>
      </c>
      <c r="CP2" s="9">
        <v>2.469520092010498</v>
      </c>
      <c r="CQ2" s="9">
        <v>-0.54378700256347656</v>
      </c>
      <c r="CR2">
        <v>13.569748068231521</v>
      </c>
      <c r="CS2">
        <v>1.3017452307674091</v>
      </c>
      <c r="CT2">
        <v>0.25492468134414831</v>
      </c>
      <c r="CU2" s="8">
        <v>0.10424273312091828</v>
      </c>
      <c r="CV2" s="9">
        <v>0.15705683231353759</v>
      </c>
      <c r="CW2">
        <v>0.06</v>
      </c>
      <c r="CX2">
        <v>175.71680919765498</v>
      </c>
      <c r="CY2">
        <v>438571877.96594965</v>
      </c>
      <c r="CZ2">
        <v>0.10424273312091828</v>
      </c>
      <c r="DA2">
        <v>56.735337242166594</v>
      </c>
      <c r="DB2">
        <v>1358314848.3115826</v>
      </c>
      <c r="DC2">
        <v>9.9030596464872361E-2</v>
      </c>
      <c r="DD2">
        <v>27.480963104429346</v>
      </c>
      <c r="DE2">
        <v>2804284941.0754042</v>
      </c>
      <c r="DF2">
        <v>9.173360514640809E-2</v>
      </c>
      <c r="DG2">
        <v>16.202242253560065</v>
      </c>
      <c r="DH2">
        <v>4756406538.9200611</v>
      </c>
      <c r="DI2">
        <v>8.3394186496734635E-2</v>
      </c>
      <c r="DJ2">
        <v>8.0355760998677308</v>
      </c>
      <c r="DK2">
        <v>9590407712.1823921</v>
      </c>
      <c r="DL2">
        <v>7.2969913184642785E-2</v>
      </c>
      <c r="DM2">
        <v>421000000</v>
      </c>
      <c r="DN2">
        <v>0.10424273312091828</v>
      </c>
      <c r="DO2">
        <v>77064451000</v>
      </c>
      <c r="DP2">
        <v>17593443000</v>
      </c>
      <c r="DQ2">
        <v>30</v>
      </c>
      <c r="DR2">
        <v>0.11313062522804981</v>
      </c>
      <c r="DS2">
        <v>-0.63433808231353761</v>
      </c>
      <c r="DT2" s="10">
        <v>-0.17333333333333334</v>
      </c>
      <c r="DU2">
        <v>-0.255</v>
      </c>
      <c r="DV2">
        <v>-0.42833333333333334</v>
      </c>
      <c r="DW2">
        <v>-5.7750000000000004</v>
      </c>
      <c r="DX2">
        <v>0.3031578947368424</v>
      </c>
      <c r="DY2">
        <v>-5.1419473684210528</v>
      </c>
      <c r="DZ2">
        <v>2740</v>
      </c>
      <c r="EA2">
        <v>-5.0658346894633848</v>
      </c>
      <c r="EB2">
        <v>5</v>
      </c>
      <c r="EC2">
        <v>3.2266915485382311E-2</v>
      </c>
      <c r="ED2">
        <v>0.17616994086846663</v>
      </c>
      <c r="EE2" s="11">
        <v>1.0504</v>
      </c>
      <c r="EF2">
        <v>1.0365</v>
      </c>
      <c r="EG2">
        <v>12.183157894736842</v>
      </c>
      <c r="EH2" t="s">
        <v>1725</v>
      </c>
      <c r="EI2">
        <v>0</v>
      </c>
      <c r="EJ2">
        <v>0</v>
      </c>
      <c r="EK2" s="13">
        <v>45470</v>
      </c>
      <c r="EL2" s="14">
        <v>0</v>
      </c>
      <c r="EM2" s="14">
        <v>-1.25</v>
      </c>
      <c r="EN2" s="14">
        <v>0.11</v>
      </c>
      <c r="EO2" s="14">
        <v>-1.79</v>
      </c>
      <c r="EP2" s="14">
        <v>-1.39</v>
      </c>
    </row>
    <row r="3" spans="1:146" ht="108">
      <c r="A3" s="7"/>
      <c r="B3" s="7"/>
      <c r="C3" s="7" t="str">
        <f>""&amp;CHAR(10)&amp;Basic_Fundamental_Information_Constructure(F3)&amp;CHAR(10)&amp;Basic_Fundamental_Information_Concatenate("")</f>
        <v xml:space="preserve">
市值120.374727亿, 利润3475.70万; PE417.5; 平均PE-13.62; 平均PEG-2.18, PB11.98; ROIC2.07%; ROE-7.36%; 股利率0%; 毛利9.78%; 净利-17.5967%; 上一年度营收增-10.12%, 利润增34.95%; 当季营收增-2.12%, 利润增-17.06%; 过往5年营收增-6.26%, 利润增-16.96%
Income profile:
</v>
      </c>
      <c r="D3" t="s">
        <v>84</v>
      </c>
      <c r="E3" t="s">
        <v>1750</v>
      </c>
      <c r="F3">
        <v>5.83</v>
      </c>
      <c r="G3">
        <v>0.69</v>
      </c>
      <c r="H3" t="s">
        <v>3389</v>
      </c>
      <c r="I3">
        <v>12037472700</v>
      </c>
      <c r="J3">
        <v>417.5</v>
      </c>
      <c r="K3">
        <v>11.98</v>
      </c>
      <c r="L3" t="s">
        <v>85</v>
      </c>
      <c r="M3" t="s">
        <v>2099</v>
      </c>
      <c r="N3" t="s">
        <v>2622</v>
      </c>
      <c r="O3" t="s">
        <v>567</v>
      </c>
      <c r="P3">
        <v>-1.97</v>
      </c>
      <c r="Q3" t="s">
        <v>2159</v>
      </c>
      <c r="R3">
        <v>-40634006</v>
      </c>
      <c r="S3" s="5">
        <v>-0.1706</v>
      </c>
      <c r="T3" t="s">
        <v>2160</v>
      </c>
      <c r="U3">
        <v>1680915900</v>
      </c>
      <c r="V3">
        <v>2064746600</v>
      </c>
      <c r="W3">
        <v>3.28</v>
      </c>
      <c r="X3">
        <v>0.12</v>
      </c>
      <c r="Y3">
        <v>-10.73</v>
      </c>
      <c r="Z3" t="s">
        <v>779</v>
      </c>
      <c r="AA3" t="s">
        <v>358</v>
      </c>
      <c r="AB3" t="s">
        <v>3390</v>
      </c>
      <c r="AC3" t="s">
        <v>3391</v>
      </c>
      <c r="AD3" t="s">
        <v>90</v>
      </c>
      <c r="AE3">
        <v>6693066</v>
      </c>
      <c r="AF3" t="s">
        <v>2161</v>
      </c>
      <c r="AG3" t="s">
        <v>3392</v>
      </c>
      <c r="AH3" t="s">
        <v>2162</v>
      </c>
      <c r="AI3" t="s">
        <v>242</v>
      </c>
      <c r="AJ3" t="s">
        <v>2163</v>
      </c>
      <c r="AK3" t="s">
        <v>3393</v>
      </c>
      <c r="AL3" t="s">
        <v>2164</v>
      </c>
      <c r="AM3" t="s">
        <v>90</v>
      </c>
      <c r="AN3" t="s">
        <v>109</v>
      </c>
      <c r="AO3" t="s">
        <v>225</v>
      </c>
      <c r="AP3" t="s">
        <v>1904</v>
      </c>
      <c r="AQ3" t="s">
        <v>240</v>
      </c>
      <c r="AR3" t="s">
        <v>90</v>
      </c>
      <c r="AS3" t="s">
        <v>2592</v>
      </c>
      <c r="AT3" t="s">
        <v>90</v>
      </c>
      <c r="AU3" t="s">
        <v>1579</v>
      </c>
      <c r="AV3" t="s">
        <v>3394</v>
      </c>
      <c r="AW3" t="s">
        <v>3395</v>
      </c>
      <c r="AX3" t="s">
        <v>1751</v>
      </c>
      <c r="AY3" t="s">
        <v>1209</v>
      </c>
      <c r="AZ3" t="s">
        <v>647</v>
      </c>
      <c r="BA3" t="s">
        <v>87</v>
      </c>
      <c r="BB3" t="s">
        <v>651</v>
      </c>
      <c r="BC3" t="s">
        <v>1752</v>
      </c>
      <c r="BD3" t="s">
        <v>1210</v>
      </c>
      <c r="BE3" t="s">
        <v>648</v>
      </c>
      <c r="BF3" t="s">
        <v>88</v>
      </c>
      <c r="BG3" t="s">
        <v>652</v>
      </c>
      <c r="BH3" t="s">
        <v>2159</v>
      </c>
      <c r="BI3" t="s">
        <v>148</v>
      </c>
      <c r="BJ3" t="s">
        <v>1751</v>
      </c>
      <c r="BK3" t="s">
        <v>2160</v>
      </c>
      <c r="BL3" t="s">
        <v>2166</v>
      </c>
      <c r="BM3" t="s">
        <v>1752</v>
      </c>
      <c r="BN3" t="s">
        <v>90</v>
      </c>
      <c r="BO3">
        <v>2.0699999999999998</v>
      </c>
      <c r="BP3" t="s">
        <v>90</v>
      </c>
      <c r="BQ3">
        <v>-7.36</v>
      </c>
      <c r="BR3" t="s">
        <v>90</v>
      </c>
      <c r="BS3" t="s">
        <v>90</v>
      </c>
      <c r="BT3" t="s">
        <v>1692</v>
      </c>
      <c r="BU3" t="s">
        <v>1447</v>
      </c>
      <c r="BV3">
        <v>6.83</v>
      </c>
      <c r="BW3">
        <v>13.99</v>
      </c>
      <c r="BX3">
        <v>8.52</v>
      </c>
      <c r="BY3">
        <v>1.94</v>
      </c>
      <c r="BZ3">
        <v>0.65</v>
      </c>
      <c r="CA3">
        <v>-55.38</v>
      </c>
      <c r="CB3">
        <v>-4.2699999999999996</v>
      </c>
      <c r="CC3">
        <v>-18.350000000000001</v>
      </c>
      <c r="CD3" t="s">
        <v>3396</v>
      </c>
      <c r="CE3" t="s">
        <v>431</v>
      </c>
      <c r="CF3" s="8">
        <v>-2.1164021164021163E-2</v>
      </c>
      <c r="CG3" s="9">
        <v>-0.17059725399139208</v>
      </c>
      <c r="CH3" s="8">
        <v>-0.10119764506816864</v>
      </c>
      <c r="CI3" s="8">
        <v>-1.7068827524781227E-2</v>
      </c>
      <c r="CJ3" s="8">
        <v>0.26507806777954102</v>
      </c>
      <c r="CK3" s="8">
        <v>0.34031942486763</v>
      </c>
      <c r="CL3" s="8">
        <v>-0.80019944906234741</v>
      </c>
      <c r="CM3" s="9">
        <v>0.34947195649147034</v>
      </c>
      <c r="CN3" s="9">
        <v>1.0298446416854858</v>
      </c>
      <c r="CO3" s="9">
        <v>-0.19363762438297272</v>
      </c>
      <c r="CP3" s="9">
        <v>0.75803208351135254</v>
      </c>
      <c r="CQ3" s="9">
        <v>-2.7918782234191895</v>
      </c>
      <c r="CR3">
        <v>-13.62350529200581</v>
      </c>
      <c r="CS3">
        <v>-2.1758031199709675</v>
      </c>
      <c r="CT3">
        <v>0</v>
      </c>
      <c r="CU3" s="8">
        <v>-6.2613685801625255E-2</v>
      </c>
      <c r="CV3" s="9">
        <v>-0.16963343322277069</v>
      </c>
      <c r="CW3">
        <v>0.06</v>
      </c>
      <c r="CX3" t="e">
        <v>#VALUE!</v>
      </c>
      <c r="CY3" t="s">
        <v>1734</v>
      </c>
      <c r="CZ3">
        <v>-6.2613685801625255E-2</v>
      </c>
      <c r="DA3">
        <v>127.26906522427137</v>
      </c>
      <c r="DB3" t="s">
        <v>2167</v>
      </c>
      <c r="DC3">
        <v>-5.9483001511543988E-2</v>
      </c>
      <c r="DD3">
        <v>63.634532612135686</v>
      </c>
      <c r="DE3" t="s">
        <v>2168</v>
      </c>
      <c r="DF3">
        <v>-5.5100043505430227E-2</v>
      </c>
      <c r="DG3">
        <v>38.180719567281407</v>
      </c>
      <c r="DH3" t="s">
        <v>2169</v>
      </c>
      <c r="DI3">
        <v>-5.0090948641300204E-2</v>
      </c>
      <c r="DJ3">
        <v>19.090359783640704</v>
      </c>
      <c r="DK3" t="s">
        <v>2170</v>
      </c>
      <c r="DL3">
        <v>-4.3829580061137678E-2</v>
      </c>
      <c r="DM3">
        <v>34757000</v>
      </c>
      <c r="DN3">
        <v>-6.2613685801625255E-2</v>
      </c>
      <c r="DO3">
        <v>13270472700</v>
      </c>
      <c r="DP3">
        <v>172474300</v>
      </c>
      <c r="DQ3">
        <v>76</v>
      </c>
      <c r="DR3">
        <v>4.1449664637604092E-2</v>
      </c>
      <c r="DS3">
        <v>-9.6382076862139288E-4</v>
      </c>
      <c r="DT3" s="10">
        <v>-0.38999999999999996</v>
      </c>
      <c r="DU3">
        <v>-1.5616666666666672</v>
      </c>
      <c r="DV3">
        <v>-1.9516666666666671</v>
      </c>
      <c r="DW3">
        <v>-8.232697547683923</v>
      </c>
      <c r="DX3">
        <v>0.4374026315789476</v>
      </c>
      <c r="DY3">
        <v>-8.027319304460061</v>
      </c>
      <c r="DZ3">
        <v>4353</v>
      </c>
      <c r="EA3">
        <v>-8.0040471063554328</v>
      </c>
      <c r="EB3">
        <v>8</v>
      </c>
      <c r="EC3">
        <v>8.6428039159865914E-3</v>
      </c>
      <c r="ED3">
        <v>7.3616781836570166E-2</v>
      </c>
      <c r="EE3" s="11">
        <v>-2.0552100000000002</v>
      </c>
      <c r="EF3">
        <v>-2.0696099999999999</v>
      </c>
      <c r="EG3">
        <v>32.117402631578948</v>
      </c>
      <c r="EH3" t="s">
        <v>1735</v>
      </c>
      <c r="EI3">
        <v>0</v>
      </c>
      <c r="EJ3">
        <v>0</v>
      </c>
      <c r="EK3" s="13">
        <v>45470</v>
      </c>
      <c r="EL3" s="14">
        <v>-0.16</v>
      </c>
      <c r="EM3" s="14">
        <v>-3.22</v>
      </c>
      <c r="EN3" s="14">
        <v>1.5</v>
      </c>
      <c r="EO3" s="14">
        <v>1.96</v>
      </c>
      <c r="EP3" s="14">
        <v>-1.44</v>
      </c>
    </row>
    <row r="4" spans="1:146" ht="108">
      <c r="A4" s="7"/>
      <c r="B4" s="7"/>
      <c r="C4" s="7" t="str">
        <f>""&amp;CHAR(10)&amp;Basic_Fundamental_Information_Constructure(F4)&amp;CHAR(10)&amp;Basic_Fundamental_Information_Concatenate("")</f>
        <v xml:space="preserve">
市值30.524293亿, 利润4937.59万; PE57.33; 平均PE890.74; 平均PEG39.28, PB.992; ROIC1.585%; ROE-1.7867%; 股利率.8287%; 毛利13.53%; 净利-3.7867%; 上一年度营收增66.47%, 利润增163.59%; 当季营收增8.11%, 利润增15.23%; 过往5年营收增22.67%, 利润增-237.14%
Income profile:
</v>
      </c>
      <c r="D4" t="s">
        <v>434</v>
      </c>
      <c r="E4" t="s">
        <v>435</v>
      </c>
      <c r="F4">
        <v>3.62</v>
      </c>
      <c r="G4">
        <v>1.4</v>
      </c>
      <c r="H4" t="s">
        <v>3397</v>
      </c>
      <c r="I4">
        <v>3052429300</v>
      </c>
      <c r="J4">
        <v>57.33</v>
      </c>
      <c r="K4">
        <v>0.99199999999999999</v>
      </c>
      <c r="L4" t="s">
        <v>85</v>
      </c>
      <c r="M4" t="s">
        <v>2171</v>
      </c>
      <c r="N4" t="s">
        <v>3398</v>
      </c>
      <c r="O4" t="s">
        <v>1568</v>
      </c>
      <c r="P4">
        <v>8.18</v>
      </c>
      <c r="Q4" t="s">
        <v>2172</v>
      </c>
      <c r="R4">
        <v>29260174</v>
      </c>
      <c r="S4" s="5">
        <v>0.15229999999999999</v>
      </c>
      <c r="T4" t="s">
        <v>2173</v>
      </c>
      <c r="U4">
        <v>600041610</v>
      </c>
      <c r="V4">
        <v>843212510</v>
      </c>
      <c r="W4">
        <v>2.54</v>
      </c>
      <c r="X4">
        <v>0.14000000000000001</v>
      </c>
      <c r="Y4">
        <v>2.4700000000000002</v>
      </c>
      <c r="Z4" t="s">
        <v>2308</v>
      </c>
      <c r="AA4" t="s">
        <v>982</v>
      </c>
      <c r="AB4" t="s">
        <v>3399</v>
      </c>
      <c r="AC4" t="s">
        <v>3400</v>
      </c>
      <c r="AD4" t="s">
        <v>90</v>
      </c>
      <c r="AE4">
        <v>7033865</v>
      </c>
      <c r="AF4" t="s">
        <v>2174</v>
      </c>
      <c r="AG4" t="s">
        <v>3401</v>
      </c>
      <c r="AH4" t="s">
        <v>2175</v>
      </c>
      <c r="AI4" t="s">
        <v>940</v>
      </c>
      <c r="AJ4" t="s">
        <v>2176</v>
      </c>
      <c r="AK4" t="s">
        <v>1510</v>
      </c>
      <c r="AL4" t="s">
        <v>2177</v>
      </c>
      <c r="AM4" t="s">
        <v>90</v>
      </c>
      <c r="AN4" t="s">
        <v>183</v>
      </c>
      <c r="AO4" t="s">
        <v>933</v>
      </c>
      <c r="AP4" t="s">
        <v>258</v>
      </c>
      <c r="AQ4" t="s">
        <v>3402</v>
      </c>
      <c r="AR4" t="s">
        <v>90</v>
      </c>
      <c r="AS4" t="s">
        <v>3403</v>
      </c>
      <c r="AT4" t="s">
        <v>2054</v>
      </c>
      <c r="AU4" t="s">
        <v>3404</v>
      </c>
      <c r="AV4" t="s">
        <v>3405</v>
      </c>
      <c r="AW4" t="s">
        <v>3406</v>
      </c>
      <c r="AX4" t="s">
        <v>1755</v>
      </c>
      <c r="AY4" t="s">
        <v>1211</v>
      </c>
      <c r="AZ4" t="s">
        <v>654</v>
      </c>
      <c r="BA4" t="s">
        <v>436</v>
      </c>
      <c r="BB4" t="s">
        <v>589</v>
      </c>
      <c r="BC4" t="s">
        <v>2179</v>
      </c>
      <c r="BD4" t="s">
        <v>1212</v>
      </c>
      <c r="BE4" t="s">
        <v>655</v>
      </c>
      <c r="BF4" t="s">
        <v>437</v>
      </c>
      <c r="BG4" t="s">
        <v>239</v>
      </c>
      <c r="BH4" t="s">
        <v>2172</v>
      </c>
      <c r="BI4" t="s">
        <v>425</v>
      </c>
      <c r="BJ4" t="s">
        <v>1755</v>
      </c>
      <c r="BK4" t="s">
        <v>2173</v>
      </c>
      <c r="BL4" t="s">
        <v>2180</v>
      </c>
      <c r="BM4" t="s">
        <v>2179</v>
      </c>
      <c r="BN4">
        <v>2.33</v>
      </c>
      <c r="BO4">
        <v>0.84</v>
      </c>
      <c r="BP4" t="s">
        <v>90</v>
      </c>
      <c r="BQ4">
        <v>2.34</v>
      </c>
      <c r="BR4">
        <v>0.61</v>
      </c>
      <c r="BS4">
        <v>-8.31</v>
      </c>
      <c r="BT4" t="s">
        <v>1719</v>
      </c>
      <c r="BU4" t="s">
        <v>1449</v>
      </c>
      <c r="BV4">
        <v>16.829999999999998</v>
      </c>
      <c r="BW4">
        <v>12.29</v>
      </c>
      <c r="BX4">
        <v>11.47</v>
      </c>
      <c r="BY4">
        <v>1.1200000000000001</v>
      </c>
      <c r="BZ4">
        <v>0.69</v>
      </c>
      <c r="CA4">
        <v>-13.17</v>
      </c>
      <c r="CB4">
        <v>0</v>
      </c>
      <c r="CC4">
        <v>-11.71</v>
      </c>
      <c r="CD4" t="s">
        <v>3407</v>
      </c>
      <c r="CE4" t="s">
        <v>740</v>
      </c>
      <c r="CF4" s="8">
        <v>8.1081081081081086E-2</v>
      </c>
      <c r="CG4" s="9">
        <v>0.152320143034924</v>
      </c>
      <c r="CH4" s="8">
        <v>0.66470795869827271</v>
      </c>
      <c r="CI4" s="8">
        <v>0.3848731517791748</v>
      </c>
      <c r="CJ4" s="8">
        <v>0.20961196720600128</v>
      </c>
      <c r="CK4" s="8">
        <v>-5.7314377278089523E-2</v>
      </c>
      <c r="CL4" s="8">
        <v>-6.8158701062202454E-2</v>
      </c>
      <c r="CM4" s="9">
        <v>1.6359118223190308</v>
      </c>
      <c r="CN4" s="9">
        <v>1.0696356296539307</v>
      </c>
      <c r="CO4" s="9">
        <v>-13.604785919189453</v>
      </c>
      <c r="CP4" s="9">
        <v>-0.76051396131515503</v>
      </c>
      <c r="CQ4" s="9">
        <v>-0.19718831777572632</v>
      </c>
      <c r="CR4">
        <v>890.73910442534634</v>
      </c>
      <c r="CS4">
        <v>39.283910707291646</v>
      </c>
      <c r="CT4">
        <v>0.82872928176795579</v>
      </c>
      <c r="CU4" s="8">
        <v>0.22674399986863136</v>
      </c>
      <c r="CV4" s="9">
        <v>-2.3713881492614748</v>
      </c>
      <c r="CW4">
        <v>0.06</v>
      </c>
      <c r="CX4">
        <v>87.104781954828823</v>
      </c>
      <c r="CY4">
        <v>57143008.550107121</v>
      </c>
      <c r="CZ4">
        <v>0.22674399986863136</v>
      </c>
      <c r="DA4">
        <v>25.399892894540766</v>
      </c>
      <c r="DB4">
        <v>195962609.78997299</v>
      </c>
      <c r="DC4">
        <v>0.21540679987519978</v>
      </c>
      <c r="DD4">
        <v>10.659184801482111</v>
      </c>
      <c r="DE4">
        <v>466961535.30501801</v>
      </c>
      <c r="DF4">
        <v>0.19953471988439561</v>
      </c>
      <c r="DG4">
        <v>5.2922705540648547</v>
      </c>
      <c r="DH4">
        <v>940509229.29043508</v>
      </c>
      <c r="DI4">
        <v>0.1813951998949051</v>
      </c>
      <c r="DJ4">
        <v>1.7401514378101612</v>
      </c>
      <c r="DK4">
        <v>2860342606.8846564</v>
      </c>
      <c r="DL4">
        <v>0.15872079990804194</v>
      </c>
      <c r="DM4">
        <v>49375900</v>
      </c>
      <c r="DN4">
        <v>0.22674399986863136</v>
      </c>
      <c r="DO4">
        <v>4977429300</v>
      </c>
      <c r="DP4">
        <v>1178120200</v>
      </c>
      <c r="DQ4">
        <v>115</v>
      </c>
      <c r="DR4">
        <v>-0.14566291878755028</v>
      </c>
      <c r="DS4">
        <v>2.5237082922963987</v>
      </c>
      <c r="DT4" s="10">
        <v>0.17666666666666667</v>
      </c>
      <c r="DU4">
        <v>5.6666666666666719E-2</v>
      </c>
      <c r="DV4">
        <v>0.23333333333333339</v>
      </c>
      <c r="DW4">
        <v>-2.1171000000000002</v>
      </c>
      <c r="DX4">
        <v>0.32829877551020276</v>
      </c>
      <c r="DY4">
        <v>-2.0150237866122449</v>
      </c>
      <c r="DZ4">
        <v>1185</v>
      </c>
      <c r="EA4">
        <v>-2.0115397969575461</v>
      </c>
      <c r="EB4">
        <v>2</v>
      </c>
      <c r="EC4">
        <v>3.7277909930439716E-2</v>
      </c>
      <c r="ED4">
        <v>0.29055546151704986</v>
      </c>
      <c r="EE4" s="11">
        <v>-3.0306000000000002</v>
      </c>
      <c r="EF4">
        <v>-3.0114999999999998</v>
      </c>
      <c r="EG4">
        <v>20.128298775510203</v>
      </c>
      <c r="EH4" t="s">
        <v>2118</v>
      </c>
      <c r="EI4">
        <v>0</v>
      </c>
      <c r="EJ4">
        <v>1</v>
      </c>
      <c r="EK4" s="13">
        <v>45470</v>
      </c>
      <c r="EL4" s="14">
        <v>0</v>
      </c>
      <c r="EM4" s="14">
        <v>-4.41</v>
      </c>
      <c r="EN4" s="14">
        <v>2.02</v>
      </c>
      <c r="EO4" s="14">
        <v>3.39</v>
      </c>
      <c r="EP4" s="14">
        <v>-1.91</v>
      </c>
    </row>
    <row r="5" spans="1:146" ht="96">
      <c r="A5" s="7"/>
      <c r="B5" s="7"/>
      <c r="C5" s="7" t="str">
        <f>""&amp;CHAR(10)&amp;Basic_Fundamental_Information_Constructure(F5)&amp;CHAR(10)&amp;Basic_Fundamental_Information_Concatenate("")</f>
        <v xml:space="preserve">
市值38.258854亿, 利润-1.63亿; PE; 平均PE-27.58; 平均PEG-9.4, PB7.88; ROIC0%; ROE-13.8733%; 股利率0%; 毛利-1.87%; 净利-63.5033%; 上一年度营收增19.2%, 利润增-81.45%; 当季营收增10.16%, 利润增5.16%; 过往5年营收增-2.93%, 利润增-377.58%
Income profile:
</v>
      </c>
      <c r="D5" t="s">
        <v>184</v>
      </c>
      <c r="E5" t="s">
        <v>1154</v>
      </c>
      <c r="F5">
        <v>3.36</v>
      </c>
      <c r="G5">
        <v>1.51</v>
      </c>
      <c r="H5" t="s">
        <v>3408</v>
      </c>
      <c r="I5">
        <v>3825885400</v>
      </c>
      <c r="K5">
        <v>7.88</v>
      </c>
      <c r="L5" t="s">
        <v>85</v>
      </c>
      <c r="M5" t="s">
        <v>795</v>
      </c>
      <c r="N5" t="s">
        <v>2044</v>
      </c>
      <c r="O5" t="s">
        <v>2182</v>
      </c>
      <c r="P5">
        <v>10.16</v>
      </c>
      <c r="Q5" t="s">
        <v>457</v>
      </c>
      <c r="R5">
        <v>-16918126</v>
      </c>
      <c r="S5" s="5">
        <v>5.16E-2</v>
      </c>
      <c r="T5" t="s">
        <v>2183</v>
      </c>
      <c r="U5">
        <v>1138210170</v>
      </c>
      <c r="V5">
        <v>1138656370</v>
      </c>
      <c r="W5">
        <v>2.0099999999999998</v>
      </c>
      <c r="X5">
        <v>0.05</v>
      </c>
      <c r="Y5">
        <v>-27.56</v>
      </c>
      <c r="Z5" t="s">
        <v>3409</v>
      </c>
      <c r="AA5" t="s">
        <v>3410</v>
      </c>
      <c r="AB5" t="s">
        <v>3411</v>
      </c>
      <c r="AC5" t="s">
        <v>3412</v>
      </c>
      <c r="AD5" t="s">
        <v>90</v>
      </c>
      <c r="AE5">
        <v>1655482</v>
      </c>
      <c r="AF5" t="s">
        <v>182</v>
      </c>
      <c r="AG5" t="s">
        <v>3413</v>
      </c>
      <c r="AH5" t="s">
        <v>2184</v>
      </c>
      <c r="AI5" t="s">
        <v>3414</v>
      </c>
      <c r="AJ5" t="s">
        <v>2185</v>
      </c>
      <c r="AK5" t="s">
        <v>3415</v>
      </c>
      <c r="AL5" t="s">
        <v>2186</v>
      </c>
      <c r="AM5" t="s">
        <v>90</v>
      </c>
      <c r="AN5" t="s">
        <v>3416</v>
      </c>
      <c r="AO5" t="s">
        <v>2084</v>
      </c>
      <c r="AP5" t="s">
        <v>3417</v>
      </c>
      <c r="AQ5" t="s">
        <v>3418</v>
      </c>
      <c r="AR5" t="s">
        <v>90</v>
      </c>
      <c r="AS5" t="s">
        <v>179</v>
      </c>
      <c r="AT5" t="s">
        <v>334</v>
      </c>
      <c r="AU5" t="s">
        <v>3419</v>
      </c>
      <c r="AV5" t="s">
        <v>3420</v>
      </c>
      <c r="AW5" t="s">
        <v>3421</v>
      </c>
      <c r="AX5" t="s">
        <v>463</v>
      </c>
      <c r="AY5" t="s">
        <v>288</v>
      </c>
      <c r="AZ5" t="s">
        <v>659</v>
      </c>
      <c r="BA5" t="s">
        <v>186</v>
      </c>
      <c r="BB5" t="s">
        <v>124</v>
      </c>
      <c r="BC5" t="s">
        <v>1756</v>
      </c>
      <c r="BD5" t="s">
        <v>1213</v>
      </c>
      <c r="BE5" t="s">
        <v>660</v>
      </c>
      <c r="BF5" t="s">
        <v>187</v>
      </c>
      <c r="BG5" t="s">
        <v>662</v>
      </c>
      <c r="BH5" t="s">
        <v>457</v>
      </c>
      <c r="BI5" t="s">
        <v>2187</v>
      </c>
      <c r="BJ5" t="s">
        <v>463</v>
      </c>
      <c r="BK5" t="s">
        <v>2183</v>
      </c>
      <c r="BL5" t="s">
        <v>2188</v>
      </c>
      <c r="BM5" t="s">
        <v>1756</v>
      </c>
      <c r="BN5" t="s">
        <v>90</v>
      </c>
      <c r="BO5" t="s">
        <v>90</v>
      </c>
      <c r="BP5" t="s">
        <v>90</v>
      </c>
      <c r="BQ5">
        <v>-7.87</v>
      </c>
      <c r="BR5">
        <v>-12.67</v>
      </c>
      <c r="BS5">
        <v>-21.08</v>
      </c>
      <c r="BT5" t="s">
        <v>1692</v>
      </c>
      <c r="BU5" t="s">
        <v>1337</v>
      </c>
      <c r="BV5">
        <v>0.09</v>
      </c>
      <c r="BW5">
        <v>2.44</v>
      </c>
      <c r="BX5">
        <v>-8.14</v>
      </c>
      <c r="BY5">
        <v>-53.99</v>
      </c>
      <c r="BZ5">
        <v>-35.4</v>
      </c>
      <c r="CA5">
        <v>-101.12</v>
      </c>
      <c r="CB5">
        <v>-0.3</v>
      </c>
      <c r="CC5">
        <v>-21.86</v>
      </c>
      <c r="CD5" t="s">
        <v>3422</v>
      </c>
      <c r="CE5" t="s">
        <v>220</v>
      </c>
      <c r="CF5" s="8">
        <v>0.10159134284839379</v>
      </c>
      <c r="CG5" s="9">
        <v>5.161075857120434E-2</v>
      </c>
      <c r="CH5" s="8">
        <v>0.19200000166893005</v>
      </c>
      <c r="CI5" s="8">
        <v>0.4285714328289032</v>
      </c>
      <c r="CJ5" s="8">
        <v>-0.14634145796298981</v>
      </c>
      <c r="CK5" s="8">
        <v>-0.34083601832389832</v>
      </c>
      <c r="CL5" s="8">
        <v>-0.28009259700775146</v>
      </c>
      <c r="CM5" s="9">
        <v>-0.81452435255050659</v>
      </c>
      <c r="CN5" s="9">
        <v>0.49248188734054565</v>
      </c>
      <c r="CO5" s="9">
        <v>-17.383428573608398</v>
      </c>
      <c r="CP5" s="9">
        <v>1.0342971086502075</v>
      </c>
      <c r="CQ5" s="9">
        <v>-2.2079222202301025</v>
      </c>
      <c r="CR5">
        <v>-27.583176353891361</v>
      </c>
      <c r="CS5">
        <v>-9.4013061675701977</v>
      </c>
      <c r="CT5">
        <v>0</v>
      </c>
      <c r="CU5" s="8">
        <v>-2.9339727759361268E-2</v>
      </c>
      <c r="CV5" s="9">
        <v>-3.7758192300796507</v>
      </c>
      <c r="CW5">
        <v>0.06</v>
      </c>
      <c r="CX5" t="e">
        <v>#VALUE!</v>
      </c>
      <c r="CY5" t="s">
        <v>1392</v>
      </c>
      <c r="CZ5">
        <v>-2.9339727759361268E-2</v>
      </c>
      <c r="DA5" t="e">
        <v>#VALUE!</v>
      </c>
      <c r="DB5" t="s">
        <v>1391</v>
      </c>
      <c r="DC5">
        <v>-2.7872741371393204E-2</v>
      </c>
      <c r="DD5" t="e">
        <v>#VALUE!</v>
      </c>
      <c r="DE5" t="s">
        <v>1391</v>
      </c>
      <c r="DF5">
        <v>-2.5818960428237916E-2</v>
      </c>
      <c r="DG5" t="e">
        <v>#VALUE!</v>
      </c>
      <c r="DH5" t="s">
        <v>1391</v>
      </c>
      <c r="DI5">
        <v>-2.3471782207489016E-2</v>
      </c>
      <c r="DJ5" t="e">
        <v>#VALUE!</v>
      </c>
      <c r="DK5" t="s">
        <v>1391</v>
      </c>
      <c r="DL5">
        <v>-2.0537809431552888E-2</v>
      </c>
      <c r="DM5">
        <v>-163000000</v>
      </c>
      <c r="DN5">
        <v>-2.9339727759361268E-2</v>
      </c>
      <c r="DO5">
        <v>3834885400</v>
      </c>
      <c r="DP5">
        <v>176749530</v>
      </c>
      <c r="DQ5">
        <v>162</v>
      </c>
      <c r="DR5">
        <v>0.13093107060775505</v>
      </c>
      <c r="DS5">
        <v>3.8274299886508549</v>
      </c>
      <c r="DT5" s="10">
        <v>-0.34</v>
      </c>
      <c r="DU5">
        <v>-2.3216666666666668</v>
      </c>
      <c r="DV5">
        <v>-2.6616666666666666</v>
      </c>
      <c r="DW5">
        <v>-3.0662738095238096</v>
      </c>
      <c r="DX5">
        <v>0.25529184397162996</v>
      </c>
      <c r="DY5">
        <v>-3.0063153535165483</v>
      </c>
      <c r="DZ5">
        <v>4775</v>
      </c>
      <c r="EA5">
        <v>-3.0004140202403216</v>
      </c>
      <c r="EB5">
        <v>3</v>
      </c>
      <c r="EC5">
        <v>2.3600008490709097E-2</v>
      </c>
      <c r="ED5">
        <v>0.24766031915317877</v>
      </c>
      <c r="EE5" s="11">
        <v>-2.0985</v>
      </c>
      <c r="EF5">
        <v>-2.0809000000000002</v>
      </c>
      <c r="EG5">
        <v>16.09529184397163</v>
      </c>
      <c r="EH5" t="s">
        <v>1793</v>
      </c>
      <c r="EI5">
        <v>0</v>
      </c>
      <c r="EJ5">
        <v>0</v>
      </c>
      <c r="EK5" s="13">
        <v>45470</v>
      </c>
      <c r="EL5" s="14">
        <v>-1.46</v>
      </c>
      <c r="EM5" s="14">
        <v>-3.25</v>
      </c>
      <c r="EN5" s="14">
        <v>0.61</v>
      </c>
      <c r="EO5" s="14">
        <v>3.34</v>
      </c>
      <c r="EP5" s="14">
        <v>-1.76</v>
      </c>
    </row>
    <row r="6" spans="1:146" ht="108">
      <c r="A6" s="7"/>
      <c r="B6" s="7"/>
      <c r="C6" s="7" t="str">
        <f>""&amp;CHAR(10)&amp;Basic_Fundamental_Information_Constructure(F6)&amp;CHAR(10)&amp;Basic_Fundamental_Information_Concatenate("")</f>
        <v xml:space="preserve">
市值56.824901亿, 利润2.22亿; PE24.82; 平均PE39.74; 平均PEG4.33, PB2.86; ROIC7.7033%; ROE8.1667%; 股利率1.2652%; 毛利19.9867%; 净利10.48%; 上一年度营收增20.67%, 利润增29.07%; 当季营收增-36.99%, 利润增81.88%; 过往5年营收增9.18%, 利润增19.19%
Income profile:
</v>
      </c>
      <c r="D6" t="s">
        <v>193</v>
      </c>
      <c r="E6" t="s">
        <v>21</v>
      </c>
      <c r="F6">
        <v>14.78</v>
      </c>
      <c r="G6">
        <v>0.96</v>
      </c>
      <c r="H6" t="s">
        <v>3423</v>
      </c>
      <c r="I6">
        <v>5682490100</v>
      </c>
      <c r="J6">
        <v>24.82</v>
      </c>
      <c r="K6">
        <v>2.86</v>
      </c>
      <c r="L6" t="s">
        <v>85</v>
      </c>
      <c r="M6" t="s">
        <v>2088</v>
      </c>
      <c r="N6" t="s">
        <v>3424</v>
      </c>
      <c r="O6" t="s">
        <v>514</v>
      </c>
      <c r="P6">
        <v>-36.74</v>
      </c>
      <c r="Q6" t="s">
        <v>2105</v>
      </c>
      <c r="R6">
        <v>-1534308</v>
      </c>
      <c r="S6" s="5">
        <v>0.81879999999999997</v>
      </c>
      <c r="T6" t="s">
        <v>451</v>
      </c>
      <c r="U6">
        <v>383410830</v>
      </c>
      <c r="V6">
        <v>384471590</v>
      </c>
      <c r="W6">
        <v>1.65</v>
      </c>
      <c r="X6">
        <v>0.05</v>
      </c>
      <c r="Y6">
        <v>-0.99</v>
      </c>
      <c r="Z6" t="s">
        <v>265</v>
      </c>
      <c r="AA6" t="s">
        <v>253</v>
      </c>
      <c r="AB6" t="s">
        <v>3425</v>
      </c>
      <c r="AC6" t="s">
        <v>3426</v>
      </c>
      <c r="AD6" t="s">
        <v>90</v>
      </c>
      <c r="AE6">
        <v>459533</v>
      </c>
      <c r="AF6" t="s">
        <v>2190</v>
      </c>
      <c r="AG6" t="s">
        <v>3427</v>
      </c>
      <c r="AH6" t="s">
        <v>2191</v>
      </c>
      <c r="AI6" t="s">
        <v>3428</v>
      </c>
      <c r="AJ6" t="s">
        <v>2192</v>
      </c>
      <c r="AK6" t="s">
        <v>3429</v>
      </c>
      <c r="AL6" t="s">
        <v>2193</v>
      </c>
      <c r="AM6" t="s">
        <v>90</v>
      </c>
      <c r="AN6" t="s">
        <v>3430</v>
      </c>
      <c r="AO6" t="s">
        <v>480</v>
      </c>
      <c r="AP6" t="s">
        <v>343</v>
      </c>
      <c r="AQ6" t="s">
        <v>510</v>
      </c>
      <c r="AR6" t="s">
        <v>90</v>
      </c>
      <c r="AS6" t="s">
        <v>1554</v>
      </c>
      <c r="AT6" t="s">
        <v>90</v>
      </c>
      <c r="AU6" t="s">
        <v>1213</v>
      </c>
      <c r="AV6" t="s">
        <v>3431</v>
      </c>
      <c r="AW6" t="s">
        <v>3432</v>
      </c>
      <c r="AX6" t="s">
        <v>1426</v>
      </c>
      <c r="AY6" t="s">
        <v>1214</v>
      </c>
      <c r="AZ6" t="s">
        <v>663</v>
      </c>
      <c r="BA6" t="s">
        <v>194</v>
      </c>
      <c r="BB6" t="s">
        <v>664</v>
      </c>
      <c r="BC6" t="s">
        <v>236</v>
      </c>
      <c r="BD6" t="s">
        <v>183</v>
      </c>
      <c r="BE6" t="s">
        <v>521</v>
      </c>
      <c r="BF6" t="s">
        <v>195</v>
      </c>
      <c r="BG6" t="s">
        <v>418</v>
      </c>
      <c r="BH6" t="s">
        <v>2105</v>
      </c>
      <c r="BI6" t="s">
        <v>444</v>
      </c>
      <c r="BJ6" t="s">
        <v>1426</v>
      </c>
      <c r="BK6" t="s">
        <v>451</v>
      </c>
      <c r="BL6" t="s">
        <v>2194</v>
      </c>
      <c r="BM6" t="s">
        <v>236</v>
      </c>
      <c r="BN6">
        <v>6.52</v>
      </c>
      <c r="BO6">
        <v>9.43</v>
      </c>
      <c r="BP6">
        <v>7.16</v>
      </c>
      <c r="BQ6">
        <v>7.04</v>
      </c>
      <c r="BR6">
        <v>9.91</v>
      </c>
      <c r="BS6">
        <v>7.55</v>
      </c>
      <c r="BT6" t="s">
        <v>2195</v>
      </c>
      <c r="BU6" t="s">
        <v>1337</v>
      </c>
      <c r="BV6">
        <v>21.2</v>
      </c>
      <c r="BW6">
        <v>20.350000000000001</v>
      </c>
      <c r="BX6">
        <v>18.41</v>
      </c>
      <c r="BY6">
        <v>12.27</v>
      </c>
      <c r="BZ6">
        <v>11.46</v>
      </c>
      <c r="CA6">
        <v>7.71</v>
      </c>
      <c r="CB6">
        <v>-3.27</v>
      </c>
      <c r="CC6">
        <v>-11.87</v>
      </c>
      <c r="CD6" t="s">
        <v>3433</v>
      </c>
      <c r="CE6" t="s">
        <v>457</v>
      </c>
      <c r="CF6" s="8">
        <v>-0.36991869918699188</v>
      </c>
      <c r="CG6" s="9">
        <v>0.81878965395063186</v>
      </c>
      <c r="CH6" s="8">
        <v>0.20666666328907013</v>
      </c>
      <c r="CI6" s="8">
        <v>-3.7227213382720947E-2</v>
      </c>
      <c r="CJ6" s="8">
        <v>0.33504706621170044</v>
      </c>
      <c r="CK6" s="8">
        <v>-7.8198999166488647E-2</v>
      </c>
      <c r="CL6" s="8">
        <v>3.2626427710056305E-2</v>
      </c>
      <c r="CM6" s="9">
        <v>0.29069766402244568</v>
      </c>
      <c r="CN6" s="9">
        <v>0.43333333730697632</v>
      </c>
      <c r="CO6" s="9">
        <v>0.1428571492433548</v>
      </c>
      <c r="CP6" s="9">
        <v>-0.22794117033481598</v>
      </c>
      <c r="CQ6" s="9">
        <v>0.32038834691047668</v>
      </c>
      <c r="CR6">
        <v>39.737693006993005</v>
      </c>
      <c r="CS6">
        <v>4.3295364489625401</v>
      </c>
      <c r="CT6">
        <v>1.2652232746955345</v>
      </c>
      <c r="CU6" s="8">
        <v>9.1782788932323459E-2</v>
      </c>
      <c r="CV6" s="9">
        <v>0.19186706542968751</v>
      </c>
      <c r="CW6">
        <v>0.06</v>
      </c>
      <c r="CX6">
        <v>21.764053836783194</v>
      </c>
      <c r="CY6">
        <v>228656395.41790175</v>
      </c>
      <c r="CZ6">
        <v>9.1782788932323459E-2</v>
      </c>
      <c r="DA6">
        <v>7.1015630691694005</v>
      </c>
      <c r="DB6">
        <v>700759825.90436256</v>
      </c>
      <c r="DC6">
        <v>8.7193649485707278E-2</v>
      </c>
      <c r="DD6">
        <v>3.4888809016474611</v>
      </c>
      <c r="DE6">
        <v>1426385778.2161853</v>
      </c>
      <c r="DF6">
        <v>8.0768854260444639E-2</v>
      </c>
      <c r="DG6">
        <v>2.0903621460903574</v>
      </c>
      <c r="DH6">
        <v>2380683227.2138205</v>
      </c>
      <c r="DI6">
        <v>7.3426231145858764E-2</v>
      </c>
      <c r="DJ6">
        <v>1.0744510360080959</v>
      </c>
      <c r="DK6">
        <v>4631658338.2795515</v>
      </c>
      <c r="DL6">
        <v>6.4247952252626417E-2</v>
      </c>
      <c r="DM6">
        <v>222000000.00000003</v>
      </c>
      <c r="DN6">
        <v>9.1782788932323459E-2</v>
      </c>
      <c r="DO6">
        <v>4976490100</v>
      </c>
      <c r="DP6">
        <v>887133200</v>
      </c>
      <c r="DQ6">
        <v>275</v>
      </c>
      <c r="DR6">
        <v>-0.46170148811931533</v>
      </c>
      <c r="DS6">
        <v>0.6269225885209444</v>
      </c>
      <c r="DT6" s="10">
        <v>-0.14000000000000001</v>
      </c>
      <c r="DU6">
        <v>6.1666666666666647E-2</v>
      </c>
      <c r="DV6">
        <v>-7.8333333333333366E-2</v>
      </c>
      <c r="DW6">
        <v>-8.275484414490311</v>
      </c>
      <c r="DX6">
        <v>0.30185838926174441</v>
      </c>
      <c r="DY6">
        <v>-8.0308152428716006</v>
      </c>
      <c r="DZ6">
        <v>1898</v>
      </c>
      <c r="EA6">
        <v>-8.0193695812335779</v>
      </c>
      <c r="EB6">
        <v>8</v>
      </c>
      <c r="EC6">
        <v>8.6700294292225852E-2</v>
      </c>
      <c r="ED6">
        <v>0.77508977971558313</v>
      </c>
      <c r="EE6" s="11">
        <v>4.0621999999999998</v>
      </c>
      <c r="EF6">
        <v>4.0334000000000003</v>
      </c>
      <c r="EG6">
        <v>19.111858389261744</v>
      </c>
      <c r="EH6" t="s">
        <v>2131</v>
      </c>
      <c r="EI6">
        <v>0</v>
      </c>
      <c r="EJ6">
        <v>0</v>
      </c>
      <c r="EK6" s="13">
        <v>45470</v>
      </c>
      <c r="EL6" s="14">
        <v>0.39</v>
      </c>
      <c r="EM6" s="14">
        <v>-2.54</v>
      </c>
      <c r="EN6" s="14">
        <v>0.87</v>
      </c>
      <c r="EO6" s="14">
        <v>1.19</v>
      </c>
      <c r="EP6" s="14">
        <v>-2.88</v>
      </c>
    </row>
    <row r="7" spans="1:146" ht="108">
      <c r="A7" s="7"/>
      <c r="B7" s="7"/>
      <c r="C7" s="7" t="str">
        <f>""&amp;CHAR(10)&amp;Basic_Fundamental_Information_Constructure(F7)&amp;CHAR(10)&amp;Basic_Fundamental_Information_Concatenate("")</f>
        <v xml:space="preserve">
市值70.791078亿, 利润6.55亿; PE10.57; 平均PE18.14; 平均PEG1.12, PB1.27; ROIC7.2333%; ROE8.8667%; 股利率1.0787%; 毛利23.4033%; 净利7.21%; 上一年度营收增22.84%, 利润增53.76%; 当季营收增4.47%, 利润增13.41%; 过往5年营收增16.22%, 利润增28.12%
Income profile:
</v>
      </c>
      <c r="D7" t="s">
        <v>439</v>
      </c>
      <c r="E7" t="s">
        <v>56</v>
      </c>
      <c r="F7">
        <v>9.27</v>
      </c>
      <c r="G7">
        <v>0.87</v>
      </c>
      <c r="H7" t="s">
        <v>3434</v>
      </c>
      <c r="I7">
        <v>7079107800</v>
      </c>
      <c r="J7">
        <v>10.57</v>
      </c>
      <c r="K7">
        <v>1.27</v>
      </c>
      <c r="L7" t="s">
        <v>85</v>
      </c>
      <c r="M7" t="s">
        <v>2197</v>
      </c>
      <c r="N7" t="s">
        <v>3435</v>
      </c>
      <c r="O7" t="s">
        <v>954</v>
      </c>
      <c r="P7">
        <v>4.46</v>
      </c>
      <c r="Q7" t="s">
        <v>2198</v>
      </c>
      <c r="R7">
        <v>122486303</v>
      </c>
      <c r="S7" s="5">
        <v>0.13780000000000001</v>
      </c>
      <c r="T7" t="s">
        <v>1413</v>
      </c>
      <c r="U7">
        <v>745822630</v>
      </c>
      <c r="V7">
        <v>763657800</v>
      </c>
      <c r="W7">
        <v>1.84</v>
      </c>
      <c r="X7">
        <v>0.15</v>
      </c>
      <c r="Y7">
        <v>7.83</v>
      </c>
      <c r="Z7" t="s">
        <v>456</v>
      </c>
      <c r="AA7" t="s">
        <v>98</v>
      </c>
      <c r="AB7" t="s">
        <v>339</v>
      </c>
      <c r="AC7" t="s">
        <v>3436</v>
      </c>
      <c r="AD7" t="s">
        <v>90</v>
      </c>
      <c r="AE7">
        <v>-505293</v>
      </c>
      <c r="AF7" t="s">
        <v>2199</v>
      </c>
      <c r="AG7" t="s">
        <v>3437</v>
      </c>
      <c r="AH7" t="s">
        <v>2200</v>
      </c>
      <c r="AI7" t="s">
        <v>3438</v>
      </c>
      <c r="AJ7" t="s">
        <v>2201</v>
      </c>
      <c r="AK7" t="s">
        <v>158</v>
      </c>
      <c r="AL7" t="s">
        <v>2202</v>
      </c>
      <c r="AM7" t="s">
        <v>90</v>
      </c>
      <c r="AN7" t="s">
        <v>422</v>
      </c>
      <c r="AO7" t="s">
        <v>179</v>
      </c>
      <c r="AP7" t="s">
        <v>1093</v>
      </c>
      <c r="AQ7" t="s">
        <v>3439</v>
      </c>
      <c r="AR7" t="s">
        <v>90</v>
      </c>
      <c r="AS7" t="s">
        <v>3440</v>
      </c>
      <c r="AT7" t="s">
        <v>890</v>
      </c>
      <c r="AU7" t="s">
        <v>3441</v>
      </c>
      <c r="AV7" t="s">
        <v>1850</v>
      </c>
      <c r="AW7" t="s">
        <v>3442</v>
      </c>
      <c r="AX7" t="s">
        <v>1758</v>
      </c>
      <c r="AY7" t="s">
        <v>1215</v>
      </c>
      <c r="AZ7" t="s">
        <v>428</v>
      </c>
      <c r="BA7" t="s">
        <v>440</v>
      </c>
      <c r="BB7" t="s">
        <v>668</v>
      </c>
      <c r="BC7" t="s">
        <v>1759</v>
      </c>
      <c r="BD7" t="s">
        <v>474</v>
      </c>
      <c r="BE7" t="s">
        <v>345</v>
      </c>
      <c r="BF7" t="s">
        <v>362</v>
      </c>
      <c r="BG7" t="s">
        <v>220</v>
      </c>
      <c r="BH7" t="s">
        <v>2198</v>
      </c>
      <c r="BI7" t="s">
        <v>2204</v>
      </c>
      <c r="BJ7" t="s">
        <v>1758</v>
      </c>
      <c r="BK7" t="s">
        <v>1413</v>
      </c>
      <c r="BL7" t="s">
        <v>95</v>
      </c>
      <c r="BM7" t="s">
        <v>1759</v>
      </c>
      <c r="BN7">
        <v>8.7200000000000006</v>
      </c>
      <c r="BO7">
        <v>7.22</v>
      </c>
      <c r="BP7">
        <v>5.76</v>
      </c>
      <c r="BQ7">
        <v>10.9</v>
      </c>
      <c r="BR7">
        <v>9.15</v>
      </c>
      <c r="BS7">
        <v>6.55</v>
      </c>
      <c r="BT7" t="s">
        <v>1697</v>
      </c>
      <c r="BU7" t="s">
        <v>1449</v>
      </c>
      <c r="BV7">
        <v>25.56</v>
      </c>
      <c r="BW7">
        <v>22.69</v>
      </c>
      <c r="BX7">
        <v>21.96</v>
      </c>
      <c r="BY7">
        <v>8.8699999999999992</v>
      </c>
      <c r="BZ7">
        <v>6.93</v>
      </c>
      <c r="CA7">
        <v>5.83</v>
      </c>
      <c r="CB7">
        <v>-3.94</v>
      </c>
      <c r="CC7">
        <v>-15.57</v>
      </c>
      <c r="CD7" t="s">
        <v>3443</v>
      </c>
      <c r="CE7" t="s">
        <v>247</v>
      </c>
      <c r="CF7" s="8">
        <v>4.4728434504792483E-2</v>
      </c>
      <c r="CG7" s="9">
        <v>0.13413243518518519</v>
      </c>
      <c r="CH7" s="8">
        <v>0.22844965755939484</v>
      </c>
      <c r="CI7" s="8">
        <v>0.1335686594247818</v>
      </c>
      <c r="CJ7" s="8">
        <v>0.33110782504081726</v>
      </c>
      <c r="CK7" s="8">
        <v>5.8361701667308807E-2</v>
      </c>
      <c r="CL7" s="8">
        <v>5.9622794389724731E-2</v>
      </c>
      <c r="CM7" s="9">
        <v>0.53755867481231689</v>
      </c>
      <c r="CN7" s="9">
        <v>0.41528239846229553</v>
      </c>
      <c r="CO7" s="9">
        <v>0.34977579116821289</v>
      </c>
      <c r="CP7" s="9">
        <v>-0.50989013910293579</v>
      </c>
      <c r="CQ7" s="9">
        <v>0.61347520351409912</v>
      </c>
      <c r="CR7">
        <v>18.136057557643042</v>
      </c>
      <c r="CS7">
        <v>1.1179768028026373</v>
      </c>
      <c r="CT7">
        <v>1.0787486515641855</v>
      </c>
      <c r="CU7" s="8">
        <v>0.16222212761640548</v>
      </c>
      <c r="CV7" s="9">
        <v>0.28124038577079774</v>
      </c>
      <c r="CW7">
        <v>0.06</v>
      </c>
      <c r="CX7">
        <v>9.4909978697680355</v>
      </c>
      <c r="CY7">
        <v>718165559.98938274</v>
      </c>
      <c r="CZ7">
        <v>0.16222212761640548</v>
      </c>
      <c r="DA7">
        <v>2.9190641645119664</v>
      </c>
      <c r="DB7">
        <v>2335031851.2575669</v>
      </c>
      <c r="DC7">
        <v>0.1541110212355852</v>
      </c>
      <c r="DD7">
        <v>1.3222238454903266</v>
      </c>
      <c r="DE7">
        <v>5155033183.8648319</v>
      </c>
      <c r="DF7">
        <v>0.14275547230243682</v>
      </c>
      <c r="DG7">
        <v>0.72070840210130671</v>
      </c>
      <c r="DH7">
        <v>9457511221.0803547</v>
      </c>
      <c r="DI7">
        <v>0.12977770209312439</v>
      </c>
      <c r="DJ7">
        <v>0.29792137612872083</v>
      </c>
      <c r="DK7">
        <v>22878881296.033661</v>
      </c>
      <c r="DL7">
        <v>0.11355548933148382</v>
      </c>
      <c r="DM7">
        <v>655000000</v>
      </c>
      <c r="DN7">
        <v>0.16222212761640548</v>
      </c>
      <c r="DO7">
        <v>6816107800</v>
      </c>
      <c r="DP7">
        <v>2702490900</v>
      </c>
      <c r="DQ7">
        <v>300</v>
      </c>
      <c r="DR7">
        <v>-0.11749369311161299</v>
      </c>
      <c r="DS7">
        <v>-0.14710795058561255</v>
      </c>
      <c r="DT7" s="10">
        <v>-0.14000000000000001</v>
      </c>
      <c r="DU7">
        <v>0.53333333333333333</v>
      </c>
      <c r="DV7">
        <v>0.39333333333333331</v>
      </c>
      <c r="DW7">
        <v>-8.253050738599871</v>
      </c>
      <c r="DX7">
        <v>0.44547916666666754</v>
      </c>
      <c r="DY7">
        <v>-8.0418746253478908</v>
      </c>
      <c r="DZ7">
        <v>882</v>
      </c>
      <c r="EA7">
        <v>-8.0346469502878435</v>
      </c>
      <c r="EB7">
        <v>8</v>
      </c>
      <c r="EC7">
        <v>3.6404394743299942E-2</v>
      </c>
      <c r="ED7">
        <v>0.21999382445907054</v>
      </c>
      <c r="EE7" s="11">
        <v>-2.11991</v>
      </c>
      <c r="EF7">
        <v>-2.1463100000000002</v>
      </c>
      <c r="EG7">
        <v>28.165479166666668</v>
      </c>
      <c r="EH7" t="s">
        <v>1735</v>
      </c>
      <c r="EI7">
        <v>0</v>
      </c>
      <c r="EJ7">
        <v>1</v>
      </c>
      <c r="EK7" s="13">
        <v>45470</v>
      </c>
      <c r="EL7" s="14">
        <v>0.4</v>
      </c>
      <c r="EM7" s="14">
        <v>-3.97</v>
      </c>
      <c r="EN7" s="14">
        <v>0.41</v>
      </c>
      <c r="EO7" s="14">
        <v>2.29</v>
      </c>
      <c r="EP7" s="14">
        <v>-2.64</v>
      </c>
    </row>
    <row r="8" spans="1:146" ht="108">
      <c r="C8" s="7" t="str">
        <f>""&amp;CHAR(10)&amp;Basic_Fundamental_Information_Constructure(F8)&amp;CHAR(10)&amp;Basic_Fundamental_Information_Concatenate("")</f>
        <v xml:space="preserve">
市值21.994602亿, 利润-6699.69万; PE; 平均PE-14.51; 平均PEG-11.39, PB1.05; ROIC1.75%; ROE.5433%; 股利率0%; 毛利13.1267%; 净利-.7167%; 上一年度营收增7%, 利润增-159.67%; 当季营收增-25%, 利润增-338.39%; 过往5年营收增1.27%, 利润增-519.34%
Income profile:
</v>
      </c>
      <c r="D8" t="s">
        <v>2205</v>
      </c>
      <c r="E8" t="s">
        <v>2206</v>
      </c>
      <c r="F8">
        <v>1.52</v>
      </c>
      <c r="G8">
        <v>2.0099999999999998</v>
      </c>
      <c r="H8" t="s">
        <v>3444</v>
      </c>
      <c r="I8">
        <v>2199460200</v>
      </c>
      <c r="K8">
        <v>1.05</v>
      </c>
      <c r="L8" t="s">
        <v>85</v>
      </c>
      <c r="M8" t="s">
        <v>1607</v>
      </c>
      <c r="N8" t="s">
        <v>3445</v>
      </c>
      <c r="O8" t="s">
        <v>275</v>
      </c>
      <c r="P8" s="5">
        <v>-25.13</v>
      </c>
      <c r="Q8" t="s">
        <v>2060</v>
      </c>
      <c r="R8">
        <v>-11589420</v>
      </c>
      <c r="S8">
        <v>-3.3839999999999999</v>
      </c>
      <c r="T8" t="s">
        <v>2207</v>
      </c>
      <c r="U8">
        <v>1436891600</v>
      </c>
      <c r="V8">
        <v>1447013300</v>
      </c>
      <c r="W8">
        <v>1.42</v>
      </c>
      <c r="X8">
        <v>0.06</v>
      </c>
      <c r="Y8">
        <v>-6.76</v>
      </c>
      <c r="Z8" t="s">
        <v>355</v>
      </c>
      <c r="AA8" t="s">
        <v>859</v>
      </c>
      <c r="AB8" t="s">
        <v>3446</v>
      </c>
      <c r="AC8" t="s">
        <v>3447</v>
      </c>
      <c r="AD8" t="s">
        <v>90</v>
      </c>
      <c r="AE8">
        <v>-251047</v>
      </c>
      <c r="AF8" t="s">
        <v>2209</v>
      </c>
      <c r="AG8" t="s">
        <v>3448</v>
      </c>
      <c r="AH8" t="s">
        <v>2210</v>
      </c>
      <c r="AI8" t="s">
        <v>848</v>
      </c>
      <c r="AJ8" t="s">
        <v>2211</v>
      </c>
      <c r="AK8" t="s">
        <v>3449</v>
      </c>
      <c r="AL8" t="s">
        <v>2212</v>
      </c>
      <c r="AM8" t="s">
        <v>90</v>
      </c>
      <c r="AN8" t="s">
        <v>2055</v>
      </c>
      <c r="AO8" t="s">
        <v>3450</v>
      </c>
      <c r="AP8" t="s">
        <v>653</v>
      </c>
      <c r="AQ8" t="s">
        <v>404</v>
      </c>
      <c r="AR8" t="s">
        <v>90</v>
      </c>
      <c r="AS8" t="s">
        <v>1556</v>
      </c>
      <c r="AT8" t="s">
        <v>2063</v>
      </c>
      <c r="AU8" t="s">
        <v>3451</v>
      </c>
      <c r="AV8" t="s">
        <v>3452</v>
      </c>
      <c r="AW8" t="s">
        <v>3453</v>
      </c>
      <c r="AX8" t="s">
        <v>1864</v>
      </c>
      <c r="AY8" t="s">
        <v>2215</v>
      </c>
      <c r="AZ8" t="s">
        <v>2102</v>
      </c>
      <c r="BA8" t="s">
        <v>419</v>
      </c>
      <c r="BB8" t="s">
        <v>2057</v>
      </c>
      <c r="BC8" t="s">
        <v>2216</v>
      </c>
      <c r="BD8" t="s">
        <v>2217</v>
      </c>
      <c r="BE8" t="s">
        <v>2218</v>
      </c>
      <c r="BF8" t="s">
        <v>2219</v>
      </c>
      <c r="BG8" t="s">
        <v>2220</v>
      </c>
      <c r="BH8" t="s">
        <v>2060</v>
      </c>
      <c r="BI8" t="s">
        <v>533</v>
      </c>
      <c r="BJ8" t="s">
        <v>1864</v>
      </c>
      <c r="BK8" t="s">
        <v>2207</v>
      </c>
      <c r="BL8" t="s">
        <v>2221</v>
      </c>
      <c r="BM8" t="s">
        <v>2216</v>
      </c>
      <c r="BN8">
        <v>0.89</v>
      </c>
      <c r="BO8" t="s">
        <v>90</v>
      </c>
      <c r="BP8">
        <v>2.61</v>
      </c>
      <c r="BQ8">
        <v>0.63</v>
      </c>
      <c r="BR8">
        <v>-1.17</v>
      </c>
      <c r="BS8">
        <v>2.17</v>
      </c>
      <c r="BT8" t="s">
        <v>1692</v>
      </c>
      <c r="BU8" t="s">
        <v>1381</v>
      </c>
      <c r="BV8">
        <v>14.94</v>
      </c>
      <c r="BW8">
        <v>15.08</v>
      </c>
      <c r="BX8">
        <v>9.36</v>
      </c>
      <c r="BY8">
        <v>-4.25</v>
      </c>
      <c r="BZ8">
        <v>-0.72</v>
      </c>
      <c r="CA8">
        <v>2.82</v>
      </c>
      <c r="CB8">
        <v>2.0099999999999998</v>
      </c>
      <c r="CC8" s="8">
        <v>-32.74</v>
      </c>
      <c r="CD8" s="9" t="s">
        <v>579</v>
      </c>
      <c r="CE8" s="8" t="s">
        <v>3454</v>
      </c>
      <c r="CF8" s="8">
        <v>-0.25000000000000022</v>
      </c>
      <c r="CG8" s="8">
        <v>-3.3839185436593642</v>
      </c>
      <c r="CH8" s="8">
        <v>6.9958791136741638E-2</v>
      </c>
      <c r="CI8" s="8">
        <v>-0.46757224202156067</v>
      </c>
      <c r="CJ8" s="9">
        <v>0.31149417161941528</v>
      </c>
      <c r="CK8" s="9">
        <v>0.20415230095386505</v>
      </c>
      <c r="CL8" s="9">
        <v>-5.4319415241479874E-2</v>
      </c>
      <c r="CM8" s="9">
        <v>-1.596698522567749</v>
      </c>
      <c r="CN8" s="9">
        <v>-1.5587601661682129</v>
      </c>
      <c r="CO8">
        <v>-0.16189731657505035</v>
      </c>
      <c r="CP8">
        <v>1.0573904514312744</v>
      </c>
      <c r="CQ8">
        <v>-23.706790924072266</v>
      </c>
      <c r="CR8" s="8">
        <v>-14.513902176706795</v>
      </c>
      <c r="CS8" s="9">
        <v>-11.389954976716298</v>
      </c>
      <c r="CT8">
        <v>0</v>
      </c>
      <c r="CU8">
        <v>1.2742721289396287E-2</v>
      </c>
      <c r="CV8">
        <v>-5.1933512955904009</v>
      </c>
      <c r="CW8">
        <v>0.06</v>
      </c>
      <c r="CX8" t="e">
        <v>#VALUE!</v>
      </c>
      <c r="CY8" t="s">
        <v>1392</v>
      </c>
      <c r="CZ8">
        <v>1.2742721289396287E-2</v>
      </c>
      <c r="DA8" t="e">
        <v>#VALUE!</v>
      </c>
      <c r="DB8" t="s">
        <v>1391</v>
      </c>
      <c r="DC8">
        <v>1.2105585224926472E-2</v>
      </c>
      <c r="DD8" t="e">
        <v>#VALUE!</v>
      </c>
      <c r="DE8" t="s">
        <v>1391</v>
      </c>
      <c r="DF8">
        <v>1.1213594734668732E-2</v>
      </c>
      <c r="DG8" t="e">
        <v>#VALUE!</v>
      </c>
      <c r="DH8" t="s">
        <v>1391</v>
      </c>
      <c r="DI8">
        <v>1.0194177031517031E-2</v>
      </c>
      <c r="DJ8" t="e">
        <v>#VALUE!</v>
      </c>
      <c r="DK8" t="s">
        <v>1391</v>
      </c>
      <c r="DL8">
        <v>8.9199049025773993E-3</v>
      </c>
      <c r="DM8">
        <v>-66996899.999999993</v>
      </c>
      <c r="DN8">
        <v>1.2742721289396287E-2</v>
      </c>
      <c r="DO8">
        <v>638460200</v>
      </c>
      <c r="DP8">
        <v>151055800</v>
      </c>
      <c r="DQ8" s="10">
        <v>304</v>
      </c>
      <c r="DR8">
        <v>-0.26274272128939652</v>
      </c>
      <c r="DS8">
        <v>1.8094327519310367</v>
      </c>
      <c r="DT8">
        <v>-0.34</v>
      </c>
      <c r="DU8">
        <v>-2.8816666666666664</v>
      </c>
      <c r="DV8">
        <v>-3.2216666666666662</v>
      </c>
      <c r="DW8">
        <v>-3.1893214285714286</v>
      </c>
      <c r="DX8">
        <v>0.36064205457464016</v>
      </c>
      <c r="DY8">
        <v>-3.0379858404035773</v>
      </c>
      <c r="DZ8">
        <v>4968</v>
      </c>
      <c r="EA8">
        <v>-3.0010555752127805</v>
      </c>
      <c r="EB8" s="11">
        <v>3</v>
      </c>
      <c r="EC8" s="11">
        <v>8.6384831431749798E-2</v>
      </c>
      <c r="ED8">
        <v>0.43054199985584102</v>
      </c>
      <c r="EE8">
        <v>-1.0318000000000001</v>
      </c>
      <c r="EF8">
        <v>-1.0002</v>
      </c>
      <c r="EG8">
        <v>16.20064205457464</v>
      </c>
      <c r="EH8" s="13" t="s">
        <v>1730</v>
      </c>
      <c r="EI8">
        <v>0</v>
      </c>
      <c r="EJ8">
        <v>0</v>
      </c>
      <c r="EK8">
        <v>45470</v>
      </c>
      <c r="EL8">
        <v>-5.78</v>
      </c>
      <c r="EM8">
        <v>-4.91</v>
      </c>
      <c r="EN8" s="14">
        <v>-1.94</v>
      </c>
      <c r="EO8" s="14">
        <v>3.95</v>
      </c>
      <c r="EP8" s="14">
        <v>-3.16</v>
      </c>
    </row>
    <row r="9" spans="1:146" ht="252">
      <c r="A9" s="7" t="s">
        <v>2134</v>
      </c>
      <c r="B9" s="7" t="s">
        <v>2133</v>
      </c>
      <c r="C9" s="7" t="str">
        <f>"公司的主营业务为研发、生产和销售齿轮磨床、螺纹磨床、外圆磨床（曲轴磨、球面磨、车轴磨）、滚齿机、车齿机、通用数控车床及加工中心、龙门式车铣镗复合加工中心、精密高效拉床、塑料机械（中空机）等高端数控装备；数控复杂刀具、高档数控系统、滚动功能部件、汽车零部件、特种齿轮箱、机器人关节减速器、螺杆转子副、精密齿轮、精密仪器仪表、精密铸件等零部件产品；提供智能制造及自动化生产线、智能机床等智能制造及核心数控技术、装备等系统集成业务。"&amp;CHAR(10)&amp;Basic_Fundamental_Information_Constructure(C9)&amp;CHAR(10)&amp;Basic_Fundamental_Information_Concatenate("机床类 21.67亿 52.84% 51.88% 18.55%
零部件类 12.98亿 31.64% 22.28% 13.30%
工具类 3.62亿 8.82% 15.59% 33.38%
仪器仪表类 9736.43万 2.37% 3.37% 26.83%
其他业务 7741.30万 1.89% 3.98% 39.85%")</f>
        <v>公司的主营业务为研发、生产和销售齿轮磨床、螺纹磨床、外圆磨床（曲轴磨、球面磨、车轴磨）、滚齿机、车齿机、通用数控车床及加工中心、龙门式车铣镗复合加工中心、精密高效拉床、塑料机械（中空机）等高端数控装备；数控复杂刀具、高档数控系统、滚动功能部件、汽车零部件、特种齿轮箱、机器人关节减速器、螺杆转子副、精密齿轮、精密仪器仪表、精密铸件等零部件产品；提供智能制造及自动化生产线、智能机床等智能制造及核心数控技术、装备等系统集成业务。
市值71.903672亿, 利润5225.83万; PE365.8; 平均PE235.42; 平均PEG47.24, PB1.5; ROIC4.9533%; ROE7.2233%; 股利率0%; 毛利18.3933%; 净利5.41%; 上一年度营收增-8.29%, 利润增-81%; 当季营收增-2.58%, 利润增-56.12%; 过往5年营收增4.98%, 利润增29.09%
Income profile:
机床类 21.67亿 52.84% 51.88% 18.55%
零部件类 12.98亿 31.64% 22.28% 13.30%
工具类 3.62亿 8.82% 15.59% 33.38%
仪器仪表类 9736.43万 2.37% 3.37% 26.83%
其他业务 7741.30万 1.89% 3.98% 39.85%</v>
      </c>
      <c r="D9" t="s">
        <v>91</v>
      </c>
      <c r="E9" t="s">
        <v>1037</v>
      </c>
      <c r="F9">
        <v>7.12</v>
      </c>
      <c r="G9">
        <v>0.99</v>
      </c>
      <c r="H9" t="s">
        <v>3455</v>
      </c>
      <c r="I9">
        <v>7190367200</v>
      </c>
      <c r="J9">
        <v>365.8</v>
      </c>
      <c r="K9">
        <v>1.5</v>
      </c>
      <c r="L9" t="s">
        <v>85</v>
      </c>
      <c r="M9" t="s">
        <v>2222</v>
      </c>
      <c r="N9" t="s">
        <v>3456</v>
      </c>
      <c r="O9" t="s">
        <v>1613</v>
      </c>
      <c r="P9">
        <v>-2.62</v>
      </c>
      <c r="Q9" t="s">
        <v>2223</v>
      </c>
      <c r="R9">
        <v>25495180</v>
      </c>
      <c r="S9" s="5">
        <v>-0.56120000000000003</v>
      </c>
      <c r="T9" t="s">
        <v>2224</v>
      </c>
      <c r="U9">
        <v>764904790</v>
      </c>
      <c r="V9">
        <v>1009883040</v>
      </c>
      <c r="W9">
        <v>1.8</v>
      </c>
      <c r="X9">
        <v>0.1</v>
      </c>
      <c r="Y9">
        <v>3.39</v>
      </c>
      <c r="Z9" t="s">
        <v>802</v>
      </c>
      <c r="AA9" t="s">
        <v>1779</v>
      </c>
      <c r="AB9" t="s">
        <v>3457</v>
      </c>
      <c r="AC9" t="s">
        <v>3458</v>
      </c>
      <c r="AD9" t="s">
        <v>90</v>
      </c>
      <c r="AE9">
        <v>-1519230</v>
      </c>
      <c r="AF9" t="s">
        <v>2225</v>
      </c>
      <c r="AG9" t="s">
        <v>3459</v>
      </c>
      <c r="AH9" t="s">
        <v>2226</v>
      </c>
      <c r="AI9" t="s">
        <v>599</v>
      </c>
      <c r="AJ9" t="s">
        <v>2227</v>
      </c>
      <c r="AK9" t="s">
        <v>3460</v>
      </c>
      <c r="AL9" t="s">
        <v>2228</v>
      </c>
      <c r="AM9" t="s">
        <v>90</v>
      </c>
      <c r="AN9" t="s">
        <v>1533</v>
      </c>
      <c r="AO9" t="s">
        <v>744</v>
      </c>
      <c r="AP9" t="s">
        <v>1396</v>
      </c>
      <c r="AQ9" t="s">
        <v>2257</v>
      </c>
      <c r="AR9" t="s">
        <v>3461</v>
      </c>
      <c r="AS9" t="s">
        <v>3462</v>
      </c>
      <c r="AT9" t="s">
        <v>1831</v>
      </c>
      <c r="AU9" t="s">
        <v>202</v>
      </c>
      <c r="AV9" t="s">
        <v>2596</v>
      </c>
      <c r="AW9" t="s">
        <v>3463</v>
      </c>
      <c r="AX9" t="s">
        <v>1760</v>
      </c>
      <c r="AY9" t="s">
        <v>1216</v>
      </c>
      <c r="AZ9" t="s">
        <v>674</v>
      </c>
      <c r="BA9" t="s">
        <v>92</v>
      </c>
      <c r="BB9" t="s">
        <v>676</v>
      </c>
      <c r="BC9" t="s">
        <v>378</v>
      </c>
      <c r="BD9" t="s">
        <v>242</v>
      </c>
      <c r="BE9" t="s">
        <v>167</v>
      </c>
      <c r="BF9" t="s">
        <v>93</v>
      </c>
      <c r="BG9" t="s">
        <v>677</v>
      </c>
      <c r="BH9" t="s">
        <v>2223</v>
      </c>
      <c r="BI9" t="s">
        <v>2229</v>
      </c>
      <c r="BJ9" t="s">
        <v>1760</v>
      </c>
      <c r="BK9" t="s">
        <v>2224</v>
      </c>
      <c r="BL9" t="s">
        <v>2230</v>
      </c>
      <c r="BM9" t="s">
        <v>378</v>
      </c>
      <c r="BN9">
        <v>1.68</v>
      </c>
      <c r="BO9">
        <v>6.73</v>
      </c>
      <c r="BP9">
        <v>6.45</v>
      </c>
      <c r="BQ9">
        <v>2.2400000000000002</v>
      </c>
      <c r="BR9">
        <v>8.17</v>
      </c>
      <c r="BS9">
        <v>11.26</v>
      </c>
      <c r="BT9" t="s">
        <v>1692</v>
      </c>
      <c r="BU9" t="s">
        <v>1447</v>
      </c>
      <c r="BV9">
        <v>17.77</v>
      </c>
      <c r="BW9">
        <v>18.89</v>
      </c>
      <c r="BX9">
        <v>18.52</v>
      </c>
      <c r="BY9">
        <v>1.78</v>
      </c>
      <c r="BZ9">
        <v>7.95</v>
      </c>
      <c r="CA9">
        <v>6.5</v>
      </c>
      <c r="CB9">
        <v>-3.26</v>
      </c>
      <c r="CC9">
        <v>-13.59</v>
      </c>
      <c r="CD9" t="s">
        <v>3464</v>
      </c>
      <c r="CE9" t="s">
        <v>1560</v>
      </c>
      <c r="CF9" s="8">
        <v>-2.5819265143992055E-2</v>
      </c>
      <c r="CG9" s="9">
        <v>-0.56115051940339611</v>
      </c>
      <c r="CH9" s="8">
        <v>-8.2906611263751984E-2</v>
      </c>
      <c r="CI9" s="8">
        <v>-0.18824233114719391</v>
      </c>
      <c r="CJ9" s="8">
        <v>0.23369967937469482</v>
      </c>
      <c r="CK9" s="8">
        <v>0.29383891820907593</v>
      </c>
      <c r="CL9" s="8">
        <v>-7.214574608951807E-3</v>
      </c>
      <c r="CM9" s="9">
        <v>-0.80996978282928467</v>
      </c>
      <c r="CN9" s="9">
        <v>-2.1352313458919525E-2</v>
      </c>
      <c r="CO9" s="9">
        <v>0.83660131692886353</v>
      </c>
      <c r="CP9" s="9">
        <v>1.5134228467941284</v>
      </c>
      <c r="CQ9" s="9">
        <v>-6.4285717904567719E-2</v>
      </c>
      <c r="CR9">
        <v>235.41745830884605</v>
      </c>
      <c r="CS9">
        <v>47.239366347570943</v>
      </c>
      <c r="CT9">
        <v>0</v>
      </c>
      <c r="CU9" s="8">
        <v>4.9835016112774612E-2</v>
      </c>
      <c r="CV9" s="9">
        <v>0.29088326990604402</v>
      </c>
      <c r="CW9">
        <v>0.06</v>
      </c>
      <c r="CX9">
        <v>120.35758508930272</v>
      </c>
      <c r="CY9">
        <v>51757163.417477548</v>
      </c>
      <c r="CZ9">
        <v>4.9835016112774612E-2</v>
      </c>
      <c r="DA9">
        <v>40.698663983368967</v>
      </c>
      <c r="DB9">
        <v>153060729.52531213</v>
      </c>
      <c r="DC9">
        <v>4.7343265307135882E-2</v>
      </c>
      <c r="DD9">
        <v>20.956482880551764</v>
      </c>
      <c r="DE9">
        <v>297252513.00546414</v>
      </c>
      <c r="DF9">
        <v>4.3854814179241662E-2</v>
      </c>
      <c r="DG9">
        <v>13.226112624603184</v>
      </c>
      <c r="DH9">
        <v>470990031.3726458</v>
      </c>
      <c r="DI9">
        <v>3.9868012890219691E-2</v>
      </c>
      <c r="DJ9">
        <v>7.5938466649056089</v>
      </c>
      <c r="DK9">
        <v>820317748.68309522</v>
      </c>
      <c r="DL9">
        <v>3.4884511278942223E-2</v>
      </c>
      <c r="DM9">
        <v>52258300</v>
      </c>
      <c r="DN9">
        <v>4.9835016112774612E-2</v>
      </c>
      <c r="DO9">
        <v>6229367200</v>
      </c>
      <c r="DP9">
        <v>2299768000</v>
      </c>
      <c r="DQ9">
        <v>319</v>
      </c>
      <c r="DR9">
        <v>-7.5654281256766667E-2</v>
      </c>
      <c r="DS9">
        <v>-0.85203378930944007</v>
      </c>
      <c r="DT9" s="10">
        <v>-0.34</v>
      </c>
      <c r="DU9">
        <v>-0.47</v>
      </c>
      <c r="DV9">
        <v>-0.81</v>
      </c>
      <c r="DW9">
        <v>-8.2398822663723319</v>
      </c>
      <c r="DX9">
        <v>0.33571253731343448</v>
      </c>
      <c r="DY9">
        <v>-8.0325550310258862</v>
      </c>
      <c r="DZ9">
        <v>3360</v>
      </c>
      <c r="EA9">
        <v>-8.0111489832280434</v>
      </c>
      <c r="EB9">
        <v>8</v>
      </c>
      <c r="EC9">
        <v>4.5018777620030134E-2</v>
      </c>
      <c r="ED9">
        <v>0.33172158233294025</v>
      </c>
      <c r="EE9" s="11">
        <v>-4.0502000000000002</v>
      </c>
      <c r="EF9">
        <v>-4.0195999999999996</v>
      </c>
      <c r="EG9">
        <v>20.135712537313434</v>
      </c>
      <c r="EH9" t="s">
        <v>2125</v>
      </c>
      <c r="EI9">
        <v>0</v>
      </c>
      <c r="EJ9">
        <v>0</v>
      </c>
      <c r="EK9" s="13">
        <v>45470</v>
      </c>
      <c r="EL9" s="14">
        <v>-1.21</v>
      </c>
      <c r="EM9" s="14">
        <v>-3.4</v>
      </c>
      <c r="EN9" s="14">
        <v>4.6399999999999997</v>
      </c>
      <c r="EO9" s="14">
        <v>1.08</v>
      </c>
      <c r="EP9" s="14">
        <v>-3.06</v>
      </c>
    </row>
    <row r="10" spans="1:146" ht="108">
      <c r="C10" s="7" t="str">
        <f>""&amp;CHAR(10)&amp;Basic_Fundamental_Information_Constructure(F10)&amp;CHAR(10)&amp;Basic_Fundamental_Information_Concatenate("")</f>
        <v xml:space="preserve">
市值31.9424亿, 利润7174.04万; PE43.92; 平均PE50.29; 平均PEG3.02, PB2.41; ROIC12.4133%; ROE15.44%; 股利率1.2519%; 毛利30.9733%; 净利15.6067%; 上一年度营收增1.93%, 利润增-18.44%; 当季营收增4.07%, 利润增5.37%; 过往5年营收增16.64%, 利润增35.87%
Income profile:
</v>
      </c>
      <c r="D10" t="s">
        <v>2042</v>
      </c>
      <c r="E10" t="s">
        <v>2119</v>
      </c>
      <c r="F10">
        <v>51.52</v>
      </c>
      <c r="G10">
        <v>-3.79</v>
      </c>
      <c r="H10" t="s">
        <v>3465</v>
      </c>
      <c r="I10">
        <v>3194240000</v>
      </c>
      <c r="J10">
        <v>43.92</v>
      </c>
      <c r="K10">
        <v>2.41</v>
      </c>
      <c r="L10" t="s">
        <v>85</v>
      </c>
      <c r="M10" t="s">
        <v>1819</v>
      </c>
      <c r="N10" t="s">
        <v>1559</v>
      </c>
      <c r="O10" t="s">
        <v>307</v>
      </c>
      <c r="P10">
        <v>4.18</v>
      </c>
      <c r="Q10" t="s">
        <v>350</v>
      </c>
      <c r="R10">
        <v>19299090</v>
      </c>
      <c r="S10">
        <v>5.3699999999999998E-2</v>
      </c>
      <c r="T10" t="s">
        <v>2231</v>
      </c>
      <c r="U10">
        <v>15500000</v>
      </c>
      <c r="V10">
        <v>62000000</v>
      </c>
      <c r="W10">
        <v>1.41</v>
      </c>
      <c r="X10">
        <v>7.0000000000000007E-2</v>
      </c>
      <c r="Y10">
        <v>15.05</v>
      </c>
      <c r="Z10" t="s">
        <v>189</v>
      </c>
      <c r="AA10" t="s">
        <v>3466</v>
      </c>
      <c r="AB10" t="s">
        <v>3467</v>
      </c>
      <c r="AC10" t="s">
        <v>3468</v>
      </c>
      <c r="AD10" t="s">
        <v>90</v>
      </c>
      <c r="AE10">
        <v>-1193154</v>
      </c>
      <c r="AF10" t="s">
        <v>2232</v>
      </c>
      <c r="AG10">
        <v>5894.2</v>
      </c>
      <c r="AH10" t="s">
        <v>2233</v>
      </c>
      <c r="AI10" t="s">
        <v>689</v>
      </c>
      <c r="AJ10" t="s">
        <v>2234</v>
      </c>
      <c r="AK10" t="s">
        <v>3469</v>
      </c>
      <c r="AL10" t="s">
        <v>2235</v>
      </c>
      <c r="AM10" t="s">
        <v>90</v>
      </c>
      <c r="AN10" t="s">
        <v>393</v>
      </c>
      <c r="AO10" t="s">
        <v>3470</v>
      </c>
      <c r="AP10" t="s">
        <v>3471</v>
      </c>
      <c r="AQ10" t="s">
        <v>103</v>
      </c>
      <c r="AR10" t="s">
        <v>90</v>
      </c>
      <c r="AS10" t="s">
        <v>133</v>
      </c>
      <c r="AT10" t="s">
        <v>494</v>
      </c>
      <c r="AU10" t="s">
        <v>3472</v>
      </c>
      <c r="AV10" t="s">
        <v>2978</v>
      </c>
      <c r="AW10" t="s">
        <v>3473</v>
      </c>
      <c r="AX10" t="s">
        <v>1615</v>
      </c>
      <c r="AY10" t="s">
        <v>2044</v>
      </c>
      <c r="AZ10" t="s">
        <v>807</v>
      </c>
      <c r="BA10" t="s">
        <v>1510</v>
      </c>
      <c r="BB10" t="s">
        <v>90</v>
      </c>
      <c r="BC10" t="s">
        <v>2043</v>
      </c>
      <c r="BD10" t="s">
        <v>2045</v>
      </c>
      <c r="BE10" t="s">
        <v>2046</v>
      </c>
      <c r="BF10" t="s">
        <v>2047</v>
      </c>
      <c r="BG10" t="s">
        <v>90</v>
      </c>
      <c r="BH10" t="s">
        <v>350</v>
      </c>
      <c r="BI10" t="s">
        <v>253</v>
      </c>
      <c r="BJ10" t="s">
        <v>1615</v>
      </c>
      <c r="BK10" t="s">
        <v>2231</v>
      </c>
      <c r="BL10" t="s">
        <v>2236</v>
      </c>
      <c r="BM10" t="s">
        <v>2043</v>
      </c>
      <c r="BN10">
        <v>6.99</v>
      </c>
      <c r="BO10">
        <v>13.76</v>
      </c>
      <c r="BP10">
        <v>16.489999999999998</v>
      </c>
      <c r="BQ10">
        <v>10.99</v>
      </c>
      <c r="BR10">
        <v>19.89</v>
      </c>
      <c r="BS10" t="s">
        <v>90</v>
      </c>
      <c r="BT10" t="s">
        <v>2237</v>
      </c>
      <c r="BU10" t="s">
        <v>1337</v>
      </c>
      <c r="BV10">
        <v>29.38</v>
      </c>
      <c r="BW10">
        <v>30.86</v>
      </c>
      <c r="BX10">
        <v>32.68</v>
      </c>
      <c r="BY10">
        <v>13.59</v>
      </c>
      <c r="BZ10">
        <v>16.989999999999998</v>
      </c>
      <c r="CA10">
        <v>16.239999999999998</v>
      </c>
      <c r="CB10">
        <v>-4.57</v>
      </c>
      <c r="CC10" s="8">
        <v>-13.27</v>
      </c>
      <c r="CD10" s="9" t="s">
        <v>3474</v>
      </c>
      <c r="CE10" s="8" t="s">
        <v>3475</v>
      </c>
      <c r="CF10" s="8">
        <v>4.065040650406504E-2</v>
      </c>
      <c r="CG10" s="8">
        <v>5.3714107877020849E-2</v>
      </c>
      <c r="CH10" s="8">
        <v>1.9305018708109856E-2</v>
      </c>
      <c r="CI10" s="8">
        <v>-4.6040516346693039E-2</v>
      </c>
      <c r="CJ10" s="9">
        <v>0.48767122626304626</v>
      </c>
      <c r="CK10" s="9">
        <v>0.20462046563625336</v>
      </c>
      <c r="CL10" s="9" t="s">
        <v>90</v>
      </c>
      <c r="CM10" s="9">
        <v>-0.18443913757801056</v>
      </c>
      <c r="CN10" s="9">
        <v>-2.3986571468412876E-3</v>
      </c>
      <c r="CO10">
        <v>1.09189772605896</v>
      </c>
      <c r="CP10">
        <v>0.52959489822387695</v>
      </c>
      <c r="CQ10" t="s">
        <v>90</v>
      </c>
      <c r="CR10" s="8">
        <v>50.288863727104072</v>
      </c>
      <c r="CS10" s="9">
        <v>3.0223662050332933</v>
      </c>
      <c r="CT10">
        <v>1.2519409937888197</v>
      </c>
      <c r="CU10">
        <v>0.16638904856517911</v>
      </c>
      <c r="CV10">
        <v>0.35866370738949627</v>
      </c>
      <c r="CW10">
        <v>0.06</v>
      </c>
      <c r="CX10">
        <v>30.747609628131336</v>
      </c>
      <c r="CY10">
        <v>78940770.660080537</v>
      </c>
      <c r="CZ10">
        <v>0.16638904856517911</v>
      </c>
      <c r="DA10">
        <v>9.4240451247855184</v>
      </c>
      <c r="DB10">
        <v>257558189.48874584</v>
      </c>
      <c r="DC10">
        <v>0.15806959613692015</v>
      </c>
      <c r="DD10">
        <v>4.2479426105727258</v>
      </c>
      <c r="DE10">
        <v>571391900.15393102</v>
      </c>
      <c r="DF10">
        <v>0.14642236273735762</v>
      </c>
      <c r="DG10">
        <v>2.3019304429727709</v>
      </c>
      <c r="DH10">
        <v>1054436726.1008118</v>
      </c>
      <c r="DI10">
        <v>0.13311123885214329</v>
      </c>
      <c r="DJ10">
        <v>0.93831137633645745</v>
      </c>
      <c r="DK10">
        <v>2586817192.2596898</v>
      </c>
      <c r="DL10">
        <v>0.11647233399562537</v>
      </c>
      <c r="DM10">
        <v>71740400</v>
      </c>
      <c r="DN10">
        <v>0.16638904856517911</v>
      </c>
      <c r="DO10">
        <v>2427240000</v>
      </c>
      <c r="DP10">
        <v>890579300</v>
      </c>
      <c r="DQ10" s="10">
        <v>480</v>
      </c>
      <c r="DR10">
        <v>-0.12573864206111407</v>
      </c>
      <c r="DS10">
        <v>-0.30494959951247541</v>
      </c>
      <c r="DT10">
        <v>-0.22800000000000004</v>
      </c>
      <c r="DU10">
        <v>0.25999999999999995</v>
      </c>
      <c r="DV10">
        <v>3.1999999999999917E-2</v>
      </c>
      <c r="DW10">
        <v>-8.3443858327053508</v>
      </c>
      <c r="DX10">
        <v>0.47274138624006523</v>
      </c>
      <c r="DY10">
        <v>-8.0422703945076943</v>
      </c>
      <c r="DZ10">
        <v>1633</v>
      </c>
      <c r="EA10">
        <v>-8.0287620668695219</v>
      </c>
      <c r="EB10" s="11">
        <v>8</v>
      </c>
      <c r="EC10" s="11">
        <v>8.9645161290322586E-2</v>
      </c>
      <c r="ED10">
        <v>0.73035806451612906</v>
      </c>
      <c r="EE10">
        <v>2.0373000000000001</v>
      </c>
      <c r="EF10">
        <v>2.0139999999999998</v>
      </c>
      <c r="EG10">
        <v>35.122741386240065</v>
      </c>
      <c r="EH10" s="13" t="s">
        <v>1732</v>
      </c>
      <c r="EI10">
        <v>0</v>
      </c>
      <c r="EJ10">
        <v>0</v>
      </c>
      <c r="EK10">
        <v>45470</v>
      </c>
      <c r="EL10">
        <v>-0.11</v>
      </c>
      <c r="EM10">
        <v>-6.04</v>
      </c>
      <c r="EN10" s="14">
        <v>1.57</v>
      </c>
      <c r="EO10" s="14">
        <v>3.19</v>
      </c>
      <c r="EP10" s="14">
        <v>-2.33</v>
      </c>
    </row>
    <row r="11" spans="1:146" ht="108">
      <c r="C11" s="7" t="str">
        <f>""&amp;CHAR(10)&amp;Basic_Fundamental_Information_Constructure(F11)&amp;CHAR(10)&amp;Basic_Fundamental_Information_Concatenate("")</f>
        <v xml:space="preserve">
市值26.44亿, 利润8560.68万; PE36.38; 平均PE33.57; 平均PEG1.61, PB1.84; ROIC16.1367%; ROE19.365%; 股利率.9682%; 毛利11.3333%; 净利5.9467%; 上一年度营收增-20.67%, 利润增-36.59%; 当季营收增-3.51%, 利润增-42.5%; 过往5年营收增20.83%, 利润增101.39%
Income profile:
</v>
      </c>
      <c r="D11" s="5" t="s">
        <v>2120</v>
      </c>
      <c r="E11" t="s">
        <v>2121</v>
      </c>
      <c r="F11">
        <v>13.22</v>
      </c>
      <c r="G11">
        <v>0.53</v>
      </c>
      <c r="H11" t="s">
        <v>3476</v>
      </c>
      <c r="I11">
        <v>2644000000</v>
      </c>
      <c r="J11">
        <v>36.380000000000003</v>
      </c>
      <c r="K11">
        <v>1.84</v>
      </c>
      <c r="L11" t="s">
        <v>85</v>
      </c>
      <c r="M11" t="s">
        <v>2238</v>
      </c>
      <c r="N11" t="s">
        <v>3477</v>
      </c>
      <c r="O11" t="s">
        <v>563</v>
      </c>
      <c r="P11" s="5">
        <v>-3.58</v>
      </c>
      <c r="Q11" t="s">
        <v>2007</v>
      </c>
      <c r="R11">
        <v>17487113</v>
      </c>
      <c r="S11">
        <v>-0.42499999999999999</v>
      </c>
      <c r="T11" t="s">
        <v>2239</v>
      </c>
      <c r="U11">
        <v>48998084</v>
      </c>
      <c r="V11">
        <v>200000000</v>
      </c>
      <c r="W11">
        <v>1.39</v>
      </c>
      <c r="X11">
        <v>0.24</v>
      </c>
      <c r="Y11">
        <v>4.24</v>
      </c>
      <c r="Z11" t="s">
        <v>742</v>
      </c>
      <c r="AA11" t="s">
        <v>602</v>
      </c>
      <c r="AB11" t="s">
        <v>3478</v>
      </c>
      <c r="AC11" t="s">
        <v>3479</v>
      </c>
      <c r="AD11" t="s">
        <v>90</v>
      </c>
      <c r="AE11">
        <v>1545725</v>
      </c>
      <c r="AF11" t="s">
        <v>2241</v>
      </c>
      <c r="AG11" t="s">
        <v>3480</v>
      </c>
      <c r="AH11" t="s">
        <v>2242</v>
      </c>
      <c r="AI11" t="s">
        <v>1277</v>
      </c>
      <c r="AJ11" t="s">
        <v>2243</v>
      </c>
      <c r="AK11" t="s">
        <v>3481</v>
      </c>
      <c r="AL11" t="s">
        <v>2244</v>
      </c>
      <c r="AM11" t="s">
        <v>90</v>
      </c>
      <c r="AN11" t="s">
        <v>3482</v>
      </c>
      <c r="AO11" t="s">
        <v>3483</v>
      </c>
      <c r="AP11" t="s">
        <v>1715</v>
      </c>
      <c r="AQ11" t="s">
        <v>3484</v>
      </c>
      <c r="AR11" t="s">
        <v>90</v>
      </c>
      <c r="AS11" t="s">
        <v>779</v>
      </c>
      <c r="AT11" t="s">
        <v>3485</v>
      </c>
      <c r="AU11" t="s">
        <v>3486</v>
      </c>
      <c r="AV11" t="s">
        <v>3487</v>
      </c>
      <c r="AW11" t="s">
        <v>2965</v>
      </c>
      <c r="AX11" t="s">
        <v>2123</v>
      </c>
      <c r="AY11" t="s">
        <v>2245</v>
      </c>
      <c r="AZ11" t="s">
        <v>2246</v>
      </c>
      <c r="BA11" t="s">
        <v>140</v>
      </c>
      <c r="BB11" t="s">
        <v>90</v>
      </c>
      <c r="BC11" t="s">
        <v>334</v>
      </c>
      <c r="BD11" t="s">
        <v>95</v>
      </c>
      <c r="BE11" t="s">
        <v>2247</v>
      </c>
      <c r="BF11" t="s">
        <v>2248</v>
      </c>
      <c r="BG11" t="s">
        <v>90</v>
      </c>
      <c r="BH11" t="s">
        <v>2007</v>
      </c>
      <c r="BI11" t="s">
        <v>293</v>
      </c>
      <c r="BJ11" t="s">
        <v>2123</v>
      </c>
      <c r="BK11" t="s">
        <v>2239</v>
      </c>
      <c r="BL11" t="s">
        <v>2249</v>
      </c>
      <c r="BM11" t="s">
        <v>334</v>
      </c>
      <c r="BN11">
        <v>10.49</v>
      </c>
      <c r="BO11">
        <v>20.25</v>
      </c>
      <c r="BP11">
        <v>17.670000000000002</v>
      </c>
      <c r="BQ11">
        <v>12.37</v>
      </c>
      <c r="BR11">
        <v>26.36</v>
      </c>
      <c r="BS11" t="s">
        <v>90</v>
      </c>
      <c r="BT11" t="s">
        <v>2250</v>
      </c>
      <c r="BU11" t="s">
        <v>1337</v>
      </c>
      <c r="BV11">
        <v>10.75</v>
      </c>
      <c r="BW11">
        <v>13.16</v>
      </c>
      <c r="BX11">
        <v>10.09</v>
      </c>
      <c r="BY11">
        <v>4.93</v>
      </c>
      <c r="BZ11">
        <v>6.17</v>
      </c>
      <c r="CA11">
        <v>6.74</v>
      </c>
      <c r="CB11">
        <v>-3.78</v>
      </c>
      <c r="CC11" s="8">
        <v>-17.84</v>
      </c>
      <c r="CD11" s="9" t="s">
        <v>3488</v>
      </c>
      <c r="CE11" s="8" t="s">
        <v>3489</v>
      </c>
      <c r="CF11" s="8">
        <v>-3.5128805620608765E-2</v>
      </c>
      <c r="CG11" s="8">
        <v>-0.42497597916550206</v>
      </c>
      <c r="CH11" s="8">
        <v>-0.20667581260204315</v>
      </c>
      <c r="CI11" s="8">
        <v>0.36772981286048889</v>
      </c>
      <c r="CJ11" s="9">
        <v>0.47781890630722046</v>
      </c>
      <c r="CK11" s="9">
        <v>0.19426049292087555</v>
      </c>
      <c r="CL11" s="9" t="s">
        <v>90</v>
      </c>
      <c r="CM11" s="9">
        <v>-0.36587554216384888</v>
      </c>
      <c r="CN11" s="9">
        <v>0.25</v>
      </c>
      <c r="CO11">
        <v>1.059359073638916</v>
      </c>
      <c r="CP11">
        <v>3.1120223999023437</v>
      </c>
      <c r="CQ11" t="s">
        <v>90</v>
      </c>
      <c r="CR11" s="8">
        <v>33.569999288986402</v>
      </c>
      <c r="CS11" s="9">
        <v>1.6117466571224017</v>
      </c>
      <c r="CT11">
        <v>0.9682299546142209</v>
      </c>
      <c r="CU11">
        <v>0.20828334987163544</v>
      </c>
      <c r="CV11">
        <v>1.0138764828443527</v>
      </c>
      <c r="CW11">
        <v>0.06</v>
      </c>
      <c r="CX11">
        <v>20.198328690140581</v>
      </c>
      <c r="CY11">
        <v>97582331.20357652</v>
      </c>
      <c r="CZ11">
        <v>0.20828334987163544</v>
      </c>
      <c r="DA11">
        <v>5.9798229503192424</v>
      </c>
      <c r="DB11">
        <v>329608420.91399628</v>
      </c>
      <c r="DC11">
        <v>0.19786918237805365</v>
      </c>
      <c r="DD11">
        <v>2.5653118043086987</v>
      </c>
      <c r="DE11">
        <v>768327653.85069668</v>
      </c>
      <c r="DF11">
        <v>0.18328934788703918</v>
      </c>
      <c r="DG11">
        <v>1.3088890994515312</v>
      </c>
      <c r="DH11">
        <v>1505857143.1498022</v>
      </c>
      <c r="DI11">
        <v>0.16662667989730837</v>
      </c>
      <c r="DJ11">
        <v>0.46061453675278918</v>
      </c>
      <c r="DK11">
        <v>4279065992.7822285</v>
      </c>
      <c r="DL11">
        <v>0.14579834491014479</v>
      </c>
      <c r="DM11">
        <v>85606800</v>
      </c>
      <c r="DN11">
        <v>0.20828334987163544</v>
      </c>
      <c r="DO11">
        <v>1971000000</v>
      </c>
      <c r="DP11">
        <v>1132142600</v>
      </c>
      <c r="DQ11" s="10">
        <v>512</v>
      </c>
      <c r="DR11">
        <v>-0.24341215549224421</v>
      </c>
      <c r="DS11">
        <v>-1.4388524620098548</v>
      </c>
      <c r="DT11">
        <v>-0.24800000000000005</v>
      </c>
      <c r="DU11">
        <v>0.60600000000000032</v>
      </c>
      <c r="DV11">
        <v>0.35800000000000026</v>
      </c>
      <c r="DW11">
        <v>-8.2118834080717491</v>
      </c>
      <c r="DX11">
        <v>0.25512198732544322</v>
      </c>
      <c r="DY11">
        <v>-8.0222736049377907</v>
      </c>
      <c r="DZ11">
        <v>946</v>
      </c>
      <c r="EA11">
        <v>-8.0181501547868805</v>
      </c>
      <c r="EB11" s="11">
        <v>8</v>
      </c>
      <c r="EC11" s="11">
        <v>4.0562000000000001E-2</v>
      </c>
      <c r="ED11">
        <v>0.38585649999999999</v>
      </c>
      <c r="EE11">
        <v>14.039110000000001</v>
      </c>
      <c r="EF11">
        <v>14.04921</v>
      </c>
      <c r="EG11">
        <v>15.105121987325443</v>
      </c>
      <c r="EH11" s="13" t="s">
        <v>2251</v>
      </c>
      <c r="EI11">
        <v>0</v>
      </c>
      <c r="EJ11">
        <v>1</v>
      </c>
      <c r="EK11">
        <v>45470</v>
      </c>
      <c r="EL11">
        <v>-0.49</v>
      </c>
      <c r="EM11">
        <v>-5.77</v>
      </c>
      <c r="EN11" s="14">
        <v>1.35</v>
      </c>
      <c r="EO11" s="14">
        <v>2.21</v>
      </c>
      <c r="EP11" s="14">
        <v>-1.01</v>
      </c>
    </row>
    <row r="12" spans="1:146" ht="108">
      <c r="A12" s="7"/>
      <c r="B12" s="7"/>
      <c r="C12" s="7" t="str">
        <f>""&amp;CHAR(10)&amp;Basic_Fundamental_Information_Constructure(F12)&amp;CHAR(10)&amp;Basic_Fundamental_Information_Concatenate("")</f>
        <v xml:space="preserve">
市值111.754627亿, 利润3.62亿; PE30.13; 平均PE25.69; 平均PEG3.18, PB2.26; ROIC6.9633%; ROE8.9233%; 股利率2.5615%; 毛利12.8933%; 净利5.13%; 上一年度营收增-.04%, 利润增-7.18%; 当季营收增9.23%, 利润增8.3%; 过往5年营收增8.09%, 利润增1.56%
Income profile:
</v>
      </c>
      <c r="D12" t="s">
        <v>1107</v>
      </c>
      <c r="E12" t="s">
        <v>1108</v>
      </c>
      <c r="F12">
        <v>9.76</v>
      </c>
      <c r="G12">
        <v>-2.5</v>
      </c>
      <c r="H12" t="s">
        <v>3490</v>
      </c>
      <c r="I12">
        <v>11175462700</v>
      </c>
      <c r="J12">
        <v>30.13</v>
      </c>
      <c r="K12">
        <v>2.2599999999999998</v>
      </c>
      <c r="L12" t="s">
        <v>85</v>
      </c>
      <c r="M12" t="s">
        <v>2252</v>
      </c>
      <c r="N12" t="s">
        <v>3491</v>
      </c>
      <c r="O12" t="s">
        <v>2253</v>
      </c>
      <c r="P12">
        <v>9.26</v>
      </c>
      <c r="Q12" t="s">
        <v>2254</v>
      </c>
      <c r="R12">
        <v>120213250</v>
      </c>
      <c r="S12" s="5">
        <v>0.08</v>
      </c>
      <c r="T12" t="s">
        <v>179</v>
      </c>
      <c r="U12">
        <v>891339730</v>
      </c>
      <c r="V12">
        <v>1145026920</v>
      </c>
      <c r="W12">
        <v>2.06</v>
      </c>
      <c r="X12">
        <v>0.22</v>
      </c>
      <c r="Y12">
        <v>5.48</v>
      </c>
      <c r="Z12" t="s">
        <v>3492</v>
      </c>
      <c r="AA12" t="s">
        <v>3493</v>
      </c>
      <c r="AB12" t="s">
        <v>3494</v>
      </c>
      <c r="AC12" t="s">
        <v>3495</v>
      </c>
      <c r="AD12" t="s">
        <v>90</v>
      </c>
      <c r="AE12">
        <v>13224492</v>
      </c>
      <c r="AF12" t="s">
        <v>2255</v>
      </c>
      <c r="AG12" t="s">
        <v>3496</v>
      </c>
      <c r="AH12" t="s">
        <v>2256</v>
      </c>
      <c r="AI12" t="s">
        <v>2261</v>
      </c>
      <c r="AJ12" t="s">
        <v>2258</v>
      </c>
      <c r="AK12" t="s">
        <v>90</v>
      </c>
      <c r="AL12" t="s">
        <v>2259</v>
      </c>
      <c r="AM12" t="s">
        <v>90</v>
      </c>
      <c r="AN12" t="s">
        <v>1456</v>
      </c>
      <c r="AO12" t="s">
        <v>363</v>
      </c>
      <c r="AP12" t="s">
        <v>1273</v>
      </c>
      <c r="AQ12" t="s">
        <v>456</v>
      </c>
      <c r="AR12" t="s">
        <v>3497</v>
      </c>
      <c r="AS12" t="s">
        <v>3498</v>
      </c>
      <c r="AT12" t="s">
        <v>3499</v>
      </c>
      <c r="AU12" t="s">
        <v>3500</v>
      </c>
      <c r="AV12" t="s">
        <v>3239</v>
      </c>
      <c r="AW12" t="s">
        <v>1580</v>
      </c>
      <c r="AX12" t="s">
        <v>2071</v>
      </c>
      <c r="AY12" t="s">
        <v>1763</v>
      </c>
      <c r="AZ12" t="s">
        <v>1764</v>
      </c>
      <c r="BA12" t="s">
        <v>1109</v>
      </c>
      <c r="BB12" t="s">
        <v>1110</v>
      </c>
      <c r="BC12" t="s">
        <v>1434</v>
      </c>
      <c r="BD12" t="s">
        <v>1765</v>
      </c>
      <c r="BE12" t="s">
        <v>994</v>
      </c>
      <c r="BF12" t="s">
        <v>324</v>
      </c>
      <c r="BG12" t="s">
        <v>823</v>
      </c>
      <c r="BH12" t="s">
        <v>2254</v>
      </c>
      <c r="BI12" t="s">
        <v>2260</v>
      </c>
      <c r="BJ12" t="s">
        <v>2071</v>
      </c>
      <c r="BK12" t="s">
        <v>179</v>
      </c>
      <c r="BL12" t="s">
        <v>239</v>
      </c>
      <c r="BM12" t="s">
        <v>1434</v>
      </c>
      <c r="BN12">
        <v>5.82</v>
      </c>
      <c r="BO12">
        <v>6.79</v>
      </c>
      <c r="BP12">
        <v>8.2799999999999994</v>
      </c>
      <c r="BQ12">
        <v>7.77</v>
      </c>
      <c r="BR12">
        <v>8.41</v>
      </c>
      <c r="BS12">
        <v>10.59</v>
      </c>
      <c r="BT12" t="s">
        <v>1721</v>
      </c>
      <c r="BU12" t="s">
        <v>1381</v>
      </c>
      <c r="BV12">
        <v>14.55</v>
      </c>
      <c r="BW12">
        <v>12.77</v>
      </c>
      <c r="BX12">
        <v>11.36</v>
      </c>
      <c r="BY12">
        <v>4.6500000000000004</v>
      </c>
      <c r="BZ12">
        <v>5.07</v>
      </c>
      <c r="CA12">
        <v>5.67</v>
      </c>
      <c r="CB12">
        <v>-8.27</v>
      </c>
      <c r="CC12">
        <v>-21.29</v>
      </c>
      <c r="CD12" t="s">
        <v>1468</v>
      </c>
      <c r="CE12" t="s">
        <v>3501</v>
      </c>
      <c r="CF12" s="8">
        <v>9.2336982389338282E-2</v>
      </c>
      <c r="CG12" s="9">
        <v>8.3002252252252107E-2</v>
      </c>
      <c r="CH12" s="8">
        <v>-3.7497599259950221E-4</v>
      </c>
      <c r="CI12" s="8">
        <v>-0.12825541198253632</v>
      </c>
      <c r="CJ12" s="8">
        <v>0.20275226235389709</v>
      </c>
      <c r="CK12" s="8">
        <v>0.36396142840385437</v>
      </c>
      <c r="CL12" s="8">
        <v>-3.3517688512802124E-2</v>
      </c>
      <c r="CM12" s="9">
        <v>-7.1794874966144562E-2</v>
      </c>
      <c r="CN12" s="9">
        <v>-0.17894737422466278</v>
      </c>
      <c r="CO12" s="9">
        <v>-0.19080068171024323</v>
      </c>
      <c r="CP12" s="9">
        <v>0.39099526405334473</v>
      </c>
      <c r="CQ12" s="9">
        <v>0.12834224104881287</v>
      </c>
      <c r="CR12">
        <v>25.690718850574711</v>
      </c>
      <c r="CS12">
        <v>3.1750991612254293</v>
      </c>
      <c r="CT12">
        <v>2.5614754098360657</v>
      </c>
      <c r="CU12" s="8">
        <v>8.091312285396271E-2</v>
      </c>
      <c r="CV12" s="9">
        <v>1.5558914840221405E-2</v>
      </c>
      <c r="CW12">
        <v>0.06</v>
      </c>
      <c r="CX12">
        <v>28.94946082470689</v>
      </c>
      <c r="CY12">
        <v>369142028.74824005</v>
      </c>
      <c r="CZ12">
        <v>8.091312285396271E-2</v>
      </c>
      <c r="DA12">
        <v>9.5335639768937011</v>
      </c>
      <c r="DB12">
        <v>1120930506.7759082</v>
      </c>
      <c r="DC12">
        <v>7.686746671126457E-2</v>
      </c>
      <c r="DD12">
        <v>4.7415754288820384</v>
      </c>
      <c r="DE12">
        <v>2253778909.6227956</v>
      </c>
      <c r="DF12">
        <v>7.1203548111487186E-2</v>
      </c>
      <c r="DG12">
        <v>2.8804067814846319</v>
      </c>
      <c r="DH12">
        <v>3710053305.2112646</v>
      </c>
      <c r="DI12">
        <v>6.4730498283170165E-2</v>
      </c>
      <c r="DJ12">
        <v>1.525821396898053</v>
      </c>
      <c r="DK12">
        <v>7003744161.4891777</v>
      </c>
      <c r="DL12">
        <v>5.6639185997773893E-2</v>
      </c>
      <c r="DM12">
        <v>362000000</v>
      </c>
      <c r="DN12">
        <v>8.091312285396271E-2</v>
      </c>
      <c r="DO12">
        <v>10686462700</v>
      </c>
      <c r="DP12">
        <v>3487497400</v>
      </c>
      <c r="DQ12">
        <v>516</v>
      </c>
      <c r="DR12">
        <v>1.1423859535375572E-2</v>
      </c>
      <c r="DS12">
        <v>6.7443337412030707E-2</v>
      </c>
      <c r="DT12" s="10">
        <v>-0.19000000000000003</v>
      </c>
      <c r="DU12">
        <v>5.3333333333333344E-2</v>
      </c>
      <c r="DV12">
        <v>-0.13666666666666669</v>
      </c>
      <c r="DW12">
        <v>-9.388445279473931</v>
      </c>
      <c r="DX12">
        <v>0.30323779193205952</v>
      </c>
      <c r="DY12">
        <v>-9.0401022329393204</v>
      </c>
      <c r="DZ12">
        <v>2029</v>
      </c>
      <c r="EA12">
        <v>-9.0241790566900288</v>
      </c>
      <c r="EB12">
        <v>9</v>
      </c>
      <c r="EC12">
        <v>0.33973000390244101</v>
      </c>
      <c r="ED12">
        <v>3.2907523257182461</v>
      </c>
      <c r="EE12" s="11">
        <v>5.0641100000000003</v>
      </c>
      <c r="EF12">
        <v>5.1396100000000002</v>
      </c>
      <c r="EG12">
        <v>20.10323779193206</v>
      </c>
      <c r="EH12" t="s">
        <v>2137</v>
      </c>
      <c r="EI12">
        <v>0</v>
      </c>
      <c r="EJ12">
        <v>0</v>
      </c>
      <c r="EK12" s="13">
        <v>45470</v>
      </c>
      <c r="EL12" s="14">
        <v>-3.89</v>
      </c>
      <c r="EM12" s="14">
        <v>-4.46</v>
      </c>
      <c r="EN12" s="14">
        <v>-0.95</v>
      </c>
      <c r="EO12" s="14">
        <v>-0.52</v>
      </c>
      <c r="EP12" s="14">
        <v>-7.55</v>
      </c>
    </row>
    <row r="13" spans="1:146" ht="108">
      <c r="A13" s="7"/>
      <c r="B13" s="7"/>
      <c r="C13" s="7" t="str">
        <f>""&amp;CHAR(10)&amp;Basic_Fundamental_Information_Constructure(F13)&amp;CHAR(10)&amp;Basic_Fundamental_Information_Concatenate("")</f>
        <v xml:space="preserve">
市值35.465793亿, 利润1.66亿; PE16.98; 平均PE20.48; 平均PEG1.84, PB1.02; ROIC6.94%; ROE7.6267%; 股利率1.5075%; 毛利20.1933%; 净利9.6233%; 上一年度营收增-4.05%, 利润增-19.42%; 当季营收增8.19%, 利润增263.68%; 过往5年营收增11.12%, 利润增24.51%
Income profile:
</v>
      </c>
      <c r="D13" t="s">
        <v>199</v>
      </c>
      <c r="E13" t="s">
        <v>59</v>
      </c>
      <c r="F13">
        <v>7.96</v>
      </c>
      <c r="G13">
        <v>0</v>
      </c>
      <c r="H13" t="s">
        <v>3502</v>
      </c>
      <c r="I13">
        <v>3546579300</v>
      </c>
      <c r="J13">
        <v>16.98</v>
      </c>
      <c r="K13">
        <v>1.02</v>
      </c>
      <c r="L13" t="s">
        <v>85</v>
      </c>
      <c r="M13" t="s">
        <v>2261</v>
      </c>
      <c r="N13" t="s">
        <v>3503</v>
      </c>
      <c r="O13" t="s">
        <v>1576</v>
      </c>
      <c r="P13">
        <v>8.24</v>
      </c>
      <c r="Q13" t="s">
        <v>2100</v>
      </c>
      <c r="R13">
        <v>58645138</v>
      </c>
      <c r="S13" s="5">
        <v>2.637</v>
      </c>
      <c r="T13" t="s">
        <v>479</v>
      </c>
      <c r="U13">
        <v>428011980</v>
      </c>
      <c r="V13">
        <v>445550170</v>
      </c>
      <c r="W13">
        <v>1.45</v>
      </c>
      <c r="X13">
        <v>0.09</v>
      </c>
      <c r="Y13">
        <v>12.32</v>
      </c>
      <c r="Z13" t="s">
        <v>1401</v>
      </c>
      <c r="AA13" t="s">
        <v>823</v>
      </c>
      <c r="AB13" t="s">
        <v>3504</v>
      </c>
      <c r="AC13" t="s">
        <v>3505</v>
      </c>
      <c r="AD13" t="s">
        <v>90</v>
      </c>
      <c r="AE13">
        <v>-8871908</v>
      </c>
      <c r="AF13" t="s">
        <v>2262</v>
      </c>
      <c r="AG13" t="s">
        <v>3506</v>
      </c>
      <c r="AH13" t="s">
        <v>2263</v>
      </c>
      <c r="AI13" t="s">
        <v>688</v>
      </c>
      <c r="AJ13" t="s">
        <v>2264</v>
      </c>
      <c r="AK13" t="s">
        <v>3507</v>
      </c>
      <c r="AL13" t="s">
        <v>2265</v>
      </c>
      <c r="AM13" t="s">
        <v>90</v>
      </c>
      <c r="AN13" t="s">
        <v>3508</v>
      </c>
      <c r="AO13" t="s">
        <v>392</v>
      </c>
      <c r="AP13" t="s">
        <v>196</v>
      </c>
      <c r="AQ13" t="s">
        <v>1553</v>
      </c>
      <c r="AR13" t="s">
        <v>3509</v>
      </c>
      <c r="AS13" t="s">
        <v>3510</v>
      </c>
      <c r="AT13" t="s">
        <v>90</v>
      </c>
      <c r="AU13" t="s">
        <v>3511</v>
      </c>
      <c r="AV13" t="s">
        <v>3512</v>
      </c>
      <c r="AW13" t="s">
        <v>3226</v>
      </c>
      <c r="AX13" t="s">
        <v>1766</v>
      </c>
      <c r="AY13" t="s">
        <v>1219</v>
      </c>
      <c r="AZ13" t="s">
        <v>679</v>
      </c>
      <c r="BA13" t="s">
        <v>201</v>
      </c>
      <c r="BB13" t="s">
        <v>680</v>
      </c>
      <c r="BC13" t="s">
        <v>653</v>
      </c>
      <c r="BD13" t="s">
        <v>705</v>
      </c>
      <c r="BE13" t="s">
        <v>208</v>
      </c>
      <c r="BF13" t="s">
        <v>202</v>
      </c>
      <c r="BG13" t="s">
        <v>514</v>
      </c>
      <c r="BH13" t="s">
        <v>2100</v>
      </c>
      <c r="BI13" t="s">
        <v>321</v>
      </c>
      <c r="BJ13" t="s">
        <v>1766</v>
      </c>
      <c r="BK13" t="s">
        <v>479</v>
      </c>
      <c r="BL13" t="s">
        <v>2266</v>
      </c>
      <c r="BM13" t="s">
        <v>653</v>
      </c>
      <c r="BN13">
        <v>2.1</v>
      </c>
      <c r="BO13">
        <v>6.03</v>
      </c>
      <c r="BP13">
        <v>12.69</v>
      </c>
      <c r="BQ13">
        <v>3.13</v>
      </c>
      <c r="BR13">
        <v>6.5</v>
      </c>
      <c r="BS13">
        <v>13.25</v>
      </c>
      <c r="BT13" t="s">
        <v>2267</v>
      </c>
      <c r="BU13" t="s">
        <v>1337</v>
      </c>
      <c r="BV13">
        <v>18.98</v>
      </c>
      <c r="BW13">
        <v>19.850000000000001</v>
      </c>
      <c r="BX13">
        <v>21.75</v>
      </c>
      <c r="BY13">
        <v>7.6</v>
      </c>
      <c r="BZ13">
        <v>9.24</v>
      </c>
      <c r="CA13">
        <v>12.03</v>
      </c>
      <c r="CB13">
        <v>-4.0999999999999996</v>
      </c>
      <c r="CC13">
        <v>-10.16</v>
      </c>
      <c r="CD13" t="s">
        <v>3513</v>
      </c>
      <c r="CE13" t="s">
        <v>273</v>
      </c>
      <c r="CF13" s="8">
        <v>8.1858407079646034E-2</v>
      </c>
      <c r="CG13" s="9">
        <v>2.6368401208039542</v>
      </c>
      <c r="CH13" s="8">
        <v>-4.0535062551498413E-2</v>
      </c>
      <c r="CI13" s="8">
        <v>-0.25468277931213379</v>
      </c>
      <c r="CJ13" s="8">
        <v>0.52886843681335449</v>
      </c>
      <c r="CK13" s="8">
        <v>0.37460309267044067</v>
      </c>
      <c r="CL13" s="8">
        <v>-5.2346531301736832E-2</v>
      </c>
      <c r="CM13" s="9">
        <v>-0.19417475163936615</v>
      </c>
      <c r="CN13" s="9">
        <v>-0.45212766528129578</v>
      </c>
      <c r="CO13" s="9">
        <v>0.48031497001647949</v>
      </c>
      <c r="CP13" s="9">
        <v>3.1525423526763916</v>
      </c>
      <c r="CQ13" s="9">
        <v>-1.7612903118133545</v>
      </c>
      <c r="CR13">
        <v>20.480727430221368</v>
      </c>
      <c r="CS13">
        <v>1.8420996381714068</v>
      </c>
      <c r="CT13">
        <v>1.5075376884422109</v>
      </c>
      <c r="CU13" s="8">
        <v>0.11118143126368522</v>
      </c>
      <c r="CV13" s="9">
        <v>0.24505291879177094</v>
      </c>
      <c r="CW13">
        <v>0.06</v>
      </c>
      <c r="CX13">
        <v>10.778249504424368</v>
      </c>
      <c r="CY13">
        <v>174015205.27336955</v>
      </c>
      <c r="CZ13">
        <v>0.11118143126368522</v>
      </c>
      <c r="DA13">
        <v>3.4597695041104495</v>
      </c>
      <c r="DB13">
        <v>542111056.17633772</v>
      </c>
      <c r="DC13">
        <v>0.10562235970050096</v>
      </c>
      <c r="DD13">
        <v>1.6625760361944284</v>
      </c>
      <c r="DE13">
        <v>1128116404.4040523</v>
      </c>
      <c r="DF13">
        <v>9.7839659512043001E-2</v>
      </c>
      <c r="DG13">
        <v>0.97135313169027604</v>
      </c>
      <c r="DH13">
        <v>1930893347.4443607</v>
      </c>
      <c r="DI13">
        <v>8.894514501094819E-2</v>
      </c>
      <c r="DJ13">
        <v>0.47199492671660581</v>
      </c>
      <c r="DK13">
        <v>3973727669.1665192</v>
      </c>
      <c r="DL13">
        <v>7.7827001884579652E-2</v>
      </c>
      <c r="DM13">
        <v>166000000</v>
      </c>
      <c r="DN13">
        <v>0.11118143126368522</v>
      </c>
      <c r="DO13">
        <v>1875579300</v>
      </c>
      <c r="DP13">
        <v>1921274400</v>
      </c>
      <c r="DQ13">
        <v>544</v>
      </c>
      <c r="DR13">
        <v>-2.932302418403919E-2</v>
      </c>
      <c r="DS13">
        <v>2.3917872020121833</v>
      </c>
      <c r="DT13" s="10">
        <v>-0.34</v>
      </c>
      <c r="DU13">
        <v>-0.14833333333333332</v>
      </c>
      <c r="DV13">
        <v>-0.48833333333333334</v>
      </c>
      <c r="DW13">
        <v>-8.4035433070866148</v>
      </c>
      <c r="DX13">
        <v>0.33436163522012574</v>
      </c>
      <c r="DY13">
        <v>-8.0501853055514285</v>
      </c>
      <c r="DZ13">
        <v>2859</v>
      </c>
      <c r="EA13">
        <v>-8.0221070690403646</v>
      </c>
      <c r="EB13">
        <v>8</v>
      </c>
      <c r="EC13">
        <v>4.4379962867032462E-2</v>
      </c>
      <c r="ED13">
        <v>0.35686216885519312</v>
      </c>
      <c r="EE13" s="11">
        <v>-3.0467</v>
      </c>
      <c r="EF13">
        <v>-3.0323000000000002</v>
      </c>
      <c r="EG13">
        <v>21.124361635220126</v>
      </c>
      <c r="EH13" t="s">
        <v>2118</v>
      </c>
      <c r="EI13">
        <v>0</v>
      </c>
      <c r="EJ13">
        <v>0</v>
      </c>
      <c r="EK13" s="13">
        <v>45470</v>
      </c>
      <c r="EL13" s="14">
        <v>0.62</v>
      </c>
      <c r="EM13" s="14">
        <v>-1.96</v>
      </c>
      <c r="EN13" s="14">
        <v>1.1299999999999999</v>
      </c>
      <c r="EO13" s="14">
        <v>2.84</v>
      </c>
      <c r="EP13" s="14">
        <v>-1.44</v>
      </c>
    </row>
    <row r="14" spans="1:146" ht="108">
      <c r="A14" s="7"/>
      <c r="B14" s="7"/>
      <c r="C14" s="7" t="str">
        <f>""&amp;CHAR(10)&amp;Basic_Fundamental_Information_Constructure(F14)&amp;CHAR(10)&amp;Basic_Fundamental_Information_Concatenate("")</f>
        <v xml:space="preserve">
市值50.938642亿, 利润2.59亿; PE18.87; 平均PE41.77; 平均PEG5.29, PB1.52; ROIC5.6733%; ROE6.6333%; 股利率2.0768%; 毛利25.9933%; 净利6.8667%; 上一年度营收增-18.98%, 利润增11.16%; 当季营收增2.91%, 利润增14.88%; 过往5年营收增7.89%, 利润增69%
Income profile:
</v>
      </c>
      <c r="D14" t="s">
        <v>375</v>
      </c>
      <c r="E14" t="s">
        <v>682</v>
      </c>
      <c r="F14">
        <v>9.6300000000000008</v>
      </c>
      <c r="G14">
        <v>0.84</v>
      </c>
      <c r="H14" t="s">
        <v>3514</v>
      </c>
      <c r="I14">
        <v>5093864200</v>
      </c>
      <c r="J14">
        <v>18.87</v>
      </c>
      <c r="K14">
        <v>1.52</v>
      </c>
      <c r="L14" t="s">
        <v>85</v>
      </c>
      <c r="M14" t="s">
        <v>2268</v>
      </c>
      <c r="N14" t="s">
        <v>3515</v>
      </c>
      <c r="O14" t="s">
        <v>1090</v>
      </c>
      <c r="P14">
        <v>3.04</v>
      </c>
      <c r="Q14" t="s">
        <v>2269</v>
      </c>
      <c r="R14">
        <v>85523701</v>
      </c>
      <c r="S14" s="5">
        <v>0.14879999999999999</v>
      </c>
      <c r="T14" t="s">
        <v>343</v>
      </c>
      <c r="U14">
        <v>525869980</v>
      </c>
      <c r="V14">
        <v>528957870</v>
      </c>
      <c r="W14">
        <v>1.5</v>
      </c>
      <c r="X14">
        <v>0.12</v>
      </c>
      <c r="Y14">
        <v>13.91</v>
      </c>
      <c r="Z14" t="s">
        <v>1078</v>
      </c>
      <c r="AA14" t="s">
        <v>889</v>
      </c>
      <c r="AB14" t="s">
        <v>3516</v>
      </c>
      <c r="AC14" t="s">
        <v>3517</v>
      </c>
      <c r="AD14" t="s">
        <v>90</v>
      </c>
      <c r="AE14">
        <v>2892254</v>
      </c>
      <c r="AF14" t="s">
        <v>2270</v>
      </c>
      <c r="AG14" t="s">
        <v>3518</v>
      </c>
      <c r="AH14" t="s">
        <v>2271</v>
      </c>
      <c r="AI14" t="s">
        <v>467</v>
      </c>
      <c r="AJ14" t="s">
        <v>2272</v>
      </c>
      <c r="AK14" t="s">
        <v>230</v>
      </c>
      <c r="AL14" t="s">
        <v>2273</v>
      </c>
      <c r="AM14" t="s">
        <v>90</v>
      </c>
      <c r="AN14" t="s">
        <v>122</v>
      </c>
      <c r="AO14" t="s">
        <v>825</v>
      </c>
      <c r="AP14" t="s">
        <v>197</v>
      </c>
      <c r="AQ14" t="s">
        <v>1828</v>
      </c>
      <c r="AR14" t="s">
        <v>90</v>
      </c>
      <c r="AS14" t="s">
        <v>681</v>
      </c>
      <c r="AT14" t="s">
        <v>606</v>
      </c>
      <c r="AU14" t="s">
        <v>3519</v>
      </c>
      <c r="AV14" t="s">
        <v>3520</v>
      </c>
      <c r="AW14" t="s">
        <v>3521</v>
      </c>
      <c r="AX14" t="s">
        <v>1767</v>
      </c>
      <c r="AY14" t="s">
        <v>1220</v>
      </c>
      <c r="AZ14" t="s">
        <v>683</v>
      </c>
      <c r="BA14" t="s">
        <v>376</v>
      </c>
      <c r="BB14" t="s">
        <v>687</v>
      </c>
      <c r="BC14" t="s">
        <v>432</v>
      </c>
      <c r="BD14" t="s">
        <v>323</v>
      </c>
      <c r="BE14" t="s">
        <v>684</v>
      </c>
      <c r="BF14" t="s">
        <v>377</v>
      </c>
      <c r="BG14" t="s">
        <v>690</v>
      </c>
      <c r="BH14" t="s">
        <v>2269</v>
      </c>
      <c r="BI14" t="s">
        <v>1769</v>
      </c>
      <c r="BJ14" t="s">
        <v>1767</v>
      </c>
      <c r="BK14" t="s">
        <v>343</v>
      </c>
      <c r="BL14" t="s">
        <v>2274</v>
      </c>
      <c r="BM14" t="s">
        <v>432</v>
      </c>
      <c r="BN14">
        <v>6.38</v>
      </c>
      <c r="BO14">
        <v>6.67</v>
      </c>
      <c r="BP14">
        <v>3.97</v>
      </c>
      <c r="BQ14">
        <v>7.49</v>
      </c>
      <c r="BR14">
        <v>7.91</v>
      </c>
      <c r="BS14">
        <v>4.5</v>
      </c>
      <c r="BT14" t="s">
        <v>1694</v>
      </c>
      <c r="BU14" t="s">
        <v>1458</v>
      </c>
      <c r="BV14">
        <v>32.86</v>
      </c>
      <c r="BW14">
        <v>24.18</v>
      </c>
      <c r="BX14">
        <v>20.94</v>
      </c>
      <c r="BY14">
        <v>9.7100000000000009</v>
      </c>
      <c r="BZ14">
        <v>6.94</v>
      </c>
      <c r="CA14">
        <v>3.95</v>
      </c>
      <c r="CB14">
        <v>-5.31</v>
      </c>
      <c r="CC14">
        <v>-10.42</v>
      </c>
      <c r="CD14" t="s">
        <v>3522</v>
      </c>
      <c r="CE14" t="s">
        <v>144</v>
      </c>
      <c r="CF14" s="8">
        <v>2.9126213592233011E-2</v>
      </c>
      <c r="CG14" s="9">
        <v>0.14882497699628583</v>
      </c>
      <c r="CH14" s="8">
        <v>-0.18975552916526794</v>
      </c>
      <c r="CI14" s="8">
        <v>3.2451923936605453E-2</v>
      </c>
      <c r="CJ14" s="8">
        <v>0.4131634533405304</v>
      </c>
      <c r="CK14" s="8">
        <v>0.12949639558792114</v>
      </c>
      <c r="CL14" s="8">
        <v>9.1965459287166595E-3</v>
      </c>
      <c r="CM14" s="9">
        <v>0.11158798635005951</v>
      </c>
      <c r="CN14" s="9">
        <v>0.83464568853378296</v>
      </c>
      <c r="CO14" s="9">
        <v>1.039400577545166</v>
      </c>
      <c r="CP14" s="9">
        <v>1.2635499238967896</v>
      </c>
      <c r="CQ14" s="9">
        <v>0.20101542770862579</v>
      </c>
      <c r="CR14">
        <v>41.770606507225999</v>
      </c>
      <c r="CS14">
        <v>5.2934116302352647</v>
      </c>
      <c r="CT14">
        <v>2.0768431983385254</v>
      </c>
      <c r="CU14" s="8">
        <v>7.8910557925701147E-2</v>
      </c>
      <c r="CV14" s="9">
        <v>0.69003992080688481</v>
      </c>
      <c r="CW14">
        <v>0.06</v>
      </c>
      <c r="CX14">
        <v>12.847494536265399</v>
      </c>
      <c r="CY14">
        <v>263620598.58750623</v>
      </c>
      <c r="CZ14">
        <v>7.8910557925701147E-2</v>
      </c>
      <c r="DA14">
        <v>4.2381016711914308</v>
      </c>
      <c r="DB14">
        <v>799146519.54252732</v>
      </c>
      <c r="DC14">
        <v>7.4965030029416083E-2</v>
      </c>
      <c r="DD14">
        <v>2.1126043960362595</v>
      </c>
      <c r="DE14">
        <v>1603170099.5958121</v>
      </c>
      <c r="DF14">
        <v>6.9441290974617015E-2</v>
      </c>
      <c r="DG14">
        <v>1.2865988423617949</v>
      </c>
      <c r="DH14">
        <v>2632416638.726934</v>
      </c>
      <c r="DI14">
        <v>6.3128446340560918E-2</v>
      </c>
      <c r="DJ14">
        <v>0.68526161817964026</v>
      </c>
      <c r="DK14">
        <v>4942439661.2158413</v>
      </c>
      <c r="DL14">
        <v>5.5237390547990796E-2</v>
      </c>
      <c r="DM14">
        <v>259000000</v>
      </c>
      <c r="DN14">
        <v>7.8910557925701147E-2</v>
      </c>
      <c r="DO14">
        <v>3386864200.0000005</v>
      </c>
      <c r="DP14">
        <v>1452987000</v>
      </c>
      <c r="DQ14">
        <v>564</v>
      </c>
      <c r="DR14">
        <v>-4.9784344333468136E-2</v>
      </c>
      <c r="DS14">
        <v>-0.54121494381059898</v>
      </c>
      <c r="DT14" s="10">
        <v>-0.47333333333333333</v>
      </c>
      <c r="DU14">
        <v>0.9</v>
      </c>
      <c r="DV14">
        <v>0.42666666666666669</v>
      </c>
      <c r="DW14">
        <v>-8.5095969289827256</v>
      </c>
      <c r="DX14">
        <v>0.28832108843537274</v>
      </c>
      <c r="DY14">
        <v>-8.0602960633005605</v>
      </c>
      <c r="DZ14">
        <v>824</v>
      </c>
      <c r="EA14">
        <v>-8.0505731755980818</v>
      </c>
      <c r="EB14">
        <v>8</v>
      </c>
      <c r="EC14">
        <v>6.5764027671995878E-2</v>
      </c>
      <c r="ED14">
        <v>0.5558098606227373</v>
      </c>
      <c r="EE14" s="11">
        <v>6.8710000000000007E-2</v>
      </c>
      <c r="EF14">
        <v>9.040999999999999E-2</v>
      </c>
      <c r="EG14">
        <v>17.118321088435373</v>
      </c>
      <c r="EH14">
        <v>-1</v>
      </c>
      <c r="EI14">
        <v>0</v>
      </c>
      <c r="EJ14">
        <v>1</v>
      </c>
      <c r="EK14" s="13">
        <v>45470</v>
      </c>
      <c r="EL14" s="14">
        <v>0.49</v>
      </c>
      <c r="EM14" s="14">
        <v>-5.04</v>
      </c>
      <c r="EN14" s="14">
        <v>1.43</v>
      </c>
      <c r="EO14" s="14">
        <v>2.11</v>
      </c>
      <c r="EP14" s="14">
        <v>-2.17</v>
      </c>
    </row>
    <row r="15" spans="1:146" ht="96">
      <c r="C15" s="7" t="str">
        <f>""&amp;CHAR(10)&amp;Basic_Fundamental_Information_Constructure(F15)&amp;CHAR(10)&amp;Basic_Fundamental_Information_Concatenate("")</f>
        <v xml:space="preserve">
市值10.1274522亿, 利润-1705.89万; PE; 平均PE-197.64; 平均PEG-12.04, PB7.33; ROIC9.24%; ROE-2.25%; 股利率0%; 毛利30.91%; 净利-2.7367%; 上一年度营收增6.08%, 利润增18.71%; 当季营收增34.13%, 利润增15.26%; 过往5年营收增16.42%, 利润增16.9%
Income profile:
</v>
      </c>
      <c r="D15" t="s">
        <v>3523</v>
      </c>
      <c r="E15" t="s">
        <v>3524</v>
      </c>
      <c r="F15">
        <v>7.06</v>
      </c>
      <c r="G15">
        <v>-0.84</v>
      </c>
      <c r="H15" t="s">
        <v>3525</v>
      </c>
      <c r="I15">
        <v>1012745220</v>
      </c>
      <c r="K15">
        <v>7.33</v>
      </c>
      <c r="L15" t="s">
        <v>85</v>
      </c>
      <c r="M15" t="s">
        <v>253</v>
      </c>
      <c r="N15" t="s">
        <v>391</v>
      </c>
      <c r="O15" t="s">
        <v>3526</v>
      </c>
      <c r="P15" s="5">
        <v>34.130000000000003</v>
      </c>
      <c r="Q15" t="s">
        <v>166</v>
      </c>
      <c r="R15">
        <v>-5113090</v>
      </c>
      <c r="S15">
        <v>0.15260000000000001</v>
      </c>
      <c r="T15" t="s">
        <v>3527</v>
      </c>
      <c r="U15">
        <v>143117780</v>
      </c>
      <c r="V15">
        <v>143448330</v>
      </c>
      <c r="W15">
        <v>1.68</v>
      </c>
      <c r="X15">
        <v>0.11</v>
      </c>
      <c r="Y15">
        <v>-12.54</v>
      </c>
      <c r="Z15" t="s">
        <v>3528</v>
      </c>
      <c r="AA15" t="s">
        <v>3529</v>
      </c>
      <c r="AB15" t="s">
        <v>3530</v>
      </c>
      <c r="AC15" t="s">
        <v>3531</v>
      </c>
      <c r="AD15" t="s">
        <v>90</v>
      </c>
      <c r="AE15">
        <v>201200</v>
      </c>
      <c r="AF15" t="s">
        <v>182</v>
      </c>
      <c r="AG15" t="s">
        <v>3532</v>
      </c>
      <c r="AH15" t="s">
        <v>3533</v>
      </c>
      <c r="AI15" t="s">
        <v>3534</v>
      </c>
      <c r="AJ15" t="s">
        <v>3535</v>
      </c>
      <c r="AK15" t="s">
        <v>3536</v>
      </c>
      <c r="AL15" t="s">
        <v>3537</v>
      </c>
      <c r="AM15" t="s">
        <v>90</v>
      </c>
      <c r="AN15">
        <v>0</v>
      </c>
      <c r="AO15" t="s">
        <v>3538</v>
      </c>
      <c r="AP15" t="s">
        <v>90</v>
      </c>
      <c r="AQ15" t="s">
        <v>3539</v>
      </c>
      <c r="AR15" t="s">
        <v>90</v>
      </c>
      <c r="AS15" t="s">
        <v>109</v>
      </c>
      <c r="AT15" t="s">
        <v>90</v>
      </c>
      <c r="AU15" t="s">
        <v>3540</v>
      </c>
      <c r="AV15" t="s">
        <v>3541</v>
      </c>
      <c r="AW15" t="s">
        <v>3542</v>
      </c>
      <c r="AX15" t="s">
        <v>502</v>
      </c>
      <c r="AY15" t="s">
        <v>740</v>
      </c>
      <c r="AZ15" t="s">
        <v>137</v>
      </c>
      <c r="BA15" t="s">
        <v>3543</v>
      </c>
      <c r="BB15" t="s">
        <v>393</v>
      </c>
      <c r="BC15" t="s">
        <v>3544</v>
      </c>
      <c r="BD15" t="s">
        <v>3545</v>
      </c>
      <c r="BE15" t="s">
        <v>3546</v>
      </c>
      <c r="BF15" t="s">
        <v>3547</v>
      </c>
      <c r="BG15" t="s">
        <v>3548</v>
      </c>
      <c r="BH15" t="s">
        <v>166</v>
      </c>
      <c r="BI15" t="s">
        <v>3549</v>
      </c>
      <c r="BJ15" t="s">
        <v>502</v>
      </c>
      <c r="BK15" t="s">
        <v>3527</v>
      </c>
      <c r="BL15" t="s">
        <v>3550</v>
      </c>
      <c r="BM15" t="s">
        <v>3544</v>
      </c>
      <c r="BN15" t="s">
        <v>90</v>
      </c>
      <c r="BO15" t="s">
        <v>90</v>
      </c>
      <c r="BP15">
        <v>9.24</v>
      </c>
      <c r="BQ15">
        <v>-5.19</v>
      </c>
      <c r="BR15">
        <v>-9.98</v>
      </c>
      <c r="BS15">
        <v>8.42</v>
      </c>
      <c r="BT15" t="s">
        <v>1692</v>
      </c>
      <c r="BU15" t="s">
        <v>3551</v>
      </c>
      <c r="BV15">
        <v>29.49</v>
      </c>
      <c r="BW15">
        <v>28.62</v>
      </c>
      <c r="BX15">
        <v>34.619999999999997</v>
      </c>
      <c r="BY15">
        <v>-7.62</v>
      </c>
      <c r="BZ15">
        <v>-10.3</v>
      </c>
      <c r="CA15">
        <v>9.7100000000000009</v>
      </c>
      <c r="CB15">
        <v>-7.11</v>
      </c>
      <c r="CC15" s="8">
        <v>-19.41</v>
      </c>
      <c r="CD15" s="9" t="s">
        <v>3552</v>
      </c>
      <c r="CE15" s="8" t="s">
        <v>3553</v>
      </c>
      <c r="CF15" s="8">
        <v>0.3413037244075724</v>
      </c>
      <c r="CG15" s="8">
        <v>0.15262015246934041</v>
      </c>
      <c r="CH15" s="8">
        <v>6.0810811817646027E-2</v>
      </c>
      <c r="CI15" s="8">
        <v>-0.39591836929321289</v>
      </c>
      <c r="CJ15" s="9">
        <v>0.32432430982589722</v>
      </c>
      <c r="CK15" s="9">
        <v>1.0667481422424316</v>
      </c>
      <c r="CL15" s="9">
        <v>-0.23493504524230957</v>
      </c>
      <c r="CM15" s="9">
        <v>0.18712176382541656</v>
      </c>
      <c r="CN15" s="9">
        <v>-2.4351227283477783</v>
      </c>
      <c r="CO15">
        <v>6.0046944618225098</v>
      </c>
      <c r="CP15">
        <v>1.1493575572967529</v>
      </c>
      <c r="CQ15">
        <v>-4.0608124732971191</v>
      </c>
      <c r="CR15" s="8">
        <v>-197.6422458431995</v>
      </c>
      <c r="CS15" s="9">
        <v>-12.036239973465138</v>
      </c>
      <c r="CT15">
        <v>0</v>
      </c>
      <c r="CU15">
        <v>0.16420596987009048</v>
      </c>
      <c r="CV15">
        <v>0.16904771625995635</v>
      </c>
      <c r="CW15">
        <v>0.06</v>
      </c>
      <c r="CX15" t="e">
        <v>#VALUE!</v>
      </c>
      <c r="CY15" t="s">
        <v>1392</v>
      </c>
      <c r="CZ15">
        <v>0.16420596987009048</v>
      </c>
      <c r="DA15" t="e">
        <v>#VALUE!</v>
      </c>
      <c r="DB15" t="s">
        <v>1391</v>
      </c>
      <c r="DC15">
        <v>0.15599567137658596</v>
      </c>
      <c r="DD15" t="e">
        <v>#VALUE!</v>
      </c>
      <c r="DE15" t="s">
        <v>1391</v>
      </c>
      <c r="DF15">
        <v>0.14450125348567963</v>
      </c>
      <c r="DG15" t="e">
        <v>#VALUE!</v>
      </c>
      <c r="DH15" t="s">
        <v>1391</v>
      </c>
      <c r="DI15">
        <v>0.1313647758960724</v>
      </c>
      <c r="DJ15" t="e">
        <v>#VALUE!</v>
      </c>
      <c r="DK15" t="s">
        <v>1391</v>
      </c>
      <c r="DL15">
        <v>0.11494417890906333</v>
      </c>
      <c r="DM15">
        <v>-17058900</v>
      </c>
      <c r="DN15">
        <v>0.16420596987009048</v>
      </c>
      <c r="DO15">
        <v>953745220</v>
      </c>
      <c r="DP15">
        <v>120250530.00000001</v>
      </c>
      <c r="DQ15" s="10">
        <v>576</v>
      </c>
      <c r="DR15">
        <v>0.17709775453748192</v>
      </c>
      <c r="DS15">
        <v>-1.642756379061594E-2</v>
      </c>
      <c r="DT15">
        <v>-0.32333333333333331</v>
      </c>
      <c r="DU15">
        <v>-1.2850000000000001</v>
      </c>
      <c r="DV15">
        <v>-1.6083333333333334</v>
      </c>
      <c r="DW15">
        <v>-9.3663060278207109</v>
      </c>
      <c r="DX15">
        <v>0.31996833957723669</v>
      </c>
      <c r="DY15">
        <v>-9.0585973670476125</v>
      </c>
      <c r="DZ15">
        <v>4101</v>
      </c>
      <c r="EA15">
        <v>-9.011570399873003</v>
      </c>
      <c r="EB15" s="11">
        <v>9</v>
      </c>
      <c r="EC15" s="11">
        <v>0.10454077785360065</v>
      </c>
      <c r="ED15">
        <v>0.65350917644004636</v>
      </c>
      <c r="EE15">
        <v>-3.05</v>
      </c>
      <c r="EF15">
        <v>-3.0811999999999999</v>
      </c>
      <c r="EG15">
        <v>16.159968339577237</v>
      </c>
      <c r="EH15" s="13" t="s">
        <v>2118</v>
      </c>
      <c r="EI15">
        <v>0</v>
      </c>
      <c r="EJ15">
        <v>0</v>
      </c>
      <c r="EK15">
        <v>45470</v>
      </c>
      <c r="EL15">
        <v>-1.53</v>
      </c>
      <c r="EM15">
        <v>-6.2</v>
      </c>
      <c r="EN15" s="14">
        <v>4.6500000000000004</v>
      </c>
      <c r="EO15" s="14">
        <v>5.74</v>
      </c>
      <c r="EP15" s="14">
        <v>3.12</v>
      </c>
    </row>
    <row r="16" spans="1:146" ht="108">
      <c r="A16" s="7"/>
      <c r="B16" s="7"/>
      <c r="C16" s="7" t="str">
        <f>""&amp;CHAR(10)&amp;Basic_Fundamental_Information_Constructure(F16)&amp;CHAR(10)&amp;Basic_Fundamental_Information_Concatenate("")</f>
        <v xml:space="preserve">
市值41.00143亿, 利润1.41亿; PE50.67; 平均PE-9.35; 平均PEG-.76, PB1.81; ROIC5.505%; ROE-15.35%; 股利率0%; 毛利24.57%; 净利-18.57%; 上一年度营收增13.94%, 利润增65.68%; 当季营收增15.08%, 利润增-106.81%; 过往5年营收增-12.37%, 利润增-85.56%
Income profile:
</v>
      </c>
      <c r="D16" t="s">
        <v>205</v>
      </c>
      <c r="E16" t="s">
        <v>1770</v>
      </c>
      <c r="F16">
        <v>2.0499999999999998</v>
      </c>
      <c r="G16">
        <v>0.49</v>
      </c>
      <c r="H16" t="s">
        <v>3554</v>
      </c>
      <c r="I16">
        <v>4100143000</v>
      </c>
      <c r="J16">
        <v>50.67</v>
      </c>
      <c r="K16">
        <v>1.81</v>
      </c>
      <c r="L16" t="s">
        <v>85</v>
      </c>
      <c r="M16" t="s">
        <v>2275</v>
      </c>
      <c r="N16" t="s">
        <v>978</v>
      </c>
      <c r="O16" t="s">
        <v>1221</v>
      </c>
      <c r="P16">
        <v>15.16</v>
      </c>
      <c r="Q16" t="s">
        <v>2011</v>
      </c>
      <c r="R16">
        <v>-3814853</v>
      </c>
      <c r="S16" s="5">
        <v>-1.0680000000000001</v>
      </c>
      <c r="T16" t="s">
        <v>135</v>
      </c>
      <c r="U16">
        <v>1987286000</v>
      </c>
      <c r="V16">
        <v>2000069800</v>
      </c>
      <c r="W16">
        <v>1.52</v>
      </c>
      <c r="X16">
        <v>0.06</v>
      </c>
      <c r="Y16">
        <v>-2.4500000000000002</v>
      </c>
      <c r="Z16" t="s">
        <v>1453</v>
      </c>
      <c r="AA16" t="s">
        <v>671</v>
      </c>
      <c r="AB16" t="s">
        <v>3555</v>
      </c>
      <c r="AC16" t="s">
        <v>3556</v>
      </c>
      <c r="AD16" t="s">
        <v>90</v>
      </c>
      <c r="AE16">
        <v>-296749</v>
      </c>
      <c r="AF16" t="s">
        <v>2276</v>
      </c>
      <c r="AG16" t="s">
        <v>3557</v>
      </c>
      <c r="AH16" t="s">
        <v>2277</v>
      </c>
      <c r="AI16" t="s">
        <v>1765</v>
      </c>
      <c r="AJ16" t="s">
        <v>2278</v>
      </c>
      <c r="AK16" t="s">
        <v>165</v>
      </c>
      <c r="AL16" t="s">
        <v>2279</v>
      </c>
      <c r="AM16" t="s">
        <v>90</v>
      </c>
      <c r="AN16" t="s">
        <v>3558</v>
      </c>
      <c r="AO16" t="s">
        <v>3559</v>
      </c>
      <c r="AP16" t="s">
        <v>2280</v>
      </c>
      <c r="AQ16" t="s">
        <v>1540</v>
      </c>
      <c r="AR16" t="s">
        <v>90</v>
      </c>
      <c r="AS16" t="s">
        <v>3560</v>
      </c>
      <c r="AT16" t="s">
        <v>90</v>
      </c>
      <c r="AU16" t="s">
        <v>3561</v>
      </c>
      <c r="AV16" t="s">
        <v>3562</v>
      </c>
      <c r="AW16" t="s">
        <v>3563</v>
      </c>
      <c r="AX16" t="s">
        <v>1572</v>
      </c>
      <c r="AY16" t="s">
        <v>940</v>
      </c>
      <c r="AZ16" t="s">
        <v>692</v>
      </c>
      <c r="BA16" t="s">
        <v>206</v>
      </c>
      <c r="BB16" t="s">
        <v>694</v>
      </c>
      <c r="BC16" t="s">
        <v>1771</v>
      </c>
      <c r="BD16" t="s">
        <v>1222</v>
      </c>
      <c r="BE16" t="s">
        <v>373</v>
      </c>
      <c r="BF16" t="s">
        <v>207</v>
      </c>
      <c r="BG16" t="s">
        <v>695</v>
      </c>
      <c r="BH16" t="s">
        <v>2011</v>
      </c>
      <c r="BI16" t="s">
        <v>441</v>
      </c>
      <c r="BJ16" t="s">
        <v>1572</v>
      </c>
      <c r="BK16" t="s">
        <v>135</v>
      </c>
      <c r="BL16" t="s">
        <v>2281</v>
      </c>
      <c r="BM16" t="s">
        <v>1771</v>
      </c>
      <c r="BN16">
        <v>5.74</v>
      </c>
      <c r="BO16">
        <v>5.27</v>
      </c>
      <c r="BP16" t="s">
        <v>90</v>
      </c>
      <c r="BQ16">
        <v>5.75</v>
      </c>
      <c r="BR16">
        <v>11.1</v>
      </c>
      <c r="BS16">
        <v>-62.9</v>
      </c>
      <c r="BT16" t="s">
        <v>1692</v>
      </c>
      <c r="BU16" t="s">
        <v>1447</v>
      </c>
      <c r="BV16">
        <v>20.37</v>
      </c>
      <c r="BW16">
        <v>22.64</v>
      </c>
      <c r="BX16">
        <v>30.7</v>
      </c>
      <c r="BY16">
        <v>18.91</v>
      </c>
      <c r="BZ16">
        <v>9.0500000000000007</v>
      </c>
      <c r="CA16">
        <v>-83.67</v>
      </c>
      <c r="CB16">
        <v>-1.91</v>
      </c>
      <c r="CC16">
        <v>-25.18</v>
      </c>
      <c r="CD16" t="s">
        <v>326</v>
      </c>
      <c r="CE16" t="s">
        <v>1340</v>
      </c>
      <c r="CF16" s="8">
        <v>0.15075376884422109</v>
      </c>
      <c r="CG16" s="9">
        <v>-1.0680558989701132</v>
      </c>
      <c r="CH16" s="8">
        <v>0.13940255343914032</v>
      </c>
      <c r="CI16" s="8">
        <v>-0.16109785437583923</v>
      </c>
      <c r="CJ16" s="8">
        <v>0.16066482663154602</v>
      </c>
      <c r="CK16" s="8">
        <v>-0.38761666417121887</v>
      </c>
      <c r="CL16" s="8">
        <v>-0.36985567212104797</v>
      </c>
      <c r="CM16" s="9">
        <v>0.65678471326828003</v>
      </c>
      <c r="CN16" s="9">
        <v>1.1170626878738403</v>
      </c>
      <c r="CO16" s="9">
        <v>-5.5437498092651367</v>
      </c>
      <c r="CP16" s="9">
        <v>1.0967352390289307</v>
      </c>
      <c r="CQ16" s="9">
        <v>-1.6047244071960449</v>
      </c>
      <c r="CR16">
        <v>-9.3543104413962617</v>
      </c>
      <c r="CS16">
        <v>-0.75620597684599156</v>
      </c>
      <c r="CT16">
        <v>0</v>
      </c>
      <c r="CU16" s="8">
        <v>-0.12370056211948395</v>
      </c>
      <c r="CV16" s="9">
        <v>-0.85557831525802608</v>
      </c>
      <c r="CW16">
        <v>0.06</v>
      </c>
      <c r="CX16" t="e">
        <v>#VALUE!</v>
      </c>
      <c r="CY16" t="s">
        <v>1734</v>
      </c>
      <c r="CZ16">
        <v>-0.12370056211948395</v>
      </c>
      <c r="DA16">
        <v>6.9837895981087472</v>
      </c>
      <c r="DB16" t="s">
        <v>2283</v>
      </c>
      <c r="DC16">
        <v>-0.11751553401350975</v>
      </c>
      <c r="DD16">
        <v>3.4918947990543736</v>
      </c>
      <c r="DE16" t="s">
        <v>2284</v>
      </c>
      <c r="DF16">
        <v>-0.10885649466514588</v>
      </c>
      <c r="DG16">
        <v>2.0951368794326242</v>
      </c>
      <c r="DH16" t="s">
        <v>2285</v>
      </c>
      <c r="DI16">
        <v>-9.8960449695587163E-2</v>
      </c>
      <c r="DJ16">
        <v>1.0475684397163121</v>
      </c>
      <c r="DK16" t="s">
        <v>2286</v>
      </c>
      <c r="DL16">
        <v>-8.6590393483638756E-2</v>
      </c>
      <c r="DM16">
        <v>141000000</v>
      </c>
      <c r="DN16">
        <v>-0.12370056211948395</v>
      </c>
      <c r="DO16">
        <v>2954143000</v>
      </c>
      <c r="DP16">
        <v>550939900</v>
      </c>
      <c r="DQ16">
        <v>634</v>
      </c>
      <c r="DR16">
        <v>0.27445433096370503</v>
      </c>
      <c r="DS16">
        <v>-0.21247758371208714</v>
      </c>
      <c r="DT16" s="10">
        <v>-0.67333333333333334</v>
      </c>
      <c r="DU16">
        <v>-1.3316666666666668</v>
      </c>
      <c r="DV16">
        <v>-2.0049999999999999</v>
      </c>
      <c r="DW16">
        <v>-3.1038214285714285</v>
      </c>
      <c r="DX16">
        <v>0.43180371352785274</v>
      </c>
      <c r="DY16">
        <v>-3.0167986926866237</v>
      </c>
      <c r="DZ16">
        <v>4389</v>
      </c>
      <c r="EA16">
        <v>-3.0023702265023591</v>
      </c>
      <c r="EB16">
        <v>3</v>
      </c>
      <c r="EC16">
        <v>6.0997871174296017E-2</v>
      </c>
      <c r="ED16">
        <v>0.37698684315917375</v>
      </c>
      <c r="EE16" s="11">
        <v>-1.0368999999999999</v>
      </c>
      <c r="EF16">
        <v>-1.0096000000000001</v>
      </c>
      <c r="EG16">
        <v>27.161803713527853</v>
      </c>
      <c r="EH16" t="s">
        <v>1730</v>
      </c>
      <c r="EI16">
        <v>0</v>
      </c>
      <c r="EJ16">
        <v>0</v>
      </c>
      <c r="EK16" s="13">
        <v>45470</v>
      </c>
      <c r="EL16" s="14">
        <v>-3.11</v>
      </c>
      <c r="EM16" s="14">
        <v>-4.59</v>
      </c>
      <c r="EN16" s="14">
        <v>0.48</v>
      </c>
      <c r="EO16" s="14">
        <v>5.26</v>
      </c>
      <c r="EP16" s="14">
        <v>-2.73</v>
      </c>
    </row>
    <row r="17" spans="1:146" ht="108">
      <c r="C17" s="7" t="str">
        <f>""&amp;CHAR(10)&amp;Basic_Fundamental_Information_Constructure(F17)&amp;CHAR(10)&amp;Basic_Fundamental_Information_Concatenate("")</f>
        <v xml:space="preserve">
市值95.478227亿, 利润19.66亿; PE8.44; 平均PE15.37; 平均PEG1.36, PB.71; ROIC13.63%; ROE1.5267%; 股利率2.1277%; 毛利8.1467%; 净利.7133%; 上一年度营收增1%, 利润增545.81%; 当季营收增-6.8%, 利润增-221.44%; 过往5年营收增11.35%, 利润增409.42%
Income profile:
</v>
      </c>
      <c r="D17" t="s">
        <v>2287</v>
      </c>
      <c r="E17" t="s">
        <v>2288</v>
      </c>
      <c r="F17">
        <v>1.41</v>
      </c>
      <c r="G17">
        <v>0.71</v>
      </c>
      <c r="H17" t="s">
        <v>3564</v>
      </c>
      <c r="I17">
        <v>9547822700</v>
      </c>
      <c r="J17">
        <v>8.44</v>
      </c>
      <c r="K17">
        <v>0.71</v>
      </c>
      <c r="L17" t="s">
        <v>85</v>
      </c>
      <c r="M17" t="s">
        <v>2289</v>
      </c>
      <c r="N17" t="s">
        <v>3565</v>
      </c>
      <c r="O17" t="s">
        <v>2290</v>
      </c>
      <c r="P17" s="5">
        <v>-6.81</v>
      </c>
      <c r="Q17" t="s">
        <v>2291</v>
      </c>
      <c r="R17">
        <v>-725000000</v>
      </c>
      <c r="S17">
        <v>-1.399</v>
      </c>
      <c r="T17" t="s">
        <v>589</v>
      </c>
      <c r="U17">
        <v>5851236700</v>
      </c>
      <c r="V17">
        <v>6771505400</v>
      </c>
      <c r="W17">
        <v>1.75</v>
      </c>
      <c r="X17">
        <v>0.2</v>
      </c>
      <c r="Y17">
        <v>-5.13</v>
      </c>
      <c r="Z17" t="s">
        <v>3566</v>
      </c>
      <c r="AA17" t="s">
        <v>3567</v>
      </c>
      <c r="AB17" t="s">
        <v>542</v>
      </c>
      <c r="AC17" t="s">
        <v>480</v>
      </c>
      <c r="AD17" t="s">
        <v>90</v>
      </c>
      <c r="AE17">
        <v>1143413</v>
      </c>
      <c r="AF17" t="s">
        <v>2293</v>
      </c>
      <c r="AG17" t="s">
        <v>3568</v>
      </c>
      <c r="AH17" t="s">
        <v>2294</v>
      </c>
      <c r="AI17" t="s">
        <v>3569</v>
      </c>
      <c r="AJ17" t="s">
        <v>2295</v>
      </c>
      <c r="AK17" t="s">
        <v>3570</v>
      </c>
      <c r="AL17" t="s">
        <v>2296</v>
      </c>
      <c r="AM17" t="s">
        <v>90</v>
      </c>
      <c r="AN17" t="s">
        <v>295</v>
      </c>
      <c r="AO17" t="s">
        <v>3571</v>
      </c>
      <c r="AP17" t="s">
        <v>2016</v>
      </c>
      <c r="AQ17" t="s">
        <v>3242</v>
      </c>
      <c r="AR17" t="s">
        <v>3572</v>
      </c>
      <c r="AS17" t="s">
        <v>3573</v>
      </c>
      <c r="AT17" t="s">
        <v>810</v>
      </c>
      <c r="AU17" t="s">
        <v>3574</v>
      </c>
      <c r="AV17" t="s">
        <v>3575</v>
      </c>
      <c r="AW17" t="s">
        <v>3576</v>
      </c>
      <c r="AX17" t="s">
        <v>2297</v>
      </c>
      <c r="AY17" t="s">
        <v>2298</v>
      </c>
      <c r="AZ17" t="s">
        <v>2299</v>
      </c>
      <c r="BA17" t="s">
        <v>2300</v>
      </c>
      <c r="BB17" t="s">
        <v>2301</v>
      </c>
      <c r="BC17" t="s">
        <v>2302</v>
      </c>
      <c r="BD17" t="s">
        <v>2303</v>
      </c>
      <c r="BE17" t="s">
        <v>2304</v>
      </c>
      <c r="BF17" t="s">
        <v>224</v>
      </c>
      <c r="BG17" t="s">
        <v>2305</v>
      </c>
      <c r="BH17" t="s">
        <v>2291</v>
      </c>
      <c r="BI17" t="s">
        <v>2306</v>
      </c>
      <c r="BJ17" t="s">
        <v>2297</v>
      </c>
      <c r="BK17" t="s">
        <v>589</v>
      </c>
      <c r="BL17" t="s">
        <v>508</v>
      </c>
      <c r="BM17" t="s">
        <v>2302</v>
      </c>
      <c r="BN17">
        <v>13.63</v>
      </c>
      <c r="BO17" t="s">
        <v>90</v>
      </c>
      <c r="BP17" t="s">
        <v>90</v>
      </c>
      <c r="BQ17">
        <v>16.57</v>
      </c>
      <c r="BR17">
        <v>-3.77</v>
      </c>
      <c r="BS17">
        <v>-8.2200000000000006</v>
      </c>
      <c r="BT17" t="s">
        <v>1719</v>
      </c>
      <c r="BU17" t="s">
        <v>1381</v>
      </c>
      <c r="BV17">
        <v>8.4499999999999993</v>
      </c>
      <c r="BW17">
        <v>8.67</v>
      </c>
      <c r="BX17">
        <v>7.32</v>
      </c>
      <c r="BY17">
        <v>9.4600000000000009</v>
      </c>
      <c r="BZ17">
        <v>-2.2599999999999998</v>
      </c>
      <c r="CA17">
        <v>-5.0599999999999996</v>
      </c>
      <c r="CB17">
        <v>-1.4</v>
      </c>
      <c r="CC17" s="8">
        <v>-22.95</v>
      </c>
      <c r="CD17" s="9" t="s">
        <v>1553</v>
      </c>
      <c r="CE17" s="8" t="s">
        <v>3577</v>
      </c>
      <c r="CF17" s="8">
        <v>-6.7963034270311903E-2</v>
      </c>
      <c r="CG17" s="8">
        <v>-2.2144053601340032</v>
      </c>
      <c r="CH17" s="8">
        <v>1.0015779174864292E-2</v>
      </c>
      <c r="CI17" s="8">
        <v>-6.4102874603122473E-4</v>
      </c>
      <c r="CJ17" s="9">
        <v>0.3044121265411377</v>
      </c>
      <c r="CK17" s="9">
        <v>0.10795979201793671</v>
      </c>
      <c r="CL17" s="9">
        <v>0.14555102586746216</v>
      </c>
      <c r="CM17" s="9">
        <v>5.4580502510070801</v>
      </c>
      <c r="CN17" s="9">
        <v>0.56722277402877808</v>
      </c>
      <c r="CO17">
        <v>-1.2135372161865234</v>
      </c>
      <c r="CP17">
        <v>14.49350643157959</v>
      </c>
      <c r="CQ17">
        <v>1.1655913591384888</v>
      </c>
      <c r="CR17" s="8">
        <v>15.374915780998389</v>
      </c>
      <c r="CS17" s="9">
        <v>1.3551012035152166</v>
      </c>
      <c r="CT17">
        <v>2.1276595744680851</v>
      </c>
      <c r="CU17">
        <v>0.11345953897107393</v>
      </c>
      <c r="CV17">
        <v>4.094166719913483</v>
      </c>
      <c r="CW17">
        <v>0.06</v>
      </c>
      <c r="CX17">
        <v>3.4146743800402106</v>
      </c>
      <c r="CY17">
        <v>2065152314.7331426</v>
      </c>
      <c r="CZ17">
        <v>0.11345953897107393</v>
      </c>
      <c r="DA17">
        <v>1.0939934721138724</v>
      </c>
      <c r="DB17">
        <v>6445945866.9109726</v>
      </c>
      <c r="DC17">
        <v>0.10778656202252022</v>
      </c>
      <c r="DD17">
        <v>0.52434338086552379</v>
      </c>
      <c r="DE17">
        <v>13448863773.887426</v>
      </c>
      <c r="DF17">
        <v>9.9844394294545058E-2</v>
      </c>
      <c r="DG17">
        <v>0.30542680765301672</v>
      </c>
      <c r="DH17">
        <v>23088420935.241859</v>
      </c>
      <c r="DI17">
        <v>9.0767631176859154E-2</v>
      </c>
      <c r="DJ17">
        <v>0.14740593543375924</v>
      </c>
      <c r="DK17">
        <v>47839475929.169235</v>
      </c>
      <c r="DL17">
        <v>7.9421677279751746E-2</v>
      </c>
      <c r="DM17">
        <v>1966000000</v>
      </c>
      <c r="DN17">
        <v>0.11345953897107393</v>
      </c>
      <c r="DO17">
        <v>7051822700</v>
      </c>
      <c r="DP17">
        <v>7792702000.000001</v>
      </c>
      <c r="DQ17" s="10">
        <v>643</v>
      </c>
      <c r="DR17">
        <v>-0.18142257324138583</v>
      </c>
      <c r="DS17">
        <v>-6.3085720800474867</v>
      </c>
      <c r="DT17">
        <v>-0.3066666666666667</v>
      </c>
      <c r="DU17">
        <v>-0.99333333333333351</v>
      </c>
      <c r="DV17">
        <v>-1.3000000000000003</v>
      </c>
      <c r="DW17">
        <v>-3.0786011904761903</v>
      </c>
      <c r="DX17">
        <v>0.24394261551802962</v>
      </c>
      <c r="DY17">
        <v>-3.0073840014161641</v>
      </c>
      <c r="DZ17">
        <v>3854</v>
      </c>
      <c r="EA17">
        <v>-3.0018149326377106</v>
      </c>
      <c r="EB17" s="11">
        <v>3</v>
      </c>
      <c r="EC17" s="11">
        <v>6.5273521010556973E-2</v>
      </c>
      <c r="ED17">
        <v>0.69482334016893788</v>
      </c>
      <c r="EE17">
        <v>-1.0425</v>
      </c>
      <c r="EF17">
        <v>-1.0155000000000001</v>
      </c>
      <c r="EG17">
        <v>15.09394261551803</v>
      </c>
      <c r="EH17" s="13" t="s">
        <v>1730</v>
      </c>
      <c r="EI17">
        <v>0</v>
      </c>
      <c r="EJ17">
        <v>0</v>
      </c>
      <c r="EK17">
        <v>45470</v>
      </c>
      <c r="EL17">
        <v>0.72</v>
      </c>
      <c r="EM17">
        <v>3.57</v>
      </c>
      <c r="EN17" s="14">
        <v>1.38</v>
      </c>
      <c r="EO17" s="14">
        <v>0.68</v>
      </c>
      <c r="EP17" s="14">
        <v>-2.7</v>
      </c>
    </row>
    <row r="18" spans="1:146" ht="108">
      <c r="A18" s="7"/>
      <c r="B18" s="7"/>
      <c r="C18" s="7" t="str">
        <f>""&amp;CHAR(10)&amp;Basic_Fundamental_Information_Constructure(F18)&amp;CHAR(10)&amp;Basic_Fundamental_Information_Concatenate("")</f>
        <v xml:space="preserve">
市值29.852902亿, 利润5446.00万; PE52.27; 平均PE39.87; 平均PEG4.02, PB.81; ROIC3.26%; ROE3.8233%; 股利率0%; 毛利12.6033%; 净利3.2133%; 上一年度营收增3.62%, 利润增-70.88%; 当季营收增20.69%, 利润增57.64%; 过往5年营收增9.91%, 利润增36.46%
Income profile:
</v>
      </c>
      <c r="D18" t="s">
        <v>580</v>
      </c>
      <c r="E18" t="s">
        <v>68</v>
      </c>
      <c r="F18">
        <v>2.13</v>
      </c>
      <c r="G18">
        <v>0.95</v>
      </c>
      <c r="H18" t="s">
        <v>3578</v>
      </c>
      <c r="I18">
        <v>2985290200</v>
      </c>
      <c r="J18">
        <v>52.27</v>
      </c>
      <c r="K18">
        <v>0.81</v>
      </c>
      <c r="L18" t="s">
        <v>85</v>
      </c>
      <c r="M18" t="s">
        <v>2307</v>
      </c>
      <c r="N18" t="s">
        <v>3579</v>
      </c>
      <c r="O18" t="s">
        <v>2308</v>
      </c>
      <c r="P18">
        <v>20.71</v>
      </c>
      <c r="Q18" t="s">
        <v>2309</v>
      </c>
      <c r="R18">
        <v>-1951777</v>
      </c>
      <c r="S18" s="5">
        <v>0.57640000000000002</v>
      </c>
      <c r="T18" t="s">
        <v>2310</v>
      </c>
      <c r="U18">
        <v>1399482200</v>
      </c>
      <c r="V18">
        <v>1401544700</v>
      </c>
      <c r="W18">
        <v>2.31</v>
      </c>
      <c r="X18">
        <v>0.13</v>
      </c>
      <c r="Y18">
        <v>-0.17</v>
      </c>
      <c r="Z18" t="s">
        <v>3580</v>
      </c>
      <c r="AA18" t="s">
        <v>3581</v>
      </c>
      <c r="AB18" t="s">
        <v>3582</v>
      </c>
      <c r="AC18" t="s">
        <v>3583</v>
      </c>
      <c r="AD18" t="s">
        <v>90</v>
      </c>
      <c r="AE18">
        <v>18170070</v>
      </c>
      <c r="AF18" t="s">
        <v>2312</v>
      </c>
      <c r="AG18" t="s">
        <v>3584</v>
      </c>
      <c r="AH18" t="s">
        <v>2313</v>
      </c>
      <c r="AI18" t="s">
        <v>3585</v>
      </c>
      <c r="AJ18" t="s">
        <v>2315</v>
      </c>
      <c r="AK18" t="s">
        <v>2146</v>
      </c>
      <c r="AL18" t="s">
        <v>2316</v>
      </c>
      <c r="AM18" t="s">
        <v>90</v>
      </c>
      <c r="AN18" t="s">
        <v>1427</v>
      </c>
      <c r="AO18" t="s">
        <v>3586</v>
      </c>
      <c r="AP18" t="s">
        <v>222</v>
      </c>
      <c r="AQ18" t="s">
        <v>2016</v>
      </c>
      <c r="AR18" t="s">
        <v>90</v>
      </c>
      <c r="AS18" t="s">
        <v>3587</v>
      </c>
      <c r="AT18" t="s">
        <v>1183</v>
      </c>
      <c r="AU18" t="s">
        <v>3588</v>
      </c>
      <c r="AV18" t="s">
        <v>3589</v>
      </c>
      <c r="AW18" t="s">
        <v>3590</v>
      </c>
      <c r="AX18" t="s">
        <v>1772</v>
      </c>
      <c r="AY18" t="s">
        <v>1223</v>
      </c>
      <c r="AZ18" t="s">
        <v>696</v>
      </c>
      <c r="BA18" t="s">
        <v>581</v>
      </c>
      <c r="BB18" t="s">
        <v>697</v>
      </c>
      <c r="BC18" t="s">
        <v>126</v>
      </c>
      <c r="BD18" t="s">
        <v>219</v>
      </c>
      <c r="BE18" t="s">
        <v>326</v>
      </c>
      <c r="BF18" t="s">
        <v>582</v>
      </c>
      <c r="BG18" t="s">
        <v>699</v>
      </c>
      <c r="BH18" t="s">
        <v>2309</v>
      </c>
      <c r="BI18" t="s">
        <v>1603</v>
      </c>
      <c r="BJ18" t="s">
        <v>1772</v>
      </c>
      <c r="BK18" t="s">
        <v>2310</v>
      </c>
      <c r="BL18" t="s">
        <v>2318</v>
      </c>
      <c r="BM18" t="s">
        <v>126</v>
      </c>
      <c r="BN18">
        <v>1.72</v>
      </c>
      <c r="BO18">
        <v>4.0199999999999996</v>
      </c>
      <c r="BP18">
        <v>4.04</v>
      </c>
      <c r="BQ18">
        <v>1.38</v>
      </c>
      <c r="BR18">
        <v>5.18</v>
      </c>
      <c r="BS18">
        <v>4.91</v>
      </c>
      <c r="BT18" t="s">
        <v>1692</v>
      </c>
      <c r="BU18" t="s">
        <v>1337</v>
      </c>
      <c r="BV18">
        <v>10.24</v>
      </c>
      <c r="BW18">
        <v>13.98</v>
      </c>
      <c r="BX18">
        <v>13.59</v>
      </c>
      <c r="BY18">
        <v>1.19</v>
      </c>
      <c r="BZ18">
        <v>4.29</v>
      </c>
      <c r="CA18">
        <v>4.16</v>
      </c>
      <c r="CB18">
        <v>0.47</v>
      </c>
      <c r="CC18">
        <v>-16.8</v>
      </c>
      <c r="CD18" t="s">
        <v>3591</v>
      </c>
      <c r="CE18" t="s">
        <v>530</v>
      </c>
      <c r="CF18" s="8">
        <v>0.20685959271168275</v>
      </c>
      <c r="CG18" s="9">
        <v>0.57643728298611108</v>
      </c>
      <c r="CH18" s="8">
        <v>3.6223683506250381E-2</v>
      </c>
      <c r="CI18" s="8">
        <v>0.3006477952003479</v>
      </c>
      <c r="CJ18" s="8">
        <v>0.19872929155826569</v>
      </c>
      <c r="CK18" s="8">
        <v>-0.16331954300403595</v>
      </c>
      <c r="CL18" s="8">
        <v>0.12342393398284912</v>
      </c>
      <c r="CM18" s="9">
        <v>-0.7087700366973877</v>
      </c>
      <c r="CN18" s="9">
        <v>0.33571428060531616</v>
      </c>
      <c r="CO18" s="9">
        <v>0.14754098653793335</v>
      </c>
      <c r="CP18" s="9">
        <v>0.43791118264198303</v>
      </c>
      <c r="CQ18" s="9">
        <v>1.6103978157043457</v>
      </c>
      <c r="CR18">
        <v>39.865412671517561</v>
      </c>
      <c r="CS18">
        <v>4.0210810566808535</v>
      </c>
      <c r="CT18">
        <v>0</v>
      </c>
      <c r="CU18" s="8">
        <v>9.9141032248735425E-2</v>
      </c>
      <c r="CV18" s="9">
        <v>0.36455884575843811</v>
      </c>
      <c r="CW18">
        <v>0.06</v>
      </c>
      <c r="CX18">
        <v>76.185883562285312</v>
      </c>
      <c r="CY18">
        <v>56470962.845534086</v>
      </c>
      <c r="CZ18">
        <v>9.9141032248735425E-2</v>
      </c>
      <c r="DA18">
        <v>24.705065418098467</v>
      </c>
      <c r="DB18">
        <v>174146076.00464895</v>
      </c>
      <c r="DC18">
        <v>9.4183980636298653E-2</v>
      </c>
      <c r="DD18">
        <v>12.0361841885288</v>
      </c>
      <c r="DE18">
        <v>357446357.80003589</v>
      </c>
      <c r="DF18">
        <v>8.7244108378887172E-2</v>
      </c>
      <c r="DG18">
        <v>7.1434843075394889</v>
      </c>
      <c r="DH18">
        <v>602267747.05156267</v>
      </c>
      <c r="DI18">
        <v>7.9312825798988351E-2</v>
      </c>
      <c r="DJ18">
        <v>3.595627670220324</v>
      </c>
      <c r="DK18">
        <v>1196533844.6003156</v>
      </c>
      <c r="DL18">
        <v>6.9398722574114793E-2</v>
      </c>
      <c r="DM18">
        <v>54460000</v>
      </c>
      <c r="DN18">
        <v>9.9141032248735425E-2</v>
      </c>
      <c r="DO18">
        <v>4302290200</v>
      </c>
      <c r="DP18">
        <v>-659830000</v>
      </c>
      <c r="DQ18">
        <v>644</v>
      </c>
      <c r="DR18">
        <v>0.10771856046294732</v>
      </c>
      <c r="DS18">
        <v>0.21187843722767297</v>
      </c>
      <c r="DT18" s="10">
        <v>-0.27333333333333337</v>
      </c>
      <c r="DU18">
        <v>-0.10500000000000005</v>
      </c>
      <c r="DV18">
        <v>-0.37833333333333341</v>
      </c>
      <c r="DW18">
        <v>-3.0090476190476192</v>
      </c>
      <c r="DX18">
        <v>0.31822781774580211</v>
      </c>
      <c r="DY18">
        <v>-3.0013411088272242</v>
      </c>
      <c r="DZ18">
        <v>2636</v>
      </c>
      <c r="EA18">
        <v>-3.0006492961327891</v>
      </c>
      <c r="EB18">
        <v>3</v>
      </c>
      <c r="EC18">
        <v>4.4102053969452416E-2</v>
      </c>
      <c r="ED18">
        <v>0.29752886226176017</v>
      </c>
      <c r="EE18" s="11">
        <v>-1.0122100000000001</v>
      </c>
      <c r="EF18">
        <v>-1.0442100000000001</v>
      </c>
      <c r="EG18">
        <v>17.148227817745802</v>
      </c>
      <c r="EH18" t="s">
        <v>1726</v>
      </c>
      <c r="EI18">
        <v>0</v>
      </c>
      <c r="EJ18">
        <v>0</v>
      </c>
      <c r="EK18" s="13">
        <v>45470</v>
      </c>
      <c r="EL18" s="14">
        <v>-0.91</v>
      </c>
      <c r="EM18" s="14">
        <v>-3.67</v>
      </c>
      <c r="EN18" s="14">
        <v>0</v>
      </c>
      <c r="EO18" s="14">
        <v>4.29</v>
      </c>
      <c r="EP18" s="14">
        <v>-3.2</v>
      </c>
    </row>
    <row r="19" spans="1:146" ht="108">
      <c r="A19" s="7"/>
      <c r="B19" s="7"/>
      <c r="C19" s="7" t="str">
        <f>""&amp;CHAR(10)&amp;Basic_Fundamental_Information_Constructure(F19)&amp;CHAR(10)&amp;Basic_Fundamental_Information_Concatenate("")</f>
        <v xml:space="preserve">
市值44.1673亿, 利润6438.68万; PE67.99; 平均PE34.67; 平均PEG2.21, PB2.66; ROIC7.9533%; ROE7.51%; 股利率.5738%; 毛利23.49%; 净利7.96%; 上一年度营收增50.06%, 利润增-56.79%; 当季营收增115.09%, 利润增3.92%; 过往5年营收增15.68%, 利润增-6.33%
Income profile:
</v>
      </c>
      <c r="D19" t="s">
        <v>585</v>
      </c>
      <c r="E19" t="s">
        <v>60</v>
      </c>
      <c r="F19">
        <v>12.2</v>
      </c>
      <c r="G19">
        <v>2.35</v>
      </c>
      <c r="H19" t="s">
        <v>3592</v>
      </c>
      <c r="I19">
        <v>4416730000</v>
      </c>
      <c r="J19">
        <v>67.989999999999995</v>
      </c>
      <c r="K19">
        <v>2.66</v>
      </c>
      <c r="L19" t="s">
        <v>85</v>
      </c>
      <c r="M19" t="s">
        <v>2319</v>
      </c>
      <c r="N19" t="s">
        <v>2451</v>
      </c>
      <c r="O19" t="s">
        <v>1791</v>
      </c>
      <c r="P19">
        <v>115.29</v>
      </c>
      <c r="Q19" t="s">
        <v>2321</v>
      </c>
      <c r="R19">
        <v>15299769</v>
      </c>
      <c r="S19" s="5">
        <v>3.9199999999999999E-2</v>
      </c>
      <c r="T19" t="s">
        <v>2322</v>
      </c>
      <c r="U19">
        <v>355214600</v>
      </c>
      <c r="V19">
        <v>362027050</v>
      </c>
      <c r="W19">
        <v>2.1800000000000002</v>
      </c>
      <c r="X19">
        <v>0.17</v>
      </c>
      <c r="Y19">
        <v>4.13</v>
      </c>
      <c r="Z19" t="s">
        <v>747</v>
      </c>
      <c r="AA19" t="s">
        <v>122</v>
      </c>
      <c r="AB19" t="s">
        <v>3593</v>
      </c>
      <c r="AC19" t="s">
        <v>3594</v>
      </c>
      <c r="AD19" t="s">
        <v>90</v>
      </c>
      <c r="AE19">
        <v>-5034100</v>
      </c>
      <c r="AF19" t="s">
        <v>2324</v>
      </c>
      <c r="AG19" t="s">
        <v>3595</v>
      </c>
      <c r="AH19" t="s">
        <v>2325</v>
      </c>
      <c r="AI19" t="s">
        <v>1505</v>
      </c>
      <c r="AJ19" t="s">
        <v>2327</v>
      </c>
      <c r="AK19" t="s">
        <v>3596</v>
      </c>
      <c r="AL19" t="s">
        <v>2328</v>
      </c>
      <c r="AM19" t="s">
        <v>90</v>
      </c>
      <c r="AN19" t="s">
        <v>848</v>
      </c>
      <c r="AO19" t="s">
        <v>567</v>
      </c>
      <c r="AP19" t="s">
        <v>159</v>
      </c>
      <c r="AQ19" t="s">
        <v>362</v>
      </c>
      <c r="AR19" t="s">
        <v>90</v>
      </c>
      <c r="AS19" t="s">
        <v>3597</v>
      </c>
      <c r="AT19" t="s">
        <v>1099</v>
      </c>
      <c r="AU19" t="s">
        <v>3598</v>
      </c>
      <c r="AV19" t="s">
        <v>3599</v>
      </c>
      <c r="AW19" t="s">
        <v>3600</v>
      </c>
      <c r="AX19" t="s">
        <v>1773</v>
      </c>
      <c r="AY19" t="s">
        <v>1226</v>
      </c>
      <c r="AZ19" t="s">
        <v>700</v>
      </c>
      <c r="BA19" t="s">
        <v>586</v>
      </c>
      <c r="BB19" t="s">
        <v>703</v>
      </c>
      <c r="BC19" t="s">
        <v>188</v>
      </c>
      <c r="BD19" t="s">
        <v>281</v>
      </c>
      <c r="BE19" t="s">
        <v>333</v>
      </c>
      <c r="BF19" t="s">
        <v>167</v>
      </c>
      <c r="BG19" t="s">
        <v>174</v>
      </c>
      <c r="BH19" t="s">
        <v>2321</v>
      </c>
      <c r="BI19" t="s">
        <v>718</v>
      </c>
      <c r="BJ19" t="s">
        <v>1773</v>
      </c>
      <c r="BK19" t="s">
        <v>2322</v>
      </c>
      <c r="BL19" t="s">
        <v>2329</v>
      </c>
      <c r="BM19" t="s">
        <v>188</v>
      </c>
      <c r="BN19">
        <v>2.78</v>
      </c>
      <c r="BO19">
        <v>10.119999999999999</v>
      </c>
      <c r="BP19">
        <v>10.96</v>
      </c>
      <c r="BQ19">
        <v>2.68</v>
      </c>
      <c r="BR19">
        <v>9.8000000000000007</v>
      </c>
      <c r="BS19">
        <v>10.050000000000001</v>
      </c>
      <c r="BT19" t="s">
        <v>1822</v>
      </c>
      <c r="BU19" t="s">
        <v>1337</v>
      </c>
      <c r="BV19">
        <v>24.26</v>
      </c>
      <c r="BW19">
        <v>24.57</v>
      </c>
      <c r="BX19">
        <v>21.64</v>
      </c>
      <c r="BY19">
        <v>4.03</v>
      </c>
      <c r="BZ19">
        <v>10.62</v>
      </c>
      <c r="CA19">
        <v>9.23</v>
      </c>
      <c r="CB19">
        <v>-0.25</v>
      </c>
      <c r="CC19">
        <v>-16.670000000000002</v>
      </c>
      <c r="CD19" t="s">
        <v>3601</v>
      </c>
      <c r="CE19" t="s">
        <v>249</v>
      </c>
      <c r="CF19" s="8">
        <v>1.1509433962264151</v>
      </c>
      <c r="CG19" s="9">
        <v>3.9209984717269483E-2</v>
      </c>
      <c r="CH19" s="8">
        <v>0.50059604644775391</v>
      </c>
      <c r="CI19" s="8">
        <v>-0.1264965832233429</v>
      </c>
      <c r="CJ19" s="8">
        <v>0.34901681542396545</v>
      </c>
      <c r="CK19" s="8">
        <v>-3.2608695328235626E-2</v>
      </c>
      <c r="CL19" s="8">
        <v>9.3610696494579315E-2</v>
      </c>
      <c r="CM19" s="9">
        <v>-0.56787383556365967</v>
      </c>
      <c r="CN19" s="9">
        <v>3.4722223877906799E-2</v>
      </c>
      <c r="CO19" s="9">
        <v>8.2706764340400696E-2</v>
      </c>
      <c r="CP19" s="9">
        <v>-0.13071896135807037</v>
      </c>
      <c r="CQ19" s="9">
        <v>0.26446279883384705</v>
      </c>
      <c r="CR19">
        <v>34.668809037518699</v>
      </c>
      <c r="CS19">
        <v>2.2106874645053942</v>
      </c>
      <c r="CT19">
        <v>0.57377049180327866</v>
      </c>
      <c r="CU19" s="8">
        <v>0.15682365596294404</v>
      </c>
      <c r="CV19" s="9">
        <v>-6.33402019739151E-2</v>
      </c>
      <c r="CW19">
        <v>0.06</v>
      </c>
      <c r="CX19">
        <v>68.846757208486196</v>
      </c>
      <c r="CY19">
        <v>70268088.086561203</v>
      </c>
      <c r="CZ19">
        <v>0.15682365596294404</v>
      </c>
      <c r="DA19">
        <v>21.270041355934481</v>
      </c>
      <c r="DB19">
        <v>227443375.35809454</v>
      </c>
      <c r="DC19">
        <v>0.14898247316479682</v>
      </c>
      <c r="DD19">
        <v>9.6955237551576765</v>
      </c>
      <c r="DE19">
        <v>498965308.33896399</v>
      </c>
      <c r="DF19">
        <v>0.13800481724739075</v>
      </c>
      <c r="DG19">
        <v>5.324769230440987</v>
      </c>
      <c r="DH19">
        <v>908533269.82573271</v>
      </c>
      <c r="DI19">
        <v>0.12545892477035522</v>
      </c>
      <c r="DJ19">
        <v>2.2410627043451967</v>
      </c>
      <c r="DK19">
        <v>2158676770.0074277</v>
      </c>
      <c r="DL19">
        <v>0.10977655917406082</v>
      </c>
      <c r="DM19">
        <v>64386800</v>
      </c>
      <c r="DN19">
        <v>0.15682365596294404</v>
      </c>
      <c r="DO19">
        <v>4837730000</v>
      </c>
      <c r="DP19">
        <v>1280136400</v>
      </c>
      <c r="DQ19">
        <v>660</v>
      </c>
      <c r="DR19">
        <v>0.99411974026347105</v>
      </c>
      <c r="DS19">
        <v>0.10255018669118458</v>
      </c>
      <c r="DT19" s="10">
        <v>-0.14000000000000001</v>
      </c>
      <c r="DU19">
        <v>-6.6666666666666666E-2</v>
      </c>
      <c r="DV19">
        <v>-0.20666666666666667</v>
      </c>
      <c r="DW19">
        <v>-3.0075773809523811</v>
      </c>
      <c r="DX19">
        <v>0.33947843137255035</v>
      </c>
      <c r="DY19">
        <v>-3.0011326550186741</v>
      </c>
      <c r="DZ19">
        <v>2209</v>
      </c>
      <c r="EA19">
        <v>-3.0006430200017951</v>
      </c>
      <c r="EB19">
        <v>3</v>
      </c>
      <c r="EC19">
        <v>4.2115085046821779E-2</v>
      </c>
      <c r="ED19">
        <v>0.281746902614045</v>
      </c>
      <c r="EE19" s="11">
        <v>-4.0015999999999998</v>
      </c>
      <c r="EF19">
        <v>-4.0103099999999996</v>
      </c>
      <c r="EG19">
        <v>19.14947843137255</v>
      </c>
      <c r="EH19" t="s">
        <v>2124</v>
      </c>
      <c r="EI19">
        <v>0</v>
      </c>
      <c r="EJ19">
        <v>0</v>
      </c>
      <c r="EK19" s="13">
        <v>45470</v>
      </c>
      <c r="EL19" s="14">
        <v>-0.46</v>
      </c>
      <c r="EM19" s="14">
        <v>-3.1</v>
      </c>
      <c r="EN19" s="14">
        <v>-0.4</v>
      </c>
      <c r="EO19" s="14">
        <v>1.1299999999999999</v>
      </c>
      <c r="EP19" s="14">
        <v>-1.19</v>
      </c>
    </row>
    <row r="20" spans="1:146" ht="168">
      <c r="A20" s="7"/>
      <c r="B20" s="7"/>
      <c r="C20" s="7" t="str">
        <f>"公司主营业务为从事螺杆式压缩机应用技术的研制开发、生产销售及售后服务,主要产品有商用中央空调压缩机、冷冻冷藏压缩机、热泵压缩机、空压产品、太阳能光伏真空泵、半导体行业真空泵。"&amp;CHAR(10)&amp;Basic_Fundamental_Information_Constructure(F20)&amp;CHAR(10)&amp;Basic_Fundamental_Information_Concatenate("压缩机(组) 7.37亿 53.84% 46.87% 29.78%
真空产品 5.15亿 37.59% 45.68% 41.57%
零件及维修 8745.98万 6.39% 6.86% 36.72%")</f>
        <v>公司主营业务为从事螺杆式压缩机应用技术的研制开发、生产销售及售后服务,主要产品有商用中央空调压缩机、冷冻冷藏压缩机、热泵压缩机、空压产品、太阳能光伏真空泵、半导体行业真空泵。
市值86.304476亿, 利润8.65亿; PE9.64; 平均PE18.44; 平均PEG1.04, PB2.25; ROIC15.8167%; ROE21.15%; 股利率3.5936%; 毛利36.9767%; 净利19.5533%; 上一年度营收增17.94%, 利润增34.32%; 当季营收增8.55%, 利润增26.17%; 过往5年营收增17.75%, 利润增33.89%
Income profile:
压缩机(组) 7.37亿 53.84% 46.87% 29.78%
真空产品 5.15亿 37.59% 45.68% 41.57%
零件及维修 8745.98万 6.39% 6.86% 36.72%</v>
      </c>
      <c r="D20" t="s">
        <v>442</v>
      </c>
      <c r="E20" t="s">
        <v>49</v>
      </c>
      <c r="F20">
        <v>16.14</v>
      </c>
      <c r="G20">
        <v>0.69</v>
      </c>
      <c r="H20" t="s">
        <v>3602</v>
      </c>
      <c r="I20">
        <v>8630447600</v>
      </c>
      <c r="J20">
        <v>9.64</v>
      </c>
      <c r="K20">
        <v>2.25</v>
      </c>
      <c r="L20" t="s">
        <v>85</v>
      </c>
      <c r="M20" t="s">
        <v>2330</v>
      </c>
      <c r="N20" t="s">
        <v>2331</v>
      </c>
      <c r="O20" t="s">
        <v>1563</v>
      </c>
      <c r="P20">
        <v>8.61</v>
      </c>
      <c r="Q20" t="s">
        <v>2331</v>
      </c>
      <c r="R20">
        <v>146358250</v>
      </c>
      <c r="S20" s="5">
        <v>0.25640000000000002</v>
      </c>
      <c r="T20" t="s">
        <v>2332</v>
      </c>
      <c r="U20">
        <v>533581820</v>
      </c>
      <c r="V20">
        <v>534724140</v>
      </c>
      <c r="W20">
        <v>1.72</v>
      </c>
      <c r="X20">
        <v>0.11</v>
      </c>
      <c r="Y20">
        <v>19.579999999999998</v>
      </c>
      <c r="Z20" t="s">
        <v>994</v>
      </c>
      <c r="AA20" t="s">
        <v>1146</v>
      </c>
      <c r="AB20" t="s">
        <v>3603</v>
      </c>
      <c r="AC20" t="s">
        <v>3604</v>
      </c>
      <c r="AD20" t="s">
        <v>90</v>
      </c>
      <c r="AE20">
        <v>-16352139</v>
      </c>
      <c r="AF20" t="s">
        <v>2333</v>
      </c>
      <c r="AG20" t="s">
        <v>3605</v>
      </c>
      <c r="AH20" t="s">
        <v>2334</v>
      </c>
      <c r="AI20" t="s">
        <v>3606</v>
      </c>
      <c r="AJ20" t="s">
        <v>2335</v>
      </c>
      <c r="AK20" t="s">
        <v>3607</v>
      </c>
      <c r="AL20" t="s">
        <v>2336</v>
      </c>
      <c r="AM20" t="s">
        <v>90</v>
      </c>
      <c r="AN20" t="s">
        <v>3608</v>
      </c>
      <c r="AO20" t="s">
        <v>2332</v>
      </c>
      <c r="AP20" t="s">
        <v>1403</v>
      </c>
      <c r="AQ20" t="s">
        <v>1564</v>
      </c>
      <c r="AR20" t="s">
        <v>3609</v>
      </c>
      <c r="AS20" t="s">
        <v>3610</v>
      </c>
      <c r="AT20" t="s">
        <v>175</v>
      </c>
      <c r="AU20" t="s">
        <v>2069</v>
      </c>
      <c r="AV20" t="s">
        <v>189</v>
      </c>
      <c r="AW20" t="s">
        <v>189</v>
      </c>
      <c r="AX20" t="s">
        <v>1774</v>
      </c>
      <c r="AY20" t="s">
        <v>923</v>
      </c>
      <c r="AZ20" t="s">
        <v>704</v>
      </c>
      <c r="BA20" t="s">
        <v>443</v>
      </c>
      <c r="BB20" t="s">
        <v>709</v>
      </c>
      <c r="BC20" t="s">
        <v>788</v>
      </c>
      <c r="BD20" t="s">
        <v>1062</v>
      </c>
      <c r="BE20" t="s">
        <v>196</v>
      </c>
      <c r="BF20" t="s">
        <v>444</v>
      </c>
      <c r="BG20" t="s">
        <v>708</v>
      </c>
      <c r="BH20" t="s">
        <v>2331</v>
      </c>
      <c r="BI20" t="s">
        <v>1410</v>
      </c>
      <c r="BJ20" t="s">
        <v>1774</v>
      </c>
      <c r="BK20" t="s">
        <v>2332</v>
      </c>
      <c r="BL20" t="s">
        <v>274</v>
      </c>
      <c r="BM20" t="s">
        <v>788</v>
      </c>
      <c r="BN20">
        <v>15.33</v>
      </c>
      <c r="BO20">
        <v>17.11</v>
      </c>
      <c r="BP20">
        <v>15.01</v>
      </c>
      <c r="BQ20">
        <v>20.66</v>
      </c>
      <c r="BR20">
        <v>22.82</v>
      </c>
      <c r="BS20">
        <v>19.97</v>
      </c>
      <c r="BT20" t="s">
        <v>2337</v>
      </c>
      <c r="BU20" t="s">
        <v>1449</v>
      </c>
      <c r="BV20">
        <v>40.32</v>
      </c>
      <c r="BW20">
        <v>35.78</v>
      </c>
      <c r="BX20">
        <v>34.83</v>
      </c>
      <c r="BY20">
        <v>22.51</v>
      </c>
      <c r="BZ20">
        <v>19.79</v>
      </c>
      <c r="CA20">
        <v>16.36</v>
      </c>
      <c r="CB20">
        <v>-3.47</v>
      </c>
      <c r="CC20">
        <v>-14.1</v>
      </c>
      <c r="CD20" t="s">
        <v>3611</v>
      </c>
      <c r="CE20" t="s">
        <v>3612</v>
      </c>
      <c r="CF20" s="8">
        <v>8.5507246376811591E-2</v>
      </c>
      <c r="CG20" s="9">
        <v>0.26170905172413811</v>
      </c>
      <c r="CH20" s="8">
        <v>0.17942441999912262</v>
      </c>
      <c r="CI20" s="8">
        <v>9.5605485141277313E-2</v>
      </c>
      <c r="CJ20" s="8">
        <v>0.31205981969833374</v>
      </c>
      <c r="CK20" s="8">
        <v>0.25733256340026855</v>
      </c>
      <c r="CL20" s="8">
        <v>4.3302576988935471E-2</v>
      </c>
      <c r="CM20" s="9">
        <v>0.34316769242286682</v>
      </c>
      <c r="CN20" s="9">
        <v>0.32238194346427917</v>
      </c>
      <c r="CO20" s="9">
        <v>0.3415977954864502</v>
      </c>
      <c r="CP20" s="9">
        <v>0.47560974955558777</v>
      </c>
      <c r="CQ20" s="9">
        <v>0.21182265877723694</v>
      </c>
      <c r="CR20">
        <v>18.441127350427351</v>
      </c>
      <c r="CS20">
        <v>1.0386735841680121</v>
      </c>
      <c r="CT20">
        <v>3.5935563816604708</v>
      </c>
      <c r="CU20" s="8">
        <v>0.17754497304558753</v>
      </c>
      <c r="CV20" s="9">
        <v>0.3389159679412842</v>
      </c>
      <c r="CW20">
        <v>0.06</v>
      </c>
      <c r="CX20">
        <v>7.9480483178405112</v>
      </c>
      <c r="CY20">
        <v>960921133.6645596</v>
      </c>
      <c r="CZ20">
        <v>0.17754497304558753</v>
      </c>
      <c r="DA20">
        <v>2.4135857718344425</v>
      </c>
      <c r="DB20">
        <v>3164357235.2496796</v>
      </c>
      <c r="DC20">
        <v>0.16866772439330815</v>
      </c>
      <c r="DD20">
        <v>1.0737714812277446</v>
      </c>
      <c r="DE20">
        <v>7112730905.5250597</v>
      </c>
      <c r="DF20">
        <v>0.15623957628011703</v>
      </c>
      <c r="DG20">
        <v>0.57275247676082619</v>
      </c>
      <c r="DH20">
        <v>13334639150.21933</v>
      </c>
      <c r="DI20">
        <v>0.14203597843647003</v>
      </c>
      <c r="DJ20">
        <v>0.22474091997799764</v>
      </c>
      <c r="DK20">
        <v>33983342244.695419</v>
      </c>
      <c r="DL20">
        <v>0.12428148113191126</v>
      </c>
      <c r="DM20">
        <v>865000000</v>
      </c>
      <c r="DN20">
        <v>0.17754497304558753</v>
      </c>
      <c r="DO20">
        <v>7637447600</v>
      </c>
      <c r="DP20">
        <v>2277008600</v>
      </c>
      <c r="DQ20">
        <v>668</v>
      </c>
      <c r="DR20">
        <v>-9.2037726668775938E-2</v>
      </c>
      <c r="DS20">
        <v>-7.7206916217146093E-2</v>
      </c>
      <c r="DT20" s="10">
        <v>-2.3333333333333355E-2</v>
      </c>
      <c r="DU20">
        <v>0.8866666666666666</v>
      </c>
      <c r="DV20">
        <v>0.86333333333333329</v>
      </c>
      <c r="DW20">
        <v>-8.2460992907801423</v>
      </c>
      <c r="DX20">
        <v>0.33957815110261508</v>
      </c>
      <c r="DY20">
        <v>-8.0343500839947577</v>
      </c>
      <c r="DZ20">
        <v>297</v>
      </c>
      <c r="EA20">
        <v>-8.0323536114024989</v>
      </c>
      <c r="EB20">
        <v>8</v>
      </c>
      <c r="EC20">
        <v>2.5562713514299167E-2</v>
      </c>
      <c r="ED20">
        <v>0.18314265744576261</v>
      </c>
      <c r="EE20" s="11">
        <v>-2.0361099999999999</v>
      </c>
      <c r="EF20">
        <v>-2.0601099999999999</v>
      </c>
      <c r="EG20">
        <v>20.139578151102615</v>
      </c>
      <c r="EH20" t="s">
        <v>1735</v>
      </c>
      <c r="EI20">
        <v>0</v>
      </c>
      <c r="EJ20">
        <v>1</v>
      </c>
      <c r="EK20" s="13">
        <v>45470</v>
      </c>
      <c r="EL20" s="14">
        <v>-0.41</v>
      </c>
      <c r="EM20" s="14">
        <v>-2.98</v>
      </c>
      <c r="EN20" s="14">
        <v>-0.18</v>
      </c>
      <c r="EO20" s="14">
        <v>3.02</v>
      </c>
      <c r="EP20" s="14">
        <v>-2.4</v>
      </c>
    </row>
    <row r="21" spans="1:146" ht="108">
      <c r="A21" s="7"/>
      <c r="B21" s="7"/>
      <c r="C21" s="7" t="str">
        <f>""&amp;CHAR(10)&amp;Basic_Fundamental_Information_Constructure(F21)&amp;CHAR(10)&amp;Basic_Fundamental_Information_Concatenate("")</f>
        <v xml:space="preserve">
市值19.850079亿, 利润4042.03万; PE51.17; 平均PE-19.31; 平均PEG-2.04, PB1.49; ROIC19.8233%; ROE24.5%; 股利率0%; 毛利23.81%; 净利15.2167%; 上一年度营收增1.29%, 利润增-87.68%; 当季营收增-7.27%, 利润增-18.2%; 过往5年营收增-9.46%, 利润增1303.52%
Income profile:
</v>
      </c>
      <c r="D21" t="s">
        <v>211</v>
      </c>
      <c r="E21" t="s">
        <v>67</v>
      </c>
      <c r="F21">
        <v>3.73</v>
      </c>
      <c r="G21">
        <v>1.36</v>
      </c>
      <c r="H21" t="s">
        <v>3613</v>
      </c>
      <c r="I21">
        <v>1985007900</v>
      </c>
      <c r="J21">
        <v>51.17</v>
      </c>
      <c r="K21">
        <v>1.49</v>
      </c>
      <c r="L21" t="s">
        <v>85</v>
      </c>
      <c r="M21" t="s">
        <v>1925</v>
      </c>
      <c r="N21" t="s">
        <v>3614</v>
      </c>
      <c r="O21" t="s">
        <v>669</v>
      </c>
      <c r="P21">
        <v>-7.5</v>
      </c>
      <c r="Q21" t="s">
        <v>2203</v>
      </c>
      <c r="R21">
        <v>7316174</v>
      </c>
      <c r="S21" s="5">
        <v>-0.182</v>
      </c>
      <c r="T21" t="s">
        <v>2338</v>
      </c>
      <c r="U21">
        <v>480900220</v>
      </c>
      <c r="V21">
        <v>532173690</v>
      </c>
      <c r="W21">
        <v>1.69</v>
      </c>
      <c r="X21">
        <v>0.13</v>
      </c>
      <c r="Y21">
        <v>2.4</v>
      </c>
      <c r="Z21" t="s">
        <v>131</v>
      </c>
      <c r="AA21" t="s">
        <v>753</v>
      </c>
      <c r="AB21" t="s">
        <v>3615</v>
      </c>
      <c r="AC21" t="s">
        <v>3616</v>
      </c>
      <c r="AD21" t="s">
        <v>90</v>
      </c>
      <c r="AE21">
        <v>3355755</v>
      </c>
      <c r="AF21" t="s">
        <v>2339</v>
      </c>
      <c r="AG21" t="s">
        <v>3617</v>
      </c>
      <c r="AH21" t="s">
        <v>2340</v>
      </c>
      <c r="AI21" t="s">
        <v>3618</v>
      </c>
      <c r="AJ21" t="s">
        <v>2341</v>
      </c>
      <c r="AK21" t="s">
        <v>3619</v>
      </c>
      <c r="AL21" t="s">
        <v>2342</v>
      </c>
      <c r="AM21" t="s">
        <v>90</v>
      </c>
      <c r="AN21" t="s">
        <v>3620</v>
      </c>
      <c r="AO21" t="s">
        <v>162</v>
      </c>
      <c r="AP21" t="s">
        <v>90</v>
      </c>
      <c r="AQ21" t="s">
        <v>1398</v>
      </c>
      <c r="AR21" t="s">
        <v>3621</v>
      </c>
      <c r="AS21" t="s">
        <v>1542</v>
      </c>
      <c r="AT21" t="s">
        <v>90</v>
      </c>
      <c r="AU21" t="s">
        <v>3622</v>
      </c>
      <c r="AV21" t="s">
        <v>3623</v>
      </c>
      <c r="AW21" t="s">
        <v>3624</v>
      </c>
      <c r="AX21" t="s">
        <v>113</v>
      </c>
      <c r="AY21" t="s">
        <v>1155</v>
      </c>
      <c r="AZ21" t="s">
        <v>710</v>
      </c>
      <c r="BA21" t="s">
        <v>212</v>
      </c>
      <c r="BB21" t="s">
        <v>713</v>
      </c>
      <c r="BC21" t="s">
        <v>142</v>
      </c>
      <c r="BD21" t="s">
        <v>800</v>
      </c>
      <c r="BE21" t="s">
        <v>711</v>
      </c>
      <c r="BF21" t="s">
        <v>213</v>
      </c>
      <c r="BG21" t="s">
        <v>714</v>
      </c>
      <c r="BH21" t="s">
        <v>2203</v>
      </c>
      <c r="BI21" t="s">
        <v>877</v>
      </c>
      <c r="BJ21" t="s">
        <v>113</v>
      </c>
      <c r="BK21" t="s">
        <v>2338</v>
      </c>
      <c r="BL21" t="s">
        <v>2343</v>
      </c>
      <c r="BM21" t="s">
        <v>142</v>
      </c>
      <c r="BN21">
        <v>2.73</v>
      </c>
      <c r="BO21">
        <v>24.22</v>
      </c>
      <c r="BP21">
        <v>32.520000000000003</v>
      </c>
      <c r="BQ21">
        <v>2.33</v>
      </c>
      <c r="BR21">
        <v>29.21</v>
      </c>
      <c r="BS21">
        <v>41.96</v>
      </c>
      <c r="BT21" t="s">
        <v>1692</v>
      </c>
      <c r="BU21" t="s">
        <v>1337</v>
      </c>
      <c r="BV21">
        <v>20.28</v>
      </c>
      <c r="BW21">
        <v>23.79</v>
      </c>
      <c r="BX21">
        <v>27.36</v>
      </c>
      <c r="BY21">
        <v>2.69</v>
      </c>
      <c r="BZ21">
        <v>22.35</v>
      </c>
      <c r="CA21">
        <v>20.61</v>
      </c>
      <c r="CB21">
        <v>-2.86</v>
      </c>
      <c r="CC21">
        <v>-14.06</v>
      </c>
      <c r="CD21" t="s">
        <v>3625</v>
      </c>
      <c r="CE21" t="s">
        <v>237</v>
      </c>
      <c r="CF21" s="8">
        <v>-7.2727272727272724E-2</v>
      </c>
      <c r="CG21" s="9">
        <v>-0.18200201252236137</v>
      </c>
      <c r="CH21" s="8">
        <v>1.2942822650074959E-2</v>
      </c>
      <c r="CI21" s="8">
        <v>-9.1021634638309479E-2</v>
      </c>
      <c r="CJ21" s="8">
        <v>0.30452337861061096</v>
      </c>
      <c r="CK21" s="8">
        <v>0.2137254923582077</v>
      </c>
      <c r="CL21" s="8">
        <v>-0.9132726788520813</v>
      </c>
      <c r="CM21" s="9">
        <v>-0.87676739692687988</v>
      </c>
      <c r="CN21" s="9">
        <v>-1.5015015378594398E-2</v>
      </c>
      <c r="CO21" s="9">
        <v>-0.77207398414611816</v>
      </c>
      <c r="CP21" s="9">
        <v>65.831947326660156</v>
      </c>
      <c r="CQ21" s="9">
        <v>1.0078046321868896</v>
      </c>
      <c r="CR21">
        <v>-19.31195460362898</v>
      </c>
      <c r="CS21">
        <v>-2.0409900296974088</v>
      </c>
      <c r="CT21">
        <v>0</v>
      </c>
      <c r="CU21" s="8">
        <v>-9.4620523974299431E-2</v>
      </c>
      <c r="CV21" s="9">
        <v>13.03517911247909</v>
      </c>
      <c r="CW21">
        <v>0.06</v>
      </c>
      <c r="CX21">
        <v>40.573867586336569</v>
      </c>
      <c r="CY21" t="s">
        <v>2344</v>
      </c>
      <c r="CZ21">
        <v>-9.4620523974299431E-2</v>
      </c>
      <c r="DA21">
        <v>13.524622528778856</v>
      </c>
      <c r="DB21" t="s">
        <v>2345</v>
      </c>
      <c r="DC21">
        <v>-8.9889497775584457E-2</v>
      </c>
      <c r="DD21">
        <v>6.7623112643894281</v>
      </c>
      <c r="DE21" t="s">
        <v>2346</v>
      </c>
      <c r="DF21">
        <v>-8.3266061097383506E-2</v>
      </c>
      <c r="DG21">
        <v>4.0573867586336565</v>
      </c>
      <c r="DH21" t="s">
        <v>2347</v>
      </c>
      <c r="DI21">
        <v>-7.5696419179439547E-2</v>
      </c>
      <c r="DJ21">
        <v>2.0286933793168282</v>
      </c>
      <c r="DK21" t="s">
        <v>2348</v>
      </c>
      <c r="DL21">
        <v>-6.6234366782009599E-2</v>
      </c>
      <c r="DM21">
        <v>40420300</v>
      </c>
      <c r="DN21">
        <v>-9.4620523974299431E-2</v>
      </c>
      <c r="DO21">
        <v>1640007900</v>
      </c>
      <c r="DP21">
        <v>165914090</v>
      </c>
      <c r="DQ21">
        <v>674</v>
      </c>
      <c r="DR21">
        <v>2.1893251247026707E-2</v>
      </c>
      <c r="DS21">
        <v>-13.217181125001451</v>
      </c>
      <c r="DT21" s="10">
        <v>-0.38999999999999996</v>
      </c>
      <c r="DU21">
        <v>-0.23000000000000009</v>
      </c>
      <c r="DV21">
        <v>-0.62000000000000011</v>
      </c>
      <c r="DW21">
        <v>-8.2034139402560449</v>
      </c>
      <c r="DX21">
        <v>0.3692914893617032</v>
      </c>
      <c r="DY21">
        <v>-8.0283338306951961</v>
      </c>
      <c r="DZ21">
        <v>3065</v>
      </c>
      <c r="EA21">
        <v>-8.011339077059036</v>
      </c>
      <c r="EB21">
        <v>8</v>
      </c>
      <c r="EC21">
        <v>4.9207242845846065E-2</v>
      </c>
      <c r="ED21">
        <v>0.35326812191711321</v>
      </c>
      <c r="EE21" s="11">
        <v>1.0945</v>
      </c>
      <c r="EF21">
        <v>1.0687</v>
      </c>
      <c r="EG21">
        <v>23.139291489361703</v>
      </c>
      <c r="EH21" t="s">
        <v>1725</v>
      </c>
      <c r="EI21">
        <v>0</v>
      </c>
      <c r="EJ21">
        <v>0</v>
      </c>
      <c r="EK21" s="13">
        <v>45470</v>
      </c>
      <c r="EL21" s="14">
        <v>-0.26</v>
      </c>
      <c r="EM21" s="14">
        <v>-5.91</v>
      </c>
      <c r="EN21" s="14">
        <v>3.01</v>
      </c>
      <c r="EO21" s="14">
        <v>2.92</v>
      </c>
      <c r="EP21" s="14">
        <v>-2.58</v>
      </c>
    </row>
    <row r="22" spans="1:146" ht="108">
      <c r="C22" s="7" t="str">
        <f>""&amp;CHAR(10)&amp;Basic_Fundamental_Information_Constructure(F22)&amp;CHAR(10)&amp;Basic_Fundamental_Information_Concatenate("")</f>
        <v xml:space="preserve">
市值23.620443亿, 利润4393.64万; PE52.12; 平均PE-10.27; 平均PEG-3.91, PB4.06; ROIC70.6833%; ROE18.49%; 股利率0%; 毛利33.0367%; 净利76.5767%; 上一年度营收增.36%, 利润增-58.94%; 当季营收增14.83%, 利润增185.22%; 过往5年营收增2.63%, 利润增-136.46%
Income profile:
</v>
      </c>
      <c r="D22" t="s">
        <v>3626</v>
      </c>
      <c r="E22" t="s">
        <v>3627</v>
      </c>
      <c r="F22">
        <v>1.85</v>
      </c>
      <c r="G22">
        <v>5.71</v>
      </c>
      <c r="H22" t="s">
        <v>3628</v>
      </c>
      <c r="I22">
        <v>2362044300</v>
      </c>
      <c r="J22">
        <v>52.12</v>
      </c>
      <c r="K22">
        <v>4.0599999999999996</v>
      </c>
      <c r="L22" t="s">
        <v>85</v>
      </c>
      <c r="M22" t="s">
        <v>195</v>
      </c>
      <c r="N22" t="s">
        <v>591</v>
      </c>
      <c r="O22" t="s">
        <v>3629</v>
      </c>
      <c r="P22" s="5">
        <v>14.83</v>
      </c>
      <c r="Q22" t="s">
        <v>378</v>
      </c>
      <c r="R22">
        <v>2134844</v>
      </c>
      <c r="S22">
        <v>1.8520000000000001</v>
      </c>
      <c r="T22" t="s">
        <v>3630</v>
      </c>
      <c r="U22">
        <v>1276773230</v>
      </c>
      <c r="V22">
        <v>1276780730</v>
      </c>
      <c r="W22">
        <v>1.26</v>
      </c>
      <c r="X22">
        <v>0.08</v>
      </c>
      <c r="Y22">
        <v>3.54</v>
      </c>
      <c r="Z22" t="s">
        <v>3631</v>
      </c>
      <c r="AA22" t="s">
        <v>3632</v>
      </c>
      <c r="AB22" t="s">
        <v>3633</v>
      </c>
      <c r="AC22" t="s">
        <v>3634</v>
      </c>
      <c r="AD22" t="s">
        <v>90</v>
      </c>
      <c r="AE22">
        <v>154854</v>
      </c>
      <c r="AF22" t="s">
        <v>3635</v>
      </c>
      <c r="AG22">
        <v>0.53</v>
      </c>
      <c r="AH22" t="s">
        <v>3636</v>
      </c>
      <c r="AI22" t="s">
        <v>191</v>
      </c>
      <c r="AJ22" t="s">
        <v>3637</v>
      </c>
      <c r="AK22" t="s">
        <v>90</v>
      </c>
      <c r="AL22" t="s">
        <v>3638</v>
      </c>
      <c r="AM22" t="s">
        <v>90</v>
      </c>
      <c r="AN22">
        <v>0</v>
      </c>
      <c r="AO22" t="s">
        <v>3639</v>
      </c>
      <c r="AP22" t="s">
        <v>90</v>
      </c>
      <c r="AQ22" t="s">
        <v>3640</v>
      </c>
      <c r="AR22" t="s">
        <v>3641</v>
      </c>
      <c r="AS22" t="s">
        <v>3642</v>
      </c>
      <c r="AT22" t="s">
        <v>3643</v>
      </c>
      <c r="AU22" t="s">
        <v>3644</v>
      </c>
      <c r="AV22" t="s">
        <v>3645</v>
      </c>
      <c r="AW22" t="s">
        <v>3646</v>
      </c>
      <c r="AX22" t="s">
        <v>797</v>
      </c>
      <c r="AY22" t="s">
        <v>363</v>
      </c>
      <c r="AZ22" t="s">
        <v>218</v>
      </c>
      <c r="BA22" t="s">
        <v>766</v>
      </c>
      <c r="BB22" t="s">
        <v>370</v>
      </c>
      <c r="BC22" t="s">
        <v>189</v>
      </c>
      <c r="BD22" t="s">
        <v>1163</v>
      </c>
      <c r="BE22" t="s">
        <v>3647</v>
      </c>
      <c r="BF22" t="s">
        <v>167</v>
      </c>
      <c r="BG22" t="s">
        <v>3648</v>
      </c>
      <c r="BH22" t="s">
        <v>378</v>
      </c>
      <c r="BI22" t="s">
        <v>3649</v>
      </c>
      <c r="BJ22" t="s">
        <v>797</v>
      </c>
      <c r="BK22" t="s">
        <v>3630</v>
      </c>
      <c r="BL22" t="s">
        <v>3650</v>
      </c>
      <c r="BM22" t="s">
        <v>189</v>
      </c>
      <c r="BN22">
        <v>9.32</v>
      </c>
      <c r="BO22">
        <v>24.81</v>
      </c>
      <c r="BP22">
        <v>177.92</v>
      </c>
      <c r="BQ22">
        <v>9.3800000000000008</v>
      </c>
      <c r="BR22">
        <v>27.6</v>
      </c>
      <c r="BS22" t="s">
        <v>90</v>
      </c>
      <c r="BT22" t="s">
        <v>1692</v>
      </c>
      <c r="BU22" t="s">
        <v>3551</v>
      </c>
      <c r="BV22">
        <v>30.06</v>
      </c>
      <c r="BW22">
        <v>35.51</v>
      </c>
      <c r="BX22">
        <v>33.54</v>
      </c>
      <c r="BY22">
        <v>15.65</v>
      </c>
      <c r="BZ22">
        <v>38.979999999999997</v>
      </c>
      <c r="CA22">
        <v>175.1</v>
      </c>
      <c r="CB22">
        <v>5.1100000000000003</v>
      </c>
      <c r="CC22" s="8">
        <v>-13.95</v>
      </c>
      <c r="CD22" s="9" t="s">
        <v>143</v>
      </c>
      <c r="CE22" s="8" t="s">
        <v>270</v>
      </c>
      <c r="CF22" s="8">
        <v>0.14826366361719057</v>
      </c>
      <c r="CG22" s="8">
        <v>1.8521629926519707</v>
      </c>
      <c r="CH22" s="8">
        <v>3.6496350076049566E-3</v>
      </c>
      <c r="CI22" s="8">
        <v>0.17094017565250397</v>
      </c>
      <c r="CJ22" s="9">
        <v>0.10377358645200729</v>
      </c>
      <c r="CK22" s="9">
        <v>-8.2251079380512238E-2</v>
      </c>
      <c r="CL22" s="9">
        <v>-6.4777329564094543E-2</v>
      </c>
      <c r="CM22" s="9">
        <v>-0.58937942981719971</v>
      </c>
      <c r="CN22" s="9">
        <v>-0.73838633298873901</v>
      </c>
      <c r="CO22">
        <v>1.380465030670166</v>
      </c>
      <c r="CP22">
        <v>-8.0261440277099609</v>
      </c>
      <c r="CQ22">
        <v>1.1502947807312012</v>
      </c>
      <c r="CR22" s="8">
        <v>-10.269284546016575</v>
      </c>
      <c r="CS22" s="9">
        <v>-3.9095768345137225</v>
      </c>
      <c r="CT22">
        <v>0</v>
      </c>
      <c r="CU22">
        <v>2.6266997633501887E-2</v>
      </c>
      <c r="CV22">
        <v>-1.3646299958229064</v>
      </c>
      <c r="CW22">
        <v>0.06</v>
      </c>
      <c r="CX22">
        <v>45.089940916007116</v>
      </c>
      <c r="CY22">
        <v>42538186.146060936</v>
      </c>
      <c r="CZ22">
        <v>2.6266997633501887E-2</v>
      </c>
      <c r="DA22">
        <v>15.557956808772316</v>
      </c>
      <c r="DB22">
        <v>123283816.99314883</v>
      </c>
      <c r="DC22">
        <v>2.4953647751826791E-2</v>
      </c>
      <c r="DD22">
        <v>8.2209835848880779</v>
      </c>
      <c r="DE22">
        <v>233310805.23330259</v>
      </c>
      <c r="DF22">
        <v>2.3114957917481662E-2</v>
      </c>
      <c r="DG22">
        <v>5.3337219037613037</v>
      </c>
      <c r="DH22">
        <v>359607106.37114555</v>
      </c>
      <c r="DI22">
        <v>2.101359810680151E-2</v>
      </c>
      <c r="DJ22">
        <v>3.2367727260842067</v>
      </c>
      <c r="DK22">
        <v>592579233.17971659</v>
      </c>
      <c r="DL22">
        <v>1.8386898343451318E-2</v>
      </c>
      <c r="DM22">
        <v>43936400</v>
      </c>
      <c r="DN22">
        <v>2.6266997633501887E-2</v>
      </c>
      <c r="DO22">
        <v>1918044300</v>
      </c>
      <c r="DP22">
        <v>173767220</v>
      </c>
      <c r="DQ22" s="10">
        <v>685</v>
      </c>
      <c r="DR22">
        <v>0.12199666598368868</v>
      </c>
      <c r="DS22">
        <v>3.2167929884748769</v>
      </c>
      <c r="DT22">
        <v>-0.28999999999999998</v>
      </c>
      <c r="DU22">
        <v>-1.0900000000000001</v>
      </c>
      <c r="DV22">
        <v>-1.3800000000000001</v>
      </c>
      <c r="DW22">
        <v>6.2681007345225606</v>
      </c>
      <c r="DX22">
        <v>1.0668972746331224</v>
      </c>
      <c r="DY22">
        <v>6.0635123333355327</v>
      </c>
      <c r="DZ22">
        <v>3928</v>
      </c>
      <c r="EA22">
        <v>6.0146911111551074</v>
      </c>
      <c r="EB22" s="11">
        <v>6</v>
      </c>
      <c r="EC22" s="11">
        <v>8.8503842002690611E-2</v>
      </c>
      <c r="ED22">
        <v>0.37359586402905687</v>
      </c>
      <c r="EE22">
        <v>-4.0682999999999998</v>
      </c>
      <c r="EF22">
        <v>-4.0351999999999997</v>
      </c>
      <c r="EG22">
        <v>83.236897274633122</v>
      </c>
      <c r="EH22" s="13" t="s">
        <v>2125</v>
      </c>
      <c r="EI22">
        <v>0</v>
      </c>
      <c r="EJ22">
        <v>0</v>
      </c>
      <c r="EK22">
        <v>45470</v>
      </c>
      <c r="EL22">
        <v>-1.62</v>
      </c>
      <c r="EM22">
        <v>-4.95</v>
      </c>
      <c r="EN22" s="14">
        <v>1.73</v>
      </c>
      <c r="EO22" s="14">
        <v>2.84</v>
      </c>
      <c r="EP22" s="14">
        <v>-3.31</v>
      </c>
    </row>
    <row r="23" spans="1:146" ht="96">
      <c r="A23" s="7"/>
      <c r="B23" s="7"/>
      <c r="C23" s="7" t="str">
        <f>""&amp;CHAR(10)&amp;Basic_Fundamental_Information_Constructure(F23)&amp;CHAR(10)&amp;Basic_Fundamental_Information_Concatenate("")</f>
        <v xml:space="preserve">
市值17.435001亿, 利润-1624.24万; PE; 平均PE-16.79; 平均PEG-.51, PB26.01; ROIC0%; ROE17.96%; 股利率0%; 毛利20.3067%; 净利.86%; 上一年度营收增9.84%, 利润增-239.28%; 当季营收增14.83%, 利润增13.64%; 过往5年营收增32.94%, 利润增-90.56%
Income profile:
</v>
      </c>
      <c r="D23" t="s">
        <v>99</v>
      </c>
      <c r="E23" t="s">
        <v>66</v>
      </c>
      <c r="F23">
        <v>5.67</v>
      </c>
      <c r="G23">
        <v>2.16</v>
      </c>
      <c r="H23" t="s">
        <v>3651</v>
      </c>
      <c r="I23">
        <v>1743500100</v>
      </c>
      <c r="K23">
        <v>26.01</v>
      </c>
      <c r="L23" t="s">
        <v>85</v>
      </c>
      <c r="M23" t="s">
        <v>1146</v>
      </c>
      <c r="N23" t="s">
        <v>3652</v>
      </c>
      <c r="O23" t="s">
        <v>2349</v>
      </c>
      <c r="P23">
        <v>14.83</v>
      </c>
      <c r="Q23" t="s">
        <v>974</v>
      </c>
      <c r="R23">
        <v>5400536</v>
      </c>
      <c r="S23" s="5">
        <v>0.13639999999999999</v>
      </c>
      <c r="T23" t="s">
        <v>2350</v>
      </c>
      <c r="U23">
        <v>307495600</v>
      </c>
      <c r="V23">
        <v>307495600</v>
      </c>
      <c r="W23">
        <v>8.15</v>
      </c>
      <c r="X23">
        <v>0.15</v>
      </c>
      <c r="Y23">
        <v>6.69</v>
      </c>
      <c r="Z23" t="s">
        <v>3653</v>
      </c>
      <c r="AA23" t="s">
        <v>3654</v>
      </c>
      <c r="AB23" t="s">
        <v>3655</v>
      </c>
      <c r="AC23" t="s">
        <v>3656</v>
      </c>
      <c r="AD23" t="s">
        <v>90</v>
      </c>
      <c r="AE23">
        <v>1844746</v>
      </c>
      <c r="AF23" t="s">
        <v>2351</v>
      </c>
      <c r="AG23">
        <v>2410.7199999999998</v>
      </c>
      <c r="AH23" t="s">
        <v>2352</v>
      </c>
      <c r="AI23" t="s">
        <v>3657</v>
      </c>
      <c r="AJ23" t="s">
        <v>2353</v>
      </c>
      <c r="AK23" t="s">
        <v>3658</v>
      </c>
      <c r="AL23" t="s">
        <v>2354</v>
      </c>
      <c r="AM23" t="s">
        <v>90</v>
      </c>
      <c r="AN23" t="s">
        <v>3659</v>
      </c>
      <c r="AO23" t="s">
        <v>521</v>
      </c>
      <c r="AP23" t="s">
        <v>1858</v>
      </c>
      <c r="AQ23" t="s">
        <v>3660</v>
      </c>
      <c r="AR23" t="s">
        <v>90</v>
      </c>
      <c r="AS23" t="s">
        <v>889</v>
      </c>
      <c r="AT23" t="s">
        <v>90</v>
      </c>
      <c r="AU23" t="s">
        <v>3661</v>
      </c>
      <c r="AV23" t="s">
        <v>3662</v>
      </c>
      <c r="AW23" t="s">
        <v>3663</v>
      </c>
      <c r="AX23" t="s">
        <v>208</v>
      </c>
      <c r="AY23" t="s">
        <v>584</v>
      </c>
      <c r="AZ23" t="s">
        <v>509</v>
      </c>
      <c r="BA23" t="s">
        <v>101</v>
      </c>
      <c r="BB23" t="s">
        <v>716</v>
      </c>
      <c r="BC23" t="s">
        <v>1775</v>
      </c>
      <c r="BD23" t="s">
        <v>1227</v>
      </c>
      <c r="BE23" t="s">
        <v>715</v>
      </c>
      <c r="BF23" t="s">
        <v>102</v>
      </c>
      <c r="BG23" t="s">
        <v>717</v>
      </c>
      <c r="BH23" t="s">
        <v>974</v>
      </c>
      <c r="BI23" t="s">
        <v>2355</v>
      </c>
      <c r="BJ23" t="s">
        <v>208</v>
      </c>
      <c r="BK23" t="s">
        <v>2350</v>
      </c>
      <c r="BL23" t="s">
        <v>2356</v>
      </c>
      <c r="BM23" t="s">
        <v>1775</v>
      </c>
      <c r="BN23" t="s">
        <v>90</v>
      </c>
      <c r="BO23" t="s">
        <v>90</v>
      </c>
      <c r="BP23" t="s">
        <v>90</v>
      </c>
      <c r="BQ23">
        <v>11.93</v>
      </c>
      <c r="BR23">
        <v>16.62</v>
      </c>
      <c r="BS23">
        <v>25.33</v>
      </c>
      <c r="BT23" t="s">
        <v>1692</v>
      </c>
      <c r="BU23" t="s">
        <v>1447</v>
      </c>
      <c r="BV23">
        <v>19.52</v>
      </c>
      <c r="BW23">
        <v>23.77</v>
      </c>
      <c r="BX23">
        <v>17.63</v>
      </c>
      <c r="BY23">
        <v>-5.87</v>
      </c>
      <c r="BZ23">
        <v>4.5599999999999996</v>
      </c>
      <c r="CA23">
        <v>3.89</v>
      </c>
      <c r="CB23">
        <v>-5.34</v>
      </c>
      <c r="CC23">
        <v>-7.2</v>
      </c>
      <c r="CD23" t="s">
        <v>210</v>
      </c>
      <c r="CE23" t="s">
        <v>301</v>
      </c>
      <c r="CF23" s="8">
        <v>0.14829567576124486</v>
      </c>
      <c r="CG23" s="9">
        <v>0.13638077602895379</v>
      </c>
      <c r="CH23" s="8">
        <v>9.8425194621086121E-2</v>
      </c>
      <c r="CI23" s="8">
        <v>-0.19365079700946808</v>
      </c>
      <c r="CJ23" s="8">
        <v>0.5</v>
      </c>
      <c r="CK23" s="8">
        <v>0.30434781312942505</v>
      </c>
      <c r="CL23" s="8">
        <v>0.93779563903808594</v>
      </c>
      <c r="CM23" s="9">
        <v>-2.3927986621856689</v>
      </c>
      <c r="CN23" s="9">
        <v>-0.17829637229442596</v>
      </c>
      <c r="CO23" s="9">
        <v>1.1680142879486084</v>
      </c>
      <c r="CP23" s="9">
        <v>-4.1712689399719238</v>
      </c>
      <c r="CQ23" s="9">
        <v>1.046323299407959</v>
      </c>
      <c r="CR23">
        <v>-16.785343849217206</v>
      </c>
      <c r="CS23">
        <v>-0.50959869830387461</v>
      </c>
      <c r="CT23">
        <v>0</v>
      </c>
      <c r="CU23" s="8">
        <v>0.32938356995582579</v>
      </c>
      <c r="CV23" s="9">
        <v>-0.90560527741909025</v>
      </c>
      <c r="CW23">
        <v>0.06</v>
      </c>
      <c r="CX23" t="e">
        <v>#VALUE!</v>
      </c>
      <c r="CY23" t="s">
        <v>1391</v>
      </c>
      <c r="CZ23">
        <v>0.32938356995582579</v>
      </c>
      <c r="DA23" t="e">
        <v>#VALUE!</v>
      </c>
      <c r="DB23" t="s">
        <v>1391</v>
      </c>
      <c r="DC23">
        <v>0.31291439145803451</v>
      </c>
      <c r="DD23" t="e">
        <v>#VALUE!</v>
      </c>
      <c r="DE23" t="s">
        <v>1391</v>
      </c>
      <c r="DF23">
        <v>0.2898575415611267</v>
      </c>
      <c r="DG23" t="e">
        <v>#VALUE!</v>
      </c>
      <c r="DH23" t="s">
        <v>1391</v>
      </c>
      <c r="DI23">
        <v>0.26350685596466067</v>
      </c>
      <c r="DJ23" t="e">
        <v>#VALUE!</v>
      </c>
      <c r="DK23" t="s">
        <v>1391</v>
      </c>
      <c r="DL23">
        <v>0.23056849896907805</v>
      </c>
      <c r="DM23">
        <v>-16242400</v>
      </c>
      <c r="DN23">
        <v>0.32938356995582579</v>
      </c>
      <c r="DO23">
        <v>2149054300</v>
      </c>
      <c r="DP23">
        <v>25139140.00000006</v>
      </c>
      <c r="DQ23">
        <v>757</v>
      </c>
      <c r="DR23">
        <v>-0.18108789419458093</v>
      </c>
      <c r="DS23">
        <v>1.0419860534480441</v>
      </c>
      <c r="DT23" s="10">
        <v>-0.13999999999999999</v>
      </c>
      <c r="DU23">
        <v>-0.64333333333333331</v>
      </c>
      <c r="DV23">
        <v>-0.78333333333333333</v>
      </c>
      <c r="DW23">
        <v>-8.7416666666666671</v>
      </c>
      <c r="DX23">
        <v>0.49165605095541498</v>
      </c>
      <c r="DY23">
        <v>-8.2385615711252651</v>
      </c>
      <c r="DZ23">
        <v>3317</v>
      </c>
      <c r="EA23">
        <v>-8.0837066334691983</v>
      </c>
      <c r="EB23">
        <v>8</v>
      </c>
      <c r="EC23">
        <v>0.32845998446807045</v>
      </c>
      <c r="ED23">
        <v>1.0211528229997437</v>
      </c>
      <c r="EE23" s="11">
        <v>-6.0411999999999999</v>
      </c>
      <c r="EF23">
        <v>-6.0064099999999998</v>
      </c>
      <c r="EG23">
        <v>17.321656050955415</v>
      </c>
      <c r="EH23" t="s">
        <v>2641</v>
      </c>
      <c r="EI23">
        <v>0</v>
      </c>
      <c r="EJ23">
        <v>0</v>
      </c>
      <c r="EK23" s="13">
        <v>45470</v>
      </c>
      <c r="EL23" s="14">
        <v>-0.75</v>
      </c>
      <c r="EM23" s="14">
        <v>-4.18</v>
      </c>
      <c r="EN23" s="14">
        <v>9.92</v>
      </c>
      <c r="EO23" s="14">
        <v>9.93</v>
      </c>
      <c r="EP23" s="14">
        <v>-4.76</v>
      </c>
    </row>
    <row r="24" spans="1:146" ht="108">
      <c r="C24" s="7" t="str">
        <f>""&amp;CHAR(10)&amp;Basic_Fundamental_Information_Constructure(F24)&amp;CHAR(10)&amp;Basic_Fundamental_Information_Concatenate("")</f>
        <v xml:space="preserve">
市值21.480064亿, 利润-6359.71万; PE; 平均PE73.92; 平均PEG3.44, PB1.32; ROIC3.585%; ROE.9067%; 股利率1.1287%; 毛利19.8967%; 净利.2533%; 上一年度营收增-2.06%, 利润增-630.67%; 当季营收增-19.72%, 利润增-148.33%; 过往5年营收增21.48%, 利润增-136.83%
Income profile:
</v>
      </c>
      <c r="D24" t="s">
        <v>1777</v>
      </c>
      <c r="E24" t="s">
        <v>1778</v>
      </c>
      <c r="F24">
        <v>4.43</v>
      </c>
      <c r="G24">
        <v>3.02</v>
      </c>
      <c r="H24" t="s">
        <v>3664</v>
      </c>
      <c r="I24">
        <v>2148006400</v>
      </c>
      <c r="K24">
        <v>1.32</v>
      </c>
      <c r="L24" t="s">
        <v>85</v>
      </c>
      <c r="M24" t="s">
        <v>2358</v>
      </c>
      <c r="N24" t="s">
        <v>3665</v>
      </c>
      <c r="O24" t="s">
        <v>1715</v>
      </c>
      <c r="P24" s="5">
        <v>-19.73</v>
      </c>
      <c r="Q24" t="s">
        <v>2359</v>
      </c>
      <c r="R24">
        <v>-17910065</v>
      </c>
      <c r="S24">
        <v>-1.4830000000000001</v>
      </c>
      <c r="T24" t="s">
        <v>2360</v>
      </c>
      <c r="U24">
        <v>336537050</v>
      </c>
      <c r="V24">
        <v>484877300</v>
      </c>
      <c r="W24">
        <v>2.11</v>
      </c>
      <c r="X24">
        <v>0.08</v>
      </c>
      <c r="Y24">
        <v>-5.77</v>
      </c>
      <c r="Z24" t="s">
        <v>186</v>
      </c>
      <c r="AA24" t="s">
        <v>96</v>
      </c>
      <c r="AB24" t="s">
        <v>3666</v>
      </c>
      <c r="AC24" t="s">
        <v>3667</v>
      </c>
      <c r="AD24" t="s">
        <v>90</v>
      </c>
      <c r="AE24">
        <v>7635998</v>
      </c>
      <c r="AF24" t="s">
        <v>2361</v>
      </c>
      <c r="AG24" t="s">
        <v>3668</v>
      </c>
      <c r="AH24" t="s">
        <v>2362</v>
      </c>
      <c r="AI24" t="s">
        <v>2693</v>
      </c>
      <c r="AJ24" t="s">
        <v>2363</v>
      </c>
      <c r="AK24" t="s">
        <v>3669</v>
      </c>
      <c r="AL24" t="s">
        <v>2364</v>
      </c>
      <c r="AM24" t="s">
        <v>90</v>
      </c>
      <c r="AN24" t="s">
        <v>3670</v>
      </c>
      <c r="AO24" t="s">
        <v>560</v>
      </c>
      <c r="AP24" t="s">
        <v>3671</v>
      </c>
      <c r="AQ24" t="s">
        <v>670</v>
      </c>
      <c r="AR24" t="s">
        <v>90</v>
      </c>
      <c r="AS24" t="s">
        <v>1610</v>
      </c>
      <c r="AT24" t="s">
        <v>670</v>
      </c>
      <c r="AU24" t="s">
        <v>2091</v>
      </c>
      <c r="AV24" t="s">
        <v>3672</v>
      </c>
      <c r="AW24" t="s">
        <v>974</v>
      </c>
      <c r="AX24" t="s">
        <v>1209</v>
      </c>
      <c r="AY24" t="s">
        <v>1781</v>
      </c>
      <c r="AZ24" t="s">
        <v>1494</v>
      </c>
      <c r="BA24" t="s">
        <v>1601</v>
      </c>
      <c r="BB24" t="s">
        <v>1473</v>
      </c>
      <c r="BC24" t="s">
        <v>2365</v>
      </c>
      <c r="BD24" t="s">
        <v>1782</v>
      </c>
      <c r="BE24" t="s">
        <v>1783</v>
      </c>
      <c r="BF24" t="s">
        <v>1784</v>
      </c>
      <c r="BG24" t="s">
        <v>1785</v>
      </c>
      <c r="BH24" t="s">
        <v>2359</v>
      </c>
      <c r="BI24" t="s">
        <v>266</v>
      </c>
      <c r="BJ24" t="s">
        <v>1209</v>
      </c>
      <c r="BK24" t="s">
        <v>2360</v>
      </c>
      <c r="BL24" t="s">
        <v>2366</v>
      </c>
      <c r="BM24" t="s">
        <v>2365</v>
      </c>
      <c r="BN24" t="s">
        <v>90</v>
      </c>
      <c r="BO24">
        <v>2.85</v>
      </c>
      <c r="BP24">
        <v>4.32</v>
      </c>
      <c r="BQ24">
        <v>-1.7</v>
      </c>
      <c r="BR24">
        <v>0.82</v>
      </c>
      <c r="BS24">
        <v>3.6</v>
      </c>
      <c r="BT24" t="s">
        <v>1696</v>
      </c>
      <c r="BU24" t="s">
        <v>1381</v>
      </c>
      <c r="BV24">
        <v>16.39</v>
      </c>
      <c r="BW24">
        <v>19.8</v>
      </c>
      <c r="BX24">
        <v>23.5</v>
      </c>
      <c r="BY24">
        <v>-3.78</v>
      </c>
      <c r="BZ24">
        <v>0.73</v>
      </c>
      <c r="CA24">
        <v>3.81</v>
      </c>
      <c r="CB24">
        <v>-1.1200000000000001</v>
      </c>
      <c r="CC24" s="8">
        <v>-14.48</v>
      </c>
      <c r="CD24" s="9" t="s">
        <v>3673</v>
      </c>
      <c r="CE24" s="8" t="s">
        <v>1081</v>
      </c>
      <c r="CF24" s="8">
        <v>-0.19718309859154928</v>
      </c>
      <c r="CG24" s="8">
        <v>-1.4833012118355009</v>
      </c>
      <c r="CH24" s="8">
        <v>-2.0600317046046257E-2</v>
      </c>
      <c r="CI24" s="8">
        <v>0.10973211377859116</v>
      </c>
      <c r="CJ24" s="9">
        <v>0.20267096161842346</v>
      </c>
      <c r="CK24" s="9">
        <v>0.45153927803039551</v>
      </c>
      <c r="CL24" s="9">
        <v>0.3308042585849762</v>
      </c>
      <c r="CM24" s="9">
        <v>-6.3067450523376465</v>
      </c>
      <c r="CN24" s="9">
        <v>-0.76611632108688354</v>
      </c>
      <c r="CO24">
        <v>-0.21201235055923462</v>
      </c>
      <c r="CP24">
        <v>4.8910598270595074E-3</v>
      </c>
      <c r="CQ24">
        <v>0.43841969966888428</v>
      </c>
      <c r="CR24" s="8">
        <v>73.920410759494388</v>
      </c>
      <c r="CS24" s="9">
        <v>3.4408912038285617</v>
      </c>
      <c r="CT24">
        <v>1.1286681715575622</v>
      </c>
      <c r="CU24">
        <v>0.21482925899326802</v>
      </c>
      <c r="CV24">
        <v>-1.3683125928975641</v>
      </c>
      <c r="CW24">
        <v>0.06</v>
      </c>
      <c r="CX24" t="e">
        <v>#VALUE!</v>
      </c>
      <c r="CY24" t="s">
        <v>1392</v>
      </c>
      <c r="CZ24">
        <v>0.21482925899326802</v>
      </c>
      <c r="DA24" t="e">
        <v>#VALUE!</v>
      </c>
      <c r="DB24" t="s">
        <v>1391</v>
      </c>
      <c r="DC24">
        <v>0.20408779604360461</v>
      </c>
      <c r="DD24" t="e">
        <v>#VALUE!</v>
      </c>
      <c r="DE24" t="s">
        <v>1391</v>
      </c>
      <c r="DF24">
        <v>0.18904974791407586</v>
      </c>
      <c r="DG24" t="e">
        <v>#VALUE!</v>
      </c>
      <c r="DH24" t="s">
        <v>1391</v>
      </c>
      <c r="DI24">
        <v>0.17186340719461443</v>
      </c>
      <c r="DJ24" t="e">
        <v>#VALUE!</v>
      </c>
      <c r="DK24" t="s">
        <v>1391</v>
      </c>
      <c r="DL24">
        <v>0.15038048129528761</v>
      </c>
      <c r="DM24">
        <v>-63597100</v>
      </c>
      <c r="DN24">
        <v>0.21482925899326802</v>
      </c>
      <c r="DO24">
        <v>2334006400</v>
      </c>
      <c r="DP24">
        <v>949344900</v>
      </c>
      <c r="DQ24" s="10">
        <v>779</v>
      </c>
      <c r="DR24">
        <v>-0.4120123575848173</v>
      </c>
      <c r="DS24">
        <v>-0.11498861893793677</v>
      </c>
      <c r="DT24">
        <v>-9.000000000000008E-2</v>
      </c>
      <c r="DU24">
        <v>-1.9816666666666667</v>
      </c>
      <c r="DV24">
        <v>-2.0716666666666668</v>
      </c>
      <c r="DW24">
        <v>-2.1448</v>
      </c>
      <c r="DX24">
        <v>0.49465239616613671</v>
      </c>
      <c r="DY24">
        <v>-2.0108096669648563</v>
      </c>
      <c r="DZ24">
        <v>4434</v>
      </c>
      <c r="EA24">
        <v>-2.0014300068235307</v>
      </c>
      <c r="EB24" s="11">
        <v>2</v>
      </c>
      <c r="EC24" s="11">
        <v>9.6379847025216486E-2</v>
      </c>
      <c r="ED24">
        <v>1.2910482713874212</v>
      </c>
      <c r="EE24">
        <v>3.0606100000000001</v>
      </c>
      <c r="EF24">
        <v>3.0806100000000001</v>
      </c>
      <c r="EG24">
        <v>42.074652396166137</v>
      </c>
      <c r="EH24" s="13" t="s">
        <v>1736</v>
      </c>
      <c r="EI24">
        <v>0</v>
      </c>
      <c r="EJ24">
        <v>0</v>
      </c>
      <c r="EK24">
        <v>45470</v>
      </c>
      <c r="EL24">
        <v>-1.95</v>
      </c>
      <c r="EM24">
        <v>-4.87</v>
      </c>
      <c r="EN24" s="14">
        <v>1.63</v>
      </c>
      <c r="EO24" s="14">
        <v>3.2</v>
      </c>
      <c r="EP24" s="14">
        <v>-2</v>
      </c>
    </row>
    <row r="25" spans="1:146" ht="120">
      <c r="A25" s="7" t="s">
        <v>1202</v>
      </c>
      <c r="B25" s="7" t="s">
        <v>1201</v>
      </c>
      <c r="C25" s="7" t="s">
        <v>1200</v>
      </c>
      <c r="D25" t="s">
        <v>380</v>
      </c>
      <c r="E25" t="s">
        <v>381</v>
      </c>
      <c r="F25">
        <v>6.22</v>
      </c>
      <c r="G25">
        <v>1.47</v>
      </c>
      <c r="H25" t="s">
        <v>3674</v>
      </c>
      <c r="I25">
        <v>3276934500</v>
      </c>
      <c r="J25">
        <v>20.29</v>
      </c>
      <c r="K25">
        <v>0.93400000000000005</v>
      </c>
      <c r="L25" t="s">
        <v>85</v>
      </c>
      <c r="M25" t="s">
        <v>2083</v>
      </c>
      <c r="N25" t="s">
        <v>3675</v>
      </c>
      <c r="O25" t="s">
        <v>389</v>
      </c>
      <c r="P25">
        <v>31.25</v>
      </c>
      <c r="Q25" t="s">
        <v>2240</v>
      </c>
      <c r="R25">
        <v>58063110</v>
      </c>
      <c r="S25" s="5">
        <v>1.2949999999999999</v>
      </c>
      <c r="T25" t="s">
        <v>204</v>
      </c>
      <c r="U25">
        <v>502015140</v>
      </c>
      <c r="V25">
        <v>526838350</v>
      </c>
      <c r="W25">
        <v>1.1100000000000001</v>
      </c>
      <c r="X25">
        <v>0.09</v>
      </c>
      <c r="Y25">
        <v>15.76</v>
      </c>
      <c r="Z25" t="s">
        <v>1308</v>
      </c>
      <c r="AA25" t="s">
        <v>483</v>
      </c>
      <c r="AB25" t="s">
        <v>3676</v>
      </c>
      <c r="AC25" t="s">
        <v>3677</v>
      </c>
      <c r="AD25" t="s">
        <v>90</v>
      </c>
      <c r="AE25">
        <v>-10004694</v>
      </c>
      <c r="AF25" t="s">
        <v>2367</v>
      </c>
      <c r="AG25" t="s">
        <v>3678</v>
      </c>
      <c r="AH25" t="s">
        <v>2368</v>
      </c>
      <c r="AI25" t="s">
        <v>1801</v>
      </c>
      <c r="AJ25" t="s">
        <v>2370</v>
      </c>
      <c r="AK25" t="s">
        <v>210</v>
      </c>
      <c r="AL25" t="s">
        <v>2371</v>
      </c>
      <c r="AM25" t="s">
        <v>90</v>
      </c>
      <c r="AN25" t="s">
        <v>3679</v>
      </c>
      <c r="AO25" t="s">
        <v>90</v>
      </c>
      <c r="AP25" t="s">
        <v>3680</v>
      </c>
      <c r="AQ25" t="s">
        <v>261</v>
      </c>
      <c r="AR25" t="s">
        <v>3681</v>
      </c>
      <c r="AS25" t="s">
        <v>738</v>
      </c>
      <c r="AT25" t="s">
        <v>90</v>
      </c>
      <c r="AU25" t="s">
        <v>3682</v>
      </c>
      <c r="AV25" t="s">
        <v>3683</v>
      </c>
      <c r="AW25" t="s">
        <v>3684</v>
      </c>
      <c r="AX25" t="s">
        <v>1786</v>
      </c>
      <c r="AY25" t="s">
        <v>1228</v>
      </c>
      <c r="AZ25" t="s">
        <v>720</v>
      </c>
      <c r="BA25" t="s">
        <v>383</v>
      </c>
      <c r="BB25" t="s">
        <v>723</v>
      </c>
      <c r="BC25" t="s">
        <v>135</v>
      </c>
      <c r="BD25" t="s">
        <v>741</v>
      </c>
      <c r="BE25" t="s">
        <v>333</v>
      </c>
      <c r="BF25" t="s">
        <v>384</v>
      </c>
      <c r="BG25" t="s">
        <v>725</v>
      </c>
      <c r="BH25" t="s">
        <v>2240</v>
      </c>
      <c r="BI25" t="s">
        <v>242</v>
      </c>
      <c r="BJ25" t="s">
        <v>1786</v>
      </c>
      <c r="BK25" t="s">
        <v>204</v>
      </c>
      <c r="BL25" t="s">
        <v>2372</v>
      </c>
      <c r="BM25" t="s">
        <v>135</v>
      </c>
      <c r="BN25">
        <v>2.17</v>
      </c>
      <c r="BO25">
        <v>4.1399999999999997</v>
      </c>
      <c r="BP25">
        <v>7.21</v>
      </c>
      <c r="BQ25">
        <v>2.5299999999999998</v>
      </c>
      <c r="BR25">
        <v>4.16</v>
      </c>
      <c r="BS25">
        <v>7.11</v>
      </c>
      <c r="BT25" t="s">
        <v>3685</v>
      </c>
      <c r="BU25" t="s">
        <v>1458</v>
      </c>
      <c r="BV25">
        <v>26.06</v>
      </c>
      <c r="BW25">
        <v>20.84</v>
      </c>
      <c r="BX25">
        <v>27.13</v>
      </c>
      <c r="BY25">
        <v>8.17</v>
      </c>
      <c r="BZ25">
        <v>9.9</v>
      </c>
      <c r="CA25">
        <v>14.51</v>
      </c>
      <c r="CB25">
        <v>-2.66</v>
      </c>
      <c r="CC25">
        <v>-8.4600000000000009</v>
      </c>
      <c r="CD25" t="s">
        <v>3686</v>
      </c>
      <c r="CE25" t="s">
        <v>326</v>
      </c>
      <c r="CF25" s="8">
        <v>0.30960854092526691</v>
      </c>
      <c r="CG25" s="9">
        <v>1.295156948545543</v>
      </c>
      <c r="CH25" s="8">
        <v>0.10522700101137161</v>
      </c>
      <c r="CI25" s="8">
        <v>-8.1490874290466309E-2</v>
      </c>
      <c r="CJ25" s="8">
        <v>0.22523224353790283</v>
      </c>
      <c r="CK25" s="8">
        <v>0.10616438090801239</v>
      </c>
      <c r="CL25" s="8">
        <v>0.1081593930721283</v>
      </c>
      <c r="CM25" s="9">
        <v>-8.510638028383255E-2</v>
      </c>
      <c r="CN25" s="9">
        <v>-0.37610620260238647</v>
      </c>
      <c r="CO25" s="9">
        <v>0.69924813508987427</v>
      </c>
      <c r="CP25" s="9">
        <v>0.84160023927688599</v>
      </c>
      <c r="CQ25" s="9">
        <v>-0.16191300749778748</v>
      </c>
      <c r="CR25">
        <v>24.970544531821506</v>
      </c>
      <c r="CS25">
        <v>2.694902648612862</v>
      </c>
      <c r="CT25">
        <v>2.4898762057877812</v>
      </c>
      <c r="CU25" s="8">
        <v>9.265842884778977E-2</v>
      </c>
      <c r="CV25" s="9">
        <v>0.18354455679655074</v>
      </c>
      <c r="CW25">
        <v>0.06</v>
      </c>
      <c r="CX25">
        <v>1.7968449243633506</v>
      </c>
      <c r="CY25">
        <v>132974469.17109895</v>
      </c>
      <c r="CZ25">
        <v>9.265842884778977E-2</v>
      </c>
      <c r="DA25">
        <v>0.5858722081872163</v>
      </c>
      <c r="DB25">
        <v>407826991.38315862</v>
      </c>
      <c r="DC25">
        <v>8.8025507405400272E-2</v>
      </c>
      <c r="DD25">
        <v>0.28754374912773567</v>
      </c>
      <c r="DE25">
        <v>830950075.33569455</v>
      </c>
      <c r="DF25">
        <v>8.1539417386054996E-2</v>
      </c>
      <c r="DG25">
        <v>0.17208857900572566</v>
      </c>
      <c r="DH25">
        <v>1388439031.6922209</v>
      </c>
      <c r="DI25">
        <v>7.4126743078231819E-2</v>
      </c>
      <c r="DJ25">
        <v>8.8235705763750935E-2</v>
      </c>
      <c r="DK25">
        <v>2707911700.0519223</v>
      </c>
      <c r="DL25">
        <v>6.4860900193452836E-2</v>
      </c>
      <c r="DM25">
        <v>129000000</v>
      </c>
      <c r="DN25">
        <v>9.265842884778977E-2</v>
      </c>
      <c r="DO25">
        <v>238934500</v>
      </c>
      <c r="DP25">
        <v>1552570800</v>
      </c>
      <c r="DQ25">
        <v>789</v>
      </c>
      <c r="DR25">
        <v>0.21695011207747714</v>
      </c>
      <c r="DS25">
        <v>1.1116123917489922</v>
      </c>
      <c r="DT25" s="10">
        <v>-0.3066666666666667</v>
      </c>
      <c r="DU25">
        <v>0.69</v>
      </c>
      <c r="DV25">
        <v>0.38333333333333325</v>
      </c>
      <c r="DW25">
        <v>-8.3144208037825056</v>
      </c>
      <c r="DX25">
        <v>0.32638196721311502</v>
      </c>
      <c r="DY25">
        <v>-8.0428813277525872</v>
      </c>
      <c r="DZ25">
        <v>895</v>
      </c>
      <c r="EA25">
        <v>-8.0353708016589351</v>
      </c>
      <c r="EB25">
        <v>8</v>
      </c>
      <c r="EC25">
        <v>3.1581983354097128E-2</v>
      </c>
      <c r="ED25">
        <v>0.23157008217036593</v>
      </c>
      <c r="EE25" s="11">
        <v>1.07141</v>
      </c>
      <c r="EF25">
        <v>1.0901099999999999</v>
      </c>
      <c r="EG25">
        <v>19.136381967213115</v>
      </c>
      <c r="EH25" t="s">
        <v>1733</v>
      </c>
      <c r="EI25">
        <v>0</v>
      </c>
      <c r="EJ25">
        <v>1</v>
      </c>
      <c r="EK25" s="13">
        <v>45470</v>
      </c>
      <c r="EL25" s="14">
        <v>-1.24</v>
      </c>
      <c r="EM25" s="14">
        <v>-3.77</v>
      </c>
      <c r="EN25" s="14">
        <v>1.31</v>
      </c>
      <c r="EO25" s="14">
        <v>3.22</v>
      </c>
      <c r="EP25" s="14">
        <v>-1.87</v>
      </c>
    </row>
    <row r="26" spans="1:146" ht="96">
      <c r="A26" s="7"/>
      <c r="B26" s="7"/>
      <c r="C26" s="7" t="str">
        <f>""&amp;CHAR(10)&amp;Basic_Fundamental_Information_Constructure(F26)&amp;CHAR(10)&amp;Basic_Fundamental_Information_Concatenate("")</f>
        <v xml:space="preserve">
市值28.128亿, 利润-871.39万; PE; 平均PE180.44; 平均PEG25.11, PB1.13; ROIC1.3667%; ROE.5867%; 股利率.1024%; 毛利18.7833%; 净利.34%; 上一年度营收增7.13%, 利润增-195.92%; 当季营收增-8.44%, 利润增80.06%; 过往5年营收增7.19%, 利润增-40.3%
Income profile:
</v>
      </c>
      <c r="D26" t="s">
        <v>588</v>
      </c>
      <c r="E26" t="s">
        <v>10</v>
      </c>
      <c r="F26">
        <v>2.93</v>
      </c>
      <c r="G26">
        <v>1.03</v>
      </c>
      <c r="H26" t="s">
        <v>3687</v>
      </c>
      <c r="I26">
        <v>2812800000</v>
      </c>
      <c r="K26">
        <v>1.1299999999999999</v>
      </c>
      <c r="L26" t="s">
        <v>85</v>
      </c>
      <c r="M26" t="s">
        <v>1605</v>
      </c>
      <c r="N26" t="s">
        <v>3688</v>
      </c>
      <c r="O26" t="s">
        <v>724</v>
      </c>
      <c r="P26">
        <v>-8.34</v>
      </c>
      <c r="Q26" t="s">
        <v>1754</v>
      </c>
      <c r="R26">
        <v>3665682</v>
      </c>
      <c r="S26" s="5">
        <v>0.80069999999999997</v>
      </c>
      <c r="T26" t="s">
        <v>2373</v>
      </c>
      <c r="U26">
        <v>954690000</v>
      </c>
      <c r="V26">
        <v>960000000</v>
      </c>
      <c r="W26">
        <v>1.96</v>
      </c>
      <c r="X26">
        <v>0.09</v>
      </c>
      <c r="Y26">
        <v>0.84</v>
      </c>
      <c r="Z26" t="s">
        <v>1828</v>
      </c>
      <c r="AA26" t="s">
        <v>404</v>
      </c>
      <c r="AB26" t="s">
        <v>3689</v>
      </c>
      <c r="AC26" t="s">
        <v>3690</v>
      </c>
      <c r="AD26" t="s">
        <v>90</v>
      </c>
      <c r="AE26">
        <v>12807609</v>
      </c>
      <c r="AF26" t="s">
        <v>2375</v>
      </c>
      <c r="AG26" t="s">
        <v>3691</v>
      </c>
      <c r="AH26" t="s">
        <v>2376</v>
      </c>
      <c r="AI26" t="s">
        <v>953</v>
      </c>
      <c r="AJ26" t="s">
        <v>2377</v>
      </c>
      <c r="AK26" t="s">
        <v>3692</v>
      </c>
      <c r="AL26" t="s">
        <v>2378</v>
      </c>
      <c r="AM26" t="s">
        <v>90</v>
      </c>
      <c r="AN26" t="s">
        <v>166</v>
      </c>
      <c r="AO26" t="s">
        <v>1537</v>
      </c>
      <c r="AP26" t="s">
        <v>1510</v>
      </c>
      <c r="AQ26" t="s">
        <v>240</v>
      </c>
      <c r="AR26" t="s">
        <v>90</v>
      </c>
      <c r="AS26" t="s">
        <v>3693</v>
      </c>
      <c r="AT26" t="s">
        <v>1540</v>
      </c>
      <c r="AU26" t="s">
        <v>2526</v>
      </c>
      <c r="AV26" t="s">
        <v>3694</v>
      </c>
      <c r="AW26" t="s">
        <v>372</v>
      </c>
      <c r="AX26" t="s">
        <v>1787</v>
      </c>
      <c r="AY26" t="s">
        <v>1229</v>
      </c>
      <c r="AZ26" t="s">
        <v>726</v>
      </c>
      <c r="BA26" t="s">
        <v>589</v>
      </c>
      <c r="BB26" t="s">
        <v>728</v>
      </c>
      <c r="BC26" t="s">
        <v>1788</v>
      </c>
      <c r="BD26" t="s">
        <v>1230</v>
      </c>
      <c r="BE26" t="s">
        <v>727</v>
      </c>
      <c r="BF26" t="s">
        <v>590</v>
      </c>
      <c r="BG26" t="s">
        <v>730</v>
      </c>
      <c r="BH26" t="s">
        <v>1754</v>
      </c>
      <c r="BI26" t="s">
        <v>1789</v>
      </c>
      <c r="BJ26" t="s">
        <v>1787</v>
      </c>
      <c r="BK26" t="s">
        <v>2373</v>
      </c>
      <c r="BL26" t="s">
        <v>2379</v>
      </c>
      <c r="BM26" t="s">
        <v>1788</v>
      </c>
      <c r="BN26">
        <v>1.54</v>
      </c>
      <c r="BO26">
        <v>0.99</v>
      </c>
      <c r="BP26">
        <v>1.57</v>
      </c>
      <c r="BQ26">
        <v>0.42</v>
      </c>
      <c r="BR26">
        <v>0.37</v>
      </c>
      <c r="BS26">
        <v>0.97</v>
      </c>
      <c r="BT26" t="s">
        <v>2380</v>
      </c>
      <c r="BU26" t="s">
        <v>1337</v>
      </c>
      <c r="BV26">
        <v>21.22</v>
      </c>
      <c r="BW26">
        <v>17.7</v>
      </c>
      <c r="BX26">
        <v>17.43</v>
      </c>
      <c r="BY26">
        <v>-0.37</v>
      </c>
      <c r="BZ26">
        <v>0.42</v>
      </c>
      <c r="CA26">
        <v>0.97</v>
      </c>
      <c r="CB26">
        <v>1.74</v>
      </c>
      <c r="CC26">
        <v>-12.2</v>
      </c>
      <c r="CD26" t="s">
        <v>3695</v>
      </c>
      <c r="CE26" t="s">
        <v>755</v>
      </c>
      <c r="CF26" s="8">
        <v>-8.4388185654008435E-2</v>
      </c>
      <c r="CG26" s="9">
        <v>0.8006100795755966</v>
      </c>
      <c r="CH26" s="8">
        <v>7.1329988539218903E-2</v>
      </c>
      <c r="CI26" s="8">
        <v>-0.11881587654352188</v>
      </c>
      <c r="CJ26" s="8">
        <v>0.11331819742918015</v>
      </c>
      <c r="CK26" s="8">
        <v>0.12665313482284546</v>
      </c>
      <c r="CL26" s="8">
        <v>0.16676554083824158</v>
      </c>
      <c r="CM26" s="9">
        <v>-1.9591735601425171</v>
      </c>
      <c r="CN26" s="9">
        <v>-0.62081730365753174</v>
      </c>
      <c r="CO26" s="9">
        <v>-0.27740615606307983</v>
      </c>
      <c r="CP26" s="9">
        <v>0.81914347410202026</v>
      </c>
      <c r="CQ26" s="9">
        <v>2.3012246936559677E-2</v>
      </c>
      <c r="CR26">
        <v>180.4430245761244</v>
      </c>
      <c r="CS26">
        <v>25.113782851972793</v>
      </c>
      <c r="CT26">
        <v>0.10238907849829351</v>
      </c>
      <c r="CU26" s="8">
        <v>7.1850197017192835E-2</v>
      </c>
      <c r="CV26" s="9">
        <v>-0.40304825976490977</v>
      </c>
      <c r="CW26">
        <v>0.06</v>
      </c>
      <c r="CX26" t="e">
        <v>#VALUE!</v>
      </c>
      <c r="CY26" t="s">
        <v>1391</v>
      </c>
      <c r="CZ26">
        <v>7.1850197017192835E-2</v>
      </c>
      <c r="DA26" t="e">
        <v>#VALUE!</v>
      </c>
      <c r="DB26" t="s">
        <v>1391</v>
      </c>
      <c r="DC26">
        <v>6.8257687166333195E-2</v>
      </c>
      <c r="DD26" t="e">
        <v>#VALUE!</v>
      </c>
      <c r="DE26" t="s">
        <v>1391</v>
      </c>
      <c r="DF26">
        <v>6.322817337512969E-2</v>
      </c>
      <c r="DG26" t="e">
        <v>#VALUE!</v>
      </c>
      <c r="DH26" t="s">
        <v>1391</v>
      </c>
      <c r="DI26">
        <v>5.7480157613754274E-2</v>
      </c>
      <c r="DJ26" t="e">
        <v>#VALUE!</v>
      </c>
      <c r="DK26" t="s">
        <v>1391</v>
      </c>
      <c r="DL26">
        <v>5.0295137912034979E-2</v>
      </c>
      <c r="DM26">
        <v>-8713900</v>
      </c>
      <c r="DN26">
        <v>7.1850197017192835E-2</v>
      </c>
      <c r="DO26">
        <v>2633800000</v>
      </c>
      <c r="DP26">
        <v>910150500.00000024</v>
      </c>
      <c r="DQ26">
        <v>849</v>
      </c>
      <c r="DR26">
        <v>-0.15623838267120127</v>
      </c>
      <c r="DS26">
        <v>1.2036583393405063</v>
      </c>
      <c r="DT26" s="10">
        <v>-0.34</v>
      </c>
      <c r="DU26">
        <v>-0.51</v>
      </c>
      <c r="DV26">
        <v>-0.85000000000000009</v>
      </c>
      <c r="DW26">
        <v>-2.1219999999999999</v>
      </c>
      <c r="DX26">
        <v>0.34905899581589961</v>
      </c>
      <c r="DY26">
        <v>-2.0157451974895397</v>
      </c>
      <c r="DZ26">
        <v>3406</v>
      </c>
      <c r="EA26">
        <v>-2.0052504533311497</v>
      </c>
      <c r="EB26">
        <v>2</v>
      </c>
      <c r="EC26">
        <v>3.2130312500000001E-2</v>
      </c>
      <c r="ED26">
        <v>0.24895833333333334</v>
      </c>
      <c r="EE26" s="11">
        <v>-2.0946099999999999</v>
      </c>
      <c r="EF26">
        <v>-2.1015100000000002</v>
      </c>
      <c r="EG26">
        <v>22.1290589958159</v>
      </c>
      <c r="EH26" t="s">
        <v>1735</v>
      </c>
      <c r="EI26">
        <v>0</v>
      </c>
      <c r="EJ26">
        <v>0</v>
      </c>
      <c r="EK26" s="13">
        <v>45470</v>
      </c>
      <c r="EL26" s="14">
        <v>0</v>
      </c>
      <c r="EM26" s="14">
        <v>-3.46</v>
      </c>
      <c r="EN26" s="14">
        <v>1.43</v>
      </c>
      <c r="EO26" s="14">
        <v>2.83</v>
      </c>
      <c r="EP26" s="14">
        <v>-0.69</v>
      </c>
    </row>
    <row r="27" spans="1:146" ht="108">
      <c r="A27" s="7"/>
      <c r="B27" s="7"/>
      <c r="C27" s="7" t="str">
        <f>""&amp;CHAR(10)&amp;Basic_Fundamental_Information_Constructure(F27)&amp;CHAR(10)&amp;Basic_Fundamental_Information_Concatenate("")</f>
        <v xml:space="preserve">
市值18.573044亿, 利润-4251.55万; PE; 平均PE1266.36; 平均PEG144.5, PB1.56; ROIC.82%; ROE-.5933%; 股利率0%; 毛利18.42%; 净利-1.4467%; 上一年度营收增2.22%, 利润增-10.25%; 当季营收增-12.14%, 利润增-40.62%; 过往5年营收增8.76%, 利润增-64.58%
Income profile:
</v>
      </c>
      <c r="D27" t="s">
        <v>221</v>
      </c>
      <c r="E27" t="s">
        <v>15</v>
      </c>
      <c r="F27">
        <v>3.68</v>
      </c>
      <c r="G27">
        <v>1.1000000000000001</v>
      </c>
      <c r="H27" t="s">
        <v>3696</v>
      </c>
      <c r="I27">
        <v>1857304400</v>
      </c>
      <c r="K27">
        <v>1.56</v>
      </c>
      <c r="L27" t="s">
        <v>85</v>
      </c>
      <c r="M27" t="s">
        <v>1285</v>
      </c>
      <c r="N27" t="s">
        <v>3697</v>
      </c>
      <c r="O27" t="s">
        <v>444</v>
      </c>
      <c r="P27">
        <v>-12.29</v>
      </c>
      <c r="Q27" t="s">
        <v>1600</v>
      </c>
      <c r="R27">
        <v>1584715</v>
      </c>
      <c r="S27" s="5">
        <v>-0.40620000000000001</v>
      </c>
      <c r="T27" t="s">
        <v>2381</v>
      </c>
      <c r="U27">
        <v>493382900</v>
      </c>
      <c r="V27">
        <v>504702280</v>
      </c>
      <c r="W27">
        <v>2</v>
      </c>
      <c r="X27">
        <v>0.1</v>
      </c>
      <c r="Y27">
        <v>1.1499999999999999</v>
      </c>
      <c r="Z27" t="s">
        <v>463</v>
      </c>
      <c r="AA27" t="s">
        <v>708</v>
      </c>
      <c r="AB27" t="s">
        <v>3698</v>
      </c>
      <c r="AC27" t="s">
        <v>3699</v>
      </c>
      <c r="AD27" t="s">
        <v>90</v>
      </c>
      <c r="AE27">
        <v>218526</v>
      </c>
      <c r="AF27" t="s">
        <v>2382</v>
      </c>
      <c r="AG27" t="s">
        <v>3700</v>
      </c>
      <c r="AH27" t="s">
        <v>2383</v>
      </c>
      <c r="AI27" t="s">
        <v>1510</v>
      </c>
      <c r="AJ27" t="s">
        <v>2384</v>
      </c>
      <c r="AK27" t="s">
        <v>685</v>
      </c>
      <c r="AL27" t="s">
        <v>2385</v>
      </c>
      <c r="AM27" t="s">
        <v>90</v>
      </c>
      <c r="AN27" t="s">
        <v>3701</v>
      </c>
      <c r="AO27" t="s">
        <v>3702</v>
      </c>
      <c r="AP27" t="s">
        <v>349</v>
      </c>
      <c r="AQ27" t="s">
        <v>386</v>
      </c>
      <c r="AR27" t="s">
        <v>90</v>
      </c>
      <c r="AS27" t="s">
        <v>1496</v>
      </c>
      <c r="AT27" t="s">
        <v>2386</v>
      </c>
      <c r="AU27" t="s">
        <v>3703</v>
      </c>
      <c r="AV27" t="s">
        <v>3704</v>
      </c>
      <c r="AW27" t="s">
        <v>3705</v>
      </c>
      <c r="AX27" t="s">
        <v>1177</v>
      </c>
      <c r="AY27" t="s">
        <v>1231</v>
      </c>
      <c r="AZ27" t="s">
        <v>732</v>
      </c>
      <c r="BA27" t="s">
        <v>222</v>
      </c>
      <c r="BB27" t="s">
        <v>657</v>
      </c>
      <c r="BC27" t="s">
        <v>2387</v>
      </c>
      <c r="BD27" t="s">
        <v>1232</v>
      </c>
      <c r="BE27" t="s">
        <v>733</v>
      </c>
      <c r="BF27" t="s">
        <v>223</v>
      </c>
      <c r="BG27" t="s">
        <v>734</v>
      </c>
      <c r="BH27" t="s">
        <v>1600</v>
      </c>
      <c r="BI27" t="s">
        <v>825</v>
      </c>
      <c r="BJ27" t="s">
        <v>1177</v>
      </c>
      <c r="BK27" t="s">
        <v>2381</v>
      </c>
      <c r="BL27" t="s">
        <v>2388</v>
      </c>
      <c r="BM27" t="s">
        <v>2387</v>
      </c>
      <c r="BN27">
        <v>-0.17</v>
      </c>
      <c r="BO27" t="s">
        <v>90</v>
      </c>
      <c r="BP27">
        <v>1.81</v>
      </c>
      <c r="BQ27">
        <v>-0.36</v>
      </c>
      <c r="BR27">
        <v>-2.99</v>
      </c>
      <c r="BS27">
        <v>1.57</v>
      </c>
      <c r="BT27" t="s">
        <v>1692</v>
      </c>
      <c r="BU27" t="s">
        <v>1337</v>
      </c>
      <c r="BV27">
        <v>17.239999999999998</v>
      </c>
      <c r="BW27">
        <v>17.829999999999998</v>
      </c>
      <c r="BX27">
        <v>20.190000000000001</v>
      </c>
      <c r="BY27">
        <v>-3.5</v>
      </c>
      <c r="BZ27">
        <v>-3.31</v>
      </c>
      <c r="CA27">
        <v>2.4700000000000002</v>
      </c>
      <c r="CB27">
        <v>-2.39</v>
      </c>
      <c r="CC27">
        <v>-15.98</v>
      </c>
      <c r="CD27" t="s">
        <v>3706</v>
      </c>
      <c r="CE27" t="s">
        <v>315</v>
      </c>
      <c r="CF27" s="8">
        <v>-0.12142857142857143</v>
      </c>
      <c r="CG27" s="9">
        <v>-0.40620690947242205</v>
      </c>
      <c r="CH27" s="8">
        <v>2.2160664200782776E-2</v>
      </c>
      <c r="CI27" s="8">
        <v>2.2662950679659843E-2</v>
      </c>
      <c r="CJ27" s="8">
        <v>0.30418717861175537</v>
      </c>
      <c r="CK27" s="8">
        <v>-7.3349634185433388E-3</v>
      </c>
      <c r="CL27" s="8">
        <v>9.65147465467453E-2</v>
      </c>
      <c r="CM27" s="9">
        <v>-0.10248604416847229</v>
      </c>
      <c r="CN27" s="9">
        <v>-3.1198992729187012</v>
      </c>
      <c r="CO27" s="9">
        <v>-0.31183207035064697</v>
      </c>
      <c r="CP27" s="9">
        <v>4.9247026443481445E-2</v>
      </c>
      <c r="CQ27" s="9">
        <v>0.25589603185653687</v>
      </c>
      <c r="CR27">
        <v>1266.3582995261311</v>
      </c>
      <c r="CS27">
        <v>144.49857745607846</v>
      </c>
      <c r="CT27">
        <v>0</v>
      </c>
      <c r="CU27" s="8">
        <v>8.7638115324079988E-2</v>
      </c>
      <c r="CV27" s="9">
        <v>-0.64581486582756042</v>
      </c>
      <c r="CW27">
        <v>0.06</v>
      </c>
      <c r="CX27" t="e">
        <v>#VALUE!</v>
      </c>
      <c r="CY27" t="s">
        <v>1391</v>
      </c>
      <c r="CZ27">
        <v>8.7638115324079988E-2</v>
      </c>
      <c r="DA27" t="e">
        <v>#VALUE!</v>
      </c>
      <c r="DB27" t="s">
        <v>1391</v>
      </c>
      <c r="DC27">
        <v>8.3256209557875979E-2</v>
      </c>
      <c r="DD27" t="e">
        <v>#VALUE!</v>
      </c>
      <c r="DE27" t="s">
        <v>1391</v>
      </c>
      <c r="DF27">
        <v>7.712154148519039E-2</v>
      </c>
      <c r="DG27" t="e">
        <v>#VALUE!</v>
      </c>
      <c r="DH27" t="s">
        <v>1391</v>
      </c>
      <c r="DI27">
        <v>7.0110492259263996E-2</v>
      </c>
      <c r="DJ27" t="e">
        <v>#VALUE!</v>
      </c>
      <c r="DK27" t="s">
        <v>1391</v>
      </c>
      <c r="DL27">
        <v>6.1346680726855986E-2</v>
      </c>
      <c r="DM27">
        <v>-42515500</v>
      </c>
      <c r="DN27">
        <v>8.7638115324079988E-2</v>
      </c>
      <c r="DO27">
        <v>1890304400</v>
      </c>
      <c r="DP27">
        <v>643380600</v>
      </c>
      <c r="DQ27">
        <v>854</v>
      </c>
      <c r="DR27">
        <v>-0.20906668675265141</v>
      </c>
      <c r="DS27">
        <v>0.23960795635513837</v>
      </c>
      <c r="DT27" s="10">
        <v>-0.3066666666666667</v>
      </c>
      <c r="DU27">
        <v>-1.6066666666666667</v>
      </c>
      <c r="DV27">
        <v>-1.9133333333333333</v>
      </c>
      <c r="DW27">
        <v>-2.1598000000000002</v>
      </c>
      <c r="DX27">
        <v>0.33577753846153824</v>
      </c>
      <c r="DY27">
        <v>-2.0169032506461537</v>
      </c>
      <c r="DZ27">
        <v>4332</v>
      </c>
      <c r="EA27">
        <v>-2.002573528180569</v>
      </c>
      <c r="EB27">
        <v>2</v>
      </c>
      <c r="EC27">
        <v>6.8114810180766372E-2</v>
      </c>
      <c r="ED27">
        <v>0.64394399010838632</v>
      </c>
      <c r="EE27" s="11">
        <v>-2.1063000000000001</v>
      </c>
      <c r="EF27">
        <v>-2.0983000000000001</v>
      </c>
      <c r="EG27">
        <v>23.105777538461538</v>
      </c>
      <c r="EH27" t="s">
        <v>1793</v>
      </c>
      <c r="EI27">
        <v>0</v>
      </c>
      <c r="EJ27">
        <v>0</v>
      </c>
      <c r="EK27" s="13">
        <v>45470</v>
      </c>
      <c r="EL27" s="14">
        <v>-0.8</v>
      </c>
      <c r="EM27" s="14">
        <v>-4.83</v>
      </c>
      <c r="EN27" s="14">
        <v>1.69</v>
      </c>
      <c r="EO27" s="14">
        <v>4.16</v>
      </c>
      <c r="EP27" s="14">
        <v>-0.8</v>
      </c>
    </row>
    <row r="28" spans="1:146" ht="204">
      <c r="A28" s="7"/>
      <c r="B28" s="7"/>
      <c r="C28" s="7" t="str">
        <f>"公司的主营业务是从事应用于冶金领域的高炉煤气全干法除尘系统、转炉煤气除尘与回收系统、焦炉烟气除尘系统、煤气管网系统的特种阀门、法兰，应用于核电站的核级蝶阀和球阀、核级法兰和锻件、非核级蝶阀和球阀及其配套设备"&amp;CHAR(10)&amp;Basic_Fundamental_Information_Constructure(F28)&amp;CHAR(10)&amp;Basic_Fundamental_Information_Concatenate("能源行业 3.00亿 32.50% 15.52% 13.53%
冶金行业 2.89亿 31.29% 35.83% 32.44%
核电行业 2.22亿 24.09% 33.78% 39.72%
节能服务行业 5627.04万 6.10% 4.04% 18.79%
其他业务 5565.50万 6.03% 10.83% 50.90%")</f>
        <v>公司的主营业务是从事应用于冶金领域的高炉煤气全干法除尘系统、转炉煤气除尘与回收系统、焦炉烟气除尘系统、煤气管网系统的特种阀门、法兰，应用于核电站的核级蝶阀和球阀、核级法兰和锻件、非核级蝶阀和球阀及其配套设备
市值53.494448亿, 利润2.69亿; PE19.34; 平均PE25.86; 平均PEG1.76, PB1.59; ROIC6.98%; ROE8.9367%; 股利率1.518%; 毛利30.9233%; 净利12.5033%; 上一年度营收增9.1%, 利润增17.98%; 当季营收增14.89%, 利润增10.17%; 过往5年营收增14.71%, 利润增23.56%
Income profile:
能源行业 3.00亿 32.50% 15.52% 13.53%
冶金行业 2.89亿 31.29% 35.83% 32.44%
核电行业 2.22亿 24.09% 33.78% 39.72%
节能服务行业 5627.04万 6.10% 4.04% 18.79%
其他业务 5565.50万 6.03% 10.83% 50.90%</v>
      </c>
      <c r="D28" t="s">
        <v>233</v>
      </c>
      <c r="E28" t="s">
        <v>38</v>
      </c>
      <c r="F28">
        <v>10.54</v>
      </c>
      <c r="G28">
        <v>1.05</v>
      </c>
      <c r="H28" t="s">
        <v>3707</v>
      </c>
      <c r="I28">
        <v>5349444800</v>
      </c>
      <c r="J28">
        <v>19.34</v>
      </c>
      <c r="K28">
        <v>1.59</v>
      </c>
      <c r="L28" t="s">
        <v>85</v>
      </c>
      <c r="M28" t="s">
        <v>2389</v>
      </c>
      <c r="N28" t="s">
        <v>3708</v>
      </c>
      <c r="O28" t="s">
        <v>1801</v>
      </c>
      <c r="P28">
        <v>14.78</v>
      </c>
      <c r="Q28" t="s">
        <v>2390</v>
      </c>
      <c r="R28">
        <v>83694809</v>
      </c>
      <c r="S28" s="5">
        <v>0.1017</v>
      </c>
      <c r="T28" t="s">
        <v>1393</v>
      </c>
      <c r="U28">
        <v>468880670</v>
      </c>
      <c r="V28">
        <v>507537460</v>
      </c>
      <c r="W28">
        <v>1.7</v>
      </c>
      <c r="X28">
        <v>0.1</v>
      </c>
      <c r="Y28">
        <v>14.67</v>
      </c>
      <c r="Z28" t="s">
        <v>1023</v>
      </c>
      <c r="AA28" t="s">
        <v>490</v>
      </c>
      <c r="AB28" t="s">
        <v>3709</v>
      </c>
      <c r="AC28" t="s">
        <v>3710</v>
      </c>
      <c r="AD28" t="s">
        <v>90</v>
      </c>
      <c r="AE28">
        <v>7366981</v>
      </c>
      <c r="AF28" t="s">
        <v>2392</v>
      </c>
      <c r="AG28">
        <v>7030.89</v>
      </c>
      <c r="AH28" t="s">
        <v>2393</v>
      </c>
      <c r="AI28" t="s">
        <v>196</v>
      </c>
      <c r="AJ28" t="s">
        <v>2394</v>
      </c>
      <c r="AK28" t="s">
        <v>226</v>
      </c>
      <c r="AL28" t="s">
        <v>2395</v>
      </c>
      <c r="AM28" t="s">
        <v>90</v>
      </c>
      <c r="AN28" t="s">
        <v>3711</v>
      </c>
      <c r="AO28" t="s">
        <v>745</v>
      </c>
      <c r="AP28" t="s">
        <v>685</v>
      </c>
      <c r="AQ28" t="s">
        <v>2521</v>
      </c>
      <c r="AR28" t="s">
        <v>90</v>
      </c>
      <c r="AS28" t="s">
        <v>2323</v>
      </c>
      <c r="AT28" t="s">
        <v>292</v>
      </c>
      <c r="AU28" t="s">
        <v>3712</v>
      </c>
      <c r="AV28" t="s">
        <v>3713</v>
      </c>
      <c r="AW28" t="s">
        <v>3714</v>
      </c>
      <c r="AX28" t="s">
        <v>1790</v>
      </c>
      <c r="AY28" t="s">
        <v>1233</v>
      </c>
      <c r="AZ28" t="s">
        <v>735</v>
      </c>
      <c r="BA28" t="s">
        <v>235</v>
      </c>
      <c r="BB28" t="s">
        <v>736</v>
      </c>
      <c r="BC28" t="s">
        <v>198</v>
      </c>
      <c r="BD28" t="s">
        <v>246</v>
      </c>
      <c r="BE28" t="s">
        <v>150</v>
      </c>
      <c r="BF28" t="s">
        <v>236</v>
      </c>
      <c r="BG28" t="s">
        <v>418</v>
      </c>
      <c r="BH28" t="s">
        <v>2390</v>
      </c>
      <c r="BI28" t="s">
        <v>2396</v>
      </c>
      <c r="BJ28" t="s">
        <v>1790</v>
      </c>
      <c r="BK28" t="s">
        <v>1393</v>
      </c>
      <c r="BL28" t="s">
        <v>2397</v>
      </c>
      <c r="BM28" t="s">
        <v>198</v>
      </c>
      <c r="BN28">
        <v>5.19</v>
      </c>
      <c r="BO28">
        <v>6.53</v>
      </c>
      <c r="BP28">
        <v>9.2200000000000006</v>
      </c>
      <c r="BQ28">
        <v>6.62</v>
      </c>
      <c r="BR28">
        <v>9.06</v>
      </c>
      <c r="BS28">
        <v>11.13</v>
      </c>
      <c r="BT28" t="s">
        <v>1869</v>
      </c>
      <c r="BU28" t="s">
        <v>1337</v>
      </c>
      <c r="BV28">
        <v>31.69</v>
      </c>
      <c r="BW28">
        <v>29.85</v>
      </c>
      <c r="BX28">
        <v>31.23</v>
      </c>
      <c r="BY28">
        <v>12.6</v>
      </c>
      <c r="BZ28">
        <v>11.64</v>
      </c>
      <c r="CA28">
        <v>13.27</v>
      </c>
      <c r="CB28">
        <v>-2.5</v>
      </c>
      <c r="CC28">
        <v>-20.21</v>
      </c>
      <c r="CD28" t="s">
        <v>3715</v>
      </c>
      <c r="CE28" t="s">
        <v>1453</v>
      </c>
      <c r="CF28" s="8">
        <v>0.1488933601609658</v>
      </c>
      <c r="CG28" s="9">
        <v>0.10168961227861181</v>
      </c>
      <c r="CH28" s="8">
        <v>9.1048523783683777E-2</v>
      </c>
      <c r="CI28" s="8">
        <v>2.3560242727398872E-2</v>
      </c>
      <c r="CJ28" s="8">
        <v>0.20428751409053802</v>
      </c>
      <c r="CK28" s="8">
        <v>0.17655786871910095</v>
      </c>
      <c r="CL28" s="8">
        <v>0.24011032283306122</v>
      </c>
      <c r="CM28" s="9">
        <v>0.17982456088066101</v>
      </c>
      <c r="CN28" s="9">
        <v>-9.8814226686954498E-2</v>
      </c>
      <c r="CO28" s="9">
        <v>0.17129629850387573</v>
      </c>
      <c r="CP28" s="9">
        <v>0.25581395626068115</v>
      </c>
      <c r="CQ28" s="9">
        <v>0.66990292072296143</v>
      </c>
      <c r="CR28">
        <v>25.86355261885576</v>
      </c>
      <c r="CS28">
        <v>1.7580751652622317</v>
      </c>
      <c r="CT28">
        <v>1.5180265654648959</v>
      </c>
      <c r="CU28" s="8">
        <v>0.14711289443075656</v>
      </c>
      <c r="CV28" s="9">
        <v>0.23560470193624497</v>
      </c>
      <c r="CW28">
        <v>0.06</v>
      </c>
      <c r="CX28">
        <v>15.65213326698821</v>
      </c>
      <c r="CY28">
        <v>291106951.51120144</v>
      </c>
      <c r="CZ28">
        <v>0.14711289443075656</v>
      </c>
      <c r="DA28">
        <v>4.8750381886211462</v>
      </c>
      <c r="DB28">
        <v>934648021.96528912</v>
      </c>
      <c r="DC28">
        <v>0.13975724970921874</v>
      </c>
      <c r="DD28">
        <v>2.2474899047743131</v>
      </c>
      <c r="DE28">
        <v>2027348283.220674</v>
      </c>
      <c r="DF28">
        <v>0.12945934709906579</v>
      </c>
      <c r="DG28">
        <v>1.2510319252858899</v>
      </c>
      <c r="DH28">
        <v>3642149099.3994789</v>
      </c>
      <c r="DI28">
        <v>0.11769031554460525</v>
      </c>
      <c r="DJ28">
        <v>0.54356688169226575</v>
      </c>
      <c r="DK28">
        <v>8382491563.5305014</v>
      </c>
      <c r="DL28">
        <v>0.10297902610152959</v>
      </c>
      <c r="DM28">
        <v>269000000</v>
      </c>
      <c r="DN28">
        <v>0.14711289443075656</v>
      </c>
      <c r="DO28">
        <v>4556444800</v>
      </c>
      <c r="DP28">
        <v>1193263400</v>
      </c>
      <c r="DQ28">
        <v>941</v>
      </c>
      <c r="DR28">
        <v>1.7804657302092353E-3</v>
      </c>
      <c r="DS28">
        <v>-0.13391508965763316</v>
      </c>
      <c r="DT28" s="10">
        <v>-9.000000000000008E-2</v>
      </c>
      <c r="DU28">
        <v>0.6166666666666667</v>
      </c>
      <c r="DV28">
        <v>0.52666666666666662</v>
      </c>
      <c r="DW28">
        <v>-8.1237011380504693</v>
      </c>
      <c r="DX28">
        <v>0.28118135593220461</v>
      </c>
      <c r="DY28">
        <v>-8.0149902716393129</v>
      </c>
      <c r="DZ28">
        <v>676</v>
      </c>
      <c r="EA28">
        <v>-8.013007214177831</v>
      </c>
      <c r="EB28">
        <v>8</v>
      </c>
      <c r="EC28">
        <v>5.6348156055318559E-2</v>
      </c>
      <c r="ED28">
        <v>0.46499030830157839</v>
      </c>
      <c r="EE28" s="11">
        <v>1.0364</v>
      </c>
      <c r="EF28">
        <v>1.0049999999999999</v>
      </c>
      <c r="EG28">
        <v>16.121181355932205</v>
      </c>
      <c r="EH28" t="s">
        <v>1725</v>
      </c>
      <c r="EI28">
        <v>0</v>
      </c>
      <c r="EJ28">
        <v>1</v>
      </c>
      <c r="EK28" s="13">
        <v>45470</v>
      </c>
      <c r="EL28" s="14">
        <v>-0.26</v>
      </c>
      <c r="EM28" s="14">
        <v>-3.88</v>
      </c>
      <c r="EN28" s="14">
        <v>0.92</v>
      </c>
      <c r="EO28" s="14">
        <v>1.27</v>
      </c>
      <c r="EP28" s="14">
        <v>-3.14</v>
      </c>
    </row>
    <row r="29" spans="1:146" ht="108">
      <c r="A29" s="7"/>
      <c r="B29" s="7"/>
      <c r="C29" s="7" t="str">
        <f>""&amp;CHAR(10)&amp;Basic_Fundamental_Information_Constructure(F29)&amp;CHAR(10)&amp;Basic_Fundamental_Information_Concatenate("")</f>
        <v xml:space="preserve">
市值303.0305亿, 利润16.92亿; PE16.81; 平均PE24.76; 平均PEG1.75, PB1.99; ROIC9.2367%; ROE11.8633%; 股利率.3968%; 毛利27.81%; 净利12.95%; 上一年度营收增-13.32%, 利润增19.15%; 当季营收增29.39%, 利润增275.6%; 过往5年营收增14.11%, 利润增20.14%
Income profile:
</v>
      </c>
      <c r="D29" t="s">
        <v>468</v>
      </c>
      <c r="E29" t="s">
        <v>61</v>
      </c>
      <c r="F29">
        <v>25.2</v>
      </c>
      <c r="G29">
        <v>1.65</v>
      </c>
      <c r="H29" t="s">
        <v>3716</v>
      </c>
      <c r="I29">
        <v>30303050000</v>
      </c>
      <c r="J29">
        <v>16.809999999999999</v>
      </c>
      <c r="K29">
        <v>1.99</v>
      </c>
      <c r="L29" t="s">
        <v>85</v>
      </c>
      <c r="M29" t="s">
        <v>2398</v>
      </c>
      <c r="N29" t="s">
        <v>3717</v>
      </c>
      <c r="O29" t="s">
        <v>2399</v>
      </c>
      <c r="P29">
        <v>29.38</v>
      </c>
      <c r="Q29" t="s">
        <v>2400</v>
      </c>
      <c r="R29">
        <v>1134316250</v>
      </c>
      <c r="S29" s="5">
        <v>0.36699999999999999</v>
      </c>
      <c r="T29" t="s">
        <v>2401</v>
      </c>
      <c r="U29">
        <v>1151029090</v>
      </c>
      <c r="V29">
        <v>1202501990</v>
      </c>
      <c r="W29">
        <v>1.35</v>
      </c>
      <c r="X29">
        <v>0.16</v>
      </c>
      <c r="Y29">
        <v>12.94</v>
      </c>
      <c r="Z29" t="s">
        <v>2092</v>
      </c>
      <c r="AA29" t="s">
        <v>3718</v>
      </c>
      <c r="AB29" t="s">
        <v>2613</v>
      </c>
      <c r="AC29" t="s">
        <v>352</v>
      </c>
      <c r="AD29" t="s">
        <v>90</v>
      </c>
      <c r="AE29">
        <v>48166798</v>
      </c>
      <c r="AF29" t="s">
        <v>2402</v>
      </c>
      <c r="AG29" t="s">
        <v>3719</v>
      </c>
      <c r="AH29" t="s">
        <v>2403</v>
      </c>
      <c r="AI29" t="s">
        <v>3720</v>
      </c>
      <c r="AJ29" t="s">
        <v>2404</v>
      </c>
      <c r="AK29" t="s">
        <v>3721</v>
      </c>
      <c r="AL29" t="s">
        <v>2405</v>
      </c>
      <c r="AM29" t="s">
        <v>90</v>
      </c>
      <c r="AN29" t="s">
        <v>378</v>
      </c>
      <c r="AO29" t="s">
        <v>3722</v>
      </c>
      <c r="AP29" t="s">
        <v>3723</v>
      </c>
      <c r="AQ29" t="s">
        <v>3724</v>
      </c>
      <c r="AR29" t="s">
        <v>90</v>
      </c>
      <c r="AS29" t="s">
        <v>3725</v>
      </c>
      <c r="AT29" t="s">
        <v>90</v>
      </c>
      <c r="AU29" t="s">
        <v>247</v>
      </c>
      <c r="AV29" t="s">
        <v>3726</v>
      </c>
      <c r="AW29" t="s">
        <v>1405</v>
      </c>
      <c r="AX29" t="s">
        <v>1792</v>
      </c>
      <c r="AY29" t="s">
        <v>1235</v>
      </c>
      <c r="AZ29" t="s">
        <v>739</v>
      </c>
      <c r="BA29" t="s">
        <v>469</v>
      </c>
      <c r="BB29" t="s">
        <v>743</v>
      </c>
      <c r="BC29" t="s">
        <v>1555</v>
      </c>
      <c r="BD29" t="s">
        <v>1236</v>
      </c>
      <c r="BE29" t="s">
        <v>291</v>
      </c>
      <c r="BF29" t="s">
        <v>470</v>
      </c>
      <c r="BG29" t="s">
        <v>744</v>
      </c>
      <c r="BH29" t="s">
        <v>2400</v>
      </c>
      <c r="BI29" t="s">
        <v>2406</v>
      </c>
      <c r="BJ29" t="s">
        <v>1792</v>
      </c>
      <c r="BK29" t="s">
        <v>2401</v>
      </c>
      <c r="BL29" t="s">
        <v>133</v>
      </c>
      <c r="BM29" t="s">
        <v>1555</v>
      </c>
      <c r="BN29">
        <v>7.89</v>
      </c>
      <c r="BO29">
        <v>9.68</v>
      </c>
      <c r="BP29">
        <v>10.14</v>
      </c>
      <c r="BQ29">
        <v>10.58</v>
      </c>
      <c r="BR29">
        <v>12.31</v>
      </c>
      <c r="BS29">
        <v>12.7</v>
      </c>
      <c r="BT29" t="s">
        <v>1697</v>
      </c>
      <c r="BU29" t="s">
        <v>1381</v>
      </c>
      <c r="BV29">
        <v>31.8</v>
      </c>
      <c r="BW29">
        <v>26.51</v>
      </c>
      <c r="BX29">
        <v>25.12</v>
      </c>
      <c r="BY29">
        <v>15.51</v>
      </c>
      <c r="BZ29">
        <v>11.46</v>
      </c>
      <c r="CA29">
        <v>11.88</v>
      </c>
      <c r="CB29">
        <v>2.02</v>
      </c>
      <c r="CC29">
        <v>-1.18</v>
      </c>
      <c r="CD29" t="s">
        <v>3727</v>
      </c>
      <c r="CE29" t="s">
        <v>844</v>
      </c>
      <c r="CF29" s="8">
        <v>0.2939334637964775</v>
      </c>
      <c r="CG29" s="9">
        <v>2.7560140728476821</v>
      </c>
      <c r="CH29" s="8">
        <v>-0.13322760164737701</v>
      </c>
      <c r="CI29" s="8">
        <v>0.15476194024085999</v>
      </c>
      <c r="CJ29" s="8">
        <v>0.27808982133865356</v>
      </c>
      <c r="CK29" s="8">
        <v>0.28966039419174194</v>
      </c>
      <c r="CL29" s="8">
        <v>0.11625945568084717</v>
      </c>
      <c r="CM29" s="9">
        <v>0.19154930114746094</v>
      </c>
      <c r="CN29" s="9">
        <v>0.11811023950576782</v>
      </c>
      <c r="CO29" s="9">
        <v>-5.9259258210659027E-2</v>
      </c>
      <c r="CP29" s="9">
        <v>0.50837987661361694</v>
      </c>
      <c r="CQ29" s="9">
        <v>0.2482566237449646</v>
      </c>
      <c r="CR29">
        <v>24.757393790849672</v>
      </c>
      <c r="CS29">
        <v>1.7544896878723277</v>
      </c>
      <c r="CT29">
        <v>0.39682539682539686</v>
      </c>
      <c r="CU29" s="8">
        <v>0.14110880196094513</v>
      </c>
      <c r="CV29" s="9">
        <v>0.20140735656023026</v>
      </c>
      <c r="CW29">
        <v>0.06</v>
      </c>
      <c r="CX29">
        <v>10.724344248323581</v>
      </c>
      <c r="CY29">
        <v>1821468012.1867166</v>
      </c>
      <c r="CZ29">
        <v>0.14110880196094513</v>
      </c>
      <c r="DA29">
        <v>3.3570323285985499</v>
      </c>
      <c r="DB29">
        <v>5818844767.6209364</v>
      </c>
      <c r="DC29">
        <v>0.13405336186289787</v>
      </c>
      <c r="DD29">
        <v>1.5584951210538884</v>
      </c>
      <c r="DE29">
        <v>12533917967.475348</v>
      </c>
      <c r="DF29">
        <v>0.12417574572563173</v>
      </c>
      <c r="DG29">
        <v>0.87469137568819211</v>
      </c>
      <c r="DH29">
        <v>22332505547.606373</v>
      </c>
      <c r="DI29">
        <v>0.11288704156875612</v>
      </c>
      <c r="DJ29">
        <v>0.38747755182419658</v>
      </c>
      <c r="DK29">
        <v>50413372098.683136</v>
      </c>
      <c r="DL29">
        <v>9.8776161372661583E-2</v>
      </c>
      <c r="DM29">
        <v>1692000000.0000002</v>
      </c>
      <c r="DN29">
        <v>0.14110880196094513</v>
      </c>
      <c r="DO29">
        <v>19534050000</v>
      </c>
      <c r="DP29">
        <v>6812600000</v>
      </c>
      <c r="DQ29">
        <v>947</v>
      </c>
      <c r="DR29">
        <v>0.15282466183553237</v>
      </c>
      <c r="DS29">
        <v>2.5546067162874517</v>
      </c>
      <c r="DT29" s="10">
        <v>-4.0000000000000036E-2</v>
      </c>
      <c r="DU29">
        <v>0.82333333333333325</v>
      </c>
      <c r="DV29">
        <v>0.78333333333333321</v>
      </c>
      <c r="DW29">
        <v>-1.18E-2</v>
      </c>
      <c r="DX29">
        <v>0.44364197435897468</v>
      </c>
      <c r="DY29">
        <v>-3.5829752974358971E-3</v>
      </c>
      <c r="DZ29">
        <v>623</v>
      </c>
      <c r="EA29">
        <v>-3.1461468022690548E-3</v>
      </c>
      <c r="EB29">
        <v>0</v>
      </c>
      <c r="EC29">
        <v>7.8782655486499431E-2</v>
      </c>
      <c r="ED29">
        <v>0.25945903008443255</v>
      </c>
      <c r="EE29" s="11">
        <v>2.8399999999999998E-2</v>
      </c>
      <c r="EF29">
        <v>1.3600000000000001E-2</v>
      </c>
      <c r="EG29">
        <v>14.303641974358975</v>
      </c>
      <c r="EH29" t="s">
        <v>1390</v>
      </c>
      <c r="EI29">
        <v>0</v>
      </c>
      <c r="EJ29">
        <v>1</v>
      </c>
      <c r="EK29" s="13">
        <v>45470</v>
      </c>
      <c r="EL29" s="14">
        <v>0.72</v>
      </c>
      <c r="EM29" s="14">
        <v>-0.84</v>
      </c>
      <c r="EN29" s="14">
        <v>1.53</v>
      </c>
      <c r="EO29" s="14">
        <v>-1.27</v>
      </c>
      <c r="EP29" s="14">
        <v>-1.48</v>
      </c>
    </row>
    <row r="30" spans="1:146" ht="108">
      <c r="A30" s="7"/>
      <c r="B30" s="7"/>
      <c r="C30" s="7" t="str">
        <f>""&amp;CHAR(10)&amp;Basic_Fundamental_Information_Constructure(F30)&amp;CHAR(10)&amp;Basic_Fundamental_Information_Concatenate("")</f>
        <v xml:space="preserve">
市值40.180028亿, 利润1.29亿; PE84.05; 平均PE-7.08; 平均PEG-11.5, PB1.88; ROIC6.33%; ROE6.5633%; 股利率0%; 毛利21.0933%; 净利21.7733%; 上一年度营收增9.91%, 利润增365.31%; 当季营收增44%, 利润增-131.96%; 过往5年营收增-.62%, 利润增91.69%
Income profile:
</v>
      </c>
      <c r="D30" t="s">
        <v>1237</v>
      </c>
      <c r="E30" t="s">
        <v>1238</v>
      </c>
      <c r="F30">
        <v>1.68</v>
      </c>
      <c r="G30">
        <v>1.2</v>
      </c>
      <c r="H30" t="s">
        <v>3728</v>
      </c>
      <c r="I30">
        <v>4018002800</v>
      </c>
      <c r="J30">
        <v>84.05</v>
      </c>
      <c r="K30">
        <v>1.88</v>
      </c>
      <c r="L30" t="s">
        <v>85</v>
      </c>
      <c r="M30" t="s">
        <v>115</v>
      </c>
      <c r="N30" t="s">
        <v>3729</v>
      </c>
      <c r="O30" t="s">
        <v>263</v>
      </c>
      <c r="P30">
        <v>43.7</v>
      </c>
      <c r="Q30" t="s">
        <v>2407</v>
      </c>
      <c r="R30">
        <v>-19595796</v>
      </c>
      <c r="S30" s="5">
        <v>-1.32</v>
      </c>
      <c r="T30" t="s">
        <v>204</v>
      </c>
      <c r="U30">
        <v>2381441800</v>
      </c>
      <c r="V30">
        <v>2391668300</v>
      </c>
      <c r="W30">
        <v>1.17</v>
      </c>
      <c r="X30">
        <v>7.0000000000000007E-2</v>
      </c>
      <c r="Y30">
        <v>-10.91</v>
      </c>
      <c r="Z30" t="s">
        <v>422</v>
      </c>
      <c r="AA30" t="s">
        <v>486</v>
      </c>
      <c r="AB30" t="s">
        <v>3730</v>
      </c>
      <c r="AC30" t="s">
        <v>3731</v>
      </c>
      <c r="AD30" t="s">
        <v>90</v>
      </c>
      <c r="AE30">
        <v>-472320</v>
      </c>
      <c r="AF30" t="s">
        <v>2409</v>
      </c>
      <c r="AG30">
        <v>9550</v>
      </c>
      <c r="AH30" t="s">
        <v>2410</v>
      </c>
      <c r="AI30" t="s">
        <v>579</v>
      </c>
      <c r="AJ30" t="s">
        <v>2411</v>
      </c>
      <c r="AK30" t="s">
        <v>3732</v>
      </c>
      <c r="AL30" t="s">
        <v>2412</v>
      </c>
      <c r="AM30" t="s">
        <v>90</v>
      </c>
      <c r="AN30" t="s">
        <v>3733</v>
      </c>
      <c r="AO30" t="s">
        <v>90</v>
      </c>
      <c r="AP30" t="s">
        <v>90</v>
      </c>
      <c r="AQ30" t="s">
        <v>3734</v>
      </c>
      <c r="AR30" t="s">
        <v>1795</v>
      </c>
      <c r="AS30" t="s">
        <v>133</v>
      </c>
      <c r="AT30" t="s">
        <v>3735</v>
      </c>
      <c r="AU30" t="s">
        <v>3736</v>
      </c>
      <c r="AV30" t="s">
        <v>3737</v>
      </c>
      <c r="AW30" t="s">
        <v>3738</v>
      </c>
      <c r="AX30" t="s">
        <v>1461</v>
      </c>
      <c r="AY30" t="s">
        <v>122</v>
      </c>
      <c r="AZ30" t="s">
        <v>531</v>
      </c>
      <c r="BA30" t="s">
        <v>1156</v>
      </c>
      <c r="BB30" t="s">
        <v>746</v>
      </c>
      <c r="BC30" t="s">
        <v>1794</v>
      </c>
      <c r="BD30" t="s">
        <v>260</v>
      </c>
      <c r="BE30" t="s">
        <v>175</v>
      </c>
      <c r="BF30" t="s">
        <v>1240</v>
      </c>
      <c r="BG30" t="s">
        <v>1241</v>
      </c>
      <c r="BH30" t="s">
        <v>2407</v>
      </c>
      <c r="BI30" t="s">
        <v>579</v>
      </c>
      <c r="BJ30" t="s">
        <v>1461</v>
      </c>
      <c r="BK30" t="s">
        <v>204</v>
      </c>
      <c r="BL30" t="s">
        <v>2413</v>
      </c>
      <c r="BM30" t="s">
        <v>1794</v>
      </c>
      <c r="BN30">
        <v>5.95</v>
      </c>
      <c r="BO30">
        <v>1.25</v>
      </c>
      <c r="BP30">
        <v>11.79</v>
      </c>
      <c r="BQ30">
        <v>6.41</v>
      </c>
      <c r="BR30">
        <v>1.45</v>
      </c>
      <c r="BS30">
        <v>11.83</v>
      </c>
      <c r="BT30" t="s">
        <v>1692</v>
      </c>
      <c r="BU30" t="s">
        <v>1337</v>
      </c>
      <c r="BV30">
        <v>25.59</v>
      </c>
      <c r="BW30">
        <v>18.29</v>
      </c>
      <c r="BX30">
        <v>19.399999999999999</v>
      </c>
      <c r="BY30">
        <v>17.920000000000002</v>
      </c>
      <c r="BZ30">
        <v>4.2300000000000004</v>
      </c>
      <c r="CA30">
        <v>43.17</v>
      </c>
      <c r="CB30">
        <v>1.82</v>
      </c>
      <c r="CC30">
        <v>-7.69</v>
      </c>
      <c r="CD30" t="s">
        <v>3739</v>
      </c>
      <c r="CE30" t="s">
        <v>2041</v>
      </c>
      <c r="CF30" s="8">
        <v>0.44</v>
      </c>
      <c r="CG30" s="9">
        <v>-1.3196120121609103</v>
      </c>
      <c r="CH30" s="8">
        <v>9.908536821603775E-2</v>
      </c>
      <c r="CI30" s="8">
        <v>0.36099585890769958</v>
      </c>
      <c r="CJ30" s="8">
        <v>0.24547803401947021</v>
      </c>
      <c r="CK30" s="8">
        <v>-0.35284280776977539</v>
      </c>
      <c r="CL30" s="8">
        <v>-0.38350516557693481</v>
      </c>
      <c r="CM30" s="9">
        <v>3.6531088352203369</v>
      </c>
      <c r="CN30" s="9">
        <v>-0.86607056856155396</v>
      </c>
      <c r="CO30" s="9">
        <v>0.58015269041061401</v>
      </c>
      <c r="CP30" s="9">
        <v>1.0728586912155151</v>
      </c>
      <c r="CQ30" s="9">
        <v>0.14421705901622772</v>
      </c>
      <c r="CR30">
        <v>-7.0816856656124827</v>
      </c>
      <c r="CS30">
        <v>-11.500457730750492</v>
      </c>
      <c r="CT30">
        <v>0</v>
      </c>
      <c r="CU30" s="8">
        <v>-6.1577424407005307E-3</v>
      </c>
      <c r="CV30" s="9">
        <v>0.91685334146022801</v>
      </c>
      <c r="CW30">
        <v>0.06</v>
      </c>
      <c r="CX30" t="e">
        <v>#VALUE!</v>
      </c>
      <c r="CY30" t="s">
        <v>1734</v>
      </c>
      <c r="CZ30">
        <v>-6.1577424407005307E-3</v>
      </c>
      <c r="DA30">
        <v>5.9199038759689921</v>
      </c>
      <c r="DB30" t="s">
        <v>2414</v>
      </c>
      <c r="DC30">
        <v>-5.8498553186655039E-3</v>
      </c>
      <c r="DD30">
        <v>2.9599519379844961</v>
      </c>
      <c r="DE30" t="s">
        <v>2415</v>
      </c>
      <c r="DF30">
        <v>-5.4188133478164672E-3</v>
      </c>
      <c r="DG30">
        <v>1.7759711627906978</v>
      </c>
      <c r="DH30" t="s">
        <v>2416</v>
      </c>
      <c r="DI30">
        <v>-4.9261939525604252E-3</v>
      </c>
      <c r="DJ30">
        <v>0.88798558139534889</v>
      </c>
      <c r="DK30" t="s">
        <v>2417</v>
      </c>
      <c r="DL30">
        <v>-4.3104197084903708E-3</v>
      </c>
      <c r="DM30">
        <v>129000000</v>
      </c>
      <c r="DN30">
        <v>-6.1577424407005307E-3</v>
      </c>
      <c r="DO30">
        <v>2291002800</v>
      </c>
      <c r="DP30">
        <v>1469728200</v>
      </c>
      <c r="DQ30">
        <v>948</v>
      </c>
      <c r="DR30">
        <v>0.44615774244070056</v>
      </c>
      <c r="DS30">
        <v>-2.2364653536211385</v>
      </c>
      <c r="DT30" s="10">
        <v>-0.37333333333333329</v>
      </c>
      <c r="DU30">
        <v>-0.94833333333333336</v>
      </c>
      <c r="DV30">
        <v>-1.3216666666666668</v>
      </c>
      <c r="DW30">
        <v>-2.0769000000000002</v>
      </c>
      <c r="DX30">
        <v>0.23070147368421112</v>
      </c>
      <c r="DY30">
        <v>-2.0069749433263158</v>
      </c>
      <c r="DZ30">
        <v>3875</v>
      </c>
      <c r="EA30">
        <v>-2.0016857250504891</v>
      </c>
      <c r="EB30">
        <v>2</v>
      </c>
      <c r="EC30">
        <v>3.0983853404755166E-2</v>
      </c>
      <c r="ED30">
        <v>0.34160255416689683</v>
      </c>
      <c r="EE30" s="11">
        <v>3.4910000000000004E-2</v>
      </c>
      <c r="EF30">
        <v>6.4009999999999997E-2</v>
      </c>
      <c r="EG30">
        <v>14.090701473684211</v>
      </c>
      <c r="EH30">
        <v>-1</v>
      </c>
      <c r="EI30">
        <v>0</v>
      </c>
      <c r="EJ30">
        <v>0</v>
      </c>
      <c r="EK30" s="13">
        <v>45470</v>
      </c>
      <c r="EL30" s="14">
        <v>-0.6</v>
      </c>
      <c r="EM30" s="14">
        <v>1.2</v>
      </c>
      <c r="EN30" s="14">
        <v>0.59</v>
      </c>
      <c r="EO30" s="14">
        <v>1.18</v>
      </c>
      <c r="EP30" s="14">
        <v>-2.91</v>
      </c>
    </row>
    <row r="31" spans="1:146" ht="96">
      <c r="A31" s="7"/>
      <c r="B31" s="7"/>
      <c r="C31" s="7" t="str">
        <f>""&amp;CHAR(10)&amp;Basic_Fundamental_Information_Constructure(F31)&amp;CHAR(10)&amp;Basic_Fundamental_Information_Concatenate("")</f>
        <v xml:space="preserve">
市值29.665412亿, 利润-1.93亿; PE; 平均PE-47.01; 平均PEG-13.91, PB3.25; ROIC3.755%; ROE.72%; 股利率0%; 毛利23.0767%; 净利-9.47%; 上一年度营收增-15.06%, 利润增-734.95%; 当季营收增-41.63%, 利润增-475.53%; 过往5年营收增-3.38%, 利润增-240.35%
Income profile:
</v>
      </c>
      <c r="D31" t="s">
        <v>243</v>
      </c>
      <c r="E31" t="s">
        <v>32</v>
      </c>
      <c r="F31">
        <v>4.12</v>
      </c>
      <c r="G31">
        <v>0.73</v>
      </c>
      <c r="H31" t="s">
        <v>3740</v>
      </c>
      <c r="I31">
        <v>2966541200</v>
      </c>
      <c r="K31">
        <v>3.25</v>
      </c>
      <c r="L31" t="s">
        <v>85</v>
      </c>
      <c r="M31" t="s">
        <v>347</v>
      </c>
      <c r="N31" t="s">
        <v>1100</v>
      </c>
      <c r="O31" t="s">
        <v>326</v>
      </c>
      <c r="P31">
        <v>-41.93</v>
      </c>
      <c r="Q31" t="s">
        <v>203</v>
      </c>
      <c r="R31">
        <v>-38382143</v>
      </c>
      <c r="S31" s="5">
        <v>-4.7549999999999999</v>
      </c>
      <c r="T31" t="s">
        <v>2418</v>
      </c>
      <c r="U31">
        <v>554034260</v>
      </c>
      <c r="V31">
        <v>720034260</v>
      </c>
      <c r="W31">
        <v>2.48</v>
      </c>
      <c r="X31">
        <v>0.04</v>
      </c>
      <c r="Y31">
        <v>-32.35</v>
      </c>
      <c r="Z31" t="s">
        <v>167</v>
      </c>
      <c r="AA31" t="s">
        <v>210</v>
      </c>
      <c r="AB31" t="s">
        <v>3741</v>
      </c>
      <c r="AC31" t="s">
        <v>3742</v>
      </c>
      <c r="AD31" t="s">
        <v>90</v>
      </c>
      <c r="AE31">
        <v>11914637</v>
      </c>
      <c r="AF31" t="s">
        <v>2419</v>
      </c>
      <c r="AG31" t="s">
        <v>90</v>
      </c>
      <c r="AH31" t="s">
        <v>2420</v>
      </c>
      <c r="AI31" t="s">
        <v>3743</v>
      </c>
      <c r="AJ31" t="s">
        <v>2421</v>
      </c>
      <c r="AK31" t="s">
        <v>3744</v>
      </c>
      <c r="AL31" t="s">
        <v>2422</v>
      </c>
      <c r="AM31" t="s">
        <v>90</v>
      </c>
      <c r="AN31" t="s">
        <v>3745</v>
      </c>
      <c r="AO31" t="s">
        <v>1744</v>
      </c>
      <c r="AP31" t="s">
        <v>3746</v>
      </c>
      <c r="AQ31" t="s">
        <v>462</v>
      </c>
      <c r="AR31" t="s">
        <v>3747</v>
      </c>
      <c r="AS31" t="s">
        <v>3748</v>
      </c>
      <c r="AT31" t="s">
        <v>3749</v>
      </c>
      <c r="AU31" t="s">
        <v>3750</v>
      </c>
      <c r="AV31" t="s">
        <v>3751</v>
      </c>
      <c r="AW31" t="s">
        <v>3752</v>
      </c>
      <c r="AX31" t="s">
        <v>1791</v>
      </c>
      <c r="AY31" t="s">
        <v>1243</v>
      </c>
      <c r="AZ31" t="s">
        <v>748</v>
      </c>
      <c r="BA31" t="s">
        <v>244</v>
      </c>
      <c r="BB31" t="s">
        <v>341</v>
      </c>
      <c r="BC31" t="s">
        <v>2423</v>
      </c>
      <c r="BD31" t="s">
        <v>1244</v>
      </c>
      <c r="BE31" t="s">
        <v>749</v>
      </c>
      <c r="BF31" t="s">
        <v>245</v>
      </c>
      <c r="BG31" t="s">
        <v>750</v>
      </c>
      <c r="BH31" t="s">
        <v>203</v>
      </c>
      <c r="BI31" t="s">
        <v>407</v>
      </c>
      <c r="BJ31" t="s">
        <v>1791</v>
      </c>
      <c r="BK31" t="s">
        <v>2418</v>
      </c>
      <c r="BL31" t="s">
        <v>2424</v>
      </c>
      <c r="BM31" t="s">
        <v>2423</v>
      </c>
      <c r="BN31" t="s">
        <v>90</v>
      </c>
      <c r="BO31">
        <v>3.86</v>
      </c>
      <c r="BP31">
        <v>3.65</v>
      </c>
      <c r="BQ31">
        <v>-3.4</v>
      </c>
      <c r="BR31">
        <v>3.59</v>
      </c>
      <c r="BS31">
        <v>1.97</v>
      </c>
      <c r="BT31" t="s">
        <v>1692</v>
      </c>
      <c r="BU31" t="s">
        <v>1337</v>
      </c>
      <c r="BV31">
        <v>20.32</v>
      </c>
      <c r="BW31">
        <v>26.56</v>
      </c>
      <c r="BX31">
        <v>22.35</v>
      </c>
      <c r="BY31">
        <v>-34.58</v>
      </c>
      <c r="BZ31">
        <v>3.97</v>
      </c>
      <c r="CA31">
        <v>2.2000000000000002</v>
      </c>
      <c r="CB31">
        <v>-0.24</v>
      </c>
      <c r="CC31">
        <v>-23.13</v>
      </c>
      <c r="CD31" t="s">
        <v>3753</v>
      </c>
      <c r="CE31" t="s">
        <v>1375</v>
      </c>
      <c r="CF31" s="8">
        <v>-0.41626794258373206</v>
      </c>
      <c r="CG31" s="9">
        <v>-4.7552973348465875</v>
      </c>
      <c r="CH31" s="8">
        <v>-0.15058480203151703</v>
      </c>
      <c r="CI31" s="8">
        <v>7.8864350914955139E-2</v>
      </c>
      <c r="CJ31" s="8">
        <v>0.27822580933570862</v>
      </c>
      <c r="CK31" s="8">
        <v>-0.40024185180664063</v>
      </c>
      <c r="CL31" s="8">
        <v>2.4783147498965263E-2</v>
      </c>
      <c r="CM31" s="9">
        <v>-7.3495197296142578</v>
      </c>
      <c r="CN31" s="9">
        <v>1.4648269414901733</v>
      </c>
      <c r="CO31" s="9">
        <v>1.0317015647888184</v>
      </c>
      <c r="CP31" s="9">
        <v>-6.8675003051757812</v>
      </c>
      <c r="CQ31" s="9">
        <v>-0.29704102873802185</v>
      </c>
      <c r="CR31">
        <v>-47.005534211440896</v>
      </c>
      <c r="CS31">
        <v>-13.910802981910408</v>
      </c>
      <c r="CT31">
        <v>0</v>
      </c>
      <c r="CU31" s="8">
        <v>-3.3790669217705724E-2</v>
      </c>
      <c r="CV31" s="9">
        <v>-2.4035065114498138</v>
      </c>
      <c r="CW31">
        <v>0.06</v>
      </c>
      <c r="CX31" t="e">
        <v>#VALUE!</v>
      </c>
      <c r="CY31" t="s">
        <v>1392</v>
      </c>
      <c r="CZ31">
        <v>-3.3790669217705724E-2</v>
      </c>
      <c r="DA31" t="e">
        <v>#VALUE!</v>
      </c>
      <c r="DB31" t="s">
        <v>1391</v>
      </c>
      <c r="DC31">
        <v>-3.2101135756820436E-2</v>
      </c>
      <c r="DD31" t="e">
        <v>#VALUE!</v>
      </c>
      <c r="DE31" t="s">
        <v>1391</v>
      </c>
      <c r="DF31">
        <v>-2.9735788911581035E-2</v>
      </c>
      <c r="DG31" t="e">
        <v>#VALUE!</v>
      </c>
      <c r="DH31" t="s">
        <v>1391</v>
      </c>
      <c r="DI31">
        <v>-2.7032535374164581E-2</v>
      </c>
      <c r="DJ31" t="e">
        <v>#VALUE!</v>
      </c>
      <c r="DK31" t="s">
        <v>1391</v>
      </c>
      <c r="DL31">
        <v>-2.3653468452394005E-2</v>
      </c>
      <c r="DM31">
        <v>-193000000</v>
      </c>
      <c r="DN31">
        <v>-3.3790669217705724E-2</v>
      </c>
      <c r="DO31">
        <v>3415541200</v>
      </c>
      <c r="DP31">
        <v>-242717210</v>
      </c>
      <c r="DQ31">
        <v>1008</v>
      </c>
      <c r="DR31">
        <v>-0.38247727336602633</v>
      </c>
      <c r="DS31">
        <v>-2.3517908233967737</v>
      </c>
      <c r="DT31" s="10">
        <v>-0.59</v>
      </c>
      <c r="DU31">
        <v>-1.8316666666666668</v>
      </c>
      <c r="DV31">
        <v>-2.4216666666666669</v>
      </c>
      <c r="DW31">
        <v>-3.0806369047619047</v>
      </c>
      <c r="DX31">
        <v>0.2862808777429483</v>
      </c>
      <c r="DY31">
        <v>-3.0093765300641886</v>
      </c>
      <c r="DZ31">
        <v>4629</v>
      </c>
      <c r="EA31">
        <v>-3.0008826048847115</v>
      </c>
      <c r="EB31">
        <v>3</v>
      </c>
      <c r="EC31">
        <v>5.1516437565068088E-2</v>
      </c>
      <c r="ED31">
        <v>0.44303447449847733</v>
      </c>
      <c r="EE31" s="11">
        <v>-7.0190000000000001</v>
      </c>
      <c r="EF31">
        <v>-7.0025000000000004</v>
      </c>
      <c r="EG31">
        <v>17.116280877742948</v>
      </c>
      <c r="EH31" t="s">
        <v>2357</v>
      </c>
      <c r="EI31">
        <v>0</v>
      </c>
      <c r="EJ31">
        <v>0</v>
      </c>
      <c r="EK31" s="13">
        <v>45470</v>
      </c>
      <c r="EL31" s="14">
        <v>-0.69</v>
      </c>
      <c r="EM31" s="14">
        <v>-5.99</v>
      </c>
      <c r="EN31" s="14">
        <v>0</v>
      </c>
      <c r="EO31" s="14">
        <v>3.68</v>
      </c>
      <c r="EP31" s="14">
        <v>-1.65</v>
      </c>
    </row>
    <row r="32" spans="1:146" ht="96">
      <c r="A32" s="7"/>
      <c r="B32" s="7"/>
      <c r="C32" s="7" t="str">
        <f>""&amp;CHAR(10)&amp;Basic_Fundamental_Information_Constructure(F32)&amp;CHAR(10)&amp;Basic_Fundamental_Information_Concatenate("")</f>
        <v xml:space="preserve">
市值30.089218亿, 利润-9.03亿; PE; 平均PE-9.27; 平均PEG-5.99, PB2.47; ROIC1.81%; ROE-18.13%; 股利率0%; 毛利26.9767%; 净利-37.48%; 上一年度营收增-2.62%, 利润增40.98%; 当季营收增22.46%, 利润增7.33%; 过往5年营收增1.55%, 利润增-626.68%
Income profile:
</v>
      </c>
      <c r="D32" t="s">
        <v>105</v>
      </c>
      <c r="E32" t="s">
        <v>41</v>
      </c>
      <c r="F32">
        <v>3.76</v>
      </c>
      <c r="G32">
        <v>1.35</v>
      </c>
      <c r="H32" t="s">
        <v>3754</v>
      </c>
      <c r="I32">
        <v>3008921800</v>
      </c>
      <c r="K32">
        <v>2.4700000000000002</v>
      </c>
      <c r="L32" t="s">
        <v>85</v>
      </c>
      <c r="M32" t="s">
        <v>2426</v>
      </c>
      <c r="N32" t="s">
        <v>1508</v>
      </c>
      <c r="O32" t="s">
        <v>1855</v>
      </c>
      <c r="P32">
        <v>22.52</v>
      </c>
      <c r="Q32" t="s">
        <v>2427</v>
      </c>
      <c r="R32">
        <v>-30785562</v>
      </c>
      <c r="S32" s="5">
        <v>7.3300000000000004E-2</v>
      </c>
      <c r="T32" t="s">
        <v>2428</v>
      </c>
      <c r="U32">
        <v>644940170</v>
      </c>
      <c r="V32">
        <v>800245170</v>
      </c>
      <c r="W32">
        <v>3.36</v>
      </c>
      <c r="X32">
        <v>0.11</v>
      </c>
      <c r="Y32">
        <v>-6.67</v>
      </c>
      <c r="Z32" t="s">
        <v>122</v>
      </c>
      <c r="AA32" t="s">
        <v>565</v>
      </c>
      <c r="AB32" t="s">
        <v>3755</v>
      </c>
      <c r="AC32" t="s">
        <v>3756</v>
      </c>
      <c r="AD32" t="s">
        <v>90</v>
      </c>
      <c r="AE32">
        <v>14641346</v>
      </c>
      <c r="AF32" t="s">
        <v>2429</v>
      </c>
      <c r="AG32" t="s">
        <v>90</v>
      </c>
      <c r="AH32" t="s">
        <v>2430</v>
      </c>
      <c r="AI32" t="s">
        <v>364</v>
      </c>
      <c r="AJ32" t="s">
        <v>2431</v>
      </c>
      <c r="AK32" t="s">
        <v>3757</v>
      </c>
      <c r="AL32" t="s">
        <v>2432</v>
      </c>
      <c r="AM32" t="s">
        <v>90</v>
      </c>
      <c r="AN32" t="s">
        <v>101</v>
      </c>
      <c r="AO32" t="s">
        <v>1465</v>
      </c>
      <c r="AP32" t="s">
        <v>3758</v>
      </c>
      <c r="AQ32" t="s">
        <v>1480</v>
      </c>
      <c r="AR32" t="s">
        <v>3759</v>
      </c>
      <c r="AS32" t="s">
        <v>3760</v>
      </c>
      <c r="AT32" t="s">
        <v>3761</v>
      </c>
      <c r="AU32" t="s">
        <v>3762</v>
      </c>
      <c r="AV32" t="s">
        <v>3763</v>
      </c>
      <c r="AW32" t="s">
        <v>3764</v>
      </c>
      <c r="AX32" t="s">
        <v>1539</v>
      </c>
      <c r="AY32" t="s">
        <v>1245</v>
      </c>
      <c r="AZ32" t="s">
        <v>752</v>
      </c>
      <c r="BA32" t="s">
        <v>106</v>
      </c>
      <c r="BB32" t="s">
        <v>754</v>
      </c>
      <c r="BC32" t="s">
        <v>1797</v>
      </c>
      <c r="BD32" t="s">
        <v>1246</v>
      </c>
      <c r="BE32" t="s">
        <v>95</v>
      </c>
      <c r="BF32" t="s">
        <v>107</v>
      </c>
      <c r="BG32" t="s">
        <v>276</v>
      </c>
      <c r="BH32" t="s">
        <v>2427</v>
      </c>
      <c r="BI32" t="s">
        <v>823</v>
      </c>
      <c r="BJ32" t="s">
        <v>1539</v>
      </c>
      <c r="BK32" t="s">
        <v>2428</v>
      </c>
      <c r="BL32" t="s">
        <v>2434</v>
      </c>
      <c r="BM32" t="s">
        <v>1797</v>
      </c>
      <c r="BN32" t="s">
        <v>90</v>
      </c>
      <c r="BO32" t="s">
        <v>90</v>
      </c>
      <c r="BP32">
        <v>1.81</v>
      </c>
      <c r="BQ32">
        <v>-2.5299999999999998</v>
      </c>
      <c r="BR32">
        <v>-53.49</v>
      </c>
      <c r="BS32">
        <v>1.63</v>
      </c>
      <c r="BT32" t="s">
        <v>1692</v>
      </c>
      <c r="BU32" t="s">
        <v>1447</v>
      </c>
      <c r="BV32">
        <v>21.67</v>
      </c>
      <c r="BW32">
        <v>26.54</v>
      </c>
      <c r="BX32">
        <v>32.72</v>
      </c>
      <c r="BY32">
        <v>-43.3</v>
      </c>
      <c r="BZ32">
        <v>-71.47</v>
      </c>
      <c r="CA32">
        <v>2.33</v>
      </c>
      <c r="CB32">
        <v>-0.79</v>
      </c>
      <c r="CC32">
        <v>-23.42</v>
      </c>
      <c r="CD32" t="s">
        <v>3765</v>
      </c>
      <c r="CE32" t="s">
        <v>453</v>
      </c>
      <c r="CF32" s="8">
        <v>0.22459893048128343</v>
      </c>
      <c r="CG32" s="9">
        <v>7.3307405880033358E-2</v>
      </c>
      <c r="CH32" s="8">
        <v>-2.6180516928434372E-2</v>
      </c>
      <c r="CI32" s="8">
        <v>-2.1052572876214981E-2</v>
      </c>
      <c r="CJ32" s="8">
        <v>0.14099216461181641</v>
      </c>
      <c r="CK32" s="8">
        <v>-0.11342595517635345</v>
      </c>
      <c r="CL32" s="8">
        <v>9.7003519535064697E-2</v>
      </c>
      <c r="CM32" s="9">
        <v>0.40980392694473267</v>
      </c>
      <c r="CN32" s="9">
        <v>-30.9951171875</v>
      </c>
      <c r="CO32" s="9">
        <v>-0.52770090103149414</v>
      </c>
      <c r="CP32" s="9">
        <v>-0.38636362552642822</v>
      </c>
      <c r="CQ32" s="9">
        <v>0.16556291282176971</v>
      </c>
      <c r="CR32">
        <v>-9.2725258150817993</v>
      </c>
      <c r="CS32">
        <v>-5.9949112833784293</v>
      </c>
      <c r="CT32">
        <v>0</v>
      </c>
      <c r="CU32" s="8">
        <v>1.546732783317566E-2</v>
      </c>
      <c r="CV32" s="9">
        <v>-6.2667629748582838</v>
      </c>
      <c r="CW32">
        <v>0.06</v>
      </c>
      <c r="CX32" t="e">
        <v>#VALUE!</v>
      </c>
      <c r="CY32" t="s">
        <v>1392</v>
      </c>
      <c r="CZ32">
        <v>1.546732783317566E-2</v>
      </c>
      <c r="DA32" t="e">
        <v>#VALUE!</v>
      </c>
      <c r="DB32" t="s">
        <v>1391</v>
      </c>
      <c r="DC32">
        <v>1.4693961441516877E-2</v>
      </c>
      <c r="DD32" t="e">
        <v>#VALUE!</v>
      </c>
      <c r="DE32" t="s">
        <v>1391</v>
      </c>
      <c r="DF32">
        <v>1.361124849319458E-2</v>
      </c>
      <c r="DG32" t="e">
        <v>#VALUE!</v>
      </c>
      <c r="DH32" t="s">
        <v>1391</v>
      </c>
      <c r="DI32">
        <v>1.2373862266540529E-2</v>
      </c>
      <c r="DJ32" t="e">
        <v>#VALUE!</v>
      </c>
      <c r="DK32" t="s">
        <v>1391</v>
      </c>
      <c r="DL32">
        <v>1.0827129483222961E-2</v>
      </c>
      <c r="DM32">
        <v>-902999999.99999988</v>
      </c>
      <c r="DN32">
        <v>1.546732783317566E-2</v>
      </c>
      <c r="DO32">
        <v>4748921800</v>
      </c>
      <c r="DP32">
        <v>-628491300</v>
      </c>
      <c r="DQ32">
        <v>1014</v>
      </c>
      <c r="DR32">
        <v>0.20913160264810776</v>
      </c>
      <c r="DS32">
        <v>6.3400703807383172</v>
      </c>
      <c r="DT32" s="10">
        <v>-0.44</v>
      </c>
      <c r="DU32">
        <v>-1.1350000000000002</v>
      </c>
      <c r="DV32">
        <v>-1.5750000000000002</v>
      </c>
      <c r="DW32">
        <v>-3.0839166666666666</v>
      </c>
      <c r="DX32">
        <v>0.30364140625000019</v>
      </c>
      <c r="DY32">
        <v>-3.0095364080078126</v>
      </c>
      <c r="DZ32">
        <v>4076</v>
      </c>
      <c r="EA32">
        <v>-3.0019296762974714</v>
      </c>
      <c r="EB32">
        <v>3</v>
      </c>
      <c r="EC32">
        <v>7.2708217657846019E-2</v>
      </c>
      <c r="ED32">
        <v>0.6398039240899136</v>
      </c>
      <c r="EE32" s="11">
        <v>9.2000000000000016E-3</v>
      </c>
      <c r="EF32">
        <v>4.0099999999999997E-3</v>
      </c>
      <c r="EG32">
        <v>19.11364140625</v>
      </c>
      <c r="EH32">
        <v>-1</v>
      </c>
      <c r="EI32">
        <v>0</v>
      </c>
      <c r="EJ32">
        <v>0</v>
      </c>
      <c r="EK32" s="13">
        <v>45470</v>
      </c>
      <c r="EL32" s="14">
        <v>-1.57</v>
      </c>
      <c r="EM32" s="14">
        <v>-4.2699999999999996</v>
      </c>
      <c r="EN32" s="14">
        <v>3.34</v>
      </c>
      <c r="EO32" s="14">
        <v>2.4300000000000002</v>
      </c>
      <c r="EP32" s="14">
        <v>-1.32</v>
      </c>
    </row>
    <row r="33" spans="1:146" ht="108">
      <c r="C33" s="7" t="str">
        <f>""&amp;CHAR(10)&amp;Basic_Fundamental_Information_Constructure(F33)&amp;CHAR(10)&amp;Basic_Fundamental_Information_Concatenate("")</f>
        <v xml:space="preserve">
市值56.959387亿, 利润-8424.62万; PE; 平均PE-13.93; 平均PEG-71.85, PB4.42; ROIC0%; ROE-15.4233%; 股利率0%; 毛利24.0567%; 净利-21.3167%; 上一年度营收增-1.31%, 利润增75.29%; 当季营收增1.99%, 利润增126.97%; 过往5年营收增-.19%, 利润增-51.81%
Income profile:
</v>
      </c>
      <c r="D33" t="s">
        <v>1798</v>
      </c>
      <c r="E33" t="s">
        <v>1799</v>
      </c>
      <c r="F33">
        <v>7.31</v>
      </c>
      <c r="G33">
        <v>0.14000000000000001</v>
      </c>
      <c r="H33" t="s">
        <v>3766</v>
      </c>
      <c r="I33">
        <v>5695938700</v>
      </c>
      <c r="K33">
        <v>4.42</v>
      </c>
      <c r="L33" t="s">
        <v>85</v>
      </c>
      <c r="M33" t="s">
        <v>1378</v>
      </c>
      <c r="N33" t="s">
        <v>1878</v>
      </c>
      <c r="O33" t="s">
        <v>784</v>
      </c>
      <c r="P33" s="5">
        <v>1.91</v>
      </c>
      <c r="Q33" t="s">
        <v>1100</v>
      </c>
      <c r="R33">
        <v>2407127</v>
      </c>
      <c r="S33">
        <v>1.27</v>
      </c>
      <c r="T33" t="s">
        <v>2435</v>
      </c>
      <c r="U33">
        <v>680394460</v>
      </c>
      <c r="V33">
        <v>779198180</v>
      </c>
      <c r="W33">
        <v>1.73</v>
      </c>
      <c r="X33">
        <v>0.12</v>
      </c>
      <c r="Y33">
        <v>0.91</v>
      </c>
      <c r="Z33" t="s">
        <v>1510</v>
      </c>
      <c r="AA33" t="s">
        <v>349</v>
      </c>
      <c r="AB33" t="s">
        <v>3767</v>
      </c>
      <c r="AC33" t="s">
        <v>3768</v>
      </c>
      <c r="AD33" t="s">
        <v>90</v>
      </c>
      <c r="AE33">
        <v>1425200</v>
      </c>
      <c r="AF33" t="s">
        <v>2436</v>
      </c>
      <c r="AG33" t="s">
        <v>3769</v>
      </c>
      <c r="AH33" t="s">
        <v>2437</v>
      </c>
      <c r="AI33" t="s">
        <v>180</v>
      </c>
      <c r="AJ33" t="s">
        <v>2438</v>
      </c>
      <c r="AK33" t="s">
        <v>3770</v>
      </c>
      <c r="AL33" t="s">
        <v>2439</v>
      </c>
      <c r="AM33" t="s">
        <v>90</v>
      </c>
      <c r="AN33" t="s">
        <v>3771</v>
      </c>
      <c r="AO33" t="s">
        <v>1221</v>
      </c>
      <c r="AP33" t="s">
        <v>3772</v>
      </c>
      <c r="AQ33" t="s">
        <v>909</v>
      </c>
      <c r="AR33" t="s">
        <v>3773</v>
      </c>
      <c r="AS33" t="s">
        <v>904</v>
      </c>
      <c r="AT33" t="s">
        <v>3774</v>
      </c>
      <c r="AU33" t="s">
        <v>3775</v>
      </c>
      <c r="AV33" t="s">
        <v>3776</v>
      </c>
      <c r="AW33" t="s">
        <v>3777</v>
      </c>
      <c r="AX33" t="s">
        <v>1802</v>
      </c>
      <c r="AY33" t="s">
        <v>1573</v>
      </c>
      <c r="AZ33" t="s">
        <v>1803</v>
      </c>
      <c r="BA33" t="s">
        <v>1571</v>
      </c>
      <c r="BB33" t="s">
        <v>1554</v>
      </c>
      <c r="BC33" t="s">
        <v>1604</v>
      </c>
      <c r="BD33" t="s">
        <v>1804</v>
      </c>
      <c r="BE33" t="s">
        <v>1805</v>
      </c>
      <c r="BF33" t="s">
        <v>1806</v>
      </c>
      <c r="BG33" t="s">
        <v>701</v>
      </c>
      <c r="BH33" t="s">
        <v>1100</v>
      </c>
      <c r="BI33" t="s">
        <v>474</v>
      </c>
      <c r="BJ33" t="s">
        <v>1802</v>
      </c>
      <c r="BK33" t="s">
        <v>2435</v>
      </c>
      <c r="BL33" t="s">
        <v>2440</v>
      </c>
      <c r="BM33" t="s">
        <v>1604</v>
      </c>
      <c r="BN33" t="s">
        <v>90</v>
      </c>
      <c r="BO33" t="s">
        <v>90</v>
      </c>
      <c r="BP33" t="s">
        <v>90</v>
      </c>
      <c r="BQ33">
        <v>-3.47</v>
      </c>
      <c r="BR33">
        <v>-22.07</v>
      </c>
      <c r="BS33">
        <v>-20.73</v>
      </c>
      <c r="BT33" t="s">
        <v>1692</v>
      </c>
      <c r="BU33" t="s">
        <v>1381</v>
      </c>
      <c r="BV33">
        <v>27.97</v>
      </c>
      <c r="BW33">
        <v>23.22</v>
      </c>
      <c r="BX33">
        <v>20.98</v>
      </c>
      <c r="BY33">
        <v>-5.54</v>
      </c>
      <c r="BZ33">
        <v>-26.74</v>
      </c>
      <c r="CA33">
        <v>-31.67</v>
      </c>
      <c r="CB33">
        <v>-5.0599999999999996</v>
      </c>
      <c r="CC33" s="8">
        <v>-1.75</v>
      </c>
      <c r="CD33" s="9" t="s">
        <v>352</v>
      </c>
      <c r="CE33" s="8" t="s">
        <v>3141</v>
      </c>
      <c r="CF33" s="8">
        <v>1.9933554817275746E-2</v>
      </c>
      <c r="CG33" s="8">
        <v>1.2696849546814255</v>
      </c>
      <c r="CH33" s="8">
        <v>-1.3114754110574722E-2</v>
      </c>
      <c r="CI33" s="8">
        <v>1.4975041151046753E-2</v>
      </c>
      <c r="CJ33" s="9">
        <v>0.18892185389995575</v>
      </c>
      <c r="CK33" s="9">
        <v>-0.19889065623283386</v>
      </c>
      <c r="CL33" s="9">
        <v>-1.5822785208001733E-3</v>
      </c>
      <c r="CM33" s="9">
        <v>0.75294369459152222</v>
      </c>
      <c r="CN33" s="9">
        <v>0.14105793833732605</v>
      </c>
      <c r="CO33">
        <v>0.68086814880371094</v>
      </c>
      <c r="CP33">
        <v>-0.83210605382919312</v>
      </c>
      <c r="CQ33">
        <v>-3.3333332538604736</v>
      </c>
      <c r="CR33" s="8">
        <v>-13.925103439092624</v>
      </c>
      <c r="CS33" s="9">
        <v>-71.847073147485645</v>
      </c>
      <c r="CT33">
        <v>0</v>
      </c>
      <c r="CU33">
        <v>-1.9381587626412511E-3</v>
      </c>
      <c r="CV33">
        <v>-0.51811390519142153</v>
      </c>
      <c r="CW33">
        <v>0.06</v>
      </c>
      <c r="CX33" t="e">
        <v>#VALUE!</v>
      </c>
      <c r="CY33" t="s">
        <v>1391</v>
      </c>
      <c r="CZ33">
        <v>-1.9381587626412511E-3</v>
      </c>
      <c r="DA33" t="e">
        <v>#VALUE!</v>
      </c>
      <c r="DB33" t="s">
        <v>1391</v>
      </c>
      <c r="DC33">
        <v>-1.8412508245091884E-3</v>
      </c>
      <c r="DD33" t="e">
        <v>#VALUE!</v>
      </c>
      <c r="DE33" t="s">
        <v>1391</v>
      </c>
      <c r="DF33">
        <v>-1.705579711124301E-3</v>
      </c>
      <c r="DG33" t="e">
        <v>#VALUE!</v>
      </c>
      <c r="DH33" t="s">
        <v>1391</v>
      </c>
      <c r="DI33">
        <v>-1.550527010113001E-3</v>
      </c>
      <c r="DJ33" t="e">
        <v>#VALUE!</v>
      </c>
      <c r="DK33" t="s">
        <v>1391</v>
      </c>
      <c r="DL33">
        <v>-1.3567111338488756E-3</v>
      </c>
      <c r="DM33">
        <v>-84246200.000000015</v>
      </c>
      <c r="DN33">
        <v>-1.9381587626412511E-3</v>
      </c>
      <c r="DO33">
        <v>5359938700</v>
      </c>
      <c r="DP33">
        <v>407222900</v>
      </c>
      <c r="DQ33" s="10">
        <v>1023</v>
      </c>
      <c r="DR33">
        <v>2.1871713579916997E-2</v>
      </c>
      <c r="DS33">
        <v>1.7877988598728471</v>
      </c>
      <c r="DT33">
        <v>-0.42333333333333334</v>
      </c>
      <c r="DU33">
        <v>-1.4766666666666666</v>
      </c>
      <c r="DV33">
        <v>-1.9</v>
      </c>
      <c r="DW33">
        <v>-4.3458498023715419</v>
      </c>
      <c r="DX33">
        <v>0.45284552845528514</v>
      </c>
      <c r="DY33">
        <v>-4.1220315562839422</v>
      </c>
      <c r="DZ33">
        <v>4324</v>
      </c>
      <c r="EA33">
        <v>-4.0187704115927945</v>
      </c>
      <c r="EB33" s="11">
        <v>4</v>
      </c>
      <c r="EC33" s="11">
        <v>0.27849141023404339</v>
      </c>
      <c r="ED33">
        <v>0.78927289075546869</v>
      </c>
      <c r="EE33">
        <v>-1.0409999999999999</v>
      </c>
      <c r="EF33">
        <v>-1.0690999999999999</v>
      </c>
      <c r="EG33">
        <v>10.352845528455285</v>
      </c>
      <c r="EH33" s="13" t="s">
        <v>1730</v>
      </c>
      <c r="EI33">
        <v>0</v>
      </c>
      <c r="EJ33">
        <v>0</v>
      </c>
      <c r="EK33">
        <v>45470</v>
      </c>
      <c r="EL33">
        <v>2.57</v>
      </c>
      <c r="EM33">
        <v>-5.94</v>
      </c>
      <c r="EN33" s="14">
        <v>5.48</v>
      </c>
      <c r="EO33" s="14">
        <v>4.3899999999999997</v>
      </c>
      <c r="EP33" s="14">
        <v>2.81</v>
      </c>
    </row>
    <row r="34" spans="1:146" ht="108">
      <c r="A34" s="7"/>
      <c r="B34" s="7"/>
      <c r="C34" s="7" t="str">
        <f>""&amp;CHAR(10)&amp;Basic_Fundamental_Information_Constructure(F34)&amp;CHAR(10)&amp;Basic_Fundamental_Information_Concatenate("")</f>
        <v xml:space="preserve">
市值40.132847亿, 利润9885.45万; PE44.34; 平均PE41.42; 平均PEG7.88, PB2.25; ROIC3.085%; ROE4.5333%; 股利率1.3699%; 毛利25.3667%; 净利-.2833%; 上一年度营收增5.36%, 利润增1221.51%; 当季营收增9.41%, 利润增-16.7%; 过往5年营收增5.25%, 利润增229.93%
Income profile:
</v>
      </c>
      <c r="D34" t="s">
        <v>112</v>
      </c>
      <c r="E34" t="s">
        <v>48</v>
      </c>
      <c r="F34">
        <v>7.3</v>
      </c>
      <c r="G34">
        <v>1.67</v>
      </c>
      <c r="H34" t="s">
        <v>3778</v>
      </c>
      <c r="I34">
        <v>4013284700</v>
      </c>
      <c r="J34">
        <v>44.34</v>
      </c>
      <c r="K34">
        <v>2.25</v>
      </c>
      <c r="L34" t="s">
        <v>85</v>
      </c>
      <c r="M34" t="s">
        <v>2441</v>
      </c>
      <c r="N34" t="s">
        <v>2374</v>
      </c>
      <c r="O34" t="s">
        <v>306</v>
      </c>
      <c r="P34">
        <v>9.49</v>
      </c>
      <c r="Q34" t="s">
        <v>2442</v>
      </c>
      <c r="R34">
        <v>41635732</v>
      </c>
      <c r="S34" s="5">
        <v>-0.16700000000000001</v>
      </c>
      <c r="T34" t="s">
        <v>2443</v>
      </c>
      <c r="U34">
        <v>500511350</v>
      </c>
      <c r="V34">
        <v>549765020</v>
      </c>
      <c r="W34">
        <v>2.4700000000000002</v>
      </c>
      <c r="X34">
        <v>0.13</v>
      </c>
      <c r="Y34">
        <v>6.49</v>
      </c>
      <c r="Z34" t="s">
        <v>3570</v>
      </c>
      <c r="AA34" t="s">
        <v>724</v>
      </c>
      <c r="AB34" t="s">
        <v>3779</v>
      </c>
      <c r="AC34" t="s">
        <v>3780</v>
      </c>
      <c r="AD34" t="s">
        <v>90</v>
      </c>
      <c r="AE34">
        <v>3508381</v>
      </c>
      <c r="AF34" t="s">
        <v>2444</v>
      </c>
      <c r="AG34" t="s">
        <v>3781</v>
      </c>
      <c r="AH34" t="s">
        <v>2445</v>
      </c>
      <c r="AI34" t="s">
        <v>3782</v>
      </c>
      <c r="AJ34" t="s">
        <v>2446</v>
      </c>
      <c r="AK34" t="s">
        <v>1715</v>
      </c>
      <c r="AL34" t="s">
        <v>2447</v>
      </c>
      <c r="AM34" t="s">
        <v>90</v>
      </c>
      <c r="AN34" t="s">
        <v>137</v>
      </c>
      <c r="AO34" t="s">
        <v>465</v>
      </c>
      <c r="AP34" t="s">
        <v>489</v>
      </c>
      <c r="AQ34" t="s">
        <v>438</v>
      </c>
      <c r="AR34" t="s">
        <v>90</v>
      </c>
      <c r="AS34" t="s">
        <v>3783</v>
      </c>
      <c r="AT34" t="s">
        <v>693</v>
      </c>
      <c r="AU34" t="s">
        <v>3784</v>
      </c>
      <c r="AV34" t="s">
        <v>3785</v>
      </c>
      <c r="AW34" t="s">
        <v>276</v>
      </c>
      <c r="AX34" t="s">
        <v>1807</v>
      </c>
      <c r="AY34" t="s">
        <v>1247</v>
      </c>
      <c r="AZ34" t="s">
        <v>756</v>
      </c>
      <c r="BA34" t="s">
        <v>113</v>
      </c>
      <c r="BB34" t="s">
        <v>758</v>
      </c>
      <c r="BC34" t="s">
        <v>2448</v>
      </c>
      <c r="BD34" t="s">
        <v>480</v>
      </c>
      <c r="BE34" t="s">
        <v>195</v>
      </c>
      <c r="BF34" t="s">
        <v>114</v>
      </c>
      <c r="BG34" t="s">
        <v>371</v>
      </c>
      <c r="BH34" t="s">
        <v>2442</v>
      </c>
      <c r="BI34" t="s">
        <v>832</v>
      </c>
      <c r="BJ34" t="s">
        <v>1807</v>
      </c>
      <c r="BK34" t="s">
        <v>2443</v>
      </c>
      <c r="BL34" t="s">
        <v>2449</v>
      </c>
      <c r="BM34" t="s">
        <v>2448</v>
      </c>
      <c r="BN34">
        <v>3.08</v>
      </c>
      <c r="BO34" t="s">
        <v>90</v>
      </c>
      <c r="BP34">
        <v>3.09</v>
      </c>
      <c r="BQ34">
        <v>5.7</v>
      </c>
      <c r="BR34">
        <v>0.43</v>
      </c>
      <c r="BS34">
        <v>7.47</v>
      </c>
      <c r="BT34" t="s">
        <v>1697</v>
      </c>
      <c r="BU34" t="s">
        <v>1447</v>
      </c>
      <c r="BV34">
        <v>26.03</v>
      </c>
      <c r="BW34">
        <v>24.6</v>
      </c>
      <c r="BX34">
        <v>25.47</v>
      </c>
      <c r="BY34">
        <v>4.28</v>
      </c>
      <c r="BZ34">
        <v>-9.3000000000000007</v>
      </c>
      <c r="CA34">
        <v>4.17</v>
      </c>
      <c r="CB34">
        <v>-4.7</v>
      </c>
      <c r="CC34">
        <v>-16.760000000000002</v>
      </c>
      <c r="CD34" t="s">
        <v>3786</v>
      </c>
      <c r="CE34" t="s">
        <v>306</v>
      </c>
      <c r="CF34" s="8">
        <v>9.4117647058823653E-2</v>
      </c>
      <c r="CG34" s="9">
        <v>-0.16696880814709589</v>
      </c>
      <c r="CH34" s="8">
        <v>5.3551912307739258E-2</v>
      </c>
      <c r="CI34" s="8">
        <v>-8.4542244672775269E-2</v>
      </c>
      <c r="CJ34" s="8">
        <v>0.21964603662490845</v>
      </c>
      <c r="CK34" s="8">
        <v>0.11648505926132202</v>
      </c>
      <c r="CL34" s="8">
        <v>-4.2400483042001724E-2</v>
      </c>
      <c r="CM34" s="9">
        <v>12.215134620666504</v>
      </c>
      <c r="CN34" s="9">
        <v>-0.94245845079421997</v>
      </c>
      <c r="CO34" s="9">
        <v>-4.4117648154497147E-2</v>
      </c>
      <c r="CP34" s="9">
        <v>0.4011114239692688</v>
      </c>
      <c r="CQ34" s="9">
        <v>-0.13334107398986816</v>
      </c>
      <c r="CR34">
        <v>41.416716904537608</v>
      </c>
      <c r="CS34">
        <v>7.8816839254720854</v>
      </c>
      <c r="CT34">
        <v>1.3698630136986301</v>
      </c>
      <c r="CU34" s="8">
        <v>5.2548056095838548E-2</v>
      </c>
      <c r="CV34" s="9">
        <v>2.2992657743394376</v>
      </c>
      <c r="CW34">
        <v>0.06</v>
      </c>
      <c r="CX34">
        <v>48.68894788055794</v>
      </c>
      <c r="CY34">
        <v>98159539.444647223</v>
      </c>
      <c r="CZ34">
        <v>5.2548056095838548E-2</v>
      </c>
      <c r="DA34">
        <v>16.425960018781421</v>
      </c>
      <c r="DB34">
        <v>290959231.27387208</v>
      </c>
      <c r="DC34">
        <v>4.992065329104662E-2</v>
      </c>
      <c r="DD34">
        <v>8.432662227202087</v>
      </c>
      <c r="DE34">
        <v>566758702.20236981</v>
      </c>
      <c r="DF34">
        <v>4.624228936433792E-2</v>
      </c>
      <c r="DG34">
        <v>5.304751329113202</v>
      </c>
      <c r="DH34">
        <v>900944154.30382776</v>
      </c>
      <c r="DI34">
        <v>4.2038444876670841E-2</v>
      </c>
      <c r="DJ34">
        <v>3.0254323078011214</v>
      </c>
      <c r="DK34">
        <v>1579703068.4429939</v>
      </c>
      <c r="DL34">
        <v>3.6783639267086984E-2</v>
      </c>
      <c r="DM34">
        <v>98854500</v>
      </c>
      <c r="DN34">
        <v>5.2548056095838548E-2</v>
      </c>
      <c r="DO34">
        <v>4779284700</v>
      </c>
      <c r="DP34">
        <v>691351600</v>
      </c>
      <c r="DQ34">
        <v>1052</v>
      </c>
      <c r="DR34">
        <v>4.1569590962985105E-2</v>
      </c>
      <c r="DS34">
        <v>-2.4662345824865333</v>
      </c>
      <c r="DT34" s="10">
        <v>-0.3066666666666667</v>
      </c>
      <c r="DU34">
        <v>-0.10333333333333337</v>
      </c>
      <c r="DV34">
        <v>-0.41000000000000009</v>
      </c>
      <c r="DW34">
        <v>-8.2804295942720767</v>
      </c>
      <c r="DX34">
        <v>0.32222240143369074</v>
      </c>
      <c r="DY34">
        <v>-8.0314704825022876</v>
      </c>
      <c r="DZ34">
        <v>2703</v>
      </c>
      <c r="EA34">
        <v>-8.0148237673939349</v>
      </c>
      <c r="EB34">
        <v>8</v>
      </c>
      <c r="EC34">
        <v>0.11390339094327973</v>
      </c>
      <c r="ED34">
        <v>1.0149790905212559</v>
      </c>
      <c r="EE34" s="11">
        <v>3.1015100000000002</v>
      </c>
      <c r="EF34">
        <v>3.1311100000000001</v>
      </c>
      <c r="EG34">
        <v>21.112222401433691</v>
      </c>
      <c r="EH34" t="s">
        <v>1736</v>
      </c>
      <c r="EI34">
        <v>0</v>
      </c>
      <c r="EJ34">
        <v>0</v>
      </c>
      <c r="EK34" s="13">
        <v>45470</v>
      </c>
      <c r="EL34" s="14">
        <v>-1.02</v>
      </c>
      <c r="EM34" s="14">
        <v>-4.87</v>
      </c>
      <c r="EN34" s="14">
        <v>1.75</v>
      </c>
      <c r="EO34" s="14">
        <v>2.78</v>
      </c>
      <c r="EP34" s="14">
        <v>-2.96</v>
      </c>
    </row>
    <row r="35" spans="1:146" ht="108">
      <c r="A35" s="7"/>
      <c r="B35" s="7"/>
      <c r="C35" s="7" t="str">
        <f>""&amp;CHAR(10)&amp;Basic_Fundamental_Information_Constructure(F35)&amp;CHAR(10)&amp;Basic_Fundamental_Information_Concatenate("")</f>
        <v xml:space="preserve">
市值22.432938亿, 利润1.07亿; PE20.99; 平均PE23.92; 平均PEG1.38, PB1.9; ROIC8.5233%; ROE10.3933%; 股利率1.3908%; 毛利28.7033%; 净利6.06%; 上一年度营收增6.93%, 利润增-2.73%; 当季营收增-11.24%, 利润增1.08%; 过往5年营收增17.35%, 利润增5.75%
Income profile:
</v>
      </c>
      <c r="D35" t="s">
        <v>471</v>
      </c>
      <c r="E35" t="s">
        <v>47</v>
      </c>
      <c r="F35">
        <v>7.19</v>
      </c>
      <c r="G35">
        <v>0.98</v>
      </c>
      <c r="H35" t="s">
        <v>3787</v>
      </c>
      <c r="I35">
        <v>2243293800</v>
      </c>
      <c r="J35">
        <v>20.99</v>
      </c>
      <c r="K35">
        <v>1.9</v>
      </c>
      <c r="L35" t="s">
        <v>85</v>
      </c>
      <c r="M35" t="s">
        <v>2204</v>
      </c>
      <c r="N35" t="s">
        <v>3788</v>
      </c>
      <c r="O35" t="s">
        <v>1855</v>
      </c>
      <c r="P35">
        <v>-11.29</v>
      </c>
      <c r="Q35" t="s">
        <v>2450</v>
      </c>
      <c r="R35">
        <v>29688834</v>
      </c>
      <c r="S35" s="5">
        <v>1.0800000000000001E-2</v>
      </c>
      <c r="T35" t="s">
        <v>189</v>
      </c>
      <c r="U35">
        <v>282047830</v>
      </c>
      <c r="V35">
        <v>312001930</v>
      </c>
      <c r="W35">
        <v>2.08</v>
      </c>
      <c r="X35">
        <v>0.16</v>
      </c>
      <c r="Y35">
        <v>6.62</v>
      </c>
      <c r="Z35" t="s">
        <v>724</v>
      </c>
      <c r="AA35" t="s">
        <v>315</v>
      </c>
      <c r="AB35" t="s">
        <v>3789</v>
      </c>
      <c r="AC35" t="s">
        <v>3790</v>
      </c>
      <c r="AD35" t="s">
        <v>90</v>
      </c>
      <c r="AE35">
        <v>2618875</v>
      </c>
      <c r="AF35" t="s">
        <v>2452</v>
      </c>
      <c r="AG35" t="s">
        <v>3791</v>
      </c>
      <c r="AH35" t="s">
        <v>2453</v>
      </c>
      <c r="AI35" t="s">
        <v>619</v>
      </c>
      <c r="AJ35" t="s">
        <v>2454</v>
      </c>
      <c r="AK35" t="s">
        <v>363</v>
      </c>
      <c r="AL35" t="s">
        <v>2455</v>
      </c>
      <c r="AM35" t="s">
        <v>90</v>
      </c>
      <c r="AN35" t="s">
        <v>3792</v>
      </c>
      <c r="AO35" t="s">
        <v>755</v>
      </c>
      <c r="AP35" t="s">
        <v>90</v>
      </c>
      <c r="AQ35" t="s">
        <v>731</v>
      </c>
      <c r="AR35" t="s">
        <v>90</v>
      </c>
      <c r="AS35" t="s">
        <v>3793</v>
      </c>
      <c r="AT35" t="s">
        <v>90</v>
      </c>
      <c r="AU35" t="s">
        <v>3794</v>
      </c>
      <c r="AV35" t="s">
        <v>3795</v>
      </c>
      <c r="AW35" t="s">
        <v>3796</v>
      </c>
      <c r="AX35" t="s">
        <v>1808</v>
      </c>
      <c r="AY35" t="s">
        <v>1162</v>
      </c>
      <c r="AZ35" t="s">
        <v>760</v>
      </c>
      <c r="BA35" t="s">
        <v>472</v>
      </c>
      <c r="BB35" t="s">
        <v>762</v>
      </c>
      <c r="BC35" t="s">
        <v>215</v>
      </c>
      <c r="BD35" t="s">
        <v>521</v>
      </c>
      <c r="BE35" t="s">
        <v>761</v>
      </c>
      <c r="BF35" t="s">
        <v>473</v>
      </c>
      <c r="BG35" t="s">
        <v>764</v>
      </c>
      <c r="BH35" t="s">
        <v>2450</v>
      </c>
      <c r="BI35" t="s">
        <v>1809</v>
      </c>
      <c r="BJ35" t="s">
        <v>1808</v>
      </c>
      <c r="BK35" t="s">
        <v>189</v>
      </c>
      <c r="BL35" t="s">
        <v>2456</v>
      </c>
      <c r="BM35" t="s">
        <v>215</v>
      </c>
      <c r="BN35">
        <v>7.32</v>
      </c>
      <c r="BO35">
        <v>8.85</v>
      </c>
      <c r="BP35">
        <v>9.4</v>
      </c>
      <c r="BQ35">
        <v>9.09</v>
      </c>
      <c r="BR35">
        <v>10.81</v>
      </c>
      <c r="BS35">
        <v>11.28</v>
      </c>
      <c r="BT35" t="s">
        <v>1697</v>
      </c>
      <c r="BU35" t="s">
        <v>1381</v>
      </c>
      <c r="BV35">
        <v>28.6</v>
      </c>
      <c r="BW35">
        <v>28.72</v>
      </c>
      <c r="BX35">
        <v>28.79</v>
      </c>
      <c r="BY35">
        <v>5.71</v>
      </c>
      <c r="BZ35">
        <v>6.09</v>
      </c>
      <c r="CA35">
        <v>6.38</v>
      </c>
      <c r="CB35">
        <v>-1.78</v>
      </c>
      <c r="CC35">
        <v>-10.01</v>
      </c>
      <c r="CD35" t="s">
        <v>3797</v>
      </c>
      <c r="CE35" t="s">
        <v>3798</v>
      </c>
      <c r="CF35" s="8">
        <v>-0.1124031007751938</v>
      </c>
      <c r="CG35" s="9">
        <v>1.0766292394952991E-2</v>
      </c>
      <c r="CH35" s="8">
        <v>6.9333262741565704E-2</v>
      </c>
      <c r="CI35" s="8">
        <v>0.10554248839616776</v>
      </c>
      <c r="CJ35" s="8">
        <v>0.50221443176269531</v>
      </c>
      <c r="CK35" s="8">
        <v>4.6339079737663269E-2</v>
      </c>
      <c r="CL35" s="8">
        <v>0.14422063529491425</v>
      </c>
      <c r="CM35" s="9">
        <v>-2.7272727340459824E-2</v>
      </c>
      <c r="CN35" s="9">
        <v>4.76190485060215E-2</v>
      </c>
      <c r="CO35" s="9">
        <v>0.28722849488258362</v>
      </c>
      <c r="CP35" s="9">
        <v>8.5441514849662781E-2</v>
      </c>
      <c r="CQ35" s="9">
        <v>-0.10554604232311249</v>
      </c>
      <c r="CR35">
        <v>23.918359832653827</v>
      </c>
      <c r="CS35">
        <v>1.3783416496466085</v>
      </c>
      <c r="CT35">
        <v>1.3908205841446453</v>
      </c>
      <c r="CU35" s="8">
        <v>0.17352997958660127</v>
      </c>
      <c r="CV35" s="9">
        <v>5.7494057714939116E-2</v>
      </c>
      <c r="CW35">
        <v>0.06</v>
      </c>
      <c r="CX35">
        <v>21.055982258426038</v>
      </c>
      <c r="CY35">
        <v>118460101.7129871</v>
      </c>
      <c r="CZ35">
        <v>0.17352997958660127</v>
      </c>
      <c r="DA35">
        <v>6.4154129279447289</v>
      </c>
      <c r="DB35">
        <v>388797077.91452849</v>
      </c>
      <c r="DC35">
        <v>0.1648534806072712</v>
      </c>
      <c r="DD35">
        <v>2.8676425000249988</v>
      </c>
      <c r="DE35">
        <v>869806400.19746387</v>
      </c>
      <c r="DF35">
        <v>0.15270638203620912</v>
      </c>
      <c r="DG35">
        <v>1.5383587637084797</v>
      </c>
      <c r="DH35">
        <v>1621399285.2922511</v>
      </c>
      <c r="DI35">
        <v>0.13882398366928103</v>
      </c>
      <c r="DJ35">
        <v>0.61201968455543065</v>
      </c>
      <c r="DK35">
        <v>4075512378.0239978</v>
      </c>
      <c r="DL35">
        <v>0.12147098571062089</v>
      </c>
      <c r="DM35">
        <v>107000000</v>
      </c>
      <c r="DN35">
        <v>0.17352997958660127</v>
      </c>
      <c r="DO35">
        <v>2494293800</v>
      </c>
      <c r="DP35">
        <v>784446800</v>
      </c>
      <c r="DQ35">
        <v>1091</v>
      </c>
      <c r="DR35">
        <v>-0.2859330803617951</v>
      </c>
      <c r="DS35">
        <v>-4.6727765319986125E-2</v>
      </c>
      <c r="DT35" s="10">
        <v>-0.3066666666666667</v>
      </c>
      <c r="DU35">
        <v>0.13333333333333333</v>
      </c>
      <c r="DV35">
        <v>-0.17333333333333337</v>
      </c>
      <c r="DW35">
        <v>-2.1000999999999999</v>
      </c>
      <c r="DX35">
        <v>0.30787221423397099</v>
      </c>
      <c r="DY35">
        <v>-2.0128000086448203</v>
      </c>
      <c r="DZ35">
        <v>2135</v>
      </c>
      <c r="EA35">
        <v>-2.0074520598274641</v>
      </c>
      <c r="EB35">
        <v>2</v>
      </c>
      <c r="EC35">
        <v>3.7453293958790573E-2</v>
      </c>
      <c r="ED35">
        <v>0.29289626509682165</v>
      </c>
      <c r="EE35" s="11">
        <v>-4.0236999999999998</v>
      </c>
      <c r="EF35">
        <v>-4.0075000000000003</v>
      </c>
      <c r="EG35">
        <v>18.127872214233971</v>
      </c>
      <c r="EH35" t="s">
        <v>2125</v>
      </c>
      <c r="EI35">
        <v>0</v>
      </c>
      <c r="EJ35">
        <v>0</v>
      </c>
      <c r="EK35" s="13">
        <v>45470</v>
      </c>
      <c r="EL35" s="14">
        <v>-0.93</v>
      </c>
      <c r="EM35" s="14">
        <v>-4.8499999999999996</v>
      </c>
      <c r="EN35" s="14">
        <v>1.1299999999999999</v>
      </c>
      <c r="EO35" s="14">
        <v>3.64</v>
      </c>
      <c r="EP35" s="14">
        <v>-1.62</v>
      </c>
    </row>
    <row r="36" spans="1:146" ht="96">
      <c r="A36" s="7"/>
      <c r="B36" s="7"/>
      <c r="C36" s="7" t="str">
        <f>""&amp;CHAR(10)&amp;Basic_Fundamental_Information_Constructure(F36)&amp;CHAR(10)&amp;Basic_Fundamental_Information_Concatenate("")</f>
        <v xml:space="preserve">
市值8.85亿, 利润-1899.87万; PE; 平均PE-41.82; 平均PEG-3.16, PB2.14; ROIC0%; ROE-4.2833%; 股利率0%; 毛利22.1333%; 净利-9.81%; 上一年度营收增19.21%, 利润增51.14%; 当季营收增13.12%, 利润增112.93%; 过往5年营收增13.22%, 利润增-188.52%
Income profile:
</v>
      </c>
      <c r="D36" t="s">
        <v>251</v>
      </c>
      <c r="E36" t="s">
        <v>7</v>
      </c>
      <c r="F36">
        <v>5.9</v>
      </c>
      <c r="G36">
        <v>1.03</v>
      </c>
      <c r="H36" t="s">
        <v>3799</v>
      </c>
      <c r="I36">
        <v>885000000</v>
      </c>
      <c r="K36">
        <v>2.14</v>
      </c>
      <c r="L36" t="s">
        <v>85</v>
      </c>
      <c r="M36" t="s">
        <v>1451</v>
      </c>
      <c r="N36" t="s">
        <v>1454</v>
      </c>
      <c r="O36" t="s">
        <v>2457</v>
      </c>
      <c r="P36">
        <v>13.12</v>
      </c>
      <c r="Q36" t="s">
        <v>722</v>
      </c>
      <c r="R36">
        <v>745397</v>
      </c>
      <c r="S36" s="5">
        <v>1.129</v>
      </c>
      <c r="T36" t="s">
        <v>2458</v>
      </c>
      <c r="U36">
        <v>149418750</v>
      </c>
      <c r="V36">
        <v>150000000</v>
      </c>
      <c r="W36">
        <v>1.58</v>
      </c>
      <c r="X36">
        <v>0.11</v>
      </c>
      <c r="Y36">
        <v>1.07</v>
      </c>
      <c r="Z36" t="s">
        <v>3800</v>
      </c>
      <c r="AA36" t="s">
        <v>3801</v>
      </c>
      <c r="AB36" t="s">
        <v>3802</v>
      </c>
      <c r="AC36" t="s">
        <v>3803</v>
      </c>
      <c r="AD36" t="s">
        <v>90</v>
      </c>
      <c r="AE36">
        <v>953901</v>
      </c>
      <c r="AF36" t="s">
        <v>182</v>
      </c>
      <c r="AG36" t="s">
        <v>3804</v>
      </c>
      <c r="AH36" t="s">
        <v>2459</v>
      </c>
      <c r="AI36" t="s">
        <v>3805</v>
      </c>
      <c r="AJ36" t="s">
        <v>2460</v>
      </c>
      <c r="AK36" t="s">
        <v>3806</v>
      </c>
      <c r="AL36" t="s">
        <v>2461</v>
      </c>
      <c r="AM36" t="s">
        <v>90</v>
      </c>
      <c r="AN36" t="s">
        <v>3807</v>
      </c>
      <c r="AO36" t="s">
        <v>418</v>
      </c>
      <c r="AP36" t="s">
        <v>3808</v>
      </c>
      <c r="AQ36" t="s">
        <v>3809</v>
      </c>
      <c r="AR36" t="s">
        <v>90</v>
      </c>
      <c r="AS36" t="s">
        <v>1453</v>
      </c>
      <c r="AT36" t="s">
        <v>90</v>
      </c>
      <c r="AU36" t="s">
        <v>3810</v>
      </c>
      <c r="AV36" t="s">
        <v>3811</v>
      </c>
      <c r="AW36" t="s">
        <v>3812</v>
      </c>
      <c r="AX36" t="s">
        <v>1221</v>
      </c>
      <c r="AY36" t="s">
        <v>218</v>
      </c>
      <c r="AZ36" t="s">
        <v>138</v>
      </c>
      <c r="BA36" t="s">
        <v>253</v>
      </c>
      <c r="BB36" t="s">
        <v>372</v>
      </c>
      <c r="BC36" t="s">
        <v>1810</v>
      </c>
      <c r="BD36" t="s">
        <v>1248</v>
      </c>
      <c r="BE36" t="s">
        <v>765</v>
      </c>
      <c r="BF36" t="s">
        <v>254</v>
      </c>
      <c r="BG36" t="s">
        <v>767</v>
      </c>
      <c r="BH36" t="s">
        <v>722</v>
      </c>
      <c r="BI36" t="s">
        <v>2462</v>
      </c>
      <c r="BJ36" t="s">
        <v>1221</v>
      </c>
      <c r="BK36" t="s">
        <v>2458</v>
      </c>
      <c r="BL36" t="s">
        <v>2463</v>
      </c>
      <c r="BM36" t="s">
        <v>1810</v>
      </c>
      <c r="BN36" t="s">
        <v>90</v>
      </c>
      <c r="BO36" t="s">
        <v>90</v>
      </c>
      <c r="BP36" t="s">
        <v>90</v>
      </c>
      <c r="BQ36">
        <v>-1.77</v>
      </c>
      <c r="BR36">
        <v>-8.6300000000000008</v>
      </c>
      <c r="BS36">
        <v>-2.4500000000000002</v>
      </c>
      <c r="BT36" t="s">
        <v>1692</v>
      </c>
      <c r="BU36" t="s">
        <v>1337</v>
      </c>
      <c r="BV36">
        <v>21.03</v>
      </c>
      <c r="BW36">
        <v>20.23</v>
      </c>
      <c r="BX36">
        <v>25.14</v>
      </c>
      <c r="BY36">
        <v>-6.96</v>
      </c>
      <c r="BZ36">
        <v>-17</v>
      </c>
      <c r="CA36">
        <v>-5.47</v>
      </c>
      <c r="CB36">
        <v>0.34</v>
      </c>
      <c r="CC36">
        <v>-16.670000000000002</v>
      </c>
      <c r="CD36" t="s">
        <v>3813</v>
      </c>
      <c r="CE36" t="s">
        <v>174</v>
      </c>
      <c r="CF36" s="8">
        <v>0.13123500730079266</v>
      </c>
      <c r="CG36" s="9">
        <v>1.1292722984339501</v>
      </c>
      <c r="CH36" s="8">
        <v>0.19213974475860596</v>
      </c>
      <c r="CI36" s="8">
        <v>8.0188676714897156E-2</v>
      </c>
      <c r="CJ36" s="8">
        <v>0.24705882370471954</v>
      </c>
      <c r="CK36" s="8">
        <v>0.38211381435394287</v>
      </c>
      <c r="CL36" s="8">
        <v>-0.24074074625968933</v>
      </c>
      <c r="CM36" s="9">
        <v>0.51140683889389038</v>
      </c>
      <c r="CN36" s="9">
        <v>-2.3476676940917969</v>
      </c>
      <c r="CO36" s="9">
        <v>0.6445193886756897</v>
      </c>
      <c r="CP36" s="9">
        <v>-0.13175368309020996</v>
      </c>
      <c r="CQ36" s="9">
        <v>-8.1025857925415039</v>
      </c>
      <c r="CR36">
        <v>-41.817543207523691</v>
      </c>
      <c r="CS36">
        <v>-3.1643503981359338</v>
      </c>
      <c r="CT36">
        <v>0</v>
      </c>
      <c r="CU36" s="8">
        <v>0.13215206265449525</v>
      </c>
      <c r="CV36" s="9">
        <v>-1.8852161884307861</v>
      </c>
      <c r="CW36">
        <v>0.06</v>
      </c>
      <c r="CX36" t="e">
        <v>#VALUE!</v>
      </c>
      <c r="CY36" t="s">
        <v>1391</v>
      </c>
      <c r="CZ36">
        <v>0.13215206265449525</v>
      </c>
      <c r="DA36" t="e">
        <v>#VALUE!</v>
      </c>
      <c r="DB36" t="s">
        <v>1391</v>
      </c>
      <c r="DC36">
        <v>0.12554445952177049</v>
      </c>
      <c r="DD36" t="e">
        <v>#VALUE!</v>
      </c>
      <c r="DE36" t="s">
        <v>1391</v>
      </c>
      <c r="DF36">
        <v>0.11629381513595582</v>
      </c>
      <c r="DG36" t="e">
        <v>#VALUE!</v>
      </c>
      <c r="DH36" t="s">
        <v>1391</v>
      </c>
      <c r="DI36">
        <v>0.1057216501235962</v>
      </c>
      <c r="DJ36" t="e">
        <v>#VALUE!</v>
      </c>
      <c r="DK36" t="s">
        <v>1391</v>
      </c>
      <c r="DL36">
        <v>9.2506443858146672E-2</v>
      </c>
      <c r="DM36">
        <v>-18998700</v>
      </c>
      <c r="DN36">
        <v>0.13215206265449525</v>
      </c>
      <c r="DO36">
        <v>716000000</v>
      </c>
      <c r="DP36">
        <v>188396280</v>
      </c>
      <c r="DQ36">
        <v>1123</v>
      </c>
      <c r="DR36">
        <v>-9.1705535370259494E-4</v>
      </c>
      <c r="DS36">
        <v>3.0144884868647361</v>
      </c>
      <c r="DT36" s="10">
        <v>-0.12333333333333336</v>
      </c>
      <c r="DU36">
        <v>-1.71</v>
      </c>
      <c r="DV36">
        <v>-1.8333333333333333</v>
      </c>
      <c r="DW36">
        <v>-3.0075773809523811</v>
      </c>
      <c r="DX36">
        <v>0.3328528925619838</v>
      </c>
      <c r="DY36">
        <v>-3.0007793555489966</v>
      </c>
      <c r="DZ36">
        <v>4281</v>
      </c>
      <c r="EA36">
        <v>-3.0001264355675379</v>
      </c>
      <c r="EB36">
        <v>3</v>
      </c>
      <c r="EC36">
        <v>8.2968E-2</v>
      </c>
      <c r="ED36">
        <v>0.80666666666666664</v>
      </c>
      <c r="EE36" s="11">
        <v>-8.0489999999999995</v>
      </c>
      <c r="EF36">
        <v>-8.0372000000000003</v>
      </c>
      <c r="EG36">
        <v>23.102852892561984</v>
      </c>
      <c r="EH36" t="s">
        <v>2464</v>
      </c>
      <c r="EI36">
        <v>0</v>
      </c>
      <c r="EJ36">
        <v>0</v>
      </c>
      <c r="EK36" s="13">
        <v>45470</v>
      </c>
      <c r="EL36" s="14">
        <v>-2.52</v>
      </c>
      <c r="EM36" s="14">
        <v>-4.3</v>
      </c>
      <c r="EN36" s="14">
        <v>1.62</v>
      </c>
      <c r="EO36" s="14">
        <v>4.5999999999999996</v>
      </c>
      <c r="EP36" s="14">
        <v>-1.18</v>
      </c>
    </row>
    <row r="37" spans="1:146" ht="108">
      <c r="A37" s="7"/>
      <c r="B37" s="7"/>
      <c r="C37" s="7" t="str">
        <f>""&amp;CHAR(10)&amp;Basic_Fundamental_Information_Constructure(F37)&amp;CHAR(10)&amp;Basic_Fundamental_Information_Concatenate("")</f>
        <v xml:space="preserve">
市值38.398328亿, 利润-1536.22万; PE; 平均PE-52.36; 平均PEG-5.08, PB1.58; ROIC1.1%; ROE-4.2367%; 股利率0%; 毛利17.08%; 净利-6.0433%; 上一年度营收增3.36%, 利润增92.43%; 当季营收增-11.83%, 利润增60.76%; 过往5年营收增10.3%, 利润增-19.62%
Income profile:
</v>
      </c>
      <c r="D37" t="s">
        <v>446</v>
      </c>
      <c r="E37" t="s">
        <v>5</v>
      </c>
      <c r="F37">
        <v>4.97</v>
      </c>
      <c r="G37">
        <v>0.4</v>
      </c>
      <c r="H37" t="s">
        <v>3814</v>
      </c>
      <c r="I37">
        <v>3839832800</v>
      </c>
      <c r="K37">
        <v>1.58</v>
      </c>
      <c r="L37" t="s">
        <v>85</v>
      </c>
      <c r="M37" t="s">
        <v>2465</v>
      </c>
      <c r="N37" t="s">
        <v>1596</v>
      </c>
      <c r="O37" t="s">
        <v>116</v>
      </c>
      <c r="P37">
        <v>-11.9</v>
      </c>
      <c r="Q37" t="s">
        <v>2466</v>
      </c>
      <c r="R37">
        <v>8768992</v>
      </c>
      <c r="S37" s="5">
        <v>0.60760000000000003</v>
      </c>
      <c r="T37" t="s">
        <v>2467</v>
      </c>
      <c r="U37">
        <v>649685410</v>
      </c>
      <c r="V37">
        <v>772602180</v>
      </c>
      <c r="W37">
        <v>1.81</v>
      </c>
      <c r="X37">
        <v>0.08</v>
      </c>
      <c r="Y37">
        <v>2.35</v>
      </c>
      <c r="Z37" t="s">
        <v>423</v>
      </c>
      <c r="AA37" t="s">
        <v>753</v>
      </c>
      <c r="AB37" t="s">
        <v>3815</v>
      </c>
      <c r="AC37" t="s">
        <v>3816</v>
      </c>
      <c r="AD37" t="s">
        <v>90</v>
      </c>
      <c r="AE37">
        <v>12437436</v>
      </c>
      <c r="AF37" t="s">
        <v>2468</v>
      </c>
      <c r="AG37" t="s">
        <v>3817</v>
      </c>
      <c r="AH37" t="s">
        <v>2469</v>
      </c>
      <c r="AI37" t="s">
        <v>1424</v>
      </c>
      <c r="AJ37" t="s">
        <v>2470</v>
      </c>
      <c r="AK37" t="s">
        <v>104</v>
      </c>
      <c r="AL37" t="s">
        <v>2471</v>
      </c>
      <c r="AM37" t="s">
        <v>90</v>
      </c>
      <c r="AN37" t="s">
        <v>3818</v>
      </c>
      <c r="AO37" t="s">
        <v>3819</v>
      </c>
      <c r="AP37" t="s">
        <v>3820</v>
      </c>
      <c r="AQ37" t="s">
        <v>186</v>
      </c>
      <c r="AR37" t="s">
        <v>90</v>
      </c>
      <c r="AS37" t="s">
        <v>694</v>
      </c>
      <c r="AT37" t="s">
        <v>3821</v>
      </c>
      <c r="AU37" t="s">
        <v>611</v>
      </c>
      <c r="AV37" t="s">
        <v>3822</v>
      </c>
      <c r="AW37" t="s">
        <v>3823</v>
      </c>
      <c r="AX37" t="s">
        <v>589</v>
      </c>
      <c r="AY37" t="s">
        <v>1249</v>
      </c>
      <c r="AZ37" t="s">
        <v>768</v>
      </c>
      <c r="BA37" t="s">
        <v>447</v>
      </c>
      <c r="BB37" t="s">
        <v>770</v>
      </c>
      <c r="BC37" t="s">
        <v>1478</v>
      </c>
      <c r="BD37" t="s">
        <v>650</v>
      </c>
      <c r="BE37" t="s">
        <v>769</v>
      </c>
      <c r="BF37" t="s">
        <v>448</v>
      </c>
      <c r="BG37" t="s">
        <v>772</v>
      </c>
      <c r="BH37" t="s">
        <v>2466</v>
      </c>
      <c r="BI37" t="s">
        <v>1468</v>
      </c>
      <c r="BJ37" t="s">
        <v>589</v>
      </c>
      <c r="BK37" t="s">
        <v>2467</v>
      </c>
      <c r="BL37" t="s">
        <v>2472</v>
      </c>
      <c r="BM37" t="s">
        <v>1478</v>
      </c>
      <c r="BN37">
        <v>1.1000000000000001</v>
      </c>
      <c r="BO37" t="s">
        <v>90</v>
      </c>
      <c r="BP37" t="s">
        <v>90</v>
      </c>
      <c r="BQ37">
        <v>0.72</v>
      </c>
      <c r="BR37">
        <v>-7.91</v>
      </c>
      <c r="BS37">
        <v>-5.52</v>
      </c>
      <c r="BT37" t="s">
        <v>1692</v>
      </c>
      <c r="BU37" t="s">
        <v>1449</v>
      </c>
      <c r="BV37">
        <v>21.62</v>
      </c>
      <c r="BW37">
        <v>15.97</v>
      </c>
      <c r="BX37">
        <v>13.65</v>
      </c>
      <c r="BY37">
        <v>-1.0900000000000001</v>
      </c>
      <c r="BZ37">
        <v>-10.99</v>
      </c>
      <c r="CA37">
        <v>-6.05</v>
      </c>
      <c r="CB37">
        <v>-0.8</v>
      </c>
      <c r="CC37">
        <v>-14.01</v>
      </c>
      <c r="CD37" t="s">
        <v>3824</v>
      </c>
      <c r="CE37" t="s">
        <v>856</v>
      </c>
      <c r="CF37" s="8">
        <v>-0.11825192802056556</v>
      </c>
      <c r="CG37" s="9">
        <v>0.60763245700876323</v>
      </c>
      <c r="CH37" s="8">
        <v>3.3570703119039536E-2</v>
      </c>
      <c r="CI37" s="8">
        <v>-2.1403651684522629E-2</v>
      </c>
      <c r="CJ37" s="8">
        <v>0.3779149055480957</v>
      </c>
      <c r="CK37" s="8">
        <v>-3.6988109350204468E-2</v>
      </c>
      <c r="CL37" s="8">
        <v>0.16193394362926483</v>
      </c>
      <c r="CM37" s="9">
        <v>0.92432409524917603</v>
      </c>
      <c r="CN37" s="9">
        <v>-0.79646015167236328</v>
      </c>
      <c r="CO37" s="9">
        <v>0.37569060921669006</v>
      </c>
      <c r="CP37" s="9">
        <v>-4.1795439720153809</v>
      </c>
      <c r="CQ37" s="9">
        <v>2.6951518058776855</v>
      </c>
      <c r="CR37">
        <v>-52.357774615872877</v>
      </c>
      <c r="CS37">
        <v>-5.0830047916065926</v>
      </c>
      <c r="CT37">
        <v>0</v>
      </c>
      <c r="CU37" s="8">
        <v>0.10300555825233459</v>
      </c>
      <c r="CV37" s="9">
        <v>-0.1961675226688385</v>
      </c>
      <c r="CW37">
        <v>0.06</v>
      </c>
      <c r="CX37" t="e">
        <v>#VALUE!</v>
      </c>
      <c r="CY37" t="s">
        <v>1391</v>
      </c>
      <c r="CZ37">
        <v>0.10300555825233459</v>
      </c>
      <c r="DA37" t="e">
        <v>#VALUE!</v>
      </c>
      <c r="DB37" t="s">
        <v>1391</v>
      </c>
      <c r="DC37">
        <v>9.7855280339717854E-2</v>
      </c>
      <c r="DD37" t="e">
        <v>#VALUE!</v>
      </c>
      <c r="DE37" t="s">
        <v>1391</v>
      </c>
      <c r="DF37">
        <v>9.0644891262054439E-2</v>
      </c>
      <c r="DG37" t="e">
        <v>#VALUE!</v>
      </c>
      <c r="DH37" t="s">
        <v>1391</v>
      </c>
      <c r="DI37">
        <v>8.2404446601867687E-2</v>
      </c>
      <c r="DJ37" t="e">
        <v>#VALUE!</v>
      </c>
      <c r="DK37" t="s">
        <v>1391</v>
      </c>
      <c r="DL37">
        <v>7.2103890776634205E-2</v>
      </c>
      <c r="DM37">
        <v>-15362200</v>
      </c>
      <c r="DN37">
        <v>0.10300555825233459</v>
      </c>
      <c r="DO37">
        <v>3500832800</v>
      </c>
      <c r="DP37">
        <v>541037900</v>
      </c>
      <c r="DQ37">
        <v>1129</v>
      </c>
      <c r="DR37">
        <v>-0.22125748627290015</v>
      </c>
      <c r="DS37">
        <v>0.80379997967760175</v>
      </c>
      <c r="DT37" s="10">
        <v>-0.20666666666666669</v>
      </c>
      <c r="DU37">
        <v>-0.80666666666666698</v>
      </c>
      <c r="DV37">
        <v>-1.0133333333333336</v>
      </c>
      <c r="DW37">
        <v>-2.1400999999999999</v>
      </c>
      <c r="DX37">
        <v>0.30204837209302454</v>
      </c>
      <c r="DY37">
        <v>-2.0156979769302326</v>
      </c>
      <c r="DZ37">
        <v>3573</v>
      </c>
      <c r="EA37">
        <v>-2.0047216811236335</v>
      </c>
      <c r="EB37">
        <v>2</v>
      </c>
      <c r="EC37">
        <v>3.1180859468970177E-2</v>
      </c>
      <c r="ED37">
        <v>0.27828034344919916</v>
      </c>
      <c r="EE37" s="11">
        <v>0.10650999999999999</v>
      </c>
      <c r="EF37">
        <v>0.12211</v>
      </c>
      <c r="EG37">
        <v>19.112048372093025</v>
      </c>
      <c r="EH37">
        <v>-1</v>
      </c>
      <c r="EI37">
        <v>0</v>
      </c>
      <c r="EJ37">
        <v>0</v>
      </c>
      <c r="EK37" s="13">
        <v>45470</v>
      </c>
      <c r="EL37" s="14">
        <v>-0.39</v>
      </c>
      <c r="EM37" s="14">
        <v>-2.35</v>
      </c>
      <c r="EN37" s="14">
        <v>1</v>
      </c>
      <c r="EO37" s="14">
        <v>1.98</v>
      </c>
      <c r="EP37" s="14">
        <v>-1.56</v>
      </c>
    </row>
    <row r="38" spans="1:146" ht="96">
      <c r="A38" s="7"/>
      <c r="B38" s="7"/>
      <c r="C38" s="7" t="str">
        <f>""&amp;CHAR(10)&amp;Basic_Fundamental_Information_Constructure(F38)&amp;CHAR(10)&amp;Basic_Fundamental_Information_Concatenate("")</f>
        <v xml:space="preserve">
市值23.781499亿, 利润-8.11亿; PE; 平均PE-5.09; 平均PEG-.17, PB1.64; ROIC0%; ROE-18.8367%; 股利率0%; 毛利7.2433%; 净利-52.1467%; 上一年度营收增-54.54%, 利润增-353.07%; 当季营收增-43.91%, 利润增-16.93%; 过往5年营收增-29.57%, 利润增-136.33%
Income profile:
</v>
      </c>
      <c r="D38" t="s">
        <v>117</v>
      </c>
      <c r="E38" t="s">
        <v>118</v>
      </c>
      <c r="F38">
        <v>2.36</v>
      </c>
      <c r="G38">
        <v>0.43</v>
      </c>
      <c r="H38" t="s">
        <v>3825</v>
      </c>
      <c r="I38">
        <v>2378149900</v>
      </c>
      <c r="K38">
        <v>1.64</v>
      </c>
      <c r="L38" t="s">
        <v>85</v>
      </c>
      <c r="M38" t="s">
        <v>1598</v>
      </c>
      <c r="N38" t="s">
        <v>3826</v>
      </c>
      <c r="O38" t="s">
        <v>431</v>
      </c>
      <c r="P38">
        <v>-43.81</v>
      </c>
      <c r="Q38" t="s">
        <v>2178</v>
      </c>
      <c r="R38">
        <v>20874845</v>
      </c>
      <c r="S38" s="5">
        <v>-0.16930000000000001</v>
      </c>
      <c r="T38" t="s">
        <v>2065</v>
      </c>
      <c r="U38">
        <v>1007688390</v>
      </c>
      <c r="V38">
        <v>1007690640</v>
      </c>
      <c r="W38">
        <v>2.2400000000000002</v>
      </c>
      <c r="X38">
        <v>0.05</v>
      </c>
      <c r="Y38">
        <v>10.33</v>
      </c>
      <c r="Z38" t="s">
        <v>170</v>
      </c>
      <c r="AA38" t="s">
        <v>514</v>
      </c>
      <c r="AB38" t="s">
        <v>3827</v>
      </c>
      <c r="AC38" t="s">
        <v>3828</v>
      </c>
      <c r="AD38" t="s">
        <v>90</v>
      </c>
      <c r="AE38">
        <v>2005023</v>
      </c>
      <c r="AF38" t="s">
        <v>2474</v>
      </c>
      <c r="AG38">
        <v>9824.7900000000009</v>
      </c>
      <c r="AH38" t="s">
        <v>2475</v>
      </c>
      <c r="AI38" t="s">
        <v>691</v>
      </c>
      <c r="AJ38" t="s">
        <v>2476</v>
      </c>
      <c r="AK38" t="s">
        <v>3829</v>
      </c>
      <c r="AL38" t="s">
        <v>2477</v>
      </c>
      <c r="AM38" t="s">
        <v>90</v>
      </c>
      <c r="AN38" t="s">
        <v>602</v>
      </c>
      <c r="AO38" t="s">
        <v>3830</v>
      </c>
      <c r="AP38" t="s">
        <v>3831</v>
      </c>
      <c r="AQ38" t="s">
        <v>560</v>
      </c>
      <c r="AR38" t="s">
        <v>135</v>
      </c>
      <c r="AS38" t="s">
        <v>3832</v>
      </c>
      <c r="AT38" t="s">
        <v>90</v>
      </c>
      <c r="AU38" t="s">
        <v>3833</v>
      </c>
      <c r="AV38" t="s">
        <v>3834</v>
      </c>
      <c r="AW38" t="s">
        <v>304</v>
      </c>
      <c r="AX38" t="s">
        <v>1812</v>
      </c>
      <c r="AY38" t="s">
        <v>1813</v>
      </c>
      <c r="AZ38" t="s">
        <v>1814</v>
      </c>
      <c r="BA38" t="s">
        <v>774</v>
      </c>
      <c r="BB38" t="s">
        <v>775</v>
      </c>
      <c r="BC38" t="s">
        <v>751</v>
      </c>
      <c r="BD38" t="s">
        <v>1250</v>
      </c>
      <c r="BE38" t="s">
        <v>773</v>
      </c>
      <c r="BF38" t="s">
        <v>119</v>
      </c>
      <c r="BG38" t="s">
        <v>224</v>
      </c>
      <c r="BH38" t="s">
        <v>2178</v>
      </c>
      <c r="BI38" t="s">
        <v>173</v>
      </c>
      <c r="BJ38" t="s">
        <v>1812</v>
      </c>
      <c r="BK38" t="s">
        <v>2065</v>
      </c>
      <c r="BL38" t="s">
        <v>2478</v>
      </c>
      <c r="BM38" t="s">
        <v>751</v>
      </c>
      <c r="BN38" t="s">
        <v>90</v>
      </c>
      <c r="BO38" t="s">
        <v>90</v>
      </c>
      <c r="BP38" t="s">
        <v>90</v>
      </c>
      <c r="BQ38">
        <v>-3.69</v>
      </c>
      <c r="BR38">
        <v>-7.67</v>
      </c>
      <c r="BS38">
        <v>-45.15</v>
      </c>
      <c r="BT38" t="s">
        <v>1692</v>
      </c>
      <c r="BU38" t="s">
        <v>1447</v>
      </c>
      <c r="BV38">
        <v>6.99</v>
      </c>
      <c r="BW38">
        <v>10.36</v>
      </c>
      <c r="BX38">
        <v>4.38</v>
      </c>
      <c r="BY38">
        <v>-124.56</v>
      </c>
      <c r="BZ38">
        <v>-12.1</v>
      </c>
      <c r="CA38">
        <v>-19.78</v>
      </c>
      <c r="CB38">
        <v>0.43</v>
      </c>
      <c r="CC38">
        <v>-14.49</v>
      </c>
      <c r="CD38" t="s">
        <v>3835</v>
      </c>
      <c r="CE38" t="s">
        <v>689</v>
      </c>
      <c r="CF38" s="8">
        <v>-0.43911439114391143</v>
      </c>
      <c r="CG38" s="9">
        <v>-0.16930917845559998</v>
      </c>
      <c r="CH38" s="8">
        <v>-0.54539293050765991</v>
      </c>
      <c r="CI38" s="8">
        <v>-0.7909051775932312</v>
      </c>
      <c r="CJ38" s="8">
        <v>-7.5442045927047729E-2</v>
      </c>
      <c r="CK38" s="8">
        <v>-0.44200834631919861</v>
      </c>
      <c r="CL38" s="8">
        <v>0.37545233964920044</v>
      </c>
      <c r="CM38" s="9">
        <v>-3.5307261943817139</v>
      </c>
      <c r="CN38" s="9">
        <v>0.87286925315856934</v>
      </c>
      <c r="CO38" s="9">
        <v>-0.31220877170562744</v>
      </c>
      <c r="CP38" s="9">
        <v>-4.0056023597717285</v>
      </c>
      <c r="CQ38" s="9">
        <v>0.15909090638160706</v>
      </c>
      <c r="CR38">
        <v>-5.0851387740555953</v>
      </c>
      <c r="CS38">
        <v>-0.17199323482159307</v>
      </c>
      <c r="CT38">
        <v>0</v>
      </c>
      <c r="CU38" s="8">
        <v>-0.29565923213958739</v>
      </c>
      <c r="CV38" s="9">
        <v>-1.3633154332637787</v>
      </c>
      <c r="CW38">
        <v>0.06</v>
      </c>
      <c r="CX38" t="e">
        <v>#VALUE!</v>
      </c>
      <c r="CY38" t="s">
        <v>1391</v>
      </c>
      <c r="CZ38">
        <v>-0.29565923213958739</v>
      </c>
      <c r="DA38" t="e">
        <v>#VALUE!</v>
      </c>
      <c r="DB38" t="s">
        <v>1391</v>
      </c>
      <c r="DC38">
        <v>-0.280876270532608</v>
      </c>
      <c r="DD38" t="e">
        <v>#VALUE!</v>
      </c>
      <c r="DE38" t="s">
        <v>1391</v>
      </c>
      <c r="DF38">
        <v>-0.26018012428283693</v>
      </c>
      <c r="DG38" t="e">
        <v>#VALUE!</v>
      </c>
      <c r="DH38" t="s">
        <v>1391</v>
      </c>
      <c r="DI38">
        <v>-0.23652738571166992</v>
      </c>
      <c r="DJ38" t="e">
        <v>#VALUE!</v>
      </c>
      <c r="DK38" t="s">
        <v>1391</v>
      </c>
      <c r="DL38">
        <v>-0.20696146249771116</v>
      </c>
      <c r="DM38">
        <v>-811000000</v>
      </c>
      <c r="DN38">
        <v>-0.29565923213958739</v>
      </c>
      <c r="DO38">
        <v>2643149900</v>
      </c>
      <c r="DP38">
        <v>700032400</v>
      </c>
      <c r="DQ38">
        <v>1173</v>
      </c>
      <c r="DR38">
        <v>-0.14345515900432404</v>
      </c>
      <c r="DS38">
        <v>1.1940062548081787</v>
      </c>
      <c r="DT38" s="10">
        <v>-0.92333333333333334</v>
      </c>
      <c r="DU38">
        <v>-2.4066666666666667</v>
      </c>
      <c r="DV38">
        <v>-3.33</v>
      </c>
      <c r="DW38">
        <v>-2.1448999999999998</v>
      </c>
      <c r="DX38">
        <v>0.30334764150943394</v>
      </c>
      <c r="DY38">
        <v>-2.0236690732547169</v>
      </c>
      <c r="DZ38">
        <v>4993</v>
      </c>
      <c r="EA38">
        <v>-2.0005419337711943</v>
      </c>
      <c r="EB38">
        <v>2</v>
      </c>
      <c r="EC38">
        <v>6.8730816036953565E-2</v>
      </c>
      <c r="ED38">
        <v>0.42076405512707749</v>
      </c>
      <c r="EE38" s="11">
        <v>-1.0711999999999999</v>
      </c>
      <c r="EF38">
        <v>-1.0232000000000001</v>
      </c>
      <c r="EG38">
        <v>14.163347641509434</v>
      </c>
      <c r="EH38" t="s">
        <v>1730</v>
      </c>
      <c r="EI38">
        <v>0</v>
      </c>
      <c r="EJ38">
        <v>0</v>
      </c>
      <c r="EK38" s="13">
        <v>45470</v>
      </c>
      <c r="EL38" s="14">
        <v>-2.1</v>
      </c>
      <c r="EM38" s="14">
        <v>-4.29</v>
      </c>
      <c r="EN38" s="14">
        <v>9.8699999999999992</v>
      </c>
      <c r="EO38" s="14">
        <v>2.04</v>
      </c>
      <c r="EP38" s="14">
        <v>-4.8</v>
      </c>
    </row>
    <row r="39" spans="1:146" ht="108">
      <c r="A39" s="7"/>
      <c r="B39" s="7"/>
      <c r="C39" s="7" t="str">
        <f>""&amp;CHAR(10)&amp;Basic_Fundamental_Information_Constructure(F39)&amp;CHAR(10)&amp;Basic_Fundamental_Information_Concatenate("")</f>
        <v xml:space="preserve">
市值23.045933亿, 利润2060.68万; PE91.06; 平均PE-47.31; 平均PEG-22.28, PB1.42; ROIC2.6433%; ROE2.8467%; 股利率.4914%; 毛利21.5633%; 净利1.7867%; 上一年度营收增-16.14%, 利润增-46.04%; 当季营收增-1.06%, 利润增74.67%; 过往5年营收增2.12%, 利润增-341.87%
Income profile:
</v>
      </c>
      <c r="D39" t="s">
        <v>475</v>
      </c>
      <c r="E39" t="s">
        <v>13</v>
      </c>
      <c r="F39">
        <v>4.07</v>
      </c>
      <c r="G39">
        <v>0.99</v>
      </c>
      <c r="H39" t="s">
        <v>3836</v>
      </c>
      <c r="I39">
        <v>2304593300</v>
      </c>
      <c r="J39">
        <v>91.06</v>
      </c>
      <c r="K39">
        <v>1.42</v>
      </c>
      <c r="L39" t="s">
        <v>85</v>
      </c>
      <c r="M39" t="s">
        <v>2479</v>
      </c>
      <c r="N39" t="s">
        <v>3837</v>
      </c>
      <c r="O39" t="s">
        <v>825</v>
      </c>
      <c r="P39">
        <v>-0.99</v>
      </c>
      <c r="Q39" t="s">
        <v>2480</v>
      </c>
      <c r="R39">
        <v>10996091</v>
      </c>
      <c r="S39" s="5">
        <v>0.74670000000000003</v>
      </c>
      <c r="T39" t="s">
        <v>2481</v>
      </c>
      <c r="U39">
        <v>522397810</v>
      </c>
      <c r="V39">
        <v>566239130</v>
      </c>
      <c r="W39">
        <v>1.66</v>
      </c>
      <c r="X39">
        <v>0.1</v>
      </c>
      <c r="Y39">
        <v>4.2300000000000004</v>
      </c>
      <c r="Z39" t="s">
        <v>566</v>
      </c>
      <c r="AA39" t="s">
        <v>433</v>
      </c>
      <c r="AB39" t="s">
        <v>3838</v>
      </c>
      <c r="AC39" t="s">
        <v>3839</v>
      </c>
      <c r="AD39" t="s">
        <v>90</v>
      </c>
      <c r="AE39">
        <v>3753389</v>
      </c>
      <c r="AF39" t="s">
        <v>182</v>
      </c>
      <c r="AG39" t="s">
        <v>3840</v>
      </c>
      <c r="AH39" t="s">
        <v>2482</v>
      </c>
      <c r="AI39" t="s">
        <v>1217</v>
      </c>
      <c r="AJ39" t="s">
        <v>2483</v>
      </c>
      <c r="AK39" t="s">
        <v>3841</v>
      </c>
      <c r="AL39" t="s">
        <v>2484</v>
      </c>
      <c r="AM39" t="s">
        <v>90</v>
      </c>
      <c r="AN39" t="s">
        <v>3842</v>
      </c>
      <c r="AO39" t="s">
        <v>1042</v>
      </c>
      <c r="AP39" t="s">
        <v>933</v>
      </c>
      <c r="AQ39" t="s">
        <v>370</v>
      </c>
      <c r="AR39" t="s">
        <v>3843</v>
      </c>
      <c r="AS39" t="s">
        <v>1599</v>
      </c>
      <c r="AT39" t="s">
        <v>521</v>
      </c>
      <c r="AU39" t="s">
        <v>3844</v>
      </c>
      <c r="AV39" t="s">
        <v>3845</v>
      </c>
      <c r="AW39" t="s">
        <v>3846</v>
      </c>
      <c r="AX39" t="s">
        <v>1818</v>
      </c>
      <c r="AY39" t="s">
        <v>1251</v>
      </c>
      <c r="AZ39" t="s">
        <v>777</v>
      </c>
      <c r="BA39" t="s">
        <v>476</v>
      </c>
      <c r="BB39" t="s">
        <v>424</v>
      </c>
      <c r="BC39" t="s">
        <v>2486</v>
      </c>
      <c r="BD39" t="s">
        <v>1252</v>
      </c>
      <c r="BE39" t="s">
        <v>778</v>
      </c>
      <c r="BF39" t="s">
        <v>477</v>
      </c>
      <c r="BG39" t="s">
        <v>780</v>
      </c>
      <c r="BH39" t="s">
        <v>2480</v>
      </c>
      <c r="BI39" t="s">
        <v>516</v>
      </c>
      <c r="BJ39" t="s">
        <v>1818</v>
      </c>
      <c r="BK39" t="s">
        <v>2481</v>
      </c>
      <c r="BL39" t="s">
        <v>2487</v>
      </c>
      <c r="BM39" t="s">
        <v>2486</v>
      </c>
      <c r="BN39">
        <v>3.01</v>
      </c>
      <c r="BO39">
        <v>2.91</v>
      </c>
      <c r="BP39">
        <v>2.0099999999999998</v>
      </c>
      <c r="BQ39">
        <v>3.36</v>
      </c>
      <c r="BR39">
        <v>2.41</v>
      </c>
      <c r="BS39">
        <v>2.77</v>
      </c>
      <c r="BT39" t="s">
        <v>1698</v>
      </c>
      <c r="BU39" t="s">
        <v>1449</v>
      </c>
      <c r="BV39">
        <v>23.8</v>
      </c>
      <c r="BW39">
        <v>21.17</v>
      </c>
      <c r="BX39">
        <v>19.72</v>
      </c>
      <c r="BY39">
        <v>1.46</v>
      </c>
      <c r="BZ39">
        <v>2.31</v>
      </c>
      <c r="CA39">
        <v>1.59</v>
      </c>
      <c r="CB39">
        <v>-2.86</v>
      </c>
      <c r="CC39">
        <v>-15.21</v>
      </c>
      <c r="CD39" t="s">
        <v>3847</v>
      </c>
      <c r="CE39" t="s">
        <v>535</v>
      </c>
      <c r="CF39" s="8">
        <v>-1.0600706713780919E-2</v>
      </c>
      <c r="CG39" s="9">
        <v>0.74668662833179777</v>
      </c>
      <c r="CH39" s="8">
        <v>-0.16142557561397552</v>
      </c>
      <c r="CI39" s="8">
        <v>1.0493178851902485E-3</v>
      </c>
      <c r="CJ39" s="8">
        <v>0.28436657786369324</v>
      </c>
      <c r="CK39" s="8">
        <v>2.0257015712559223E-3</v>
      </c>
      <c r="CL39" s="8">
        <v>-1.9854484125971794E-2</v>
      </c>
      <c r="CM39" s="9">
        <v>-0.46035861968994141</v>
      </c>
      <c r="CN39" s="9">
        <v>-0.11394170671701431</v>
      </c>
      <c r="CO39" s="9">
        <v>0.71665406227111816</v>
      </c>
      <c r="CP39" s="9">
        <v>1.0564156770706177</v>
      </c>
      <c r="CQ39" s="9">
        <v>-18.292028427124023</v>
      </c>
      <c r="CR39">
        <v>-47.31073239879003</v>
      </c>
      <c r="CS39">
        <v>-22.282426139058387</v>
      </c>
      <c r="CT39">
        <v>0.49140049140049141</v>
      </c>
      <c r="CU39" s="8">
        <v>2.1232307516038419E-2</v>
      </c>
      <c r="CV39" s="9">
        <v>-3.4186518028378488</v>
      </c>
      <c r="CW39">
        <v>0.06</v>
      </c>
      <c r="CX39">
        <v>91.451184514646457</v>
      </c>
      <c r="CY39">
        <v>19853141.428793866</v>
      </c>
      <c r="CZ39">
        <v>2.1232307516038419E-2</v>
      </c>
      <c r="DA39">
        <v>31.69133170440508</v>
      </c>
      <c r="DB39">
        <v>57289902.391436368</v>
      </c>
      <c r="DC39">
        <v>2.0170692140236497E-2</v>
      </c>
      <c r="DD39">
        <v>16.837897743330647</v>
      </c>
      <c r="DE39">
        <v>107827789.88660513</v>
      </c>
      <c r="DF39">
        <v>1.868443061411381E-2</v>
      </c>
      <c r="DG39">
        <v>10.987234448704429</v>
      </c>
      <c r="DH39">
        <v>165245704.77460662</v>
      </c>
      <c r="DI39">
        <v>1.6985846012830735E-2</v>
      </c>
      <c r="DJ39">
        <v>6.7425901559662638</v>
      </c>
      <c r="DK39">
        <v>269272380.19849831</v>
      </c>
      <c r="DL39">
        <v>1.4862615261226892E-2</v>
      </c>
      <c r="DM39">
        <v>20606800</v>
      </c>
      <c r="DN39">
        <v>2.1232307516038419E-2</v>
      </c>
      <c r="DO39">
        <v>1815593299.9999998</v>
      </c>
      <c r="DP39">
        <v>616829500</v>
      </c>
      <c r="DQ39">
        <v>1174</v>
      </c>
      <c r="DR39">
        <v>-3.1833014229819337E-2</v>
      </c>
      <c r="DS39">
        <v>4.1653384311696469</v>
      </c>
      <c r="DT39" s="10">
        <v>-0.47333333333333333</v>
      </c>
      <c r="DU39">
        <v>-0.72333333333333327</v>
      </c>
      <c r="DV39">
        <v>-1.1966666666666665</v>
      </c>
      <c r="DW39">
        <v>-8.1880341880341874</v>
      </c>
      <c r="DX39">
        <v>0.36773772455089682</v>
      </c>
      <c r="DY39">
        <v>-8.0277797430779465</v>
      </c>
      <c r="DZ39">
        <v>3754</v>
      </c>
      <c r="EA39">
        <v>-8.007371689161193</v>
      </c>
      <c r="EB39">
        <v>8</v>
      </c>
      <c r="EC39">
        <v>4.3572050557509151E-2</v>
      </c>
      <c r="ED39">
        <v>0.29492839889041228</v>
      </c>
      <c r="EE39" s="11">
        <v>-1.0940099999999999</v>
      </c>
      <c r="EF39">
        <v>-1.10581</v>
      </c>
      <c r="EG39">
        <v>22.147737724550897</v>
      </c>
      <c r="EH39" t="s">
        <v>1726</v>
      </c>
      <c r="EI39">
        <v>0</v>
      </c>
      <c r="EJ39">
        <v>0</v>
      </c>
      <c r="EK39" s="13">
        <v>45470</v>
      </c>
      <c r="EL39" s="14">
        <v>-0.47</v>
      </c>
      <c r="EM39" s="14">
        <v>-4.74</v>
      </c>
      <c r="EN39" s="14">
        <v>1.74</v>
      </c>
      <c r="EO39" s="14">
        <v>3.18</v>
      </c>
      <c r="EP39" s="14">
        <v>-1.18</v>
      </c>
    </row>
    <row r="40" spans="1:146" ht="108">
      <c r="A40" s="7"/>
      <c r="B40" s="7"/>
      <c r="C40" s="7" t="str">
        <f>""&amp;CHAR(10)&amp;Basic_Fundamental_Information_Constructure(F40)&amp;CHAR(10)&amp;Basic_Fundamental_Information_Concatenate("")</f>
        <v xml:space="preserve">
市值13.649772亿, 利润-5963.59万; PE; 平均PE32.01; 平均PEG3.15, PB1.51; ROIC8.5%; ROE6.1533%; 股利率.7911%; 毛利20.91%; 净利3.2967%; 上一年度营收增-15.32%, 利润增-195.48%; 当季营收增-15.15%, 利润增-78.03%; 过往5年营收增10.15%, 利润增-12.83%
Income profile:
</v>
      </c>
      <c r="D40" t="s">
        <v>385</v>
      </c>
      <c r="E40" t="s">
        <v>26</v>
      </c>
      <c r="F40">
        <v>12.64</v>
      </c>
      <c r="G40">
        <v>1.1200000000000001</v>
      </c>
      <c r="H40" t="s">
        <v>3848</v>
      </c>
      <c r="I40">
        <v>1364977200</v>
      </c>
      <c r="K40">
        <v>1.51</v>
      </c>
      <c r="L40" t="s">
        <v>85</v>
      </c>
      <c r="M40" t="s">
        <v>1085</v>
      </c>
      <c r="N40" t="s">
        <v>1491</v>
      </c>
      <c r="O40" t="s">
        <v>219</v>
      </c>
      <c r="P40">
        <v>-15.17</v>
      </c>
      <c r="Q40" t="s">
        <v>2488</v>
      </c>
      <c r="R40">
        <v>2976548</v>
      </c>
      <c r="S40" s="5">
        <v>-0.78029999999999999</v>
      </c>
      <c r="T40" t="s">
        <v>2489</v>
      </c>
      <c r="U40">
        <v>87980930</v>
      </c>
      <c r="V40">
        <v>107988706</v>
      </c>
      <c r="W40">
        <v>1.54</v>
      </c>
      <c r="X40">
        <v>0.1</v>
      </c>
      <c r="Y40">
        <v>2.12</v>
      </c>
      <c r="Z40" t="s">
        <v>281</v>
      </c>
      <c r="AA40" t="s">
        <v>143</v>
      </c>
      <c r="AB40" t="s">
        <v>3849</v>
      </c>
      <c r="AC40" t="s">
        <v>3850</v>
      </c>
      <c r="AD40" t="s">
        <v>90</v>
      </c>
      <c r="AE40">
        <v>1161398</v>
      </c>
      <c r="AF40" t="s">
        <v>2490</v>
      </c>
      <c r="AG40">
        <v>6443.38</v>
      </c>
      <c r="AH40" t="s">
        <v>2491</v>
      </c>
      <c r="AI40" t="s">
        <v>433</v>
      </c>
      <c r="AJ40" t="s">
        <v>2492</v>
      </c>
      <c r="AK40" t="s">
        <v>3851</v>
      </c>
      <c r="AL40" t="s">
        <v>2493</v>
      </c>
      <c r="AM40" t="s">
        <v>90</v>
      </c>
      <c r="AN40" t="s">
        <v>3852</v>
      </c>
      <c r="AO40" t="s">
        <v>3853</v>
      </c>
      <c r="AP40" t="s">
        <v>3854</v>
      </c>
      <c r="AQ40" t="s">
        <v>3855</v>
      </c>
      <c r="AR40" t="s">
        <v>90</v>
      </c>
      <c r="AS40" t="s">
        <v>369</v>
      </c>
      <c r="AT40" t="s">
        <v>3856</v>
      </c>
      <c r="AU40" t="s">
        <v>3857</v>
      </c>
      <c r="AV40" t="s">
        <v>3858</v>
      </c>
      <c r="AW40" t="s">
        <v>3859</v>
      </c>
      <c r="AX40" t="s">
        <v>1779</v>
      </c>
      <c r="AY40" t="s">
        <v>1218</v>
      </c>
      <c r="AZ40" t="s">
        <v>781</v>
      </c>
      <c r="BA40" t="s">
        <v>387</v>
      </c>
      <c r="BB40" t="s">
        <v>783</v>
      </c>
      <c r="BC40" t="s">
        <v>2495</v>
      </c>
      <c r="BD40" t="s">
        <v>1253</v>
      </c>
      <c r="BE40" t="s">
        <v>782</v>
      </c>
      <c r="BF40" t="s">
        <v>388</v>
      </c>
      <c r="BG40" t="s">
        <v>785</v>
      </c>
      <c r="BH40" t="s">
        <v>2488</v>
      </c>
      <c r="BI40" t="s">
        <v>1541</v>
      </c>
      <c r="BJ40" t="s">
        <v>1779</v>
      </c>
      <c r="BK40" t="s">
        <v>2489</v>
      </c>
      <c r="BL40" t="s">
        <v>2496</v>
      </c>
      <c r="BM40" t="s">
        <v>2495</v>
      </c>
      <c r="BN40" t="s">
        <v>90</v>
      </c>
      <c r="BO40">
        <v>6.04</v>
      </c>
      <c r="BP40">
        <v>10.96</v>
      </c>
      <c r="BQ40">
        <v>-1.84</v>
      </c>
      <c r="BR40">
        <v>6.54</v>
      </c>
      <c r="BS40">
        <v>13.76</v>
      </c>
      <c r="BT40" t="s">
        <v>1697</v>
      </c>
      <c r="BU40" t="s">
        <v>1458</v>
      </c>
      <c r="BV40">
        <v>19.34</v>
      </c>
      <c r="BW40">
        <v>20.57</v>
      </c>
      <c r="BX40">
        <v>22.82</v>
      </c>
      <c r="BY40">
        <v>-8.6300000000000008</v>
      </c>
      <c r="BZ40">
        <v>7.66</v>
      </c>
      <c r="CA40">
        <v>10.86</v>
      </c>
      <c r="CB40">
        <v>-4.24</v>
      </c>
      <c r="CC40">
        <v>-17.87</v>
      </c>
      <c r="CD40" t="s">
        <v>3860</v>
      </c>
      <c r="CE40" t="s">
        <v>3861</v>
      </c>
      <c r="CF40" s="8">
        <v>-0.15151515151515152</v>
      </c>
      <c r="CG40" s="9">
        <v>-0.78025558303495623</v>
      </c>
      <c r="CH40" s="8">
        <v>-0.15318627655506134</v>
      </c>
      <c r="CI40" s="8">
        <v>-0.13650794327259064</v>
      </c>
      <c r="CJ40" s="8">
        <v>0.34232953190803528</v>
      </c>
      <c r="CK40" s="8">
        <v>0.15220949053764343</v>
      </c>
      <c r="CL40" s="8">
        <v>0.30277186632156372</v>
      </c>
      <c r="CM40" s="9">
        <v>-1.9547717571258545</v>
      </c>
      <c r="CN40" s="9">
        <v>-0.34578314423561096</v>
      </c>
      <c r="CO40" s="9">
        <v>0.56605106592178345</v>
      </c>
      <c r="CP40" s="9">
        <v>-7.8417293727397919E-2</v>
      </c>
      <c r="CQ40" s="9">
        <v>1.1716400384902954</v>
      </c>
      <c r="CR40">
        <v>32.006806347380092</v>
      </c>
      <c r="CS40">
        <v>3.152655173267084</v>
      </c>
      <c r="CT40">
        <v>0.79113924050632911</v>
      </c>
      <c r="CU40" s="8">
        <v>0.10152333378791809</v>
      </c>
      <c r="CV40" s="9">
        <v>-0.1282562181353569</v>
      </c>
      <c r="CW40">
        <v>0.06</v>
      </c>
      <c r="CX40" t="e">
        <v>#VALUE!</v>
      </c>
      <c r="CY40" t="s">
        <v>1391</v>
      </c>
      <c r="CZ40">
        <v>0.10152333378791809</v>
      </c>
      <c r="DA40" t="e">
        <v>#VALUE!</v>
      </c>
      <c r="DB40" t="s">
        <v>1391</v>
      </c>
      <c r="DC40">
        <v>9.6447167098522177E-2</v>
      </c>
      <c r="DD40" t="e">
        <v>#VALUE!</v>
      </c>
      <c r="DE40" t="s">
        <v>1391</v>
      </c>
      <c r="DF40">
        <v>8.9340533733367922E-2</v>
      </c>
      <c r="DG40" t="e">
        <v>#VALUE!</v>
      </c>
      <c r="DH40" t="s">
        <v>1391</v>
      </c>
      <c r="DI40">
        <v>8.1218667030334479E-2</v>
      </c>
      <c r="DJ40" t="e">
        <v>#VALUE!</v>
      </c>
      <c r="DK40" t="s">
        <v>1391</v>
      </c>
      <c r="DL40">
        <v>7.1066333651542649E-2</v>
      </c>
      <c r="DM40">
        <v>-59635900</v>
      </c>
      <c r="DN40">
        <v>0.10152333378791809</v>
      </c>
      <c r="DO40">
        <v>1038977199.9999999</v>
      </c>
      <c r="DP40">
        <v>522083020</v>
      </c>
      <c r="DQ40">
        <v>1239</v>
      </c>
      <c r="DR40">
        <v>-0.2530384853030696</v>
      </c>
      <c r="DS40">
        <v>-0.65199936489959931</v>
      </c>
      <c r="DT40" s="10">
        <v>-0.25666666666666677</v>
      </c>
      <c r="DU40">
        <v>-1.0066666666666666</v>
      </c>
      <c r="DV40">
        <v>-1.2633333333333334</v>
      </c>
      <c r="DW40">
        <v>-8.2372691662003366</v>
      </c>
      <c r="DX40">
        <v>0.35748193301074704</v>
      </c>
      <c r="DY40">
        <v>-8.0326202236130708</v>
      </c>
      <c r="DZ40">
        <v>3826</v>
      </c>
      <c r="EA40">
        <v>-8.0081965493383915</v>
      </c>
      <c r="EB40">
        <v>8</v>
      </c>
      <c r="EC40">
        <v>3.2414500827521724E-2</v>
      </c>
      <c r="ED40">
        <v>0.23577280387080479</v>
      </c>
      <c r="EE40" s="11">
        <v>-1.0291999999999999</v>
      </c>
      <c r="EF40">
        <v>-1.0125999999999999</v>
      </c>
      <c r="EG40">
        <v>22.137481933010747</v>
      </c>
      <c r="EH40" t="s">
        <v>1730</v>
      </c>
      <c r="EI40">
        <v>0</v>
      </c>
      <c r="EJ40">
        <v>0</v>
      </c>
      <c r="EK40" s="13">
        <v>45470</v>
      </c>
      <c r="EL40" s="14">
        <v>-0.82</v>
      </c>
      <c r="EM40" s="14">
        <v>-4.53</v>
      </c>
      <c r="EN40" s="14">
        <v>0</v>
      </c>
      <c r="EO40" s="14">
        <v>4.74</v>
      </c>
      <c r="EP40" s="14">
        <v>-1.66</v>
      </c>
    </row>
    <row r="41" spans="1:146" ht="96">
      <c r="C41" s="7" t="str">
        <f>""&amp;CHAR(10)&amp;Basic_Fundamental_Information_Constructure(F41)&amp;CHAR(10)&amp;Basic_Fundamental_Information_Concatenate("")</f>
        <v xml:space="preserve">
市值16.62亿, 利润762.06万; PE172.4; 平均PE71.97; 平均PEG4.24, PB2.04; ROIC3.5667%; ROE3.4767%; 股利率.1444%; 毛利32.1533%; 净利4.3067%; 上一年度营收增10.83%, 利润增-77.19%; 当季营收增22.22%, 利润增89.69%; 过往5年营收增16.99%, 利润增-7.95%
Income profile:
</v>
      </c>
      <c r="D41" t="s">
        <v>3862</v>
      </c>
      <c r="E41" t="s">
        <v>3863</v>
      </c>
      <c r="F41">
        <v>11.08</v>
      </c>
      <c r="G41">
        <v>0.36</v>
      </c>
      <c r="H41" t="s">
        <v>3864</v>
      </c>
      <c r="I41">
        <v>1662000000</v>
      </c>
      <c r="J41">
        <v>172.4</v>
      </c>
      <c r="K41">
        <v>2.04</v>
      </c>
      <c r="L41" t="s">
        <v>85</v>
      </c>
      <c r="M41" t="s">
        <v>457</v>
      </c>
      <c r="N41" t="s">
        <v>426</v>
      </c>
      <c r="O41" t="s">
        <v>210</v>
      </c>
      <c r="P41" s="5">
        <v>22.59</v>
      </c>
      <c r="Q41" t="s">
        <v>2056</v>
      </c>
      <c r="R41">
        <v>4270304</v>
      </c>
      <c r="S41">
        <v>0.89690000000000003</v>
      </c>
      <c r="T41" t="s">
        <v>3865</v>
      </c>
      <c r="U41">
        <v>130160421</v>
      </c>
      <c r="V41">
        <v>150000000</v>
      </c>
      <c r="W41">
        <v>1.31</v>
      </c>
      <c r="X41">
        <v>0.09</v>
      </c>
      <c r="Y41">
        <v>3.81</v>
      </c>
      <c r="Z41" t="s">
        <v>521</v>
      </c>
      <c r="AA41" t="s">
        <v>3866</v>
      </c>
      <c r="AB41" t="s">
        <v>3867</v>
      </c>
      <c r="AC41" t="s">
        <v>3868</v>
      </c>
      <c r="AD41" t="s">
        <v>90</v>
      </c>
      <c r="AE41">
        <v>-905653</v>
      </c>
      <c r="AF41" t="s">
        <v>3869</v>
      </c>
      <c r="AG41" t="s">
        <v>3870</v>
      </c>
      <c r="AH41" t="s">
        <v>3871</v>
      </c>
      <c r="AI41" t="s">
        <v>1339</v>
      </c>
      <c r="AJ41" t="s">
        <v>3872</v>
      </c>
      <c r="AK41" t="s">
        <v>3873</v>
      </c>
      <c r="AL41" t="s">
        <v>3874</v>
      </c>
      <c r="AM41" t="s">
        <v>90</v>
      </c>
      <c r="AN41" t="s">
        <v>3875</v>
      </c>
      <c r="AO41" t="s">
        <v>3876</v>
      </c>
      <c r="AP41" t="s">
        <v>3877</v>
      </c>
      <c r="AQ41" t="s">
        <v>219</v>
      </c>
      <c r="AR41" t="s">
        <v>90</v>
      </c>
      <c r="AS41" t="s">
        <v>740</v>
      </c>
      <c r="AT41" t="s">
        <v>90</v>
      </c>
      <c r="AU41" t="s">
        <v>3878</v>
      </c>
      <c r="AV41" t="s">
        <v>3879</v>
      </c>
      <c r="AW41" t="s">
        <v>3880</v>
      </c>
      <c r="AX41" t="s">
        <v>3881</v>
      </c>
      <c r="AY41" t="s">
        <v>454</v>
      </c>
      <c r="AZ41" t="s">
        <v>185</v>
      </c>
      <c r="BA41" t="s">
        <v>718</v>
      </c>
      <c r="BB41" t="s">
        <v>311</v>
      </c>
      <c r="BC41" t="s">
        <v>3882</v>
      </c>
      <c r="BD41" t="s">
        <v>3883</v>
      </c>
      <c r="BE41" t="s">
        <v>3884</v>
      </c>
      <c r="BF41" t="s">
        <v>3885</v>
      </c>
      <c r="BG41" t="s">
        <v>3886</v>
      </c>
      <c r="BH41" t="s">
        <v>2056</v>
      </c>
      <c r="BI41" t="s">
        <v>3887</v>
      </c>
      <c r="BJ41" t="s">
        <v>3881</v>
      </c>
      <c r="BK41" t="s">
        <v>3865</v>
      </c>
      <c r="BL41" t="s">
        <v>3888</v>
      </c>
      <c r="BM41" t="s">
        <v>3882</v>
      </c>
      <c r="BN41">
        <v>3.23</v>
      </c>
      <c r="BO41">
        <v>4.41</v>
      </c>
      <c r="BP41">
        <v>3.06</v>
      </c>
      <c r="BQ41">
        <v>3.13</v>
      </c>
      <c r="BR41">
        <v>4.25</v>
      </c>
      <c r="BS41">
        <v>3.05</v>
      </c>
      <c r="BT41" t="s">
        <v>3889</v>
      </c>
      <c r="BU41" t="s">
        <v>3551</v>
      </c>
      <c r="BV41">
        <v>33.92</v>
      </c>
      <c r="BW41">
        <v>32.44</v>
      </c>
      <c r="BX41">
        <v>30.1</v>
      </c>
      <c r="BY41">
        <v>1.51</v>
      </c>
      <c r="BZ41">
        <v>6.25</v>
      </c>
      <c r="CA41">
        <v>5.16</v>
      </c>
      <c r="CB41">
        <v>-8.0500000000000007</v>
      </c>
      <c r="CC41" s="8">
        <v>-12.16</v>
      </c>
      <c r="CD41" s="9" t="s">
        <v>3890</v>
      </c>
      <c r="CE41" s="8" t="s">
        <v>363</v>
      </c>
      <c r="CF41" s="8">
        <v>0.22220245723198975</v>
      </c>
      <c r="CG41" s="8">
        <v>0.89690120824449182</v>
      </c>
      <c r="CH41" s="8">
        <v>0.10834813863039017</v>
      </c>
      <c r="CI41" s="8">
        <v>0.18277311325073242</v>
      </c>
      <c r="CJ41" s="9">
        <v>0.34463277459144592</v>
      </c>
      <c r="CK41" s="9">
        <v>0.11320754885673523</v>
      </c>
      <c r="CL41" s="9">
        <v>0.10034602135419846</v>
      </c>
      <c r="CM41" s="9">
        <v>-0.77193731069564819</v>
      </c>
      <c r="CN41" s="9">
        <v>0.43618828058242798</v>
      </c>
      <c r="CO41">
        <v>0.11242809891700745</v>
      </c>
      <c r="CP41">
        <v>-0.23996569216251373</v>
      </c>
      <c r="CQ41">
        <v>6.5746210515499115E-2</v>
      </c>
      <c r="CR41" s="8">
        <v>71.97167901439505</v>
      </c>
      <c r="CS41" s="9">
        <v>4.2370796690998853</v>
      </c>
      <c r="CT41">
        <v>0.1444043321299639</v>
      </c>
      <c r="CU41">
        <v>0.16986151933670043</v>
      </c>
      <c r="CV41">
        <v>-7.9508082568645472E-2</v>
      </c>
      <c r="CW41">
        <v>0.06</v>
      </c>
      <c r="CX41">
        <v>135.54612123102018</v>
      </c>
      <c r="CY41">
        <v>8410421.409676658</v>
      </c>
      <c r="CZ41">
        <v>0.16986151933670043</v>
      </c>
      <c r="DA41">
        <v>41.424707087974149</v>
      </c>
      <c r="DB41">
        <v>27519808.349615321</v>
      </c>
      <c r="DC41">
        <v>0.16136844336986542</v>
      </c>
      <c r="DD41">
        <v>18.596510065429282</v>
      </c>
      <c r="DE41">
        <v>61301824.696626708</v>
      </c>
      <c r="DF41">
        <v>0.14947813701629639</v>
      </c>
      <c r="DG41">
        <v>10.02810261848507</v>
      </c>
      <c r="DH41">
        <v>113680527.94938572</v>
      </c>
      <c r="DI41">
        <v>0.13588921546936036</v>
      </c>
      <c r="DJ41">
        <v>4.0398268298631566</v>
      </c>
      <c r="DK41">
        <v>282190313.59782714</v>
      </c>
      <c r="DL41">
        <v>0.1189030635356903</v>
      </c>
      <c r="DM41">
        <v>7620599.9999999991</v>
      </c>
      <c r="DN41">
        <v>0.16986151933670043</v>
      </c>
      <c r="DO41">
        <v>1140000000</v>
      </c>
      <c r="DP41">
        <v>546535970</v>
      </c>
      <c r="DQ41" s="10">
        <v>1245</v>
      </c>
      <c r="DR41">
        <v>5.2340937895289319E-2</v>
      </c>
      <c r="DS41">
        <v>0.97640929081313732</v>
      </c>
      <c r="DT41">
        <v>-0.15666666666666665</v>
      </c>
      <c r="DU41">
        <v>-0.3</v>
      </c>
      <c r="DV41">
        <v>-0.45666666666666667</v>
      </c>
      <c r="DW41">
        <v>-9.6620065789473681</v>
      </c>
      <c r="DX41">
        <v>0.36778974358974326</v>
      </c>
      <c r="DY41">
        <v>-9.0647374536099861</v>
      </c>
      <c r="DZ41">
        <v>2797</v>
      </c>
      <c r="EA41">
        <v>-9.0293028826222894</v>
      </c>
      <c r="EB41" s="11">
        <v>9</v>
      </c>
      <c r="EC41" s="11">
        <v>0.15255200000000002</v>
      </c>
      <c r="ED41">
        <v>1.56</v>
      </c>
      <c r="EE41">
        <v>6.4099999999999956E-3</v>
      </c>
      <c r="EF41">
        <v>2.6509999999999995E-2</v>
      </c>
      <c r="EG41">
        <v>27.097789743589743</v>
      </c>
      <c r="EH41" s="13">
        <v>-1</v>
      </c>
      <c r="EI41">
        <v>0</v>
      </c>
      <c r="EJ41">
        <v>0</v>
      </c>
      <c r="EK41">
        <v>45470</v>
      </c>
      <c r="EL41">
        <v>-7.73</v>
      </c>
      <c r="EM41">
        <v>-6.2</v>
      </c>
      <c r="EN41" s="14">
        <v>-1.63</v>
      </c>
      <c r="EO41" s="14">
        <v>4.45</v>
      </c>
      <c r="EP41" s="14">
        <v>-2.0099999999999998</v>
      </c>
    </row>
    <row r="42" spans="1:146" ht="108">
      <c r="A42" s="7"/>
      <c r="B42" s="7"/>
      <c r="C42" s="7" t="str">
        <f>""&amp;CHAR(10)&amp;Basic_Fundamental_Information_Constructure(F42)&amp;CHAR(10)&amp;Basic_Fundamental_Information_Concatenate("")</f>
        <v xml:space="preserve">
市值15.913421亿, 利润-1.56亿; PE; 平均PE-1055.38; 平均PEG-103.53, PB2.06; ROIC2.81%; ROE-1.44%; 股利率0%; 毛利23.6233%; 净利-7.1833%; 上一年度营收增-4.24%, 利润增-495.72%; 当季营收增-8.71%, 利润增-46.88%; 过往5年营收增10.19%, 利润增-159.17%
Income profile:
</v>
      </c>
      <c r="D42" t="s">
        <v>255</v>
      </c>
      <c r="E42" t="s">
        <v>256</v>
      </c>
      <c r="F42">
        <v>3.57</v>
      </c>
      <c r="G42">
        <v>1.42</v>
      </c>
      <c r="H42" t="s">
        <v>3891</v>
      </c>
      <c r="I42">
        <v>1591342100</v>
      </c>
      <c r="K42">
        <v>2.06</v>
      </c>
      <c r="L42" t="s">
        <v>85</v>
      </c>
      <c r="M42" t="s">
        <v>1506</v>
      </c>
      <c r="N42" t="s">
        <v>3892</v>
      </c>
      <c r="O42" t="s">
        <v>225</v>
      </c>
      <c r="P42">
        <v>-8.41</v>
      </c>
      <c r="Q42" t="s">
        <v>904</v>
      </c>
      <c r="R42">
        <v>-23150361</v>
      </c>
      <c r="S42" s="5">
        <v>-0.46879999999999999</v>
      </c>
      <c r="T42" t="s">
        <v>2497</v>
      </c>
      <c r="U42">
        <v>431041340</v>
      </c>
      <c r="V42">
        <v>445754080</v>
      </c>
      <c r="W42">
        <v>2.27</v>
      </c>
      <c r="X42">
        <v>0.12</v>
      </c>
      <c r="Y42">
        <v>-10.93</v>
      </c>
      <c r="Z42" t="s">
        <v>673</v>
      </c>
      <c r="AA42" t="s">
        <v>126</v>
      </c>
      <c r="AB42" t="s">
        <v>3893</v>
      </c>
      <c r="AC42" t="s">
        <v>3894</v>
      </c>
      <c r="AD42" t="s">
        <v>90</v>
      </c>
      <c r="AE42">
        <v>4092028</v>
      </c>
      <c r="AF42" t="s">
        <v>2498</v>
      </c>
      <c r="AG42">
        <v>6500</v>
      </c>
      <c r="AH42" t="s">
        <v>2499</v>
      </c>
      <c r="AI42" t="s">
        <v>294</v>
      </c>
      <c r="AJ42" t="s">
        <v>2500</v>
      </c>
      <c r="AK42" t="s">
        <v>90</v>
      </c>
      <c r="AL42" t="s">
        <v>2501</v>
      </c>
      <c r="AM42" t="s">
        <v>90</v>
      </c>
      <c r="AN42" t="s">
        <v>3895</v>
      </c>
      <c r="AO42" t="s">
        <v>276</v>
      </c>
      <c r="AP42" t="s">
        <v>90</v>
      </c>
      <c r="AQ42" t="s">
        <v>620</v>
      </c>
      <c r="AR42" t="s">
        <v>90</v>
      </c>
      <c r="AS42" t="s">
        <v>3896</v>
      </c>
      <c r="AT42" t="s">
        <v>2503</v>
      </c>
      <c r="AU42" t="s">
        <v>3897</v>
      </c>
      <c r="AV42" t="s">
        <v>3898</v>
      </c>
      <c r="AW42" t="s">
        <v>3899</v>
      </c>
      <c r="AX42" t="s">
        <v>1371</v>
      </c>
      <c r="AY42" t="s">
        <v>507</v>
      </c>
      <c r="AZ42" t="s">
        <v>786</v>
      </c>
      <c r="BA42" t="s">
        <v>258</v>
      </c>
      <c r="BB42" t="s">
        <v>788</v>
      </c>
      <c r="BC42" t="s">
        <v>2505</v>
      </c>
      <c r="BD42" t="s">
        <v>1254</v>
      </c>
      <c r="BE42" t="s">
        <v>787</v>
      </c>
      <c r="BF42" t="s">
        <v>259</v>
      </c>
      <c r="BG42" t="s">
        <v>789</v>
      </c>
      <c r="BH42" t="s">
        <v>904</v>
      </c>
      <c r="BI42" t="s">
        <v>809</v>
      </c>
      <c r="BJ42" t="s">
        <v>1371</v>
      </c>
      <c r="BK42" t="s">
        <v>2497</v>
      </c>
      <c r="BL42" t="s">
        <v>2506</v>
      </c>
      <c r="BM42" t="s">
        <v>2505</v>
      </c>
      <c r="BN42" t="s">
        <v>90</v>
      </c>
      <c r="BO42" t="s">
        <v>90</v>
      </c>
      <c r="BP42">
        <v>2.81</v>
      </c>
      <c r="BQ42">
        <v>-3.86</v>
      </c>
      <c r="BR42">
        <v>-3.25</v>
      </c>
      <c r="BS42">
        <v>2.79</v>
      </c>
      <c r="BT42" t="s">
        <v>1692</v>
      </c>
      <c r="BU42" t="s">
        <v>1337</v>
      </c>
      <c r="BV42">
        <v>14.34</v>
      </c>
      <c r="BW42">
        <v>28.19</v>
      </c>
      <c r="BX42">
        <v>28.34</v>
      </c>
      <c r="BY42">
        <v>-20.149999999999999</v>
      </c>
      <c r="BZ42">
        <v>-3.27</v>
      </c>
      <c r="CA42">
        <v>1.87</v>
      </c>
      <c r="CB42">
        <v>-4.03</v>
      </c>
      <c r="CC42">
        <v>-21.88</v>
      </c>
      <c r="CD42" t="s">
        <v>3900</v>
      </c>
      <c r="CE42" t="s">
        <v>483</v>
      </c>
      <c r="CF42" s="8">
        <v>-8.7136929460580784E-2</v>
      </c>
      <c r="CG42" s="9">
        <v>-0.46875446488050299</v>
      </c>
      <c r="CH42" s="8">
        <v>-4.2424242943525314E-2</v>
      </c>
      <c r="CI42" s="8">
        <v>-1.8830524757504463E-2</v>
      </c>
      <c r="CJ42" s="8">
        <v>0.55709874629974365</v>
      </c>
      <c r="CK42" s="8">
        <v>9.4594597816467285E-2</v>
      </c>
      <c r="CL42" s="8">
        <v>-8.0745339393615723E-2</v>
      </c>
      <c r="CM42" s="9">
        <v>-4.9572224617004395</v>
      </c>
      <c r="CN42" s="9">
        <v>-2.4016399383544922</v>
      </c>
      <c r="CO42" s="9">
        <v>0.44551903009414673</v>
      </c>
      <c r="CP42" s="9">
        <v>-0.78530222177505493</v>
      </c>
      <c r="CQ42" s="9">
        <v>-0.25983554124832153</v>
      </c>
      <c r="CR42">
        <v>-1055.3832872775506</v>
      </c>
      <c r="CS42">
        <v>-103.53122335355773</v>
      </c>
      <c r="CT42">
        <v>0</v>
      </c>
      <c r="CU42" s="8">
        <v>0.10193864740431309</v>
      </c>
      <c r="CV42" s="9">
        <v>-1.5916962265968322</v>
      </c>
      <c r="CW42">
        <v>0.06</v>
      </c>
      <c r="CX42" t="e">
        <v>#VALUE!</v>
      </c>
      <c r="CY42" t="s">
        <v>1392</v>
      </c>
      <c r="CZ42">
        <v>0.10193864740431309</v>
      </c>
      <c r="DA42" t="e">
        <v>#VALUE!</v>
      </c>
      <c r="DB42" t="s">
        <v>1391</v>
      </c>
      <c r="DC42">
        <v>9.6841715034097428E-2</v>
      </c>
      <c r="DD42" t="e">
        <v>#VALUE!</v>
      </c>
      <c r="DE42" t="s">
        <v>1391</v>
      </c>
      <c r="DF42">
        <v>8.9706009715795523E-2</v>
      </c>
      <c r="DG42" t="e">
        <v>#VALUE!</v>
      </c>
      <c r="DH42" t="s">
        <v>1391</v>
      </c>
      <c r="DI42">
        <v>8.1550917923450483E-2</v>
      </c>
      <c r="DJ42" t="e">
        <v>#VALUE!</v>
      </c>
      <c r="DK42" t="s">
        <v>1391</v>
      </c>
      <c r="DL42">
        <v>7.1357053183019159E-2</v>
      </c>
      <c r="DM42">
        <v>-156000000</v>
      </c>
      <c r="DN42">
        <v>0.10193864740431309</v>
      </c>
      <c r="DO42">
        <v>1884342100</v>
      </c>
      <c r="DP42">
        <v>-110257630</v>
      </c>
      <c r="DQ42">
        <v>1268</v>
      </c>
      <c r="DR42">
        <v>-0.18907557686489387</v>
      </c>
      <c r="DS42">
        <v>1.1229417617163291</v>
      </c>
      <c r="DT42" s="10">
        <v>-0.3066666666666667</v>
      </c>
      <c r="DU42">
        <v>-2.5649999999999999</v>
      </c>
      <c r="DV42">
        <v>-2.8716666666666666</v>
      </c>
      <c r="DW42">
        <v>-8.1841864716636206</v>
      </c>
      <c r="DX42">
        <v>0.39646249999999922</v>
      </c>
      <c r="DY42">
        <v>-8.0196089522394889</v>
      </c>
      <c r="DZ42">
        <v>4861</v>
      </c>
      <c r="EA42">
        <v>-8.0009555047177372</v>
      </c>
      <c r="EB42">
        <v>8</v>
      </c>
      <c r="EC42">
        <v>6.4963622991403694E-2</v>
      </c>
      <c r="ED42">
        <v>0.6102019301763878</v>
      </c>
      <c r="EE42" s="11">
        <v>-4.0590099999999998</v>
      </c>
      <c r="EF42">
        <v>-4.0823099999999997</v>
      </c>
      <c r="EG42">
        <v>29.106462499999999</v>
      </c>
      <c r="EH42" t="s">
        <v>2124</v>
      </c>
      <c r="EI42">
        <v>0</v>
      </c>
      <c r="EJ42">
        <v>0</v>
      </c>
      <c r="EK42" s="13">
        <v>45470</v>
      </c>
      <c r="EL42" s="14">
        <v>1.57</v>
      </c>
      <c r="EM42" s="14">
        <v>-4.63</v>
      </c>
      <c r="EN42" s="14">
        <v>0</v>
      </c>
      <c r="EO42" s="14">
        <v>4.3099999999999996</v>
      </c>
      <c r="EP42" s="14">
        <v>-2.33</v>
      </c>
    </row>
    <row r="43" spans="1:146" ht="108">
      <c r="C43" s="7" t="str">
        <f>""&amp;CHAR(10)&amp;Basic_Fundamental_Information_Constructure(F43)&amp;CHAR(10)&amp;Basic_Fundamental_Information_Concatenate("")</f>
        <v xml:space="preserve">
市值59.547679亿, 利润-8507.59万; PE; 平均PE31.51; 平均PEG1.07, PB1.41; ROIC14.41%; ROE11.9967%; 股利率.1514%; 毛利20.9%; 净利11.8333%; 上一年度营收增-.53%, 利润增-109.57%; 当季营收增3.32%, 利润增15.18%; 过往5年营收增29.51%, 利润增107.53%
Income profile:
</v>
      </c>
      <c r="D43" t="s">
        <v>3901</v>
      </c>
      <c r="E43" t="s">
        <v>3902</v>
      </c>
      <c r="F43">
        <v>19.809999999999999</v>
      </c>
      <c r="G43">
        <v>0.76</v>
      </c>
      <c r="H43" t="s">
        <v>3903</v>
      </c>
      <c r="I43">
        <v>5954767900</v>
      </c>
      <c r="K43">
        <v>1.41</v>
      </c>
      <c r="L43" t="s">
        <v>85</v>
      </c>
      <c r="M43" t="s">
        <v>2893</v>
      </c>
      <c r="N43" t="s">
        <v>3904</v>
      </c>
      <c r="O43" t="s">
        <v>2664</v>
      </c>
      <c r="P43" s="5">
        <v>3.3</v>
      </c>
      <c r="Q43" t="s">
        <v>3905</v>
      </c>
      <c r="R43">
        <v>-28348355</v>
      </c>
      <c r="S43">
        <v>0.15179999999999999</v>
      </c>
      <c r="T43" t="s">
        <v>3906</v>
      </c>
      <c r="U43">
        <v>234762080</v>
      </c>
      <c r="V43">
        <v>300594040</v>
      </c>
      <c r="W43">
        <v>1.41</v>
      </c>
      <c r="X43">
        <v>0.14000000000000001</v>
      </c>
      <c r="Y43">
        <v>-6.27</v>
      </c>
      <c r="Z43" t="s">
        <v>1564</v>
      </c>
      <c r="AA43" t="s">
        <v>2080</v>
      </c>
      <c r="AB43" t="s">
        <v>3907</v>
      </c>
      <c r="AC43" t="s">
        <v>3908</v>
      </c>
      <c r="AD43" t="s">
        <v>90</v>
      </c>
      <c r="AE43">
        <v>-2389652</v>
      </c>
      <c r="AF43" t="s">
        <v>3909</v>
      </c>
      <c r="AG43" t="s">
        <v>3910</v>
      </c>
      <c r="AH43" t="s">
        <v>3911</v>
      </c>
      <c r="AI43" t="s">
        <v>678</v>
      </c>
      <c r="AJ43" t="s">
        <v>3912</v>
      </c>
      <c r="AK43" t="s">
        <v>3913</v>
      </c>
      <c r="AL43" t="s">
        <v>3914</v>
      </c>
      <c r="AM43" t="s">
        <v>90</v>
      </c>
      <c r="AN43">
        <v>0</v>
      </c>
      <c r="AO43" t="s">
        <v>3915</v>
      </c>
      <c r="AP43" t="s">
        <v>3916</v>
      </c>
      <c r="AQ43" t="s">
        <v>220</v>
      </c>
      <c r="AR43" t="s">
        <v>90</v>
      </c>
      <c r="AS43" t="s">
        <v>3917</v>
      </c>
      <c r="AT43" t="s">
        <v>90</v>
      </c>
      <c r="AU43" t="s">
        <v>3598</v>
      </c>
      <c r="AV43" t="s">
        <v>3918</v>
      </c>
      <c r="AW43" t="s">
        <v>3919</v>
      </c>
      <c r="AX43" t="s">
        <v>3920</v>
      </c>
      <c r="AY43" t="s">
        <v>1301</v>
      </c>
      <c r="AZ43" t="s">
        <v>1354</v>
      </c>
      <c r="BA43" t="s">
        <v>3921</v>
      </c>
      <c r="BB43" t="s">
        <v>3922</v>
      </c>
      <c r="BC43" t="s">
        <v>1542</v>
      </c>
      <c r="BD43" t="s">
        <v>236</v>
      </c>
      <c r="BE43" t="s">
        <v>3923</v>
      </c>
      <c r="BF43" t="s">
        <v>3924</v>
      </c>
      <c r="BG43" t="s">
        <v>3925</v>
      </c>
      <c r="BH43" t="s">
        <v>3905</v>
      </c>
      <c r="BI43" t="s">
        <v>3926</v>
      </c>
      <c r="BJ43" t="s">
        <v>3920</v>
      </c>
      <c r="BK43" t="s">
        <v>3906</v>
      </c>
      <c r="BL43" t="s">
        <v>3927</v>
      </c>
      <c r="BM43" t="s">
        <v>1542</v>
      </c>
      <c r="BN43" t="s">
        <v>90</v>
      </c>
      <c r="BO43">
        <v>20.56</v>
      </c>
      <c r="BP43">
        <v>8.26</v>
      </c>
      <c r="BQ43">
        <v>-3.3</v>
      </c>
      <c r="BR43">
        <v>20.79</v>
      </c>
      <c r="BS43">
        <v>18.5</v>
      </c>
      <c r="BT43" t="s">
        <v>1719</v>
      </c>
      <c r="BU43" t="s">
        <v>3551</v>
      </c>
      <c r="BV43">
        <v>20.170000000000002</v>
      </c>
      <c r="BW43">
        <v>19.489999999999998</v>
      </c>
      <c r="BX43">
        <v>23.04</v>
      </c>
      <c r="BY43">
        <v>-4.83</v>
      </c>
      <c r="BZ43">
        <v>29.07</v>
      </c>
      <c r="CA43">
        <v>11.26</v>
      </c>
      <c r="CB43">
        <v>-5.89</v>
      </c>
      <c r="CC43" s="8">
        <v>-13.23</v>
      </c>
      <c r="CD43" s="9" t="s">
        <v>3928</v>
      </c>
      <c r="CE43" s="8" t="s">
        <v>3929</v>
      </c>
      <c r="CF43" s="8">
        <v>3.3175355450236969E-2</v>
      </c>
      <c r="CG43" s="8">
        <v>0.15179285789087862</v>
      </c>
      <c r="CH43" s="8">
        <v>-5.292755551636219E-3</v>
      </c>
      <c r="CI43" s="8">
        <v>0.63582253456115723</v>
      </c>
      <c r="CJ43" s="9">
        <v>0.63539820909500122</v>
      </c>
      <c r="CK43" s="9">
        <v>9.7087375819683075E-2</v>
      </c>
      <c r="CL43" s="9">
        <v>0.11231101304292679</v>
      </c>
      <c r="CM43" s="9">
        <v>-1.0956984758377075</v>
      </c>
      <c r="CN43" s="9">
        <v>4.168604850769043</v>
      </c>
      <c r="CO43">
        <v>2.1247501373291016</v>
      </c>
      <c r="CP43">
        <v>-1.9034974277019501E-2</v>
      </c>
      <c r="CQ43">
        <v>0.19774378836154938</v>
      </c>
      <c r="CR43" s="8">
        <v>31.508667337784228</v>
      </c>
      <c r="CS43" s="9">
        <v>1.0678541314552188</v>
      </c>
      <c r="CT43">
        <v>0.15143866733972741</v>
      </c>
      <c r="CU43">
        <v>0.29506527539342642</v>
      </c>
      <c r="CV43">
        <v>1.0752730652689935</v>
      </c>
      <c r="CW43">
        <v>0.06</v>
      </c>
      <c r="CX43" t="e">
        <v>#VALUE!</v>
      </c>
      <c r="CY43" t="s">
        <v>1392</v>
      </c>
      <c r="CZ43">
        <v>0.29506527539342642</v>
      </c>
      <c r="DA43" t="e">
        <v>#VALUE!</v>
      </c>
      <c r="DB43" t="s">
        <v>1391</v>
      </c>
      <c r="DC43">
        <v>0.28031201162375508</v>
      </c>
      <c r="DD43" t="e">
        <v>#VALUE!</v>
      </c>
      <c r="DE43" t="s">
        <v>1391</v>
      </c>
      <c r="DF43">
        <v>0.25965744234621524</v>
      </c>
      <c r="DG43" t="e">
        <v>#VALUE!</v>
      </c>
      <c r="DH43" t="s">
        <v>1391</v>
      </c>
      <c r="DI43">
        <v>0.23605222031474116</v>
      </c>
      <c r="DJ43" t="e">
        <v>#VALUE!</v>
      </c>
      <c r="DK43" t="s">
        <v>1391</v>
      </c>
      <c r="DL43">
        <v>0.20654569277539847</v>
      </c>
      <c r="DM43">
        <v>-85075900</v>
      </c>
      <c r="DN43">
        <v>0.29506527539342642</v>
      </c>
      <c r="DO43">
        <v>3980767900</v>
      </c>
      <c r="DP43">
        <v>2580749300</v>
      </c>
      <c r="DQ43" s="10">
        <v>1290</v>
      </c>
      <c r="DR43">
        <v>-0.26188991994318944</v>
      </c>
      <c r="DS43">
        <v>-0.92348020737811487</v>
      </c>
      <c r="DT43">
        <v>0.12666666666666671</v>
      </c>
      <c r="DU43">
        <v>-0.29583333333333356</v>
      </c>
      <c r="DV43">
        <v>-0.16916666666666685</v>
      </c>
      <c r="DW43">
        <v>-8.4452003023431601</v>
      </c>
      <c r="DX43">
        <v>0.28027987360546869</v>
      </c>
      <c r="DY43">
        <v>-8.0580006391183829</v>
      </c>
      <c r="DZ43">
        <v>2117</v>
      </c>
      <c r="EA43">
        <v>-8.0339718029121965</v>
      </c>
      <c r="EB43" s="11">
        <v>8</v>
      </c>
      <c r="EC43" s="11">
        <v>2.6883433883120238E-2</v>
      </c>
      <c r="ED43">
        <v>0.20635139672097291</v>
      </c>
      <c r="EE43">
        <v>1.0383</v>
      </c>
      <c r="EF43">
        <v>1.0047999999999999</v>
      </c>
      <c r="EG43">
        <v>15.130279873605469</v>
      </c>
      <c r="EH43" s="13" t="s">
        <v>1725</v>
      </c>
      <c r="EI43">
        <v>0</v>
      </c>
      <c r="EJ43">
        <v>0</v>
      </c>
      <c r="EK43">
        <v>45470</v>
      </c>
      <c r="EL43">
        <v>0.23</v>
      </c>
      <c r="EM43">
        <v>-4.95</v>
      </c>
      <c r="EN43" s="14">
        <v>-2.06</v>
      </c>
      <c r="EO43" s="14">
        <v>6.25</v>
      </c>
      <c r="EP43" s="14">
        <v>-3.35</v>
      </c>
    </row>
    <row r="44" spans="1:146" ht="108">
      <c r="A44" s="7"/>
      <c r="B44" s="7"/>
      <c r="C44" s="7" t="str">
        <f>""&amp;CHAR(10)&amp;Basic_Fundamental_Information_Constructure(F44)&amp;CHAR(10)&amp;Basic_Fundamental_Information_Concatenate("")</f>
        <v xml:space="preserve">
市值34.337242亿, 利润1.33亿; PE26.76; 平均PE41.89; 平均PEG.96, PB2.43; ROIC10.9633%; ROE15.6533%; 股利率1.4728%; 毛利29.6733%; 净利11.2667%; 上一年度营收增88.65%, 利润增2.31%; 当季营收增-.67%, 利润增-12.95%; 过往5年营收增43.8%, 利润增26.93%
Income profile:
</v>
      </c>
      <c r="D44" t="s">
        <v>593</v>
      </c>
      <c r="E44" t="s">
        <v>31</v>
      </c>
      <c r="F44">
        <v>13.58</v>
      </c>
      <c r="G44">
        <v>0.22</v>
      </c>
      <c r="H44" t="s">
        <v>3930</v>
      </c>
      <c r="I44">
        <v>3433724200</v>
      </c>
      <c r="J44">
        <v>26.76</v>
      </c>
      <c r="K44">
        <v>2.4300000000000002</v>
      </c>
      <c r="L44" t="s">
        <v>85</v>
      </c>
      <c r="M44" t="s">
        <v>1817</v>
      </c>
      <c r="N44" t="s">
        <v>2473</v>
      </c>
      <c r="O44" t="s">
        <v>2083</v>
      </c>
      <c r="P44">
        <v>-0.59</v>
      </c>
      <c r="Q44" t="s">
        <v>2508</v>
      </c>
      <c r="R44">
        <v>32011715</v>
      </c>
      <c r="S44" s="5">
        <v>-0.1295</v>
      </c>
      <c r="T44" t="s">
        <v>333</v>
      </c>
      <c r="U44">
        <v>250005060</v>
      </c>
      <c r="V44">
        <v>252851560</v>
      </c>
      <c r="W44">
        <v>1.82</v>
      </c>
      <c r="X44">
        <v>0.17</v>
      </c>
      <c r="Y44">
        <v>6.03</v>
      </c>
      <c r="Z44" t="s">
        <v>530</v>
      </c>
      <c r="AA44" t="s">
        <v>120</v>
      </c>
      <c r="AB44" t="s">
        <v>3931</v>
      </c>
      <c r="AC44" t="s">
        <v>3932</v>
      </c>
      <c r="AD44" t="s">
        <v>90</v>
      </c>
      <c r="AE44">
        <v>2216616</v>
      </c>
      <c r="AF44" t="s">
        <v>2509</v>
      </c>
      <c r="AG44">
        <v>9445</v>
      </c>
      <c r="AH44" t="s">
        <v>2510</v>
      </c>
      <c r="AI44" t="s">
        <v>628</v>
      </c>
      <c r="AJ44" t="s">
        <v>2511</v>
      </c>
      <c r="AK44" t="s">
        <v>143</v>
      </c>
      <c r="AL44" t="s">
        <v>2512</v>
      </c>
      <c r="AM44" t="s">
        <v>90</v>
      </c>
      <c r="AN44" t="s">
        <v>3933</v>
      </c>
      <c r="AO44" t="s">
        <v>228</v>
      </c>
      <c r="AP44" t="s">
        <v>1453</v>
      </c>
      <c r="AQ44" t="s">
        <v>1964</v>
      </c>
      <c r="AR44" t="s">
        <v>90</v>
      </c>
      <c r="AS44" t="s">
        <v>627</v>
      </c>
      <c r="AT44" t="s">
        <v>174</v>
      </c>
      <c r="AU44" t="s">
        <v>3934</v>
      </c>
      <c r="AV44" t="s">
        <v>3935</v>
      </c>
      <c r="AW44" t="s">
        <v>519</v>
      </c>
      <c r="AX44" t="s">
        <v>1820</v>
      </c>
      <c r="AY44" t="s">
        <v>827</v>
      </c>
      <c r="AZ44" t="s">
        <v>556</v>
      </c>
      <c r="BA44" t="s">
        <v>490</v>
      </c>
      <c r="BB44" t="s">
        <v>691</v>
      </c>
      <c r="BC44" t="s">
        <v>480</v>
      </c>
      <c r="BD44" t="s">
        <v>1256</v>
      </c>
      <c r="BE44" t="s">
        <v>790</v>
      </c>
      <c r="BF44" t="s">
        <v>595</v>
      </c>
      <c r="BG44" t="s">
        <v>791</v>
      </c>
      <c r="BH44" t="s">
        <v>2508</v>
      </c>
      <c r="BI44" t="s">
        <v>1293</v>
      </c>
      <c r="BJ44" t="s">
        <v>1820</v>
      </c>
      <c r="BK44" t="s">
        <v>333</v>
      </c>
      <c r="BL44" t="s">
        <v>2513</v>
      </c>
      <c r="BM44" t="s">
        <v>480</v>
      </c>
      <c r="BN44">
        <v>6.62</v>
      </c>
      <c r="BO44">
        <v>15.39</v>
      </c>
      <c r="BP44">
        <v>10.88</v>
      </c>
      <c r="BQ44">
        <v>13.43</v>
      </c>
      <c r="BR44">
        <v>20.38</v>
      </c>
      <c r="BS44">
        <v>13.15</v>
      </c>
      <c r="BT44" t="s">
        <v>1694</v>
      </c>
      <c r="BU44" t="s">
        <v>1337</v>
      </c>
      <c r="BV44">
        <v>18.77</v>
      </c>
      <c r="BW44">
        <v>29.72</v>
      </c>
      <c r="BX44">
        <v>40.53</v>
      </c>
      <c r="BY44">
        <v>6.4</v>
      </c>
      <c r="BZ44">
        <v>14.18</v>
      </c>
      <c r="CA44">
        <v>13.22</v>
      </c>
      <c r="CB44">
        <v>-11.3</v>
      </c>
      <c r="CC44">
        <v>-22.4</v>
      </c>
      <c r="CD44" t="s">
        <v>3936</v>
      </c>
      <c r="CE44" t="s">
        <v>1042</v>
      </c>
      <c r="CF44" s="8">
        <v>-6.7114093959730206E-3</v>
      </c>
      <c r="CG44" s="9">
        <v>-0.12951324967028782</v>
      </c>
      <c r="CH44" s="8">
        <v>0.88650298118591309</v>
      </c>
      <c r="CI44" s="8">
        <v>0.85578745603561401</v>
      </c>
      <c r="CJ44" s="8">
        <v>0.30769231915473938</v>
      </c>
      <c r="CK44" s="8">
        <v>1.256281416863203E-2</v>
      </c>
      <c r="CL44" s="8">
        <v>0.12747874855995178</v>
      </c>
      <c r="CM44" s="9">
        <v>2.3076923564076424E-2</v>
      </c>
      <c r="CN44" s="9">
        <v>0.86186665296554565</v>
      </c>
      <c r="CO44" s="9">
        <v>0.68026083707809448</v>
      </c>
      <c r="CP44" s="9">
        <v>-0.32698723673820496</v>
      </c>
      <c r="CQ44" s="9">
        <v>0.10813585668802261</v>
      </c>
      <c r="CR44">
        <v>41.888333129676198</v>
      </c>
      <c r="CS44">
        <v>0.95634401783258782</v>
      </c>
      <c r="CT44">
        <v>1.4727540500736378</v>
      </c>
      <c r="CU44" s="8">
        <v>0.43800486382097004</v>
      </c>
      <c r="CV44" s="9">
        <v>0.26927060671150682</v>
      </c>
      <c r="CW44">
        <v>0.06</v>
      </c>
      <c r="CX44">
        <v>17.811581090584067</v>
      </c>
      <c r="CY44">
        <v>180428912.15866888</v>
      </c>
      <c r="CZ44">
        <v>0.43800486382097004</v>
      </c>
      <c r="DA44">
        <v>4.3893079480296153</v>
      </c>
      <c r="DB44">
        <v>732171047.93083811</v>
      </c>
      <c r="DC44">
        <v>0.41610462062992154</v>
      </c>
      <c r="DD44">
        <v>1.4242087400508583</v>
      </c>
      <c r="DE44">
        <v>2256498018.6017103</v>
      </c>
      <c r="DF44">
        <v>0.38544428016245363</v>
      </c>
      <c r="DG44">
        <v>0.50641284509475992</v>
      </c>
      <c r="DH44">
        <v>6346055853.695117</v>
      </c>
      <c r="DI44">
        <v>0.35040389105677605</v>
      </c>
      <c r="DJ44">
        <v>7.0619951176687998E-2</v>
      </c>
      <c r="DK44">
        <v>45507312685.042839</v>
      </c>
      <c r="DL44">
        <v>0.306603404674679</v>
      </c>
      <c r="DM44">
        <v>133000000</v>
      </c>
      <c r="DN44">
        <v>0.43800486382097004</v>
      </c>
      <c r="DO44">
        <v>3213724200</v>
      </c>
      <c r="DP44">
        <v>570460000</v>
      </c>
      <c r="DQ44">
        <v>1313</v>
      </c>
      <c r="DR44">
        <v>-0.44471627321694307</v>
      </c>
      <c r="DS44">
        <v>-0.39878385638179464</v>
      </c>
      <c r="DT44" s="10">
        <v>0.32666666666666661</v>
      </c>
      <c r="DU44">
        <v>0.45</v>
      </c>
      <c r="DV44">
        <v>0.77666666666666662</v>
      </c>
      <c r="DW44">
        <v>-9.5044642857142865</v>
      </c>
      <c r="DX44">
        <v>0.43483993808049204</v>
      </c>
      <c r="DY44">
        <v>-9.0427987187638212</v>
      </c>
      <c r="DZ44">
        <v>378</v>
      </c>
      <c r="EA44">
        <v>-9.0396327861429366</v>
      </c>
      <c r="EB44">
        <v>9</v>
      </c>
      <c r="EC44">
        <v>0.10837702563511967</v>
      </c>
      <c r="ED44">
        <v>1.2774293344284686</v>
      </c>
      <c r="EE44" s="11">
        <v>1.0018</v>
      </c>
      <c r="EF44">
        <v>1.0300100000000001</v>
      </c>
      <c r="EG44">
        <v>35.084839938080492</v>
      </c>
      <c r="EH44" t="s">
        <v>1733</v>
      </c>
      <c r="EI44">
        <v>0</v>
      </c>
      <c r="EJ44">
        <v>1</v>
      </c>
      <c r="EK44" s="13">
        <v>45470</v>
      </c>
      <c r="EL44" s="14">
        <v>0.7</v>
      </c>
      <c r="EM44" s="14">
        <v>-3.83</v>
      </c>
      <c r="EN44" s="14">
        <v>-1.83</v>
      </c>
      <c r="EO44" s="14">
        <v>2.46</v>
      </c>
      <c r="EP44" s="14">
        <v>-3.18</v>
      </c>
    </row>
    <row r="45" spans="1:146" ht="108">
      <c r="C45" s="7" t="str">
        <f>""&amp;CHAR(10)&amp;Basic_Fundamental_Information_Constructure(F45)&amp;CHAR(10)&amp;Basic_Fundamental_Information_Concatenate("")</f>
        <v xml:space="preserve">
市值23.563713亿, 利润3396.11万; PE44.82; 平均PE39.56; 平均PEG3.47, PB1.81; ROIC5.2533%; ROE6.1%; 股利率.3745%; 毛利29.61%; 净利5.2633%; 上一年度营收增30.54%, 利润增-42.86%; 当季营收增-6.1%, 利润增221.03%; 过往5年营收增11.4%, 利润增-6.9%
Income profile:
</v>
      </c>
      <c r="D45" t="s">
        <v>3937</v>
      </c>
      <c r="E45" t="s">
        <v>3938</v>
      </c>
      <c r="F45">
        <v>10.68</v>
      </c>
      <c r="G45">
        <v>0.85</v>
      </c>
      <c r="H45" t="s">
        <v>3939</v>
      </c>
      <c r="I45">
        <v>2356371300</v>
      </c>
      <c r="J45">
        <v>44.82</v>
      </c>
      <c r="K45">
        <v>1.81</v>
      </c>
      <c r="L45" t="s">
        <v>85</v>
      </c>
      <c r="M45" t="s">
        <v>2724</v>
      </c>
      <c r="N45" t="s">
        <v>1893</v>
      </c>
      <c r="O45" t="s">
        <v>1042</v>
      </c>
      <c r="P45" s="5">
        <v>-5.94</v>
      </c>
      <c r="Q45" t="s">
        <v>3940</v>
      </c>
      <c r="R45">
        <v>27029802</v>
      </c>
      <c r="S45">
        <v>2.21</v>
      </c>
      <c r="T45" t="s">
        <v>3941</v>
      </c>
      <c r="U45">
        <v>188144760</v>
      </c>
      <c r="V45">
        <v>220634020</v>
      </c>
      <c r="W45">
        <v>1.76</v>
      </c>
      <c r="X45">
        <v>0.14000000000000001</v>
      </c>
      <c r="Y45">
        <v>8.75</v>
      </c>
      <c r="Z45" t="s">
        <v>1234</v>
      </c>
      <c r="AA45" t="s">
        <v>407</v>
      </c>
      <c r="AB45" t="s">
        <v>3942</v>
      </c>
      <c r="AC45" t="s">
        <v>3943</v>
      </c>
      <c r="AD45" t="s">
        <v>90</v>
      </c>
      <c r="AE45">
        <v>-865012</v>
      </c>
      <c r="AF45" t="s">
        <v>3944</v>
      </c>
      <c r="AG45">
        <v>2000.57</v>
      </c>
      <c r="AH45" t="s">
        <v>3945</v>
      </c>
      <c r="AI45" t="s">
        <v>827</v>
      </c>
      <c r="AJ45" t="s">
        <v>3946</v>
      </c>
      <c r="AK45" t="s">
        <v>3947</v>
      </c>
      <c r="AL45" t="s">
        <v>3948</v>
      </c>
      <c r="AM45" t="s">
        <v>90</v>
      </c>
      <c r="AN45" t="s">
        <v>3949</v>
      </c>
      <c r="AO45" t="s">
        <v>90</v>
      </c>
      <c r="AP45" t="s">
        <v>653</v>
      </c>
      <c r="AQ45" t="s">
        <v>591</v>
      </c>
      <c r="AR45" t="s">
        <v>90</v>
      </c>
      <c r="AS45" t="s">
        <v>2972</v>
      </c>
      <c r="AT45" t="s">
        <v>479</v>
      </c>
      <c r="AU45" t="s">
        <v>3950</v>
      </c>
      <c r="AV45" t="s">
        <v>3951</v>
      </c>
      <c r="AW45" t="s">
        <v>3952</v>
      </c>
      <c r="AX45" t="s">
        <v>1113</v>
      </c>
      <c r="AY45" t="s">
        <v>3953</v>
      </c>
      <c r="AZ45" t="s">
        <v>3954</v>
      </c>
      <c r="BA45" t="s">
        <v>2075</v>
      </c>
      <c r="BB45" t="s">
        <v>574</v>
      </c>
      <c r="BC45" t="s">
        <v>3955</v>
      </c>
      <c r="BD45" t="s">
        <v>3956</v>
      </c>
      <c r="BE45" t="s">
        <v>3957</v>
      </c>
      <c r="BF45" t="s">
        <v>3958</v>
      </c>
      <c r="BG45" t="s">
        <v>3959</v>
      </c>
      <c r="BH45" t="s">
        <v>3940</v>
      </c>
      <c r="BI45" t="s">
        <v>404</v>
      </c>
      <c r="BJ45" t="s">
        <v>1113</v>
      </c>
      <c r="BK45" t="s">
        <v>3941</v>
      </c>
      <c r="BL45" t="s">
        <v>3960</v>
      </c>
      <c r="BM45" t="s">
        <v>3955</v>
      </c>
      <c r="BN45">
        <v>4.45</v>
      </c>
      <c r="BO45">
        <v>5.47</v>
      </c>
      <c r="BP45">
        <v>5.84</v>
      </c>
      <c r="BQ45">
        <v>4.96</v>
      </c>
      <c r="BR45">
        <v>6.77</v>
      </c>
      <c r="BS45">
        <v>6.57</v>
      </c>
      <c r="BT45" t="s">
        <v>2671</v>
      </c>
      <c r="BU45" t="s">
        <v>3551</v>
      </c>
      <c r="BV45">
        <v>30.7</v>
      </c>
      <c r="BW45">
        <v>29.99</v>
      </c>
      <c r="BX45">
        <v>28.14</v>
      </c>
      <c r="BY45">
        <v>3.53</v>
      </c>
      <c r="BZ45">
        <v>6.9</v>
      </c>
      <c r="CA45">
        <v>5.36</v>
      </c>
      <c r="CB45">
        <v>-4.3</v>
      </c>
      <c r="CC45" s="8">
        <v>-13.31</v>
      </c>
      <c r="CD45" s="9" t="s">
        <v>3961</v>
      </c>
      <c r="CE45" s="8" t="s">
        <v>121</v>
      </c>
      <c r="CF45" s="8">
        <v>-6.1046511627906974E-2</v>
      </c>
      <c r="CG45" s="8">
        <v>2.2103427716281057</v>
      </c>
      <c r="CH45" s="8">
        <v>0.30535152554512024</v>
      </c>
      <c r="CI45" s="8">
        <v>-0.16768553853034973</v>
      </c>
      <c r="CJ45" s="9">
        <v>-4.4240452349185944E-2</v>
      </c>
      <c r="CK45" s="9">
        <v>0.1154562383890152</v>
      </c>
      <c r="CL45" s="9">
        <v>0.36121672391891479</v>
      </c>
      <c r="CM45" s="9">
        <v>-0.42862600088119507</v>
      </c>
      <c r="CN45" s="9">
        <v>0.14357836544513702</v>
      </c>
      <c r="CO45">
        <v>-0.37952330708503723</v>
      </c>
      <c r="CP45">
        <v>0.28521806001663208</v>
      </c>
      <c r="CQ45">
        <v>3.4140367060899734E-2</v>
      </c>
      <c r="CR45" s="8">
        <v>39.564965337137721</v>
      </c>
      <c r="CS45" s="9">
        <v>3.4700113705944235</v>
      </c>
      <c r="CT45">
        <v>0.37453183520599254</v>
      </c>
      <c r="CU45">
        <v>0.11401969939470291</v>
      </c>
      <c r="CV45">
        <v>-6.9042503088712695E-2</v>
      </c>
      <c r="CW45">
        <v>0.06</v>
      </c>
      <c r="CX45">
        <v>58.06291229880587</v>
      </c>
      <c r="CY45">
        <v>35691824.918031551</v>
      </c>
      <c r="CZ45">
        <v>0.11401969939470291</v>
      </c>
      <c r="DA45">
        <v>18.593423853694862</v>
      </c>
      <c r="DB45">
        <v>111457218.22439824</v>
      </c>
      <c r="DC45">
        <v>0.10831871442496777</v>
      </c>
      <c r="DD45">
        <v>8.9059770890396894</v>
      </c>
      <c r="DE45">
        <v>232694434.23006368</v>
      </c>
      <c r="DF45">
        <v>0.10033733546733856</v>
      </c>
      <c r="DG45">
        <v>5.1838403367904746</v>
      </c>
      <c r="DH45">
        <v>399775295.02443916</v>
      </c>
      <c r="DI45">
        <v>9.1215759515762329E-2</v>
      </c>
      <c r="DJ45">
        <v>2.4976452522876991</v>
      </c>
      <c r="DK45">
        <v>829730041.96725988</v>
      </c>
      <c r="DL45">
        <v>7.9813789576292038E-2</v>
      </c>
      <c r="DM45">
        <v>33961100</v>
      </c>
      <c r="DN45">
        <v>0.11401969939470291</v>
      </c>
      <c r="DO45">
        <v>2072371300</v>
      </c>
      <c r="DP45">
        <v>920969600</v>
      </c>
      <c r="DQ45" s="10">
        <v>1318</v>
      </c>
      <c r="DR45">
        <v>-0.17506621102260989</v>
      </c>
      <c r="DS45">
        <v>2.2793852747168182</v>
      </c>
      <c r="DT45">
        <v>-0.32333333333333336</v>
      </c>
      <c r="DU45">
        <v>0.25666666666666665</v>
      </c>
      <c r="DV45">
        <v>-6.6666666666666707E-2</v>
      </c>
      <c r="DW45">
        <v>-8.3230653643876789</v>
      </c>
      <c r="DX45">
        <v>0.31181538461538311</v>
      </c>
      <c r="DY45">
        <v>-8.036123677974917</v>
      </c>
      <c r="DZ45">
        <v>1865</v>
      </c>
      <c r="EA45">
        <v>-8.022939595896009</v>
      </c>
      <c r="EB45" s="11">
        <v>8</v>
      </c>
      <c r="EC45" s="11">
        <v>5.2706287090268318E-2</v>
      </c>
      <c r="ED45">
        <v>0.47136883060916895</v>
      </c>
      <c r="EE45">
        <v>-4.0579099999999997</v>
      </c>
      <c r="EF45">
        <v>-4.0812099999999996</v>
      </c>
      <c r="EG45">
        <v>20.111815384615383</v>
      </c>
      <c r="EH45" s="13" t="s">
        <v>2124</v>
      </c>
      <c r="EI45">
        <v>0</v>
      </c>
      <c r="EJ45">
        <v>0</v>
      </c>
      <c r="EK45">
        <v>45470</v>
      </c>
      <c r="EL45">
        <v>-1.4</v>
      </c>
      <c r="EM45">
        <v>-5.61</v>
      </c>
      <c r="EN45" s="14">
        <v>0</v>
      </c>
      <c r="EO45" s="14">
        <v>5.19</v>
      </c>
      <c r="EP45" s="14">
        <v>-2.33</v>
      </c>
    </row>
    <row r="46" spans="1:146" ht="108">
      <c r="A46" s="7"/>
      <c r="B46" s="7"/>
      <c r="C46" s="7" t="str">
        <f>""&amp;CHAR(10)&amp;Basic_Fundamental_Information_Constructure(F46)&amp;CHAR(10)&amp;Basic_Fundamental_Information_Concatenate("")</f>
        <v xml:space="preserve">
市值17.659195亿, 利润1.17亿; PE16.35; 平均PE21.08; 平均PEG1.9, PB2.26; ROIC13.0367%; ROE13.92%; 股利率3.7267%; 毛利36.3633%; 净利20.16%; 上一年度营收增5.56%, 利润增-13.97%; 当季营收增-16.42%, 利润增-29.78%; 过往5年营收增11.09%, 利润增18.37%
Income profile:
</v>
      </c>
      <c r="D46" t="s">
        <v>264</v>
      </c>
      <c r="E46" t="s">
        <v>42</v>
      </c>
      <c r="F46">
        <v>8.0500000000000007</v>
      </c>
      <c r="G46">
        <v>0.37</v>
      </c>
      <c r="H46" t="s">
        <v>3962</v>
      </c>
      <c r="I46">
        <v>1765919500</v>
      </c>
      <c r="J46">
        <v>16.350000000000001</v>
      </c>
      <c r="K46">
        <v>2.2599999999999998</v>
      </c>
      <c r="L46" t="s">
        <v>85</v>
      </c>
      <c r="M46" t="s">
        <v>137</v>
      </c>
      <c r="N46" t="s">
        <v>2077</v>
      </c>
      <c r="O46" t="s">
        <v>2514</v>
      </c>
      <c r="P46">
        <v>-16.72</v>
      </c>
      <c r="Q46" t="s">
        <v>1497</v>
      </c>
      <c r="R46">
        <v>21947740</v>
      </c>
      <c r="S46" s="5">
        <v>-0.29780000000000001</v>
      </c>
      <c r="T46" t="s">
        <v>393</v>
      </c>
      <c r="U46">
        <v>119480473</v>
      </c>
      <c r="V46">
        <v>219368890</v>
      </c>
      <c r="W46">
        <v>1.2</v>
      </c>
      <c r="X46">
        <v>0.1</v>
      </c>
      <c r="Y46">
        <v>22.91</v>
      </c>
      <c r="Z46" t="s">
        <v>3963</v>
      </c>
      <c r="AA46" t="s">
        <v>3964</v>
      </c>
      <c r="AB46" t="s">
        <v>3965</v>
      </c>
      <c r="AC46" t="s">
        <v>3966</v>
      </c>
      <c r="AD46" t="s">
        <v>90</v>
      </c>
      <c r="AE46">
        <v>-1861837</v>
      </c>
      <c r="AF46" t="s">
        <v>2515</v>
      </c>
      <c r="AG46" t="s">
        <v>3967</v>
      </c>
      <c r="AH46" t="s">
        <v>2516</v>
      </c>
      <c r="AI46" t="s">
        <v>706</v>
      </c>
      <c r="AJ46" t="s">
        <v>2517</v>
      </c>
      <c r="AK46" t="s">
        <v>90</v>
      </c>
      <c r="AL46" t="s">
        <v>2518</v>
      </c>
      <c r="AM46" t="s">
        <v>90</v>
      </c>
      <c r="AN46" t="s">
        <v>3968</v>
      </c>
      <c r="AO46" t="s">
        <v>90</v>
      </c>
      <c r="AP46" t="s">
        <v>3969</v>
      </c>
      <c r="AQ46" t="s">
        <v>3970</v>
      </c>
      <c r="AR46" t="s">
        <v>90</v>
      </c>
      <c r="AS46" t="s">
        <v>167</v>
      </c>
      <c r="AT46" t="s">
        <v>90</v>
      </c>
      <c r="AU46" t="s">
        <v>3971</v>
      </c>
      <c r="AV46" t="s">
        <v>3972</v>
      </c>
      <c r="AW46" t="s">
        <v>3973</v>
      </c>
      <c r="AX46" t="s">
        <v>646</v>
      </c>
      <c r="AY46" t="s">
        <v>478</v>
      </c>
      <c r="AZ46" t="s">
        <v>358</v>
      </c>
      <c r="BA46" t="s">
        <v>266</v>
      </c>
      <c r="BB46" t="s">
        <v>757</v>
      </c>
      <c r="BC46" t="s">
        <v>195</v>
      </c>
      <c r="BD46" t="s">
        <v>1257</v>
      </c>
      <c r="BE46" t="s">
        <v>792</v>
      </c>
      <c r="BF46" t="s">
        <v>267</v>
      </c>
      <c r="BG46" t="s">
        <v>793</v>
      </c>
      <c r="BH46" t="s">
        <v>1497</v>
      </c>
      <c r="BI46" t="s">
        <v>151</v>
      </c>
      <c r="BJ46" t="s">
        <v>646</v>
      </c>
      <c r="BK46" t="s">
        <v>393</v>
      </c>
      <c r="BL46" t="s">
        <v>2519</v>
      </c>
      <c r="BM46" t="s">
        <v>195</v>
      </c>
      <c r="BN46">
        <v>12.08</v>
      </c>
      <c r="BO46">
        <v>18.16</v>
      </c>
      <c r="BP46">
        <v>8.8699999999999992</v>
      </c>
      <c r="BQ46">
        <v>12.46</v>
      </c>
      <c r="BR46">
        <v>19.940000000000001</v>
      </c>
      <c r="BS46">
        <v>9.36</v>
      </c>
      <c r="BT46" t="s">
        <v>1720</v>
      </c>
      <c r="BU46" t="s">
        <v>1337</v>
      </c>
      <c r="BV46">
        <v>39.01</v>
      </c>
      <c r="BW46">
        <v>37.49</v>
      </c>
      <c r="BX46">
        <v>32.590000000000003</v>
      </c>
      <c r="BY46">
        <v>21.05</v>
      </c>
      <c r="BZ46">
        <v>24.74</v>
      </c>
      <c r="CA46">
        <v>14.69</v>
      </c>
      <c r="CB46">
        <v>1.26</v>
      </c>
      <c r="CC46">
        <v>-3.94</v>
      </c>
      <c r="CD46" t="s">
        <v>3974</v>
      </c>
      <c r="CE46" t="s">
        <v>175</v>
      </c>
      <c r="CF46" s="8">
        <v>-0.16421932773109232</v>
      </c>
      <c r="CG46" s="9">
        <v>-0.29778018096420389</v>
      </c>
      <c r="CH46" s="8">
        <v>5.55555559694767E-2</v>
      </c>
      <c r="CI46" s="8">
        <v>0.30120483040809631</v>
      </c>
      <c r="CJ46" s="8">
        <v>0.2028985470533371</v>
      </c>
      <c r="CK46" s="8">
        <v>-2.8169013559818268E-2</v>
      </c>
      <c r="CL46" s="8">
        <v>2.3054754361510277E-2</v>
      </c>
      <c r="CM46" s="9">
        <v>-0.13970588147640228</v>
      </c>
      <c r="CN46" s="9">
        <v>1.2297457456588745</v>
      </c>
      <c r="CO46" s="9">
        <v>5.2190773189067841E-2</v>
      </c>
      <c r="CP46" s="9">
        <v>9.4070084393024445E-2</v>
      </c>
      <c r="CQ46" s="9">
        <v>-0.31792446970939636</v>
      </c>
      <c r="CR46">
        <v>21.080324352565199</v>
      </c>
      <c r="CS46">
        <v>1.9006876571068754</v>
      </c>
      <c r="CT46">
        <v>3.726708074534161</v>
      </c>
      <c r="CU46" s="8">
        <v>0.11090893484652042</v>
      </c>
      <c r="CV46" s="9">
        <v>0.18367525041103364</v>
      </c>
      <c r="CW46">
        <v>0.06</v>
      </c>
      <c r="CX46">
        <v>9.1985558336153392</v>
      </c>
      <c r="CY46">
        <v>122619193.75192726</v>
      </c>
      <c r="CZ46">
        <v>0.11090893484652042</v>
      </c>
      <c r="DA46">
        <v>2.9533730735750279</v>
      </c>
      <c r="DB46">
        <v>381908912.92804569</v>
      </c>
      <c r="DC46">
        <v>0.10536348810419439</v>
      </c>
      <c r="DD46">
        <v>1.4196723880492239</v>
      </c>
      <c r="DE46">
        <v>794492806.5762254</v>
      </c>
      <c r="DF46">
        <v>9.7599862664937975E-2</v>
      </c>
      <c r="DG46">
        <v>0.82973517932431995</v>
      </c>
      <c r="DH46">
        <v>1359372879.5716498</v>
      </c>
      <c r="DI46">
        <v>8.8727147877216347E-2</v>
      </c>
      <c r="DJ46">
        <v>0.40350752869762485</v>
      </c>
      <c r="DK46">
        <v>2795287373.3001037</v>
      </c>
      <c r="DL46">
        <v>7.7636254392564288E-2</v>
      </c>
      <c r="DM46">
        <v>117000000</v>
      </c>
      <c r="DN46">
        <v>0.11090893484652042</v>
      </c>
      <c r="DO46">
        <v>1127919500</v>
      </c>
      <c r="DP46">
        <v>500971160</v>
      </c>
      <c r="DQ46">
        <v>1339</v>
      </c>
      <c r="DR46">
        <v>-0.27512826257761275</v>
      </c>
      <c r="DS46">
        <v>-0.4814554313752375</v>
      </c>
      <c r="DT46" s="10">
        <v>-0.15666666666666665</v>
      </c>
      <c r="DU46">
        <v>-1.999999999999998E-2</v>
      </c>
      <c r="DV46">
        <v>-0.17666666666666664</v>
      </c>
      <c r="DW46">
        <v>-1.0394000000000001</v>
      </c>
      <c r="DX46">
        <v>0.27628778625954287</v>
      </c>
      <c r="DY46">
        <v>-1.004187738778626</v>
      </c>
      <c r="DZ46">
        <v>2145</v>
      </c>
      <c r="EA46">
        <v>-1.0024298719136255</v>
      </c>
      <c r="EB46">
        <v>1</v>
      </c>
      <c r="EC46">
        <v>6.3471625352163649E-2</v>
      </c>
      <c r="ED46">
        <v>0.59716762937534118</v>
      </c>
      <c r="EE46" s="11">
        <v>4.9799999999999997E-2</v>
      </c>
      <c r="EF46">
        <v>4.0999999999999995E-2</v>
      </c>
      <c r="EG46">
        <v>17.106287786259543</v>
      </c>
      <c r="EH46" t="s">
        <v>1390</v>
      </c>
      <c r="EI46">
        <v>0</v>
      </c>
      <c r="EJ46">
        <v>0</v>
      </c>
      <c r="EK46" s="13">
        <v>45470</v>
      </c>
      <c r="EL46" s="14">
        <v>-5.75</v>
      </c>
      <c r="EM46" s="14">
        <v>-2.29</v>
      </c>
      <c r="EN46" s="14">
        <v>0.65</v>
      </c>
      <c r="EO46" s="14">
        <v>2.58</v>
      </c>
      <c r="EP46" s="14">
        <v>-0.88</v>
      </c>
    </row>
    <row r="47" spans="1:146" ht="108">
      <c r="A47" s="7"/>
      <c r="B47" s="7"/>
      <c r="C47" s="7" t="str">
        <f>""&amp;CHAR(10)&amp;Basic_Fundamental_Information_Constructure(F47)&amp;CHAR(10)&amp;Basic_Fundamental_Information_Concatenate("")</f>
        <v xml:space="preserve">
市值24.849229亿, 利润1.05亿; PE23.56; 平均PE33.72; 平均PEG1.51, PB2.18; ROIC6.1533%; ROE8.4033%; 股利率.6401%; 毛利34.4667%; 净利9.5233%; 上一年度营收增18.66%, 利润增25.56%; 当季营收增26.86%, 利润增3.61%; 过往5年营收增22.36%, 利润增12.24%
Income profile:
</v>
      </c>
      <c r="D47" t="s">
        <v>268</v>
      </c>
      <c r="E47" t="s">
        <v>24</v>
      </c>
      <c r="F47">
        <v>7.03</v>
      </c>
      <c r="G47">
        <v>0.28999999999999998</v>
      </c>
      <c r="H47" t="s">
        <v>3975</v>
      </c>
      <c r="I47">
        <v>2484922900</v>
      </c>
      <c r="J47">
        <v>23.56</v>
      </c>
      <c r="K47">
        <v>2.1800000000000002</v>
      </c>
      <c r="L47" t="s">
        <v>85</v>
      </c>
      <c r="M47" t="s">
        <v>2031</v>
      </c>
      <c r="N47" t="s">
        <v>1815</v>
      </c>
      <c r="O47" t="s">
        <v>451</v>
      </c>
      <c r="P47">
        <v>26.47</v>
      </c>
      <c r="Q47" t="s">
        <v>893</v>
      </c>
      <c r="R47">
        <v>14187844</v>
      </c>
      <c r="S47" s="5">
        <v>3.61E-2</v>
      </c>
      <c r="T47" t="s">
        <v>521</v>
      </c>
      <c r="U47">
        <v>232677310</v>
      </c>
      <c r="V47">
        <v>353474090</v>
      </c>
      <c r="W47">
        <v>2.0099999999999998</v>
      </c>
      <c r="X47">
        <v>0.09</v>
      </c>
      <c r="Y47">
        <v>6.4</v>
      </c>
      <c r="Z47" t="s">
        <v>433</v>
      </c>
      <c r="AA47" t="s">
        <v>273</v>
      </c>
      <c r="AB47" t="s">
        <v>3976</v>
      </c>
      <c r="AC47" t="s">
        <v>3977</v>
      </c>
      <c r="AD47" t="s">
        <v>90</v>
      </c>
      <c r="AE47">
        <v>5619261</v>
      </c>
      <c r="AF47" t="s">
        <v>2522</v>
      </c>
      <c r="AG47" t="s">
        <v>90</v>
      </c>
      <c r="AH47" t="s">
        <v>2523</v>
      </c>
      <c r="AI47" t="s">
        <v>3978</v>
      </c>
      <c r="AJ47" t="s">
        <v>2524</v>
      </c>
      <c r="AK47" t="s">
        <v>3979</v>
      </c>
      <c r="AL47" t="s">
        <v>2525</v>
      </c>
      <c r="AM47" t="s">
        <v>90</v>
      </c>
      <c r="AN47" t="s">
        <v>3980</v>
      </c>
      <c r="AO47" t="s">
        <v>325</v>
      </c>
      <c r="AP47" t="s">
        <v>3981</v>
      </c>
      <c r="AQ47" t="s">
        <v>706</v>
      </c>
      <c r="AR47" t="s">
        <v>90</v>
      </c>
      <c r="AS47" t="s">
        <v>1490</v>
      </c>
      <c r="AT47" t="s">
        <v>210</v>
      </c>
      <c r="AU47" t="s">
        <v>3982</v>
      </c>
      <c r="AV47" t="s">
        <v>3983</v>
      </c>
      <c r="AW47" t="s">
        <v>3984</v>
      </c>
      <c r="AX47" t="s">
        <v>1534</v>
      </c>
      <c r="AY47" t="s">
        <v>1084</v>
      </c>
      <c r="AZ47" t="s">
        <v>795</v>
      </c>
      <c r="BA47" t="s">
        <v>270</v>
      </c>
      <c r="BB47" t="s">
        <v>705</v>
      </c>
      <c r="BC47" t="s">
        <v>2527</v>
      </c>
      <c r="BD47" t="s">
        <v>1258</v>
      </c>
      <c r="BE47" t="s">
        <v>796</v>
      </c>
      <c r="BF47" t="s">
        <v>271</v>
      </c>
      <c r="BG47" t="s">
        <v>798</v>
      </c>
      <c r="BH47" t="s">
        <v>893</v>
      </c>
      <c r="BI47" t="s">
        <v>288</v>
      </c>
      <c r="BJ47" t="s">
        <v>1534</v>
      </c>
      <c r="BK47" t="s">
        <v>521</v>
      </c>
      <c r="BL47" t="s">
        <v>2528</v>
      </c>
      <c r="BM47" t="s">
        <v>2527</v>
      </c>
      <c r="BN47">
        <v>5.3</v>
      </c>
      <c r="BO47">
        <v>7.18</v>
      </c>
      <c r="BP47">
        <v>5.98</v>
      </c>
      <c r="BQ47">
        <v>8</v>
      </c>
      <c r="BR47">
        <v>9.5</v>
      </c>
      <c r="BS47">
        <v>7.71</v>
      </c>
      <c r="BT47" t="s">
        <v>2529</v>
      </c>
      <c r="BU47" t="s">
        <v>1337</v>
      </c>
      <c r="BV47">
        <v>35.51</v>
      </c>
      <c r="BW47">
        <v>35.39</v>
      </c>
      <c r="BX47">
        <v>32.5</v>
      </c>
      <c r="BY47">
        <v>10.25</v>
      </c>
      <c r="BZ47">
        <v>9.6999999999999993</v>
      </c>
      <c r="CA47">
        <v>8.6199999999999992</v>
      </c>
      <c r="CB47">
        <v>-4.87</v>
      </c>
      <c r="CC47">
        <v>-11.96</v>
      </c>
      <c r="CD47" t="s">
        <v>3985</v>
      </c>
      <c r="CE47" t="s">
        <v>143</v>
      </c>
      <c r="CF47" s="8">
        <v>0.26857142857142874</v>
      </c>
      <c r="CG47" s="9">
        <v>3.6077933079203588E-2</v>
      </c>
      <c r="CH47" s="8">
        <v>0.18655851483345032</v>
      </c>
      <c r="CI47" s="8">
        <v>0.17574931681156158</v>
      </c>
      <c r="CJ47" s="8">
        <v>0.32971015572547913</v>
      </c>
      <c r="CK47" s="8">
        <v>0.15723270177841187</v>
      </c>
      <c r="CL47" s="8">
        <v>0.26861703395843506</v>
      </c>
      <c r="CM47" s="9">
        <v>0.25556334853172302</v>
      </c>
      <c r="CN47" s="9">
        <v>0.32169803977012634</v>
      </c>
      <c r="CO47" s="9">
        <v>0.10841334611177444</v>
      </c>
      <c r="CP47" s="9">
        <v>-0.18576513230800629</v>
      </c>
      <c r="CQ47" s="9">
        <v>0.11205073446035385</v>
      </c>
      <c r="CR47">
        <v>33.721548172420839</v>
      </c>
      <c r="CS47">
        <v>1.5082977831529576</v>
      </c>
      <c r="CT47">
        <v>0.64011379800853485</v>
      </c>
      <c r="CU47" s="8">
        <v>0.22357354462146758</v>
      </c>
      <c r="CV47" s="9">
        <v>0.12239206731319427</v>
      </c>
      <c r="CW47">
        <v>0.06</v>
      </c>
      <c r="CX47">
        <v>20.304135144740798</v>
      </c>
      <c r="CY47">
        <v>121203039.79740952</v>
      </c>
      <c r="CZ47">
        <v>0.22357354462146758</v>
      </c>
      <c r="DA47">
        <v>5.9361211700802157</v>
      </c>
      <c r="DB47">
        <v>414567497.78016156</v>
      </c>
      <c r="DC47">
        <v>0.2123948673903942</v>
      </c>
      <c r="DD47">
        <v>2.500576907432027</v>
      </c>
      <c r="DE47">
        <v>984142056.45338464</v>
      </c>
      <c r="DF47">
        <v>0.19674471926689147</v>
      </c>
      <c r="DG47">
        <v>1.2473991060256522</v>
      </c>
      <c r="DH47">
        <v>1972843244.8863664</v>
      </c>
      <c r="DI47">
        <v>0.17885883569717409</v>
      </c>
      <c r="DJ47">
        <v>0.41501993029058465</v>
      </c>
      <c r="DK47">
        <v>5929649928.5635147</v>
      </c>
      <c r="DL47">
        <v>0.1565014812350273</v>
      </c>
      <c r="DM47">
        <v>105000000</v>
      </c>
      <c r="DN47">
        <v>0.22357354462146758</v>
      </c>
      <c r="DO47">
        <v>2460922900</v>
      </c>
      <c r="DP47">
        <v>535614500.00000012</v>
      </c>
      <c r="DQ47">
        <v>1344</v>
      </c>
      <c r="DR47">
        <v>4.4997883949961154E-2</v>
      </c>
      <c r="DS47">
        <v>-8.6314134233990675E-2</v>
      </c>
      <c r="DT47" s="10">
        <v>0.22666666666666657</v>
      </c>
      <c r="DU47">
        <v>0.20000000000000004</v>
      </c>
      <c r="DV47">
        <v>0.42666666666666664</v>
      </c>
      <c r="DW47">
        <v>-8.4071906354515047</v>
      </c>
      <c r="DX47">
        <v>0.50470707964601891</v>
      </c>
      <c r="DY47">
        <v>-8.0792828994879695</v>
      </c>
      <c r="DZ47">
        <v>827</v>
      </c>
      <c r="EA47">
        <v>-8.0664517922714225</v>
      </c>
      <c r="EB47">
        <v>8</v>
      </c>
      <c r="EC47">
        <v>6.2244731997188253E-2</v>
      </c>
      <c r="ED47">
        <v>0.31968396891551509</v>
      </c>
      <c r="EE47" s="11">
        <v>2.0116000000000001</v>
      </c>
      <c r="EF47">
        <v>2.00461</v>
      </c>
      <c r="EG47">
        <v>31.194707079646019</v>
      </c>
      <c r="EH47" t="s">
        <v>2143</v>
      </c>
      <c r="EI47">
        <v>0</v>
      </c>
      <c r="EJ47">
        <v>1</v>
      </c>
      <c r="EK47" s="13">
        <v>45470</v>
      </c>
      <c r="EL47" s="14">
        <v>-0.93</v>
      </c>
      <c r="EM47" s="14">
        <v>-5.08</v>
      </c>
      <c r="EN47" s="14">
        <v>1.7</v>
      </c>
      <c r="EO47" s="14">
        <v>3.34</v>
      </c>
      <c r="EP47" s="14">
        <v>-1.62</v>
      </c>
    </row>
    <row r="48" spans="1:146" ht="108">
      <c r="A48" s="7"/>
      <c r="B48" s="7"/>
      <c r="C48" s="7" t="str">
        <f>""&amp;CHAR(10)&amp;Basic_Fundamental_Information_Constructure(F48)&amp;CHAR(10)&amp;Basic_Fundamental_Information_Concatenate("")</f>
        <v xml:space="preserve">
市值65.133985亿, 利润3.84亿; PE16.24; 平均PE18.24; 平均PEG2.71, PB2.79; ROIC17.2867%; ROE18.75%; 股利率5.4915%; 毛利35.0833%; 净利27.0133%; 上一年度营收增-11.26%, 利润增-9%; 当季营收增20.37%, 利润增22.42%; 过往5年营收增6.73%, 利润增13.37%
Income profile:
</v>
      </c>
      <c r="D48" t="s">
        <v>481</v>
      </c>
      <c r="E48" t="s">
        <v>63</v>
      </c>
      <c r="F48">
        <v>18.21</v>
      </c>
      <c r="G48">
        <v>0.17</v>
      </c>
      <c r="H48" t="s">
        <v>3986</v>
      </c>
      <c r="I48">
        <v>6513398500</v>
      </c>
      <c r="J48">
        <v>16.239999999999998</v>
      </c>
      <c r="K48">
        <v>2.79</v>
      </c>
      <c r="L48" t="s">
        <v>85</v>
      </c>
      <c r="M48" t="s">
        <v>502</v>
      </c>
      <c r="N48" t="s">
        <v>3987</v>
      </c>
      <c r="O48" t="s">
        <v>315</v>
      </c>
      <c r="P48">
        <v>20.37</v>
      </c>
      <c r="Q48" t="s">
        <v>2531</v>
      </c>
      <c r="R48">
        <v>94554935</v>
      </c>
      <c r="S48" s="5">
        <v>0.22420000000000001</v>
      </c>
      <c r="T48" t="s">
        <v>278</v>
      </c>
      <c r="U48">
        <v>273030110</v>
      </c>
      <c r="V48">
        <v>357682510</v>
      </c>
      <c r="W48">
        <v>1.07</v>
      </c>
      <c r="X48">
        <v>0.13</v>
      </c>
      <c r="Y48">
        <v>29.11</v>
      </c>
      <c r="Z48" t="s">
        <v>856</v>
      </c>
      <c r="AA48" t="s">
        <v>653</v>
      </c>
      <c r="AB48" t="s">
        <v>3988</v>
      </c>
      <c r="AC48" t="s">
        <v>3989</v>
      </c>
      <c r="AD48" t="s">
        <v>90</v>
      </c>
      <c r="AE48">
        <v>-13084487</v>
      </c>
      <c r="AF48" t="s">
        <v>182</v>
      </c>
      <c r="AG48" t="s">
        <v>3990</v>
      </c>
      <c r="AH48" t="s">
        <v>2532</v>
      </c>
      <c r="AI48" t="s">
        <v>3991</v>
      </c>
      <c r="AJ48" t="s">
        <v>2533</v>
      </c>
      <c r="AK48" t="s">
        <v>90</v>
      </c>
      <c r="AL48" t="s">
        <v>2534</v>
      </c>
      <c r="AM48" t="s">
        <v>90</v>
      </c>
      <c r="AN48" t="s">
        <v>2535</v>
      </c>
      <c r="AO48" t="s">
        <v>90</v>
      </c>
      <c r="AP48" t="s">
        <v>90</v>
      </c>
      <c r="AQ48" t="s">
        <v>3992</v>
      </c>
      <c r="AR48" t="s">
        <v>90</v>
      </c>
      <c r="AS48" t="s">
        <v>248</v>
      </c>
      <c r="AT48" t="s">
        <v>90</v>
      </c>
      <c r="AU48" t="s">
        <v>3993</v>
      </c>
      <c r="AV48" t="s">
        <v>3994</v>
      </c>
      <c r="AW48" t="s">
        <v>90</v>
      </c>
      <c r="AX48" t="s">
        <v>1373</v>
      </c>
      <c r="AY48" t="s">
        <v>1259</v>
      </c>
      <c r="AZ48" t="s">
        <v>799</v>
      </c>
      <c r="BA48" t="s">
        <v>482</v>
      </c>
      <c r="BB48" t="s">
        <v>801</v>
      </c>
      <c r="BC48" t="s">
        <v>324</v>
      </c>
      <c r="BD48" t="s">
        <v>1260</v>
      </c>
      <c r="BE48" t="s">
        <v>620</v>
      </c>
      <c r="BF48" t="s">
        <v>483</v>
      </c>
      <c r="BG48" t="s">
        <v>345</v>
      </c>
      <c r="BH48" t="s">
        <v>2531</v>
      </c>
      <c r="BI48" t="s">
        <v>295</v>
      </c>
      <c r="BJ48" t="s">
        <v>1373</v>
      </c>
      <c r="BK48" t="s">
        <v>278</v>
      </c>
      <c r="BL48" t="s">
        <v>2536</v>
      </c>
      <c r="BM48" t="s">
        <v>324</v>
      </c>
      <c r="BN48">
        <v>11.72</v>
      </c>
      <c r="BO48">
        <v>17.75</v>
      </c>
      <c r="BP48">
        <v>22.39</v>
      </c>
      <c r="BQ48">
        <v>12.77</v>
      </c>
      <c r="BR48">
        <v>19.649999999999999</v>
      </c>
      <c r="BS48">
        <v>23.83</v>
      </c>
      <c r="BT48" t="s">
        <v>1700</v>
      </c>
      <c r="BU48" t="s">
        <v>1381</v>
      </c>
      <c r="BV48">
        <v>37.909999999999997</v>
      </c>
      <c r="BW48">
        <v>35.81</v>
      </c>
      <c r="BX48">
        <v>31.53</v>
      </c>
      <c r="BY48">
        <v>29.17</v>
      </c>
      <c r="BZ48">
        <v>28.44</v>
      </c>
      <c r="CA48">
        <v>23.43</v>
      </c>
      <c r="CB48">
        <v>-5.16</v>
      </c>
      <c r="CC48">
        <v>-11.34</v>
      </c>
      <c r="CD48" t="s">
        <v>3995</v>
      </c>
      <c r="CE48" t="s">
        <v>3996</v>
      </c>
      <c r="CF48" s="8">
        <v>0.20370370370370369</v>
      </c>
      <c r="CG48" s="9">
        <v>0.22418483643646805</v>
      </c>
      <c r="CH48" s="8">
        <v>-0.1126096099615097</v>
      </c>
      <c r="CI48" s="8">
        <v>-0.28114396333694458</v>
      </c>
      <c r="CJ48" s="8">
        <v>0.43763065338134766</v>
      </c>
      <c r="CK48" s="8">
        <v>0.26431715488433838</v>
      </c>
      <c r="CL48" s="8">
        <v>2.8079768642783165E-2</v>
      </c>
      <c r="CM48" s="9">
        <v>-9.0047396719455719E-2</v>
      </c>
      <c r="CN48" s="9">
        <v>-0.12629400193691254</v>
      </c>
      <c r="CO48" s="9">
        <v>0.34540390968322754</v>
      </c>
      <c r="CP48" s="9">
        <v>0.31985294818878174</v>
      </c>
      <c r="CQ48" s="9">
        <v>0.21973094344139099</v>
      </c>
      <c r="CR48">
        <v>18.236300046663555</v>
      </c>
      <c r="CS48">
        <v>2.7115239136672353</v>
      </c>
      <c r="CT48">
        <v>5.4914881933003841</v>
      </c>
      <c r="CU48" s="8">
        <v>6.7254800722002989E-2</v>
      </c>
      <c r="CV48" s="9">
        <v>0.1337292805314064</v>
      </c>
      <c r="CW48">
        <v>0.06</v>
      </c>
      <c r="CX48">
        <v>11.20042204038023</v>
      </c>
      <c r="CY48">
        <v>386628154.22381997</v>
      </c>
      <c r="CZ48">
        <v>6.7254800722002989E-2</v>
      </c>
      <c r="DA48">
        <v>3.7315566107140024</v>
      </c>
      <c r="DB48">
        <v>1160480451.3930218</v>
      </c>
      <c r="DC48">
        <v>6.3892060685902835E-2</v>
      </c>
      <c r="DD48">
        <v>1.8845830405731836</v>
      </c>
      <c r="DE48">
        <v>2297801904.5968585</v>
      </c>
      <c r="DF48">
        <v>5.9184224635362631E-2</v>
      </c>
      <c r="DG48">
        <v>1.1644974823751431</v>
      </c>
      <c r="DH48">
        <v>3718684295.6221704</v>
      </c>
      <c r="DI48">
        <v>5.3803840577602395E-2</v>
      </c>
      <c r="DJ48">
        <v>0.63975131433579002</v>
      </c>
      <c r="DK48">
        <v>6768877848.255703</v>
      </c>
      <c r="DL48">
        <v>4.7078360505402088E-2</v>
      </c>
      <c r="DM48">
        <v>384000000</v>
      </c>
      <c r="DN48">
        <v>6.7254800722002989E-2</v>
      </c>
      <c r="DO48">
        <v>4330398500</v>
      </c>
      <c r="DP48">
        <v>2004065200</v>
      </c>
      <c r="DQ48">
        <v>1351</v>
      </c>
      <c r="DR48">
        <v>0.1364489029817007</v>
      </c>
      <c r="DS48">
        <v>9.0455555905061658E-2</v>
      </c>
      <c r="DT48" s="10">
        <v>-0.34</v>
      </c>
      <c r="DU48">
        <v>0.56999999999999995</v>
      </c>
      <c r="DV48">
        <v>0.22999999999999993</v>
      </c>
      <c r="DW48">
        <v>-8.4550264550264558</v>
      </c>
      <c r="DX48">
        <v>0.37992907760457884</v>
      </c>
      <c r="DY48">
        <v>-8.1091740776401782</v>
      </c>
      <c r="DZ48">
        <v>1196</v>
      </c>
      <c r="EA48">
        <v>-8.0836217886269388</v>
      </c>
      <c r="EB48">
        <v>8</v>
      </c>
      <c r="EC48">
        <v>3.4843470540396285E-2</v>
      </c>
      <c r="ED48">
        <v>0.14522404240565187</v>
      </c>
      <c r="EE48" s="11">
        <v>1.0677099999999999</v>
      </c>
      <c r="EF48">
        <v>1.08121</v>
      </c>
      <c r="EG48">
        <v>14.239929077604579</v>
      </c>
      <c r="EH48" t="s">
        <v>1733</v>
      </c>
      <c r="EI48">
        <v>0</v>
      </c>
      <c r="EJ48">
        <v>1</v>
      </c>
      <c r="EK48" s="13">
        <v>45470</v>
      </c>
      <c r="EL48" s="14">
        <v>1.29</v>
      </c>
      <c r="EM48" s="14">
        <v>-2.79</v>
      </c>
      <c r="EN48" s="14">
        <v>1.36</v>
      </c>
      <c r="EO48" s="14">
        <v>-0.56999999999999995</v>
      </c>
      <c r="EP48" s="14">
        <v>-1.35</v>
      </c>
    </row>
    <row r="49" spans="1:146" ht="216">
      <c r="A49" s="7" t="s">
        <v>2135</v>
      </c>
      <c r="B49" s="7" t="s">
        <v>2136</v>
      </c>
      <c r="C49" s="7" t="str">
        <f>"公司是从事机械传动与控制应用领域关键零部件的研发、生产、销售和服务的高新技术企业，主要产品包括精密减速器、传动行星减速器、各类小型及微型减速电机等。公司“永磁无刷电机行星齿轮减速机构”项目列入国家火炬计划，“VRSF-78VR20-200行星减速器”产品列入国家重点新产品计划。"&amp;CHAR(10)&amp;Basic_Fundamental_Information_Constructure(F49)&amp;CHAR(10)&amp;Basic_Fundamental_Information_Concatenate("减速电机 5.35亿 56.18% 63.54% 29.68%
精密减速器 2.54亿 26.70% 19.66% 19.32%
智能执行单元 1.47亿 15.44% 16.24% 27.60%
其他业务收入 1345.73万 1.41% 0.51% 9.45%
配件 258.51万 0.27% 0.05% 5.06%")</f>
        <v>公司是从事机械传动与控制应用领域关键零部件的研发、生产、销售和服务的高新技术企业，主要产品包括精密减速器、传动行星减速器、各类小型及微型减速电机等。公司“永磁无刷电机行星齿轮减速机构”项目列入国家火炬计划，“VRSF-78VR20-200行星减速器”产品列入国家重点新产品计划。
市值40.649959亿, 利润7314.80万; PE54.6; 平均PE58.56; 平均PEG4.45, PB3.6; ROIC6.91%; ROE8.14%; 股利率.2975%; 毛利24.4067%; 净利7.5667%; 上一年度营收增20.94%, 利润增10.22%; 当季营收增1.83%, 利润增8.65%; 过往5年营收增13.16%, 利润增2.69%
Income profile:
减速电机 5.35亿 56.18% 63.54% 29.68%
精密减速器 2.54亿 26.70% 19.66% 19.32%
智能执行单元 1.47亿 15.44% 16.24% 27.60%
其他业务收入 1345.73万 1.41% 0.51% 9.45%
配件 258.51万 0.27% 0.05% 5.06%</v>
      </c>
      <c r="D49" t="s">
        <v>277</v>
      </c>
      <c r="E49" t="s">
        <v>34</v>
      </c>
      <c r="F49">
        <v>26.89</v>
      </c>
      <c r="G49">
        <v>0</v>
      </c>
      <c r="H49" t="s">
        <v>3997</v>
      </c>
      <c r="I49">
        <v>4064995900</v>
      </c>
      <c r="J49">
        <v>54.6</v>
      </c>
      <c r="K49">
        <v>3.6</v>
      </c>
      <c r="L49" t="s">
        <v>85</v>
      </c>
      <c r="M49" t="s">
        <v>1581</v>
      </c>
      <c r="N49" t="s">
        <v>760</v>
      </c>
      <c r="O49" t="s">
        <v>345</v>
      </c>
      <c r="P49">
        <v>1.79</v>
      </c>
      <c r="Q49" t="s">
        <v>966</v>
      </c>
      <c r="R49">
        <v>16378928</v>
      </c>
      <c r="S49" s="5">
        <v>8.6499999999999994E-2</v>
      </c>
      <c r="T49" t="s">
        <v>2537</v>
      </c>
      <c r="U49">
        <v>151171290</v>
      </c>
      <c r="V49">
        <v>151171290</v>
      </c>
      <c r="W49">
        <v>1.43</v>
      </c>
      <c r="X49">
        <v>0.14000000000000001</v>
      </c>
      <c r="Y49">
        <v>7.33</v>
      </c>
      <c r="Z49" t="s">
        <v>260</v>
      </c>
      <c r="AA49" t="s">
        <v>479</v>
      </c>
      <c r="AB49" t="s">
        <v>3998</v>
      </c>
      <c r="AC49" t="s">
        <v>3999</v>
      </c>
      <c r="AD49" t="s">
        <v>90</v>
      </c>
      <c r="AE49">
        <v>1227722</v>
      </c>
      <c r="AF49" t="s">
        <v>2538</v>
      </c>
      <c r="AG49" t="s">
        <v>4000</v>
      </c>
      <c r="AH49" t="s">
        <v>2539</v>
      </c>
      <c r="AI49" t="s">
        <v>274</v>
      </c>
      <c r="AJ49" t="s">
        <v>2540</v>
      </c>
      <c r="AK49" t="s">
        <v>4001</v>
      </c>
      <c r="AL49" t="s">
        <v>2541</v>
      </c>
      <c r="AM49" t="s">
        <v>90</v>
      </c>
      <c r="AN49" t="s">
        <v>4002</v>
      </c>
      <c r="AO49" t="s">
        <v>183</v>
      </c>
      <c r="AP49" t="s">
        <v>90</v>
      </c>
      <c r="AQ49" t="s">
        <v>810</v>
      </c>
      <c r="AR49" t="s">
        <v>90</v>
      </c>
      <c r="AS49" t="s">
        <v>156</v>
      </c>
      <c r="AT49" t="s">
        <v>90</v>
      </c>
      <c r="AU49" t="s">
        <v>4003</v>
      </c>
      <c r="AV49" t="s">
        <v>4004</v>
      </c>
      <c r="AW49" t="s">
        <v>4005</v>
      </c>
      <c r="AX49" t="s">
        <v>1561</v>
      </c>
      <c r="AY49" t="s">
        <v>1113</v>
      </c>
      <c r="AZ49" t="s">
        <v>466</v>
      </c>
      <c r="BA49" t="s">
        <v>279</v>
      </c>
      <c r="BB49" t="s">
        <v>269</v>
      </c>
      <c r="BC49" t="s">
        <v>1821</v>
      </c>
      <c r="BD49" t="s">
        <v>1261</v>
      </c>
      <c r="BE49" t="s">
        <v>803</v>
      </c>
      <c r="BF49" t="s">
        <v>280</v>
      </c>
      <c r="BG49" t="s">
        <v>804</v>
      </c>
      <c r="BH49" t="s">
        <v>966</v>
      </c>
      <c r="BI49" t="s">
        <v>355</v>
      </c>
      <c r="BJ49" t="s">
        <v>1561</v>
      </c>
      <c r="BK49" t="s">
        <v>2537</v>
      </c>
      <c r="BL49" t="s">
        <v>2542</v>
      </c>
      <c r="BM49" t="s">
        <v>1821</v>
      </c>
      <c r="BN49">
        <v>4.92</v>
      </c>
      <c r="BO49">
        <v>6.79</v>
      </c>
      <c r="BP49">
        <v>9.02</v>
      </c>
      <c r="BQ49">
        <v>5.33</v>
      </c>
      <c r="BR49">
        <v>7.7</v>
      </c>
      <c r="BS49">
        <v>11.39</v>
      </c>
      <c r="BT49" t="s">
        <v>2543</v>
      </c>
      <c r="BU49" t="s">
        <v>1337</v>
      </c>
      <c r="BV49">
        <v>22.88</v>
      </c>
      <c r="BW49">
        <v>24.1</v>
      </c>
      <c r="BX49">
        <v>26.24</v>
      </c>
      <c r="BY49">
        <v>6.77</v>
      </c>
      <c r="BZ49">
        <v>7.39</v>
      </c>
      <c r="CA49">
        <v>8.5399999999999991</v>
      </c>
      <c r="CB49">
        <v>-3.62</v>
      </c>
      <c r="CC49">
        <v>-16.88</v>
      </c>
      <c r="CD49" t="s">
        <v>4006</v>
      </c>
      <c r="CE49" t="s">
        <v>4007</v>
      </c>
      <c r="CF49" s="8">
        <v>1.8264840182648401E-2</v>
      </c>
      <c r="CG49" s="9">
        <v>8.6481638717894285E-2</v>
      </c>
      <c r="CH49" s="8">
        <v>0.20935411751270294</v>
      </c>
      <c r="CI49" s="8">
        <v>-5.7712487876415253E-2</v>
      </c>
      <c r="CJ49" s="8">
        <v>0.25229960680007935</v>
      </c>
      <c r="CK49" s="8">
        <v>0.12573964893817902</v>
      </c>
      <c r="CL49" s="8">
        <v>0.12854757905006409</v>
      </c>
      <c r="CM49" s="9">
        <v>0.1022307425737381</v>
      </c>
      <c r="CN49" s="9">
        <v>-0.18432649970054626</v>
      </c>
      <c r="CO49" s="9">
        <v>0.15845493972301483</v>
      </c>
      <c r="CP49" s="9">
        <v>0.33757731318473816</v>
      </c>
      <c r="CQ49" s="9">
        <v>-0.27950689196586609</v>
      </c>
      <c r="CR49">
        <v>58.561192546225932</v>
      </c>
      <c r="CS49">
        <v>4.4483941147559722</v>
      </c>
      <c r="CT49">
        <v>0.29750836742283376</v>
      </c>
      <c r="CU49" s="8">
        <v>0.13164569288492203</v>
      </c>
      <c r="CV49" s="9">
        <v>2.6885920763015748E-2</v>
      </c>
      <c r="CW49">
        <v>0.06</v>
      </c>
      <c r="CX49">
        <v>44.101723289322955</v>
      </c>
      <c r="CY49">
        <v>78092093.531270072</v>
      </c>
      <c r="CZ49">
        <v>0.13164569288492203</v>
      </c>
      <c r="DA49">
        <v>13.914995774563915</v>
      </c>
      <c r="DB49">
        <v>247502475.44418907</v>
      </c>
      <c r="DC49">
        <v>0.12506340824067594</v>
      </c>
      <c r="DD49">
        <v>6.531202098941093</v>
      </c>
      <c r="DE49">
        <v>527314244.42651635</v>
      </c>
      <c r="DF49">
        <v>0.11584820973873139</v>
      </c>
      <c r="DG49">
        <v>3.7130499919672117</v>
      </c>
      <c r="DH49">
        <v>927538252.23218608</v>
      </c>
      <c r="DI49">
        <v>0.10531655430793763</v>
      </c>
      <c r="DJ49">
        <v>1.69489114172685</v>
      </c>
      <c r="DK49">
        <v>2031986488.8142989</v>
      </c>
      <c r="DL49">
        <v>9.2151985019445423E-2</v>
      </c>
      <c r="DM49">
        <v>73148000</v>
      </c>
      <c r="DN49">
        <v>0.13164569288492203</v>
      </c>
      <c r="DO49">
        <v>3443995900</v>
      </c>
      <c r="DP49">
        <v>288008320</v>
      </c>
      <c r="DQ49">
        <v>1362</v>
      </c>
      <c r="DR49">
        <v>-0.11338085270227363</v>
      </c>
      <c r="DS49">
        <v>5.9595717954878537E-2</v>
      </c>
      <c r="DT49" s="10">
        <v>-0.14000000000000001</v>
      </c>
      <c r="DU49">
        <v>0</v>
      </c>
      <c r="DV49">
        <v>-0.14000000000000001</v>
      </c>
      <c r="DW49">
        <v>-8.2144549763033172</v>
      </c>
      <c r="DX49">
        <v>0.40740992790832165</v>
      </c>
      <c r="DY49">
        <v>-8.0380464418855517</v>
      </c>
      <c r="DZ49">
        <v>2039</v>
      </c>
      <c r="EA49">
        <v>-8.0228650925695746</v>
      </c>
      <c r="EB49">
        <v>8</v>
      </c>
      <c r="EC49">
        <v>0.11043565216649273</v>
      </c>
      <c r="ED49">
        <v>0.62248856909271599</v>
      </c>
      <c r="EE49" s="11">
        <v>2.0939100000000002</v>
      </c>
      <c r="EF49">
        <v>2.12161</v>
      </c>
      <c r="EG49">
        <v>23.177409927908322</v>
      </c>
      <c r="EH49" t="s">
        <v>2143</v>
      </c>
      <c r="EI49">
        <v>0</v>
      </c>
      <c r="EJ49">
        <v>0</v>
      </c>
      <c r="EK49" s="13">
        <v>45470</v>
      </c>
      <c r="EL49" s="14">
        <v>0.63</v>
      </c>
      <c r="EM49" s="14">
        <v>-4.9000000000000004</v>
      </c>
      <c r="EN49" s="14">
        <v>0.36</v>
      </c>
      <c r="EO49" s="14">
        <v>1.84</v>
      </c>
      <c r="EP49" s="14">
        <v>-2.77</v>
      </c>
    </row>
    <row r="50" spans="1:146" ht="108">
      <c r="A50" s="7"/>
      <c r="B50" s="7"/>
      <c r="C50" s="7" t="str">
        <f>""&amp;CHAR(10)&amp;Basic_Fundamental_Information_Constructure(F50)&amp;CHAR(10)&amp;Basic_Fundamental_Information_Concatenate("")</f>
        <v xml:space="preserve">
市值25.142638亿, 利润4006.82万; PE77.61; 平均PE60.18; 平均PEG.98, PB3.14; ROIC7.56%; ROE7.6867%; 股利率1.2399%; 毛利49.9067%; 净利15.4267%; 上一年度营收增17.32%, 利润增-27.7%; 当季营收增12.52%, 利润增-39.04%; 过往5年营收增61.11%, 利润增184.86%
Income profile:
</v>
      </c>
      <c r="D50" t="s">
        <v>125</v>
      </c>
      <c r="E50" t="s">
        <v>17</v>
      </c>
      <c r="F50">
        <v>16.13</v>
      </c>
      <c r="G50">
        <v>-0.19</v>
      </c>
      <c r="H50" t="s">
        <v>4008</v>
      </c>
      <c r="I50">
        <v>2514263800</v>
      </c>
      <c r="J50">
        <v>77.61</v>
      </c>
      <c r="K50">
        <v>3.14</v>
      </c>
      <c r="L50" t="s">
        <v>85</v>
      </c>
      <c r="M50" t="s">
        <v>2146</v>
      </c>
      <c r="N50" t="s">
        <v>2317</v>
      </c>
      <c r="O50" t="s">
        <v>121</v>
      </c>
      <c r="P50">
        <v>12.86</v>
      </c>
      <c r="Q50" t="s">
        <v>675</v>
      </c>
      <c r="R50">
        <v>11975975</v>
      </c>
      <c r="S50" s="5">
        <v>-0.39040000000000002</v>
      </c>
      <c r="T50" t="s">
        <v>2544</v>
      </c>
      <c r="U50">
        <v>99786733</v>
      </c>
      <c r="V50">
        <v>155875000</v>
      </c>
      <c r="W50">
        <v>1.33</v>
      </c>
      <c r="X50">
        <v>0.09</v>
      </c>
      <c r="Y50">
        <v>10.82</v>
      </c>
      <c r="Z50" t="s">
        <v>4009</v>
      </c>
      <c r="AA50" t="s">
        <v>4010</v>
      </c>
      <c r="AB50" t="s">
        <v>4011</v>
      </c>
      <c r="AC50" t="s">
        <v>4012</v>
      </c>
      <c r="AD50" t="s">
        <v>90</v>
      </c>
      <c r="AE50">
        <v>-247451</v>
      </c>
      <c r="AF50" t="s">
        <v>2545</v>
      </c>
      <c r="AG50" t="s">
        <v>4013</v>
      </c>
      <c r="AH50" t="s">
        <v>2547</v>
      </c>
      <c r="AI50" t="s">
        <v>204</v>
      </c>
      <c r="AJ50" t="s">
        <v>2548</v>
      </c>
      <c r="AK50" t="s">
        <v>2549</v>
      </c>
      <c r="AL50" t="s">
        <v>2550</v>
      </c>
      <c r="AM50" t="s">
        <v>90</v>
      </c>
      <c r="AN50" t="s">
        <v>4014</v>
      </c>
      <c r="AO50" t="s">
        <v>90</v>
      </c>
      <c r="AP50" t="s">
        <v>4015</v>
      </c>
      <c r="AQ50" t="s">
        <v>4016</v>
      </c>
      <c r="AR50" t="s">
        <v>90</v>
      </c>
      <c r="AS50" t="s">
        <v>2055</v>
      </c>
      <c r="AT50" t="s">
        <v>90</v>
      </c>
      <c r="AU50" t="s">
        <v>4017</v>
      </c>
      <c r="AV50" t="s">
        <v>4018</v>
      </c>
      <c r="AW50" t="s">
        <v>90</v>
      </c>
      <c r="AX50" t="s">
        <v>1424</v>
      </c>
      <c r="AY50" t="s">
        <v>491</v>
      </c>
      <c r="AZ50" t="s">
        <v>131</v>
      </c>
      <c r="BA50" t="s">
        <v>127</v>
      </c>
      <c r="BB50" t="s">
        <v>685</v>
      </c>
      <c r="BC50" t="s">
        <v>1823</v>
      </c>
      <c r="BD50" t="s">
        <v>1262</v>
      </c>
      <c r="BE50" t="s">
        <v>805</v>
      </c>
      <c r="BF50" t="s">
        <v>128</v>
      </c>
      <c r="BG50" t="s">
        <v>806</v>
      </c>
      <c r="BH50" t="s">
        <v>675</v>
      </c>
      <c r="BI50" t="s">
        <v>2551</v>
      </c>
      <c r="BJ50" t="s">
        <v>1424</v>
      </c>
      <c r="BK50" t="s">
        <v>2544</v>
      </c>
      <c r="BL50" t="s">
        <v>2552</v>
      </c>
      <c r="BM50" t="s">
        <v>1823</v>
      </c>
      <c r="BN50">
        <v>6.62</v>
      </c>
      <c r="BO50">
        <v>6.71</v>
      </c>
      <c r="BP50">
        <v>9.35</v>
      </c>
      <c r="BQ50">
        <v>4.92</v>
      </c>
      <c r="BR50">
        <v>7.47</v>
      </c>
      <c r="BS50">
        <v>10.67</v>
      </c>
      <c r="BT50" t="s">
        <v>1694</v>
      </c>
      <c r="BU50" t="s">
        <v>1447</v>
      </c>
      <c r="BV50">
        <v>49.39</v>
      </c>
      <c r="BW50">
        <v>49.9</v>
      </c>
      <c r="BX50">
        <v>50.43</v>
      </c>
      <c r="BY50">
        <v>15.22</v>
      </c>
      <c r="BZ50">
        <v>14.59</v>
      </c>
      <c r="CA50">
        <v>16.47</v>
      </c>
      <c r="CB50">
        <v>-7.67</v>
      </c>
      <c r="CC50">
        <v>-5.73</v>
      </c>
      <c r="CD50" t="s">
        <v>4019</v>
      </c>
      <c r="CE50" t="s">
        <v>165</v>
      </c>
      <c r="CF50" s="8">
        <v>0.12524641814589685</v>
      </c>
      <c r="CG50" s="9">
        <v>-0.39041153415453528</v>
      </c>
      <c r="CH50" s="8">
        <v>0.1731843501329422</v>
      </c>
      <c r="CI50" s="8">
        <v>-0.18264840543270111</v>
      </c>
      <c r="CJ50" s="8">
        <v>0.44078946113586426</v>
      </c>
      <c r="CK50" s="8">
        <v>3.26802659034729</v>
      </c>
      <c r="CL50" s="8">
        <v>-0.6438634991645813</v>
      </c>
      <c r="CM50" s="9">
        <v>-0.27698090672492981</v>
      </c>
      <c r="CN50" s="9">
        <v>-0.24626518785953522</v>
      </c>
      <c r="CO50" s="9">
        <v>0.69626021385192871</v>
      </c>
      <c r="CP50" s="9">
        <v>9.954559326171875</v>
      </c>
      <c r="CQ50" s="9">
        <v>-0.88479691743850708</v>
      </c>
      <c r="CR50">
        <v>60.183783041954271</v>
      </c>
      <c r="CS50">
        <v>0.98484715456586602</v>
      </c>
      <c r="CT50">
        <v>1.2399256044637323</v>
      </c>
      <c r="CU50" s="8">
        <v>0.6110976994037628</v>
      </c>
      <c r="CV50" s="9">
        <v>1.8485553056001662</v>
      </c>
      <c r="CW50">
        <v>0.06</v>
      </c>
      <c r="CX50">
        <v>33.075049484965433</v>
      </c>
      <c r="CY50">
        <v>60899797.018160231</v>
      </c>
      <c r="CZ50">
        <v>0.6110976994037628</v>
      </c>
      <c r="DA50">
        <v>7.1513892024470502</v>
      </c>
      <c r="DB50">
        <v>281660491.82594657</v>
      </c>
      <c r="DC50">
        <v>0.58054281443357458</v>
      </c>
      <c r="DD50">
        <v>1.8767953382179556</v>
      </c>
      <c r="DE50">
        <v>1073246378.5383081</v>
      </c>
      <c r="DF50">
        <v>0.53776597547531124</v>
      </c>
      <c r="DG50">
        <v>0.50122932983705593</v>
      </c>
      <c r="DH50">
        <v>4018647114.39535</v>
      </c>
      <c r="DI50">
        <v>0.48887815952301028</v>
      </c>
      <c r="DJ50">
        <v>3.3598555765703648E-2</v>
      </c>
      <c r="DK50">
        <v>59950904260.477089</v>
      </c>
      <c r="DL50">
        <v>0.42776838958263391</v>
      </c>
      <c r="DM50">
        <v>40068200</v>
      </c>
      <c r="DN50">
        <v>0.6110976994037628</v>
      </c>
      <c r="DO50">
        <v>2014263800</v>
      </c>
      <c r="DP50">
        <v>583560200</v>
      </c>
      <c r="DQ50">
        <v>1369</v>
      </c>
      <c r="DR50">
        <v>-0.48585128125786592</v>
      </c>
      <c r="DS50">
        <v>-2.2389668397547013</v>
      </c>
      <c r="DT50" s="10">
        <v>-2.4999999999999984E-2</v>
      </c>
      <c r="DU50">
        <v>-2.5000000000000022E-2</v>
      </c>
      <c r="DV50">
        <v>-0.05</v>
      </c>
      <c r="DW50">
        <v>-5.7470664928292043</v>
      </c>
      <c r="DX50">
        <v>0.31799655172413865</v>
      </c>
      <c r="DY50">
        <v>-5.1329752596322438</v>
      </c>
      <c r="DZ50">
        <v>1830</v>
      </c>
      <c r="EA50">
        <v>-5.0853539826993659</v>
      </c>
      <c r="EB50">
        <v>5</v>
      </c>
      <c r="EC50">
        <v>0.16557818765036086</v>
      </c>
      <c r="ED50">
        <v>0.93023255813953487</v>
      </c>
      <c r="EE50" s="11">
        <v>-4.0552999999999999</v>
      </c>
      <c r="EF50">
        <v>-4.0500999999999996</v>
      </c>
      <c r="EG50">
        <v>14.177996551724139</v>
      </c>
      <c r="EH50" t="s">
        <v>2125</v>
      </c>
      <c r="EI50">
        <v>0</v>
      </c>
      <c r="EJ50">
        <v>0</v>
      </c>
      <c r="EK50" s="13">
        <v>45470</v>
      </c>
      <c r="EL50" s="14">
        <v>-1.41</v>
      </c>
      <c r="EM50" s="14">
        <v>-6.13</v>
      </c>
      <c r="EN50" s="14">
        <v>10.01</v>
      </c>
      <c r="EO50" s="14">
        <v>-0.4</v>
      </c>
      <c r="EP50" s="14">
        <v>-0.52</v>
      </c>
    </row>
    <row r="51" spans="1:146" ht="96">
      <c r="A51" s="7"/>
      <c r="B51" s="7"/>
      <c r="C51" s="7" t="str">
        <f>""&amp;CHAR(10)&amp;Basic_Fundamental_Information_Constructure(F51)&amp;CHAR(10)&amp;Basic_Fundamental_Information_Concatenate("")</f>
        <v xml:space="preserve">
市值19.680015亿, 利润-704.02万; PE; 平均PE39.19; 平均PEG3.88, PB2.73; ROIC5.45%; ROE6.48%; 股利率0%; 毛利23.2933%; 净利6.36%; 上一年度营收增-26.24%, 利润增-114.49%; 当季营收增-8.93%, 利润增-554.35%; 过往5年营收增10.1%, 利润增-18.13%
Income profile:
</v>
      </c>
      <c r="D51" t="s">
        <v>1157</v>
      </c>
      <c r="E51" t="s">
        <v>1158</v>
      </c>
      <c r="F51">
        <v>9.61</v>
      </c>
      <c r="G51">
        <v>-0.21</v>
      </c>
      <c r="H51" t="s">
        <v>4020</v>
      </c>
      <c r="I51">
        <v>1968001500</v>
      </c>
      <c r="K51">
        <v>2.73</v>
      </c>
      <c r="L51" t="s">
        <v>85</v>
      </c>
      <c r="M51" t="s">
        <v>691</v>
      </c>
      <c r="N51" t="s">
        <v>1580</v>
      </c>
      <c r="O51" t="s">
        <v>249</v>
      </c>
      <c r="P51">
        <v>-9.14</v>
      </c>
      <c r="Q51" t="s">
        <v>1401</v>
      </c>
      <c r="R51">
        <v>-3852866</v>
      </c>
      <c r="S51" s="5">
        <v>-5.5430000000000001</v>
      </c>
      <c r="T51" t="s">
        <v>2553</v>
      </c>
      <c r="U51">
        <v>186892550</v>
      </c>
      <c r="V51">
        <v>204786840</v>
      </c>
      <c r="W51">
        <v>1.44</v>
      </c>
      <c r="X51">
        <v>0.09</v>
      </c>
      <c r="Y51">
        <v>-3.79</v>
      </c>
      <c r="Z51" t="s">
        <v>597</v>
      </c>
      <c r="AA51" t="s">
        <v>4021</v>
      </c>
      <c r="AB51" t="s">
        <v>4022</v>
      </c>
      <c r="AC51" t="s">
        <v>4023</v>
      </c>
      <c r="AD51" t="s">
        <v>90</v>
      </c>
      <c r="AE51">
        <v>1114233</v>
      </c>
      <c r="AF51" t="s">
        <v>2554</v>
      </c>
      <c r="AG51" t="s">
        <v>90</v>
      </c>
      <c r="AH51" t="s">
        <v>2555</v>
      </c>
      <c r="AI51" t="s">
        <v>183</v>
      </c>
      <c r="AJ51" t="s">
        <v>2556</v>
      </c>
      <c r="AK51" t="s">
        <v>4024</v>
      </c>
      <c r="AL51" t="s">
        <v>2557</v>
      </c>
      <c r="AM51" t="s">
        <v>90</v>
      </c>
      <c r="AN51" t="s">
        <v>104</v>
      </c>
      <c r="AO51" t="s">
        <v>4025</v>
      </c>
      <c r="AP51" t="s">
        <v>4026</v>
      </c>
      <c r="AQ51" t="s">
        <v>4027</v>
      </c>
      <c r="AR51" t="s">
        <v>90</v>
      </c>
      <c r="AS51" t="s">
        <v>671</v>
      </c>
      <c r="AT51" t="s">
        <v>90</v>
      </c>
      <c r="AU51" t="s">
        <v>4028</v>
      </c>
      <c r="AV51" t="s">
        <v>4029</v>
      </c>
      <c r="AW51" t="s">
        <v>4030</v>
      </c>
      <c r="AX51" t="s">
        <v>994</v>
      </c>
      <c r="AY51" t="s">
        <v>1224</v>
      </c>
      <c r="AZ51" t="s">
        <v>520</v>
      </c>
      <c r="BA51" t="s">
        <v>257</v>
      </c>
      <c r="BB51" t="s">
        <v>584</v>
      </c>
      <c r="BC51" t="s">
        <v>1824</v>
      </c>
      <c r="BD51" t="s">
        <v>1263</v>
      </c>
      <c r="BE51" t="s">
        <v>1159</v>
      </c>
      <c r="BF51" t="s">
        <v>1160</v>
      </c>
      <c r="BG51" t="s">
        <v>1161</v>
      </c>
      <c r="BH51" t="s">
        <v>1401</v>
      </c>
      <c r="BI51" t="s">
        <v>371</v>
      </c>
      <c r="BJ51" t="s">
        <v>994</v>
      </c>
      <c r="BK51" t="s">
        <v>2553</v>
      </c>
      <c r="BL51" t="s">
        <v>2558</v>
      </c>
      <c r="BM51" t="s">
        <v>1824</v>
      </c>
      <c r="BN51">
        <v>0.65</v>
      </c>
      <c r="BO51">
        <v>5.42</v>
      </c>
      <c r="BP51">
        <v>10.28</v>
      </c>
      <c r="BQ51">
        <v>0.68</v>
      </c>
      <c r="BR51">
        <v>7.09</v>
      </c>
      <c r="BS51">
        <v>11.67</v>
      </c>
      <c r="BT51" t="s">
        <v>1692</v>
      </c>
      <c r="BU51" t="s">
        <v>1337</v>
      </c>
      <c r="BV51">
        <v>18.73</v>
      </c>
      <c r="BW51">
        <v>22.96</v>
      </c>
      <c r="BX51">
        <v>28.19</v>
      </c>
      <c r="BY51">
        <v>-1.62</v>
      </c>
      <c r="BZ51">
        <v>8.27</v>
      </c>
      <c r="CA51">
        <v>12.43</v>
      </c>
      <c r="CB51">
        <v>-5.69</v>
      </c>
      <c r="CC51">
        <v>-22</v>
      </c>
      <c r="CD51" t="s">
        <v>4031</v>
      </c>
      <c r="CE51" t="s">
        <v>4032</v>
      </c>
      <c r="CF51" s="8">
        <v>-8.9285714285714413E-2</v>
      </c>
      <c r="CG51" s="9">
        <v>-5.5434740566037739</v>
      </c>
      <c r="CH51" s="8">
        <v>-0.26235094666481018</v>
      </c>
      <c r="CI51" s="8">
        <v>-0.18472221493721008</v>
      </c>
      <c r="CJ51" s="8">
        <v>0.31386861205101013</v>
      </c>
      <c r="CK51" s="8">
        <v>0.33658537268638611</v>
      </c>
      <c r="CL51" s="8">
        <v>0.30158731341362</v>
      </c>
      <c r="CM51" s="9">
        <v>-1.1448827981948853</v>
      </c>
      <c r="CN51" s="9">
        <v>-0.38657659292221069</v>
      </c>
      <c r="CO51" s="9">
        <v>2.6772711426019669E-2</v>
      </c>
      <c r="CP51" s="9">
        <v>0.33937254548072815</v>
      </c>
      <c r="CQ51" s="9">
        <v>0.25883293151855469</v>
      </c>
      <c r="CR51">
        <v>39.193340721909721</v>
      </c>
      <c r="CS51">
        <v>3.880773645418603</v>
      </c>
      <c r="CT51">
        <v>0</v>
      </c>
      <c r="CU51" s="8">
        <v>0.10099362730979919</v>
      </c>
      <c r="CV51" s="9">
        <v>-0.18129624053835869</v>
      </c>
      <c r="CW51">
        <v>0.06</v>
      </c>
      <c r="CX51" t="e">
        <v>#VALUE!</v>
      </c>
      <c r="CY51" t="s">
        <v>1392</v>
      </c>
      <c r="CZ51">
        <v>0.10099362730979919</v>
      </c>
      <c r="DA51" t="e">
        <v>#VALUE!</v>
      </c>
      <c r="DB51" t="s">
        <v>1391</v>
      </c>
      <c r="DC51">
        <v>9.5943945944309231E-2</v>
      </c>
      <c r="DD51" t="e">
        <v>#VALUE!</v>
      </c>
      <c r="DE51" t="s">
        <v>1391</v>
      </c>
      <c r="DF51">
        <v>8.8874392032623289E-2</v>
      </c>
      <c r="DG51" t="e">
        <v>#VALUE!</v>
      </c>
      <c r="DH51" t="s">
        <v>1391</v>
      </c>
      <c r="DI51">
        <v>8.0794901847839357E-2</v>
      </c>
      <c r="DJ51" t="e">
        <v>#VALUE!</v>
      </c>
      <c r="DK51" t="s">
        <v>1391</v>
      </c>
      <c r="DL51">
        <v>7.0695539116859427E-2</v>
      </c>
      <c r="DM51">
        <v>-7040200</v>
      </c>
      <c r="DN51">
        <v>0.10099362730979919</v>
      </c>
      <c r="DO51">
        <v>1555001500</v>
      </c>
      <c r="DP51">
        <v>378936260</v>
      </c>
      <c r="DQ51">
        <v>1394</v>
      </c>
      <c r="DR51">
        <v>-0.1902793415955136</v>
      </c>
      <c r="DS51">
        <v>-5.3621778160654152</v>
      </c>
      <c r="DT51" s="10">
        <v>-0.40666666666666673</v>
      </c>
      <c r="DU51">
        <v>-1.5816666666666668</v>
      </c>
      <c r="DV51">
        <v>-1.9883333333333335</v>
      </c>
      <c r="DW51">
        <v>-8.2586363636363629</v>
      </c>
      <c r="DX51">
        <v>0.46056929853588441</v>
      </c>
      <c r="DY51">
        <v>-8.0441154231213261</v>
      </c>
      <c r="DZ51">
        <v>4379</v>
      </c>
      <c r="EA51">
        <v>-8.0063108364582565</v>
      </c>
      <c r="EB51">
        <v>8</v>
      </c>
      <c r="EC51">
        <v>6.467798419078101E-2</v>
      </c>
      <c r="ED51">
        <v>0.37918891663155702</v>
      </c>
      <c r="EE51" s="11">
        <v>5.0282</v>
      </c>
      <c r="EF51">
        <v>5.0045999999999999</v>
      </c>
      <c r="EG51">
        <v>29.170569298535884</v>
      </c>
      <c r="EH51" t="s">
        <v>3134</v>
      </c>
      <c r="EI51">
        <v>0</v>
      </c>
      <c r="EJ51">
        <v>0</v>
      </c>
      <c r="EK51" s="13">
        <v>45470</v>
      </c>
      <c r="EL51" s="14">
        <v>-0.28000000000000003</v>
      </c>
      <c r="EM51" s="14">
        <v>-7.06</v>
      </c>
      <c r="EN51" s="14">
        <v>2.83</v>
      </c>
      <c r="EO51" s="14">
        <v>4.33</v>
      </c>
      <c r="EP51" s="14">
        <v>-2.36</v>
      </c>
    </row>
    <row r="52" spans="1:146" ht="108">
      <c r="A52" s="7"/>
      <c r="B52" s="7"/>
      <c r="C52" s="7" t="str">
        <f>""&amp;CHAR(10)&amp;Basic_Fundamental_Information_Constructure(F52)&amp;CHAR(10)&amp;Basic_Fundamental_Information_Concatenate("")</f>
        <v xml:space="preserve">
市值38.630135亿, 利润1.13亿; PE30.78; 平均PE74.71; 平均PEG2.35, PB2.87; ROIC7.735%; ROE6.1467%; 股利率2.1119%; 毛利28.5433%; 净利6.8067%; 上一年度营收增62.19%, 利润增16.14%; 当季营收增73.17%, 利润增70%; 过往5年营收增31.75%, 利润增262.25%
Income profile:
</v>
      </c>
      <c r="D52" t="s">
        <v>130</v>
      </c>
      <c r="E52" t="s">
        <v>36</v>
      </c>
      <c r="F52">
        <v>18.940000000000001</v>
      </c>
      <c r="G52">
        <v>0.42</v>
      </c>
      <c r="H52" t="s">
        <v>4033</v>
      </c>
      <c r="I52">
        <v>3863013500</v>
      </c>
      <c r="J52">
        <v>30.78</v>
      </c>
      <c r="K52">
        <v>2.87</v>
      </c>
      <c r="L52" t="s">
        <v>85</v>
      </c>
      <c r="M52" t="s">
        <v>1790</v>
      </c>
      <c r="N52" t="s">
        <v>4034</v>
      </c>
      <c r="O52" t="s">
        <v>266</v>
      </c>
      <c r="P52">
        <v>73.290000000000006</v>
      </c>
      <c r="Q52" t="s">
        <v>2559</v>
      </c>
      <c r="R52">
        <v>30219664</v>
      </c>
      <c r="S52" s="6">
        <v>0.7</v>
      </c>
      <c r="T52" t="s">
        <v>143</v>
      </c>
      <c r="U52">
        <v>120436370</v>
      </c>
      <c r="V52">
        <v>203960580</v>
      </c>
      <c r="W52">
        <v>2.4</v>
      </c>
      <c r="X52">
        <v>0.1</v>
      </c>
      <c r="Y52">
        <v>8.1199999999999992</v>
      </c>
      <c r="Z52" t="s">
        <v>1904</v>
      </c>
      <c r="AA52" t="s">
        <v>483</v>
      </c>
      <c r="AB52" t="s">
        <v>4035</v>
      </c>
      <c r="AC52" t="s">
        <v>4036</v>
      </c>
      <c r="AD52" t="s">
        <v>90</v>
      </c>
      <c r="AE52">
        <v>5090002</v>
      </c>
      <c r="AF52" t="s">
        <v>2560</v>
      </c>
      <c r="AG52" t="s">
        <v>4037</v>
      </c>
      <c r="AH52" t="s">
        <v>2561</v>
      </c>
      <c r="AI52" t="s">
        <v>165</v>
      </c>
      <c r="AJ52" t="s">
        <v>2562</v>
      </c>
      <c r="AK52" t="s">
        <v>4038</v>
      </c>
      <c r="AL52" t="s">
        <v>2563</v>
      </c>
      <c r="AM52" t="s">
        <v>90</v>
      </c>
      <c r="AN52" t="s">
        <v>399</v>
      </c>
      <c r="AO52" t="s">
        <v>1221</v>
      </c>
      <c r="AP52" t="s">
        <v>4039</v>
      </c>
      <c r="AQ52" t="s">
        <v>960</v>
      </c>
      <c r="AR52" t="s">
        <v>90</v>
      </c>
      <c r="AS52" t="s">
        <v>4040</v>
      </c>
      <c r="AT52" t="s">
        <v>173</v>
      </c>
      <c r="AU52" t="s">
        <v>4041</v>
      </c>
      <c r="AV52" t="s">
        <v>2978</v>
      </c>
      <c r="AW52" t="s">
        <v>237</v>
      </c>
      <c r="AX52" t="s">
        <v>1811</v>
      </c>
      <c r="AY52" t="s">
        <v>890</v>
      </c>
      <c r="AZ52" t="s">
        <v>807</v>
      </c>
      <c r="BA52" t="s">
        <v>133</v>
      </c>
      <c r="BB52" t="s">
        <v>484</v>
      </c>
      <c r="BC52" t="s">
        <v>1825</v>
      </c>
      <c r="BD52" t="s">
        <v>1264</v>
      </c>
      <c r="BE52" t="s">
        <v>808</v>
      </c>
      <c r="BF52" t="s">
        <v>134</v>
      </c>
      <c r="BG52" t="s">
        <v>811</v>
      </c>
      <c r="BH52" t="s">
        <v>2559</v>
      </c>
      <c r="BI52" t="s">
        <v>659</v>
      </c>
      <c r="BJ52" t="s">
        <v>1811</v>
      </c>
      <c r="BK52" t="s">
        <v>143</v>
      </c>
      <c r="BL52" t="s">
        <v>2564</v>
      </c>
      <c r="BM52" t="s">
        <v>1825</v>
      </c>
      <c r="BN52">
        <v>6.16</v>
      </c>
      <c r="BO52">
        <v>9.31</v>
      </c>
      <c r="BP52" t="s">
        <v>90</v>
      </c>
      <c r="BQ52">
        <v>7.36</v>
      </c>
      <c r="BR52">
        <v>11.96</v>
      </c>
      <c r="BS52">
        <v>-0.88</v>
      </c>
      <c r="BT52" t="s">
        <v>2565</v>
      </c>
      <c r="BU52" t="s">
        <v>1447</v>
      </c>
      <c r="BV52">
        <v>29.03</v>
      </c>
      <c r="BW52">
        <v>30.29</v>
      </c>
      <c r="BX52">
        <v>26.31</v>
      </c>
      <c r="BY52">
        <v>8.67</v>
      </c>
      <c r="BZ52">
        <v>13.34</v>
      </c>
      <c r="CA52">
        <v>-1.59</v>
      </c>
      <c r="CB52">
        <v>-8.3699999999999992</v>
      </c>
      <c r="CC52">
        <v>-0.05</v>
      </c>
      <c r="CD52" t="s">
        <v>4042</v>
      </c>
      <c r="CE52" t="s">
        <v>349</v>
      </c>
      <c r="CF52" s="8">
        <v>0.73170731707317094</v>
      </c>
      <c r="CG52" s="9">
        <v>0.69996872292789403</v>
      </c>
      <c r="CH52" s="8">
        <v>0.62189054489135742</v>
      </c>
      <c r="CI52" s="8">
        <v>0.75929975509643555</v>
      </c>
      <c r="CJ52" s="8">
        <v>0.25205478072166443</v>
      </c>
      <c r="CK52" s="8">
        <v>0.20860926806926727</v>
      </c>
      <c r="CL52" s="8">
        <v>-0.25432097911834717</v>
      </c>
      <c r="CM52" s="9">
        <v>0.16137811541557312</v>
      </c>
      <c r="CN52" s="9">
        <v>15.380886077880859</v>
      </c>
      <c r="CO52" s="9">
        <v>-0.13235145807266235</v>
      </c>
      <c r="CP52" s="9">
        <v>-1.4360263347625732</v>
      </c>
      <c r="CQ52" s="9">
        <v>-0.86155843734741211</v>
      </c>
      <c r="CR52">
        <v>74.709368421493721</v>
      </c>
      <c r="CS52">
        <v>2.3530015132052426</v>
      </c>
      <c r="CT52">
        <v>2.1119324181626187</v>
      </c>
      <c r="CU52" s="8">
        <v>0.31750667393207549</v>
      </c>
      <c r="CV52" s="9">
        <v>2.6224655926227571</v>
      </c>
      <c r="CW52">
        <v>0.06</v>
      </c>
      <c r="CX52">
        <v>31.299227254302448</v>
      </c>
      <c r="CY52">
        <v>140451183.16445708</v>
      </c>
      <c r="CZ52">
        <v>0.31750667393207549</v>
      </c>
      <c r="DA52">
        <v>8.4803129095799452</v>
      </c>
      <c r="DB52">
        <v>518378690.37048864</v>
      </c>
      <c r="DC52">
        <v>0.30163134023547172</v>
      </c>
      <c r="DD52">
        <v>3.1892988510941782</v>
      </c>
      <c r="DE52">
        <v>1378363616.9723713</v>
      </c>
      <c r="DF52">
        <v>0.27940587306022641</v>
      </c>
      <c r="DG52">
        <v>1.377404380899123</v>
      </c>
      <c r="DH52">
        <v>3191519905.8176589</v>
      </c>
      <c r="DI52">
        <v>0.25400533914566042</v>
      </c>
      <c r="DJ52">
        <v>0.31755199122495809</v>
      </c>
      <c r="DK52">
        <v>13843444920.758835</v>
      </c>
      <c r="DL52">
        <v>0.22225467175245284</v>
      </c>
      <c r="DM52">
        <v>112999999.99999999</v>
      </c>
      <c r="DN52">
        <v>0.31750667393207549</v>
      </c>
      <c r="DO52">
        <v>4396013500</v>
      </c>
      <c r="DP52">
        <v>534393100</v>
      </c>
      <c r="DQ52">
        <v>1405</v>
      </c>
      <c r="DR52">
        <v>0.41420064314109545</v>
      </c>
      <c r="DS52">
        <v>-1.922496869694863</v>
      </c>
      <c r="DT52" s="10">
        <v>0.34333333333333332</v>
      </c>
      <c r="DU52">
        <v>-0.29333333333333339</v>
      </c>
      <c r="DV52">
        <v>4.9999999999999933E-2</v>
      </c>
      <c r="DW52">
        <v>-5.0059737156511348</v>
      </c>
      <c r="DX52">
        <v>0.2918257777777794</v>
      </c>
      <c r="DY52">
        <v>-5.0007277525554228</v>
      </c>
      <c r="DZ52">
        <v>1592</v>
      </c>
      <c r="EA52">
        <v>-5.0005010241663364</v>
      </c>
      <c r="EB52">
        <v>5</v>
      </c>
      <c r="EC52">
        <v>0.13439263606722437</v>
      </c>
      <c r="ED52">
        <v>1.1031543448248677</v>
      </c>
      <c r="EE52" s="11">
        <v>-4.0487099999999998</v>
      </c>
      <c r="EF52">
        <v>-4.09091</v>
      </c>
      <c r="EG52">
        <v>17.121825777777779</v>
      </c>
      <c r="EH52" t="s">
        <v>2124</v>
      </c>
      <c r="EI52">
        <v>0</v>
      </c>
      <c r="EJ52">
        <v>0</v>
      </c>
      <c r="EK52" s="13">
        <v>45470</v>
      </c>
      <c r="EL52" s="14">
        <v>-3.68</v>
      </c>
      <c r="EM52" s="14">
        <v>-4.7300000000000004</v>
      </c>
      <c r="EN52" s="14">
        <v>1.48</v>
      </c>
      <c r="EO52" s="14">
        <v>0.33</v>
      </c>
      <c r="EP52" s="14">
        <v>-4.22</v>
      </c>
    </row>
    <row r="53" spans="1:146" ht="108">
      <c r="A53" s="7"/>
      <c r="B53" s="7"/>
      <c r="C53" s="7" t="str">
        <f>""&amp;CHAR(10)&amp;Basic_Fundamental_Information_Constructure(F53)&amp;CHAR(10)&amp;Basic_Fundamental_Information_Concatenate("")</f>
        <v xml:space="preserve">
市值27.685472亿, 利润9758.99万; PE25.89; 平均PE27.22; 平均PEG3.15, PB2.57; ROIC11.13%; ROE11.6867%; 股利率1.7094%; 毛利39.6333%; 净利24.45%; 上一年度营收增-4.33%, 利润增-29.79%; 当季营收增35.78%, 利润增36.29%; 过往5年营收增8.65%, 利润增7.22%
Income profile:
</v>
      </c>
      <c r="D53" t="s">
        <v>812</v>
      </c>
      <c r="E53" t="s">
        <v>813</v>
      </c>
      <c r="F53">
        <v>11.7</v>
      </c>
      <c r="G53">
        <v>1.3</v>
      </c>
      <c r="H53" t="s">
        <v>4043</v>
      </c>
      <c r="I53">
        <v>2768547200</v>
      </c>
      <c r="J53">
        <v>25.89</v>
      </c>
      <c r="K53">
        <v>2.57</v>
      </c>
      <c r="L53" t="s">
        <v>85</v>
      </c>
      <c r="M53" t="s">
        <v>1339</v>
      </c>
      <c r="N53" t="s">
        <v>1321</v>
      </c>
      <c r="O53" t="s">
        <v>502</v>
      </c>
      <c r="P53">
        <v>36.229999999999997</v>
      </c>
      <c r="Q53" t="s">
        <v>467</v>
      </c>
      <c r="R53">
        <v>35061921</v>
      </c>
      <c r="S53" s="5">
        <v>0.3629</v>
      </c>
      <c r="T53" t="s">
        <v>2567</v>
      </c>
      <c r="U53">
        <v>198749030</v>
      </c>
      <c r="V53">
        <v>236627970</v>
      </c>
      <c r="W53">
        <v>1.22</v>
      </c>
      <c r="X53">
        <v>0.11</v>
      </c>
      <c r="Y53">
        <v>23.72</v>
      </c>
      <c r="Z53" t="s">
        <v>342</v>
      </c>
      <c r="AA53" t="s">
        <v>4044</v>
      </c>
      <c r="AB53" t="s">
        <v>4045</v>
      </c>
      <c r="AC53" t="s">
        <v>4046</v>
      </c>
      <c r="AD53" t="s">
        <v>90</v>
      </c>
      <c r="AE53">
        <v>-1024448</v>
      </c>
      <c r="AF53" t="s">
        <v>2568</v>
      </c>
      <c r="AG53" t="s">
        <v>90</v>
      </c>
      <c r="AH53" t="s">
        <v>2569</v>
      </c>
      <c r="AI53" t="s">
        <v>304</v>
      </c>
      <c r="AJ53" t="s">
        <v>2570</v>
      </c>
      <c r="AK53" t="s">
        <v>4047</v>
      </c>
      <c r="AL53" t="s">
        <v>2571</v>
      </c>
      <c r="AM53" t="s">
        <v>90</v>
      </c>
      <c r="AN53" t="s">
        <v>339</v>
      </c>
      <c r="AO53" t="s">
        <v>90</v>
      </c>
      <c r="AP53" t="s">
        <v>90</v>
      </c>
      <c r="AQ53" t="s">
        <v>521</v>
      </c>
      <c r="AR53" t="s">
        <v>4048</v>
      </c>
      <c r="AS53" t="s">
        <v>848</v>
      </c>
      <c r="AT53" t="s">
        <v>90</v>
      </c>
      <c r="AU53" t="s">
        <v>4049</v>
      </c>
      <c r="AV53" t="s">
        <v>4050</v>
      </c>
      <c r="AW53" t="s">
        <v>4051</v>
      </c>
      <c r="AX53" t="s">
        <v>1581</v>
      </c>
      <c r="AY53" t="s">
        <v>449</v>
      </c>
      <c r="AZ53" t="s">
        <v>606</v>
      </c>
      <c r="BA53" t="s">
        <v>525</v>
      </c>
      <c r="BB53" t="s">
        <v>229</v>
      </c>
      <c r="BC53" t="s">
        <v>339</v>
      </c>
      <c r="BD53" t="s">
        <v>253</v>
      </c>
      <c r="BE53" t="s">
        <v>814</v>
      </c>
      <c r="BF53" t="s">
        <v>815</v>
      </c>
      <c r="BG53" t="s">
        <v>816</v>
      </c>
      <c r="BH53" t="s">
        <v>467</v>
      </c>
      <c r="BI53" t="s">
        <v>342</v>
      </c>
      <c r="BJ53" t="s">
        <v>1581</v>
      </c>
      <c r="BK53" t="s">
        <v>2567</v>
      </c>
      <c r="BL53" t="s">
        <v>2572</v>
      </c>
      <c r="BM53" t="s">
        <v>339</v>
      </c>
      <c r="BN53">
        <v>6.05</v>
      </c>
      <c r="BO53">
        <v>13.48</v>
      </c>
      <c r="BP53">
        <v>13.86</v>
      </c>
      <c r="BQ53">
        <v>6.43</v>
      </c>
      <c r="BR53">
        <v>14.52</v>
      </c>
      <c r="BS53">
        <v>14.11</v>
      </c>
      <c r="BT53" t="s">
        <v>1694</v>
      </c>
      <c r="BU53" t="s">
        <v>1447</v>
      </c>
      <c r="BV53">
        <v>38.1</v>
      </c>
      <c r="BW53">
        <v>40.130000000000003</v>
      </c>
      <c r="BX53">
        <v>40.67</v>
      </c>
      <c r="BY53">
        <v>20.09</v>
      </c>
      <c r="BZ53">
        <v>27.41</v>
      </c>
      <c r="CA53">
        <v>25.85</v>
      </c>
      <c r="CB53">
        <v>-4.96</v>
      </c>
      <c r="CC53">
        <v>-9.65</v>
      </c>
      <c r="CD53" t="s">
        <v>4052</v>
      </c>
      <c r="CE53" t="s">
        <v>579</v>
      </c>
      <c r="CF53" s="8">
        <v>0.35779816513761448</v>
      </c>
      <c r="CG53" s="9">
        <v>0.36286119090283636</v>
      </c>
      <c r="CH53" s="8">
        <v>-4.3307088315486908E-2</v>
      </c>
      <c r="CI53" s="8">
        <v>6.2761507928371429E-2</v>
      </c>
      <c r="CJ53" s="8">
        <v>0.23195876181125641</v>
      </c>
      <c r="CK53" s="8">
        <v>0.19018404185771942</v>
      </c>
      <c r="CL53" s="8">
        <v>-9.1185411438345909E-3</v>
      </c>
      <c r="CM53" s="9">
        <v>-0.29791435599327087</v>
      </c>
      <c r="CN53" s="9">
        <v>0.13008129596710205</v>
      </c>
      <c r="CO53" s="9">
        <v>0.31363525986671448</v>
      </c>
      <c r="CP53" s="9">
        <v>0.16127833724021912</v>
      </c>
      <c r="CQ53" s="9">
        <v>5.3736694157123566E-2</v>
      </c>
      <c r="CR53">
        <v>27.215086445869591</v>
      </c>
      <c r="CS53">
        <v>3.1464078542932534</v>
      </c>
      <c r="CT53">
        <v>1.7094017094017095</v>
      </c>
      <c r="CU53" s="8">
        <v>8.6495736427605149E-2</v>
      </c>
      <c r="CV53" s="9">
        <v>7.2163446247577673E-2</v>
      </c>
      <c r="CW53">
        <v>0.06</v>
      </c>
      <c r="CX53">
        <v>19.279831690987042</v>
      </c>
      <c r="CY53">
        <v>100029254.97018522</v>
      </c>
      <c r="CZ53">
        <v>8.6495736427605149E-2</v>
      </c>
      <c r="DA53">
        <v>6.3192000322835886</v>
      </c>
      <c r="DB53">
        <v>305188503.31488478</v>
      </c>
      <c r="DC53">
        <v>8.2170949606224883E-2</v>
      </c>
      <c r="DD53">
        <v>3.1231534057756409</v>
      </c>
      <c r="DE53">
        <v>617499991.01342309</v>
      </c>
      <c r="DF53">
        <v>7.6116248056292538E-2</v>
      </c>
      <c r="DG53">
        <v>1.8838979445213744</v>
      </c>
      <c r="DH53">
        <v>1023700464.0344088</v>
      </c>
      <c r="DI53">
        <v>6.9196589142084125E-2</v>
      </c>
      <c r="DJ53">
        <v>0.98274499955519545</v>
      </c>
      <c r="DK53">
        <v>1962408560.5857961</v>
      </c>
      <c r="DL53">
        <v>6.0547015499323599E-2</v>
      </c>
      <c r="DM53">
        <v>97589900</v>
      </c>
      <c r="DN53">
        <v>8.6495736427605149E-2</v>
      </c>
      <c r="DO53">
        <v>1928547200</v>
      </c>
      <c r="DP53">
        <v>518154090</v>
      </c>
      <c r="DQ53">
        <v>1480</v>
      </c>
      <c r="DR53">
        <v>0.27130242871000931</v>
      </c>
      <c r="DS53">
        <v>0.29069774465525866</v>
      </c>
      <c r="DT53" s="10">
        <v>-0.19000000000000003</v>
      </c>
      <c r="DU53">
        <v>8.3333333333333329E-2</v>
      </c>
      <c r="DV53">
        <v>-0.1066666666666667</v>
      </c>
      <c r="DW53">
        <v>-8.5139896373057002</v>
      </c>
      <c r="DX53">
        <v>0.40984559999999948</v>
      </c>
      <c r="DY53">
        <v>-8.066739292849741</v>
      </c>
      <c r="DZ53">
        <v>1955</v>
      </c>
      <c r="EA53">
        <v>-8.0412059626107499</v>
      </c>
      <c r="EB53">
        <v>8</v>
      </c>
      <c r="EC53">
        <v>6.8591637751023268E-2</v>
      </c>
      <c r="ED53">
        <v>0.52825538756048152</v>
      </c>
      <c r="EE53" s="11">
        <v>2.0301999999999998</v>
      </c>
      <c r="EF53">
        <v>2.0055100000000001</v>
      </c>
      <c r="EG53">
        <v>28.129845599999999</v>
      </c>
      <c r="EH53" t="s">
        <v>2143</v>
      </c>
      <c r="EI53">
        <v>0</v>
      </c>
      <c r="EJ53">
        <v>0</v>
      </c>
      <c r="EK53" s="13">
        <v>45470</v>
      </c>
      <c r="EL53" s="14">
        <v>-0.4</v>
      </c>
      <c r="EM53" s="14">
        <v>-4.96</v>
      </c>
      <c r="EN53" s="14">
        <v>2.57</v>
      </c>
      <c r="EO53" s="14">
        <v>5</v>
      </c>
      <c r="EP53" s="14">
        <v>-3.57</v>
      </c>
    </row>
    <row r="54" spans="1:146" ht="108">
      <c r="C54" s="7" t="str">
        <f>""&amp;CHAR(10)&amp;Basic_Fundamental_Information_Constructure(F54)&amp;CHAR(10)&amp;Basic_Fundamental_Information_Concatenate("")</f>
        <v xml:space="preserve">
市值43.550267亿, 利润1.31亿; PE33.19; 平均PE31.34; 平均PEG3.46, PB1.53; ROIC7.03%; ROE9.6167%; 股利率.7519%; 毛利30.6867%; 净利10.46%; 上一年度营收增-4.51%, 利润增-52.54%; 当季营收增1.54%, 利润增2.87%; 过往5年营收增9.05%, 利润增1.9%
Income profile:
</v>
      </c>
      <c r="D54" t="s">
        <v>4053</v>
      </c>
      <c r="E54" t="s">
        <v>4054</v>
      </c>
      <c r="F54">
        <v>13.3</v>
      </c>
      <c r="G54">
        <v>-0.08</v>
      </c>
      <c r="H54" t="s">
        <v>4055</v>
      </c>
      <c r="I54">
        <v>4355026700</v>
      </c>
      <c r="J54">
        <v>33.19</v>
      </c>
      <c r="K54">
        <v>1.53</v>
      </c>
      <c r="L54" t="s">
        <v>85</v>
      </c>
      <c r="M54" t="s">
        <v>4056</v>
      </c>
      <c r="N54" t="s">
        <v>4057</v>
      </c>
      <c r="O54" t="s">
        <v>4058</v>
      </c>
      <c r="P54" s="5">
        <v>1.53</v>
      </c>
      <c r="Q54" t="s">
        <v>4059</v>
      </c>
      <c r="R54">
        <v>14486040</v>
      </c>
      <c r="S54">
        <v>2.87E-2</v>
      </c>
      <c r="T54" t="s">
        <v>175</v>
      </c>
      <c r="U54">
        <v>282974530</v>
      </c>
      <c r="V54">
        <v>327445620</v>
      </c>
      <c r="W54">
        <v>1.92</v>
      </c>
      <c r="X54">
        <v>0.1</v>
      </c>
      <c r="Y54">
        <v>1.74</v>
      </c>
      <c r="Z54" t="s">
        <v>1089</v>
      </c>
      <c r="AA54" t="s">
        <v>2880</v>
      </c>
      <c r="AB54" t="s">
        <v>4060</v>
      </c>
      <c r="AC54" t="s">
        <v>4061</v>
      </c>
      <c r="AD54" t="s">
        <v>90</v>
      </c>
      <c r="AE54">
        <v>3895477</v>
      </c>
      <c r="AF54" t="s">
        <v>4062</v>
      </c>
      <c r="AG54" t="s">
        <v>4063</v>
      </c>
      <c r="AH54" t="s">
        <v>4064</v>
      </c>
      <c r="AI54" t="s">
        <v>3819</v>
      </c>
      <c r="AJ54" t="s">
        <v>4065</v>
      </c>
      <c r="AK54" t="s">
        <v>4066</v>
      </c>
      <c r="AL54" t="s">
        <v>4067</v>
      </c>
      <c r="AM54" t="s">
        <v>90</v>
      </c>
      <c r="AN54" t="s">
        <v>418</v>
      </c>
      <c r="AO54" t="s">
        <v>214</v>
      </c>
      <c r="AP54" t="s">
        <v>4068</v>
      </c>
      <c r="AQ54" t="s">
        <v>4069</v>
      </c>
      <c r="AR54" t="s">
        <v>4070</v>
      </c>
      <c r="AS54" t="s">
        <v>4071</v>
      </c>
      <c r="AT54" t="s">
        <v>567</v>
      </c>
      <c r="AU54" t="s">
        <v>4072</v>
      </c>
      <c r="AV54" t="s">
        <v>4073</v>
      </c>
      <c r="AW54" t="s">
        <v>4074</v>
      </c>
      <c r="AX54" t="s">
        <v>996</v>
      </c>
      <c r="AY54" t="s">
        <v>2850</v>
      </c>
      <c r="AZ54" t="s">
        <v>4075</v>
      </c>
      <c r="BA54" t="s">
        <v>4076</v>
      </c>
      <c r="BB54" t="s">
        <v>4077</v>
      </c>
      <c r="BC54" t="s">
        <v>1055</v>
      </c>
      <c r="BD54" t="s">
        <v>1052</v>
      </c>
      <c r="BE54" t="s">
        <v>653</v>
      </c>
      <c r="BF54" t="s">
        <v>4078</v>
      </c>
      <c r="BG54" t="s">
        <v>4079</v>
      </c>
      <c r="BH54" t="s">
        <v>4059</v>
      </c>
      <c r="BI54" t="s">
        <v>707</v>
      </c>
      <c r="BJ54" t="s">
        <v>996</v>
      </c>
      <c r="BK54" t="s">
        <v>175</v>
      </c>
      <c r="BL54" t="s">
        <v>4080</v>
      </c>
      <c r="BM54" t="s">
        <v>1055</v>
      </c>
      <c r="BN54">
        <v>3.24</v>
      </c>
      <c r="BO54">
        <v>7.64</v>
      </c>
      <c r="BP54">
        <v>10.210000000000001</v>
      </c>
      <c r="BQ54">
        <v>4.12</v>
      </c>
      <c r="BR54">
        <v>10.77</v>
      </c>
      <c r="BS54">
        <v>13.96</v>
      </c>
      <c r="BT54" t="s">
        <v>1697</v>
      </c>
      <c r="BU54" t="s">
        <v>3551</v>
      </c>
      <c r="BV54">
        <v>30.22</v>
      </c>
      <c r="BW54">
        <v>28.37</v>
      </c>
      <c r="BX54">
        <v>33.47</v>
      </c>
      <c r="BY54">
        <v>5.81</v>
      </c>
      <c r="BZ54">
        <v>11.53</v>
      </c>
      <c r="CA54">
        <v>14.04</v>
      </c>
      <c r="CB54">
        <v>-3.06</v>
      </c>
      <c r="CC54" s="8">
        <v>-2.99</v>
      </c>
      <c r="CD54" s="9" t="s">
        <v>4081</v>
      </c>
      <c r="CE54" s="8" t="s">
        <v>516</v>
      </c>
      <c r="CF54" s="8">
        <v>1.5410958904109588E-2</v>
      </c>
      <c r="CG54" s="8">
        <v>2.8728473529098464E-2</v>
      </c>
      <c r="CH54" s="8">
        <v>-4.5093946158885956E-2</v>
      </c>
      <c r="CI54" s="8">
        <v>3.4110564738512039E-2</v>
      </c>
      <c r="CJ54" s="9">
        <v>0.19319942593574524</v>
      </c>
      <c r="CK54" s="9">
        <v>6.7069746553897858E-2</v>
      </c>
      <c r="CL54" s="9">
        <v>0.20304237306118011</v>
      </c>
      <c r="CM54" s="9">
        <v>-0.52536231279373169</v>
      </c>
      <c r="CN54" s="9">
        <v>4.9429658800363541E-2</v>
      </c>
      <c r="CO54">
        <v>0.27669903635978699</v>
      </c>
      <c r="CP54">
        <v>2.980769157409668</v>
      </c>
      <c r="CQ54">
        <v>-2.6867401599884033</v>
      </c>
      <c r="CR54" s="8">
        <v>31.344003184041789</v>
      </c>
      <c r="CS54" s="9">
        <v>3.4647414940762262</v>
      </c>
      <c r="CT54">
        <v>0.75187969924812026</v>
      </c>
      <c r="CU54">
        <v>9.0465632826089853E-2</v>
      </c>
      <c r="CV54">
        <v>1.8959075957536698E-2</v>
      </c>
      <c r="CW54">
        <v>0.06</v>
      </c>
      <c r="CX54">
        <v>30.831624327023942</v>
      </c>
      <c r="CY54">
        <v>134765092.35869598</v>
      </c>
      <c r="CZ54">
        <v>9.0465632826089853E-2</v>
      </c>
      <c r="DA54">
        <v>10.071515539107706</v>
      </c>
      <c r="DB54">
        <v>412552280.12765568</v>
      </c>
      <c r="DC54">
        <v>8.5942351184785354E-2</v>
      </c>
      <c r="DD54">
        <v>4.9553599474592787</v>
      </c>
      <c r="DE54">
        <v>838491400.03046048</v>
      </c>
      <c r="DF54">
        <v>7.9609756886959065E-2</v>
      </c>
      <c r="DG54">
        <v>2.9740096239945415</v>
      </c>
      <c r="DH54">
        <v>1397112728.3775144</v>
      </c>
      <c r="DI54">
        <v>7.2372506260871883E-2</v>
      </c>
      <c r="DJ54">
        <v>1.5343200167661468</v>
      </c>
      <c r="DK54">
        <v>2708057416.0516133</v>
      </c>
      <c r="DL54">
        <v>6.3325942978262897E-2</v>
      </c>
      <c r="DM54">
        <v>131000000</v>
      </c>
      <c r="DN54">
        <v>9.0465632826089853E-2</v>
      </c>
      <c r="DO54">
        <v>4155026699.9999995</v>
      </c>
      <c r="DP54">
        <v>1541065700.0000002</v>
      </c>
      <c r="DQ54" s="10">
        <v>1505</v>
      </c>
      <c r="DR54">
        <v>-7.5054673921980258E-2</v>
      </c>
      <c r="DS54">
        <v>9.7693975715617658E-3</v>
      </c>
      <c r="DT54">
        <v>-0.20666666666666669</v>
      </c>
      <c r="DU54">
        <v>-0.20333333333333334</v>
      </c>
      <c r="DV54">
        <v>-0.41000000000000003</v>
      </c>
      <c r="DW54">
        <v>-4.977124183006536</v>
      </c>
      <c r="DX54">
        <v>0.29768551236749047</v>
      </c>
      <c r="DY54">
        <v>-4.1149933601237905</v>
      </c>
      <c r="DZ54">
        <v>2699</v>
      </c>
      <c r="EA54">
        <v>-4.0542561626728881</v>
      </c>
      <c r="EB54" s="11">
        <v>4</v>
      </c>
      <c r="EC54" s="11">
        <v>0.10171154526360744</v>
      </c>
      <c r="ED54">
        <v>0.86426564508635051</v>
      </c>
      <c r="EE54">
        <v>-5.1093099999999998</v>
      </c>
      <c r="EF54">
        <v>-5.1388100000000003</v>
      </c>
      <c r="EG54">
        <v>18.11768551236749</v>
      </c>
      <c r="EH54" s="13" t="s">
        <v>2138</v>
      </c>
      <c r="EI54">
        <v>0</v>
      </c>
      <c r="EJ54">
        <v>0</v>
      </c>
      <c r="EK54">
        <v>45470</v>
      </c>
      <c r="EL54">
        <v>0.99</v>
      </c>
      <c r="EM54">
        <v>-5.27</v>
      </c>
      <c r="EN54" s="14">
        <v>0.15</v>
      </c>
      <c r="EO54" s="14">
        <v>3.11</v>
      </c>
      <c r="EP54" s="14">
        <v>-2.95</v>
      </c>
    </row>
    <row r="55" spans="1:146" ht="108">
      <c r="C55" s="7" t="str">
        <f>""&amp;CHAR(10)&amp;Basic_Fundamental_Information_Constructure(F55)&amp;CHAR(10)&amp;Basic_Fundamental_Information_Concatenate("")</f>
        <v xml:space="preserve">
市值33.385068亿, 利润2.40亿; PE14.98; 平均PE17.47; 平均PEG.57, PB1.35; ROIC8.4767%; ROE8.8633%; 股利率1.5576%; 毛利25.02%; 净利16.8267%; 上一年度营收增71.55%, 利润增12.15%; 当季营收增-15.5%, 利润增-97.29%; 过往5年营收增30.46%, 利润增24.23%
Income profile:
</v>
      </c>
      <c r="D55" t="s">
        <v>4082</v>
      </c>
      <c r="E55" t="s">
        <v>4083</v>
      </c>
      <c r="F55">
        <v>3.21</v>
      </c>
      <c r="G55">
        <v>0.63</v>
      </c>
      <c r="H55" t="s">
        <v>4084</v>
      </c>
      <c r="I55">
        <v>3338506800</v>
      </c>
      <c r="J55">
        <v>14.98</v>
      </c>
      <c r="K55">
        <v>1.35</v>
      </c>
      <c r="L55" t="s">
        <v>85</v>
      </c>
      <c r="M55" t="s">
        <v>387</v>
      </c>
      <c r="N55" t="s">
        <v>4085</v>
      </c>
      <c r="O55" t="s">
        <v>364</v>
      </c>
      <c r="P55" s="5">
        <v>-15.56</v>
      </c>
      <c r="Q55" t="s">
        <v>4086</v>
      </c>
      <c r="R55">
        <v>474432</v>
      </c>
      <c r="S55">
        <v>-0.97289999999999999</v>
      </c>
      <c r="T55" t="s">
        <v>111</v>
      </c>
      <c r="U55">
        <v>1005910350</v>
      </c>
      <c r="V55">
        <v>1040033260</v>
      </c>
      <c r="W55">
        <v>1.19</v>
      </c>
      <c r="X55">
        <v>0.11</v>
      </c>
      <c r="Y55">
        <v>-2.84</v>
      </c>
      <c r="Z55" t="s">
        <v>1540</v>
      </c>
      <c r="AA55" t="s">
        <v>619</v>
      </c>
      <c r="AB55" t="s">
        <v>4087</v>
      </c>
      <c r="AC55" t="s">
        <v>4088</v>
      </c>
      <c r="AD55" t="s">
        <v>90</v>
      </c>
      <c r="AE55">
        <v>785140</v>
      </c>
      <c r="AF55" t="s">
        <v>4089</v>
      </c>
      <c r="AG55">
        <v>1029.55</v>
      </c>
      <c r="AH55" t="s">
        <v>4090</v>
      </c>
      <c r="AI55" t="s">
        <v>230</v>
      </c>
      <c r="AJ55" t="s">
        <v>4091</v>
      </c>
      <c r="AK55" t="s">
        <v>4092</v>
      </c>
      <c r="AL55" t="s">
        <v>4093</v>
      </c>
      <c r="AM55" t="s">
        <v>90</v>
      </c>
      <c r="AN55" t="s">
        <v>4094</v>
      </c>
      <c r="AO55" t="s">
        <v>126</v>
      </c>
      <c r="AP55" t="s">
        <v>90</v>
      </c>
      <c r="AQ55" t="s">
        <v>394</v>
      </c>
      <c r="AR55" t="s">
        <v>90</v>
      </c>
      <c r="AS55" t="s">
        <v>115</v>
      </c>
      <c r="AT55" t="s">
        <v>90</v>
      </c>
      <c r="AU55" t="s">
        <v>4095</v>
      </c>
      <c r="AV55" t="s">
        <v>4096</v>
      </c>
      <c r="AW55" t="s">
        <v>4097</v>
      </c>
      <c r="AX55" t="s">
        <v>4098</v>
      </c>
      <c r="AY55" t="s">
        <v>771</v>
      </c>
      <c r="AZ55" t="s">
        <v>2058</v>
      </c>
      <c r="BA55" t="s">
        <v>2158</v>
      </c>
      <c r="BB55" t="s">
        <v>1093</v>
      </c>
      <c r="BC55" t="s">
        <v>178</v>
      </c>
      <c r="BD55" t="s">
        <v>232</v>
      </c>
      <c r="BE55" t="s">
        <v>856</v>
      </c>
      <c r="BF55" t="s">
        <v>450</v>
      </c>
      <c r="BG55" t="s">
        <v>4099</v>
      </c>
      <c r="BH55" t="s">
        <v>4086</v>
      </c>
      <c r="BI55" t="s">
        <v>1454</v>
      </c>
      <c r="BJ55" t="s">
        <v>4098</v>
      </c>
      <c r="BK55" t="s">
        <v>111</v>
      </c>
      <c r="BL55" t="s">
        <v>4100</v>
      </c>
      <c r="BM55" t="s">
        <v>178</v>
      </c>
      <c r="BN55">
        <v>6.32</v>
      </c>
      <c r="BO55">
        <v>9.74</v>
      </c>
      <c r="BP55">
        <v>9.3699999999999992</v>
      </c>
      <c r="BQ55">
        <v>7.01</v>
      </c>
      <c r="BR55">
        <v>10.050000000000001</v>
      </c>
      <c r="BS55">
        <v>9.5299999999999994</v>
      </c>
      <c r="BT55" t="s">
        <v>1696</v>
      </c>
      <c r="BU55" t="s">
        <v>3551</v>
      </c>
      <c r="BV55">
        <v>17.38</v>
      </c>
      <c r="BW55">
        <v>24.59</v>
      </c>
      <c r="BX55">
        <v>33.090000000000003</v>
      </c>
      <c r="BY55">
        <v>11.4</v>
      </c>
      <c r="BZ55">
        <v>17.55</v>
      </c>
      <c r="CA55">
        <v>21.53</v>
      </c>
      <c r="CB55">
        <v>12.24</v>
      </c>
      <c r="CC55" s="8">
        <v>-3.02</v>
      </c>
      <c r="CD55" s="9" t="s">
        <v>237</v>
      </c>
      <c r="CE55" s="8" t="s">
        <v>779</v>
      </c>
      <c r="CF55" s="8">
        <v>-0.15496368038740921</v>
      </c>
      <c r="CG55" s="8">
        <v>-0.97293352502224961</v>
      </c>
      <c r="CH55" s="8">
        <v>0.71546542644500732</v>
      </c>
      <c r="CI55" s="8">
        <v>0.42155817151069641</v>
      </c>
      <c r="CJ55" s="9">
        <v>-2.395833283662796E-2</v>
      </c>
      <c r="CK55" s="9">
        <v>-2.8340080752968788E-2</v>
      </c>
      <c r="CL55" s="9">
        <v>0.43813681602478027</v>
      </c>
      <c r="CM55" s="9">
        <v>0.1214953288435936</v>
      </c>
      <c r="CN55" s="9">
        <v>0.13227513432502747</v>
      </c>
      <c r="CO55">
        <v>-0.12093023210763931</v>
      </c>
      <c r="CP55">
        <v>0.1256544440984726</v>
      </c>
      <c r="CQ55">
        <v>0.95292532444000244</v>
      </c>
      <c r="CR55" s="8">
        <v>17.46686943343315</v>
      </c>
      <c r="CS55" s="9">
        <v>0.57348825530316494</v>
      </c>
      <c r="CT55">
        <v>1.557632398753894</v>
      </c>
      <c r="CU55">
        <v>0.30457240007817743</v>
      </c>
      <c r="CV55">
        <v>0.24228399991989136</v>
      </c>
      <c r="CW55">
        <v>0.06</v>
      </c>
      <c r="CX55">
        <v>4.4638419707364356</v>
      </c>
      <c r="CY55">
        <v>295374883.03656846</v>
      </c>
      <c r="CZ55">
        <v>0.30457240007817743</v>
      </c>
      <c r="DA55">
        <v>1.2220478396364487</v>
      </c>
      <c r="DB55">
        <v>1078932229.3571153</v>
      </c>
      <c r="DC55">
        <v>0.28934378007426853</v>
      </c>
      <c r="DD55">
        <v>0.46688080914636243</v>
      </c>
      <c r="DE55">
        <v>2824075811.5775571</v>
      </c>
      <c r="DF55">
        <v>0.26802371206879616</v>
      </c>
      <c r="DG55">
        <v>0.20577994694614529</v>
      </c>
      <c r="DH55">
        <v>6407362911.5331955</v>
      </c>
      <c r="DI55">
        <v>0.24365792006254194</v>
      </c>
      <c r="DJ55">
        <v>4.9989857719278039E-2</v>
      </c>
      <c r="DK55">
        <v>26375486151.694572</v>
      </c>
      <c r="DL55">
        <v>0.2132006800547242</v>
      </c>
      <c r="DM55">
        <v>240000000</v>
      </c>
      <c r="DN55">
        <v>0.30457240007817743</v>
      </c>
      <c r="DO55">
        <v>1318506800</v>
      </c>
      <c r="DP55">
        <v>1487597200</v>
      </c>
      <c r="DQ55" s="10">
        <v>1559</v>
      </c>
      <c r="DR55">
        <v>-0.45953608046558664</v>
      </c>
      <c r="DS55">
        <v>-1.2152175249421409</v>
      </c>
      <c r="DT55">
        <v>0.14333333333333331</v>
      </c>
      <c r="DU55">
        <v>-0.24000000000000002</v>
      </c>
      <c r="DV55">
        <v>-9.6666666666666706E-2</v>
      </c>
      <c r="DW55">
        <v>5.2467320261437909</v>
      </c>
      <c r="DX55">
        <v>0.60192307692307667</v>
      </c>
      <c r="DY55">
        <v>5.1115038964303672</v>
      </c>
      <c r="DZ55">
        <v>1940</v>
      </c>
      <c r="EA55">
        <v>5.0691716930888973</v>
      </c>
      <c r="EB55" s="11">
        <v>5</v>
      </c>
      <c r="EC55" s="11">
        <v>0.18076344981505688</v>
      </c>
      <c r="ED55">
        <v>0.39998720810140242</v>
      </c>
      <c r="EE55">
        <v>-2.1078999999999999</v>
      </c>
      <c r="EF55">
        <v>-2.0907999999999998</v>
      </c>
      <c r="EG55">
        <v>15.451923076923077</v>
      </c>
      <c r="EH55" s="13" t="s">
        <v>1793</v>
      </c>
      <c r="EI55">
        <v>1</v>
      </c>
      <c r="EJ55">
        <v>0</v>
      </c>
      <c r="EK55">
        <v>45470</v>
      </c>
      <c r="EL55">
        <v>-1.36</v>
      </c>
      <c r="EM55">
        <v>-4.47</v>
      </c>
      <c r="EN55" s="14">
        <v>0.72</v>
      </c>
      <c r="EO55" s="14">
        <v>4.29</v>
      </c>
      <c r="EP55" s="14">
        <v>-1.71</v>
      </c>
    </row>
    <row r="56" spans="1:146" ht="108">
      <c r="A56" s="7"/>
      <c r="B56" s="7"/>
      <c r="C56" s="7" t="str">
        <f>""&amp;CHAR(10)&amp;Basic_Fundamental_Information_Constructure(F56)&amp;CHAR(10)&amp;Basic_Fundamental_Information_Concatenate("")</f>
        <v xml:space="preserve">
市值93.354296亿, 利润1.94亿; PE70.76; 平均PE-22.13; 平均PEG-5.33, PB1.88; ROIC8.0367%; ROE10.9133%; 股利率0%; 毛利26.59%; 净利7.5367%; 上一年度营收增-22.05%, 利润增-42.09%; 当季营收增-24.31%, 利润增-51.63%; 过往5年营收增-4.15%, 利润增-4519.89%
Income profile:
</v>
      </c>
      <c r="D56" t="s">
        <v>1079</v>
      </c>
      <c r="E56" t="s">
        <v>1080</v>
      </c>
      <c r="F56">
        <v>5.54</v>
      </c>
      <c r="G56">
        <v>0.73</v>
      </c>
      <c r="H56" t="s">
        <v>4101</v>
      </c>
      <c r="I56">
        <v>9335429600</v>
      </c>
      <c r="J56">
        <v>70.760000000000005</v>
      </c>
      <c r="K56">
        <v>1.88</v>
      </c>
      <c r="L56" t="s">
        <v>85</v>
      </c>
      <c r="M56" t="s">
        <v>2573</v>
      </c>
      <c r="N56" t="s">
        <v>4102</v>
      </c>
      <c r="O56" t="s">
        <v>1395</v>
      </c>
      <c r="P56">
        <v>-24.27</v>
      </c>
      <c r="Q56" t="s">
        <v>2574</v>
      </c>
      <c r="R56">
        <v>59010602</v>
      </c>
      <c r="S56" s="5">
        <v>-0.51459999999999995</v>
      </c>
      <c r="T56" t="s">
        <v>399</v>
      </c>
      <c r="U56">
        <v>1513268200</v>
      </c>
      <c r="V56">
        <v>1685095600</v>
      </c>
      <c r="W56">
        <v>1.89</v>
      </c>
      <c r="X56">
        <v>0.1</v>
      </c>
      <c r="Y56">
        <v>7.38</v>
      </c>
      <c r="Z56" t="s">
        <v>3745</v>
      </c>
      <c r="AA56" t="s">
        <v>786</v>
      </c>
      <c r="AB56" t="s">
        <v>4103</v>
      </c>
      <c r="AC56" t="s">
        <v>4104</v>
      </c>
      <c r="AD56" t="s">
        <v>90</v>
      </c>
      <c r="AE56">
        <v>11135582</v>
      </c>
      <c r="AF56" t="s">
        <v>2575</v>
      </c>
      <c r="AG56" t="s">
        <v>4105</v>
      </c>
      <c r="AH56" t="s">
        <v>2576</v>
      </c>
      <c r="AI56" t="s">
        <v>702</v>
      </c>
      <c r="AJ56" t="s">
        <v>2577</v>
      </c>
      <c r="AK56" t="s">
        <v>1834</v>
      </c>
      <c r="AL56" t="s">
        <v>2578</v>
      </c>
      <c r="AM56" t="s">
        <v>90</v>
      </c>
      <c r="AN56" t="s">
        <v>4106</v>
      </c>
      <c r="AO56" t="s">
        <v>4107</v>
      </c>
      <c r="AP56" t="s">
        <v>2004</v>
      </c>
      <c r="AQ56" t="s">
        <v>1558</v>
      </c>
      <c r="AR56" t="s">
        <v>90</v>
      </c>
      <c r="AS56" t="s">
        <v>4108</v>
      </c>
      <c r="AT56" t="s">
        <v>433</v>
      </c>
      <c r="AU56" t="s">
        <v>2433</v>
      </c>
      <c r="AV56" t="s">
        <v>4109</v>
      </c>
      <c r="AW56" t="s">
        <v>2079</v>
      </c>
      <c r="AX56" t="s">
        <v>1826</v>
      </c>
      <c r="AY56" t="s">
        <v>1267</v>
      </c>
      <c r="AZ56" t="s">
        <v>1268</v>
      </c>
      <c r="BA56" t="s">
        <v>1269</v>
      </c>
      <c r="BB56" t="s">
        <v>1082</v>
      </c>
      <c r="BC56" t="s">
        <v>1560</v>
      </c>
      <c r="BD56" t="s">
        <v>538</v>
      </c>
      <c r="BE56" t="s">
        <v>1270</v>
      </c>
      <c r="BF56" t="s">
        <v>1271</v>
      </c>
      <c r="BG56" t="s">
        <v>1083</v>
      </c>
      <c r="BH56" t="s">
        <v>2574</v>
      </c>
      <c r="BI56" t="s">
        <v>2485</v>
      </c>
      <c r="BJ56" t="s">
        <v>1826</v>
      </c>
      <c r="BK56" t="s">
        <v>399</v>
      </c>
      <c r="BL56" t="s">
        <v>326</v>
      </c>
      <c r="BM56" t="s">
        <v>1560</v>
      </c>
      <c r="BN56">
        <v>3.31</v>
      </c>
      <c r="BO56">
        <v>7.71</v>
      </c>
      <c r="BP56">
        <v>13.09</v>
      </c>
      <c r="BQ56">
        <v>3.43</v>
      </c>
      <c r="BR56">
        <v>10.36</v>
      </c>
      <c r="BS56">
        <v>18.95</v>
      </c>
      <c r="BT56" t="s">
        <v>1692</v>
      </c>
      <c r="BU56" t="s">
        <v>1447</v>
      </c>
      <c r="BV56">
        <v>23.25</v>
      </c>
      <c r="BW56">
        <v>26.51</v>
      </c>
      <c r="BX56">
        <v>30.01</v>
      </c>
      <c r="BY56">
        <v>5.79</v>
      </c>
      <c r="BZ56">
        <v>7.38</v>
      </c>
      <c r="CA56">
        <v>9.44</v>
      </c>
      <c r="CB56">
        <v>-9.6199999999999992</v>
      </c>
      <c r="CC56">
        <v>-14.37</v>
      </c>
      <c r="CD56" t="s">
        <v>138</v>
      </c>
      <c r="CE56" t="s">
        <v>4110</v>
      </c>
      <c r="CF56" s="8">
        <v>-0.24314765694076038</v>
      </c>
      <c r="CG56" s="9">
        <v>-0.51630654098360651</v>
      </c>
      <c r="CH56" s="8">
        <v>-0.22045506536960602</v>
      </c>
      <c r="CI56" s="8">
        <v>-0.13968074321746826</v>
      </c>
      <c r="CJ56" s="8">
        <v>0.53590202331542969</v>
      </c>
      <c r="CK56" s="8">
        <v>-0.3685956597328186</v>
      </c>
      <c r="CL56" s="8">
        <v>-1.4708541333675385E-2</v>
      </c>
      <c r="CM56" s="9">
        <v>-0.42089551687240601</v>
      </c>
      <c r="CN56" s="9">
        <v>-0.33000001311302185</v>
      </c>
      <c r="CO56" s="9">
        <v>1.7173600196838379</v>
      </c>
      <c r="CP56" s="9">
        <v>-227.96189880371094</v>
      </c>
      <c r="CQ56" s="9">
        <v>1.001071572303772</v>
      </c>
      <c r="CR56">
        <v>-22.131232286642572</v>
      </c>
      <c r="CS56">
        <v>-5.3318509727140944</v>
      </c>
      <c r="CT56">
        <v>0</v>
      </c>
      <c r="CU56" s="8">
        <v>-4.1507597267627719E-2</v>
      </c>
      <c r="CV56" s="9">
        <v>-45.198872548341754</v>
      </c>
      <c r="CW56">
        <v>0.06</v>
      </c>
      <c r="CX56">
        <v>40.564070103092781</v>
      </c>
      <c r="CY56" t="s">
        <v>2580</v>
      </c>
      <c r="CZ56">
        <v>-4.1507597267627719E-2</v>
      </c>
      <c r="DA56">
        <v>13.521356701030928</v>
      </c>
      <c r="DB56" t="s">
        <v>2581</v>
      </c>
      <c r="DC56">
        <v>-3.9432217404246329E-2</v>
      </c>
      <c r="DD56">
        <v>6.7606783505154642</v>
      </c>
      <c r="DE56" t="s">
        <v>2582</v>
      </c>
      <c r="DF56">
        <v>-3.6526685595512393E-2</v>
      </c>
      <c r="DG56">
        <v>4.056407010309278</v>
      </c>
      <c r="DH56" t="s">
        <v>2583</v>
      </c>
      <c r="DI56">
        <v>-3.3206077814102175E-2</v>
      </c>
      <c r="DJ56">
        <v>2.028203505154639</v>
      </c>
      <c r="DK56" t="s">
        <v>2584</v>
      </c>
      <c r="DL56">
        <v>-2.90553180873394E-2</v>
      </c>
      <c r="DM56">
        <v>194000000</v>
      </c>
      <c r="DN56">
        <v>-4.1507597267627719E-2</v>
      </c>
      <c r="DO56">
        <v>7869429600</v>
      </c>
      <c r="DP56">
        <v>1701076200</v>
      </c>
      <c r="DQ56">
        <v>1576</v>
      </c>
      <c r="DR56">
        <v>-0.20164005967313264</v>
      </c>
      <c r="DS56">
        <v>44.682566007358147</v>
      </c>
      <c r="DT56" s="10">
        <v>-0.59</v>
      </c>
      <c r="DU56">
        <v>-0.94</v>
      </c>
      <c r="DV56">
        <v>-1.5299999999999998</v>
      </c>
      <c r="DW56">
        <v>-9.669450243562979</v>
      </c>
      <c r="DX56">
        <v>0.30371554575523785</v>
      </c>
      <c r="DY56">
        <v>-9.0627378949314803</v>
      </c>
      <c r="DZ56">
        <v>4040</v>
      </c>
      <c r="EA56">
        <v>-9.0131368977645181</v>
      </c>
      <c r="EB56">
        <v>9</v>
      </c>
      <c r="EC56">
        <v>0.10088448394263209</v>
      </c>
      <c r="ED56">
        <v>1.0764967874819684</v>
      </c>
      <c r="EE56" s="11">
        <v>-4.05891</v>
      </c>
      <c r="EF56">
        <v>-4.0736100000000004</v>
      </c>
      <c r="EG56">
        <v>21.093715545755238</v>
      </c>
      <c r="EH56" t="s">
        <v>2124</v>
      </c>
      <c r="EI56">
        <v>0</v>
      </c>
      <c r="EJ56">
        <v>0</v>
      </c>
      <c r="EK56" s="13">
        <v>45470</v>
      </c>
      <c r="EL56" s="14">
        <v>-0.46</v>
      </c>
      <c r="EM56" s="14">
        <v>-6.2</v>
      </c>
      <c r="EN56" s="14">
        <v>-2.31</v>
      </c>
      <c r="EO56" s="14">
        <v>3.38</v>
      </c>
      <c r="EP56" s="14">
        <v>-1.47</v>
      </c>
    </row>
    <row r="57" spans="1:146" ht="96">
      <c r="A57" s="7"/>
      <c r="B57" s="7"/>
      <c r="C57" s="7" t="str">
        <f>""&amp;CHAR(10)&amp;Basic_Fundamental_Information_Constructure(F57)&amp;CHAR(10)&amp;Basic_Fundamental_Information_Concatenate("")</f>
        <v xml:space="preserve">
市值20.848299亿, 利润-5.06亿; PE; 平均PE-14.07; 平均PEG-3.26, PB1.06; ROIC0%; ROE-5.2767%; 股利率0%; 毛利11.17%; 净利-22.4267%; 上一年度营收增-6.63%, 利润增-39.78%; 当季营收增9.36%, 利润增12.62%; 过往5年营收增4.32%, 利润增-70.66%
Income profile:
</v>
      </c>
      <c r="D57" t="s">
        <v>488</v>
      </c>
      <c r="E57" t="s">
        <v>19</v>
      </c>
      <c r="F57">
        <v>1.4</v>
      </c>
      <c r="G57">
        <v>10.24</v>
      </c>
      <c r="H57" t="s">
        <v>4111</v>
      </c>
      <c r="I57">
        <v>2084829900</v>
      </c>
      <c r="K57">
        <v>1.06</v>
      </c>
      <c r="L57" t="s">
        <v>85</v>
      </c>
      <c r="M57" t="s">
        <v>2585</v>
      </c>
      <c r="N57" t="s">
        <v>4112</v>
      </c>
      <c r="O57" t="s">
        <v>823</v>
      </c>
      <c r="P57">
        <v>9.3800000000000008</v>
      </c>
      <c r="Q57" t="s">
        <v>2586</v>
      </c>
      <c r="R57">
        <v>-24495780</v>
      </c>
      <c r="S57" s="5">
        <v>0.12620000000000001</v>
      </c>
      <c r="T57" t="s">
        <v>2587</v>
      </c>
      <c r="U57">
        <v>1335809700</v>
      </c>
      <c r="V57">
        <v>1489164200</v>
      </c>
      <c r="W57">
        <v>2.82</v>
      </c>
      <c r="X57">
        <v>7.0000000000000007E-2</v>
      </c>
      <c r="Y57">
        <v>-7.74</v>
      </c>
      <c r="Z57" t="s">
        <v>409</v>
      </c>
      <c r="AA57" t="s">
        <v>584</v>
      </c>
      <c r="AB57" t="s">
        <v>4113</v>
      </c>
      <c r="AC57" t="s">
        <v>4114</v>
      </c>
      <c r="AD57" t="s">
        <v>90</v>
      </c>
      <c r="AE57">
        <v>16263636</v>
      </c>
      <c r="AF57" t="s">
        <v>182</v>
      </c>
      <c r="AG57">
        <v>7301.34</v>
      </c>
      <c r="AH57" t="s">
        <v>2588</v>
      </c>
      <c r="AI57" t="s">
        <v>165</v>
      </c>
      <c r="AJ57" t="s">
        <v>2589</v>
      </c>
      <c r="AK57" t="s">
        <v>237</v>
      </c>
      <c r="AL57" t="s">
        <v>2590</v>
      </c>
      <c r="AM57" t="s">
        <v>90</v>
      </c>
      <c r="AN57" t="s">
        <v>270</v>
      </c>
      <c r="AO57" t="s">
        <v>1497</v>
      </c>
      <c r="AP57" t="s">
        <v>1759</v>
      </c>
      <c r="AQ57" t="s">
        <v>4115</v>
      </c>
      <c r="AR57" t="s">
        <v>90</v>
      </c>
      <c r="AS57" t="s">
        <v>4116</v>
      </c>
      <c r="AT57" t="s">
        <v>602</v>
      </c>
      <c r="AU57" t="s">
        <v>4117</v>
      </c>
      <c r="AV57" t="s">
        <v>4118</v>
      </c>
      <c r="AW57" t="s">
        <v>4119</v>
      </c>
      <c r="AX57" t="s">
        <v>2592</v>
      </c>
      <c r="AY57" t="s">
        <v>2593</v>
      </c>
      <c r="AZ57" t="s">
        <v>417</v>
      </c>
      <c r="BA57" t="s">
        <v>2594</v>
      </c>
      <c r="BB57" t="s">
        <v>2595</v>
      </c>
      <c r="BC57" t="s">
        <v>2596</v>
      </c>
      <c r="BD57" t="s">
        <v>2597</v>
      </c>
      <c r="BE57" t="s">
        <v>2598</v>
      </c>
      <c r="BF57" t="s">
        <v>104</v>
      </c>
      <c r="BG57" t="s">
        <v>2599</v>
      </c>
      <c r="BH57" t="s">
        <v>2586</v>
      </c>
      <c r="BI57" t="s">
        <v>2600</v>
      </c>
      <c r="BJ57" t="s">
        <v>2592</v>
      </c>
      <c r="BK57" t="s">
        <v>2587</v>
      </c>
      <c r="BL57" t="s">
        <v>2601</v>
      </c>
      <c r="BM57" t="s">
        <v>2596</v>
      </c>
      <c r="BN57" t="s">
        <v>90</v>
      </c>
      <c r="BO57" t="s">
        <v>90</v>
      </c>
      <c r="BP57" t="s">
        <v>90</v>
      </c>
      <c r="BQ57">
        <v>-4.26</v>
      </c>
      <c r="BR57">
        <v>-12.19</v>
      </c>
      <c r="BS57">
        <v>0.62</v>
      </c>
      <c r="BT57" t="s">
        <v>1692</v>
      </c>
      <c r="BU57" t="s">
        <v>1381</v>
      </c>
      <c r="BV57">
        <v>7.18</v>
      </c>
      <c r="BW57">
        <v>10.25</v>
      </c>
      <c r="BX57">
        <v>16.079999999999998</v>
      </c>
      <c r="BY57">
        <v>-38.31</v>
      </c>
      <c r="BZ57">
        <v>-24.98</v>
      </c>
      <c r="CA57">
        <v>-3.99</v>
      </c>
      <c r="CB57">
        <v>19.66</v>
      </c>
      <c r="CC57">
        <v>-15.15</v>
      </c>
      <c r="CD57" t="s">
        <v>433</v>
      </c>
      <c r="CE57" t="s">
        <v>592</v>
      </c>
      <c r="CF57" s="8">
        <v>9.3567251461988299E-2</v>
      </c>
      <c r="CG57" s="9">
        <v>0.1262148597600779</v>
      </c>
      <c r="CH57" s="8">
        <v>-6.6323205828666687E-2</v>
      </c>
      <c r="CI57" s="8">
        <v>-7.8884974122047424E-2</v>
      </c>
      <c r="CJ57" s="8">
        <v>0.17164692282676697</v>
      </c>
      <c r="CK57" s="8">
        <v>-0.30750718712806702</v>
      </c>
      <c r="CL57" s="8">
        <v>0.49711814522743225</v>
      </c>
      <c r="CM57" s="9">
        <v>-0.39779004454612732</v>
      </c>
      <c r="CN57" s="9">
        <v>-5.0317649841308594</v>
      </c>
      <c r="CO57" s="9">
        <v>-0.2153458297252655</v>
      </c>
      <c r="CP57" s="9">
        <v>-1.3292100429534912</v>
      </c>
      <c r="CQ57" s="9">
        <v>3.4411041736602783</v>
      </c>
      <c r="CR57">
        <v>-14.073301443998034</v>
      </c>
      <c r="CS57">
        <v>-3.2569592506863221</v>
      </c>
      <c r="CT57">
        <v>0</v>
      </c>
      <c r="CU57" s="8">
        <v>4.3209940195083618E-2</v>
      </c>
      <c r="CV57" s="9">
        <v>-0.70660134553909304</v>
      </c>
      <c r="CW57">
        <v>0.06</v>
      </c>
      <c r="CX57" t="e">
        <v>#VALUE!</v>
      </c>
      <c r="CY57" t="s">
        <v>1392</v>
      </c>
      <c r="CZ57">
        <v>4.3209940195083618E-2</v>
      </c>
      <c r="DA57" t="e">
        <v>#VALUE!</v>
      </c>
      <c r="DB57" t="s">
        <v>1391</v>
      </c>
      <c r="DC57">
        <v>4.1049443185329437E-2</v>
      </c>
      <c r="DD57" t="e">
        <v>#VALUE!</v>
      </c>
      <c r="DE57" t="s">
        <v>1391</v>
      </c>
      <c r="DF57">
        <v>3.8024747371673585E-2</v>
      </c>
      <c r="DG57" t="e">
        <v>#VALUE!</v>
      </c>
      <c r="DH57" t="s">
        <v>1391</v>
      </c>
      <c r="DI57">
        <v>3.4567952156066895E-2</v>
      </c>
      <c r="DJ57" t="e">
        <v>#VALUE!</v>
      </c>
      <c r="DK57" t="s">
        <v>1391</v>
      </c>
      <c r="DL57">
        <v>3.0246958136558529E-2</v>
      </c>
      <c r="DM57">
        <v>-505999999.99999994</v>
      </c>
      <c r="DN57">
        <v>4.3209940195083618E-2</v>
      </c>
      <c r="DO57">
        <v>3691829900</v>
      </c>
      <c r="DP57">
        <v>106265500</v>
      </c>
      <c r="DQ57">
        <v>1582</v>
      </c>
      <c r="DR57">
        <v>5.0357311266904681E-2</v>
      </c>
      <c r="DS57">
        <v>0.832816205299171</v>
      </c>
      <c r="DT57" s="10">
        <v>-0.32333333333333331</v>
      </c>
      <c r="DU57">
        <v>-2.2683333333333331</v>
      </c>
      <c r="DV57">
        <v>-2.5916666666666663</v>
      </c>
      <c r="DW57">
        <v>5.7706002034588</v>
      </c>
      <c r="DX57">
        <v>0.65097867001254828</v>
      </c>
      <c r="DY57">
        <v>5.2011102162100755</v>
      </c>
      <c r="DZ57">
        <v>4729</v>
      </c>
      <c r="EA57">
        <v>5.0149947147506921</v>
      </c>
      <c r="EB57">
        <v>5</v>
      </c>
      <c r="EC57">
        <v>0.13967566504754814</v>
      </c>
      <c r="ED57">
        <v>0.53519954347546095</v>
      </c>
      <c r="EE57" s="11">
        <v>-5.0429000000000004</v>
      </c>
      <c r="EF57">
        <v>-5.0346000000000002</v>
      </c>
      <c r="EG57">
        <v>39.260978670012548</v>
      </c>
      <c r="EH57" t="s">
        <v>2602</v>
      </c>
      <c r="EI57">
        <v>1</v>
      </c>
      <c r="EJ57">
        <v>0</v>
      </c>
      <c r="EK57" s="13">
        <v>45470</v>
      </c>
      <c r="EL57" s="14">
        <v>-4.58</v>
      </c>
      <c r="EM57" s="14">
        <v>-8</v>
      </c>
      <c r="EN57" s="14">
        <v>0.87</v>
      </c>
      <c r="EO57" s="14">
        <v>3.45</v>
      </c>
      <c r="EP57" s="14">
        <v>-0.83</v>
      </c>
    </row>
    <row r="58" spans="1:146" ht="108">
      <c r="A58" s="7"/>
      <c r="B58" s="7"/>
      <c r="C58" s="7" t="str">
        <f>""&amp;CHAR(10)&amp;Basic_Fundamental_Information_Constructure(F58)&amp;CHAR(10)&amp;Basic_Fundamental_Information_Concatenate("")</f>
        <v xml:space="preserve">
市值27.611466亿, 利润1.64亿; PE16.66; 平均PE32.55; 平均PEG1.25, PB1.76; ROIC13.1667%; ROE13%; 股利率2.2817%; 毛利23.35%; 净利10.6333%; 上一年度营收增39.26%, 利润增35.54%; 当季营收增-29.12%, 利润增5.01%; 过往5年营收增26.03%, 利润增140.85%
Income profile:
</v>
      </c>
      <c r="D58" t="s">
        <v>283</v>
      </c>
      <c r="E58" t="s">
        <v>8</v>
      </c>
      <c r="F58">
        <v>10.08</v>
      </c>
      <c r="G58">
        <v>1.72</v>
      </c>
      <c r="H58" t="s">
        <v>4120</v>
      </c>
      <c r="I58">
        <v>2761146600</v>
      </c>
      <c r="J58">
        <v>16.66</v>
      </c>
      <c r="K58">
        <v>1.76</v>
      </c>
      <c r="L58" t="s">
        <v>85</v>
      </c>
      <c r="M58" t="s">
        <v>1534</v>
      </c>
      <c r="N58" t="s">
        <v>1902</v>
      </c>
      <c r="O58" t="s">
        <v>378</v>
      </c>
      <c r="P58">
        <v>-28.92</v>
      </c>
      <c r="Q58" t="s">
        <v>2096</v>
      </c>
      <c r="R58">
        <v>47609937</v>
      </c>
      <c r="S58" s="5">
        <v>5.0099999999999999E-2</v>
      </c>
      <c r="T58" t="s">
        <v>422</v>
      </c>
      <c r="U58">
        <v>209866260</v>
      </c>
      <c r="V58">
        <v>273923270</v>
      </c>
      <c r="W58">
        <v>1.51</v>
      </c>
      <c r="X58">
        <v>0.12</v>
      </c>
      <c r="Y58">
        <v>17.29</v>
      </c>
      <c r="Z58" t="s">
        <v>355</v>
      </c>
      <c r="AA58" t="s">
        <v>232</v>
      </c>
      <c r="AB58" t="s">
        <v>4121</v>
      </c>
      <c r="AC58" t="s">
        <v>4122</v>
      </c>
      <c r="AD58" t="s">
        <v>90</v>
      </c>
      <c r="AE58">
        <v>-355714</v>
      </c>
      <c r="AF58" t="s">
        <v>2604</v>
      </c>
      <c r="AG58" t="s">
        <v>4123</v>
      </c>
      <c r="AH58" t="s">
        <v>2605</v>
      </c>
      <c r="AI58" t="s">
        <v>228</v>
      </c>
      <c r="AJ58" t="s">
        <v>2606</v>
      </c>
      <c r="AK58" t="s">
        <v>4124</v>
      </c>
      <c r="AL58" t="s">
        <v>2607</v>
      </c>
      <c r="AM58" t="s">
        <v>90</v>
      </c>
      <c r="AN58" t="s">
        <v>4125</v>
      </c>
      <c r="AO58" t="s">
        <v>90</v>
      </c>
      <c r="AP58" t="s">
        <v>4126</v>
      </c>
      <c r="AQ58" t="s">
        <v>296</v>
      </c>
      <c r="AR58" t="s">
        <v>90</v>
      </c>
      <c r="AS58" t="s">
        <v>4127</v>
      </c>
      <c r="AT58" t="s">
        <v>90</v>
      </c>
      <c r="AU58" t="s">
        <v>4128</v>
      </c>
      <c r="AV58" t="s">
        <v>4129</v>
      </c>
      <c r="AW58" t="s">
        <v>90</v>
      </c>
      <c r="AX58" t="s">
        <v>1506</v>
      </c>
      <c r="AY58" t="s">
        <v>904</v>
      </c>
      <c r="AZ58" t="s">
        <v>241</v>
      </c>
      <c r="BA58" t="s">
        <v>285</v>
      </c>
      <c r="BB58" t="s">
        <v>454</v>
      </c>
      <c r="BC58" t="s">
        <v>174</v>
      </c>
      <c r="BD58" t="s">
        <v>1272</v>
      </c>
      <c r="BE58" t="s">
        <v>822</v>
      </c>
      <c r="BF58" t="s">
        <v>286</v>
      </c>
      <c r="BG58" t="s">
        <v>824</v>
      </c>
      <c r="BH58" t="s">
        <v>2096</v>
      </c>
      <c r="BI58" t="s">
        <v>606</v>
      </c>
      <c r="BJ58" t="s">
        <v>1506</v>
      </c>
      <c r="BK58" t="s">
        <v>422</v>
      </c>
      <c r="BL58" t="s">
        <v>2608</v>
      </c>
      <c r="BM58" t="s">
        <v>174</v>
      </c>
      <c r="BN58">
        <v>11.44</v>
      </c>
      <c r="BO58">
        <v>15.09</v>
      </c>
      <c r="BP58">
        <v>12.97</v>
      </c>
      <c r="BQ58">
        <v>10.23</v>
      </c>
      <c r="BR58">
        <v>15.33</v>
      </c>
      <c r="BS58">
        <v>13.44</v>
      </c>
      <c r="BT58" t="s">
        <v>1882</v>
      </c>
      <c r="BU58" t="s">
        <v>1337</v>
      </c>
      <c r="BV58">
        <v>23.43</v>
      </c>
      <c r="BW58">
        <v>24.08</v>
      </c>
      <c r="BX58">
        <v>22.54</v>
      </c>
      <c r="BY58">
        <v>10.92</v>
      </c>
      <c r="BZ58">
        <v>11.24</v>
      </c>
      <c r="CA58">
        <v>9.74</v>
      </c>
      <c r="CB58">
        <v>-6.32</v>
      </c>
      <c r="CC58">
        <v>-17.170000000000002</v>
      </c>
      <c r="CD58" t="s">
        <v>4130</v>
      </c>
      <c r="CE58" t="s">
        <v>889</v>
      </c>
      <c r="CF58" s="8">
        <v>-0.29123711340206188</v>
      </c>
      <c r="CG58" s="9">
        <v>5.010878267946809E-2</v>
      </c>
      <c r="CH58" s="8">
        <v>0.39255800843238831</v>
      </c>
      <c r="CI58" s="8">
        <v>0.13396631181240082</v>
      </c>
      <c r="CJ58" s="8">
        <v>0.28979590535163879</v>
      </c>
      <c r="CK58" s="8">
        <v>0.23737373948097229</v>
      </c>
      <c r="CL58" s="8">
        <v>0.24789915978908539</v>
      </c>
      <c r="CM58" s="9">
        <v>0.35537189245223999</v>
      </c>
      <c r="CN58" s="9">
        <v>0.29457864165306091</v>
      </c>
      <c r="CO58" s="9">
        <v>0.16848278045654297</v>
      </c>
      <c r="CP58" s="9">
        <v>0.82897371053695679</v>
      </c>
      <c r="CQ58" s="9">
        <v>5.3950986862182617</v>
      </c>
      <c r="CR58">
        <v>32.545972428742424</v>
      </c>
      <c r="CS58">
        <v>1.2502360302525766</v>
      </c>
      <c r="CT58">
        <v>2.2817460317460316</v>
      </c>
      <c r="CU58" s="8">
        <v>0.26031862497329711</v>
      </c>
      <c r="CV58" s="9">
        <v>1.4085011422634124</v>
      </c>
      <c r="CW58">
        <v>0.06</v>
      </c>
      <c r="CX58">
        <v>10.529351481074057</v>
      </c>
      <c r="CY58">
        <v>194992692.92039692</v>
      </c>
      <c r="CZ58">
        <v>0.26031862497329711</v>
      </c>
      <c r="DA58">
        <v>2.9874352317482424</v>
      </c>
      <c r="DB58">
        <v>687260623.48755991</v>
      </c>
      <c r="DC58">
        <v>0.24730269372463223</v>
      </c>
      <c r="DD58">
        <v>1.2041611013955036</v>
      </c>
      <c r="DE58">
        <v>1705043118.915406</v>
      </c>
      <c r="DF58">
        <v>0.22908038997650146</v>
      </c>
      <c r="DG58">
        <v>0.56835168936073055</v>
      </c>
      <c r="DH58">
        <v>3612457987.6050587</v>
      </c>
      <c r="DI58">
        <v>0.20825489997863769</v>
      </c>
      <c r="DJ58">
        <v>0.16448044752693869</v>
      </c>
      <c r="DK58">
        <v>12482618030.715988</v>
      </c>
      <c r="DL58">
        <v>0.18222303748130797</v>
      </c>
      <c r="DM58">
        <v>164000000</v>
      </c>
      <c r="DN58">
        <v>0.26031862497329711</v>
      </c>
      <c r="DO58">
        <v>2053146600</v>
      </c>
      <c r="DP58">
        <v>1181827200</v>
      </c>
      <c r="DQ58">
        <v>1583</v>
      </c>
      <c r="DR58">
        <v>-0.55155573837535898</v>
      </c>
      <c r="DS58">
        <v>-1.3583923595839442</v>
      </c>
      <c r="DT58" s="10">
        <v>7.6666666666666591E-2</v>
      </c>
      <c r="DU58">
        <v>1.2516666666666667</v>
      </c>
      <c r="DV58">
        <v>1.3283333333333334</v>
      </c>
      <c r="DW58">
        <v>-9.3680838672102507</v>
      </c>
      <c r="DX58">
        <v>0.26916133004926196</v>
      </c>
      <c r="DY58">
        <v>-9.0254571698259358</v>
      </c>
      <c r="DZ58">
        <v>85</v>
      </c>
      <c r="EA58">
        <v>-9.0250337139677743</v>
      </c>
      <c r="EB58">
        <v>9</v>
      </c>
      <c r="EC58">
        <v>0.10250863316577669</v>
      </c>
      <c r="ED58">
        <v>1.482166885639179</v>
      </c>
      <c r="EE58" s="11">
        <v>-4.0390100000000002</v>
      </c>
      <c r="EF58">
        <v>-4.0238100000000001</v>
      </c>
      <c r="EG58">
        <v>20.069161330049262</v>
      </c>
      <c r="EH58" t="s">
        <v>2124</v>
      </c>
      <c r="EI58">
        <v>0</v>
      </c>
      <c r="EJ58">
        <v>1</v>
      </c>
      <c r="EK58" s="13">
        <v>45470</v>
      </c>
      <c r="EL58" s="14">
        <v>-1.04</v>
      </c>
      <c r="EM58" s="14">
        <v>-4.5</v>
      </c>
      <c r="EN58" s="14">
        <v>-0.1</v>
      </c>
      <c r="EO58" s="14">
        <v>5.82</v>
      </c>
      <c r="EP58" s="14">
        <v>1.52</v>
      </c>
    </row>
    <row r="59" spans="1:146" ht="108">
      <c r="C59" s="7" t="str">
        <f>""&amp;CHAR(10)&amp;Basic_Fundamental_Information_Constructure(F59)&amp;CHAR(10)&amp;Basic_Fundamental_Information_Concatenate("")</f>
        <v xml:space="preserve">
市值19.793754亿, 利润2510.08万; PE90.11; 平均PE28.06; 平均PEG1.99, PB1.76; ROIC6.2633%; ROE6.64%; 股利率2.9499%; 毛利48.8767%; 净利7.4067%; 上一年度营收增2.64%, 利润增-73.52%; 当季营收增-5.45%, 利润增-152.09%; 过往5年营收增14.07%, 利润增-2.74%
Income profile:
</v>
      </c>
      <c r="D59" t="s">
        <v>4131</v>
      </c>
      <c r="E59" t="s">
        <v>4132</v>
      </c>
      <c r="F59">
        <v>6.78</v>
      </c>
      <c r="G59">
        <v>2.2599999999999998</v>
      </c>
      <c r="H59" t="s">
        <v>4133</v>
      </c>
      <c r="I59">
        <v>1979375400</v>
      </c>
      <c r="J59">
        <v>90.11</v>
      </c>
      <c r="K59">
        <v>1.76</v>
      </c>
      <c r="L59" t="s">
        <v>85</v>
      </c>
      <c r="M59" t="s">
        <v>594</v>
      </c>
      <c r="N59" t="s">
        <v>4134</v>
      </c>
      <c r="O59" t="s">
        <v>450</v>
      </c>
      <c r="P59" s="5">
        <v>-5.25</v>
      </c>
      <c r="Q59" t="s">
        <v>4135</v>
      </c>
      <c r="R59">
        <v>-5197187</v>
      </c>
      <c r="S59">
        <v>-1.5209999999999999</v>
      </c>
      <c r="T59" t="s">
        <v>4136</v>
      </c>
      <c r="U59">
        <v>237676290</v>
      </c>
      <c r="V59">
        <v>291943280</v>
      </c>
      <c r="W59">
        <v>1.39</v>
      </c>
      <c r="X59">
        <v>0.11</v>
      </c>
      <c r="Y59">
        <v>-2.67</v>
      </c>
      <c r="Z59" t="s">
        <v>441</v>
      </c>
      <c r="AA59" t="s">
        <v>210</v>
      </c>
      <c r="AB59" t="s">
        <v>4137</v>
      </c>
      <c r="AC59" t="s">
        <v>4138</v>
      </c>
      <c r="AD59" t="s">
        <v>90</v>
      </c>
      <c r="AE59">
        <v>2295731</v>
      </c>
      <c r="AF59" t="s">
        <v>4139</v>
      </c>
      <c r="AG59" t="s">
        <v>4140</v>
      </c>
      <c r="AH59" t="s">
        <v>4141</v>
      </c>
      <c r="AI59" t="s">
        <v>535</v>
      </c>
      <c r="AJ59" t="s">
        <v>4142</v>
      </c>
      <c r="AK59" t="s">
        <v>4143</v>
      </c>
      <c r="AL59" t="s">
        <v>4144</v>
      </c>
      <c r="AM59" t="s">
        <v>90</v>
      </c>
      <c r="AN59" t="s">
        <v>4145</v>
      </c>
      <c r="AO59" t="s">
        <v>4146</v>
      </c>
      <c r="AP59" t="s">
        <v>90</v>
      </c>
      <c r="AQ59" t="s">
        <v>323</v>
      </c>
      <c r="AR59" t="s">
        <v>90</v>
      </c>
      <c r="AS59" t="s">
        <v>378</v>
      </c>
      <c r="AT59" t="s">
        <v>90</v>
      </c>
      <c r="AU59" t="s">
        <v>4147</v>
      </c>
      <c r="AV59" t="s">
        <v>4148</v>
      </c>
      <c r="AW59" t="s">
        <v>4149</v>
      </c>
      <c r="AX59" t="s">
        <v>2034</v>
      </c>
      <c r="AY59" t="s">
        <v>904</v>
      </c>
      <c r="AZ59" t="s">
        <v>1931</v>
      </c>
      <c r="BA59" t="s">
        <v>1861</v>
      </c>
      <c r="BB59" t="s">
        <v>285</v>
      </c>
      <c r="BC59" t="s">
        <v>4150</v>
      </c>
      <c r="BD59" t="s">
        <v>4151</v>
      </c>
      <c r="BE59" t="s">
        <v>4152</v>
      </c>
      <c r="BF59" t="s">
        <v>4153</v>
      </c>
      <c r="BG59" t="s">
        <v>4154</v>
      </c>
      <c r="BH59" t="s">
        <v>4135</v>
      </c>
      <c r="BI59" t="s">
        <v>551</v>
      </c>
      <c r="BJ59" t="s">
        <v>2034</v>
      </c>
      <c r="BK59" t="s">
        <v>4136</v>
      </c>
      <c r="BL59" t="s">
        <v>4155</v>
      </c>
      <c r="BM59" t="s">
        <v>4150</v>
      </c>
      <c r="BN59">
        <v>3.66</v>
      </c>
      <c r="BO59">
        <v>7.44</v>
      </c>
      <c r="BP59">
        <v>7.69</v>
      </c>
      <c r="BQ59">
        <v>3.61</v>
      </c>
      <c r="BR59">
        <v>8.0399999999999991</v>
      </c>
      <c r="BS59">
        <v>8.27</v>
      </c>
      <c r="BT59" t="s">
        <v>1694</v>
      </c>
      <c r="BU59" t="s">
        <v>3551</v>
      </c>
      <c r="BV59">
        <v>46.31</v>
      </c>
      <c r="BW59">
        <v>48.35</v>
      </c>
      <c r="BX59">
        <v>51.97</v>
      </c>
      <c r="BY59">
        <v>2.67</v>
      </c>
      <c r="BZ59">
        <v>9.34</v>
      </c>
      <c r="CA59">
        <v>10.210000000000001</v>
      </c>
      <c r="CB59">
        <v>-1.74</v>
      </c>
      <c r="CC59" s="8">
        <v>-7.25</v>
      </c>
      <c r="CD59" s="9" t="s">
        <v>4156</v>
      </c>
      <c r="CE59" s="8" t="s">
        <v>485</v>
      </c>
      <c r="CF59" s="8">
        <v>-5.4455445544554455E-2</v>
      </c>
      <c r="CG59" s="8">
        <v>-1.5209482925882809</v>
      </c>
      <c r="CH59" s="8">
        <v>2.6411715894937515E-2</v>
      </c>
      <c r="CI59" s="8">
        <v>0.15822784602642059</v>
      </c>
      <c r="CJ59" s="9">
        <v>0.2950819730758667</v>
      </c>
      <c r="CK59" s="9">
        <v>5.0215207040309906E-2</v>
      </c>
      <c r="CL59" s="9">
        <v>0.17340067028999329</v>
      </c>
      <c r="CM59" s="9">
        <v>-0.73521131277084351</v>
      </c>
      <c r="CN59" s="9">
        <v>2.4358827620744705E-2</v>
      </c>
      <c r="CO59">
        <v>2.3347359150648117E-2</v>
      </c>
      <c r="CP59">
        <v>0.40964436531066895</v>
      </c>
      <c r="CQ59">
        <v>0.14088410139083862</v>
      </c>
      <c r="CR59" s="8">
        <v>28.059789045715739</v>
      </c>
      <c r="CS59" s="9">
        <v>1.9947601644606492</v>
      </c>
      <c r="CT59">
        <v>2.9498525073746311</v>
      </c>
      <c r="CU59">
        <v>0.14066748246550559</v>
      </c>
      <c r="CV59">
        <v>-2.7395331859588624E-2</v>
      </c>
      <c r="CW59">
        <v>0.06</v>
      </c>
      <c r="CX59">
        <v>47.513054520183289</v>
      </c>
      <c r="CY59">
        <v>27011005.984783173</v>
      </c>
      <c r="CZ59">
        <v>0.14066748246550559</v>
      </c>
      <c r="DA59">
        <v>14.878464418709383</v>
      </c>
      <c r="DB59">
        <v>86257248.321014911</v>
      </c>
      <c r="DC59">
        <v>0.1336341083422303</v>
      </c>
      <c r="DD59">
        <v>6.9108339796356688</v>
      </c>
      <c r="DE59">
        <v>185704851.79961711</v>
      </c>
      <c r="DF59">
        <v>0.12378738456964491</v>
      </c>
      <c r="DG59">
        <v>3.8809844406494252</v>
      </c>
      <c r="DH59">
        <v>330682954.19016063</v>
      </c>
      <c r="DI59">
        <v>0.11253398597240448</v>
      </c>
      <c r="DJ59">
        <v>1.7216588735610563</v>
      </c>
      <c r="DK59">
        <v>745429550.36469185</v>
      </c>
      <c r="DL59">
        <v>9.8467237725853904E-2</v>
      </c>
      <c r="DM59">
        <v>25100800</v>
      </c>
      <c r="DN59">
        <v>0.14066748246550559</v>
      </c>
      <c r="DO59">
        <v>1283375400</v>
      </c>
      <c r="DP59">
        <v>760674740</v>
      </c>
      <c r="DQ59" s="10">
        <v>1602</v>
      </c>
      <c r="DR59">
        <v>-0.19512292801006004</v>
      </c>
      <c r="DS59">
        <v>-1.4935529607286924</v>
      </c>
      <c r="DT59">
        <v>-5.6666666666666719E-2</v>
      </c>
      <c r="DU59">
        <v>-1.115</v>
      </c>
      <c r="DV59">
        <v>-1.1716666666666666</v>
      </c>
      <c r="DW59">
        <v>-2.0724999999999998</v>
      </c>
      <c r="DX59">
        <v>0.37090000000000045</v>
      </c>
      <c r="DY59">
        <v>-2.0094902499999998</v>
      </c>
      <c r="DZ59">
        <v>3730</v>
      </c>
      <c r="EA59">
        <v>-2.0025629246575343</v>
      </c>
      <c r="EB59" s="11">
        <v>2</v>
      </c>
      <c r="EC59" s="11">
        <v>6.3669216842394863E-2</v>
      </c>
      <c r="ED59">
        <v>0.48639585059125184</v>
      </c>
      <c r="EE59">
        <v>-1.0001100000000001</v>
      </c>
      <c r="EF59">
        <v>-1.0161100000000001</v>
      </c>
      <c r="EG59">
        <v>24.1309</v>
      </c>
      <c r="EH59" s="13" t="s">
        <v>1726</v>
      </c>
      <c r="EI59">
        <v>0</v>
      </c>
      <c r="EJ59">
        <v>0</v>
      </c>
      <c r="EK59">
        <v>45470</v>
      </c>
      <c r="EL59">
        <v>-0.87</v>
      </c>
      <c r="EM59">
        <v>-4.99</v>
      </c>
      <c r="EN59" s="14">
        <v>2.0099999999999998</v>
      </c>
      <c r="EO59" s="14">
        <v>4.08</v>
      </c>
      <c r="EP59" s="14">
        <v>-1.6</v>
      </c>
    </row>
    <row r="60" spans="1:146" ht="108">
      <c r="A60" s="7"/>
      <c r="B60" s="7"/>
      <c r="C60" s="7" t="str">
        <f>""&amp;CHAR(10)&amp;Basic_Fundamental_Information_Constructure(F60)&amp;CHAR(10)&amp;Basic_Fundamental_Information_Concatenate("")</f>
        <v xml:space="preserve">
市值13.678092亿, 利润405.40万; PE229.4; 平均PE-1417.27; 平均PEG-2552.05, PB1.27; ROIC.29%; ROE.62%; 股利率.2222%; 毛利13.2167%; 净利1.1133%; 上一年度营收增15.17%, 利润增3.05%; 当季营收增.86%, 利润增125.25%; 过往5年营收增.56%, 利润增15.11%
Income profile:
</v>
      </c>
      <c r="D60" t="s">
        <v>492</v>
      </c>
      <c r="E60" t="s">
        <v>65</v>
      </c>
      <c r="F60">
        <v>4.5</v>
      </c>
      <c r="G60">
        <v>2.27</v>
      </c>
      <c r="H60" t="s">
        <v>4157</v>
      </c>
      <c r="I60">
        <v>1367809200</v>
      </c>
      <c r="J60">
        <v>229.4</v>
      </c>
      <c r="K60">
        <v>1.27</v>
      </c>
      <c r="L60" t="s">
        <v>85</v>
      </c>
      <c r="M60" t="s">
        <v>415</v>
      </c>
      <c r="N60" t="s">
        <v>3246</v>
      </c>
      <c r="O60" t="s">
        <v>393</v>
      </c>
      <c r="P60">
        <v>0.93</v>
      </c>
      <c r="Q60" t="s">
        <v>392</v>
      </c>
      <c r="R60">
        <v>384823</v>
      </c>
      <c r="S60" s="5">
        <v>1.252</v>
      </c>
      <c r="T60" t="s">
        <v>2609</v>
      </c>
      <c r="U60">
        <v>210433480</v>
      </c>
      <c r="V60">
        <v>303957600</v>
      </c>
      <c r="W60">
        <v>1.19</v>
      </c>
      <c r="X60">
        <v>0.09</v>
      </c>
      <c r="Y60">
        <v>0.33</v>
      </c>
      <c r="Z60" t="s">
        <v>296</v>
      </c>
      <c r="AA60" t="s">
        <v>818</v>
      </c>
      <c r="AB60" t="s">
        <v>4158</v>
      </c>
      <c r="AC60" t="s">
        <v>4159</v>
      </c>
      <c r="AD60" t="s">
        <v>90</v>
      </c>
      <c r="AE60">
        <v>-2306864</v>
      </c>
      <c r="AF60" t="s">
        <v>2610</v>
      </c>
      <c r="AG60">
        <v>9904.83</v>
      </c>
      <c r="AH60" t="s">
        <v>2612</v>
      </c>
      <c r="AI60" t="s">
        <v>4160</v>
      </c>
      <c r="AJ60" t="s">
        <v>2614</v>
      </c>
      <c r="AK60" t="s">
        <v>4161</v>
      </c>
      <c r="AL60" t="s">
        <v>2615</v>
      </c>
      <c r="AM60" t="s">
        <v>90</v>
      </c>
      <c r="AN60" t="s">
        <v>4162</v>
      </c>
      <c r="AO60" t="s">
        <v>90</v>
      </c>
      <c r="AP60" t="s">
        <v>4163</v>
      </c>
      <c r="AQ60" t="s">
        <v>4164</v>
      </c>
      <c r="AR60" t="s">
        <v>90</v>
      </c>
      <c r="AS60" t="s">
        <v>320</v>
      </c>
      <c r="AT60" t="s">
        <v>90</v>
      </c>
      <c r="AU60" t="s">
        <v>4165</v>
      </c>
      <c r="AV60" t="s">
        <v>4166</v>
      </c>
      <c r="AW60" t="s">
        <v>4167</v>
      </c>
      <c r="AX60" t="s">
        <v>465</v>
      </c>
      <c r="AY60" t="s">
        <v>1081</v>
      </c>
      <c r="AZ60" t="s">
        <v>382</v>
      </c>
      <c r="BA60" t="s">
        <v>100</v>
      </c>
      <c r="BB60" t="s">
        <v>658</v>
      </c>
      <c r="BC60" t="s">
        <v>1830</v>
      </c>
      <c r="BD60" t="s">
        <v>1274</v>
      </c>
      <c r="BE60" t="s">
        <v>826</v>
      </c>
      <c r="BF60" t="s">
        <v>493</v>
      </c>
      <c r="BG60" t="s">
        <v>828</v>
      </c>
      <c r="BH60" t="s">
        <v>392</v>
      </c>
      <c r="BI60" t="s">
        <v>274</v>
      </c>
      <c r="BJ60" t="s">
        <v>465</v>
      </c>
      <c r="BK60" t="s">
        <v>2609</v>
      </c>
      <c r="BL60" t="s">
        <v>2616</v>
      </c>
      <c r="BM60" t="s">
        <v>1830</v>
      </c>
      <c r="BN60">
        <v>-0.24</v>
      </c>
      <c r="BO60">
        <v>0.22</v>
      </c>
      <c r="BP60">
        <v>0.89</v>
      </c>
      <c r="BQ60">
        <v>0.55000000000000004</v>
      </c>
      <c r="BR60">
        <v>0.36</v>
      </c>
      <c r="BS60">
        <v>0.95</v>
      </c>
      <c r="BT60" t="s">
        <v>1693</v>
      </c>
      <c r="BU60" t="s">
        <v>1381</v>
      </c>
      <c r="BV60">
        <v>15.49</v>
      </c>
      <c r="BW60">
        <v>10.64</v>
      </c>
      <c r="BX60">
        <v>13.52</v>
      </c>
      <c r="BY60">
        <v>0.81</v>
      </c>
      <c r="BZ60">
        <v>0.9</v>
      </c>
      <c r="CA60">
        <v>1.63</v>
      </c>
      <c r="CB60">
        <v>-0.66</v>
      </c>
      <c r="CC60">
        <v>-12.45</v>
      </c>
      <c r="CD60" t="s">
        <v>4168</v>
      </c>
      <c r="CE60" t="s">
        <v>151</v>
      </c>
      <c r="CF60" s="8">
        <v>8.6206896551725438E-3</v>
      </c>
      <c r="CG60" s="9">
        <v>1.2524753969295368</v>
      </c>
      <c r="CH60" s="8">
        <v>0.15172414481639862</v>
      </c>
      <c r="CI60" s="8">
        <v>-0.30511182546615601</v>
      </c>
      <c r="CJ60" s="8">
        <v>0.4592074453830719</v>
      </c>
      <c r="CK60" s="8">
        <v>-6.5359480679035187E-2</v>
      </c>
      <c r="CL60" s="8">
        <v>-0.21269296109676361</v>
      </c>
      <c r="CM60" s="9">
        <v>3.0450917780399323E-2</v>
      </c>
      <c r="CN60" s="9">
        <v>-0.61530488729476929</v>
      </c>
      <c r="CO60" s="9">
        <v>-0.11340367048978806</v>
      </c>
      <c r="CP60" s="9">
        <v>0.24754220247268677</v>
      </c>
      <c r="CQ60" s="9">
        <v>1.206447958946228</v>
      </c>
      <c r="CR60">
        <v>-1417.2719925396332</v>
      </c>
      <c r="CS60">
        <v>-2552.0501106787888</v>
      </c>
      <c r="CT60">
        <v>0.22222222222222224</v>
      </c>
      <c r="CU60" s="8">
        <v>5.5534645915031435E-3</v>
      </c>
      <c r="CV60" s="9">
        <v>0.15114650428295134</v>
      </c>
      <c r="CW60">
        <v>0.06</v>
      </c>
      <c r="CX60">
        <v>143.22477206193807</v>
      </c>
      <c r="CY60">
        <v>3845767.6843905221</v>
      </c>
      <c r="CZ60">
        <v>5.5534645915031435E-3</v>
      </c>
      <c r="DA60">
        <v>50.307277172324724</v>
      </c>
      <c r="DB60">
        <v>10948897.077320131</v>
      </c>
      <c r="DC60">
        <v>5.275791361927986E-3</v>
      </c>
      <c r="DD60">
        <v>27.184561359273186</v>
      </c>
      <c r="DE60">
        <v>20261838.795942467</v>
      </c>
      <c r="DF60">
        <v>4.8870488405227666E-3</v>
      </c>
      <c r="DG60">
        <v>18.052256513739838</v>
      </c>
      <c r="DH60">
        <v>30511930.715186264</v>
      </c>
      <c r="DI60">
        <v>4.4427716732025153E-3</v>
      </c>
      <c r="DJ60">
        <v>11.453949075726063</v>
      </c>
      <c r="DK60">
        <v>48089021.206433482</v>
      </c>
      <c r="DL60">
        <v>3.8874252140522004E-3</v>
      </c>
      <c r="DM60">
        <v>4054000</v>
      </c>
      <c r="DN60">
        <v>5.5534645915031435E-3</v>
      </c>
      <c r="DO60">
        <v>550809199.99999988</v>
      </c>
      <c r="DP60">
        <v>767965310</v>
      </c>
      <c r="DQ60">
        <v>1616</v>
      </c>
      <c r="DR60">
        <v>3.0672250636694003E-3</v>
      </c>
      <c r="DS60">
        <v>1.1013288926465854</v>
      </c>
      <c r="DT60" s="10">
        <v>-0.38999999999999996</v>
      </c>
      <c r="DU60">
        <v>0.23666666666666666</v>
      </c>
      <c r="DV60">
        <v>-0.15333333333333329</v>
      </c>
      <c r="DW60">
        <v>-2.1244999999999998</v>
      </c>
      <c r="DX60">
        <v>0.35120336134453894</v>
      </c>
      <c r="DY60">
        <v>-2.0188248184873951</v>
      </c>
      <c r="DZ60">
        <v>2070</v>
      </c>
      <c r="EA60">
        <v>-2.0111991092371198</v>
      </c>
      <c r="EB60">
        <v>2</v>
      </c>
      <c r="EC60">
        <v>5.9196414236722492E-2</v>
      </c>
      <c r="ED60">
        <v>0.39150197264355291</v>
      </c>
      <c r="EE60" s="11">
        <v>-2.0268000000000002</v>
      </c>
      <c r="EF60">
        <v>-2.0156999999999998</v>
      </c>
      <c r="EG60">
        <v>20.151203361344539</v>
      </c>
      <c r="EH60" t="s">
        <v>1793</v>
      </c>
      <c r="EI60">
        <v>0</v>
      </c>
      <c r="EJ60">
        <v>0</v>
      </c>
      <c r="EK60" s="13">
        <v>45470</v>
      </c>
      <c r="EL60" s="14">
        <v>-0.22</v>
      </c>
      <c r="EM60" s="14">
        <v>-6.05</v>
      </c>
      <c r="EN60" s="14">
        <v>2.63</v>
      </c>
      <c r="EO60" s="14">
        <v>5.12</v>
      </c>
      <c r="EP60" s="14">
        <v>-1.1100000000000001</v>
      </c>
    </row>
    <row r="61" spans="1:146" ht="108">
      <c r="A61" s="7"/>
      <c r="B61" s="7"/>
      <c r="C61" s="7" t="str">
        <f>""&amp;CHAR(10)&amp;Basic_Fundamental_Information_Constructure(F61)&amp;CHAR(10)&amp;Basic_Fundamental_Information_Concatenate("")</f>
        <v xml:space="preserve">
市值48.052506亿, 利润2.01亿; PE19.23; 平均PE-14.64; 平均PEG-2.98, PB1.94; ROIC5.245%; ROE-5.7067%; 股利率0%; 毛利34.0567%; 净利-2.6633%; 上一年度营收增3.21%, 利润增73.28%; 当季营收增5.62%, 利润增123.57%; 过往5年营收增4.91%, 利润增-1698.97%
Income profile:
</v>
      </c>
      <c r="D61" t="s">
        <v>495</v>
      </c>
      <c r="E61" t="s">
        <v>58</v>
      </c>
      <c r="F61">
        <v>2.5</v>
      </c>
      <c r="G61">
        <v>1.63</v>
      </c>
      <c r="H61" t="s">
        <v>4169</v>
      </c>
      <c r="I61">
        <v>4805250600</v>
      </c>
      <c r="J61">
        <v>19.23</v>
      </c>
      <c r="K61">
        <v>1.94</v>
      </c>
      <c r="L61" t="s">
        <v>85</v>
      </c>
      <c r="M61" t="s">
        <v>2617</v>
      </c>
      <c r="N61" t="s">
        <v>3176</v>
      </c>
      <c r="O61" t="s">
        <v>2618</v>
      </c>
      <c r="P61">
        <v>5.56</v>
      </c>
      <c r="Q61" t="s">
        <v>2619</v>
      </c>
      <c r="R61">
        <v>89282180</v>
      </c>
      <c r="S61" s="5">
        <v>1.236</v>
      </c>
      <c r="T61" t="s">
        <v>275</v>
      </c>
      <c r="U61">
        <v>1893597200</v>
      </c>
      <c r="V61">
        <v>1922100200</v>
      </c>
      <c r="W61">
        <v>3.07</v>
      </c>
      <c r="X61">
        <v>0.13</v>
      </c>
      <c r="Y61">
        <v>9.1</v>
      </c>
      <c r="Z61" t="s">
        <v>340</v>
      </c>
      <c r="AA61" t="s">
        <v>171</v>
      </c>
      <c r="AB61" t="s">
        <v>174</v>
      </c>
      <c r="AC61" t="s">
        <v>393</v>
      </c>
      <c r="AD61" t="s">
        <v>90</v>
      </c>
      <c r="AE61">
        <v>5102440</v>
      </c>
      <c r="AF61" t="s">
        <v>2620</v>
      </c>
      <c r="AG61" t="s">
        <v>4170</v>
      </c>
      <c r="AH61" t="s">
        <v>2621</v>
      </c>
      <c r="AI61" t="s">
        <v>2656</v>
      </c>
      <c r="AJ61" t="s">
        <v>2623</v>
      </c>
      <c r="AK61" t="s">
        <v>4171</v>
      </c>
      <c r="AL61" t="s">
        <v>2624</v>
      </c>
      <c r="AM61" t="s">
        <v>90</v>
      </c>
      <c r="AN61" t="s">
        <v>1551</v>
      </c>
      <c r="AO61" t="s">
        <v>479</v>
      </c>
      <c r="AP61" t="s">
        <v>90</v>
      </c>
      <c r="AQ61" t="s">
        <v>912</v>
      </c>
      <c r="AR61" t="s">
        <v>90</v>
      </c>
      <c r="AS61" t="s">
        <v>4172</v>
      </c>
      <c r="AT61" t="s">
        <v>1602</v>
      </c>
      <c r="AU61" t="s">
        <v>4173</v>
      </c>
      <c r="AV61" t="s">
        <v>2003</v>
      </c>
      <c r="AW61" t="s">
        <v>137</v>
      </c>
      <c r="AX61" t="s">
        <v>1832</v>
      </c>
      <c r="AY61" t="s">
        <v>1275</v>
      </c>
      <c r="AZ61" t="s">
        <v>829</v>
      </c>
      <c r="BA61" t="s">
        <v>496</v>
      </c>
      <c r="BB61" t="s">
        <v>831</v>
      </c>
      <c r="BC61" t="s">
        <v>274</v>
      </c>
      <c r="BD61" t="s">
        <v>1276</v>
      </c>
      <c r="BE61" t="s">
        <v>830</v>
      </c>
      <c r="BF61" t="s">
        <v>497</v>
      </c>
      <c r="BG61" t="s">
        <v>327</v>
      </c>
      <c r="BH61" t="s">
        <v>2619</v>
      </c>
      <c r="BI61" t="s">
        <v>1833</v>
      </c>
      <c r="BJ61" t="s">
        <v>1832</v>
      </c>
      <c r="BK61" t="s">
        <v>275</v>
      </c>
      <c r="BL61" t="s">
        <v>2625</v>
      </c>
      <c r="BM61" t="s">
        <v>274</v>
      </c>
      <c r="BN61">
        <v>6.04</v>
      </c>
      <c r="BO61">
        <v>4.45</v>
      </c>
      <c r="BP61" t="s">
        <v>90</v>
      </c>
      <c r="BQ61">
        <v>9.5299999999999994</v>
      </c>
      <c r="BR61">
        <v>5.5</v>
      </c>
      <c r="BS61">
        <v>-32.15</v>
      </c>
      <c r="BT61" t="s">
        <v>1692</v>
      </c>
      <c r="BU61" t="s">
        <v>1381</v>
      </c>
      <c r="BV61">
        <v>37.75</v>
      </c>
      <c r="BW61">
        <v>30.2</v>
      </c>
      <c r="BX61">
        <v>34.22</v>
      </c>
      <c r="BY61">
        <v>4.1500000000000004</v>
      </c>
      <c r="BZ61">
        <v>2.57</v>
      </c>
      <c r="CA61">
        <v>-14.71</v>
      </c>
      <c r="CB61">
        <v>0</v>
      </c>
      <c r="CC61">
        <v>-15.25</v>
      </c>
      <c r="CD61" t="s">
        <v>4174</v>
      </c>
      <c r="CE61" t="s">
        <v>2080</v>
      </c>
      <c r="CF61" s="8">
        <v>5.6179775280899007E-2</v>
      </c>
      <c r="CG61" s="9">
        <v>1.2357490753470108</v>
      </c>
      <c r="CH61" s="8">
        <v>3.2104849815368652E-2</v>
      </c>
      <c r="CI61" s="8">
        <v>1.4844842255115509E-2</v>
      </c>
      <c r="CJ61" s="8">
        <v>0.22972972691059113</v>
      </c>
      <c r="CK61" s="8">
        <v>3.028816357254982E-2</v>
      </c>
      <c r="CL61" s="8">
        <v>-6.1654753983020782E-2</v>
      </c>
      <c r="CM61" s="9">
        <v>0.73275864124298096</v>
      </c>
      <c r="CN61" s="9">
        <v>1.1489088535308838</v>
      </c>
      <c r="CO61" s="9">
        <v>0.60255098342895508</v>
      </c>
      <c r="CP61" s="9">
        <v>-86.486114501953125</v>
      </c>
      <c r="CQ61" s="9">
        <v>-0.94667971134185791</v>
      </c>
      <c r="CR61">
        <v>-14.642176216688437</v>
      </c>
      <c r="CS61">
        <v>-2.9843886073969061</v>
      </c>
      <c r="CT61">
        <v>0</v>
      </c>
      <c r="CU61" s="8">
        <v>4.9062565714120862E-2</v>
      </c>
      <c r="CV61" s="9">
        <v>-16.989715147018433</v>
      </c>
      <c r="CW61">
        <v>0.06</v>
      </c>
      <c r="CX61">
        <v>38.59852421500441</v>
      </c>
      <c r="CY61">
        <v>198926014.81937572</v>
      </c>
      <c r="CZ61">
        <v>4.9062565714120862E-2</v>
      </c>
      <c r="DA61">
        <v>13.060626526106642</v>
      </c>
      <c r="DB61">
        <v>587892976.24061823</v>
      </c>
      <c r="DC61">
        <v>4.6609437428414814E-2</v>
      </c>
      <c r="DD61">
        <v>6.7309009557081163</v>
      </c>
      <c r="DE61">
        <v>1140746335.5241451</v>
      </c>
      <c r="DF61">
        <v>4.3175057828426358E-2</v>
      </c>
      <c r="DG61">
        <v>4.2519509201186763</v>
      </c>
      <c r="DH61">
        <v>1805818257.1368184</v>
      </c>
      <c r="DI61">
        <v>3.9250052571296691E-2</v>
      </c>
      <c r="DJ61">
        <v>2.4459095268637792</v>
      </c>
      <c r="DK61">
        <v>3139221020.1026082</v>
      </c>
      <c r="DL61">
        <v>3.4343795999884602E-2</v>
      </c>
      <c r="DM61">
        <v>200999999.99999997</v>
      </c>
      <c r="DN61">
        <v>4.9062565714120862E-2</v>
      </c>
      <c r="DO61">
        <v>7678250600</v>
      </c>
      <c r="DP61">
        <v>1652122200</v>
      </c>
      <c r="DQ61">
        <v>1635</v>
      </c>
      <c r="DR61">
        <v>7.1172095667781446E-3</v>
      </c>
      <c r="DS61">
        <v>18.225464222365446</v>
      </c>
      <c r="DT61" s="10">
        <v>-0.3066666666666667</v>
      </c>
      <c r="DU61">
        <v>7.333333333333332E-2</v>
      </c>
      <c r="DV61">
        <v>-0.23333333333333339</v>
      </c>
      <c r="DW61">
        <v>-2.1524999999999999</v>
      </c>
      <c r="DX61">
        <v>0.38005765517241241</v>
      </c>
      <c r="DY61">
        <v>-2.024408792413793</v>
      </c>
      <c r="DZ61">
        <v>2279</v>
      </c>
      <c r="EA61">
        <v>-2.0135227575975438</v>
      </c>
      <c r="EB61">
        <v>2</v>
      </c>
      <c r="EC61">
        <v>4.3468129288993365E-2</v>
      </c>
      <c r="ED61">
        <v>0.27157793334603469</v>
      </c>
      <c r="EE61" s="11">
        <v>-1.1208</v>
      </c>
      <c r="EF61">
        <v>-1.0980000000000001</v>
      </c>
      <c r="EG61">
        <v>22.160057655172412</v>
      </c>
      <c r="EH61" t="s">
        <v>1730</v>
      </c>
      <c r="EI61">
        <v>0</v>
      </c>
      <c r="EJ61">
        <v>0</v>
      </c>
      <c r="EK61" s="13">
        <v>45470</v>
      </c>
      <c r="EL61" s="14">
        <v>0.37</v>
      </c>
      <c r="EM61" s="14">
        <v>-4.8499999999999996</v>
      </c>
      <c r="EN61" s="14">
        <v>1.18</v>
      </c>
      <c r="EO61" s="14">
        <v>1.94</v>
      </c>
      <c r="EP61" s="14">
        <v>-2.2799999999999998</v>
      </c>
    </row>
    <row r="62" spans="1:146" ht="108">
      <c r="A62" s="7"/>
      <c r="B62" s="7"/>
      <c r="C62" s="7" t="str">
        <f>""&amp;CHAR(10)&amp;Basic_Fundamental_Information_Constructure(F62)&amp;CHAR(10)&amp;Basic_Fundamental_Information_Concatenate("")</f>
        <v xml:space="preserve">
市值23.607311亿, 利润1.01亿; PE25.28; 平均PE24.03; 平均PEG1.24, PB1.37; ROIC5.28%; ROE5.9933%; 股利率3.8168%; 毛利21.7133%; 净利8.93%; 上一年度营收增7.18%, 利润增20.8%; 当季营收增-8.19%, 利润增-18.84%; 过往5年营收增19.45%, 利润增6.48%
Income profile:
</v>
      </c>
      <c r="D62" t="s">
        <v>498</v>
      </c>
      <c r="E62" t="s">
        <v>50</v>
      </c>
      <c r="F62">
        <v>5.24</v>
      </c>
      <c r="G62">
        <v>1.95</v>
      </c>
      <c r="H62" t="s">
        <v>4175</v>
      </c>
      <c r="I62">
        <v>2360731100</v>
      </c>
      <c r="J62">
        <v>25.28</v>
      </c>
      <c r="K62">
        <v>1.37</v>
      </c>
      <c r="L62" t="s">
        <v>85</v>
      </c>
      <c r="M62" t="s">
        <v>2369</v>
      </c>
      <c r="N62" t="s">
        <v>4176</v>
      </c>
      <c r="O62" t="s">
        <v>1393</v>
      </c>
      <c r="P62">
        <v>-8.11</v>
      </c>
      <c r="Q62" t="s">
        <v>2626</v>
      </c>
      <c r="R62">
        <v>30822082</v>
      </c>
      <c r="S62" s="5">
        <v>-0.18840000000000001</v>
      </c>
      <c r="T62" t="s">
        <v>210</v>
      </c>
      <c r="U62">
        <v>315304450</v>
      </c>
      <c r="V62">
        <v>450521200</v>
      </c>
      <c r="W62">
        <v>1.39</v>
      </c>
      <c r="X62">
        <v>0.11</v>
      </c>
      <c r="Y62">
        <v>11.57</v>
      </c>
      <c r="Z62" t="s">
        <v>363</v>
      </c>
      <c r="AA62" t="s">
        <v>659</v>
      </c>
      <c r="AB62" t="s">
        <v>4177</v>
      </c>
      <c r="AC62" t="s">
        <v>4178</v>
      </c>
      <c r="AD62" t="s">
        <v>90</v>
      </c>
      <c r="AE62">
        <v>-8411357</v>
      </c>
      <c r="AF62" t="s">
        <v>2627</v>
      </c>
      <c r="AG62" t="s">
        <v>4179</v>
      </c>
      <c r="AH62" t="s">
        <v>2628</v>
      </c>
      <c r="AI62" t="s">
        <v>4180</v>
      </c>
      <c r="AJ62" t="s">
        <v>2629</v>
      </c>
      <c r="AK62" t="s">
        <v>90</v>
      </c>
      <c r="AL62" t="s">
        <v>2630</v>
      </c>
      <c r="AM62" t="s">
        <v>90</v>
      </c>
      <c r="AN62" t="s">
        <v>4181</v>
      </c>
      <c r="AO62" t="s">
        <v>4182</v>
      </c>
      <c r="AP62" t="s">
        <v>4183</v>
      </c>
      <c r="AQ62" t="s">
        <v>308</v>
      </c>
      <c r="AR62" t="s">
        <v>90</v>
      </c>
      <c r="AS62" t="s">
        <v>148</v>
      </c>
      <c r="AT62" t="s">
        <v>1393</v>
      </c>
      <c r="AU62" t="s">
        <v>4184</v>
      </c>
      <c r="AV62" t="s">
        <v>1608</v>
      </c>
      <c r="AW62" t="s">
        <v>4185</v>
      </c>
      <c r="AX62" t="s">
        <v>425</v>
      </c>
      <c r="AY62" t="s">
        <v>1177</v>
      </c>
      <c r="AZ62" t="s">
        <v>510</v>
      </c>
      <c r="BA62" t="s">
        <v>489</v>
      </c>
      <c r="BB62" t="s">
        <v>672</v>
      </c>
      <c r="BC62" t="s">
        <v>2631</v>
      </c>
      <c r="BD62" t="s">
        <v>393</v>
      </c>
      <c r="BE62" t="s">
        <v>833</v>
      </c>
      <c r="BF62" t="s">
        <v>282</v>
      </c>
      <c r="BG62" t="s">
        <v>189</v>
      </c>
      <c r="BH62" t="s">
        <v>2626</v>
      </c>
      <c r="BI62" t="s">
        <v>157</v>
      </c>
      <c r="BJ62" t="s">
        <v>425</v>
      </c>
      <c r="BK62" t="s">
        <v>210</v>
      </c>
      <c r="BL62" t="s">
        <v>2632</v>
      </c>
      <c r="BM62" t="s">
        <v>2631</v>
      </c>
      <c r="BN62">
        <v>4.3499999999999996</v>
      </c>
      <c r="BO62">
        <v>4.5999999999999996</v>
      </c>
      <c r="BP62">
        <v>6.89</v>
      </c>
      <c r="BQ62">
        <v>5.61</v>
      </c>
      <c r="BR62">
        <v>5.1100000000000003</v>
      </c>
      <c r="BS62">
        <v>7.26</v>
      </c>
      <c r="BT62" t="s">
        <v>1694</v>
      </c>
      <c r="BU62" t="s">
        <v>1381</v>
      </c>
      <c r="BV62">
        <v>22.63</v>
      </c>
      <c r="BW62">
        <v>20.2</v>
      </c>
      <c r="BX62">
        <v>22.31</v>
      </c>
      <c r="BY62">
        <v>7.88</v>
      </c>
      <c r="BZ62">
        <v>8.01</v>
      </c>
      <c r="CA62">
        <v>10.9</v>
      </c>
      <c r="CB62">
        <v>-1.69</v>
      </c>
      <c r="CC62">
        <v>-9.19</v>
      </c>
      <c r="CD62" t="s">
        <v>4186</v>
      </c>
      <c r="CE62" t="s">
        <v>418</v>
      </c>
      <c r="CF62" s="8">
        <v>-8.191126279863481E-2</v>
      </c>
      <c r="CG62" s="9">
        <v>-0.18838211401381394</v>
      </c>
      <c r="CH62" s="8">
        <v>7.1761414408683777E-2</v>
      </c>
      <c r="CI62" s="8">
        <v>-9.2336684465408325E-3</v>
      </c>
      <c r="CJ62" s="8">
        <v>0.9478418231010437</v>
      </c>
      <c r="CK62" s="8">
        <v>1.8018018454313278E-3</v>
      </c>
      <c r="CL62" s="8">
        <v>-3.9792388677597046E-2</v>
      </c>
      <c r="CM62" s="9">
        <v>0.20797930657863617</v>
      </c>
      <c r="CN62" s="9">
        <v>-0.28537860512733459</v>
      </c>
      <c r="CO62" s="9">
        <v>0.74943327903747559</v>
      </c>
      <c r="CP62" s="9">
        <v>-0.41334384679794312</v>
      </c>
      <c r="CQ62" s="9">
        <v>6.5420560538768768E-2</v>
      </c>
      <c r="CR62">
        <v>24.028225439129958</v>
      </c>
      <c r="CS62">
        <v>1.2355380915370944</v>
      </c>
      <c r="CT62">
        <v>3.8167938931297707</v>
      </c>
      <c r="CU62" s="8">
        <v>0.19447579644620419</v>
      </c>
      <c r="CV62" s="9">
        <v>6.4822138845920557E-2</v>
      </c>
      <c r="CW62">
        <v>0.06</v>
      </c>
      <c r="CX62">
        <v>11.024472031228854</v>
      </c>
      <c r="CY62">
        <v>113813259.85006286</v>
      </c>
      <c r="CZ62">
        <v>0.19447579644620419</v>
      </c>
      <c r="DA62">
        <v>3.3012205823919683</v>
      </c>
      <c r="DB62">
        <v>380080963.59645808</v>
      </c>
      <c r="DC62">
        <v>0.18475200662389396</v>
      </c>
      <c r="DD62">
        <v>1.4396009181293554</v>
      </c>
      <c r="DE62">
        <v>871582592.23008907</v>
      </c>
      <c r="DF62">
        <v>0.1711387008726597</v>
      </c>
      <c r="DG62">
        <v>0.74944563016538113</v>
      </c>
      <c r="DH62">
        <v>1674212310.402179</v>
      </c>
      <c r="DI62">
        <v>0.15558063715696335</v>
      </c>
      <c r="DJ62">
        <v>0.27714689436417472</v>
      </c>
      <c r="DK62">
        <v>4527314307.0160704</v>
      </c>
      <c r="DL62">
        <v>0.13613305751234292</v>
      </c>
      <c r="DM62">
        <v>101000000</v>
      </c>
      <c r="DN62">
        <v>0.19447579644620419</v>
      </c>
      <c r="DO62">
        <v>1254731099.9999998</v>
      </c>
      <c r="DP62">
        <v>1405694700</v>
      </c>
      <c r="DQ62">
        <v>1644</v>
      </c>
      <c r="DR62">
        <v>-0.27638705924483897</v>
      </c>
      <c r="DS62">
        <v>-0.25320425285973447</v>
      </c>
      <c r="DT62" s="10">
        <v>-0.17333333333333334</v>
      </c>
      <c r="DU62">
        <v>-5.3333333333333344E-2</v>
      </c>
      <c r="DV62">
        <v>-0.22666666666666668</v>
      </c>
      <c r="DW62">
        <v>-2.0918999999999999</v>
      </c>
      <c r="DX62">
        <v>0.31710970873786565</v>
      </c>
      <c r="DY62">
        <v>-2.0116813822330095</v>
      </c>
      <c r="DZ62">
        <v>2269</v>
      </c>
      <c r="EA62">
        <v>-2.0064944827639883</v>
      </c>
      <c r="EB62">
        <v>2</v>
      </c>
      <c r="EC62">
        <v>2.9060341666496493E-2</v>
      </c>
      <c r="ED62">
        <v>0.2286240913857106</v>
      </c>
      <c r="EE62" s="11">
        <v>-2.0081000000000002</v>
      </c>
      <c r="EF62">
        <v>-2.00101</v>
      </c>
      <c r="EG62">
        <v>19.127109708737866</v>
      </c>
      <c r="EH62" t="s">
        <v>1735</v>
      </c>
      <c r="EI62">
        <v>0</v>
      </c>
      <c r="EJ62">
        <v>0</v>
      </c>
      <c r="EK62" s="13">
        <v>45470</v>
      </c>
      <c r="EL62" s="14">
        <v>0.18</v>
      </c>
      <c r="EM62" s="14">
        <v>-4.93</v>
      </c>
      <c r="EN62" s="14">
        <v>1.34</v>
      </c>
      <c r="EO62" s="14">
        <v>4.17</v>
      </c>
      <c r="EP62" s="14">
        <v>-0.91</v>
      </c>
    </row>
    <row r="63" spans="1:146" ht="96">
      <c r="C63" s="7" t="str">
        <f>""&amp;CHAR(10)&amp;Basic_Fundamental_Information_Constructure(F63)&amp;CHAR(10)&amp;Basic_Fundamental_Information_Concatenate("")</f>
        <v xml:space="preserve">
市值14.076412亿, 利润-1.75亿; PE; 平均PE-2.49; 平均PEG-.25, PB; ROIC0%; ROE-89.8033%; 股利率0%; 毛利18.9167%; 净利-74.79%; 上一年度营收增41.59%, 利润增-62.04%; 当季营收增-3.41%, 利润增-1.21%; 过往5年营收增-10.16%, 利润增-929.63%
Income profile:
</v>
      </c>
      <c r="D63" t="s">
        <v>1835</v>
      </c>
      <c r="E63" t="s">
        <v>1836</v>
      </c>
      <c r="F63">
        <v>1.94</v>
      </c>
      <c r="G63">
        <v>4.8600000000000003</v>
      </c>
      <c r="H63" t="s">
        <v>4187</v>
      </c>
      <c r="I63">
        <v>1407641200</v>
      </c>
      <c r="L63" t="s">
        <v>85</v>
      </c>
      <c r="M63" t="s">
        <v>2633</v>
      </c>
      <c r="N63" t="s">
        <v>653</v>
      </c>
      <c r="O63" t="s">
        <v>170</v>
      </c>
      <c r="P63" s="5">
        <v>-3.28</v>
      </c>
      <c r="Q63" t="s">
        <v>1569</v>
      </c>
      <c r="R63">
        <v>-36375685</v>
      </c>
      <c r="S63">
        <v>-1.21E-2</v>
      </c>
      <c r="T63" t="s">
        <v>2634</v>
      </c>
      <c r="U63">
        <v>697396080</v>
      </c>
      <c r="V63">
        <v>725588260</v>
      </c>
      <c r="W63">
        <v>9.27</v>
      </c>
      <c r="X63">
        <v>0.1</v>
      </c>
      <c r="Y63">
        <v>-17.829999999999998</v>
      </c>
      <c r="Z63" t="s">
        <v>150</v>
      </c>
      <c r="AA63" t="s">
        <v>192</v>
      </c>
      <c r="AB63" t="s">
        <v>4188</v>
      </c>
      <c r="AC63" t="s">
        <v>4189</v>
      </c>
      <c r="AD63" t="s">
        <v>90</v>
      </c>
      <c r="AE63">
        <v>16226655</v>
      </c>
      <c r="AF63" t="s">
        <v>2635</v>
      </c>
      <c r="AG63">
        <v>9228.4699999999993</v>
      </c>
      <c r="AH63" t="s">
        <v>2636</v>
      </c>
      <c r="AI63" t="s">
        <v>4190</v>
      </c>
      <c r="AJ63" t="s">
        <v>2637</v>
      </c>
      <c r="AK63" t="s">
        <v>4191</v>
      </c>
      <c r="AL63" t="s">
        <v>2638</v>
      </c>
      <c r="AM63" t="s">
        <v>90</v>
      </c>
      <c r="AN63" t="s">
        <v>4192</v>
      </c>
      <c r="AO63" t="s">
        <v>1838</v>
      </c>
      <c r="AP63" t="s">
        <v>90</v>
      </c>
      <c r="AQ63" t="s">
        <v>342</v>
      </c>
      <c r="AR63" t="s">
        <v>4193</v>
      </c>
      <c r="AS63" t="s">
        <v>4194</v>
      </c>
      <c r="AT63" t="s">
        <v>2639</v>
      </c>
      <c r="AU63" t="s">
        <v>4195</v>
      </c>
      <c r="AV63" t="s">
        <v>4196</v>
      </c>
      <c r="AW63" t="s">
        <v>4197</v>
      </c>
      <c r="AX63" t="s">
        <v>1567</v>
      </c>
      <c r="AY63" t="s">
        <v>1839</v>
      </c>
      <c r="AZ63" t="s">
        <v>1481</v>
      </c>
      <c r="BA63" t="s">
        <v>1840</v>
      </c>
      <c r="BB63" t="s">
        <v>1841</v>
      </c>
      <c r="BC63" t="s">
        <v>1837</v>
      </c>
      <c r="BD63" t="s">
        <v>1842</v>
      </c>
      <c r="BE63" t="s">
        <v>1843</v>
      </c>
      <c r="BF63" t="s">
        <v>1844</v>
      </c>
      <c r="BG63" t="s">
        <v>1845</v>
      </c>
      <c r="BH63" t="s">
        <v>1569</v>
      </c>
      <c r="BI63" t="s">
        <v>659</v>
      </c>
      <c r="BJ63" t="s">
        <v>1567</v>
      </c>
      <c r="BK63" t="s">
        <v>2634</v>
      </c>
      <c r="BL63" t="s">
        <v>2640</v>
      </c>
      <c r="BM63" t="s">
        <v>1837</v>
      </c>
      <c r="BN63" t="s">
        <v>90</v>
      </c>
      <c r="BO63" t="s">
        <v>90</v>
      </c>
      <c r="BP63" t="s">
        <v>90</v>
      </c>
      <c r="BQ63">
        <v>-52.63</v>
      </c>
      <c r="BR63">
        <v>-89.39</v>
      </c>
      <c r="BS63">
        <v>-127.39</v>
      </c>
      <c r="BT63" t="s">
        <v>1692</v>
      </c>
      <c r="BU63" t="s">
        <v>1381</v>
      </c>
      <c r="BV63">
        <v>20.59</v>
      </c>
      <c r="BW63">
        <v>19.2</v>
      </c>
      <c r="BX63">
        <v>16.96</v>
      </c>
      <c r="BY63">
        <v>-27.73</v>
      </c>
      <c r="BZ63">
        <v>-23.13</v>
      </c>
      <c r="CA63">
        <v>-173.51</v>
      </c>
      <c r="CB63">
        <v>5.43</v>
      </c>
      <c r="CC63" s="8">
        <v>-15.65</v>
      </c>
      <c r="CD63" s="9" t="s">
        <v>4198</v>
      </c>
      <c r="CE63" s="8" t="s">
        <v>619</v>
      </c>
      <c r="CF63" s="8">
        <v>-3.4146341463414491E-2</v>
      </c>
      <c r="CG63" s="8">
        <v>-1.2052166655074076E-2</v>
      </c>
      <c r="CH63" s="8">
        <v>0.41594827175140381</v>
      </c>
      <c r="CI63" s="8">
        <v>0.10213776677846909</v>
      </c>
      <c r="CJ63" s="9">
        <v>-0.39511492848396301</v>
      </c>
      <c r="CK63" s="9">
        <v>-0.34586465358734131</v>
      </c>
      <c r="CL63" s="9">
        <v>-0.28494623303413391</v>
      </c>
      <c r="CM63" s="9">
        <v>-0.62037038803100586</v>
      </c>
      <c r="CN63" s="9">
        <v>0.84979134798049927</v>
      </c>
      <c r="CO63">
        <v>0.40529361367225647</v>
      </c>
      <c r="CP63">
        <v>-8.2776159979403019E-4</v>
      </c>
      <c r="CQ63">
        <v>-47.115493774414063</v>
      </c>
      <c r="CR63" s="8">
        <v>-2.4893406632370754</v>
      </c>
      <c r="CS63" s="9">
        <v>-0.24509114666273757</v>
      </c>
      <c r="CT63">
        <v>0</v>
      </c>
      <c r="CU63">
        <v>-0.10156795531511306</v>
      </c>
      <c r="CV63">
        <v>-9.296321392478422</v>
      </c>
      <c r="CW63">
        <v>0.06</v>
      </c>
      <c r="CX63" t="e">
        <v>#VALUE!</v>
      </c>
      <c r="CY63" t="s">
        <v>1392</v>
      </c>
      <c r="CZ63">
        <v>-0.10156795531511306</v>
      </c>
      <c r="DA63" t="e">
        <v>#VALUE!</v>
      </c>
      <c r="DB63" t="s">
        <v>1391</v>
      </c>
      <c r="DC63">
        <v>-9.648955754935741E-2</v>
      </c>
      <c r="DD63" t="e">
        <v>#VALUE!</v>
      </c>
      <c r="DE63" t="s">
        <v>1391</v>
      </c>
      <c r="DF63">
        <v>-8.937980067729949E-2</v>
      </c>
      <c r="DG63" t="e">
        <v>#VALUE!</v>
      </c>
      <c r="DH63" t="s">
        <v>1391</v>
      </c>
      <c r="DI63">
        <v>-8.1254364252090455E-2</v>
      </c>
      <c r="DJ63" t="e">
        <v>#VALUE!</v>
      </c>
      <c r="DK63" t="s">
        <v>1391</v>
      </c>
      <c r="DL63">
        <v>-7.1097568720579138E-2</v>
      </c>
      <c r="DM63">
        <v>-175000000</v>
      </c>
      <c r="DN63">
        <v>-0.10156795531511306</v>
      </c>
      <c r="DO63">
        <v>2895641200</v>
      </c>
      <c r="DP63">
        <v>-646874110</v>
      </c>
      <c r="DQ63" s="10">
        <v>1646</v>
      </c>
      <c r="DR63">
        <v>6.7421613851698564E-2</v>
      </c>
      <c r="DS63">
        <v>9.2842692258233477</v>
      </c>
      <c r="DT63">
        <v>-0.62333333333333329</v>
      </c>
      <c r="DU63">
        <v>-3.0816666666666666</v>
      </c>
      <c r="DV63">
        <v>-3.7050000000000001</v>
      </c>
      <c r="DW63">
        <v>6.2575901328273247</v>
      </c>
      <c r="DX63">
        <v>0.56587421602787458</v>
      </c>
      <c r="DY63">
        <v>6.050455265324068</v>
      </c>
      <c r="DZ63">
        <v>5042</v>
      </c>
      <c r="EA63">
        <v>6.0006714203604767</v>
      </c>
      <c r="EB63" s="11">
        <v>6</v>
      </c>
      <c r="EC63" s="11">
        <v>7.7476308671256613E-2</v>
      </c>
      <c r="ED63">
        <v>0.39554112962081278</v>
      </c>
      <c r="EE63">
        <v>-6.0534999999999997</v>
      </c>
      <c r="EF63">
        <v>-6.0323000000000002</v>
      </c>
      <c r="EG63">
        <v>37.195874216027875</v>
      </c>
      <c r="EH63" s="13" t="s">
        <v>3147</v>
      </c>
      <c r="EI63">
        <v>0</v>
      </c>
      <c r="EJ63">
        <v>0</v>
      </c>
      <c r="EK63">
        <v>45470</v>
      </c>
      <c r="EL63">
        <v>-2.65</v>
      </c>
      <c r="EM63">
        <v>-4.3499999999999996</v>
      </c>
      <c r="EN63" s="14">
        <v>1.7</v>
      </c>
      <c r="EO63" s="14">
        <v>5.59</v>
      </c>
      <c r="EP63" s="14">
        <v>-2.12</v>
      </c>
    </row>
    <row r="64" spans="1:146" ht="180">
      <c r="A64" s="7" t="s">
        <v>1617</v>
      </c>
      <c r="B64" s="7" t="s">
        <v>1616</v>
      </c>
      <c r="C64" s="7" t="str">
        <f>"公司的主营业务为数控系统、机电一体化、电子、计算机、激光、通信等技术的开发、技术服务及产品销售；公司的主要产品为华中8型高档数控系统、工业机器人及智能制造、教育教学方案服务、新能源汽车伺服电机、新能源汽车驱动器、新能源汽车控制器、车身轻量化。"&amp;CHAR(10)&amp;Basic_Fundamental_Information_Constructure(C64)&amp;CHAR(10)&amp;Basic_Fundamental_Information_Concatenate("机器人与智能产线 3.13亿 49.93% 46.84% 25.13%
数控系统与机床 2.83亿 45.13% 53.16% 31.55%")</f>
        <v>公司的主营业务为数控系统、机电一体化、电子、计算机、激光、通信等技术的开发、技术服务及产品销售；公司的主要产品为华中8型高档数控系统、工业机器人及智能制造、教育教学方案服务、新能源汽车伺服电机、新能源汽车驱动器、新能源汽车控制器、车身轻量化。
市值41.845568亿, 利润2709.07万; PE; 平均PE183.67; 平均PEG8.43, PB2.63; ROIC1.845%; ROE.3767%; 股利率.095%; 毛利32.8167%; 净利1.34%; 上一年度营收增27.18%, 利润增45.7%; 当季营收增-32.12%, 利润增-78.24%; 过往5年营收增21.79%, 利润增18.15%
Income profile:
机器人与智能产线 3.13亿 49.93% 46.84% 25.13%
数控系统与机床 2.83亿 45.13% 53.16% 31.55%</v>
      </c>
      <c r="D64" t="s">
        <v>139</v>
      </c>
      <c r="E64" t="s">
        <v>11</v>
      </c>
      <c r="F64">
        <v>21.06</v>
      </c>
      <c r="G64">
        <v>0.48</v>
      </c>
      <c r="H64" t="s">
        <v>4199</v>
      </c>
      <c r="I64">
        <v>4184556800</v>
      </c>
      <c r="K64">
        <v>2.63</v>
      </c>
      <c r="L64" t="s">
        <v>85</v>
      </c>
      <c r="M64" t="s">
        <v>2642</v>
      </c>
      <c r="N64" t="s">
        <v>4200</v>
      </c>
      <c r="O64" t="s">
        <v>227</v>
      </c>
      <c r="P64">
        <v>-31.96</v>
      </c>
      <c r="Q64" t="s">
        <v>1852</v>
      </c>
      <c r="R64">
        <v>-68702122</v>
      </c>
      <c r="S64" s="5">
        <v>-0.78239999999999998</v>
      </c>
      <c r="T64" t="s">
        <v>2643</v>
      </c>
      <c r="U64">
        <v>194994900</v>
      </c>
      <c r="V64">
        <v>198696910</v>
      </c>
      <c r="W64">
        <v>2.64</v>
      </c>
      <c r="X64">
        <v>0.05</v>
      </c>
      <c r="Y64">
        <v>-33.5</v>
      </c>
      <c r="Z64" t="s">
        <v>116</v>
      </c>
      <c r="AA64" t="s">
        <v>273</v>
      </c>
      <c r="AB64" t="s">
        <v>4201</v>
      </c>
      <c r="AC64" t="s">
        <v>4202</v>
      </c>
      <c r="AD64" t="s">
        <v>90</v>
      </c>
      <c r="AE64">
        <v>8934212</v>
      </c>
      <c r="AF64" t="s">
        <v>182</v>
      </c>
      <c r="AG64" t="s">
        <v>4203</v>
      </c>
      <c r="AH64" t="s">
        <v>2644</v>
      </c>
      <c r="AI64" t="s">
        <v>1119</v>
      </c>
      <c r="AJ64" t="s">
        <v>2645</v>
      </c>
      <c r="AK64" t="s">
        <v>4204</v>
      </c>
      <c r="AL64" t="s">
        <v>2646</v>
      </c>
      <c r="AM64" t="s">
        <v>90</v>
      </c>
      <c r="AN64" t="s">
        <v>461</v>
      </c>
      <c r="AO64" t="s">
        <v>1428</v>
      </c>
      <c r="AP64" t="s">
        <v>248</v>
      </c>
      <c r="AQ64" t="s">
        <v>2064</v>
      </c>
      <c r="AR64" t="s">
        <v>90</v>
      </c>
      <c r="AS64" t="s">
        <v>4205</v>
      </c>
      <c r="AT64" t="s">
        <v>817</v>
      </c>
      <c r="AU64" t="s">
        <v>4206</v>
      </c>
      <c r="AV64" t="s">
        <v>3785</v>
      </c>
      <c r="AW64" t="s">
        <v>4207</v>
      </c>
      <c r="AX64" t="s">
        <v>1846</v>
      </c>
      <c r="AY64" t="s">
        <v>1170</v>
      </c>
      <c r="AZ64" t="s">
        <v>834</v>
      </c>
      <c r="BA64" t="s">
        <v>140</v>
      </c>
      <c r="BB64" t="s">
        <v>426</v>
      </c>
      <c r="BC64" t="s">
        <v>2647</v>
      </c>
      <c r="BD64" t="s">
        <v>1278</v>
      </c>
      <c r="BE64" t="s">
        <v>835</v>
      </c>
      <c r="BF64" t="s">
        <v>141</v>
      </c>
      <c r="BG64" t="s">
        <v>838</v>
      </c>
      <c r="BH64" t="s">
        <v>1852</v>
      </c>
      <c r="BI64" t="s">
        <v>1424</v>
      </c>
      <c r="BJ64" t="s">
        <v>1846</v>
      </c>
      <c r="BK64" t="s">
        <v>2643</v>
      </c>
      <c r="BL64" t="s">
        <v>2648</v>
      </c>
      <c r="BM64" t="s">
        <v>2647</v>
      </c>
      <c r="BN64" t="s">
        <v>90</v>
      </c>
      <c r="BO64">
        <v>0.71</v>
      </c>
      <c r="BP64">
        <v>2.98</v>
      </c>
      <c r="BQ64">
        <v>-2.06</v>
      </c>
      <c r="BR64">
        <v>1.02</v>
      </c>
      <c r="BS64">
        <v>2.17</v>
      </c>
      <c r="BT64" t="s">
        <v>1698</v>
      </c>
      <c r="BU64" t="s">
        <v>1447</v>
      </c>
      <c r="BV64">
        <v>32.92</v>
      </c>
      <c r="BW64">
        <v>34.06</v>
      </c>
      <c r="BX64">
        <v>31.47</v>
      </c>
      <c r="BY64">
        <v>1.0900000000000001</v>
      </c>
      <c r="BZ64">
        <v>0.35</v>
      </c>
      <c r="CA64">
        <v>2.58</v>
      </c>
      <c r="CB64">
        <v>-6.36</v>
      </c>
      <c r="CC64">
        <v>-18.149999999999999</v>
      </c>
      <c r="CD64" t="s">
        <v>4208</v>
      </c>
      <c r="CE64" t="s">
        <v>4209</v>
      </c>
      <c r="CF64" s="8">
        <v>-0.32122905027932952</v>
      </c>
      <c r="CG64" s="9">
        <v>-0.78237351895042972</v>
      </c>
      <c r="CH64" s="8">
        <v>0.27179786562919617</v>
      </c>
      <c r="CI64" s="8">
        <v>1.7747897654771805E-2</v>
      </c>
      <c r="CJ64" s="8">
        <v>0.23600605130195618</v>
      </c>
      <c r="CK64" s="8">
        <v>0.45916116237640381</v>
      </c>
      <c r="CL64" s="8">
        <v>0.10487804561853409</v>
      </c>
      <c r="CM64" s="9">
        <v>0.45698273181915283</v>
      </c>
      <c r="CN64" s="9">
        <v>-0.40459957718849182</v>
      </c>
      <c r="CO64" s="9">
        <v>0.12436902523040771</v>
      </c>
      <c r="CP64" s="9">
        <v>0.81186354160308838</v>
      </c>
      <c r="CQ64" s="9">
        <v>-8.1153497099876404E-2</v>
      </c>
      <c r="CR64">
        <v>183.66691538576333</v>
      </c>
      <c r="CS64">
        <v>8.4282502140445459</v>
      </c>
      <c r="CT64">
        <v>9.4966761633428307E-2</v>
      </c>
      <c r="CU64" s="8">
        <v>0.21791820451617241</v>
      </c>
      <c r="CV64" s="9">
        <v>0.18149244487285615</v>
      </c>
      <c r="CW64">
        <v>0.06</v>
      </c>
      <c r="CX64">
        <v>158.82067764568964</v>
      </c>
      <c r="CY64">
        <v>31126657.267062522</v>
      </c>
      <c r="CZ64">
        <v>0.21791820451617241</v>
      </c>
      <c r="DA64">
        <v>46.648783818074676</v>
      </c>
      <c r="DB64">
        <v>105973969.63829429</v>
      </c>
      <c r="DC64">
        <v>0.20702229429036378</v>
      </c>
      <c r="DD64">
        <v>19.783772510796393</v>
      </c>
      <c r="DE64">
        <v>249879379.54210725</v>
      </c>
      <c r="DF64">
        <v>0.19176801997423173</v>
      </c>
      <c r="DG64">
        <v>9.9520562297053381</v>
      </c>
      <c r="DH64">
        <v>496737225.54382813</v>
      </c>
      <c r="DI64">
        <v>0.17433456361293795</v>
      </c>
      <c r="DJ64">
        <v>3.3810534428494599</v>
      </c>
      <c r="DK64">
        <v>1462135066.3518956</v>
      </c>
      <c r="DL64">
        <v>0.15254274316132069</v>
      </c>
      <c r="DM64">
        <v>27090700</v>
      </c>
      <c r="DN64">
        <v>0.21791820451617241</v>
      </c>
      <c r="DO64">
        <v>4943556800</v>
      </c>
      <c r="DP64">
        <v>825866100.00000024</v>
      </c>
      <c r="DQ64">
        <v>1650</v>
      </c>
      <c r="DR64">
        <v>-0.53914725479550196</v>
      </c>
      <c r="DS64">
        <v>-0.96386596382328582</v>
      </c>
      <c r="DT64" s="10">
        <v>-2.3333333333333355E-2</v>
      </c>
      <c r="DU64">
        <v>-0.64833333333333332</v>
      </c>
      <c r="DV64">
        <v>-0.67166666666666663</v>
      </c>
      <c r="DW64">
        <v>-9.3504132231404959</v>
      </c>
      <c r="DX64">
        <v>0.37857001659077355</v>
      </c>
      <c r="DY64">
        <v>-9.066077427301229</v>
      </c>
      <c r="DZ64">
        <v>3152</v>
      </c>
      <c r="EA64">
        <v>-9.0253189046293159</v>
      </c>
      <c r="EB64">
        <v>9</v>
      </c>
      <c r="EC64">
        <v>9.1409574512255884E-2</v>
      </c>
      <c r="ED64">
        <v>0.48475137333539814</v>
      </c>
      <c r="EE64" s="11">
        <v>3.0518100000000001</v>
      </c>
      <c r="EF64">
        <v>3.1051099999999998</v>
      </c>
      <c r="EG64">
        <v>19.188570016590774</v>
      </c>
      <c r="EH64" t="s">
        <v>1736</v>
      </c>
      <c r="EI64">
        <v>0</v>
      </c>
      <c r="EJ64">
        <v>0</v>
      </c>
      <c r="EK64" s="13">
        <v>45470</v>
      </c>
      <c r="EL64" s="14">
        <v>-1.78</v>
      </c>
      <c r="EM64" s="14">
        <v>-3.41</v>
      </c>
      <c r="EN64" s="14">
        <v>3.17</v>
      </c>
      <c r="EO64" s="14">
        <v>3.03</v>
      </c>
      <c r="EP64" s="14">
        <v>-5.33</v>
      </c>
    </row>
    <row r="65" spans="1:146" ht="96">
      <c r="C65" s="7" t="str">
        <f>""&amp;CHAR(10)&amp;Basic_Fundamental_Information_Constructure(F65)&amp;CHAR(10)&amp;Basic_Fundamental_Information_Concatenate("")</f>
        <v xml:space="preserve">
市值11.7436279亿, 利润-1.14亿; PE; 平均PE-38.4; 平均PEG-8.99, PB.853; ROIC-.3%; ROE-3.9933%; 股利率0%; 毛利31.02%; 净利-7.29%; 上一年度营收增-27.56%, 利润增-29.74%; 当季营收增-29.53%, 利润增-195.47%; 过往5年营收增4.27%, 利润增-100.4%
Income profile:
</v>
      </c>
      <c r="D65" t="s">
        <v>4210</v>
      </c>
      <c r="E65" t="s">
        <v>4211</v>
      </c>
      <c r="F65">
        <v>2.37</v>
      </c>
      <c r="G65">
        <v>10.75</v>
      </c>
      <c r="H65" t="s">
        <v>4212</v>
      </c>
      <c r="I65">
        <v>1174362790</v>
      </c>
      <c r="K65">
        <v>0.85299999999999998</v>
      </c>
      <c r="L65" t="s">
        <v>85</v>
      </c>
      <c r="M65" t="s">
        <v>4213</v>
      </c>
      <c r="N65" t="s">
        <v>2111</v>
      </c>
      <c r="O65" t="s">
        <v>195</v>
      </c>
      <c r="P65" s="5">
        <v>-29.17</v>
      </c>
      <c r="Q65" t="s">
        <v>4214</v>
      </c>
      <c r="R65">
        <v>-8478825</v>
      </c>
      <c r="S65">
        <v>-1.9550000000000001</v>
      </c>
      <c r="T65" t="s">
        <v>3785</v>
      </c>
      <c r="U65">
        <v>400210330</v>
      </c>
      <c r="V65">
        <v>495511730</v>
      </c>
      <c r="W65">
        <v>2.65</v>
      </c>
      <c r="X65">
        <v>0.04</v>
      </c>
      <c r="Y65">
        <v>-6.12</v>
      </c>
      <c r="Z65" t="s">
        <v>261</v>
      </c>
      <c r="AA65" t="s">
        <v>4215</v>
      </c>
      <c r="AB65" t="s">
        <v>4216</v>
      </c>
      <c r="AC65" t="s">
        <v>4217</v>
      </c>
      <c r="AD65" t="s">
        <v>90</v>
      </c>
      <c r="AE65">
        <v>-15624160</v>
      </c>
      <c r="AF65" t="s">
        <v>4218</v>
      </c>
      <c r="AG65" t="s">
        <v>4219</v>
      </c>
      <c r="AH65" t="s">
        <v>4220</v>
      </c>
      <c r="AI65" t="s">
        <v>363</v>
      </c>
      <c r="AJ65" t="s">
        <v>4221</v>
      </c>
      <c r="AK65" t="s">
        <v>4222</v>
      </c>
      <c r="AL65" t="s">
        <v>4223</v>
      </c>
      <c r="AM65" t="s">
        <v>90</v>
      </c>
      <c r="AN65" t="s">
        <v>4224</v>
      </c>
      <c r="AO65" t="s">
        <v>1865</v>
      </c>
      <c r="AP65" t="s">
        <v>1898</v>
      </c>
      <c r="AQ65" t="s">
        <v>97</v>
      </c>
      <c r="AR65" t="s">
        <v>4225</v>
      </c>
      <c r="AS65" t="s">
        <v>4226</v>
      </c>
      <c r="AT65" t="s">
        <v>1343</v>
      </c>
      <c r="AU65" t="s">
        <v>4227</v>
      </c>
      <c r="AV65" t="s">
        <v>4228</v>
      </c>
      <c r="AW65" t="s">
        <v>4229</v>
      </c>
      <c r="AX65" t="s">
        <v>2073</v>
      </c>
      <c r="AY65" t="s">
        <v>4230</v>
      </c>
      <c r="AZ65" t="s">
        <v>2656</v>
      </c>
      <c r="BA65" t="s">
        <v>1180</v>
      </c>
      <c r="BB65" t="s">
        <v>893</v>
      </c>
      <c r="BC65" t="s">
        <v>4231</v>
      </c>
      <c r="BD65" t="s">
        <v>4232</v>
      </c>
      <c r="BE65" t="s">
        <v>4233</v>
      </c>
      <c r="BF65" t="s">
        <v>4234</v>
      </c>
      <c r="BG65" t="s">
        <v>4235</v>
      </c>
      <c r="BH65" t="s">
        <v>4214</v>
      </c>
      <c r="BI65" t="s">
        <v>1394</v>
      </c>
      <c r="BJ65" t="s">
        <v>2073</v>
      </c>
      <c r="BK65" t="s">
        <v>3785</v>
      </c>
      <c r="BL65" t="s">
        <v>4236</v>
      </c>
      <c r="BM65" t="s">
        <v>4231</v>
      </c>
      <c r="BN65">
        <v>-0.3</v>
      </c>
      <c r="BO65" t="s">
        <v>90</v>
      </c>
      <c r="BP65" t="s">
        <v>90</v>
      </c>
      <c r="BQ65">
        <v>-0.93</v>
      </c>
      <c r="BR65">
        <v>-6.55</v>
      </c>
      <c r="BS65">
        <v>-4.5</v>
      </c>
      <c r="BT65" t="s">
        <v>1692</v>
      </c>
      <c r="BU65" t="s">
        <v>3551</v>
      </c>
      <c r="BV65">
        <v>36.17</v>
      </c>
      <c r="BW65">
        <v>29.18</v>
      </c>
      <c r="BX65">
        <v>27.71</v>
      </c>
      <c r="BY65">
        <v>-11.31</v>
      </c>
      <c r="BZ65">
        <v>-6.45</v>
      </c>
      <c r="CA65">
        <v>-4.1100000000000003</v>
      </c>
      <c r="CB65">
        <v>11.79</v>
      </c>
      <c r="CC65" s="8">
        <v>-26.4</v>
      </c>
      <c r="CD65" s="9" t="s">
        <v>236</v>
      </c>
      <c r="CE65" s="8" t="s">
        <v>2144</v>
      </c>
      <c r="CF65" s="8">
        <v>-0.29533678756476683</v>
      </c>
      <c r="CG65" s="8">
        <v>-1.9547043722061457</v>
      </c>
      <c r="CH65" s="8">
        <v>-0.27564102411270142</v>
      </c>
      <c r="CI65" s="8">
        <v>-0.10573248565196991</v>
      </c>
      <c r="CJ65" s="9">
        <v>0.67735040187835693</v>
      </c>
      <c r="CK65" s="9">
        <v>3.0837005004286766E-2</v>
      </c>
      <c r="CL65" s="9">
        <v>-0.11328125</v>
      </c>
      <c r="CM65" s="9">
        <v>-0.2974124550819397</v>
      </c>
      <c r="CN65" s="9">
        <v>-0.46512973308563232</v>
      </c>
      <c r="CO65">
        <v>-3.8416023254394531</v>
      </c>
      <c r="CP65">
        <v>2.3747214581817389E-3</v>
      </c>
      <c r="CQ65">
        <v>-0.41800245642662048</v>
      </c>
      <c r="CR65" s="8">
        <v>-38.398364813462521</v>
      </c>
      <c r="CS65" s="9">
        <v>-8.9912164092285654</v>
      </c>
      <c r="CT65">
        <v>0</v>
      </c>
      <c r="CU65">
        <v>4.2706529423594472E-2</v>
      </c>
      <c r="CV65">
        <v>-1.0039544497150927</v>
      </c>
      <c r="CW65">
        <v>0.06</v>
      </c>
      <c r="CX65" t="e">
        <v>#VALUE!</v>
      </c>
      <c r="CY65" t="s">
        <v>1392</v>
      </c>
      <c r="CZ65">
        <v>4.2706529423594472E-2</v>
      </c>
      <c r="DA65" t="e">
        <v>#VALUE!</v>
      </c>
      <c r="DB65" t="s">
        <v>1391</v>
      </c>
      <c r="DC65">
        <v>4.0571202952414745E-2</v>
      </c>
      <c r="DD65" t="e">
        <v>#VALUE!</v>
      </c>
      <c r="DE65" t="s">
        <v>1391</v>
      </c>
      <c r="DF65">
        <v>3.7581745892763134E-2</v>
      </c>
      <c r="DG65" t="e">
        <v>#VALUE!</v>
      </c>
      <c r="DH65" t="s">
        <v>1391</v>
      </c>
      <c r="DI65">
        <v>3.4165223538875578E-2</v>
      </c>
      <c r="DJ65" t="e">
        <v>#VALUE!</v>
      </c>
      <c r="DK65" t="s">
        <v>1391</v>
      </c>
      <c r="DL65">
        <v>2.9894570596516127E-2</v>
      </c>
      <c r="DM65">
        <v>-113999999.99999999</v>
      </c>
      <c r="DN65">
        <v>4.2706529423594472E-2</v>
      </c>
      <c r="DO65">
        <v>2072362790</v>
      </c>
      <c r="DP65">
        <v>2149918600</v>
      </c>
      <c r="DQ65" s="10">
        <v>1654</v>
      </c>
      <c r="DR65">
        <v>-0.33804331698836132</v>
      </c>
      <c r="DS65">
        <v>-0.95074992249105295</v>
      </c>
      <c r="DT65">
        <v>-0.34</v>
      </c>
      <c r="DU65">
        <v>-2.8316666666666666</v>
      </c>
      <c r="DV65">
        <v>-3.1716666666666664</v>
      </c>
      <c r="DW65">
        <v>7.3087195600942652</v>
      </c>
      <c r="DX65">
        <v>0.63748502994012057</v>
      </c>
      <c r="DY65">
        <v>7.0794906651739726</v>
      </c>
      <c r="DZ65">
        <v>4959</v>
      </c>
      <c r="EA65">
        <v>7.0023489413779396</v>
      </c>
      <c r="EB65" s="11">
        <v>7</v>
      </c>
      <c r="EC65" s="11">
        <v>0.34711589975882107</v>
      </c>
      <c r="ED65">
        <v>1.34810128510984</v>
      </c>
      <c r="EE65">
        <v>-8.0489099999999993</v>
      </c>
      <c r="EF65">
        <v>-8.0581099999999992</v>
      </c>
      <c r="EG65">
        <v>38.257485029940121</v>
      </c>
      <c r="EH65" s="13" t="s">
        <v>4237</v>
      </c>
      <c r="EI65">
        <v>1</v>
      </c>
      <c r="EJ65">
        <v>0</v>
      </c>
      <c r="EK65">
        <v>45470</v>
      </c>
      <c r="EL65">
        <v>-3.1</v>
      </c>
      <c r="EM65">
        <v>-4.57</v>
      </c>
      <c r="EN65" s="14">
        <v>-1.91</v>
      </c>
      <c r="EO65" s="14">
        <v>5.85</v>
      </c>
      <c r="EP65" s="14">
        <v>-0.92</v>
      </c>
    </row>
    <row r="66" spans="1:146" ht="108">
      <c r="A66" s="7"/>
      <c r="B66" s="7"/>
      <c r="C66" s="7" t="str">
        <f>""&amp;CHAR(10)&amp;Basic_Fundamental_Information_Constructure(F66)&amp;CHAR(10)&amp;Basic_Fundamental_Information_Concatenate("")</f>
        <v xml:space="preserve">
市值35.957253亿, 利润1.38亿; PE27.44; 平均PE33.7; 平均PEG3, PB2.95; ROIC10.1867%; ROE11.7433%; 股利率2.7027%; 毛利53.3167%; 净利24.8533%; 上一年度营收增5.45%, 利润增-10.39%; 当季营收增-2.24%, 利润增-19.25%; 过往5年营收增11.24%, 利润增25.02%
Income profile:
</v>
      </c>
      <c r="D66" t="s">
        <v>390</v>
      </c>
      <c r="E66" t="s">
        <v>39</v>
      </c>
      <c r="F66">
        <v>7.4</v>
      </c>
      <c r="G66">
        <v>2.4900000000000002</v>
      </c>
      <c r="H66" t="s">
        <v>4238</v>
      </c>
      <c r="I66">
        <v>3595725300</v>
      </c>
      <c r="J66">
        <v>27.44</v>
      </c>
      <c r="K66">
        <v>2.95</v>
      </c>
      <c r="L66" t="s">
        <v>85</v>
      </c>
      <c r="M66" t="s">
        <v>315</v>
      </c>
      <c r="N66" t="s">
        <v>4194</v>
      </c>
      <c r="O66" t="s">
        <v>175</v>
      </c>
      <c r="P66">
        <v>-2.33</v>
      </c>
      <c r="Q66" t="s">
        <v>1887</v>
      </c>
      <c r="R66">
        <v>27518966</v>
      </c>
      <c r="S66" s="5">
        <v>-0.1925</v>
      </c>
      <c r="T66" t="s">
        <v>486</v>
      </c>
      <c r="U66">
        <v>376016870</v>
      </c>
      <c r="V66">
        <v>485908830</v>
      </c>
      <c r="W66">
        <v>1.21</v>
      </c>
      <c r="X66">
        <v>7.0000000000000007E-2</v>
      </c>
      <c r="Y66">
        <v>17.87</v>
      </c>
      <c r="Z66" t="s">
        <v>189</v>
      </c>
      <c r="AA66" t="s">
        <v>4239</v>
      </c>
      <c r="AB66" t="s">
        <v>4240</v>
      </c>
      <c r="AC66" t="s">
        <v>4241</v>
      </c>
      <c r="AD66" t="s">
        <v>90</v>
      </c>
      <c r="AE66">
        <v>-2012955</v>
      </c>
      <c r="AF66" t="s">
        <v>2649</v>
      </c>
      <c r="AG66" t="s">
        <v>4242</v>
      </c>
      <c r="AH66" t="s">
        <v>2651</v>
      </c>
      <c r="AI66" t="s">
        <v>1402</v>
      </c>
      <c r="AJ66" t="s">
        <v>2652</v>
      </c>
      <c r="AK66" t="s">
        <v>4243</v>
      </c>
      <c r="AL66" t="s">
        <v>2653</v>
      </c>
      <c r="AM66" t="s">
        <v>90</v>
      </c>
      <c r="AN66" t="s">
        <v>219</v>
      </c>
      <c r="AO66" t="s">
        <v>4244</v>
      </c>
      <c r="AP66" t="s">
        <v>4245</v>
      </c>
      <c r="AQ66" t="s">
        <v>4246</v>
      </c>
      <c r="AR66" t="s">
        <v>90</v>
      </c>
      <c r="AS66" t="s">
        <v>158</v>
      </c>
      <c r="AT66" t="s">
        <v>2654</v>
      </c>
      <c r="AU66" t="s">
        <v>4247</v>
      </c>
      <c r="AV66" t="s">
        <v>143</v>
      </c>
      <c r="AW66" t="s">
        <v>4248</v>
      </c>
      <c r="AX66" t="s">
        <v>953</v>
      </c>
      <c r="AY66" t="s">
        <v>530</v>
      </c>
      <c r="AZ66" t="s">
        <v>718</v>
      </c>
      <c r="BA66" t="s">
        <v>392</v>
      </c>
      <c r="BB66" t="s">
        <v>156</v>
      </c>
      <c r="BC66" t="s">
        <v>228</v>
      </c>
      <c r="BD66" t="s">
        <v>1848</v>
      </c>
      <c r="BE66" t="s">
        <v>839</v>
      </c>
      <c r="BF66" t="s">
        <v>393</v>
      </c>
      <c r="BG66" t="s">
        <v>840</v>
      </c>
      <c r="BH66" t="s">
        <v>1887</v>
      </c>
      <c r="BI66" t="s">
        <v>89</v>
      </c>
      <c r="BJ66" t="s">
        <v>953</v>
      </c>
      <c r="BK66" t="s">
        <v>486</v>
      </c>
      <c r="BL66" t="s">
        <v>2655</v>
      </c>
      <c r="BM66" t="s">
        <v>228</v>
      </c>
      <c r="BN66">
        <v>7.81</v>
      </c>
      <c r="BO66">
        <v>13.32</v>
      </c>
      <c r="BP66">
        <v>9.43</v>
      </c>
      <c r="BQ66">
        <v>9.86</v>
      </c>
      <c r="BR66">
        <v>15.22</v>
      </c>
      <c r="BS66">
        <v>10.15</v>
      </c>
      <c r="BT66" t="s">
        <v>1694</v>
      </c>
      <c r="BU66" t="s">
        <v>1458</v>
      </c>
      <c r="BV66">
        <v>51.5</v>
      </c>
      <c r="BW66">
        <v>55.56</v>
      </c>
      <c r="BX66">
        <v>52.89</v>
      </c>
      <c r="BY66">
        <v>23.29</v>
      </c>
      <c r="BZ66">
        <v>29.19</v>
      </c>
      <c r="CA66">
        <v>22.08</v>
      </c>
      <c r="CB66">
        <v>11.95</v>
      </c>
      <c r="CC66">
        <v>-5.61</v>
      </c>
      <c r="CD66" t="s">
        <v>4249</v>
      </c>
      <c r="CE66" t="s">
        <v>282</v>
      </c>
      <c r="CF66" s="8">
        <v>-2.2388059701492647E-2</v>
      </c>
      <c r="CG66" s="9">
        <v>-0.1924806915817644</v>
      </c>
      <c r="CH66" s="8">
        <v>5.4474707692861557E-2</v>
      </c>
      <c r="CI66" s="8">
        <v>0.23261390626430511</v>
      </c>
      <c r="CJ66" s="8">
        <v>0.31132075190544128</v>
      </c>
      <c r="CK66" s="8">
        <v>-0.36526945233345032</v>
      </c>
      <c r="CL66" s="8">
        <v>0.32891246676445007</v>
      </c>
      <c r="CM66" s="9">
        <v>-0.10389610379934311</v>
      </c>
      <c r="CN66" s="9">
        <v>0.68564099073410034</v>
      </c>
      <c r="CO66" s="9">
        <v>0.2134755402803421</v>
      </c>
      <c r="CP66" s="9">
        <v>-0.35651454329490662</v>
      </c>
      <c r="CQ66" s="9">
        <v>0.81210488080978394</v>
      </c>
      <c r="CR66">
        <v>33.698683017462145</v>
      </c>
      <c r="CS66">
        <v>2.9978240640008016</v>
      </c>
      <c r="CT66">
        <v>2.7027027027027026</v>
      </c>
      <c r="CU66" s="8">
        <v>0.11241047605872154</v>
      </c>
      <c r="CV66" s="9">
        <v>0.25016215294599531</v>
      </c>
      <c r="CW66">
        <v>0.06</v>
      </c>
      <c r="CX66">
        <v>16.770271962457254</v>
      </c>
      <c r="CY66">
        <v>144823250.65670148</v>
      </c>
      <c r="CZ66">
        <v>0.11241047605872154</v>
      </c>
      <c r="DA66">
        <v>5.3776100830597144</v>
      </c>
      <c r="DB66">
        <v>451636556.47903001</v>
      </c>
      <c r="DC66">
        <v>0.10678995225578546</v>
      </c>
      <c r="DD66">
        <v>2.5805507393427196</v>
      </c>
      <c r="DE66">
        <v>941165489.58793569</v>
      </c>
      <c r="DF66">
        <v>9.8921218931674951E-2</v>
      </c>
      <c r="DG66">
        <v>1.5052369712802345</v>
      </c>
      <c r="DH66">
        <v>1613516905.53702</v>
      </c>
      <c r="DI66">
        <v>8.9928380846977241E-2</v>
      </c>
      <c r="DJ66">
        <v>0.72874312068037195</v>
      </c>
      <c r="DK66">
        <v>3332759145.2698507</v>
      </c>
      <c r="DL66">
        <v>7.8687333241105065E-2</v>
      </c>
      <c r="DM66">
        <v>138000000</v>
      </c>
      <c r="DN66">
        <v>0.11241047605872154</v>
      </c>
      <c r="DO66">
        <v>2428725300</v>
      </c>
      <c r="DP66">
        <v>836037540</v>
      </c>
      <c r="DQ66">
        <v>1667</v>
      </c>
      <c r="DR66">
        <v>-0.13479853576021419</v>
      </c>
      <c r="DS66">
        <v>-0.4426428445277597</v>
      </c>
      <c r="DT66" s="10">
        <v>-0.17333333333333334</v>
      </c>
      <c r="DU66">
        <v>0.29666666666666669</v>
      </c>
      <c r="DV66">
        <v>0.12333333333333335</v>
      </c>
      <c r="DW66">
        <v>5.4694560669456065</v>
      </c>
      <c r="DX66">
        <v>0.75263771929824452</v>
      </c>
      <c r="DY66">
        <v>5.1467696740805993</v>
      </c>
      <c r="DZ66">
        <v>1434</v>
      </c>
      <c r="EA66">
        <v>5.1055822547789207</v>
      </c>
      <c r="EB66">
        <v>5</v>
      </c>
      <c r="EC66">
        <v>7.3348533304076813E-2</v>
      </c>
      <c r="ED66">
        <v>0.23461191269152279</v>
      </c>
      <c r="EE66" s="11">
        <v>-3.05491</v>
      </c>
      <c r="EF66">
        <v>-3.0787100000000001</v>
      </c>
      <c r="EG66">
        <v>44.312637719298245</v>
      </c>
      <c r="EH66" t="s">
        <v>2117</v>
      </c>
      <c r="EI66">
        <v>1</v>
      </c>
      <c r="EJ66">
        <v>1</v>
      </c>
      <c r="EK66" s="13">
        <v>45470</v>
      </c>
      <c r="EL66" s="14">
        <v>-1.1599999999999999</v>
      </c>
      <c r="EM66" s="14">
        <v>-5.13</v>
      </c>
      <c r="EN66" s="14">
        <v>1.7</v>
      </c>
      <c r="EO66" s="14">
        <v>1.98</v>
      </c>
      <c r="EP66" s="14">
        <v>-2.38</v>
      </c>
    </row>
    <row r="67" spans="1:146" ht="108">
      <c r="A67" s="7"/>
      <c r="B67" s="7"/>
      <c r="C67" s="7" t="str">
        <f>""&amp;CHAR(10)&amp;Basic_Fundamental_Information_Constructure(F67)&amp;CHAR(10)&amp;Basic_Fundamental_Information_Concatenate("")</f>
        <v xml:space="preserve">
市值35.263705亿, 利润2.03亿; PE15.58; 平均PE18.54; 平均PEG3.33, PB1.52; ROIC6.5067%; ROE8.4033%; 股利率5.5944%; 毛利28.4467%; 净利16.1033%; 上一年度营收增-6.98%, 利润增15.34%; 当季营收增14.1%, 利润增84.37%; 过往5年营收增5.57%, 利润增2.66%
Income profile:
</v>
      </c>
      <c r="D67" t="s">
        <v>499</v>
      </c>
      <c r="E67" t="s">
        <v>55</v>
      </c>
      <c r="F67">
        <v>7.15</v>
      </c>
      <c r="G67">
        <v>0.85</v>
      </c>
      <c r="H67" t="s">
        <v>4250</v>
      </c>
      <c r="I67">
        <v>3526370500</v>
      </c>
      <c r="J67">
        <v>15.58</v>
      </c>
      <c r="K67">
        <v>1.52</v>
      </c>
      <c r="L67" t="s">
        <v>85</v>
      </c>
      <c r="M67" t="s">
        <v>1762</v>
      </c>
      <c r="N67" t="s">
        <v>4251</v>
      </c>
      <c r="O67" t="s">
        <v>1831</v>
      </c>
      <c r="P67">
        <v>14.35</v>
      </c>
      <c r="Q67" t="s">
        <v>992</v>
      </c>
      <c r="R67">
        <v>49970696</v>
      </c>
      <c r="S67" s="5">
        <v>0.84370000000000001</v>
      </c>
      <c r="T67" t="s">
        <v>708</v>
      </c>
      <c r="U67">
        <v>436660950</v>
      </c>
      <c r="V67">
        <v>493198670</v>
      </c>
      <c r="W67">
        <v>1.23</v>
      </c>
      <c r="X67">
        <v>0.09</v>
      </c>
      <c r="Y67">
        <v>18.57</v>
      </c>
      <c r="Z67" t="s">
        <v>407</v>
      </c>
      <c r="AA67" t="s">
        <v>137</v>
      </c>
      <c r="AB67" t="s">
        <v>4252</v>
      </c>
      <c r="AC67" t="s">
        <v>4253</v>
      </c>
      <c r="AD67" t="s">
        <v>90</v>
      </c>
      <c r="AE67">
        <v>-15564631</v>
      </c>
      <c r="AF67" t="s">
        <v>2657</v>
      </c>
      <c r="AG67" t="s">
        <v>4254</v>
      </c>
      <c r="AH67" t="s">
        <v>2658</v>
      </c>
      <c r="AI67" t="s">
        <v>578</v>
      </c>
      <c r="AJ67" t="s">
        <v>2659</v>
      </c>
      <c r="AK67" t="s">
        <v>4255</v>
      </c>
      <c r="AL67" t="s">
        <v>2660</v>
      </c>
      <c r="AM67" t="s">
        <v>90</v>
      </c>
      <c r="AN67" t="s">
        <v>160</v>
      </c>
      <c r="AO67" t="s">
        <v>2661</v>
      </c>
      <c r="AP67" t="s">
        <v>4256</v>
      </c>
      <c r="AQ67" t="s">
        <v>135</v>
      </c>
      <c r="AR67" t="s">
        <v>4257</v>
      </c>
      <c r="AS67" t="s">
        <v>1566</v>
      </c>
      <c r="AT67" t="s">
        <v>90</v>
      </c>
      <c r="AU67" t="s">
        <v>4258</v>
      </c>
      <c r="AV67" t="s">
        <v>4259</v>
      </c>
      <c r="AW67" t="s">
        <v>4260</v>
      </c>
      <c r="AX67" t="s">
        <v>1548</v>
      </c>
      <c r="AY67" t="s">
        <v>1242</v>
      </c>
      <c r="AZ67" t="s">
        <v>212</v>
      </c>
      <c r="BA67" t="s">
        <v>500</v>
      </c>
      <c r="BB67" t="s">
        <v>759</v>
      </c>
      <c r="BC67" t="s">
        <v>107</v>
      </c>
      <c r="BD67" t="s">
        <v>685</v>
      </c>
      <c r="BE67" t="s">
        <v>841</v>
      </c>
      <c r="BF67" t="s">
        <v>433</v>
      </c>
      <c r="BG67" t="s">
        <v>450</v>
      </c>
      <c r="BH67" t="s">
        <v>992</v>
      </c>
      <c r="BI67" t="s">
        <v>363</v>
      </c>
      <c r="BJ67" t="s">
        <v>1548</v>
      </c>
      <c r="BK67" t="s">
        <v>708</v>
      </c>
      <c r="BL67" t="s">
        <v>2663</v>
      </c>
      <c r="BM67" t="s">
        <v>107</v>
      </c>
      <c r="BN67">
        <v>5.24</v>
      </c>
      <c r="BO67">
        <v>6.11</v>
      </c>
      <c r="BP67">
        <v>8.17</v>
      </c>
      <c r="BQ67">
        <v>7.69</v>
      </c>
      <c r="BR67">
        <v>8.1999999999999993</v>
      </c>
      <c r="BS67">
        <v>9.32</v>
      </c>
      <c r="BT67" t="s">
        <v>1875</v>
      </c>
      <c r="BU67" t="s">
        <v>1381</v>
      </c>
      <c r="BV67">
        <v>29.69</v>
      </c>
      <c r="BW67">
        <v>25.42</v>
      </c>
      <c r="BX67">
        <v>30.23</v>
      </c>
      <c r="BY67">
        <v>17.68</v>
      </c>
      <c r="BZ67">
        <v>14.46</v>
      </c>
      <c r="CA67">
        <v>16.170000000000002</v>
      </c>
      <c r="CB67">
        <v>-3.64</v>
      </c>
      <c r="CC67">
        <v>-10.4</v>
      </c>
      <c r="CD67" t="s">
        <v>4261</v>
      </c>
      <c r="CE67" t="s">
        <v>101</v>
      </c>
      <c r="CF67" s="8">
        <v>0.14102564102564102</v>
      </c>
      <c r="CG67" s="9">
        <v>0.84366499409681228</v>
      </c>
      <c r="CH67" s="8">
        <v>-6.9805197417736053E-2</v>
      </c>
      <c r="CI67" s="8">
        <v>-1.3610837981104851E-2</v>
      </c>
      <c r="CJ67" s="8">
        <v>0.22450974583625793</v>
      </c>
      <c r="CK67" s="8">
        <v>5.590062215924263E-2</v>
      </c>
      <c r="CL67" s="8">
        <v>8.1746920943260193E-2</v>
      </c>
      <c r="CM67" s="9">
        <v>0.15340909361839294</v>
      </c>
      <c r="CN67" s="9">
        <v>-0.11999999731779099</v>
      </c>
      <c r="CO67" s="9">
        <v>0.2269938588142395</v>
      </c>
      <c r="CP67" s="9">
        <v>-0.21634615957736969</v>
      </c>
      <c r="CQ67" s="9">
        <v>8.9005239307880402E-2</v>
      </c>
      <c r="CR67">
        <v>18.543578439964943</v>
      </c>
      <c r="CS67">
        <v>3.3263067817317591</v>
      </c>
      <c r="CT67">
        <v>5.5944055944055942</v>
      </c>
      <c r="CU67" s="8">
        <v>5.5748250707983969E-2</v>
      </c>
      <c r="CV67" s="9">
        <v>2.6612406969070433E-2</v>
      </c>
      <c r="CW67">
        <v>0.06</v>
      </c>
      <c r="CX67">
        <v>8.8155099995121997</v>
      </c>
      <c r="CY67">
        <v>202185749.89973652</v>
      </c>
      <c r="CZ67">
        <v>5.5748250707983969E-2</v>
      </c>
      <c r="DA67">
        <v>2.9659345183937806</v>
      </c>
      <c r="DB67">
        <v>600947353.67429936</v>
      </c>
      <c r="DC67">
        <v>5.2960838172584769E-2</v>
      </c>
      <c r="DD67">
        <v>1.5172394473340665</v>
      </c>
      <c r="DE67">
        <v>1174745689.0418937</v>
      </c>
      <c r="DF67">
        <v>4.9058460623025893E-2</v>
      </c>
      <c r="DG67">
        <v>0.95077683589015782</v>
      </c>
      <c r="DH67">
        <v>1874646533.9905643</v>
      </c>
      <c r="DI67">
        <v>4.4598600566387175E-2</v>
      </c>
      <c r="DJ67">
        <v>0.53794191621622334</v>
      </c>
      <c r="DK67">
        <v>3313314033.1150255</v>
      </c>
      <c r="DL67">
        <v>3.9023775495588775E-2</v>
      </c>
      <c r="DM67">
        <v>202999999.99999997</v>
      </c>
      <c r="DN67">
        <v>5.5748250707983969E-2</v>
      </c>
      <c r="DO67">
        <v>1782370500</v>
      </c>
      <c r="DP67">
        <v>1659139100</v>
      </c>
      <c r="DQ67">
        <v>1680</v>
      </c>
      <c r="DR67">
        <v>8.5277390317657048E-2</v>
      </c>
      <c r="DS67">
        <v>0.81705258712774187</v>
      </c>
      <c r="DT67" s="10">
        <v>-0.3066666666666667</v>
      </c>
      <c r="DU67">
        <v>0.18333333333333335</v>
      </c>
      <c r="DV67">
        <v>-0.12333333333333335</v>
      </c>
      <c r="DW67">
        <v>-8.35</v>
      </c>
      <c r="DX67">
        <v>0.32265217391304218</v>
      </c>
      <c r="DY67">
        <v>-8.0499282608695655</v>
      </c>
      <c r="DZ67">
        <v>1991</v>
      </c>
      <c r="EA67">
        <v>-8.0304748034544371</v>
      </c>
      <c r="EB67">
        <v>8</v>
      </c>
      <c r="EC67">
        <v>4.6567441067916909E-2</v>
      </c>
      <c r="ED67">
        <v>0.32644045856814657</v>
      </c>
      <c r="EE67" s="11">
        <v>3.3610000000000001E-2</v>
      </c>
      <c r="EF67">
        <v>4.9910000000000003E-2</v>
      </c>
      <c r="EG67">
        <v>18.142652173913042</v>
      </c>
      <c r="EH67">
        <v>-1</v>
      </c>
      <c r="EI67">
        <v>0</v>
      </c>
      <c r="EJ67">
        <v>0</v>
      </c>
      <c r="EK67" s="13">
        <v>45470</v>
      </c>
      <c r="EL67" s="14">
        <v>-0.68</v>
      </c>
      <c r="EM67" s="14">
        <v>-3.42</v>
      </c>
      <c r="EN67" s="14">
        <v>0.71</v>
      </c>
      <c r="EO67" s="14">
        <v>3.52</v>
      </c>
      <c r="EP67" s="14">
        <v>-1.63</v>
      </c>
    </row>
    <row r="68" spans="1:146" ht="96">
      <c r="C68" s="7" t="str">
        <f>""&amp;CHAR(10)&amp;Basic_Fundamental_Information_Constructure(F68)&amp;CHAR(10)&amp;Basic_Fundamental_Information_Concatenate("")</f>
        <v xml:space="preserve">
市值46.040478亿, 利润-3.23亿; PE; 平均PE138.25; 平均PEG40.17, PB1.6; ROIC0%; ROE-7.7267%; 股利率0%; 毛利38.29%; 净利-10.2867%; 上一年度营收增-7.79%, 利润增13.87%; 当季营收增4.05%, 利润增71.06%; 过往5年营收增-3.44%, 利润增167.93%
Income profile:
</v>
      </c>
      <c r="D68" t="s">
        <v>4262</v>
      </c>
      <c r="E68" t="s">
        <v>4263</v>
      </c>
      <c r="F68">
        <v>10.26</v>
      </c>
      <c r="G68">
        <v>4.2699999999999996</v>
      </c>
      <c r="H68" t="s">
        <v>4264</v>
      </c>
      <c r="I68">
        <v>4604047800</v>
      </c>
      <c r="K68">
        <v>1.6</v>
      </c>
      <c r="L68" t="s">
        <v>85</v>
      </c>
      <c r="M68" t="s">
        <v>4265</v>
      </c>
      <c r="N68" t="s">
        <v>4266</v>
      </c>
      <c r="O68" t="s">
        <v>646</v>
      </c>
      <c r="P68" s="5">
        <v>3.93</v>
      </c>
      <c r="Q68" t="s">
        <v>4267</v>
      </c>
      <c r="R68">
        <v>-25270590</v>
      </c>
      <c r="S68">
        <v>0.71060000000000001</v>
      </c>
      <c r="T68" t="s">
        <v>4268</v>
      </c>
      <c r="U68">
        <v>448475100</v>
      </c>
      <c r="V68">
        <v>448737600</v>
      </c>
      <c r="W68">
        <v>3.06</v>
      </c>
      <c r="X68">
        <v>0.06</v>
      </c>
      <c r="Y68">
        <v>-9.18</v>
      </c>
      <c r="Z68" t="s">
        <v>1780</v>
      </c>
      <c r="AA68" t="s">
        <v>516</v>
      </c>
      <c r="AB68" t="s">
        <v>296</v>
      </c>
      <c r="AC68" t="s">
        <v>4269</v>
      </c>
      <c r="AD68" t="s">
        <v>90</v>
      </c>
      <c r="AE68">
        <v>37908535</v>
      </c>
      <c r="AF68" t="s">
        <v>4270</v>
      </c>
      <c r="AG68" t="s">
        <v>4271</v>
      </c>
      <c r="AH68" t="s">
        <v>4272</v>
      </c>
      <c r="AI68" t="s">
        <v>1448</v>
      </c>
      <c r="AJ68" t="s">
        <v>4273</v>
      </c>
      <c r="AK68" t="s">
        <v>521</v>
      </c>
      <c r="AL68" t="s">
        <v>4274</v>
      </c>
      <c r="AM68" t="s">
        <v>90</v>
      </c>
      <c r="AN68" t="s">
        <v>1453</v>
      </c>
      <c r="AO68" t="s">
        <v>4275</v>
      </c>
      <c r="AP68" t="s">
        <v>4276</v>
      </c>
      <c r="AQ68" t="s">
        <v>212</v>
      </c>
      <c r="AR68" t="s">
        <v>4277</v>
      </c>
      <c r="AS68" t="s">
        <v>4278</v>
      </c>
      <c r="AT68" t="s">
        <v>3718</v>
      </c>
      <c r="AU68" t="s">
        <v>3274</v>
      </c>
      <c r="AV68" t="s">
        <v>4279</v>
      </c>
      <c r="AW68" t="s">
        <v>4280</v>
      </c>
      <c r="AX68" t="s">
        <v>4281</v>
      </c>
      <c r="AY68" t="s">
        <v>4282</v>
      </c>
      <c r="AZ68" t="s">
        <v>1760</v>
      </c>
      <c r="BA68" t="s">
        <v>4283</v>
      </c>
      <c r="BB68" t="s">
        <v>4284</v>
      </c>
      <c r="BC68" t="s">
        <v>4285</v>
      </c>
      <c r="BD68" t="s">
        <v>3097</v>
      </c>
      <c r="BE68" t="s">
        <v>1576</v>
      </c>
      <c r="BF68" t="s">
        <v>4286</v>
      </c>
      <c r="BG68" t="s">
        <v>4287</v>
      </c>
      <c r="BH68" t="s">
        <v>4267</v>
      </c>
      <c r="BI68" t="s">
        <v>960</v>
      </c>
      <c r="BJ68" t="s">
        <v>4281</v>
      </c>
      <c r="BK68" t="s">
        <v>4268</v>
      </c>
      <c r="BL68" t="s">
        <v>4288</v>
      </c>
      <c r="BM68" t="s">
        <v>4285</v>
      </c>
      <c r="BN68" t="s">
        <v>90</v>
      </c>
      <c r="BO68" t="s">
        <v>90</v>
      </c>
      <c r="BP68" t="s">
        <v>90</v>
      </c>
      <c r="BQ68">
        <v>-5.61</v>
      </c>
      <c r="BR68">
        <v>-11.18</v>
      </c>
      <c r="BS68">
        <v>-6.39</v>
      </c>
      <c r="BT68" t="s">
        <v>1692</v>
      </c>
      <c r="BU68" t="s">
        <v>3551</v>
      </c>
      <c r="BV68">
        <v>41.26</v>
      </c>
      <c r="BW68">
        <v>37.32</v>
      </c>
      <c r="BX68">
        <v>36.29</v>
      </c>
      <c r="BY68">
        <v>-12.09</v>
      </c>
      <c r="BZ68">
        <v>-12.84</v>
      </c>
      <c r="CA68">
        <v>-5.93</v>
      </c>
      <c r="CB68">
        <v>1.68</v>
      </c>
      <c r="CC68" s="8">
        <v>-13.85</v>
      </c>
      <c r="CD68" s="9" t="s">
        <v>4289</v>
      </c>
      <c r="CE68" s="8" t="s">
        <v>225</v>
      </c>
      <c r="CF68" s="8">
        <v>4.0462427745664623E-2</v>
      </c>
      <c r="CG68" s="8">
        <v>0.71062608426802243</v>
      </c>
      <c r="CH68" s="8">
        <v>-7.7948398888111115E-2</v>
      </c>
      <c r="CI68" s="8">
        <v>-7.9978674650192261E-2</v>
      </c>
      <c r="CJ68" s="9">
        <v>-8.5345007479190826E-2</v>
      </c>
      <c r="CK68" s="9">
        <v>5.2618052810430527E-2</v>
      </c>
      <c r="CL68" s="9">
        <v>1.8562108278274536E-2</v>
      </c>
      <c r="CM68" s="9">
        <v>0.13866665959358215</v>
      </c>
      <c r="CN68" s="9">
        <v>-0.61637932062149048</v>
      </c>
      <c r="CO68">
        <v>-1.4744375944137573</v>
      </c>
      <c r="CP68">
        <v>11.282297134399414</v>
      </c>
      <c r="CQ68">
        <v>-0.93375480175018311</v>
      </c>
      <c r="CR68" s="8">
        <v>138.25042164339331</v>
      </c>
      <c r="CS68" s="9">
        <v>40.167609757797088</v>
      </c>
      <c r="CT68">
        <v>0</v>
      </c>
      <c r="CU68">
        <v>-3.4418383985757826E-2</v>
      </c>
      <c r="CV68">
        <v>1.679278415441513</v>
      </c>
      <c r="CW68">
        <v>0.06</v>
      </c>
      <c r="CX68" t="e">
        <v>#VALUE!</v>
      </c>
      <c r="CY68" t="s">
        <v>1392</v>
      </c>
      <c r="CZ68">
        <v>-3.4418383985757826E-2</v>
      </c>
      <c r="DA68" t="e">
        <v>#VALUE!</v>
      </c>
      <c r="DB68" t="s">
        <v>1391</v>
      </c>
      <c r="DC68">
        <v>-3.2697464786469933E-2</v>
      </c>
      <c r="DD68" t="e">
        <v>#VALUE!</v>
      </c>
      <c r="DE68" t="s">
        <v>1391</v>
      </c>
      <c r="DF68">
        <v>-3.0288177907466886E-2</v>
      </c>
      <c r="DG68" t="e">
        <v>#VALUE!</v>
      </c>
      <c r="DH68" t="s">
        <v>1391</v>
      </c>
      <c r="DI68">
        <v>-2.7534707188606261E-2</v>
      </c>
      <c r="DJ68" t="e">
        <v>#VALUE!</v>
      </c>
      <c r="DK68" t="s">
        <v>1391</v>
      </c>
      <c r="DL68">
        <v>-2.4092868790030478E-2</v>
      </c>
      <c r="DM68">
        <v>-323000000</v>
      </c>
      <c r="DN68">
        <v>-3.4418383985757826E-2</v>
      </c>
      <c r="DO68">
        <v>8049047800</v>
      </c>
      <c r="DP68">
        <v>260545800</v>
      </c>
      <c r="DQ68" s="10">
        <v>1689</v>
      </c>
      <c r="DR68">
        <v>7.4880811731422442E-2</v>
      </c>
      <c r="DS68">
        <v>-0.96865233117349059</v>
      </c>
      <c r="DT68">
        <v>-0.44</v>
      </c>
      <c r="DU68">
        <v>-1.7666666666666668</v>
      </c>
      <c r="DV68">
        <v>-2.206666666666667</v>
      </c>
      <c r="DW68">
        <v>-2.1385000000000001</v>
      </c>
      <c r="DX68">
        <v>0.53434818181818289</v>
      </c>
      <c r="DY68">
        <v>-2.0186072231818182</v>
      </c>
      <c r="DZ68">
        <v>4534</v>
      </c>
      <c r="EA68">
        <v>-2.0020974091101227</v>
      </c>
      <c r="EB68" s="11">
        <v>2</v>
      </c>
      <c r="EC68" s="11">
        <v>6.586610972648603E-2</v>
      </c>
      <c r="ED68">
        <v>0.49026424351335846</v>
      </c>
      <c r="EE68">
        <v>1.11961</v>
      </c>
      <c r="EF68">
        <v>1.7100000000000071E-3</v>
      </c>
      <c r="EG68">
        <v>40.134348181818183</v>
      </c>
      <c r="EH68" s="13">
        <v>-1</v>
      </c>
      <c r="EI68">
        <v>0</v>
      </c>
      <c r="EJ68">
        <v>0</v>
      </c>
      <c r="EK68">
        <v>45470</v>
      </c>
      <c r="EL68">
        <v>-1.28</v>
      </c>
      <c r="EM68">
        <v>-6.41</v>
      </c>
      <c r="EN68" s="14">
        <v>1.49</v>
      </c>
      <c r="EO68" s="14">
        <v>0.59</v>
      </c>
      <c r="EP68" s="14">
        <v>-3.21</v>
      </c>
    </row>
    <row r="69" spans="1:146" ht="96">
      <c r="C69" s="7" t="str">
        <f>""&amp;CHAR(10)&amp;Basic_Fundamental_Information_Constructure(F69)&amp;CHAR(10)&amp;Basic_Fundamental_Information_Concatenate("")</f>
        <v xml:space="preserve">
市值15.804346亿, 利润-55.60万; PE; 平均PE128.93; 平均PEG4.14, PB3.1; ROIC4.205%; ROE3.9233%; 股利率0%; 毛利28.3%; 净利6.17%; 上一年度营收增-46.15%, 利润增-102.22%; 当季营收增-57.82%, 利润增-137.53%; 过往5年营收增31.16%, 利润增33.44%
Income profile:
</v>
      </c>
      <c r="D69" t="s">
        <v>4290</v>
      </c>
      <c r="E69" t="s">
        <v>4291</v>
      </c>
      <c r="F69">
        <v>5.2</v>
      </c>
      <c r="G69">
        <v>2.77</v>
      </c>
      <c r="H69" t="s">
        <v>4292</v>
      </c>
      <c r="I69">
        <v>1580434600</v>
      </c>
      <c r="K69">
        <v>3.1</v>
      </c>
      <c r="L69" t="s">
        <v>85</v>
      </c>
      <c r="M69" t="s">
        <v>4293</v>
      </c>
      <c r="N69" t="s">
        <v>832</v>
      </c>
      <c r="O69" t="s">
        <v>4294</v>
      </c>
      <c r="P69" s="5">
        <v>-57.82</v>
      </c>
      <c r="Q69" t="s">
        <v>391</v>
      </c>
      <c r="R69">
        <v>-10742834</v>
      </c>
      <c r="S69">
        <v>-1.375</v>
      </c>
      <c r="T69" t="s">
        <v>4295</v>
      </c>
      <c r="U69">
        <v>298481820</v>
      </c>
      <c r="V69">
        <v>303929720</v>
      </c>
      <c r="W69">
        <v>1.0900000000000001</v>
      </c>
      <c r="X69">
        <v>0.03</v>
      </c>
      <c r="Y69">
        <v>-61.35</v>
      </c>
      <c r="Z69" t="s">
        <v>4296</v>
      </c>
      <c r="AA69" t="s">
        <v>4297</v>
      </c>
      <c r="AB69" t="s">
        <v>4298</v>
      </c>
      <c r="AC69" t="s">
        <v>4299</v>
      </c>
      <c r="AD69" t="s">
        <v>90</v>
      </c>
      <c r="AE69">
        <v>-2265906</v>
      </c>
      <c r="AF69" t="s">
        <v>182</v>
      </c>
      <c r="AG69">
        <v>3173.14</v>
      </c>
      <c r="AH69" t="s">
        <v>4300</v>
      </c>
      <c r="AI69" t="s">
        <v>131</v>
      </c>
      <c r="AJ69" t="s">
        <v>4301</v>
      </c>
      <c r="AK69" t="s">
        <v>4302</v>
      </c>
      <c r="AL69" t="s">
        <v>4303</v>
      </c>
      <c r="AM69" t="s">
        <v>90</v>
      </c>
      <c r="AN69" t="s">
        <v>4304</v>
      </c>
      <c r="AO69" t="s">
        <v>90</v>
      </c>
      <c r="AP69" t="s">
        <v>4305</v>
      </c>
      <c r="AQ69" t="s">
        <v>4306</v>
      </c>
      <c r="AR69" t="s">
        <v>4307</v>
      </c>
      <c r="AS69" t="s">
        <v>4308</v>
      </c>
      <c r="AT69" t="s">
        <v>90</v>
      </c>
      <c r="AU69" t="s">
        <v>4309</v>
      </c>
      <c r="AV69" t="s">
        <v>4310</v>
      </c>
      <c r="AW69" t="s">
        <v>4311</v>
      </c>
      <c r="AX69" t="s">
        <v>4312</v>
      </c>
      <c r="AY69" t="s">
        <v>463</v>
      </c>
      <c r="AZ69" t="s">
        <v>4313</v>
      </c>
      <c r="BA69" t="s">
        <v>4314</v>
      </c>
      <c r="BB69" t="s">
        <v>307</v>
      </c>
      <c r="BC69" t="s">
        <v>4315</v>
      </c>
      <c r="BD69" t="s">
        <v>4316</v>
      </c>
      <c r="BE69" t="s">
        <v>4317</v>
      </c>
      <c r="BF69" t="s">
        <v>4318</v>
      </c>
      <c r="BG69" t="s">
        <v>4319</v>
      </c>
      <c r="BH69" t="s">
        <v>391</v>
      </c>
      <c r="BI69" t="s">
        <v>4320</v>
      </c>
      <c r="BJ69" t="s">
        <v>4312</v>
      </c>
      <c r="BK69" t="s">
        <v>4295</v>
      </c>
      <c r="BL69" t="s">
        <v>4321</v>
      </c>
      <c r="BM69" t="s">
        <v>4315</v>
      </c>
      <c r="BN69" t="s">
        <v>90</v>
      </c>
      <c r="BO69">
        <v>3.73</v>
      </c>
      <c r="BP69">
        <v>4.68</v>
      </c>
      <c r="BQ69">
        <v>0.67</v>
      </c>
      <c r="BR69">
        <v>5.05</v>
      </c>
      <c r="BS69">
        <v>6.05</v>
      </c>
      <c r="BT69" t="s">
        <v>1692</v>
      </c>
      <c r="BU69" t="s">
        <v>3551</v>
      </c>
      <c r="BV69">
        <v>30.28</v>
      </c>
      <c r="BW69">
        <v>27.45</v>
      </c>
      <c r="BX69">
        <v>27.17</v>
      </c>
      <c r="BY69">
        <v>-0.31</v>
      </c>
      <c r="BZ69">
        <v>7.42</v>
      </c>
      <c r="CA69">
        <v>11.4</v>
      </c>
      <c r="CB69">
        <v>-1.7</v>
      </c>
      <c r="CC69" s="8">
        <v>-15.45</v>
      </c>
      <c r="CD69" s="9" t="s">
        <v>4322</v>
      </c>
      <c r="CE69" s="8" t="s">
        <v>418</v>
      </c>
      <c r="CF69" s="8">
        <v>-0.57819207624076752</v>
      </c>
      <c r="CG69" s="8">
        <v>-1.3753143034028346</v>
      </c>
      <c r="CH69" s="8">
        <v>-0.46153846383094788</v>
      </c>
      <c r="CI69" s="8">
        <v>0.35199999809265137</v>
      </c>
      <c r="CJ69" s="9">
        <v>2.0722343921661377</v>
      </c>
      <c r="CK69" s="9">
        <v>-0.1772817075252533</v>
      </c>
      <c r="CL69" s="9">
        <v>-0.22727574408054352</v>
      </c>
      <c r="CM69" s="9">
        <v>-1.0221625566482544</v>
      </c>
      <c r="CN69" s="9">
        <v>-0.1186053603887558</v>
      </c>
      <c r="CO69">
        <v>2.0835473537445068</v>
      </c>
      <c r="CP69">
        <v>0.45525777339935303</v>
      </c>
      <c r="CQ69">
        <v>0.27395060658454895</v>
      </c>
      <c r="CR69" s="8">
        <v>128.93192145473532</v>
      </c>
      <c r="CS69" s="9">
        <v>4.137370443582066</v>
      </c>
      <c r="CT69">
        <v>0</v>
      </c>
      <c r="CU69">
        <v>0.3116276949644089</v>
      </c>
      <c r="CV69">
        <v>0.33439756333827975</v>
      </c>
      <c r="CW69">
        <v>0.06</v>
      </c>
      <c r="CX69" t="e">
        <v>#VALUE!</v>
      </c>
      <c r="CY69" t="s">
        <v>1392</v>
      </c>
      <c r="CZ69">
        <v>0.3116276949644089</v>
      </c>
      <c r="DA69" t="e">
        <v>#VALUE!</v>
      </c>
      <c r="DB69" t="s">
        <v>1391</v>
      </c>
      <c r="DC69">
        <v>0.29604631021618844</v>
      </c>
      <c r="DD69" t="e">
        <v>#VALUE!</v>
      </c>
      <c r="DE69" t="s">
        <v>1391</v>
      </c>
      <c r="DF69">
        <v>0.27423237156867986</v>
      </c>
      <c r="DG69" t="e">
        <v>#VALUE!</v>
      </c>
      <c r="DH69" t="s">
        <v>1391</v>
      </c>
      <c r="DI69">
        <v>0.24930215597152713</v>
      </c>
      <c r="DJ69" t="e">
        <v>#VALUE!</v>
      </c>
      <c r="DK69" t="s">
        <v>1391</v>
      </c>
      <c r="DL69">
        <v>0.21813938647508621</v>
      </c>
      <c r="DM69">
        <v>-556000</v>
      </c>
      <c r="DN69">
        <v>0.3116276949644089</v>
      </c>
      <c r="DO69">
        <v>1146736600</v>
      </c>
      <c r="DP69">
        <v>346939250</v>
      </c>
      <c r="DQ69" s="10">
        <v>1697</v>
      </c>
      <c r="DR69">
        <v>-0.88981977120517641</v>
      </c>
      <c r="DS69">
        <v>-1.7097118667411144</v>
      </c>
      <c r="DT69">
        <v>-0.27499999999999997</v>
      </c>
      <c r="DU69">
        <v>-1.1066666666666667</v>
      </c>
      <c r="DV69">
        <v>-1.3816666666666666</v>
      </c>
      <c r="DW69">
        <v>-2.1545000000000001</v>
      </c>
      <c r="DX69">
        <v>0.38712233009708652</v>
      </c>
      <c r="DY69">
        <v>-2.0258204000000002</v>
      </c>
      <c r="DZ69">
        <v>3932</v>
      </c>
      <c r="EA69">
        <v>-2.0059523348727986</v>
      </c>
      <c r="EB69" s="11">
        <v>2</v>
      </c>
      <c r="EC69" s="11">
        <v>5.6636777739274724E-2</v>
      </c>
      <c r="ED69">
        <v>0.33889413644707073</v>
      </c>
      <c r="EE69">
        <v>7.85E-2</v>
      </c>
      <c r="EF69">
        <v>6.7299999999999999E-2</v>
      </c>
      <c r="EG69">
        <v>22.167122330097087</v>
      </c>
      <c r="EH69" s="13" t="s">
        <v>1390</v>
      </c>
      <c r="EI69">
        <v>0</v>
      </c>
      <c r="EJ69">
        <v>0</v>
      </c>
      <c r="EK69">
        <v>45470</v>
      </c>
      <c r="EL69">
        <v>-1.83</v>
      </c>
      <c r="EM69">
        <v>-6.33</v>
      </c>
      <c r="EN69" s="14">
        <v>0.4</v>
      </c>
      <c r="EO69" s="14">
        <v>5.94</v>
      </c>
      <c r="EP69" s="14">
        <v>-1.1200000000000001</v>
      </c>
    </row>
    <row r="70" spans="1:146" ht="108">
      <c r="A70" s="7"/>
      <c r="B70" s="7"/>
      <c r="C70" s="7" t="str">
        <f>""&amp;CHAR(10)&amp;Basic_Fundamental_Information_Constructure(F70)&amp;CHAR(10)&amp;Basic_Fundamental_Information_Concatenate("")</f>
        <v xml:space="preserve">
市值31.244565亿, 利润1.47亿; PE19.03; 平均PE-67.79; 平均PEG-3.32, PB1.61; ROIC2.785%; ROE-2.5167%; 股利率.7366%; 毛利18.21%; 净利-1.4633%; 上一年度营收增89.35%, 利润增165.92%; 当季营收增-14.4%, 利润增629.28%; 过往5年营收增20.4%, 利润增-606.35%
Income profile:
</v>
      </c>
      <c r="D70" t="s">
        <v>598</v>
      </c>
      <c r="E70" t="s">
        <v>9</v>
      </c>
      <c r="F70">
        <v>5.43</v>
      </c>
      <c r="G70">
        <v>2.84</v>
      </c>
      <c r="H70" t="s">
        <v>4323</v>
      </c>
      <c r="I70">
        <v>3124456500</v>
      </c>
      <c r="J70">
        <v>19.03</v>
      </c>
      <c r="K70">
        <v>1.61</v>
      </c>
      <c r="L70" t="s">
        <v>85</v>
      </c>
      <c r="M70" t="s">
        <v>2530</v>
      </c>
      <c r="N70" t="s">
        <v>4324</v>
      </c>
      <c r="O70" t="s">
        <v>2664</v>
      </c>
      <c r="P70">
        <v>-14.47</v>
      </c>
      <c r="Q70" t="s">
        <v>2665</v>
      </c>
      <c r="R70">
        <v>19805744</v>
      </c>
      <c r="S70" s="5">
        <v>6.2930000000000001</v>
      </c>
      <c r="T70" t="s">
        <v>314</v>
      </c>
      <c r="U70">
        <v>542891450</v>
      </c>
      <c r="V70">
        <v>575406350</v>
      </c>
      <c r="W70">
        <v>2.13</v>
      </c>
      <c r="X70">
        <v>0.15</v>
      </c>
      <c r="Y70">
        <v>3.94</v>
      </c>
      <c r="Z70" t="s">
        <v>3303</v>
      </c>
      <c r="AA70" t="s">
        <v>1612</v>
      </c>
      <c r="AB70" t="s">
        <v>4325</v>
      </c>
      <c r="AC70" t="s">
        <v>4326</v>
      </c>
      <c r="AD70" t="s">
        <v>90</v>
      </c>
      <c r="AE70">
        <v>2725144</v>
      </c>
      <c r="AF70" t="s">
        <v>2666</v>
      </c>
      <c r="AG70" t="s">
        <v>4327</v>
      </c>
      <c r="AH70" t="s">
        <v>2667</v>
      </c>
      <c r="AI70" t="s">
        <v>837</v>
      </c>
      <c r="AJ70" t="s">
        <v>2668</v>
      </c>
      <c r="AK70" t="s">
        <v>4328</v>
      </c>
      <c r="AL70" t="s">
        <v>2669</v>
      </c>
      <c r="AM70" t="s">
        <v>90</v>
      </c>
      <c r="AN70" t="s">
        <v>4329</v>
      </c>
      <c r="AO70" t="s">
        <v>369</v>
      </c>
      <c r="AP70" t="s">
        <v>1707</v>
      </c>
      <c r="AQ70" t="s">
        <v>466</v>
      </c>
      <c r="AR70" t="s">
        <v>4330</v>
      </c>
      <c r="AS70" t="s">
        <v>2850</v>
      </c>
      <c r="AT70" t="s">
        <v>90</v>
      </c>
      <c r="AU70" t="s">
        <v>4331</v>
      </c>
      <c r="AV70" t="s">
        <v>4332</v>
      </c>
      <c r="AW70" t="s">
        <v>4333</v>
      </c>
      <c r="AX70" t="s">
        <v>1849</v>
      </c>
      <c r="AY70" t="s">
        <v>1279</v>
      </c>
      <c r="AZ70" t="s">
        <v>842</v>
      </c>
      <c r="BA70" t="s">
        <v>599</v>
      </c>
      <c r="BB70" t="s">
        <v>419</v>
      </c>
      <c r="BC70" t="s">
        <v>1850</v>
      </c>
      <c r="BD70" t="s">
        <v>1280</v>
      </c>
      <c r="BE70" t="s">
        <v>843</v>
      </c>
      <c r="BF70" t="s">
        <v>600</v>
      </c>
      <c r="BG70" t="s">
        <v>845</v>
      </c>
      <c r="BH70" t="s">
        <v>2665</v>
      </c>
      <c r="BI70" t="s">
        <v>858</v>
      </c>
      <c r="BJ70" t="s">
        <v>1849</v>
      </c>
      <c r="BK70" t="s">
        <v>314</v>
      </c>
      <c r="BL70" t="s">
        <v>2670</v>
      </c>
      <c r="BM70" t="s">
        <v>1850</v>
      </c>
      <c r="BN70">
        <v>2.73</v>
      </c>
      <c r="BO70" t="s">
        <v>90</v>
      </c>
      <c r="BP70">
        <v>2.84</v>
      </c>
      <c r="BQ70">
        <v>2.2400000000000002</v>
      </c>
      <c r="BR70">
        <v>-12.1</v>
      </c>
      <c r="BS70">
        <v>2.31</v>
      </c>
      <c r="BT70" t="s">
        <v>2671</v>
      </c>
      <c r="BU70" t="s">
        <v>1337</v>
      </c>
      <c r="BV70">
        <v>21.17</v>
      </c>
      <c r="BW70">
        <v>11.65</v>
      </c>
      <c r="BX70">
        <v>21.81</v>
      </c>
      <c r="BY70">
        <v>6</v>
      </c>
      <c r="BZ70">
        <v>-13.22</v>
      </c>
      <c r="CA70">
        <v>2.83</v>
      </c>
      <c r="CB70">
        <v>-0.55000000000000004</v>
      </c>
      <c r="CC70">
        <v>-10.54</v>
      </c>
      <c r="CD70" t="s">
        <v>4334</v>
      </c>
      <c r="CE70" t="s">
        <v>795</v>
      </c>
      <c r="CF70" s="8">
        <v>-0.14397905759162305</v>
      </c>
      <c r="CG70" s="9">
        <v>6.2927844465719129</v>
      </c>
      <c r="CH70" s="8">
        <v>0.89345806837081909</v>
      </c>
      <c r="CI70" s="8">
        <v>1.1342073790729046E-2</v>
      </c>
      <c r="CJ70" s="8">
        <v>-0.12126242369413376</v>
      </c>
      <c r="CK70" s="8">
        <v>0.14739517867565155</v>
      </c>
      <c r="CL70" s="8">
        <v>8.9273408055305481E-2</v>
      </c>
      <c r="CM70" s="9">
        <v>1.6591928005218506</v>
      </c>
      <c r="CN70" s="9">
        <v>-6.2838339805603027</v>
      </c>
      <c r="CO70" s="9">
        <v>-0.40904459357261658</v>
      </c>
      <c r="CP70" s="9">
        <v>1.218400239944458</v>
      </c>
      <c r="CQ70" s="9">
        <v>-26.502445220947266</v>
      </c>
      <c r="CR70">
        <v>-67.786265090039436</v>
      </c>
      <c r="CS70">
        <v>-3.3221841868963411</v>
      </c>
      <c r="CT70">
        <v>0.73664825046040527</v>
      </c>
      <c r="CU70" s="8">
        <v>0.20404126103967429</v>
      </c>
      <c r="CV70" s="9">
        <v>-6.0635461509227753</v>
      </c>
      <c r="CW70">
        <v>0.06</v>
      </c>
      <c r="CX70">
        <v>19.712208331113565</v>
      </c>
      <c r="CY70">
        <v>166975533.37059632</v>
      </c>
      <c r="CZ70">
        <v>0.20404126103967429</v>
      </c>
      <c r="DA70">
        <v>5.8563259634485565</v>
      </c>
      <c r="DB70">
        <v>562034374.54526401</v>
      </c>
      <c r="DC70">
        <v>0.19383919798769056</v>
      </c>
      <c r="DD70">
        <v>2.5250297598635636</v>
      </c>
      <c r="DE70">
        <v>1303531765.1772346</v>
      </c>
      <c r="DF70">
        <v>0.17955630971491338</v>
      </c>
      <c r="DG70">
        <v>1.2963568317487526</v>
      </c>
      <c r="DH70">
        <v>2539005017.2836351</v>
      </c>
      <c r="DI70">
        <v>0.16323300883173944</v>
      </c>
      <c r="DJ70">
        <v>0.46326014646571922</v>
      </c>
      <c r="DK70">
        <v>7104985233.6986303</v>
      </c>
      <c r="DL70">
        <v>0.142828882727772</v>
      </c>
      <c r="DM70">
        <v>147000000</v>
      </c>
      <c r="DN70">
        <v>0.20404126103967429</v>
      </c>
      <c r="DO70">
        <v>3291456500</v>
      </c>
      <c r="DP70">
        <v>652445600</v>
      </c>
      <c r="DQ70">
        <v>1713</v>
      </c>
      <c r="DR70">
        <v>-0.34802031863129734</v>
      </c>
      <c r="DS70">
        <v>12.356330597494688</v>
      </c>
      <c r="DT70" s="10">
        <v>-0.10666666666666669</v>
      </c>
      <c r="DU70">
        <v>-1.34</v>
      </c>
      <c r="DV70">
        <v>-1.4466666666666668</v>
      </c>
      <c r="DW70">
        <v>-2.1053999999999999</v>
      </c>
      <c r="DX70">
        <v>0.37085670289854988</v>
      </c>
      <c r="DY70">
        <v>-2.0127382964855074</v>
      </c>
      <c r="DZ70">
        <v>3981</v>
      </c>
      <c r="EA70">
        <v>-2.0028143907499292</v>
      </c>
      <c r="EB70">
        <v>2</v>
      </c>
      <c r="EC70">
        <v>0.11594050013525224</v>
      </c>
      <c r="ED70">
        <v>0.95932205127732773</v>
      </c>
      <c r="EE70" s="11">
        <v>1.0439000000000001</v>
      </c>
      <c r="EF70">
        <v>1.0149999999999999</v>
      </c>
      <c r="EG70">
        <v>25.12085670289855</v>
      </c>
      <c r="EH70" t="s">
        <v>1725</v>
      </c>
      <c r="EI70">
        <v>0</v>
      </c>
      <c r="EJ70">
        <v>0</v>
      </c>
      <c r="EK70" s="13">
        <v>45470</v>
      </c>
      <c r="EL70" s="14">
        <v>0.74</v>
      </c>
      <c r="EM70" s="14">
        <v>1.28</v>
      </c>
      <c r="EN70" s="14">
        <v>-3.28</v>
      </c>
      <c r="EO70" s="14">
        <v>4.34</v>
      </c>
      <c r="EP70" s="14">
        <v>-2.89</v>
      </c>
    </row>
    <row r="71" spans="1:146" ht="108">
      <c r="A71" s="7"/>
      <c r="B71" s="7"/>
      <c r="C71" s="7" t="str">
        <f>""&amp;CHAR(10)&amp;Basic_Fundamental_Information_Constructure(F71)&amp;CHAR(10)&amp;Basic_Fundamental_Information_Concatenate("")</f>
        <v xml:space="preserve">
市值93.699782亿, 利润4.33亿; PE21.35; 平均PE33.48; 平均PEG3.37, PB1.49; ROIC4.5967%; ROE6.5633%; 股利率1.0604%; 毛利31.97%; 净利10.12%; 上一年度营收增11%, 利润增5.87%; 当季营收增10.35%, 利润增7.23%; 过往5年营收增9.92%, 利润增30.21%
Income profile:
</v>
      </c>
      <c r="D71" t="s">
        <v>505</v>
      </c>
      <c r="E71" t="s">
        <v>16</v>
      </c>
      <c r="F71">
        <v>9.43</v>
      </c>
      <c r="G71">
        <v>0.53</v>
      </c>
      <c r="H71" t="s">
        <v>4335</v>
      </c>
      <c r="I71">
        <v>9369978200</v>
      </c>
      <c r="J71">
        <v>21.35</v>
      </c>
      <c r="K71">
        <v>1.49</v>
      </c>
      <c r="L71" t="s">
        <v>85</v>
      </c>
      <c r="M71" t="s">
        <v>2672</v>
      </c>
      <c r="N71" t="s">
        <v>4336</v>
      </c>
      <c r="O71" t="s">
        <v>2618</v>
      </c>
      <c r="P71">
        <v>10.29</v>
      </c>
      <c r="Q71" t="s">
        <v>2673</v>
      </c>
      <c r="R71">
        <v>81819898</v>
      </c>
      <c r="S71" s="5">
        <v>7.2300000000000003E-2</v>
      </c>
      <c r="T71" t="s">
        <v>1401</v>
      </c>
      <c r="U71">
        <v>954378740</v>
      </c>
      <c r="V71">
        <v>993635020</v>
      </c>
      <c r="W71">
        <v>2.31</v>
      </c>
      <c r="X71">
        <v>7.0000000000000007E-2</v>
      </c>
      <c r="Y71">
        <v>7.88</v>
      </c>
      <c r="Z71" t="s">
        <v>3922</v>
      </c>
      <c r="AA71" t="s">
        <v>865</v>
      </c>
      <c r="AB71" t="s">
        <v>4337</v>
      </c>
      <c r="AC71" t="s">
        <v>4338</v>
      </c>
      <c r="AD71" t="s">
        <v>90</v>
      </c>
      <c r="AE71">
        <v>55973876</v>
      </c>
      <c r="AF71" t="s">
        <v>2674</v>
      </c>
      <c r="AG71" t="s">
        <v>4339</v>
      </c>
      <c r="AH71" t="s">
        <v>2675</v>
      </c>
      <c r="AI71" t="s">
        <v>692</v>
      </c>
      <c r="AJ71" t="s">
        <v>2676</v>
      </c>
      <c r="AK71" t="s">
        <v>4340</v>
      </c>
      <c r="AL71" t="s">
        <v>2677</v>
      </c>
      <c r="AM71" t="s">
        <v>90</v>
      </c>
      <c r="AN71" t="s">
        <v>4341</v>
      </c>
      <c r="AO71" t="s">
        <v>4342</v>
      </c>
      <c r="AP71" t="s">
        <v>358</v>
      </c>
      <c r="AQ71" t="s">
        <v>4343</v>
      </c>
      <c r="AR71" t="s">
        <v>90</v>
      </c>
      <c r="AS71" t="s">
        <v>4344</v>
      </c>
      <c r="AT71" t="s">
        <v>4345</v>
      </c>
      <c r="AU71" t="s">
        <v>4346</v>
      </c>
      <c r="AV71" t="s">
        <v>4347</v>
      </c>
      <c r="AW71" t="s">
        <v>178</v>
      </c>
      <c r="AX71" t="s">
        <v>1853</v>
      </c>
      <c r="AY71" t="s">
        <v>1282</v>
      </c>
      <c r="AZ71" t="s">
        <v>1283</v>
      </c>
      <c r="BA71" t="s">
        <v>506</v>
      </c>
      <c r="BB71" t="s">
        <v>846</v>
      </c>
      <c r="BC71" t="s">
        <v>1163</v>
      </c>
      <c r="BD71" t="s">
        <v>131</v>
      </c>
      <c r="BE71" t="s">
        <v>292</v>
      </c>
      <c r="BF71" t="s">
        <v>167</v>
      </c>
      <c r="BG71" t="s">
        <v>253</v>
      </c>
      <c r="BH71" t="s">
        <v>2673</v>
      </c>
      <c r="BI71" t="s">
        <v>771</v>
      </c>
      <c r="BJ71" t="s">
        <v>1853</v>
      </c>
      <c r="BK71" t="s">
        <v>1401</v>
      </c>
      <c r="BL71" t="s">
        <v>2678</v>
      </c>
      <c r="BM71" t="s">
        <v>1163</v>
      </c>
      <c r="BN71">
        <v>4.1399999999999997</v>
      </c>
      <c r="BO71">
        <v>5.39</v>
      </c>
      <c r="BP71">
        <v>4.26</v>
      </c>
      <c r="BQ71">
        <v>5.77</v>
      </c>
      <c r="BR71">
        <v>7.63</v>
      </c>
      <c r="BS71">
        <v>6.29</v>
      </c>
      <c r="BT71" t="s">
        <v>1697</v>
      </c>
      <c r="BU71" t="s">
        <v>1381</v>
      </c>
      <c r="BV71">
        <v>33.68</v>
      </c>
      <c r="BW71">
        <v>32.22</v>
      </c>
      <c r="BX71">
        <v>30.01</v>
      </c>
      <c r="BY71">
        <v>10.43</v>
      </c>
      <c r="BZ71">
        <v>11.07</v>
      </c>
      <c r="CA71">
        <v>8.86</v>
      </c>
      <c r="CB71">
        <v>-6.63</v>
      </c>
      <c r="CC71">
        <v>-18.57</v>
      </c>
      <c r="CD71" t="s">
        <v>4348</v>
      </c>
      <c r="CE71" t="s">
        <v>188</v>
      </c>
      <c r="CF71" s="8">
        <v>0.1035218783351122</v>
      </c>
      <c r="CG71" s="9">
        <v>7.2282830347922267E-2</v>
      </c>
      <c r="CH71" s="8">
        <v>0.11001604050397873</v>
      </c>
      <c r="CI71" s="8">
        <v>7.7187933027744293E-2</v>
      </c>
      <c r="CJ71" s="8">
        <v>0.1494063138961792</v>
      </c>
      <c r="CK71" s="8">
        <v>0.1515381932258606</v>
      </c>
      <c r="CL71" s="8">
        <v>8.0397920683026314E-3</v>
      </c>
      <c r="CM71" s="9">
        <v>5.867970734834671E-2</v>
      </c>
      <c r="CN71" s="9">
        <v>0.34539473056793213</v>
      </c>
      <c r="CO71" s="9">
        <v>0.18287937343120575</v>
      </c>
      <c r="CP71" s="9">
        <v>0.67973858118057251</v>
      </c>
      <c r="CQ71" s="9">
        <v>0.24390244483947754</v>
      </c>
      <c r="CR71">
        <v>33.484138892197741</v>
      </c>
      <c r="CS71">
        <v>3.3741364652277386</v>
      </c>
      <c r="CT71">
        <v>1.0604453870625663</v>
      </c>
      <c r="CU71" s="8">
        <v>9.9237654544413093E-2</v>
      </c>
      <c r="CV71" s="9">
        <v>0.30211896747350692</v>
      </c>
      <c r="CW71">
        <v>0.06</v>
      </c>
      <c r="CX71">
        <v>24.733363985274391</v>
      </c>
      <c r="CY71">
        <v>449028211.71484047</v>
      </c>
      <c r="CZ71">
        <v>9.9237654544413093E-2</v>
      </c>
      <c r="DA71">
        <v>8.0197204418782686</v>
      </c>
      <c r="DB71">
        <v>1384833583.7251344</v>
      </c>
      <c r="DC71">
        <v>9.4275771817192433E-2</v>
      </c>
      <c r="DD71">
        <v>3.9067380781398526</v>
      </c>
      <c r="DE71">
        <v>2842775220.1109886</v>
      </c>
      <c r="DF71">
        <v>8.7329135999083526E-2</v>
      </c>
      <c r="DG71">
        <v>2.3183620032995096</v>
      </c>
      <c r="DH71">
        <v>4790441779.2363281</v>
      </c>
      <c r="DI71">
        <v>7.9390123635530482E-2</v>
      </c>
      <c r="DJ71">
        <v>1.1666083567056287</v>
      </c>
      <c r="DK71">
        <v>9519885689.2831097</v>
      </c>
      <c r="DL71">
        <v>6.9466358181089163E-2</v>
      </c>
      <c r="DM71">
        <v>433000000</v>
      </c>
      <c r="DN71">
        <v>9.9237654544413093E-2</v>
      </c>
      <c r="DO71">
        <v>11105978200</v>
      </c>
      <c r="DP71">
        <v>-2495688600</v>
      </c>
      <c r="DQ71">
        <v>1742</v>
      </c>
      <c r="DR71">
        <v>4.2842237906991071E-3</v>
      </c>
      <c r="DS71">
        <v>-0.22983613712558465</v>
      </c>
      <c r="DT71" s="10">
        <v>-0.32333333333333336</v>
      </c>
      <c r="DU71">
        <v>0.61666666666666659</v>
      </c>
      <c r="DV71">
        <v>0.29333333333333322</v>
      </c>
      <c r="DW71">
        <v>-9.3570274636510504</v>
      </c>
      <c r="DX71">
        <v>0.39089999999999847</v>
      </c>
      <c r="DY71">
        <v>-9.0503051696284338</v>
      </c>
      <c r="DZ71">
        <v>1068</v>
      </c>
      <c r="EA71">
        <v>-9.0397912907315323</v>
      </c>
      <c r="EB71">
        <v>9</v>
      </c>
      <c r="EC71">
        <v>2.1128583008276018E-2</v>
      </c>
      <c r="ED71">
        <v>0.14995445712048272</v>
      </c>
      <c r="EE71" s="11">
        <v>1.5699999999999999E-2</v>
      </c>
      <c r="EF71">
        <v>1.2210000000000002E-2</v>
      </c>
      <c r="EG71">
        <v>25.140899999999998</v>
      </c>
      <c r="EH71">
        <v>-1</v>
      </c>
      <c r="EI71">
        <v>0</v>
      </c>
      <c r="EJ71">
        <v>1</v>
      </c>
      <c r="EK71" s="13">
        <v>45470</v>
      </c>
      <c r="EL71" s="14">
        <v>-3.03</v>
      </c>
      <c r="EM71" s="14">
        <v>-4.55</v>
      </c>
      <c r="EN71" s="14">
        <v>0.4</v>
      </c>
      <c r="EO71" s="14">
        <v>2.67</v>
      </c>
      <c r="EP71" s="14">
        <v>-2.79</v>
      </c>
    </row>
    <row r="72" spans="1:146" ht="108">
      <c r="C72" s="7" t="str">
        <f>""&amp;CHAR(10)&amp;Basic_Fundamental_Information_Constructure(F72)&amp;CHAR(10)&amp;Basic_Fundamental_Information_Concatenate("")</f>
        <v xml:space="preserve">
市值30.180879亿, 利润2.14亿; PE16.54; 平均PE10.82; 平均PEG1.8, PB1.05; ROIC9.0533%; ROE9.62%; 股利率2.7132%; 毛利44.7533%; 净利25.42%; 上一年度营收增-3.21%, 利润增-13.01%; 当季营收增-9.94%, 利润增-68.28%; 过往5年营收增6%, 利润增15.52%
Income profile:
</v>
      </c>
      <c r="D72" t="s">
        <v>4349</v>
      </c>
      <c r="E72" t="s">
        <v>4350</v>
      </c>
      <c r="F72">
        <v>2.58</v>
      </c>
      <c r="G72">
        <v>2.38</v>
      </c>
      <c r="H72" t="s">
        <v>4351</v>
      </c>
      <c r="I72">
        <v>3018087900</v>
      </c>
      <c r="J72">
        <v>16.54</v>
      </c>
      <c r="K72">
        <v>1.05</v>
      </c>
      <c r="L72" t="s">
        <v>85</v>
      </c>
      <c r="M72" t="s">
        <v>1400</v>
      </c>
      <c r="N72" t="s">
        <v>4352</v>
      </c>
      <c r="O72" t="s">
        <v>841</v>
      </c>
      <c r="P72" s="5">
        <v>-9.9499999999999993</v>
      </c>
      <c r="Q72" t="s">
        <v>966</v>
      </c>
      <c r="R72">
        <v>14694272</v>
      </c>
      <c r="S72">
        <v>-0.68279999999999996</v>
      </c>
      <c r="T72" t="s">
        <v>178</v>
      </c>
      <c r="U72">
        <v>1169533230</v>
      </c>
      <c r="V72">
        <v>1169801520</v>
      </c>
      <c r="W72">
        <v>1.17</v>
      </c>
      <c r="X72">
        <v>0.05</v>
      </c>
      <c r="Y72">
        <v>9.0299999999999994</v>
      </c>
      <c r="Z72" t="s">
        <v>502</v>
      </c>
      <c r="AA72" t="s">
        <v>4353</v>
      </c>
      <c r="AB72" t="s">
        <v>4354</v>
      </c>
      <c r="AC72" t="s">
        <v>4355</v>
      </c>
      <c r="AD72" t="s">
        <v>90</v>
      </c>
      <c r="AE72">
        <v>-5424627</v>
      </c>
      <c r="AF72" t="s">
        <v>4356</v>
      </c>
      <c r="AG72" t="s">
        <v>4357</v>
      </c>
      <c r="AH72" t="s">
        <v>4358</v>
      </c>
      <c r="AI72" t="s">
        <v>1834</v>
      </c>
      <c r="AJ72" t="s">
        <v>4359</v>
      </c>
      <c r="AK72" t="s">
        <v>4360</v>
      </c>
      <c r="AL72" t="s">
        <v>4361</v>
      </c>
      <c r="AM72" t="s">
        <v>90</v>
      </c>
      <c r="AN72" t="s">
        <v>173</v>
      </c>
      <c r="AO72" t="s">
        <v>90</v>
      </c>
      <c r="AP72" t="s">
        <v>4362</v>
      </c>
      <c r="AQ72" t="s">
        <v>1865</v>
      </c>
      <c r="AR72" t="s">
        <v>4363</v>
      </c>
      <c r="AS72" t="s">
        <v>1567</v>
      </c>
      <c r="AT72" t="s">
        <v>90</v>
      </c>
      <c r="AU72" t="s">
        <v>4364</v>
      </c>
      <c r="AV72" t="s">
        <v>2662</v>
      </c>
      <c r="AW72" t="s">
        <v>4365</v>
      </c>
      <c r="AX72" t="s">
        <v>298</v>
      </c>
      <c r="AY72" t="s">
        <v>408</v>
      </c>
      <c r="AZ72" t="s">
        <v>4366</v>
      </c>
      <c r="BA72" t="s">
        <v>681</v>
      </c>
      <c r="BB72" t="s">
        <v>1614</v>
      </c>
      <c r="BC72" t="s">
        <v>444</v>
      </c>
      <c r="BD72" t="s">
        <v>1454</v>
      </c>
      <c r="BE72" t="s">
        <v>1455</v>
      </c>
      <c r="BF72" t="s">
        <v>722</v>
      </c>
      <c r="BG72" t="s">
        <v>188</v>
      </c>
      <c r="BH72" t="s">
        <v>966</v>
      </c>
      <c r="BI72" t="s">
        <v>706</v>
      </c>
      <c r="BJ72" t="s">
        <v>298</v>
      </c>
      <c r="BK72" t="s">
        <v>178</v>
      </c>
      <c r="BL72" t="s">
        <v>4367</v>
      </c>
      <c r="BM72" t="s">
        <v>444</v>
      </c>
      <c r="BN72">
        <v>4.45</v>
      </c>
      <c r="BO72">
        <v>7.97</v>
      </c>
      <c r="BP72">
        <v>14.74</v>
      </c>
      <c r="BQ72">
        <v>4.74</v>
      </c>
      <c r="BR72">
        <v>8.6300000000000008</v>
      </c>
      <c r="BS72">
        <v>15.49</v>
      </c>
      <c r="BT72" t="s">
        <v>1822</v>
      </c>
      <c r="BU72" t="s">
        <v>3551</v>
      </c>
      <c r="BV72">
        <v>44.59</v>
      </c>
      <c r="BW72">
        <v>44.02</v>
      </c>
      <c r="BX72">
        <v>45.65</v>
      </c>
      <c r="BY72">
        <v>19.68</v>
      </c>
      <c r="BZ72">
        <v>21.89</v>
      </c>
      <c r="CA72">
        <v>34.69</v>
      </c>
      <c r="CB72">
        <v>1.98</v>
      </c>
      <c r="CC72" s="8">
        <v>-11.34</v>
      </c>
      <c r="CD72" s="9" t="s">
        <v>4368</v>
      </c>
      <c r="CE72" s="8" t="s">
        <v>1140</v>
      </c>
      <c r="CF72" s="8">
        <v>-9.9447513812154692E-2</v>
      </c>
      <c r="CG72" s="8">
        <v>-0.6827846390646487</v>
      </c>
      <c r="CH72" s="8">
        <v>-3.2085560262203217E-2</v>
      </c>
      <c r="CI72" s="8">
        <v>-5.951378121972084E-2</v>
      </c>
      <c r="CJ72" s="9">
        <v>-1.6737472033128142E-3</v>
      </c>
      <c r="CK72" s="9">
        <v>1.1854469776153564E-2</v>
      </c>
      <c r="CL72" s="9">
        <v>0.38128647208213806</v>
      </c>
      <c r="CM72" s="9">
        <v>-0.13008129596710205</v>
      </c>
      <c r="CN72" s="9">
        <v>-0.40435835719108582</v>
      </c>
      <c r="CO72">
        <v>8.9709766209125519E-2</v>
      </c>
      <c r="CP72">
        <v>0.38827839493751526</v>
      </c>
      <c r="CQ72">
        <v>0.83221477270126343</v>
      </c>
      <c r="CR72" s="8">
        <v>10.81751935483871</v>
      </c>
      <c r="CS72" s="9">
        <v>1.8037144095929287</v>
      </c>
      <c r="CT72">
        <v>2.7131782945736433</v>
      </c>
      <c r="CU72">
        <v>5.9973570634610951E-2</v>
      </c>
      <c r="CV72">
        <v>0.15515265613794327</v>
      </c>
      <c r="CW72">
        <v>0.06</v>
      </c>
      <c r="CX72">
        <v>3.1500219985876843</v>
      </c>
      <c r="CY72">
        <v>213994664.26019502</v>
      </c>
      <c r="CZ72">
        <v>5.9973570634610951E-2</v>
      </c>
      <c r="DA72">
        <v>1.0559970612760288</v>
      </c>
      <c r="DB72">
        <v>638342590.82639539</v>
      </c>
      <c r="DC72">
        <v>5.6974892102880398E-2</v>
      </c>
      <c r="DD72">
        <v>0.5376695454978484</v>
      </c>
      <c r="DE72">
        <v>1253721557.4965041</v>
      </c>
      <c r="DF72">
        <v>5.2776742158457637E-2</v>
      </c>
      <c r="DG72">
        <v>0.33520704366950593</v>
      </c>
      <c r="DH72">
        <v>2010959831.3351979</v>
      </c>
      <c r="DI72">
        <v>4.7978856507688766E-2</v>
      </c>
      <c r="DJ72">
        <v>0.18764372427233808</v>
      </c>
      <c r="DK72">
        <v>3592381800.2122874</v>
      </c>
      <c r="DL72">
        <v>4.198149944422766E-2</v>
      </c>
      <c r="DM72">
        <v>214000000</v>
      </c>
      <c r="DN72">
        <v>5.9973570634610951E-2</v>
      </c>
      <c r="DO72">
        <v>674087900</v>
      </c>
      <c r="DP72">
        <v>1840861800</v>
      </c>
      <c r="DQ72" s="10">
        <v>1744</v>
      </c>
      <c r="DR72">
        <v>-0.15942108444676564</v>
      </c>
      <c r="DS72">
        <v>-0.83793729520259197</v>
      </c>
      <c r="DT72">
        <v>-0.34</v>
      </c>
      <c r="DU72">
        <v>-0.27333333333333337</v>
      </c>
      <c r="DV72">
        <v>-0.6133333333333334</v>
      </c>
      <c r="DW72">
        <v>-2.1133999999999999</v>
      </c>
      <c r="DX72">
        <v>0.46314586466165475</v>
      </c>
      <c r="DY72">
        <v>-2.0355107410526316</v>
      </c>
      <c r="DZ72">
        <v>3061</v>
      </c>
      <c r="EA72">
        <v>-2.0142390427430219</v>
      </c>
      <c r="EB72" s="11">
        <v>2</v>
      </c>
      <c r="EC72" s="11">
        <v>7.120592560009667E-2</v>
      </c>
      <c r="ED72">
        <v>0.22738900185392133</v>
      </c>
      <c r="EE72">
        <v>-1.1315</v>
      </c>
      <c r="EF72">
        <v>-1.1123000000000001</v>
      </c>
      <c r="EG72">
        <v>15.313145864661655</v>
      </c>
      <c r="EH72" s="13" t="s">
        <v>1730</v>
      </c>
      <c r="EI72">
        <v>0</v>
      </c>
      <c r="EJ72">
        <v>0</v>
      </c>
      <c r="EK72">
        <v>45470</v>
      </c>
      <c r="EL72">
        <v>-0.76</v>
      </c>
      <c r="EM72">
        <v>-4.62</v>
      </c>
      <c r="EN72" s="14">
        <v>-0.4</v>
      </c>
      <c r="EO72" s="14">
        <v>5.26</v>
      </c>
      <c r="EP72" s="14">
        <v>-1.92</v>
      </c>
    </row>
    <row r="73" spans="1:146" ht="204">
      <c r="A73" s="7"/>
      <c r="B73" s="7"/>
      <c r="C73" s="7" t="str">
        <f>"公司从事传热节能产品的研发、生产及销售；环保水处理产品及服务；靶材等新材料的研发、生产、销售；国防军工新材料的研发、生产及销售。主营产品包括靶材及超高温特种功能材料、军民融合新型高分子及复合材料、工业传热节能装备、环保水务。公司在电子溅射靶材领域的竞争优势十分显著，并且在高分子复合材料领域同样具有核心竞争优势。"&amp;CHAR(10)&amp;Basic_Fundamental_Information_Constructure(F73)&amp;CHAR(10)&amp;Basic_Fundamental_Information_Concatenate("节能环保产品及服务 8.24亿 69.43% 64.94% 22.25%
电子新材料 2.04亿 17.21% 13.10% 18.11%
高分子复合材料 1.58亿 13.36% 21.96% 39.10%")</f>
        <v>公司从事传热节能产品的研发、生产及销售；环保水处理产品及服务；靶材等新材料的研发、生产、销售；国防军工新材料的研发、生产及销售。主营产品包括靶材及超高温特种功能材料、军民融合新型高分子及复合材料、工业传热节能装备、环保水务。公司在电子溅射靶材领域的竞争优势十分显著，并且在高分子复合材料领域同样具有核心竞争优势。
市值48.834013亿, 利润1.27亿; PE47.77; 平均PE28.89; 平均PEG3.13, PB1.59; ROIC5.2467%; ROE5.9867%; 股利率.5556%; 毛利25.5033%; 净利7.73%; 上一年度营收增7.21%, 利润增97.5%; 当季营收增7.54%, 利润增-30.87%; 过往5年营收增9.23%, 利润增21.24%
Income profile:
节能环保产品及服务 8.24亿 69.43% 64.94% 22.25%
电子新材料 2.04亿 17.21% 13.10% 18.11%
高分子复合材料 1.58亿 13.36% 21.96% 39.10%</v>
      </c>
      <c r="D73" t="s">
        <v>1114</v>
      </c>
      <c r="E73" t="s">
        <v>1115</v>
      </c>
      <c r="F73">
        <v>5.4</v>
      </c>
      <c r="G73">
        <v>1.89</v>
      </c>
      <c r="H73" t="s">
        <v>4369</v>
      </c>
      <c r="I73">
        <v>4883401300</v>
      </c>
      <c r="J73">
        <v>47.77</v>
      </c>
      <c r="K73">
        <v>1.59</v>
      </c>
      <c r="L73" t="s">
        <v>85</v>
      </c>
      <c r="M73" t="s">
        <v>2679</v>
      </c>
      <c r="N73" t="s">
        <v>4370</v>
      </c>
      <c r="O73" t="s">
        <v>1101</v>
      </c>
      <c r="P73">
        <v>7.5</v>
      </c>
      <c r="Q73" t="s">
        <v>1766</v>
      </c>
      <c r="R73">
        <v>54943052</v>
      </c>
      <c r="S73" s="5">
        <v>-0.30869999999999997</v>
      </c>
      <c r="T73" t="s">
        <v>323</v>
      </c>
      <c r="U73">
        <v>772386840</v>
      </c>
      <c r="V73">
        <v>904333570</v>
      </c>
      <c r="W73">
        <v>1.87</v>
      </c>
      <c r="X73">
        <v>0.1</v>
      </c>
      <c r="Y73">
        <v>9.19</v>
      </c>
      <c r="Z73" t="s">
        <v>4371</v>
      </c>
      <c r="AA73" t="s">
        <v>4372</v>
      </c>
      <c r="AB73" t="s">
        <v>4373</v>
      </c>
      <c r="AC73" t="s">
        <v>4374</v>
      </c>
      <c r="AD73" t="s">
        <v>90</v>
      </c>
      <c r="AE73">
        <v>10836621</v>
      </c>
      <c r="AF73" t="s">
        <v>2680</v>
      </c>
      <c r="AG73" t="s">
        <v>4375</v>
      </c>
      <c r="AH73" t="s">
        <v>2681</v>
      </c>
      <c r="AI73" t="s">
        <v>1472</v>
      </c>
      <c r="AJ73" t="s">
        <v>2682</v>
      </c>
      <c r="AK73" t="s">
        <v>296</v>
      </c>
      <c r="AL73" t="s">
        <v>2683</v>
      </c>
      <c r="AM73" t="s">
        <v>90</v>
      </c>
      <c r="AN73" t="s">
        <v>158</v>
      </c>
      <c r="AO73" t="s">
        <v>131</v>
      </c>
      <c r="AP73" t="s">
        <v>2880</v>
      </c>
      <c r="AQ73" t="s">
        <v>122</v>
      </c>
      <c r="AR73" t="s">
        <v>90</v>
      </c>
      <c r="AS73" t="s">
        <v>4376</v>
      </c>
      <c r="AT73" t="s">
        <v>144</v>
      </c>
      <c r="AU73" t="s">
        <v>4377</v>
      </c>
      <c r="AV73" t="s">
        <v>4378</v>
      </c>
      <c r="AW73" t="s">
        <v>4379</v>
      </c>
      <c r="AX73" t="s">
        <v>1605</v>
      </c>
      <c r="AY73" t="s">
        <v>1284</v>
      </c>
      <c r="AZ73" t="s">
        <v>1116</v>
      </c>
      <c r="BA73" t="s">
        <v>1117</v>
      </c>
      <c r="BB73" t="s">
        <v>1118</v>
      </c>
      <c r="BC73" t="s">
        <v>1854</v>
      </c>
      <c r="BD73" t="s">
        <v>701</v>
      </c>
      <c r="BE73" t="s">
        <v>451</v>
      </c>
      <c r="BF73" t="s">
        <v>308</v>
      </c>
      <c r="BG73" t="s">
        <v>195</v>
      </c>
      <c r="BH73" t="s">
        <v>1766</v>
      </c>
      <c r="BI73" t="s">
        <v>508</v>
      </c>
      <c r="BJ73" t="s">
        <v>1605</v>
      </c>
      <c r="BK73" t="s">
        <v>323</v>
      </c>
      <c r="BL73" t="s">
        <v>2684</v>
      </c>
      <c r="BM73" t="s">
        <v>1854</v>
      </c>
      <c r="BN73">
        <v>4.87</v>
      </c>
      <c r="BO73">
        <v>2.63</v>
      </c>
      <c r="BP73">
        <v>8.24</v>
      </c>
      <c r="BQ73">
        <v>5.6</v>
      </c>
      <c r="BR73">
        <v>2.04</v>
      </c>
      <c r="BS73">
        <v>10.32</v>
      </c>
      <c r="BT73" t="s">
        <v>1719</v>
      </c>
      <c r="BU73" t="s">
        <v>1381</v>
      </c>
      <c r="BV73">
        <v>24.37</v>
      </c>
      <c r="BW73">
        <v>24.01</v>
      </c>
      <c r="BX73">
        <v>28.13</v>
      </c>
      <c r="BY73">
        <v>5.77</v>
      </c>
      <c r="BZ73">
        <v>3.51</v>
      </c>
      <c r="CA73">
        <v>13.91</v>
      </c>
      <c r="CB73">
        <v>-3.57</v>
      </c>
      <c r="CC73">
        <v>-19.399999999999999</v>
      </c>
      <c r="CD73" t="s">
        <v>4380</v>
      </c>
      <c r="CE73" t="s">
        <v>596</v>
      </c>
      <c r="CF73" s="8">
        <v>7.5376884422110546E-2</v>
      </c>
      <c r="CG73" s="9">
        <v>-0.30873243618648843</v>
      </c>
      <c r="CH73" s="8">
        <v>7.2142601013183594E-2</v>
      </c>
      <c r="CI73" s="8">
        <v>4.1647806763648987E-2</v>
      </c>
      <c r="CJ73" s="8">
        <v>0.21107453107833862</v>
      </c>
      <c r="CK73" s="8">
        <v>-2.6680896058678627E-2</v>
      </c>
      <c r="CL73" s="8">
        <v>0.16325259208679199</v>
      </c>
      <c r="CM73" s="9">
        <v>0.97503679990768433</v>
      </c>
      <c r="CN73" s="9">
        <v>-0.77902889251708984</v>
      </c>
      <c r="CO73" s="9">
        <v>0.31081080436706543</v>
      </c>
      <c r="CP73" s="9">
        <v>0.27586206793785095</v>
      </c>
      <c r="CQ73" s="9">
        <v>0.27941176295280457</v>
      </c>
      <c r="CR73">
        <v>28.887245088398668</v>
      </c>
      <c r="CS73">
        <v>3.1301421370352815</v>
      </c>
      <c r="CT73">
        <v>0.55555555555555547</v>
      </c>
      <c r="CU73" s="8">
        <v>9.2287326976656911E-2</v>
      </c>
      <c r="CV73" s="9">
        <v>0.2124185085296631</v>
      </c>
      <c r="CW73">
        <v>0.06</v>
      </c>
      <c r="CX73">
        <v>34.992417916003241</v>
      </c>
      <c r="CY73">
        <v>130868387.28871267</v>
      </c>
      <c r="CZ73">
        <v>9.2287326976656911E-2</v>
      </c>
      <c r="DA73">
        <v>11.413074432914629</v>
      </c>
      <c r="DB73">
        <v>401241692.31677651</v>
      </c>
      <c r="DC73">
        <v>8.7672960627824065E-2</v>
      </c>
      <c r="DD73">
        <v>5.6038491683512319</v>
      </c>
      <c r="DE73">
        <v>817188536.38370752</v>
      </c>
      <c r="DF73">
        <v>8.1212847739458083E-2</v>
      </c>
      <c r="DG73">
        <v>3.3553755847780118</v>
      </c>
      <c r="DH73">
        <v>1364795440.717546</v>
      </c>
      <c r="DI73">
        <v>7.3829861581325526E-2</v>
      </c>
      <c r="DJ73">
        <v>1.7222192721242819</v>
      </c>
      <c r="DK73">
        <v>2659011761.2326503</v>
      </c>
      <c r="DL73">
        <v>6.4601128883659834E-2</v>
      </c>
      <c r="DM73">
        <v>127000000</v>
      </c>
      <c r="DN73">
        <v>9.2287326976656911E-2</v>
      </c>
      <c r="DO73">
        <v>4579401300</v>
      </c>
      <c r="DP73">
        <v>1564712900</v>
      </c>
      <c r="DQ73">
        <v>1748</v>
      </c>
      <c r="DR73">
        <v>-1.6910442554546365E-2</v>
      </c>
      <c r="DS73">
        <v>-0.52115094471615153</v>
      </c>
      <c r="DT73" s="10">
        <v>-0.20666666666666669</v>
      </c>
      <c r="DU73">
        <v>0.1633333333333333</v>
      </c>
      <c r="DV73">
        <v>-4.333333333333339E-2</v>
      </c>
      <c r="DW73">
        <v>-8.1840206185567013</v>
      </c>
      <c r="DX73">
        <v>0.29731191709844662</v>
      </c>
      <c r="DY73">
        <v>-8.0160671929918266</v>
      </c>
      <c r="DZ73">
        <v>1820</v>
      </c>
      <c r="EA73">
        <v>-8.010344631104326</v>
      </c>
      <c r="EB73">
        <v>8</v>
      </c>
      <c r="EC73">
        <v>3.72676644083886E-2</v>
      </c>
      <c r="ED73">
        <v>0.42683365165798282</v>
      </c>
      <c r="EE73" s="11">
        <v>1.1000000000000003E-2</v>
      </c>
      <c r="EF73">
        <v>2.2210000000000001E-2</v>
      </c>
      <c r="EG73">
        <v>21.087311917098447</v>
      </c>
      <c r="EH73">
        <v>-1</v>
      </c>
      <c r="EI73">
        <v>0</v>
      </c>
      <c r="EJ73">
        <v>0</v>
      </c>
      <c r="EK73" s="13">
        <v>45470</v>
      </c>
      <c r="EL73" s="14">
        <v>0</v>
      </c>
      <c r="EM73" s="14">
        <v>-4.62</v>
      </c>
      <c r="EN73" s="14">
        <v>-0.36</v>
      </c>
      <c r="EO73" s="14">
        <v>3.06</v>
      </c>
      <c r="EP73" s="14">
        <v>-3.32</v>
      </c>
    </row>
    <row r="74" spans="1:146" ht="108">
      <c r="C74" s="7" t="str">
        <f>""&amp;CHAR(10)&amp;Basic_Fundamental_Information_Constructure(F74)&amp;CHAR(10)&amp;Basic_Fundamental_Information_Concatenate("")</f>
        <v xml:space="preserve">
市值24.340769亿, 利润9341.10万; PE26.78; 平均PE-1213.06; 平均PEG-6360.72, PB1.59; ROIC5.1833%; ROE5.3767%; 股利率3.3149%; 毛利62.0833%; 净利21.51%; 上一年度营收增-4.31%, 利润增16.75%; 当季营收增2.11%, 利润增-16.15%; 过往5年营收增.19%, 利润增24.65%
Income profile:
</v>
      </c>
      <c r="D74" t="s">
        <v>4381</v>
      </c>
      <c r="E74" t="s">
        <v>4382</v>
      </c>
      <c r="F74">
        <v>9.0500000000000007</v>
      </c>
      <c r="G74">
        <v>3.19</v>
      </c>
      <c r="H74" t="s">
        <v>2870</v>
      </c>
      <c r="I74">
        <v>2434076900</v>
      </c>
      <c r="J74">
        <v>26.78</v>
      </c>
      <c r="K74">
        <v>1.59</v>
      </c>
      <c r="L74" t="s">
        <v>85</v>
      </c>
      <c r="M74" t="s">
        <v>136</v>
      </c>
      <c r="N74" t="s">
        <v>2592</v>
      </c>
      <c r="O74" t="s">
        <v>4383</v>
      </c>
      <c r="P74" s="5">
        <v>2.11</v>
      </c>
      <c r="Q74" t="s">
        <v>324</v>
      </c>
      <c r="R74">
        <v>13134832</v>
      </c>
      <c r="S74">
        <v>-0.1615</v>
      </c>
      <c r="T74" t="s">
        <v>4384</v>
      </c>
      <c r="U74">
        <v>157560430</v>
      </c>
      <c r="V74">
        <v>268958780</v>
      </c>
      <c r="W74">
        <v>1.0900000000000001</v>
      </c>
      <c r="X74">
        <v>0.05</v>
      </c>
      <c r="Y74">
        <v>15.48</v>
      </c>
      <c r="Z74" t="s">
        <v>4385</v>
      </c>
      <c r="AA74" t="s">
        <v>4386</v>
      </c>
      <c r="AB74" t="s">
        <v>4387</v>
      </c>
      <c r="AC74" t="s">
        <v>4388</v>
      </c>
      <c r="AD74" t="s">
        <v>90</v>
      </c>
      <c r="AE74">
        <v>-1482857</v>
      </c>
      <c r="AF74" t="s">
        <v>4389</v>
      </c>
      <c r="AG74" t="s">
        <v>4390</v>
      </c>
      <c r="AH74" t="s">
        <v>4391</v>
      </c>
      <c r="AI74" t="s">
        <v>620</v>
      </c>
      <c r="AJ74" t="s">
        <v>4392</v>
      </c>
      <c r="AK74" t="s">
        <v>4393</v>
      </c>
      <c r="AL74" t="s">
        <v>4394</v>
      </c>
      <c r="AM74" t="s">
        <v>90</v>
      </c>
      <c r="AN74">
        <v>0</v>
      </c>
      <c r="AO74" t="s">
        <v>90</v>
      </c>
      <c r="AP74" t="s">
        <v>90</v>
      </c>
      <c r="AQ74" t="s">
        <v>4395</v>
      </c>
      <c r="AR74" t="s">
        <v>4396</v>
      </c>
      <c r="AS74" t="s">
        <v>195</v>
      </c>
      <c r="AT74" t="s">
        <v>90</v>
      </c>
      <c r="AU74" t="s">
        <v>4397</v>
      </c>
      <c r="AV74" t="s">
        <v>4398</v>
      </c>
      <c r="AW74" t="s">
        <v>4399</v>
      </c>
      <c r="AX74" t="s">
        <v>1828</v>
      </c>
      <c r="AY74" t="s">
        <v>2880</v>
      </c>
      <c r="AZ74" t="s">
        <v>565</v>
      </c>
      <c r="BA74" t="s">
        <v>1398</v>
      </c>
      <c r="BB74" t="s">
        <v>324</v>
      </c>
      <c r="BC74" t="s">
        <v>4400</v>
      </c>
      <c r="BD74" t="s">
        <v>521</v>
      </c>
      <c r="BE74" t="s">
        <v>4401</v>
      </c>
      <c r="BF74" t="s">
        <v>253</v>
      </c>
      <c r="BG74" t="s">
        <v>4402</v>
      </c>
      <c r="BH74" t="s">
        <v>324</v>
      </c>
      <c r="BI74" t="s">
        <v>4403</v>
      </c>
      <c r="BJ74" t="s">
        <v>1828</v>
      </c>
      <c r="BK74" t="s">
        <v>4384</v>
      </c>
      <c r="BL74" t="s">
        <v>4404</v>
      </c>
      <c r="BM74" t="s">
        <v>4400</v>
      </c>
      <c r="BN74">
        <v>3.46</v>
      </c>
      <c r="BO74">
        <v>5.12</v>
      </c>
      <c r="BP74">
        <v>6.97</v>
      </c>
      <c r="BQ74">
        <v>3.53</v>
      </c>
      <c r="BR74">
        <v>5.36</v>
      </c>
      <c r="BS74">
        <v>7.24</v>
      </c>
      <c r="BT74" t="s">
        <v>1720</v>
      </c>
      <c r="BU74" t="s">
        <v>3551</v>
      </c>
      <c r="BV74">
        <v>65.88</v>
      </c>
      <c r="BW74">
        <v>61.17</v>
      </c>
      <c r="BX74">
        <v>59.2</v>
      </c>
      <c r="BY74">
        <v>22.83</v>
      </c>
      <c r="BZ74">
        <v>18.350000000000001</v>
      </c>
      <c r="CA74">
        <v>23.35</v>
      </c>
      <c r="CB74">
        <v>-3.42</v>
      </c>
      <c r="CC74" s="8">
        <v>-3.1</v>
      </c>
      <c r="CD74" s="9" t="s">
        <v>4405</v>
      </c>
      <c r="CE74" s="8" t="s">
        <v>345</v>
      </c>
      <c r="CF74" s="8">
        <v>2.1141971629514842E-2</v>
      </c>
      <c r="CG74" s="8">
        <v>-0.16150120972632734</v>
      </c>
      <c r="CH74" s="8">
        <v>-4.3083898723125458E-2</v>
      </c>
      <c r="CI74" s="8">
        <v>-2.6490066200494766E-2</v>
      </c>
      <c r="CJ74" s="9">
        <v>0.12686567008495331</v>
      </c>
      <c r="CK74" s="9">
        <v>-3.8277510553598404E-2</v>
      </c>
      <c r="CL74" s="9">
        <v>-9.4786733388900757E-3</v>
      </c>
      <c r="CM74" s="9">
        <v>0.16748128831386566</v>
      </c>
      <c r="CN74" s="9">
        <v>-0.23799329996109009</v>
      </c>
      <c r="CO74">
        <v>0.46773302555084229</v>
      </c>
      <c r="CP74">
        <v>-0.41838297247886658</v>
      </c>
      <c r="CQ74">
        <v>1.253608226776123</v>
      </c>
      <c r="CR74" s="8">
        <v>-1213.0555841653299</v>
      </c>
      <c r="CS74" s="9">
        <v>-6360.7198283367306</v>
      </c>
      <c r="CT74">
        <v>3.3149171270718227</v>
      </c>
      <c r="CU74">
        <v>1.907104253768921E-3</v>
      </c>
      <c r="CV74">
        <v>0.24648925364017488</v>
      </c>
      <c r="CW74">
        <v>0.06</v>
      </c>
      <c r="CX74">
        <v>11.91592806808821</v>
      </c>
      <c r="CY74">
        <v>88291645.769291312</v>
      </c>
      <c r="CZ74">
        <v>1.907104253768921E-3</v>
      </c>
      <c r="DA74">
        <v>4.1986180535793673</v>
      </c>
      <c r="DB74">
        <v>250576948.55170098</v>
      </c>
      <c r="DC74">
        <v>1.8117490410804748E-3</v>
      </c>
      <c r="DD74">
        <v>2.2776841092538702</v>
      </c>
      <c r="DE74">
        <v>461906414.38186181</v>
      </c>
      <c r="DF74">
        <v>1.6782517433166504E-3</v>
      </c>
      <c r="DG74">
        <v>1.5185790109386339</v>
      </c>
      <c r="DH74">
        <v>692803530.42000175</v>
      </c>
      <c r="DI74">
        <v>1.5256834030151368E-3</v>
      </c>
      <c r="DJ74">
        <v>0.97071402626309378</v>
      </c>
      <c r="DK74">
        <v>1083817552.3744357</v>
      </c>
      <c r="DL74">
        <v>1.3349729776382447E-3</v>
      </c>
      <c r="DM74">
        <v>93411000</v>
      </c>
      <c r="DN74">
        <v>1.907104253768921E-3</v>
      </c>
      <c r="DO74">
        <v>1052076900</v>
      </c>
      <c r="DP74">
        <v>1043183030</v>
      </c>
      <c r="DQ74" s="10">
        <v>1789</v>
      </c>
      <c r="DR74">
        <v>1.923486737574592E-2</v>
      </c>
      <c r="DS74">
        <v>-0.40799046336650224</v>
      </c>
      <c r="DT74">
        <v>-0.44</v>
      </c>
      <c r="DU74">
        <v>1.3333333333333308E-2</v>
      </c>
      <c r="DV74">
        <v>-0.42666666666666669</v>
      </c>
      <c r="DW74">
        <v>-4.9064327485380117</v>
      </c>
      <c r="DX74">
        <v>0.27681524663677265</v>
      </c>
      <c r="DY74">
        <v>-4.0877565101093545</v>
      </c>
      <c r="DZ74">
        <v>2734</v>
      </c>
      <c r="EA74">
        <v>-4.0408042011780481</v>
      </c>
      <c r="EB74" s="11">
        <v>4</v>
      </c>
      <c r="EC74" s="11">
        <v>8.0271779935944088E-2</v>
      </c>
      <c r="ED74">
        <v>0.82912333257906656</v>
      </c>
      <c r="EE74">
        <v>-3.0066099999999998</v>
      </c>
      <c r="EF74">
        <v>-3.0291100000000002</v>
      </c>
      <c r="EG74">
        <v>18.096815246636773</v>
      </c>
      <c r="EH74" s="13" t="s">
        <v>2117</v>
      </c>
      <c r="EI74">
        <v>0</v>
      </c>
      <c r="EJ74">
        <v>0</v>
      </c>
      <c r="EK74">
        <v>45470</v>
      </c>
      <c r="EL74">
        <v>-0.85</v>
      </c>
      <c r="EM74">
        <v>-2.8</v>
      </c>
      <c r="EN74" s="14">
        <v>-0.11</v>
      </c>
      <c r="EO74" s="14">
        <v>3.33</v>
      </c>
      <c r="EP74" s="14">
        <v>-2.25</v>
      </c>
    </row>
    <row r="75" spans="1:146" ht="108">
      <c r="C75" s="7" t="str">
        <f>""&amp;CHAR(10)&amp;Basic_Fundamental_Information_Constructure(F75)&amp;CHAR(10)&amp;Basic_Fundamental_Information_Concatenate("")</f>
        <v xml:space="preserve">
市值48.055624亿, 利润4.09亿; PE11.27; 平均PE14.6; 平均PEG1.5, PB1.1; ROIC6.6733%; ROE7.3267%; 股利率4.3783%; 毛利40.28%; 净利11.5933%; 上一年度营收增15.92%, 利润增51.48%; 当季营收增12.52%, 利润增22.03%; 过往5年营收增9.73%, 利润增20.78%
Income profile:
</v>
      </c>
      <c r="D75" t="s">
        <v>4406</v>
      </c>
      <c r="E75" t="s">
        <v>4407</v>
      </c>
      <c r="F75">
        <v>11.42</v>
      </c>
      <c r="G75">
        <v>0.79</v>
      </c>
      <c r="H75" t="s">
        <v>4408</v>
      </c>
      <c r="I75">
        <v>4805562400</v>
      </c>
      <c r="J75">
        <v>11.27</v>
      </c>
      <c r="K75">
        <v>1.1000000000000001</v>
      </c>
      <c r="L75" t="s">
        <v>85</v>
      </c>
      <c r="M75" t="s">
        <v>4409</v>
      </c>
      <c r="N75" t="s">
        <v>4410</v>
      </c>
      <c r="O75" t="s">
        <v>4411</v>
      </c>
      <c r="P75" s="5">
        <v>12.48</v>
      </c>
      <c r="Q75" t="s">
        <v>4412</v>
      </c>
      <c r="R75">
        <v>98957186</v>
      </c>
      <c r="S75">
        <v>0.2203</v>
      </c>
      <c r="T75" t="s">
        <v>1163</v>
      </c>
      <c r="U75">
        <v>372809400</v>
      </c>
      <c r="V75">
        <v>420802310</v>
      </c>
      <c r="W75">
        <v>1.58</v>
      </c>
      <c r="X75">
        <v>0.1</v>
      </c>
      <c r="Y75">
        <v>14.28</v>
      </c>
      <c r="Z75" t="s">
        <v>1472</v>
      </c>
      <c r="AA75" t="s">
        <v>149</v>
      </c>
      <c r="AB75" t="s">
        <v>307</v>
      </c>
      <c r="AC75" t="s">
        <v>4413</v>
      </c>
      <c r="AD75" t="s">
        <v>90</v>
      </c>
      <c r="AE75">
        <v>-618469</v>
      </c>
      <c r="AF75" t="s">
        <v>4414</v>
      </c>
      <c r="AG75" t="s">
        <v>4415</v>
      </c>
      <c r="AH75" t="s">
        <v>4416</v>
      </c>
      <c r="AI75" t="s">
        <v>2408</v>
      </c>
      <c r="AJ75" t="s">
        <v>4417</v>
      </c>
      <c r="AK75" t="s">
        <v>4418</v>
      </c>
      <c r="AL75" t="s">
        <v>4419</v>
      </c>
      <c r="AM75" t="s">
        <v>90</v>
      </c>
      <c r="AN75" t="s">
        <v>848</v>
      </c>
      <c r="AO75" t="s">
        <v>691</v>
      </c>
      <c r="AP75" t="s">
        <v>1375</v>
      </c>
      <c r="AQ75" t="s">
        <v>4420</v>
      </c>
      <c r="AR75" t="s">
        <v>90</v>
      </c>
      <c r="AS75" t="s">
        <v>4421</v>
      </c>
      <c r="AT75" t="s">
        <v>823</v>
      </c>
      <c r="AU75" t="s">
        <v>4422</v>
      </c>
      <c r="AV75" t="s">
        <v>535</v>
      </c>
      <c r="AW75" t="s">
        <v>4423</v>
      </c>
      <c r="AX75" t="s">
        <v>4424</v>
      </c>
      <c r="AY75" t="s">
        <v>1605</v>
      </c>
      <c r="AZ75" t="s">
        <v>4425</v>
      </c>
      <c r="BA75" t="s">
        <v>4426</v>
      </c>
      <c r="BB75" t="s">
        <v>1357</v>
      </c>
      <c r="BC75" t="s">
        <v>295</v>
      </c>
      <c r="BD75" t="s">
        <v>1831</v>
      </c>
      <c r="BE75" t="s">
        <v>239</v>
      </c>
      <c r="BF75" t="s">
        <v>675</v>
      </c>
      <c r="BG75" t="s">
        <v>231</v>
      </c>
      <c r="BH75" t="s">
        <v>4412</v>
      </c>
      <c r="BI75" t="s">
        <v>747</v>
      </c>
      <c r="BJ75" t="s">
        <v>4424</v>
      </c>
      <c r="BK75" t="s">
        <v>1163</v>
      </c>
      <c r="BL75" t="s">
        <v>4427</v>
      </c>
      <c r="BM75" t="s">
        <v>295</v>
      </c>
      <c r="BN75">
        <v>6.48</v>
      </c>
      <c r="BO75">
        <v>6.61</v>
      </c>
      <c r="BP75">
        <v>6.93</v>
      </c>
      <c r="BQ75">
        <v>7.37</v>
      </c>
      <c r="BR75">
        <v>7.17</v>
      </c>
      <c r="BS75">
        <v>7.44</v>
      </c>
      <c r="BT75" t="s">
        <v>1702</v>
      </c>
      <c r="BU75" t="s">
        <v>3551</v>
      </c>
      <c r="BV75">
        <v>42.31</v>
      </c>
      <c r="BW75">
        <v>38.22</v>
      </c>
      <c r="BX75">
        <v>40.31</v>
      </c>
      <c r="BY75">
        <v>13.23</v>
      </c>
      <c r="BZ75">
        <v>10.039999999999999</v>
      </c>
      <c r="CA75">
        <v>11.51</v>
      </c>
      <c r="CB75">
        <v>-4.1900000000000004</v>
      </c>
      <c r="CC75" s="8">
        <v>-12.29</v>
      </c>
      <c r="CD75" s="9" t="s">
        <v>4428</v>
      </c>
      <c r="CE75" s="8" t="s">
        <v>326</v>
      </c>
      <c r="CF75" s="8">
        <v>0.12519561815336464</v>
      </c>
      <c r="CG75" s="8">
        <v>0.22033772351707978</v>
      </c>
      <c r="CH75" s="8">
        <v>0.15918217599391937</v>
      </c>
      <c r="CI75" s="8">
        <v>0.19035208225250244</v>
      </c>
      <c r="CJ75" s="9">
        <v>0.18976211547851563</v>
      </c>
      <c r="CK75" s="9">
        <v>-1.9269777461886406E-2</v>
      </c>
      <c r="CL75" s="9">
        <v>-3.3333335071802139E-2</v>
      </c>
      <c r="CM75" s="9">
        <v>0.51481479406356812</v>
      </c>
      <c r="CN75" s="9">
        <v>1.123595517128706E-2</v>
      </c>
      <c r="CO75">
        <v>1.4054054021835327</v>
      </c>
      <c r="CP75">
        <v>-0.73571425676345825</v>
      </c>
      <c r="CQ75">
        <v>-0.15662650763988495</v>
      </c>
      <c r="CR75" s="8">
        <v>14.599176911392405</v>
      </c>
      <c r="CS75" s="9">
        <v>1.499833475776807</v>
      </c>
      <c r="CT75">
        <v>4.3782837127845884</v>
      </c>
      <c r="CU75">
        <v>9.7338652238249779E-2</v>
      </c>
      <c r="CV75">
        <v>0.20782307740300893</v>
      </c>
      <c r="CW75">
        <v>0.06</v>
      </c>
      <c r="CX75">
        <v>7.7787135040348145</v>
      </c>
      <c r="CY75">
        <v>423407083.74098504</v>
      </c>
      <c r="CZ75">
        <v>9.7338652238249779E-2</v>
      </c>
      <c r="DA75">
        <v>2.5262763957473742</v>
      </c>
      <c r="DB75">
        <v>1303722112.7285368</v>
      </c>
      <c r="DC75">
        <v>9.2471719626337281E-2</v>
      </c>
      <c r="DD75">
        <v>1.2333149095221372</v>
      </c>
      <c r="DE75">
        <v>2670495892.4692888</v>
      </c>
      <c r="DF75">
        <v>8.5658013969659802E-2</v>
      </c>
      <c r="DG75">
        <v>0.73368063935173489</v>
      </c>
      <c r="DH75">
        <v>4489095422.9215097</v>
      </c>
      <c r="DI75">
        <v>7.7870921790599831E-2</v>
      </c>
      <c r="DJ75">
        <v>0.37120919091532362</v>
      </c>
      <c r="DK75">
        <v>8872523850.7127724</v>
      </c>
      <c r="DL75">
        <v>6.8137056566774837E-2</v>
      </c>
      <c r="DM75">
        <v>409000000</v>
      </c>
      <c r="DN75">
        <v>9.7338652238249779E-2</v>
      </c>
      <c r="DO75">
        <v>3293562400</v>
      </c>
      <c r="DP75">
        <v>2344367400</v>
      </c>
      <c r="DQ75" s="10">
        <v>1827</v>
      </c>
      <c r="DR75">
        <v>2.7856965915114856E-2</v>
      </c>
      <c r="DS75">
        <v>1.2514646114070854E-2</v>
      </c>
      <c r="DT75">
        <v>1.0000000000000011E-2</v>
      </c>
      <c r="DU75">
        <v>0.32</v>
      </c>
      <c r="DV75">
        <v>0.33</v>
      </c>
      <c r="DW75">
        <v>-8.3409275834011396</v>
      </c>
      <c r="DX75">
        <v>0.3550639344262308</v>
      </c>
      <c r="DY75">
        <v>-8.0528655724366072</v>
      </c>
      <c r="DZ75">
        <v>987</v>
      </c>
      <c r="EA75">
        <v>-8.0426545509111804</v>
      </c>
      <c r="EB75" s="11">
        <v>8</v>
      </c>
      <c r="EC75" s="11">
        <v>4.4956502258744729E-2</v>
      </c>
      <c r="ED75">
        <v>0.28992236283113559</v>
      </c>
      <c r="EE75">
        <v>-4.0296099999999999</v>
      </c>
      <c r="EF75">
        <v>-4.0455100000000002</v>
      </c>
      <c r="EG75">
        <v>20.155063934426231</v>
      </c>
      <c r="EH75" s="13" t="s">
        <v>2124</v>
      </c>
      <c r="EI75">
        <v>0</v>
      </c>
      <c r="EJ75">
        <v>1</v>
      </c>
      <c r="EK75">
        <v>45470</v>
      </c>
      <c r="EL75">
        <v>0.57999999999999996</v>
      </c>
      <c r="EM75">
        <v>-3.61</v>
      </c>
      <c r="EN75" s="14">
        <v>-0.6</v>
      </c>
      <c r="EO75" s="14">
        <v>2.57</v>
      </c>
      <c r="EP75" s="14">
        <v>-1.59</v>
      </c>
    </row>
    <row r="76" spans="1:146" ht="108">
      <c r="C76" s="7" t="str">
        <f>""&amp;CHAR(10)&amp;Basic_Fundamental_Information_Constructure(F76)&amp;CHAR(10)&amp;Basic_Fundamental_Information_Concatenate("")</f>
        <v xml:space="preserve">
市值44.151808亿, 利润8774.87万; PE42.13; 平均PE68.24; 平均PEG2.86, PB6.41; ROIC17.4767%; ROE17.4833%; 股利率.401%; 毛利66.9333%; 净利29.1667%; 上一年度营收增3%, 利润增-28.07%; 当季营收增44.71%, 利润增165.7%; 过往5年营收增23.83%, 利润增44.29%
Income profile:
</v>
      </c>
      <c r="D76" t="s">
        <v>4429</v>
      </c>
      <c r="E76" t="s">
        <v>4430</v>
      </c>
      <c r="F76">
        <v>31.92</v>
      </c>
      <c r="G76">
        <v>1.82</v>
      </c>
      <c r="H76" t="s">
        <v>4431</v>
      </c>
      <c r="I76">
        <v>4415180800</v>
      </c>
      <c r="J76">
        <v>42.13</v>
      </c>
      <c r="K76">
        <v>6.41</v>
      </c>
      <c r="L76" t="s">
        <v>85</v>
      </c>
      <c r="M76" t="s">
        <v>4432</v>
      </c>
      <c r="N76" t="s">
        <v>1543</v>
      </c>
      <c r="O76" t="s">
        <v>121</v>
      </c>
      <c r="P76" s="5">
        <v>45.16</v>
      </c>
      <c r="Q76" t="s">
        <v>148</v>
      </c>
      <c r="R76">
        <v>27336688</v>
      </c>
      <c r="S76">
        <v>1.657</v>
      </c>
      <c r="T76" t="s">
        <v>4433</v>
      </c>
      <c r="U76">
        <v>81200300</v>
      </c>
      <c r="V76">
        <v>138320200</v>
      </c>
      <c r="W76">
        <v>1.1000000000000001</v>
      </c>
      <c r="X76">
        <v>0.14000000000000001</v>
      </c>
      <c r="Y76">
        <v>26.19</v>
      </c>
      <c r="Z76" t="s">
        <v>4434</v>
      </c>
      <c r="AA76" t="s">
        <v>4435</v>
      </c>
      <c r="AB76" t="s">
        <v>4436</v>
      </c>
      <c r="AC76" t="s">
        <v>4437</v>
      </c>
      <c r="AD76" t="s">
        <v>90</v>
      </c>
      <c r="AE76">
        <v>-59547</v>
      </c>
      <c r="AF76" t="s">
        <v>182</v>
      </c>
      <c r="AG76" t="s">
        <v>4438</v>
      </c>
      <c r="AH76" t="s">
        <v>4439</v>
      </c>
      <c r="AI76" t="s">
        <v>4440</v>
      </c>
      <c r="AJ76" t="s">
        <v>4441</v>
      </c>
      <c r="AK76" t="s">
        <v>4442</v>
      </c>
      <c r="AL76" t="s">
        <v>4443</v>
      </c>
      <c r="AM76" t="s">
        <v>90</v>
      </c>
      <c r="AN76" t="s">
        <v>4444</v>
      </c>
      <c r="AO76" t="s">
        <v>90</v>
      </c>
      <c r="AP76" t="s">
        <v>90</v>
      </c>
      <c r="AQ76" t="s">
        <v>4445</v>
      </c>
      <c r="AR76" t="s">
        <v>90</v>
      </c>
      <c r="AS76" t="s">
        <v>4446</v>
      </c>
      <c r="AT76" t="s">
        <v>90</v>
      </c>
      <c r="AU76" t="s">
        <v>4447</v>
      </c>
      <c r="AV76" t="s">
        <v>4448</v>
      </c>
      <c r="AW76" t="s">
        <v>4449</v>
      </c>
      <c r="AX76" t="s">
        <v>120</v>
      </c>
      <c r="AY76" t="s">
        <v>292</v>
      </c>
      <c r="AZ76" t="s">
        <v>659</v>
      </c>
      <c r="BA76" t="s">
        <v>671</v>
      </c>
      <c r="BB76" t="s">
        <v>89</v>
      </c>
      <c r="BC76" t="s">
        <v>326</v>
      </c>
      <c r="BD76" t="s">
        <v>4450</v>
      </c>
      <c r="BE76" t="s">
        <v>4451</v>
      </c>
      <c r="BF76" t="s">
        <v>4452</v>
      </c>
      <c r="BG76" t="s">
        <v>4453</v>
      </c>
      <c r="BH76" t="s">
        <v>148</v>
      </c>
      <c r="BI76" t="s">
        <v>4454</v>
      </c>
      <c r="BJ76" t="s">
        <v>120</v>
      </c>
      <c r="BK76" t="s">
        <v>4433</v>
      </c>
      <c r="BL76" t="s">
        <v>4455</v>
      </c>
      <c r="BM76" t="s">
        <v>326</v>
      </c>
      <c r="BN76">
        <v>12.98</v>
      </c>
      <c r="BO76">
        <v>22.18</v>
      </c>
      <c r="BP76">
        <v>17.27</v>
      </c>
      <c r="BQ76">
        <v>12.85</v>
      </c>
      <c r="BR76">
        <v>22.17</v>
      </c>
      <c r="BS76">
        <v>17.43</v>
      </c>
      <c r="BT76" t="s">
        <v>2250</v>
      </c>
      <c r="BU76" t="s">
        <v>3551</v>
      </c>
      <c r="BV76">
        <v>65.47</v>
      </c>
      <c r="BW76">
        <v>67.540000000000006</v>
      </c>
      <c r="BX76">
        <v>67.790000000000006</v>
      </c>
      <c r="BY76">
        <v>23.2</v>
      </c>
      <c r="BZ76">
        <v>33.17</v>
      </c>
      <c r="CA76">
        <v>31.13</v>
      </c>
      <c r="CB76">
        <v>3.16</v>
      </c>
      <c r="CC76" s="8">
        <v>-15.56</v>
      </c>
      <c r="CD76" s="9" t="s">
        <v>4456</v>
      </c>
      <c r="CE76" s="8" t="s">
        <v>4457</v>
      </c>
      <c r="CF76" s="8">
        <v>0.44707933473310429</v>
      </c>
      <c r="CG76" s="8">
        <v>1.6569622984439243</v>
      </c>
      <c r="CH76" s="8">
        <v>2.9972752556204796E-2</v>
      </c>
      <c r="CI76" s="8">
        <v>0.42801555991172791</v>
      </c>
      <c r="CJ76" s="9">
        <v>0.25365853309631348</v>
      </c>
      <c r="CK76" s="9">
        <v>0.15168538689613342</v>
      </c>
      <c r="CL76" s="9">
        <v>0.32835820317268372</v>
      </c>
      <c r="CM76" s="9">
        <v>-0.28074833750724792</v>
      </c>
      <c r="CN76" s="9">
        <v>0.52454447746276855</v>
      </c>
      <c r="CO76">
        <v>0.58914428949356079</v>
      </c>
      <c r="CP76">
        <v>0.65498632192611694</v>
      </c>
      <c r="CQ76">
        <v>0.7263953685760498</v>
      </c>
      <c r="CR76" s="8">
        <v>68.244138624987158</v>
      </c>
      <c r="CS76" s="9">
        <v>2.8633333198119413</v>
      </c>
      <c r="CT76">
        <v>0.40100250626566414</v>
      </c>
      <c r="CU76">
        <v>0.23833808712661267</v>
      </c>
      <c r="CV76">
        <v>0.44286442399024961</v>
      </c>
      <c r="CW76">
        <v>0.06</v>
      </c>
      <c r="CX76">
        <v>36.993327395063062</v>
      </c>
      <c r="CY76">
        <v>102511846.51495001</v>
      </c>
      <c r="CZ76">
        <v>0.23833808712661267</v>
      </c>
      <c r="DA76">
        <v>10.68549648383088</v>
      </c>
      <c r="DB76">
        <v>354897341.99420476</v>
      </c>
      <c r="DC76">
        <v>0.22642118277028203</v>
      </c>
      <c r="DD76">
        <v>4.422400139761308</v>
      </c>
      <c r="DE76">
        <v>857510442.32842326</v>
      </c>
      <c r="DF76">
        <v>0.20973751667141916</v>
      </c>
      <c r="DG76">
        <v>2.1579725339359146</v>
      </c>
      <c r="DH76">
        <v>1757322783.475528</v>
      </c>
      <c r="DI76">
        <v>0.19067046970129015</v>
      </c>
      <c r="DJ76">
        <v>0.67934896447826498</v>
      </c>
      <c r="DK76">
        <v>5582188975.4589138</v>
      </c>
      <c r="DL76">
        <v>0.16683666098862887</v>
      </c>
      <c r="DM76">
        <v>87748700.000000015</v>
      </c>
      <c r="DN76">
        <v>0.23833808712661267</v>
      </c>
      <c r="DO76">
        <v>3792254300</v>
      </c>
      <c r="DP76">
        <v>519798130</v>
      </c>
      <c r="DQ76" s="10">
        <v>1832</v>
      </c>
      <c r="DR76">
        <v>0.20874124760649163</v>
      </c>
      <c r="DS76">
        <v>1.2140978744536746</v>
      </c>
      <c r="DT76">
        <v>5.9999999999999908E-2</v>
      </c>
      <c r="DU76">
        <v>0.77</v>
      </c>
      <c r="DV76">
        <v>0.83</v>
      </c>
      <c r="DW76">
        <v>6.1688034188034191</v>
      </c>
      <c r="DX76">
        <v>0.41983676891137223</v>
      </c>
      <c r="DY76">
        <v>6.0269809930427316</v>
      </c>
      <c r="DZ76">
        <v>319</v>
      </c>
      <c r="EA76">
        <v>6.0252966609917271</v>
      </c>
      <c r="EB76" s="11">
        <v>6</v>
      </c>
      <c r="EC76" s="11">
        <v>7.6087946662887998E-2</v>
      </c>
      <c r="ED76">
        <v>0.47603531516004172</v>
      </c>
      <c r="EE76">
        <v>3.0611100000000002</v>
      </c>
      <c r="EF76">
        <v>3.0819100000000001</v>
      </c>
      <c r="EG76">
        <v>26.159836768911372</v>
      </c>
      <c r="EH76" s="13" t="s">
        <v>1736</v>
      </c>
      <c r="EI76">
        <v>0</v>
      </c>
      <c r="EJ76">
        <v>1</v>
      </c>
      <c r="EK76">
        <v>45470</v>
      </c>
      <c r="EL76">
        <v>-0.24</v>
      </c>
      <c r="EM76">
        <v>-6.04</v>
      </c>
      <c r="EN76" s="14">
        <v>-1.91</v>
      </c>
      <c r="EO76" s="14">
        <v>2.82</v>
      </c>
      <c r="EP76" s="14">
        <v>-2.08</v>
      </c>
    </row>
    <row r="77" spans="1:146" ht="96">
      <c r="C77" s="7" t="str">
        <f>""&amp;CHAR(10)&amp;Basic_Fundamental_Information_Constructure(F77)&amp;CHAR(10)&amp;Basic_Fundamental_Information_Concatenate("")</f>
        <v xml:space="preserve">
市值26.924471亿, 利润-2.00亿; PE; 平均PE-6.56; 平均PEG-.39, PB4.5; ROIC0%; ROE-65.265%; 股利率0%; 毛利18.12%; 净利-95.8133%; 上一年度营收增2.38%, 利润增51.46%; 当季营收增-21.36%, 利润增73.38%; 过往5年营收增-16.93%, 利润增-371.99%
Income profile:
</v>
      </c>
      <c r="D77" t="s">
        <v>4458</v>
      </c>
      <c r="E77" t="s">
        <v>4459</v>
      </c>
      <c r="F77">
        <v>1.72</v>
      </c>
      <c r="G77">
        <v>5.52</v>
      </c>
      <c r="H77" t="s">
        <v>4460</v>
      </c>
      <c r="I77">
        <v>2692447100</v>
      </c>
      <c r="K77">
        <v>4.5</v>
      </c>
      <c r="L77" t="s">
        <v>85</v>
      </c>
      <c r="M77" t="s">
        <v>4461</v>
      </c>
      <c r="N77" t="s">
        <v>2975</v>
      </c>
      <c r="O77" t="s">
        <v>4462</v>
      </c>
      <c r="P77" s="5">
        <v>-21.36</v>
      </c>
      <c r="Q77" t="s">
        <v>568</v>
      </c>
      <c r="R77">
        <v>-17881641</v>
      </c>
      <c r="S77">
        <v>0.73380000000000001</v>
      </c>
      <c r="T77" t="s">
        <v>4463</v>
      </c>
      <c r="U77">
        <v>1325271570</v>
      </c>
      <c r="V77">
        <v>1565376200</v>
      </c>
      <c r="W77">
        <v>2.1800000000000002</v>
      </c>
      <c r="X77">
        <v>0.03</v>
      </c>
      <c r="Y77">
        <v>-45.21</v>
      </c>
      <c r="Z77" t="s">
        <v>4464</v>
      </c>
      <c r="AA77" t="s">
        <v>4465</v>
      </c>
      <c r="AB77" t="s">
        <v>4466</v>
      </c>
      <c r="AC77" t="s">
        <v>4467</v>
      </c>
      <c r="AD77" t="s">
        <v>90</v>
      </c>
      <c r="AE77">
        <v>6699188</v>
      </c>
      <c r="AF77" t="s">
        <v>4468</v>
      </c>
      <c r="AG77" t="s">
        <v>4469</v>
      </c>
      <c r="AH77" t="s">
        <v>4470</v>
      </c>
      <c r="AI77" t="s">
        <v>4471</v>
      </c>
      <c r="AJ77" t="s">
        <v>4472</v>
      </c>
      <c r="AK77" t="s">
        <v>4473</v>
      </c>
      <c r="AL77" t="s">
        <v>4474</v>
      </c>
      <c r="AM77" t="s">
        <v>90</v>
      </c>
      <c r="AN77" t="s">
        <v>4475</v>
      </c>
      <c r="AO77" t="s">
        <v>4476</v>
      </c>
      <c r="AP77" t="s">
        <v>4477</v>
      </c>
      <c r="AQ77" t="s">
        <v>204</v>
      </c>
      <c r="AR77" t="s">
        <v>4478</v>
      </c>
      <c r="AS77" t="s">
        <v>214</v>
      </c>
      <c r="AT77" t="s">
        <v>2196</v>
      </c>
      <c r="AU77" t="s">
        <v>4479</v>
      </c>
      <c r="AV77" t="s">
        <v>4480</v>
      </c>
      <c r="AW77" t="s">
        <v>4481</v>
      </c>
      <c r="AX77" t="s">
        <v>284</v>
      </c>
      <c r="AY77" t="s">
        <v>110</v>
      </c>
      <c r="AZ77" t="s">
        <v>3926</v>
      </c>
      <c r="BA77" t="s">
        <v>2061</v>
      </c>
      <c r="BB77" t="s">
        <v>4482</v>
      </c>
      <c r="BC77" t="s">
        <v>4483</v>
      </c>
      <c r="BD77" t="s">
        <v>4484</v>
      </c>
      <c r="BE77" t="s">
        <v>4485</v>
      </c>
      <c r="BF77" t="s">
        <v>4486</v>
      </c>
      <c r="BG77" t="s">
        <v>2843</v>
      </c>
      <c r="BH77" t="s">
        <v>568</v>
      </c>
      <c r="BI77" t="s">
        <v>4487</v>
      </c>
      <c r="BJ77" t="s">
        <v>284</v>
      </c>
      <c r="BK77" t="s">
        <v>4463</v>
      </c>
      <c r="BL77" t="s">
        <v>4488</v>
      </c>
      <c r="BM77" t="s">
        <v>4483</v>
      </c>
      <c r="BN77" t="s">
        <v>90</v>
      </c>
      <c r="BO77" t="s">
        <v>90</v>
      </c>
      <c r="BP77" t="s">
        <v>90</v>
      </c>
      <c r="BQ77">
        <v>-15.95</v>
      </c>
      <c r="BR77">
        <v>-114.58</v>
      </c>
      <c r="BS77" t="s">
        <v>90</v>
      </c>
      <c r="BT77" t="s">
        <v>1692</v>
      </c>
      <c r="BU77" t="s">
        <v>3551</v>
      </c>
      <c r="BV77">
        <v>19.5</v>
      </c>
      <c r="BW77">
        <v>18.29</v>
      </c>
      <c r="BX77">
        <v>16.57</v>
      </c>
      <c r="BY77">
        <v>-41.72</v>
      </c>
      <c r="BZ77">
        <v>-87.13</v>
      </c>
      <c r="CA77">
        <v>-158.59</v>
      </c>
      <c r="CB77">
        <v>6.17</v>
      </c>
      <c r="CC77" s="8">
        <v>-5.49</v>
      </c>
      <c r="CD77" s="9" t="s">
        <v>4489</v>
      </c>
      <c r="CE77" s="8" t="s">
        <v>1023</v>
      </c>
      <c r="CF77" s="8">
        <v>-0.21356843871211181</v>
      </c>
      <c r="CG77" s="8">
        <v>0.73380076190306054</v>
      </c>
      <c r="CH77" s="8">
        <v>2.380952425301075E-2</v>
      </c>
      <c r="CI77" s="8">
        <v>-0.1735241562128067</v>
      </c>
      <c r="CJ77" s="9">
        <v>-0.1169036328792572</v>
      </c>
      <c r="CK77" s="9">
        <v>-0.49601909518241882</v>
      </c>
      <c r="CL77" s="9">
        <v>-8.3880424499511719E-2</v>
      </c>
      <c r="CM77" s="9">
        <v>0.51456308364868164</v>
      </c>
      <c r="CN77" s="9">
        <v>0.52424943447113037</v>
      </c>
      <c r="CO77">
        <v>-1.0968523025512695</v>
      </c>
      <c r="CP77">
        <v>-19.504926681518555</v>
      </c>
      <c r="CQ77">
        <v>0.96344554424285889</v>
      </c>
      <c r="CR77" s="8">
        <v>-6.5612324068295829</v>
      </c>
      <c r="CS77" s="9">
        <v>-0.38754250216623426</v>
      </c>
      <c r="CT77">
        <v>0</v>
      </c>
      <c r="CU77">
        <v>-0.16930355690419674</v>
      </c>
      <c r="CV77">
        <v>-3.7199041843414307</v>
      </c>
      <c r="CW77">
        <v>0.06</v>
      </c>
      <c r="CX77" t="e">
        <v>#VALUE!</v>
      </c>
      <c r="CY77" t="s">
        <v>1392</v>
      </c>
      <c r="CZ77">
        <v>-0.16930355690419674</v>
      </c>
      <c r="DA77" t="e">
        <v>#VALUE!</v>
      </c>
      <c r="DB77" t="s">
        <v>1391</v>
      </c>
      <c r="DC77">
        <v>-0.1608383790589869</v>
      </c>
      <c r="DD77" t="e">
        <v>#VALUE!</v>
      </c>
      <c r="DE77" t="s">
        <v>1391</v>
      </c>
      <c r="DF77">
        <v>-0.14898713007569314</v>
      </c>
      <c r="DG77" t="e">
        <v>#VALUE!</v>
      </c>
      <c r="DH77" t="s">
        <v>1391</v>
      </c>
      <c r="DI77">
        <v>-0.13544284552335739</v>
      </c>
      <c r="DJ77" t="e">
        <v>#VALUE!</v>
      </c>
      <c r="DK77" t="s">
        <v>1391</v>
      </c>
      <c r="DL77">
        <v>-0.1185124898329377</v>
      </c>
      <c r="DM77">
        <v>-200000000</v>
      </c>
      <c r="DN77">
        <v>-0.16930355690419674</v>
      </c>
      <c r="DO77">
        <v>2867447100</v>
      </c>
      <c r="DP77">
        <v>125097530</v>
      </c>
      <c r="DQ77" s="10">
        <v>1844</v>
      </c>
      <c r="DR77">
        <v>-4.4264881807915074E-2</v>
      </c>
      <c r="DS77">
        <v>4.4537049462444909</v>
      </c>
      <c r="DT77">
        <v>-0.70666666666666667</v>
      </c>
      <c r="DU77">
        <v>-2.0849999999999995</v>
      </c>
      <c r="DV77">
        <v>-2.7916666666666661</v>
      </c>
      <c r="DW77">
        <v>5.8897893030794162</v>
      </c>
      <c r="DX77">
        <v>0.51258788959660229</v>
      </c>
      <c r="DY77">
        <v>5.171362644065697</v>
      </c>
      <c r="DZ77">
        <v>4832</v>
      </c>
      <c r="EA77">
        <v>5.0093226643933981</v>
      </c>
      <c r="EB77" s="11">
        <v>5</v>
      </c>
      <c r="EC77" s="11">
        <v>5.7947028963389123E-2</v>
      </c>
      <c r="ED77">
        <v>0.30088613842474415</v>
      </c>
      <c r="EE77">
        <v>-2.0685000000000002</v>
      </c>
      <c r="EF77">
        <v>-2.0503</v>
      </c>
      <c r="EG77">
        <v>32.192587889596602</v>
      </c>
      <c r="EH77" s="13" t="s">
        <v>1793</v>
      </c>
      <c r="EI77">
        <v>1</v>
      </c>
      <c r="EJ77">
        <v>0</v>
      </c>
      <c r="EK77">
        <v>45470</v>
      </c>
      <c r="EL77">
        <v>-3.95</v>
      </c>
      <c r="EM77">
        <v>-4.71</v>
      </c>
      <c r="EN77" s="14">
        <v>-0.62</v>
      </c>
      <c r="EO77" s="14">
        <v>2.48</v>
      </c>
      <c r="EP77" s="14">
        <v>-1.82</v>
      </c>
    </row>
    <row r="78" spans="1:146" ht="108">
      <c r="C78" s="7" t="str">
        <f>""&amp;CHAR(10)&amp;Basic_Fundamental_Information_Constructure(F78)&amp;CHAR(10)&amp;Basic_Fundamental_Information_Concatenate("")</f>
        <v xml:space="preserve">
市值15.93641亿, 利润1.04亿; PE15.71; 平均PE13.93; 平均PEG1.08, PB1.47; ROIC12.09%; ROE12.1633%; 股利率2.0202%; 毛利52.2333%; 净利24.1167%; 上一年度营收增-2.17%, 利润增-4.59%; 当季营收增-28.63%, 利润增-41.1%; 过往5年营收增12.9%, 利润增7.62%
Income profile:
</v>
      </c>
      <c r="D78" t="s">
        <v>4490</v>
      </c>
      <c r="E78" t="s">
        <v>4491</v>
      </c>
      <c r="F78">
        <v>7.92</v>
      </c>
      <c r="G78">
        <v>1.54</v>
      </c>
      <c r="H78" t="s">
        <v>4492</v>
      </c>
      <c r="I78">
        <v>1593641000</v>
      </c>
      <c r="J78">
        <v>15.71</v>
      </c>
      <c r="K78">
        <v>1.47</v>
      </c>
      <c r="L78" t="s">
        <v>85</v>
      </c>
      <c r="M78" t="s">
        <v>175</v>
      </c>
      <c r="N78" t="s">
        <v>2067</v>
      </c>
      <c r="O78" t="s">
        <v>4493</v>
      </c>
      <c r="P78" s="5">
        <v>-28.63</v>
      </c>
      <c r="Q78" t="s">
        <v>748</v>
      </c>
      <c r="R78">
        <v>4057338</v>
      </c>
      <c r="S78">
        <v>-0.41099999999999998</v>
      </c>
      <c r="T78" t="s">
        <v>121</v>
      </c>
      <c r="U78">
        <v>135791580</v>
      </c>
      <c r="V78">
        <v>201217300</v>
      </c>
      <c r="W78">
        <v>1.0900000000000001</v>
      </c>
      <c r="X78">
        <v>0.04</v>
      </c>
      <c r="Y78">
        <v>7.48</v>
      </c>
      <c r="Z78" t="s">
        <v>4494</v>
      </c>
      <c r="AA78" t="s">
        <v>4495</v>
      </c>
      <c r="AB78" t="s">
        <v>4496</v>
      </c>
      <c r="AC78" t="s">
        <v>4497</v>
      </c>
      <c r="AD78" t="s">
        <v>90</v>
      </c>
      <c r="AE78">
        <v>284333</v>
      </c>
      <c r="AF78" t="s">
        <v>4498</v>
      </c>
      <c r="AG78" t="s">
        <v>90</v>
      </c>
      <c r="AH78" t="s">
        <v>4499</v>
      </c>
      <c r="AI78" t="s">
        <v>4500</v>
      </c>
      <c r="AJ78" t="s">
        <v>4501</v>
      </c>
      <c r="AK78" t="s">
        <v>90</v>
      </c>
      <c r="AL78" t="s">
        <v>4502</v>
      </c>
      <c r="AM78" t="s">
        <v>90</v>
      </c>
      <c r="AN78" t="s">
        <v>4503</v>
      </c>
      <c r="AO78" t="s">
        <v>4504</v>
      </c>
      <c r="AP78" t="s">
        <v>4505</v>
      </c>
      <c r="AQ78" t="s">
        <v>4506</v>
      </c>
      <c r="AR78" t="s">
        <v>90</v>
      </c>
      <c r="AS78" t="s">
        <v>4507</v>
      </c>
      <c r="AT78" t="s">
        <v>90</v>
      </c>
      <c r="AU78" t="s">
        <v>4508</v>
      </c>
      <c r="AV78" t="s">
        <v>4509</v>
      </c>
      <c r="AW78" t="s">
        <v>4510</v>
      </c>
      <c r="AX78" t="s">
        <v>1406</v>
      </c>
      <c r="AY78" t="s">
        <v>1611</v>
      </c>
      <c r="AZ78" t="s">
        <v>149</v>
      </c>
      <c r="BA78" t="s">
        <v>325</v>
      </c>
      <c r="BB78" t="s">
        <v>825</v>
      </c>
      <c r="BC78" t="s">
        <v>342</v>
      </c>
      <c r="BD78" t="s">
        <v>514</v>
      </c>
      <c r="BE78" t="s">
        <v>323</v>
      </c>
      <c r="BF78" t="s">
        <v>215</v>
      </c>
      <c r="BG78" t="s">
        <v>4511</v>
      </c>
      <c r="BH78" t="s">
        <v>748</v>
      </c>
      <c r="BI78" t="s">
        <v>4512</v>
      </c>
      <c r="BJ78" t="s">
        <v>1406</v>
      </c>
      <c r="BK78" t="s">
        <v>121</v>
      </c>
      <c r="BL78" t="s">
        <v>4513</v>
      </c>
      <c r="BM78" t="s">
        <v>342</v>
      </c>
      <c r="BN78">
        <v>7.44</v>
      </c>
      <c r="BO78">
        <v>11.17</v>
      </c>
      <c r="BP78">
        <v>17.66</v>
      </c>
      <c r="BQ78">
        <v>7.42</v>
      </c>
      <c r="BR78">
        <v>11.28</v>
      </c>
      <c r="BS78">
        <v>17.79</v>
      </c>
      <c r="BT78" t="s">
        <v>1869</v>
      </c>
      <c r="BU78" t="s">
        <v>3551</v>
      </c>
      <c r="BV78">
        <v>51.56</v>
      </c>
      <c r="BW78">
        <v>49.94</v>
      </c>
      <c r="BX78">
        <v>55.2</v>
      </c>
      <c r="BY78">
        <v>21.32</v>
      </c>
      <c r="BZ78">
        <v>21.39</v>
      </c>
      <c r="CA78">
        <v>29.64</v>
      </c>
      <c r="CB78">
        <v>-5.38</v>
      </c>
      <c r="CC78" s="8">
        <v>-15.65</v>
      </c>
      <c r="CD78" s="9" t="s">
        <v>4514</v>
      </c>
      <c r="CE78" s="8" t="s">
        <v>4515</v>
      </c>
      <c r="CF78" s="8">
        <v>-0.28633447500986342</v>
      </c>
      <c r="CG78" s="8">
        <v>-0.41098977991986529</v>
      </c>
      <c r="CH78" s="8">
        <v>-2.1696252748370171E-2</v>
      </c>
      <c r="CI78" s="8">
        <v>-3.2442748546600342E-2</v>
      </c>
      <c r="CJ78" s="9">
        <v>0.23294118046760559</v>
      </c>
      <c r="CK78" s="9">
        <v>0.1805555522441864</v>
      </c>
      <c r="CL78" s="9">
        <v>0.28571429848670959</v>
      </c>
      <c r="CM78" s="9">
        <v>-4.5871559530496597E-2</v>
      </c>
      <c r="CN78" s="9">
        <v>-0.29677417874336243</v>
      </c>
      <c r="CO78">
        <v>0.22047244012355804</v>
      </c>
      <c r="CP78">
        <v>0.15454545617103577</v>
      </c>
      <c r="CQ78">
        <v>0.34859293699264526</v>
      </c>
      <c r="CR78" s="8">
        <v>13.927050038124493</v>
      </c>
      <c r="CS78" s="9">
        <v>1.0794957301285601</v>
      </c>
      <c r="CT78">
        <v>2.0202020202020203</v>
      </c>
      <c r="CU78">
        <v>0.12901440598070621</v>
      </c>
      <c r="CV78">
        <v>7.6193019002676013E-2</v>
      </c>
      <c r="CW78">
        <v>0.06</v>
      </c>
      <c r="CX78">
        <v>5.7022119372203495</v>
      </c>
      <c r="CY78">
        <v>110771224.73772964</v>
      </c>
      <c r="CZ78">
        <v>0.12901440598070621</v>
      </c>
      <c r="DA78">
        <v>1.8031403434008169</v>
      </c>
      <c r="DB78">
        <v>350300520.04088163</v>
      </c>
      <c r="DC78">
        <v>0.12256368568167089</v>
      </c>
      <c r="DD78">
        <v>0.84890606144283842</v>
      </c>
      <c r="DE78">
        <v>744064660.024261</v>
      </c>
      <c r="DF78">
        <v>0.11353267726302146</v>
      </c>
      <c r="DG78">
        <v>0.48432802005804215</v>
      </c>
      <c r="DH78">
        <v>1304159523.7960913</v>
      </c>
      <c r="DI78">
        <v>0.10321152478456497</v>
      </c>
      <c r="DJ78">
        <v>0.22290480753066186</v>
      </c>
      <c r="DK78">
        <v>2833680471.0374589</v>
      </c>
      <c r="DL78">
        <v>9.0310084186494347E-2</v>
      </c>
      <c r="DM78">
        <v>104000000</v>
      </c>
      <c r="DN78">
        <v>0.12901440598070621</v>
      </c>
      <c r="DO78">
        <v>631641000</v>
      </c>
      <c r="DP78">
        <v>671425080</v>
      </c>
      <c r="DQ78" s="10">
        <v>1845</v>
      </c>
      <c r="DR78">
        <v>-0.41534888099056966</v>
      </c>
      <c r="DS78">
        <v>-0.48718279892254129</v>
      </c>
      <c r="DT78">
        <v>-9.000000000000008E-2</v>
      </c>
      <c r="DU78">
        <v>-2.0000000000000056E-2</v>
      </c>
      <c r="DV78">
        <v>-0.11000000000000014</v>
      </c>
      <c r="DW78">
        <v>-8.3437699680511184</v>
      </c>
      <c r="DX78">
        <v>0.36277417147396279</v>
      </c>
      <c r="DY78">
        <v>-8.055956871727151</v>
      </c>
      <c r="DZ78">
        <v>1974</v>
      </c>
      <c r="EA78">
        <v>-8.0343406555257033</v>
      </c>
      <c r="EB78" s="11">
        <v>8</v>
      </c>
      <c r="EC78" s="11">
        <v>3.3809220181366118E-2</v>
      </c>
      <c r="ED78">
        <v>0.20770629563163803</v>
      </c>
      <c r="EE78">
        <v>-3.0335999999999999</v>
      </c>
      <c r="EF78">
        <v>-3.0206</v>
      </c>
      <c r="EG78">
        <v>20.162774171473963</v>
      </c>
      <c r="EH78" s="13" t="s">
        <v>2118</v>
      </c>
      <c r="EI78">
        <v>0</v>
      </c>
      <c r="EJ78">
        <v>0</v>
      </c>
      <c r="EK78">
        <v>45470</v>
      </c>
      <c r="EL78">
        <v>-0.94</v>
      </c>
      <c r="EM78">
        <v>-5.67</v>
      </c>
      <c r="EN78" s="14">
        <v>0.88</v>
      </c>
      <c r="EO78" s="14">
        <v>5.21</v>
      </c>
      <c r="EP78" s="14">
        <v>-1.3</v>
      </c>
    </row>
    <row r="79" spans="1:146" ht="108">
      <c r="A79" s="7"/>
      <c r="B79" s="7"/>
      <c r="C79" s="7" t="str">
        <f>""&amp;CHAR(10)&amp;Basic_Fundamental_Information_Constructure(F79)&amp;CHAR(10)&amp;Basic_Fundamental_Information_Concatenate("")</f>
        <v xml:space="preserve">
市值30.890825亿, 利润6412.22万; PE47.42; 平均PE69.45; 平均PEG3.62, PB2.15; ROIC5.79%; ROE7.9033%; 股利率.7886%; 毛利17.78%; 净利4.0833%; 上一年度营收增21.08%, 利润增6.42%; 当季营收增1.08%, 利润增5.85%; 过往5年营收增19.16%, 利润增40.81%
Income profile:
</v>
      </c>
      <c r="D79" t="s">
        <v>603</v>
      </c>
      <c r="E79" t="s">
        <v>12</v>
      </c>
      <c r="F79">
        <v>12.68</v>
      </c>
      <c r="G79">
        <v>0.4</v>
      </c>
      <c r="H79" t="s">
        <v>4516</v>
      </c>
      <c r="I79">
        <v>3089082500</v>
      </c>
      <c r="J79">
        <v>47.42</v>
      </c>
      <c r="K79">
        <v>2.15</v>
      </c>
      <c r="L79" t="s">
        <v>85</v>
      </c>
      <c r="M79" t="s">
        <v>2520</v>
      </c>
      <c r="N79" t="s">
        <v>2953</v>
      </c>
      <c r="O79" t="s">
        <v>1707</v>
      </c>
      <c r="P79">
        <v>1.21</v>
      </c>
      <c r="Q79" t="s">
        <v>4517</v>
      </c>
      <c r="R79">
        <v>18382974</v>
      </c>
      <c r="S79" s="5">
        <v>5.8500000000000003E-2</v>
      </c>
      <c r="T79" t="s">
        <v>4518</v>
      </c>
      <c r="U79">
        <v>243618500</v>
      </c>
      <c r="V79">
        <v>243618500</v>
      </c>
      <c r="W79">
        <v>1.78</v>
      </c>
      <c r="X79">
        <v>0.18</v>
      </c>
      <c r="Y79">
        <v>3.93</v>
      </c>
      <c r="Z79" t="s">
        <v>1459</v>
      </c>
      <c r="AA79" t="s">
        <v>531</v>
      </c>
      <c r="AB79" t="s">
        <v>4519</v>
      </c>
      <c r="AC79" t="s">
        <v>4520</v>
      </c>
      <c r="AD79" t="s">
        <v>90</v>
      </c>
      <c r="AE79">
        <v>686756</v>
      </c>
      <c r="AF79" t="s">
        <v>182</v>
      </c>
      <c r="AG79" t="s">
        <v>4521</v>
      </c>
      <c r="AH79" t="s">
        <v>4522</v>
      </c>
      <c r="AI79" t="s">
        <v>2054</v>
      </c>
      <c r="AJ79" t="s">
        <v>4523</v>
      </c>
      <c r="AK79" t="s">
        <v>90</v>
      </c>
      <c r="AL79" t="s">
        <v>4524</v>
      </c>
      <c r="AM79" t="s">
        <v>90</v>
      </c>
      <c r="AN79" t="s">
        <v>2076</v>
      </c>
      <c r="AO79" t="s">
        <v>109</v>
      </c>
      <c r="AP79" t="s">
        <v>90</v>
      </c>
      <c r="AQ79" t="s">
        <v>3371</v>
      </c>
      <c r="AR79" t="s">
        <v>90</v>
      </c>
      <c r="AS79" t="s">
        <v>4525</v>
      </c>
      <c r="AT79" t="s">
        <v>371</v>
      </c>
      <c r="AU79" t="s">
        <v>4526</v>
      </c>
      <c r="AV79" t="s">
        <v>4527</v>
      </c>
      <c r="AW79" t="s">
        <v>4528</v>
      </c>
      <c r="AX79" t="s">
        <v>1857</v>
      </c>
      <c r="AY79" t="s">
        <v>1285</v>
      </c>
      <c r="AZ79" t="s">
        <v>849</v>
      </c>
      <c r="BA79" t="s">
        <v>604</v>
      </c>
      <c r="BB79" t="s">
        <v>851</v>
      </c>
      <c r="BC79" t="s">
        <v>4529</v>
      </c>
      <c r="BD79" t="s">
        <v>1286</v>
      </c>
      <c r="BE79" t="s">
        <v>850</v>
      </c>
      <c r="BF79" t="s">
        <v>605</v>
      </c>
      <c r="BG79" t="s">
        <v>852</v>
      </c>
      <c r="BH79" t="s">
        <v>4517</v>
      </c>
      <c r="BI79" t="s">
        <v>284</v>
      </c>
      <c r="BJ79" t="s">
        <v>1857</v>
      </c>
      <c r="BK79" t="s">
        <v>4518</v>
      </c>
      <c r="BL79" t="s">
        <v>4530</v>
      </c>
      <c r="BM79" t="s">
        <v>4529</v>
      </c>
      <c r="BN79">
        <v>4.0999999999999996</v>
      </c>
      <c r="BO79">
        <v>6.9</v>
      </c>
      <c r="BP79">
        <v>6.37</v>
      </c>
      <c r="BQ79">
        <v>6.17</v>
      </c>
      <c r="BR79">
        <v>9.2799999999999994</v>
      </c>
      <c r="BS79">
        <v>8.26</v>
      </c>
      <c r="BT79" t="s">
        <v>1697</v>
      </c>
      <c r="BU79" t="s">
        <v>1337</v>
      </c>
      <c r="BV79">
        <v>15.22</v>
      </c>
      <c r="BW79">
        <v>19.73</v>
      </c>
      <c r="BX79">
        <v>18.39</v>
      </c>
      <c r="BY79">
        <v>3.76</v>
      </c>
      <c r="BZ79">
        <v>4.28</v>
      </c>
      <c r="CA79">
        <v>4.21</v>
      </c>
      <c r="CB79">
        <v>-2.31</v>
      </c>
      <c r="CC79">
        <v>-15.07</v>
      </c>
      <c r="CD79" t="s">
        <v>4531</v>
      </c>
      <c r="CE79" t="s">
        <v>314</v>
      </c>
      <c r="CF79" s="8">
        <v>1.0822510822510822E-2</v>
      </c>
      <c r="CG79" s="9">
        <v>5.8481974745642672E-2</v>
      </c>
      <c r="CH79" s="8">
        <v>0.21078784763813019</v>
      </c>
      <c r="CI79" s="8">
        <v>0.12092284113168716</v>
      </c>
      <c r="CJ79" s="8">
        <v>0.15109884738922119</v>
      </c>
      <c r="CK79" s="8">
        <v>0.19083969295024872</v>
      </c>
      <c r="CL79" s="8">
        <v>0.28431373834609985</v>
      </c>
      <c r="CM79" s="9">
        <v>6.4159370958805084E-2</v>
      </c>
      <c r="CN79" s="9">
        <v>0.13872925937175751</v>
      </c>
      <c r="CO79" s="9">
        <v>0.30805569887161255</v>
      </c>
      <c r="CP79" s="9">
        <v>0.17235162854194641</v>
      </c>
      <c r="CQ79" s="9">
        <v>1.3573511838912964</v>
      </c>
      <c r="CR79">
        <v>69.445934857301296</v>
      </c>
      <c r="CS79">
        <v>3.6246669869592547</v>
      </c>
      <c r="CT79">
        <v>0.78864353312302837</v>
      </c>
      <c r="CU79" s="8">
        <v>0.19159259349107743</v>
      </c>
      <c r="CV79" s="9">
        <v>0.4081294283270836</v>
      </c>
      <c r="CW79">
        <v>0.06</v>
      </c>
      <c r="CX79">
        <v>39.1923035990133</v>
      </c>
      <c r="CY79">
        <v>72082583.583352417</v>
      </c>
      <c r="CZ79">
        <v>0.19159259349107743</v>
      </c>
      <c r="DA79">
        <v>11.763919421831288</v>
      </c>
      <c r="DB79">
        <v>240148066.19274002</v>
      </c>
      <c r="DC79">
        <v>0.18201296381652354</v>
      </c>
      <c r="DD79">
        <v>5.147561248274962</v>
      </c>
      <c r="DE79">
        <v>548819598.97936809</v>
      </c>
      <c r="DF79">
        <v>0.16860148227214813</v>
      </c>
      <c r="DG79">
        <v>2.6909745543109325</v>
      </c>
      <c r="DH79">
        <v>1049836199.8534052</v>
      </c>
      <c r="DI79">
        <v>0.15327407479286195</v>
      </c>
      <c r="DJ79">
        <v>1.0053482582424136</v>
      </c>
      <c r="DK79">
        <v>2810053607.6313615</v>
      </c>
      <c r="DL79">
        <v>0.1341148154437542</v>
      </c>
      <c r="DM79">
        <v>64122200</v>
      </c>
      <c r="DN79">
        <v>0.19159259349107743</v>
      </c>
      <c r="DO79">
        <v>2825082500</v>
      </c>
      <c r="DP79">
        <v>1095490700</v>
      </c>
      <c r="DQ79">
        <v>1874</v>
      </c>
      <c r="DR79">
        <v>-0.18077008266856662</v>
      </c>
      <c r="DS79">
        <v>-0.34964745358144095</v>
      </c>
      <c r="DT79" s="10">
        <v>7.6666666666666591E-2</v>
      </c>
      <c r="DU79">
        <v>0.45</v>
      </c>
      <c r="DV79">
        <v>0.52666666666666662</v>
      </c>
      <c r="DW79">
        <v>-2.1507000000000001</v>
      </c>
      <c r="DX79">
        <v>0.30071700680272184</v>
      </c>
      <c r="DY79">
        <v>-2.0121640529251699</v>
      </c>
      <c r="DZ79">
        <v>677</v>
      </c>
      <c r="EA79">
        <v>-2.0105524944456512</v>
      </c>
      <c r="EB79">
        <v>2</v>
      </c>
      <c r="EC79">
        <v>4.8704839739182368E-2</v>
      </c>
      <c r="ED79">
        <v>0.60340245096328893</v>
      </c>
      <c r="EE79" s="11">
        <v>-2.0057</v>
      </c>
      <c r="EF79">
        <v>-2.02691</v>
      </c>
      <c r="EG79">
        <v>22.080717006802722</v>
      </c>
      <c r="EH79" t="s">
        <v>1735</v>
      </c>
      <c r="EI79">
        <v>0</v>
      </c>
      <c r="EJ79">
        <v>1</v>
      </c>
      <c r="EK79" s="13">
        <v>45470</v>
      </c>
      <c r="EL79" s="14">
        <v>-1.1000000000000001</v>
      </c>
      <c r="EM79" s="14">
        <v>-4.68</v>
      </c>
      <c r="EN79" s="14">
        <v>0.62</v>
      </c>
      <c r="EO79" s="14">
        <v>2.3199999999999998</v>
      </c>
      <c r="EP79" s="14">
        <v>-3.26</v>
      </c>
    </row>
    <row r="80" spans="1:146" ht="108">
      <c r="C80" s="7" t="str">
        <f>""&amp;CHAR(10)&amp;Basic_Fundamental_Information_Constructure(F80)&amp;CHAR(10)&amp;Basic_Fundamental_Information_Concatenate("")</f>
        <v xml:space="preserve">
市值12.8528071亿, 利润-414.84万; PE; 平均PE26.66; 平均PEG.83, PB2.85; ROIC1.93%; ROE-2.0133%; 股利率0%; 毛利40.1033%; 净利-7.6133%; 上一年度营收增-12.5%, 利润增87.48%; 当季营收增-37.73%, 利润增-45.3%; 过往5年营收增31.95%, 利润增50.9%
Income profile:
</v>
      </c>
      <c r="D80" t="s">
        <v>4532</v>
      </c>
      <c r="E80" t="s">
        <v>4533</v>
      </c>
      <c r="F80">
        <v>9.49</v>
      </c>
      <c r="G80">
        <v>19.97</v>
      </c>
      <c r="H80" t="s">
        <v>4534</v>
      </c>
      <c r="I80">
        <v>1285280710</v>
      </c>
      <c r="K80">
        <v>2.85</v>
      </c>
      <c r="L80" t="s">
        <v>85</v>
      </c>
      <c r="M80" t="s">
        <v>4535</v>
      </c>
      <c r="N80" t="s">
        <v>115</v>
      </c>
      <c r="O80" t="s">
        <v>4536</v>
      </c>
      <c r="P80" s="5">
        <v>-37.729999999999997</v>
      </c>
      <c r="Q80" t="s">
        <v>371</v>
      </c>
      <c r="R80">
        <v>-4655013</v>
      </c>
      <c r="S80">
        <v>-0.45300000000000001</v>
      </c>
      <c r="T80" t="s">
        <v>4537</v>
      </c>
      <c r="U80">
        <v>87784602</v>
      </c>
      <c r="V80">
        <v>135435270</v>
      </c>
      <c r="W80">
        <v>1.0900000000000001</v>
      </c>
      <c r="X80">
        <v>0.03</v>
      </c>
      <c r="Y80">
        <v>-32.299999999999997</v>
      </c>
      <c r="Z80" t="s">
        <v>4538</v>
      </c>
      <c r="AA80" t="s">
        <v>4539</v>
      </c>
      <c r="AB80" t="s">
        <v>4540</v>
      </c>
      <c r="AC80" t="s">
        <v>4541</v>
      </c>
      <c r="AD80" t="s">
        <v>90</v>
      </c>
      <c r="AE80">
        <v>-227855</v>
      </c>
      <c r="AF80" t="s">
        <v>4542</v>
      </c>
      <c r="AG80">
        <v>1500</v>
      </c>
      <c r="AH80" t="s">
        <v>4543</v>
      </c>
      <c r="AI80" t="s">
        <v>4544</v>
      </c>
      <c r="AJ80" t="s">
        <v>4545</v>
      </c>
      <c r="AK80" t="s">
        <v>4546</v>
      </c>
      <c r="AL80" t="s">
        <v>4547</v>
      </c>
      <c r="AM80" t="s">
        <v>90</v>
      </c>
      <c r="AN80">
        <v>0</v>
      </c>
      <c r="AO80" t="s">
        <v>90</v>
      </c>
      <c r="AP80" t="s">
        <v>90</v>
      </c>
      <c r="AQ80" t="s">
        <v>4548</v>
      </c>
      <c r="AR80" t="s">
        <v>90</v>
      </c>
      <c r="AS80" t="s">
        <v>4549</v>
      </c>
      <c r="AT80" t="s">
        <v>90</v>
      </c>
      <c r="AU80" t="s">
        <v>4550</v>
      </c>
      <c r="AV80" t="s">
        <v>4551</v>
      </c>
      <c r="AW80" t="s">
        <v>4552</v>
      </c>
      <c r="AX80" t="s">
        <v>307</v>
      </c>
      <c r="AY80" t="s">
        <v>391</v>
      </c>
      <c r="AZ80" t="s">
        <v>844</v>
      </c>
      <c r="BA80" t="s">
        <v>269</v>
      </c>
      <c r="BB80" t="s">
        <v>167</v>
      </c>
      <c r="BC80" t="s">
        <v>4553</v>
      </c>
      <c r="BD80" t="s">
        <v>4554</v>
      </c>
      <c r="BE80" t="s">
        <v>4555</v>
      </c>
      <c r="BF80" t="s">
        <v>225</v>
      </c>
      <c r="BG80" t="s">
        <v>4556</v>
      </c>
      <c r="BH80" t="s">
        <v>371</v>
      </c>
      <c r="BI80" t="s">
        <v>4557</v>
      </c>
      <c r="BJ80" t="s">
        <v>307</v>
      </c>
      <c r="BK80" t="s">
        <v>4537</v>
      </c>
      <c r="BL80" t="s">
        <v>4558</v>
      </c>
      <c r="BM80" t="s">
        <v>4553</v>
      </c>
      <c r="BN80" t="s">
        <v>90</v>
      </c>
      <c r="BO80" t="s">
        <v>90</v>
      </c>
      <c r="BP80">
        <v>1.93</v>
      </c>
      <c r="BQ80">
        <v>-1</v>
      </c>
      <c r="BR80">
        <v>-7.46</v>
      </c>
      <c r="BS80">
        <v>2.42</v>
      </c>
      <c r="BT80" t="s">
        <v>1692</v>
      </c>
      <c r="BU80" t="s">
        <v>3551</v>
      </c>
      <c r="BV80">
        <v>38.82</v>
      </c>
      <c r="BW80">
        <v>40.43</v>
      </c>
      <c r="BX80">
        <v>41.06</v>
      </c>
      <c r="BY80">
        <v>-3.7</v>
      </c>
      <c r="BZ80">
        <v>-25.86</v>
      </c>
      <c r="CA80">
        <v>6.72</v>
      </c>
      <c r="CB80">
        <v>14.48</v>
      </c>
      <c r="CC80" s="8">
        <v>26.36</v>
      </c>
      <c r="CD80" s="9" t="s">
        <v>4559</v>
      </c>
      <c r="CE80" s="8" t="s">
        <v>220</v>
      </c>
      <c r="CF80" s="8">
        <v>-0.3773378668544593</v>
      </c>
      <c r="CG80" s="8">
        <v>-0.45296616517885013</v>
      </c>
      <c r="CH80" s="8">
        <v>-0.125</v>
      </c>
      <c r="CI80" s="8">
        <v>-0.29670330882072449</v>
      </c>
      <c r="CJ80" s="9">
        <v>-0.4166666567325592</v>
      </c>
      <c r="CK80" s="9">
        <v>-0.47913187742233276</v>
      </c>
      <c r="CL80" s="9">
        <v>2.9150326251983643</v>
      </c>
      <c r="CM80" s="9">
        <v>0.87479704618453979</v>
      </c>
      <c r="CN80" s="9">
        <v>-3.7059159278869629</v>
      </c>
      <c r="CO80">
        <v>-0.81549364328384399</v>
      </c>
      <c r="CP80">
        <v>-0.69833999872207642</v>
      </c>
      <c r="CQ80">
        <v>6.8901119232177734</v>
      </c>
      <c r="CR80" s="8">
        <v>26.664542244560376</v>
      </c>
      <c r="CS80" s="9">
        <v>0.83455488123553634</v>
      </c>
      <c r="CT80">
        <v>0</v>
      </c>
      <c r="CU80">
        <v>0.31950615644454955</v>
      </c>
      <c r="CV80">
        <v>0.50903187990188603</v>
      </c>
      <c r="CW80">
        <v>0.06</v>
      </c>
      <c r="CX80" t="e">
        <v>#VALUE!</v>
      </c>
      <c r="CY80" t="s">
        <v>1392</v>
      </c>
      <c r="CZ80">
        <v>0.31950615644454955</v>
      </c>
      <c r="DA80" t="e">
        <v>#VALUE!</v>
      </c>
      <c r="DB80" t="s">
        <v>1391</v>
      </c>
      <c r="DC80">
        <v>0.30353084862232205</v>
      </c>
      <c r="DD80" t="e">
        <v>#VALUE!</v>
      </c>
      <c r="DE80" t="s">
        <v>1391</v>
      </c>
      <c r="DF80">
        <v>0.28116541767120362</v>
      </c>
      <c r="DG80" t="e">
        <v>#VALUE!</v>
      </c>
      <c r="DH80" t="s">
        <v>1391</v>
      </c>
      <c r="DI80">
        <v>0.25560492515563965</v>
      </c>
      <c r="DJ80" t="e">
        <v>#VALUE!</v>
      </c>
      <c r="DK80" t="s">
        <v>1391</v>
      </c>
      <c r="DL80">
        <v>0.22365430951118467</v>
      </c>
      <c r="DM80">
        <v>-4148399.9999999995</v>
      </c>
      <c r="DN80">
        <v>0.31950615644454955</v>
      </c>
      <c r="DO80">
        <v>853783410</v>
      </c>
      <c r="DP80">
        <v>286537920</v>
      </c>
      <c r="DQ80" s="10">
        <v>1889</v>
      </c>
      <c r="DR80">
        <v>-0.69684402329900885</v>
      </c>
      <c r="DS80">
        <v>-0.96199804508073616</v>
      </c>
      <c r="DT80">
        <v>-0.38000000000000006</v>
      </c>
      <c r="DU80">
        <v>-1.6083333333333336</v>
      </c>
      <c r="DV80">
        <v>-1.9883333333333337</v>
      </c>
      <c r="DW80">
        <v>9.549317147192717</v>
      </c>
      <c r="DX80">
        <v>0.66319114893616948</v>
      </c>
      <c r="DY80">
        <v>9.1335890681561356</v>
      </c>
      <c r="DZ80">
        <v>4382</v>
      </c>
      <c r="EA80">
        <v>9.0190318672441609</v>
      </c>
      <c r="EB80" s="11">
        <v>9</v>
      </c>
      <c r="EC80" s="11">
        <v>0.50636662074805183</v>
      </c>
      <c r="ED80">
        <v>2.0821754923957401</v>
      </c>
      <c r="EE80">
        <v>-1.0569</v>
      </c>
      <c r="EF80">
        <v>-1.0327</v>
      </c>
      <c r="EG80">
        <v>42.24319114893617</v>
      </c>
      <c r="EH80" s="13" t="s">
        <v>1730</v>
      </c>
      <c r="EI80">
        <v>1</v>
      </c>
      <c r="EJ80">
        <v>0</v>
      </c>
      <c r="EK80">
        <v>45470</v>
      </c>
      <c r="EL80">
        <v>1.68</v>
      </c>
      <c r="EM80">
        <v>-3.93</v>
      </c>
      <c r="EN80" s="14">
        <v>5.41</v>
      </c>
      <c r="EO80" s="14">
        <v>3.63</v>
      </c>
      <c r="EP80" s="14">
        <v>-2.42</v>
      </c>
    </row>
    <row r="81" spans="1:146" ht="108">
      <c r="A81" s="7"/>
      <c r="B81" s="7"/>
      <c r="C81" s="7" t="str">
        <f>""&amp;CHAR(10)&amp;Basic_Fundamental_Information_Constructure(F81)&amp;CHAR(10)&amp;Basic_Fundamental_Information_Concatenate("")</f>
        <v xml:space="preserve">
市值25.453545亿, 利润4100.19万; PE67.33; 平均PE43.34; 平均PEG5.75, PB1.04; ROIC1.865%; ROE-1.12%; 股利率.6585%; 毛利23.53%; 净利-1.63%; 上一年度营收增-6.58%, 利润增-24.6%; 当季营收增1.38%, 利润增-37.52%; 过往5年营收增7.54%, 利润增-19.93%
Income profile:
</v>
      </c>
      <c r="D81" t="s">
        <v>512</v>
      </c>
      <c r="E81" t="s">
        <v>2685</v>
      </c>
      <c r="F81">
        <v>2.2799999999999998</v>
      </c>
      <c r="G81">
        <v>3.64</v>
      </c>
      <c r="H81" t="s">
        <v>4560</v>
      </c>
      <c r="I81">
        <v>2545354500</v>
      </c>
      <c r="J81">
        <v>67.33</v>
      </c>
      <c r="K81">
        <v>1.04</v>
      </c>
      <c r="L81" t="s">
        <v>85</v>
      </c>
      <c r="M81" t="s">
        <v>2078</v>
      </c>
      <c r="N81" t="s">
        <v>4561</v>
      </c>
      <c r="O81" t="s">
        <v>272</v>
      </c>
      <c r="P81">
        <v>1.57</v>
      </c>
      <c r="Q81" t="s">
        <v>2122</v>
      </c>
      <c r="R81">
        <v>5320377</v>
      </c>
      <c r="S81" s="5">
        <v>-0.37519999999999998</v>
      </c>
      <c r="T81" t="s">
        <v>2686</v>
      </c>
      <c r="U81">
        <v>991786370</v>
      </c>
      <c r="V81">
        <v>1116383560</v>
      </c>
      <c r="W81">
        <v>1.35</v>
      </c>
      <c r="X81">
        <v>0.06</v>
      </c>
      <c r="Y81">
        <v>2.69</v>
      </c>
      <c r="Z81" t="s">
        <v>272</v>
      </c>
      <c r="AA81" t="s">
        <v>273</v>
      </c>
      <c r="AB81" t="s">
        <v>4562</v>
      </c>
      <c r="AC81" t="s">
        <v>4563</v>
      </c>
      <c r="AD81" t="s">
        <v>90</v>
      </c>
      <c r="AE81">
        <v>725525</v>
      </c>
      <c r="AF81" t="s">
        <v>2688</v>
      </c>
      <c r="AG81" t="s">
        <v>4564</v>
      </c>
      <c r="AH81" t="s">
        <v>2689</v>
      </c>
      <c r="AI81" t="s">
        <v>821</v>
      </c>
      <c r="AJ81" t="s">
        <v>2690</v>
      </c>
      <c r="AK81" t="s">
        <v>4565</v>
      </c>
      <c r="AL81" t="s">
        <v>2691</v>
      </c>
      <c r="AM81" t="s">
        <v>90</v>
      </c>
      <c r="AN81" t="s">
        <v>4566</v>
      </c>
      <c r="AO81" t="s">
        <v>210</v>
      </c>
      <c r="AP81" t="s">
        <v>4567</v>
      </c>
      <c r="AQ81" t="s">
        <v>190</v>
      </c>
      <c r="AR81" t="s">
        <v>4568</v>
      </c>
      <c r="AS81" t="s">
        <v>712</v>
      </c>
      <c r="AT81" t="s">
        <v>90</v>
      </c>
      <c r="AU81" t="s">
        <v>4569</v>
      </c>
      <c r="AV81" t="s">
        <v>4570</v>
      </c>
      <c r="AW81" t="s">
        <v>4571</v>
      </c>
      <c r="AX81" t="s">
        <v>768</v>
      </c>
      <c r="AY81" t="s">
        <v>1281</v>
      </c>
      <c r="AZ81" t="s">
        <v>853</v>
      </c>
      <c r="BA81" t="s">
        <v>513</v>
      </c>
      <c r="BB81" t="s">
        <v>87</v>
      </c>
      <c r="BC81" t="s">
        <v>2692</v>
      </c>
      <c r="BD81" t="s">
        <v>1213</v>
      </c>
      <c r="BE81" t="s">
        <v>502</v>
      </c>
      <c r="BF81" t="s">
        <v>514</v>
      </c>
      <c r="BG81" t="s">
        <v>175</v>
      </c>
      <c r="BH81" t="s">
        <v>2122</v>
      </c>
      <c r="BI81" t="s">
        <v>197</v>
      </c>
      <c r="BJ81" t="s">
        <v>768</v>
      </c>
      <c r="BK81" t="s">
        <v>2686</v>
      </c>
      <c r="BL81" t="s">
        <v>1859</v>
      </c>
      <c r="BM81" t="s">
        <v>2692</v>
      </c>
      <c r="BN81">
        <v>1.49</v>
      </c>
      <c r="BO81">
        <v>2.2400000000000002</v>
      </c>
      <c r="BP81" t="s">
        <v>90</v>
      </c>
      <c r="BQ81">
        <v>1.54</v>
      </c>
      <c r="BR81">
        <v>2.29</v>
      </c>
      <c r="BS81">
        <v>-7.19</v>
      </c>
      <c r="BT81" t="s">
        <v>4572</v>
      </c>
      <c r="BU81" t="s">
        <v>1381</v>
      </c>
      <c r="BV81">
        <v>28.04</v>
      </c>
      <c r="BW81">
        <v>25.84</v>
      </c>
      <c r="BX81">
        <v>16.71</v>
      </c>
      <c r="BY81">
        <v>3.15</v>
      </c>
      <c r="BZ81">
        <v>3.48</v>
      </c>
      <c r="CA81">
        <v>-11.52</v>
      </c>
      <c r="CB81">
        <v>4.1100000000000003</v>
      </c>
      <c r="CC81">
        <v>-7.88</v>
      </c>
      <c r="CD81" t="s">
        <v>4573</v>
      </c>
      <c r="CE81" t="s">
        <v>1828</v>
      </c>
      <c r="CF81" s="8">
        <v>1.3761467889908119E-2</v>
      </c>
      <c r="CG81" s="9">
        <v>-0.37523462270133162</v>
      </c>
      <c r="CH81" s="8">
        <v>-6.5843619406223297E-2</v>
      </c>
      <c r="CI81" s="8">
        <v>-6.298200786113739E-2</v>
      </c>
      <c r="CJ81" s="8">
        <v>-4.6568628400564194E-2</v>
      </c>
      <c r="CK81" s="8">
        <v>0.26413625478744507</v>
      </c>
      <c r="CL81" s="8">
        <v>0.28842321038246155</v>
      </c>
      <c r="CM81" s="9">
        <v>-0.24600724875926971</v>
      </c>
      <c r="CN81" s="9">
        <v>1.3072298765182495</v>
      </c>
      <c r="CO81" s="9">
        <v>-2.1959459781646729</v>
      </c>
      <c r="CP81" s="9">
        <v>-4.516129195690155E-2</v>
      </c>
      <c r="CQ81" s="9">
        <v>0.18320611119270325</v>
      </c>
      <c r="CR81">
        <v>43.339740213450419</v>
      </c>
      <c r="CS81">
        <v>5.7454583722975512</v>
      </c>
      <c r="CT81">
        <v>0.65853947368421062</v>
      </c>
      <c r="CU81" s="8">
        <v>7.5433041900396347E-2</v>
      </c>
      <c r="CV81" s="9">
        <v>-0.19933570623397828</v>
      </c>
      <c r="CW81">
        <v>0.06</v>
      </c>
      <c r="CX81">
        <v>23.614934556202527</v>
      </c>
      <c r="CY81">
        <v>41598866.076128162</v>
      </c>
      <c r="CZ81">
        <v>7.5433041900396347E-2</v>
      </c>
      <c r="DA81">
        <v>7.8130793447144855</v>
      </c>
      <c r="DB81">
        <v>125732052.19841503</v>
      </c>
      <c r="DC81">
        <v>7.1661389805376521E-2</v>
      </c>
      <c r="DD81">
        <v>3.9099141010829106</v>
      </c>
      <c r="DE81">
        <v>251247079.75756344</v>
      </c>
      <c r="DF81">
        <v>6.6381076872348788E-2</v>
      </c>
      <c r="DG81">
        <v>2.391572410315062</v>
      </c>
      <c r="DH81">
        <v>410756745.54657793</v>
      </c>
      <c r="DI81">
        <v>6.0346433520317079E-2</v>
      </c>
      <c r="DJ81">
        <v>1.2857766658466825</v>
      </c>
      <c r="DK81">
        <v>764016431.54188108</v>
      </c>
      <c r="DL81">
        <v>5.2803129330277442E-2</v>
      </c>
      <c r="DM81">
        <v>41001899.999999993</v>
      </c>
      <c r="DN81">
        <v>7.5433041900396347E-2</v>
      </c>
      <c r="DO81">
        <v>982354500</v>
      </c>
      <c r="DP81">
        <v>1417687200</v>
      </c>
      <c r="DQ81">
        <v>1892</v>
      </c>
      <c r="DR81">
        <v>-6.1671574010488228E-2</v>
      </c>
      <c r="DS81">
        <v>-0.17589891646735334</v>
      </c>
      <c r="DT81" s="10">
        <v>-0.22333333333333338</v>
      </c>
      <c r="DU81">
        <v>-0.67</v>
      </c>
      <c r="DV81">
        <v>-0.89333333333333342</v>
      </c>
      <c r="DW81">
        <v>6.3427856547122605</v>
      </c>
      <c r="DX81">
        <v>0.63780045351474168</v>
      </c>
      <c r="DY81">
        <v>6.0609474448661871</v>
      </c>
      <c r="DZ81">
        <v>3449</v>
      </c>
      <c r="EA81">
        <v>6.0198109013547434</v>
      </c>
      <c r="EB81">
        <v>6</v>
      </c>
      <c r="EC81">
        <v>7.023571719382897E-2</v>
      </c>
      <c r="ED81">
        <v>0.39502552330670293</v>
      </c>
      <c r="EE81" s="11">
        <v>-5.0803000000000003</v>
      </c>
      <c r="EF81">
        <v>-5.0622999999999996</v>
      </c>
      <c r="EG81">
        <v>46.177800453514742</v>
      </c>
      <c r="EH81" t="s">
        <v>2602</v>
      </c>
      <c r="EI81">
        <v>0</v>
      </c>
      <c r="EJ81">
        <v>0</v>
      </c>
      <c r="EK81" s="13">
        <v>45470</v>
      </c>
      <c r="EL81" s="14">
        <v>-0.88</v>
      </c>
      <c r="EM81" s="14">
        <v>-4.46</v>
      </c>
      <c r="EN81" s="14">
        <v>0.93</v>
      </c>
      <c r="EO81" s="14">
        <v>2.78</v>
      </c>
      <c r="EP81" s="14">
        <v>-1.8</v>
      </c>
    </row>
    <row r="82" spans="1:146" ht="108">
      <c r="A82" s="7"/>
      <c r="B82" s="7"/>
      <c r="C82" s="7" t="str">
        <f>""&amp;CHAR(10)&amp;Basic_Fundamental_Information_Constructure(F82)&amp;CHAR(10)&amp;Basic_Fundamental_Information_Concatenate("")</f>
        <v xml:space="preserve">
市值24.933785亿, 利润5988.33万; PE42.65; 平均PE38.87; 平均PEG5.14, PB2; ROIC5.1867%; ROE5.66%; 股利率0%; 毛利19.4067%; 净利7.2067%; 上一年度营收增2.14%, 利润增-3.95%; 当季营收增2.99%, 利润增-8.44%; 过往5年营收增7.57%, 利润增4.74%
Income profile:
</v>
      </c>
      <c r="D82" t="s">
        <v>297</v>
      </c>
      <c r="E82" t="s">
        <v>45</v>
      </c>
      <c r="F82">
        <v>8.48</v>
      </c>
      <c r="G82">
        <v>-2.75</v>
      </c>
      <c r="H82" t="s">
        <v>4574</v>
      </c>
      <c r="I82">
        <v>2493378500</v>
      </c>
      <c r="J82">
        <v>42.65</v>
      </c>
      <c r="K82">
        <v>2</v>
      </c>
      <c r="L82" t="s">
        <v>85</v>
      </c>
      <c r="M82" t="s">
        <v>258</v>
      </c>
      <c r="N82" t="s">
        <v>1242</v>
      </c>
      <c r="O82" t="s">
        <v>809</v>
      </c>
      <c r="P82">
        <v>2.99</v>
      </c>
      <c r="Q82" t="s">
        <v>87</v>
      </c>
      <c r="R82">
        <v>15392876</v>
      </c>
      <c r="S82" s="5">
        <v>-8.4400000000000003E-2</v>
      </c>
      <c r="T82" t="s">
        <v>2694</v>
      </c>
      <c r="U82">
        <v>230526320</v>
      </c>
      <c r="V82">
        <v>294030480</v>
      </c>
      <c r="W82">
        <v>1.51</v>
      </c>
      <c r="X82">
        <v>0.13</v>
      </c>
      <c r="Y82">
        <v>6.4</v>
      </c>
      <c r="Z82" t="s">
        <v>345</v>
      </c>
      <c r="AA82" t="s">
        <v>123</v>
      </c>
      <c r="AB82" t="s">
        <v>4575</v>
      </c>
      <c r="AC82" t="s">
        <v>4576</v>
      </c>
      <c r="AD82" t="s">
        <v>90</v>
      </c>
      <c r="AE82">
        <v>1490667</v>
      </c>
      <c r="AF82" t="s">
        <v>182</v>
      </c>
      <c r="AG82">
        <v>2717.54</v>
      </c>
      <c r="AH82" t="s">
        <v>2695</v>
      </c>
      <c r="AI82" t="s">
        <v>158</v>
      </c>
      <c r="AJ82" t="s">
        <v>2696</v>
      </c>
      <c r="AK82" t="s">
        <v>4577</v>
      </c>
      <c r="AL82" t="s">
        <v>2697</v>
      </c>
      <c r="AM82" t="s">
        <v>90</v>
      </c>
      <c r="AN82" t="s">
        <v>4578</v>
      </c>
      <c r="AO82" t="s">
        <v>1273</v>
      </c>
      <c r="AP82" t="s">
        <v>4579</v>
      </c>
      <c r="AQ82" t="s">
        <v>514</v>
      </c>
      <c r="AR82" t="s">
        <v>90</v>
      </c>
      <c r="AS82" t="s">
        <v>489</v>
      </c>
      <c r="AT82" t="s">
        <v>90</v>
      </c>
      <c r="AU82" t="s">
        <v>4580</v>
      </c>
      <c r="AV82" t="s">
        <v>4581</v>
      </c>
      <c r="AW82" t="s">
        <v>4582</v>
      </c>
      <c r="AX82" t="s">
        <v>1613</v>
      </c>
      <c r="AY82" t="s">
        <v>1255</v>
      </c>
      <c r="AZ82" t="s">
        <v>854</v>
      </c>
      <c r="BA82" t="s">
        <v>299</v>
      </c>
      <c r="BB82" t="s">
        <v>537</v>
      </c>
      <c r="BC82" t="s">
        <v>1860</v>
      </c>
      <c r="BD82" t="s">
        <v>1288</v>
      </c>
      <c r="BE82" t="s">
        <v>855</v>
      </c>
      <c r="BF82" t="s">
        <v>300</v>
      </c>
      <c r="BG82" t="s">
        <v>857</v>
      </c>
      <c r="BH82" t="s">
        <v>87</v>
      </c>
      <c r="BI82" t="s">
        <v>363</v>
      </c>
      <c r="BJ82" t="s">
        <v>1613</v>
      </c>
      <c r="BK82" t="s">
        <v>2694</v>
      </c>
      <c r="BL82" t="s">
        <v>2698</v>
      </c>
      <c r="BM82" t="s">
        <v>1860</v>
      </c>
      <c r="BN82">
        <v>3.66</v>
      </c>
      <c r="BO82">
        <v>4.8499999999999996</v>
      </c>
      <c r="BP82">
        <v>7.05</v>
      </c>
      <c r="BQ82">
        <v>4.43</v>
      </c>
      <c r="BR82">
        <v>5</v>
      </c>
      <c r="BS82">
        <v>7.55</v>
      </c>
      <c r="BT82" t="s">
        <v>1692</v>
      </c>
      <c r="BU82" t="s">
        <v>1337</v>
      </c>
      <c r="BV82">
        <v>17.87</v>
      </c>
      <c r="BW82">
        <v>17.43</v>
      </c>
      <c r="BX82">
        <v>22.92</v>
      </c>
      <c r="BY82">
        <v>5.98</v>
      </c>
      <c r="BZ82">
        <v>6.36</v>
      </c>
      <c r="CA82">
        <v>9.2799999999999994</v>
      </c>
      <c r="CB82">
        <v>-7.52</v>
      </c>
      <c r="CC82">
        <v>-10.64</v>
      </c>
      <c r="CD82" t="s">
        <v>4583</v>
      </c>
      <c r="CE82" t="s">
        <v>1239</v>
      </c>
      <c r="CF82" s="8">
        <v>2.9914529914529916E-2</v>
      </c>
      <c r="CG82" s="9">
        <v>-8.4389588141521324E-2</v>
      </c>
      <c r="CH82" s="8">
        <v>2.1406726911664009E-2</v>
      </c>
      <c r="CI82" s="8">
        <v>7.1868584491312504E-3</v>
      </c>
      <c r="CJ82" s="8">
        <v>0.23761117458343506</v>
      </c>
      <c r="CK82" s="8">
        <v>7.9561039805412292E-2</v>
      </c>
      <c r="CL82" s="8">
        <v>3.257790207862854E-2</v>
      </c>
      <c r="CM82" s="9">
        <v>-3.9465095847845078E-2</v>
      </c>
      <c r="CN82" s="9">
        <v>-0.3098289966583252</v>
      </c>
      <c r="CO82" s="9">
        <v>0.49060973525047302</v>
      </c>
      <c r="CP82" s="9">
        <v>0.56631386280059814</v>
      </c>
      <c r="CQ82" s="9">
        <v>-0.47047758102416992</v>
      </c>
      <c r="CR82">
        <v>38.866720479818639</v>
      </c>
      <c r="CS82">
        <v>5.136430220987279</v>
      </c>
      <c r="CT82">
        <v>0</v>
      </c>
      <c r="CU82" s="8">
        <v>7.5668740365654227E-2</v>
      </c>
      <c r="CV82" s="9">
        <v>4.7430384904146194E-2</v>
      </c>
      <c r="CW82">
        <v>0.06</v>
      </c>
      <c r="CX82">
        <v>30.21925766741877</v>
      </c>
      <c r="CY82">
        <v>60768484.792394884</v>
      </c>
      <c r="CZ82">
        <v>7.5668740365654227E-2</v>
      </c>
      <c r="DA82">
        <v>9.996139763586477</v>
      </c>
      <c r="DB82">
        <v>183708765.9267714</v>
      </c>
      <c r="DC82">
        <v>7.1885303347371518E-2</v>
      </c>
      <c r="DD82">
        <v>5.0010628108651982</v>
      </c>
      <c r="DE82">
        <v>367197647.67007619</v>
      </c>
      <c r="DF82">
        <v>6.658849152177572E-2</v>
      </c>
      <c r="DG82">
        <v>3.0580935227060468</v>
      </c>
      <c r="DH82">
        <v>600497822.04666674</v>
      </c>
      <c r="DI82">
        <v>6.0534992292523383E-2</v>
      </c>
      <c r="DJ82">
        <v>1.6430788956105065</v>
      </c>
      <c r="DK82">
        <v>1117644749.0780232</v>
      </c>
      <c r="DL82">
        <v>5.2968118255957958E-2</v>
      </c>
      <c r="DM82">
        <v>59883300</v>
      </c>
      <c r="DN82">
        <v>7.5668740365654227E-2</v>
      </c>
      <c r="DO82">
        <v>1836378500</v>
      </c>
      <c r="DP82">
        <v>410363860</v>
      </c>
      <c r="DQ82">
        <v>1893</v>
      </c>
      <c r="DR82">
        <v>-4.5754210451124308E-2</v>
      </c>
      <c r="DS82">
        <v>-0.1318199730456675</v>
      </c>
      <c r="DT82" s="10">
        <v>-0.3066666666666667</v>
      </c>
      <c r="DU82">
        <v>0</v>
      </c>
      <c r="DV82">
        <v>-0.3066666666666667</v>
      </c>
      <c r="DW82">
        <v>-9.7067669172932334</v>
      </c>
      <c r="DX82">
        <v>0.34317865771812039</v>
      </c>
      <c r="DY82">
        <v>-9.0517202543270923</v>
      </c>
      <c r="DZ82">
        <v>2466</v>
      </c>
      <c r="EA82">
        <v>-9.0267609300275602</v>
      </c>
      <c r="EB82">
        <v>9</v>
      </c>
      <c r="EC82">
        <v>0.18541649151475728</v>
      </c>
      <c r="ED82">
        <v>2.5337509226934567</v>
      </c>
      <c r="EE82" s="11">
        <v>1.84E-2</v>
      </c>
      <c r="EF82">
        <v>2.5409999999999999E-2</v>
      </c>
      <c r="EG82">
        <v>27.07317865771812</v>
      </c>
      <c r="EH82">
        <v>-1</v>
      </c>
      <c r="EI82">
        <v>0</v>
      </c>
      <c r="EJ82">
        <v>0</v>
      </c>
      <c r="EK82" s="13">
        <v>45470</v>
      </c>
      <c r="EL82" s="14">
        <v>1.19</v>
      </c>
      <c r="EM82" s="14">
        <v>-2.15</v>
      </c>
      <c r="EN82" s="14">
        <v>2.96</v>
      </c>
      <c r="EO82" s="14">
        <v>2.13</v>
      </c>
      <c r="EP82" s="14">
        <v>-4.38</v>
      </c>
    </row>
    <row r="83" spans="1:146" ht="108">
      <c r="A83" s="7"/>
      <c r="B83" s="7"/>
      <c r="C83" s="7" t="str">
        <f>""&amp;CHAR(10)&amp;Basic_Fundamental_Information_Constructure(F83)&amp;CHAR(10)&amp;Basic_Fundamental_Information_Concatenate("")</f>
        <v xml:space="preserve">
市值36.087289亿, 利润2.81亿; PE11.72; 平均PE29.56; 平均PEG2.82, PB1.91; ROIC9.83%; ROE12.08%; 股利率1.25%; 毛利33.9867%; 净利12.01%; 上一年度营收增17.58%, 利润增153.15%; 当季营收增23.63%, 利润增79.4%; 过往5年营收增10.47%, 利润增42.59%
Income profile:
</v>
      </c>
      <c r="D83" t="s">
        <v>517</v>
      </c>
      <c r="E83" t="s">
        <v>30</v>
      </c>
      <c r="F83">
        <v>5.6</v>
      </c>
      <c r="G83">
        <v>1.82</v>
      </c>
      <c r="H83" t="s">
        <v>4584</v>
      </c>
      <c r="I83">
        <v>3608728900</v>
      </c>
      <c r="J83">
        <v>11.72</v>
      </c>
      <c r="K83">
        <v>1.91</v>
      </c>
      <c r="L83" t="s">
        <v>85</v>
      </c>
      <c r="M83" t="s">
        <v>2699</v>
      </c>
      <c r="N83" t="s">
        <v>4585</v>
      </c>
      <c r="O83" t="s">
        <v>875</v>
      </c>
      <c r="P83">
        <v>23.62</v>
      </c>
      <c r="Q83" t="s">
        <v>2070</v>
      </c>
      <c r="R83">
        <v>61560058</v>
      </c>
      <c r="S83" s="5">
        <v>0.79400000000000004</v>
      </c>
      <c r="T83" t="s">
        <v>242</v>
      </c>
      <c r="U83">
        <v>626959240</v>
      </c>
      <c r="V83">
        <v>644415870</v>
      </c>
      <c r="W83">
        <v>1.65</v>
      </c>
      <c r="X83">
        <v>0.15</v>
      </c>
      <c r="Y83">
        <v>13.83</v>
      </c>
      <c r="Z83" t="s">
        <v>1419</v>
      </c>
      <c r="AA83" t="s">
        <v>628</v>
      </c>
      <c r="AB83" t="s">
        <v>4586</v>
      </c>
      <c r="AC83" t="s">
        <v>4587</v>
      </c>
      <c r="AD83" t="s">
        <v>90</v>
      </c>
      <c r="AE83">
        <v>4329890</v>
      </c>
      <c r="AF83" t="s">
        <v>2700</v>
      </c>
      <c r="AG83" t="s">
        <v>4588</v>
      </c>
      <c r="AH83" t="s">
        <v>2701</v>
      </c>
      <c r="AI83" t="s">
        <v>148</v>
      </c>
      <c r="AJ83" t="s">
        <v>2702</v>
      </c>
      <c r="AK83" t="s">
        <v>4589</v>
      </c>
      <c r="AL83" t="s">
        <v>2703</v>
      </c>
      <c r="AM83" t="s">
        <v>90</v>
      </c>
      <c r="AN83" t="s">
        <v>183</v>
      </c>
      <c r="AO83" t="s">
        <v>560</v>
      </c>
      <c r="AP83" t="s">
        <v>4590</v>
      </c>
      <c r="AQ83" t="s">
        <v>423</v>
      </c>
      <c r="AR83" t="s">
        <v>90</v>
      </c>
      <c r="AS83" t="s">
        <v>4591</v>
      </c>
      <c r="AT83" t="s">
        <v>4592</v>
      </c>
      <c r="AU83" t="s">
        <v>4593</v>
      </c>
      <c r="AV83" t="s">
        <v>4594</v>
      </c>
      <c r="AW83" t="s">
        <v>136</v>
      </c>
      <c r="AX83" t="s">
        <v>1862</v>
      </c>
      <c r="AY83" t="s">
        <v>1291</v>
      </c>
      <c r="AZ83" t="s">
        <v>861</v>
      </c>
      <c r="BA83" t="s">
        <v>518</v>
      </c>
      <c r="BB83" t="s">
        <v>863</v>
      </c>
      <c r="BC83" t="s">
        <v>239</v>
      </c>
      <c r="BD83" t="s">
        <v>1140</v>
      </c>
      <c r="BE83" t="s">
        <v>862</v>
      </c>
      <c r="BF83" t="s">
        <v>519</v>
      </c>
      <c r="BG83" t="s">
        <v>174</v>
      </c>
      <c r="BH83" t="s">
        <v>2070</v>
      </c>
      <c r="BI83" t="s">
        <v>890</v>
      </c>
      <c r="BJ83" t="s">
        <v>1862</v>
      </c>
      <c r="BK83" t="s">
        <v>242</v>
      </c>
      <c r="BL83" t="s">
        <v>2704</v>
      </c>
      <c r="BM83" t="s">
        <v>239</v>
      </c>
      <c r="BN83">
        <v>8.86</v>
      </c>
      <c r="BO83">
        <v>7.21</v>
      </c>
      <c r="BP83">
        <v>13.42</v>
      </c>
      <c r="BQ83">
        <v>10.3</v>
      </c>
      <c r="BR83">
        <v>7.36</v>
      </c>
      <c r="BS83">
        <v>18.579999999999998</v>
      </c>
      <c r="BT83" t="s">
        <v>1822</v>
      </c>
      <c r="BU83" t="s">
        <v>1381</v>
      </c>
      <c r="BV83">
        <v>34.619999999999997</v>
      </c>
      <c r="BW83">
        <v>32.54</v>
      </c>
      <c r="BX83">
        <v>34.799999999999997</v>
      </c>
      <c r="BY83">
        <v>14.29</v>
      </c>
      <c r="BZ83">
        <v>7.79</v>
      </c>
      <c r="CA83">
        <v>13.95</v>
      </c>
      <c r="CB83">
        <v>-5.56</v>
      </c>
      <c r="CC83">
        <v>-14.5</v>
      </c>
      <c r="CD83" t="s">
        <v>4595</v>
      </c>
      <c r="CE83" t="s">
        <v>275</v>
      </c>
      <c r="CF83" s="8">
        <v>0.23632385120350111</v>
      </c>
      <c r="CG83" s="9">
        <v>0.79398502682523819</v>
      </c>
      <c r="CH83" s="8">
        <v>0.17575465142726898</v>
      </c>
      <c r="CI83" s="8">
        <v>-5.4327808320522308E-2</v>
      </c>
      <c r="CJ83" s="8">
        <v>0.10197865217924118</v>
      </c>
      <c r="CK83" s="8">
        <v>0.26346158981323242</v>
      </c>
      <c r="CL83" s="8">
        <v>3.6544892936944962E-2</v>
      </c>
      <c r="CM83" s="9">
        <v>1.5315315723419189</v>
      </c>
      <c r="CN83" s="9">
        <v>-0.5827067494392395</v>
      </c>
      <c r="CO83" s="9">
        <v>1.6991430521011353</v>
      </c>
      <c r="CP83" s="9">
        <v>1.6796537637710571</v>
      </c>
      <c r="CQ83" s="9">
        <v>-2.1983470916748047</v>
      </c>
      <c r="CR83">
        <v>29.557544620174628</v>
      </c>
      <c r="CS83">
        <v>2.8235449187726025</v>
      </c>
      <c r="CT83">
        <v>1.25</v>
      </c>
      <c r="CU83" s="8">
        <v>0.10468239560723305</v>
      </c>
      <c r="CV83" s="9">
        <v>0.42585490942001342</v>
      </c>
      <c r="CW83">
        <v>0.06</v>
      </c>
      <c r="CX83">
        <v>8.8433418923016287</v>
      </c>
      <c r="CY83">
        <v>292845050.15625709</v>
      </c>
      <c r="CZ83">
        <v>0.10468239560723305</v>
      </c>
      <c r="DA83">
        <v>2.8542735578052931</v>
      </c>
      <c r="DB83">
        <v>907316291.71216977</v>
      </c>
      <c r="DC83">
        <v>9.9448275826871393E-2</v>
      </c>
      <c r="DD83">
        <v>1.3818345096421012</v>
      </c>
      <c r="DE83">
        <v>1874123769.4742091</v>
      </c>
      <c r="DF83">
        <v>9.2120508134365092E-2</v>
      </c>
      <c r="DG83">
        <v>0.81423581622180485</v>
      </c>
      <c r="DH83">
        <v>3180563724.1761122</v>
      </c>
      <c r="DI83">
        <v>8.3745916485786442E-2</v>
      </c>
      <c r="DJ83">
        <v>0.40330564553861303</v>
      </c>
      <c r="DK83">
        <v>6421256257.2523069</v>
      </c>
      <c r="DL83">
        <v>7.3277676925063137E-2</v>
      </c>
      <c r="DM83">
        <v>281000000</v>
      </c>
      <c r="DN83">
        <v>0.10468239560723305</v>
      </c>
      <c r="DO83">
        <v>2589728900</v>
      </c>
      <c r="DP83">
        <v>818606800</v>
      </c>
      <c r="DQ83">
        <v>1912</v>
      </c>
      <c r="DR83">
        <v>0.13164145559626805</v>
      </c>
      <c r="DS83">
        <v>0.36813011740522478</v>
      </c>
      <c r="DT83" s="10">
        <v>-0.1566666666666667</v>
      </c>
      <c r="DU83">
        <v>0.50666666666666671</v>
      </c>
      <c r="DV83">
        <v>0.35</v>
      </c>
      <c r="DW83">
        <v>-8.3834482758620688</v>
      </c>
      <c r="DX83">
        <v>0.36153532338308408</v>
      </c>
      <c r="DY83">
        <v>-8.0696094067593069</v>
      </c>
      <c r="DZ83">
        <v>952</v>
      </c>
      <c r="EA83">
        <v>-8.0566410789246969</v>
      </c>
      <c r="EB83">
        <v>8</v>
      </c>
      <c r="EC83">
        <v>5.6622752012609495E-2</v>
      </c>
      <c r="ED83">
        <v>0.31191038172290819</v>
      </c>
      <c r="EE83" s="11">
        <v>1.1454</v>
      </c>
      <c r="EF83">
        <v>1.1205000000000001</v>
      </c>
      <c r="EG83">
        <v>18.181535323383084</v>
      </c>
      <c r="EH83" t="s">
        <v>1725</v>
      </c>
      <c r="EI83">
        <v>0</v>
      </c>
      <c r="EJ83">
        <v>1</v>
      </c>
      <c r="EK83" s="13">
        <v>45470</v>
      </c>
      <c r="EL83" s="14">
        <v>0.17</v>
      </c>
      <c r="EM83" s="14">
        <v>0.17</v>
      </c>
      <c r="EN83" s="14">
        <v>1.36</v>
      </c>
      <c r="EO83" s="14">
        <v>1.17</v>
      </c>
      <c r="EP83" s="14">
        <v>-2.4900000000000002</v>
      </c>
    </row>
    <row r="84" spans="1:146" ht="108">
      <c r="C84" s="7" t="str">
        <f>""&amp;CHAR(10)&amp;Basic_Fundamental_Information_Constructure(F84)&amp;CHAR(10)&amp;Basic_Fundamental_Information_Concatenate("")</f>
        <v xml:space="preserve">
市值32.161904亿, 利润1.02亿; PE29.02; 平均PE41.92; 平均PEG2.62, PB2.89; ROIC7.0133%; ROE7.34%; 股利率.5284%; 毛利64.1467%; 净利19.59%; 上一年度营收增20.29%, 利润增35.17%; 当季营收增0%, 利润增54.33%; 过往5年营收增15.99%, 利润增8.49%
Income profile:
</v>
      </c>
      <c r="D84" t="s">
        <v>4596</v>
      </c>
      <c r="E84" t="s">
        <v>4597</v>
      </c>
      <c r="F84">
        <v>15.14</v>
      </c>
      <c r="G84">
        <v>0.8</v>
      </c>
      <c r="H84" t="s">
        <v>4598</v>
      </c>
      <c r="I84">
        <v>3216190400</v>
      </c>
      <c r="J84">
        <v>29.02</v>
      </c>
      <c r="K84">
        <v>2.89</v>
      </c>
      <c r="L84" t="s">
        <v>85</v>
      </c>
      <c r="M84" t="s">
        <v>151</v>
      </c>
      <c r="N84" t="s">
        <v>1354</v>
      </c>
      <c r="O84" t="s">
        <v>189</v>
      </c>
      <c r="P84" s="5">
        <v>0.13</v>
      </c>
      <c r="Q84" t="s">
        <v>231</v>
      </c>
      <c r="R84">
        <v>25318156</v>
      </c>
      <c r="S84">
        <v>0.54330000000000001</v>
      </c>
      <c r="T84" t="s">
        <v>249</v>
      </c>
      <c r="U84">
        <v>138217240</v>
      </c>
      <c r="V84">
        <v>212430010</v>
      </c>
      <c r="W84">
        <v>1.08</v>
      </c>
      <c r="X84">
        <v>0.09</v>
      </c>
      <c r="Y84">
        <v>23.31</v>
      </c>
      <c r="Z84" t="s">
        <v>4599</v>
      </c>
      <c r="AA84" t="s">
        <v>4600</v>
      </c>
      <c r="AB84" t="s">
        <v>4601</v>
      </c>
      <c r="AC84" t="s">
        <v>4602</v>
      </c>
      <c r="AD84" t="s">
        <v>90</v>
      </c>
      <c r="AE84">
        <v>-986231</v>
      </c>
      <c r="AF84" t="s">
        <v>4603</v>
      </c>
      <c r="AG84">
        <v>718.7</v>
      </c>
      <c r="AH84" t="s">
        <v>4604</v>
      </c>
      <c r="AI84" t="s">
        <v>160</v>
      </c>
      <c r="AJ84" t="s">
        <v>4605</v>
      </c>
      <c r="AK84" t="s">
        <v>4606</v>
      </c>
      <c r="AL84" t="s">
        <v>4607</v>
      </c>
      <c r="AM84" t="s">
        <v>90</v>
      </c>
      <c r="AN84" t="s">
        <v>4608</v>
      </c>
      <c r="AO84" t="s">
        <v>90</v>
      </c>
      <c r="AP84" t="s">
        <v>90</v>
      </c>
      <c r="AQ84" t="s">
        <v>4609</v>
      </c>
      <c r="AR84" t="s">
        <v>90</v>
      </c>
      <c r="AS84" t="s">
        <v>4610</v>
      </c>
      <c r="AT84" t="s">
        <v>90</v>
      </c>
      <c r="AU84" t="s">
        <v>4611</v>
      </c>
      <c r="AV84" t="s">
        <v>4612</v>
      </c>
      <c r="AW84" t="s">
        <v>90</v>
      </c>
      <c r="AX84" t="s">
        <v>1574</v>
      </c>
      <c r="AY84" t="s">
        <v>691</v>
      </c>
      <c r="AZ84" t="s">
        <v>311</v>
      </c>
      <c r="BA84" t="s">
        <v>555</v>
      </c>
      <c r="BB84" t="s">
        <v>111</v>
      </c>
      <c r="BC84" t="s">
        <v>4613</v>
      </c>
      <c r="BD84" t="s">
        <v>4614</v>
      </c>
      <c r="BE84" t="s">
        <v>4615</v>
      </c>
      <c r="BF84" t="s">
        <v>4616</v>
      </c>
      <c r="BG84" t="s">
        <v>4617</v>
      </c>
      <c r="BH84" t="s">
        <v>231</v>
      </c>
      <c r="BI84" t="s">
        <v>189</v>
      </c>
      <c r="BJ84" t="s">
        <v>1574</v>
      </c>
      <c r="BK84" t="s">
        <v>249</v>
      </c>
      <c r="BL84" t="s">
        <v>4618</v>
      </c>
      <c r="BM84" t="s">
        <v>4613</v>
      </c>
      <c r="BN84">
        <v>6.29</v>
      </c>
      <c r="BO84">
        <v>7.55</v>
      </c>
      <c r="BP84">
        <v>7.2</v>
      </c>
      <c r="BQ84">
        <v>6.82</v>
      </c>
      <c r="BR84">
        <v>7.84</v>
      </c>
      <c r="BS84">
        <v>7.36</v>
      </c>
      <c r="BT84" t="s">
        <v>2543</v>
      </c>
      <c r="BU84" t="s">
        <v>3551</v>
      </c>
      <c r="BV84">
        <v>64.45</v>
      </c>
      <c r="BW84">
        <v>63.49</v>
      </c>
      <c r="BX84">
        <v>64.5</v>
      </c>
      <c r="BY84">
        <v>20.350000000000001</v>
      </c>
      <c r="BZ84">
        <v>18.32</v>
      </c>
      <c r="CA84">
        <v>20.100000000000001</v>
      </c>
      <c r="CB84">
        <v>-5.96</v>
      </c>
      <c r="CC84" s="8">
        <v>-10.039999999999999</v>
      </c>
      <c r="CD84" s="9" t="s">
        <v>4619</v>
      </c>
      <c r="CE84" s="8" t="s">
        <v>4620</v>
      </c>
      <c r="CF84" s="8">
        <v>0</v>
      </c>
      <c r="CG84" s="8">
        <v>0.54330066076609851</v>
      </c>
      <c r="CH84" s="8">
        <v>0.2028985470533371</v>
      </c>
      <c r="CI84" s="8">
        <v>0.17280453443527222</v>
      </c>
      <c r="CJ84" s="9">
        <v>0.22145329415798187</v>
      </c>
      <c r="CK84" s="9">
        <v>1.0489510372281075E-2</v>
      </c>
      <c r="CL84" s="9">
        <v>0.19166666269302368</v>
      </c>
      <c r="CM84" s="9">
        <v>0.3517221212387085</v>
      </c>
      <c r="CN84" s="9">
        <v>7.7220499515533447E-2</v>
      </c>
      <c r="CO84">
        <v>0.17068426311016083</v>
      </c>
      <c r="CP84">
        <v>-0.24204638600349426</v>
      </c>
      <c r="CQ84">
        <v>6.6679999232292175E-2</v>
      </c>
      <c r="CR84" s="8">
        <v>41.922831883015803</v>
      </c>
      <c r="CS84" s="9">
        <v>2.6224304842064012</v>
      </c>
      <c r="CT84">
        <v>0.52840158520475566</v>
      </c>
      <c r="CU84">
        <v>0.1598625097423792</v>
      </c>
      <c r="CV84">
        <v>8.4852099418640137E-2</v>
      </c>
      <c r="CW84">
        <v>0.06</v>
      </c>
      <c r="CX84">
        <v>19.758104393002334</v>
      </c>
      <c r="CY84">
        <v>111609411.31483269</v>
      </c>
      <c r="CZ84">
        <v>0.1598625097423792</v>
      </c>
      <c r="DA84">
        <v>6.0887816071888308</v>
      </c>
      <c r="DB84">
        <v>362172687.78311932</v>
      </c>
      <c r="DC84">
        <v>0.15186938425526023</v>
      </c>
      <c r="DD84">
        <v>2.7656089645576918</v>
      </c>
      <c r="DE84">
        <v>797361603.99403381</v>
      </c>
      <c r="DF84">
        <v>0.14067900857329368</v>
      </c>
      <c r="DG84">
        <v>1.5124436597660578</v>
      </c>
      <c r="DH84">
        <v>1458031435.2609308</v>
      </c>
      <c r="DI84">
        <v>0.12789000779390336</v>
      </c>
      <c r="DJ84">
        <v>0.63015298709739942</v>
      </c>
      <c r="DK84">
        <v>3499452426.874167</v>
      </c>
      <c r="DL84">
        <v>0.11190375681966543</v>
      </c>
      <c r="DM84">
        <v>102000000</v>
      </c>
      <c r="DN84">
        <v>0.1598625097423792</v>
      </c>
      <c r="DO84">
        <v>2205190400</v>
      </c>
      <c r="DP84">
        <v>531410000</v>
      </c>
      <c r="DQ84" s="10">
        <v>1916</v>
      </c>
      <c r="DR84">
        <v>-0.1598625097423792</v>
      </c>
      <c r="DS84">
        <v>0.45844856134745837</v>
      </c>
      <c r="DT84">
        <v>0.10999999999999995</v>
      </c>
      <c r="DU84">
        <v>0.18333333333333335</v>
      </c>
      <c r="DV84">
        <v>0.29333333333333328</v>
      </c>
      <c r="DW84">
        <v>-8.5936254980079685</v>
      </c>
      <c r="DX84">
        <v>0.32414504777098557</v>
      </c>
      <c r="DY84">
        <v>-8.0796319207883549</v>
      </c>
      <c r="DZ84">
        <v>1062</v>
      </c>
      <c r="EA84">
        <v>-8.0630821947849824</v>
      </c>
      <c r="EB84" s="11">
        <v>8</v>
      </c>
      <c r="EC84" s="11">
        <v>5.3907637626152728E-2</v>
      </c>
      <c r="ED84">
        <v>0.40186082936210377</v>
      </c>
      <c r="EE84">
        <v>1.0226</v>
      </c>
      <c r="EF84">
        <v>1.0077100000000001</v>
      </c>
      <c r="EG84">
        <v>19.134145047770986</v>
      </c>
      <c r="EH84" s="13" t="s">
        <v>1733</v>
      </c>
      <c r="EI84">
        <v>0</v>
      </c>
      <c r="EJ84">
        <v>1</v>
      </c>
      <c r="EK84">
        <v>45470</v>
      </c>
      <c r="EL84">
        <v>-1.05</v>
      </c>
      <c r="EM84">
        <v>-5.09</v>
      </c>
      <c r="EN84" s="14">
        <v>0.69</v>
      </c>
      <c r="EO84" s="14">
        <v>2.1</v>
      </c>
      <c r="EP84" s="14">
        <v>-3.03</v>
      </c>
    </row>
    <row r="85" spans="1:146" ht="96">
      <c r="A85" s="7"/>
      <c r="B85" s="7"/>
      <c r="C85" s="7" t="str">
        <f>""&amp;CHAR(10)&amp;Basic_Fundamental_Information_Constructure(F85)&amp;CHAR(10)&amp;Basic_Fundamental_Information_Concatenate("")</f>
        <v xml:space="preserve">
市值32.453112亿, 利润-4550.94万; PE; 平均PE-45.19; 平均PEG-3.06, PB4.02; ROIC2.26%; ROE.84%; 股利率0%; 毛利32.82%; 净利-1.7867%; 上一年度营收增3.99%, 利润增-314.46%; 当季营收增-56.53%, 利润增-215.4%; 过往5年营收增14.75%, 利润增-5.59%
Income profile:
</v>
      </c>
      <c r="D85" t="s">
        <v>1474</v>
      </c>
      <c r="E85" t="s">
        <v>1475</v>
      </c>
      <c r="F85">
        <v>6.06</v>
      </c>
      <c r="G85">
        <v>-0.82</v>
      </c>
      <c r="H85" t="s">
        <v>4621</v>
      </c>
      <c r="I85">
        <v>3245311200</v>
      </c>
      <c r="K85">
        <v>4.0199999999999996</v>
      </c>
      <c r="L85" t="s">
        <v>85</v>
      </c>
      <c r="M85" t="s">
        <v>344</v>
      </c>
      <c r="N85" t="s">
        <v>4622</v>
      </c>
      <c r="O85" t="s">
        <v>2705</v>
      </c>
      <c r="P85">
        <v>-56.48</v>
      </c>
      <c r="Q85" t="s">
        <v>2282</v>
      </c>
      <c r="R85">
        <v>-8544624</v>
      </c>
      <c r="S85" s="5">
        <v>-2.1539999999999999</v>
      </c>
      <c r="T85" t="s">
        <v>2706</v>
      </c>
      <c r="U85">
        <v>419986260</v>
      </c>
      <c r="V85">
        <v>535529910</v>
      </c>
      <c r="W85">
        <v>1.8</v>
      </c>
      <c r="X85">
        <v>0.05</v>
      </c>
      <c r="Y85">
        <v>-15.34</v>
      </c>
      <c r="Z85" t="s">
        <v>4623</v>
      </c>
      <c r="AA85" t="s">
        <v>4624</v>
      </c>
      <c r="AB85" t="s">
        <v>4625</v>
      </c>
      <c r="AC85" t="s">
        <v>4626</v>
      </c>
      <c r="AD85" t="s">
        <v>90</v>
      </c>
      <c r="AE85">
        <v>1602155</v>
      </c>
      <c r="AF85" t="s">
        <v>2707</v>
      </c>
      <c r="AG85" t="s">
        <v>4627</v>
      </c>
      <c r="AH85" t="s">
        <v>2708</v>
      </c>
      <c r="AI85" t="s">
        <v>4628</v>
      </c>
      <c r="AJ85" t="s">
        <v>2709</v>
      </c>
      <c r="AK85" t="s">
        <v>4629</v>
      </c>
      <c r="AL85" t="s">
        <v>2710</v>
      </c>
      <c r="AM85" t="s">
        <v>90</v>
      </c>
      <c r="AN85">
        <v>0</v>
      </c>
      <c r="AO85" t="s">
        <v>1339</v>
      </c>
      <c r="AP85" t="s">
        <v>4630</v>
      </c>
      <c r="AQ85" t="s">
        <v>693</v>
      </c>
      <c r="AR85" t="s">
        <v>90</v>
      </c>
      <c r="AS85" t="s">
        <v>269</v>
      </c>
      <c r="AT85" t="s">
        <v>1858</v>
      </c>
      <c r="AU85" t="s">
        <v>4631</v>
      </c>
      <c r="AV85" t="s">
        <v>4632</v>
      </c>
      <c r="AW85" t="s">
        <v>4633</v>
      </c>
      <c r="AX85" t="s">
        <v>1399</v>
      </c>
      <c r="AY85" t="s">
        <v>994</v>
      </c>
      <c r="AZ85" t="s">
        <v>386</v>
      </c>
      <c r="BA85" t="s">
        <v>538</v>
      </c>
      <c r="BB85" t="s">
        <v>327</v>
      </c>
      <c r="BC85" t="s">
        <v>2711</v>
      </c>
      <c r="BD85" t="s">
        <v>1476</v>
      </c>
      <c r="BE85" t="s">
        <v>1477</v>
      </c>
      <c r="BF85" t="s">
        <v>1478</v>
      </c>
      <c r="BG85" t="s">
        <v>1479</v>
      </c>
      <c r="BH85" t="s">
        <v>2282</v>
      </c>
      <c r="BI85" t="s">
        <v>542</v>
      </c>
      <c r="BJ85" t="s">
        <v>1399</v>
      </c>
      <c r="BK85" t="s">
        <v>2706</v>
      </c>
      <c r="BL85" t="s">
        <v>2712</v>
      </c>
      <c r="BM85" t="s">
        <v>2711</v>
      </c>
      <c r="BN85">
        <v>1.77</v>
      </c>
      <c r="BO85">
        <v>2.75</v>
      </c>
      <c r="BP85" t="s">
        <v>90</v>
      </c>
      <c r="BQ85">
        <v>1.18</v>
      </c>
      <c r="BR85">
        <v>2.4700000000000002</v>
      </c>
      <c r="BS85">
        <v>-1.1299999999999999</v>
      </c>
      <c r="BT85" t="s">
        <v>1692</v>
      </c>
      <c r="BU85" t="s">
        <v>1381</v>
      </c>
      <c r="BV85">
        <v>31.33</v>
      </c>
      <c r="BW85">
        <v>31.81</v>
      </c>
      <c r="BX85">
        <v>35.32</v>
      </c>
      <c r="BY85">
        <v>-5.05</v>
      </c>
      <c r="BZ85">
        <v>2.66</v>
      </c>
      <c r="CA85">
        <v>-2.97</v>
      </c>
      <c r="CB85">
        <v>-1.1399999999999999</v>
      </c>
      <c r="CC85">
        <v>-9.2799999999999994</v>
      </c>
      <c r="CD85" t="s">
        <v>418</v>
      </c>
      <c r="CE85" t="s">
        <v>1459</v>
      </c>
      <c r="CF85" s="8">
        <v>-0.56532023121387287</v>
      </c>
      <c r="CG85" s="9">
        <v>-2.1540239323627128</v>
      </c>
      <c r="CH85" s="8">
        <v>3.9850559085607529E-2</v>
      </c>
      <c r="CI85" s="8">
        <v>0.367972731590271</v>
      </c>
      <c r="CJ85" s="8">
        <v>7.706422358751297E-2</v>
      </c>
      <c r="CK85" s="8">
        <v>9.0000003576278687E-2</v>
      </c>
      <c r="CL85" s="8">
        <v>0.1627907007932663</v>
      </c>
      <c r="CM85" s="9">
        <v>-3.1446363925933838</v>
      </c>
      <c r="CN85" s="9">
        <v>3.2278788089752197</v>
      </c>
      <c r="CO85" s="9">
        <v>-1.502893328666687</v>
      </c>
      <c r="CP85" s="9">
        <v>1.093300461769104</v>
      </c>
      <c r="CQ85" s="9">
        <v>4.6948358416557312E-2</v>
      </c>
      <c r="CR85">
        <v>-45.191547136390888</v>
      </c>
      <c r="CS85">
        <v>-3.0630935003164228</v>
      </c>
      <c r="CT85">
        <v>0</v>
      </c>
      <c r="CU85" s="8">
        <v>0.14753564372658728</v>
      </c>
      <c r="CV85" s="9">
        <v>-5.588041841983795E-2</v>
      </c>
      <c r="CW85">
        <v>0.06</v>
      </c>
      <c r="CX85" t="e">
        <v>#VALUE!</v>
      </c>
      <c r="CY85" t="s">
        <v>1392</v>
      </c>
      <c r="CZ85">
        <v>0.14753564372658728</v>
      </c>
      <c r="DA85" t="e">
        <v>#VALUE!</v>
      </c>
      <c r="DB85" t="s">
        <v>1391</v>
      </c>
      <c r="DC85">
        <v>0.14015886154025792</v>
      </c>
      <c r="DD85" t="e">
        <v>#VALUE!</v>
      </c>
      <c r="DE85" t="s">
        <v>1391</v>
      </c>
      <c r="DF85">
        <v>0.1298313664793968</v>
      </c>
      <c r="DG85" t="e">
        <v>#VALUE!</v>
      </c>
      <c r="DH85" t="s">
        <v>1391</v>
      </c>
      <c r="DI85">
        <v>0.11802851498126983</v>
      </c>
      <c r="DJ85" t="e">
        <v>#VALUE!</v>
      </c>
      <c r="DK85" t="s">
        <v>1391</v>
      </c>
      <c r="DL85">
        <v>0.1032749506086111</v>
      </c>
      <c r="DM85">
        <v>-45509399.999999993</v>
      </c>
      <c r="DN85">
        <v>0.14753564372658728</v>
      </c>
      <c r="DO85">
        <v>3097311200</v>
      </c>
      <c r="DP85">
        <v>393878160</v>
      </c>
      <c r="DQ85">
        <v>1937</v>
      </c>
      <c r="DR85">
        <v>-0.7128558749404601</v>
      </c>
      <c r="DS85">
        <v>-2.0981435139428748</v>
      </c>
      <c r="DT85" s="10">
        <v>-0.19000000000000003</v>
      </c>
      <c r="DU85">
        <v>-2.2400000000000002</v>
      </c>
      <c r="DV85">
        <v>-2.4300000000000002</v>
      </c>
      <c r="DW85">
        <v>-2.0928</v>
      </c>
      <c r="DX85">
        <v>0.39569794050343166</v>
      </c>
      <c r="DY85">
        <v>-2.0218727688787186</v>
      </c>
      <c r="DZ85">
        <v>4636</v>
      </c>
      <c r="EA85">
        <v>-2.0020289026318028</v>
      </c>
      <c r="EB85">
        <v>2</v>
      </c>
      <c r="EC85">
        <v>0.19233286148293752</v>
      </c>
      <c r="ED85">
        <v>0.81601417930139508</v>
      </c>
      <c r="EE85" s="11">
        <v>4.0834099999999998</v>
      </c>
      <c r="EF85">
        <v>4.0313100000000004</v>
      </c>
      <c r="EG85">
        <v>16.235697940503432</v>
      </c>
      <c r="EH85" t="s">
        <v>2132</v>
      </c>
      <c r="EI85">
        <v>0</v>
      </c>
      <c r="EJ85">
        <v>0</v>
      </c>
      <c r="EK85" s="13">
        <v>45470</v>
      </c>
      <c r="EL85" s="14">
        <v>-1.97</v>
      </c>
      <c r="EM85" s="14">
        <v>-5.53</v>
      </c>
      <c r="EN85" s="14">
        <v>0.89</v>
      </c>
      <c r="EO85" s="14">
        <v>4.57</v>
      </c>
      <c r="EP85" s="14">
        <v>5.21</v>
      </c>
    </row>
    <row r="86" spans="1:146" ht="108">
      <c r="A86" s="7"/>
      <c r="B86" s="7"/>
      <c r="C86" s="7" t="str">
        <f>""&amp;CHAR(10)&amp;Basic_Fundamental_Information_Constructure(F86)&amp;CHAR(10)&amp;Basic_Fundamental_Information_Concatenate("")</f>
        <v xml:space="preserve">
市值68.259362亿, 利润3.47亿; PE19.56; 平均PE26.51; 平均PEG1.83, PB2.59; ROIC12.69%; ROE12.3333%; 股利率1.5249%; 毛利50.94%; 净利25.4133%; 上一年度营收增12.67%, 利润增12.3%; 当季营收增17.07%, 利润增2.88%; 过往5年营收增14.51%, 利润增16.29%
Income profile:
</v>
      </c>
      <c r="D86" t="s">
        <v>522</v>
      </c>
      <c r="E86" t="s">
        <v>523</v>
      </c>
      <c r="F86">
        <v>32.79</v>
      </c>
      <c r="G86">
        <v>0.49</v>
      </c>
      <c r="H86" t="s">
        <v>4634</v>
      </c>
      <c r="I86">
        <v>6825936200</v>
      </c>
      <c r="J86">
        <v>19.559999999999999</v>
      </c>
      <c r="K86">
        <v>2.59</v>
      </c>
      <c r="L86" t="s">
        <v>85</v>
      </c>
      <c r="M86" t="s">
        <v>1789</v>
      </c>
      <c r="N86" t="s">
        <v>4635</v>
      </c>
      <c r="O86" t="s">
        <v>1870</v>
      </c>
      <c r="P86">
        <v>17.100000000000001</v>
      </c>
      <c r="Q86" t="s">
        <v>1515</v>
      </c>
      <c r="R86">
        <v>82885498</v>
      </c>
      <c r="S86" s="5">
        <v>2.8799999999999999E-2</v>
      </c>
      <c r="T86" t="s">
        <v>757</v>
      </c>
      <c r="U86">
        <v>198304580</v>
      </c>
      <c r="V86">
        <v>208171280</v>
      </c>
      <c r="W86">
        <v>1.17</v>
      </c>
      <c r="X86">
        <v>0.11</v>
      </c>
      <c r="Y86">
        <v>24.67</v>
      </c>
      <c r="Z86" t="s">
        <v>444</v>
      </c>
      <c r="AA86" t="s">
        <v>288</v>
      </c>
      <c r="AB86" t="s">
        <v>4636</v>
      </c>
      <c r="AC86" t="s">
        <v>4637</v>
      </c>
      <c r="AD86" t="s">
        <v>90</v>
      </c>
      <c r="AE86">
        <v>123841</v>
      </c>
      <c r="AF86" t="s">
        <v>2713</v>
      </c>
      <c r="AG86" t="s">
        <v>2611</v>
      </c>
      <c r="AH86" t="s">
        <v>2714</v>
      </c>
      <c r="AI86" t="s">
        <v>859</v>
      </c>
      <c r="AJ86" t="s">
        <v>2715</v>
      </c>
      <c r="AK86" t="s">
        <v>4638</v>
      </c>
      <c r="AL86" t="s">
        <v>2716</v>
      </c>
      <c r="AM86" t="s">
        <v>90</v>
      </c>
      <c r="AN86" t="s">
        <v>394</v>
      </c>
      <c r="AO86" t="s">
        <v>90</v>
      </c>
      <c r="AP86" t="s">
        <v>4639</v>
      </c>
      <c r="AQ86" t="s">
        <v>96</v>
      </c>
      <c r="AR86" t="s">
        <v>90</v>
      </c>
      <c r="AS86" t="s">
        <v>530</v>
      </c>
      <c r="AT86" t="s">
        <v>90</v>
      </c>
      <c r="AU86" t="s">
        <v>4640</v>
      </c>
      <c r="AV86" t="s">
        <v>4641</v>
      </c>
      <c r="AW86" t="s">
        <v>4642</v>
      </c>
      <c r="AX86" t="s">
        <v>1864</v>
      </c>
      <c r="AY86" t="s">
        <v>1102</v>
      </c>
      <c r="AZ86" t="s">
        <v>864</v>
      </c>
      <c r="BA86" t="s">
        <v>524</v>
      </c>
      <c r="BB86" t="s">
        <v>865</v>
      </c>
      <c r="BC86" t="s">
        <v>1308</v>
      </c>
      <c r="BD86" t="s">
        <v>619</v>
      </c>
      <c r="BE86" t="s">
        <v>494</v>
      </c>
      <c r="BF86" t="s">
        <v>272</v>
      </c>
      <c r="BG86" t="s">
        <v>138</v>
      </c>
      <c r="BH86" t="s">
        <v>1515</v>
      </c>
      <c r="BI86" t="s">
        <v>619</v>
      </c>
      <c r="BJ86" t="s">
        <v>1864</v>
      </c>
      <c r="BK86" t="s">
        <v>757</v>
      </c>
      <c r="BL86" t="s">
        <v>2717</v>
      </c>
      <c r="BM86" t="s">
        <v>1308</v>
      </c>
      <c r="BN86">
        <v>10.14</v>
      </c>
      <c r="BO86">
        <v>13.05</v>
      </c>
      <c r="BP86">
        <v>14.88</v>
      </c>
      <c r="BQ86">
        <v>9.9600000000000009</v>
      </c>
      <c r="BR86">
        <v>13.25</v>
      </c>
      <c r="BS86">
        <v>13.79</v>
      </c>
      <c r="BT86" t="s">
        <v>1702</v>
      </c>
      <c r="BU86" t="s">
        <v>1381</v>
      </c>
      <c r="BV86">
        <v>49.65</v>
      </c>
      <c r="BW86">
        <v>51.34</v>
      </c>
      <c r="BX86">
        <v>51.83</v>
      </c>
      <c r="BY86">
        <v>25.34</v>
      </c>
      <c r="BZ86">
        <v>25.48</v>
      </c>
      <c r="CA86">
        <v>25.42</v>
      </c>
      <c r="CB86">
        <v>-3.02</v>
      </c>
      <c r="CC86">
        <v>-6.45</v>
      </c>
      <c r="CD86" t="s">
        <v>4643</v>
      </c>
      <c r="CE86" t="s">
        <v>4644</v>
      </c>
      <c r="CF86" s="8">
        <v>0.17073170731707318</v>
      </c>
      <c r="CG86" s="9">
        <v>2.8815575194876122E-2</v>
      </c>
      <c r="CH86" s="8">
        <v>0.12674885988235474</v>
      </c>
      <c r="CI86" s="8">
        <v>7.3321610689163208E-2</v>
      </c>
      <c r="CJ86" s="8">
        <v>0.22510822117328644</v>
      </c>
      <c r="CK86" s="8">
        <v>4.0540538728237152E-2</v>
      </c>
      <c r="CL86" s="8">
        <v>0.25957447290420532</v>
      </c>
      <c r="CM86" s="9">
        <v>0.12297734618186951</v>
      </c>
      <c r="CN86" s="9">
        <v>7.6655052602291107E-2</v>
      </c>
      <c r="CO86" s="9">
        <v>0.36018958687782288</v>
      </c>
      <c r="CP86" s="9">
        <v>-4.5248869806528091E-2</v>
      </c>
      <c r="CQ86" s="9">
        <v>0.30000001192092896</v>
      </c>
      <c r="CR86">
        <v>26.508490097087378</v>
      </c>
      <c r="CS86">
        <v>1.8274314235497726</v>
      </c>
      <c r="CT86">
        <v>1.5248551387618177</v>
      </c>
      <c r="CU86" s="8">
        <v>0.14505874067544938</v>
      </c>
      <c r="CV86" s="9">
        <v>0.16291462555527686</v>
      </c>
      <c r="CW86">
        <v>0.06</v>
      </c>
      <c r="CX86">
        <v>12.434312631606693</v>
      </c>
      <c r="CY86">
        <v>374844700.95696312</v>
      </c>
      <c r="CZ86">
        <v>0.14505874067544938</v>
      </c>
      <c r="DA86">
        <v>3.8794650853889361</v>
      </c>
      <c r="DB86">
        <v>1201437852.232331</v>
      </c>
      <c r="DC86">
        <v>0.13780580364167691</v>
      </c>
      <c r="DD86">
        <v>1.7927888468941193</v>
      </c>
      <c r="DE86">
        <v>2599824406.5801415</v>
      </c>
      <c r="DF86">
        <v>0.12765169179439545</v>
      </c>
      <c r="DG86">
        <v>1.0007532809285402</v>
      </c>
      <c r="DH86">
        <v>4657427848.4257288</v>
      </c>
      <c r="DI86">
        <v>0.11604699254035951</v>
      </c>
      <c r="DJ86">
        <v>0.43772416850453344</v>
      </c>
      <c r="DK86">
        <v>10648112522.376583</v>
      </c>
      <c r="DL86">
        <v>0.10154111847281456</v>
      </c>
      <c r="DM86">
        <v>347000000</v>
      </c>
      <c r="DN86">
        <v>0.14505874067544938</v>
      </c>
      <c r="DO86">
        <v>4660936200</v>
      </c>
      <c r="DP86">
        <v>1890669200</v>
      </c>
      <c r="DQ86">
        <v>1941</v>
      </c>
      <c r="DR86">
        <v>2.5672966641623801E-2</v>
      </c>
      <c r="DS86">
        <v>-0.13409905036040073</v>
      </c>
      <c r="DT86" s="10">
        <v>-0.20666666666666669</v>
      </c>
      <c r="DU86">
        <v>0.23333333333333331</v>
      </c>
      <c r="DV86">
        <v>2.6666666666666616E-2</v>
      </c>
      <c r="DW86">
        <v>-8.4682170542635653</v>
      </c>
      <c r="DX86">
        <v>0.42056734509875926</v>
      </c>
      <c r="DY86">
        <v>-8.0658160282477915</v>
      </c>
      <c r="DZ86">
        <v>1658</v>
      </c>
      <c r="EA86">
        <v>-8.0444612386519321</v>
      </c>
      <c r="EB86">
        <v>8</v>
      </c>
      <c r="EC86">
        <v>2.022132928231022E-2</v>
      </c>
      <c r="ED86">
        <v>0.14385509855153891</v>
      </c>
      <c r="EE86" s="11">
        <v>6.9999999999999993E-3</v>
      </c>
      <c r="EF86">
        <v>1.9709999999999998E-2</v>
      </c>
      <c r="EG86">
        <v>28.140567345098759</v>
      </c>
      <c r="EH86">
        <v>-1</v>
      </c>
      <c r="EI86">
        <v>0</v>
      </c>
      <c r="EJ86">
        <v>0</v>
      </c>
      <c r="EK86" s="13">
        <v>45470</v>
      </c>
      <c r="EL86" s="14">
        <v>-0.53</v>
      </c>
      <c r="EM86" s="14">
        <v>-2.19</v>
      </c>
      <c r="EN86" s="14">
        <v>1.18</v>
      </c>
      <c r="EO86" s="14">
        <v>1.97</v>
      </c>
      <c r="EP86" s="14">
        <v>-2.67</v>
      </c>
    </row>
    <row r="87" spans="1:146" ht="108">
      <c r="A87" s="7"/>
      <c r="B87" s="7"/>
      <c r="C87" s="7" t="str">
        <f>""&amp;CHAR(10)&amp;Basic_Fundamental_Information_Constructure(F87)&amp;CHAR(10)&amp;Basic_Fundamental_Information_Concatenate("")</f>
        <v xml:space="preserve">
市值32.30746亿, 利润1.35亿; PE22.79; 平均PE28.38; 平均PEG2.93, PB2.34; ROIC9.6867%; ROE10%; 股利率1.0256%; 毛利47.8767%; 净利25.18%; 上一年度营收增5.65%, 利润增20.54%; 当季营收增17.92%, 利润增33.64%; 过往5年营收增9.68%, 利润增26.12%
Income profile:
</v>
      </c>
      <c r="D87" t="s">
        <v>303</v>
      </c>
      <c r="E87" t="s">
        <v>40</v>
      </c>
      <c r="F87">
        <v>19.5</v>
      </c>
      <c r="G87">
        <v>-0.1</v>
      </c>
      <c r="H87" t="s">
        <v>4645</v>
      </c>
      <c r="I87">
        <v>3230746000</v>
      </c>
      <c r="J87">
        <v>22.79</v>
      </c>
      <c r="K87">
        <v>2.34</v>
      </c>
      <c r="L87" t="s">
        <v>85</v>
      </c>
      <c r="M87" t="s">
        <v>659</v>
      </c>
      <c r="N87" t="s">
        <v>4646</v>
      </c>
      <c r="O87" t="s">
        <v>579</v>
      </c>
      <c r="P87">
        <v>17.510000000000002</v>
      </c>
      <c r="Q87" t="s">
        <v>1309</v>
      </c>
      <c r="R87">
        <v>26133571</v>
      </c>
      <c r="S87" s="5">
        <v>0.33639999999999998</v>
      </c>
      <c r="T87" t="s">
        <v>334</v>
      </c>
      <c r="U87">
        <v>136696620</v>
      </c>
      <c r="V87">
        <v>165679280</v>
      </c>
      <c r="W87">
        <v>1.48</v>
      </c>
      <c r="X87">
        <v>7.0000000000000007E-2</v>
      </c>
      <c r="Y87">
        <v>20.95</v>
      </c>
      <c r="Z87" t="s">
        <v>818</v>
      </c>
      <c r="AA87" t="s">
        <v>4647</v>
      </c>
      <c r="AB87" t="s">
        <v>4648</v>
      </c>
      <c r="AC87" t="s">
        <v>4649</v>
      </c>
      <c r="AD87" t="s">
        <v>90</v>
      </c>
      <c r="AE87">
        <v>4221935</v>
      </c>
      <c r="AF87" t="s">
        <v>2718</v>
      </c>
      <c r="AG87" t="s">
        <v>4650</v>
      </c>
      <c r="AH87" t="s">
        <v>2719</v>
      </c>
      <c r="AI87" t="s">
        <v>432</v>
      </c>
      <c r="AJ87" t="s">
        <v>2720</v>
      </c>
      <c r="AK87" t="s">
        <v>4651</v>
      </c>
      <c r="AL87" t="s">
        <v>2721</v>
      </c>
      <c r="AM87" t="s">
        <v>90</v>
      </c>
      <c r="AN87" t="s">
        <v>4652</v>
      </c>
      <c r="AO87" t="s">
        <v>4653</v>
      </c>
      <c r="AP87" t="s">
        <v>4654</v>
      </c>
      <c r="AQ87" t="s">
        <v>4655</v>
      </c>
      <c r="AR87" t="s">
        <v>90</v>
      </c>
      <c r="AS87" t="s">
        <v>307</v>
      </c>
      <c r="AT87" t="s">
        <v>90</v>
      </c>
      <c r="AU87" t="s">
        <v>4656</v>
      </c>
      <c r="AV87" t="s">
        <v>2843</v>
      </c>
      <c r="AW87" t="s">
        <v>1407</v>
      </c>
      <c r="AX87" t="s">
        <v>1303</v>
      </c>
      <c r="AY87" t="s">
        <v>1175</v>
      </c>
      <c r="AZ87" t="s">
        <v>531</v>
      </c>
      <c r="BA87" t="s">
        <v>305</v>
      </c>
      <c r="BB87" t="s">
        <v>196</v>
      </c>
      <c r="BC87" t="s">
        <v>371</v>
      </c>
      <c r="BD87" t="s">
        <v>514</v>
      </c>
      <c r="BE87" t="s">
        <v>866</v>
      </c>
      <c r="BF87" t="s">
        <v>204</v>
      </c>
      <c r="BG87" t="s">
        <v>867</v>
      </c>
      <c r="BH87" t="s">
        <v>1309</v>
      </c>
      <c r="BI87" t="s">
        <v>597</v>
      </c>
      <c r="BJ87" t="s">
        <v>1303</v>
      </c>
      <c r="BK87" t="s">
        <v>334</v>
      </c>
      <c r="BL87" t="s">
        <v>2722</v>
      </c>
      <c r="BM87" t="s">
        <v>371</v>
      </c>
      <c r="BN87">
        <v>7.2</v>
      </c>
      <c r="BO87">
        <v>8.76</v>
      </c>
      <c r="BP87">
        <v>13.1</v>
      </c>
      <c r="BQ87">
        <v>7.33</v>
      </c>
      <c r="BR87">
        <v>9.02</v>
      </c>
      <c r="BS87">
        <v>13.65</v>
      </c>
      <c r="BT87" t="s">
        <v>1694</v>
      </c>
      <c r="BU87" t="s">
        <v>1337</v>
      </c>
      <c r="BV87">
        <v>46.12</v>
      </c>
      <c r="BW87">
        <v>47.87</v>
      </c>
      <c r="BX87">
        <v>49.64</v>
      </c>
      <c r="BY87">
        <v>24.09</v>
      </c>
      <c r="BZ87">
        <v>21.03</v>
      </c>
      <c r="CA87">
        <v>30.42</v>
      </c>
      <c r="CB87">
        <v>-4.18</v>
      </c>
      <c r="CC87">
        <v>-8.8800000000000008</v>
      </c>
      <c r="CD87" t="s">
        <v>4657</v>
      </c>
      <c r="CE87" t="s">
        <v>4658</v>
      </c>
      <c r="CF87" s="8">
        <v>0.17924528301886791</v>
      </c>
      <c r="CG87" s="9">
        <v>0.33640008795614468</v>
      </c>
      <c r="CH87" s="8">
        <v>5.6497175246477127E-2</v>
      </c>
      <c r="CI87" s="8">
        <v>4.3222002685070038E-2</v>
      </c>
      <c r="CJ87" s="8">
        <v>0.31524547934532166</v>
      </c>
      <c r="CK87" s="8">
        <v>9.9431820213794708E-2</v>
      </c>
      <c r="CL87" s="8">
        <v>-3.0303031206130981E-2</v>
      </c>
      <c r="CM87" s="9">
        <v>0.2053571492433548</v>
      </c>
      <c r="CN87" s="9">
        <v>-0.27741935849189758</v>
      </c>
      <c r="CO87" s="9">
        <v>0.87414908409118652</v>
      </c>
      <c r="CP87" s="9">
        <v>-0.35888215899467468</v>
      </c>
      <c r="CQ87" s="9">
        <v>0.86275953054428101</v>
      </c>
      <c r="CR87">
        <v>28.383186449850452</v>
      </c>
      <c r="CS87">
        <v>2.9315813576587697</v>
      </c>
      <c r="CT87">
        <v>1.0256410256410255</v>
      </c>
      <c r="CU87" s="8">
        <v>9.6818689256906509E-2</v>
      </c>
      <c r="CV87" s="9">
        <v>0.26119284927844999</v>
      </c>
      <c r="CW87">
        <v>0.06</v>
      </c>
      <c r="CX87">
        <v>13.964904813000429</v>
      </c>
      <c r="CY87">
        <v>139689172.68837959</v>
      </c>
      <c r="CZ87">
        <v>9.6818689256906509E-2</v>
      </c>
      <c r="DA87">
        <v>4.5373468339909984</v>
      </c>
      <c r="DB87">
        <v>429930986.40514243</v>
      </c>
      <c r="DC87">
        <v>9.1977754794061173E-2</v>
      </c>
      <c r="DD87">
        <v>2.2164185705153874</v>
      </c>
      <c r="DE87">
        <v>880134296.81126976</v>
      </c>
      <c r="DF87">
        <v>8.5200446546077724E-2</v>
      </c>
      <c r="DG87">
        <v>1.3193993399625195</v>
      </c>
      <c r="DH87">
        <v>1478510668.3890076</v>
      </c>
      <c r="DI87">
        <v>7.7454951405525219E-2</v>
      </c>
      <c r="DJ87">
        <v>0.66855018799723087</v>
      </c>
      <c r="DK87">
        <v>2917875179.7884169</v>
      </c>
      <c r="DL87">
        <v>6.7773082479834545E-2</v>
      </c>
      <c r="DM87">
        <v>135000000</v>
      </c>
      <c r="DN87">
        <v>9.6818689256906509E-2</v>
      </c>
      <c r="DO87">
        <v>1950746000</v>
      </c>
      <c r="DP87">
        <v>1144880390</v>
      </c>
      <c r="DQ87">
        <v>1959</v>
      </c>
      <c r="DR87">
        <v>8.2426593761961403E-2</v>
      </c>
      <c r="DS87">
        <v>7.5207238677694688E-2</v>
      </c>
      <c r="DT87" s="10">
        <v>-0.3066666666666667</v>
      </c>
      <c r="DU87">
        <v>0.58666666666666667</v>
      </c>
      <c r="DV87">
        <v>0.27999999999999997</v>
      </c>
      <c r="DW87">
        <v>-8.4707207207207205</v>
      </c>
      <c r="DX87">
        <v>0.34830555813418496</v>
      </c>
      <c r="DY87">
        <v>-8.0651032920046042</v>
      </c>
      <c r="DZ87">
        <v>1087</v>
      </c>
      <c r="EA87">
        <v>-8.0512545095370882</v>
      </c>
      <c r="EB87">
        <v>8</v>
      </c>
      <c r="EC87">
        <v>2.0682731117614706E-2</v>
      </c>
      <c r="ED87">
        <v>0.1495437449993747</v>
      </c>
      <c r="EE87" s="11">
        <v>-2.01831</v>
      </c>
      <c r="EF87">
        <v>-2.0334099999999999</v>
      </c>
      <c r="EG87">
        <v>21.138305558134185</v>
      </c>
      <c r="EH87" t="s">
        <v>1735</v>
      </c>
      <c r="EI87">
        <v>0</v>
      </c>
      <c r="EJ87">
        <v>1</v>
      </c>
      <c r="EK87" s="13">
        <v>45470</v>
      </c>
      <c r="EL87" s="14">
        <v>-1.99</v>
      </c>
      <c r="EM87" s="14">
        <v>-3.72</v>
      </c>
      <c r="EN87" s="14">
        <v>4.2300000000000004</v>
      </c>
      <c r="EO87" s="14">
        <v>1.73</v>
      </c>
      <c r="EP87" s="14">
        <v>-1.51</v>
      </c>
    </row>
    <row r="88" spans="1:146" ht="192">
      <c r="A88" s="7"/>
      <c r="B88" s="7" t="s">
        <v>1520</v>
      </c>
      <c r="C88" s="7" t="str">
        <f>"公司是一家专业从事高速精密电主轴及其零配件的研发设计、生产制造、销售与配套维修服务的高新技术企业。主要产品有各类主轴、转台、减速器、关节模组、末端执行机构、直线电机、运动控制器、伺服电机和伺服驱动等。"&amp;CHAR(10)&amp;Basic_Fundamental_Information_Constructure(C88)&amp;CHAR(10)&amp;Basic_Fundamental_Information_Concatenate("主轴 2.29亿 45.67% 46.57% 38.92%
运动控制产品 1.64亿 32.65% 33.30% 38.93%
维修、零配件 5632.04万 11.23% 11.51% 39.09%
转台、直线电机、减速器等功能部件 5170.18万 10.31% 8.37% 30.98%")</f>
        <v>公司是一家专业从事高速精密电主轴及其零配件的研发设计、生产制造、销售与配套维修服务的高新技术企业。主要产品有各类主轴、转台、减速器、关节模组、末端执行机构、直线电机、运动控制器、伺服电机和伺服驱动等。
市值36.483882亿, 利润-1.94亿; PE; 平均PE-360.81; 平均PEG-12.55, PB3.29; ROIC6.365%; ROE3.7933%; 股利率0%; 毛利37.7933%; 净利-1.34%; 上一年度营收增3.63%, 利润增-944.61%; 当季营收增27.72%, 利润增219%; 过往5年营收增28.75%, 利润增-239.61%
Income profile:
主轴 2.29亿 45.67% 46.57% 38.92%
运动控制产品 1.64亿 32.65% 33.30% 38.93%
维修、零配件 5632.04万 11.23% 11.51% 39.09%
转台、直线电机、减速器等功能部件 5170.18万 10.31% 8.37% 30.98%</v>
      </c>
      <c r="D88" t="s">
        <v>526</v>
      </c>
      <c r="E88" t="s">
        <v>22</v>
      </c>
      <c r="F88">
        <v>11.92</v>
      </c>
      <c r="G88">
        <v>-2.21</v>
      </c>
      <c r="H88" t="s">
        <v>4659</v>
      </c>
      <c r="I88">
        <v>3648388200</v>
      </c>
      <c r="K88">
        <v>3.29</v>
      </c>
      <c r="L88" t="s">
        <v>85</v>
      </c>
      <c r="M88" t="s">
        <v>2208</v>
      </c>
      <c r="N88" t="s">
        <v>4660</v>
      </c>
      <c r="O88" t="s">
        <v>452</v>
      </c>
      <c r="P88">
        <v>27.86</v>
      </c>
      <c r="Q88" t="s">
        <v>2050</v>
      </c>
      <c r="R88">
        <v>14573795</v>
      </c>
      <c r="S88" s="5">
        <v>2.19</v>
      </c>
      <c r="T88" t="s">
        <v>2062</v>
      </c>
      <c r="U88">
        <v>217663020</v>
      </c>
      <c r="V88">
        <v>306072840</v>
      </c>
      <c r="W88">
        <v>2.2200000000000002</v>
      </c>
      <c r="X88">
        <v>0.11</v>
      </c>
      <c r="Y88">
        <v>5.67</v>
      </c>
      <c r="Z88" t="s">
        <v>292</v>
      </c>
      <c r="AA88" t="s">
        <v>138</v>
      </c>
      <c r="AB88" t="s">
        <v>4661</v>
      </c>
      <c r="AC88" t="s">
        <v>4662</v>
      </c>
      <c r="AD88" t="s">
        <v>90</v>
      </c>
      <c r="AE88">
        <v>7683733</v>
      </c>
      <c r="AF88" t="s">
        <v>182</v>
      </c>
      <c r="AG88" t="s">
        <v>4663</v>
      </c>
      <c r="AH88" t="s">
        <v>2725</v>
      </c>
      <c r="AI88" t="s">
        <v>4664</v>
      </c>
      <c r="AJ88" t="s">
        <v>2726</v>
      </c>
      <c r="AK88" t="s">
        <v>4665</v>
      </c>
      <c r="AL88" t="s">
        <v>2727</v>
      </c>
      <c r="AM88" t="s">
        <v>90</v>
      </c>
      <c r="AN88" t="s">
        <v>4666</v>
      </c>
      <c r="AO88" t="s">
        <v>273</v>
      </c>
      <c r="AP88" t="s">
        <v>4667</v>
      </c>
      <c r="AQ88" t="s">
        <v>123</v>
      </c>
      <c r="AR88" t="s">
        <v>90</v>
      </c>
      <c r="AS88" t="s">
        <v>2077</v>
      </c>
      <c r="AT88" t="s">
        <v>1533</v>
      </c>
      <c r="AU88" t="s">
        <v>4668</v>
      </c>
      <c r="AV88" t="s">
        <v>4669</v>
      </c>
      <c r="AW88" t="s">
        <v>4670</v>
      </c>
      <c r="AX88" t="s">
        <v>340</v>
      </c>
      <c r="AY88" t="s">
        <v>4671</v>
      </c>
      <c r="AZ88" t="s">
        <v>665</v>
      </c>
      <c r="BA88" t="s">
        <v>305</v>
      </c>
      <c r="BB88" t="s">
        <v>284</v>
      </c>
      <c r="BC88" t="s">
        <v>2728</v>
      </c>
      <c r="BD88" t="s">
        <v>219</v>
      </c>
      <c r="BE88" t="s">
        <v>868</v>
      </c>
      <c r="BF88" t="s">
        <v>528</v>
      </c>
      <c r="BG88" t="s">
        <v>869</v>
      </c>
      <c r="BH88" t="s">
        <v>2050</v>
      </c>
      <c r="BI88" t="s">
        <v>551</v>
      </c>
      <c r="BJ88" t="s">
        <v>340</v>
      </c>
      <c r="BK88" t="s">
        <v>2062</v>
      </c>
      <c r="BL88" t="s">
        <v>2729</v>
      </c>
      <c r="BM88" t="s">
        <v>2728</v>
      </c>
      <c r="BN88" t="s">
        <v>90</v>
      </c>
      <c r="BO88">
        <v>3.11</v>
      </c>
      <c r="BP88">
        <v>9.6199999999999992</v>
      </c>
      <c r="BQ88">
        <v>-2.3199999999999998</v>
      </c>
      <c r="BR88">
        <v>1.71</v>
      </c>
      <c r="BS88">
        <v>11.99</v>
      </c>
      <c r="BT88" t="s">
        <v>1692</v>
      </c>
      <c r="BU88" t="s">
        <v>1381</v>
      </c>
      <c r="BV88">
        <v>32.44</v>
      </c>
      <c r="BW88">
        <v>36.18</v>
      </c>
      <c r="BX88">
        <v>44.76</v>
      </c>
      <c r="BY88">
        <v>-19.34</v>
      </c>
      <c r="BZ88">
        <v>2.62</v>
      </c>
      <c r="CA88">
        <v>12.7</v>
      </c>
      <c r="CB88">
        <v>-2.38</v>
      </c>
      <c r="CC88">
        <v>-13.94</v>
      </c>
      <c r="CD88" t="s">
        <v>4672</v>
      </c>
      <c r="CE88" t="s">
        <v>584</v>
      </c>
      <c r="CF88" s="8">
        <v>0.27722772277227725</v>
      </c>
      <c r="CG88" s="9">
        <v>2.1899598278804309</v>
      </c>
      <c r="CH88" s="8">
        <v>3.6269430071115494E-2</v>
      </c>
      <c r="CI88" s="8">
        <v>-0.16305285692214966</v>
      </c>
      <c r="CJ88" s="8">
        <v>0.31922188401222229</v>
      </c>
      <c r="CK88" s="8">
        <v>1.4829545021057129</v>
      </c>
      <c r="CL88" s="8">
        <v>-0.2380952388048172</v>
      </c>
      <c r="CM88" s="9">
        <v>-9.4460926055908203</v>
      </c>
      <c r="CN88" s="9">
        <v>-0.83593428134918213</v>
      </c>
      <c r="CO88" s="9">
        <v>0.87579053640365601</v>
      </c>
      <c r="CP88" s="9">
        <v>1.4815174341201782</v>
      </c>
      <c r="CQ88" s="9">
        <v>-4.0556864738464355</v>
      </c>
      <c r="CR88">
        <v>-360.80680396568351</v>
      </c>
      <c r="CS88">
        <v>-12.551568086035996</v>
      </c>
      <c r="CT88">
        <v>0</v>
      </c>
      <c r="CU88" s="8">
        <v>0.28745954409241675</v>
      </c>
      <c r="CV88" s="9">
        <v>-2.3960810780525206</v>
      </c>
      <c r="CW88">
        <v>0.06</v>
      </c>
      <c r="CX88" t="e">
        <v>#VALUE!</v>
      </c>
      <c r="CY88" t="s">
        <v>1391</v>
      </c>
      <c r="CZ88">
        <v>0.28745954409241675</v>
      </c>
      <c r="DA88" t="e">
        <v>#VALUE!</v>
      </c>
      <c r="DB88" t="s">
        <v>1391</v>
      </c>
      <c r="DC88">
        <v>0.27308656688779592</v>
      </c>
      <c r="DD88" t="e">
        <v>#VALUE!</v>
      </c>
      <c r="DE88" t="s">
        <v>1391</v>
      </c>
      <c r="DF88">
        <v>0.25296439880132676</v>
      </c>
      <c r="DG88" t="e">
        <v>#VALUE!</v>
      </c>
      <c r="DH88" t="s">
        <v>1391</v>
      </c>
      <c r="DI88">
        <v>0.22996763527393341</v>
      </c>
      <c r="DJ88" t="e">
        <v>#VALUE!</v>
      </c>
      <c r="DK88" t="s">
        <v>1391</v>
      </c>
      <c r="DL88">
        <v>0.20122168086469172</v>
      </c>
      <c r="DM88">
        <v>-194000000</v>
      </c>
      <c r="DN88">
        <v>0.28745954409241675</v>
      </c>
      <c r="DO88">
        <v>3871388200</v>
      </c>
      <c r="DP88">
        <v>319494870</v>
      </c>
      <c r="DQ88">
        <v>1974</v>
      </c>
      <c r="DR88">
        <v>-1.02318213201395E-2</v>
      </c>
      <c r="DS88">
        <v>4.5860409059329514</v>
      </c>
      <c r="DT88" s="10">
        <v>-0.32333333333333331</v>
      </c>
      <c r="DU88">
        <v>-0.72666666666666668</v>
      </c>
      <c r="DV88">
        <v>-1.05</v>
      </c>
      <c r="DW88">
        <v>-2.1394000000000002</v>
      </c>
      <c r="DX88">
        <v>0.4440346031746023</v>
      </c>
      <c r="DY88">
        <v>-2.0256544236825396</v>
      </c>
      <c r="DZ88">
        <v>3614</v>
      </c>
      <c r="EA88">
        <v>-2.0075105710037335</v>
      </c>
      <c r="EB88">
        <v>2</v>
      </c>
      <c r="EC88">
        <v>0.18940230044586773</v>
      </c>
      <c r="ED88">
        <v>1.0291667826521296</v>
      </c>
      <c r="EE88" s="11">
        <v>5.0698100000000004</v>
      </c>
      <c r="EF88">
        <v>5.0957100000000004</v>
      </c>
      <c r="EG88">
        <v>26.184034603174602</v>
      </c>
      <c r="EH88" t="s">
        <v>2137</v>
      </c>
      <c r="EI88">
        <v>0</v>
      </c>
      <c r="EJ88">
        <v>0</v>
      </c>
      <c r="EK88" s="13">
        <v>45470</v>
      </c>
      <c r="EL88" s="14">
        <v>-3.1</v>
      </c>
      <c r="EM88" s="14">
        <v>-3.36</v>
      </c>
      <c r="EN88" s="14">
        <v>2.63</v>
      </c>
      <c r="EO88" s="14">
        <v>2.15</v>
      </c>
      <c r="EP88" s="14">
        <v>-2.59</v>
      </c>
    </row>
    <row r="89" spans="1:146" ht="108">
      <c r="C89" s="7" t="str">
        <f>""&amp;CHAR(10)&amp;Basic_Fundamental_Information_Constructure(F89)&amp;CHAR(10)&amp;Basic_Fundamental_Information_Concatenate("")</f>
        <v xml:space="preserve">
市值18.703084亿, 利润5373.69万; PE32.7; 平均PE29.34; 平均PEG2.25, PB2.61; ROIC12.0667%; ROE11.9%; 股利率1.5952%; 毛利58.47%; 净利20%; 上一年度营收增18.02%, 利润增-41.71%; 当季营收增16.36%, 利润增21.81%; 过往5年营收增13.04%, 利润增14.71%
Income profile:
</v>
      </c>
      <c r="D89" t="s">
        <v>4673</v>
      </c>
      <c r="E89" t="s">
        <v>4674</v>
      </c>
      <c r="F89">
        <v>9.09</v>
      </c>
      <c r="G89">
        <v>-0.55000000000000004</v>
      </c>
      <c r="H89" t="s">
        <v>4033</v>
      </c>
      <c r="I89">
        <v>1870308400</v>
      </c>
      <c r="J89">
        <v>32.700000000000003</v>
      </c>
      <c r="K89">
        <v>2.61</v>
      </c>
      <c r="L89" t="s">
        <v>85</v>
      </c>
      <c r="M89" t="s">
        <v>484</v>
      </c>
      <c r="N89" t="s">
        <v>299</v>
      </c>
      <c r="O89" t="s">
        <v>4675</v>
      </c>
      <c r="P89" s="5">
        <v>16.36</v>
      </c>
      <c r="Q89" t="s">
        <v>4676</v>
      </c>
      <c r="R89">
        <v>19309074</v>
      </c>
      <c r="S89">
        <v>0.21809999999999999</v>
      </c>
      <c r="T89" t="s">
        <v>4677</v>
      </c>
      <c r="U89">
        <v>183787970</v>
      </c>
      <c r="V89">
        <v>205754500</v>
      </c>
      <c r="W89">
        <v>1.5</v>
      </c>
      <c r="X89">
        <v>0.08</v>
      </c>
      <c r="Y89">
        <v>20.83</v>
      </c>
      <c r="Z89" t="s">
        <v>4678</v>
      </c>
      <c r="AA89" t="s">
        <v>4679</v>
      </c>
      <c r="AB89" t="s">
        <v>4680</v>
      </c>
      <c r="AC89" t="s">
        <v>4681</v>
      </c>
      <c r="AD89" t="s">
        <v>90</v>
      </c>
      <c r="AE89">
        <v>-109136</v>
      </c>
      <c r="AF89" t="s">
        <v>4682</v>
      </c>
      <c r="AG89" t="s">
        <v>4683</v>
      </c>
      <c r="AH89" t="s">
        <v>4684</v>
      </c>
      <c r="AI89" t="s">
        <v>151</v>
      </c>
      <c r="AJ89" t="s">
        <v>4685</v>
      </c>
      <c r="AK89" t="s">
        <v>4686</v>
      </c>
      <c r="AL89" t="s">
        <v>4687</v>
      </c>
      <c r="AM89" t="s">
        <v>90</v>
      </c>
      <c r="AN89" t="s">
        <v>4688</v>
      </c>
      <c r="AO89" t="s">
        <v>90</v>
      </c>
      <c r="AP89" t="s">
        <v>4689</v>
      </c>
      <c r="AQ89" t="s">
        <v>4690</v>
      </c>
      <c r="AR89" t="s">
        <v>90</v>
      </c>
      <c r="AS89" t="s">
        <v>214</v>
      </c>
      <c r="AT89" t="s">
        <v>90</v>
      </c>
      <c r="AU89" t="s">
        <v>4691</v>
      </c>
      <c r="AV89" t="s">
        <v>4692</v>
      </c>
      <c r="AW89" t="s">
        <v>4693</v>
      </c>
      <c r="AX89" t="s">
        <v>97</v>
      </c>
      <c r="AY89" t="s">
        <v>180</v>
      </c>
      <c r="AZ89" t="s">
        <v>1375</v>
      </c>
      <c r="BA89" t="s">
        <v>220</v>
      </c>
      <c r="BB89" t="s">
        <v>208</v>
      </c>
      <c r="BC89" t="s">
        <v>4694</v>
      </c>
      <c r="BD89" t="s">
        <v>4695</v>
      </c>
      <c r="BE89" t="s">
        <v>4696</v>
      </c>
      <c r="BF89" t="s">
        <v>4697</v>
      </c>
      <c r="BG89" t="s">
        <v>4698</v>
      </c>
      <c r="BH89" t="s">
        <v>4676</v>
      </c>
      <c r="BI89" t="s">
        <v>4699</v>
      </c>
      <c r="BJ89" t="s">
        <v>97</v>
      </c>
      <c r="BK89" t="s">
        <v>4677</v>
      </c>
      <c r="BL89" t="s">
        <v>4700</v>
      </c>
      <c r="BM89" t="s">
        <v>4694</v>
      </c>
      <c r="BN89">
        <v>7.27</v>
      </c>
      <c r="BO89">
        <v>14.12</v>
      </c>
      <c r="BP89">
        <v>14.81</v>
      </c>
      <c r="BQ89">
        <v>7.34</v>
      </c>
      <c r="BR89">
        <v>13.79</v>
      </c>
      <c r="BS89">
        <v>14.57</v>
      </c>
      <c r="BT89" t="s">
        <v>4701</v>
      </c>
      <c r="BU89" t="s">
        <v>3551</v>
      </c>
      <c r="BV89">
        <v>58.82</v>
      </c>
      <c r="BW89">
        <v>58.99</v>
      </c>
      <c r="BX89">
        <v>57.6</v>
      </c>
      <c r="BY89">
        <v>11.79</v>
      </c>
      <c r="BZ89">
        <v>24.71</v>
      </c>
      <c r="CA89">
        <v>23.5</v>
      </c>
      <c r="CB89">
        <v>-7.9</v>
      </c>
      <c r="CC89" s="8">
        <v>-11.45</v>
      </c>
      <c r="CD89" s="9" t="s">
        <v>4702</v>
      </c>
      <c r="CE89" s="8" t="s">
        <v>333</v>
      </c>
      <c r="CF89" s="8">
        <v>0.16360368118792729</v>
      </c>
      <c r="CG89" s="8">
        <v>0.21814588169980836</v>
      </c>
      <c r="CH89" s="8">
        <v>0.18020305037498474</v>
      </c>
      <c r="CI89" s="8">
        <v>2.3376623168587685E-2</v>
      </c>
      <c r="CJ89" s="9">
        <v>0.20689655840396881</v>
      </c>
      <c r="CK89" s="9">
        <v>0.13120567798614502</v>
      </c>
      <c r="CL89" s="9">
        <v>0.11023622006177902</v>
      </c>
      <c r="CM89" s="9">
        <v>-0.41710707545280457</v>
      </c>
      <c r="CN89" s="9">
        <v>6.7882828414440155E-2</v>
      </c>
      <c r="CO89">
        <v>0.21466739475727081</v>
      </c>
      <c r="CP89">
        <v>0.61447048187255859</v>
      </c>
      <c r="CQ89">
        <v>0.25548425316810608</v>
      </c>
      <c r="CR89" s="8">
        <v>29.344645982015376</v>
      </c>
      <c r="CS89" s="9">
        <v>2.2506388940448319</v>
      </c>
      <c r="CT89">
        <v>1.5951595159515952</v>
      </c>
      <c r="CU89">
        <v>0.13038362599909306</v>
      </c>
      <c r="CV89">
        <v>0.14707957655191423</v>
      </c>
      <c r="CW89">
        <v>0.06</v>
      </c>
      <c r="CX89">
        <v>26.983825107449874</v>
      </c>
      <c r="CY89">
        <v>57305011.199953444</v>
      </c>
      <c r="CZ89">
        <v>0.13038362599909306</v>
      </c>
      <c r="DA89">
        <v>8.5229662041643568</v>
      </c>
      <c r="DB89">
        <v>181428432.65581262</v>
      </c>
      <c r="DC89">
        <v>0.1238644446991384</v>
      </c>
      <c r="DD89">
        <v>4.0062141129711293</v>
      </c>
      <c r="DE89">
        <v>385977473.09446996</v>
      </c>
      <c r="DF89">
        <v>0.11473759087920189</v>
      </c>
      <c r="DG89">
        <v>2.281456571887611</v>
      </c>
      <c r="DH89">
        <v>677772445.48671341</v>
      </c>
      <c r="DI89">
        <v>0.10430690079927446</v>
      </c>
      <c r="DJ89">
        <v>1.0455330938059864</v>
      </c>
      <c r="DK89">
        <v>1478966480.507158</v>
      </c>
      <c r="DL89">
        <v>9.1268538199365132E-2</v>
      </c>
      <c r="DM89">
        <v>53736899.999999993</v>
      </c>
      <c r="DN89">
        <v>0.13038362599909306</v>
      </c>
      <c r="DO89">
        <v>1546308400</v>
      </c>
      <c r="DP89">
        <v>374027850</v>
      </c>
      <c r="DQ89" s="10">
        <v>1986</v>
      </c>
      <c r="DR89">
        <v>3.3220055188834224E-2</v>
      </c>
      <c r="DS89">
        <v>7.1066305147894138E-2</v>
      </c>
      <c r="DT89">
        <v>-0.14000000000000001</v>
      </c>
      <c r="DU89">
        <v>0.51999999999999991</v>
      </c>
      <c r="DV89">
        <v>0.37999999999999989</v>
      </c>
      <c r="DW89">
        <v>-9.6899563318777293</v>
      </c>
      <c r="DX89">
        <v>0.37746240601503744</v>
      </c>
      <c r="DY89">
        <v>-9.1638386906129945</v>
      </c>
      <c r="DZ89">
        <v>907</v>
      </c>
      <c r="EA89">
        <v>-9.1347581245883394</v>
      </c>
      <c r="EB89" s="11">
        <v>9</v>
      </c>
      <c r="EC89" s="11">
        <v>0.15349603532365028</v>
      </c>
      <c r="ED89">
        <v>0.64640141527888817</v>
      </c>
      <c r="EE89">
        <v>-2.0876000000000001</v>
      </c>
      <c r="EF89">
        <v>-2.0448</v>
      </c>
      <c r="EG89">
        <v>14.237462406015037</v>
      </c>
      <c r="EH89" s="13" t="s">
        <v>1793</v>
      </c>
      <c r="EI89">
        <v>0</v>
      </c>
      <c r="EJ89">
        <v>1</v>
      </c>
      <c r="EK89">
        <v>45470</v>
      </c>
      <c r="EL89">
        <v>-1.07</v>
      </c>
      <c r="EM89">
        <v>-5.68</v>
      </c>
      <c r="EN89" s="14">
        <v>-0.1</v>
      </c>
      <c r="EO89" s="14">
        <v>4.37</v>
      </c>
      <c r="EP89" s="14">
        <v>-4.28</v>
      </c>
    </row>
    <row r="90" spans="1:146" ht="108">
      <c r="C90" s="7" t="str">
        <f>""&amp;CHAR(10)&amp;Basic_Fundamental_Information_Constructure(F90)&amp;CHAR(10)&amp;Basic_Fundamental_Information_Concatenate("")</f>
        <v xml:space="preserve">
市值18.706272亿, 利润3273.39万; PE71.43; 平均PE89.08; 平均PEG6.61, PB2.64; ROIC3.9933%; ROE4.2967%; 股利率.3036%; 毛利43.5867%; 净利9.9367%; 上一年度营收增7.59%, 利润增76.38%; 当季营收增-29.95%, 利润增-69.74%; 过往5年营收增13.48%, 利润增26.84%
Income profile:
</v>
      </c>
      <c r="D90" t="s">
        <v>4703</v>
      </c>
      <c r="E90" t="s">
        <v>4704</v>
      </c>
      <c r="F90">
        <v>23.06</v>
      </c>
      <c r="G90">
        <v>1.18</v>
      </c>
      <c r="H90" t="s">
        <v>4705</v>
      </c>
      <c r="I90">
        <v>1870627200</v>
      </c>
      <c r="J90">
        <v>71.430000000000007</v>
      </c>
      <c r="K90">
        <v>2.64</v>
      </c>
      <c r="L90" t="s">
        <v>85</v>
      </c>
      <c r="M90" t="s">
        <v>423</v>
      </c>
      <c r="N90" t="s">
        <v>1224</v>
      </c>
      <c r="O90" t="s">
        <v>4706</v>
      </c>
      <c r="P90" s="5">
        <v>-29.95</v>
      </c>
      <c r="Q90" t="s">
        <v>415</v>
      </c>
      <c r="R90">
        <v>2839595</v>
      </c>
      <c r="S90">
        <v>-0.69740000000000002</v>
      </c>
      <c r="T90" t="s">
        <v>4707</v>
      </c>
      <c r="U90">
        <v>53563550</v>
      </c>
      <c r="V90">
        <v>81120000</v>
      </c>
      <c r="W90">
        <v>1.47</v>
      </c>
      <c r="X90">
        <v>0.05</v>
      </c>
      <c r="Y90">
        <v>-0.68</v>
      </c>
      <c r="Z90" t="s">
        <v>4708</v>
      </c>
      <c r="AA90" t="s">
        <v>4709</v>
      </c>
      <c r="AB90" t="s">
        <v>4710</v>
      </c>
      <c r="AC90" t="s">
        <v>4711</v>
      </c>
      <c r="AD90" t="s">
        <v>90</v>
      </c>
      <c r="AE90">
        <v>-2018477</v>
      </c>
      <c r="AF90" t="s">
        <v>4712</v>
      </c>
      <c r="AG90">
        <v>2297.56</v>
      </c>
      <c r="AH90" t="s">
        <v>4713</v>
      </c>
      <c r="AI90" t="s">
        <v>422</v>
      </c>
      <c r="AJ90" t="s">
        <v>4714</v>
      </c>
      <c r="AK90" t="s">
        <v>4715</v>
      </c>
      <c r="AL90" t="s">
        <v>4716</v>
      </c>
      <c r="AM90" t="s">
        <v>90</v>
      </c>
      <c r="AN90" t="s">
        <v>246</v>
      </c>
      <c r="AO90" t="s">
        <v>2857</v>
      </c>
      <c r="AP90" t="s">
        <v>4717</v>
      </c>
      <c r="AQ90" t="s">
        <v>4718</v>
      </c>
      <c r="AR90" t="s">
        <v>90</v>
      </c>
      <c r="AS90" t="s">
        <v>355</v>
      </c>
      <c r="AT90" t="s">
        <v>109</v>
      </c>
      <c r="AU90" t="s">
        <v>4719</v>
      </c>
      <c r="AV90" t="s">
        <v>4720</v>
      </c>
      <c r="AW90" t="s">
        <v>4721</v>
      </c>
      <c r="AX90" t="s">
        <v>2039</v>
      </c>
      <c r="AY90" t="s">
        <v>741</v>
      </c>
      <c r="AZ90" t="s">
        <v>1541</v>
      </c>
      <c r="BA90" t="s">
        <v>479</v>
      </c>
      <c r="BB90" t="s">
        <v>219</v>
      </c>
      <c r="BC90" t="s">
        <v>4722</v>
      </c>
      <c r="BD90" t="s">
        <v>4723</v>
      </c>
      <c r="BE90" t="s">
        <v>4724</v>
      </c>
      <c r="BF90" t="s">
        <v>4725</v>
      </c>
      <c r="BG90" t="s">
        <v>4726</v>
      </c>
      <c r="BH90" t="s">
        <v>415</v>
      </c>
      <c r="BI90" t="s">
        <v>4727</v>
      </c>
      <c r="BJ90" t="s">
        <v>2039</v>
      </c>
      <c r="BK90" t="s">
        <v>4707</v>
      </c>
      <c r="BL90" t="s">
        <v>4728</v>
      </c>
      <c r="BM90" t="s">
        <v>4722</v>
      </c>
      <c r="BN90">
        <v>3.41</v>
      </c>
      <c r="BO90">
        <v>2.2400000000000002</v>
      </c>
      <c r="BP90">
        <v>6.33</v>
      </c>
      <c r="BQ90">
        <v>2.4300000000000002</v>
      </c>
      <c r="BR90">
        <v>3.41</v>
      </c>
      <c r="BS90">
        <v>7.05</v>
      </c>
      <c r="BT90" t="s">
        <v>1822</v>
      </c>
      <c r="BU90" t="s">
        <v>3551</v>
      </c>
      <c r="BV90">
        <v>44.49</v>
      </c>
      <c r="BW90">
        <v>42.55</v>
      </c>
      <c r="BX90">
        <v>43.72</v>
      </c>
      <c r="BY90">
        <v>11.81</v>
      </c>
      <c r="BZ90">
        <v>7.46</v>
      </c>
      <c r="CA90">
        <v>10.54</v>
      </c>
      <c r="CB90">
        <v>-5.84</v>
      </c>
      <c r="CC90" s="8">
        <v>-15.28</v>
      </c>
      <c r="CD90" s="9" t="s">
        <v>4729</v>
      </c>
      <c r="CE90" s="8" t="s">
        <v>4730</v>
      </c>
      <c r="CF90" s="8">
        <v>-0.29947252304521016</v>
      </c>
      <c r="CG90" s="8">
        <v>-0.69742938124007714</v>
      </c>
      <c r="CH90" s="8">
        <v>7.594936341047287E-2</v>
      </c>
      <c r="CI90" s="8">
        <v>4.8672568053007126E-2</v>
      </c>
      <c r="CJ90" s="9">
        <v>0.3696969747543335</v>
      </c>
      <c r="CK90" s="9">
        <v>-6.0240961611270905E-3</v>
      </c>
      <c r="CL90" s="9">
        <v>0.18571428954601288</v>
      </c>
      <c r="CM90" s="9">
        <v>0.76384150981903076</v>
      </c>
      <c r="CN90" s="9">
        <v>-0.25009697675704956</v>
      </c>
      <c r="CO90">
        <v>0.94390028715133667</v>
      </c>
      <c r="CP90">
        <v>-0.38959556818008423</v>
      </c>
      <c r="CQ90">
        <v>0.27405285835266113</v>
      </c>
      <c r="CR90" s="8">
        <v>89.079323859063749</v>
      </c>
      <c r="CS90" s="9">
        <v>6.6081692303243651</v>
      </c>
      <c r="CT90">
        <v>0.30355594102341715</v>
      </c>
      <c r="CU90">
        <v>0.13480181992053986</v>
      </c>
      <c r="CV90">
        <v>0.26842042207717898</v>
      </c>
      <c r="CW90">
        <v>0.06</v>
      </c>
      <c r="CX90">
        <v>42.564583143361141</v>
      </c>
      <c r="CY90">
        <v>35043857.823676378</v>
      </c>
      <c r="CZ90">
        <v>0.13480181992053986</v>
      </c>
      <c r="DA90">
        <v>13.394509692344293</v>
      </c>
      <c r="DB90">
        <v>111361090.04815218</v>
      </c>
      <c r="DC90">
        <v>0.12806172892451287</v>
      </c>
      <c r="DD90">
        <v>6.2639958480510938</v>
      </c>
      <c r="DE90">
        <v>238127105.47438937</v>
      </c>
      <c r="DF90">
        <v>0.11862560153007508</v>
      </c>
      <c r="DG90">
        <v>3.5459494068352946</v>
      </c>
      <c r="DH90">
        <v>420656650.40924948</v>
      </c>
      <c r="DI90">
        <v>0.10784145593643189</v>
      </c>
      <c r="DJ90">
        <v>1.6026298962797805</v>
      </c>
      <c r="DK90">
        <v>930737161.12656236</v>
      </c>
      <c r="DL90">
        <v>9.4361273944377891E-2</v>
      </c>
      <c r="DM90">
        <v>32733900</v>
      </c>
      <c r="DN90">
        <v>0.13480181992053986</v>
      </c>
      <c r="DO90">
        <v>1491627200</v>
      </c>
      <c r="DP90">
        <v>224230320</v>
      </c>
      <c r="DQ90" s="10">
        <v>2021</v>
      </c>
      <c r="DR90">
        <v>-0.43427434296575002</v>
      </c>
      <c r="DS90">
        <v>-0.96584980331725612</v>
      </c>
      <c r="DT90">
        <v>-0.20666666666666669</v>
      </c>
      <c r="DU90">
        <v>-6.6666666666666714E-3</v>
      </c>
      <c r="DV90">
        <v>-0.21333333333333337</v>
      </c>
      <c r="DW90">
        <v>-8.3821989528795804</v>
      </c>
      <c r="DX90">
        <v>0.376305385871189</v>
      </c>
      <c r="DY90">
        <v>-8.0903156710397734</v>
      </c>
      <c r="DZ90">
        <v>2240</v>
      </c>
      <c r="EA90">
        <v>-8.0507252398990516</v>
      </c>
      <c r="EB90" s="11">
        <v>8</v>
      </c>
      <c r="EC90" s="11">
        <v>0.11401997041420119</v>
      </c>
      <c r="ED90">
        <v>0.48251109467455622</v>
      </c>
      <c r="EE90">
        <v>2.4799999999999999E-2</v>
      </c>
      <c r="EF90">
        <v>4.1000000000000108E-4</v>
      </c>
      <c r="EG90">
        <v>14.236305385871189</v>
      </c>
      <c r="EH90" s="13">
        <v>-1</v>
      </c>
      <c r="EI90">
        <v>0</v>
      </c>
      <c r="EJ90">
        <v>0</v>
      </c>
      <c r="EK90">
        <v>45470</v>
      </c>
      <c r="EL90">
        <v>-1.7</v>
      </c>
      <c r="EM90">
        <v>-4.2699999999999996</v>
      </c>
      <c r="EN90" s="14">
        <v>0</v>
      </c>
      <c r="EO90" s="14">
        <v>3.97</v>
      </c>
      <c r="EP90" s="14">
        <v>-2.52</v>
      </c>
    </row>
    <row r="91" spans="1:146" ht="144">
      <c r="A91" s="7" t="s">
        <v>1619</v>
      </c>
      <c r="B91" s="7"/>
      <c r="C91" s="7" t="str">
        <f>"公司主营业务是金刚石工具的研发、生产和销售，主要产品为电镀金刚线和金刚石砂轮。公司是国内较早掌握金刚线相关技术并成功产业化的本土企业"&amp;CHAR(10)&amp;Basic_Fundamental_Information_Constructure(F91)&amp;CHAR(10)&amp;Basic_Fundamental_Information_Concatenate("电镀金刚线 1.60亿 85.61% 81.85% 21.16%
金刚石砂轮 1892.50万 10.14% 18.15% 39.64%")</f>
        <v>公司主营业务是金刚石工具的研发、生产和销售，主要产品为电镀金刚线和金刚石砂轮。公司是国内较早掌握金刚线相关技术并成功产业化的本土企业
市值24.475541亿, 利润2691.50万; PE82.5; 平均PE462.51; 平均PEG38.13, PB3; ROIC4.845%; ROE-2.7767%; 股利率.3733%; 毛利27.3467%; 净利-7.4033%; 上一年度营收增18.18%, 利润增109.77%; 当季营收增5.71%, 利润增280.09%; 过往5年营收增12.13%, 利润增-43.56%
Income profile:
电镀金刚线 1.60亿 85.61% 81.85% 21.16%
金刚石砂轮 1892.50万 10.14% 18.15% 39.64%</v>
      </c>
      <c r="D91" t="s">
        <v>395</v>
      </c>
      <c r="E91" t="s">
        <v>33</v>
      </c>
      <c r="F91">
        <v>21.43</v>
      </c>
      <c r="G91">
        <v>1.08</v>
      </c>
      <c r="H91" t="s">
        <v>4731</v>
      </c>
      <c r="I91">
        <v>2447554100</v>
      </c>
      <c r="J91">
        <v>82.5</v>
      </c>
      <c r="K91">
        <v>3</v>
      </c>
      <c r="L91" t="s">
        <v>85</v>
      </c>
      <c r="M91" t="s">
        <v>2066</v>
      </c>
      <c r="N91" t="s">
        <v>2103</v>
      </c>
      <c r="O91" t="s">
        <v>239</v>
      </c>
      <c r="P91">
        <v>6.61</v>
      </c>
      <c r="Q91" t="s">
        <v>529</v>
      </c>
      <c r="R91">
        <v>3735486</v>
      </c>
      <c r="S91" s="5">
        <v>2.8010000000000002</v>
      </c>
      <c r="T91" t="s">
        <v>2730</v>
      </c>
      <c r="U91">
        <v>76549935</v>
      </c>
      <c r="V91">
        <v>114211577</v>
      </c>
      <c r="W91">
        <v>1.39</v>
      </c>
      <c r="X91">
        <v>0.1</v>
      </c>
      <c r="Y91">
        <v>2.73</v>
      </c>
      <c r="Z91" t="s">
        <v>143</v>
      </c>
      <c r="AA91" t="s">
        <v>4732</v>
      </c>
      <c r="AB91" t="s">
        <v>4733</v>
      </c>
      <c r="AC91" t="s">
        <v>4734</v>
      </c>
      <c r="AD91" t="s">
        <v>90</v>
      </c>
      <c r="AE91">
        <v>669447</v>
      </c>
      <c r="AF91" t="s">
        <v>2731</v>
      </c>
      <c r="AG91" t="s">
        <v>4735</v>
      </c>
      <c r="AH91" t="s">
        <v>2732</v>
      </c>
      <c r="AI91" t="s">
        <v>4736</v>
      </c>
      <c r="AJ91" t="s">
        <v>2733</v>
      </c>
      <c r="AK91" t="s">
        <v>90</v>
      </c>
      <c r="AL91" t="s">
        <v>2734</v>
      </c>
      <c r="AM91" t="s">
        <v>90</v>
      </c>
      <c r="AN91" t="s">
        <v>4737</v>
      </c>
      <c r="AO91" t="s">
        <v>4738</v>
      </c>
      <c r="AP91" t="s">
        <v>4739</v>
      </c>
      <c r="AQ91" t="s">
        <v>502</v>
      </c>
      <c r="AR91" t="s">
        <v>90</v>
      </c>
      <c r="AS91" t="s">
        <v>1052</v>
      </c>
      <c r="AT91" t="s">
        <v>4740</v>
      </c>
      <c r="AU91" t="s">
        <v>4741</v>
      </c>
      <c r="AV91" t="s">
        <v>4742</v>
      </c>
      <c r="AW91" t="s">
        <v>4743</v>
      </c>
      <c r="AX91" t="s">
        <v>1866</v>
      </c>
      <c r="AY91" t="s">
        <v>287</v>
      </c>
      <c r="AZ91" t="s">
        <v>452</v>
      </c>
      <c r="BA91" t="s">
        <v>349</v>
      </c>
      <c r="BB91" t="s">
        <v>800</v>
      </c>
      <c r="BC91" t="s">
        <v>1867</v>
      </c>
      <c r="BD91" t="s">
        <v>1292</v>
      </c>
      <c r="BE91" t="s">
        <v>870</v>
      </c>
      <c r="BF91" t="s">
        <v>396</v>
      </c>
      <c r="BG91" t="s">
        <v>871</v>
      </c>
      <c r="BH91" t="s">
        <v>529</v>
      </c>
      <c r="BI91" t="s">
        <v>521</v>
      </c>
      <c r="BJ91" t="s">
        <v>1866</v>
      </c>
      <c r="BK91" t="s">
        <v>2730</v>
      </c>
      <c r="BL91" t="s">
        <v>2735</v>
      </c>
      <c r="BM91" t="s">
        <v>1867</v>
      </c>
      <c r="BN91">
        <v>3.09</v>
      </c>
      <c r="BO91">
        <v>6.6</v>
      </c>
      <c r="BP91" t="s">
        <v>90</v>
      </c>
      <c r="BQ91">
        <v>3.33</v>
      </c>
      <c r="BR91">
        <v>2.37</v>
      </c>
      <c r="BS91">
        <v>-14.03</v>
      </c>
      <c r="BT91" t="s">
        <v>2543</v>
      </c>
      <c r="BU91" t="s">
        <v>1458</v>
      </c>
      <c r="BV91">
        <v>29.37</v>
      </c>
      <c r="BW91">
        <v>23.88</v>
      </c>
      <c r="BX91">
        <v>28.79</v>
      </c>
      <c r="BY91">
        <v>4.92</v>
      </c>
      <c r="BZ91">
        <v>3.06</v>
      </c>
      <c r="CA91">
        <v>-30.19</v>
      </c>
      <c r="CB91">
        <v>-8.0299999999999994</v>
      </c>
      <c r="CC91">
        <v>-32.880000000000003</v>
      </c>
      <c r="CD91" t="s">
        <v>4744</v>
      </c>
      <c r="CE91" t="s">
        <v>1308</v>
      </c>
      <c r="CF91" s="8">
        <v>5.7142857142857287E-2</v>
      </c>
      <c r="CG91" s="9">
        <v>2.8008608058608058</v>
      </c>
      <c r="CH91" s="8">
        <v>0.18181818723678589</v>
      </c>
      <c r="CI91" s="8">
        <v>0.6411290168762207</v>
      </c>
      <c r="CJ91" s="8">
        <v>-3.8759689778089523E-2</v>
      </c>
      <c r="CK91" s="8">
        <v>0.14666666090488434</v>
      </c>
      <c r="CL91" s="8">
        <v>-0.32432430982589722</v>
      </c>
      <c r="CM91" s="9">
        <v>1.097703218460083</v>
      </c>
      <c r="CN91" s="9">
        <v>1.1710509061813354</v>
      </c>
      <c r="CO91" s="9">
        <v>-4.7448015213012695</v>
      </c>
      <c r="CP91" s="9">
        <v>1.032624363899231</v>
      </c>
      <c r="CQ91" s="9">
        <v>-0.7346034049987793</v>
      </c>
      <c r="CR91">
        <v>462.50660124214215</v>
      </c>
      <c r="CS91">
        <v>38.127273495965561</v>
      </c>
      <c r="CT91">
        <v>0.37330844610359309</v>
      </c>
      <c r="CU91" s="8">
        <v>0.12130597308278084</v>
      </c>
      <c r="CV91" s="9">
        <v>-0.43560528755187988</v>
      </c>
      <c r="CW91">
        <v>0.06</v>
      </c>
      <c r="CX91">
        <v>70.124282093919533</v>
      </c>
      <c r="CY91">
        <v>28471651.193889666</v>
      </c>
      <c r="CZ91">
        <v>0.12130597308278084</v>
      </c>
      <c r="DA91">
        <v>22.318574290702205</v>
      </c>
      <c r="DB91">
        <v>89457062.713533342</v>
      </c>
      <c r="DC91">
        <v>0.11524067442864179</v>
      </c>
      <c r="DD91">
        <v>10.601190216884779</v>
      </c>
      <c r="DE91">
        <v>188333013.47805631</v>
      </c>
      <c r="DF91">
        <v>0.10674925631284714</v>
      </c>
      <c r="DG91">
        <v>6.1111533010047854</v>
      </c>
      <c r="DH91">
        <v>326706597.21001107</v>
      </c>
      <c r="DI91">
        <v>9.7044778466224668E-2</v>
      </c>
      <c r="DJ91">
        <v>2.8802278609468086</v>
      </c>
      <c r="DK91">
        <v>693193107.07024372</v>
      </c>
      <c r="DL91">
        <v>8.4914181157946578E-2</v>
      </c>
      <c r="DM91">
        <v>26915000</v>
      </c>
      <c r="DN91">
        <v>0.12130597308278084</v>
      </c>
      <c r="DO91">
        <v>1996554100</v>
      </c>
      <c r="DP91">
        <v>342380280</v>
      </c>
      <c r="DQ91">
        <v>2022</v>
      </c>
      <c r="DR91">
        <v>-6.4163115939923548E-2</v>
      </c>
      <c r="DS91">
        <v>3.2364660934126857</v>
      </c>
      <c r="DT91" s="10">
        <v>-7.333333333333332E-2</v>
      </c>
      <c r="DU91">
        <v>-0.23666666666666661</v>
      </c>
      <c r="DV91">
        <v>-0.30999999999999994</v>
      </c>
      <c r="DW91">
        <v>-9.2442214111922141</v>
      </c>
      <c r="DX91">
        <v>0.26354012944983879</v>
      </c>
      <c r="DY91">
        <v>-9.017960074193498</v>
      </c>
      <c r="DZ91">
        <v>2475</v>
      </c>
      <c r="EA91">
        <v>-9.0092612124265887</v>
      </c>
      <c r="EB91">
        <v>9</v>
      </c>
      <c r="EC91">
        <v>0.19896319267179019</v>
      </c>
      <c r="ED91">
        <v>2.7055050645172338</v>
      </c>
      <c r="EE91" s="11">
        <v>4.0000000000000036E-3</v>
      </c>
      <c r="EF91">
        <v>2.181E-2</v>
      </c>
      <c r="EG91">
        <v>19.073540129449839</v>
      </c>
      <c r="EH91">
        <v>-1</v>
      </c>
      <c r="EI91">
        <v>0</v>
      </c>
      <c r="EJ91">
        <v>0</v>
      </c>
      <c r="EK91" s="13">
        <v>45470</v>
      </c>
      <c r="EL91" s="14">
        <v>-1.36</v>
      </c>
      <c r="EM91" s="14">
        <v>-6.76</v>
      </c>
      <c r="EN91" s="14">
        <v>-0.45</v>
      </c>
      <c r="EO91" s="14">
        <v>2.83</v>
      </c>
      <c r="EP91" s="14">
        <v>-2.58</v>
      </c>
    </row>
    <row r="92" spans="1:146" ht="108">
      <c r="C92" s="7" t="str">
        <f>""&amp;CHAR(10)&amp;Basic_Fundamental_Information_Constructure(F92)&amp;CHAR(10)&amp;Basic_Fundamental_Information_Concatenate("")</f>
        <v xml:space="preserve">
市值22.632668亿, 利润2520.74万; PE81.16; 平均PE136; 平均PEG5.34, PB2.38; ROIC2.6667%; ROE2.3533%; 股利率.8224%; 毛利29.2167%; 净利5.1867%; 上一年度营收增10.83%, 利润增28.19%; 当季营收增17.41%, 利润增68.44%; 过往5年营收增25.48%, 利润增12.55%
Income profile:
</v>
      </c>
      <c r="D92" t="s">
        <v>4745</v>
      </c>
      <c r="E92" t="s">
        <v>4746</v>
      </c>
      <c r="F92">
        <v>24.32</v>
      </c>
      <c r="G92">
        <v>-0.28999999999999998</v>
      </c>
      <c r="H92" t="s">
        <v>4747</v>
      </c>
      <c r="I92">
        <v>2263266800</v>
      </c>
      <c r="J92">
        <v>81.16</v>
      </c>
      <c r="K92">
        <v>2.38</v>
      </c>
      <c r="L92" t="s">
        <v>85</v>
      </c>
      <c r="M92" t="s">
        <v>200</v>
      </c>
      <c r="N92" t="s">
        <v>2059</v>
      </c>
      <c r="O92" t="s">
        <v>121</v>
      </c>
      <c r="P92" s="5">
        <v>17.2</v>
      </c>
      <c r="Q92" t="s">
        <v>972</v>
      </c>
      <c r="R92">
        <v>6589886</v>
      </c>
      <c r="S92">
        <v>0.68430000000000002</v>
      </c>
      <c r="T92" t="s">
        <v>4748</v>
      </c>
      <c r="U92">
        <v>91497259</v>
      </c>
      <c r="V92">
        <v>93061959</v>
      </c>
      <c r="W92">
        <v>1.57</v>
      </c>
      <c r="X92">
        <v>0.06</v>
      </c>
      <c r="Y92">
        <v>6.97</v>
      </c>
      <c r="Z92" t="s">
        <v>4749</v>
      </c>
      <c r="AA92" t="s">
        <v>4750</v>
      </c>
      <c r="AB92" t="s">
        <v>4751</v>
      </c>
      <c r="AC92" t="s">
        <v>4752</v>
      </c>
      <c r="AD92" t="s">
        <v>90</v>
      </c>
      <c r="AE92">
        <v>-2205884</v>
      </c>
      <c r="AF92" t="s">
        <v>4753</v>
      </c>
      <c r="AG92" t="s">
        <v>90</v>
      </c>
      <c r="AH92" t="s">
        <v>4754</v>
      </c>
      <c r="AI92" t="s">
        <v>541</v>
      </c>
      <c r="AJ92" t="s">
        <v>4755</v>
      </c>
      <c r="AK92" t="s">
        <v>4756</v>
      </c>
      <c r="AL92" t="s">
        <v>4757</v>
      </c>
      <c r="AM92" t="s">
        <v>90</v>
      </c>
      <c r="AN92" t="s">
        <v>4758</v>
      </c>
      <c r="AO92" t="s">
        <v>4759</v>
      </c>
      <c r="AP92" t="s">
        <v>4760</v>
      </c>
      <c r="AQ92" t="s">
        <v>292</v>
      </c>
      <c r="AR92" t="s">
        <v>90</v>
      </c>
      <c r="AS92" t="s">
        <v>4761</v>
      </c>
      <c r="AT92" t="s">
        <v>90</v>
      </c>
      <c r="AU92" t="s">
        <v>4762</v>
      </c>
      <c r="AV92" t="s">
        <v>4763</v>
      </c>
      <c r="AW92" t="s">
        <v>4764</v>
      </c>
      <c r="AX92" t="s">
        <v>386</v>
      </c>
      <c r="AY92" t="s">
        <v>2083</v>
      </c>
      <c r="AZ92" t="s">
        <v>1759</v>
      </c>
      <c r="BA92" t="s">
        <v>1393</v>
      </c>
      <c r="BB92" t="s">
        <v>659</v>
      </c>
      <c r="BC92" t="s">
        <v>4765</v>
      </c>
      <c r="BD92" t="s">
        <v>4766</v>
      </c>
      <c r="BE92" t="s">
        <v>4767</v>
      </c>
      <c r="BF92" t="s">
        <v>4768</v>
      </c>
      <c r="BG92" t="s">
        <v>4769</v>
      </c>
      <c r="BH92" t="s">
        <v>972</v>
      </c>
      <c r="BI92" t="s">
        <v>4770</v>
      </c>
      <c r="BJ92" t="s">
        <v>386</v>
      </c>
      <c r="BK92" t="s">
        <v>4748</v>
      </c>
      <c r="BL92" t="s">
        <v>4771</v>
      </c>
      <c r="BM92" t="s">
        <v>4765</v>
      </c>
      <c r="BN92">
        <v>1.61</v>
      </c>
      <c r="BO92">
        <v>2.87</v>
      </c>
      <c r="BP92">
        <v>3.52</v>
      </c>
      <c r="BQ92">
        <v>1.91</v>
      </c>
      <c r="BR92">
        <v>2.42</v>
      </c>
      <c r="BS92">
        <v>2.73</v>
      </c>
      <c r="BT92" t="s">
        <v>4772</v>
      </c>
      <c r="BU92" t="s">
        <v>3551</v>
      </c>
      <c r="BV92">
        <v>27.74</v>
      </c>
      <c r="BW92">
        <v>30.26</v>
      </c>
      <c r="BX92">
        <v>29.65</v>
      </c>
      <c r="BY92">
        <v>5.84</v>
      </c>
      <c r="BZ92">
        <v>5.15</v>
      </c>
      <c r="CA92">
        <v>4.57</v>
      </c>
      <c r="CB92">
        <v>-13.61</v>
      </c>
      <c r="CC92" s="8">
        <v>10.050000000000001</v>
      </c>
      <c r="CD92" s="9" t="s">
        <v>4773</v>
      </c>
      <c r="CE92" s="8" t="s">
        <v>104</v>
      </c>
      <c r="CF92" s="8">
        <v>0.17412101800808111</v>
      </c>
      <c r="CG92" s="8">
        <v>0.68435896125140583</v>
      </c>
      <c r="CH92" s="8">
        <v>0.10825688391923904</v>
      </c>
      <c r="CI92" s="8">
        <v>0.22747747600078583</v>
      </c>
      <c r="CJ92" s="9">
        <v>4.2253520339727402E-2</v>
      </c>
      <c r="CK92" s="9">
        <v>0.58364313840866089</v>
      </c>
      <c r="CL92" s="9">
        <v>0.31219512224197388</v>
      </c>
      <c r="CM92" s="9">
        <v>0.28186690807342529</v>
      </c>
      <c r="CN92" s="9">
        <v>0.456388920545578</v>
      </c>
      <c r="CO92">
        <v>1.1756859719753265E-2</v>
      </c>
      <c r="CP92">
        <v>0.30959227681159973</v>
      </c>
      <c r="CQ92">
        <v>-0.43207529187202454</v>
      </c>
      <c r="CR92" s="8">
        <v>135.9951048334762</v>
      </c>
      <c r="CS92" s="9">
        <v>5.3380559742745692</v>
      </c>
      <c r="CT92">
        <v>0.82236842105263153</v>
      </c>
      <c r="CU92">
        <v>0.25476522818207742</v>
      </c>
      <c r="CV92">
        <v>0.12550593465566634</v>
      </c>
      <c r="CW92">
        <v>0.06</v>
      </c>
      <c r="CX92">
        <v>64.086096917544268</v>
      </c>
      <c r="CY92">
        <v>29839027.370638575</v>
      </c>
      <c r="CZ92">
        <v>0.25476522818207742</v>
      </c>
      <c r="DA92">
        <v>18.265044378300232</v>
      </c>
      <c r="DB92">
        <v>104695436.83517499</v>
      </c>
      <c r="DC92">
        <v>0.24202696677297353</v>
      </c>
      <c r="DD92">
        <v>7.4116025341802159</v>
      </c>
      <c r="DE92">
        <v>258009896.12990794</v>
      </c>
      <c r="DF92">
        <v>0.22419340080022812</v>
      </c>
      <c r="DG92">
        <v>3.5279147606935433</v>
      </c>
      <c r="DH92">
        <v>542038833.05391216</v>
      </c>
      <c r="DI92">
        <v>0.20381218254566194</v>
      </c>
      <c r="DJ92">
        <v>1.043118935881187</v>
      </c>
      <c r="DK92">
        <v>1833220291.7825379</v>
      </c>
      <c r="DL92">
        <v>0.17833565972745419</v>
      </c>
      <c r="DM92">
        <v>25207399.999999996</v>
      </c>
      <c r="DN92">
        <v>0.25476522818207742</v>
      </c>
      <c r="DO92">
        <v>1912266800</v>
      </c>
      <c r="DP92">
        <v>760139430</v>
      </c>
      <c r="DQ92" s="10">
        <v>2025</v>
      </c>
      <c r="DR92">
        <v>-8.0644210173996311E-2</v>
      </c>
      <c r="DS92">
        <v>0.55885302659573943</v>
      </c>
      <c r="DT92">
        <v>-7.3333333333333403E-2</v>
      </c>
      <c r="DU92">
        <v>0.33333333333333331</v>
      </c>
      <c r="DV92">
        <v>0.2599999999999999</v>
      </c>
      <c r="DW92">
        <v>-5.7384276267450405</v>
      </c>
      <c r="DX92">
        <v>0.30827266666666675</v>
      </c>
      <c r="DY92">
        <v>-5.1242571858927262</v>
      </c>
      <c r="DZ92">
        <v>1137</v>
      </c>
      <c r="EA92">
        <v>-5.0966093541197264</v>
      </c>
      <c r="EB92" s="11">
        <v>5</v>
      </c>
      <c r="EC92" s="11">
        <v>0.27122682856912567</v>
      </c>
      <c r="ED92">
        <v>1.6118293834755832</v>
      </c>
      <c r="EE92">
        <v>1.0133000000000001</v>
      </c>
      <c r="EF92">
        <v>1.0267999999999999</v>
      </c>
      <c r="EG92">
        <v>14.168272666666667</v>
      </c>
      <c r="EH92" s="13" t="s">
        <v>1725</v>
      </c>
      <c r="EI92">
        <v>0</v>
      </c>
      <c r="EJ92">
        <v>1</v>
      </c>
      <c r="EK92">
        <v>45470</v>
      </c>
      <c r="EL92">
        <v>-11.77</v>
      </c>
      <c r="EM92">
        <v>-0.7</v>
      </c>
      <c r="EN92" s="14">
        <v>2.58</v>
      </c>
      <c r="EO92" s="14">
        <v>-1.4</v>
      </c>
      <c r="EP92" s="14">
        <v>1.35</v>
      </c>
    </row>
    <row r="93" spans="1:146" ht="96">
      <c r="C93" s="7" t="str">
        <f>""&amp;CHAR(10)&amp;Basic_Fundamental_Information_Constructure(F93)&amp;CHAR(10)&amp;Basic_Fundamental_Information_Concatenate("")</f>
        <v xml:space="preserve">
市值149.21784亿, 利润1.50亿; PE122; 平均PE63.23; 平均PEG4.86, PB4.53; ROIC4.58%; ROE4.8667%; 股利率.3689%; 毛利45.56%; 净利5.7033%; 上一年度营收增-11.06%, 利润增-44.85%; 当季营收增-30.45%, 利润增-234.11%; 过往5年营收增13.02%, 利润增-8.15%
Income profile:
</v>
      </c>
      <c r="D93" t="s">
        <v>4774</v>
      </c>
      <c r="E93" t="s">
        <v>4775</v>
      </c>
      <c r="F93">
        <v>54.22</v>
      </c>
      <c r="G93">
        <v>3.32</v>
      </c>
      <c r="H93" t="s">
        <v>4776</v>
      </c>
      <c r="I93">
        <v>14921784000</v>
      </c>
      <c r="J93">
        <v>122</v>
      </c>
      <c r="K93">
        <v>4.53</v>
      </c>
      <c r="L93" t="s">
        <v>85</v>
      </c>
      <c r="M93" t="s">
        <v>4102</v>
      </c>
      <c r="N93" t="s">
        <v>4777</v>
      </c>
      <c r="O93" t="s">
        <v>1398</v>
      </c>
      <c r="P93" s="5">
        <v>-30.5</v>
      </c>
      <c r="Q93" t="s">
        <v>4778</v>
      </c>
      <c r="R93">
        <v>-15926790</v>
      </c>
      <c r="S93">
        <v>-2.3410000000000002</v>
      </c>
      <c r="T93" t="s">
        <v>104</v>
      </c>
      <c r="U93">
        <v>203783110</v>
      </c>
      <c r="V93">
        <v>275208110</v>
      </c>
      <c r="W93">
        <v>2.21</v>
      </c>
      <c r="X93">
        <v>0.05</v>
      </c>
      <c r="Y93">
        <v>-9.57</v>
      </c>
      <c r="Z93" t="s">
        <v>1456</v>
      </c>
      <c r="AA93" t="s">
        <v>451</v>
      </c>
      <c r="AB93" t="s">
        <v>4779</v>
      </c>
      <c r="AC93" t="s">
        <v>4780</v>
      </c>
      <c r="AD93" t="s">
        <v>90</v>
      </c>
      <c r="AE93">
        <v>15488566</v>
      </c>
      <c r="AF93" t="s">
        <v>182</v>
      </c>
      <c r="AG93" t="s">
        <v>4781</v>
      </c>
      <c r="AH93" t="s">
        <v>4782</v>
      </c>
      <c r="AI93" t="s">
        <v>447</v>
      </c>
      <c r="AJ93" t="s">
        <v>4783</v>
      </c>
      <c r="AK93" t="s">
        <v>4784</v>
      </c>
      <c r="AL93" t="s">
        <v>4785</v>
      </c>
      <c r="AM93" t="s">
        <v>90</v>
      </c>
      <c r="AN93" t="s">
        <v>1243</v>
      </c>
      <c r="AO93" t="s">
        <v>2618</v>
      </c>
      <c r="AP93" t="s">
        <v>4786</v>
      </c>
      <c r="AQ93" t="s">
        <v>4787</v>
      </c>
      <c r="AR93" t="s">
        <v>90</v>
      </c>
      <c r="AS93" t="s">
        <v>4788</v>
      </c>
      <c r="AT93" t="s">
        <v>1885</v>
      </c>
      <c r="AU93" t="s">
        <v>4789</v>
      </c>
      <c r="AV93" t="s">
        <v>4790</v>
      </c>
      <c r="AW93" t="s">
        <v>4791</v>
      </c>
      <c r="AX93" t="s">
        <v>4792</v>
      </c>
      <c r="AY93" t="s">
        <v>4793</v>
      </c>
      <c r="AZ93" t="s">
        <v>4794</v>
      </c>
      <c r="BA93" t="s">
        <v>4795</v>
      </c>
      <c r="BB93" t="s">
        <v>4796</v>
      </c>
      <c r="BC93" t="s">
        <v>483</v>
      </c>
      <c r="BD93" t="s">
        <v>848</v>
      </c>
      <c r="BE93" t="s">
        <v>227</v>
      </c>
      <c r="BF93" t="s">
        <v>295</v>
      </c>
      <c r="BG93" t="s">
        <v>311</v>
      </c>
      <c r="BH93" t="s">
        <v>4778</v>
      </c>
      <c r="BI93" t="s">
        <v>4287</v>
      </c>
      <c r="BJ93" t="s">
        <v>4792</v>
      </c>
      <c r="BK93" t="s">
        <v>104</v>
      </c>
      <c r="BL93" t="s">
        <v>4797</v>
      </c>
      <c r="BM93" t="s">
        <v>483</v>
      </c>
      <c r="BN93" t="s">
        <v>90</v>
      </c>
      <c r="BO93">
        <v>4.92</v>
      </c>
      <c r="BP93">
        <v>4.24</v>
      </c>
      <c r="BQ93">
        <v>-0.39</v>
      </c>
      <c r="BR93">
        <v>8.07</v>
      </c>
      <c r="BS93">
        <v>6.92</v>
      </c>
      <c r="BT93" t="s">
        <v>1694</v>
      </c>
      <c r="BU93" t="s">
        <v>3551</v>
      </c>
      <c r="BV93">
        <v>48.95</v>
      </c>
      <c r="BW93">
        <v>44.39</v>
      </c>
      <c r="BX93">
        <v>43.34</v>
      </c>
      <c r="BY93">
        <v>3.68</v>
      </c>
      <c r="BZ93">
        <v>7.62</v>
      </c>
      <c r="CA93">
        <v>5.81</v>
      </c>
      <c r="CB93">
        <v>-4.05</v>
      </c>
      <c r="CC93" s="8">
        <v>-9.35</v>
      </c>
      <c r="CD93" s="9" t="s">
        <v>4798</v>
      </c>
      <c r="CE93" s="8" t="s">
        <v>138</v>
      </c>
      <c r="CF93" s="8">
        <v>-0.30449251247920134</v>
      </c>
      <c r="CG93" s="8">
        <v>-2.3411243126720951</v>
      </c>
      <c r="CH93" s="8">
        <v>-0.11058224737644196</v>
      </c>
      <c r="CI93" s="8">
        <v>0.13366547226905823</v>
      </c>
      <c r="CJ93" s="9">
        <v>0.15984593331813812</v>
      </c>
      <c r="CK93" s="9">
        <v>6.4582198858261108E-2</v>
      </c>
      <c r="CL93" s="9">
        <v>0.40359717607498169</v>
      </c>
      <c r="CM93" s="9">
        <v>-0.44852942228317261</v>
      </c>
      <c r="CN93" s="9">
        <v>0.4166666567325592</v>
      </c>
      <c r="CO93">
        <v>-0.20987653732299805</v>
      </c>
      <c r="CP93">
        <v>-0.10000000149011612</v>
      </c>
      <c r="CQ93">
        <v>-6.574394553899765E-2</v>
      </c>
      <c r="CR93" s="8">
        <v>63.227898305084743</v>
      </c>
      <c r="CS93" s="9">
        <v>4.8554039063024721</v>
      </c>
      <c r="CT93">
        <v>0.36886757654002211</v>
      </c>
      <c r="CU93">
        <v>0.13022170662879945</v>
      </c>
      <c r="CV93">
        <v>-8.1496649980545038E-2</v>
      </c>
      <c r="CW93">
        <v>0.06</v>
      </c>
      <c r="CX93">
        <v>98.618710187222277</v>
      </c>
      <c r="CY93">
        <v>159937033.95690557</v>
      </c>
      <c r="CZ93">
        <v>0.13022170662879945</v>
      </c>
      <c r="DA93">
        <v>31.153408056127898</v>
      </c>
      <c r="DB93">
        <v>506294013.53401792</v>
      </c>
      <c r="DC93">
        <v>0.12371062129735948</v>
      </c>
      <c r="DD93">
        <v>14.646376177554368</v>
      </c>
      <c r="DE93">
        <v>1076906929.6589458</v>
      </c>
      <c r="DF93">
        <v>0.11459510183334351</v>
      </c>
      <c r="DG93">
        <v>8.3426329692700349</v>
      </c>
      <c r="DH93">
        <v>1890624225.960655</v>
      </c>
      <c r="DI93">
        <v>0.10417736530303956</v>
      </c>
      <c r="DJ93">
        <v>3.8251486148005616</v>
      </c>
      <c r="DK93">
        <v>4123443449.7448602</v>
      </c>
      <c r="DL93">
        <v>9.1155194640159615E-2</v>
      </c>
      <c r="DM93">
        <v>150000000</v>
      </c>
      <c r="DN93">
        <v>0.13022170662879945</v>
      </c>
      <c r="DO93">
        <v>15772784000</v>
      </c>
      <c r="DP93">
        <v>2766421800</v>
      </c>
      <c r="DQ93" s="10">
        <v>2035</v>
      </c>
      <c r="DR93">
        <v>-0.43471421910800079</v>
      </c>
      <c r="DS93">
        <v>-2.2596276626915501</v>
      </c>
      <c r="DT93">
        <v>-0.20666666666666669</v>
      </c>
      <c r="DU93">
        <v>-1.0483333333333333</v>
      </c>
      <c r="DV93">
        <v>-1.2550000000000001</v>
      </c>
      <c r="DW93">
        <v>-8.4331550802139041</v>
      </c>
      <c r="DX93">
        <v>0.43270235294117682</v>
      </c>
      <c r="DY93">
        <v>-8.0574806983328084</v>
      </c>
      <c r="DZ93">
        <v>3821</v>
      </c>
      <c r="EA93">
        <v>-8.0144995342761227</v>
      </c>
      <c r="EB93" s="11">
        <v>8</v>
      </c>
      <c r="EC93" s="11">
        <v>8.1972148277171045E-2</v>
      </c>
      <c r="ED93">
        <v>0.61771435442073275</v>
      </c>
      <c r="EE93">
        <v>2.0423100000000001</v>
      </c>
      <c r="EF93">
        <v>2.0895100000000002</v>
      </c>
      <c r="EG93">
        <v>30.132702352941177</v>
      </c>
      <c r="EH93" s="13" t="s">
        <v>2143</v>
      </c>
      <c r="EI93">
        <v>0</v>
      </c>
      <c r="EJ93">
        <v>0</v>
      </c>
      <c r="EK93">
        <v>45470</v>
      </c>
      <c r="EL93">
        <v>-0.98</v>
      </c>
      <c r="EM93">
        <v>-3.43</v>
      </c>
      <c r="EN93" s="14">
        <v>0.16</v>
      </c>
      <c r="EO93" s="14">
        <v>5</v>
      </c>
      <c r="EP93" s="14">
        <v>-4.72</v>
      </c>
    </row>
    <row r="94" spans="1:146" ht="108">
      <c r="A94" s="7"/>
      <c r="B94" s="7"/>
      <c r="C94" s="7" t="str">
        <f>""&amp;CHAR(10)&amp;Basic_Fundamental_Information_Constructure(F94)&amp;CHAR(10)&amp;Basic_Fundamental_Information_Concatenate("")</f>
        <v xml:space="preserve">
市值27.028569亿, 利润5233.37万; PE46.89; 平均PE48.92; 平均PEG4.95, PB3.83; ROIC6.6867%; ROE7.4033%; 股利率.7776%; 毛利29.0767%; 净利10.44%; 上一年度营收增43.04%, 利润增102.51%; 当季营收增45.96%, 利润增1311.14%; 过往5年营收增9.88%, 利润增13.23%
Income profile:
</v>
      </c>
      <c r="D94" t="s">
        <v>397</v>
      </c>
      <c r="E94" t="s">
        <v>37</v>
      </c>
      <c r="F94">
        <v>19.29</v>
      </c>
      <c r="G94">
        <v>7.47</v>
      </c>
      <c r="H94" t="s">
        <v>4799</v>
      </c>
      <c r="I94">
        <v>2702856900</v>
      </c>
      <c r="J94">
        <v>46.89</v>
      </c>
      <c r="K94">
        <v>3.83</v>
      </c>
      <c r="L94" t="s">
        <v>85</v>
      </c>
      <c r="M94" t="s">
        <v>670</v>
      </c>
      <c r="N94" t="s">
        <v>851</v>
      </c>
      <c r="O94" t="s">
        <v>2736</v>
      </c>
      <c r="P94">
        <v>45.96</v>
      </c>
      <c r="Q94" t="s">
        <v>875</v>
      </c>
      <c r="R94">
        <v>5716543</v>
      </c>
      <c r="S94" s="5">
        <v>13.11</v>
      </c>
      <c r="T94" t="s">
        <v>2737</v>
      </c>
      <c r="U94">
        <v>117582387</v>
      </c>
      <c r="V94">
        <v>140117000</v>
      </c>
      <c r="W94">
        <v>1.61</v>
      </c>
      <c r="X94">
        <v>0.08</v>
      </c>
      <c r="Y94">
        <v>6.37</v>
      </c>
      <c r="Z94" t="s">
        <v>4800</v>
      </c>
      <c r="AA94" t="s">
        <v>4801</v>
      </c>
      <c r="AB94" t="s">
        <v>4802</v>
      </c>
      <c r="AC94" t="s">
        <v>4803</v>
      </c>
      <c r="AD94" t="s">
        <v>90</v>
      </c>
      <c r="AE94">
        <v>564614</v>
      </c>
      <c r="AF94" t="s">
        <v>2738</v>
      </c>
      <c r="AG94" t="s">
        <v>90</v>
      </c>
      <c r="AH94" t="s">
        <v>2739</v>
      </c>
      <c r="AI94" t="s">
        <v>174</v>
      </c>
      <c r="AJ94" t="s">
        <v>2740</v>
      </c>
      <c r="AK94" t="s">
        <v>4804</v>
      </c>
      <c r="AL94" t="s">
        <v>2741</v>
      </c>
      <c r="AM94" t="s">
        <v>90</v>
      </c>
      <c r="AN94" t="s">
        <v>373</v>
      </c>
      <c r="AO94" t="s">
        <v>4805</v>
      </c>
      <c r="AP94" t="s">
        <v>4806</v>
      </c>
      <c r="AQ94" t="s">
        <v>4807</v>
      </c>
      <c r="AR94" t="s">
        <v>90</v>
      </c>
      <c r="AS94" t="s">
        <v>1865</v>
      </c>
      <c r="AT94" t="s">
        <v>521</v>
      </c>
      <c r="AU94" t="s">
        <v>4808</v>
      </c>
      <c r="AV94" t="s">
        <v>4809</v>
      </c>
      <c r="AW94" t="s">
        <v>4810</v>
      </c>
      <c r="AX94" t="s">
        <v>821</v>
      </c>
      <c r="AY94" t="s">
        <v>1293</v>
      </c>
      <c r="AZ94" t="s">
        <v>478</v>
      </c>
      <c r="BA94" t="s">
        <v>327</v>
      </c>
      <c r="BB94" t="s">
        <v>148</v>
      </c>
      <c r="BC94" t="s">
        <v>1868</v>
      </c>
      <c r="BD94" t="s">
        <v>1294</v>
      </c>
      <c r="BE94" t="s">
        <v>872</v>
      </c>
      <c r="BF94" t="s">
        <v>398</v>
      </c>
      <c r="BG94" t="s">
        <v>873</v>
      </c>
      <c r="BH94" t="s">
        <v>875</v>
      </c>
      <c r="BI94" t="s">
        <v>2742</v>
      </c>
      <c r="BJ94" t="s">
        <v>821</v>
      </c>
      <c r="BK94" t="s">
        <v>2737</v>
      </c>
      <c r="BL94" t="s">
        <v>2743</v>
      </c>
      <c r="BM94" t="s">
        <v>1868</v>
      </c>
      <c r="BN94">
        <v>4.8600000000000003</v>
      </c>
      <c r="BO94">
        <v>3.99</v>
      </c>
      <c r="BP94">
        <v>11.21</v>
      </c>
      <c r="BQ94">
        <v>5.15</v>
      </c>
      <c r="BR94">
        <v>4.3099999999999996</v>
      </c>
      <c r="BS94">
        <v>12.75</v>
      </c>
      <c r="BT94" t="s">
        <v>1695</v>
      </c>
      <c r="BU94" t="s">
        <v>1458</v>
      </c>
      <c r="BV94">
        <v>28.39</v>
      </c>
      <c r="BW94">
        <v>23.61</v>
      </c>
      <c r="BX94">
        <v>35.229999999999997</v>
      </c>
      <c r="BY94">
        <v>9.3800000000000008</v>
      </c>
      <c r="BZ94">
        <v>6.65</v>
      </c>
      <c r="CA94">
        <v>15.29</v>
      </c>
      <c r="CB94">
        <v>3.93</v>
      </c>
      <c r="CC94">
        <v>4.05</v>
      </c>
      <c r="CD94" t="s">
        <v>4811</v>
      </c>
      <c r="CE94" t="s">
        <v>355</v>
      </c>
      <c r="CF94" s="8">
        <v>0.45955562437098418</v>
      </c>
      <c r="CG94" s="9">
        <v>13.111436682300667</v>
      </c>
      <c r="CH94" s="8">
        <v>0.43037974834442139</v>
      </c>
      <c r="CI94" s="8">
        <v>-0.11633109301328659</v>
      </c>
      <c r="CJ94" s="8">
        <v>7.7108435332775116E-2</v>
      </c>
      <c r="CK94" s="8">
        <v>-3.488372266292572E-2</v>
      </c>
      <c r="CL94" s="8">
        <v>0.13756613433361053</v>
      </c>
      <c r="CM94" s="9">
        <v>1.0250706672668457</v>
      </c>
      <c r="CN94" s="9">
        <v>-0.61715811491012573</v>
      </c>
      <c r="CO94" s="9">
        <v>-5.2995059639215469E-2</v>
      </c>
      <c r="CP94" s="9">
        <v>0.16973766684532166</v>
      </c>
      <c r="CQ94" s="9">
        <v>0.13681009411811829</v>
      </c>
      <c r="CR94">
        <v>48.920457363223306</v>
      </c>
      <c r="CS94">
        <v>4.9530725197108545</v>
      </c>
      <c r="CT94">
        <v>0.77760497667185069</v>
      </c>
      <c r="CU94" s="8">
        <v>9.876790046691894E-2</v>
      </c>
      <c r="CV94" s="9">
        <v>0.13229305073618888</v>
      </c>
      <c r="CW94">
        <v>0.06</v>
      </c>
      <c r="CX94">
        <v>44.03607434751239</v>
      </c>
      <c r="CY94">
        <v>54247726.106288292</v>
      </c>
      <c r="CZ94">
        <v>9.876790046691894E-2</v>
      </c>
      <c r="DA94">
        <v>14.284236649622697</v>
      </c>
      <c r="DB94">
        <v>167237281.10896981</v>
      </c>
      <c r="DC94">
        <v>9.3829505443572991E-2</v>
      </c>
      <c r="DD94">
        <v>6.9621637450175555</v>
      </c>
      <c r="DE94">
        <v>343119895.9819892</v>
      </c>
      <c r="DF94">
        <v>8.6915752410888669E-2</v>
      </c>
      <c r="DG94">
        <v>4.1340448556715641</v>
      </c>
      <c r="DH94">
        <v>577849777.49399304</v>
      </c>
      <c r="DI94">
        <v>7.901432037353516E-2</v>
      </c>
      <c r="DJ94">
        <v>2.0830799495659118</v>
      </c>
      <c r="DK94">
        <v>1146790789.5219328</v>
      </c>
      <c r="DL94">
        <v>6.913753032684325E-2</v>
      </c>
      <c r="DM94">
        <v>52333700</v>
      </c>
      <c r="DN94">
        <v>9.876790046691894E-2</v>
      </c>
      <c r="DO94">
        <v>2388856900</v>
      </c>
      <c r="DP94">
        <v>266991230</v>
      </c>
      <c r="DQ94">
        <v>2073</v>
      </c>
      <c r="DR94">
        <v>0.36078772390406522</v>
      </c>
      <c r="DS94">
        <v>12.979143631564478</v>
      </c>
      <c r="DT94" s="10">
        <v>-0.27333333333333337</v>
      </c>
      <c r="DU94">
        <v>0.15</v>
      </c>
      <c r="DV94">
        <v>-0.12333333333333338</v>
      </c>
      <c r="DW94">
        <v>8.9703703703703699</v>
      </c>
      <c r="DX94">
        <v>0.69991095890410693</v>
      </c>
      <c r="DY94">
        <v>8.291024708269914</v>
      </c>
      <c r="DZ94">
        <v>2000</v>
      </c>
      <c r="EA94">
        <v>8.1771207128609458</v>
      </c>
      <c r="EB94">
        <v>8</v>
      </c>
      <c r="EC94">
        <v>0.46875468358586037</v>
      </c>
      <c r="ED94">
        <v>1.5629795099809445</v>
      </c>
      <c r="EE94" s="11">
        <v>-1.1294999999999999</v>
      </c>
      <c r="EF94">
        <v>-1.1076999999999999</v>
      </c>
      <c r="EG94">
        <v>40.299910958904107</v>
      </c>
      <c r="EH94" t="s">
        <v>1730</v>
      </c>
      <c r="EI94">
        <v>0</v>
      </c>
      <c r="EJ94">
        <v>0</v>
      </c>
      <c r="EK94" s="13">
        <v>45470</v>
      </c>
      <c r="EL94" s="14">
        <v>-0.55000000000000004</v>
      </c>
      <c r="EM94" s="14">
        <v>-5.0999999999999996</v>
      </c>
      <c r="EN94" s="14">
        <v>1.29</v>
      </c>
      <c r="EO94" s="14">
        <v>20</v>
      </c>
      <c r="EP94" s="14">
        <v>-2.1800000000000002</v>
      </c>
    </row>
    <row r="95" spans="1:146" ht="108">
      <c r="C95" s="7" t="str">
        <f>""&amp;CHAR(10)&amp;Basic_Fundamental_Information_Constructure(F95)&amp;CHAR(10)&amp;Basic_Fundamental_Information_Concatenate("")</f>
        <v xml:space="preserve">
市值29.999643亿, 利润3628.81万; PE163; 平均PE72.78; 平均PEG1.78, PB2.33; ROIC2.4833%; ROE2.2767%; 股利率.6821%; 毛利34.74%; 净利4.7333%; 上一年度营收增24.51%, 利润增774.54%; 当季营收增-24.88%, 利润增-124.68%; 过往5年营收增40.82%, 利润增150.34%
Income profile:
</v>
      </c>
      <c r="D95" t="s">
        <v>4812</v>
      </c>
      <c r="E95" t="s">
        <v>4813</v>
      </c>
      <c r="F95">
        <v>14.66</v>
      </c>
      <c r="G95">
        <v>4.1900000000000004</v>
      </c>
      <c r="H95" t="s">
        <v>4814</v>
      </c>
      <c r="I95">
        <v>2999964300</v>
      </c>
      <c r="J95">
        <v>163</v>
      </c>
      <c r="K95">
        <v>2.33</v>
      </c>
      <c r="L95" t="s">
        <v>85</v>
      </c>
      <c r="M95" t="s">
        <v>1042</v>
      </c>
      <c r="N95" t="s">
        <v>2036</v>
      </c>
      <c r="O95" t="s">
        <v>166</v>
      </c>
      <c r="P95" s="5">
        <v>-24.71</v>
      </c>
      <c r="Q95" t="s">
        <v>627</v>
      </c>
      <c r="R95">
        <v>-3540437</v>
      </c>
      <c r="S95">
        <v>-1.2470000000000001</v>
      </c>
      <c r="T95" t="s">
        <v>4815</v>
      </c>
      <c r="U95">
        <v>172648360</v>
      </c>
      <c r="V95">
        <v>204636040</v>
      </c>
      <c r="W95">
        <v>1.23</v>
      </c>
      <c r="X95">
        <v>0.1</v>
      </c>
      <c r="Y95">
        <v>-2.73</v>
      </c>
      <c r="Z95" t="s">
        <v>841</v>
      </c>
      <c r="AA95" t="s">
        <v>597</v>
      </c>
      <c r="AB95" t="s">
        <v>4816</v>
      </c>
      <c r="AC95" t="s">
        <v>4817</v>
      </c>
      <c r="AD95" t="s">
        <v>90</v>
      </c>
      <c r="AE95">
        <v>-376400</v>
      </c>
      <c r="AF95" t="s">
        <v>4818</v>
      </c>
      <c r="AG95">
        <v>4455.05</v>
      </c>
      <c r="AH95" t="s">
        <v>4819</v>
      </c>
      <c r="AI95" t="s">
        <v>2600</v>
      </c>
      <c r="AJ95" t="s">
        <v>4820</v>
      </c>
      <c r="AK95" t="s">
        <v>4821</v>
      </c>
      <c r="AL95" t="s">
        <v>4822</v>
      </c>
      <c r="AM95" t="s">
        <v>90</v>
      </c>
      <c r="AN95" t="s">
        <v>4823</v>
      </c>
      <c r="AO95" t="s">
        <v>4824</v>
      </c>
      <c r="AP95" t="s">
        <v>90</v>
      </c>
      <c r="AQ95" t="s">
        <v>4825</v>
      </c>
      <c r="AR95" t="s">
        <v>90</v>
      </c>
      <c r="AS95" t="s">
        <v>452</v>
      </c>
      <c r="AT95" t="s">
        <v>90</v>
      </c>
      <c r="AU95" t="s">
        <v>4826</v>
      </c>
      <c r="AV95" t="s">
        <v>4827</v>
      </c>
      <c r="AW95" t="s">
        <v>4828</v>
      </c>
      <c r="AX95" t="s">
        <v>4829</v>
      </c>
      <c r="AY95" t="s">
        <v>1609</v>
      </c>
      <c r="AZ95" t="s">
        <v>4830</v>
      </c>
      <c r="BA95" t="s">
        <v>807</v>
      </c>
      <c r="BB95" t="s">
        <v>509</v>
      </c>
      <c r="BC95" t="s">
        <v>4831</v>
      </c>
      <c r="BD95" t="s">
        <v>4832</v>
      </c>
      <c r="BE95" t="s">
        <v>4833</v>
      </c>
      <c r="BF95" t="s">
        <v>4834</v>
      </c>
      <c r="BG95" t="s">
        <v>4835</v>
      </c>
      <c r="BH95" t="s">
        <v>627</v>
      </c>
      <c r="BI95" t="s">
        <v>407</v>
      </c>
      <c r="BJ95" t="s">
        <v>4829</v>
      </c>
      <c r="BK95" t="s">
        <v>4815</v>
      </c>
      <c r="BL95" t="s">
        <v>4836</v>
      </c>
      <c r="BM95" t="s">
        <v>4831</v>
      </c>
      <c r="BN95">
        <v>1.25</v>
      </c>
      <c r="BO95">
        <v>0.2</v>
      </c>
      <c r="BP95">
        <v>6</v>
      </c>
      <c r="BQ95">
        <v>0.08</v>
      </c>
      <c r="BR95">
        <v>0.32</v>
      </c>
      <c r="BS95">
        <v>6.43</v>
      </c>
      <c r="BT95" t="s">
        <v>1697</v>
      </c>
      <c r="BU95" t="s">
        <v>3551</v>
      </c>
      <c r="BV95">
        <v>33.75</v>
      </c>
      <c r="BW95">
        <v>34.200000000000003</v>
      </c>
      <c r="BX95">
        <v>36.270000000000003</v>
      </c>
      <c r="BY95">
        <v>4.16</v>
      </c>
      <c r="BZ95">
        <v>0.84</v>
      </c>
      <c r="CA95">
        <v>9.1999999999999993</v>
      </c>
      <c r="CB95">
        <v>8.35</v>
      </c>
      <c r="CC95" s="8">
        <v>13.64</v>
      </c>
      <c r="CD95" s="9" t="s">
        <v>4837</v>
      </c>
      <c r="CE95" s="8" t="s">
        <v>220</v>
      </c>
      <c r="CF95" s="8">
        <v>-0.24880382775119617</v>
      </c>
      <c r="CG95" s="8">
        <v>-1.2468304330851392</v>
      </c>
      <c r="CH95" s="8">
        <v>0.24512535333633423</v>
      </c>
      <c r="CI95" s="8">
        <v>-0.15029585361480713</v>
      </c>
      <c r="CJ95" s="9">
        <v>9.5979250967502594E-2</v>
      </c>
      <c r="CK95" s="9">
        <v>1.1123287677764893</v>
      </c>
      <c r="CL95" s="9">
        <v>0.73809522390365601</v>
      </c>
      <c r="CM95" s="9">
        <v>7.745384693145752</v>
      </c>
      <c r="CN95" s="9">
        <v>-0.94512081146240234</v>
      </c>
      <c r="CO95">
        <v>0.49411511421203613</v>
      </c>
      <c r="CP95">
        <v>0.51848864555358887</v>
      </c>
      <c r="CQ95">
        <v>-0.29594755172729492</v>
      </c>
      <c r="CR95" s="8">
        <v>72.781544806671718</v>
      </c>
      <c r="CS95" s="9">
        <v>1.7827840817945426</v>
      </c>
      <c r="CT95">
        <v>0.68212824010914053</v>
      </c>
      <c r="CU95">
        <v>0.40824654847383501</v>
      </c>
      <c r="CV95">
        <v>1.5033840179443358</v>
      </c>
      <c r="CW95">
        <v>0.06</v>
      </c>
      <c r="CX95">
        <v>42.334881486321038</v>
      </c>
      <c r="CY95">
        <v>48209992.052522048</v>
      </c>
      <c r="CZ95">
        <v>0.40824654847383501</v>
      </c>
      <c r="DA95">
        <v>10.676699788111488</v>
      </c>
      <c r="DB95">
        <v>191160596.48624897</v>
      </c>
      <c r="DC95">
        <v>0.38783422105014326</v>
      </c>
      <c r="DD95">
        <v>3.5932917238426794</v>
      </c>
      <c r="DE95">
        <v>567992931.51110625</v>
      </c>
      <c r="DF95">
        <v>0.35925696265697482</v>
      </c>
      <c r="DG95">
        <v>1.3414080547422211</v>
      </c>
      <c r="DH95">
        <v>1521508904.6056256</v>
      </c>
      <c r="DI95">
        <v>0.32659723877906804</v>
      </c>
      <c r="DJ95">
        <v>0.21214988802534368</v>
      </c>
      <c r="DK95">
        <v>9620388297.1467037</v>
      </c>
      <c r="DL95">
        <v>0.28577258393168448</v>
      </c>
      <c r="DM95">
        <v>36288100</v>
      </c>
      <c r="DN95">
        <v>0.40824654847383501</v>
      </c>
      <c r="DO95">
        <v>2040964300</v>
      </c>
      <c r="DP95">
        <v>605482800</v>
      </c>
      <c r="DQ95" s="10">
        <v>2133</v>
      </c>
      <c r="DR95">
        <v>-0.65705037622503115</v>
      </c>
      <c r="DS95">
        <v>-2.7502144510294748</v>
      </c>
      <c r="DT95">
        <v>9.999999999999936E-3</v>
      </c>
      <c r="DU95">
        <v>-0.74833333333333341</v>
      </c>
      <c r="DV95">
        <v>-0.73833333333333351</v>
      </c>
      <c r="DW95">
        <v>9.6121700879765388</v>
      </c>
      <c r="DX95">
        <v>0.5363347517730499</v>
      </c>
      <c r="DY95">
        <v>9.156920467544353</v>
      </c>
      <c r="DZ95">
        <v>3253</v>
      </c>
      <c r="EA95">
        <v>9.0570256963267841</v>
      </c>
      <c r="EB95" s="11">
        <v>9</v>
      </c>
      <c r="EC95" s="11">
        <v>0.35324373947032989</v>
      </c>
      <c r="ED95">
        <v>1.3780563775569543</v>
      </c>
      <c r="EE95">
        <v>6.9809999999999997E-2</v>
      </c>
      <c r="EF95">
        <v>4.5510000000000002E-2</v>
      </c>
      <c r="EG95">
        <v>28.25633475177305</v>
      </c>
      <c r="EH95" s="13">
        <v>-1</v>
      </c>
      <c r="EI95">
        <v>1</v>
      </c>
      <c r="EJ95">
        <v>0</v>
      </c>
      <c r="EK95">
        <v>45470</v>
      </c>
      <c r="EL95">
        <v>-2.19</v>
      </c>
      <c r="EM95">
        <v>-0.6</v>
      </c>
      <c r="EN95" s="14">
        <v>3.68</v>
      </c>
      <c r="EO95" s="14">
        <v>-1.59</v>
      </c>
      <c r="EP95" s="14">
        <v>2.4300000000000002</v>
      </c>
    </row>
    <row r="96" spans="1:146" ht="180">
      <c r="A96" s="7" t="s">
        <v>1620</v>
      </c>
      <c r="B96" s="7" t="s">
        <v>1618</v>
      </c>
      <c r="C96" s="7" t="str">
        <f>"公司主要从事金刚石线的研发、生产和销售。公司主要产品为电镀金刚石线。公司一直致力于研发新一代的硬脆材料切割技术，产品具有自主知识产权，从各环节工艺、关键生产设备、以及工序管理、产品自动控制信息管理等全部由公司自主研发并实现产业化"&amp;CHAR(10)&amp;Basic_Fundamental_Information_Constructure(F96)&amp;CHAR(10)&amp;Basic_Fundamental_Information_Concatenate("金刚石线 2.65亿 95.87% 98.12% 32.55%
其他产品及其他业务收入 1139.11万 4.13% 1.88% 14.53%")</f>
        <v>公司主要从事金刚石线的研发、生产和销售。公司主要产品为电镀金刚石线。公司一直致力于研发新一代的硬脆材料切割技术，产品具有自主知识产权，从各环节工艺、关键生产设备、以及工序管理、产品自动控制信息管理等全部由公司自主研发并实现产业化
市值28.51223亿, 利润1.12亿; PE31.18; 平均PE149.38; 平均PEG4.89, PB2.23; ROIC11.615%; ROE5.42%; 股利率1.7053%; 毛利28.51%; 净利-.7533%; 上一年度营收增31.88%, 利润增23.13%; 当季营收增-13.07%, 利润增-99.21%; 过往5年营收增30.56%, 利润增-1037.38%
Income profile:
金刚石线 2.65亿 95.87% 98.12% 32.55%
其他产品及其他业务收入 1139.11万 4.13% 1.88% 14.53%</v>
      </c>
      <c r="D96" t="s">
        <v>400</v>
      </c>
      <c r="E96" t="s">
        <v>20</v>
      </c>
      <c r="F96">
        <v>7.33</v>
      </c>
      <c r="G96">
        <v>0</v>
      </c>
      <c r="H96" t="s">
        <v>4838</v>
      </c>
      <c r="I96">
        <v>2851223000</v>
      </c>
      <c r="J96">
        <v>31.18</v>
      </c>
      <c r="K96">
        <v>2.23</v>
      </c>
      <c r="L96" t="s">
        <v>85</v>
      </c>
      <c r="M96" t="s">
        <v>2332</v>
      </c>
      <c r="N96" t="s">
        <v>513</v>
      </c>
      <c r="O96" t="s">
        <v>333</v>
      </c>
      <c r="P96">
        <v>-12.95</v>
      </c>
      <c r="Q96" t="s">
        <v>2744</v>
      </c>
      <c r="R96">
        <v>167287</v>
      </c>
      <c r="S96" s="5">
        <v>-0.99209999999999998</v>
      </c>
      <c r="T96" t="s">
        <v>371</v>
      </c>
      <c r="U96">
        <v>263566950</v>
      </c>
      <c r="V96">
        <v>388979940</v>
      </c>
      <c r="W96">
        <v>1.6</v>
      </c>
      <c r="X96">
        <v>0.06</v>
      </c>
      <c r="Y96">
        <v>-0.11</v>
      </c>
      <c r="Z96" t="s">
        <v>103</v>
      </c>
      <c r="AA96" t="s">
        <v>282</v>
      </c>
      <c r="AB96" t="s">
        <v>4839</v>
      </c>
      <c r="AC96" t="s">
        <v>4840</v>
      </c>
      <c r="AD96" t="s">
        <v>90</v>
      </c>
      <c r="AE96">
        <v>1991010</v>
      </c>
      <c r="AF96" t="s">
        <v>182</v>
      </c>
      <c r="AG96" t="s">
        <v>4841</v>
      </c>
      <c r="AH96" t="s">
        <v>2746</v>
      </c>
      <c r="AI96" t="s">
        <v>240</v>
      </c>
      <c r="AJ96" t="s">
        <v>2747</v>
      </c>
      <c r="AK96" t="s">
        <v>89</v>
      </c>
      <c r="AL96" t="s">
        <v>2748</v>
      </c>
      <c r="AM96" t="s">
        <v>90</v>
      </c>
      <c r="AN96" t="s">
        <v>4842</v>
      </c>
      <c r="AO96" t="s">
        <v>371</v>
      </c>
      <c r="AP96" t="s">
        <v>90</v>
      </c>
      <c r="AQ96" t="s">
        <v>170</v>
      </c>
      <c r="AR96" t="s">
        <v>90</v>
      </c>
      <c r="AS96" t="s">
        <v>2181</v>
      </c>
      <c r="AT96" t="s">
        <v>514</v>
      </c>
      <c r="AU96" t="s">
        <v>334</v>
      </c>
      <c r="AV96" t="s">
        <v>4843</v>
      </c>
      <c r="AW96" t="s">
        <v>4844</v>
      </c>
      <c r="AX96" t="s">
        <v>1472</v>
      </c>
      <c r="AY96" t="s">
        <v>173</v>
      </c>
      <c r="AZ96" t="s">
        <v>227</v>
      </c>
      <c r="BA96" t="s">
        <v>402</v>
      </c>
      <c r="BB96" t="s">
        <v>877</v>
      </c>
      <c r="BC96" t="s">
        <v>2749</v>
      </c>
      <c r="BD96" t="s">
        <v>1295</v>
      </c>
      <c r="BE96" t="s">
        <v>876</v>
      </c>
      <c r="BF96" t="s">
        <v>403</v>
      </c>
      <c r="BG96" t="s">
        <v>878</v>
      </c>
      <c r="BH96" t="s">
        <v>2744</v>
      </c>
      <c r="BI96" t="s">
        <v>167</v>
      </c>
      <c r="BJ96" t="s">
        <v>1472</v>
      </c>
      <c r="BK96" t="s">
        <v>371</v>
      </c>
      <c r="BL96" t="s">
        <v>2750</v>
      </c>
      <c r="BM96" t="s">
        <v>2749</v>
      </c>
      <c r="BN96">
        <v>12.7</v>
      </c>
      <c r="BO96">
        <v>10.53</v>
      </c>
      <c r="BP96" t="s">
        <v>90</v>
      </c>
      <c r="BQ96">
        <v>17.77</v>
      </c>
      <c r="BR96">
        <v>14.29</v>
      </c>
      <c r="BS96">
        <v>-15.8</v>
      </c>
      <c r="BT96" t="s">
        <v>2751</v>
      </c>
      <c r="BU96" t="s">
        <v>1458</v>
      </c>
      <c r="BV96">
        <v>36.369999999999997</v>
      </c>
      <c r="BW96">
        <v>35.340000000000003</v>
      </c>
      <c r="BX96">
        <v>13.82</v>
      </c>
      <c r="BY96">
        <v>13.23</v>
      </c>
      <c r="BZ96">
        <v>14.03</v>
      </c>
      <c r="CA96">
        <v>-29.52</v>
      </c>
      <c r="CB96">
        <v>-5.78</v>
      </c>
      <c r="CC96">
        <v>-7.33</v>
      </c>
      <c r="CD96" t="s">
        <v>4845</v>
      </c>
      <c r="CE96" t="s">
        <v>820</v>
      </c>
      <c r="CF96" s="8">
        <v>-0.13071895424836602</v>
      </c>
      <c r="CG96" s="9">
        <v>-0.99210314388217524</v>
      </c>
      <c r="CH96" s="8">
        <v>0.31881803274154663</v>
      </c>
      <c r="CI96" s="8">
        <v>1.3726937770843506</v>
      </c>
      <c r="CJ96" s="8">
        <v>0.11522633582353592</v>
      </c>
      <c r="CK96" s="8">
        <v>-7.2519086301326752E-2</v>
      </c>
      <c r="CL96" s="8">
        <v>-0.20606060326099396</v>
      </c>
      <c r="CM96" s="9">
        <v>0.23129421472549438</v>
      </c>
      <c r="CN96" s="9">
        <v>2.1643435955047607</v>
      </c>
      <c r="CO96" s="9">
        <v>-52.949928283691406</v>
      </c>
      <c r="CP96" s="9">
        <v>1.0328110456466675</v>
      </c>
      <c r="CQ96" s="9">
        <v>-2.3476333618164062</v>
      </c>
      <c r="CR96">
        <v>149.38310284937376</v>
      </c>
      <c r="CS96">
        <v>4.8876836775118493</v>
      </c>
      <c r="CT96">
        <v>1.7053206002728514</v>
      </c>
      <c r="CU96" s="8">
        <v>0.30563169121742251</v>
      </c>
      <c r="CV96" s="9">
        <v>-10.373822557926179</v>
      </c>
      <c r="CW96">
        <v>0.06</v>
      </c>
      <c r="CX96">
        <v>17.579998668272868</v>
      </c>
      <c r="CY96">
        <v>137953537.18523711</v>
      </c>
      <c r="CZ96">
        <v>0.30563169121742251</v>
      </c>
      <c r="DA96">
        <v>4.808714758621921</v>
      </c>
      <c r="DB96">
        <v>504339126.30222619</v>
      </c>
      <c r="DC96">
        <v>0.29035010665655137</v>
      </c>
      <c r="DD96">
        <v>1.8347952671012508</v>
      </c>
      <c r="DE96">
        <v>1321794885.5032485</v>
      </c>
      <c r="DF96">
        <v>0.26895588827133182</v>
      </c>
      <c r="DG96">
        <v>0.80735326674614982</v>
      </c>
      <c r="DH96">
        <v>3003917987.1957402</v>
      </c>
      <c r="DI96">
        <v>0.24450535297393802</v>
      </c>
      <c r="DJ96">
        <v>0.19529401019886944</v>
      </c>
      <c r="DK96">
        <v>12418317374.559395</v>
      </c>
      <c r="DL96">
        <v>0.21394218385219574</v>
      </c>
      <c r="DM96">
        <v>112000000.00000001</v>
      </c>
      <c r="DN96">
        <v>0.30563169121742251</v>
      </c>
      <c r="DO96">
        <v>2425223000</v>
      </c>
      <c r="DP96">
        <v>451212190</v>
      </c>
      <c r="DQ96">
        <v>2166</v>
      </c>
      <c r="DR96">
        <v>-0.4363506454657885</v>
      </c>
      <c r="DS96">
        <v>9.381719414044003</v>
      </c>
      <c r="DT96" s="10">
        <v>-7.333333333333332E-2</v>
      </c>
      <c r="DU96">
        <v>-0.97333333333333349</v>
      </c>
      <c r="DV96">
        <v>-1.0466666666666669</v>
      </c>
      <c r="DW96">
        <v>-8.7885402455661659</v>
      </c>
      <c r="DX96">
        <v>0.24397250608272586</v>
      </c>
      <c r="DY96">
        <v>-8.0425594932002937</v>
      </c>
      <c r="DZ96">
        <v>3609</v>
      </c>
      <c r="EA96">
        <v>-8.0125013305858399</v>
      </c>
      <c r="EB96">
        <v>8</v>
      </c>
      <c r="EC96">
        <v>5.7027876553222771E-2</v>
      </c>
      <c r="ED96">
        <v>1.0566097573052227</v>
      </c>
      <c r="EE96" s="11">
        <v>-3.0787100000000001</v>
      </c>
      <c r="EF96">
        <v>-3.09171</v>
      </c>
      <c r="EG96">
        <v>19.053972506082726</v>
      </c>
      <c r="EH96" t="s">
        <v>2117</v>
      </c>
      <c r="EI96">
        <v>0</v>
      </c>
      <c r="EJ96">
        <v>0</v>
      </c>
      <c r="EK96" s="13">
        <v>45470</v>
      </c>
      <c r="EL96" s="14">
        <v>-4.66</v>
      </c>
      <c r="EM96" s="14">
        <v>-7.14</v>
      </c>
      <c r="EN96" s="14">
        <v>1.21</v>
      </c>
      <c r="EO96" s="14">
        <v>2.4</v>
      </c>
      <c r="EP96" s="14">
        <v>-1.3</v>
      </c>
    </row>
    <row r="97" spans="1:146" ht="108">
      <c r="C97" s="7" t="str">
        <f>""&amp;CHAR(10)&amp;Basic_Fundamental_Information_Constructure(F97)&amp;CHAR(10)&amp;Basic_Fundamental_Information_Concatenate("")</f>
        <v xml:space="preserve">
市值23.30732亿, 利润3618.58万; PE63.84; 平均PE43.96; 平均PEG5.48, PB3.91; ROIC7.6333%; ROE8.57%; 股利率1.505%; 毛利53.4%; 净利22.1133%; 上一年度营收增12.5%, 利润增-11.6%; 当季营收增4.12%, 利润增6.15%; 过往5年营收增8.02%, 利润增1.35%
Income profile:
</v>
      </c>
      <c r="D97" t="s">
        <v>4846</v>
      </c>
      <c r="E97" t="s">
        <v>4847</v>
      </c>
      <c r="F97">
        <v>11.96</v>
      </c>
      <c r="G97">
        <v>-0.33</v>
      </c>
      <c r="H97" t="s">
        <v>4848</v>
      </c>
      <c r="I97">
        <v>2330732000</v>
      </c>
      <c r="J97">
        <v>63.84</v>
      </c>
      <c r="K97">
        <v>3.91</v>
      </c>
      <c r="L97" t="s">
        <v>85</v>
      </c>
      <c r="M97" t="s">
        <v>4849</v>
      </c>
      <c r="N97" t="s">
        <v>1156</v>
      </c>
      <c r="O97" t="s">
        <v>4850</v>
      </c>
      <c r="P97" s="5">
        <v>4.12</v>
      </c>
      <c r="Q97" t="s">
        <v>349</v>
      </c>
      <c r="R97">
        <v>5527550</v>
      </c>
      <c r="S97">
        <v>6.1499999999999999E-2</v>
      </c>
      <c r="T97" t="s">
        <v>4851</v>
      </c>
      <c r="U97">
        <v>173302050</v>
      </c>
      <c r="V97">
        <v>194877260</v>
      </c>
      <c r="W97">
        <v>1.0900000000000001</v>
      </c>
      <c r="X97">
        <v>7.0000000000000007E-2</v>
      </c>
      <c r="Y97">
        <v>12.39</v>
      </c>
      <c r="Z97" t="s">
        <v>4852</v>
      </c>
      <c r="AA97" t="s">
        <v>4853</v>
      </c>
      <c r="AB97" t="s">
        <v>4854</v>
      </c>
      <c r="AC97" t="s">
        <v>4855</v>
      </c>
      <c r="AD97" t="s">
        <v>90</v>
      </c>
      <c r="AE97">
        <v>-1081444</v>
      </c>
      <c r="AF97" t="s">
        <v>4856</v>
      </c>
      <c r="AG97" t="s">
        <v>90</v>
      </c>
      <c r="AH97" t="s">
        <v>4857</v>
      </c>
      <c r="AI97" t="s">
        <v>292</v>
      </c>
      <c r="AJ97" t="s">
        <v>4858</v>
      </c>
      <c r="AK97" t="s">
        <v>4859</v>
      </c>
      <c r="AL97" t="s">
        <v>4860</v>
      </c>
      <c r="AM97" t="s">
        <v>90</v>
      </c>
      <c r="AN97">
        <v>0</v>
      </c>
      <c r="AO97" t="s">
        <v>90</v>
      </c>
      <c r="AP97" t="s">
        <v>90</v>
      </c>
      <c r="AQ97" t="s">
        <v>4861</v>
      </c>
      <c r="AR97" t="s">
        <v>90</v>
      </c>
      <c r="AS97" t="s">
        <v>4862</v>
      </c>
      <c r="AT97" t="s">
        <v>90</v>
      </c>
      <c r="AU97" t="s">
        <v>4863</v>
      </c>
      <c r="AV97" t="s">
        <v>4864</v>
      </c>
      <c r="AW97" t="s">
        <v>4865</v>
      </c>
      <c r="AX97" t="s">
        <v>685</v>
      </c>
      <c r="AY97" t="s">
        <v>246</v>
      </c>
      <c r="AZ97" t="s">
        <v>197</v>
      </c>
      <c r="BA97" t="s">
        <v>107</v>
      </c>
      <c r="BB97" t="s">
        <v>372</v>
      </c>
      <c r="BC97" t="s">
        <v>4866</v>
      </c>
      <c r="BD97" t="s">
        <v>4867</v>
      </c>
      <c r="BE97" t="s">
        <v>4868</v>
      </c>
      <c r="BF97" t="s">
        <v>4869</v>
      </c>
      <c r="BG97" t="s">
        <v>4870</v>
      </c>
      <c r="BH97" t="s">
        <v>349</v>
      </c>
      <c r="BI97" t="s">
        <v>4871</v>
      </c>
      <c r="BJ97" t="s">
        <v>685</v>
      </c>
      <c r="BK97" t="s">
        <v>4851</v>
      </c>
      <c r="BL97" t="s">
        <v>4872</v>
      </c>
      <c r="BM97" t="s">
        <v>4866</v>
      </c>
      <c r="BN97">
        <v>3.7</v>
      </c>
      <c r="BO97">
        <v>6.08</v>
      </c>
      <c r="BP97">
        <v>13.12</v>
      </c>
      <c r="BQ97">
        <v>4.8099999999999996</v>
      </c>
      <c r="BR97">
        <v>7.01</v>
      </c>
      <c r="BS97">
        <v>13.89</v>
      </c>
      <c r="BT97" t="s">
        <v>1703</v>
      </c>
      <c r="BU97" t="s">
        <v>3551</v>
      </c>
      <c r="BV97">
        <v>50.84</v>
      </c>
      <c r="BW97">
        <v>52.39</v>
      </c>
      <c r="BX97">
        <v>56.97</v>
      </c>
      <c r="BY97">
        <v>15.78</v>
      </c>
      <c r="BZ97">
        <v>20.18</v>
      </c>
      <c r="CA97">
        <v>30.38</v>
      </c>
      <c r="CB97">
        <v>-9.6</v>
      </c>
      <c r="CC97" s="8">
        <v>-34.07</v>
      </c>
      <c r="CD97" s="9" t="s">
        <v>4873</v>
      </c>
      <c r="CE97" s="8" t="s">
        <v>296</v>
      </c>
      <c r="CF97" s="8">
        <v>4.1201581792456254E-2</v>
      </c>
      <c r="CG97" s="8">
        <v>6.1520586879705026E-2</v>
      </c>
      <c r="CH97" s="8">
        <v>0.125</v>
      </c>
      <c r="CI97" s="8">
        <v>-0.20948617160320282</v>
      </c>
      <c r="CJ97" s="9">
        <v>0.16055046021938324</v>
      </c>
      <c r="CK97" s="9">
        <v>0.23863635957241058</v>
      </c>
      <c r="CL97" s="9">
        <v>8.6419753730297089E-2</v>
      </c>
      <c r="CM97" s="9">
        <v>-0.1159597709774971</v>
      </c>
      <c r="CN97" s="9">
        <v>-0.46764355897903442</v>
      </c>
      <c r="CO97">
        <v>5.1893617957830429E-2</v>
      </c>
      <c r="CP97">
        <v>0.64808118343353271</v>
      </c>
      <c r="CQ97">
        <v>-4.907495528459549E-2</v>
      </c>
      <c r="CR97" s="8">
        <v>43.962858964411957</v>
      </c>
      <c r="CS97" s="9">
        <v>5.480007842296418</v>
      </c>
      <c r="CT97">
        <v>1.5050167224080266</v>
      </c>
      <c r="CU97">
        <v>8.0224080383777624E-2</v>
      </c>
      <c r="CV97">
        <v>1.3459303230047227E-2</v>
      </c>
      <c r="CW97">
        <v>0.06</v>
      </c>
      <c r="CX97">
        <v>48.640160205604921</v>
      </c>
      <c r="CY97">
        <v>36876200.498067267</v>
      </c>
      <c r="CZ97">
        <v>8.0224080383777624E-2</v>
      </c>
      <c r="DA97">
        <v>16.027424463646131</v>
      </c>
      <c r="DB97">
        <v>111912197.99965</v>
      </c>
      <c r="DC97">
        <v>7.6212876364588733E-2</v>
      </c>
      <c r="DD97">
        <v>7.9775262829784124</v>
      </c>
      <c r="DE97">
        <v>224839660.36277786</v>
      </c>
      <c r="DF97">
        <v>7.0597190737724316E-2</v>
      </c>
      <c r="DG97">
        <v>4.8503842867170608</v>
      </c>
      <c r="DH97">
        <v>369798389.97747242</v>
      </c>
      <c r="DI97">
        <v>6.4179264307022102E-2</v>
      </c>
      <c r="DJ97">
        <v>2.5741917078524561</v>
      </c>
      <c r="DK97">
        <v>696787381.65790355</v>
      </c>
      <c r="DL97">
        <v>5.6156856268644334E-2</v>
      </c>
      <c r="DM97">
        <v>36185800</v>
      </c>
      <c r="DN97">
        <v>8.0224080383777624E-2</v>
      </c>
      <c r="DO97">
        <v>1793664300</v>
      </c>
      <c r="DP97">
        <v>468149800</v>
      </c>
      <c r="DQ97" s="10">
        <v>2184</v>
      </c>
      <c r="DR97">
        <v>-3.902249859132137E-2</v>
      </c>
      <c r="DS97">
        <v>4.8061283649657796E-2</v>
      </c>
      <c r="DT97">
        <v>-0.34</v>
      </c>
      <c r="DU97">
        <v>8.3333333333333315E-2</v>
      </c>
      <c r="DV97">
        <v>-0.25666666666666671</v>
      </c>
      <c r="DW97">
        <v>-9.2817728206633401</v>
      </c>
      <c r="DX97">
        <v>0.48000564516128919</v>
      </c>
      <c r="DY97">
        <v>-9.0281788727193533</v>
      </c>
      <c r="DZ97">
        <v>2339</v>
      </c>
      <c r="EA97">
        <v>-9.0152805589638607</v>
      </c>
      <c r="EB97" s="11">
        <v>9</v>
      </c>
      <c r="EC97" s="11">
        <v>6.3633386471053627E-2</v>
      </c>
      <c r="ED97">
        <v>0.6362979446652729</v>
      </c>
      <c r="EE97">
        <v>2.81E-2</v>
      </c>
      <c r="EF97">
        <v>5.6000000000000008E-3</v>
      </c>
      <c r="EG97">
        <v>38.100005645161289</v>
      </c>
      <c r="EH97" s="13" t="s">
        <v>1390</v>
      </c>
      <c r="EI97">
        <v>0</v>
      </c>
      <c r="EJ97">
        <v>0</v>
      </c>
      <c r="EK97">
        <v>45470</v>
      </c>
      <c r="EL97">
        <v>-1.9</v>
      </c>
      <c r="EM97">
        <v>-7.73</v>
      </c>
      <c r="EN97" s="14">
        <v>-1.42</v>
      </c>
      <c r="EO97" s="14">
        <v>1.37</v>
      </c>
      <c r="EP97" s="14">
        <v>-2.25</v>
      </c>
    </row>
    <row r="98" spans="1:146" ht="96">
      <c r="A98" s="7"/>
      <c r="B98" s="7"/>
      <c r="C98" s="7" t="str">
        <f>""&amp;CHAR(10)&amp;Basic_Fundamental_Information_Constructure(F98)&amp;CHAR(10)&amp;Basic_Fundamental_Information_Concatenate("")</f>
        <v xml:space="preserve">
市值18.597756亿, 利润-812.33万; PE; 平均PE25.95; 平均PEG35.08, PB1.59; ROIC5.1467%; ROE6.22%; 股利率0%; 毛利28.9%; 净利9.26%; 上一年度营收增-28.55%, 利润增-106.6%; 当季营收增11.32%, 利润增-374.49%; 过往5年营收增.74%, 利润增-5.87%
Income profile:
</v>
      </c>
      <c r="D98" t="s">
        <v>309</v>
      </c>
      <c r="E98" t="s">
        <v>310</v>
      </c>
      <c r="F98">
        <v>12.68</v>
      </c>
      <c r="G98">
        <v>0.56000000000000005</v>
      </c>
      <c r="H98" t="s">
        <v>4874</v>
      </c>
      <c r="I98">
        <v>1859775600</v>
      </c>
      <c r="K98">
        <v>1.59</v>
      </c>
      <c r="L98" t="s">
        <v>85</v>
      </c>
      <c r="M98" t="s">
        <v>1491</v>
      </c>
      <c r="N98" t="s">
        <v>4875</v>
      </c>
      <c r="O98" t="s">
        <v>290</v>
      </c>
      <c r="P98">
        <v>11.47</v>
      </c>
      <c r="Q98" t="s">
        <v>231</v>
      </c>
      <c r="R98">
        <v>-20595424</v>
      </c>
      <c r="S98" s="5">
        <v>-3.7450000000000001</v>
      </c>
      <c r="T98" t="s">
        <v>2752</v>
      </c>
      <c r="U98">
        <v>103207174</v>
      </c>
      <c r="V98">
        <v>146670000</v>
      </c>
      <c r="W98">
        <v>1.78</v>
      </c>
      <c r="X98">
        <v>0.06</v>
      </c>
      <c r="Y98">
        <v>-17.96</v>
      </c>
      <c r="Z98" t="s">
        <v>103</v>
      </c>
      <c r="AA98" t="s">
        <v>143</v>
      </c>
      <c r="AB98" t="s">
        <v>4876</v>
      </c>
      <c r="AC98" t="s">
        <v>4877</v>
      </c>
      <c r="AD98" t="s">
        <v>90</v>
      </c>
      <c r="AE98">
        <v>3161601</v>
      </c>
      <c r="AF98" t="s">
        <v>2753</v>
      </c>
      <c r="AG98" t="s">
        <v>4878</v>
      </c>
      <c r="AH98" t="s">
        <v>2754</v>
      </c>
      <c r="AI98" t="s">
        <v>175</v>
      </c>
      <c r="AJ98" t="s">
        <v>2755</v>
      </c>
      <c r="AK98" t="s">
        <v>4879</v>
      </c>
      <c r="AL98" t="s">
        <v>2756</v>
      </c>
      <c r="AM98" t="s">
        <v>90</v>
      </c>
      <c r="AN98" t="s">
        <v>4880</v>
      </c>
      <c r="AO98" t="s">
        <v>859</v>
      </c>
      <c r="AP98" t="s">
        <v>4881</v>
      </c>
      <c r="AQ98" t="s">
        <v>4882</v>
      </c>
      <c r="AR98" t="s">
        <v>90</v>
      </c>
      <c r="AS98" t="s">
        <v>2080</v>
      </c>
      <c r="AT98" t="s">
        <v>378</v>
      </c>
      <c r="AU98" t="s">
        <v>4883</v>
      </c>
      <c r="AV98" t="s">
        <v>4884</v>
      </c>
      <c r="AW98" t="s">
        <v>4885</v>
      </c>
      <c r="AX98" t="s">
        <v>1861</v>
      </c>
      <c r="AY98" t="s">
        <v>591</v>
      </c>
      <c r="AZ98" t="s">
        <v>115</v>
      </c>
      <c r="BA98" t="s">
        <v>312</v>
      </c>
      <c r="BB98" t="s">
        <v>880</v>
      </c>
      <c r="BC98" t="s">
        <v>253</v>
      </c>
      <c r="BD98" t="s">
        <v>1296</v>
      </c>
      <c r="BE98" t="s">
        <v>879</v>
      </c>
      <c r="BF98" t="s">
        <v>313</v>
      </c>
      <c r="BG98" t="s">
        <v>881</v>
      </c>
      <c r="BH98" t="s">
        <v>231</v>
      </c>
      <c r="BI98" t="s">
        <v>597</v>
      </c>
      <c r="BJ98" t="s">
        <v>1861</v>
      </c>
      <c r="BK98" t="s">
        <v>2752</v>
      </c>
      <c r="BL98" t="s">
        <v>2757</v>
      </c>
      <c r="BM98" t="s">
        <v>253</v>
      </c>
      <c r="BN98">
        <v>1.7</v>
      </c>
      <c r="BO98">
        <v>8.0299999999999994</v>
      </c>
      <c r="BP98">
        <v>5.71</v>
      </c>
      <c r="BQ98">
        <v>1.5</v>
      </c>
      <c r="BR98">
        <v>10.59</v>
      </c>
      <c r="BS98">
        <v>6.57</v>
      </c>
      <c r="BT98" t="s">
        <v>1692</v>
      </c>
      <c r="BU98" t="s">
        <v>1337</v>
      </c>
      <c r="BV98">
        <v>22.56</v>
      </c>
      <c r="BW98">
        <v>34.76</v>
      </c>
      <c r="BX98">
        <v>29.38</v>
      </c>
      <c r="BY98">
        <v>-1.85</v>
      </c>
      <c r="BZ98">
        <v>17.399999999999999</v>
      </c>
      <c r="CA98">
        <v>12.23</v>
      </c>
      <c r="CB98">
        <v>-6</v>
      </c>
      <c r="CC98">
        <v>-12.25</v>
      </c>
      <c r="CD98" t="s">
        <v>4886</v>
      </c>
      <c r="CE98" t="s">
        <v>104</v>
      </c>
      <c r="CF98" s="8">
        <v>0.11320754716981132</v>
      </c>
      <c r="CG98" s="9">
        <v>-3.7449219655875576</v>
      </c>
      <c r="CH98" s="8">
        <v>-0.28550931811332703</v>
      </c>
      <c r="CI98" s="8">
        <v>0.20172414183616638</v>
      </c>
      <c r="CJ98" s="8">
        <v>0.28603103756904602</v>
      </c>
      <c r="CK98" s="8">
        <v>-7.0103093981742859E-2</v>
      </c>
      <c r="CL98" s="8">
        <v>-9.514925628900528E-2</v>
      </c>
      <c r="CM98" s="9">
        <v>-1.0660430192947388</v>
      </c>
      <c r="CN98" s="9">
        <v>0.73146998882293701</v>
      </c>
      <c r="CO98" s="9">
        <v>-0.27715623378753662</v>
      </c>
      <c r="CP98" s="9">
        <v>0.45733177661895752</v>
      </c>
      <c r="CQ98" s="9">
        <v>-0.1392553299665451</v>
      </c>
      <c r="CR98">
        <v>25.952119539280343</v>
      </c>
      <c r="CS98">
        <v>35.076583464126855</v>
      </c>
      <c r="CT98">
        <v>0</v>
      </c>
      <c r="CU98" s="8">
        <v>7.3987022042274475E-3</v>
      </c>
      <c r="CV98" s="9">
        <v>-5.8730563521385191E-2</v>
      </c>
      <c r="CW98">
        <v>0.06</v>
      </c>
      <c r="CX98" t="e">
        <v>#VALUE!</v>
      </c>
      <c r="CY98" t="s">
        <v>1392</v>
      </c>
      <c r="CZ98">
        <v>7.3987022042274475E-3</v>
      </c>
      <c r="DA98" t="e">
        <v>#VALUE!</v>
      </c>
      <c r="DB98" t="s">
        <v>1391</v>
      </c>
      <c r="DC98">
        <v>7.0287670940160744E-3</v>
      </c>
      <c r="DD98" t="e">
        <v>#VALUE!</v>
      </c>
      <c r="DE98" t="s">
        <v>1391</v>
      </c>
      <c r="DF98">
        <v>6.5108579397201542E-3</v>
      </c>
      <c r="DG98" t="e">
        <v>#VALUE!</v>
      </c>
      <c r="DH98" t="s">
        <v>1391</v>
      </c>
      <c r="DI98">
        <v>5.9189617633819587E-3</v>
      </c>
      <c r="DJ98" t="e">
        <v>#VALUE!</v>
      </c>
      <c r="DK98" t="s">
        <v>1391</v>
      </c>
      <c r="DL98">
        <v>5.1790915429592126E-3</v>
      </c>
      <c r="DM98">
        <v>-8123300</v>
      </c>
      <c r="DN98">
        <v>7.3987022042274475E-3</v>
      </c>
      <c r="DO98">
        <v>1587775600</v>
      </c>
      <c r="DP98">
        <v>242328110</v>
      </c>
      <c r="DQ98">
        <v>2238</v>
      </c>
      <c r="DR98">
        <v>0.10580884496558388</v>
      </c>
      <c r="DS98">
        <v>-3.6861914020661724</v>
      </c>
      <c r="DT98" s="10">
        <v>-0.32333333333333331</v>
      </c>
      <c r="DU98">
        <v>-1.365</v>
      </c>
      <c r="DV98">
        <v>-1.6883333333333332</v>
      </c>
      <c r="DW98">
        <v>-9.4897959183673475</v>
      </c>
      <c r="DX98">
        <v>0.33182266666666582</v>
      </c>
      <c r="DY98">
        <v>-9.0792600816326523</v>
      </c>
      <c r="DZ98">
        <v>2971</v>
      </c>
      <c r="EA98">
        <v>-9.0331775566755859</v>
      </c>
      <c r="EB98">
        <v>9</v>
      </c>
      <c r="EC98">
        <v>0.16549669325697144</v>
      </c>
      <c r="ED98">
        <v>1.0227040294538761</v>
      </c>
      <c r="EE98" s="11">
        <v>3.1045099999999999</v>
      </c>
      <c r="EF98">
        <v>3.1101100000000002</v>
      </c>
      <c r="EG98">
        <v>17.161822666666666</v>
      </c>
      <c r="EH98" t="s">
        <v>1736</v>
      </c>
      <c r="EI98">
        <v>0</v>
      </c>
      <c r="EJ98">
        <v>0</v>
      </c>
      <c r="EK98" s="13">
        <v>45470</v>
      </c>
      <c r="EL98" s="14">
        <v>6.75</v>
      </c>
      <c r="EM98" s="14">
        <v>-6.57</v>
      </c>
      <c r="EN98" s="14">
        <v>-8.9600000000000009</v>
      </c>
      <c r="EO98" s="14">
        <v>2.5</v>
      </c>
      <c r="EP98" s="14">
        <v>-0.56000000000000005</v>
      </c>
    </row>
    <row r="99" spans="1:146" ht="108">
      <c r="A99" s="7"/>
      <c r="B99" s="7"/>
      <c r="C99" s="7" t="str">
        <f>""&amp;CHAR(10)&amp;Basic_Fundamental_Information_Constructure(F99)&amp;CHAR(10)&amp;Basic_Fundamental_Information_Concatenate("")</f>
        <v xml:space="preserve">
市值48.695186亿, 利润-1.57亿; PE37.49; 平均PE104.6; 平均PEG16.68, PB3.06; ROIC4.6033%; ROE5.0033%; 股利率.5179%; 毛利34.8833%; 净利20.5567%; 上一年度营收增-50.89%, 利润增-432.55%; 当季营收增160.03%, 利润增615.9%; 过往5年营收增-6.27%, 利润增-83.33%
Income profile:
</v>
      </c>
      <c r="D99" t="s">
        <v>146</v>
      </c>
      <c r="E99" t="s">
        <v>147</v>
      </c>
      <c r="F99">
        <v>19.309999999999999</v>
      </c>
      <c r="G99">
        <v>1.58</v>
      </c>
      <c r="H99" t="s">
        <v>4887</v>
      </c>
      <c r="I99">
        <v>4869518600</v>
      </c>
      <c r="J99">
        <v>37.49</v>
      </c>
      <c r="K99">
        <v>3.06</v>
      </c>
      <c r="L99" t="s">
        <v>85</v>
      </c>
      <c r="M99" t="s">
        <v>1809</v>
      </c>
      <c r="N99" t="s">
        <v>4888</v>
      </c>
      <c r="O99" t="s">
        <v>579</v>
      </c>
      <c r="P99">
        <v>21.29</v>
      </c>
      <c r="Q99" t="s">
        <v>1541</v>
      </c>
      <c r="R99">
        <v>27136317</v>
      </c>
      <c r="S99" s="5">
        <v>0.81140000000000001</v>
      </c>
      <c r="T99" t="s">
        <v>2097</v>
      </c>
      <c r="U99">
        <v>139734290</v>
      </c>
      <c r="V99">
        <v>252176000</v>
      </c>
      <c r="W99">
        <v>1.3</v>
      </c>
      <c r="X99">
        <v>0.06</v>
      </c>
      <c r="Y99">
        <v>22.36</v>
      </c>
      <c r="Z99" t="s">
        <v>121</v>
      </c>
      <c r="AA99" t="s">
        <v>4889</v>
      </c>
      <c r="AB99" t="s">
        <v>4890</v>
      </c>
      <c r="AC99" t="s">
        <v>4891</v>
      </c>
      <c r="AD99" t="s">
        <v>90</v>
      </c>
      <c r="AE99">
        <v>-1367567</v>
      </c>
      <c r="AF99" t="s">
        <v>2759</v>
      </c>
      <c r="AG99">
        <v>0.19</v>
      </c>
      <c r="AH99" t="s">
        <v>2760</v>
      </c>
      <c r="AI99" t="s">
        <v>515</v>
      </c>
      <c r="AJ99" t="s">
        <v>2761</v>
      </c>
      <c r="AK99" t="s">
        <v>4892</v>
      </c>
      <c r="AL99" t="s">
        <v>2762</v>
      </c>
      <c r="AM99" t="s">
        <v>90</v>
      </c>
      <c r="AN99" t="s">
        <v>4893</v>
      </c>
      <c r="AO99" t="s">
        <v>90</v>
      </c>
      <c r="AP99" t="s">
        <v>4894</v>
      </c>
      <c r="AQ99" t="s">
        <v>4895</v>
      </c>
      <c r="AR99" t="s">
        <v>90</v>
      </c>
      <c r="AS99" t="s">
        <v>1397</v>
      </c>
      <c r="AT99" t="s">
        <v>90</v>
      </c>
      <c r="AU99" t="s">
        <v>4896</v>
      </c>
      <c r="AV99" t="s">
        <v>4897</v>
      </c>
      <c r="AW99" t="s">
        <v>90</v>
      </c>
      <c r="AX99" t="s">
        <v>1870</v>
      </c>
      <c r="AY99" t="s">
        <v>1163</v>
      </c>
      <c r="AZ99" t="s">
        <v>766</v>
      </c>
      <c r="BA99" t="s">
        <v>149</v>
      </c>
      <c r="BB99" t="s">
        <v>562</v>
      </c>
      <c r="BC99" t="s">
        <v>1871</v>
      </c>
      <c r="BD99" t="s">
        <v>1297</v>
      </c>
      <c r="BE99" t="s">
        <v>882</v>
      </c>
      <c r="BF99" t="s">
        <v>135</v>
      </c>
      <c r="BG99" t="s">
        <v>486</v>
      </c>
      <c r="BH99" t="s">
        <v>2758</v>
      </c>
      <c r="BI99" t="s">
        <v>4898</v>
      </c>
      <c r="BJ99" t="s">
        <v>1870</v>
      </c>
      <c r="BK99" t="s">
        <v>290</v>
      </c>
      <c r="BL99" t="s">
        <v>4899</v>
      </c>
      <c r="BM99" t="s">
        <v>1871</v>
      </c>
      <c r="BN99">
        <v>6.16</v>
      </c>
      <c r="BO99">
        <v>2</v>
      </c>
      <c r="BP99">
        <v>5.65</v>
      </c>
      <c r="BQ99">
        <v>6.37</v>
      </c>
      <c r="BR99">
        <v>3.24</v>
      </c>
      <c r="BS99">
        <v>5.4</v>
      </c>
      <c r="BT99" t="s">
        <v>1697</v>
      </c>
      <c r="BU99" t="s">
        <v>1447</v>
      </c>
      <c r="BV99">
        <v>34.299999999999997</v>
      </c>
      <c r="BW99">
        <v>33.29</v>
      </c>
      <c r="BX99">
        <v>37.06</v>
      </c>
      <c r="BY99">
        <v>25.62</v>
      </c>
      <c r="BZ99">
        <v>16.28</v>
      </c>
      <c r="CA99">
        <v>19.77</v>
      </c>
      <c r="CB99">
        <v>-4.6900000000000004</v>
      </c>
      <c r="CC99">
        <v>-10.1</v>
      </c>
      <c r="CD99" t="s">
        <v>4900</v>
      </c>
      <c r="CE99" t="s">
        <v>109</v>
      </c>
      <c r="CF99" s="8">
        <v>1.6002824946902232</v>
      </c>
      <c r="CG99" s="9">
        <v>6.1589956273764255</v>
      </c>
      <c r="CH99" s="8">
        <v>-0.50892859697341919</v>
      </c>
      <c r="CI99" s="8">
        <v>-0.17848411202430725</v>
      </c>
      <c r="CJ99" s="8">
        <v>0.77056276798248291</v>
      </c>
      <c r="CK99" s="8">
        <v>-0.45647057890892029</v>
      </c>
      <c r="CL99" s="8">
        <v>5.985037237405777E-2</v>
      </c>
      <c r="CM99" s="9">
        <v>-4.3254680633544922</v>
      </c>
      <c r="CN99" s="9">
        <v>-0.38346925377845764</v>
      </c>
      <c r="CO99" s="9">
        <v>1.2828835248947144</v>
      </c>
      <c r="CP99" s="9">
        <v>-0.76210278272628784</v>
      </c>
      <c r="CQ99" s="9">
        <v>2.1739130839705467E-2</v>
      </c>
      <c r="CR99">
        <v>104.59681352718711</v>
      </c>
      <c r="CS99">
        <v>16.683696094293644</v>
      </c>
      <c r="CT99">
        <v>0.51786639047125849</v>
      </c>
      <c r="CU99" s="8">
        <v>-6.2694029510021204E-2</v>
      </c>
      <c r="CV99" s="9">
        <v>-0.83328348882496361</v>
      </c>
      <c r="CW99">
        <v>0.06</v>
      </c>
      <c r="CX99" t="e">
        <v>#VALUE!</v>
      </c>
      <c r="CY99" t="s">
        <v>1391</v>
      </c>
      <c r="CZ99">
        <v>-6.2694029510021204E-2</v>
      </c>
      <c r="DA99" t="e">
        <v>#VALUE!</v>
      </c>
      <c r="DB99" t="s">
        <v>1391</v>
      </c>
      <c r="DC99">
        <v>-5.9559328034520138E-2</v>
      </c>
      <c r="DD99" t="e">
        <v>#VALUE!</v>
      </c>
      <c r="DE99" t="s">
        <v>1391</v>
      </c>
      <c r="DF99">
        <v>-5.5170745968818657E-2</v>
      </c>
      <c r="DG99" t="e">
        <v>#VALUE!</v>
      </c>
      <c r="DH99" t="s">
        <v>1391</v>
      </c>
      <c r="DI99">
        <v>-5.0155223608016969E-2</v>
      </c>
      <c r="DJ99" t="e">
        <v>#VALUE!</v>
      </c>
      <c r="DK99" t="s">
        <v>1391</v>
      </c>
      <c r="DL99">
        <v>-4.3885820657014837E-2</v>
      </c>
      <c r="DM99">
        <v>-157000000</v>
      </c>
      <c r="DN99">
        <v>-6.2694029510021204E-2</v>
      </c>
      <c r="DO99">
        <v>3791518600</v>
      </c>
      <c r="DP99">
        <v>1166610500</v>
      </c>
      <c r="DQ99">
        <v>2266</v>
      </c>
      <c r="DR99">
        <v>1.6629765242002443</v>
      </c>
      <c r="DS99">
        <v>6.9922791162013889</v>
      </c>
      <c r="DT99" s="10">
        <v>-0.60666666666666669</v>
      </c>
      <c r="DU99">
        <v>-1.3066666666666664</v>
      </c>
      <c r="DV99">
        <v>-1.9133333333333331</v>
      </c>
      <c r="DW99">
        <v>-8.4643564356435643</v>
      </c>
      <c r="DX99">
        <v>0.32920608695652348</v>
      </c>
      <c r="DY99">
        <v>-8.0646412423590181</v>
      </c>
      <c r="DZ99">
        <v>4622</v>
      </c>
      <c r="EA99">
        <v>-8.0061731753955385</v>
      </c>
      <c r="EB99">
        <v>8</v>
      </c>
      <c r="EC99">
        <v>6.3482250491720058E-2</v>
      </c>
      <c r="ED99">
        <v>0.45603070871137613</v>
      </c>
      <c r="EE99" s="11">
        <v>-2.1101000000000001</v>
      </c>
      <c r="EF99">
        <v>-2.1225999999999998</v>
      </c>
      <c r="EG99">
        <v>19.139206086956523</v>
      </c>
      <c r="EH99" t="s">
        <v>1793</v>
      </c>
      <c r="EI99">
        <v>0</v>
      </c>
      <c r="EJ99">
        <v>0</v>
      </c>
      <c r="EK99" s="13">
        <v>45470</v>
      </c>
      <c r="EL99" s="14">
        <v>-2.72</v>
      </c>
      <c r="EM99" s="14">
        <v>-4.03</v>
      </c>
      <c r="EN99" s="14">
        <v>0.32</v>
      </c>
      <c r="EO99" s="14">
        <v>3.09</v>
      </c>
      <c r="EP99" s="14">
        <v>1.25</v>
      </c>
    </row>
    <row r="100" spans="1:146" ht="108">
      <c r="A100" s="7"/>
      <c r="B100" s="7"/>
      <c r="C100" s="7" t="str">
        <f>""&amp;CHAR(10)&amp;Basic_Fundamental_Information_Constructure(F100)&amp;CHAR(10)&amp;Basic_Fundamental_Information_Concatenate("")</f>
        <v xml:space="preserve">
市值20.716503亿, 利润8007.28万; PE34.64; 平均PE27.56; 平均PEG2.13, PB2.02; ROIC6.8467%; ROE7.31%; 股利率2.6344%; 毛利27.37%; 净利9.0667%; 上一年度营收增31.01%, 利润增30.25%; 当季营收增8.28%, 利润增200.94%; 过往5年营收增12.95%, 利润增7.32%
Income profile:
</v>
      </c>
      <c r="D100" t="s">
        <v>316</v>
      </c>
      <c r="E100" t="s">
        <v>2081</v>
      </c>
      <c r="F100">
        <v>9.49</v>
      </c>
      <c r="G100">
        <v>-1.45</v>
      </c>
      <c r="H100" t="s">
        <v>4901</v>
      </c>
      <c r="I100">
        <v>2071650300</v>
      </c>
      <c r="J100">
        <v>34.64</v>
      </c>
      <c r="K100">
        <v>2.02</v>
      </c>
      <c r="L100" t="s">
        <v>85</v>
      </c>
      <c r="M100" t="s">
        <v>457</v>
      </c>
      <c r="N100" t="s">
        <v>1840</v>
      </c>
      <c r="O100" t="s">
        <v>230</v>
      </c>
      <c r="P100">
        <v>1.55</v>
      </c>
      <c r="Q100" t="s">
        <v>2769</v>
      </c>
      <c r="R100">
        <v>13070316</v>
      </c>
      <c r="S100" s="5">
        <v>0.14269999999999999</v>
      </c>
      <c r="T100" t="s">
        <v>2770</v>
      </c>
      <c r="U100">
        <v>124208640</v>
      </c>
      <c r="V100">
        <v>218298240</v>
      </c>
      <c r="W100">
        <v>1.23</v>
      </c>
      <c r="X100">
        <v>0.14000000000000001</v>
      </c>
      <c r="Y100">
        <v>7.18</v>
      </c>
      <c r="Z100" t="s">
        <v>236</v>
      </c>
      <c r="AA100" t="s">
        <v>486</v>
      </c>
      <c r="AB100" t="s">
        <v>4902</v>
      </c>
      <c r="AC100" t="s">
        <v>4903</v>
      </c>
      <c r="AD100" t="s">
        <v>90</v>
      </c>
      <c r="AE100">
        <v>760451</v>
      </c>
      <c r="AF100" t="s">
        <v>2764</v>
      </c>
      <c r="AG100">
        <v>1422</v>
      </c>
      <c r="AH100" t="s">
        <v>2765</v>
      </c>
      <c r="AI100" t="s">
        <v>334</v>
      </c>
      <c r="AJ100" t="s">
        <v>2766</v>
      </c>
      <c r="AK100" t="s">
        <v>4904</v>
      </c>
      <c r="AL100" t="s">
        <v>2767</v>
      </c>
      <c r="AM100" t="s">
        <v>90</v>
      </c>
      <c r="AN100" t="s">
        <v>4905</v>
      </c>
      <c r="AO100" t="s">
        <v>4906</v>
      </c>
      <c r="AP100" t="s">
        <v>4907</v>
      </c>
      <c r="AQ100" t="s">
        <v>4908</v>
      </c>
      <c r="AR100" t="s">
        <v>4909</v>
      </c>
      <c r="AS100" t="s">
        <v>320</v>
      </c>
      <c r="AT100" t="s">
        <v>4910</v>
      </c>
      <c r="AU100" t="s">
        <v>4911</v>
      </c>
      <c r="AV100" t="s">
        <v>4912</v>
      </c>
      <c r="AW100" t="s">
        <v>4913</v>
      </c>
      <c r="AX100" t="s">
        <v>1872</v>
      </c>
      <c r="AY100" t="s">
        <v>1180</v>
      </c>
      <c r="AZ100" t="s">
        <v>624</v>
      </c>
      <c r="BA100" t="s">
        <v>302</v>
      </c>
      <c r="BB100" t="s">
        <v>672</v>
      </c>
      <c r="BC100" t="s">
        <v>1873</v>
      </c>
      <c r="BD100" t="s">
        <v>818</v>
      </c>
      <c r="BE100" t="s">
        <v>883</v>
      </c>
      <c r="BF100" t="s">
        <v>317</v>
      </c>
      <c r="BG100" t="s">
        <v>885</v>
      </c>
      <c r="BH100" t="s">
        <v>1404</v>
      </c>
      <c r="BI100" t="s">
        <v>304</v>
      </c>
      <c r="BJ100" t="s">
        <v>1872</v>
      </c>
      <c r="BK100" t="s">
        <v>2763</v>
      </c>
      <c r="BL100" t="s">
        <v>2775</v>
      </c>
      <c r="BM100" t="s">
        <v>1873</v>
      </c>
      <c r="BN100">
        <v>4.0999999999999996</v>
      </c>
      <c r="BO100">
        <v>5.69</v>
      </c>
      <c r="BP100">
        <v>10.75</v>
      </c>
      <c r="BQ100">
        <v>4.67</v>
      </c>
      <c r="BR100">
        <v>6.33</v>
      </c>
      <c r="BS100">
        <v>10.93</v>
      </c>
      <c r="BT100" t="s">
        <v>2768</v>
      </c>
      <c r="BU100" t="s">
        <v>1337</v>
      </c>
      <c r="BV100">
        <v>26.52</v>
      </c>
      <c r="BW100">
        <v>26.36</v>
      </c>
      <c r="BX100">
        <v>29.23</v>
      </c>
      <c r="BY100">
        <v>7.29</v>
      </c>
      <c r="BZ100">
        <v>8.52</v>
      </c>
      <c r="CA100">
        <v>11.39</v>
      </c>
      <c r="CB100">
        <v>-10.64</v>
      </c>
      <c r="CC100">
        <v>1.39</v>
      </c>
      <c r="CD100" t="s">
        <v>4914</v>
      </c>
      <c r="CE100" t="s">
        <v>1402</v>
      </c>
      <c r="CF100" s="8">
        <v>8.2840236686390539E-2</v>
      </c>
      <c r="CG100" s="9">
        <v>2.0093687543439649</v>
      </c>
      <c r="CH100" s="8">
        <v>0.31005585193634033</v>
      </c>
      <c r="CI100" s="8">
        <v>-0.21145375072956085</v>
      </c>
      <c r="CJ100" s="8">
        <v>0.45280000567436218</v>
      </c>
      <c r="CK100" s="8">
        <v>0.17924527823925018</v>
      </c>
      <c r="CL100" s="8">
        <v>-8.3044983446598053E-2</v>
      </c>
      <c r="CM100" s="9">
        <v>0.30254104733467102</v>
      </c>
      <c r="CN100" s="9">
        <v>-0.38525700569152832</v>
      </c>
      <c r="CO100" s="9">
        <v>0.33963137865066528</v>
      </c>
      <c r="CP100" s="9">
        <v>0.10652017593383789</v>
      </c>
      <c r="CQ100" s="9">
        <v>2.4399231187999249E-3</v>
      </c>
      <c r="CR100">
        <v>27.563624243851521</v>
      </c>
      <c r="CS100">
        <v>2.1281286305154636</v>
      </c>
      <c r="CT100">
        <v>2.6343519494204424</v>
      </c>
      <c r="CU100" s="8">
        <v>0.12952048033475877</v>
      </c>
      <c r="CV100" s="9">
        <v>7.317510386928916E-2</v>
      </c>
      <c r="CW100">
        <v>0.06</v>
      </c>
      <c r="CX100">
        <v>15.302190806119611</v>
      </c>
      <c r="CY100">
        <v>85324403.318631202</v>
      </c>
      <c r="CZ100">
        <v>0.12952048033475877</v>
      </c>
      <c r="DA100">
        <v>4.8367691961318524</v>
      </c>
      <c r="DB100">
        <v>269942651.1904223</v>
      </c>
      <c r="DC100">
        <v>0.12304445631802083</v>
      </c>
      <c r="DD100">
        <v>2.27578747342874</v>
      </c>
      <c r="DE100">
        <v>573713633.30025065</v>
      </c>
      <c r="DF100">
        <v>0.11397802269458772</v>
      </c>
      <c r="DG100">
        <v>1.2975240959220935</v>
      </c>
      <c r="DH100">
        <v>1006262854.0798941</v>
      </c>
      <c r="DI100">
        <v>0.10361638426780702</v>
      </c>
      <c r="DJ100">
        <v>0.59622562251581301</v>
      </c>
      <c r="DK100">
        <v>2189859426.8571067</v>
      </c>
      <c r="DL100">
        <v>9.0664336234331136E-2</v>
      </c>
      <c r="DM100">
        <v>80072800</v>
      </c>
      <c r="DN100">
        <v>0.12952048033475877</v>
      </c>
      <c r="DO100">
        <v>1305650300</v>
      </c>
      <c r="DP100">
        <v>426115580</v>
      </c>
      <c r="DQ100">
        <v>2274</v>
      </c>
      <c r="DR100">
        <v>-4.668024364836823E-2</v>
      </c>
      <c r="DS100">
        <v>1.9361936504746757</v>
      </c>
      <c r="DT100" s="10">
        <v>-0.17333333333333334</v>
      </c>
      <c r="DU100">
        <v>0.15</v>
      </c>
      <c r="DV100">
        <v>-2.3333333333333345E-2</v>
      </c>
      <c r="DW100">
        <v>-5.1306390977443606</v>
      </c>
      <c r="DX100">
        <v>0.31063171355498609</v>
      </c>
      <c r="DY100">
        <v>-5.0105336543084054</v>
      </c>
      <c r="DZ100">
        <v>967</v>
      </c>
      <c r="EA100">
        <v>-5.0085402993737231</v>
      </c>
      <c r="EB100">
        <v>5</v>
      </c>
      <c r="EC100">
        <v>0.14442168658803661</v>
      </c>
      <c r="ED100">
        <v>1.7911275876525619</v>
      </c>
      <c r="EE100" s="11">
        <v>-2.0552100000000002</v>
      </c>
      <c r="EF100">
        <v>-2.0823100000000001</v>
      </c>
      <c r="EG100">
        <v>23.080631713554986</v>
      </c>
      <c r="EH100" t="s">
        <v>1735</v>
      </c>
      <c r="EI100">
        <v>0</v>
      </c>
      <c r="EJ100">
        <v>1</v>
      </c>
      <c r="EK100" s="13">
        <v>45470</v>
      </c>
      <c r="EL100" s="14">
        <v>1.29</v>
      </c>
      <c r="EM100" s="14">
        <v>-4.57</v>
      </c>
      <c r="EN100" s="14">
        <v>2.25</v>
      </c>
      <c r="EO100" s="14">
        <v>1.27</v>
      </c>
      <c r="EP100" s="14">
        <v>-2.71</v>
      </c>
    </row>
    <row r="101" spans="1:146" ht="108">
      <c r="A101" s="7"/>
      <c r="B101" s="7"/>
      <c r="C101" s="7" t="str">
        <f>""&amp;CHAR(10)&amp;Basic_Fundamental_Information_Constructure(F101)&amp;CHAR(10)&amp;Basic_Fundamental_Information_Concatenate("")</f>
        <v xml:space="preserve">
市值37.369823亿, 利润7443.61万; PE28.26; 平均PE39.48; 平均PEG1.22, PB2.97; ROIC9.1267%; ROE12.2533%; 股利率.0709%; 毛利33.2567%; 净利14.81%; 上一年度营收增-8.54%, 利润增-44.45%; 当季营收增56.96%, 利润增992.43%; 过往5年营收增32.25%, 利润增49.17%
Income profile:
</v>
      </c>
      <c r="D101" t="s">
        <v>1094</v>
      </c>
      <c r="E101" t="s">
        <v>1095</v>
      </c>
      <c r="F101">
        <v>24.4</v>
      </c>
      <c r="G101">
        <v>-0.28999999999999998</v>
      </c>
      <c r="H101" t="s">
        <v>4915</v>
      </c>
      <c r="I101">
        <v>3736982300</v>
      </c>
      <c r="J101">
        <v>28.26</v>
      </c>
      <c r="K101">
        <v>2.97</v>
      </c>
      <c r="L101" t="s">
        <v>85</v>
      </c>
      <c r="M101" t="s">
        <v>2566</v>
      </c>
      <c r="N101" t="s">
        <v>4916</v>
      </c>
      <c r="O101" t="s">
        <v>287</v>
      </c>
      <c r="P101">
        <v>46.97</v>
      </c>
      <c r="Q101" t="s">
        <v>947</v>
      </c>
      <c r="R101">
        <v>85000000</v>
      </c>
      <c r="S101" s="5">
        <v>4.03</v>
      </c>
      <c r="T101" t="s">
        <v>4917</v>
      </c>
      <c r="U101">
        <v>93864821</v>
      </c>
      <c r="V101">
        <v>153155010</v>
      </c>
      <c r="W101">
        <v>1.68</v>
      </c>
      <c r="X101">
        <v>0.11</v>
      </c>
      <c r="Y101">
        <v>15.8</v>
      </c>
      <c r="Z101" t="s">
        <v>170</v>
      </c>
      <c r="AA101" t="s">
        <v>502</v>
      </c>
      <c r="AB101" t="s">
        <v>4918</v>
      </c>
      <c r="AC101" t="s">
        <v>4919</v>
      </c>
      <c r="AD101" t="s">
        <v>90</v>
      </c>
      <c r="AE101">
        <v>-7140435</v>
      </c>
      <c r="AF101" t="s">
        <v>2771</v>
      </c>
      <c r="AG101" t="s">
        <v>4920</v>
      </c>
      <c r="AH101" t="s">
        <v>2772</v>
      </c>
      <c r="AI101" t="s">
        <v>324</v>
      </c>
      <c r="AJ101" t="s">
        <v>2773</v>
      </c>
      <c r="AK101" t="s">
        <v>4921</v>
      </c>
      <c r="AL101" t="s">
        <v>2774</v>
      </c>
      <c r="AM101" t="s">
        <v>90</v>
      </c>
      <c r="AN101" t="s">
        <v>101</v>
      </c>
      <c r="AO101" t="s">
        <v>2857</v>
      </c>
      <c r="AP101" t="s">
        <v>296</v>
      </c>
      <c r="AQ101" t="s">
        <v>304</v>
      </c>
      <c r="AR101" t="s">
        <v>90</v>
      </c>
      <c r="AS101" t="s">
        <v>1827</v>
      </c>
      <c r="AT101" t="s">
        <v>4922</v>
      </c>
      <c r="AU101" t="s">
        <v>2091</v>
      </c>
      <c r="AV101" t="s">
        <v>2015</v>
      </c>
      <c r="AW101" t="s">
        <v>4923</v>
      </c>
      <c r="AX101" t="s">
        <v>1563</v>
      </c>
      <c r="AY101" t="s">
        <v>1298</v>
      </c>
      <c r="AZ101" t="s">
        <v>389</v>
      </c>
      <c r="BA101" t="s">
        <v>364</v>
      </c>
      <c r="BB101" t="s">
        <v>525</v>
      </c>
      <c r="BC101" t="s">
        <v>89</v>
      </c>
      <c r="BD101" t="s">
        <v>265</v>
      </c>
      <c r="BE101" t="s">
        <v>1096</v>
      </c>
      <c r="BF101" t="s">
        <v>1097</v>
      </c>
      <c r="BG101" t="s">
        <v>1098</v>
      </c>
      <c r="BH101" t="s">
        <v>2769</v>
      </c>
      <c r="BI101" t="s">
        <v>810</v>
      </c>
      <c r="BJ101" t="s">
        <v>1563</v>
      </c>
      <c r="BK101" t="s">
        <v>2770</v>
      </c>
      <c r="BL101" t="s">
        <v>4924</v>
      </c>
      <c r="BM101" t="s">
        <v>89</v>
      </c>
      <c r="BN101">
        <v>4.3499999999999996</v>
      </c>
      <c r="BO101">
        <v>9.51</v>
      </c>
      <c r="BP101">
        <v>13.52</v>
      </c>
      <c r="BQ101">
        <v>6.16</v>
      </c>
      <c r="BR101">
        <v>11.38</v>
      </c>
      <c r="BS101">
        <v>19.22</v>
      </c>
      <c r="BT101" t="s">
        <v>2776</v>
      </c>
      <c r="BU101" t="s">
        <v>1458</v>
      </c>
      <c r="BV101">
        <v>36.46</v>
      </c>
      <c r="BW101">
        <v>32.79</v>
      </c>
      <c r="BX101">
        <v>30.52</v>
      </c>
      <c r="BY101">
        <v>8.91</v>
      </c>
      <c r="BZ101">
        <v>18.07</v>
      </c>
      <c r="CA101">
        <v>17.45</v>
      </c>
      <c r="CB101">
        <v>-4.3099999999999996</v>
      </c>
      <c r="CC101">
        <v>-8.27</v>
      </c>
      <c r="CD101" t="s">
        <v>4925</v>
      </c>
      <c r="CE101" t="s">
        <v>4926</v>
      </c>
      <c r="CF101" s="8">
        <v>0.569620253164557</v>
      </c>
      <c r="CG101" s="9">
        <v>9.9243265473987243</v>
      </c>
      <c r="CH101" s="8">
        <v>-8.5447266697883606E-2</v>
      </c>
      <c r="CI101" s="8">
        <v>-0.2886989414691925</v>
      </c>
      <c r="CJ101" s="8">
        <v>1.8614130020141602</v>
      </c>
      <c r="CK101" s="8">
        <v>5.4441262036561966E-2</v>
      </c>
      <c r="CL101" s="8">
        <v>7.0552147924900055E-2</v>
      </c>
      <c r="CM101" s="9">
        <v>-0.44450673460960388</v>
      </c>
      <c r="CN101" s="9">
        <v>-0.27173912525177002</v>
      </c>
      <c r="CO101" s="9">
        <v>3.5294094085693359</v>
      </c>
      <c r="CP101" s="9">
        <v>-0.41472518444061279</v>
      </c>
      <c r="CQ101" s="9">
        <v>5.9821747243404388E-2</v>
      </c>
      <c r="CR101">
        <v>39.477952228669665</v>
      </c>
      <c r="CS101">
        <v>1.224304617065324</v>
      </c>
      <c r="CT101">
        <v>7.0933165195460279E-2</v>
      </c>
      <c r="CU101" s="8">
        <v>0.32245204076170919</v>
      </c>
      <c r="CV101" s="9">
        <v>0.49165202230215072</v>
      </c>
      <c r="CW101">
        <v>0.06</v>
      </c>
      <c r="CX101">
        <v>36.751609173396588</v>
      </c>
      <c r="CY101">
        <v>92866200.33145535</v>
      </c>
      <c r="CZ101">
        <v>0.32245204076170919</v>
      </c>
      <c r="DA101">
        <v>9.9183113515828207</v>
      </c>
      <c r="DB101">
        <v>344109211.64068282</v>
      </c>
      <c r="DC101">
        <v>0.30632943872362373</v>
      </c>
      <c r="DD101">
        <v>3.7076994674350816</v>
      </c>
      <c r="DE101">
        <v>920512120.78443849</v>
      </c>
      <c r="DF101">
        <v>0.28375779587030409</v>
      </c>
      <c r="DG101">
        <v>1.58883728833658</v>
      </c>
      <c r="DH101">
        <v>2148100579.6214623</v>
      </c>
      <c r="DI101">
        <v>0.25796163260936739</v>
      </c>
      <c r="DJ101">
        <v>0.35899845776401851</v>
      </c>
      <c r="DK101">
        <v>9506955325.8177662</v>
      </c>
      <c r="DL101">
        <v>0.22571642853319643</v>
      </c>
      <c r="DM101">
        <v>74436100</v>
      </c>
      <c r="DN101">
        <v>0.32245204076170919</v>
      </c>
      <c r="DO101">
        <v>3412982300</v>
      </c>
      <c r="DP101">
        <v>649985770</v>
      </c>
      <c r="DQ101">
        <v>2275</v>
      </c>
      <c r="DR101">
        <v>0.24716821240284781</v>
      </c>
      <c r="DS101">
        <v>9.4326745250965729</v>
      </c>
      <c r="DT101" s="10">
        <v>-0.20499999999999999</v>
      </c>
      <c r="DU101">
        <v>0.155</v>
      </c>
      <c r="DV101">
        <v>-4.9999999999999989E-2</v>
      </c>
      <c r="DW101">
        <v>-8.5211608222490938</v>
      </c>
      <c r="DX101">
        <v>0.40624913925732314</v>
      </c>
      <c r="DY101">
        <v>-8.1179121874484963</v>
      </c>
      <c r="DZ101">
        <v>2586</v>
      </c>
      <c r="EA101">
        <v>-8.0582407751702547</v>
      </c>
      <c r="EB101">
        <v>8</v>
      </c>
      <c r="EC101">
        <v>8.5169267397782161E-2</v>
      </c>
      <c r="ED101">
        <v>0.37644018305375709</v>
      </c>
      <c r="EE101" s="11">
        <v>-3.0381100000000001</v>
      </c>
      <c r="EF101">
        <v>-3.0653100000000002</v>
      </c>
      <c r="EG101">
        <v>18.226249139257323</v>
      </c>
      <c r="EH101" t="s">
        <v>2117</v>
      </c>
      <c r="EI101">
        <v>0</v>
      </c>
      <c r="EJ101">
        <v>0</v>
      </c>
      <c r="EK101" s="13">
        <v>45470</v>
      </c>
      <c r="EL101" s="14">
        <v>-10.17</v>
      </c>
      <c r="EM101" s="14">
        <v>-4.32</v>
      </c>
      <c r="EN101" s="14">
        <v>1.92</v>
      </c>
      <c r="EO101" s="14">
        <v>0.66</v>
      </c>
      <c r="EP101" s="14">
        <v>-2.72</v>
      </c>
    </row>
    <row r="102" spans="1:146" ht="108">
      <c r="A102" s="7"/>
      <c r="B102" s="7"/>
      <c r="C102" s="7" t="str">
        <f>""&amp;CHAR(10)&amp;Basic_Fundamental_Information_Constructure(F102)&amp;CHAR(10)&amp;Basic_Fundamental_Information_Concatenate("")</f>
        <v xml:space="preserve">
市值18.092195亿, 利润8523.02万; PE25.73; 平均PE24.23; 平均PEG.68, PB2.27; ROIC9.4533%; ROE9.7667%; 股利率1.3882%; 毛利22.8233%; 净利12.4067%; 上一年度营收增85.12%, 利润增-12.34%; 当季营收增-56.17%, 利润增-15.34%; 过往5年营收增35.41%, 利润增7.6%
Income profile:
</v>
      </c>
      <c r="D102" t="s">
        <v>1164</v>
      </c>
      <c r="E102" t="s">
        <v>1165</v>
      </c>
      <c r="F102">
        <v>10.86</v>
      </c>
      <c r="G102">
        <v>1.88</v>
      </c>
      <c r="H102" t="s">
        <v>4927</v>
      </c>
      <c r="I102">
        <v>1809219500</v>
      </c>
      <c r="J102">
        <v>25.73</v>
      </c>
      <c r="K102">
        <v>2.27</v>
      </c>
      <c r="L102" t="s">
        <v>85</v>
      </c>
      <c r="M102" t="s">
        <v>2777</v>
      </c>
      <c r="N102" t="s">
        <v>1891</v>
      </c>
      <c r="O102" t="s">
        <v>485</v>
      </c>
      <c r="P102">
        <v>-18.72</v>
      </c>
      <c r="Q102" t="s">
        <v>4928</v>
      </c>
      <c r="R102">
        <v>13159122</v>
      </c>
      <c r="S102" s="5">
        <v>-0.27710000000000001</v>
      </c>
      <c r="T102" t="s">
        <v>4929</v>
      </c>
      <c r="U102">
        <v>124729190</v>
      </c>
      <c r="V102">
        <v>166594800</v>
      </c>
      <c r="W102">
        <v>1.1000000000000001</v>
      </c>
      <c r="X102">
        <v>0.16</v>
      </c>
      <c r="Y102">
        <v>9.3000000000000007</v>
      </c>
      <c r="Z102" t="s">
        <v>175</v>
      </c>
      <c r="AA102" t="s">
        <v>109</v>
      </c>
      <c r="AB102" t="s">
        <v>4930</v>
      </c>
      <c r="AC102" t="s">
        <v>4931</v>
      </c>
      <c r="AD102" t="s">
        <v>90</v>
      </c>
      <c r="AE102">
        <v>-40438</v>
      </c>
      <c r="AF102" t="s">
        <v>2779</v>
      </c>
      <c r="AG102">
        <v>8200</v>
      </c>
      <c r="AH102" t="s">
        <v>2780</v>
      </c>
      <c r="AI102" t="s">
        <v>4932</v>
      </c>
      <c r="AJ102" t="s">
        <v>2781</v>
      </c>
      <c r="AK102" t="s">
        <v>4933</v>
      </c>
      <c r="AL102" t="s">
        <v>2782</v>
      </c>
      <c r="AM102" t="s">
        <v>90</v>
      </c>
      <c r="AN102" t="s">
        <v>4934</v>
      </c>
      <c r="AO102" t="s">
        <v>4935</v>
      </c>
      <c r="AP102" t="s">
        <v>90</v>
      </c>
      <c r="AQ102" t="s">
        <v>4936</v>
      </c>
      <c r="AR102" t="s">
        <v>90</v>
      </c>
      <c r="AS102" t="s">
        <v>4937</v>
      </c>
      <c r="AT102" t="s">
        <v>90</v>
      </c>
      <c r="AU102" t="s">
        <v>4938</v>
      </c>
      <c r="AV102" t="s">
        <v>4939</v>
      </c>
      <c r="AW102" t="s">
        <v>4940</v>
      </c>
      <c r="AX102" t="s">
        <v>1580</v>
      </c>
      <c r="AY102" t="s">
        <v>1169</v>
      </c>
      <c r="AZ102" t="s">
        <v>389</v>
      </c>
      <c r="BA102" t="s">
        <v>262</v>
      </c>
      <c r="BB102" t="s">
        <v>179</v>
      </c>
      <c r="BC102" t="s">
        <v>1874</v>
      </c>
      <c r="BD102" t="s">
        <v>1299</v>
      </c>
      <c r="BE102" t="s">
        <v>1166</v>
      </c>
      <c r="BF102" t="s">
        <v>1167</v>
      </c>
      <c r="BG102" t="s">
        <v>1168</v>
      </c>
      <c r="BH102" t="s">
        <v>171</v>
      </c>
      <c r="BI102" t="s">
        <v>159</v>
      </c>
      <c r="BJ102" t="s">
        <v>1580</v>
      </c>
      <c r="BK102" t="s">
        <v>2778</v>
      </c>
      <c r="BL102" t="s">
        <v>4941</v>
      </c>
      <c r="BM102" t="s">
        <v>1874</v>
      </c>
      <c r="BN102">
        <v>6.83</v>
      </c>
      <c r="BO102">
        <v>11.54</v>
      </c>
      <c r="BP102">
        <v>9.99</v>
      </c>
      <c r="BQ102">
        <v>7.11</v>
      </c>
      <c r="BR102">
        <v>12.12</v>
      </c>
      <c r="BS102">
        <v>10.07</v>
      </c>
      <c r="BT102" t="s">
        <v>4942</v>
      </c>
      <c r="BU102" t="s">
        <v>1337</v>
      </c>
      <c r="BV102">
        <v>21.99</v>
      </c>
      <c r="BW102">
        <v>21.74</v>
      </c>
      <c r="BX102">
        <v>24.74</v>
      </c>
      <c r="BY102">
        <v>11.34</v>
      </c>
      <c r="BZ102">
        <v>12.7</v>
      </c>
      <c r="CA102">
        <v>13.18</v>
      </c>
      <c r="CB102">
        <v>-8.51</v>
      </c>
      <c r="CC102">
        <v>-10.02</v>
      </c>
      <c r="CD102" t="s">
        <v>4943</v>
      </c>
      <c r="CE102" t="s">
        <v>810</v>
      </c>
      <c r="CF102" s="8">
        <v>-0.56172839506172845</v>
      </c>
      <c r="CG102" s="9">
        <v>-0.15340577472400205</v>
      </c>
      <c r="CH102" s="8">
        <v>0.85117495059967041</v>
      </c>
      <c r="CI102" s="8">
        <v>0.3321739137172699</v>
      </c>
      <c r="CJ102" s="8">
        <v>0.5625</v>
      </c>
      <c r="CK102" s="8">
        <v>0.10179640352725983</v>
      </c>
      <c r="CL102" s="8">
        <v>-7.7348068356513977E-2</v>
      </c>
      <c r="CM102" s="9">
        <v>-0.12343380600214005</v>
      </c>
      <c r="CN102" s="9">
        <v>0.28440853953361511</v>
      </c>
      <c r="CO102" s="9">
        <v>0.15137936174869537</v>
      </c>
      <c r="CP102" s="9">
        <v>5.0859402865171432E-2</v>
      </c>
      <c r="CQ102" s="9">
        <v>1.6686789691448212E-2</v>
      </c>
      <c r="CR102">
        <v>24.229601525650263</v>
      </c>
      <c r="CS102">
        <v>0.68433711392251462</v>
      </c>
      <c r="CT102">
        <v>1.3881952117863721</v>
      </c>
      <c r="CU102" s="8">
        <v>0.35405943989753724</v>
      </c>
      <c r="CV102" s="9">
        <v>7.5980057567358011E-2</v>
      </c>
      <c r="CW102">
        <v>0.06</v>
      </c>
      <c r="CX102">
        <v>9.987060404572528</v>
      </c>
      <c r="CY102">
        <v>108874298.93807082</v>
      </c>
      <c r="CZ102">
        <v>0.35405943989753724</v>
      </c>
      <c r="DA102">
        <v>2.6283285955545921</v>
      </c>
      <c r="DB102">
        <v>413697968.29782099</v>
      </c>
      <c r="DC102">
        <v>0.33635646790266038</v>
      </c>
      <c r="DD102">
        <v>0.94533260099231731</v>
      </c>
      <c r="DE102">
        <v>1150213373.4292283</v>
      </c>
      <c r="DF102">
        <v>0.3115723071098328</v>
      </c>
      <c r="DG102">
        <v>0.38521839776754702</v>
      </c>
      <c r="DH102">
        <v>2822643483.0252628</v>
      </c>
      <c r="DI102">
        <v>0.28324755191802981</v>
      </c>
      <c r="DJ102">
        <v>7.6432758539166742E-2</v>
      </c>
      <c r="DK102">
        <v>14226023249.478992</v>
      </c>
      <c r="DL102">
        <v>0.24784160792827606</v>
      </c>
      <c r="DM102">
        <v>85230200</v>
      </c>
      <c r="DN102">
        <v>0.35405943989753724</v>
      </c>
      <c r="DO102">
        <v>1087334200</v>
      </c>
      <c r="DP102">
        <v>423391120</v>
      </c>
      <c r="DQ102">
        <v>2285</v>
      </c>
      <c r="DR102">
        <v>-0.91578783495926563</v>
      </c>
      <c r="DS102">
        <v>-0.22938583229136006</v>
      </c>
      <c r="DT102" s="10">
        <v>0.17666666666666667</v>
      </c>
      <c r="DU102">
        <v>6.3333333333333353E-2</v>
      </c>
      <c r="DV102">
        <v>0.24000000000000002</v>
      </c>
      <c r="DW102">
        <v>-9.8493013972055881</v>
      </c>
      <c r="DX102">
        <v>0.2900151898734179</v>
      </c>
      <c r="DY102">
        <v>-9.1359011243336106</v>
      </c>
      <c r="DZ102">
        <v>324</v>
      </c>
      <c r="EA102">
        <v>-9.1272843015774292</v>
      </c>
      <c r="EB102">
        <v>9</v>
      </c>
      <c r="EC102">
        <v>0.15175983884250888</v>
      </c>
      <c r="ED102">
        <v>0.94840895394093938</v>
      </c>
      <c r="EE102" s="11">
        <v>-2.0491100000000002</v>
      </c>
      <c r="EF102">
        <v>-2.0668099999999998</v>
      </c>
      <c r="EG102">
        <v>13.160015189873418</v>
      </c>
      <c r="EH102" t="s">
        <v>1735</v>
      </c>
      <c r="EI102">
        <v>0</v>
      </c>
      <c r="EJ102">
        <v>1</v>
      </c>
      <c r="EK102" s="13">
        <v>45470</v>
      </c>
      <c r="EL102" s="14">
        <v>0.56000000000000005</v>
      </c>
      <c r="EM102" s="14">
        <v>-3.99</v>
      </c>
      <c r="EN102" s="14">
        <v>-1.07</v>
      </c>
      <c r="EO102" s="14">
        <v>2.31</v>
      </c>
      <c r="EP102" s="14">
        <v>-1.77</v>
      </c>
    </row>
    <row r="103" spans="1:146" ht="108">
      <c r="A103" s="7"/>
      <c r="B103" s="7"/>
      <c r="C103" s="7" t="str">
        <f>""&amp;CHAR(10)&amp;Basic_Fundamental_Information_Constructure(F103)&amp;CHAR(10)&amp;Basic_Fundamental_Information_Concatenate("")</f>
        <v xml:space="preserve">
市值13.744384亿, 利润-2.03亿; PE15.62; 平均PE43.14; 平均PEG.8, PB1.35; ROIC9.74%; ROE10.42%; 股利率2.495%; 毛利25.3633%; 净利10.8567%; 上一年度营收增174.23%, 利润增-289.72%; 当季营收增-56.25%, 利润增-87.61%; 过往5年营收增54.19%, 利润增-48.24%
Income profile:
</v>
      </c>
      <c r="D103" t="s">
        <v>318</v>
      </c>
      <c r="E103" t="s">
        <v>319</v>
      </c>
      <c r="F103">
        <v>10.02</v>
      </c>
      <c r="G103">
        <v>1.73</v>
      </c>
      <c r="H103" t="s">
        <v>4944</v>
      </c>
      <c r="I103">
        <v>1374438400</v>
      </c>
      <c r="J103">
        <v>15.62</v>
      </c>
      <c r="K103">
        <v>1.35</v>
      </c>
      <c r="L103" t="s">
        <v>85</v>
      </c>
      <c r="M103" t="s">
        <v>1776</v>
      </c>
      <c r="N103" t="s">
        <v>2095</v>
      </c>
      <c r="O103" t="s">
        <v>391</v>
      </c>
      <c r="P103">
        <v>-20.77</v>
      </c>
      <c r="Q103" t="s">
        <v>4945</v>
      </c>
      <c r="R103">
        <v>6676402</v>
      </c>
      <c r="S103" s="5">
        <v>-0.74060000000000004</v>
      </c>
      <c r="T103" t="s">
        <v>1478</v>
      </c>
      <c r="U103">
        <v>101329625</v>
      </c>
      <c r="V103">
        <v>137169500</v>
      </c>
      <c r="W103">
        <v>1.44</v>
      </c>
      <c r="X103">
        <v>0.12</v>
      </c>
      <c r="Y103">
        <v>3.65</v>
      </c>
      <c r="Z103" t="s">
        <v>107</v>
      </c>
      <c r="AA103" t="s">
        <v>135</v>
      </c>
      <c r="AB103" t="s">
        <v>4946</v>
      </c>
      <c r="AC103" t="s">
        <v>4947</v>
      </c>
      <c r="AD103" t="s">
        <v>90</v>
      </c>
      <c r="AE103">
        <v>-220051</v>
      </c>
      <c r="AF103" t="s">
        <v>182</v>
      </c>
      <c r="AG103">
        <v>0</v>
      </c>
      <c r="AH103" t="s">
        <v>2784</v>
      </c>
      <c r="AI103" t="s">
        <v>4948</v>
      </c>
      <c r="AJ103" t="s">
        <v>2785</v>
      </c>
      <c r="AK103" t="s">
        <v>4949</v>
      </c>
      <c r="AL103" t="s">
        <v>2786</v>
      </c>
      <c r="AM103" t="s">
        <v>90</v>
      </c>
      <c r="AN103" t="s">
        <v>4950</v>
      </c>
      <c r="AO103" t="s">
        <v>4951</v>
      </c>
      <c r="AP103" t="s">
        <v>4952</v>
      </c>
      <c r="AQ103" t="s">
        <v>2613</v>
      </c>
      <c r="AR103" t="s">
        <v>90</v>
      </c>
      <c r="AS103" t="s">
        <v>530</v>
      </c>
      <c r="AT103" t="s">
        <v>4953</v>
      </c>
      <c r="AU103" t="s">
        <v>4954</v>
      </c>
      <c r="AV103" t="s">
        <v>4955</v>
      </c>
      <c r="AW103" t="s">
        <v>4956</v>
      </c>
      <c r="AX103" t="s">
        <v>1877</v>
      </c>
      <c r="AY103" t="s">
        <v>1038</v>
      </c>
      <c r="AZ103" t="s">
        <v>886</v>
      </c>
      <c r="BA103" t="s">
        <v>321</v>
      </c>
      <c r="BB103" t="s">
        <v>420</v>
      </c>
      <c r="BC103" t="s">
        <v>189</v>
      </c>
      <c r="BD103" t="s">
        <v>1300</v>
      </c>
      <c r="BE103" t="s">
        <v>887</v>
      </c>
      <c r="BF103" t="s">
        <v>322</v>
      </c>
      <c r="BG103" t="s">
        <v>888</v>
      </c>
      <c r="BH103" t="s">
        <v>2783</v>
      </c>
      <c r="BI103" t="s">
        <v>779</v>
      </c>
      <c r="BJ103" t="s">
        <v>1877</v>
      </c>
      <c r="BK103" t="s">
        <v>189</v>
      </c>
      <c r="BL103" t="s">
        <v>4957</v>
      </c>
      <c r="BM103" t="s">
        <v>189</v>
      </c>
      <c r="BN103">
        <v>7.93</v>
      </c>
      <c r="BO103">
        <v>11.48</v>
      </c>
      <c r="BP103">
        <v>9.81</v>
      </c>
      <c r="BQ103">
        <v>8.43</v>
      </c>
      <c r="BR103">
        <v>12.23</v>
      </c>
      <c r="BS103">
        <v>10.6</v>
      </c>
      <c r="BT103" t="s">
        <v>1721</v>
      </c>
      <c r="BU103" t="s">
        <v>1337</v>
      </c>
      <c r="BV103">
        <v>24.74</v>
      </c>
      <c r="BW103">
        <v>23.93</v>
      </c>
      <c r="BX103">
        <v>27.42</v>
      </c>
      <c r="BY103">
        <v>9.6300000000000008</v>
      </c>
      <c r="BZ103">
        <v>10.55</v>
      </c>
      <c r="CA103">
        <v>12.39</v>
      </c>
      <c r="CB103">
        <v>-2.5299999999999998</v>
      </c>
      <c r="CC103">
        <v>-11.64</v>
      </c>
      <c r="CD103" t="s">
        <v>4958</v>
      </c>
      <c r="CE103" t="s">
        <v>4959</v>
      </c>
      <c r="CF103" s="8">
        <v>-0.5625</v>
      </c>
      <c r="CG103" s="9">
        <v>-0.87607514487346538</v>
      </c>
      <c r="CH103" s="8">
        <v>1.74234938621521</v>
      </c>
      <c r="CI103" s="8">
        <v>0.47238370776176453</v>
      </c>
      <c r="CJ103" s="8">
        <v>0.46382978558540344</v>
      </c>
      <c r="CK103" s="8">
        <v>3.9823010563850403E-2</v>
      </c>
      <c r="CL103" s="8">
        <v>-8.7719298899173737E-3</v>
      </c>
      <c r="CM103" s="9">
        <v>-2.8971962928771973</v>
      </c>
      <c r="CN103" s="9">
        <v>0.25490233302116394</v>
      </c>
      <c r="CO103" s="9">
        <v>0.37340417504310608</v>
      </c>
      <c r="CP103" s="9">
        <v>-8.4000900387763977E-2</v>
      </c>
      <c r="CQ103" s="9">
        <v>-5.8970566838979721E-2</v>
      </c>
      <c r="CR103">
        <v>43.142261797952067</v>
      </c>
      <c r="CS103">
        <v>0.79609609396516279</v>
      </c>
      <c r="CT103">
        <v>2.4950099800399204</v>
      </c>
      <c r="CU103" s="8">
        <v>0.54192279204726224</v>
      </c>
      <c r="CV103" s="9">
        <v>-0.48237225040793419</v>
      </c>
      <c r="CW103">
        <v>0.06</v>
      </c>
      <c r="CX103" t="e">
        <v>#VALUE!</v>
      </c>
      <c r="CY103" t="s">
        <v>1391</v>
      </c>
      <c r="CZ103">
        <v>0.54192279204726224</v>
      </c>
      <c r="DA103" t="e">
        <v>#VALUE!</v>
      </c>
      <c r="DB103" t="s">
        <v>1391</v>
      </c>
      <c r="DC103">
        <v>0.51482665244489911</v>
      </c>
      <c r="DD103" t="e">
        <v>#VALUE!</v>
      </c>
      <c r="DE103" t="s">
        <v>1391</v>
      </c>
      <c r="DF103">
        <v>0.47689205700159076</v>
      </c>
      <c r="DG103" t="e">
        <v>#VALUE!</v>
      </c>
      <c r="DH103" t="s">
        <v>1391</v>
      </c>
      <c r="DI103">
        <v>0.4335382336378098</v>
      </c>
      <c r="DJ103" t="e">
        <v>#VALUE!</v>
      </c>
      <c r="DK103" t="s">
        <v>1391</v>
      </c>
      <c r="DL103">
        <v>0.37934595443308355</v>
      </c>
      <c r="DM103">
        <v>-202999999.99999997</v>
      </c>
      <c r="DN103">
        <v>0.54192279204726224</v>
      </c>
      <c r="DO103">
        <v>807438400</v>
      </c>
      <c r="DP103">
        <v>623699910</v>
      </c>
      <c r="DQ103">
        <v>2295</v>
      </c>
      <c r="DR103">
        <v>-1.1044227920472622</v>
      </c>
      <c r="DS103">
        <v>-0.39370289446553119</v>
      </c>
      <c r="DT103" s="10">
        <v>0.17666666666666667</v>
      </c>
      <c r="DU103">
        <v>-0.68666666666666665</v>
      </c>
      <c r="DV103">
        <v>-0.51</v>
      </c>
      <c r="DW103">
        <v>-8.2173539518900345</v>
      </c>
      <c r="DX103">
        <v>0.32163680869960715</v>
      </c>
      <c r="DY103">
        <v>-8.0286117805850523</v>
      </c>
      <c r="DZ103">
        <v>1215</v>
      </c>
      <c r="EA103">
        <v>-8.0218087838314638</v>
      </c>
      <c r="EB103">
        <v>8</v>
      </c>
      <c r="EC103">
        <v>3.5440823215073324E-2</v>
      </c>
      <c r="ED103">
        <v>0.26923186276832678</v>
      </c>
      <c r="EE103" s="11">
        <v>-2.0636000000000001</v>
      </c>
      <c r="EF103">
        <v>-2.0495999999999999</v>
      </c>
      <c r="EG103">
        <v>19.131636808699607</v>
      </c>
      <c r="EH103" t="s">
        <v>1793</v>
      </c>
      <c r="EI103">
        <v>0</v>
      </c>
      <c r="EJ103">
        <v>1</v>
      </c>
      <c r="EK103" s="13">
        <v>45470</v>
      </c>
      <c r="EL103" s="14">
        <v>-0.14000000000000001</v>
      </c>
      <c r="EM103" s="14">
        <v>-4.59</v>
      </c>
      <c r="EN103" s="14">
        <v>1.1599999999999999</v>
      </c>
      <c r="EO103" s="14">
        <v>3.8</v>
      </c>
      <c r="EP103" s="14">
        <v>-1.4</v>
      </c>
    </row>
    <row r="104" spans="1:146" ht="132">
      <c r="A104" s="7" t="s">
        <v>1745</v>
      </c>
      <c r="B104" s="7" t="s">
        <v>1746</v>
      </c>
      <c r="C104" s="7" t="str">
        <f>"公司的主营业务是从事电镀金刚石线的研发、生产及销售；公司的主要产品是电镀金刚石线。公司是目前国内生产规模、市场份额领先的金刚石线生产企业。"&amp;CHAR(10)&amp;Basic_Fundamental_Information_Constructure(F104)&amp;CHAR(10)&amp;Basic_Fundamental_Information_Concatenate("电镀金刚石线 15.16亿 98.53% 100.00% 55.99%")</f>
        <v>公司的主营业务是从事电镀金刚石线的研发、生产及销售；公司的主要产品是电镀金刚石线。公司是目前国内生产规模、市场份额领先的金刚石线生产企业。
市值86.642166亿, 利润4198.11万; PE6.17; 平均PE12.5; 平均PEG2.48, PB1.31; ROIC25.6933%; ROE25.8567%; 股利率.831%; 毛利53.5633%; 净利38.9867%; 上一年度营收增-82.42%, 利润增-97.15%; 当季营收增665.18%, 利润增2347.81%; 过往5年营收增5.03%, 利润增3.12%
Income profile:
电镀金刚石线 15.16亿 98.53% 100.00% 55.99%</v>
      </c>
      <c r="D104" t="s">
        <v>405</v>
      </c>
      <c r="E104" t="s">
        <v>406</v>
      </c>
      <c r="F104">
        <v>18.05</v>
      </c>
      <c r="G104">
        <v>0.33</v>
      </c>
      <c r="H104" t="s">
        <v>4960</v>
      </c>
      <c r="I104">
        <v>8664216600</v>
      </c>
      <c r="J104">
        <v>6.17</v>
      </c>
      <c r="K104">
        <v>1.31</v>
      </c>
      <c r="L104" t="s">
        <v>85</v>
      </c>
      <c r="M104" t="s">
        <v>681</v>
      </c>
      <c r="N104" t="s">
        <v>4961</v>
      </c>
      <c r="O104" t="s">
        <v>1427</v>
      </c>
      <c r="P104">
        <v>-13.83</v>
      </c>
      <c r="Q104" t="s">
        <v>1472</v>
      </c>
      <c r="R104">
        <v>195476990</v>
      </c>
      <c r="S104" s="5">
        <v>-0.48459999999999998</v>
      </c>
      <c r="T104" t="s">
        <v>4962</v>
      </c>
      <c r="U104">
        <v>279427860</v>
      </c>
      <c r="V104">
        <v>480012000</v>
      </c>
      <c r="W104">
        <v>1.1399999999999999</v>
      </c>
      <c r="X104">
        <v>0.11</v>
      </c>
      <c r="Y104">
        <v>23.56</v>
      </c>
      <c r="Z104" t="s">
        <v>3926</v>
      </c>
      <c r="AA104" t="s">
        <v>1396</v>
      </c>
      <c r="AB104" t="s">
        <v>4963</v>
      </c>
      <c r="AC104" t="s">
        <v>4964</v>
      </c>
      <c r="AD104" t="s">
        <v>90</v>
      </c>
      <c r="AE104">
        <v>-4914275</v>
      </c>
      <c r="AF104" t="s">
        <v>2789</v>
      </c>
      <c r="AG104" t="s">
        <v>4965</v>
      </c>
      <c r="AH104" t="s">
        <v>2790</v>
      </c>
      <c r="AI104" t="s">
        <v>795</v>
      </c>
      <c r="AJ104" t="s">
        <v>2791</v>
      </c>
      <c r="AK104" t="s">
        <v>909</v>
      </c>
      <c r="AL104" t="s">
        <v>2792</v>
      </c>
      <c r="AM104" t="s">
        <v>90</v>
      </c>
      <c r="AN104" t="s">
        <v>2039</v>
      </c>
      <c r="AO104" t="s">
        <v>90</v>
      </c>
      <c r="AP104" t="s">
        <v>393</v>
      </c>
      <c r="AQ104" t="s">
        <v>352</v>
      </c>
      <c r="AR104" t="s">
        <v>90</v>
      </c>
      <c r="AS104" t="s">
        <v>4966</v>
      </c>
      <c r="AT104" t="s">
        <v>90</v>
      </c>
      <c r="AU104" t="s">
        <v>1394</v>
      </c>
      <c r="AV104" t="s">
        <v>4967</v>
      </c>
      <c r="AW104" t="s">
        <v>4968</v>
      </c>
      <c r="AX104" t="s">
        <v>1538</v>
      </c>
      <c r="AY104" t="s">
        <v>1301</v>
      </c>
      <c r="AZ104" t="s">
        <v>564</v>
      </c>
      <c r="BA104" t="s">
        <v>408</v>
      </c>
      <c r="BB104" t="s">
        <v>892</v>
      </c>
      <c r="BC104" t="s">
        <v>1878</v>
      </c>
      <c r="BD104" t="s">
        <v>365</v>
      </c>
      <c r="BE104" t="s">
        <v>891</v>
      </c>
      <c r="BF104" t="s">
        <v>409</v>
      </c>
      <c r="BG104" t="s">
        <v>893</v>
      </c>
      <c r="BH104" t="s">
        <v>2787</v>
      </c>
      <c r="BI104" t="s">
        <v>371</v>
      </c>
      <c r="BJ104" t="s">
        <v>1538</v>
      </c>
      <c r="BK104" t="s">
        <v>2788</v>
      </c>
      <c r="BL104" t="s">
        <v>4969</v>
      </c>
      <c r="BM104" t="s">
        <v>1878</v>
      </c>
      <c r="BN104">
        <v>24.57</v>
      </c>
      <c r="BO104">
        <v>32.17</v>
      </c>
      <c r="BP104">
        <v>20.34</v>
      </c>
      <c r="BQ104">
        <v>24.47</v>
      </c>
      <c r="BR104">
        <v>32.58</v>
      </c>
      <c r="BS104">
        <v>20.52</v>
      </c>
      <c r="BT104" t="s">
        <v>1695</v>
      </c>
      <c r="BU104" t="s">
        <v>1458</v>
      </c>
      <c r="BV104">
        <v>52.53</v>
      </c>
      <c r="BW104">
        <v>53</v>
      </c>
      <c r="BX104">
        <v>55.16</v>
      </c>
      <c r="BY104">
        <v>35.340000000000003</v>
      </c>
      <c r="BZ104">
        <v>40.31</v>
      </c>
      <c r="CA104">
        <v>41.31</v>
      </c>
      <c r="CB104">
        <v>-5.99</v>
      </c>
      <c r="CC104">
        <v>-23.52</v>
      </c>
      <c r="CD104" t="s">
        <v>4970</v>
      </c>
      <c r="CE104" t="s">
        <v>4971</v>
      </c>
      <c r="CF104" s="8">
        <v>6.6517857142857135</v>
      </c>
      <c r="CG104" s="9">
        <v>23.478072328382879</v>
      </c>
      <c r="CH104" s="8">
        <v>-0.82422083616256714</v>
      </c>
      <c r="CI104" s="8">
        <v>0.97943717241287231</v>
      </c>
      <c r="CJ104" s="8">
        <v>0.53361004590988159</v>
      </c>
      <c r="CK104" s="8">
        <v>1.0058675892651081E-2</v>
      </c>
      <c r="CL104" s="8">
        <v>-0.4471733570098877</v>
      </c>
      <c r="CM104" s="9">
        <v>-0.97149962186813354</v>
      </c>
      <c r="CN104" s="9">
        <v>0.93053728342056274</v>
      </c>
      <c r="CO104" s="9">
        <v>0.69555556774139404</v>
      </c>
      <c r="CP104" s="9">
        <v>0.10294117778539658</v>
      </c>
      <c r="CQ104" s="9">
        <v>-0.6015625</v>
      </c>
      <c r="CR104">
        <v>12.496523025068552</v>
      </c>
      <c r="CS104">
        <v>2.4823087232913816</v>
      </c>
      <c r="CT104">
        <v>0.83102493074792239</v>
      </c>
      <c r="CU104" s="8">
        <v>5.0342340208590033E-2</v>
      </c>
      <c r="CV104" s="9">
        <v>3.1194381415843964E-2</v>
      </c>
      <c r="CW104">
        <v>0.06</v>
      </c>
      <c r="CX104">
        <v>76.714500416827576</v>
      </c>
      <c r="CY104">
        <v>41598610.206161171</v>
      </c>
      <c r="CZ104">
        <v>5.0342340208590033E-2</v>
      </c>
      <c r="DA104">
        <v>25.92960663722247</v>
      </c>
      <c r="DB104">
        <v>123072310.53088725</v>
      </c>
      <c r="DC104">
        <v>4.782522319816053E-2</v>
      </c>
      <c r="DD104">
        <v>13.344135592250627</v>
      </c>
      <c r="DE104">
        <v>239147495.01295853</v>
      </c>
      <c r="DF104">
        <v>4.4301259383559229E-2</v>
      </c>
      <c r="DG104">
        <v>8.4166730671639094</v>
      </c>
      <c r="DH104">
        <v>379154159.19503152</v>
      </c>
      <c r="DI104">
        <v>4.0273872166872032E-2</v>
      </c>
      <c r="DJ104">
        <v>4.8264586683371729</v>
      </c>
      <c r="DK104">
        <v>661192153.35567093</v>
      </c>
      <c r="DL104">
        <v>3.5239638146013018E-2</v>
      </c>
      <c r="DM104">
        <v>41981100</v>
      </c>
      <c r="DN104">
        <v>5.0342340208590033E-2</v>
      </c>
      <c r="DO104">
        <v>3191216599.999999</v>
      </c>
      <c r="DP104">
        <v>5255133600</v>
      </c>
      <c r="DQ104">
        <v>2318</v>
      </c>
      <c r="DR104">
        <v>6.6014433740771237</v>
      </c>
      <c r="DS104">
        <v>23.446877946967035</v>
      </c>
      <c r="DT104" s="10">
        <v>-0.44</v>
      </c>
      <c r="DU104">
        <v>3.3333333333333361E-2</v>
      </c>
      <c r="DV104">
        <v>-0.40666666666666662</v>
      </c>
      <c r="DW104">
        <v>-8.2546768707483</v>
      </c>
      <c r="DX104">
        <v>0.3589672043859447</v>
      </c>
      <c r="DY104">
        <v>-8.0455788075795844</v>
      </c>
      <c r="DZ104">
        <v>3818</v>
      </c>
      <c r="EA104">
        <v>-8.0115240351062269</v>
      </c>
      <c r="EB104">
        <v>8</v>
      </c>
      <c r="EC104">
        <v>3.3028132630017588E-2</v>
      </c>
      <c r="ED104">
        <v>0.18454851128721783</v>
      </c>
      <c r="EE104" s="11">
        <v>7.3110000000000008E-2</v>
      </c>
      <c r="EF104">
        <v>8.6609999999999993E-2</v>
      </c>
      <c r="EG104">
        <v>18.178967204385945</v>
      </c>
      <c r="EH104">
        <v>-1</v>
      </c>
      <c r="EI104">
        <v>0</v>
      </c>
      <c r="EJ104">
        <v>0</v>
      </c>
      <c r="EK104" s="13">
        <v>45470</v>
      </c>
      <c r="EL104" s="14">
        <v>0.09</v>
      </c>
      <c r="EM104" s="14">
        <v>-4.33</v>
      </c>
      <c r="EN104" s="14">
        <v>-0.05</v>
      </c>
      <c r="EO104" s="14">
        <v>5.76</v>
      </c>
      <c r="EP104" s="14">
        <v>-1.35</v>
      </c>
    </row>
    <row r="105" spans="1:146" ht="204">
      <c r="A105" s="7"/>
      <c r="B105" s="7"/>
      <c r="C105" s="7" t="str">
        <f>"公司的主营业务是粉末冶金制品的研发、生产和销售。主要产品有零部件、齿轮箱、CVVL系统、发动机内外转子、机械真空泵、油泵转子、齿毂、链轮、传动齿轮、减震器、电子手刹齿轮、阀座、卸载套、定位圈、结构件、配重块、单向轴承、结构件。"&amp;CHAR(10)&amp;Basic_Fundamental_Information_Constructure(F105)&amp;CHAR(10)&amp;Basic_Fundamental_Information_Concatenate("电动工具零部件 2.07亿 95.54% 利润占比96.20% 43.82%
办公、家电零部件 660.72万 3.05% 利润占比2.59% 36.85%
汽车零部件 298.76万 1.38% 利润占比1.21% 38.15%")</f>
        <v>公司的主营业务是粉末冶金制品的研发、生产和销售。主要产品有零部件、齿轮箱、CVVL系统、发动机内外转子、机械真空泵、油泵转子、齿毂、链轮、传动齿轮、减震器、电子手刹齿轮、阀座、卸载套、定位圈、结构件、配重块、单向轴承、结构件。
市值20.4402亿, 利润-394.58万; PE37.05; 平均PE40.1; 平均PEG3.09, PB2.4; ROIC6.45%; ROE7.54%; 股利率.9873%; 毛利33.9533%; 净利24.4467%; 上一年度营收增22.27%, 利润增-106.9%; 当季营收增2.18%, 利润增796.32%; 过往5年营收增12.98%, 利润增-13.98%
Income profile:
电动工具零部件 2.07亿 95.54% 利润占比96.20% 43.82%
办公、家电零部件 660.72万 3.05% 利润占比2.59% 36.85%
汽车零部件 298.76万 1.38% 利润占比1.21% 38.15%</v>
      </c>
      <c r="D105" t="s">
        <v>328</v>
      </c>
      <c r="E105" t="s">
        <v>329</v>
      </c>
      <c r="F105">
        <v>8.15</v>
      </c>
      <c r="G105">
        <v>0.49</v>
      </c>
      <c r="H105" t="s">
        <v>4972</v>
      </c>
      <c r="I105">
        <v>2044020000</v>
      </c>
      <c r="J105">
        <v>37.049999999999997</v>
      </c>
      <c r="K105">
        <v>2.4</v>
      </c>
      <c r="L105" t="s">
        <v>85</v>
      </c>
      <c r="M105" t="s">
        <v>2793</v>
      </c>
      <c r="N105" t="s">
        <v>4973</v>
      </c>
      <c r="O105" t="s">
        <v>2794</v>
      </c>
      <c r="P105">
        <v>41.43</v>
      </c>
      <c r="Q105" t="s">
        <v>1393</v>
      </c>
      <c r="R105">
        <v>15111082</v>
      </c>
      <c r="S105" s="5">
        <v>1.4690000000000001</v>
      </c>
      <c r="T105" t="s">
        <v>4974</v>
      </c>
      <c r="U105">
        <v>169670700</v>
      </c>
      <c r="V105">
        <v>250800000</v>
      </c>
      <c r="W105">
        <v>1.07</v>
      </c>
      <c r="X105">
        <v>7.0000000000000007E-2</v>
      </c>
      <c r="Y105">
        <v>22.32</v>
      </c>
      <c r="Z105" t="s">
        <v>4975</v>
      </c>
      <c r="AA105" t="s">
        <v>4976</v>
      </c>
      <c r="AB105" t="s">
        <v>4977</v>
      </c>
      <c r="AC105" t="s">
        <v>4978</v>
      </c>
      <c r="AD105" t="s">
        <v>90</v>
      </c>
      <c r="AE105">
        <v>-3205016</v>
      </c>
      <c r="AF105" t="s">
        <v>2796</v>
      </c>
      <c r="AG105" t="s">
        <v>90</v>
      </c>
      <c r="AH105" t="s">
        <v>2797</v>
      </c>
      <c r="AI105" t="s">
        <v>1402</v>
      </c>
      <c r="AJ105" t="s">
        <v>2798</v>
      </c>
      <c r="AK105" t="s">
        <v>4979</v>
      </c>
      <c r="AL105" t="s">
        <v>2799</v>
      </c>
      <c r="AM105" t="s">
        <v>90</v>
      </c>
      <c r="AN105" t="s">
        <v>2800</v>
      </c>
      <c r="AO105" t="s">
        <v>90</v>
      </c>
      <c r="AP105" t="s">
        <v>90</v>
      </c>
      <c r="AQ105" t="s">
        <v>4980</v>
      </c>
      <c r="AR105" t="s">
        <v>4981</v>
      </c>
      <c r="AS105" t="s">
        <v>4982</v>
      </c>
      <c r="AT105" t="s">
        <v>90</v>
      </c>
      <c r="AU105" t="s">
        <v>4983</v>
      </c>
      <c r="AV105" t="s">
        <v>4984</v>
      </c>
      <c r="AW105" t="s">
        <v>90</v>
      </c>
      <c r="AX105" t="s">
        <v>225</v>
      </c>
      <c r="AY105" t="s">
        <v>584</v>
      </c>
      <c r="AZ105" t="s">
        <v>150</v>
      </c>
      <c r="BA105" t="s">
        <v>230</v>
      </c>
      <c r="BB105" t="s">
        <v>247</v>
      </c>
      <c r="BC105" t="s">
        <v>1880</v>
      </c>
      <c r="BD105" t="s">
        <v>1302</v>
      </c>
      <c r="BE105" t="s">
        <v>894</v>
      </c>
      <c r="BF105" t="s">
        <v>330</v>
      </c>
      <c r="BG105" t="s">
        <v>895</v>
      </c>
      <c r="BH105" t="s">
        <v>349</v>
      </c>
      <c r="BI105" t="s">
        <v>4985</v>
      </c>
      <c r="BJ105" t="s">
        <v>225</v>
      </c>
      <c r="BK105" t="s">
        <v>2795</v>
      </c>
      <c r="BL105" t="s">
        <v>4986</v>
      </c>
      <c r="BM105" t="s">
        <v>1880</v>
      </c>
      <c r="BN105">
        <v>2.85</v>
      </c>
      <c r="BO105">
        <v>4.92</v>
      </c>
      <c r="BP105">
        <v>11.58</v>
      </c>
      <c r="BQ105">
        <v>3.38</v>
      </c>
      <c r="BR105">
        <v>7.52</v>
      </c>
      <c r="BS105">
        <v>11.72</v>
      </c>
      <c r="BT105" t="s">
        <v>4987</v>
      </c>
      <c r="BU105" t="s">
        <v>1337</v>
      </c>
      <c r="BV105">
        <v>29.34</v>
      </c>
      <c r="BW105">
        <v>33.53</v>
      </c>
      <c r="BX105">
        <v>38.99</v>
      </c>
      <c r="BY105">
        <v>20.54</v>
      </c>
      <c r="BZ105">
        <v>25.99</v>
      </c>
      <c r="CA105">
        <v>26.81</v>
      </c>
      <c r="CB105">
        <v>-8.32</v>
      </c>
      <c r="CC105">
        <v>0.62</v>
      </c>
      <c r="CD105" t="s">
        <v>4988</v>
      </c>
      <c r="CE105" t="s">
        <v>515</v>
      </c>
      <c r="CF105" s="8">
        <v>2.1800100834145943E-2</v>
      </c>
      <c r="CG105" s="9">
        <v>7.9632137137434009</v>
      </c>
      <c r="CH105" s="8">
        <v>0.22272726893424988</v>
      </c>
      <c r="CI105" s="8">
        <v>-0.30158731341362</v>
      </c>
      <c r="CJ105" s="8">
        <v>0.4583333432674408</v>
      </c>
      <c r="CK105" s="8">
        <v>0.18032786250114441</v>
      </c>
      <c r="CL105" s="8">
        <v>8.9285716414451599E-2</v>
      </c>
      <c r="CM105" s="9">
        <v>-1.0689809322357178</v>
      </c>
      <c r="CN105" s="9">
        <v>-0.3220650851726532</v>
      </c>
      <c r="CO105" s="9">
        <v>0.34729450941085815</v>
      </c>
      <c r="CP105" s="9">
        <v>5.1406804472208023E-2</v>
      </c>
      <c r="CQ105" s="9">
        <v>0.29356974363327026</v>
      </c>
      <c r="CR105">
        <v>40.096146112797754</v>
      </c>
      <c r="CS105">
        <v>3.0886578892681911</v>
      </c>
      <c r="CT105">
        <v>0.9873251533742331</v>
      </c>
      <c r="CU105" s="8">
        <v>0.12981737554073333</v>
      </c>
      <c r="CV105" s="9">
        <v>-0.13975499197840691</v>
      </c>
      <c r="CW105">
        <v>0.06</v>
      </c>
      <c r="CX105" t="e">
        <v>#VALUE!</v>
      </c>
      <c r="CY105" t="s">
        <v>1391</v>
      </c>
      <c r="CZ105">
        <v>0.12981737554073333</v>
      </c>
      <c r="DA105" t="e">
        <v>#VALUE!</v>
      </c>
      <c r="DB105" t="s">
        <v>1391</v>
      </c>
      <c r="DC105">
        <v>0.12332650676369666</v>
      </c>
      <c r="DD105" t="e">
        <v>#VALUE!</v>
      </c>
      <c r="DE105" t="s">
        <v>1391</v>
      </c>
      <c r="DF105">
        <v>0.11423929047584533</v>
      </c>
      <c r="DG105" t="e">
        <v>#VALUE!</v>
      </c>
      <c r="DH105" t="s">
        <v>1391</v>
      </c>
      <c r="DI105">
        <v>0.10385390043258667</v>
      </c>
      <c r="DJ105" t="e">
        <v>#VALUE!</v>
      </c>
      <c r="DK105" t="s">
        <v>1391</v>
      </c>
      <c r="DL105">
        <v>9.0872162878513324E-2</v>
      </c>
      <c r="DM105">
        <v>-3945800</v>
      </c>
      <c r="DN105">
        <v>0.12981737554073333</v>
      </c>
      <c r="DO105">
        <v>1256452800</v>
      </c>
      <c r="DP105">
        <v>669445350</v>
      </c>
      <c r="DQ105">
        <v>2341</v>
      </c>
      <c r="DR105">
        <v>-0.1080172747065874</v>
      </c>
      <c r="DS105">
        <v>8.1029687057218069</v>
      </c>
      <c r="DT105" s="10">
        <v>-0.17333333333333334</v>
      </c>
      <c r="DU105">
        <v>-0.66666666666666663</v>
      </c>
      <c r="DV105">
        <v>-0.84</v>
      </c>
      <c r="DW105">
        <v>-5.0745192307692308</v>
      </c>
      <c r="DX105">
        <v>0.29044457142857205</v>
      </c>
      <c r="DY105">
        <v>-5.0119562060439558</v>
      </c>
      <c r="DZ105">
        <v>2529</v>
      </c>
      <c r="EA105">
        <v>-5.0060389369470544</v>
      </c>
      <c r="EB105">
        <v>5</v>
      </c>
      <c r="EC105">
        <v>0.22390590111642747</v>
      </c>
      <c r="ED105">
        <v>1.3955342902711323</v>
      </c>
      <c r="EE105" s="11">
        <v>3.125</v>
      </c>
      <c r="EF105">
        <v>3.1110000000000002</v>
      </c>
      <c r="EG105">
        <v>13.160444571428572</v>
      </c>
      <c r="EH105" t="s">
        <v>1816</v>
      </c>
      <c r="EI105">
        <v>0</v>
      </c>
      <c r="EJ105">
        <v>0</v>
      </c>
      <c r="EK105" s="13">
        <v>45470</v>
      </c>
      <c r="EL105" s="14">
        <v>-1.1499999999999999</v>
      </c>
      <c r="EM105" s="14">
        <v>-4.88</v>
      </c>
      <c r="EN105" s="14">
        <v>-0.37</v>
      </c>
      <c r="EO105" s="14">
        <v>5.03</v>
      </c>
      <c r="EP105" s="14">
        <v>-1.4</v>
      </c>
    </row>
    <row r="106" spans="1:146" ht="108">
      <c r="C106" s="7" t="str">
        <f>""&amp;CHAR(10)&amp;Basic_Fundamental_Information_Constructure(F106)&amp;CHAR(10)&amp;Basic_Fundamental_Information_Concatenate("")</f>
        <v xml:space="preserve">
市值17.635405亿, 利润1.09亿; PE18.77; 平均PE22.64; 平均PEG.7, PB1.78; ROIC8.4567%; ROE8.5533%; 股利率2.2792%; 毛利43.3033%; 净利15.69%; 上一年度营收增67.91%, 利润增34.63%; 当季营收增-37.21%, 利润增-13.57%; 过往5年营收增32.56%, 利润增16.83%
Income profile:
</v>
      </c>
      <c r="D106" t="s">
        <v>4989</v>
      </c>
      <c r="E106" t="s">
        <v>4990</v>
      </c>
      <c r="F106">
        <v>17.55</v>
      </c>
      <c r="G106">
        <v>0.92</v>
      </c>
      <c r="H106" t="s">
        <v>4991</v>
      </c>
      <c r="I106">
        <v>1763540500</v>
      </c>
      <c r="J106">
        <v>18.77</v>
      </c>
      <c r="K106">
        <v>1.78</v>
      </c>
      <c r="L106" t="s">
        <v>85</v>
      </c>
      <c r="M106" t="s">
        <v>224</v>
      </c>
      <c r="N106" t="s">
        <v>4992</v>
      </c>
      <c r="O106" t="s">
        <v>334</v>
      </c>
      <c r="P106" s="5">
        <v>16.399999999999999</v>
      </c>
      <c r="Q106" t="s">
        <v>4993</v>
      </c>
      <c r="R106">
        <v>16565310</v>
      </c>
      <c r="S106">
        <v>7.0400000000000004E-2</v>
      </c>
      <c r="T106" t="s">
        <v>342</v>
      </c>
      <c r="U106">
        <v>62942231</v>
      </c>
      <c r="V106">
        <v>100486640</v>
      </c>
      <c r="W106">
        <v>1.27</v>
      </c>
      <c r="X106">
        <v>0.11</v>
      </c>
      <c r="Y106">
        <v>12.16</v>
      </c>
      <c r="Z106" t="s">
        <v>183</v>
      </c>
      <c r="AA106" t="s">
        <v>4994</v>
      </c>
      <c r="AB106" t="s">
        <v>4995</v>
      </c>
      <c r="AC106" t="s">
        <v>4996</v>
      </c>
      <c r="AD106" t="s">
        <v>90</v>
      </c>
      <c r="AE106">
        <v>-351086</v>
      </c>
      <c r="AF106" t="s">
        <v>4997</v>
      </c>
      <c r="AG106" t="s">
        <v>4998</v>
      </c>
      <c r="AH106" t="s">
        <v>4999</v>
      </c>
      <c r="AI106" t="s">
        <v>189</v>
      </c>
      <c r="AJ106" t="s">
        <v>5000</v>
      </c>
      <c r="AK106" t="s">
        <v>5001</v>
      </c>
      <c r="AL106" t="s">
        <v>5002</v>
      </c>
      <c r="AM106" t="s">
        <v>90</v>
      </c>
      <c r="AN106" t="s">
        <v>5003</v>
      </c>
      <c r="AO106" t="s">
        <v>90</v>
      </c>
      <c r="AP106" t="s">
        <v>5004</v>
      </c>
      <c r="AQ106" t="s">
        <v>191</v>
      </c>
      <c r="AR106" t="s">
        <v>5005</v>
      </c>
      <c r="AS106" t="s">
        <v>1140</v>
      </c>
      <c r="AT106" t="s">
        <v>90</v>
      </c>
      <c r="AU106" t="s">
        <v>5006</v>
      </c>
      <c r="AV106" t="s">
        <v>5007</v>
      </c>
      <c r="AW106" t="s">
        <v>5008</v>
      </c>
      <c r="AX106" t="s">
        <v>5009</v>
      </c>
      <c r="AY106" t="s">
        <v>2292</v>
      </c>
      <c r="AZ106" t="s">
        <v>1533</v>
      </c>
      <c r="BA106" t="s">
        <v>1287</v>
      </c>
      <c r="BB106" t="s">
        <v>673</v>
      </c>
      <c r="BC106" t="s">
        <v>5010</v>
      </c>
      <c r="BD106" t="s">
        <v>5011</v>
      </c>
      <c r="BE106" t="s">
        <v>5012</v>
      </c>
      <c r="BF106" t="s">
        <v>5013</v>
      </c>
      <c r="BG106" t="s">
        <v>5014</v>
      </c>
      <c r="BH106" t="s">
        <v>1413</v>
      </c>
      <c r="BI106" t="s">
        <v>856</v>
      </c>
      <c r="BJ106" t="s">
        <v>5009</v>
      </c>
      <c r="BK106" t="s">
        <v>5015</v>
      </c>
      <c r="BL106" t="s">
        <v>5016</v>
      </c>
      <c r="BM106" t="s">
        <v>5010</v>
      </c>
      <c r="BN106">
        <v>6.37</v>
      </c>
      <c r="BO106">
        <v>8.82</v>
      </c>
      <c r="BP106">
        <v>10.18</v>
      </c>
      <c r="BQ106">
        <v>6.43</v>
      </c>
      <c r="BR106">
        <v>8.9</v>
      </c>
      <c r="BS106">
        <v>10.33</v>
      </c>
      <c r="BT106" t="s">
        <v>5017</v>
      </c>
      <c r="BU106" t="s">
        <v>3551</v>
      </c>
      <c r="BV106">
        <v>43.34</v>
      </c>
      <c r="BW106">
        <v>41.43</v>
      </c>
      <c r="BX106">
        <v>45.14</v>
      </c>
      <c r="BY106">
        <v>14.17</v>
      </c>
      <c r="BZ106">
        <v>14.35</v>
      </c>
      <c r="CA106">
        <v>18.55</v>
      </c>
      <c r="CB106">
        <v>-4.83</v>
      </c>
      <c r="CC106" s="8">
        <v>-10.55</v>
      </c>
      <c r="CD106" s="9" t="s">
        <v>5018</v>
      </c>
      <c r="CE106" s="8" t="s">
        <v>5019</v>
      </c>
      <c r="CF106" s="8">
        <v>-0.37209302325581395</v>
      </c>
      <c r="CG106" s="8">
        <v>-0.13567936469839348</v>
      </c>
      <c r="CH106" s="8">
        <v>0.67907804250717163</v>
      </c>
      <c r="CI106" s="8">
        <v>0.1652892529964447</v>
      </c>
      <c r="CJ106" s="9">
        <v>0.27034121751785278</v>
      </c>
      <c r="CK106" s="9">
        <v>0.18691588938236237</v>
      </c>
      <c r="CL106" s="9">
        <v>0.3264462947845459</v>
      </c>
      <c r="CM106" s="9">
        <v>0.34625580906867981</v>
      </c>
      <c r="CN106" s="9">
        <v>-9.8140008747577667E-2</v>
      </c>
      <c r="CO106">
        <v>0.28564989566802979</v>
      </c>
      <c r="CP106">
        <v>7.3425084352493286E-2</v>
      </c>
      <c r="CQ106">
        <v>0.23406171798706055</v>
      </c>
      <c r="CR106" s="8">
        <v>22.641549766827989</v>
      </c>
      <c r="CS106" s="9">
        <v>0.69534909650819143</v>
      </c>
      <c r="CT106">
        <v>2.2792022792022792</v>
      </c>
      <c r="CU106">
        <v>0.32561413943767548</v>
      </c>
      <c r="CV106">
        <v>0.16825049966573716</v>
      </c>
      <c r="CW106">
        <v>0.06</v>
      </c>
      <c r="CX106">
        <v>7.9268983480876125</v>
      </c>
      <c r="CY106">
        <v>136313152.07425153</v>
      </c>
      <c r="CZ106">
        <v>0.32561413943767548</v>
      </c>
      <c r="DA106">
        <v>2.1338705617574432</v>
      </c>
      <c r="DB106">
        <v>506375840.86172181</v>
      </c>
      <c r="DC106">
        <v>0.3093334324657917</v>
      </c>
      <c r="DD106">
        <v>0.79462255230152135</v>
      </c>
      <c r="DE106">
        <v>1359816049.607898</v>
      </c>
      <c r="DF106">
        <v>0.28654044270515444</v>
      </c>
      <c r="DG106">
        <v>0.33881542959940669</v>
      </c>
      <c r="DH106">
        <v>3189171465.0586038</v>
      </c>
      <c r="DI106">
        <v>0.26049131155014038</v>
      </c>
      <c r="DJ106">
        <v>7.557424323497014E-2</v>
      </c>
      <c r="DK106">
        <v>14297734965.608047</v>
      </c>
      <c r="DL106">
        <v>0.22792989760637281</v>
      </c>
      <c r="DM106">
        <v>109000000.00000001</v>
      </c>
      <c r="DN106">
        <v>0.32561413943767548</v>
      </c>
      <c r="DO106">
        <v>1080540500</v>
      </c>
      <c r="DP106">
        <v>581339900</v>
      </c>
      <c r="DQ106" s="10">
        <v>2353</v>
      </c>
      <c r="DR106">
        <v>-0.69770716269348942</v>
      </c>
      <c r="DS106">
        <v>-0.30392986436413061</v>
      </c>
      <c r="DT106">
        <v>0.39333333333333331</v>
      </c>
      <c r="DU106">
        <v>0.39999999999999997</v>
      </c>
      <c r="DV106">
        <v>0.79333333333333322</v>
      </c>
      <c r="DW106">
        <v>-8.4578199052132703</v>
      </c>
      <c r="DX106">
        <v>0.29119038772799721</v>
      </c>
      <c r="DY106">
        <v>-8.0646397699266572</v>
      </c>
      <c r="DZ106">
        <v>43</v>
      </c>
      <c r="EA106">
        <v>-8.0640958344850038</v>
      </c>
      <c r="EB106" s="11">
        <v>8</v>
      </c>
      <c r="EC106" s="11">
        <v>3.2900891103533766E-2</v>
      </c>
      <c r="ED106">
        <v>0.23302500710542218</v>
      </c>
      <c r="EE106">
        <v>1.00071</v>
      </c>
      <c r="EF106">
        <v>1.02701</v>
      </c>
      <c r="EG106">
        <v>15.141190387727997</v>
      </c>
      <c r="EH106" s="13" t="s">
        <v>1733</v>
      </c>
      <c r="EI106">
        <v>0</v>
      </c>
      <c r="EJ106">
        <v>1</v>
      </c>
      <c r="EK106">
        <v>45470</v>
      </c>
      <c r="EL106">
        <v>-1.74</v>
      </c>
      <c r="EM106">
        <v>-0.92</v>
      </c>
      <c r="EN106" s="14">
        <v>-2.0499999999999998</v>
      </c>
      <c r="EO106" s="14">
        <v>3.64</v>
      </c>
      <c r="EP106" s="14">
        <v>-2.63</v>
      </c>
    </row>
    <row r="107" spans="1:146" ht="108">
      <c r="A107" s="7"/>
      <c r="B107" s="7"/>
      <c r="C107" s="7" t="str">
        <f>""&amp;CHAR(10)&amp;Basic_Fundamental_Information_Constructure(F107)&amp;CHAR(10)&amp;Basic_Fundamental_Information_Concatenate("")</f>
        <v xml:space="preserve">
市值20.545056亿, 利润8008.87万; PE39.51; 平均PE27.23; 平均PEG.5, PB2.15; ROIC7.09%; ROE8.0633%; 股利率1.1905%; 毛利26.5167%; 净利15.48%; 上一年度营收增290.06%, 利润增6.31%; 当季营收增-65.8%, 利润增-56.24%; 过往5年营收增55%, 利润增1.2%
Income profile:
</v>
      </c>
      <c r="D107" t="s">
        <v>896</v>
      </c>
      <c r="E107" t="s">
        <v>897</v>
      </c>
      <c r="F107">
        <v>10.08</v>
      </c>
      <c r="G107">
        <v>0.9</v>
      </c>
      <c r="H107" t="s">
        <v>5020</v>
      </c>
      <c r="I107">
        <v>2054505600</v>
      </c>
      <c r="J107">
        <v>39.51</v>
      </c>
      <c r="K107">
        <v>2.15</v>
      </c>
      <c r="L107" t="s">
        <v>85</v>
      </c>
      <c r="M107" t="s">
        <v>1393</v>
      </c>
      <c r="N107" t="s">
        <v>746</v>
      </c>
      <c r="O107" t="s">
        <v>290</v>
      </c>
      <c r="P107">
        <v>17.100000000000001</v>
      </c>
      <c r="Q107" t="s">
        <v>5021</v>
      </c>
      <c r="R107">
        <v>11644638</v>
      </c>
      <c r="S107" s="5">
        <v>-0.6774</v>
      </c>
      <c r="T107" t="s">
        <v>5022</v>
      </c>
      <c r="U107">
        <v>123499475</v>
      </c>
      <c r="V107">
        <v>203820000</v>
      </c>
      <c r="W107">
        <v>1.28</v>
      </c>
      <c r="X107">
        <v>0.1</v>
      </c>
      <c r="Y107">
        <v>9.02</v>
      </c>
      <c r="Z107" t="s">
        <v>95</v>
      </c>
      <c r="AA107" t="s">
        <v>5023</v>
      </c>
      <c r="AB107" t="s">
        <v>5024</v>
      </c>
      <c r="AC107" t="s">
        <v>5025</v>
      </c>
      <c r="AD107" t="s">
        <v>90</v>
      </c>
      <c r="AE107">
        <v>-1911960</v>
      </c>
      <c r="AF107" t="s">
        <v>2802</v>
      </c>
      <c r="AG107" t="s">
        <v>5026</v>
      </c>
      <c r="AH107" t="s">
        <v>2803</v>
      </c>
      <c r="AI107" t="s">
        <v>511</v>
      </c>
      <c r="AJ107" t="s">
        <v>2804</v>
      </c>
      <c r="AK107" t="s">
        <v>5027</v>
      </c>
      <c r="AL107" t="s">
        <v>2805</v>
      </c>
      <c r="AM107" t="s">
        <v>90</v>
      </c>
      <c r="AN107" t="s">
        <v>5028</v>
      </c>
      <c r="AO107" t="s">
        <v>5029</v>
      </c>
      <c r="AP107" t="s">
        <v>5030</v>
      </c>
      <c r="AQ107" t="s">
        <v>95</v>
      </c>
      <c r="AR107" t="s">
        <v>90</v>
      </c>
      <c r="AS107" t="s">
        <v>533</v>
      </c>
      <c r="AT107" t="s">
        <v>90</v>
      </c>
      <c r="AU107" t="s">
        <v>5031</v>
      </c>
      <c r="AV107" t="s">
        <v>5032</v>
      </c>
      <c r="AW107" t="s">
        <v>5033</v>
      </c>
      <c r="AX107" t="s">
        <v>252</v>
      </c>
      <c r="AY107" t="s">
        <v>1303</v>
      </c>
      <c r="AZ107" t="s">
        <v>453</v>
      </c>
      <c r="BA107" t="s">
        <v>649</v>
      </c>
      <c r="BB107" t="s">
        <v>203</v>
      </c>
      <c r="BC107" t="s">
        <v>2806</v>
      </c>
      <c r="BD107" t="s">
        <v>1304</v>
      </c>
      <c r="BE107" t="s">
        <v>898</v>
      </c>
      <c r="BF107" t="s">
        <v>900</v>
      </c>
      <c r="BG107" t="s">
        <v>901</v>
      </c>
      <c r="BH107" t="s">
        <v>1707</v>
      </c>
      <c r="BI107" t="s">
        <v>358</v>
      </c>
      <c r="BJ107" t="s">
        <v>252</v>
      </c>
      <c r="BK107" t="s">
        <v>2801</v>
      </c>
      <c r="BL107" t="s">
        <v>5034</v>
      </c>
      <c r="BM107" t="s">
        <v>2806</v>
      </c>
      <c r="BN107">
        <v>5.16</v>
      </c>
      <c r="BO107">
        <v>5.98</v>
      </c>
      <c r="BP107">
        <v>10.130000000000001</v>
      </c>
      <c r="BQ107">
        <v>6.17</v>
      </c>
      <c r="BR107">
        <v>8.6199999999999992</v>
      </c>
      <c r="BS107">
        <v>9.4</v>
      </c>
      <c r="BT107" t="s">
        <v>2267</v>
      </c>
      <c r="BU107" t="s">
        <v>1337</v>
      </c>
      <c r="BV107">
        <v>25.79</v>
      </c>
      <c r="BW107">
        <v>25.21</v>
      </c>
      <c r="BX107">
        <v>28.55</v>
      </c>
      <c r="BY107">
        <v>16.88</v>
      </c>
      <c r="BZ107">
        <v>15.96</v>
      </c>
      <c r="CA107">
        <v>13.6</v>
      </c>
      <c r="CB107">
        <v>-6.58</v>
      </c>
      <c r="CC107">
        <v>-10.95</v>
      </c>
      <c r="CD107" t="s">
        <v>5035</v>
      </c>
      <c r="CE107" t="s">
        <v>129</v>
      </c>
      <c r="CF107" s="8">
        <v>-0.65797101449275364</v>
      </c>
      <c r="CG107" s="9">
        <v>-0.56240438924484693</v>
      </c>
      <c r="CH107" s="8">
        <v>2.9006087779998779</v>
      </c>
      <c r="CI107" s="8">
        <v>-7.1563087403774261E-2</v>
      </c>
      <c r="CJ107" s="8">
        <v>3.7109375E-2</v>
      </c>
      <c r="CK107" s="8">
        <v>1.7892643809318542E-2</v>
      </c>
      <c r="CL107" s="8">
        <v>-0.13425129652023315</v>
      </c>
      <c r="CM107" s="9">
        <v>6.3098050653934479E-2</v>
      </c>
      <c r="CN107" s="9">
        <v>4.3587096035480499E-2</v>
      </c>
      <c r="CO107" s="9">
        <v>-2.1054578945040703E-2</v>
      </c>
      <c r="CP107" s="9">
        <v>-2.5592610239982605E-2</v>
      </c>
      <c r="CQ107" s="9">
        <v>1.2813803914468735E-4</v>
      </c>
      <c r="CR107">
        <v>27.230003772914714</v>
      </c>
      <c r="CS107">
        <v>0.4951276328188961</v>
      </c>
      <c r="CT107">
        <v>1.1904761904761905</v>
      </c>
      <c r="CU107" s="8">
        <v>0.54995928257703786</v>
      </c>
      <c r="CV107" s="9">
        <v>1.2033219108707272E-2</v>
      </c>
      <c r="CW107">
        <v>0.06</v>
      </c>
      <c r="CX107">
        <v>11.557779070365386</v>
      </c>
      <c r="CY107">
        <v>117107758.4854034</v>
      </c>
      <c r="CZ107">
        <v>0.54995928257703786</v>
      </c>
      <c r="DA107">
        <v>2.615251295253934</v>
      </c>
      <c r="DB107">
        <v>517543229.00300038</v>
      </c>
      <c r="DC107">
        <v>0.52246131844818589</v>
      </c>
      <c r="DD107">
        <v>0.7395793641857884</v>
      </c>
      <c r="DE107">
        <v>1830101900.5446293</v>
      </c>
      <c r="DF107">
        <v>0.48396416866779329</v>
      </c>
      <c r="DG107">
        <v>0.21857245587146987</v>
      </c>
      <c r="DH107">
        <v>6192480175.983017</v>
      </c>
      <c r="DI107">
        <v>0.43996742606163031</v>
      </c>
      <c r="DJ107">
        <v>1.8952414645674456E-2</v>
      </c>
      <c r="DK107">
        <v>71415997660.69455</v>
      </c>
      <c r="DL107">
        <v>0.38497149780392648</v>
      </c>
      <c r="DM107">
        <v>80088700</v>
      </c>
      <c r="DN107">
        <v>0.54995928257703786</v>
      </c>
      <c r="DO107">
        <v>1353505600</v>
      </c>
      <c r="DP107">
        <v>649669930</v>
      </c>
      <c r="DQ107">
        <v>2396</v>
      </c>
      <c r="DR107">
        <v>-1.2079302970697916</v>
      </c>
      <c r="DS107">
        <v>-0.57443760835355417</v>
      </c>
      <c r="DT107" s="10">
        <v>-0.14000000000000004</v>
      </c>
      <c r="DU107">
        <v>-0.22</v>
      </c>
      <c r="DV107">
        <v>-0.36000000000000004</v>
      </c>
      <c r="DW107">
        <v>-9.600913242009133</v>
      </c>
      <c r="DX107">
        <v>0.29869901960784473</v>
      </c>
      <c r="DY107">
        <v>-9.0412821505953982</v>
      </c>
      <c r="DZ107">
        <v>4296</v>
      </c>
      <c r="EA107">
        <v>-9.0065760607797749</v>
      </c>
      <c r="EB107">
        <v>9</v>
      </c>
      <c r="EC107">
        <v>6.8759689922480619E-2</v>
      </c>
      <c r="ED107">
        <v>1.000883132175449</v>
      </c>
      <c r="EE107" s="11">
        <v>-3.0474000000000001</v>
      </c>
      <c r="EF107">
        <v>-3.0244</v>
      </c>
      <c r="EG107">
        <v>23.068699019607845</v>
      </c>
      <c r="EH107" t="s">
        <v>2118</v>
      </c>
      <c r="EI107">
        <v>0</v>
      </c>
      <c r="EJ107">
        <v>0</v>
      </c>
      <c r="EK107" s="13">
        <v>45470</v>
      </c>
      <c r="EL107" s="14">
        <v>-1.62</v>
      </c>
      <c r="EM107" s="14">
        <v>-5.76</v>
      </c>
      <c r="EN107" s="14">
        <v>-0.35</v>
      </c>
      <c r="EO107" s="14">
        <v>6.83</v>
      </c>
      <c r="EP107" s="14">
        <v>-2.2999999999999998</v>
      </c>
    </row>
    <row r="108" spans="1:146" ht="108">
      <c r="A108" s="7"/>
      <c r="B108" s="7"/>
      <c r="C108" s="7" t="str">
        <f>""&amp;CHAR(10)&amp;Basic_Fundamental_Information_Constructure(F108)&amp;CHAR(10)&amp;Basic_Fundamental_Information_Concatenate("")</f>
        <v xml:space="preserve">
市值31.021551亿, 利润3323.85万; PE35.26; 平均PE39.93; 平均PEG1.15, PB2.7; ROIC9.7567%; ROE9.4067%; 股利率.8897%; 毛利29.63%; 净利19.8067%; 上一年度营收增142.03%, 利润增-65.1%; 当季营收增-38.49%, 利润增1051.12%; 过往5年营收增34.57%, 利润增-4.04%
Income profile:
</v>
      </c>
      <c r="D108" t="s">
        <v>902</v>
      </c>
      <c r="E108" t="s">
        <v>903</v>
      </c>
      <c r="F108">
        <v>25.85</v>
      </c>
      <c r="G108">
        <v>-3.18</v>
      </c>
      <c r="H108" t="s">
        <v>5036</v>
      </c>
      <c r="I108">
        <v>3102155100</v>
      </c>
      <c r="J108">
        <v>35.26</v>
      </c>
      <c r="K108">
        <v>2.7</v>
      </c>
      <c r="L108" t="s">
        <v>85</v>
      </c>
      <c r="M108" t="s">
        <v>800</v>
      </c>
      <c r="N108" t="s">
        <v>1890</v>
      </c>
      <c r="O108" t="s">
        <v>314</v>
      </c>
      <c r="P108">
        <v>5.51</v>
      </c>
      <c r="Q108" t="s">
        <v>4343</v>
      </c>
      <c r="R108">
        <v>28543221</v>
      </c>
      <c r="S108" s="5">
        <v>2.46E-2</v>
      </c>
      <c r="T108" t="s">
        <v>5037</v>
      </c>
      <c r="U108">
        <v>56961000</v>
      </c>
      <c r="V108">
        <v>120006000</v>
      </c>
      <c r="W108">
        <v>1.29</v>
      </c>
      <c r="X108">
        <v>0.1</v>
      </c>
      <c r="Y108">
        <v>19.37</v>
      </c>
      <c r="Z108" t="s">
        <v>143</v>
      </c>
      <c r="AA108" t="s">
        <v>5038</v>
      </c>
      <c r="AB108" t="s">
        <v>5039</v>
      </c>
      <c r="AC108" t="s">
        <v>5040</v>
      </c>
      <c r="AD108" t="s">
        <v>90</v>
      </c>
      <c r="AE108">
        <v>183357</v>
      </c>
      <c r="AF108" t="s">
        <v>2807</v>
      </c>
      <c r="AG108">
        <v>31</v>
      </c>
      <c r="AH108" t="s">
        <v>2808</v>
      </c>
      <c r="AI108" t="s">
        <v>5041</v>
      </c>
      <c r="AJ108" t="s">
        <v>2809</v>
      </c>
      <c r="AK108" t="s">
        <v>5042</v>
      </c>
      <c r="AL108" t="s">
        <v>2810</v>
      </c>
      <c r="AM108" t="s">
        <v>90</v>
      </c>
      <c r="AN108" t="s">
        <v>685</v>
      </c>
      <c r="AO108" t="s">
        <v>5043</v>
      </c>
      <c r="AP108" t="s">
        <v>5044</v>
      </c>
      <c r="AQ108" t="s">
        <v>5045</v>
      </c>
      <c r="AR108" t="s">
        <v>90</v>
      </c>
      <c r="AS108" t="s">
        <v>1140</v>
      </c>
      <c r="AT108" t="s">
        <v>5046</v>
      </c>
      <c r="AU108" t="s">
        <v>5047</v>
      </c>
      <c r="AV108" t="s">
        <v>5048</v>
      </c>
      <c r="AW108" t="s">
        <v>5049</v>
      </c>
      <c r="AX108" t="s">
        <v>1260</v>
      </c>
      <c r="AY108" t="s">
        <v>362</v>
      </c>
      <c r="AZ108" t="s">
        <v>602</v>
      </c>
      <c r="BA108" t="s">
        <v>156</v>
      </c>
      <c r="BB108" t="s">
        <v>179</v>
      </c>
      <c r="BC108" t="s">
        <v>1881</v>
      </c>
      <c r="BD108" t="s">
        <v>95</v>
      </c>
      <c r="BE108" t="s">
        <v>905</v>
      </c>
      <c r="BF108" t="s">
        <v>906</v>
      </c>
      <c r="BG108" t="s">
        <v>907</v>
      </c>
      <c r="BH108" t="s">
        <v>1887</v>
      </c>
      <c r="BI108" t="s">
        <v>755</v>
      </c>
      <c r="BJ108" t="s">
        <v>1260</v>
      </c>
      <c r="BK108" t="s">
        <v>2086</v>
      </c>
      <c r="BL108" t="s">
        <v>5050</v>
      </c>
      <c r="BM108" t="s">
        <v>1881</v>
      </c>
      <c r="BN108">
        <v>6.28</v>
      </c>
      <c r="BO108">
        <v>9.0299999999999994</v>
      </c>
      <c r="BP108">
        <v>13.96</v>
      </c>
      <c r="BQ108">
        <v>6.65</v>
      </c>
      <c r="BR108">
        <v>9.3000000000000007</v>
      </c>
      <c r="BS108">
        <v>12.27</v>
      </c>
      <c r="BT108" t="s">
        <v>1882</v>
      </c>
      <c r="BU108" t="s">
        <v>1337</v>
      </c>
      <c r="BV108">
        <v>29.85</v>
      </c>
      <c r="BW108">
        <v>28.73</v>
      </c>
      <c r="BX108">
        <v>30.31</v>
      </c>
      <c r="BY108">
        <v>16.07</v>
      </c>
      <c r="BZ108">
        <v>19.7</v>
      </c>
      <c r="CA108">
        <v>23.65</v>
      </c>
      <c r="CB108">
        <v>-2.97</v>
      </c>
      <c r="CC108">
        <v>7.44</v>
      </c>
      <c r="CD108" t="s">
        <v>5051</v>
      </c>
      <c r="CE108" t="s">
        <v>5052</v>
      </c>
      <c r="CF108" s="8">
        <v>-0.38493723849372385</v>
      </c>
      <c r="CG108" s="9">
        <v>10.511219954831425</v>
      </c>
      <c r="CH108" s="8">
        <v>1.4202897548675537</v>
      </c>
      <c r="CI108" s="8">
        <v>6.1538461595773697E-2</v>
      </c>
      <c r="CJ108" s="8">
        <v>0.19736842811107635</v>
      </c>
      <c r="CK108" s="8">
        <v>7.9575600102543831E-3</v>
      </c>
      <c r="CL108" s="8">
        <v>4.1436463594436646E-2</v>
      </c>
      <c r="CM108" s="9">
        <v>-0.65100055932998657</v>
      </c>
      <c r="CN108" s="9">
        <v>-0.11815370619297028</v>
      </c>
      <c r="CO108" s="9">
        <v>0.16076859831809998</v>
      </c>
      <c r="CP108" s="9">
        <v>0.29204079508781433</v>
      </c>
      <c r="CQ108" s="9">
        <v>0.11410657316446304</v>
      </c>
      <c r="CR108">
        <v>39.927576644693872</v>
      </c>
      <c r="CS108">
        <v>1.1549170483129405</v>
      </c>
      <c r="CT108">
        <v>0.88974854932301728</v>
      </c>
      <c r="CU108" s="8">
        <v>0.34571813363581894</v>
      </c>
      <c r="CV108" s="9">
        <v>-4.04476597905159E-2</v>
      </c>
      <c r="CW108">
        <v>0.06</v>
      </c>
      <c r="CX108">
        <v>54.177135024102817</v>
      </c>
      <c r="CY108">
        <v>42197785.080051102</v>
      </c>
      <c r="CZ108">
        <v>0.34571813363581894</v>
      </c>
      <c r="DA108">
        <v>14.352602238302627</v>
      </c>
      <c r="DB108">
        <v>159285059.39494121</v>
      </c>
      <c r="DC108">
        <v>0.32843222695402796</v>
      </c>
      <c r="DD108">
        <v>5.2151288846828932</v>
      </c>
      <c r="DE108">
        <v>438369817.99520952</v>
      </c>
      <c r="DF108">
        <v>0.30423195759952065</v>
      </c>
      <c r="DG108">
        <v>2.1536866794231022</v>
      </c>
      <c r="DH108">
        <v>1061507749.4059541</v>
      </c>
      <c r="DI108">
        <v>0.27657450690865515</v>
      </c>
      <c r="DJ108">
        <v>0.44232236268682756</v>
      </c>
      <c r="DK108">
        <v>5168527058.2139664</v>
      </c>
      <c r="DL108">
        <v>0.24200269354507323</v>
      </c>
      <c r="DM108">
        <v>33238500</v>
      </c>
      <c r="DN108">
        <v>0.34571813363581894</v>
      </c>
      <c r="DO108">
        <v>2286155100</v>
      </c>
      <c r="DP108">
        <v>464185400</v>
      </c>
      <c r="DQ108">
        <v>2398</v>
      </c>
      <c r="DR108">
        <v>-0.73065537212954279</v>
      </c>
      <c r="DS108">
        <v>10.551667614621941</v>
      </c>
      <c r="DT108" s="10">
        <v>2.6666666666666616E-2</v>
      </c>
      <c r="DU108">
        <v>-8.3333333333333329E-2</v>
      </c>
      <c r="DV108">
        <v>-5.6666666666666712E-2</v>
      </c>
      <c r="DW108">
        <v>-6.2853025936599423</v>
      </c>
      <c r="DX108">
        <v>0.4996084949107823</v>
      </c>
      <c r="DY108">
        <v>-6.1025972363001948</v>
      </c>
      <c r="DZ108">
        <v>618</v>
      </c>
      <c r="EA108">
        <v>-6.0901891948063556</v>
      </c>
      <c r="EB108">
        <v>6</v>
      </c>
      <c r="EC108">
        <v>0.20626052030731798</v>
      </c>
      <c r="ED108">
        <v>0.57356965485059075</v>
      </c>
      <c r="EE108" s="11">
        <v>2.0466099999999998</v>
      </c>
      <c r="EF108">
        <v>2.0646100000000001</v>
      </c>
      <c r="EG108">
        <v>14.359608494910782</v>
      </c>
      <c r="EH108" t="s">
        <v>2143</v>
      </c>
      <c r="EI108">
        <v>0</v>
      </c>
      <c r="EJ108">
        <v>1</v>
      </c>
      <c r="EK108" s="13">
        <v>45470</v>
      </c>
      <c r="EL108" s="14">
        <v>4.4800000000000004</v>
      </c>
      <c r="EM108" s="14">
        <v>-6.79</v>
      </c>
      <c r="EN108" s="14">
        <v>-0.56999999999999995</v>
      </c>
      <c r="EO108" s="14">
        <v>1.71</v>
      </c>
      <c r="EP108" s="14">
        <v>-1.8</v>
      </c>
    </row>
    <row r="109" spans="1:146" ht="108">
      <c r="A109" s="7"/>
      <c r="B109" s="7"/>
      <c r="C109" s="7" t="str">
        <f>""&amp;CHAR(10)&amp;Basic_Fundamental_Information_Constructure(F109)&amp;CHAR(10)&amp;Basic_Fundamental_Information_Concatenate("")</f>
        <v xml:space="preserve">
市值15.506298亿, 利润5624.17万; PE63.7; 平均PE27.56; 平均PEG.92, PB2.32; ROIC7.52%; ROE8.4033%; 股利率.7429%; 毛利13.7567%; 净利5.0567%; 上一年度营收增70.21%, 利润增24.2%; 当季营收增24.07%, 利润增117%; 过往5年营收增30.07%, 利润增3.74%
Income profile:
</v>
      </c>
      <c r="D109" t="s">
        <v>1040</v>
      </c>
      <c r="E109" t="s">
        <v>1041</v>
      </c>
      <c r="F109">
        <v>20.190000000000001</v>
      </c>
      <c r="G109">
        <v>-0.35</v>
      </c>
      <c r="H109" t="s">
        <v>5053</v>
      </c>
      <c r="I109">
        <v>1550629800</v>
      </c>
      <c r="J109">
        <v>63.7</v>
      </c>
      <c r="K109">
        <v>2.3199999999999998</v>
      </c>
      <c r="L109" t="s">
        <v>85</v>
      </c>
      <c r="M109" t="s">
        <v>1762</v>
      </c>
      <c r="N109" t="s">
        <v>781</v>
      </c>
      <c r="O109" t="s">
        <v>533</v>
      </c>
      <c r="P109">
        <v>18.399999999999999</v>
      </c>
      <c r="Q109" t="s">
        <v>2816</v>
      </c>
      <c r="R109">
        <v>6052232</v>
      </c>
      <c r="S109" s="5">
        <v>-0.68830000000000002</v>
      </c>
      <c r="T109" t="s">
        <v>2817</v>
      </c>
      <c r="U109">
        <v>46038268</v>
      </c>
      <c r="V109">
        <v>76801872</v>
      </c>
      <c r="W109">
        <v>1.89</v>
      </c>
      <c r="X109">
        <v>0.2</v>
      </c>
      <c r="Y109">
        <v>2.2599999999999998</v>
      </c>
      <c r="Z109" t="s">
        <v>452</v>
      </c>
      <c r="AA109" t="s">
        <v>96</v>
      </c>
      <c r="AB109" t="s">
        <v>5054</v>
      </c>
      <c r="AC109" t="s">
        <v>5055</v>
      </c>
      <c r="AD109" t="s">
        <v>90</v>
      </c>
      <c r="AE109">
        <v>3673554</v>
      </c>
      <c r="AF109" t="s">
        <v>182</v>
      </c>
      <c r="AG109" t="s">
        <v>5056</v>
      </c>
      <c r="AH109" t="s">
        <v>2812</v>
      </c>
      <c r="AI109" t="s">
        <v>5057</v>
      </c>
      <c r="AJ109" t="s">
        <v>2813</v>
      </c>
      <c r="AK109" t="s">
        <v>90</v>
      </c>
      <c r="AL109" t="s">
        <v>2814</v>
      </c>
      <c r="AM109" t="s">
        <v>90</v>
      </c>
      <c r="AN109" t="s">
        <v>5058</v>
      </c>
      <c r="AO109" t="s">
        <v>5059</v>
      </c>
      <c r="AP109" t="s">
        <v>2815</v>
      </c>
      <c r="AQ109" t="s">
        <v>165</v>
      </c>
      <c r="AR109" t="s">
        <v>90</v>
      </c>
      <c r="AS109" t="s">
        <v>457</v>
      </c>
      <c r="AT109" t="s">
        <v>90</v>
      </c>
      <c r="AU109" t="s">
        <v>5060</v>
      </c>
      <c r="AV109" t="s">
        <v>5061</v>
      </c>
      <c r="AW109" t="s">
        <v>5062</v>
      </c>
      <c r="AX109" t="s">
        <v>1883</v>
      </c>
      <c r="AY109" t="s">
        <v>1305</v>
      </c>
      <c r="AZ109" t="s">
        <v>489</v>
      </c>
      <c r="BA109" t="s">
        <v>899</v>
      </c>
      <c r="BB109" t="s">
        <v>1044</v>
      </c>
      <c r="BC109" t="s">
        <v>1884</v>
      </c>
      <c r="BD109" t="s">
        <v>1306</v>
      </c>
      <c r="BE109" t="s">
        <v>1043</v>
      </c>
      <c r="BF109" t="s">
        <v>1045</v>
      </c>
      <c r="BG109" t="s">
        <v>1046</v>
      </c>
      <c r="BH109" t="s">
        <v>2158</v>
      </c>
      <c r="BI109" t="s">
        <v>150</v>
      </c>
      <c r="BJ109" t="s">
        <v>1883</v>
      </c>
      <c r="BK109" t="s">
        <v>2811</v>
      </c>
      <c r="BL109" t="s">
        <v>2822</v>
      </c>
      <c r="BM109" t="s">
        <v>1884</v>
      </c>
      <c r="BN109">
        <v>3.8</v>
      </c>
      <c r="BO109">
        <v>6.02</v>
      </c>
      <c r="BP109">
        <v>12.74</v>
      </c>
      <c r="BQ109">
        <v>4.7</v>
      </c>
      <c r="BR109">
        <v>6.91</v>
      </c>
      <c r="BS109">
        <v>13.6</v>
      </c>
      <c r="BT109" t="s">
        <v>1695</v>
      </c>
      <c r="BU109" t="s">
        <v>1381</v>
      </c>
      <c r="BV109">
        <v>12.93</v>
      </c>
      <c r="BW109">
        <v>12.6</v>
      </c>
      <c r="BX109">
        <v>15.74</v>
      </c>
      <c r="BY109">
        <v>3.81</v>
      </c>
      <c r="BZ109">
        <v>4.34</v>
      </c>
      <c r="CA109">
        <v>7.02</v>
      </c>
      <c r="CB109">
        <v>-9.01</v>
      </c>
      <c r="CC109">
        <v>-4.76</v>
      </c>
      <c r="CD109" t="s">
        <v>5063</v>
      </c>
      <c r="CE109" t="s">
        <v>5064</v>
      </c>
      <c r="CF109" s="8">
        <v>0.24074074074074087</v>
      </c>
      <c r="CG109" s="9">
        <v>1.1700217997123337</v>
      </c>
      <c r="CH109" s="8">
        <v>0.70210719108581543</v>
      </c>
      <c r="CI109" s="8">
        <v>0.1651785671710968</v>
      </c>
      <c r="CJ109" s="8">
        <v>0.61441439390182495</v>
      </c>
      <c r="CK109" s="8">
        <v>-2.9720280319452286E-2</v>
      </c>
      <c r="CL109" s="8">
        <v>5.1470588892698288E-2</v>
      </c>
      <c r="CM109" s="9">
        <v>0.2420019805431366</v>
      </c>
      <c r="CN109" s="9">
        <v>-0.27990046143531799</v>
      </c>
      <c r="CO109" s="9">
        <v>8.8711142539978027E-2</v>
      </c>
      <c r="CP109" s="9">
        <v>-9.1617509722709656E-2</v>
      </c>
      <c r="CQ109" s="9">
        <v>0.22787697613239288</v>
      </c>
      <c r="CR109">
        <v>27.56337905909588</v>
      </c>
      <c r="CS109">
        <v>0.91667067785113876</v>
      </c>
      <c r="CT109">
        <v>0.74294205052005935</v>
      </c>
      <c r="CU109" s="8">
        <v>0.30069009214639664</v>
      </c>
      <c r="CV109" s="9">
        <v>3.7414425611495973E-2</v>
      </c>
      <c r="CW109">
        <v>0.06</v>
      </c>
      <c r="CX109">
        <v>20.802525272658411</v>
      </c>
      <c r="CY109">
        <v>69012284.863650933</v>
      </c>
      <c r="CZ109">
        <v>0.30069009214639664</v>
      </c>
      <c r="DA109">
        <v>5.7128066931417969</v>
      </c>
      <c r="DB109">
        <v>251300258.71932063</v>
      </c>
      <c r="DC109">
        <v>0.28565558753907677</v>
      </c>
      <c r="DD109">
        <v>2.1928861190230902</v>
      </c>
      <c r="DE109">
        <v>654675948.53469157</v>
      </c>
      <c r="DF109">
        <v>0.26460728108882903</v>
      </c>
      <c r="DG109">
        <v>0.97241634128053078</v>
      </c>
      <c r="DH109">
        <v>1476353017.7922397</v>
      </c>
      <c r="DI109">
        <v>0.24055207371711732</v>
      </c>
      <c r="DJ109">
        <v>0.23994522847253638</v>
      </c>
      <c r="DK109">
        <v>5983156277.5348921</v>
      </c>
      <c r="DL109">
        <v>0.21048306450247764</v>
      </c>
      <c r="DM109">
        <v>56241700</v>
      </c>
      <c r="DN109">
        <v>0.30069009214639664</v>
      </c>
      <c r="DO109">
        <v>1435629800</v>
      </c>
      <c r="DP109">
        <v>302997640</v>
      </c>
      <c r="DQ109">
        <v>2434</v>
      </c>
      <c r="DR109">
        <v>-5.9949351405655771E-2</v>
      </c>
      <c r="DS109">
        <v>1.1326073741008378</v>
      </c>
      <c r="DT109" s="10">
        <v>0.31</v>
      </c>
      <c r="DU109">
        <v>0.11666666666666665</v>
      </c>
      <c r="DV109">
        <v>0.42666666666666664</v>
      </c>
      <c r="DW109">
        <v>-5.5283018867924527</v>
      </c>
      <c r="DX109">
        <v>0.24451601635537976</v>
      </c>
      <c r="DY109">
        <v>-5.0499329897726533</v>
      </c>
      <c r="DZ109">
        <v>4231</v>
      </c>
      <c r="EA109">
        <v>-5.0085892559706773</v>
      </c>
      <c r="EB109">
        <v>5</v>
      </c>
      <c r="EC109">
        <v>2.9947186703990755E-2</v>
      </c>
      <c r="ED109">
        <v>0.31684774558620132</v>
      </c>
      <c r="EE109" s="11">
        <v>3.0105</v>
      </c>
      <c r="EF109">
        <v>3.0064099999999998</v>
      </c>
      <c r="EG109">
        <v>15.09451601635538</v>
      </c>
      <c r="EH109" t="s">
        <v>1736</v>
      </c>
      <c r="EI109">
        <v>0</v>
      </c>
      <c r="EJ109">
        <v>0</v>
      </c>
      <c r="EK109" s="13">
        <v>45470</v>
      </c>
      <c r="EL109" s="14">
        <v>2.5</v>
      </c>
      <c r="EM109" s="14">
        <v>-6.01</v>
      </c>
      <c r="EN109" s="14">
        <v>1.73</v>
      </c>
      <c r="EO109" s="14">
        <v>4.72</v>
      </c>
      <c r="EP109" s="14">
        <v>-1.69</v>
      </c>
    </row>
    <row r="110" spans="1:146" ht="144">
      <c r="A110" s="7" t="s">
        <v>2129</v>
      </c>
      <c r="B110" s="7" t="s">
        <v>1191</v>
      </c>
      <c r="C110" s="7" t="str">
        <f>"公司为国内重型卡车、工程车等商用车 LNG 供气系统的生产商，主要从事 车载 LNG 供气系统的研发、生产和销售。"&amp;CHAR(10)&amp;Basic_Fundamental_Information_Constructure(F110)&amp;CHAR(10)&amp;Basic_Fundamental_Information_Concatenate("车载LNG供气系统 12.17亿 92.19%（毛利40.14%）贮气筒4.25%（毛利12.91%）防护横梁1.70%（毛利12.93%）")</f>
        <v>公司为国内重型卡车、工程车等商用车 LNG 供气系统的生产商，主要从事 车载 LNG 供气系统的研发、生产和销售。
市值28.499107亿, 利润-4529.72万; PE25.16; 平均PE54.8; 平均PEG.21, PB2.28; ROIC1.625%; ROE-.43%; 股利率2.6178%; 毛利13.8833%; 净利-7.61%; 上一年度营收增1248.19%, 利润增12.16%; 当季营收增11.58%, 利润增1061%; 过往5年营收增255.94%, 利润增-36.54%
Income profile:
车载LNG供气系统 12.17亿 92.19%（毛利40.14%）贮气筒4.25%（毛利12.91%）防护横梁1.70%（毛利12.93%）</v>
      </c>
      <c r="D110" t="s">
        <v>910</v>
      </c>
      <c r="E110" t="s">
        <v>911</v>
      </c>
      <c r="F110">
        <v>15.28</v>
      </c>
      <c r="G110">
        <v>0.33</v>
      </c>
      <c r="H110" t="s">
        <v>5065</v>
      </c>
      <c r="I110">
        <v>2849910700</v>
      </c>
      <c r="J110">
        <v>25.16</v>
      </c>
      <c r="K110">
        <v>2.2799999999999998</v>
      </c>
      <c r="L110" t="s">
        <v>85</v>
      </c>
      <c r="M110" t="s">
        <v>1546</v>
      </c>
      <c r="N110" t="s">
        <v>1285</v>
      </c>
      <c r="O110" t="s">
        <v>689</v>
      </c>
      <c r="P110">
        <v>96.27</v>
      </c>
      <c r="Q110" t="s">
        <v>2530</v>
      </c>
      <c r="R110">
        <v>21428537</v>
      </c>
      <c r="S110" s="5">
        <v>1.6020000000000001</v>
      </c>
      <c r="T110" t="s">
        <v>5066</v>
      </c>
      <c r="U110">
        <v>186512480</v>
      </c>
      <c r="V110">
        <v>186512480</v>
      </c>
      <c r="W110">
        <v>2.2599999999999998</v>
      </c>
      <c r="X110">
        <v>0.16</v>
      </c>
      <c r="Y110">
        <v>5.04</v>
      </c>
      <c r="Z110" t="s">
        <v>2196</v>
      </c>
      <c r="AA110" t="s">
        <v>515</v>
      </c>
      <c r="AB110" t="s">
        <v>5067</v>
      </c>
      <c r="AC110" t="s">
        <v>5068</v>
      </c>
      <c r="AD110" t="s">
        <v>90</v>
      </c>
      <c r="AE110">
        <v>3440248</v>
      </c>
      <c r="AF110" t="s">
        <v>2818</v>
      </c>
      <c r="AG110" t="s">
        <v>5069</v>
      </c>
      <c r="AH110" t="s">
        <v>2819</v>
      </c>
      <c r="AI110" t="s">
        <v>333</v>
      </c>
      <c r="AJ110" t="s">
        <v>2820</v>
      </c>
      <c r="AK110" t="s">
        <v>90</v>
      </c>
      <c r="AL110" t="s">
        <v>2821</v>
      </c>
      <c r="AM110" t="s">
        <v>90</v>
      </c>
      <c r="AN110" t="s">
        <v>494</v>
      </c>
      <c r="AO110" t="s">
        <v>137</v>
      </c>
      <c r="AP110" t="s">
        <v>90</v>
      </c>
      <c r="AQ110" t="s">
        <v>4830</v>
      </c>
      <c r="AR110" t="s">
        <v>5070</v>
      </c>
      <c r="AS110" t="s">
        <v>5071</v>
      </c>
      <c r="AT110" t="s">
        <v>1308</v>
      </c>
      <c r="AU110" t="s">
        <v>677</v>
      </c>
      <c r="AV110" t="s">
        <v>5072</v>
      </c>
      <c r="AW110" t="s">
        <v>5073</v>
      </c>
      <c r="AX110" t="s">
        <v>479</v>
      </c>
      <c r="AY110" t="s">
        <v>97</v>
      </c>
      <c r="AZ110" t="s">
        <v>912</v>
      </c>
      <c r="BA110" t="s">
        <v>592</v>
      </c>
      <c r="BB110" t="s">
        <v>820</v>
      </c>
      <c r="BC110" t="s">
        <v>1886</v>
      </c>
      <c r="BD110" t="s">
        <v>1307</v>
      </c>
      <c r="BE110" t="s">
        <v>349</v>
      </c>
      <c r="BF110" t="s">
        <v>174</v>
      </c>
      <c r="BG110" t="s">
        <v>913</v>
      </c>
      <c r="BH110" t="s">
        <v>2816</v>
      </c>
      <c r="BI110" t="s">
        <v>602</v>
      </c>
      <c r="BJ110" t="s">
        <v>479</v>
      </c>
      <c r="BK110" t="s">
        <v>2817</v>
      </c>
      <c r="BL110" t="s">
        <v>5074</v>
      </c>
      <c r="BM110" t="s">
        <v>1886</v>
      </c>
      <c r="BN110">
        <v>1.96</v>
      </c>
      <c r="BO110" t="s">
        <v>90</v>
      </c>
      <c r="BP110">
        <v>1.29</v>
      </c>
      <c r="BQ110">
        <v>1.04</v>
      </c>
      <c r="BR110">
        <v>-4.29</v>
      </c>
      <c r="BS110">
        <v>1.96</v>
      </c>
      <c r="BT110" t="s">
        <v>2823</v>
      </c>
      <c r="BU110" t="s">
        <v>1337</v>
      </c>
      <c r="BV110">
        <v>15.84</v>
      </c>
      <c r="BW110">
        <v>4.33</v>
      </c>
      <c r="BX110">
        <v>21.48</v>
      </c>
      <c r="BY110">
        <v>3.15</v>
      </c>
      <c r="BZ110">
        <v>-31.23</v>
      </c>
      <c r="CA110">
        <v>5.25</v>
      </c>
      <c r="CB110">
        <v>-4.62</v>
      </c>
      <c r="CC110">
        <v>-11.53</v>
      </c>
      <c r="CD110" t="s">
        <v>5075</v>
      </c>
      <c r="CE110" t="s">
        <v>5076</v>
      </c>
      <c r="CF110" s="8">
        <v>0.11578947368421053</v>
      </c>
      <c r="CG110" s="9">
        <v>10.609978328005635</v>
      </c>
      <c r="CH110" s="8">
        <v>12.481928825378418</v>
      </c>
      <c r="CI110" s="8">
        <v>-0.57868021726608276</v>
      </c>
      <c r="CJ110" s="8">
        <v>-0.70151513814926147</v>
      </c>
      <c r="CK110" s="8">
        <v>0.65621078014373779</v>
      </c>
      <c r="CL110" s="8">
        <v>0.93917274475097656</v>
      </c>
      <c r="CM110" s="9">
        <v>0.12155143916606903</v>
      </c>
      <c r="CN110" s="9">
        <v>-3.6692304611206055</v>
      </c>
      <c r="CO110" s="9">
        <v>-0.91414088010787964</v>
      </c>
      <c r="CP110" s="9">
        <v>0.8595041036605835</v>
      </c>
      <c r="CQ110" s="9">
        <v>1.7753312587738037</v>
      </c>
      <c r="CR110">
        <v>54.796403192391068</v>
      </c>
      <c r="CS110">
        <v>0.21409667198639221</v>
      </c>
      <c r="CT110">
        <v>2.6178010471204192</v>
      </c>
      <c r="CU110" s="8">
        <v>2.5594233989715578</v>
      </c>
      <c r="CV110" s="9">
        <v>-0.36539690792560575</v>
      </c>
      <c r="CW110">
        <v>0.06</v>
      </c>
      <c r="CX110" t="e">
        <v>#VALUE!</v>
      </c>
      <c r="CY110" t="s">
        <v>1391</v>
      </c>
      <c r="CZ110">
        <v>2.5594233989715578</v>
      </c>
      <c r="DA110" t="e">
        <v>#VALUE!</v>
      </c>
      <c r="DB110" t="s">
        <v>1391</v>
      </c>
      <c r="DC110">
        <v>2.4314522290229799</v>
      </c>
      <c r="DD110" t="e">
        <v>#VALUE!</v>
      </c>
      <c r="DE110" t="s">
        <v>1391</v>
      </c>
      <c r="DF110">
        <v>2.2522925910949709</v>
      </c>
      <c r="DG110" t="e">
        <v>#VALUE!</v>
      </c>
      <c r="DH110" t="s">
        <v>1391</v>
      </c>
      <c r="DI110">
        <v>2.0475387191772465</v>
      </c>
      <c r="DJ110" t="e">
        <v>#VALUE!</v>
      </c>
      <c r="DK110" t="s">
        <v>1391</v>
      </c>
      <c r="DL110">
        <v>1.7915963792800904</v>
      </c>
      <c r="DM110">
        <v>-45297200</v>
      </c>
      <c r="DN110">
        <v>2.5594233989715578</v>
      </c>
      <c r="DO110">
        <v>2888910700</v>
      </c>
      <c r="DP110">
        <v>371498100</v>
      </c>
      <c r="DQ110">
        <v>2435</v>
      </c>
      <c r="DR110">
        <v>-2.4436339252873474</v>
      </c>
      <c r="DS110">
        <v>10.97537523593124</v>
      </c>
      <c r="DT110" s="10">
        <v>-0.12333333333333345</v>
      </c>
      <c r="DU110">
        <v>-0.36666666666666686</v>
      </c>
      <c r="DV110">
        <v>-0.49000000000000032</v>
      </c>
      <c r="DW110">
        <v>-8.4006938421509112</v>
      </c>
      <c r="DX110">
        <v>0.34861778531380072</v>
      </c>
      <c r="DY110">
        <v>-8.0715710466738742</v>
      </c>
      <c r="DZ110">
        <v>3175</v>
      </c>
      <c r="EA110">
        <v>-8.0271017564215157</v>
      </c>
      <c r="EB110">
        <v>8</v>
      </c>
      <c r="EC110">
        <v>5.0097451923860538E-2</v>
      </c>
      <c r="ED110">
        <v>0.28047292063244239</v>
      </c>
      <c r="EE110" s="11">
        <v>4.5809999999999997E-2</v>
      </c>
      <c r="EF110">
        <v>3.771E-2</v>
      </c>
      <c r="EG110">
        <v>17.178617785313801</v>
      </c>
      <c r="EH110">
        <v>-1</v>
      </c>
      <c r="EI110">
        <v>0</v>
      </c>
      <c r="EJ110">
        <v>0</v>
      </c>
      <c r="EK110" s="13">
        <v>45470</v>
      </c>
      <c r="EL110" s="14">
        <v>-0.18</v>
      </c>
      <c r="EM110" s="14">
        <v>-3.97</v>
      </c>
      <c r="EN110" s="14">
        <v>0.23</v>
      </c>
      <c r="EO110" s="14">
        <v>4.17</v>
      </c>
      <c r="EP110" s="14">
        <v>0.81</v>
      </c>
    </row>
    <row r="111" spans="1:146" ht="156">
      <c r="A111" s="7"/>
      <c r="B111" s="7"/>
      <c r="C111" s="7" t="str">
        <f>"公司的主营业务是从事工业制冷设备研发、生产和销售；公司目前的主要产品可分为液体恒温设备、电气箱恒温装置、纯水冷却单元和特种换热器四大类。"&amp;CHAR(10)&amp;Basic_Fundamental_Information_Constructure(F111)&amp;CHAR(10)&amp;Basic_Fundamental_Information_Concatenate("液体恒温设备 2.39亿 59.65% 54.63% 23.04%
电气箱恒温装置 7702.39万 19.19% 19.08% 25.02%
纯水冷却单元 6090.93万 15.17% 20.82% 34.52%")</f>
        <v>公司的主营业务是从事工业制冷设备研发、生产和销售；公司目前的主要产品可分为液体恒温设备、电气箱恒温装置、纯水冷却单元和特种换热器四大类。
市值43.754256亿, 利润1130.82万; PE27.49; 平均PE48.97; 平均PEG3.62, PB2.46; ROIC9.2367%; ROE8.7967%; 股利率1.9253%; 毛利27.9467%; 净利12.3433%; 上一年度营收增-46.33%, 利润增-91.17%; 当季营收增186.48%, 利润增160%; 过往5年营收增13.53%, 利润增-4.88%
Income profile:
液体恒温设备 2.39亿 59.65% 54.63% 23.04%
电气箱恒温装置 7702.39万 19.19% 19.08% 25.02%
纯水冷却单元 6090.93万 15.17% 20.82% 34.52%</v>
      </c>
      <c r="D111" t="s">
        <v>914</v>
      </c>
      <c r="E111" t="s">
        <v>1047</v>
      </c>
      <c r="F111">
        <v>25.97</v>
      </c>
      <c r="G111">
        <v>-0.46</v>
      </c>
      <c r="H111" t="s">
        <v>5077</v>
      </c>
      <c r="I111">
        <v>4375425600</v>
      </c>
      <c r="J111">
        <v>27.49</v>
      </c>
      <c r="K111">
        <v>2.46</v>
      </c>
      <c r="L111" t="s">
        <v>85</v>
      </c>
      <c r="M111" t="s">
        <v>563</v>
      </c>
      <c r="N111" t="s">
        <v>2816</v>
      </c>
      <c r="O111" t="s">
        <v>797</v>
      </c>
      <c r="P111">
        <v>0.56999999999999995</v>
      </c>
      <c r="Q111" t="s">
        <v>1078</v>
      </c>
      <c r="R111">
        <v>5137981</v>
      </c>
      <c r="S111" s="5">
        <v>-0.81879999999999997</v>
      </c>
      <c r="T111" t="s">
        <v>5078</v>
      </c>
      <c r="U111">
        <v>42120000</v>
      </c>
      <c r="V111">
        <v>168480000</v>
      </c>
      <c r="W111">
        <v>1.2</v>
      </c>
      <c r="X111">
        <v>0.13</v>
      </c>
      <c r="Y111">
        <v>1.87</v>
      </c>
      <c r="Z111" t="s">
        <v>722</v>
      </c>
      <c r="AA111" t="s">
        <v>551</v>
      </c>
      <c r="AB111" t="s">
        <v>5079</v>
      </c>
      <c r="AC111" t="s">
        <v>5080</v>
      </c>
      <c r="AD111" t="s">
        <v>90</v>
      </c>
      <c r="AE111">
        <v>-435762</v>
      </c>
      <c r="AF111" t="s">
        <v>2825</v>
      </c>
      <c r="AG111" t="s">
        <v>5081</v>
      </c>
      <c r="AH111" t="s">
        <v>2826</v>
      </c>
      <c r="AI111" t="s">
        <v>190</v>
      </c>
      <c r="AJ111" t="s">
        <v>2827</v>
      </c>
      <c r="AK111" t="s">
        <v>5082</v>
      </c>
      <c r="AL111" t="s">
        <v>2828</v>
      </c>
      <c r="AM111" t="s">
        <v>90</v>
      </c>
      <c r="AN111" t="s">
        <v>5083</v>
      </c>
      <c r="AO111" t="s">
        <v>2829</v>
      </c>
      <c r="AP111" t="s">
        <v>5084</v>
      </c>
      <c r="AQ111" t="s">
        <v>123</v>
      </c>
      <c r="AR111" t="s">
        <v>90</v>
      </c>
      <c r="AS111" t="s">
        <v>669</v>
      </c>
      <c r="AT111" t="s">
        <v>90</v>
      </c>
      <c r="AU111" t="s">
        <v>5085</v>
      </c>
      <c r="AV111" t="s">
        <v>135</v>
      </c>
      <c r="AW111" t="s">
        <v>5086</v>
      </c>
      <c r="AX111" t="s">
        <v>527</v>
      </c>
      <c r="AY111" t="s">
        <v>1289</v>
      </c>
      <c r="AZ111" t="s">
        <v>667</v>
      </c>
      <c r="BA111" t="s">
        <v>238</v>
      </c>
      <c r="BB111" t="s">
        <v>148</v>
      </c>
      <c r="BC111" t="s">
        <v>307</v>
      </c>
      <c r="BD111" t="s">
        <v>183</v>
      </c>
      <c r="BE111" t="s">
        <v>579</v>
      </c>
      <c r="BF111" t="s">
        <v>915</v>
      </c>
      <c r="BG111" t="s">
        <v>916</v>
      </c>
      <c r="BH111" t="s">
        <v>2508</v>
      </c>
      <c r="BI111" t="s">
        <v>5087</v>
      </c>
      <c r="BJ111" t="s">
        <v>527</v>
      </c>
      <c r="BK111" t="s">
        <v>391</v>
      </c>
      <c r="BL111" t="s">
        <v>5088</v>
      </c>
      <c r="BM111" t="s">
        <v>307</v>
      </c>
      <c r="BN111">
        <v>8.24</v>
      </c>
      <c r="BO111">
        <v>7.87</v>
      </c>
      <c r="BP111">
        <v>11.6</v>
      </c>
      <c r="BQ111">
        <v>8.25</v>
      </c>
      <c r="BR111">
        <v>8.0500000000000007</v>
      </c>
      <c r="BS111">
        <v>10.09</v>
      </c>
      <c r="BT111" t="s">
        <v>1702</v>
      </c>
      <c r="BU111" t="s">
        <v>1449</v>
      </c>
      <c r="BV111">
        <v>27.5</v>
      </c>
      <c r="BW111">
        <v>27.34</v>
      </c>
      <c r="BX111">
        <v>29</v>
      </c>
      <c r="BY111">
        <v>9.8800000000000008</v>
      </c>
      <c r="BZ111">
        <v>12.69</v>
      </c>
      <c r="CA111">
        <v>14.46</v>
      </c>
      <c r="CB111">
        <v>-7.61</v>
      </c>
      <c r="CC111">
        <v>-20.63</v>
      </c>
      <c r="CD111" t="s">
        <v>5089</v>
      </c>
      <c r="CE111" t="s">
        <v>5090</v>
      </c>
      <c r="CF111" s="8">
        <v>1.8648351935593486</v>
      </c>
      <c r="CG111" s="9">
        <v>1.6000141303967021</v>
      </c>
      <c r="CH111" s="8">
        <v>-0.4632936418056488</v>
      </c>
      <c r="CI111" s="8">
        <v>0.21592280268669128</v>
      </c>
      <c r="CJ111" s="8">
        <v>0.35457515716552734</v>
      </c>
      <c r="CK111" s="8">
        <v>0.46062052249908447</v>
      </c>
      <c r="CL111" s="8">
        <v>0.10846561193466187</v>
      </c>
      <c r="CM111" s="9">
        <v>-0.91165471076965332</v>
      </c>
      <c r="CN111" s="9">
        <v>6.6666670143604279E-2</v>
      </c>
      <c r="CO111" s="9">
        <v>-3.9999999105930328E-2</v>
      </c>
      <c r="CP111" s="9">
        <v>0.68810111284255981</v>
      </c>
      <c r="CQ111" s="9">
        <v>-4.7064069658517838E-2</v>
      </c>
      <c r="CR111">
        <v>48.973098755420793</v>
      </c>
      <c r="CS111">
        <v>3.6207149292002003</v>
      </c>
      <c r="CT111">
        <v>1.9252984212552946</v>
      </c>
      <c r="CU111" s="8">
        <v>0.13525809049606324</v>
      </c>
      <c r="CV111" s="9">
        <v>-4.879019930958748E-2</v>
      </c>
      <c r="CW111">
        <v>0.06</v>
      </c>
      <c r="CX111">
        <v>248.568262837437</v>
      </c>
      <c r="CY111">
        <v>12111061.829195831</v>
      </c>
      <c r="CZ111">
        <v>0.13525809049606324</v>
      </c>
      <c r="DA111">
        <v>78.191233778245405</v>
      </c>
      <c r="DB111">
        <v>38500806.989920773</v>
      </c>
      <c r="DC111">
        <v>0.12849518597126008</v>
      </c>
      <c r="DD111">
        <v>36.547134140255437</v>
      </c>
      <c r="DE111">
        <v>82371044.154844344</v>
      </c>
      <c r="DF111">
        <v>0.11902711963653566</v>
      </c>
      <c r="DG111">
        <v>20.675946463760713</v>
      </c>
      <c r="DH111">
        <v>145600377.00215822</v>
      </c>
      <c r="DI111">
        <v>0.10820647239685061</v>
      </c>
      <c r="DJ111">
        <v>9.3312606534779317</v>
      </c>
      <c r="DK111">
        <v>322617244.52825773</v>
      </c>
      <c r="DL111">
        <v>9.4680663347244259E-2</v>
      </c>
      <c r="DM111">
        <v>11308200</v>
      </c>
      <c r="DN111">
        <v>0.13525809049606324</v>
      </c>
      <c r="DO111">
        <v>3010425600</v>
      </c>
      <c r="DP111">
        <v>1028086680</v>
      </c>
      <c r="DQ111">
        <v>2440</v>
      </c>
      <c r="DR111">
        <v>1.7295771030632854</v>
      </c>
      <c r="DS111">
        <v>1.6488043297062895</v>
      </c>
      <c r="DT111" s="10">
        <v>-0.20666666666666669</v>
      </c>
      <c r="DU111">
        <v>-0.10000000000000002</v>
      </c>
      <c r="DV111">
        <v>-0.3066666666666667</v>
      </c>
      <c r="DW111">
        <v>-9.3688802714493455</v>
      </c>
      <c r="DX111">
        <v>0.34161175775232722</v>
      </c>
      <c r="DY111">
        <v>-9.0301049673531359</v>
      </c>
      <c r="DZ111">
        <v>2414</v>
      </c>
      <c r="EA111">
        <v>-9.0158831686857255</v>
      </c>
      <c r="EB111">
        <v>9</v>
      </c>
      <c r="EC111">
        <v>3.1225071225071226E-2</v>
      </c>
      <c r="ED111">
        <v>0.38260505698005698</v>
      </c>
      <c r="EE111" s="11">
        <v>9.0655999999999999</v>
      </c>
      <c r="EF111">
        <v>9.0419</v>
      </c>
      <c r="EG111">
        <v>26.081611757752327</v>
      </c>
      <c r="EH111" t="s">
        <v>5091</v>
      </c>
      <c r="EI111">
        <v>0</v>
      </c>
      <c r="EJ111">
        <v>0</v>
      </c>
      <c r="EK111" s="13">
        <v>45470</v>
      </c>
      <c r="EL111" s="14">
        <v>3.65</v>
      </c>
      <c r="EM111" s="14">
        <v>-5.09</v>
      </c>
      <c r="EN111" s="14">
        <v>-2.76</v>
      </c>
      <c r="EO111" s="14">
        <v>2.68</v>
      </c>
      <c r="EP111" s="14">
        <v>-2.37</v>
      </c>
    </row>
    <row r="112" spans="1:146" ht="108">
      <c r="A112" s="7"/>
      <c r="B112" s="7"/>
      <c r="C112" s="7" t="str">
        <f>""&amp;CHAR(10)&amp;Basic_Fundamental_Information_Constructure(F112)&amp;CHAR(10)&amp;Basic_Fundamental_Information_Concatenate("")</f>
        <v xml:space="preserve">
市值13.3203848亿, 利润1.65亿; PE24.94; 平均PE17.21; 平均PEG.94, PB1.76; ROIC6.8833%; ROE7.95%; 股利率.5112%; 毛利21.39%; 净利9.8067%; 上一年度营收增19.68%, 利润增169.63%; 当季营收增32.31%, 利润增-62.46%; 过往5年营收增18.38%, 利润增47.74%
Income profile:
</v>
      </c>
      <c r="D112" t="s">
        <v>917</v>
      </c>
      <c r="E112" t="s">
        <v>918</v>
      </c>
      <c r="F112">
        <v>14.67</v>
      </c>
      <c r="G112">
        <v>1.17</v>
      </c>
      <c r="H112" t="s">
        <v>5092</v>
      </c>
      <c r="I112">
        <v>1332038480</v>
      </c>
      <c r="J112">
        <v>24.94</v>
      </c>
      <c r="K112">
        <v>1.76</v>
      </c>
      <c r="L112" t="s">
        <v>85</v>
      </c>
      <c r="M112" t="s">
        <v>132</v>
      </c>
      <c r="N112" t="s">
        <v>5093</v>
      </c>
      <c r="O112" t="s">
        <v>236</v>
      </c>
      <c r="P112">
        <v>24.58</v>
      </c>
      <c r="Q112" t="s">
        <v>4966</v>
      </c>
      <c r="R112">
        <v>10141634</v>
      </c>
      <c r="S112" s="5">
        <v>-8.3000000000000001E-3</v>
      </c>
      <c r="T112" t="s">
        <v>1541</v>
      </c>
      <c r="U112">
        <v>72467669</v>
      </c>
      <c r="V112">
        <v>90800169</v>
      </c>
      <c r="W112">
        <v>1.99</v>
      </c>
      <c r="X112">
        <v>0.11</v>
      </c>
      <c r="Y112">
        <v>5.91</v>
      </c>
      <c r="Z112" t="s">
        <v>810</v>
      </c>
      <c r="AA112" t="s">
        <v>579</v>
      </c>
      <c r="AB112" t="s">
        <v>5094</v>
      </c>
      <c r="AC112" t="s">
        <v>5095</v>
      </c>
      <c r="AD112" t="s">
        <v>90</v>
      </c>
      <c r="AE112">
        <v>5942383</v>
      </c>
      <c r="AF112" t="s">
        <v>2831</v>
      </c>
      <c r="AG112" t="s">
        <v>5096</v>
      </c>
      <c r="AH112" t="s">
        <v>2832</v>
      </c>
      <c r="AI112" t="s">
        <v>364</v>
      </c>
      <c r="AJ112" t="s">
        <v>2833</v>
      </c>
      <c r="AK112" t="s">
        <v>90</v>
      </c>
      <c r="AL112" t="s">
        <v>2834</v>
      </c>
      <c r="AM112" t="s">
        <v>90</v>
      </c>
      <c r="AN112" t="s">
        <v>189</v>
      </c>
      <c r="AO112" t="s">
        <v>136</v>
      </c>
      <c r="AP112" t="s">
        <v>204</v>
      </c>
      <c r="AQ112" t="s">
        <v>191</v>
      </c>
      <c r="AR112" t="s">
        <v>5097</v>
      </c>
      <c r="AS112" t="s">
        <v>289</v>
      </c>
      <c r="AT112" t="s">
        <v>90</v>
      </c>
      <c r="AU112" t="s">
        <v>5098</v>
      </c>
      <c r="AV112" t="s">
        <v>5099</v>
      </c>
      <c r="AW112" t="s">
        <v>2424</v>
      </c>
      <c r="AX112" t="s">
        <v>445</v>
      </c>
      <c r="AY112" t="s">
        <v>1309</v>
      </c>
      <c r="AZ112" t="s">
        <v>689</v>
      </c>
      <c r="BA112" t="s">
        <v>596</v>
      </c>
      <c r="BB112" t="s">
        <v>144</v>
      </c>
      <c r="BC112" t="s">
        <v>1889</v>
      </c>
      <c r="BD112" t="s">
        <v>1310</v>
      </c>
      <c r="BE112" t="s">
        <v>1048</v>
      </c>
      <c r="BF112" t="s">
        <v>919</v>
      </c>
      <c r="BG112" t="s">
        <v>920</v>
      </c>
      <c r="BH112" t="s">
        <v>851</v>
      </c>
      <c r="BI112" t="s">
        <v>480</v>
      </c>
      <c r="BJ112" t="s">
        <v>445</v>
      </c>
      <c r="BK112" t="s">
        <v>2830</v>
      </c>
      <c r="BL112" t="s">
        <v>5100</v>
      </c>
      <c r="BM112" t="s">
        <v>1889</v>
      </c>
      <c r="BN112">
        <v>3.55</v>
      </c>
      <c r="BO112">
        <v>6.77</v>
      </c>
      <c r="BP112">
        <v>10.33</v>
      </c>
      <c r="BQ112">
        <v>4.74</v>
      </c>
      <c r="BR112">
        <v>8.5299999999999994</v>
      </c>
      <c r="BS112">
        <v>10.58</v>
      </c>
      <c r="BT112" t="s">
        <v>2835</v>
      </c>
      <c r="BU112" t="s">
        <v>1381</v>
      </c>
      <c r="BV112">
        <v>23.12</v>
      </c>
      <c r="BW112">
        <v>20.57</v>
      </c>
      <c r="BX112">
        <v>20.48</v>
      </c>
      <c r="BY112">
        <v>7.48</v>
      </c>
      <c r="BZ112">
        <v>11.05</v>
      </c>
      <c r="CA112">
        <v>10.89</v>
      </c>
      <c r="CB112">
        <v>-7.03</v>
      </c>
      <c r="CC112">
        <v>-11.39</v>
      </c>
      <c r="CD112" t="s">
        <v>5101</v>
      </c>
      <c r="CE112" t="s">
        <v>5102</v>
      </c>
      <c r="CF112" s="8">
        <v>0.32307692307692309</v>
      </c>
      <c r="CG112" s="9">
        <v>-0.62464945168417896</v>
      </c>
      <c r="CH112" s="8">
        <v>0.19675090909004211</v>
      </c>
      <c r="CI112" s="8">
        <v>-1.247771829366684E-2</v>
      </c>
      <c r="CJ112" s="8">
        <v>0.32311320304870605</v>
      </c>
      <c r="CK112" s="8">
        <v>9.8445594310760498E-2</v>
      </c>
      <c r="CL112" s="8">
        <v>0.31292515993118286</v>
      </c>
      <c r="CM112" s="9">
        <v>1.6962987184524536</v>
      </c>
      <c r="CN112" s="9">
        <v>1.212351256981492E-3</v>
      </c>
      <c r="CO112" s="9">
        <v>-0.12462834268808365</v>
      </c>
      <c r="CP112" s="9">
        <v>1.3590451329946518E-2</v>
      </c>
      <c r="CQ112" s="9">
        <v>0.80068850517272949</v>
      </c>
      <c r="CR112">
        <v>17.214210531983863</v>
      </c>
      <c r="CS112">
        <v>0.93682049537389467</v>
      </c>
      <c r="CT112">
        <v>0.5112474437627812</v>
      </c>
      <c r="CU112" s="8">
        <v>0.18375142961740493</v>
      </c>
      <c r="CV112" s="9">
        <v>0.4774323367048055</v>
      </c>
      <c r="CW112">
        <v>0.06</v>
      </c>
      <c r="CX112">
        <v>7.0227724282496196</v>
      </c>
      <c r="CY112">
        <v>184263194.23289794</v>
      </c>
      <c r="CZ112">
        <v>0.18375142961740493</v>
      </c>
      <c r="DA112">
        <v>2.1216661919673747</v>
      </c>
      <c r="DB112">
        <v>609916152.1728667</v>
      </c>
      <c r="DC112">
        <v>0.17456385813653466</v>
      </c>
      <c r="DD112">
        <v>0.9370214884803959</v>
      </c>
      <c r="DE112">
        <v>1381012597.7992163</v>
      </c>
      <c r="DF112">
        <v>0.16170125806331634</v>
      </c>
      <c r="DG112">
        <v>0.49539885551719914</v>
      </c>
      <c r="DH112">
        <v>2612114391.4412494</v>
      </c>
      <c r="DI112">
        <v>0.14700114369392395</v>
      </c>
      <c r="DJ112">
        <v>0.19024811579851839</v>
      </c>
      <c r="DK112">
        <v>6801846496.9737043</v>
      </c>
      <c r="DL112">
        <v>0.12862600073218344</v>
      </c>
      <c r="DM112">
        <v>165000000</v>
      </c>
      <c r="DN112">
        <v>0.18375142961740493</v>
      </c>
      <c r="DO112">
        <v>1294038480</v>
      </c>
      <c r="DP112">
        <v>478079790</v>
      </c>
      <c r="DQ112">
        <v>2442</v>
      </c>
      <c r="DR112">
        <v>0.13932549345951817</v>
      </c>
      <c r="DS112">
        <v>-1.1020817883889844</v>
      </c>
      <c r="DT112" s="10">
        <v>-4.0000000000000036E-2</v>
      </c>
      <c r="DU112">
        <v>9.3333333333333338E-2</v>
      </c>
      <c r="DV112">
        <v>5.3333333333333302E-2</v>
      </c>
      <c r="DW112">
        <v>-9.6172080772607558</v>
      </c>
      <c r="DX112">
        <v>0.28523566068105299</v>
      </c>
      <c r="DY112">
        <v>-9.0772964613334342</v>
      </c>
      <c r="DZ112">
        <v>2212</v>
      </c>
      <c r="EA112">
        <v>-9.0438366232767695</v>
      </c>
      <c r="EB112">
        <v>9</v>
      </c>
      <c r="EC112">
        <v>6.8037318300585986E-2</v>
      </c>
      <c r="ED112">
        <v>0.54327431923612379</v>
      </c>
      <c r="EE112" s="11">
        <v>1.0804100000000001</v>
      </c>
      <c r="EF112">
        <v>1.10301</v>
      </c>
      <c r="EG112">
        <v>16.125235660681053</v>
      </c>
      <c r="EH112" t="s">
        <v>1733</v>
      </c>
      <c r="EI112">
        <v>0</v>
      </c>
      <c r="EJ112">
        <v>0</v>
      </c>
      <c r="EK112" s="13">
        <v>45470</v>
      </c>
      <c r="EL112" s="14">
        <v>0.13</v>
      </c>
      <c r="EM112" s="14">
        <v>-3.77</v>
      </c>
      <c r="EN112" s="14">
        <v>0.4</v>
      </c>
      <c r="EO112" s="14">
        <v>2.58</v>
      </c>
      <c r="EP112" s="14">
        <v>-2.2599999999999998</v>
      </c>
    </row>
    <row r="113" spans="1:146" ht="108">
      <c r="C113" s="7" t="str">
        <f>""&amp;CHAR(10)&amp;Basic_Fundamental_Information_Constructure(F113)&amp;CHAR(10)&amp;Basic_Fundamental_Information_Concatenate("")</f>
        <v xml:space="preserve">
市值15.780424亿, 利润5335.02万; PE20.07; 平均PE14.03; 平均PEG.42, PB1.28; ROIC11.3467%; ROE11.43%; 股利率2.6693%; 毛利55.17%; 净利31.3767%; 上一年度营收增80.73%, 利润增-51.05%; 当季营收增-62.79%, 利润增-4.04%; 过往5年营收增33.11%, 利润增3.72%
Income profile:
</v>
      </c>
      <c r="D113" t="s">
        <v>5103</v>
      </c>
      <c r="E113" t="s">
        <v>5104</v>
      </c>
      <c r="F113">
        <v>11.33</v>
      </c>
      <c r="G113">
        <v>2.63</v>
      </c>
      <c r="H113" t="s">
        <v>5105</v>
      </c>
      <c r="I113">
        <v>1578042400</v>
      </c>
      <c r="J113">
        <v>20.07</v>
      </c>
      <c r="K113">
        <v>1.28</v>
      </c>
      <c r="L113" t="s">
        <v>85</v>
      </c>
      <c r="M113" t="s">
        <v>535</v>
      </c>
      <c r="N113" t="s">
        <v>5106</v>
      </c>
      <c r="O113" t="s">
        <v>5107</v>
      </c>
      <c r="P113" s="5">
        <v>-49.62</v>
      </c>
      <c r="Q113" t="s">
        <v>1952</v>
      </c>
      <c r="R113">
        <v>7578862</v>
      </c>
      <c r="S113">
        <v>-0.81620000000000004</v>
      </c>
      <c r="T113" t="s">
        <v>5108</v>
      </c>
      <c r="U113">
        <v>83159169</v>
      </c>
      <c r="V113">
        <v>139280000</v>
      </c>
      <c r="W113">
        <v>1.1100000000000001</v>
      </c>
      <c r="X113">
        <v>0.04</v>
      </c>
      <c r="Y113">
        <v>15.09</v>
      </c>
      <c r="Z113" t="s">
        <v>5109</v>
      </c>
      <c r="AA113" t="s">
        <v>5110</v>
      </c>
      <c r="AB113" t="s">
        <v>5111</v>
      </c>
      <c r="AC113" t="s">
        <v>5112</v>
      </c>
      <c r="AD113" t="s">
        <v>90</v>
      </c>
      <c r="AE113">
        <v>-766580</v>
      </c>
      <c r="AF113" t="s">
        <v>5113</v>
      </c>
      <c r="AG113">
        <v>1.97</v>
      </c>
      <c r="AH113" t="s">
        <v>5114</v>
      </c>
      <c r="AI113" t="s">
        <v>2408</v>
      </c>
      <c r="AJ113" t="s">
        <v>5115</v>
      </c>
      <c r="AK113" t="s">
        <v>5116</v>
      </c>
      <c r="AL113" t="s">
        <v>5117</v>
      </c>
      <c r="AM113" t="s">
        <v>90</v>
      </c>
      <c r="AN113" t="s">
        <v>5118</v>
      </c>
      <c r="AO113" t="s">
        <v>90</v>
      </c>
      <c r="AP113" t="s">
        <v>5119</v>
      </c>
      <c r="AQ113" t="s">
        <v>5120</v>
      </c>
      <c r="AR113" t="s">
        <v>5121</v>
      </c>
      <c r="AS113" t="s">
        <v>296</v>
      </c>
      <c r="AT113" t="s">
        <v>90</v>
      </c>
      <c r="AU113" t="s">
        <v>5122</v>
      </c>
      <c r="AV113" t="s">
        <v>1796</v>
      </c>
      <c r="AW113" t="s">
        <v>90</v>
      </c>
      <c r="AX113" t="s">
        <v>1424</v>
      </c>
      <c r="AY113" t="s">
        <v>1163</v>
      </c>
      <c r="AZ113" t="s">
        <v>675</v>
      </c>
      <c r="BA113" t="s">
        <v>301</v>
      </c>
      <c r="BB113" t="s">
        <v>232</v>
      </c>
      <c r="BC113" t="s">
        <v>342</v>
      </c>
      <c r="BD113" t="s">
        <v>219</v>
      </c>
      <c r="BE113" t="s">
        <v>308</v>
      </c>
      <c r="BF113" t="s">
        <v>191</v>
      </c>
      <c r="BG113" t="s">
        <v>5123</v>
      </c>
      <c r="BH113" t="s">
        <v>628</v>
      </c>
      <c r="BI113" t="s">
        <v>334</v>
      </c>
      <c r="BJ113" t="s">
        <v>1424</v>
      </c>
      <c r="BK113" t="s">
        <v>371</v>
      </c>
      <c r="BL113" t="s">
        <v>5124</v>
      </c>
      <c r="BM113" t="s">
        <v>342</v>
      </c>
      <c r="BN113">
        <v>7.39</v>
      </c>
      <c r="BO113">
        <v>9.6</v>
      </c>
      <c r="BP113">
        <v>17.05</v>
      </c>
      <c r="BQ113">
        <v>7.51</v>
      </c>
      <c r="BR113">
        <v>9.76</v>
      </c>
      <c r="BS113">
        <v>17.02</v>
      </c>
      <c r="BT113" t="s">
        <v>5125</v>
      </c>
      <c r="BU113" t="s">
        <v>3551</v>
      </c>
      <c r="BV113">
        <v>53.67</v>
      </c>
      <c r="BW113">
        <v>54.44</v>
      </c>
      <c r="BX113">
        <v>57.4</v>
      </c>
      <c r="BY113">
        <v>29.39</v>
      </c>
      <c r="BZ113">
        <v>30.45</v>
      </c>
      <c r="CA113">
        <v>34.29</v>
      </c>
      <c r="CB113">
        <v>-3.08</v>
      </c>
      <c r="CC113" s="8">
        <v>-10.36</v>
      </c>
      <c r="CD113" s="9" t="s">
        <v>5126</v>
      </c>
      <c r="CE113" s="8" t="s">
        <v>5127</v>
      </c>
      <c r="CF113" s="8">
        <v>-0.62785777777777774</v>
      </c>
      <c r="CG113" s="8">
        <v>-4.0419594586039567E-2</v>
      </c>
      <c r="CH113" s="8">
        <v>0.8072625994682312</v>
      </c>
      <c r="CI113" s="8">
        <v>-0.12469437718391418</v>
      </c>
      <c r="CJ113" s="9">
        <v>-2.619047649204731E-2</v>
      </c>
      <c r="CK113" s="9">
        <v>0.33757960796356201</v>
      </c>
      <c r="CL113" s="9">
        <v>0.66137564182281494</v>
      </c>
      <c r="CM113" s="9">
        <v>-0.51054865121841431</v>
      </c>
      <c r="CN113" s="9">
        <v>-0.22142857313156128</v>
      </c>
      <c r="CO113">
        <v>-0.19540229439735413</v>
      </c>
      <c r="CP113">
        <v>0.380952388048172</v>
      </c>
      <c r="CQ113">
        <v>0.73223268985748291</v>
      </c>
      <c r="CR113" s="8">
        <v>14.025200540314184</v>
      </c>
      <c r="CS113" s="9">
        <v>0.42363683252176892</v>
      </c>
      <c r="CT113">
        <v>2.6693292144748457</v>
      </c>
      <c r="CU113">
        <v>0.33106659911572933</v>
      </c>
      <c r="CV113">
        <v>3.7161111831665039E-2</v>
      </c>
      <c r="CW113">
        <v>0.06</v>
      </c>
      <c r="CX113">
        <v>7.5984320755742703</v>
      </c>
      <c r="CY113">
        <v>66993084.222777352</v>
      </c>
      <c r="CZ113">
        <v>0.33106659911572933</v>
      </c>
      <c r="DA113">
        <v>2.036573442751703</v>
      </c>
      <c r="DB113">
        <v>249950426.19833568</v>
      </c>
      <c r="DC113">
        <v>0.31451326915994288</v>
      </c>
      <c r="DD113">
        <v>0.75336387321408704</v>
      </c>
      <c r="DE113">
        <v>675692607.64823401</v>
      </c>
      <c r="DF113">
        <v>0.29133860722184179</v>
      </c>
      <c r="DG113">
        <v>0.31845890687008893</v>
      </c>
      <c r="DH113">
        <v>1598455527.6001656</v>
      </c>
      <c r="DI113">
        <v>0.26485327929258345</v>
      </c>
      <c r="DJ113">
        <v>6.9467054167075631E-2</v>
      </c>
      <c r="DK113">
        <v>7327824766.7692814</v>
      </c>
      <c r="DL113">
        <v>0.23174661938101052</v>
      </c>
      <c r="DM113">
        <v>53350200.000000007</v>
      </c>
      <c r="DN113">
        <v>0.33106659911572933</v>
      </c>
      <c r="DO113">
        <v>509042400</v>
      </c>
      <c r="DP113">
        <v>991223620</v>
      </c>
      <c r="DQ113" s="10">
        <v>2456</v>
      </c>
      <c r="DR113">
        <v>-0.95892437689350707</v>
      </c>
      <c r="DS113">
        <v>-7.7580706417704606E-2</v>
      </c>
      <c r="DT113">
        <v>0.20999999999999996</v>
      </c>
      <c r="DU113">
        <v>-0.13333333333333336</v>
      </c>
      <c r="DV113">
        <v>7.6666666666666605E-2</v>
      </c>
      <c r="DW113">
        <v>-8.2972972972972965</v>
      </c>
      <c r="DX113">
        <v>0.375571781922724</v>
      </c>
      <c r="DY113">
        <v>-8.0462510703013503</v>
      </c>
      <c r="DZ113">
        <v>2940</v>
      </c>
      <c r="EA113">
        <v>-8.0196408654704356</v>
      </c>
      <c r="EB113" s="11">
        <v>8</v>
      </c>
      <c r="EC113" s="11">
        <v>2.9217403790924756E-2</v>
      </c>
      <c r="ED113">
        <v>0.18780657668006892</v>
      </c>
      <c r="EE113">
        <v>3.0705999999999998</v>
      </c>
      <c r="EF113">
        <v>3.0579000000000001</v>
      </c>
      <c r="EG113">
        <v>22.155571781922724</v>
      </c>
      <c r="EH113" s="13" t="s">
        <v>1816</v>
      </c>
      <c r="EI113">
        <v>0</v>
      </c>
      <c r="EJ113">
        <v>0</v>
      </c>
      <c r="EK113">
        <v>45470</v>
      </c>
      <c r="EL113">
        <v>-1.01</v>
      </c>
      <c r="EM113">
        <v>-2.4500000000000002</v>
      </c>
      <c r="EN113" s="14">
        <v>10.82</v>
      </c>
      <c r="EO113" s="14">
        <v>6.76</v>
      </c>
      <c r="EP113" s="14">
        <v>-1.27</v>
      </c>
    </row>
    <row r="114" spans="1:146" ht="108">
      <c r="A114" s="7"/>
      <c r="B114" s="7"/>
      <c r="C114" s="7" t="str">
        <f>""&amp;CHAR(10)&amp;Basic_Fundamental_Information_Constructure(F114)&amp;CHAR(10)&amp;Basic_Fundamental_Information_Concatenate("")</f>
        <v xml:space="preserve">
市值47.144514亿, 利润1.02亿; PE41.37; 平均PE38.38; 平均PEG46.68, PB1.88; ROIC7.5733%; ROE10.8333%; 股利率.9029%; 毛利27.7067%; 净利6.5667%; 上一年度营收增-79.69%, 利润增-38.55%; 当季营收增400.66%, 利润增157.74%; 过往5年营收增-.82%, 利润增2.77%
Income profile:
</v>
      </c>
      <c r="D114" t="s">
        <v>1049</v>
      </c>
      <c r="E114" t="s">
        <v>1050</v>
      </c>
      <c r="F114">
        <v>17.72</v>
      </c>
      <c r="G114">
        <v>2.31</v>
      </c>
      <c r="H114" t="s">
        <v>5128</v>
      </c>
      <c r="I114">
        <v>4714451400</v>
      </c>
      <c r="J114">
        <v>41.37</v>
      </c>
      <c r="K114">
        <v>1.88</v>
      </c>
      <c r="L114" t="s">
        <v>85</v>
      </c>
      <c r="M114" t="s">
        <v>2836</v>
      </c>
      <c r="N114" t="s">
        <v>5129</v>
      </c>
      <c r="O114" t="s">
        <v>1457</v>
      </c>
      <c r="P114">
        <v>6.78</v>
      </c>
      <c r="Q114" t="s">
        <v>115</v>
      </c>
      <c r="R114">
        <v>50434076</v>
      </c>
      <c r="S114" s="5">
        <v>0.21920000000000001</v>
      </c>
      <c r="T114" t="s">
        <v>249</v>
      </c>
      <c r="U114">
        <v>113291064</v>
      </c>
      <c r="V114">
        <v>266052560</v>
      </c>
      <c r="W114">
        <v>1.89</v>
      </c>
      <c r="X114">
        <v>0.1</v>
      </c>
      <c r="Y114">
        <v>9.7799999999999994</v>
      </c>
      <c r="Z114" t="s">
        <v>1789</v>
      </c>
      <c r="AA114" t="s">
        <v>1549</v>
      </c>
      <c r="AB114" t="s">
        <v>5130</v>
      </c>
      <c r="AC114" t="s">
        <v>5131</v>
      </c>
      <c r="AD114" t="s">
        <v>90</v>
      </c>
      <c r="AE114">
        <v>4081682</v>
      </c>
      <c r="AF114" t="s">
        <v>2839</v>
      </c>
      <c r="AG114" t="s">
        <v>5132</v>
      </c>
      <c r="AH114" t="s">
        <v>2840</v>
      </c>
      <c r="AI114" t="s">
        <v>145</v>
      </c>
      <c r="AJ114" t="s">
        <v>2841</v>
      </c>
      <c r="AK114" t="s">
        <v>5133</v>
      </c>
      <c r="AL114" t="s">
        <v>2842</v>
      </c>
      <c r="AM114" t="s">
        <v>90</v>
      </c>
      <c r="AN114" t="s">
        <v>288</v>
      </c>
      <c r="AO114" t="s">
        <v>236</v>
      </c>
      <c r="AP114" t="s">
        <v>107</v>
      </c>
      <c r="AQ114" t="s">
        <v>1407</v>
      </c>
      <c r="AR114" t="s">
        <v>90</v>
      </c>
      <c r="AS114" t="s">
        <v>5134</v>
      </c>
      <c r="AT114" t="s">
        <v>591</v>
      </c>
      <c r="AU114" t="s">
        <v>5135</v>
      </c>
      <c r="AV114" t="s">
        <v>5136</v>
      </c>
      <c r="AW114" t="s">
        <v>5137</v>
      </c>
      <c r="AX114" t="s">
        <v>847</v>
      </c>
      <c r="AY114" t="s">
        <v>1311</v>
      </c>
      <c r="AZ114" t="s">
        <v>1051</v>
      </c>
      <c r="BA114" t="s">
        <v>337</v>
      </c>
      <c r="BB114" t="s">
        <v>1053</v>
      </c>
      <c r="BC114" t="s">
        <v>479</v>
      </c>
      <c r="BD114" t="s">
        <v>219</v>
      </c>
      <c r="BE114" t="s">
        <v>579</v>
      </c>
      <c r="BF114" t="s">
        <v>210</v>
      </c>
      <c r="BG114" t="s">
        <v>418</v>
      </c>
      <c r="BH114" t="s">
        <v>2837</v>
      </c>
      <c r="BI114" t="s">
        <v>5138</v>
      </c>
      <c r="BJ114" t="s">
        <v>847</v>
      </c>
      <c r="BK114" t="s">
        <v>521</v>
      </c>
      <c r="BL114" t="s">
        <v>5139</v>
      </c>
      <c r="BM114" t="s">
        <v>479</v>
      </c>
      <c r="BN114">
        <v>5.76</v>
      </c>
      <c r="BO114">
        <v>8.43</v>
      </c>
      <c r="BP114">
        <v>8.5299999999999994</v>
      </c>
      <c r="BQ114">
        <v>6.8</v>
      </c>
      <c r="BR114">
        <v>10.99</v>
      </c>
      <c r="BS114">
        <v>14.71</v>
      </c>
      <c r="BT114" t="s">
        <v>1869</v>
      </c>
      <c r="BU114" t="s">
        <v>1449</v>
      </c>
      <c r="BV114">
        <v>27.64</v>
      </c>
      <c r="BW114">
        <v>27.77</v>
      </c>
      <c r="BX114">
        <v>27.71</v>
      </c>
      <c r="BY114">
        <v>4.1500000000000004</v>
      </c>
      <c r="BZ114">
        <v>7.62</v>
      </c>
      <c r="CA114">
        <v>7.93</v>
      </c>
      <c r="CB114">
        <v>-8.85</v>
      </c>
      <c r="CC114">
        <v>-17.47</v>
      </c>
      <c r="CD114" t="s">
        <v>5140</v>
      </c>
      <c r="CE114" t="s">
        <v>5141</v>
      </c>
      <c r="CF114" s="8">
        <v>4.0066028375479004</v>
      </c>
      <c r="CG114" s="9">
        <v>1.5774277887937203</v>
      </c>
      <c r="CH114" s="8">
        <v>-0.79693830013275146</v>
      </c>
      <c r="CI114" s="8">
        <v>0.23526136577129364</v>
      </c>
      <c r="CJ114" s="8">
        <v>0.2256304919719696</v>
      </c>
      <c r="CK114" s="8">
        <v>8.0265142023563385E-2</v>
      </c>
      <c r="CL114" s="8">
        <v>0.21466904878616333</v>
      </c>
      <c r="CM114" s="9">
        <v>-0.38554215431213379</v>
      </c>
      <c r="CN114" s="9">
        <v>0.18571428954601288</v>
      </c>
      <c r="CO114" s="9">
        <v>0.11999999731779099</v>
      </c>
      <c r="CP114" s="9">
        <v>0.23762376606464386</v>
      </c>
      <c r="CQ114" s="9">
        <v>-1.9417475908994675E-2</v>
      </c>
      <c r="CR114">
        <v>38.380879782903662</v>
      </c>
      <c r="CS114">
        <v>46.6781534799198</v>
      </c>
      <c r="CT114">
        <v>0.90293453724604977</v>
      </c>
      <c r="CU114" s="8">
        <v>-8.2224503159523017E-3</v>
      </c>
      <c r="CV114" s="9">
        <v>2.7675684541463852E-2</v>
      </c>
      <c r="CW114">
        <v>0.06</v>
      </c>
      <c r="CX114">
        <v>44.033837254901961</v>
      </c>
      <c r="CY114" t="s">
        <v>5142</v>
      </c>
      <c r="CZ114">
        <v>-8.2224503159523017E-3</v>
      </c>
      <c r="DA114">
        <v>14.677945751633986</v>
      </c>
      <c r="DB114" t="s">
        <v>5143</v>
      </c>
      <c r="DC114">
        <v>-7.8113278001546863E-3</v>
      </c>
      <c r="DD114">
        <v>7.3389728758169932</v>
      </c>
      <c r="DE114" t="s">
        <v>5144</v>
      </c>
      <c r="DF114">
        <v>-7.2357562780380252E-3</v>
      </c>
      <c r="DG114">
        <v>4.4033837254901957</v>
      </c>
      <c r="DH114" t="s">
        <v>5145</v>
      </c>
      <c r="DI114">
        <v>-6.5779602527618417E-3</v>
      </c>
      <c r="DJ114">
        <v>2.2016918627450979</v>
      </c>
      <c r="DK114" t="s">
        <v>5146</v>
      </c>
      <c r="DL114">
        <v>-5.7557152211666109E-3</v>
      </c>
      <c r="DM114">
        <v>102000000</v>
      </c>
      <c r="DN114">
        <v>-8.2224503159523017E-3</v>
      </c>
      <c r="DO114">
        <v>4491451400</v>
      </c>
      <c r="DP114">
        <v>1791307900</v>
      </c>
      <c r="DQ114">
        <v>2467</v>
      </c>
      <c r="DR114">
        <v>4.0148252878638528</v>
      </c>
      <c r="DS114">
        <v>1.5497521042522564</v>
      </c>
      <c r="DT114" s="10">
        <v>-0.39000000000000007</v>
      </c>
      <c r="DU114">
        <v>0.10000000000000002</v>
      </c>
      <c r="DV114">
        <v>-0.29000000000000004</v>
      </c>
      <c r="DW114">
        <v>-9.5065827132226666</v>
      </c>
      <c r="DX114">
        <v>0.33196667300474531</v>
      </c>
      <c r="DY114">
        <v>-9.0719178623979388</v>
      </c>
      <c r="DZ114">
        <v>1975</v>
      </c>
      <c r="EA114">
        <v>-9.0441218196903215</v>
      </c>
      <c r="EB114">
        <v>9</v>
      </c>
      <c r="EC114">
        <v>5.2938787734273261E-2</v>
      </c>
      <c r="ED114">
        <v>0.37289586689186527</v>
      </c>
      <c r="EE114" s="11">
        <v>-5.0148099999999998</v>
      </c>
      <c r="EF114">
        <v>-5.0376099999999999</v>
      </c>
      <c r="EG114">
        <v>19.141966673004745</v>
      </c>
      <c r="EH114" t="s">
        <v>2138</v>
      </c>
      <c r="EI114">
        <v>0</v>
      </c>
      <c r="EJ114">
        <v>0</v>
      </c>
      <c r="EK114" s="13">
        <v>45470</v>
      </c>
      <c r="EL114" s="14">
        <v>-1.1599999999999999</v>
      </c>
      <c r="EM114" s="14">
        <v>-5.66</v>
      </c>
      <c r="EN114" s="14">
        <v>1.24</v>
      </c>
      <c r="EO114" s="14">
        <v>3.27</v>
      </c>
      <c r="EP114" s="14">
        <v>-2.2799999999999998</v>
      </c>
    </row>
    <row r="115" spans="1:146" ht="108">
      <c r="A115" s="7"/>
      <c r="B115" s="7"/>
      <c r="C115" s="7" t="str">
        <f>""&amp;CHAR(10)&amp;Basic_Fundamental_Information_Constructure(F115)&amp;CHAR(10)&amp;Basic_Fundamental_Information_Concatenate("")</f>
        <v xml:space="preserve">
市值31.411805亿, 利润5.46亿; PE17.88; 平均PE15.55; 平均PEG.26, PB2.31; ROIC15.36%; ROE15.8533%; 股利率1.2063%; 毛利31.8733%; 净利19.1167%; 上一年度营收增262.39%, 利润增241.25%; 当季营收增-59.94%, 利润增-68.24%; 过往5年营收增59.92%, 利润增62.94%
Income profile:
</v>
      </c>
      <c r="D115" t="s">
        <v>1120</v>
      </c>
      <c r="E115" t="s">
        <v>1121</v>
      </c>
      <c r="F115">
        <v>8.2899999999999991</v>
      </c>
      <c r="G115">
        <v>1.34</v>
      </c>
      <c r="H115" t="s">
        <v>5147</v>
      </c>
      <c r="I115">
        <v>3141180500</v>
      </c>
      <c r="J115">
        <v>17.88</v>
      </c>
      <c r="K115">
        <v>2.31</v>
      </c>
      <c r="L115" t="s">
        <v>85</v>
      </c>
      <c r="M115" t="s">
        <v>359</v>
      </c>
      <c r="N115" t="s">
        <v>2122</v>
      </c>
      <c r="O115" t="s">
        <v>220</v>
      </c>
      <c r="P115">
        <v>24.26</v>
      </c>
      <c r="Q115" t="s">
        <v>5148</v>
      </c>
      <c r="R115">
        <v>51134403</v>
      </c>
      <c r="S115" s="5">
        <v>0.32929999999999998</v>
      </c>
      <c r="T115" t="s">
        <v>1470</v>
      </c>
      <c r="U115">
        <v>108093200</v>
      </c>
      <c r="V115">
        <v>378912000</v>
      </c>
      <c r="W115">
        <v>1.45</v>
      </c>
      <c r="X115">
        <v>0.15</v>
      </c>
      <c r="Y115">
        <v>18.11</v>
      </c>
      <c r="Z115" t="s">
        <v>198</v>
      </c>
      <c r="AA115" t="s">
        <v>1394</v>
      </c>
      <c r="AB115" t="s">
        <v>5149</v>
      </c>
      <c r="AC115" t="s">
        <v>5150</v>
      </c>
      <c r="AD115" t="s">
        <v>90</v>
      </c>
      <c r="AE115">
        <v>-1203668</v>
      </c>
      <c r="AF115" t="s">
        <v>2845</v>
      </c>
      <c r="AG115" t="s">
        <v>5151</v>
      </c>
      <c r="AH115" t="s">
        <v>2846</v>
      </c>
      <c r="AI115" t="s">
        <v>810</v>
      </c>
      <c r="AJ115" t="s">
        <v>2847</v>
      </c>
      <c r="AK115" t="s">
        <v>5152</v>
      </c>
      <c r="AL115" t="s">
        <v>2848</v>
      </c>
      <c r="AM115" t="s">
        <v>90</v>
      </c>
      <c r="AN115" t="s">
        <v>671</v>
      </c>
      <c r="AO115" t="s">
        <v>90</v>
      </c>
      <c r="AP115" t="s">
        <v>5153</v>
      </c>
      <c r="AQ115" t="s">
        <v>479</v>
      </c>
      <c r="AR115" t="s">
        <v>1892</v>
      </c>
      <c r="AS115" t="s">
        <v>795</v>
      </c>
      <c r="AT115" t="s">
        <v>5154</v>
      </c>
      <c r="AU115" t="s">
        <v>5155</v>
      </c>
      <c r="AV115" t="s">
        <v>5156</v>
      </c>
      <c r="AW115" t="s">
        <v>5157</v>
      </c>
      <c r="AX115" t="s">
        <v>1891</v>
      </c>
      <c r="AY115" t="s">
        <v>759</v>
      </c>
      <c r="AZ115" t="s">
        <v>1086</v>
      </c>
      <c r="BA115" t="s">
        <v>1089</v>
      </c>
      <c r="BB115" t="s">
        <v>1119</v>
      </c>
      <c r="BC115" t="s">
        <v>373</v>
      </c>
      <c r="BD115" t="s">
        <v>706</v>
      </c>
      <c r="BE115" t="s">
        <v>165</v>
      </c>
      <c r="BF115" t="s">
        <v>1122</v>
      </c>
      <c r="BG115" t="s">
        <v>1123</v>
      </c>
      <c r="BH115" t="s">
        <v>2844</v>
      </c>
      <c r="BI115" t="s">
        <v>781</v>
      </c>
      <c r="BJ115" t="s">
        <v>1891</v>
      </c>
      <c r="BK115" t="s">
        <v>841</v>
      </c>
      <c r="BL115" t="s">
        <v>101</v>
      </c>
      <c r="BM115" t="s">
        <v>373</v>
      </c>
      <c r="BN115">
        <v>10.48</v>
      </c>
      <c r="BO115">
        <v>13.71</v>
      </c>
      <c r="BP115">
        <v>21.89</v>
      </c>
      <c r="BQ115">
        <v>10.75</v>
      </c>
      <c r="BR115">
        <v>14.09</v>
      </c>
      <c r="BS115">
        <v>22.72</v>
      </c>
      <c r="BT115" t="s">
        <v>1697</v>
      </c>
      <c r="BU115" t="s">
        <v>1381</v>
      </c>
      <c r="BV115">
        <v>30.19</v>
      </c>
      <c r="BW115">
        <v>32.1</v>
      </c>
      <c r="BX115">
        <v>33.33</v>
      </c>
      <c r="BY115">
        <v>17.010000000000002</v>
      </c>
      <c r="BZ115">
        <v>20.100000000000001</v>
      </c>
      <c r="CA115">
        <v>20.239999999999998</v>
      </c>
      <c r="CB115">
        <v>-5.47</v>
      </c>
      <c r="CC115">
        <v>-11.43</v>
      </c>
      <c r="CD115" t="s">
        <v>5158</v>
      </c>
      <c r="CE115" t="s">
        <v>5159</v>
      </c>
      <c r="CF115" s="8">
        <v>-0.59943181818181823</v>
      </c>
      <c r="CG115" s="9">
        <v>-0.68239501242236023</v>
      </c>
      <c r="CH115" s="8">
        <v>2.6238992214202881</v>
      </c>
      <c r="CI115" s="8">
        <v>-0.10974244028329849</v>
      </c>
      <c r="CJ115" s="8">
        <v>0.14781491458415985</v>
      </c>
      <c r="CK115" s="8">
        <v>0.28382837772369385</v>
      </c>
      <c r="CL115" s="8">
        <v>5.0259966403245926E-2</v>
      </c>
      <c r="CM115" s="9">
        <v>2.4124999046325684</v>
      </c>
      <c r="CN115" s="9">
        <v>-0.11602210253477097</v>
      </c>
      <c r="CO115" s="9">
        <v>0.24827586114406586</v>
      </c>
      <c r="CP115" s="9">
        <v>0.70108729600906372</v>
      </c>
      <c r="CQ115" s="9">
        <v>-9.873373806476593E-2</v>
      </c>
      <c r="CR115">
        <v>15.552744258787545</v>
      </c>
      <c r="CS115">
        <v>0.25955328084106294</v>
      </c>
      <c r="CT115">
        <v>1.2062726176115803</v>
      </c>
      <c r="CU115" s="8">
        <v>0.59921200796961782</v>
      </c>
      <c r="CV115" s="9">
        <v>0.62942144423723223</v>
      </c>
      <c r="CW115">
        <v>0.06</v>
      </c>
      <c r="CX115">
        <v>2.8712530544759374</v>
      </c>
      <c r="CY115">
        <v>823745053.16170883</v>
      </c>
      <c r="CZ115">
        <v>0.59921200796961782</v>
      </c>
      <c r="DA115">
        <v>0.62628801944139778</v>
      </c>
      <c r="DB115">
        <v>3776506058.8410501</v>
      </c>
      <c r="DC115">
        <v>0.5692514075711369</v>
      </c>
      <c r="DD115">
        <v>0.16676073119124302</v>
      </c>
      <c r="DE115">
        <v>14183078252.922657</v>
      </c>
      <c r="DF115">
        <v>0.52730656701326373</v>
      </c>
      <c r="DG115">
        <v>4.5421088992996302E-2</v>
      </c>
      <c r="DH115">
        <v>52072298406.687225</v>
      </c>
      <c r="DI115">
        <v>0.47936960637569426</v>
      </c>
      <c r="DJ115">
        <v>3.2002125616122129E-3</v>
      </c>
      <c r="DK115">
        <v>739069813165.30493</v>
      </c>
      <c r="DL115">
        <v>0.41944840557873247</v>
      </c>
      <c r="DM115">
        <v>546000000</v>
      </c>
      <c r="DN115">
        <v>0.59921200796961782</v>
      </c>
      <c r="DO115">
        <v>2365180500</v>
      </c>
      <c r="DP115">
        <v>380349420</v>
      </c>
      <c r="DQ115">
        <v>2477</v>
      </c>
      <c r="DR115">
        <v>-1.1986438261514361</v>
      </c>
      <c r="DS115">
        <v>-1.3118164566595925</v>
      </c>
      <c r="DT115" s="10">
        <v>-2.3333333333333355E-2</v>
      </c>
      <c r="DU115">
        <v>0.22666666666666666</v>
      </c>
      <c r="DV115">
        <v>0.20333333333333331</v>
      </c>
      <c r="DW115">
        <v>-8.4785651793525805</v>
      </c>
      <c r="DX115">
        <v>0.37485903702897616</v>
      </c>
      <c r="DY115">
        <v>-8.0597531874495623</v>
      </c>
      <c r="DZ115">
        <v>4256</v>
      </c>
      <c r="EA115">
        <v>-8.0099861491354059</v>
      </c>
      <c r="EB115">
        <v>8</v>
      </c>
      <c r="EC115">
        <v>2.8460697998479858E-2</v>
      </c>
      <c r="ED115">
        <v>0.2279426357571151</v>
      </c>
      <c r="EE115" s="11">
        <v>-2.0054099999999999</v>
      </c>
      <c r="EF115">
        <v>-2.0221999999999998</v>
      </c>
      <c r="EG115">
        <v>25.124859037028976</v>
      </c>
      <c r="EH115" t="s">
        <v>1793</v>
      </c>
      <c r="EI115">
        <v>0</v>
      </c>
      <c r="EJ115">
        <v>0</v>
      </c>
      <c r="EK115" s="13">
        <v>45470</v>
      </c>
      <c r="EL115" s="14">
        <v>19.98</v>
      </c>
      <c r="EM115" s="14">
        <v>8.1199999999999992</v>
      </c>
      <c r="EN115" s="14">
        <v>-14.54</v>
      </c>
      <c r="EO115" s="14">
        <v>0.67</v>
      </c>
      <c r="EP115" s="14">
        <v>2.76</v>
      </c>
    </row>
    <row r="116" spans="1:146" ht="108">
      <c r="A116" s="7"/>
      <c r="B116" s="7"/>
      <c r="C116" s="7" t="str">
        <f>""&amp;CHAR(10)&amp;Basic_Fundamental_Information_Constructure(F116)&amp;CHAR(10)&amp;Basic_Fundamental_Information_Concatenate("")</f>
        <v xml:space="preserve">
市值15.528991亿, 利润4087.74万; PE36.05; 平均PE25.65; 平均PEG1.95, PB1.4; ROIC4.315%; ROE3.8033%; 股利率.4658%; 毛利9.73%; 净利1.8567%; 上一年度营收增-88.97%, 利润增84.37%; 当季营收增1505.01%, 利润增63.71%; 过往5年营收增-13.15%, 利润增8.95%
Income profile:
</v>
      </c>
      <c r="D116" t="s">
        <v>1124</v>
      </c>
      <c r="E116" t="s">
        <v>1125</v>
      </c>
      <c r="F116">
        <v>6.44</v>
      </c>
      <c r="G116">
        <v>0.78</v>
      </c>
      <c r="H116" t="s">
        <v>5160</v>
      </c>
      <c r="I116">
        <v>1552899100</v>
      </c>
      <c r="J116">
        <v>36.049999999999997</v>
      </c>
      <c r="K116">
        <v>1.4</v>
      </c>
      <c r="L116" t="s">
        <v>85</v>
      </c>
      <c r="M116" t="s">
        <v>2849</v>
      </c>
      <c r="N116" t="s">
        <v>2038</v>
      </c>
      <c r="O116" t="s">
        <v>851</v>
      </c>
      <c r="P116">
        <v>-8.19</v>
      </c>
      <c r="Q116" t="s">
        <v>766</v>
      </c>
      <c r="R116">
        <v>12796116</v>
      </c>
      <c r="S116" s="5">
        <v>6.6379999999999999</v>
      </c>
      <c r="T116" t="s">
        <v>5161</v>
      </c>
      <c r="U116">
        <v>82587150</v>
      </c>
      <c r="V116">
        <v>241133400</v>
      </c>
      <c r="W116">
        <v>2.4500000000000002</v>
      </c>
      <c r="X116">
        <v>0.27</v>
      </c>
      <c r="Y116">
        <v>1.72</v>
      </c>
      <c r="Z116" t="s">
        <v>1753</v>
      </c>
      <c r="AA116" t="s">
        <v>1090</v>
      </c>
      <c r="AB116" t="s">
        <v>5162</v>
      </c>
      <c r="AC116" t="s">
        <v>5163</v>
      </c>
      <c r="AD116" t="s">
        <v>90</v>
      </c>
      <c r="AE116">
        <v>-1490082</v>
      </c>
      <c r="AF116" t="s">
        <v>2853</v>
      </c>
      <c r="AG116" t="s">
        <v>90</v>
      </c>
      <c r="AH116" t="s">
        <v>2854</v>
      </c>
      <c r="AI116" t="s">
        <v>649</v>
      </c>
      <c r="AJ116" t="s">
        <v>2855</v>
      </c>
      <c r="AK116" t="s">
        <v>5164</v>
      </c>
      <c r="AL116" t="s">
        <v>2856</v>
      </c>
      <c r="AM116" t="s">
        <v>5165</v>
      </c>
      <c r="AN116" t="s">
        <v>5166</v>
      </c>
      <c r="AO116" t="s">
        <v>2857</v>
      </c>
      <c r="AP116" t="s">
        <v>5167</v>
      </c>
      <c r="AQ116" t="s">
        <v>5168</v>
      </c>
      <c r="AR116" t="s">
        <v>90</v>
      </c>
      <c r="AS116" t="s">
        <v>2068</v>
      </c>
      <c r="AT116" t="s">
        <v>90</v>
      </c>
      <c r="AU116" t="s">
        <v>5169</v>
      </c>
      <c r="AV116" t="s">
        <v>5170</v>
      </c>
      <c r="AW116" t="s">
        <v>5171</v>
      </c>
      <c r="AX116" t="s">
        <v>1894</v>
      </c>
      <c r="AY116" t="s">
        <v>1312</v>
      </c>
      <c r="AZ116" t="s">
        <v>1126</v>
      </c>
      <c r="BA116" t="s">
        <v>1129</v>
      </c>
      <c r="BB116" t="s">
        <v>94</v>
      </c>
      <c r="BC116" t="s">
        <v>1895</v>
      </c>
      <c r="BD116" t="s">
        <v>1313</v>
      </c>
      <c r="BE116" t="s">
        <v>1127</v>
      </c>
      <c r="BF116" t="s">
        <v>1130</v>
      </c>
      <c r="BG116" t="s">
        <v>1131</v>
      </c>
      <c r="BH116" t="s">
        <v>2850</v>
      </c>
      <c r="BI116" t="s">
        <v>5172</v>
      </c>
      <c r="BJ116" t="s">
        <v>1894</v>
      </c>
      <c r="BK116" t="s">
        <v>2851</v>
      </c>
      <c r="BL116" t="s">
        <v>5173</v>
      </c>
      <c r="BM116" t="s">
        <v>1895</v>
      </c>
      <c r="BN116" t="s">
        <v>90</v>
      </c>
      <c r="BO116">
        <v>1.39</v>
      </c>
      <c r="BP116">
        <v>7.24</v>
      </c>
      <c r="BQ116">
        <v>0.43</v>
      </c>
      <c r="BR116">
        <v>2.0699999999999998</v>
      </c>
      <c r="BS116">
        <v>8.91</v>
      </c>
      <c r="BT116" t="s">
        <v>1719</v>
      </c>
      <c r="BU116" t="s">
        <v>1381</v>
      </c>
      <c r="BV116">
        <v>9.15</v>
      </c>
      <c r="BW116">
        <v>8.7899999999999991</v>
      </c>
      <c r="BX116">
        <v>11.25</v>
      </c>
      <c r="BY116">
        <v>1.3</v>
      </c>
      <c r="BZ116">
        <v>1.06</v>
      </c>
      <c r="CA116">
        <v>3.21</v>
      </c>
      <c r="CB116">
        <v>-4.0199999999999996</v>
      </c>
      <c r="CC116">
        <v>-15.93</v>
      </c>
      <c r="CD116" t="s">
        <v>5174</v>
      </c>
      <c r="CE116" t="s">
        <v>5175</v>
      </c>
      <c r="CF116" s="8">
        <v>15.050065414132151</v>
      </c>
      <c r="CG116" s="9">
        <v>0.63706467088850505</v>
      </c>
      <c r="CH116" s="8">
        <v>-0.88968485593795776</v>
      </c>
      <c r="CI116" s="8">
        <v>-0.15666534006595612</v>
      </c>
      <c r="CJ116" s="8">
        <v>8.9395074173808098E-3</v>
      </c>
      <c r="CK116" s="8">
        <v>0.30349573493003845</v>
      </c>
      <c r="CL116" s="8">
        <v>7.639680802822113E-2</v>
      </c>
      <c r="CM116" s="9">
        <v>0.84366625547409058</v>
      </c>
      <c r="CN116" s="9">
        <v>-0.72150528430938721</v>
      </c>
      <c r="CO116" s="9">
        <v>-0.15020641684532166</v>
      </c>
      <c r="CP116" s="9">
        <v>0.73418676853179932</v>
      </c>
      <c r="CQ116" s="9">
        <v>-0.25870558619499207</v>
      </c>
      <c r="CR116">
        <v>25.650392007393343</v>
      </c>
      <c r="CS116">
        <v>1.9505463216443868</v>
      </c>
      <c r="CT116">
        <v>0.46583850931677012</v>
      </c>
      <c r="CU116" s="8">
        <v>-0.13150362912565469</v>
      </c>
      <c r="CV116" s="9">
        <v>8.948714733123779E-2</v>
      </c>
      <c r="CW116">
        <v>0.06</v>
      </c>
      <c r="CX116">
        <v>48.483981368678045</v>
      </c>
      <c r="CY116" t="s">
        <v>5176</v>
      </c>
      <c r="CZ116">
        <v>-0.13150362912565469</v>
      </c>
      <c r="DA116">
        <v>16.161327122892683</v>
      </c>
      <c r="DB116" t="s">
        <v>5177</v>
      </c>
      <c r="DC116">
        <v>-0.12492844766937194</v>
      </c>
      <c r="DD116">
        <v>8.0806635614463413</v>
      </c>
      <c r="DE116" t="s">
        <v>5178</v>
      </c>
      <c r="DF116">
        <v>-0.11572319363057613</v>
      </c>
      <c r="DG116">
        <v>4.8483981368678046</v>
      </c>
      <c r="DH116" t="s">
        <v>5179</v>
      </c>
      <c r="DI116">
        <v>-0.10520290330052376</v>
      </c>
      <c r="DJ116">
        <v>2.4241990684339023</v>
      </c>
      <c r="DK116" t="s">
        <v>5180</v>
      </c>
      <c r="DL116">
        <v>-9.2052540387958279E-2</v>
      </c>
      <c r="DM116">
        <v>40877400</v>
      </c>
      <c r="DN116">
        <v>-0.13150362912565469</v>
      </c>
      <c r="DO116">
        <v>1981899100</v>
      </c>
      <c r="DP116">
        <v>590886400</v>
      </c>
      <c r="DQ116">
        <v>2481</v>
      </c>
      <c r="DR116">
        <v>15.181569043257806</v>
      </c>
      <c r="DS116">
        <v>0.5475775235572673</v>
      </c>
      <c r="DT116" s="10">
        <v>-0.80666666666666664</v>
      </c>
      <c r="DU116">
        <v>0.2533333333333333</v>
      </c>
      <c r="DV116">
        <v>-0.55333333333333334</v>
      </c>
      <c r="DW116">
        <v>-8.252354048964218</v>
      </c>
      <c r="DX116">
        <v>0.3512872048391168</v>
      </c>
      <c r="DY116">
        <v>-8.0533191816354837</v>
      </c>
      <c r="DZ116">
        <v>383</v>
      </c>
      <c r="EA116">
        <v>-8.0493228515833533</v>
      </c>
      <c r="EB116">
        <v>8</v>
      </c>
      <c r="EC116">
        <v>8.6228203973402279E-2</v>
      </c>
      <c r="ED116">
        <v>0.40810895545785036</v>
      </c>
      <c r="EE116" s="11">
        <v>-4.0922099999999997</v>
      </c>
      <c r="EF116">
        <v>-4.11111</v>
      </c>
      <c r="EG116">
        <v>14.211287204839117</v>
      </c>
      <c r="EH116" t="s">
        <v>2124</v>
      </c>
      <c r="EI116">
        <v>0</v>
      </c>
      <c r="EJ116">
        <v>1</v>
      </c>
      <c r="EK116" s="13">
        <v>45470</v>
      </c>
      <c r="EL116" s="14">
        <v>2.02</v>
      </c>
      <c r="EM116" s="14">
        <v>-2.92</v>
      </c>
      <c r="EN116" s="14">
        <v>-0.92</v>
      </c>
      <c r="EO116" s="14">
        <v>4.9400000000000004</v>
      </c>
      <c r="EP116" s="14">
        <v>-1.89</v>
      </c>
    </row>
    <row r="117" spans="1:146" ht="108">
      <c r="A117" s="7"/>
      <c r="B117" s="7"/>
      <c r="C117" s="7" t="str">
        <f>""&amp;CHAR(10)&amp;Basic_Fundamental_Information_Constructure(F117)&amp;CHAR(10)&amp;Basic_Fundamental_Information_Concatenate("")</f>
        <v xml:space="preserve">
市值15.6876亿, 利润883.72万; PE15.44; 平均PE32.01; 平均PEG3.01, PB1.84; ROIC7.28%; ROE8.8467%; 股利率3.8145%; 毛利34.0067%; 净利11.7567%; 上一年度营收增26%, 利润增-78.81%; 当季营收增-13.24%, 利润增454.73%; 过往5年营收增10.62%, 利润增-18.02%
Income profile:
</v>
      </c>
      <c r="D117" t="s">
        <v>1132</v>
      </c>
      <c r="E117" t="s">
        <v>1133</v>
      </c>
      <c r="F117">
        <v>23.07</v>
      </c>
      <c r="G117">
        <v>0.79</v>
      </c>
      <c r="H117" t="s">
        <v>5181</v>
      </c>
      <c r="I117">
        <v>1568760000</v>
      </c>
      <c r="J117">
        <v>15.44</v>
      </c>
      <c r="K117">
        <v>1.84</v>
      </c>
      <c r="L117" t="s">
        <v>85</v>
      </c>
      <c r="M117" t="s">
        <v>1273</v>
      </c>
      <c r="N117" t="s">
        <v>5182</v>
      </c>
      <c r="O117" t="s">
        <v>290</v>
      </c>
      <c r="P117">
        <v>5.21</v>
      </c>
      <c r="Q117" t="s">
        <v>1577</v>
      </c>
      <c r="R117">
        <v>23452393</v>
      </c>
      <c r="S117" s="5">
        <v>0.29930000000000001</v>
      </c>
      <c r="T117" t="s">
        <v>5183</v>
      </c>
      <c r="U117">
        <v>18000000</v>
      </c>
      <c r="V117">
        <v>68000000</v>
      </c>
      <c r="W117">
        <v>1.36</v>
      </c>
      <c r="X117">
        <v>0.1</v>
      </c>
      <c r="Y117">
        <v>19.809999999999999</v>
      </c>
      <c r="Z117" t="s">
        <v>5184</v>
      </c>
      <c r="AA117" t="s">
        <v>5185</v>
      </c>
      <c r="AB117" t="s">
        <v>5186</v>
      </c>
      <c r="AC117" t="s">
        <v>5187</v>
      </c>
      <c r="AD117" t="s">
        <v>90</v>
      </c>
      <c r="AE117">
        <v>920343</v>
      </c>
      <c r="AF117" t="s">
        <v>2859</v>
      </c>
      <c r="AG117" t="s">
        <v>2546</v>
      </c>
      <c r="AH117" t="s">
        <v>2860</v>
      </c>
      <c r="AI117" t="s">
        <v>143</v>
      </c>
      <c r="AJ117" t="s">
        <v>2861</v>
      </c>
      <c r="AK117" t="s">
        <v>5188</v>
      </c>
      <c r="AL117" t="s">
        <v>2862</v>
      </c>
      <c r="AM117" t="s">
        <v>90</v>
      </c>
      <c r="AN117" t="s">
        <v>5189</v>
      </c>
      <c r="AO117" t="s">
        <v>4038</v>
      </c>
      <c r="AP117" t="s">
        <v>5190</v>
      </c>
      <c r="AQ117" t="s">
        <v>5191</v>
      </c>
      <c r="AR117" t="s">
        <v>90</v>
      </c>
      <c r="AS117" t="s">
        <v>825</v>
      </c>
      <c r="AT117" t="s">
        <v>90</v>
      </c>
      <c r="AU117" t="s">
        <v>5192</v>
      </c>
      <c r="AV117" t="s">
        <v>5193</v>
      </c>
      <c r="AW117" t="s">
        <v>5194</v>
      </c>
      <c r="AX117" t="s">
        <v>568</v>
      </c>
      <c r="AY117" t="s">
        <v>721</v>
      </c>
      <c r="AZ117" t="s">
        <v>563</v>
      </c>
      <c r="BA117" t="s">
        <v>327</v>
      </c>
      <c r="BB117" t="s">
        <v>180</v>
      </c>
      <c r="BC117" t="s">
        <v>1896</v>
      </c>
      <c r="BD117" t="s">
        <v>1314</v>
      </c>
      <c r="BE117" t="s">
        <v>1134</v>
      </c>
      <c r="BF117" t="s">
        <v>1135</v>
      </c>
      <c r="BG117" t="s">
        <v>1136</v>
      </c>
      <c r="BH117" t="s">
        <v>1497</v>
      </c>
      <c r="BI117" t="s">
        <v>195</v>
      </c>
      <c r="BJ117" t="s">
        <v>568</v>
      </c>
      <c r="BK117" t="s">
        <v>2858</v>
      </c>
      <c r="BL117" t="s">
        <v>5195</v>
      </c>
      <c r="BM117" t="s">
        <v>1896</v>
      </c>
      <c r="BN117">
        <v>7.91</v>
      </c>
      <c r="BO117">
        <v>4.91</v>
      </c>
      <c r="BP117">
        <v>9.02</v>
      </c>
      <c r="BQ117">
        <v>9.02</v>
      </c>
      <c r="BR117">
        <v>5.5</v>
      </c>
      <c r="BS117">
        <v>12.02</v>
      </c>
      <c r="BT117" t="s">
        <v>2863</v>
      </c>
      <c r="BU117" t="s">
        <v>1381</v>
      </c>
      <c r="BV117">
        <v>37.270000000000003</v>
      </c>
      <c r="BW117">
        <v>33.270000000000003</v>
      </c>
      <c r="BX117">
        <v>31.48</v>
      </c>
      <c r="BY117">
        <v>16.88</v>
      </c>
      <c r="BZ117">
        <v>8.81</v>
      </c>
      <c r="CA117">
        <v>9.58</v>
      </c>
      <c r="CB117">
        <v>-3.35</v>
      </c>
      <c r="CC117">
        <v>-11.1</v>
      </c>
      <c r="CD117" t="s">
        <v>5196</v>
      </c>
      <c r="CE117" t="s">
        <v>5197</v>
      </c>
      <c r="CF117" s="8">
        <v>-0.13235294117647059</v>
      </c>
      <c r="CG117" s="9">
        <v>4.5473172173995318</v>
      </c>
      <c r="CH117" s="8">
        <v>0.26004227995872498</v>
      </c>
      <c r="CI117" s="8">
        <v>-0.14156079292297363</v>
      </c>
      <c r="CJ117" s="8">
        <v>0.33737865090370178</v>
      </c>
      <c r="CK117" s="8">
        <v>-4.1860464960336685E-2</v>
      </c>
      <c r="CL117" s="8">
        <v>0.11688311398029327</v>
      </c>
      <c r="CM117" s="9">
        <v>-0.78807163238525391</v>
      </c>
      <c r="CN117" s="9">
        <v>-0.21031500399112701</v>
      </c>
      <c r="CO117" s="9">
        <v>-0.25082218647003174</v>
      </c>
      <c r="CP117" s="9">
        <v>3.0942823737859726E-2</v>
      </c>
      <c r="CQ117" s="9">
        <v>0.31743520498275757</v>
      </c>
      <c r="CR117">
        <v>32.006060795656254</v>
      </c>
      <c r="CS117">
        <v>3.014418773960303</v>
      </c>
      <c r="CT117">
        <v>3.8144776766363244</v>
      </c>
      <c r="CU117" s="8">
        <v>0.10617655739188195</v>
      </c>
      <c r="CV117" s="9">
        <v>-0.18016615882515907</v>
      </c>
      <c r="CW117">
        <v>0.06</v>
      </c>
      <c r="CX117">
        <v>108.95045998842474</v>
      </c>
      <c r="CY117">
        <v>9222173.0877203196</v>
      </c>
      <c r="CZ117">
        <v>0.10617655739188195</v>
      </c>
      <c r="DA117">
        <v>35.120500751565352</v>
      </c>
      <c r="DB117">
        <v>28608931.492960475</v>
      </c>
      <c r="DC117">
        <v>0.10086772952228784</v>
      </c>
      <c r="DD117">
        <v>16.973850388477221</v>
      </c>
      <c r="DE117">
        <v>59194583.256259061</v>
      </c>
      <c r="DF117">
        <v>9.3435370504856119E-2</v>
      </c>
      <c r="DG117">
        <v>9.9822206988853832</v>
      </c>
      <c r="DH117">
        <v>100654957.4797712</v>
      </c>
      <c r="DI117">
        <v>8.4941245913505561E-2</v>
      </c>
      <c r="DJ117">
        <v>4.9227816434646625</v>
      </c>
      <c r="DK117">
        <v>204104116.89372602</v>
      </c>
      <c r="DL117">
        <v>7.4323590174317361E-2</v>
      </c>
      <c r="DM117">
        <v>8837200</v>
      </c>
      <c r="DN117">
        <v>0.10617655739188195</v>
      </c>
      <c r="DO117">
        <v>1004760000.0000001</v>
      </c>
      <c r="DP117">
        <v>569316900</v>
      </c>
      <c r="DQ117">
        <v>2491</v>
      </c>
      <c r="DR117">
        <v>-0.23852949856835254</v>
      </c>
      <c r="DS117">
        <v>4.7274833762246908</v>
      </c>
      <c r="DT117" s="10">
        <v>-0.14000000000000001</v>
      </c>
      <c r="DU117">
        <v>-7.6666666666666661E-2</v>
      </c>
      <c r="DV117">
        <v>-0.21666666666666667</v>
      </c>
      <c r="DW117">
        <v>-8.3018018018018012</v>
      </c>
      <c r="DX117">
        <v>0.32558063632060069</v>
      </c>
      <c r="DY117">
        <v>-8.0409184803309923</v>
      </c>
      <c r="DZ117">
        <v>2169</v>
      </c>
      <c r="EA117">
        <v>-8.0235501468989128</v>
      </c>
      <c r="EB117">
        <v>8</v>
      </c>
      <c r="EC117">
        <v>4.0013235294117641E-2</v>
      </c>
      <c r="ED117">
        <v>0.29512500000000003</v>
      </c>
      <c r="EE117" s="11">
        <v>3.8600000000000002E-2</v>
      </c>
      <c r="EF117">
        <v>2.7100000000000003E-2</v>
      </c>
      <c r="EG117">
        <v>19.135580636320601</v>
      </c>
      <c r="EH117" t="s">
        <v>1390</v>
      </c>
      <c r="EI117">
        <v>0</v>
      </c>
      <c r="EJ117">
        <v>0</v>
      </c>
      <c r="EK117" s="13">
        <v>45470</v>
      </c>
      <c r="EL117" s="14">
        <v>2.98</v>
      </c>
      <c r="EM117" s="14">
        <v>-6.99</v>
      </c>
      <c r="EN117" s="14">
        <v>-2.68</v>
      </c>
      <c r="EO117" s="14">
        <v>4.53</v>
      </c>
      <c r="EP117" s="14">
        <v>-1.1499999999999999</v>
      </c>
    </row>
    <row r="118" spans="1:146" ht="108">
      <c r="A118" s="7"/>
      <c r="B118" s="7"/>
      <c r="C118" s="7" t="str">
        <f>""&amp;CHAR(10)&amp;Basic_Fundamental_Information_Constructure(F118)&amp;CHAR(10)&amp;Basic_Fundamental_Information_Concatenate("")</f>
        <v xml:space="preserve">
市值25.195895亿, 利润3.64亿; PE112.1; 平均PE23.69; 平均PEG.72, PB3.13; ROIC5.7433%; ROE6.7933%; 股利率1.0249%; 毛利40.2733%; 净利11.12%; 上一年度营收增147.37%, 利润增1109.5%; 当季营收增-71.06%, 利润增-112.49%; 过往5年营收增32.88%, 利润增210.79%
Income profile:
</v>
      </c>
      <c r="D118" t="s">
        <v>1137</v>
      </c>
      <c r="E118" t="s">
        <v>1138</v>
      </c>
      <c r="F118">
        <v>39.03</v>
      </c>
      <c r="G118">
        <v>1.27</v>
      </c>
      <c r="H118" t="s">
        <v>5198</v>
      </c>
      <c r="I118">
        <v>2519589500</v>
      </c>
      <c r="J118">
        <v>112.1</v>
      </c>
      <c r="K118">
        <v>3.13</v>
      </c>
      <c r="L118" t="s">
        <v>85</v>
      </c>
      <c r="M118" t="s">
        <v>766</v>
      </c>
      <c r="N118" t="s">
        <v>1888</v>
      </c>
      <c r="O118" t="s">
        <v>2864</v>
      </c>
      <c r="P118">
        <v>22.49</v>
      </c>
      <c r="Q118" t="s">
        <v>1404</v>
      </c>
      <c r="R118">
        <v>-9319391</v>
      </c>
      <c r="S118" s="5">
        <v>-0.88249999999999995</v>
      </c>
      <c r="T118" t="s">
        <v>209</v>
      </c>
      <c r="U118">
        <v>35045880</v>
      </c>
      <c r="V118">
        <v>64555200</v>
      </c>
      <c r="W118">
        <v>1.25</v>
      </c>
      <c r="X118">
        <v>0.05</v>
      </c>
      <c r="Y118">
        <v>-21.13</v>
      </c>
      <c r="Z118" t="s">
        <v>5199</v>
      </c>
      <c r="AA118" t="s">
        <v>5200</v>
      </c>
      <c r="AB118" t="s">
        <v>5201</v>
      </c>
      <c r="AC118" t="s">
        <v>5202</v>
      </c>
      <c r="AD118" t="s">
        <v>90</v>
      </c>
      <c r="AE118">
        <v>859754</v>
      </c>
      <c r="AF118" t="s">
        <v>2866</v>
      </c>
      <c r="AG118">
        <v>1414.42</v>
      </c>
      <c r="AH118" t="s">
        <v>2867</v>
      </c>
      <c r="AI118" t="s">
        <v>236</v>
      </c>
      <c r="AJ118" t="s">
        <v>2868</v>
      </c>
      <c r="AK118" t="s">
        <v>5203</v>
      </c>
      <c r="AL118" t="s">
        <v>2869</v>
      </c>
      <c r="AM118" t="s">
        <v>90</v>
      </c>
      <c r="AN118" t="s">
        <v>5204</v>
      </c>
      <c r="AO118" t="s">
        <v>5205</v>
      </c>
      <c r="AP118" t="s">
        <v>5206</v>
      </c>
      <c r="AQ118" t="s">
        <v>5207</v>
      </c>
      <c r="AR118" t="s">
        <v>90</v>
      </c>
      <c r="AS118" t="s">
        <v>314</v>
      </c>
      <c r="AT118" t="s">
        <v>5208</v>
      </c>
      <c r="AU118" t="s">
        <v>5209</v>
      </c>
      <c r="AV118" t="s">
        <v>5210</v>
      </c>
      <c r="AW118" t="s">
        <v>4691</v>
      </c>
      <c r="AX118" t="s">
        <v>131</v>
      </c>
      <c r="AY118" t="s">
        <v>116</v>
      </c>
      <c r="AZ118" t="s">
        <v>242</v>
      </c>
      <c r="BA118" t="s">
        <v>457</v>
      </c>
      <c r="BB118" t="s">
        <v>1140</v>
      </c>
      <c r="BC118" t="s">
        <v>1897</v>
      </c>
      <c r="BD118" t="s">
        <v>1899</v>
      </c>
      <c r="BE118" t="s">
        <v>1139</v>
      </c>
      <c r="BF118" t="s">
        <v>1141</v>
      </c>
      <c r="BG118" t="s">
        <v>1142</v>
      </c>
      <c r="BH118" t="s">
        <v>1217</v>
      </c>
      <c r="BI118" t="s">
        <v>422</v>
      </c>
      <c r="BJ118" t="s">
        <v>131</v>
      </c>
      <c r="BK118" t="s">
        <v>2865</v>
      </c>
      <c r="BL118" t="s">
        <v>5211</v>
      </c>
      <c r="BM118" t="s">
        <v>1897</v>
      </c>
      <c r="BN118">
        <v>4.67</v>
      </c>
      <c r="BO118">
        <v>3.6</v>
      </c>
      <c r="BP118">
        <v>8.9600000000000009</v>
      </c>
      <c r="BQ118">
        <v>5.1100000000000003</v>
      </c>
      <c r="BR118">
        <v>3.83</v>
      </c>
      <c r="BS118">
        <v>11.44</v>
      </c>
      <c r="BT118" t="s">
        <v>1875</v>
      </c>
      <c r="BU118" t="s">
        <v>1381</v>
      </c>
      <c r="BV118">
        <v>39.71</v>
      </c>
      <c r="BW118">
        <v>39.29</v>
      </c>
      <c r="BX118">
        <v>41.82</v>
      </c>
      <c r="BY118">
        <v>6.85</v>
      </c>
      <c r="BZ118">
        <v>10.47</v>
      </c>
      <c r="CA118">
        <v>16.04</v>
      </c>
      <c r="CB118">
        <v>-7.31</v>
      </c>
      <c r="CC118">
        <v>-10.32</v>
      </c>
      <c r="CD118" t="s">
        <v>5212</v>
      </c>
      <c r="CE118" t="s">
        <v>5213</v>
      </c>
      <c r="CF118" s="8">
        <v>-0.71055792682926833</v>
      </c>
      <c r="CG118" s="9">
        <v>-1.1249084034537018</v>
      </c>
      <c r="CH118" s="8">
        <v>1.4736841917037964</v>
      </c>
      <c r="CI118" s="8">
        <v>-0.11370262503623962</v>
      </c>
      <c r="CJ118" s="8">
        <v>0.22064056992530823</v>
      </c>
      <c r="CK118" s="8">
        <v>-5.7046979665756226E-2</v>
      </c>
      <c r="CL118" s="8">
        <v>0.12030075490474701</v>
      </c>
      <c r="CM118" s="9">
        <v>11.094991683959961</v>
      </c>
      <c r="CN118" s="9">
        <v>-0.4404107928276062</v>
      </c>
      <c r="CO118" s="9">
        <v>-0.1499125063419342</v>
      </c>
      <c r="CP118" s="9">
        <v>-3.5731270909309387E-2</v>
      </c>
      <c r="CQ118" s="9">
        <v>7.0670671761035919E-2</v>
      </c>
      <c r="CR118">
        <v>23.694140622244934</v>
      </c>
      <c r="CS118">
        <v>0.72067911123052253</v>
      </c>
      <c r="CT118">
        <v>1.0248526774276197</v>
      </c>
      <c r="CU118" s="8">
        <v>0.32877518236637115</v>
      </c>
      <c r="CV118" s="9">
        <v>2.1079215571284293</v>
      </c>
      <c r="CW118">
        <v>0.06</v>
      </c>
      <c r="CX118">
        <v>4.2551060466960653</v>
      </c>
      <c r="CY118">
        <v>456296383.37864065</v>
      </c>
      <c r="CZ118">
        <v>0.32877518236637115</v>
      </c>
      <c r="DA118">
        <v>1.1425622526734815</v>
      </c>
      <c r="DB118">
        <v>1699329288.5852604</v>
      </c>
      <c r="DC118">
        <v>0.31233642324805261</v>
      </c>
      <c r="DD118">
        <v>0.42383670972251353</v>
      </c>
      <c r="DE118">
        <v>4580984741.2017736</v>
      </c>
      <c r="DF118">
        <v>0.28932216048240661</v>
      </c>
      <c r="DG118">
        <v>0.17981495529409811</v>
      </c>
      <c r="DH118">
        <v>10797708660.130156</v>
      </c>
      <c r="DI118">
        <v>0.26302014589309691</v>
      </c>
      <c r="DJ118">
        <v>3.9593622050598007E-2</v>
      </c>
      <c r="DK118">
        <v>49037935895.806099</v>
      </c>
      <c r="DL118">
        <v>0.23014262765645979</v>
      </c>
      <c r="DM118">
        <v>364000000</v>
      </c>
      <c r="DN118">
        <v>0.32877518236637115</v>
      </c>
      <c r="DO118">
        <v>1941589500</v>
      </c>
      <c r="DP118">
        <v>470234350</v>
      </c>
      <c r="DQ118">
        <v>2515</v>
      </c>
      <c r="DR118">
        <v>-1.0393331091956395</v>
      </c>
      <c r="DS118">
        <v>-3.2328299605821309</v>
      </c>
      <c r="DT118" s="10">
        <v>2.6666666666666616E-2</v>
      </c>
      <c r="DU118">
        <v>-0.74833333333333341</v>
      </c>
      <c r="DV118">
        <v>-0.72166666666666679</v>
      </c>
      <c r="DW118">
        <v>-9.7083333333333339</v>
      </c>
      <c r="DX118">
        <v>0.3374326122074065</v>
      </c>
      <c r="DY118">
        <v>-9.0548481003135795</v>
      </c>
      <c r="DZ118">
        <v>1930</v>
      </c>
      <c r="EA118">
        <v>-9.0341324772988614</v>
      </c>
      <c r="EB118">
        <v>9</v>
      </c>
      <c r="EC118">
        <v>3.0295003345973678E-2</v>
      </c>
      <c r="ED118">
        <v>0.39124346295883211</v>
      </c>
      <c r="EE118" s="11">
        <v>-4.0437099999999999</v>
      </c>
      <c r="EF118">
        <v>-4.0787100000000001</v>
      </c>
      <c r="EG118">
        <v>26.077432612207406</v>
      </c>
      <c r="EH118" t="s">
        <v>2124</v>
      </c>
      <c r="EI118">
        <v>0</v>
      </c>
      <c r="EJ118">
        <v>0</v>
      </c>
      <c r="EK118" s="13">
        <v>45470</v>
      </c>
      <c r="EL118" s="14">
        <v>-1.21</v>
      </c>
      <c r="EM118" s="14">
        <v>-5.53</v>
      </c>
      <c r="EN118" s="14">
        <v>0.84</v>
      </c>
      <c r="EO118" s="14">
        <v>3.24</v>
      </c>
      <c r="EP118" s="14">
        <v>-3.5</v>
      </c>
    </row>
    <row r="119" spans="1:146" ht="108">
      <c r="A119" s="7"/>
      <c r="B119" s="7"/>
      <c r="C119" s="7" t="str">
        <f>""&amp;CHAR(10)&amp;Basic_Fundamental_Information_Constructure(F119)&amp;CHAR(10)&amp;Basic_Fundamental_Information_Concatenate("")</f>
        <v xml:space="preserve">
市值25.844027亿, 利润7786.14万; PE64.97; 平均PE43.65; 平均PEG.79, PB3.14; ROIC7.0867%; ROE8.9967%; 股利率.8259%; 毛利22.6233%; 净利12.1033%; 上一年度营收增276.41%, 利润增26.46%; 当季营收增-81.46%, 利润增-47.97%; 过往5年营收增55.19%, 利润增13.72%
Income profile:
</v>
      </c>
      <c r="D119" t="s">
        <v>1143</v>
      </c>
      <c r="E119" t="s">
        <v>1144</v>
      </c>
      <c r="F119">
        <v>14.53</v>
      </c>
      <c r="G119">
        <v>1.96</v>
      </c>
      <c r="H119" t="s">
        <v>5214</v>
      </c>
      <c r="I119">
        <v>2584402700</v>
      </c>
      <c r="J119">
        <v>64.97</v>
      </c>
      <c r="K119">
        <v>3.14</v>
      </c>
      <c r="L119" t="s">
        <v>85</v>
      </c>
      <c r="M119" t="s">
        <v>123</v>
      </c>
      <c r="N119" t="s">
        <v>601</v>
      </c>
      <c r="O119" t="s">
        <v>2871</v>
      </c>
      <c r="P119">
        <v>3.21</v>
      </c>
      <c r="Q119" t="s">
        <v>5215</v>
      </c>
      <c r="R119">
        <v>10906463</v>
      </c>
      <c r="S119" s="5">
        <v>0.72670000000000001</v>
      </c>
      <c r="T119" t="s">
        <v>5216</v>
      </c>
      <c r="U119">
        <v>54857667</v>
      </c>
      <c r="V119">
        <v>177866670</v>
      </c>
      <c r="W119">
        <v>1.2</v>
      </c>
      <c r="X119">
        <v>0.08</v>
      </c>
      <c r="Y119">
        <v>13.61</v>
      </c>
      <c r="Z119" t="s">
        <v>5217</v>
      </c>
      <c r="AA119" t="s">
        <v>5218</v>
      </c>
      <c r="AB119" t="s">
        <v>5219</v>
      </c>
      <c r="AC119" t="s">
        <v>5220</v>
      </c>
      <c r="AD119" t="s">
        <v>90</v>
      </c>
      <c r="AE119">
        <v>-2132031</v>
      </c>
      <c r="AF119" t="s">
        <v>2873</v>
      </c>
      <c r="AG119" t="s">
        <v>5221</v>
      </c>
      <c r="AH119" t="s">
        <v>2874</v>
      </c>
      <c r="AI119" t="s">
        <v>693</v>
      </c>
      <c r="AJ119" t="s">
        <v>2875</v>
      </c>
      <c r="AK119" t="s">
        <v>5222</v>
      </c>
      <c r="AL119" t="s">
        <v>2876</v>
      </c>
      <c r="AM119" t="s">
        <v>90</v>
      </c>
      <c r="AN119" t="s">
        <v>5223</v>
      </c>
      <c r="AO119" t="s">
        <v>90</v>
      </c>
      <c r="AP119" t="s">
        <v>5224</v>
      </c>
      <c r="AQ119" t="s">
        <v>5225</v>
      </c>
      <c r="AR119">
        <v>7831.9</v>
      </c>
      <c r="AS119" t="s">
        <v>273</v>
      </c>
      <c r="AT119" t="s">
        <v>90</v>
      </c>
      <c r="AU119" t="s">
        <v>5226</v>
      </c>
      <c r="AV119" t="s">
        <v>5227</v>
      </c>
      <c r="AW119" t="s">
        <v>90</v>
      </c>
      <c r="AX119" t="s">
        <v>1866</v>
      </c>
      <c r="AY119" t="s">
        <v>163</v>
      </c>
      <c r="AZ119" t="s">
        <v>216</v>
      </c>
      <c r="BA119" t="s">
        <v>1146</v>
      </c>
      <c r="BB119" t="s">
        <v>149</v>
      </c>
      <c r="BC119" t="s">
        <v>2877</v>
      </c>
      <c r="BD119" t="s">
        <v>1315</v>
      </c>
      <c r="BE119" t="s">
        <v>1145</v>
      </c>
      <c r="BF119" t="s">
        <v>1147</v>
      </c>
      <c r="BG119" t="s">
        <v>1148</v>
      </c>
      <c r="BH119" t="s">
        <v>606</v>
      </c>
      <c r="BI119" t="s">
        <v>293</v>
      </c>
      <c r="BJ119" t="s">
        <v>1866</v>
      </c>
      <c r="BK119" t="s">
        <v>2872</v>
      </c>
      <c r="BL119" t="s">
        <v>5228</v>
      </c>
      <c r="BM119" t="s">
        <v>2877</v>
      </c>
      <c r="BN119">
        <v>2.76</v>
      </c>
      <c r="BO119">
        <v>6.65</v>
      </c>
      <c r="BP119">
        <v>11.85</v>
      </c>
      <c r="BQ119">
        <v>4.07</v>
      </c>
      <c r="BR119">
        <v>8.14</v>
      </c>
      <c r="BS119">
        <v>14.78</v>
      </c>
      <c r="BT119" t="s">
        <v>2267</v>
      </c>
      <c r="BU119" t="s">
        <v>1381</v>
      </c>
      <c r="BV119">
        <v>22.5</v>
      </c>
      <c r="BW119">
        <v>22.92</v>
      </c>
      <c r="BX119">
        <v>22.45</v>
      </c>
      <c r="BY119">
        <v>8.91</v>
      </c>
      <c r="BZ119">
        <v>15.38</v>
      </c>
      <c r="CA119">
        <v>12.02</v>
      </c>
      <c r="CB119">
        <v>-10.47</v>
      </c>
      <c r="CC119">
        <v>7.31</v>
      </c>
      <c r="CD119" t="s">
        <v>5229</v>
      </c>
      <c r="CE119" t="s">
        <v>250</v>
      </c>
      <c r="CF119" s="8">
        <v>-0.81461943793911007</v>
      </c>
      <c r="CG119" s="9">
        <v>-0.47967582498843087</v>
      </c>
      <c r="CH119" s="8">
        <v>2.7641274929046631</v>
      </c>
      <c r="CI119" s="8">
        <v>-0.22476190328598022</v>
      </c>
      <c r="CJ119" s="8">
        <v>4.5816734433174133E-2</v>
      </c>
      <c r="CK119" s="8">
        <v>6.355932354927063E-2</v>
      </c>
      <c r="CL119" s="8">
        <v>0.11058823764324188</v>
      </c>
      <c r="CM119" s="9">
        <v>0.26462635397911072</v>
      </c>
      <c r="CN119" s="9">
        <v>1.3807622599415481E-4</v>
      </c>
      <c r="CO119" s="9">
        <v>-7.0841327309608459E-2</v>
      </c>
      <c r="CP119" s="9">
        <v>0.57084530591964722</v>
      </c>
      <c r="CQ119" s="9">
        <v>-7.897794246673584E-2</v>
      </c>
      <c r="CR119">
        <v>43.653619822817113</v>
      </c>
      <c r="CS119">
        <v>0.79101850156185838</v>
      </c>
      <c r="CT119">
        <v>0.82587749483826567</v>
      </c>
      <c r="CU119" s="8">
        <v>0.55186597704887386</v>
      </c>
      <c r="CV119" s="9">
        <v>0.13715809326968156</v>
      </c>
      <c r="CW119">
        <v>0.06</v>
      </c>
      <c r="CX119">
        <v>17.075056266685959</v>
      </c>
      <c r="CY119">
        <v>113990997.72206904</v>
      </c>
      <c r="CZ119">
        <v>0.55186597704887386</v>
      </c>
      <c r="DA119">
        <v>3.8581589769456257</v>
      </c>
      <c r="DB119">
        <v>504490020.14450461</v>
      </c>
      <c r="DC119">
        <v>0.52427267819643009</v>
      </c>
      <c r="DD119">
        <v>1.0885218646276293</v>
      </c>
      <c r="DE119">
        <v>1788115391.3852172</v>
      </c>
      <c r="DF119">
        <v>0.48564205980300901</v>
      </c>
      <c r="DG119">
        <v>0.32068238472945654</v>
      </c>
      <c r="DH119">
        <v>6069565378.9717236</v>
      </c>
      <c r="DI119">
        <v>0.44149278163909911</v>
      </c>
      <c r="DJ119">
        <v>2.7583021595105769E-2</v>
      </c>
      <c r="DK119">
        <v>70565245844.761353</v>
      </c>
      <c r="DL119">
        <v>0.38630618393421168</v>
      </c>
      <c r="DM119">
        <v>77861400</v>
      </c>
      <c r="DN119">
        <v>0.55186597704887386</v>
      </c>
      <c r="DO119">
        <v>1946402700</v>
      </c>
      <c r="DP119">
        <v>559384390</v>
      </c>
      <c r="DQ119">
        <v>2527</v>
      </c>
      <c r="DR119">
        <v>-1.3664854149879839</v>
      </c>
      <c r="DS119">
        <v>-0.6168339182581124</v>
      </c>
      <c r="DT119" s="10">
        <v>-0.29000000000000004</v>
      </c>
      <c r="DU119">
        <v>6.3333333333333311E-2</v>
      </c>
      <c r="DV119">
        <v>-0.22666666666666674</v>
      </c>
      <c r="DW119">
        <v>-5.6981852913085005</v>
      </c>
      <c r="DX119">
        <v>0.31829558823529452</v>
      </c>
      <c r="DY119">
        <v>-5.0965559455587393</v>
      </c>
      <c r="DZ119">
        <v>2289</v>
      </c>
      <c r="EA119">
        <v>-5.0533041726851673</v>
      </c>
      <c r="EB119">
        <v>5</v>
      </c>
      <c r="EC119">
        <v>0.26435812847904555</v>
      </c>
      <c r="ED119">
        <v>1.9115441920625151</v>
      </c>
      <c r="EE119" s="11">
        <v>-5.0196100000000001</v>
      </c>
      <c r="EF119">
        <v>-5.0446099999999996</v>
      </c>
      <c r="EG119">
        <v>18.138295588235295</v>
      </c>
      <c r="EH119" t="s">
        <v>2138</v>
      </c>
      <c r="EI119">
        <v>0</v>
      </c>
      <c r="EJ119">
        <v>0</v>
      </c>
      <c r="EK119" s="13">
        <v>45470</v>
      </c>
      <c r="EL119" s="14">
        <v>-8.5299999999999994</v>
      </c>
      <c r="EM119" s="14">
        <v>-4.8899999999999997</v>
      </c>
      <c r="EN119" s="14">
        <v>2.72</v>
      </c>
      <c r="EO119" s="14">
        <v>2.27</v>
      </c>
      <c r="EP119" s="14">
        <v>-2.5</v>
      </c>
    </row>
    <row r="120" spans="1:146" ht="96">
      <c r="A120" s="7"/>
      <c r="B120" s="7"/>
      <c r="C120" s="7" t="str">
        <f>""&amp;CHAR(10)&amp;Basic_Fundamental_Information_Constructure(F120)&amp;CHAR(10)&amp;Basic_Fundamental_Information_Concatenate("")</f>
        <v xml:space="preserve">
市值18.5335亿, 利润1.15亿; PE34.93; 平均PE27.1; 平均PEG1.93, PB2.01; ROIC11.27%; ROE12.7767%; 股利率1.5842%; 毛利23.9933%; 净利12.0633%; 上一年度营收增11.25%, 利润增75%; 当季营收增-25.73%, 利润增-82.68%; 过往5年营收增14.03%, 利润增25.3%
Income profile:
</v>
      </c>
      <c r="D120" t="s">
        <v>1411</v>
      </c>
      <c r="E120" t="s">
        <v>1412</v>
      </c>
      <c r="F120">
        <v>25.25</v>
      </c>
      <c r="G120">
        <v>2.4300000000000002</v>
      </c>
      <c r="H120" t="s">
        <v>5230</v>
      </c>
      <c r="I120">
        <v>1853350000</v>
      </c>
      <c r="J120">
        <v>34.93</v>
      </c>
      <c r="K120">
        <v>2.0099999999999998</v>
      </c>
      <c r="L120" t="s">
        <v>85</v>
      </c>
      <c r="M120" t="s">
        <v>295</v>
      </c>
      <c r="N120" t="s">
        <v>925</v>
      </c>
      <c r="O120" t="s">
        <v>2878</v>
      </c>
      <c r="P120">
        <v>-26.92</v>
      </c>
      <c r="Q120" t="s">
        <v>3454</v>
      </c>
      <c r="R120">
        <v>6455388</v>
      </c>
      <c r="S120" s="5">
        <v>-0.59650000000000003</v>
      </c>
      <c r="T120" t="s">
        <v>109</v>
      </c>
      <c r="U120">
        <v>20978650</v>
      </c>
      <c r="V120">
        <v>73400000</v>
      </c>
      <c r="W120">
        <v>1.3</v>
      </c>
      <c r="X120">
        <v>0.08</v>
      </c>
      <c r="Y120">
        <v>6.3</v>
      </c>
      <c r="Z120" t="s">
        <v>5231</v>
      </c>
      <c r="AA120" t="s">
        <v>5232</v>
      </c>
      <c r="AB120" t="s">
        <v>5233</v>
      </c>
      <c r="AC120" t="s">
        <v>5234</v>
      </c>
      <c r="AD120" t="s">
        <v>90</v>
      </c>
      <c r="AE120">
        <v>-3747884</v>
      </c>
      <c r="AF120" t="s">
        <v>2881</v>
      </c>
      <c r="AG120" t="s">
        <v>5235</v>
      </c>
      <c r="AH120" t="s">
        <v>2882</v>
      </c>
      <c r="AI120" t="s">
        <v>2055</v>
      </c>
      <c r="AJ120" t="s">
        <v>2883</v>
      </c>
      <c r="AK120" t="s">
        <v>90</v>
      </c>
      <c r="AL120" t="s">
        <v>2884</v>
      </c>
      <c r="AM120" t="s">
        <v>90</v>
      </c>
      <c r="AN120" t="s">
        <v>5236</v>
      </c>
      <c r="AO120" t="s">
        <v>248</v>
      </c>
      <c r="AP120" t="s">
        <v>5237</v>
      </c>
      <c r="AQ120" t="s">
        <v>5238</v>
      </c>
      <c r="AR120" t="s">
        <v>5239</v>
      </c>
      <c r="AS120" t="s">
        <v>190</v>
      </c>
      <c r="AT120" t="s">
        <v>90</v>
      </c>
      <c r="AU120" t="s">
        <v>5240</v>
      </c>
      <c r="AV120" t="s">
        <v>5241</v>
      </c>
      <c r="AW120" t="s">
        <v>5242</v>
      </c>
      <c r="AX120" t="s">
        <v>1819</v>
      </c>
      <c r="AY120" t="s">
        <v>1413</v>
      </c>
      <c r="AZ120" t="s">
        <v>1163</v>
      </c>
      <c r="BA120" t="s">
        <v>933</v>
      </c>
      <c r="BB120" t="s">
        <v>742</v>
      </c>
      <c r="BC120" t="s">
        <v>1900</v>
      </c>
      <c r="BD120" t="s">
        <v>1414</v>
      </c>
      <c r="BE120" t="s">
        <v>1415</v>
      </c>
      <c r="BF120" t="s">
        <v>1416</v>
      </c>
      <c r="BG120" t="s">
        <v>1417</v>
      </c>
      <c r="BH120" t="s">
        <v>1175</v>
      </c>
      <c r="BI120" t="s">
        <v>307</v>
      </c>
      <c r="BJ120" t="s">
        <v>1819</v>
      </c>
      <c r="BK120" t="s">
        <v>2879</v>
      </c>
      <c r="BL120" t="s">
        <v>5243</v>
      </c>
      <c r="BM120" t="s">
        <v>1900</v>
      </c>
      <c r="BN120">
        <v>5.32</v>
      </c>
      <c r="BO120">
        <v>8.85</v>
      </c>
      <c r="BP120">
        <v>19.64</v>
      </c>
      <c r="BQ120">
        <v>6.17</v>
      </c>
      <c r="BR120">
        <v>9.99</v>
      </c>
      <c r="BS120">
        <v>22.17</v>
      </c>
      <c r="BT120" t="s">
        <v>1875</v>
      </c>
      <c r="BU120" t="s">
        <v>1381</v>
      </c>
      <c r="BV120">
        <v>26.32</v>
      </c>
      <c r="BW120">
        <v>22.26</v>
      </c>
      <c r="BX120">
        <v>23.4</v>
      </c>
      <c r="BY120">
        <v>11.94</v>
      </c>
      <c r="BZ120">
        <v>11.71</v>
      </c>
      <c r="CA120">
        <v>12.54</v>
      </c>
      <c r="CB120">
        <v>0.6</v>
      </c>
      <c r="CC120">
        <v>1.32</v>
      </c>
      <c r="CD120" t="s">
        <v>5244</v>
      </c>
      <c r="CE120" t="s">
        <v>5245</v>
      </c>
      <c r="CF120" s="8">
        <v>-0.25726484375000003</v>
      </c>
      <c r="CG120" s="9">
        <v>-0.82679724287442946</v>
      </c>
      <c r="CH120" s="8">
        <v>0.11249999701976776</v>
      </c>
      <c r="CI120" s="8">
        <v>-0.1450381726026535</v>
      </c>
      <c r="CJ120" s="8">
        <v>0.60146701335906982</v>
      </c>
      <c r="CK120" s="8">
        <v>0.40068492293357849</v>
      </c>
      <c r="CL120" s="8">
        <v>-0.26817041635513306</v>
      </c>
      <c r="CM120" s="9">
        <v>0.75003421306610107</v>
      </c>
      <c r="CN120" s="9">
        <v>-0.19978713989257813</v>
      </c>
      <c r="CO120" s="9">
        <v>0.41329804062843323</v>
      </c>
      <c r="CP120" s="9">
        <v>0.65620958805084229</v>
      </c>
      <c r="CQ120" s="9">
        <v>-0.35482031106948853</v>
      </c>
      <c r="CR120">
        <v>27.095938496671398</v>
      </c>
      <c r="CS120">
        <v>1.9314416990869954</v>
      </c>
      <c r="CT120">
        <v>1.5841584158415842</v>
      </c>
      <c r="CU120" s="8">
        <v>0.14028866887092589</v>
      </c>
      <c r="CV120" s="9">
        <v>0.25298687815666199</v>
      </c>
      <c r="CW120">
        <v>0.06</v>
      </c>
      <c r="CX120">
        <v>9.7433070344341584</v>
      </c>
      <c r="CY120">
        <v>123710563.13222307</v>
      </c>
      <c r="CZ120">
        <v>0.14028866887092589</v>
      </c>
      <c r="DA120">
        <v>3.0520330200500232</v>
      </c>
      <c r="DB120">
        <v>394933472.89546829</v>
      </c>
      <c r="DC120">
        <v>0.13327423542737959</v>
      </c>
      <c r="DD120">
        <v>1.4182489360765866</v>
      </c>
      <c r="DE120">
        <v>849886059.73113179</v>
      </c>
      <c r="DF120">
        <v>0.12345402860641479</v>
      </c>
      <c r="DG120">
        <v>0.79687229389773429</v>
      </c>
      <c r="DH120">
        <v>1512601215.0633101</v>
      </c>
      <c r="DI120">
        <v>0.11223093509674072</v>
      </c>
      <c r="DJ120">
        <v>0.35393217895398721</v>
      </c>
      <c r="DK120">
        <v>3405595963.5043554</v>
      </c>
      <c r="DL120">
        <v>9.8202068209648122E-2</v>
      </c>
      <c r="DM120">
        <v>114999999.99999999</v>
      </c>
      <c r="DN120">
        <v>0.14028866887092589</v>
      </c>
      <c r="DO120">
        <v>1205350000</v>
      </c>
      <c r="DP120">
        <v>267597590.00000003</v>
      </c>
      <c r="DQ120">
        <v>2548</v>
      </c>
      <c r="DR120">
        <v>-0.39755351262092592</v>
      </c>
      <c r="DS120">
        <v>-1.0797841210310914</v>
      </c>
      <c r="DT120" s="10">
        <v>-0.15666666666666665</v>
      </c>
      <c r="DU120">
        <v>1.0000000000000011E-2</v>
      </c>
      <c r="DV120">
        <v>-0.14666666666666664</v>
      </c>
      <c r="DW120">
        <v>1.32E-2</v>
      </c>
      <c r="DX120">
        <v>0.32554098986908386</v>
      </c>
      <c r="DY120">
        <v>2.5811410662719188E-3</v>
      </c>
      <c r="DZ120">
        <v>1233</v>
      </c>
      <c r="EA120">
        <v>1.9583334469542523E-3</v>
      </c>
      <c r="EB120">
        <v>0</v>
      </c>
      <c r="EC120">
        <v>0.106</v>
      </c>
      <c r="ED120">
        <v>0.54208583106267028</v>
      </c>
      <c r="EE120" s="11">
        <v>-1.0054000000000001</v>
      </c>
      <c r="EF120">
        <v>-1.0355099999999999</v>
      </c>
      <c r="EG120">
        <v>13.195540989869084</v>
      </c>
      <c r="EH120" t="s">
        <v>1726</v>
      </c>
      <c r="EI120">
        <v>0</v>
      </c>
      <c r="EJ120">
        <v>1</v>
      </c>
      <c r="EK120" s="13">
        <v>45470</v>
      </c>
      <c r="EL120" s="14">
        <v>-1.21</v>
      </c>
      <c r="EM120" s="14">
        <v>-2.52</v>
      </c>
      <c r="EN120" s="14">
        <v>0.75</v>
      </c>
      <c r="EO120" s="14">
        <v>1.79</v>
      </c>
      <c r="EP120" s="14">
        <v>-4.09</v>
      </c>
    </row>
    <row r="121" spans="1:146" ht="108">
      <c r="A121" s="7"/>
      <c r="B121" s="7"/>
      <c r="C121" s="7" t="str">
        <f>""&amp;CHAR(10)&amp;Basic_Fundamental_Information_Constructure(F121)&amp;CHAR(10)&amp;Basic_Fundamental_Information_Concatenate("")</f>
        <v xml:space="preserve">
市值13.467002亿, 利润3429.98万; PE; 平均PE28.22; 平均PEG.17, PB2.35; ROIC10.1133%; ROE11.0433%; 股利率.3158%; 毛利27.7667%; 净利7.71%; 上一年度营收增797.47%, 利润增-32.44%; 当季营收增-84.26%, 利润增-133.05%; 过往5年营收增169.74%, 利润增-2.36%
Income profile:
</v>
      </c>
      <c r="D121" t="s">
        <v>1418</v>
      </c>
      <c r="E121" t="s">
        <v>1483</v>
      </c>
      <c r="F121">
        <v>9.5</v>
      </c>
      <c r="G121">
        <v>0</v>
      </c>
      <c r="H121" t="s">
        <v>5246</v>
      </c>
      <c r="I121">
        <v>1346700200</v>
      </c>
      <c r="K121">
        <v>2.35</v>
      </c>
      <c r="L121" t="s">
        <v>85</v>
      </c>
      <c r="M121" t="s">
        <v>1866</v>
      </c>
      <c r="N121" t="s">
        <v>5247</v>
      </c>
      <c r="O121" t="s">
        <v>486</v>
      </c>
      <c r="P121">
        <v>36.64</v>
      </c>
      <c r="Q121" t="s">
        <v>3189</v>
      </c>
      <c r="R121">
        <v>-5053262</v>
      </c>
      <c r="S121" s="5">
        <v>-1.5640000000000001</v>
      </c>
      <c r="T121" t="s">
        <v>5248</v>
      </c>
      <c r="U121">
        <v>58972420</v>
      </c>
      <c r="V121">
        <v>141757920</v>
      </c>
      <c r="W121">
        <v>1.62</v>
      </c>
      <c r="X121">
        <v>0.13</v>
      </c>
      <c r="Y121">
        <v>-6.3</v>
      </c>
      <c r="Z121" t="s">
        <v>261</v>
      </c>
      <c r="AA121" t="s">
        <v>342</v>
      </c>
      <c r="AB121" t="s">
        <v>5249</v>
      </c>
      <c r="AC121" t="s">
        <v>5250</v>
      </c>
      <c r="AD121" t="s">
        <v>90</v>
      </c>
      <c r="AE121">
        <v>1397528</v>
      </c>
      <c r="AF121" t="s">
        <v>2886</v>
      </c>
      <c r="AG121">
        <v>6729.61</v>
      </c>
      <c r="AH121" t="s">
        <v>2887</v>
      </c>
      <c r="AI121" t="s">
        <v>5251</v>
      </c>
      <c r="AJ121" t="s">
        <v>2888</v>
      </c>
      <c r="AK121" t="s">
        <v>90</v>
      </c>
      <c r="AL121" t="s">
        <v>2889</v>
      </c>
      <c r="AM121" t="s">
        <v>90</v>
      </c>
      <c r="AN121" t="s">
        <v>5252</v>
      </c>
      <c r="AO121" t="s">
        <v>5253</v>
      </c>
      <c r="AP121" t="s">
        <v>90</v>
      </c>
      <c r="AQ121" t="s">
        <v>418</v>
      </c>
      <c r="AR121" t="s">
        <v>90</v>
      </c>
      <c r="AS121" t="s">
        <v>1140</v>
      </c>
      <c r="AT121" t="s">
        <v>393</v>
      </c>
      <c r="AU121" t="s">
        <v>5254</v>
      </c>
      <c r="AV121" t="s">
        <v>5255</v>
      </c>
      <c r="AW121" t="s">
        <v>5256</v>
      </c>
      <c r="AX121" t="s">
        <v>465</v>
      </c>
      <c r="AY121" t="s">
        <v>1419</v>
      </c>
      <c r="AZ121" t="s">
        <v>120</v>
      </c>
      <c r="BA121" t="s">
        <v>1375</v>
      </c>
      <c r="BB121" t="s">
        <v>335</v>
      </c>
      <c r="BC121" t="s">
        <v>2890</v>
      </c>
      <c r="BD121" t="s">
        <v>1420</v>
      </c>
      <c r="BE121" t="s">
        <v>1421</v>
      </c>
      <c r="BF121" t="s">
        <v>1422</v>
      </c>
      <c r="BG121" t="s">
        <v>1423</v>
      </c>
      <c r="BH121" t="s">
        <v>656</v>
      </c>
      <c r="BI121" t="s">
        <v>1601</v>
      </c>
      <c r="BJ121" t="s">
        <v>465</v>
      </c>
      <c r="BK121" t="s">
        <v>2885</v>
      </c>
      <c r="BL121" t="s">
        <v>5257</v>
      </c>
      <c r="BM121" t="s">
        <v>2890</v>
      </c>
      <c r="BN121">
        <v>3.45</v>
      </c>
      <c r="BO121">
        <v>10.210000000000001</v>
      </c>
      <c r="BP121">
        <v>16.68</v>
      </c>
      <c r="BQ121">
        <v>4.25</v>
      </c>
      <c r="BR121">
        <v>9.77</v>
      </c>
      <c r="BS121">
        <v>19.11</v>
      </c>
      <c r="BT121" t="s">
        <v>2891</v>
      </c>
      <c r="BU121" t="s">
        <v>1381</v>
      </c>
      <c r="BV121">
        <v>27.82</v>
      </c>
      <c r="BW121">
        <v>27.16</v>
      </c>
      <c r="BX121">
        <v>28.32</v>
      </c>
      <c r="BY121">
        <v>0.11</v>
      </c>
      <c r="BZ121">
        <v>11.66</v>
      </c>
      <c r="CA121">
        <v>11.36</v>
      </c>
      <c r="CB121">
        <v>-3.94</v>
      </c>
      <c r="CC121">
        <v>-0.97</v>
      </c>
      <c r="CD121" t="s">
        <v>5258</v>
      </c>
      <c r="CE121" t="s">
        <v>183</v>
      </c>
      <c r="CF121" s="8">
        <v>-0.84264538198403649</v>
      </c>
      <c r="CG121" s="9">
        <v>-1.3305464559512286</v>
      </c>
      <c r="CH121" s="8">
        <v>7.9747123718261719</v>
      </c>
      <c r="CI121" s="8">
        <v>-9.375E-2</v>
      </c>
      <c r="CJ121" s="8">
        <v>0.30790191888809204</v>
      </c>
      <c r="CK121" s="8">
        <v>0.15047021210193634</v>
      </c>
      <c r="CL121" s="8">
        <v>0.1474820077419281</v>
      </c>
      <c r="CM121" s="9">
        <v>-0.3243735134601593</v>
      </c>
      <c r="CN121" s="9">
        <v>-6.8086236715316772E-2</v>
      </c>
      <c r="CO121" s="9">
        <v>-1.1877100914716721E-2</v>
      </c>
      <c r="CP121" s="9">
        <v>0.11558011919260025</v>
      </c>
      <c r="CQ121" s="9">
        <v>0.17099812626838684</v>
      </c>
      <c r="CR121">
        <v>28.223123383672633</v>
      </c>
      <c r="CS121">
        <v>0.16627626712891289</v>
      </c>
      <c r="CT121">
        <v>0.31578947368421051</v>
      </c>
      <c r="CU121" s="8">
        <v>1.6973633021116257</v>
      </c>
      <c r="CV121" s="9">
        <v>-2.3551721125841141E-2</v>
      </c>
      <c r="CW121">
        <v>0.06</v>
      </c>
      <c r="CX121">
        <v>12.6337502211817</v>
      </c>
      <c r="CY121">
        <v>87282096.028083324</v>
      </c>
      <c r="CZ121">
        <v>1.6973633021116257</v>
      </c>
      <c r="DA121">
        <v>1.3674618001438297</v>
      </c>
      <c r="DB121">
        <v>806384646.27239895</v>
      </c>
      <c r="DC121">
        <v>1.6124951370060443</v>
      </c>
      <c r="DD121">
        <v>0.10968268256857458</v>
      </c>
      <c r="DE121">
        <v>10053548784.33596</v>
      </c>
      <c r="DF121">
        <v>1.4936797058582305</v>
      </c>
      <c r="DG121">
        <v>5.9682749125539386E-3</v>
      </c>
      <c r="DH121">
        <v>184760289389.57397</v>
      </c>
      <c r="DI121">
        <v>1.3578906416893006</v>
      </c>
      <c r="DJ121">
        <v>8.3948905362706595E-6</v>
      </c>
      <c r="DK121">
        <v>131353731800994.14</v>
      </c>
      <c r="DL121">
        <v>1.1881543114781379</v>
      </c>
      <c r="DM121">
        <v>34299800</v>
      </c>
      <c r="DN121">
        <v>1.6973633021116257</v>
      </c>
      <c r="DO121">
        <v>1102700200</v>
      </c>
      <c r="DP121">
        <v>34819080</v>
      </c>
      <c r="DQ121">
        <v>2564</v>
      </c>
      <c r="DR121">
        <v>-2.5400086840956622</v>
      </c>
      <c r="DS121">
        <v>-1.3069947348253874</v>
      </c>
      <c r="DT121" s="10">
        <v>0.10999999999999995</v>
      </c>
      <c r="DU121">
        <v>-0.96499999999999997</v>
      </c>
      <c r="DV121">
        <v>-0.85499999999999998</v>
      </c>
      <c r="DW121">
        <v>-4.2461928934010151</v>
      </c>
      <c r="DX121">
        <v>0.50831583333333319</v>
      </c>
      <c r="DY121">
        <v>-4.0980625274957703</v>
      </c>
      <c r="DZ121">
        <v>2589</v>
      </c>
      <c r="EA121">
        <v>-4.0483787929191459</v>
      </c>
      <c r="EB121">
        <v>4</v>
      </c>
      <c r="EC121">
        <v>0.33717974981574222</v>
      </c>
      <c r="ED121">
        <v>0.84651354929587008</v>
      </c>
      <c r="EE121" s="11">
        <v>-3.0780099999999999</v>
      </c>
      <c r="EF121">
        <v>-3.0844100000000001</v>
      </c>
      <c r="EG121">
        <v>11.398315833333333</v>
      </c>
      <c r="EH121" t="s">
        <v>2117</v>
      </c>
      <c r="EI121">
        <v>0</v>
      </c>
      <c r="EJ121">
        <v>0</v>
      </c>
      <c r="EK121" s="13">
        <v>45470</v>
      </c>
      <c r="EL121" s="14">
        <v>-2.0099999999999998</v>
      </c>
      <c r="EM121" s="14">
        <v>-6.1</v>
      </c>
      <c r="EN121" s="14">
        <v>-4.08</v>
      </c>
      <c r="EO121" s="14">
        <v>5.73</v>
      </c>
      <c r="EP121" s="14">
        <v>-0.64</v>
      </c>
    </row>
    <row r="122" spans="1:146" ht="108">
      <c r="C122" s="7" t="str">
        <f>""&amp;CHAR(10)&amp;Basic_Fundamental_Information_Constructure(F122)&amp;CHAR(10)&amp;Basic_Fundamental_Information_Concatenate("")</f>
        <v xml:space="preserve">
市值27.543641亿, 利润5050.24万; PE53.62; 平均PE23.87; 平均PEG1.66, PB1.67; ROIC10.3333%; ROE13.29%; 股利率.7292%; 毛利55.1667%; 净利26.31%; 上一年度营收增-65.22%, 利润增-74.87%; 当季营收增-47.76%, 利润增-194.23%; 过往5年营收增14.38%, 利润增27%
Income profile:
</v>
      </c>
      <c r="D122" t="s">
        <v>5259</v>
      </c>
      <c r="E122" t="s">
        <v>5260</v>
      </c>
      <c r="F122">
        <v>20.57</v>
      </c>
      <c r="G122">
        <v>-0.24</v>
      </c>
      <c r="H122" t="s">
        <v>5261</v>
      </c>
      <c r="I122">
        <v>2754364100</v>
      </c>
      <c r="J122">
        <v>53.62</v>
      </c>
      <c r="K122">
        <v>1.67</v>
      </c>
      <c r="L122" t="s">
        <v>85</v>
      </c>
      <c r="M122" t="s">
        <v>705</v>
      </c>
      <c r="N122" t="s">
        <v>5262</v>
      </c>
      <c r="O122" t="s">
        <v>5263</v>
      </c>
      <c r="P122" s="5">
        <v>-13.68</v>
      </c>
      <c r="Q122" t="s">
        <v>349</v>
      </c>
      <c r="R122">
        <v>-9022480</v>
      </c>
      <c r="S122">
        <v>-2.3330000000000002</v>
      </c>
      <c r="T122" t="s">
        <v>5264</v>
      </c>
      <c r="U122">
        <v>36183600</v>
      </c>
      <c r="V122">
        <v>133902000</v>
      </c>
      <c r="W122">
        <v>1.2</v>
      </c>
      <c r="X122">
        <v>0.01</v>
      </c>
      <c r="Y122">
        <v>-31.15</v>
      </c>
      <c r="Z122" t="s">
        <v>5265</v>
      </c>
      <c r="AA122" t="s">
        <v>5266</v>
      </c>
      <c r="AB122" t="s">
        <v>5267</v>
      </c>
      <c r="AC122" t="s">
        <v>5268</v>
      </c>
      <c r="AD122" t="s">
        <v>90</v>
      </c>
      <c r="AE122">
        <v>839969</v>
      </c>
      <c r="AF122" t="s">
        <v>5269</v>
      </c>
      <c r="AG122">
        <v>1.1299999999999999</v>
      </c>
      <c r="AH122" t="s">
        <v>5270</v>
      </c>
      <c r="AI122" t="s">
        <v>151</v>
      </c>
      <c r="AJ122" t="s">
        <v>5271</v>
      </c>
      <c r="AK122" t="s">
        <v>5272</v>
      </c>
      <c r="AL122" t="s">
        <v>5273</v>
      </c>
      <c r="AM122" t="s">
        <v>90</v>
      </c>
      <c r="AN122" t="s">
        <v>5274</v>
      </c>
      <c r="AO122" t="s">
        <v>393</v>
      </c>
      <c r="AP122" t="s">
        <v>5275</v>
      </c>
      <c r="AQ122" t="s">
        <v>5276</v>
      </c>
      <c r="AR122" t="s">
        <v>90</v>
      </c>
      <c r="AS122" t="s">
        <v>525</v>
      </c>
      <c r="AT122" t="s">
        <v>90</v>
      </c>
      <c r="AU122" t="s">
        <v>5277</v>
      </c>
      <c r="AV122" t="s">
        <v>5278</v>
      </c>
      <c r="AW122" t="s">
        <v>5279</v>
      </c>
      <c r="AX122" t="s">
        <v>1952</v>
      </c>
      <c r="AY122" t="s">
        <v>302</v>
      </c>
      <c r="AZ122" t="s">
        <v>779</v>
      </c>
      <c r="BA122" t="s">
        <v>1006</v>
      </c>
      <c r="BB122" t="s">
        <v>260</v>
      </c>
      <c r="BC122" t="s">
        <v>275</v>
      </c>
      <c r="BD122" t="s">
        <v>136</v>
      </c>
      <c r="BE122" t="s">
        <v>480</v>
      </c>
      <c r="BF122" t="s">
        <v>5280</v>
      </c>
      <c r="BG122" t="s">
        <v>5281</v>
      </c>
      <c r="BH122" t="s">
        <v>124</v>
      </c>
      <c r="BI122" t="s">
        <v>5282</v>
      </c>
      <c r="BJ122" t="s">
        <v>1952</v>
      </c>
      <c r="BK122" t="s">
        <v>5283</v>
      </c>
      <c r="BL122" t="s">
        <v>5284</v>
      </c>
      <c r="BM122" t="s">
        <v>275</v>
      </c>
      <c r="BN122">
        <v>0.37</v>
      </c>
      <c r="BO122">
        <v>12.67</v>
      </c>
      <c r="BP122">
        <v>17.96</v>
      </c>
      <c r="BQ122">
        <v>0.49</v>
      </c>
      <c r="BR122">
        <v>12.53</v>
      </c>
      <c r="BS122">
        <v>26.85</v>
      </c>
      <c r="BT122" t="s">
        <v>1695</v>
      </c>
      <c r="BU122" t="s">
        <v>3551</v>
      </c>
      <c r="BV122">
        <v>55.66</v>
      </c>
      <c r="BW122">
        <v>54.77</v>
      </c>
      <c r="BX122">
        <v>55.07</v>
      </c>
      <c r="BY122">
        <v>15.56</v>
      </c>
      <c r="BZ122">
        <v>31.03</v>
      </c>
      <c r="CA122">
        <v>32.340000000000003</v>
      </c>
      <c r="CB122">
        <v>-18.5</v>
      </c>
      <c r="CC122" s="8">
        <v>31.27</v>
      </c>
      <c r="CD122" s="9" t="s">
        <v>5285</v>
      </c>
      <c r="CE122" s="8" t="s">
        <v>532</v>
      </c>
      <c r="CF122" s="8">
        <v>-0.47760375612598099</v>
      </c>
      <c r="CG122" s="8">
        <v>-1.9422660386619741</v>
      </c>
      <c r="CH122" s="8">
        <v>-0.65224111080169678</v>
      </c>
      <c r="CI122" s="8">
        <v>0.2207547128200531</v>
      </c>
      <c r="CJ122" s="9">
        <v>0.27403846383094788</v>
      </c>
      <c r="CK122" s="9">
        <v>0.19540229439735413</v>
      </c>
      <c r="CL122" s="9">
        <v>0.68115943670272827</v>
      </c>
      <c r="CM122" s="9">
        <v>-0.74874424934387207</v>
      </c>
      <c r="CN122" s="9">
        <v>0.17543859779834747</v>
      </c>
      <c r="CO122">
        <v>0.3153846263885498</v>
      </c>
      <c r="CP122">
        <v>0.33917900919914246</v>
      </c>
      <c r="CQ122">
        <v>1.268708348274231</v>
      </c>
      <c r="CR122" s="8">
        <v>23.869172800712686</v>
      </c>
      <c r="CS122" s="9">
        <v>1.6596241722777481</v>
      </c>
      <c r="CT122">
        <v>0.7292173067574137</v>
      </c>
      <c r="CU122">
        <v>0.14382275938987732</v>
      </c>
      <c r="CV122">
        <v>0.2699932664632797</v>
      </c>
      <c r="CW122">
        <v>0.06</v>
      </c>
      <c r="CX122">
        <v>27.091221697901545</v>
      </c>
      <c r="CY122">
        <v>54496032.569633335</v>
      </c>
      <c r="CZ122">
        <v>0.14382275938987732</v>
      </c>
      <c r="DA122">
        <v>8.461112066106617</v>
      </c>
      <c r="DB122">
        <v>174488186.47775567</v>
      </c>
      <c r="DC122">
        <v>0.13663162142038346</v>
      </c>
      <c r="DD122">
        <v>3.9156928209022266</v>
      </c>
      <c r="DE122">
        <v>377037772.7586472</v>
      </c>
      <c r="DF122">
        <v>0.12656402826309204</v>
      </c>
      <c r="DG122">
        <v>2.1894926746092294</v>
      </c>
      <c r="DH122">
        <v>674295062.55986667</v>
      </c>
      <c r="DI122">
        <v>0.11505820751190186</v>
      </c>
      <c r="DJ122">
        <v>0.96149924234702888</v>
      </c>
      <c r="DK122">
        <v>1535481293.1481683</v>
      </c>
      <c r="DL122">
        <v>0.10067593157291412</v>
      </c>
      <c r="DM122">
        <v>50502400</v>
      </c>
      <c r="DN122">
        <v>0.14382275938987732</v>
      </c>
      <c r="DO122">
        <v>1476364100</v>
      </c>
      <c r="DP122">
        <v>1220290300</v>
      </c>
      <c r="DQ122" s="10">
        <v>2568</v>
      </c>
      <c r="DR122">
        <v>-0.62142651551585826</v>
      </c>
      <c r="DS122">
        <v>-2.2122593051252539</v>
      </c>
      <c r="DT122">
        <v>-0.17333333333333334</v>
      </c>
      <c r="DU122">
        <v>-0.63166666666666671</v>
      </c>
      <c r="DV122">
        <v>-0.80500000000000005</v>
      </c>
      <c r="DW122">
        <v>-7.3717098653807511</v>
      </c>
      <c r="DX122">
        <v>0.28086459627329197</v>
      </c>
      <c r="DY122">
        <v>-7.0635120560790821</v>
      </c>
      <c r="DZ122">
        <v>908</v>
      </c>
      <c r="EA122">
        <v>-7.0522265478755974</v>
      </c>
      <c r="EB122" s="11">
        <v>7</v>
      </c>
      <c r="EC122" s="11">
        <v>0.41088557303102269</v>
      </c>
      <c r="ED122">
        <v>2.4047437678302042</v>
      </c>
      <c r="EE122">
        <v>1.0158</v>
      </c>
      <c r="EF122">
        <v>1.0086999999999999</v>
      </c>
      <c r="EG122">
        <v>11.170864596273292</v>
      </c>
      <c r="EH122" s="13" t="s">
        <v>1725</v>
      </c>
      <c r="EI122">
        <v>0</v>
      </c>
      <c r="EJ122">
        <v>1</v>
      </c>
      <c r="EK122">
        <v>45470</v>
      </c>
      <c r="EL122">
        <v>-1.17</v>
      </c>
      <c r="EM122">
        <v>-4.87</v>
      </c>
      <c r="EN122" s="14">
        <v>-1.1599999999999999</v>
      </c>
      <c r="EO122" s="14">
        <v>6.15</v>
      </c>
      <c r="EP122" s="14">
        <v>-0.71</v>
      </c>
    </row>
    <row r="123" spans="1:146" ht="108">
      <c r="A123" s="7"/>
      <c r="B123" s="7"/>
      <c r="C123" s="7" t="str">
        <f>""&amp;CHAR(10)&amp;Basic_Fundamental_Information_Constructure(F123)&amp;CHAR(10)&amp;Basic_Fundamental_Information_Concatenate("")</f>
        <v xml:space="preserve">
市值25.399332亿, 利润7596.56万; PE43.34; 平均PE36.72; 平均PEG7.75, PB1.89; ROIC5.7067%; ROE6.5567%; 股利率.9162%; 毛利10.51%; 净利3.6933%; 上一年度营收增-66.07%, 利润增64.95%; 当季营收增198.11%, 利润增-66.07%; 过往5年营收增-4.74%, 利润增7.89%
Income profile:
</v>
      </c>
      <c r="D123" t="s">
        <v>1316</v>
      </c>
      <c r="E123" t="s">
        <v>1317</v>
      </c>
      <c r="F123">
        <v>13.97</v>
      </c>
      <c r="G123">
        <v>1.38</v>
      </c>
      <c r="H123" t="s">
        <v>5286</v>
      </c>
      <c r="I123">
        <v>2539933200</v>
      </c>
      <c r="J123">
        <v>43.34</v>
      </c>
      <c r="K123">
        <v>1.89</v>
      </c>
      <c r="L123" t="s">
        <v>85</v>
      </c>
      <c r="M123" t="s">
        <v>1183</v>
      </c>
      <c r="N123" t="s">
        <v>1610</v>
      </c>
      <c r="O123" t="s">
        <v>1964</v>
      </c>
      <c r="P123">
        <v>-5.05</v>
      </c>
      <c r="Q123" t="s">
        <v>1408</v>
      </c>
      <c r="R123">
        <v>6321099</v>
      </c>
      <c r="S123" s="5">
        <v>0.1072</v>
      </c>
      <c r="T123" t="s">
        <v>5287</v>
      </c>
      <c r="U123">
        <v>101701800</v>
      </c>
      <c r="V123">
        <v>181813400</v>
      </c>
      <c r="W123">
        <v>1.54</v>
      </c>
      <c r="X123">
        <v>0.15</v>
      </c>
      <c r="Y123">
        <v>2</v>
      </c>
      <c r="Z123" t="s">
        <v>584</v>
      </c>
      <c r="AA123" t="s">
        <v>516</v>
      </c>
      <c r="AB123" t="s">
        <v>4901</v>
      </c>
      <c r="AC123" t="s">
        <v>5288</v>
      </c>
      <c r="AD123" t="s">
        <v>90</v>
      </c>
      <c r="AE123">
        <v>1045735</v>
      </c>
      <c r="AF123" t="s">
        <v>2894</v>
      </c>
      <c r="AG123" t="s">
        <v>5289</v>
      </c>
      <c r="AH123" t="s">
        <v>2895</v>
      </c>
      <c r="AI123" t="s">
        <v>653</v>
      </c>
      <c r="AJ123" t="s">
        <v>2896</v>
      </c>
      <c r="AK123" t="s">
        <v>195</v>
      </c>
      <c r="AL123" t="s">
        <v>2897</v>
      </c>
      <c r="AM123" t="s">
        <v>90</v>
      </c>
      <c r="AN123" t="s">
        <v>5290</v>
      </c>
      <c r="AO123" t="s">
        <v>1393</v>
      </c>
      <c r="AP123" t="s">
        <v>480</v>
      </c>
      <c r="AQ123" t="s">
        <v>248</v>
      </c>
      <c r="AR123" t="s">
        <v>5291</v>
      </c>
      <c r="AS123" t="s">
        <v>874</v>
      </c>
      <c r="AT123" t="s">
        <v>90</v>
      </c>
      <c r="AU123" t="s">
        <v>5292</v>
      </c>
      <c r="AV123" t="s">
        <v>5293</v>
      </c>
      <c r="AW123" t="s">
        <v>5294</v>
      </c>
      <c r="AX123" t="s">
        <v>1902</v>
      </c>
      <c r="AY123" t="s">
        <v>1318</v>
      </c>
      <c r="AZ123" t="s">
        <v>1320</v>
      </c>
      <c r="BA123" t="s">
        <v>1265</v>
      </c>
      <c r="BB123" t="s">
        <v>1321</v>
      </c>
      <c r="BC123" t="s">
        <v>1903</v>
      </c>
      <c r="BD123" t="s">
        <v>1319</v>
      </c>
      <c r="BE123" t="s">
        <v>1322</v>
      </c>
      <c r="BF123" t="s">
        <v>1323</v>
      </c>
      <c r="BG123" t="s">
        <v>1324</v>
      </c>
      <c r="BH123" t="s">
        <v>2049</v>
      </c>
      <c r="BI123" t="s">
        <v>597</v>
      </c>
      <c r="BJ123" t="s">
        <v>1902</v>
      </c>
      <c r="BK123" t="s">
        <v>2892</v>
      </c>
      <c r="BL123" t="s">
        <v>5295</v>
      </c>
      <c r="BM123" t="s">
        <v>1903</v>
      </c>
      <c r="BN123">
        <v>2.19</v>
      </c>
      <c r="BO123">
        <v>4.5</v>
      </c>
      <c r="BP123">
        <v>10.43</v>
      </c>
      <c r="BQ123">
        <v>2.37</v>
      </c>
      <c r="BR123">
        <v>4.12</v>
      </c>
      <c r="BS123">
        <v>13.18</v>
      </c>
      <c r="BT123" t="s">
        <v>2250</v>
      </c>
      <c r="BU123" t="s">
        <v>1337</v>
      </c>
      <c r="BV123">
        <v>10.99</v>
      </c>
      <c r="BW123">
        <v>8.66</v>
      </c>
      <c r="BX123">
        <v>11.88</v>
      </c>
      <c r="BY123">
        <v>3.67</v>
      </c>
      <c r="BZ123">
        <v>2.93</v>
      </c>
      <c r="CA123">
        <v>4.4800000000000004</v>
      </c>
      <c r="CB123">
        <v>-4.12</v>
      </c>
      <c r="CC123">
        <v>-6.44</v>
      </c>
      <c r="CD123" t="s">
        <v>5296</v>
      </c>
      <c r="CE123" t="s">
        <v>189</v>
      </c>
      <c r="CF123" s="8">
        <v>1.9811320754716981</v>
      </c>
      <c r="CG123" s="9">
        <v>-0.66072143202189904</v>
      </c>
      <c r="CH123" s="8">
        <v>-0.66072565317153931</v>
      </c>
      <c r="CI123" s="8">
        <v>-8.4498800337314606E-2</v>
      </c>
      <c r="CJ123" s="8">
        <v>0.25898745656013489</v>
      </c>
      <c r="CK123" s="8">
        <v>0.1444164514541626</v>
      </c>
      <c r="CL123" s="8">
        <v>0.10482380539178848</v>
      </c>
      <c r="CM123" s="9">
        <v>0.64949333667755127</v>
      </c>
      <c r="CN123" s="9">
        <v>-0.401246577501297</v>
      </c>
      <c r="CO123" s="9">
        <v>-3.0457794666290283E-2</v>
      </c>
      <c r="CP123" s="9">
        <v>0.13893945515155792</v>
      </c>
      <c r="CQ123" s="9">
        <v>3.7605907768011093E-2</v>
      </c>
      <c r="CR123">
        <v>36.71719236194852</v>
      </c>
      <c r="CS123">
        <v>7.7463496641403147</v>
      </c>
      <c r="CT123">
        <v>0.9162491052254832</v>
      </c>
      <c r="CU123" s="8">
        <v>-4.7399348020553587E-2</v>
      </c>
      <c r="CV123" s="9">
        <v>7.8866865485906601E-2</v>
      </c>
      <c r="CW123">
        <v>0.06</v>
      </c>
      <c r="CX123">
        <v>25.313210189875416</v>
      </c>
      <c r="CY123" t="s">
        <v>5297</v>
      </c>
      <c r="CZ123">
        <v>-4.7399348020553587E-2</v>
      </c>
      <c r="DA123">
        <v>8.4377367299584716</v>
      </c>
      <c r="DB123" t="s">
        <v>5298</v>
      </c>
      <c r="DC123">
        <v>-4.5029380619525904E-2</v>
      </c>
      <c r="DD123">
        <v>4.2188683649792358</v>
      </c>
      <c r="DE123" t="s">
        <v>5299</v>
      </c>
      <c r="DF123">
        <v>-4.1711426258087159E-2</v>
      </c>
      <c r="DG123">
        <v>2.5313210189875419</v>
      </c>
      <c r="DH123" t="s">
        <v>5300</v>
      </c>
      <c r="DI123">
        <v>-3.7919478416442873E-2</v>
      </c>
      <c r="DJ123">
        <v>1.265660509493771</v>
      </c>
      <c r="DK123" t="s">
        <v>5301</v>
      </c>
      <c r="DL123">
        <v>-3.3179543614387512E-2</v>
      </c>
      <c r="DM123">
        <v>75965600</v>
      </c>
      <c r="DN123">
        <v>-4.7399348020553587E-2</v>
      </c>
      <c r="DO123">
        <v>1922933200</v>
      </c>
      <c r="DP123">
        <v>755802900</v>
      </c>
      <c r="DQ123">
        <v>2575</v>
      </c>
      <c r="DR123">
        <v>2.0285314234922516</v>
      </c>
      <c r="DS123">
        <v>-0.73958829750780564</v>
      </c>
      <c r="DT123" s="10">
        <v>-0.64</v>
      </c>
      <c r="DU123">
        <v>-0.25666666666666665</v>
      </c>
      <c r="DV123">
        <v>-0.89666666666666672</v>
      </c>
      <c r="DW123">
        <v>-8.6397515527950315</v>
      </c>
      <c r="DX123">
        <v>0.26249906542056112</v>
      </c>
      <c r="DY123">
        <v>-8.0719714517907928</v>
      </c>
      <c r="DZ123">
        <v>3542</v>
      </c>
      <c r="EA123">
        <v>-8.0220843906864907</v>
      </c>
      <c r="EB123">
        <v>8</v>
      </c>
      <c r="EC123">
        <v>6.6207441255705018E-2</v>
      </c>
      <c r="ED123">
        <v>0.58851547795707027</v>
      </c>
      <c r="EE123" s="11">
        <v>2.0434000000000001</v>
      </c>
      <c r="EF123">
        <v>2.0337999999999998</v>
      </c>
      <c r="EG123">
        <v>15.112499065420561</v>
      </c>
      <c r="EH123" t="s">
        <v>1732</v>
      </c>
      <c r="EI123">
        <v>0</v>
      </c>
      <c r="EJ123">
        <v>0</v>
      </c>
      <c r="EK123" s="13">
        <v>45470</v>
      </c>
      <c r="EL123" s="14">
        <v>2.25</v>
      </c>
      <c r="EM123" s="14">
        <v>-5.19</v>
      </c>
      <c r="EN123" s="14">
        <v>2.79</v>
      </c>
      <c r="EO123" s="14">
        <v>3.79</v>
      </c>
      <c r="EP123" s="14">
        <v>-0.96</v>
      </c>
    </row>
    <row r="124" spans="1:146" ht="108">
      <c r="A124" s="7"/>
      <c r="B124" s="7"/>
      <c r="C124" s="7" t="str">
        <f>""&amp;CHAR(10)&amp;Basic_Fundamental_Information_Constructure(F124)&amp;CHAR(10)&amp;Basic_Fundamental_Information_Concatenate("")</f>
        <v xml:space="preserve">
市值23.54569亿, 利润-5.03亿; PE23.85; 平均PE86.14; 平均PEG2.46, PB1.13; ROIC10.2267%; ROE12.5733%; 股利率2.8944%; 毛利37.6167%; 净利12.8667%; 上一年度营收增161.84%, 利润增-593.14%; 当季营收增-74.48%, 利润增1084.06%; 过往5年营收增35.08%, 利润增-110.11%
Income profile:
</v>
      </c>
      <c r="D124" t="s">
        <v>1325</v>
      </c>
      <c r="E124" t="s">
        <v>1326</v>
      </c>
      <c r="F124">
        <v>13.82</v>
      </c>
      <c r="G124">
        <v>0</v>
      </c>
      <c r="H124" t="s">
        <v>5302</v>
      </c>
      <c r="I124">
        <v>2354569000</v>
      </c>
      <c r="J124">
        <v>23.85</v>
      </c>
      <c r="K124">
        <v>1.1299999999999999</v>
      </c>
      <c r="L124" t="s">
        <v>85</v>
      </c>
      <c r="M124" t="s">
        <v>1103</v>
      </c>
      <c r="N124" t="s">
        <v>1211</v>
      </c>
      <c r="O124" t="s">
        <v>502</v>
      </c>
      <c r="P124">
        <v>0.55000000000000004</v>
      </c>
      <c r="Q124" t="s">
        <v>5303</v>
      </c>
      <c r="R124">
        <v>5914397</v>
      </c>
      <c r="S124" s="5">
        <v>4.1700000000000001E-2</v>
      </c>
      <c r="T124" t="s">
        <v>5304</v>
      </c>
      <c r="U124">
        <v>54567429</v>
      </c>
      <c r="V124">
        <v>170374020</v>
      </c>
      <c r="W124">
        <v>1.27</v>
      </c>
      <c r="X124">
        <v>0.06</v>
      </c>
      <c r="Y124">
        <v>3.99</v>
      </c>
      <c r="Z124" t="s">
        <v>261</v>
      </c>
      <c r="AA124" t="s">
        <v>818</v>
      </c>
      <c r="AB124" t="s">
        <v>5305</v>
      </c>
      <c r="AC124" t="s">
        <v>5306</v>
      </c>
      <c r="AD124" t="s">
        <v>90</v>
      </c>
      <c r="AE124">
        <v>-2721343</v>
      </c>
      <c r="AF124" t="s">
        <v>2900</v>
      </c>
      <c r="AG124" t="s">
        <v>5307</v>
      </c>
      <c r="AH124" t="s">
        <v>2901</v>
      </c>
      <c r="AI124" t="s">
        <v>408</v>
      </c>
      <c r="AJ124" t="s">
        <v>2902</v>
      </c>
      <c r="AK124" t="s">
        <v>5308</v>
      </c>
      <c r="AL124" t="s">
        <v>2903</v>
      </c>
      <c r="AM124" t="s">
        <v>90</v>
      </c>
      <c r="AN124" t="s">
        <v>393</v>
      </c>
      <c r="AO124" t="s">
        <v>509</v>
      </c>
      <c r="AP124" t="s">
        <v>90</v>
      </c>
      <c r="AQ124" t="s">
        <v>394</v>
      </c>
      <c r="AR124" t="s">
        <v>90</v>
      </c>
      <c r="AS124" t="s">
        <v>1744</v>
      </c>
      <c r="AT124" t="s">
        <v>90</v>
      </c>
      <c r="AU124" t="s">
        <v>5309</v>
      </c>
      <c r="AV124" t="s">
        <v>5310</v>
      </c>
      <c r="AW124" t="s">
        <v>5311</v>
      </c>
      <c r="AX124" t="s">
        <v>1603</v>
      </c>
      <c r="AY124" t="s">
        <v>1327</v>
      </c>
      <c r="AZ124" t="s">
        <v>1225</v>
      </c>
      <c r="BA124" t="s">
        <v>332</v>
      </c>
      <c r="BB124" t="s">
        <v>1328</v>
      </c>
      <c r="BC124" t="s">
        <v>249</v>
      </c>
      <c r="BD124" t="s">
        <v>848</v>
      </c>
      <c r="BE124" t="s">
        <v>239</v>
      </c>
      <c r="BF124" t="s">
        <v>514</v>
      </c>
      <c r="BG124" t="s">
        <v>189</v>
      </c>
      <c r="BH124" t="s">
        <v>2898</v>
      </c>
      <c r="BI124" t="s">
        <v>591</v>
      </c>
      <c r="BJ124" t="s">
        <v>1603</v>
      </c>
      <c r="BK124" t="s">
        <v>2899</v>
      </c>
      <c r="BL124" t="s">
        <v>5312</v>
      </c>
      <c r="BM124" t="s">
        <v>249</v>
      </c>
      <c r="BN124">
        <v>2.21</v>
      </c>
      <c r="BO124">
        <v>5.89</v>
      </c>
      <c r="BP124">
        <v>22.58</v>
      </c>
      <c r="BQ124">
        <v>2.89</v>
      </c>
      <c r="BR124">
        <v>6.44</v>
      </c>
      <c r="BS124">
        <v>28.39</v>
      </c>
      <c r="BT124" t="s">
        <v>1875</v>
      </c>
      <c r="BU124" t="s">
        <v>1337</v>
      </c>
      <c r="BV124">
        <v>33.18</v>
      </c>
      <c r="BW124">
        <v>36.619999999999997</v>
      </c>
      <c r="BX124">
        <v>43.05</v>
      </c>
      <c r="BY124">
        <v>9.32</v>
      </c>
      <c r="BZ124">
        <v>10.91</v>
      </c>
      <c r="CA124">
        <v>18.37</v>
      </c>
      <c r="CB124">
        <v>-6.11</v>
      </c>
      <c r="CC124">
        <v>-12.2</v>
      </c>
      <c r="CD124" t="s">
        <v>5313</v>
      </c>
      <c r="CE124" t="s">
        <v>121</v>
      </c>
      <c r="CF124" s="8">
        <v>-0.7448275862068966</v>
      </c>
      <c r="CG124" s="9">
        <v>10.840634634634634</v>
      </c>
      <c r="CH124" s="8">
        <v>1.618435263633728</v>
      </c>
      <c r="CI124" s="8">
        <v>-0.10888252407312393</v>
      </c>
      <c r="CJ124" s="8">
        <v>3.1527094542980194E-2</v>
      </c>
      <c r="CK124" s="8">
        <v>7.2938688099384308E-2</v>
      </c>
      <c r="CL124" s="8">
        <v>0.13975903391838074</v>
      </c>
      <c r="CM124" s="9">
        <v>-5.9313726425170898</v>
      </c>
      <c r="CN124" s="9">
        <v>-0.46875</v>
      </c>
      <c r="CO124" s="9">
        <v>0.72972971200942993</v>
      </c>
      <c r="CP124" s="9">
        <v>-0.28387096524238586</v>
      </c>
      <c r="CQ124" s="9">
        <v>0.44859811663627625</v>
      </c>
      <c r="CR124">
        <v>86.142768292682931</v>
      </c>
      <c r="CS124">
        <v>2.4559205924380767</v>
      </c>
      <c r="CT124">
        <v>2.8943560057887119</v>
      </c>
      <c r="CU124" s="8">
        <v>0.35075551122426984</v>
      </c>
      <c r="CV124" s="9">
        <v>-1.101133155822754</v>
      </c>
      <c r="CW124">
        <v>0.06</v>
      </c>
      <c r="CX124" t="e">
        <v>#VALUE!</v>
      </c>
      <c r="CY124" t="s">
        <v>1391</v>
      </c>
      <c r="CZ124">
        <v>0.35075551122426984</v>
      </c>
      <c r="DA124" t="e">
        <v>#VALUE!</v>
      </c>
      <c r="DB124" t="s">
        <v>1391</v>
      </c>
      <c r="DC124">
        <v>0.33321773566305635</v>
      </c>
      <c r="DD124" t="e">
        <v>#VALUE!</v>
      </c>
      <c r="DE124" t="s">
        <v>1391</v>
      </c>
      <c r="DF124">
        <v>0.30866484987735748</v>
      </c>
      <c r="DG124" t="e">
        <v>#VALUE!</v>
      </c>
      <c r="DH124" t="s">
        <v>1391</v>
      </c>
      <c r="DI124">
        <v>0.28060440897941591</v>
      </c>
      <c r="DJ124" t="e">
        <v>#VALUE!</v>
      </c>
      <c r="DK124" t="s">
        <v>1391</v>
      </c>
      <c r="DL124">
        <v>0.24552885785698889</v>
      </c>
      <c r="DM124">
        <v>-503000000</v>
      </c>
      <c r="DN124">
        <v>0.35075551122426984</v>
      </c>
      <c r="DO124">
        <v>833569000</v>
      </c>
      <c r="DP124">
        <v>1611132100</v>
      </c>
      <c r="DQ124">
        <v>2582</v>
      </c>
      <c r="DR124">
        <v>-1.0955830974311664</v>
      </c>
      <c r="DS124">
        <v>11.941767790457389</v>
      </c>
      <c r="DT124" s="10">
        <v>-0.10666666666666669</v>
      </c>
      <c r="DU124">
        <v>-1.0900000000000001</v>
      </c>
      <c r="DV124">
        <v>-1.1966666666666668</v>
      </c>
      <c r="DW124">
        <v>-9.5008196721311471</v>
      </c>
      <c r="DX124">
        <v>0.25875961538461489</v>
      </c>
      <c r="DY124">
        <v>-9.0644853483606553</v>
      </c>
      <c r="DZ124">
        <v>2185</v>
      </c>
      <c r="EA124">
        <v>-9.0369118677015496</v>
      </c>
      <c r="EB124">
        <v>9</v>
      </c>
      <c r="EC124">
        <v>7.8597664127429759E-2</v>
      </c>
      <c r="ED124">
        <v>0.61042170631414339</v>
      </c>
      <c r="EE124" s="11">
        <v>7.3300000000000004E-2</v>
      </c>
      <c r="EF124">
        <v>4.8000000000000001E-2</v>
      </c>
      <c r="EG124">
        <v>13.128759615384615</v>
      </c>
      <c r="EH124" t="s">
        <v>1390</v>
      </c>
      <c r="EI124">
        <v>0</v>
      </c>
      <c r="EJ124">
        <v>0</v>
      </c>
      <c r="EK124" s="13">
        <v>45470</v>
      </c>
      <c r="EL124" s="14">
        <v>-1.87</v>
      </c>
      <c r="EM124" s="14">
        <v>-5.98</v>
      </c>
      <c r="EN124" s="14">
        <v>-0.65</v>
      </c>
      <c r="EO124" s="14">
        <v>11.31</v>
      </c>
      <c r="EP124" s="14">
        <v>-2.5299999999999998</v>
      </c>
    </row>
    <row r="125" spans="1:146" ht="108">
      <c r="C125" s="7" t="str">
        <f>""&amp;CHAR(10)&amp;Basic_Fundamental_Information_Constructure(F125)&amp;CHAR(10)&amp;Basic_Fundamental_Information_Concatenate("")</f>
        <v xml:space="preserve">
市值27.437018亿, 利润3709.10万; PE12.97; 平均PE33.95; 平均PEG7.95, PB1.75; ROIC13.2433%; ROE15.17%; 股利率2.9149%; 毛利23.0667%; 净利12.61%; 上一年度营收增-70.05%, 利润增-73.69%; 当季营收增246.53%, 利润增193.51%; 过往5年营收增4.27%, 利润增8.26%
Income profile:
</v>
      </c>
      <c r="D125" t="s">
        <v>1737</v>
      </c>
      <c r="E125" t="s">
        <v>1738</v>
      </c>
      <c r="F125">
        <v>34.65</v>
      </c>
      <c r="G125">
        <v>-0.69</v>
      </c>
      <c r="H125" t="s">
        <v>5314</v>
      </c>
      <c r="I125">
        <v>2743701800</v>
      </c>
      <c r="J125">
        <v>12.97</v>
      </c>
      <c r="K125">
        <v>1.75</v>
      </c>
      <c r="L125" t="s">
        <v>85</v>
      </c>
      <c r="M125" t="s">
        <v>2146</v>
      </c>
      <c r="N125" t="s">
        <v>2165</v>
      </c>
      <c r="O125" t="s">
        <v>515</v>
      </c>
      <c r="P125" s="5">
        <v>35.380000000000003</v>
      </c>
      <c r="Q125" t="s">
        <v>196</v>
      </c>
      <c r="R125">
        <v>50662761</v>
      </c>
      <c r="S125">
        <v>0.26960000000000001</v>
      </c>
      <c r="T125" t="s">
        <v>5315</v>
      </c>
      <c r="U125">
        <v>42012667</v>
      </c>
      <c r="V125">
        <v>79183314</v>
      </c>
      <c r="W125">
        <v>1.1499999999999999</v>
      </c>
      <c r="X125">
        <v>0.19</v>
      </c>
      <c r="Y125">
        <v>14.46</v>
      </c>
      <c r="Z125" t="s">
        <v>379</v>
      </c>
      <c r="AA125" t="s">
        <v>1052</v>
      </c>
      <c r="AB125" t="s">
        <v>5316</v>
      </c>
      <c r="AC125" t="s">
        <v>5317</v>
      </c>
      <c r="AD125" t="s">
        <v>90</v>
      </c>
      <c r="AE125">
        <v>666290</v>
      </c>
      <c r="AF125" t="s">
        <v>2905</v>
      </c>
      <c r="AG125" t="s">
        <v>5318</v>
      </c>
      <c r="AH125" t="s">
        <v>2906</v>
      </c>
      <c r="AI125" t="s">
        <v>287</v>
      </c>
      <c r="AJ125" t="s">
        <v>2907</v>
      </c>
      <c r="AK125" t="s">
        <v>90</v>
      </c>
      <c r="AL125" t="s">
        <v>2908</v>
      </c>
      <c r="AM125" t="s">
        <v>90</v>
      </c>
      <c r="AN125" t="s">
        <v>247</v>
      </c>
      <c r="AO125" t="s">
        <v>579</v>
      </c>
      <c r="AP125" t="s">
        <v>5319</v>
      </c>
      <c r="AQ125" t="s">
        <v>5320</v>
      </c>
      <c r="AR125" t="s">
        <v>90</v>
      </c>
      <c r="AS125" t="s">
        <v>352</v>
      </c>
      <c r="AT125" t="s">
        <v>90</v>
      </c>
      <c r="AU125" t="s">
        <v>5321</v>
      </c>
      <c r="AV125" t="s">
        <v>5322</v>
      </c>
      <c r="AW125" t="s">
        <v>5323</v>
      </c>
      <c r="AX125" t="s">
        <v>970</v>
      </c>
      <c r="AY125" t="s">
        <v>1739</v>
      </c>
      <c r="AZ125" t="s">
        <v>1740</v>
      </c>
      <c r="BA125" t="s">
        <v>899</v>
      </c>
      <c r="BB125" t="s">
        <v>795</v>
      </c>
      <c r="BC125" t="s">
        <v>135</v>
      </c>
      <c r="BD125" t="s">
        <v>174</v>
      </c>
      <c r="BE125" t="s">
        <v>1741</v>
      </c>
      <c r="BF125" t="s">
        <v>1742</v>
      </c>
      <c r="BG125" t="s">
        <v>1743</v>
      </c>
      <c r="BH125" t="s">
        <v>2904</v>
      </c>
      <c r="BI125" t="s">
        <v>210</v>
      </c>
      <c r="BJ125" t="s">
        <v>970</v>
      </c>
      <c r="BK125" t="s">
        <v>275</v>
      </c>
      <c r="BL125" t="s">
        <v>5324</v>
      </c>
      <c r="BM125" t="s">
        <v>135</v>
      </c>
      <c r="BN125">
        <v>9.68</v>
      </c>
      <c r="BO125">
        <v>13.18</v>
      </c>
      <c r="BP125">
        <v>16.87</v>
      </c>
      <c r="BQ125">
        <v>10.55</v>
      </c>
      <c r="BR125">
        <v>14.09</v>
      </c>
      <c r="BS125">
        <v>20.87</v>
      </c>
      <c r="BT125" t="s">
        <v>2909</v>
      </c>
      <c r="BU125" t="s">
        <v>1337</v>
      </c>
      <c r="BV125">
        <v>25.36</v>
      </c>
      <c r="BW125">
        <v>21.6</v>
      </c>
      <c r="BX125">
        <v>22.24</v>
      </c>
      <c r="BY125">
        <v>14.83</v>
      </c>
      <c r="BZ125">
        <v>11.65</v>
      </c>
      <c r="CA125">
        <v>11.35</v>
      </c>
      <c r="CB125">
        <v>-6.98</v>
      </c>
      <c r="CC125" s="8">
        <v>-16.63</v>
      </c>
      <c r="CD125" s="9" t="s">
        <v>5325</v>
      </c>
      <c r="CE125" s="8" t="s">
        <v>5326</v>
      </c>
      <c r="CF125" s="8">
        <v>2.4653465346534653</v>
      </c>
      <c r="CG125" s="8">
        <v>1.9351340030589543</v>
      </c>
      <c r="CH125" s="8">
        <v>-0.70049506425857544</v>
      </c>
      <c r="CI125" s="8">
        <v>0.14016933739185333</v>
      </c>
      <c r="CJ125" s="9">
        <v>0.49297752976417542</v>
      </c>
      <c r="CK125" s="9">
        <v>0.24475523829460144</v>
      </c>
      <c r="CL125" s="9">
        <v>3.6231882870197296E-2</v>
      </c>
      <c r="CM125" s="9">
        <v>-0.73694324493408203</v>
      </c>
      <c r="CN125" s="9">
        <v>0.1652892529964447</v>
      </c>
      <c r="CO125">
        <v>0.77377992868423462</v>
      </c>
      <c r="CP125">
        <v>0.10433543473482132</v>
      </c>
      <c r="CQ125">
        <v>0.10652133077383041</v>
      </c>
      <c r="CR125" s="8">
        <v>33.949534586753948</v>
      </c>
      <c r="CS125" s="9">
        <v>7.9455405272639892</v>
      </c>
      <c r="CT125">
        <v>2.914862914862915</v>
      </c>
      <c r="CU125">
        <v>4.272778481245041E-2</v>
      </c>
      <c r="CV125">
        <v>8.2596540451049805E-2</v>
      </c>
      <c r="CW125">
        <v>0.06</v>
      </c>
      <c r="CX125">
        <v>41.34945457857323</v>
      </c>
      <c r="CY125">
        <v>36486619.119319424</v>
      </c>
      <c r="CZ125">
        <v>4.272778481245041E-2</v>
      </c>
      <c r="DA125">
        <v>14.067452105906554</v>
      </c>
      <c r="DB125">
        <v>107247694.08431366</v>
      </c>
      <c r="DC125">
        <v>4.0591395571827886E-2</v>
      </c>
      <c r="DD125">
        <v>7.3006199491220674</v>
      </c>
      <c r="DE125">
        <v>206653929.46272025</v>
      </c>
      <c r="DF125">
        <v>3.7600450634956359E-2</v>
      </c>
      <c r="DG125">
        <v>4.6466992280281278</v>
      </c>
      <c r="DH125">
        <v>324682473.72237009</v>
      </c>
      <c r="DI125">
        <v>3.4182227849960327E-2</v>
      </c>
      <c r="DJ125">
        <v>2.714283198189702</v>
      </c>
      <c r="DK125">
        <v>555838020.51540995</v>
      </c>
      <c r="DL125">
        <v>2.9909449368715285E-2</v>
      </c>
      <c r="DM125">
        <v>37091000</v>
      </c>
      <c r="DN125">
        <v>4.272778481245041E-2</v>
      </c>
      <c r="DO125">
        <v>1508701800</v>
      </c>
      <c r="DP125">
        <v>1035634080</v>
      </c>
      <c r="DQ125" s="10">
        <v>2590</v>
      </c>
      <c r="DR125">
        <v>2.422618749841015</v>
      </c>
      <c r="DS125">
        <v>1.8525374626079045</v>
      </c>
      <c r="DT125">
        <v>-0.52333333333333332</v>
      </c>
      <c r="DU125">
        <v>8.3333333333333329E-2</v>
      </c>
      <c r="DV125">
        <v>-0.44</v>
      </c>
      <c r="DW125">
        <v>-9.4197233914612148</v>
      </c>
      <c r="DX125">
        <v>0.39635255889520549</v>
      </c>
      <c r="DY125">
        <v>-9.0698220601977475</v>
      </c>
      <c r="DZ125">
        <v>3455</v>
      </c>
      <c r="EA125">
        <v>-9.0226136026667856</v>
      </c>
      <c r="EB125" s="11">
        <v>9</v>
      </c>
      <c r="EC125" s="11">
        <v>6.4653772889576203E-2</v>
      </c>
      <c r="ED125">
        <v>0.3886551148894829</v>
      </c>
      <c r="EE125">
        <v>-4.1128999999999998</v>
      </c>
      <c r="EF125">
        <v>-4.1228999999999996</v>
      </c>
      <c r="EG125">
        <v>23.166352558895206</v>
      </c>
      <c r="EH125" s="13" t="s">
        <v>2125</v>
      </c>
      <c r="EI125" s="14">
        <v>0</v>
      </c>
      <c r="EJ125" s="14">
        <v>0</v>
      </c>
      <c r="EK125" s="14">
        <v>45470</v>
      </c>
      <c r="EL125" s="14">
        <v>-0.75</v>
      </c>
      <c r="EM125" s="14">
        <v>-4.3499999999999996</v>
      </c>
      <c r="EN125" s="14">
        <v>-0.43</v>
      </c>
      <c r="EO125" s="14">
        <v>7.74</v>
      </c>
      <c r="EP125" s="14">
        <v>1</v>
      </c>
    </row>
    <row r="126" spans="1:146" ht="108">
      <c r="C126" s="7" t="str">
        <f>""&amp;CHAR(10)&amp;Basic_Fundamental_Information_Constructure(F126)&amp;CHAR(10)&amp;Basic_Fundamental_Information_Concatenate("")</f>
        <v xml:space="preserve">
市值15.380904亿, 利润3612.07万; PE27.08; 平均PE26.64; 平均PEG2.82, PB1.15; ROIC6.7433%; ROE7.1767%; 股利率.7837%; 毛利46.2567%; 净利16.7433%; 上一年度营收增29.17%, 利润增-10.91%; 当季营收增-45.7%, 利润增-90.88%; 过往5年营收增9.46%, 利润增-3.75%
Income profile:
</v>
      </c>
      <c r="D126" t="s">
        <v>5327</v>
      </c>
      <c r="E126" t="s">
        <v>5328</v>
      </c>
      <c r="F126">
        <v>12.76</v>
      </c>
      <c r="G126">
        <v>3.57</v>
      </c>
      <c r="H126" t="s">
        <v>5329</v>
      </c>
      <c r="I126">
        <v>1538090400</v>
      </c>
      <c r="J126">
        <v>27.08</v>
      </c>
      <c r="K126">
        <v>1.1499999999999999</v>
      </c>
      <c r="L126" t="s">
        <v>85</v>
      </c>
      <c r="M126" t="s">
        <v>1287</v>
      </c>
      <c r="N126" t="s">
        <v>2824</v>
      </c>
      <c r="O126" t="s">
        <v>5330</v>
      </c>
      <c r="P126" s="5">
        <v>10.11</v>
      </c>
      <c r="Q126" t="s">
        <v>556</v>
      </c>
      <c r="R126">
        <v>1305294</v>
      </c>
      <c r="S126">
        <v>0.10680000000000001</v>
      </c>
      <c r="T126" t="s">
        <v>5331</v>
      </c>
      <c r="U126">
        <v>81887250</v>
      </c>
      <c r="V126">
        <v>120540000</v>
      </c>
      <c r="W126">
        <v>1.1499999999999999</v>
      </c>
      <c r="X126">
        <v>0.03</v>
      </c>
      <c r="Y126">
        <v>2.6</v>
      </c>
      <c r="Z126" t="s">
        <v>5332</v>
      </c>
      <c r="AA126" t="s">
        <v>5333</v>
      </c>
      <c r="AB126" t="s">
        <v>5334</v>
      </c>
      <c r="AC126" t="s">
        <v>5335</v>
      </c>
      <c r="AD126" t="s">
        <v>90</v>
      </c>
      <c r="AE126">
        <v>-327606</v>
      </c>
      <c r="AF126" t="s">
        <v>5336</v>
      </c>
      <c r="AG126">
        <v>3570.27</v>
      </c>
      <c r="AH126" t="s">
        <v>5337</v>
      </c>
      <c r="AI126" t="s">
        <v>145</v>
      </c>
      <c r="AJ126" t="s">
        <v>5338</v>
      </c>
      <c r="AK126" t="s">
        <v>2063</v>
      </c>
      <c r="AL126" t="s">
        <v>5339</v>
      </c>
      <c r="AM126" t="s">
        <v>90</v>
      </c>
      <c r="AN126">
        <v>0</v>
      </c>
      <c r="AO126" t="s">
        <v>5340</v>
      </c>
      <c r="AP126" t="s">
        <v>5341</v>
      </c>
      <c r="AQ126" t="s">
        <v>5342</v>
      </c>
      <c r="AR126">
        <v>4000</v>
      </c>
      <c r="AS126" t="s">
        <v>320</v>
      </c>
      <c r="AT126" t="s">
        <v>90</v>
      </c>
      <c r="AU126" t="s">
        <v>5343</v>
      </c>
      <c r="AV126" t="s">
        <v>5344</v>
      </c>
      <c r="AW126" t="s">
        <v>5345</v>
      </c>
      <c r="AX126" t="s">
        <v>844</v>
      </c>
      <c r="AY126" t="s">
        <v>556</v>
      </c>
      <c r="AZ126" t="s">
        <v>224</v>
      </c>
      <c r="BA126" t="s">
        <v>131</v>
      </c>
      <c r="BB126" t="s">
        <v>825</v>
      </c>
      <c r="BC126" t="s">
        <v>5346</v>
      </c>
      <c r="BD126" t="s">
        <v>5347</v>
      </c>
      <c r="BE126" t="s">
        <v>5348</v>
      </c>
      <c r="BF126" t="s">
        <v>5349</v>
      </c>
      <c r="BG126" t="s">
        <v>5350</v>
      </c>
      <c r="BH126" t="s">
        <v>1424</v>
      </c>
      <c r="BI126" t="s">
        <v>5351</v>
      </c>
      <c r="BJ126" t="s">
        <v>844</v>
      </c>
      <c r="BK126" t="s">
        <v>5352</v>
      </c>
      <c r="BL126" t="s">
        <v>5353</v>
      </c>
      <c r="BM126" t="s">
        <v>5346</v>
      </c>
      <c r="BN126">
        <v>0.83</v>
      </c>
      <c r="BO126">
        <v>4.1900000000000004</v>
      </c>
      <c r="BP126">
        <v>15.21</v>
      </c>
      <c r="BQ126">
        <v>0.95</v>
      </c>
      <c r="BR126">
        <v>4.9000000000000004</v>
      </c>
      <c r="BS126">
        <v>15.68</v>
      </c>
      <c r="BT126" t="s">
        <v>1697</v>
      </c>
      <c r="BU126" t="s">
        <v>3551</v>
      </c>
      <c r="BV126">
        <v>45.55</v>
      </c>
      <c r="BW126">
        <v>46.91</v>
      </c>
      <c r="BX126">
        <v>46.31</v>
      </c>
      <c r="BY126">
        <v>15.75</v>
      </c>
      <c r="BZ126">
        <v>13.14</v>
      </c>
      <c r="CA126">
        <v>21.34</v>
      </c>
      <c r="CB126">
        <v>-2.74</v>
      </c>
      <c r="CC126" s="8">
        <v>-2.2999999999999998</v>
      </c>
      <c r="CD126" s="9" t="s">
        <v>5354</v>
      </c>
      <c r="CE126" s="8" t="s">
        <v>5355</v>
      </c>
      <c r="CF126" s="8">
        <v>-0.45697543683878888</v>
      </c>
      <c r="CG126" s="8">
        <v>-0.90879022283713817</v>
      </c>
      <c r="CH126" s="8">
        <v>0.2916666567325592</v>
      </c>
      <c r="CI126" s="8">
        <v>-0.22580644488334656</v>
      </c>
      <c r="CJ126" s="9">
        <v>0.30844154953956604</v>
      </c>
      <c r="CK126" s="9">
        <v>1.315789483487606E-2</v>
      </c>
      <c r="CL126" s="9">
        <v>8.5714288055896759E-2</v>
      </c>
      <c r="CM126" s="9">
        <v>-0.10910095274448395</v>
      </c>
      <c r="CN126" s="9">
        <v>-0.52909195423126221</v>
      </c>
      <c r="CO126">
        <v>0.39481645822525024</v>
      </c>
      <c r="CP126">
        <v>-2.5216467678546906E-2</v>
      </c>
      <c r="CQ126">
        <v>8.103720098733902E-2</v>
      </c>
      <c r="CR126" s="8">
        <v>26.642065487475239</v>
      </c>
      <c r="CS126" s="9">
        <v>2.8152506926432839</v>
      </c>
      <c r="CT126">
        <v>0.78369905956112851</v>
      </c>
      <c r="CU126">
        <v>9.4634788855910298E-2</v>
      </c>
      <c r="CV126">
        <v>-3.7511143088340762E-2</v>
      </c>
      <c r="CW126">
        <v>0.06</v>
      </c>
      <c r="CX126">
        <v>13.969907579671212</v>
      </c>
      <c r="CY126">
        <v>37300919.639460072</v>
      </c>
      <c r="CZ126">
        <v>9.4634788855910298E-2</v>
      </c>
      <c r="DA126">
        <v>4.5473629815776313</v>
      </c>
      <c r="DB126">
        <v>114591775.96137629</v>
      </c>
      <c r="DC126">
        <v>8.9903049413114777E-2</v>
      </c>
      <c r="DD126">
        <v>2.2268284723793044</v>
      </c>
      <c r="DE126">
        <v>234005630.18813449</v>
      </c>
      <c r="DF126">
        <v>8.3278614193201067E-2</v>
      </c>
      <c r="DG126">
        <v>1.3293299314698457</v>
      </c>
      <c r="DH126">
        <v>391994784.48802257</v>
      </c>
      <c r="DI126">
        <v>7.5707831084728242E-2</v>
      </c>
      <c r="DJ126">
        <v>0.67778762090368083</v>
      </c>
      <c r="DK126">
        <v>768810736.47411931</v>
      </c>
      <c r="DL126">
        <v>6.6244352199137199E-2</v>
      </c>
      <c r="DM126">
        <v>36120700</v>
      </c>
      <c r="DN126">
        <v>9.4634788855910298E-2</v>
      </c>
      <c r="DO126">
        <v>521090400</v>
      </c>
      <c r="DP126">
        <v>986161190</v>
      </c>
      <c r="DQ126" s="10">
        <v>2622</v>
      </c>
      <c r="DR126">
        <v>-0.5516102256946992</v>
      </c>
      <c r="DS126">
        <v>-0.87127907974879737</v>
      </c>
      <c r="DT126">
        <v>-0.28999999999999998</v>
      </c>
      <c r="DU126">
        <v>-0.45666666666666672</v>
      </c>
      <c r="DV126">
        <v>-0.7466666666666667</v>
      </c>
      <c r="DW126">
        <v>-4.8394160583941606</v>
      </c>
      <c r="DX126">
        <v>0.35790824956338885</v>
      </c>
      <c r="DY126">
        <v>-4.1577332021882452</v>
      </c>
      <c r="DZ126">
        <v>763</v>
      </c>
      <c r="EA126">
        <v>-4.1341812582998632</v>
      </c>
      <c r="EB126" s="11">
        <v>4</v>
      </c>
      <c r="EC126" s="11">
        <v>0.11336071013771362</v>
      </c>
      <c r="ED126">
        <v>0.60327692052430726</v>
      </c>
      <c r="EE126">
        <v>-1.022</v>
      </c>
      <c r="EF126">
        <v>-1.0142100000000001</v>
      </c>
      <c r="EG126">
        <v>17.187908249563389</v>
      </c>
      <c r="EH126" s="13" t="s">
        <v>1726</v>
      </c>
      <c r="EI126">
        <v>0</v>
      </c>
      <c r="EJ126">
        <v>1</v>
      </c>
      <c r="EK126">
        <v>45470</v>
      </c>
      <c r="EL126">
        <v>-0.35</v>
      </c>
      <c r="EM126">
        <v>6.42</v>
      </c>
      <c r="EN126" s="14">
        <v>3.57</v>
      </c>
      <c r="EO126" s="14">
        <v>-0.28999999999999998</v>
      </c>
      <c r="EP126" s="14">
        <v>-3.62</v>
      </c>
    </row>
    <row r="127" spans="1:146" ht="108">
      <c r="C127" s="7" t="str">
        <f>""&amp;CHAR(10)&amp;Basic_Fundamental_Information_Constructure(F127)&amp;CHAR(10)&amp;Basic_Fundamental_Information_Concatenate("")</f>
        <v xml:space="preserve">
市值31.3316亿, 利润8075.54万; PE23.54; 平均PE54.42; 平均PEG5.3, PB2.63; ROIC14.3233%; ROE16.35%; 股利率2.7767%; 毛利22.0767%; 净利10.41%; 上一年度营收增-42.15%, 利润增-4.22%; 当季营收增189.55%, 利润增126.57%; 过往5年营收增10.26%, 利润增34.25%
Income profile:
</v>
      </c>
      <c r="D127" t="s">
        <v>1905</v>
      </c>
      <c r="E127" t="s">
        <v>1906</v>
      </c>
      <c r="F127">
        <v>27.01</v>
      </c>
      <c r="G127">
        <v>0.93</v>
      </c>
      <c r="H127" t="s">
        <v>5356</v>
      </c>
      <c r="I127">
        <v>3133160000</v>
      </c>
      <c r="J127">
        <v>23.54</v>
      </c>
      <c r="K127">
        <v>2.63</v>
      </c>
      <c r="L127" t="s">
        <v>85</v>
      </c>
      <c r="M127" t="s">
        <v>646</v>
      </c>
      <c r="N127" t="s">
        <v>1851</v>
      </c>
      <c r="O127" t="s">
        <v>335</v>
      </c>
      <c r="P127" s="5">
        <v>28.97</v>
      </c>
      <c r="Q127" t="s">
        <v>289</v>
      </c>
      <c r="R127">
        <v>39397277</v>
      </c>
      <c r="S127">
        <v>0.53180000000000005</v>
      </c>
      <c r="T127" t="s">
        <v>2917</v>
      </c>
      <c r="U127">
        <v>32625000</v>
      </c>
      <c r="V127">
        <v>116000000</v>
      </c>
      <c r="W127">
        <v>1.47</v>
      </c>
      <c r="X127">
        <v>0.16</v>
      </c>
      <c r="Y127">
        <v>14.17</v>
      </c>
      <c r="Z127" t="s">
        <v>226</v>
      </c>
      <c r="AA127" t="s">
        <v>909</v>
      </c>
      <c r="AB127" t="s">
        <v>5357</v>
      </c>
      <c r="AC127" t="s">
        <v>5358</v>
      </c>
      <c r="AD127" t="s">
        <v>90</v>
      </c>
      <c r="AE127">
        <v>-4260533</v>
      </c>
      <c r="AF127" t="s">
        <v>2910</v>
      </c>
      <c r="AG127" t="s">
        <v>5359</v>
      </c>
      <c r="AH127" t="s">
        <v>2911</v>
      </c>
      <c r="AI127" t="s">
        <v>5247</v>
      </c>
      <c r="AJ127" t="s">
        <v>2912</v>
      </c>
      <c r="AK127" t="s">
        <v>659</v>
      </c>
      <c r="AL127" t="s">
        <v>2913</v>
      </c>
      <c r="AM127" t="s">
        <v>90</v>
      </c>
      <c r="AN127" t="s">
        <v>5360</v>
      </c>
      <c r="AO127" t="s">
        <v>5361</v>
      </c>
      <c r="AP127" t="s">
        <v>1394</v>
      </c>
      <c r="AQ127" t="s">
        <v>178</v>
      </c>
      <c r="AR127" t="s">
        <v>5362</v>
      </c>
      <c r="AS127" t="s">
        <v>445</v>
      </c>
      <c r="AT127" t="s">
        <v>90</v>
      </c>
      <c r="AU127" t="s">
        <v>5363</v>
      </c>
      <c r="AV127" t="s">
        <v>5364</v>
      </c>
      <c r="AW127" t="s">
        <v>5365</v>
      </c>
      <c r="AX127" t="s">
        <v>1888</v>
      </c>
      <c r="AY127" t="s">
        <v>712</v>
      </c>
      <c r="AZ127" t="s">
        <v>216</v>
      </c>
      <c r="BA127" t="s">
        <v>1454</v>
      </c>
      <c r="BB127" t="s">
        <v>120</v>
      </c>
      <c r="BC127" t="s">
        <v>1907</v>
      </c>
      <c r="BD127" t="s">
        <v>1908</v>
      </c>
      <c r="BE127" t="s">
        <v>1909</v>
      </c>
      <c r="BF127" t="s">
        <v>1910</v>
      </c>
      <c r="BG127" t="s">
        <v>1911</v>
      </c>
      <c r="BH127" t="s">
        <v>2687</v>
      </c>
      <c r="BI127" t="s">
        <v>2924</v>
      </c>
      <c r="BJ127" t="s">
        <v>1888</v>
      </c>
      <c r="BK127" t="s">
        <v>151</v>
      </c>
      <c r="BL127" t="s">
        <v>2925</v>
      </c>
      <c r="BM127" t="s">
        <v>1907</v>
      </c>
      <c r="BN127">
        <v>10.29</v>
      </c>
      <c r="BO127">
        <v>16.66</v>
      </c>
      <c r="BP127">
        <v>16.02</v>
      </c>
      <c r="BQ127">
        <v>12.8</v>
      </c>
      <c r="BR127">
        <v>19.899999999999999</v>
      </c>
      <c r="BS127" t="s">
        <v>90</v>
      </c>
      <c r="BT127" t="s">
        <v>2914</v>
      </c>
      <c r="BU127" t="s">
        <v>1449</v>
      </c>
      <c r="BV127">
        <v>23.91</v>
      </c>
      <c r="BW127">
        <v>21.52</v>
      </c>
      <c r="BX127">
        <v>20.8</v>
      </c>
      <c r="BY127">
        <v>12.18</v>
      </c>
      <c r="BZ127">
        <v>10.33</v>
      </c>
      <c r="CA127">
        <v>8.7200000000000006</v>
      </c>
      <c r="CB127">
        <v>-10.3</v>
      </c>
      <c r="CC127" s="8">
        <v>-7.25</v>
      </c>
      <c r="CD127" s="9" t="s">
        <v>5366</v>
      </c>
      <c r="CE127" s="8" t="s">
        <v>372</v>
      </c>
      <c r="CF127" s="8">
        <v>1.8955377471883079</v>
      </c>
      <c r="CG127" s="8">
        <v>1.2657087730396526</v>
      </c>
      <c r="CH127" s="8">
        <v>-0.42150804400444031</v>
      </c>
      <c r="CI127" s="8">
        <v>3.1887754797935486E-2</v>
      </c>
      <c r="CJ127" s="9">
        <v>0.56175297498703003</v>
      </c>
      <c r="CK127" s="9">
        <v>0.21549636125564575</v>
      </c>
      <c r="CL127" s="9">
        <v>0.12534059584140778</v>
      </c>
      <c r="CM127" s="9">
        <v>-4.221787303686142E-2</v>
      </c>
      <c r="CN127" s="9">
        <v>0.20855383574962616</v>
      </c>
      <c r="CO127">
        <v>0.45284843444824219</v>
      </c>
      <c r="CP127">
        <v>0.16535456478595734</v>
      </c>
      <c r="CQ127">
        <v>0.92798256874084473</v>
      </c>
      <c r="CR127" s="8">
        <v>54.421310248157532</v>
      </c>
      <c r="CS127" s="9">
        <v>5.304535171211417</v>
      </c>
      <c r="CT127">
        <v>2.7767493520918176</v>
      </c>
      <c r="CU127">
        <v>0.10259392857551575</v>
      </c>
      <c r="CV127">
        <v>0.34250430613756178</v>
      </c>
      <c r="CW127">
        <v>0.06</v>
      </c>
      <c r="CX127">
        <v>29.561291209800327</v>
      </c>
      <c r="CY127">
        <v>84000390.320459634</v>
      </c>
      <c r="CZ127">
        <v>0.10259392857551575</v>
      </c>
      <c r="DA127">
        <v>9.5580264819689447</v>
      </c>
      <c r="DB127">
        <v>259798401.34199661</v>
      </c>
      <c r="DC127">
        <v>9.7464232146739951E-2</v>
      </c>
      <c r="DD127">
        <v>4.6383460431364512</v>
      </c>
      <c r="DE127">
        <v>535354623.58924961</v>
      </c>
      <c r="DF127">
        <v>9.0282657146453851E-2</v>
      </c>
      <c r="DG127">
        <v>2.7405564832212508</v>
      </c>
      <c r="DH127">
        <v>906078752.69233394</v>
      </c>
      <c r="DI127">
        <v>8.2075142860412606E-2</v>
      </c>
      <c r="DJ127">
        <v>1.3657349955408105</v>
      </c>
      <c r="DK127">
        <v>1818185817.9717405</v>
      </c>
      <c r="DL127">
        <v>7.1815750002861015E-2</v>
      </c>
      <c r="DM127">
        <v>80755400</v>
      </c>
      <c r="DN127">
        <v>0.10259392857551575</v>
      </c>
      <c r="DO127">
        <v>2483160000</v>
      </c>
      <c r="DP127">
        <v>845262900</v>
      </c>
      <c r="DQ127" s="10">
        <v>2665</v>
      </c>
      <c r="DR127">
        <v>1.7929438186127922</v>
      </c>
      <c r="DS127">
        <v>0.92320446690209079</v>
      </c>
      <c r="DT127">
        <v>-0.35666666666666669</v>
      </c>
      <c r="DU127">
        <v>1.04</v>
      </c>
      <c r="DV127">
        <v>0.68333333333333335</v>
      </c>
      <c r="DW127">
        <v>-5.7038834951456314</v>
      </c>
      <c r="DX127">
        <v>0.23461111111111252</v>
      </c>
      <c r="DY127">
        <v>-5.0454786947141317</v>
      </c>
      <c r="DZ127">
        <v>309</v>
      </c>
      <c r="EA127">
        <v>-5.0427286131746669</v>
      </c>
      <c r="EB127" s="11">
        <v>5</v>
      </c>
      <c r="EC127" s="11">
        <v>9.0232758620689649E-2</v>
      </c>
      <c r="ED127">
        <v>1.396551724137931</v>
      </c>
      <c r="EE127">
        <v>8.0331100000000006</v>
      </c>
      <c r="EF127">
        <v>8.1198099999999993</v>
      </c>
      <c r="EG127">
        <v>17.064611111111113</v>
      </c>
      <c r="EH127" s="13" t="s">
        <v>2915</v>
      </c>
      <c r="EI127">
        <v>0</v>
      </c>
      <c r="EJ127">
        <v>1</v>
      </c>
      <c r="EK127">
        <v>45470</v>
      </c>
      <c r="EL127">
        <v>-4.22</v>
      </c>
      <c r="EM127">
        <v>0.56999999999999995</v>
      </c>
      <c r="EN127" s="14">
        <v>-3.95</v>
      </c>
      <c r="EO127" s="14">
        <v>5.38</v>
      </c>
      <c r="EP127" s="14">
        <v>-8.67</v>
      </c>
    </row>
    <row r="128" spans="1:146" ht="108">
      <c r="C128" s="7" t="str">
        <f>""&amp;CHAR(10)&amp;Basic_Fundamental_Information_Constructure(F128)&amp;CHAR(10)&amp;Basic_Fundamental_Information_Concatenate("")</f>
        <v xml:space="preserve">
市值31.85664亿, 利润1.39亿; PE40.56; 平均PE43.24; 平均PEG1.18, PB3.01; ROIC14.6867%; ROE18.8467%; 股利率1.7077%; 毛利29.7733%; 净利19.1133%; 上一年度营收增126.28%, 利润增43.65%; 当季营收增-66.68%, 利润增-58.88%; 过往5年营收增36.57%, 利润增44.52%
Income profile:
</v>
      </c>
      <c r="D128" t="s">
        <v>1705</v>
      </c>
      <c r="E128" t="s">
        <v>1706</v>
      </c>
      <c r="F128">
        <v>29.28</v>
      </c>
      <c r="G128">
        <v>0.38</v>
      </c>
      <c r="H128" t="s">
        <v>5367</v>
      </c>
      <c r="I128">
        <v>3185664000</v>
      </c>
      <c r="J128">
        <v>40.56</v>
      </c>
      <c r="K128">
        <v>3.01</v>
      </c>
      <c r="L128" t="s">
        <v>85</v>
      </c>
      <c r="M128" t="s">
        <v>825</v>
      </c>
      <c r="N128" t="s">
        <v>2898</v>
      </c>
      <c r="O128" t="s">
        <v>2916</v>
      </c>
      <c r="P128">
        <v>-5.94</v>
      </c>
      <c r="Q128" t="s">
        <v>1231</v>
      </c>
      <c r="R128">
        <v>15180130</v>
      </c>
      <c r="S128">
        <v>-0.127</v>
      </c>
      <c r="T128" t="s">
        <v>339</v>
      </c>
      <c r="U128">
        <v>27200000</v>
      </c>
      <c r="V128">
        <v>108800000</v>
      </c>
      <c r="W128">
        <v>1.25</v>
      </c>
      <c r="X128">
        <v>7.0000000000000007E-2</v>
      </c>
      <c r="Y128">
        <v>16.809999999999999</v>
      </c>
      <c r="Z128" t="s">
        <v>5368</v>
      </c>
      <c r="AA128" t="s">
        <v>5369</v>
      </c>
      <c r="AB128" t="s">
        <v>5370</v>
      </c>
      <c r="AC128" t="s">
        <v>5371</v>
      </c>
      <c r="AD128" t="s">
        <v>90</v>
      </c>
      <c r="AE128">
        <v>-2646754</v>
      </c>
      <c r="AF128" t="s">
        <v>2918</v>
      </c>
      <c r="AG128">
        <v>5575.53</v>
      </c>
      <c r="AH128" t="s">
        <v>2919</v>
      </c>
      <c r="AI128" t="s">
        <v>556</v>
      </c>
      <c r="AJ128" t="s">
        <v>2920</v>
      </c>
      <c r="AK128" t="s">
        <v>2957</v>
      </c>
      <c r="AL128" t="s">
        <v>2921</v>
      </c>
      <c r="AM128" t="s">
        <v>90</v>
      </c>
      <c r="AN128" t="s">
        <v>371</v>
      </c>
      <c r="AO128" t="s">
        <v>5372</v>
      </c>
      <c r="AP128" t="s">
        <v>5373</v>
      </c>
      <c r="AQ128" t="s">
        <v>204</v>
      </c>
      <c r="AR128" t="s">
        <v>5374</v>
      </c>
      <c r="AS128" t="s">
        <v>432</v>
      </c>
      <c r="AT128" t="s">
        <v>2922</v>
      </c>
      <c r="AU128" t="s">
        <v>5375</v>
      </c>
      <c r="AV128" t="s">
        <v>5376</v>
      </c>
      <c r="AW128" t="s">
        <v>5377</v>
      </c>
      <c r="AX128" t="s">
        <v>289</v>
      </c>
      <c r="AY128" t="s">
        <v>1707</v>
      </c>
      <c r="AZ128" t="s">
        <v>116</v>
      </c>
      <c r="BA128" t="s">
        <v>784</v>
      </c>
      <c r="BB128" t="s">
        <v>516</v>
      </c>
      <c r="BC128" t="s">
        <v>2923</v>
      </c>
      <c r="BD128" t="s">
        <v>1708</v>
      </c>
      <c r="BE128" t="s">
        <v>1709</v>
      </c>
      <c r="BF128" t="s">
        <v>1710</v>
      </c>
      <c r="BG128" t="s">
        <v>1711</v>
      </c>
      <c r="BH128" t="s">
        <v>289</v>
      </c>
      <c r="BI128" t="s">
        <v>173</v>
      </c>
      <c r="BJ128" t="s">
        <v>289</v>
      </c>
      <c r="BK128" t="s">
        <v>2917</v>
      </c>
      <c r="BL128" t="s">
        <v>5378</v>
      </c>
      <c r="BM128" t="s">
        <v>2923</v>
      </c>
      <c r="BN128">
        <v>5.1100000000000003</v>
      </c>
      <c r="BO128">
        <v>13.28</v>
      </c>
      <c r="BP128">
        <v>25.67</v>
      </c>
      <c r="BQ128">
        <v>6.05</v>
      </c>
      <c r="BR128">
        <v>22.92</v>
      </c>
      <c r="BS128">
        <v>27.57</v>
      </c>
      <c r="BT128" t="s">
        <v>1702</v>
      </c>
      <c r="BU128" t="s">
        <v>1337</v>
      </c>
      <c r="BV128">
        <v>27.55</v>
      </c>
      <c r="BW128">
        <v>30.43</v>
      </c>
      <c r="BX128">
        <v>31.34</v>
      </c>
      <c r="BY128">
        <v>17.260000000000002</v>
      </c>
      <c r="BZ128">
        <v>20.7</v>
      </c>
      <c r="CA128">
        <v>19.38</v>
      </c>
      <c r="CB128">
        <v>-6.09</v>
      </c>
      <c r="CC128" s="8">
        <v>-0.91</v>
      </c>
      <c r="CD128" s="9" t="s">
        <v>5379</v>
      </c>
      <c r="CE128" s="8" t="s">
        <v>5380</v>
      </c>
      <c r="CF128" s="8">
        <v>-0.66676642066420666</v>
      </c>
      <c r="CG128" s="8">
        <v>-0.58882719242885118</v>
      </c>
      <c r="CH128" s="8">
        <v>1.2628204822540283</v>
      </c>
      <c r="CI128" s="8">
        <v>2.1413275972008705E-3</v>
      </c>
      <c r="CJ128" s="9">
        <v>0.36151602864265442</v>
      </c>
      <c r="CK128" s="9">
        <v>0.11726384609937668</v>
      </c>
      <c r="CL128" s="9">
        <v>8.4805652499198914E-2</v>
      </c>
      <c r="CM128" s="9">
        <v>0.43645057082176208</v>
      </c>
      <c r="CN128" s="9">
        <v>6.8631544709205627E-2</v>
      </c>
      <c r="CO128">
        <v>0.64182543754577637</v>
      </c>
      <c r="CP128">
        <v>0.48095539212226868</v>
      </c>
      <c r="CQ128">
        <v>0.59832018613815308</v>
      </c>
      <c r="CR128" s="8">
        <v>43.243055404730363</v>
      </c>
      <c r="CS128" s="9">
        <v>1.1824428749405629</v>
      </c>
      <c r="CT128">
        <v>1.7076502732240437</v>
      </c>
      <c r="CU128">
        <v>0.36570946741849186</v>
      </c>
      <c r="CV128">
        <v>0.44523662626743316</v>
      </c>
      <c r="CW128">
        <v>0.06</v>
      </c>
      <c r="CX128">
        <v>13.449587560865654</v>
      </c>
      <c r="CY128">
        <v>179088316.95393428</v>
      </c>
      <c r="CZ128">
        <v>0.36570946741849186</v>
      </c>
      <c r="DA128">
        <v>3.5071124986759075</v>
      </c>
      <c r="DB128">
        <v>686794050.92063022</v>
      </c>
      <c r="DC128">
        <v>0.34742399404756724</v>
      </c>
      <c r="DD128">
        <v>1.2435468510555983</v>
      </c>
      <c r="DE128">
        <v>1936930641.5398657</v>
      </c>
      <c r="DF128">
        <v>0.32182433132827282</v>
      </c>
      <c r="DG128">
        <v>0.49734749097573916</v>
      </c>
      <c r="DH128">
        <v>4843020310.1547279</v>
      </c>
      <c r="DI128">
        <v>0.29256757393479349</v>
      </c>
      <c r="DJ128">
        <v>9.4018380200742047E-2</v>
      </c>
      <c r="DK128">
        <v>25619075704.741714</v>
      </c>
      <c r="DL128">
        <v>0.2559966271929443</v>
      </c>
      <c r="DM128">
        <v>139000000</v>
      </c>
      <c r="DN128">
        <v>0.36570946741849186</v>
      </c>
      <c r="DO128">
        <v>2408664000</v>
      </c>
      <c r="DP128">
        <v>665330340</v>
      </c>
      <c r="DQ128" s="10">
        <v>2666</v>
      </c>
      <c r="DR128">
        <v>-1.0324758880826985</v>
      </c>
      <c r="DS128">
        <v>-1.0340638186962843</v>
      </c>
      <c r="DT128">
        <v>2.6666666666666616E-2</v>
      </c>
      <c r="DU128">
        <v>0.43</v>
      </c>
      <c r="DV128">
        <v>0.45666666666666661</v>
      </c>
      <c r="DW128">
        <v>-5.1494252873563218</v>
      </c>
      <c r="DX128">
        <v>0.29353817595992293</v>
      </c>
      <c r="DY128">
        <v>-5.0124827159480345</v>
      </c>
      <c r="DZ128">
        <v>224</v>
      </c>
      <c r="EA128">
        <v>-5.0119355283996274</v>
      </c>
      <c r="EB128" s="11">
        <v>5</v>
      </c>
      <c r="EC128">
        <v>6.6625000000000004E-2</v>
      </c>
      <c r="ED128">
        <v>0.7975395220588235</v>
      </c>
      <c r="EE128">
        <v>8.0931099999999994</v>
      </c>
      <c r="EF128">
        <v>8.1192100000000007</v>
      </c>
      <c r="EG128">
        <v>21.083538175959923</v>
      </c>
      <c r="EH128" s="13" t="s">
        <v>2915</v>
      </c>
      <c r="EI128" s="14">
        <v>0</v>
      </c>
      <c r="EJ128" s="14">
        <v>1</v>
      </c>
      <c r="EK128" s="14">
        <v>45470</v>
      </c>
      <c r="EL128" s="14">
        <v>0.79</v>
      </c>
      <c r="EM128" s="14">
        <v>-2.57</v>
      </c>
      <c r="EN128" s="14">
        <v>-1.74</v>
      </c>
      <c r="EO128" s="14">
        <v>3.97</v>
      </c>
      <c r="EP128" s="14">
        <v>-2.61</v>
      </c>
    </row>
    <row r="129" spans="1:146" ht="108">
      <c r="C129" s="7" t="str">
        <f>""&amp;CHAR(10)&amp;Basic_Fundamental_Information_Constructure(F129)&amp;CHAR(10)&amp;Basic_Fundamental_Information_Concatenate("")</f>
        <v xml:space="preserve">
市值34.892408亿, 利润4.10亿; PE27.34; 平均PE26.49; 平均PEG1.34, PB2.3; ROIC13.2033%; ROE13.23%; 股利率.5038%; 毛利24.2667%; 净利12.72%; 上一年度营收增14.81%, 利润增301.96%; 当季营收增.41%, 利润增-70.87%; 过往5年营收增19.82%, 利润增74.87%
Income profile:
</v>
      </c>
      <c r="D129" t="s">
        <v>1912</v>
      </c>
      <c r="E129" t="s">
        <v>1913</v>
      </c>
      <c r="F129">
        <v>39.700000000000003</v>
      </c>
      <c r="G129">
        <v>-2.5499999999999998</v>
      </c>
      <c r="H129" t="s">
        <v>5381</v>
      </c>
      <c r="I129">
        <v>3489240800</v>
      </c>
      <c r="J129">
        <v>27.34</v>
      </c>
      <c r="K129">
        <v>2.2999999999999998</v>
      </c>
      <c r="L129" t="s">
        <v>85</v>
      </c>
      <c r="M129" t="s">
        <v>2926</v>
      </c>
      <c r="N129" t="s">
        <v>1332</v>
      </c>
      <c r="O129" t="s">
        <v>227</v>
      </c>
      <c r="P129" s="5">
        <v>10.039999999999999</v>
      </c>
      <c r="Q129" t="s">
        <v>1925</v>
      </c>
      <c r="R129">
        <v>31172604</v>
      </c>
      <c r="S129">
        <v>3.3000000000000002E-2</v>
      </c>
      <c r="T129" t="s">
        <v>257</v>
      </c>
      <c r="U129">
        <v>20908051</v>
      </c>
      <c r="V129">
        <v>87890196</v>
      </c>
      <c r="W129">
        <v>1.93</v>
      </c>
      <c r="X129">
        <v>0.09</v>
      </c>
      <c r="Y129">
        <v>12.84</v>
      </c>
      <c r="Z129" t="s">
        <v>909</v>
      </c>
      <c r="AA129" t="s">
        <v>706</v>
      </c>
      <c r="AB129" t="s">
        <v>5382</v>
      </c>
      <c r="AC129" t="s">
        <v>5383</v>
      </c>
      <c r="AD129" t="s">
        <v>90</v>
      </c>
      <c r="AE129">
        <v>4381224</v>
      </c>
      <c r="AF129" t="s">
        <v>2927</v>
      </c>
      <c r="AG129" t="s">
        <v>5384</v>
      </c>
      <c r="AH129" t="s">
        <v>2928</v>
      </c>
      <c r="AI129" t="s">
        <v>238</v>
      </c>
      <c r="AJ129" t="s">
        <v>2929</v>
      </c>
      <c r="AK129" t="s">
        <v>5385</v>
      </c>
      <c r="AL129" t="s">
        <v>2930</v>
      </c>
      <c r="AM129" t="s">
        <v>90</v>
      </c>
      <c r="AN129" t="s">
        <v>450</v>
      </c>
      <c r="AO129" t="s">
        <v>5386</v>
      </c>
      <c r="AP129" t="s">
        <v>5387</v>
      </c>
      <c r="AQ129" t="s">
        <v>5388</v>
      </c>
      <c r="AR129" t="s">
        <v>90</v>
      </c>
      <c r="AS129" t="s">
        <v>5389</v>
      </c>
      <c r="AT129" t="s">
        <v>441</v>
      </c>
      <c r="AU129" t="s">
        <v>5390</v>
      </c>
      <c r="AV129" t="s">
        <v>5391</v>
      </c>
      <c r="AW129" t="s">
        <v>1615</v>
      </c>
      <c r="AX129" t="s">
        <v>503</v>
      </c>
      <c r="AY129" t="s">
        <v>1537</v>
      </c>
      <c r="AZ129" t="s">
        <v>350</v>
      </c>
      <c r="BA129" t="s">
        <v>779</v>
      </c>
      <c r="BB129" t="s">
        <v>1776</v>
      </c>
      <c r="BC129" t="s">
        <v>249</v>
      </c>
      <c r="BD129" t="s">
        <v>249</v>
      </c>
      <c r="BE129" t="s">
        <v>1914</v>
      </c>
      <c r="BF129" t="s">
        <v>1915</v>
      </c>
      <c r="BG129" t="s">
        <v>1916</v>
      </c>
      <c r="BH129" t="s">
        <v>2051</v>
      </c>
      <c r="BI129" t="s">
        <v>673</v>
      </c>
      <c r="BJ129" t="s">
        <v>503</v>
      </c>
      <c r="BK129" t="s">
        <v>323</v>
      </c>
      <c r="BL129" t="s">
        <v>189</v>
      </c>
      <c r="BM129" t="s">
        <v>249</v>
      </c>
      <c r="BN129">
        <v>6.36</v>
      </c>
      <c r="BO129">
        <v>14.95</v>
      </c>
      <c r="BP129">
        <v>18.3</v>
      </c>
      <c r="BQ129">
        <v>9.43</v>
      </c>
      <c r="BR129">
        <v>17.03</v>
      </c>
      <c r="BS129" t="s">
        <v>90</v>
      </c>
      <c r="BT129" t="s">
        <v>1694</v>
      </c>
      <c r="BU129" t="s">
        <v>1337</v>
      </c>
      <c r="BV129">
        <v>25.63</v>
      </c>
      <c r="BW129">
        <v>22.67</v>
      </c>
      <c r="BX129">
        <v>24.5</v>
      </c>
      <c r="BY129">
        <v>14.34</v>
      </c>
      <c r="BZ129">
        <v>12.21</v>
      </c>
      <c r="CA129">
        <v>11.61</v>
      </c>
      <c r="CB129">
        <v>7.09</v>
      </c>
      <c r="CC129" s="8">
        <v>-7.8</v>
      </c>
      <c r="CD129" s="9" t="s">
        <v>5392</v>
      </c>
      <c r="CE129" s="8" t="s">
        <v>5393</v>
      </c>
      <c r="CF129" s="8">
        <v>4.132231404958801E-3</v>
      </c>
      <c r="CG129" s="8">
        <v>-0.70866725233644856</v>
      </c>
      <c r="CH129" s="8">
        <v>0.14814814925193787</v>
      </c>
      <c r="CI129" s="8">
        <v>-1.5945330262184143E-2</v>
      </c>
      <c r="CJ129" s="9">
        <v>0.66287881135940552</v>
      </c>
      <c r="CK129" s="9">
        <v>0.26923078298568726</v>
      </c>
      <c r="CL129" s="9">
        <v>-7.3496662080287933E-2</v>
      </c>
      <c r="CM129" s="9">
        <v>3.0196077823638916</v>
      </c>
      <c r="CN129" s="9">
        <v>0</v>
      </c>
      <c r="CO129">
        <v>0.68409651517868042</v>
      </c>
      <c r="CP129">
        <v>0.50845175981521606</v>
      </c>
      <c r="CQ129">
        <v>-0.46853980422019958</v>
      </c>
      <c r="CR129" s="8">
        <v>26.491592783456234</v>
      </c>
      <c r="CS129" s="9">
        <v>1.3368576725749923</v>
      </c>
      <c r="CT129">
        <v>0.50377833753148615</v>
      </c>
      <c r="CU129">
        <v>0.19816315025091172</v>
      </c>
      <c r="CV129">
        <v>0.74872325062751766</v>
      </c>
      <c r="CW129">
        <v>0.06</v>
      </c>
      <c r="CX129">
        <v>6.1458612758830089</v>
      </c>
      <c r="CY129">
        <v>463440463.77629602</v>
      </c>
      <c r="CZ129">
        <v>0.19816315025091172</v>
      </c>
      <c r="DA129">
        <v>1.8347527421088796</v>
      </c>
      <c r="DB129">
        <v>1552383999.5607305</v>
      </c>
      <c r="DC129">
        <v>0.18825499273836613</v>
      </c>
      <c r="DD129">
        <v>0.79661387026969965</v>
      </c>
      <c r="DE129">
        <v>3575434606.7759361</v>
      </c>
      <c r="DF129">
        <v>0.17438357222080231</v>
      </c>
      <c r="DG129">
        <v>0.41249990091530897</v>
      </c>
      <c r="DH129">
        <v>6904827840.3945045</v>
      </c>
      <c r="DI129">
        <v>0.15853052020072939</v>
      </c>
      <c r="DJ129">
        <v>0.15055270445571309</v>
      </c>
      <c r="DK129">
        <v>18918562840.150406</v>
      </c>
      <c r="DL129">
        <v>0.13871420517563821</v>
      </c>
      <c r="DM129">
        <v>409999999.99999994</v>
      </c>
      <c r="DN129">
        <v>0.19816315025091172</v>
      </c>
      <c r="DO129">
        <v>2848240800</v>
      </c>
      <c r="DP129">
        <v>600367200</v>
      </c>
      <c r="DQ129" s="10">
        <v>2672</v>
      </c>
      <c r="DR129">
        <v>-0.19403091884595292</v>
      </c>
      <c r="DS129">
        <v>-1.4573905029639662</v>
      </c>
      <c r="DT129">
        <v>-5.6666666666666719E-2</v>
      </c>
      <c r="DU129">
        <v>0.14333333333333331</v>
      </c>
      <c r="DV129">
        <v>8.6666666666666586E-2</v>
      </c>
      <c r="DW129">
        <v>7.4761584956346541</v>
      </c>
      <c r="DX129">
        <v>1.0925991880710291</v>
      </c>
      <c r="DY129">
        <v>7.1583699290412097</v>
      </c>
      <c r="DZ129">
        <v>1682</v>
      </c>
      <c r="EA129">
        <v>7.1062411187384082</v>
      </c>
      <c r="EB129" s="11">
        <v>7</v>
      </c>
      <c r="EC129" s="11">
        <v>0.20498304498035252</v>
      </c>
      <c r="ED129">
        <v>0.61630651045538676</v>
      </c>
      <c r="EE129">
        <v>1.1179000000000001</v>
      </c>
      <c r="EF129">
        <v>1.0958000000000001</v>
      </c>
      <c r="EG129">
        <v>76.332599188071029</v>
      </c>
      <c r="EH129" s="13" t="s">
        <v>1725</v>
      </c>
      <c r="EI129">
        <v>1</v>
      </c>
      <c r="EJ129">
        <v>0</v>
      </c>
      <c r="EK129">
        <v>45470</v>
      </c>
      <c r="EL129">
        <v>-0.35</v>
      </c>
      <c r="EM129">
        <v>-4.96</v>
      </c>
      <c r="EN129" s="14">
        <v>0.75</v>
      </c>
      <c r="EO129" s="14">
        <v>3.63</v>
      </c>
      <c r="EP129" s="14">
        <v>-2.21</v>
      </c>
    </row>
    <row r="130" spans="1:146" ht="108">
      <c r="A130" s="7"/>
      <c r="B130" s="7"/>
      <c r="C130" s="7" t="str">
        <f>""&amp;CHAR(10)&amp;Basic_Fundamental_Information_Constructure(F130)&amp;CHAR(10)&amp;Basic_Fundamental_Information_Concatenate("")</f>
        <v xml:space="preserve">
市值58.32149亿, 利润2.01亿; PE28.07; 平均PE32.48; 平均PEG1.94, PB2.41; ROIC13.98%; ROE18.7533%; 股利率1.7147%; 毛利19.9067%; 净利9.4767%; 上一年度营收增-68.62%, 利润增-50.12%; 当季营收增246.88%, 利润增-191.35%; 过往5年营收增16.72%, 利润增50.25%
Income profile:
</v>
      </c>
      <c r="D130" t="s">
        <v>1329</v>
      </c>
      <c r="E130" t="s">
        <v>1330</v>
      </c>
      <c r="F130">
        <v>14.58</v>
      </c>
      <c r="G130">
        <v>-0.14000000000000001</v>
      </c>
      <c r="H130" t="s">
        <v>5394</v>
      </c>
      <c r="I130">
        <v>5832149000</v>
      </c>
      <c r="J130">
        <v>28.07</v>
      </c>
      <c r="K130">
        <v>2.41</v>
      </c>
      <c r="L130" t="s">
        <v>85</v>
      </c>
      <c r="M130" t="s">
        <v>2931</v>
      </c>
      <c r="N130" t="s">
        <v>5395</v>
      </c>
      <c r="O130" t="s">
        <v>489</v>
      </c>
      <c r="P130">
        <v>-42.84</v>
      </c>
      <c r="Q130" t="s">
        <v>2053</v>
      </c>
      <c r="R130">
        <v>-19316543</v>
      </c>
      <c r="S130" s="5">
        <v>-1.2090000000000001</v>
      </c>
      <c r="T130" t="s">
        <v>275</v>
      </c>
      <c r="U130">
        <v>180005670</v>
      </c>
      <c r="V130">
        <v>400010220</v>
      </c>
      <c r="W130">
        <v>2.1</v>
      </c>
      <c r="X130">
        <v>0.1</v>
      </c>
      <c r="Y130">
        <v>-3.48</v>
      </c>
      <c r="Z130" t="s">
        <v>972</v>
      </c>
      <c r="AA130" t="s">
        <v>5396</v>
      </c>
      <c r="AB130" t="s">
        <v>5397</v>
      </c>
      <c r="AC130" t="s">
        <v>5398</v>
      </c>
      <c r="AD130" t="s">
        <v>90</v>
      </c>
      <c r="AE130">
        <v>19580140</v>
      </c>
      <c r="AF130" t="s">
        <v>2933</v>
      </c>
      <c r="AG130" t="s">
        <v>5399</v>
      </c>
      <c r="AH130" t="s">
        <v>2934</v>
      </c>
      <c r="AI130" t="s">
        <v>1581</v>
      </c>
      <c r="AJ130" t="s">
        <v>2935</v>
      </c>
      <c r="AK130" t="s">
        <v>5400</v>
      </c>
      <c r="AL130" t="s">
        <v>2936</v>
      </c>
      <c r="AM130" t="s">
        <v>90</v>
      </c>
      <c r="AN130" t="s">
        <v>142</v>
      </c>
      <c r="AO130" t="s">
        <v>891</v>
      </c>
      <c r="AP130" t="s">
        <v>673</v>
      </c>
      <c r="AQ130" t="s">
        <v>2048</v>
      </c>
      <c r="AR130" t="s">
        <v>90</v>
      </c>
      <c r="AS130" t="s">
        <v>5401</v>
      </c>
      <c r="AT130" t="s">
        <v>287</v>
      </c>
      <c r="AU130" t="s">
        <v>5402</v>
      </c>
      <c r="AV130" t="s">
        <v>5403</v>
      </c>
      <c r="AW130" t="s">
        <v>5404</v>
      </c>
      <c r="AX130" t="s">
        <v>1748</v>
      </c>
      <c r="AY130" t="s">
        <v>1331</v>
      </c>
      <c r="AZ130" t="s">
        <v>1332</v>
      </c>
      <c r="BA130" t="s">
        <v>1333</v>
      </c>
      <c r="BB130" t="s">
        <v>1334</v>
      </c>
      <c r="BC130" t="s">
        <v>556</v>
      </c>
      <c r="BD130" t="s">
        <v>502</v>
      </c>
      <c r="BE130" t="s">
        <v>136</v>
      </c>
      <c r="BF130" t="s">
        <v>1335</v>
      </c>
      <c r="BG130" t="s">
        <v>1336</v>
      </c>
      <c r="BH130" t="s">
        <v>2932</v>
      </c>
      <c r="BI130" t="s">
        <v>373</v>
      </c>
      <c r="BJ130" t="s">
        <v>1748</v>
      </c>
      <c r="BK130" t="s">
        <v>501</v>
      </c>
      <c r="BL130" t="s">
        <v>5405</v>
      </c>
      <c r="BM130" t="s">
        <v>556</v>
      </c>
      <c r="BN130">
        <v>8.74</v>
      </c>
      <c r="BO130">
        <v>19.809999999999999</v>
      </c>
      <c r="BP130">
        <v>13.39</v>
      </c>
      <c r="BQ130">
        <v>12.51</v>
      </c>
      <c r="BR130">
        <v>23.14</v>
      </c>
      <c r="BS130">
        <v>20.61</v>
      </c>
      <c r="BT130" t="s">
        <v>1721</v>
      </c>
      <c r="BU130" t="s">
        <v>1337</v>
      </c>
      <c r="BV130">
        <v>18.87</v>
      </c>
      <c r="BW130">
        <v>21.72</v>
      </c>
      <c r="BX130">
        <v>19.13</v>
      </c>
      <c r="BY130">
        <v>7.85</v>
      </c>
      <c r="BZ130">
        <v>12.52</v>
      </c>
      <c r="CA130">
        <v>8.06</v>
      </c>
      <c r="CB130">
        <v>-6.24</v>
      </c>
      <c r="CC130">
        <v>-19.489999999999998</v>
      </c>
      <c r="CD130" t="s">
        <v>5406</v>
      </c>
      <c r="CE130" t="s">
        <v>5407</v>
      </c>
      <c r="CF130" s="8">
        <v>2.46875</v>
      </c>
      <c r="CG130" s="9">
        <v>-1.9134758490887251</v>
      </c>
      <c r="CH130" s="8">
        <v>-0.68623793125152588</v>
      </c>
      <c r="CI130" s="8">
        <v>0.75136023759841919</v>
      </c>
      <c r="CJ130" s="8">
        <v>0.21240106225013733</v>
      </c>
      <c r="CK130" s="8">
        <v>0.11388690024614334</v>
      </c>
      <c r="CL130" s="8">
        <v>0.44479823112487793</v>
      </c>
      <c r="CM130" s="9">
        <v>-0.50124067068099976</v>
      </c>
      <c r="CN130" s="9">
        <v>1.7229729890823364</v>
      </c>
      <c r="CO130" s="9">
        <v>-0.13450291752815247</v>
      </c>
      <c r="CP130" s="9">
        <v>0.78350913524627686</v>
      </c>
      <c r="CQ130" s="9">
        <v>0.64157634973526001</v>
      </c>
      <c r="CR130">
        <v>32.482494181900108</v>
      </c>
      <c r="CS130">
        <v>1.9422485051958411</v>
      </c>
      <c r="CT130">
        <v>1.7146776406035664</v>
      </c>
      <c r="CU130" s="8">
        <v>0.16724169999361038</v>
      </c>
      <c r="CV130" s="9">
        <v>0.50246297717094424</v>
      </c>
      <c r="CW130">
        <v>0.06</v>
      </c>
      <c r="CX130">
        <v>28.608832761241722</v>
      </c>
      <c r="CY130">
        <v>221335454.43275061</v>
      </c>
      <c r="CZ130">
        <v>0.16724169999361038</v>
      </c>
      <c r="DA130">
        <v>8.7623018612399282</v>
      </c>
      <c r="DB130">
        <v>722658166.80092728</v>
      </c>
      <c r="DC130">
        <v>0.15887961499392986</v>
      </c>
      <c r="DD130">
        <v>3.9457109514921926</v>
      </c>
      <c r="DE130">
        <v>1604818264.1471245</v>
      </c>
      <c r="DF130">
        <v>0.14717269599437713</v>
      </c>
      <c r="DG130">
        <v>2.1355879442342593</v>
      </c>
      <c r="DH130">
        <v>2965061222.1780767</v>
      </c>
      <c r="DI130">
        <v>0.13379335999488831</v>
      </c>
      <c r="DJ130">
        <v>0.8680015214897171</v>
      </c>
      <c r="DK130">
        <v>7295089747.2303734</v>
      </c>
      <c r="DL130">
        <v>0.11706918999552726</v>
      </c>
      <c r="DM130">
        <v>200999999.99999997</v>
      </c>
      <c r="DN130">
        <v>0.16724169999361038</v>
      </c>
      <c r="DO130">
        <v>6332149000</v>
      </c>
      <c r="DP130">
        <v>1539122900</v>
      </c>
      <c r="DQ130">
        <v>2678</v>
      </c>
      <c r="DR130">
        <v>2.3015083000063896</v>
      </c>
      <c r="DS130">
        <v>-2.4159388262596693</v>
      </c>
      <c r="DT130" s="10">
        <v>-0.24</v>
      </c>
      <c r="DU130">
        <v>-0.33166666666666683</v>
      </c>
      <c r="DV130">
        <v>-0.57166666666666677</v>
      </c>
      <c r="DW130">
        <v>-9.3201641867624421</v>
      </c>
      <c r="DX130">
        <v>0.44640894300838641</v>
      </c>
      <c r="DY130">
        <v>-9.0564798257759023</v>
      </c>
      <c r="DZ130">
        <v>915</v>
      </c>
      <c r="EA130">
        <v>-9.0463665105929376</v>
      </c>
      <c r="EB130">
        <v>9</v>
      </c>
      <c r="EC130">
        <v>1.725380916517583E-2</v>
      </c>
      <c r="ED130">
        <v>9.7805751063060345E-2</v>
      </c>
      <c r="EE130" s="11">
        <v>-4.0186999999999999</v>
      </c>
      <c r="EF130">
        <v>-4.0039100000000003</v>
      </c>
      <c r="EG130">
        <v>27.176408943008386</v>
      </c>
      <c r="EH130" t="s">
        <v>2124</v>
      </c>
      <c r="EI130">
        <v>0</v>
      </c>
      <c r="EJ130">
        <v>1</v>
      </c>
      <c r="EK130" s="13">
        <v>45470</v>
      </c>
      <c r="EL130" s="14">
        <v>-0.45</v>
      </c>
      <c r="EM130" s="14">
        <v>-4.28</v>
      </c>
      <c r="EN130" s="14">
        <v>-1.79</v>
      </c>
      <c r="EO130" s="14">
        <v>4.12</v>
      </c>
      <c r="EP130" s="14">
        <v>-2.2599999999999998</v>
      </c>
    </row>
    <row r="131" spans="1:146" ht="108">
      <c r="C131" s="7" t="str">
        <f>""&amp;CHAR(10)&amp;Basic_Fundamental_Information_Constructure(F131)&amp;CHAR(10)&amp;Basic_Fundamental_Information_Concatenate("")</f>
        <v xml:space="preserve">
市值20.720409亿, 利润3051.66万; PE23.54; 平均PE49.6; 平均PEG3.49, PB2.06; ROIC19.1533%; ROE20.915%; 股利率1.4403%; 毛利25.3733%; 净利14.7233%; 上一年度营收增-23.88%, 利润增-56.63%; 当季营收增205.05%, 利润增348.9%; 过往5年营收增14.2%, 利润增19.14%
Income profile:
</v>
      </c>
      <c r="D131" t="s">
        <v>1918</v>
      </c>
      <c r="E131" t="s">
        <v>1919</v>
      </c>
      <c r="F131">
        <v>35.409999999999997</v>
      </c>
      <c r="G131">
        <v>1.35</v>
      </c>
      <c r="H131" t="s">
        <v>5408</v>
      </c>
      <c r="I131">
        <v>2072040900</v>
      </c>
      <c r="J131">
        <v>23.54</v>
      </c>
      <c r="K131">
        <v>2.06</v>
      </c>
      <c r="L131" t="s">
        <v>85</v>
      </c>
      <c r="M131" t="s">
        <v>671</v>
      </c>
      <c r="N131" t="s">
        <v>527</v>
      </c>
      <c r="O131" t="s">
        <v>2937</v>
      </c>
      <c r="P131" s="5">
        <v>17.329999999999998</v>
      </c>
      <c r="Q131" t="s">
        <v>423</v>
      </c>
      <c r="R131">
        <v>8096354</v>
      </c>
      <c r="S131">
        <v>8.1600000000000006E-2</v>
      </c>
      <c r="T131" t="s">
        <v>2946</v>
      </c>
      <c r="U131">
        <v>14630000</v>
      </c>
      <c r="V131">
        <v>58515700</v>
      </c>
      <c r="W131">
        <v>1.1499999999999999</v>
      </c>
      <c r="X131">
        <v>0.08</v>
      </c>
      <c r="Y131">
        <v>8.5299999999999994</v>
      </c>
      <c r="Z131" t="s">
        <v>5409</v>
      </c>
      <c r="AA131" t="s">
        <v>5410</v>
      </c>
      <c r="AB131" t="s">
        <v>5411</v>
      </c>
      <c r="AC131" t="s">
        <v>5412</v>
      </c>
      <c r="AD131" t="s">
        <v>90</v>
      </c>
      <c r="AE131">
        <v>-1804691</v>
      </c>
      <c r="AF131" t="s">
        <v>2939</v>
      </c>
      <c r="AG131">
        <v>868.71</v>
      </c>
      <c r="AH131" t="s">
        <v>2940</v>
      </c>
      <c r="AI131" t="s">
        <v>295</v>
      </c>
      <c r="AJ131" t="s">
        <v>2941</v>
      </c>
      <c r="AK131" t="s">
        <v>2942</v>
      </c>
      <c r="AL131" t="s">
        <v>2943</v>
      </c>
      <c r="AM131" t="s">
        <v>90</v>
      </c>
      <c r="AN131" t="s">
        <v>5413</v>
      </c>
      <c r="AO131" t="s">
        <v>90</v>
      </c>
      <c r="AP131" t="s">
        <v>90</v>
      </c>
      <c r="AQ131" t="s">
        <v>239</v>
      </c>
      <c r="AR131" t="s">
        <v>90</v>
      </c>
      <c r="AS131" t="s">
        <v>204</v>
      </c>
      <c r="AT131" t="s">
        <v>90</v>
      </c>
      <c r="AU131" t="s">
        <v>5414</v>
      </c>
      <c r="AV131" t="s">
        <v>5415</v>
      </c>
      <c r="AW131" t="s">
        <v>5416</v>
      </c>
      <c r="AX131" t="s">
        <v>1547</v>
      </c>
      <c r="AY131" t="s">
        <v>438</v>
      </c>
      <c r="AZ131" t="s">
        <v>474</v>
      </c>
      <c r="BA131" t="s">
        <v>190</v>
      </c>
      <c r="BB131" t="s">
        <v>848</v>
      </c>
      <c r="BC131" t="s">
        <v>1920</v>
      </c>
      <c r="BD131" t="s">
        <v>1921</v>
      </c>
      <c r="BE131" t="s">
        <v>1922</v>
      </c>
      <c r="BF131" t="s">
        <v>1923</v>
      </c>
      <c r="BG131" t="s">
        <v>1924</v>
      </c>
      <c r="BH131" t="s">
        <v>489</v>
      </c>
      <c r="BI131" t="s">
        <v>2951</v>
      </c>
      <c r="BJ131" t="s">
        <v>1547</v>
      </c>
      <c r="BK131" t="s">
        <v>2938</v>
      </c>
      <c r="BL131" t="s">
        <v>2952</v>
      </c>
      <c r="BM131" t="s">
        <v>1920</v>
      </c>
      <c r="BN131">
        <v>9.64</v>
      </c>
      <c r="BO131">
        <v>25.4</v>
      </c>
      <c r="BP131">
        <v>22.42</v>
      </c>
      <c r="BQ131">
        <v>14.24</v>
      </c>
      <c r="BR131">
        <v>27.59</v>
      </c>
      <c r="BS131" t="s">
        <v>90</v>
      </c>
      <c r="BT131" t="s">
        <v>2944</v>
      </c>
      <c r="BU131" t="s">
        <v>1449</v>
      </c>
      <c r="BV131">
        <v>28.44</v>
      </c>
      <c r="BW131">
        <v>25.94</v>
      </c>
      <c r="BX131">
        <v>21.74</v>
      </c>
      <c r="BY131">
        <v>15.75</v>
      </c>
      <c r="BZ131">
        <v>15.7</v>
      </c>
      <c r="CA131">
        <v>12.72</v>
      </c>
      <c r="CB131">
        <v>-8.2200000000000006</v>
      </c>
      <c r="CC131" s="8">
        <v>-11.7</v>
      </c>
      <c r="CD131" s="9" t="s">
        <v>5417</v>
      </c>
      <c r="CE131" s="8" t="s">
        <v>5418</v>
      </c>
      <c r="CF131" s="8">
        <v>2.0504740685012104</v>
      </c>
      <c r="CG131" s="8">
        <v>3.4889649236066278</v>
      </c>
      <c r="CH131" s="8">
        <v>-0.2388392835855484</v>
      </c>
      <c r="CI131" s="8">
        <v>0.16971279680728912</v>
      </c>
      <c r="CJ131" s="9">
        <v>0.27242523431777954</v>
      </c>
      <c r="CK131" s="9">
        <v>0.19920319318771362</v>
      </c>
      <c r="CL131" s="9">
        <v>0.3072916567325592</v>
      </c>
      <c r="CM131" s="9">
        <v>-0.56631362438201904</v>
      </c>
      <c r="CN131" s="9">
        <v>0.44504797458648682</v>
      </c>
      <c r="CO131">
        <v>-8.7048746645450592E-3</v>
      </c>
      <c r="CP131">
        <v>0.56873822212219238</v>
      </c>
      <c r="CQ131">
        <v>0.51844900846481323</v>
      </c>
      <c r="CR131" s="8">
        <v>49.603366035850811</v>
      </c>
      <c r="CS131" s="9">
        <v>3.4942105855400194</v>
      </c>
      <c r="CT131">
        <v>1.4402711098559728</v>
      </c>
      <c r="CU131">
        <v>0.14195871949195862</v>
      </c>
      <c r="CV131">
        <v>0.19144334122538567</v>
      </c>
      <c r="CW131">
        <v>0.06</v>
      </c>
      <c r="CX131">
        <v>37.779413578931468</v>
      </c>
      <c r="CY131">
        <v>32876129.678536136</v>
      </c>
      <c r="CZ131">
        <v>0.14195871949195862</v>
      </c>
      <c r="DA131">
        <v>11.817651120215562</v>
      </c>
      <c r="DB131">
        <v>105100488.02129</v>
      </c>
      <c r="DC131">
        <v>0.13486078351736069</v>
      </c>
      <c r="DD131">
        <v>5.4809092386363192</v>
      </c>
      <c r="DE131">
        <v>226612199.89642206</v>
      </c>
      <c r="DF131">
        <v>0.12492367315292359</v>
      </c>
      <c r="DG131">
        <v>3.0725358476781355</v>
      </c>
      <c r="DH131">
        <v>404239677.44382536</v>
      </c>
      <c r="DI131">
        <v>0.1135669755935669</v>
      </c>
      <c r="DJ131">
        <v>1.3573924232517887</v>
      </c>
      <c r="DK131">
        <v>915019767.84616876</v>
      </c>
      <c r="DL131">
        <v>9.9371103644371031E-2</v>
      </c>
      <c r="DM131">
        <v>30516600</v>
      </c>
      <c r="DN131">
        <v>0.14195871949195862</v>
      </c>
      <c r="DO131">
        <v>1242040900</v>
      </c>
      <c r="DP131">
        <v>786624300</v>
      </c>
      <c r="DQ131" s="10">
        <v>2681</v>
      </c>
      <c r="DR131">
        <v>1.9085153490092517</v>
      </c>
      <c r="DS131">
        <v>3.297521582381242</v>
      </c>
      <c r="DT131">
        <v>-0.10666666666666676</v>
      </c>
      <c r="DU131">
        <v>0.41999999999999993</v>
      </c>
      <c r="DV131">
        <v>0.31333333333333319</v>
      </c>
      <c r="DW131">
        <v>-9.7025641025641018</v>
      </c>
      <c r="DX131">
        <v>0.24132792878272041</v>
      </c>
      <c r="DY131">
        <v>-9.0430868012473464</v>
      </c>
      <c r="DZ131">
        <v>3782</v>
      </c>
      <c r="EA131">
        <v>-9.0111975092087029</v>
      </c>
      <c r="EB131" s="11">
        <v>9</v>
      </c>
      <c r="EC131" s="11">
        <v>3.0044928113309763E-2</v>
      </c>
      <c r="ED131">
        <v>0.48990612775716597</v>
      </c>
      <c r="EE131">
        <v>-3.0559099999999999</v>
      </c>
      <c r="EF131">
        <v>-3.0813100000000002</v>
      </c>
      <c r="EG131">
        <v>18.06132792878272</v>
      </c>
      <c r="EH131" s="13" t="s">
        <v>2117</v>
      </c>
      <c r="EI131">
        <v>0</v>
      </c>
      <c r="EJ131">
        <v>0</v>
      </c>
      <c r="EK131">
        <v>45470</v>
      </c>
      <c r="EL131">
        <v>4.58</v>
      </c>
      <c r="EM131">
        <v>-8.2100000000000009</v>
      </c>
      <c r="EN131" s="14">
        <v>-2.73</v>
      </c>
      <c r="EO131" s="14">
        <v>5.58</v>
      </c>
      <c r="EP131" s="14">
        <v>-2.54</v>
      </c>
    </row>
    <row r="132" spans="1:146" ht="108">
      <c r="C132" s="7" t="str">
        <f>""&amp;CHAR(10)&amp;Basic_Fundamental_Information_Constructure(F132)&amp;CHAR(10)&amp;Basic_Fundamental_Information_Concatenate("")</f>
        <v xml:space="preserve">
市值10.8608957亿, 利润1.80亿; PE76.83; 平均PE14.54; 平均PEG.25, PB1.1; ROIC10.64%; ROE13.6833%; 股利率1.3193%; 毛利40.7767%; 净利13.3567%; 上一年度营收增162.41%, 利润增257.5%; 当季营收增-87.87%, 利润增-130.47%; 过往5年营收增59%, 利润增69.19%
Income profile:
</v>
      </c>
      <c r="D132" t="s">
        <v>1521</v>
      </c>
      <c r="E132" t="s">
        <v>1522</v>
      </c>
      <c r="F132">
        <v>15.16</v>
      </c>
      <c r="G132">
        <v>3.13</v>
      </c>
      <c r="H132" t="s">
        <v>5419</v>
      </c>
      <c r="I132">
        <v>1086089570</v>
      </c>
      <c r="J132">
        <v>76.83</v>
      </c>
      <c r="K132">
        <v>1.1000000000000001</v>
      </c>
      <c r="L132" t="s">
        <v>85</v>
      </c>
      <c r="M132" t="s">
        <v>755</v>
      </c>
      <c r="N132" t="s">
        <v>4525</v>
      </c>
      <c r="O132" t="s">
        <v>2945</v>
      </c>
      <c r="P132">
        <v>14.69</v>
      </c>
      <c r="Q132" t="s">
        <v>5420</v>
      </c>
      <c r="R132">
        <v>-19633757</v>
      </c>
      <c r="S132">
        <v>-5.0359999999999996</v>
      </c>
      <c r="T132" t="s">
        <v>263</v>
      </c>
      <c r="U132">
        <v>34629292</v>
      </c>
      <c r="V132">
        <v>71641792</v>
      </c>
      <c r="W132">
        <v>1.27</v>
      </c>
      <c r="X132">
        <v>0.03</v>
      </c>
      <c r="Y132">
        <v>-57.16</v>
      </c>
      <c r="Z132" t="s">
        <v>5421</v>
      </c>
      <c r="AA132" t="s">
        <v>5422</v>
      </c>
      <c r="AB132" t="s">
        <v>5423</v>
      </c>
      <c r="AC132" t="s">
        <v>5424</v>
      </c>
      <c r="AD132" t="s">
        <v>90</v>
      </c>
      <c r="AE132">
        <v>-1142184</v>
      </c>
      <c r="AF132" t="s">
        <v>2947</v>
      </c>
      <c r="AG132">
        <v>5000.93</v>
      </c>
      <c r="AH132" t="s">
        <v>2948</v>
      </c>
      <c r="AI132" t="s">
        <v>1904</v>
      </c>
      <c r="AJ132" t="s">
        <v>2949</v>
      </c>
      <c r="AK132" t="s">
        <v>5425</v>
      </c>
      <c r="AL132" t="s">
        <v>2950</v>
      </c>
      <c r="AM132" t="s">
        <v>90</v>
      </c>
      <c r="AN132" t="s">
        <v>192</v>
      </c>
      <c r="AO132" t="s">
        <v>5426</v>
      </c>
      <c r="AP132" t="s">
        <v>90</v>
      </c>
      <c r="AQ132" t="s">
        <v>5427</v>
      </c>
      <c r="AR132" t="s">
        <v>90</v>
      </c>
      <c r="AS132" t="s">
        <v>909</v>
      </c>
      <c r="AT132" t="s">
        <v>90</v>
      </c>
      <c r="AU132" t="s">
        <v>5428</v>
      </c>
      <c r="AV132" t="s">
        <v>5429</v>
      </c>
      <c r="AW132" t="s">
        <v>5430</v>
      </c>
      <c r="AX132" t="s">
        <v>1926</v>
      </c>
      <c r="AY132" t="s">
        <v>409</v>
      </c>
      <c r="AZ132" t="s">
        <v>457</v>
      </c>
      <c r="BA132" t="s">
        <v>320</v>
      </c>
      <c r="BB132" t="s">
        <v>281</v>
      </c>
      <c r="BC132" t="s">
        <v>1927</v>
      </c>
      <c r="BD132" t="s">
        <v>1523</v>
      </c>
      <c r="BE132" t="s">
        <v>1524</v>
      </c>
      <c r="BF132" t="s">
        <v>1525</v>
      </c>
      <c r="BG132" t="s">
        <v>1526</v>
      </c>
      <c r="BH132" t="s">
        <v>423</v>
      </c>
      <c r="BI132" t="s">
        <v>144</v>
      </c>
      <c r="BJ132" t="s">
        <v>1926</v>
      </c>
      <c r="BK132" t="s">
        <v>2946</v>
      </c>
      <c r="BL132" t="s">
        <v>5431</v>
      </c>
      <c r="BM132" t="s">
        <v>1927</v>
      </c>
      <c r="BN132">
        <v>1</v>
      </c>
      <c r="BO132">
        <v>7.19</v>
      </c>
      <c r="BP132">
        <v>23.73</v>
      </c>
      <c r="BQ132">
        <v>1.6</v>
      </c>
      <c r="BR132">
        <v>10.97</v>
      </c>
      <c r="BS132">
        <v>28.48</v>
      </c>
      <c r="BT132" t="s">
        <v>1694</v>
      </c>
      <c r="BU132" t="s">
        <v>1381</v>
      </c>
      <c r="BV132">
        <v>39.090000000000003</v>
      </c>
      <c r="BW132">
        <v>37.15</v>
      </c>
      <c r="BX132">
        <v>46.09</v>
      </c>
      <c r="BY132">
        <v>8.3000000000000007</v>
      </c>
      <c r="BZ132">
        <v>11.48</v>
      </c>
      <c r="CA132">
        <v>20.29</v>
      </c>
      <c r="CB132">
        <v>-2.63</v>
      </c>
      <c r="CC132" s="8">
        <v>-13.57</v>
      </c>
      <c r="CD132" s="9" t="s">
        <v>5432</v>
      </c>
      <c r="CE132" s="8" t="s">
        <v>5433</v>
      </c>
      <c r="CF132" s="8">
        <v>-0.87867108843537411</v>
      </c>
      <c r="CG132" s="8">
        <v>-1.3047149140505205</v>
      </c>
      <c r="CH132" s="8">
        <v>1.6241457462310791</v>
      </c>
      <c r="CI132" s="8">
        <v>7.5980395078659058E-2</v>
      </c>
      <c r="CJ132" s="9">
        <v>0.36912751197814941</v>
      </c>
      <c r="CK132" s="9">
        <v>0.51269036531448364</v>
      </c>
      <c r="CL132" s="9">
        <v>0.3680555522441864</v>
      </c>
      <c r="CM132" s="9">
        <v>2.5750105381011963</v>
      </c>
      <c r="CN132" s="9">
        <v>-0.39136293530464172</v>
      </c>
      <c r="CO132">
        <v>0.20868228375911713</v>
      </c>
      <c r="CP132">
        <v>0.92466133832931519</v>
      </c>
      <c r="CQ132">
        <v>0.14275109767913818</v>
      </c>
      <c r="CR132" s="8">
        <v>14.539481432230543</v>
      </c>
      <c r="CS132" s="9">
        <v>0.24643192453174098</v>
      </c>
      <c r="CT132">
        <v>1.3192612137203166</v>
      </c>
      <c r="CU132">
        <v>0.58999991416931152</v>
      </c>
      <c r="CV132">
        <v>0.69194846451282499</v>
      </c>
      <c r="CW132">
        <v>0.06</v>
      </c>
      <c r="CX132">
        <v>1.2114429172474366</v>
      </c>
      <c r="CY132">
        <v>269999985.42497742</v>
      </c>
      <c r="CZ132">
        <v>0.58999991416931152</v>
      </c>
      <c r="DA132">
        <v>0.26605381030969366</v>
      </c>
      <c r="DB132">
        <v>1229411334.5689697</v>
      </c>
      <c r="DC132">
        <v>0.5604999184608459</v>
      </c>
      <c r="DD132">
        <v>7.1642691270391509E-2</v>
      </c>
      <c r="DE132">
        <v>4565567878.5922375</v>
      </c>
      <c r="DF132">
        <v>0.5191999244689941</v>
      </c>
      <c r="DG132">
        <v>1.9813518001680033E-2</v>
      </c>
      <c r="DH132">
        <v>16508404513.134182</v>
      </c>
      <c r="DI132">
        <v>0.47199993133544926</v>
      </c>
      <c r="DJ132">
        <v>1.4510657092106868E-3</v>
      </c>
      <c r="DK132">
        <v>225413341328.2309</v>
      </c>
      <c r="DL132">
        <v>0.41299993991851802</v>
      </c>
      <c r="DM132">
        <v>180000000</v>
      </c>
      <c r="DN132">
        <v>0.58999991416931152</v>
      </c>
      <c r="DO132">
        <v>327089570</v>
      </c>
      <c r="DP132">
        <v>663169770</v>
      </c>
      <c r="DQ132" s="10">
        <v>2682</v>
      </c>
      <c r="DR132">
        <v>-1.4686710026046856</v>
      </c>
      <c r="DS132">
        <v>-1.9966633785633454</v>
      </c>
      <c r="DT132">
        <v>0.24333333333333326</v>
      </c>
      <c r="DU132">
        <v>-0.38166666666666665</v>
      </c>
      <c r="DV132">
        <v>-0.13833333333333339</v>
      </c>
      <c r="DW132">
        <v>-8.1938098747236552</v>
      </c>
      <c r="DX132">
        <v>0.4006011079338121</v>
      </c>
      <c r="DY132">
        <v>-8.0369403768508416</v>
      </c>
      <c r="DZ132">
        <v>398</v>
      </c>
      <c r="EA132">
        <v>-8.0340632202976838</v>
      </c>
      <c r="EB132" s="11">
        <v>8</v>
      </c>
      <c r="EC132">
        <v>8.8943894647414742E-2</v>
      </c>
      <c r="ED132">
        <v>0.46664941044467451</v>
      </c>
      <c r="EE132">
        <v>2.0062000000000002</v>
      </c>
      <c r="EF132">
        <v>2.0106999999999999</v>
      </c>
      <c r="EG132">
        <v>21.190601107933812</v>
      </c>
      <c r="EH132" s="13" t="s">
        <v>1732</v>
      </c>
      <c r="EI132" s="14">
        <v>0</v>
      </c>
      <c r="EJ132" s="14">
        <v>1</v>
      </c>
      <c r="EK132" s="14">
        <v>45470</v>
      </c>
      <c r="EL132" s="14">
        <v>-0.1</v>
      </c>
      <c r="EM132" s="14">
        <v>-6.11</v>
      </c>
      <c r="EN132" s="14">
        <v>0.92</v>
      </c>
      <c r="EO132" s="14">
        <v>4.32</v>
      </c>
      <c r="EP132" s="14">
        <v>0.45</v>
      </c>
    </row>
    <row r="133" spans="1:146" ht="108">
      <c r="C133" s="7" t="str">
        <f>""&amp;CHAR(10)&amp;Basic_Fundamental_Information_Constructure(F133)&amp;CHAR(10)&amp;Basic_Fundamental_Information_Concatenate("")</f>
        <v xml:space="preserve">
市值46.15352亿, 利润1.79亿; PE14.05; 平均PE26.53; 平均PEG.83, PB1.47; ROIC18.61%; ROE15.88%; 股利率3.1001%; 毛利39.66%; 净利20.9467%; 上一年度营收增47.19%, 利润增-15.57%; 当季营收增-29.43%, 利润增51.03%; 过往5年营收增31.97%, 利润增13.7%
Income profile:
</v>
      </c>
      <c r="D133" t="s">
        <v>5434</v>
      </c>
      <c r="E133" t="s">
        <v>5435</v>
      </c>
      <c r="F133">
        <v>11.29</v>
      </c>
      <c r="G133">
        <v>1.53</v>
      </c>
      <c r="H133" t="s">
        <v>5436</v>
      </c>
      <c r="I133">
        <v>4615352000</v>
      </c>
      <c r="J133">
        <v>14.05</v>
      </c>
      <c r="K133">
        <v>1.47</v>
      </c>
      <c r="L133" t="s">
        <v>85</v>
      </c>
      <c r="M133" t="s">
        <v>1461</v>
      </c>
      <c r="N133" t="s">
        <v>5437</v>
      </c>
      <c r="O133" t="s">
        <v>173</v>
      </c>
      <c r="P133" s="5">
        <v>1.17</v>
      </c>
      <c r="Q133" t="s">
        <v>5438</v>
      </c>
      <c r="R133">
        <v>63998586</v>
      </c>
      <c r="S133">
        <v>0.29270000000000002</v>
      </c>
      <c r="T133" t="s">
        <v>859</v>
      </c>
      <c r="U133">
        <v>102200000</v>
      </c>
      <c r="V133">
        <v>408800000</v>
      </c>
      <c r="W133">
        <v>1.19</v>
      </c>
      <c r="X133">
        <v>7.0000000000000007E-2</v>
      </c>
      <c r="Y133">
        <v>23.63</v>
      </c>
      <c r="Z133" t="s">
        <v>198</v>
      </c>
      <c r="AA133" t="s">
        <v>192</v>
      </c>
      <c r="AB133" t="s">
        <v>5439</v>
      </c>
      <c r="AC133" t="s">
        <v>5440</v>
      </c>
      <c r="AD133" t="s">
        <v>90</v>
      </c>
      <c r="AE133">
        <v>1150287</v>
      </c>
      <c r="AF133" t="s">
        <v>5441</v>
      </c>
      <c r="AG133">
        <v>2551.0100000000002</v>
      </c>
      <c r="AH133" t="s">
        <v>5442</v>
      </c>
      <c r="AI133" t="s">
        <v>218</v>
      </c>
      <c r="AJ133" t="s">
        <v>5443</v>
      </c>
      <c r="AK133" t="s">
        <v>502</v>
      </c>
      <c r="AL133" t="s">
        <v>5444</v>
      </c>
      <c r="AM133" t="s">
        <v>90</v>
      </c>
      <c r="AN133" t="s">
        <v>5445</v>
      </c>
      <c r="AO133" t="s">
        <v>5446</v>
      </c>
      <c r="AP133" t="s">
        <v>5447</v>
      </c>
      <c r="AQ133" t="s">
        <v>2613</v>
      </c>
      <c r="AR133" t="s">
        <v>90</v>
      </c>
      <c r="AS133" t="s">
        <v>1456</v>
      </c>
      <c r="AT133" t="s">
        <v>5448</v>
      </c>
      <c r="AU133" t="s">
        <v>5449</v>
      </c>
      <c r="AV133" t="s">
        <v>5450</v>
      </c>
      <c r="AW133" t="s">
        <v>5451</v>
      </c>
      <c r="AX133" t="s">
        <v>1265</v>
      </c>
      <c r="AY133" t="s">
        <v>1739</v>
      </c>
      <c r="AZ133" t="s">
        <v>4973</v>
      </c>
      <c r="BA133" t="s">
        <v>1099</v>
      </c>
      <c r="BB133" t="s">
        <v>1547</v>
      </c>
      <c r="BC133" t="s">
        <v>218</v>
      </c>
      <c r="BD133" t="s">
        <v>352</v>
      </c>
      <c r="BE133" t="s">
        <v>391</v>
      </c>
      <c r="BF133" t="s">
        <v>276</v>
      </c>
      <c r="BG133" t="s">
        <v>418</v>
      </c>
      <c r="BH133" t="s">
        <v>5452</v>
      </c>
      <c r="BI133" t="s">
        <v>278</v>
      </c>
      <c r="BJ133" t="s">
        <v>1265</v>
      </c>
      <c r="BK133" t="s">
        <v>301</v>
      </c>
      <c r="BL133" t="s">
        <v>5453</v>
      </c>
      <c r="BM133" t="s">
        <v>218</v>
      </c>
      <c r="BN133">
        <v>9.18</v>
      </c>
      <c r="BO133">
        <v>20.56</v>
      </c>
      <c r="BP133">
        <v>26.09</v>
      </c>
      <c r="BQ133">
        <v>7.69</v>
      </c>
      <c r="BR133">
        <v>24.07</v>
      </c>
      <c r="BS133" t="s">
        <v>90</v>
      </c>
      <c r="BT133" t="s">
        <v>5454</v>
      </c>
      <c r="BU133" t="s">
        <v>3551</v>
      </c>
      <c r="BV133">
        <v>42.47</v>
      </c>
      <c r="BW133">
        <v>37.6</v>
      </c>
      <c r="BX133">
        <v>38.909999999999997</v>
      </c>
      <c r="BY133">
        <v>23.81</v>
      </c>
      <c r="BZ133">
        <v>18.21</v>
      </c>
      <c r="CA133">
        <v>20.82</v>
      </c>
      <c r="CB133">
        <v>-2</v>
      </c>
      <c r="CC133" s="8">
        <v>-9.2100000000000009</v>
      </c>
      <c r="CD133" s="9" t="s">
        <v>5455</v>
      </c>
      <c r="CE133" s="8" t="s">
        <v>5456</v>
      </c>
      <c r="CF133" s="8">
        <v>-0.29427083333333331</v>
      </c>
      <c r="CG133" s="8">
        <v>0.51031606421817</v>
      </c>
      <c r="CH133" s="8">
        <v>0.4718722403049469</v>
      </c>
      <c r="CI133" s="8">
        <v>0.12041398137807846</v>
      </c>
      <c r="CJ133" s="9">
        <v>0.25058823823928833</v>
      </c>
      <c r="CK133" s="9">
        <v>0.34706813097000122</v>
      </c>
      <c r="CL133" s="9">
        <v>0.4084821343421936</v>
      </c>
      <c r="CM133" s="9">
        <v>-0.15566037595272064</v>
      </c>
      <c r="CN133" s="9">
        <v>-2.3041475564241409E-2</v>
      </c>
      <c r="CO133">
        <v>0.19230769574642181</v>
      </c>
      <c r="CP133">
        <v>0.20529800653457642</v>
      </c>
      <c r="CQ133">
        <v>0.46601942181587219</v>
      </c>
      <c r="CR133" s="8">
        <v>26.525011494252873</v>
      </c>
      <c r="CS133" s="9">
        <v>0.82972351076342765</v>
      </c>
      <c r="CT133">
        <v>3.1000885739592561</v>
      </c>
      <c r="CU133">
        <v>0.3196849450469017</v>
      </c>
      <c r="CV133">
        <v>0.13698465451598169</v>
      </c>
      <c r="CW133">
        <v>0.06</v>
      </c>
      <c r="CX133">
        <v>9.4787018361320143</v>
      </c>
      <c r="CY133">
        <v>222852457.70131642</v>
      </c>
      <c r="CZ133">
        <v>0.3196849450469017</v>
      </c>
      <c r="DA133">
        <v>2.5637201287276601</v>
      </c>
      <c r="DB133">
        <v>823940170.50852275</v>
      </c>
      <c r="DC133">
        <v>0.30370069779455661</v>
      </c>
      <c r="DD133">
        <v>0.9616159773757571</v>
      </c>
      <c r="DE133">
        <v>2196668992.2983527</v>
      </c>
      <c r="DF133">
        <v>0.28132275164127352</v>
      </c>
      <c r="DG133">
        <v>0.41388065493557802</v>
      </c>
      <c r="DH133">
        <v>5103770796.7500801</v>
      </c>
      <c r="DI133">
        <v>0.25574795603752137</v>
      </c>
      <c r="DJ133">
        <v>9.4576246191358321E-2</v>
      </c>
      <c r="DK133">
        <v>22334910562.278282</v>
      </c>
      <c r="DL133">
        <v>0.22377946153283118</v>
      </c>
      <c r="DM133">
        <v>179000000</v>
      </c>
      <c r="DN133">
        <v>0.3196849450469017</v>
      </c>
      <c r="DO133">
        <v>2112352000</v>
      </c>
      <c r="DP133">
        <v>1466613300</v>
      </c>
      <c r="DQ133" s="10">
        <v>2708</v>
      </c>
      <c r="DR133">
        <v>-0.61395577838023496</v>
      </c>
      <c r="DS133">
        <v>0.37333140970218831</v>
      </c>
      <c r="DT133">
        <v>7.6666666666666591E-2</v>
      </c>
      <c r="DU133">
        <v>0.40333333333333327</v>
      </c>
      <c r="DV133">
        <v>0.47999999999999987</v>
      </c>
      <c r="DW133">
        <v>-2.0920999999999998</v>
      </c>
      <c r="DX133">
        <v>0.33002824390178231</v>
      </c>
      <c r="DY133">
        <v>-2.009212601263354</v>
      </c>
      <c r="DZ133">
        <v>3630</v>
      </c>
      <c r="EA133">
        <v>-2.0026682289373317</v>
      </c>
      <c r="EB133" s="11">
        <v>2</v>
      </c>
      <c r="EC133" s="11">
        <v>1.0915851272015656E-2</v>
      </c>
      <c r="ED133">
        <v>0.10912769080234834</v>
      </c>
      <c r="EE133">
        <v>7.4910000000000004E-2</v>
      </c>
      <c r="EF133">
        <v>8.3009999999999987E-2</v>
      </c>
      <c r="EG133">
        <v>23.100028243901782</v>
      </c>
      <c r="EH133" s="13">
        <v>-1</v>
      </c>
      <c r="EI133">
        <v>0</v>
      </c>
      <c r="EJ133">
        <v>0</v>
      </c>
      <c r="EK133">
        <v>45470</v>
      </c>
      <c r="EL133">
        <v>-0.73</v>
      </c>
      <c r="EM133">
        <v>-5.9</v>
      </c>
      <c r="EN133" s="14">
        <v>-0.9</v>
      </c>
      <c r="EO133" s="14">
        <v>4.6399999999999997</v>
      </c>
      <c r="EP133" s="14">
        <v>-0.81</v>
      </c>
    </row>
    <row r="134" spans="1:146" ht="96">
      <c r="A134" s="7"/>
      <c r="B134" s="7"/>
      <c r="C134" s="7" t="str">
        <f>""&amp;CHAR(10)&amp;Basic_Fundamental_Information_Constructure(F134)&amp;CHAR(10)&amp;Basic_Fundamental_Information_Concatenate("")</f>
        <v xml:space="preserve">
市值24.09亿, 利润1.65亿; PE18.52; 平均PE25.26; 平均PEG.55, PB1.63; ROIC12.3633%; ROE17.9433%; 股利率1.2453%; 毛利25.3233%; 净利15.09%; 上一年度营收增157.53%, 利润增32%; 当季营收增-44.89%, 利润增14.68%; 过往5年营收增45.54%, 利润增26.72%
Income profile:
</v>
      </c>
      <c r="D134" t="s">
        <v>1484</v>
      </c>
      <c r="E134" t="s">
        <v>1535</v>
      </c>
      <c r="F134">
        <v>24.09</v>
      </c>
      <c r="G134">
        <v>0.92</v>
      </c>
      <c r="H134" t="s">
        <v>5457</v>
      </c>
      <c r="I134">
        <v>2409000000</v>
      </c>
      <c r="J134">
        <v>18.52</v>
      </c>
      <c r="K134">
        <v>1.63</v>
      </c>
      <c r="L134" t="s">
        <v>85</v>
      </c>
      <c r="M134" t="s">
        <v>1339</v>
      </c>
      <c r="N134" t="s">
        <v>5458</v>
      </c>
      <c r="O134" t="s">
        <v>96</v>
      </c>
      <c r="P134">
        <v>76.55</v>
      </c>
      <c r="Q134" t="s">
        <v>2189</v>
      </c>
      <c r="R134">
        <v>41078881</v>
      </c>
      <c r="S134">
        <v>1.7569999999999999</v>
      </c>
      <c r="T134" t="s">
        <v>1541</v>
      </c>
      <c r="U134">
        <v>25000000</v>
      </c>
      <c r="V134">
        <v>100000000</v>
      </c>
      <c r="W134">
        <v>1.1499999999999999</v>
      </c>
      <c r="X134">
        <v>0.14000000000000001</v>
      </c>
      <c r="Y134">
        <v>17.66</v>
      </c>
      <c r="Z134" t="s">
        <v>160</v>
      </c>
      <c r="AA134" t="s">
        <v>107</v>
      </c>
      <c r="AB134" t="s">
        <v>5459</v>
      </c>
      <c r="AC134" t="s">
        <v>5460</v>
      </c>
      <c r="AD134" t="s">
        <v>90</v>
      </c>
      <c r="AE134">
        <v>-11223073</v>
      </c>
      <c r="AF134" t="s">
        <v>182</v>
      </c>
      <c r="AG134">
        <v>0.01</v>
      </c>
      <c r="AH134" t="s">
        <v>2954</v>
      </c>
      <c r="AI134" t="s">
        <v>5461</v>
      </c>
      <c r="AJ134" t="s">
        <v>2955</v>
      </c>
      <c r="AK134" t="s">
        <v>90</v>
      </c>
      <c r="AL134" t="s">
        <v>2956</v>
      </c>
      <c r="AM134" t="s">
        <v>90</v>
      </c>
      <c r="AN134" t="s">
        <v>247</v>
      </c>
      <c r="AO134" t="s">
        <v>215</v>
      </c>
      <c r="AP134" t="s">
        <v>90</v>
      </c>
      <c r="AQ134" t="s">
        <v>5462</v>
      </c>
      <c r="AR134" t="s">
        <v>90</v>
      </c>
      <c r="AS134" t="s">
        <v>407</v>
      </c>
      <c r="AT134" t="s">
        <v>90</v>
      </c>
      <c r="AU134" t="s">
        <v>5463</v>
      </c>
      <c r="AV134" t="s">
        <v>5464</v>
      </c>
      <c r="AW134" t="s">
        <v>5465</v>
      </c>
      <c r="AX134" t="s">
        <v>1557</v>
      </c>
      <c r="AY134" t="s">
        <v>657</v>
      </c>
      <c r="AZ134" t="s">
        <v>110</v>
      </c>
      <c r="BA134" t="s">
        <v>453</v>
      </c>
      <c r="BB134" t="s">
        <v>478</v>
      </c>
      <c r="BC134" t="s">
        <v>579</v>
      </c>
      <c r="BD134" t="s">
        <v>189</v>
      </c>
      <c r="BE134" t="s">
        <v>1485</v>
      </c>
      <c r="BF134" t="s">
        <v>1486</v>
      </c>
      <c r="BG134" t="s">
        <v>1487</v>
      </c>
      <c r="BH134" t="s">
        <v>1917</v>
      </c>
      <c r="BI134" t="s">
        <v>1839</v>
      </c>
      <c r="BJ134" t="s">
        <v>1557</v>
      </c>
      <c r="BK134" t="s">
        <v>121</v>
      </c>
      <c r="BL134" t="s">
        <v>5466</v>
      </c>
      <c r="BM134" t="s">
        <v>579</v>
      </c>
      <c r="BN134">
        <v>3.39</v>
      </c>
      <c r="BO134">
        <v>12.06</v>
      </c>
      <c r="BP134">
        <v>21.64</v>
      </c>
      <c r="BQ134">
        <v>5.19</v>
      </c>
      <c r="BR134">
        <v>18.32</v>
      </c>
      <c r="BS134">
        <v>30.32</v>
      </c>
      <c r="BT134" t="s">
        <v>1720</v>
      </c>
      <c r="BU134" t="s">
        <v>1337</v>
      </c>
      <c r="BV134">
        <v>24.51</v>
      </c>
      <c r="BW134">
        <v>25.76</v>
      </c>
      <c r="BX134">
        <v>25.7</v>
      </c>
      <c r="BY134">
        <v>14.98</v>
      </c>
      <c r="BZ134">
        <v>16.07</v>
      </c>
      <c r="CA134">
        <v>14.22</v>
      </c>
      <c r="CB134">
        <v>-5.75</v>
      </c>
      <c r="CC134">
        <v>-12.24</v>
      </c>
      <c r="CD134" t="s">
        <v>5467</v>
      </c>
      <c r="CE134" t="s">
        <v>5468</v>
      </c>
      <c r="CF134" s="8">
        <v>-0.44893111638954875</v>
      </c>
      <c r="CG134" s="9">
        <v>0.14680449354137179</v>
      </c>
      <c r="CH134" s="8">
        <v>1.5752896070480347</v>
      </c>
      <c r="CI134" s="8">
        <v>4.1554961353540421E-2</v>
      </c>
      <c r="CJ134" s="8">
        <v>0.3345259428024292</v>
      </c>
      <c r="CK134" s="8">
        <v>9.1796875E-2</v>
      </c>
      <c r="CL134" s="8">
        <v>0.23373493552207947</v>
      </c>
      <c r="CM134" s="9">
        <v>0.31999999284744263</v>
      </c>
      <c r="CN134" s="9">
        <v>0.16822430491447449</v>
      </c>
      <c r="CO134" s="9">
        <v>0.52119147777557373</v>
      </c>
      <c r="CP134" s="9">
        <v>0.37614256143569946</v>
      </c>
      <c r="CQ134" s="9">
        <v>-4.9342900514602661E-2</v>
      </c>
      <c r="CR134">
        <v>25.259524399540176</v>
      </c>
      <c r="CS134">
        <v>0.55469055827549352</v>
      </c>
      <c r="CT134">
        <v>1.2453300124533002</v>
      </c>
      <c r="CU134" s="8">
        <v>0.45538046434521673</v>
      </c>
      <c r="CV134" s="9">
        <v>0.26724308729171753</v>
      </c>
      <c r="CW134">
        <v>0.06</v>
      </c>
      <c r="CX134">
        <v>5.1601210665680846</v>
      </c>
      <c r="CY134">
        <v>226545072.28015167</v>
      </c>
      <c r="CZ134">
        <v>0.45538046434521673</v>
      </c>
      <c r="DA134">
        <v>1.2546609010489529</v>
      </c>
      <c r="DB134">
        <v>931725854.39034843</v>
      </c>
      <c r="DC134">
        <v>0.43261144112795585</v>
      </c>
      <c r="DD134">
        <v>0.39850040816150822</v>
      </c>
      <c r="DE134">
        <v>2933497622.7332144</v>
      </c>
      <c r="DF134">
        <v>0.40073480862379074</v>
      </c>
      <c r="DG134">
        <v>0.13770829996463677</v>
      </c>
      <c r="DH134">
        <v>8488958184.0760298</v>
      </c>
      <c r="DI134">
        <v>0.36430437147617339</v>
      </c>
      <c r="DJ134">
        <v>1.7838907885149437E-2</v>
      </c>
      <c r="DK134">
        <v>65530917448.885475</v>
      </c>
      <c r="DL134">
        <v>0.3187663250416517</v>
      </c>
      <c r="DM134">
        <v>165000000</v>
      </c>
      <c r="DN134">
        <v>0.45538046434521673</v>
      </c>
      <c r="DO134">
        <v>1169000000</v>
      </c>
      <c r="DP134">
        <v>966190740</v>
      </c>
      <c r="DQ134">
        <v>2713</v>
      </c>
      <c r="DR134">
        <v>-0.90431158073476547</v>
      </c>
      <c r="DS134">
        <v>-0.12043859375034574</v>
      </c>
      <c r="DT134" s="10">
        <v>0.12666666666666662</v>
      </c>
      <c r="DU134">
        <v>0.56666666666666665</v>
      </c>
      <c r="DV134">
        <v>0.69333333333333325</v>
      </c>
      <c r="DW134">
        <v>-8.469771241830065</v>
      </c>
      <c r="DX134">
        <v>0.35209674382274941</v>
      </c>
      <c r="DY134">
        <v>-8.0714506762239218</v>
      </c>
      <c r="DZ134">
        <v>626</v>
      </c>
      <c r="EA134">
        <v>-8.0626976188234956</v>
      </c>
      <c r="EB134">
        <v>8</v>
      </c>
      <c r="EC134">
        <v>2.1808999999999999E-2</v>
      </c>
      <c r="ED134">
        <v>0.14338900000000002</v>
      </c>
      <c r="EE134" s="11">
        <v>-1.0262</v>
      </c>
      <c r="EF134">
        <v>-1.0352999999999999</v>
      </c>
      <c r="EG134">
        <v>20.152096743822749</v>
      </c>
      <c r="EH134" t="s">
        <v>1730</v>
      </c>
      <c r="EI134">
        <v>0</v>
      </c>
      <c r="EJ134">
        <v>1</v>
      </c>
      <c r="EK134" s="13">
        <v>45470</v>
      </c>
      <c r="EL134" s="14">
        <v>0.97</v>
      </c>
      <c r="EM134" s="14">
        <v>-4.58</v>
      </c>
      <c r="EN134" s="14">
        <v>-2.9</v>
      </c>
      <c r="EO134" s="14">
        <v>4.6900000000000004</v>
      </c>
      <c r="EP134" s="14">
        <v>0.91</v>
      </c>
    </row>
    <row r="135" spans="1:146" ht="108">
      <c r="C135" s="7" t="str">
        <f>""&amp;CHAR(10)&amp;Basic_Fundamental_Information_Constructure(F135)&amp;CHAR(10)&amp;Basic_Fundamental_Information_Concatenate("")</f>
        <v xml:space="preserve">
市值41.784亿, 利润7256.67万; PE51.56; 平均PE48.89; 平均PEG5.22, PB2.25; ROIC6.0767%; ROE7.89%; 股利率.3217%; 毛利22.1233%; 净利4.7467%; 上一年度营收增-79.31%, 利润增-32.18%; 当季营收增207.91%, 利润增-75.89%; 过往5年营收增-9.36%, 利润增4.95%
Income profile:
</v>
      </c>
      <c r="D135" t="s">
        <v>1582</v>
      </c>
      <c r="E135" t="s">
        <v>1583</v>
      </c>
      <c r="F135">
        <v>17.41</v>
      </c>
      <c r="G135">
        <v>1.1599999999999999</v>
      </c>
      <c r="H135" t="s">
        <v>5469</v>
      </c>
      <c r="I135">
        <v>4178400000</v>
      </c>
      <c r="J135">
        <v>51.56</v>
      </c>
      <c r="K135">
        <v>2.25</v>
      </c>
      <c r="L135" t="s">
        <v>85</v>
      </c>
      <c r="M135" t="s">
        <v>2958</v>
      </c>
      <c r="N135" t="s">
        <v>5470</v>
      </c>
      <c r="O135" t="s">
        <v>560</v>
      </c>
      <c r="P135">
        <v>40.54</v>
      </c>
      <c r="Q135" t="s">
        <v>293</v>
      </c>
      <c r="R135">
        <v>6924280</v>
      </c>
      <c r="S135">
        <v>7.9000000000000001E-2</v>
      </c>
      <c r="T135" t="s">
        <v>5471</v>
      </c>
      <c r="U135">
        <v>87242367</v>
      </c>
      <c r="V135">
        <v>240000000</v>
      </c>
      <c r="W135">
        <v>2.41</v>
      </c>
      <c r="X135">
        <v>0.09</v>
      </c>
      <c r="Y135">
        <v>1.62</v>
      </c>
      <c r="Z135" t="s">
        <v>689</v>
      </c>
      <c r="AA135" t="s">
        <v>240</v>
      </c>
      <c r="AB135" t="s">
        <v>5472</v>
      </c>
      <c r="AC135" t="s">
        <v>5473</v>
      </c>
      <c r="AD135" t="s">
        <v>90</v>
      </c>
      <c r="AE135">
        <v>1228176</v>
      </c>
      <c r="AF135" t="s">
        <v>2961</v>
      </c>
      <c r="AG135" t="s">
        <v>5474</v>
      </c>
      <c r="AH135" t="s">
        <v>2962</v>
      </c>
      <c r="AI135" t="s">
        <v>1340</v>
      </c>
      <c r="AJ135" t="s">
        <v>2963</v>
      </c>
      <c r="AK135" t="s">
        <v>5475</v>
      </c>
      <c r="AL135" t="s">
        <v>2964</v>
      </c>
      <c r="AM135" t="s">
        <v>90</v>
      </c>
      <c r="AN135">
        <v>0</v>
      </c>
      <c r="AO135" t="s">
        <v>90</v>
      </c>
      <c r="AP135" t="s">
        <v>1078</v>
      </c>
      <c r="AQ135" t="s">
        <v>947</v>
      </c>
      <c r="AR135" t="s">
        <v>90</v>
      </c>
      <c r="AS135" t="s">
        <v>1894</v>
      </c>
      <c r="AT135" t="s">
        <v>891</v>
      </c>
      <c r="AU135" t="s">
        <v>5476</v>
      </c>
      <c r="AV135" t="s">
        <v>5477</v>
      </c>
      <c r="AW135" t="s">
        <v>5478</v>
      </c>
      <c r="AX135" t="s">
        <v>698</v>
      </c>
      <c r="AY135" t="s">
        <v>752</v>
      </c>
      <c r="AZ135" t="s">
        <v>1578</v>
      </c>
      <c r="BA135" t="s">
        <v>1585</v>
      </c>
      <c r="BB135" t="s">
        <v>1586</v>
      </c>
      <c r="BC135" t="s">
        <v>189</v>
      </c>
      <c r="BD135" t="s">
        <v>1584</v>
      </c>
      <c r="BE135" t="s">
        <v>1587</v>
      </c>
      <c r="BF135" t="s">
        <v>1588</v>
      </c>
      <c r="BG135" t="s">
        <v>1589</v>
      </c>
      <c r="BH135" t="s">
        <v>2959</v>
      </c>
      <c r="BI135" t="s">
        <v>339</v>
      </c>
      <c r="BJ135" t="s">
        <v>698</v>
      </c>
      <c r="BK135" t="s">
        <v>2960</v>
      </c>
      <c r="BL135" t="s">
        <v>5479</v>
      </c>
      <c r="BM135" t="s">
        <v>189</v>
      </c>
      <c r="BN135">
        <v>1.96</v>
      </c>
      <c r="BO135">
        <v>7.19</v>
      </c>
      <c r="BP135">
        <v>9.08</v>
      </c>
      <c r="BQ135">
        <v>2.37</v>
      </c>
      <c r="BR135">
        <v>10.53</v>
      </c>
      <c r="BS135">
        <v>10.77</v>
      </c>
      <c r="BT135" t="s">
        <v>2966</v>
      </c>
      <c r="BU135" t="s">
        <v>1381</v>
      </c>
      <c r="BV135">
        <v>21.66</v>
      </c>
      <c r="BW135">
        <v>22.52</v>
      </c>
      <c r="BX135">
        <v>22.19</v>
      </c>
      <c r="BY135">
        <v>3.86</v>
      </c>
      <c r="BZ135">
        <v>5.17</v>
      </c>
      <c r="CA135">
        <v>5.21</v>
      </c>
      <c r="CB135">
        <v>-5.28</v>
      </c>
      <c r="CC135" s="8">
        <v>-10.17</v>
      </c>
      <c r="CD135" s="9" t="s">
        <v>5480</v>
      </c>
      <c r="CE135" s="8" t="s">
        <v>5481</v>
      </c>
      <c r="CF135" s="8">
        <v>2.079136690647482</v>
      </c>
      <c r="CG135" s="8">
        <v>-0.7589467051463703</v>
      </c>
      <c r="CH135" s="8">
        <v>-0.79312014579772949</v>
      </c>
      <c r="CI135" s="8">
        <v>7.7806822955608368E-2</v>
      </c>
      <c r="CJ135" s="9">
        <v>0.18282881379127502</v>
      </c>
      <c r="CK135" s="9">
        <v>4.6541690826416016E-2</v>
      </c>
      <c r="CL135" s="9">
        <v>1.7763199284672737E-2</v>
      </c>
      <c r="CM135" s="9">
        <v>-0.32180649042129517</v>
      </c>
      <c r="CN135" s="9">
        <v>7.1929469704627991E-2</v>
      </c>
      <c r="CO135">
        <v>9.8967589437961578E-2</v>
      </c>
      <c r="CP135">
        <v>0.14519815146923065</v>
      </c>
      <c r="CQ135">
        <v>0.25310099124908447</v>
      </c>
      <c r="CR135" s="8">
        <v>48.886728313270986</v>
      </c>
      <c r="CS135" s="9">
        <v>5.220937257369318</v>
      </c>
      <c r="CT135">
        <v>0.32165422171165997</v>
      </c>
      <c r="CU135">
        <v>-9.3635923787951464E-2</v>
      </c>
      <c r="CV135">
        <v>4.9477942287921906E-2</v>
      </c>
      <c r="CW135">
        <v>0.06</v>
      </c>
      <c r="CX135">
        <v>73.289814749740586</v>
      </c>
      <c r="CY135" t="s">
        <v>5482</v>
      </c>
      <c r="CZ135">
        <v>-9.3635923787951464E-2</v>
      </c>
      <c r="DA135">
        <v>24.429938249913526</v>
      </c>
      <c r="DB135" t="s">
        <v>5483</v>
      </c>
      <c r="DC135">
        <v>-8.8954127598553881E-2</v>
      </c>
      <c r="DD135">
        <v>12.214969124956763</v>
      </c>
      <c r="DE135" t="s">
        <v>5484</v>
      </c>
      <c r="DF135">
        <v>-8.2399612933397287E-2</v>
      </c>
      <c r="DG135">
        <v>7.3289814749740581</v>
      </c>
      <c r="DH135" t="s">
        <v>5485</v>
      </c>
      <c r="DI135">
        <v>-7.4908739030361174E-2</v>
      </c>
      <c r="DJ135">
        <v>3.664490737487029</v>
      </c>
      <c r="DK135" t="s">
        <v>5486</v>
      </c>
      <c r="DL135">
        <v>-6.5545146651566022E-2</v>
      </c>
      <c r="DM135">
        <v>72566700</v>
      </c>
      <c r="DN135">
        <v>-9.3635923787951464E-2</v>
      </c>
      <c r="DO135">
        <v>5318400000</v>
      </c>
      <c r="DP135">
        <v>1954154299.9999998</v>
      </c>
      <c r="DQ135" s="10">
        <v>2715</v>
      </c>
      <c r="DR135">
        <v>2.1727726144354333</v>
      </c>
      <c r="DS135">
        <v>-0.80842464743429221</v>
      </c>
      <c r="DT135">
        <v>-0.64</v>
      </c>
      <c r="DU135">
        <v>-0.50666666666666671</v>
      </c>
      <c r="DV135">
        <v>-1.1466666666666667</v>
      </c>
      <c r="DW135">
        <v>-8.5191740412979353</v>
      </c>
      <c r="DX135">
        <v>0.24949076211650956</v>
      </c>
      <c r="DY135">
        <v>-8.0568447614528189</v>
      </c>
      <c r="DZ135">
        <v>865</v>
      </c>
      <c r="EA135">
        <v>-8.0472223116178512</v>
      </c>
      <c r="EB135" s="11">
        <v>8</v>
      </c>
      <c r="EC135">
        <v>3.8535E-2</v>
      </c>
      <c r="ED135">
        <v>0.35194750000000002</v>
      </c>
      <c r="EE135">
        <v>-3.0479099999999999</v>
      </c>
      <c r="EF135">
        <v>-3.0697100000000002</v>
      </c>
      <c r="EG135">
        <v>14.10949076211651</v>
      </c>
      <c r="EH135" s="13" t="s">
        <v>2117</v>
      </c>
      <c r="EI135" s="14">
        <v>0</v>
      </c>
      <c r="EJ135" s="14">
        <v>1</v>
      </c>
      <c r="EK135" s="14">
        <v>45470</v>
      </c>
      <c r="EL135" s="14">
        <v>-3.9</v>
      </c>
      <c r="EM135" s="14">
        <v>-2.4300000000000002</v>
      </c>
      <c r="EN135" s="14">
        <v>1.1399999999999999</v>
      </c>
      <c r="EO135" s="14">
        <v>5.15</v>
      </c>
      <c r="EP135" s="14">
        <v>-2.1800000000000002</v>
      </c>
    </row>
    <row r="136" spans="1:146" ht="108">
      <c r="C136" s="7" t="str">
        <f>""&amp;CHAR(10)&amp;Basic_Fundamental_Information_Constructure(F136)&amp;CHAR(10)&amp;Basic_Fundamental_Information_Concatenate("")</f>
        <v xml:space="preserve">
市值23.971475亿, 利润8217.06万; PE42.26; 平均PE36.62; 平均PEG5.79, PB2.28; ROIC14.3467%; ROE14.9233%; 股利率1.9672%; 毛利24.7033%; 净利8.6733%; 上一年度营收增-31.46%, 利润增6.81%; 当季营收增63.37%, 利润增-36.96%; 过往5年营收增-6.33%, 利润增10.16%
Income profile:
</v>
      </c>
      <c r="D136" t="s">
        <v>1727</v>
      </c>
      <c r="E136" t="s">
        <v>1728</v>
      </c>
      <c r="F136">
        <v>15.25</v>
      </c>
      <c r="G136">
        <v>2.97</v>
      </c>
      <c r="H136" t="s">
        <v>5487</v>
      </c>
      <c r="I136">
        <v>2397147500</v>
      </c>
      <c r="J136">
        <v>42.26</v>
      </c>
      <c r="K136">
        <v>2.2799999999999998</v>
      </c>
      <c r="L136" t="s">
        <v>85</v>
      </c>
      <c r="M136" t="s">
        <v>412</v>
      </c>
      <c r="N136" t="s">
        <v>5488</v>
      </c>
      <c r="O136" t="s">
        <v>1541</v>
      </c>
      <c r="P136" s="5">
        <v>41.12</v>
      </c>
      <c r="Q136" t="s">
        <v>1456</v>
      </c>
      <c r="R136">
        <v>12637466</v>
      </c>
      <c r="S136">
        <v>-0.2908</v>
      </c>
      <c r="T136" t="s">
        <v>5489</v>
      </c>
      <c r="U136">
        <v>44800000</v>
      </c>
      <c r="V136">
        <v>157190000</v>
      </c>
      <c r="W136">
        <v>1.98</v>
      </c>
      <c r="X136">
        <v>0.08</v>
      </c>
      <c r="Y136">
        <v>7.14</v>
      </c>
      <c r="Z136" t="s">
        <v>192</v>
      </c>
      <c r="AA136" t="s">
        <v>323</v>
      </c>
      <c r="AB136" t="s">
        <v>5490</v>
      </c>
      <c r="AC136" t="s">
        <v>5491</v>
      </c>
      <c r="AD136" t="s">
        <v>90</v>
      </c>
      <c r="AE136">
        <v>-6049741</v>
      </c>
      <c r="AF136" t="s">
        <v>2968</v>
      </c>
      <c r="AG136" t="s">
        <v>5492</v>
      </c>
      <c r="AH136" t="s">
        <v>2969</v>
      </c>
      <c r="AI136" t="s">
        <v>5493</v>
      </c>
      <c r="AJ136" t="s">
        <v>2970</v>
      </c>
      <c r="AK136" t="s">
        <v>5494</v>
      </c>
      <c r="AL136" t="s">
        <v>2971</v>
      </c>
      <c r="AM136" t="s">
        <v>90</v>
      </c>
      <c r="AN136" t="s">
        <v>231</v>
      </c>
      <c r="AO136" t="s">
        <v>5495</v>
      </c>
      <c r="AP136" t="s">
        <v>162</v>
      </c>
      <c r="AQ136" t="s">
        <v>2213</v>
      </c>
      <c r="AR136" t="s">
        <v>5496</v>
      </c>
      <c r="AS136" t="s">
        <v>5497</v>
      </c>
      <c r="AT136" t="s">
        <v>90</v>
      </c>
      <c r="AU136" t="s">
        <v>1975</v>
      </c>
      <c r="AV136" t="s">
        <v>2094</v>
      </c>
      <c r="AW136" t="s">
        <v>5498</v>
      </c>
      <c r="AX136" t="s">
        <v>1740</v>
      </c>
      <c r="AY136" t="s">
        <v>1467</v>
      </c>
      <c r="AZ136" t="s">
        <v>1931</v>
      </c>
      <c r="BA136" t="s">
        <v>387</v>
      </c>
      <c r="BB136" t="s">
        <v>1932</v>
      </c>
      <c r="BC136" t="s">
        <v>1929</v>
      </c>
      <c r="BD136" t="s">
        <v>1933</v>
      </c>
      <c r="BE136" t="s">
        <v>1934</v>
      </c>
      <c r="BF136" t="s">
        <v>1935</v>
      </c>
      <c r="BG136" t="s">
        <v>1936</v>
      </c>
      <c r="BH136" t="s">
        <v>1086</v>
      </c>
      <c r="BI136" t="s">
        <v>210</v>
      </c>
      <c r="BJ136" t="s">
        <v>1740</v>
      </c>
      <c r="BK136" t="s">
        <v>2967</v>
      </c>
      <c r="BL136" t="s">
        <v>5499</v>
      </c>
      <c r="BM136" t="s">
        <v>1929</v>
      </c>
      <c r="BN136">
        <v>2.34</v>
      </c>
      <c r="BO136">
        <v>20.69</v>
      </c>
      <c r="BP136">
        <v>20.010000000000002</v>
      </c>
      <c r="BQ136">
        <v>3.5</v>
      </c>
      <c r="BR136">
        <v>20.99</v>
      </c>
      <c r="BS136">
        <v>20.28</v>
      </c>
      <c r="BT136" t="s">
        <v>1720</v>
      </c>
      <c r="BU136" t="s">
        <v>1381</v>
      </c>
      <c r="BV136">
        <v>25.34</v>
      </c>
      <c r="BW136">
        <v>27.62</v>
      </c>
      <c r="BX136">
        <v>21.15</v>
      </c>
      <c r="BY136">
        <v>7.86</v>
      </c>
      <c r="BZ136">
        <v>10.8</v>
      </c>
      <c r="CA136">
        <v>7.36</v>
      </c>
      <c r="CB136">
        <v>-1.87</v>
      </c>
      <c r="CC136" s="8">
        <v>-10.4</v>
      </c>
      <c r="CD136" s="9" t="s">
        <v>5500</v>
      </c>
      <c r="CE136" s="8" t="s">
        <v>5501</v>
      </c>
      <c r="CF136" s="8">
        <v>0.63366336633663367</v>
      </c>
      <c r="CG136" s="8">
        <v>-0.36964585349308166</v>
      </c>
      <c r="CH136" s="8">
        <v>-0.31460675597190857</v>
      </c>
      <c r="CI136" s="8">
        <v>-0.13276492059230804</v>
      </c>
      <c r="CJ136" s="9">
        <v>0.1215846985578537</v>
      </c>
      <c r="CK136" s="9">
        <v>0.19803600013256073</v>
      </c>
      <c r="CL136" s="9">
        <v>-0.1885790228843689</v>
      </c>
      <c r="CM136" s="9">
        <v>6.8142548203468323E-2</v>
      </c>
      <c r="CN136" s="9">
        <v>0.27379822731018066</v>
      </c>
      <c r="CO136">
        <v>-9.5047511160373688E-2</v>
      </c>
      <c r="CP136">
        <v>0.24044103920459747</v>
      </c>
      <c r="CQ136">
        <v>2.0518375560641289E-2</v>
      </c>
      <c r="CR136" s="8">
        <v>36.621237941667808</v>
      </c>
      <c r="CS136" s="9">
        <v>5.7884547551441567</v>
      </c>
      <c r="CT136">
        <v>1.9672131147540983</v>
      </c>
      <c r="CU136">
        <v>-6.3266000151634222E-2</v>
      </c>
      <c r="CV136">
        <v>0.10157053582370282</v>
      </c>
      <c r="CW136">
        <v>0.06</v>
      </c>
      <c r="CX136">
        <v>30.487151122177519</v>
      </c>
      <c r="CY136" t="s">
        <v>5502</v>
      </c>
      <c r="CZ136">
        <v>-6.3266000151634222E-2</v>
      </c>
      <c r="DA136">
        <v>10.162383707392506</v>
      </c>
      <c r="DB136" t="s">
        <v>5503</v>
      </c>
      <c r="DC136">
        <v>-6.0102700144052508E-2</v>
      </c>
      <c r="DD136">
        <v>5.0811918536962528</v>
      </c>
      <c r="DE136" t="s">
        <v>5504</v>
      </c>
      <c r="DF136">
        <v>-5.5674080133438116E-2</v>
      </c>
      <c r="DG136">
        <v>3.048715112217752</v>
      </c>
      <c r="DH136" t="s">
        <v>5505</v>
      </c>
      <c r="DI136">
        <v>-5.061280012130738E-2</v>
      </c>
      <c r="DJ136">
        <v>1.524357556108876</v>
      </c>
      <c r="DK136" t="s">
        <v>5506</v>
      </c>
      <c r="DL136">
        <v>-4.4286200106143953E-2</v>
      </c>
      <c r="DM136">
        <v>82170600</v>
      </c>
      <c r="DN136">
        <v>-6.3266000151634222E-2</v>
      </c>
      <c r="DO136">
        <v>2505147500</v>
      </c>
      <c r="DP136">
        <v>546996220</v>
      </c>
      <c r="DQ136" s="10">
        <v>2721</v>
      </c>
      <c r="DR136">
        <v>0.69692936648826787</v>
      </c>
      <c r="DS136">
        <v>-0.47121638931678445</v>
      </c>
      <c r="DT136">
        <v>-0.59</v>
      </c>
      <c r="DU136">
        <v>4.6666666666666669E-2</v>
      </c>
      <c r="DV136">
        <v>-0.54333333333333333</v>
      </c>
      <c r="DW136">
        <v>-2.1040000000000001</v>
      </c>
      <c r="DX136">
        <v>0.46467004012216362</v>
      </c>
      <c r="DY136">
        <v>-2.0119256841727049</v>
      </c>
      <c r="DZ136">
        <v>160</v>
      </c>
      <c r="EA136">
        <v>-2.0115522772318766</v>
      </c>
      <c r="EB136" s="11">
        <v>2</v>
      </c>
      <c r="EC136" s="11">
        <v>9.7455308861886889E-3</v>
      </c>
      <c r="ED136">
        <v>8.4987594630701699E-2</v>
      </c>
      <c r="EE136">
        <v>2.0201099999999999</v>
      </c>
      <c r="EF136">
        <v>2.02671</v>
      </c>
      <c r="EG136">
        <v>35.114670040122164</v>
      </c>
      <c r="EH136" s="13" t="s">
        <v>2143</v>
      </c>
      <c r="EI136" s="14">
        <v>0</v>
      </c>
      <c r="EJ136" s="14">
        <v>1</v>
      </c>
      <c r="EK136" s="14">
        <v>45470</v>
      </c>
      <c r="EL136" s="14">
        <v>-1.8</v>
      </c>
      <c r="EM136" s="14">
        <v>-5.1100000000000003</v>
      </c>
      <c r="EN136" s="14">
        <v>-3.18</v>
      </c>
      <c r="EO136" s="14">
        <v>7.64</v>
      </c>
      <c r="EP136" s="14">
        <v>-0.66</v>
      </c>
    </row>
    <row r="137" spans="1:146" ht="108">
      <c r="C137" s="7" t="str">
        <f>""&amp;CHAR(10)&amp;Basic_Fundamental_Information_Constructure(F137)&amp;CHAR(10)&amp;Basic_Fundamental_Information_Concatenate("")</f>
        <v xml:space="preserve">
市值18.3768亿, 利润7197.88万; PE22.9; 平均PE27.35; 平均PEG.74, PB1.45; ROIC12.99%; ROE13.08%; 股利率1.2407%; 毛利30.5167%; 净利13.01%; 上一年度营收增63.35%, 利润增-27.44%; 当季营收增-25.61%, 利润增-2.38%; 过往5年营收增37.02%, 利润增23.12%
Income profile:
</v>
      </c>
      <c r="D137" t="s">
        <v>1937</v>
      </c>
      <c r="E137" t="s">
        <v>1938</v>
      </c>
      <c r="F137">
        <v>24.18</v>
      </c>
      <c r="G137">
        <v>-0.57999999999999996</v>
      </c>
      <c r="H137" t="s">
        <v>5507</v>
      </c>
      <c r="I137">
        <v>1837680000</v>
      </c>
      <c r="J137">
        <v>22.9</v>
      </c>
      <c r="K137">
        <v>1.45</v>
      </c>
      <c r="L137" t="s">
        <v>85</v>
      </c>
      <c r="M137" t="s">
        <v>352</v>
      </c>
      <c r="N137" t="s">
        <v>1494</v>
      </c>
      <c r="O137" t="s">
        <v>230</v>
      </c>
      <c r="P137" s="5">
        <v>15.79</v>
      </c>
      <c r="Q137" t="s">
        <v>2626</v>
      </c>
      <c r="R137">
        <v>16956221</v>
      </c>
      <c r="S137">
        <v>0.10639999999999999</v>
      </c>
      <c r="T137" t="s">
        <v>5508</v>
      </c>
      <c r="U137">
        <v>25000000</v>
      </c>
      <c r="V137">
        <v>76000000</v>
      </c>
      <c r="W137">
        <v>1.1599999999999999</v>
      </c>
      <c r="X137">
        <v>0.12</v>
      </c>
      <c r="Y137">
        <v>8.89</v>
      </c>
      <c r="Z137" t="s">
        <v>535</v>
      </c>
      <c r="AA137" t="s">
        <v>290</v>
      </c>
      <c r="AB137" t="s">
        <v>5509</v>
      </c>
      <c r="AC137" t="s">
        <v>5510</v>
      </c>
      <c r="AD137" t="s">
        <v>90</v>
      </c>
      <c r="AE137">
        <v>-4418900</v>
      </c>
      <c r="AF137" t="s">
        <v>182</v>
      </c>
      <c r="AG137">
        <v>2.16</v>
      </c>
      <c r="AH137" t="s">
        <v>2974</v>
      </c>
      <c r="AI137" t="s">
        <v>747</v>
      </c>
      <c r="AJ137" t="s">
        <v>2976</v>
      </c>
      <c r="AK137" t="s">
        <v>90</v>
      </c>
      <c r="AL137" t="s">
        <v>2977</v>
      </c>
      <c r="AM137" t="s">
        <v>90</v>
      </c>
      <c r="AN137" t="s">
        <v>5511</v>
      </c>
      <c r="AO137" t="s">
        <v>5512</v>
      </c>
      <c r="AP137" t="s">
        <v>90</v>
      </c>
      <c r="AQ137" t="s">
        <v>5513</v>
      </c>
      <c r="AR137" t="s">
        <v>90</v>
      </c>
      <c r="AS137" t="s">
        <v>339</v>
      </c>
      <c r="AT137" t="s">
        <v>5514</v>
      </c>
      <c r="AU137" t="s">
        <v>5515</v>
      </c>
      <c r="AV137" t="s">
        <v>5516</v>
      </c>
      <c r="AW137" t="s">
        <v>5517</v>
      </c>
      <c r="AX137" t="s">
        <v>781</v>
      </c>
      <c r="AY137" t="s">
        <v>421</v>
      </c>
      <c r="AZ137" t="s">
        <v>1562</v>
      </c>
      <c r="BA137" t="s">
        <v>217</v>
      </c>
      <c r="BB137" t="s">
        <v>402</v>
      </c>
      <c r="BC137" t="s">
        <v>2979</v>
      </c>
      <c r="BD137" t="s">
        <v>1939</v>
      </c>
      <c r="BE137" t="s">
        <v>1940</v>
      </c>
      <c r="BF137" t="s">
        <v>1941</v>
      </c>
      <c r="BG137" t="s">
        <v>1942</v>
      </c>
      <c r="BH137" t="s">
        <v>967</v>
      </c>
      <c r="BI137" t="s">
        <v>444</v>
      </c>
      <c r="BJ137" t="s">
        <v>781</v>
      </c>
      <c r="BK137" t="s">
        <v>2973</v>
      </c>
      <c r="BL137" t="s">
        <v>5518</v>
      </c>
      <c r="BM137" t="s">
        <v>2979</v>
      </c>
      <c r="BN137">
        <v>5.78</v>
      </c>
      <c r="BO137">
        <v>14.94</v>
      </c>
      <c r="BP137">
        <v>18.25</v>
      </c>
      <c r="BQ137">
        <v>7.11</v>
      </c>
      <c r="BR137">
        <v>19.05</v>
      </c>
      <c r="BS137" t="s">
        <v>90</v>
      </c>
      <c r="BT137" t="s">
        <v>1720</v>
      </c>
      <c r="BU137" t="s">
        <v>1381</v>
      </c>
      <c r="BV137">
        <v>30.34</v>
      </c>
      <c r="BW137">
        <v>31.64</v>
      </c>
      <c r="BX137">
        <v>29.57</v>
      </c>
      <c r="BY137">
        <v>10.8</v>
      </c>
      <c r="BZ137">
        <v>14.09</v>
      </c>
      <c r="CA137">
        <v>14.14</v>
      </c>
      <c r="CB137">
        <v>-3.63</v>
      </c>
      <c r="CC137" s="8">
        <v>-3.43</v>
      </c>
      <c r="CD137" s="9" t="s">
        <v>5519</v>
      </c>
      <c r="CE137" s="8" t="s">
        <v>5520</v>
      </c>
      <c r="CF137" s="8">
        <v>-0.25609756097560976</v>
      </c>
      <c r="CG137" s="8">
        <v>-2.3810233854160669E-2</v>
      </c>
      <c r="CH137" s="8">
        <v>0.63352274894714355</v>
      </c>
      <c r="CI137" s="8">
        <v>4.6062406152486801E-2</v>
      </c>
      <c r="CJ137" s="9">
        <v>0.71683675050735474</v>
      </c>
      <c r="CK137" s="9">
        <v>0.32881355285644531</v>
      </c>
      <c r="CL137" s="9">
        <v>0.12595419585704803</v>
      </c>
      <c r="CM137" s="9">
        <v>-0.27436408400535583</v>
      </c>
      <c r="CN137" s="9">
        <v>4.2709395289421082E-2</v>
      </c>
      <c r="CO137">
        <v>0.40420302748680115</v>
      </c>
      <c r="CP137">
        <v>0.8308178186416626</v>
      </c>
      <c r="CQ137">
        <v>0.15272638201713562</v>
      </c>
      <c r="CR137" s="8">
        <v>27.349379211298839</v>
      </c>
      <c r="CS137" s="9">
        <v>0.73869738704157939</v>
      </c>
      <c r="CT137">
        <v>1.2406947890818858</v>
      </c>
      <c r="CU137">
        <v>0.37023793086409568</v>
      </c>
      <c r="CV137">
        <v>0.23121850788593293</v>
      </c>
      <c r="CW137">
        <v>0.06</v>
      </c>
      <c r="CX137">
        <v>8.4010637070296728</v>
      </c>
      <c r="CY137">
        <v>93045360.356679782</v>
      </c>
      <c r="CZ137">
        <v>0.37023793086409568</v>
      </c>
      <c r="DA137">
        <v>2.1828460336109399</v>
      </c>
      <c r="DB137">
        <v>358101298.92987353</v>
      </c>
      <c r="DC137">
        <v>0.35172603432089089</v>
      </c>
      <c r="DD137">
        <v>0.76970929725083714</v>
      </c>
      <c r="DE137">
        <v>1015552238.737298</v>
      </c>
      <c r="DF137">
        <v>0.3258093791604042</v>
      </c>
      <c r="DG137">
        <v>0.30560273518863679</v>
      </c>
      <c r="DH137">
        <v>2557830509.9838161</v>
      </c>
      <c r="DI137">
        <v>0.29619034469127653</v>
      </c>
      <c r="DJ137">
        <v>5.6690854378166941E-2</v>
      </c>
      <c r="DK137">
        <v>13788467444.601513</v>
      </c>
      <c r="DL137">
        <v>0.25916655160486696</v>
      </c>
      <c r="DM137">
        <v>71978800</v>
      </c>
      <c r="DN137">
        <v>0.37023793086409568</v>
      </c>
      <c r="DO137">
        <v>781680000</v>
      </c>
      <c r="DP137">
        <v>808718850</v>
      </c>
      <c r="DQ137" s="10">
        <v>2745</v>
      </c>
      <c r="DR137">
        <v>-0.62633549183970549</v>
      </c>
      <c r="DS137">
        <v>-0.2550287417400936</v>
      </c>
      <c r="DT137">
        <v>0.27666666666666662</v>
      </c>
      <c r="DU137">
        <v>0.3</v>
      </c>
      <c r="DV137">
        <v>0.57666666666666666</v>
      </c>
      <c r="DW137">
        <v>-4.9449035812672175</v>
      </c>
      <c r="DX137">
        <v>0.40909119900122992</v>
      </c>
      <c r="DY137">
        <v>-4.2259181301857334</v>
      </c>
      <c r="DZ137">
        <v>2455</v>
      </c>
      <c r="EA137">
        <v>-4.1173801635309433</v>
      </c>
      <c r="EB137" s="11">
        <v>4</v>
      </c>
      <c r="EC137" s="11">
        <v>9.2730263157894732E-2</v>
      </c>
      <c r="ED137">
        <v>0.38784473684210524</v>
      </c>
      <c r="EE137">
        <v>-2.0005999999999999</v>
      </c>
      <c r="EF137">
        <v>-2.0258099999999999</v>
      </c>
      <c r="EG137">
        <v>17.23909119900123</v>
      </c>
      <c r="EH137" s="13" t="s">
        <v>1735</v>
      </c>
      <c r="EI137">
        <v>0</v>
      </c>
      <c r="EJ137">
        <v>0</v>
      </c>
      <c r="EK137">
        <v>45470</v>
      </c>
      <c r="EL137">
        <v>-2.4500000000000002</v>
      </c>
      <c r="EM137">
        <v>-6.27</v>
      </c>
      <c r="EN137" s="14">
        <v>-0.37</v>
      </c>
      <c r="EO137" s="14">
        <v>4.6500000000000004</v>
      </c>
      <c r="EP137" s="14">
        <v>-2.64</v>
      </c>
    </row>
    <row r="138" spans="1:146" ht="108">
      <c r="C138" s="7" t="str">
        <f>""&amp;CHAR(10)&amp;Basic_Fundamental_Information_Constructure(F138)&amp;CHAR(10)&amp;Basic_Fundamental_Information_Concatenate("")</f>
        <v xml:space="preserve">
市值53.13224亿, 利润2458.33万; PE257.1; 平均PE117.96; 平均PEG48.82, PB5.45; ROIC8.7233%; ROE12.15%; 股利率.1921%; 毛利19.3233%; 净利8.9267%; 上一年度营收增-44.76%, 利润增-45.25%; 当季营收增131.59%, 利润增277.51%; 过往5年营收增2.42%, 利润增8.72%
Income profile:
</v>
      </c>
      <c r="D138" t="s">
        <v>1712</v>
      </c>
      <c r="E138" t="s">
        <v>1713</v>
      </c>
      <c r="F138">
        <v>44.24</v>
      </c>
      <c r="G138">
        <v>-3.62</v>
      </c>
      <c r="H138" t="s">
        <v>5521</v>
      </c>
      <c r="I138">
        <v>5313224000</v>
      </c>
      <c r="J138">
        <v>257.10000000000002</v>
      </c>
      <c r="K138">
        <v>5.45</v>
      </c>
      <c r="L138" t="s">
        <v>85</v>
      </c>
      <c r="M138" t="s">
        <v>246</v>
      </c>
      <c r="N138" t="s">
        <v>1266</v>
      </c>
      <c r="O138" t="s">
        <v>2980</v>
      </c>
      <c r="P138">
        <v>17.98</v>
      </c>
      <c r="Q138" t="s">
        <v>2039</v>
      </c>
      <c r="R138">
        <v>4590201</v>
      </c>
      <c r="S138">
        <v>-0.4274</v>
      </c>
      <c r="T138" t="s">
        <v>5522</v>
      </c>
      <c r="U138">
        <v>64121440</v>
      </c>
      <c r="V138">
        <v>120100000</v>
      </c>
      <c r="W138">
        <v>1.24</v>
      </c>
      <c r="X138">
        <v>0.08</v>
      </c>
      <c r="Y138">
        <v>4.6500000000000004</v>
      </c>
      <c r="Z138" t="s">
        <v>5523</v>
      </c>
      <c r="AA138" t="s">
        <v>5524</v>
      </c>
      <c r="AB138" t="s">
        <v>5525</v>
      </c>
      <c r="AC138" t="s">
        <v>5526</v>
      </c>
      <c r="AD138" t="s">
        <v>90</v>
      </c>
      <c r="AE138">
        <v>-2007351</v>
      </c>
      <c r="AF138" t="s">
        <v>2982</v>
      </c>
      <c r="AG138" t="s">
        <v>5527</v>
      </c>
      <c r="AH138" t="s">
        <v>2983</v>
      </c>
      <c r="AI138" t="s">
        <v>1393</v>
      </c>
      <c r="AJ138" t="s">
        <v>2984</v>
      </c>
      <c r="AK138" t="s">
        <v>5528</v>
      </c>
      <c r="AL138" t="s">
        <v>2985</v>
      </c>
      <c r="AM138" t="s">
        <v>90</v>
      </c>
      <c r="AN138" t="s">
        <v>5529</v>
      </c>
      <c r="AO138" t="s">
        <v>90</v>
      </c>
      <c r="AP138" t="s">
        <v>5530</v>
      </c>
      <c r="AQ138" t="s">
        <v>195</v>
      </c>
      <c r="AR138" t="s">
        <v>90</v>
      </c>
      <c r="AS138" t="s">
        <v>741</v>
      </c>
      <c r="AT138" t="s">
        <v>90</v>
      </c>
      <c r="AU138" t="s">
        <v>5531</v>
      </c>
      <c r="AV138" t="s">
        <v>5532</v>
      </c>
      <c r="AW138" t="s">
        <v>90</v>
      </c>
      <c r="AX138" t="s">
        <v>382</v>
      </c>
      <c r="AY138" t="s">
        <v>1103</v>
      </c>
      <c r="AZ138" t="s">
        <v>705</v>
      </c>
      <c r="BA138" t="s">
        <v>669</v>
      </c>
      <c r="BB138" t="s">
        <v>1715</v>
      </c>
      <c r="BC138" t="s">
        <v>1943</v>
      </c>
      <c r="BD138" t="s">
        <v>1714</v>
      </c>
      <c r="BE138" t="s">
        <v>1716</v>
      </c>
      <c r="BF138" t="s">
        <v>1717</v>
      </c>
      <c r="BG138" t="s">
        <v>1718</v>
      </c>
      <c r="BH138" t="s">
        <v>382</v>
      </c>
      <c r="BI138" t="s">
        <v>5533</v>
      </c>
      <c r="BJ138" t="s">
        <v>382</v>
      </c>
      <c r="BK138" t="s">
        <v>2981</v>
      </c>
      <c r="BL138" t="s">
        <v>5534</v>
      </c>
      <c r="BM138" t="s">
        <v>1943</v>
      </c>
      <c r="BN138">
        <v>2.06</v>
      </c>
      <c r="BO138">
        <v>6.23</v>
      </c>
      <c r="BP138">
        <v>17.88</v>
      </c>
      <c r="BQ138">
        <v>3.05</v>
      </c>
      <c r="BR138">
        <v>12.87</v>
      </c>
      <c r="BS138">
        <v>20.53</v>
      </c>
      <c r="BT138" t="s">
        <v>2986</v>
      </c>
      <c r="BU138" t="s">
        <v>1337</v>
      </c>
      <c r="BV138">
        <v>17.100000000000001</v>
      </c>
      <c r="BW138">
        <v>19.68</v>
      </c>
      <c r="BX138">
        <v>21.19</v>
      </c>
      <c r="BY138">
        <v>5.61</v>
      </c>
      <c r="BZ138">
        <v>10.47</v>
      </c>
      <c r="CA138">
        <v>10.7</v>
      </c>
      <c r="CB138">
        <v>-3.99</v>
      </c>
      <c r="CC138" s="8">
        <v>-6.1</v>
      </c>
      <c r="CD138" s="9" t="s">
        <v>5535</v>
      </c>
      <c r="CE138" s="8" t="s">
        <v>220</v>
      </c>
      <c r="CF138" s="8">
        <v>1.3159176350968977</v>
      </c>
      <c r="CG138" s="8">
        <v>2.775146804835924</v>
      </c>
      <c r="CH138" s="8">
        <v>-0.44755244255065918</v>
      </c>
      <c r="CI138" s="8">
        <v>-0.24471831321716309</v>
      </c>
      <c r="CJ138" s="9">
        <v>0.51063829660415649</v>
      </c>
      <c r="CK138" s="9">
        <v>0.22875817120075226</v>
      </c>
      <c r="CL138" s="9">
        <v>7.36842080950737E-2</v>
      </c>
      <c r="CM138" s="9">
        <v>-0.45247554779052734</v>
      </c>
      <c r="CN138" s="9">
        <v>-0.26143971085548401</v>
      </c>
      <c r="CO138">
        <v>0.26598763465881348</v>
      </c>
      <c r="CP138">
        <v>-0.2308521568775177</v>
      </c>
      <c r="CQ138">
        <v>1.1149684190750122</v>
      </c>
      <c r="CR138" s="8">
        <v>117.96381677784898</v>
      </c>
      <c r="CS138" s="9">
        <v>48.822073820097842</v>
      </c>
      <c r="CT138">
        <v>0.19213381555153705</v>
      </c>
      <c r="CU138">
        <v>2.4161984026432038E-2</v>
      </c>
      <c r="CV138">
        <v>8.7237727642059323E-2</v>
      </c>
      <c r="CW138">
        <v>0.06</v>
      </c>
      <c r="CX138">
        <v>193.2971785809714</v>
      </c>
      <c r="CY138">
        <v>23752152.171619799</v>
      </c>
      <c r="CZ138">
        <v>2.4161984026432038E-2</v>
      </c>
      <c r="DA138">
        <v>66.816462319461124</v>
      </c>
      <c r="DB138">
        <v>68713964.203141436</v>
      </c>
      <c r="DC138">
        <v>2.2953884825110436E-2</v>
      </c>
      <c r="DD138">
        <v>35.38744507447479</v>
      </c>
      <c r="DE138">
        <v>129741607.23775116</v>
      </c>
      <c r="DF138">
        <v>2.1262545943260193E-2</v>
      </c>
      <c r="DG138">
        <v>23.014496496620492</v>
      </c>
      <c r="DH138">
        <v>199492698.03378871</v>
      </c>
      <c r="DI138">
        <v>1.9329587221145632E-2</v>
      </c>
      <c r="DJ138">
        <v>14.032206042613458</v>
      </c>
      <c r="DK138">
        <v>327191888.86317819</v>
      </c>
      <c r="DL138">
        <v>1.6913388818502427E-2</v>
      </c>
      <c r="DM138">
        <v>24583300</v>
      </c>
      <c r="DN138">
        <v>2.4161984026432038E-2</v>
      </c>
      <c r="DO138">
        <v>4591224000</v>
      </c>
      <c r="DP138">
        <v>357217500</v>
      </c>
      <c r="DQ138" s="10">
        <v>2758</v>
      </c>
      <c r="DR138">
        <v>1.2917556510704657</v>
      </c>
      <c r="DS138">
        <v>2.6879090771938645</v>
      </c>
      <c r="DT138">
        <v>-0.50666666666666671</v>
      </c>
      <c r="DU138">
        <v>-9.9999999999999992E-2</v>
      </c>
      <c r="DV138">
        <v>-0.60666666666666669</v>
      </c>
      <c r="DW138">
        <v>-8.6540983606557376</v>
      </c>
      <c r="DX138">
        <v>0.38020177304964675</v>
      </c>
      <c r="DY138">
        <v>-8.0917057499128013</v>
      </c>
      <c r="DZ138">
        <v>1112</v>
      </c>
      <c r="EA138">
        <v>-8.0717494301666104</v>
      </c>
      <c r="EB138" s="11">
        <v>8</v>
      </c>
      <c r="EC138">
        <v>0.32919983347210657</v>
      </c>
      <c r="ED138">
        <v>2.3480432972522896</v>
      </c>
      <c r="EE138">
        <v>1.0535099999999999</v>
      </c>
      <c r="EF138">
        <v>1.10781</v>
      </c>
      <c r="EG138">
        <v>24.140201773049647</v>
      </c>
      <c r="EH138" s="13" t="s">
        <v>1733</v>
      </c>
      <c r="EI138" s="14">
        <v>0</v>
      </c>
      <c r="EJ138" s="14">
        <v>1</v>
      </c>
      <c r="EK138" s="14">
        <v>45470</v>
      </c>
      <c r="EL138" s="14">
        <v>0.34</v>
      </c>
      <c r="EM138" s="14">
        <v>-1.6</v>
      </c>
      <c r="EN138" s="14">
        <v>-1.55</v>
      </c>
      <c r="EO138" s="14">
        <v>3.48</v>
      </c>
      <c r="EP138" s="14">
        <v>-5.43</v>
      </c>
    </row>
    <row r="139" spans="1:146" ht="108">
      <c r="C139" s="7" t="str">
        <f>""&amp;CHAR(10)&amp;Basic_Fundamental_Information_Constructure(F139)&amp;CHAR(10)&amp;Basic_Fundamental_Information_Concatenate("")</f>
        <v xml:space="preserve">
市值64.944亿, 利润5449.92万; PE33.88; 平均PE46.82; 平均PEG5.62, PB2.75; ROIC13.9067%; ROE19.0333%; 股利率0%; 毛利37.91%; 净利18.1%; 上一年度营收增-54.96%, 利润增-75.56%; 当季营收增292.3%, 利润增632.85%; 过往5年营收增8.33%, 利润增20.6%
Income profile:
</v>
      </c>
      <c r="D139" t="s">
        <v>1590</v>
      </c>
      <c r="E139" t="s">
        <v>1591</v>
      </c>
      <c r="F139">
        <v>15.84</v>
      </c>
      <c r="G139">
        <v>1.08</v>
      </c>
      <c r="H139" t="s">
        <v>5536</v>
      </c>
      <c r="I139">
        <v>6494400000</v>
      </c>
      <c r="J139">
        <v>33.880000000000003</v>
      </c>
      <c r="K139">
        <v>2.75</v>
      </c>
      <c r="L139" t="s">
        <v>85</v>
      </c>
      <c r="M139" t="s">
        <v>1039</v>
      </c>
      <c r="N139" t="s">
        <v>2838</v>
      </c>
      <c r="O139" t="s">
        <v>800</v>
      </c>
      <c r="P139">
        <v>20.45</v>
      </c>
      <c r="Q139" t="s">
        <v>108</v>
      </c>
      <c r="R139">
        <v>40661340</v>
      </c>
      <c r="S139">
        <v>-0.40429999999999999</v>
      </c>
      <c r="T139" t="s">
        <v>5537</v>
      </c>
      <c r="U139">
        <v>71024000</v>
      </c>
      <c r="V139">
        <v>410000000</v>
      </c>
      <c r="W139">
        <v>1.36</v>
      </c>
      <c r="X139">
        <v>0.1</v>
      </c>
      <c r="Y139">
        <v>12.26</v>
      </c>
      <c r="Z139" t="s">
        <v>933</v>
      </c>
      <c r="AA139" t="s">
        <v>225</v>
      </c>
      <c r="AB139" t="s">
        <v>5538</v>
      </c>
      <c r="AC139" t="s">
        <v>5539</v>
      </c>
      <c r="AD139" t="s">
        <v>90</v>
      </c>
      <c r="AE139">
        <v>2355042</v>
      </c>
      <c r="AF139" t="s">
        <v>2987</v>
      </c>
      <c r="AG139">
        <v>6253.86</v>
      </c>
      <c r="AH139" t="s">
        <v>2988</v>
      </c>
      <c r="AI139" t="s">
        <v>236</v>
      </c>
      <c r="AJ139" t="s">
        <v>2989</v>
      </c>
      <c r="AK139" t="s">
        <v>230</v>
      </c>
      <c r="AL139" t="s">
        <v>2990</v>
      </c>
      <c r="AM139" t="s">
        <v>90</v>
      </c>
      <c r="AN139" t="s">
        <v>5540</v>
      </c>
      <c r="AO139" t="s">
        <v>276</v>
      </c>
      <c r="AP139" t="s">
        <v>5541</v>
      </c>
      <c r="AQ139" t="s">
        <v>131</v>
      </c>
      <c r="AR139" t="s">
        <v>90</v>
      </c>
      <c r="AS139" t="s">
        <v>5542</v>
      </c>
      <c r="AT139" t="s">
        <v>5543</v>
      </c>
      <c r="AU139" t="s">
        <v>5544</v>
      </c>
      <c r="AV139" t="s">
        <v>5545</v>
      </c>
      <c r="AW139" t="s">
        <v>5546</v>
      </c>
      <c r="AX139" t="s">
        <v>1595</v>
      </c>
      <c r="AY139" t="s">
        <v>1508</v>
      </c>
      <c r="AZ139" t="s">
        <v>666</v>
      </c>
      <c r="BA139" t="s">
        <v>1592</v>
      </c>
      <c r="BB139" t="s">
        <v>1400</v>
      </c>
      <c r="BC139" t="s">
        <v>345</v>
      </c>
      <c r="BD139" t="s">
        <v>1339</v>
      </c>
      <c r="BE139" t="s">
        <v>107</v>
      </c>
      <c r="BF139" t="s">
        <v>1593</v>
      </c>
      <c r="BG139" t="s">
        <v>1594</v>
      </c>
      <c r="BH139" t="s">
        <v>912</v>
      </c>
      <c r="BI139" t="s">
        <v>5547</v>
      </c>
      <c r="BJ139" t="s">
        <v>1595</v>
      </c>
      <c r="BK139" t="s">
        <v>355</v>
      </c>
      <c r="BL139" t="s">
        <v>5548</v>
      </c>
      <c r="BM139" t="s">
        <v>345</v>
      </c>
      <c r="BN139">
        <v>6.67</v>
      </c>
      <c r="BO139">
        <v>12.59</v>
      </c>
      <c r="BP139">
        <v>22.46</v>
      </c>
      <c r="BQ139">
        <v>7.49</v>
      </c>
      <c r="BR139">
        <v>19.93</v>
      </c>
      <c r="BS139">
        <v>29.68</v>
      </c>
      <c r="BT139" t="s">
        <v>1692</v>
      </c>
      <c r="BU139" t="s">
        <v>1337</v>
      </c>
      <c r="BV139">
        <v>36.42</v>
      </c>
      <c r="BW139">
        <v>38.72</v>
      </c>
      <c r="BX139">
        <v>38.590000000000003</v>
      </c>
      <c r="BY139">
        <v>16.62</v>
      </c>
      <c r="BZ139">
        <v>18.27</v>
      </c>
      <c r="CA139">
        <v>19.41</v>
      </c>
      <c r="CB139">
        <v>-9.74</v>
      </c>
      <c r="CC139" s="8">
        <v>-6.22</v>
      </c>
      <c r="CD139" s="9" t="s">
        <v>5549</v>
      </c>
      <c r="CE139" s="8" t="s">
        <v>5550</v>
      </c>
      <c r="CF139" s="8">
        <v>2.9230423959539649</v>
      </c>
      <c r="CG139" s="8">
        <v>6.3284802826039943</v>
      </c>
      <c r="CH139" s="8">
        <v>-0.54963088035583496</v>
      </c>
      <c r="CI139" s="8">
        <v>-2.4549395311623812E-3</v>
      </c>
      <c r="CJ139" s="9">
        <v>0.26370218396186829</v>
      </c>
      <c r="CK139" s="9">
        <v>0.38142856955528259</v>
      </c>
      <c r="CL139" s="9">
        <v>0.32325142621994019</v>
      </c>
      <c r="CM139" s="9">
        <v>-0.75560897588729858</v>
      </c>
      <c r="CN139" s="9">
        <v>-6.3025213778018951E-2</v>
      </c>
      <c r="CO139">
        <v>0.35227271914482117</v>
      </c>
      <c r="CP139">
        <v>1.4721462726593018</v>
      </c>
      <c r="CQ139">
        <v>2.4035487323999405E-2</v>
      </c>
      <c r="CR139" s="8">
        <v>46.822538321245503</v>
      </c>
      <c r="CS139" s="9">
        <v>5.6237025875155462</v>
      </c>
      <c r="CT139">
        <v>0</v>
      </c>
      <c r="CU139">
        <v>8.3259271970018742E-2</v>
      </c>
      <c r="CV139">
        <v>0.20596405789256095</v>
      </c>
      <c r="CW139">
        <v>0.06</v>
      </c>
      <c r="CX139">
        <v>89.602201528885416</v>
      </c>
      <c r="CY139">
        <v>55695060.108441919</v>
      </c>
      <c r="CZ139">
        <v>8.3259271970018742E-2</v>
      </c>
      <c r="DA139">
        <v>29.448904403918998</v>
      </c>
      <c r="DB139">
        <v>169459614.91646826</v>
      </c>
      <c r="DC139">
        <v>7.9096308371517807E-2</v>
      </c>
      <c r="DD139">
        <v>14.607895400639689</v>
      </c>
      <c r="DE139">
        <v>341623475.73911756</v>
      </c>
      <c r="DF139">
        <v>7.3268159333616495E-2</v>
      </c>
      <c r="DG139">
        <v>8.8477535456120897</v>
      </c>
      <c r="DH139">
        <v>564030177.18264925</v>
      </c>
      <c r="DI139">
        <v>6.6607417576015002E-2</v>
      </c>
      <c r="DJ139">
        <v>4.6568817349606109</v>
      </c>
      <c r="DK139">
        <v>1071618366.9719518</v>
      </c>
      <c r="DL139">
        <v>5.8281490379013118E-2</v>
      </c>
      <c r="DM139">
        <v>54499200</v>
      </c>
      <c r="DN139">
        <v>8.3259271970018742E-2</v>
      </c>
      <c r="DO139">
        <v>4990400000</v>
      </c>
      <c r="DP139">
        <v>1333477800</v>
      </c>
      <c r="DQ139" s="10">
        <v>2765</v>
      </c>
      <c r="DR139">
        <v>2.8397831239839459</v>
      </c>
      <c r="DS139">
        <v>6.1225162247114335</v>
      </c>
      <c r="DT139">
        <v>-0.25666666666666677</v>
      </c>
      <c r="DU139">
        <v>0.25333333333333335</v>
      </c>
      <c r="DV139">
        <v>-3.3333333333334103E-3</v>
      </c>
      <c r="DW139">
        <v>-5.6386036960985626</v>
      </c>
      <c r="DX139">
        <v>0.34085193184986384</v>
      </c>
      <c r="DY139">
        <v>-5.1091066751649032</v>
      </c>
      <c r="DZ139">
        <v>150</v>
      </c>
      <c r="EA139">
        <v>-5.1059039351894171</v>
      </c>
      <c r="EB139" s="11">
        <v>5</v>
      </c>
      <c r="EC139">
        <v>3.9888048780487802E-2</v>
      </c>
      <c r="ED139">
        <v>0.23346560975609756</v>
      </c>
      <c r="EE139">
        <v>1.0023</v>
      </c>
      <c r="EF139">
        <v>1.0195099999999999</v>
      </c>
      <c r="EG139">
        <v>17.170851931849864</v>
      </c>
      <c r="EH139" s="13" t="s">
        <v>1733</v>
      </c>
      <c r="EI139" s="14">
        <v>0</v>
      </c>
      <c r="EJ139" s="14">
        <v>1</v>
      </c>
      <c r="EK139" s="14">
        <v>45470</v>
      </c>
      <c r="EL139" s="14">
        <v>-1.26</v>
      </c>
      <c r="EM139" s="14">
        <v>-4.0999999999999996</v>
      </c>
      <c r="EN139" s="14">
        <v>0.56999999999999995</v>
      </c>
      <c r="EO139" s="14">
        <v>1.8</v>
      </c>
      <c r="EP139" s="14">
        <v>-2.1800000000000002</v>
      </c>
    </row>
    <row r="140" spans="1:146" ht="96">
      <c r="C140" s="7" t="str">
        <f>""&amp;CHAR(10)&amp;Basic_Fundamental_Information_Constructure(F140)&amp;CHAR(10)&amp;Basic_Fundamental_Information_Concatenate("")</f>
        <v xml:space="preserve">
市值24.39712亿, 利润1.15亿; PE24.7; 平均PE34.83; 平均PEG.26, PB1.85; ROIC24.6167%; ROE20.4%; 股利率2.6151%; 毛利29.34%; 净利17.97%; 上一年度营收增569.66%, 利润增9.52%; 当季营收增-89.74%, 利润增-64.1%; 过往5年营收增133.42%, 利润增100.09%
Income profile:
</v>
      </c>
      <c r="D140" t="s">
        <v>1944</v>
      </c>
      <c r="E140" t="s">
        <v>1945</v>
      </c>
      <c r="F140">
        <v>19.12</v>
      </c>
      <c r="G140">
        <v>1.7</v>
      </c>
      <c r="H140" t="s">
        <v>5551</v>
      </c>
      <c r="I140">
        <v>2439712000</v>
      </c>
      <c r="J140">
        <v>24.7</v>
      </c>
      <c r="K140">
        <v>1.85</v>
      </c>
      <c r="L140" t="s">
        <v>85</v>
      </c>
      <c r="M140" t="s">
        <v>109</v>
      </c>
      <c r="N140" t="s">
        <v>834</v>
      </c>
      <c r="O140" t="s">
        <v>2991</v>
      </c>
      <c r="P140" s="5">
        <v>-11.85</v>
      </c>
      <c r="Q140" t="s">
        <v>5552</v>
      </c>
      <c r="R140">
        <v>10585707</v>
      </c>
      <c r="S140">
        <v>-0.18310000000000001</v>
      </c>
      <c r="T140" t="s">
        <v>109</v>
      </c>
      <c r="U140">
        <v>31900000</v>
      </c>
      <c r="V140">
        <v>127600000</v>
      </c>
      <c r="W140">
        <v>1.04</v>
      </c>
      <c r="X140">
        <v>0.06</v>
      </c>
      <c r="Y140">
        <v>12.19</v>
      </c>
      <c r="Z140" t="s">
        <v>5553</v>
      </c>
      <c r="AA140" t="s">
        <v>5554</v>
      </c>
      <c r="AB140" t="s">
        <v>5555</v>
      </c>
      <c r="AC140" t="s">
        <v>5556</v>
      </c>
      <c r="AD140" t="s">
        <v>90</v>
      </c>
      <c r="AE140">
        <v>-4875399</v>
      </c>
      <c r="AF140" t="s">
        <v>2992</v>
      </c>
      <c r="AG140">
        <v>0</v>
      </c>
      <c r="AH140" t="s">
        <v>2993</v>
      </c>
      <c r="AI140" t="s">
        <v>5557</v>
      </c>
      <c r="AJ140" t="s">
        <v>2994</v>
      </c>
      <c r="AK140" t="s">
        <v>5558</v>
      </c>
      <c r="AL140" t="s">
        <v>2995</v>
      </c>
      <c r="AM140" t="s">
        <v>90</v>
      </c>
      <c r="AN140" t="s">
        <v>261</v>
      </c>
      <c r="AO140" t="s">
        <v>90</v>
      </c>
      <c r="AP140" t="s">
        <v>5559</v>
      </c>
      <c r="AQ140" t="s">
        <v>5560</v>
      </c>
      <c r="AR140" t="s">
        <v>5561</v>
      </c>
      <c r="AS140" t="s">
        <v>5562</v>
      </c>
      <c r="AT140" t="s">
        <v>90</v>
      </c>
      <c r="AU140" t="s">
        <v>5563</v>
      </c>
      <c r="AV140" t="s">
        <v>5564</v>
      </c>
      <c r="AW140" t="s">
        <v>5565</v>
      </c>
      <c r="AX140" t="s">
        <v>1396</v>
      </c>
      <c r="AY140" t="s">
        <v>534</v>
      </c>
      <c r="AZ140" t="s">
        <v>142</v>
      </c>
      <c r="BA140" t="s">
        <v>379</v>
      </c>
      <c r="BB140" t="s">
        <v>1451</v>
      </c>
      <c r="BC140" t="s">
        <v>521</v>
      </c>
      <c r="BD140" t="s">
        <v>1946</v>
      </c>
      <c r="BE140" t="s">
        <v>1947</v>
      </c>
      <c r="BF140" t="s">
        <v>1948</v>
      </c>
      <c r="BG140" t="s">
        <v>1949</v>
      </c>
      <c r="BH140" t="s">
        <v>1396</v>
      </c>
      <c r="BI140" t="s">
        <v>2115</v>
      </c>
      <c r="BJ140" t="s">
        <v>1396</v>
      </c>
      <c r="BK140" t="s">
        <v>210</v>
      </c>
      <c r="BL140" t="s">
        <v>5566</v>
      </c>
      <c r="BM140" t="s">
        <v>521</v>
      </c>
      <c r="BN140">
        <v>7.94</v>
      </c>
      <c r="BO140">
        <v>31.56</v>
      </c>
      <c r="BP140">
        <v>34.35</v>
      </c>
      <c r="BQ140">
        <v>8.91</v>
      </c>
      <c r="BR140">
        <v>31.89</v>
      </c>
      <c r="BS140" t="s">
        <v>90</v>
      </c>
      <c r="BT140" t="s">
        <v>2996</v>
      </c>
      <c r="BU140" t="s">
        <v>1449</v>
      </c>
      <c r="BV140">
        <v>28.32</v>
      </c>
      <c r="BW140">
        <v>30.1</v>
      </c>
      <c r="BX140">
        <v>29.6</v>
      </c>
      <c r="BY140">
        <v>17.84</v>
      </c>
      <c r="BZ140">
        <v>18.55</v>
      </c>
      <c r="CA140">
        <v>17.52</v>
      </c>
      <c r="CB140">
        <v>-2.85</v>
      </c>
      <c r="CC140" s="8">
        <v>-18.190000000000001</v>
      </c>
      <c r="CD140" s="9" t="s">
        <v>5567</v>
      </c>
      <c r="CE140" s="8" t="s">
        <v>5568</v>
      </c>
      <c r="CF140" s="8">
        <v>-0.89735342789598105</v>
      </c>
      <c r="CG140" s="8">
        <v>-0.64095922098272584</v>
      </c>
      <c r="CH140" s="8">
        <v>5.6966485977172852</v>
      </c>
      <c r="CI140" s="8">
        <v>0.15478615462779999</v>
      </c>
      <c r="CJ140" s="9">
        <v>0.49695122241973877</v>
      </c>
      <c r="CK140" s="9">
        <v>9.3333333730697632E-2</v>
      </c>
      <c r="CL140" s="9">
        <v>0.22950819134712219</v>
      </c>
      <c r="CM140" s="9">
        <v>9.5238097012042999E-2</v>
      </c>
      <c r="CN140" s="9">
        <v>0.22064919769763947</v>
      </c>
      <c r="CO140">
        <v>0.39642986655235291</v>
      </c>
      <c r="CP140">
        <v>0.41014853119850159</v>
      </c>
      <c r="CQ140">
        <v>3.8818409442901611</v>
      </c>
      <c r="CR140" s="8">
        <v>34.832220466392812</v>
      </c>
      <c r="CS140" s="9">
        <v>0.26106305374246652</v>
      </c>
      <c r="CT140">
        <v>2.6150627615062758</v>
      </c>
      <c r="CU140">
        <v>1.3342454999685287</v>
      </c>
      <c r="CV140">
        <v>1.0008613273501397</v>
      </c>
      <c r="CW140">
        <v>0.06</v>
      </c>
      <c r="CX140">
        <v>4.8676923098784641</v>
      </c>
      <c r="CY140">
        <v>253243615.56262338</v>
      </c>
      <c r="CZ140">
        <v>1.3342454999685287</v>
      </c>
      <c r="DA140">
        <v>0.64947751483025862</v>
      </c>
      <c r="DB140">
        <v>1898005661.2462869</v>
      </c>
      <c r="DC140">
        <v>1.2675332249701021</v>
      </c>
      <c r="DD140">
        <v>7.4782988288115096E-2</v>
      </c>
      <c r="DE140">
        <v>16483855863.726017</v>
      </c>
      <c r="DF140">
        <v>1.1741360399723053</v>
      </c>
      <c r="DG140">
        <v>6.5660944079704809E-3</v>
      </c>
      <c r="DH140">
        <v>187739000295.76636</v>
      </c>
      <c r="DI140">
        <v>1.0673963999748231</v>
      </c>
      <c r="DJ140">
        <v>2.899532736245045E-5</v>
      </c>
      <c r="DK140">
        <v>42514160457328.984</v>
      </c>
      <c r="DL140">
        <v>0.93397184997797</v>
      </c>
      <c r="DM140">
        <v>114999999.99999999</v>
      </c>
      <c r="DN140">
        <v>1.3342454999685287</v>
      </c>
      <c r="DO140">
        <v>1232712000</v>
      </c>
      <c r="DP140">
        <v>1040350460</v>
      </c>
      <c r="DQ140" s="10">
        <v>2784</v>
      </c>
      <c r="DR140">
        <v>-2.2315989278645096</v>
      </c>
      <c r="DS140">
        <v>-1.6418205483328654</v>
      </c>
      <c r="DT140">
        <v>0.24333333333333326</v>
      </c>
      <c r="DU140">
        <v>0.50000000000000011</v>
      </c>
      <c r="DV140">
        <v>0.7433333333333334</v>
      </c>
      <c r="DW140">
        <v>-8.156679494227598</v>
      </c>
      <c r="DX140">
        <v>0.23313314789685777</v>
      </c>
      <c r="DY140">
        <v>-8.0114584646237521</v>
      </c>
      <c r="DZ140">
        <v>455</v>
      </c>
      <c r="EA140">
        <v>-8.0104381903764317</v>
      </c>
      <c r="EB140" s="11">
        <v>8</v>
      </c>
      <c r="EC140" s="11">
        <v>3.6450626959247646E-2</v>
      </c>
      <c r="ED140">
        <v>0.49841457680250789</v>
      </c>
      <c r="EE140">
        <v>5.07</v>
      </c>
      <c r="EF140">
        <v>5.0406000000000004</v>
      </c>
      <c r="EG140">
        <v>16.073133147896858</v>
      </c>
      <c r="EH140" s="13" t="s">
        <v>3134</v>
      </c>
      <c r="EI140">
        <v>0</v>
      </c>
      <c r="EJ140">
        <v>1</v>
      </c>
      <c r="EK140">
        <v>45470</v>
      </c>
      <c r="EL140">
        <v>-1.37</v>
      </c>
      <c r="EM140">
        <v>-4.84</v>
      </c>
      <c r="EN140" s="14">
        <v>1.33</v>
      </c>
      <c r="EO140" s="14">
        <v>3.74</v>
      </c>
      <c r="EP140" s="14">
        <v>-2.94</v>
      </c>
    </row>
    <row r="141" spans="1:146" ht="108">
      <c r="C141" s="7" t="str">
        <f>""&amp;CHAR(10)&amp;Basic_Fundamental_Information_Constructure(F141)&amp;CHAR(10)&amp;Basic_Fundamental_Information_Concatenate("")</f>
        <v xml:space="preserve">
市值36.507136亿, 利润8338.62万; PE49.69; 平均PE67.63; 平均PEG4.75, PB3.14; ROIC9.21%; ROE14.83%; 股利率.8086%; 毛利31.5767%; 净利11.8233%; 上一年度营收增-28.27%, 利润增-6.63%; 当季营收增55.93%, 利润增-42.9%; 过往5年营收增14.23%, 利润增62.87%
Income profile:
</v>
      </c>
      <c r="D141" t="s">
        <v>5569</v>
      </c>
      <c r="E141" t="s">
        <v>5570</v>
      </c>
      <c r="F141">
        <v>37.1</v>
      </c>
      <c r="G141">
        <v>-2.27</v>
      </c>
      <c r="H141" t="s">
        <v>5571</v>
      </c>
      <c r="I141">
        <v>3650713600</v>
      </c>
      <c r="J141">
        <v>49.69</v>
      </c>
      <c r="K141">
        <v>3.14</v>
      </c>
      <c r="L141" t="s">
        <v>85</v>
      </c>
      <c r="M141" t="s">
        <v>3221</v>
      </c>
      <c r="N141" t="s">
        <v>5572</v>
      </c>
      <c r="O141" t="s">
        <v>265</v>
      </c>
      <c r="P141" s="5">
        <v>14.34</v>
      </c>
      <c r="Q141" t="s">
        <v>1776</v>
      </c>
      <c r="R141">
        <v>12771888</v>
      </c>
      <c r="S141">
        <v>-0.33450000000000002</v>
      </c>
      <c r="T141" t="s">
        <v>5573</v>
      </c>
      <c r="U141">
        <v>22140495</v>
      </c>
      <c r="V141">
        <v>98401985</v>
      </c>
      <c r="W141">
        <v>1.83</v>
      </c>
      <c r="X141">
        <v>0.09</v>
      </c>
      <c r="Y141">
        <v>6.95</v>
      </c>
      <c r="Z141" t="s">
        <v>136</v>
      </c>
      <c r="AA141" t="s">
        <v>307</v>
      </c>
      <c r="AB141" t="s">
        <v>5574</v>
      </c>
      <c r="AC141" t="s">
        <v>5575</v>
      </c>
      <c r="AD141" t="s">
        <v>90</v>
      </c>
      <c r="AE141">
        <v>5290701</v>
      </c>
      <c r="AF141" t="s">
        <v>5576</v>
      </c>
      <c r="AG141">
        <v>1276.99</v>
      </c>
      <c r="AH141" t="s">
        <v>5577</v>
      </c>
      <c r="AI141" t="s">
        <v>445</v>
      </c>
      <c r="AJ141" t="s">
        <v>5578</v>
      </c>
      <c r="AK141" t="s">
        <v>5579</v>
      </c>
      <c r="AL141" t="s">
        <v>5580</v>
      </c>
      <c r="AM141" t="s">
        <v>90</v>
      </c>
      <c r="AN141" t="s">
        <v>5581</v>
      </c>
      <c r="AO141" t="s">
        <v>228</v>
      </c>
      <c r="AP141" t="s">
        <v>90</v>
      </c>
      <c r="AQ141" t="s">
        <v>422</v>
      </c>
      <c r="AR141" t="s">
        <v>90</v>
      </c>
      <c r="AS141" t="s">
        <v>1581</v>
      </c>
      <c r="AT141" t="s">
        <v>1549</v>
      </c>
      <c r="AU141" t="s">
        <v>5582</v>
      </c>
      <c r="AV141" t="s">
        <v>5583</v>
      </c>
      <c r="AW141" t="s">
        <v>5584</v>
      </c>
      <c r="AX141" t="s">
        <v>1081</v>
      </c>
      <c r="AY141" t="s">
        <v>216</v>
      </c>
      <c r="AZ141" t="s">
        <v>1398</v>
      </c>
      <c r="BA141" t="s">
        <v>3371</v>
      </c>
      <c r="BB141" t="s">
        <v>343</v>
      </c>
      <c r="BC141" t="s">
        <v>5585</v>
      </c>
      <c r="BD141" t="s">
        <v>5586</v>
      </c>
      <c r="BE141" t="s">
        <v>5587</v>
      </c>
      <c r="BF141" t="s">
        <v>5588</v>
      </c>
      <c r="BG141" t="s">
        <v>5589</v>
      </c>
      <c r="BH141" t="s">
        <v>1450</v>
      </c>
      <c r="BI141" t="s">
        <v>290</v>
      </c>
      <c r="BJ141" t="s">
        <v>1081</v>
      </c>
      <c r="BK141" t="s">
        <v>5590</v>
      </c>
      <c r="BL141" t="s">
        <v>5591</v>
      </c>
      <c r="BM141" t="s">
        <v>5585</v>
      </c>
      <c r="BN141">
        <v>5.95</v>
      </c>
      <c r="BO141">
        <v>11.18</v>
      </c>
      <c r="BP141">
        <v>10.5</v>
      </c>
      <c r="BQ141">
        <v>10.99</v>
      </c>
      <c r="BR141">
        <v>18.670000000000002</v>
      </c>
      <c r="BS141" t="s">
        <v>90</v>
      </c>
      <c r="BT141" t="s">
        <v>5592</v>
      </c>
      <c r="BU141" t="s">
        <v>3551</v>
      </c>
      <c r="BV141">
        <v>31.83</v>
      </c>
      <c r="BW141">
        <v>33.340000000000003</v>
      </c>
      <c r="BX141">
        <v>29.56</v>
      </c>
      <c r="BY141">
        <v>10.7</v>
      </c>
      <c r="BZ141">
        <v>14.28</v>
      </c>
      <c r="CA141">
        <v>10.49</v>
      </c>
      <c r="CB141">
        <v>-10.28</v>
      </c>
      <c r="CC141" s="8">
        <v>-23.51</v>
      </c>
      <c r="CD141" s="9" t="s">
        <v>5593</v>
      </c>
      <c r="CE141" s="8" t="s">
        <v>5594</v>
      </c>
      <c r="CF141" s="8">
        <v>0.55932203389830504</v>
      </c>
      <c r="CG141" s="8">
        <v>-0.42895711775515405</v>
      </c>
      <c r="CH141" s="8">
        <v>-0.28274759650230408</v>
      </c>
      <c r="CI141" s="8">
        <v>0.24701195955276489</v>
      </c>
      <c r="CJ141" s="9">
        <v>0.20095694065093994</v>
      </c>
      <c r="CK141" s="9">
        <v>0.19088318943977356</v>
      </c>
      <c r="CL141" s="9">
        <v>0.35521236062049866</v>
      </c>
      <c r="CM141" s="9">
        <v>-6.6321156919002533E-2</v>
      </c>
      <c r="CN141" s="9">
        <v>0.6967083215713501</v>
      </c>
      <c r="CO141">
        <v>-0.12429043650627136</v>
      </c>
      <c r="CP141">
        <v>1.2069416046142578</v>
      </c>
      <c r="CQ141">
        <v>1.4305219650268555</v>
      </c>
      <c r="CR141" s="8">
        <v>67.630584414722307</v>
      </c>
      <c r="CS141" s="9">
        <v>4.7539000416670829</v>
      </c>
      <c r="CT141">
        <v>0.80862533692722371</v>
      </c>
      <c r="CU141">
        <v>0.14226337075233458</v>
      </c>
      <c r="CV141">
        <v>0.62871205955743792</v>
      </c>
      <c r="CW141">
        <v>0.06</v>
      </c>
      <c r="CX141">
        <v>38.301886043463945</v>
      </c>
      <c r="CY141">
        <v>89857548.949272007</v>
      </c>
      <c r="CZ141">
        <v>0.14226337075233458</v>
      </c>
      <c r="DA141">
        <v>11.978030913223847</v>
      </c>
      <c r="DB141">
        <v>287335508.22617424</v>
      </c>
      <c r="DC141">
        <v>0.13515020221471785</v>
      </c>
      <c r="DD141">
        <v>5.5533270469623224</v>
      </c>
      <c r="DE141">
        <v>619757052.10493994</v>
      </c>
      <c r="DF141">
        <v>0.12519176626205444</v>
      </c>
      <c r="DG141">
        <v>3.1118341329206318</v>
      </c>
      <c r="DH141">
        <v>1106008049.5902774</v>
      </c>
      <c r="DI141">
        <v>0.11381069660186767</v>
      </c>
      <c r="DJ141">
        <v>1.3734100462488759</v>
      </c>
      <c r="DK141">
        <v>2505962155.585053</v>
      </c>
      <c r="DL141">
        <v>9.9584359526634206E-2</v>
      </c>
      <c r="DM141">
        <v>83386200.000000015</v>
      </c>
      <c r="DN141">
        <v>0.14226337075233458</v>
      </c>
      <c r="DO141">
        <v>3441713600</v>
      </c>
      <c r="DP141">
        <v>689435770</v>
      </c>
      <c r="DQ141" s="10">
        <v>2786</v>
      </c>
      <c r="DR141">
        <v>0.41705866314597045</v>
      </c>
      <c r="DS141">
        <v>-1.0576691773125919</v>
      </c>
      <c r="DT141">
        <v>-0.10666666666666676</v>
      </c>
      <c r="DU141">
        <v>0.51333333333333331</v>
      </c>
      <c r="DV141">
        <v>0.40666666666666657</v>
      </c>
      <c r="DW141">
        <v>-9.4372607401105917</v>
      </c>
      <c r="DX141">
        <v>0.38889470403177784</v>
      </c>
      <c r="DY141">
        <v>-9.0519879862801655</v>
      </c>
      <c r="DZ141">
        <v>159</v>
      </c>
      <c r="EA141">
        <v>-9.0503703561786892</v>
      </c>
      <c r="EB141" s="11">
        <v>9</v>
      </c>
      <c r="EC141" s="11">
        <v>6.6673451760144872E-2</v>
      </c>
      <c r="ED141">
        <v>0.56077730545781168</v>
      </c>
      <c r="EE141">
        <v>-5.0252999999999997</v>
      </c>
      <c r="EF141">
        <v>-5.0061</v>
      </c>
      <c r="EG141">
        <v>27.118894704031778</v>
      </c>
      <c r="EH141" s="13" t="s">
        <v>2602</v>
      </c>
      <c r="EI141">
        <v>0</v>
      </c>
      <c r="EJ141">
        <v>1</v>
      </c>
      <c r="EK141">
        <v>45470</v>
      </c>
      <c r="EL141">
        <v>-0.47</v>
      </c>
      <c r="EM141">
        <v>-5.37</v>
      </c>
      <c r="EN141">
        <v>1.2</v>
      </c>
      <c r="EO141">
        <v>2.66</v>
      </c>
      <c r="EP141">
        <v>-1.92</v>
      </c>
    </row>
    <row r="142" spans="1:146" ht="96">
      <c r="C142" s="7" t="str">
        <f>""&amp;CHAR(10)&amp;Basic_Fundamental_Information_Constructure(F142)&amp;CHAR(10)&amp;Basic_Fundamental_Information_Concatenate("")</f>
        <v xml:space="preserve">
市值21.3512亿, 利润1.11亿; PE36.95; 平均PE30.34; 平均PEG8.5, PB3.12; ROIC16.7633%; ROE14.47%; 股利率1.2177%; 毛利22.1233%; 净利8.61%; 上一年度营收增-31.61%, 利润增87.75%; 当季营收增88%, 利润增-37.1%; 过往5年营收增3.57%, 利润增40.8%
Income profile:
</v>
      </c>
      <c r="D142" t="s">
        <v>1950</v>
      </c>
      <c r="E142" t="s">
        <v>1951</v>
      </c>
      <c r="F142">
        <v>20.53</v>
      </c>
      <c r="G142">
        <v>7.66</v>
      </c>
      <c r="H142" t="s">
        <v>5595</v>
      </c>
      <c r="I142">
        <v>2135120000</v>
      </c>
      <c r="J142">
        <v>36.950000000000003</v>
      </c>
      <c r="K142">
        <v>3.12</v>
      </c>
      <c r="L142" t="s">
        <v>85</v>
      </c>
      <c r="M142" t="s">
        <v>542</v>
      </c>
      <c r="N142" t="s">
        <v>5596</v>
      </c>
      <c r="O142" t="s">
        <v>1541</v>
      </c>
      <c r="P142" s="5">
        <v>24.3</v>
      </c>
      <c r="Q142" t="s">
        <v>1163</v>
      </c>
      <c r="R142">
        <v>18288366</v>
      </c>
      <c r="S142">
        <v>0.53610000000000002</v>
      </c>
      <c r="T142" t="s">
        <v>239</v>
      </c>
      <c r="U142">
        <v>47840000</v>
      </c>
      <c r="V142">
        <v>104000000</v>
      </c>
      <c r="W142">
        <v>1.22</v>
      </c>
      <c r="X142">
        <v>0.2</v>
      </c>
      <c r="Y142">
        <v>10.71</v>
      </c>
      <c r="Z142" t="s">
        <v>103</v>
      </c>
      <c r="AA142" t="s">
        <v>296</v>
      </c>
      <c r="AB142" t="s">
        <v>5597</v>
      </c>
      <c r="AC142" t="s">
        <v>5598</v>
      </c>
      <c r="AD142" t="s">
        <v>90</v>
      </c>
      <c r="AE142">
        <v>-3515387</v>
      </c>
      <c r="AF142" t="s">
        <v>2998</v>
      </c>
      <c r="AG142">
        <v>750.53</v>
      </c>
      <c r="AH142" t="s">
        <v>2999</v>
      </c>
      <c r="AI142" t="s">
        <v>4372</v>
      </c>
      <c r="AJ142" t="s">
        <v>3000</v>
      </c>
      <c r="AK142" t="s">
        <v>90</v>
      </c>
      <c r="AL142" t="s">
        <v>3001</v>
      </c>
      <c r="AM142" t="s">
        <v>90</v>
      </c>
      <c r="AN142">
        <v>0</v>
      </c>
      <c r="AO142" t="s">
        <v>90</v>
      </c>
      <c r="AP142" t="s">
        <v>90</v>
      </c>
      <c r="AQ142" t="s">
        <v>5599</v>
      </c>
      <c r="AR142" t="s">
        <v>90</v>
      </c>
      <c r="AS142" t="s">
        <v>204</v>
      </c>
      <c r="AT142" t="s">
        <v>90</v>
      </c>
      <c r="AU142" t="s">
        <v>5600</v>
      </c>
      <c r="AV142" t="s">
        <v>5601</v>
      </c>
      <c r="AW142" t="s">
        <v>5602</v>
      </c>
      <c r="AX142" t="s">
        <v>1156</v>
      </c>
      <c r="AY142" t="s">
        <v>1879</v>
      </c>
      <c r="AZ142" t="s">
        <v>1753</v>
      </c>
      <c r="BA142" t="s">
        <v>449</v>
      </c>
      <c r="BB142" t="s">
        <v>1398</v>
      </c>
      <c r="BC142" t="s">
        <v>1953</v>
      </c>
      <c r="BD142" t="s">
        <v>1954</v>
      </c>
      <c r="BE142" t="s">
        <v>1955</v>
      </c>
      <c r="BF142" t="s">
        <v>1956</v>
      </c>
      <c r="BG142" t="s">
        <v>1957</v>
      </c>
      <c r="BH142" t="s">
        <v>359</v>
      </c>
      <c r="BI142" t="s">
        <v>5603</v>
      </c>
      <c r="BJ142" t="s">
        <v>1156</v>
      </c>
      <c r="BK142" t="s">
        <v>2997</v>
      </c>
      <c r="BL142" t="s">
        <v>5604</v>
      </c>
      <c r="BM142" t="s">
        <v>1953</v>
      </c>
      <c r="BN142">
        <v>7.05</v>
      </c>
      <c r="BO142">
        <v>18.2</v>
      </c>
      <c r="BP142">
        <v>25.04</v>
      </c>
      <c r="BQ142">
        <v>8.99</v>
      </c>
      <c r="BR142">
        <v>19.95</v>
      </c>
      <c r="BS142" t="s">
        <v>90</v>
      </c>
      <c r="BT142" t="s">
        <v>3002</v>
      </c>
      <c r="BU142" t="s">
        <v>1381</v>
      </c>
      <c r="BV142">
        <v>24.83</v>
      </c>
      <c r="BW142">
        <v>22.32</v>
      </c>
      <c r="BX142">
        <v>19.22</v>
      </c>
      <c r="BY142">
        <v>8.5</v>
      </c>
      <c r="BZ142">
        <v>9.15</v>
      </c>
      <c r="CA142">
        <v>8.18</v>
      </c>
      <c r="CB142">
        <v>-0.92</v>
      </c>
      <c r="CC142" s="8">
        <v>-2.33</v>
      </c>
      <c r="CD142" s="9" t="s">
        <v>5605</v>
      </c>
      <c r="CE142" s="8" t="s">
        <v>5606</v>
      </c>
      <c r="CF142" s="8">
        <v>0.87998195217325914</v>
      </c>
      <c r="CG142" s="8">
        <v>-0.37095232362561958</v>
      </c>
      <c r="CH142" s="8">
        <v>-0.31605350971221924</v>
      </c>
      <c r="CI142" s="8">
        <v>-0.25806450843811035</v>
      </c>
      <c r="CJ142" s="9">
        <v>0.1800878494977951</v>
      </c>
      <c r="CK142" s="9">
        <v>0.42887029051780701</v>
      </c>
      <c r="CL142" s="9">
        <v>0.14354066550731659</v>
      </c>
      <c r="CM142" s="9">
        <v>0.87754356861114502</v>
      </c>
      <c r="CN142" s="9">
        <v>-0.12405892461538315</v>
      </c>
      <c r="CO142">
        <v>-0.26114696264266968</v>
      </c>
      <c r="CP142">
        <v>0.44472911953926086</v>
      </c>
      <c r="CQ142">
        <v>1.1030774116516113</v>
      </c>
      <c r="CR142" s="8">
        <v>30.338873991336499</v>
      </c>
      <c r="CS142" s="9">
        <v>8.5039634700027467</v>
      </c>
      <c r="CT142">
        <v>1.2177301509985388</v>
      </c>
      <c r="CU142">
        <v>3.5676157474517821E-2</v>
      </c>
      <c r="CV142">
        <v>0.4080288425087929</v>
      </c>
      <c r="CW142">
        <v>0.06</v>
      </c>
      <c r="CX142">
        <v>15.039895578212642</v>
      </c>
      <c r="CY142">
        <v>108452880.64119951</v>
      </c>
      <c r="CZ142">
        <v>3.5676157474517821E-2</v>
      </c>
      <c r="DA142">
        <v>5.1476941984318323</v>
      </c>
      <c r="DB142">
        <v>316864199.2169807</v>
      </c>
      <c r="DC142">
        <v>3.3892349600791925E-2</v>
      </c>
      <c r="DD142">
        <v>2.6922831372378941</v>
      </c>
      <c r="DE142">
        <v>605850097.05681336</v>
      </c>
      <c r="DF142">
        <v>3.1395018577575685E-2</v>
      </c>
      <c r="DG142">
        <v>1.7278326930642296</v>
      </c>
      <c r="DH142">
        <v>944026586.91871715</v>
      </c>
      <c r="DI142">
        <v>2.8540925979614259E-2</v>
      </c>
      <c r="DJ142">
        <v>1.0262208421062466</v>
      </c>
      <c r="DK142">
        <v>1589443454.1518764</v>
      </c>
      <c r="DL142">
        <v>2.4973310232162472E-2</v>
      </c>
      <c r="DM142">
        <v>111000000.00000001</v>
      </c>
      <c r="DN142">
        <v>3.5676157474517821E-2</v>
      </c>
      <c r="DO142">
        <v>1631120000</v>
      </c>
      <c r="DP142">
        <v>567740140</v>
      </c>
      <c r="DQ142" s="10">
        <v>2794</v>
      </c>
      <c r="DR142">
        <v>0.84430579469874134</v>
      </c>
      <c r="DS142">
        <v>-0.77898116613441248</v>
      </c>
      <c r="DT142">
        <v>-0.50666666666666671</v>
      </c>
      <c r="DU142">
        <v>0.29666666666666658</v>
      </c>
      <c r="DV142">
        <v>-0.21000000000000013</v>
      </c>
      <c r="DW142">
        <v>-2.3300000000000001E-2</v>
      </c>
      <c r="DX142">
        <v>0.59428527705824474</v>
      </c>
      <c r="DY142">
        <v>-3.3618469554571851E-3</v>
      </c>
      <c r="DZ142">
        <v>964</v>
      </c>
      <c r="EA142">
        <v>-2.7276355141537161E-3</v>
      </c>
      <c r="EB142" s="11">
        <v>0</v>
      </c>
      <c r="EC142" s="11">
        <v>9.2925961538461541E-2</v>
      </c>
      <c r="ED142">
        <v>0.64404326923076927</v>
      </c>
      <c r="EE142">
        <v>1.0639000000000001</v>
      </c>
      <c r="EF142">
        <v>1.0279</v>
      </c>
      <c r="EG142">
        <v>45.144285277058245</v>
      </c>
      <c r="EH142" s="13" t="s">
        <v>1725</v>
      </c>
      <c r="EI142">
        <v>0</v>
      </c>
      <c r="EJ142">
        <v>1</v>
      </c>
      <c r="EK142">
        <v>45470</v>
      </c>
      <c r="EL142">
        <v>-0.46</v>
      </c>
      <c r="EM142">
        <v>-4.74</v>
      </c>
      <c r="EN142">
        <v>2.61</v>
      </c>
      <c r="EO142">
        <v>19.989999999999998</v>
      </c>
      <c r="EP142">
        <v>-3.6</v>
      </c>
    </row>
    <row r="143" spans="1:146" ht="108">
      <c r="C143" s="7" t="str">
        <f>""&amp;CHAR(10)&amp;Basic_Fundamental_Information_Constructure(F143)&amp;CHAR(10)&amp;Basic_Fundamental_Information_Concatenate("")</f>
        <v xml:space="preserve">
市值53.257855亿, 利润5.46亿; PE24.71; 平均PE34.18; 平均PEG.36, PB1.72; ROIC19.67%; ROE26.585%; 股利率.7969%; 毛利23.74%; 净利12.8933%; 上一年度营收增343.37%, 利润增158.77%; 当季营收增-83.06%, 利润增-62.16%; 过往5年营收增94.23%, 利润增230.7%
Income profile:
</v>
      </c>
      <c r="D143" t="s">
        <v>1958</v>
      </c>
      <c r="E143" t="s">
        <v>1959</v>
      </c>
      <c r="F143">
        <v>56.47</v>
      </c>
      <c r="G143">
        <v>-3.8</v>
      </c>
      <c r="H143" t="s">
        <v>5607</v>
      </c>
      <c r="I143">
        <v>5325785500</v>
      </c>
      <c r="J143">
        <v>24.71</v>
      </c>
      <c r="K143">
        <v>1.72</v>
      </c>
      <c r="L143" t="s">
        <v>85</v>
      </c>
      <c r="M143" t="s">
        <v>627</v>
      </c>
      <c r="N143" t="s">
        <v>5608</v>
      </c>
      <c r="O143" t="s">
        <v>144</v>
      </c>
      <c r="P143" s="5">
        <v>-18.29</v>
      </c>
      <c r="Q143" t="s">
        <v>5609</v>
      </c>
      <c r="R143">
        <v>43141240</v>
      </c>
      <c r="S143">
        <v>-1.83E-2</v>
      </c>
      <c r="T143" t="s">
        <v>1470</v>
      </c>
      <c r="U143">
        <v>23590000</v>
      </c>
      <c r="V143">
        <v>94311768</v>
      </c>
      <c r="W143">
        <v>1.26</v>
      </c>
      <c r="X143">
        <v>7.0000000000000007E-2</v>
      </c>
      <c r="Y143">
        <v>14.68</v>
      </c>
      <c r="Z143" t="s">
        <v>292</v>
      </c>
      <c r="AA143" t="s">
        <v>2613</v>
      </c>
      <c r="AB143" t="s">
        <v>5610</v>
      </c>
      <c r="AC143" t="s">
        <v>5611</v>
      </c>
      <c r="AD143" t="s">
        <v>90</v>
      </c>
      <c r="AE143">
        <v>-7292747</v>
      </c>
      <c r="AF143" t="s">
        <v>3003</v>
      </c>
      <c r="AG143" t="s">
        <v>5612</v>
      </c>
      <c r="AH143" t="s">
        <v>3004</v>
      </c>
      <c r="AI143" t="s">
        <v>5613</v>
      </c>
      <c r="AJ143" t="s">
        <v>3005</v>
      </c>
      <c r="AK143" t="s">
        <v>126</v>
      </c>
      <c r="AL143" t="s">
        <v>3006</v>
      </c>
      <c r="AM143" t="s">
        <v>90</v>
      </c>
      <c r="AN143" t="s">
        <v>219</v>
      </c>
      <c r="AO143" t="s">
        <v>90</v>
      </c>
      <c r="AP143" t="s">
        <v>2600</v>
      </c>
      <c r="AQ143" t="s">
        <v>807</v>
      </c>
      <c r="AR143" t="s">
        <v>90</v>
      </c>
      <c r="AS143" t="s">
        <v>2238</v>
      </c>
      <c r="AT143" t="s">
        <v>90</v>
      </c>
      <c r="AU143" t="s">
        <v>5614</v>
      </c>
      <c r="AV143" t="s">
        <v>5615</v>
      </c>
      <c r="AW143" t="s">
        <v>5616</v>
      </c>
      <c r="AX143" t="s">
        <v>860</v>
      </c>
      <c r="AY143" t="s">
        <v>1960</v>
      </c>
      <c r="AZ143" t="s">
        <v>1757</v>
      </c>
      <c r="BA143" t="s">
        <v>613</v>
      </c>
      <c r="BB143" t="s">
        <v>817</v>
      </c>
      <c r="BC143" t="s">
        <v>494</v>
      </c>
      <c r="BD143" t="s">
        <v>89</v>
      </c>
      <c r="BE143" t="s">
        <v>1961</v>
      </c>
      <c r="BF143" t="s">
        <v>1962</v>
      </c>
      <c r="BG143" t="s">
        <v>1963</v>
      </c>
      <c r="BH143" t="s">
        <v>2052</v>
      </c>
      <c r="BI143" t="s">
        <v>5617</v>
      </c>
      <c r="BJ143" t="s">
        <v>860</v>
      </c>
      <c r="BK143" t="s">
        <v>150</v>
      </c>
      <c r="BL143" t="s">
        <v>282</v>
      </c>
      <c r="BM143" t="s">
        <v>494</v>
      </c>
      <c r="BN143">
        <v>9.69</v>
      </c>
      <c r="BO143">
        <v>30.21</v>
      </c>
      <c r="BP143">
        <v>19.11</v>
      </c>
      <c r="BQ143">
        <v>18.88</v>
      </c>
      <c r="BR143">
        <v>34.29</v>
      </c>
      <c r="BS143" t="s">
        <v>90</v>
      </c>
      <c r="BT143" t="s">
        <v>3007</v>
      </c>
      <c r="BU143" t="s">
        <v>1449</v>
      </c>
      <c r="BV143">
        <v>25.12</v>
      </c>
      <c r="BW143">
        <v>23.84</v>
      </c>
      <c r="BX143">
        <v>22.26</v>
      </c>
      <c r="BY143">
        <v>14.56</v>
      </c>
      <c r="BZ143">
        <v>13.54</v>
      </c>
      <c r="CA143">
        <v>10.58</v>
      </c>
      <c r="CB143">
        <v>0.34</v>
      </c>
      <c r="CC143" s="8">
        <v>-8.39</v>
      </c>
      <c r="CD143" s="9" t="s">
        <v>5618</v>
      </c>
      <c r="CE143" s="8" t="s">
        <v>5619</v>
      </c>
      <c r="CF143" s="8">
        <v>-0.83064516129032262</v>
      </c>
      <c r="CG143" s="8">
        <v>-0.62156807017543858</v>
      </c>
      <c r="CH143" s="8">
        <v>3.4337048530578613</v>
      </c>
      <c r="CI143" s="8">
        <v>0.25116279721260071</v>
      </c>
      <c r="CJ143" s="9">
        <v>0.62673389911651611</v>
      </c>
      <c r="CK143" s="9">
        <v>0.27697262167930603</v>
      </c>
      <c r="CL143" s="9">
        <v>0.12296564131975174</v>
      </c>
      <c r="CM143" s="9">
        <v>1.5876777172088623</v>
      </c>
      <c r="CN143" s="9">
        <v>0.5746268630027771</v>
      </c>
      <c r="CO143">
        <v>3.1187047958374023</v>
      </c>
      <c r="CP143">
        <v>2.4503622055053711</v>
      </c>
      <c r="CQ143">
        <v>3.8037598133087158</v>
      </c>
      <c r="CR143" s="8">
        <v>34.178843111443925</v>
      </c>
      <c r="CS143" s="9">
        <v>0.36271414943361102</v>
      </c>
      <c r="CT143">
        <v>0.79688330086771741</v>
      </c>
      <c r="CU143">
        <v>0.94230796247720716</v>
      </c>
      <c r="CV143">
        <v>2.3070262789726259</v>
      </c>
      <c r="CW143">
        <v>0.06</v>
      </c>
      <c r="CX143">
        <v>3.1183141631395666</v>
      </c>
      <c r="CY143">
        <v>1000471837.2759954</v>
      </c>
      <c r="CZ143">
        <v>0.94230796247720716</v>
      </c>
      <c r="DA143">
        <v>0.53401310288597359</v>
      </c>
      <c r="DB143">
        <v>5842151593.5464973</v>
      </c>
      <c r="DC143">
        <v>0.89519256435334671</v>
      </c>
      <c r="DD143">
        <v>9.4560033391974344E-2</v>
      </c>
      <c r="DE143">
        <v>32992643806.159946</v>
      </c>
      <c r="DF143">
        <v>0.82923100697994234</v>
      </c>
      <c r="DG143">
        <v>1.4797238299220106E-2</v>
      </c>
      <c r="DH143">
        <v>210835659797.70898</v>
      </c>
      <c r="DI143">
        <v>0.7538463699817658</v>
      </c>
      <c r="DJ143">
        <v>2.6352401788846751E-4</v>
      </c>
      <c r="DK143">
        <v>11838714076226.635</v>
      </c>
      <c r="DL143">
        <v>0.659615573734045</v>
      </c>
      <c r="DM143">
        <v>546000000</v>
      </c>
      <c r="DN143">
        <v>0.94230796247720716</v>
      </c>
      <c r="DO143">
        <v>3119785500</v>
      </c>
      <c r="DP143">
        <v>2759475900</v>
      </c>
      <c r="DQ143" s="10">
        <v>2821</v>
      </c>
      <c r="DR143">
        <v>-1.7729531237675298</v>
      </c>
      <c r="DS143">
        <v>-2.9285943491480646</v>
      </c>
      <c r="DT143">
        <v>0.39333333333333331</v>
      </c>
      <c r="DU143">
        <v>1.5533166666666667</v>
      </c>
      <c r="DV143">
        <v>1.94665</v>
      </c>
      <c r="DW143">
        <v>-2.0838999999999999</v>
      </c>
      <c r="DX143">
        <v>0.35063372449192159</v>
      </c>
      <c r="DY143">
        <v>-2.0126381694848723</v>
      </c>
      <c r="DZ143">
        <v>298</v>
      </c>
      <c r="EA143">
        <v>-2.0119011490335041</v>
      </c>
      <c r="EB143" s="11">
        <v>2</v>
      </c>
      <c r="EC143" s="11">
        <v>5.3708037792272116E-2</v>
      </c>
      <c r="ED143">
        <v>0.35654723385102904</v>
      </c>
      <c r="EE143">
        <v>5.0149999999999997</v>
      </c>
      <c r="EF143">
        <v>5.0115100000000004</v>
      </c>
      <c r="EG143">
        <v>20.150633724491922</v>
      </c>
      <c r="EH143" s="13" t="s">
        <v>2137</v>
      </c>
      <c r="EI143">
        <v>0</v>
      </c>
      <c r="EJ143">
        <v>1</v>
      </c>
      <c r="EK143">
        <v>45470</v>
      </c>
      <c r="EL143">
        <v>-2.0299999999999998</v>
      </c>
      <c r="EM143">
        <v>-6.31</v>
      </c>
      <c r="EN143">
        <v>1.33</v>
      </c>
      <c r="EO143">
        <v>2.62</v>
      </c>
      <c r="EP143">
        <v>-2.65</v>
      </c>
    </row>
    <row r="144" spans="1:146" ht="108">
      <c r="C144" s="7" t="str">
        <f>""&amp;CHAR(10)&amp;Basic_Fundamental_Information_Constructure(F144)&amp;CHAR(10)&amp;Basic_Fundamental_Information_Concatenate("")</f>
        <v xml:space="preserve">
市值25.18092亿, 利润8414.74万; PE33.09; 平均PE44.7; 平均PEG.46, PB1.73; ROIC18.14%; ROE17.28%; 股利率.3097%; 毛利75.4833%; 净利41.4233%; 上一年度营收增370.3%, 利润增-1.45%; 当季营收增-90.52%, 利润增-121.2%; 过往5年营收增97.58%, 利润增37.1%
Income profile:
</v>
      </c>
      <c r="D144" t="s">
        <v>5620</v>
      </c>
      <c r="E144" t="s">
        <v>5621</v>
      </c>
      <c r="F144">
        <v>40.68</v>
      </c>
      <c r="G144">
        <v>1.17</v>
      </c>
      <c r="H144" t="s">
        <v>5622</v>
      </c>
      <c r="I144">
        <v>2518092000</v>
      </c>
      <c r="J144">
        <v>33.090000000000003</v>
      </c>
      <c r="K144">
        <v>1.73</v>
      </c>
      <c r="L144" t="s">
        <v>85</v>
      </c>
      <c r="M144" t="s">
        <v>5623</v>
      </c>
      <c r="N144" t="s">
        <v>2391</v>
      </c>
      <c r="O144" t="s">
        <v>5624</v>
      </c>
      <c r="P144" s="5">
        <v>3.52</v>
      </c>
      <c r="Q144" t="s">
        <v>2622</v>
      </c>
      <c r="R144">
        <v>-3614700</v>
      </c>
      <c r="S144">
        <v>-0.89859999999999995</v>
      </c>
      <c r="T144" t="s">
        <v>5625</v>
      </c>
      <c r="U144">
        <v>14942897</v>
      </c>
      <c r="V144">
        <v>61900000</v>
      </c>
      <c r="W144">
        <v>1.02</v>
      </c>
      <c r="X144">
        <v>0.01</v>
      </c>
      <c r="Y144">
        <v>-21.51</v>
      </c>
      <c r="Z144" t="s">
        <v>5626</v>
      </c>
      <c r="AA144" t="s">
        <v>5627</v>
      </c>
      <c r="AB144" t="s">
        <v>5628</v>
      </c>
      <c r="AC144" t="s">
        <v>5629</v>
      </c>
      <c r="AD144" t="s">
        <v>90</v>
      </c>
      <c r="AE144">
        <v>-1020425</v>
      </c>
      <c r="AF144" t="s">
        <v>5630</v>
      </c>
      <c r="AG144">
        <v>9461.25</v>
      </c>
      <c r="AH144" t="s">
        <v>5631</v>
      </c>
      <c r="AI144" t="s">
        <v>220</v>
      </c>
      <c r="AJ144" t="s">
        <v>5632</v>
      </c>
      <c r="AK144" t="s">
        <v>5633</v>
      </c>
      <c r="AL144" t="s">
        <v>5634</v>
      </c>
      <c r="AM144" t="s">
        <v>90</v>
      </c>
      <c r="AN144">
        <v>0</v>
      </c>
      <c r="AO144" t="s">
        <v>90</v>
      </c>
      <c r="AP144" t="s">
        <v>5635</v>
      </c>
      <c r="AQ144" t="s">
        <v>5636</v>
      </c>
      <c r="AR144" t="s">
        <v>90</v>
      </c>
      <c r="AS144" t="s">
        <v>5637</v>
      </c>
      <c r="AT144" t="s">
        <v>90</v>
      </c>
      <c r="AU144" t="s">
        <v>5638</v>
      </c>
      <c r="AV144" t="s">
        <v>239</v>
      </c>
      <c r="AW144" t="s">
        <v>5639</v>
      </c>
      <c r="AX144" t="s">
        <v>551</v>
      </c>
      <c r="AY144" t="s">
        <v>104</v>
      </c>
      <c r="AZ144" t="s">
        <v>307</v>
      </c>
      <c r="BA144" t="s">
        <v>5640</v>
      </c>
      <c r="BB144" t="s">
        <v>5641</v>
      </c>
      <c r="BC144" t="s">
        <v>5642</v>
      </c>
      <c r="BD144" t="s">
        <v>5643</v>
      </c>
      <c r="BE144" t="s">
        <v>5644</v>
      </c>
      <c r="BF144" t="s">
        <v>5645</v>
      </c>
      <c r="BG144" t="s">
        <v>5646</v>
      </c>
      <c r="BH144" t="s">
        <v>441</v>
      </c>
      <c r="BI144" t="s">
        <v>263</v>
      </c>
      <c r="BJ144" t="s">
        <v>551</v>
      </c>
      <c r="BK144" t="s">
        <v>5647</v>
      </c>
      <c r="BL144" t="s">
        <v>5648</v>
      </c>
      <c r="BM144" t="s">
        <v>5642</v>
      </c>
      <c r="BN144">
        <v>4.6100000000000003</v>
      </c>
      <c r="BO144">
        <v>24.92</v>
      </c>
      <c r="BP144">
        <v>24.89</v>
      </c>
      <c r="BQ144">
        <v>8.69</v>
      </c>
      <c r="BR144">
        <v>25.87</v>
      </c>
      <c r="BS144" t="s">
        <v>90</v>
      </c>
      <c r="BT144" t="s">
        <v>5649</v>
      </c>
      <c r="BU144" t="s">
        <v>3551</v>
      </c>
      <c r="BV144">
        <v>75.86</v>
      </c>
      <c r="BW144">
        <v>73.900000000000006</v>
      </c>
      <c r="BX144">
        <v>76.69</v>
      </c>
      <c r="BY144">
        <v>39.119999999999997</v>
      </c>
      <c r="BZ144">
        <v>42.32</v>
      </c>
      <c r="CA144">
        <v>42.83</v>
      </c>
      <c r="CB144">
        <v>-5.04</v>
      </c>
      <c r="CC144" s="8">
        <v>-14.17</v>
      </c>
      <c r="CD144" s="9" t="s">
        <v>5650</v>
      </c>
      <c r="CE144" s="8" t="s">
        <v>5651</v>
      </c>
      <c r="CF144" s="8">
        <v>-0.9051555555555556</v>
      </c>
      <c r="CG144" s="8">
        <v>-1.211962353769021</v>
      </c>
      <c r="CH144" s="8">
        <v>3.7029702663421631</v>
      </c>
      <c r="CI144" s="8">
        <v>0.34666666388511658</v>
      </c>
      <c r="CJ144" s="9">
        <v>0.171875</v>
      </c>
      <c r="CK144" s="9">
        <v>0.32552927732467651</v>
      </c>
      <c r="CL144" s="9">
        <v>0.33213591575622559</v>
      </c>
      <c r="CM144" s="9">
        <v>-1.4535898342728615E-2</v>
      </c>
      <c r="CN144" s="9">
        <v>0.33806473016738892</v>
      </c>
      <c r="CO144">
        <v>0.23409876227378845</v>
      </c>
      <c r="CP144">
        <v>0.52846032381057739</v>
      </c>
      <c r="CQ144">
        <v>0.76897537708282471</v>
      </c>
      <c r="CR144" s="8">
        <v>44.69762310701033</v>
      </c>
      <c r="CS144" s="9">
        <v>0.45804468640302637</v>
      </c>
      <c r="CT144">
        <v>0.30973451327433627</v>
      </c>
      <c r="CU144">
        <v>0.97583542466163631</v>
      </c>
      <c r="CV144">
        <v>0.37101265899837016</v>
      </c>
      <c r="CW144">
        <v>0.06</v>
      </c>
      <c r="CX144">
        <v>7.0757056915318666</v>
      </c>
      <c r="CY144">
        <v>156850390.38978544</v>
      </c>
      <c r="CZ144">
        <v>0.97583542466163631</v>
      </c>
      <c r="DA144">
        <v>1.1848604295419967</v>
      </c>
      <c r="DB144">
        <v>936673360.27839124</v>
      </c>
      <c r="DC144">
        <v>0.92704365342855444</v>
      </c>
      <c r="DD144">
        <v>0.20189788773368983</v>
      </c>
      <c r="DE144">
        <v>5496972813.6229925</v>
      </c>
      <c r="DF144">
        <v>0.85873517370223995</v>
      </c>
      <c r="DG144">
        <v>2.9993616686136218E-2</v>
      </c>
      <c r="DH144">
        <v>37002113203.406685</v>
      </c>
      <c r="DI144">
        <v>0.78066833972930905</v>
      </c>
      <c r="DJ144">
        <v>4.7064672692179941E-4</v>
      </c>
      <c r="DK144">
        <v>2358089701927.1187</v>
      </c>
      <c r="DL144">
        <v>0.68308479726314542</v>
      </c>
      <c r="DM144">
        <v>84147400</v>
      </c>
      <c r="DN144">
        <v>0.97583542466163631</v>
      </c>
      <c r="DO144">
        <v>1109827200</v>
      </c>
      <c r="DP144">
        <v>1152779900</v>
      </c>
      <c r="DQ144" s="10">
        <v>2823</v>
      </c>
      <c r="DR144">
        <v>-1.880990980217192</v>
      </c>
      <c r="DS144">
        <v>-1.5829750127673912</v>
      </c>
      <c r="DT144">
        <v>0.35999999999999993</v>
      </c>
      <c r="DU144">
        <v>-0.29833333333333339</v>
      </c>
      <c r="DV144">
        <v>6.1666666666666536E-2</v>
      </c>
      <c r="DW144">
        <v>-8.3556810162314754</v>
      </c>
      <c r="DX144">
        <v>0.30159826261828543</v>
      </c>
      <c r="DY144">
        <v>-8.0361365732954244</v>
      </c>
      <c r="DZ144">
        <v>3076</v>
      </c>
      <c r="EA144">
        <v>-8.0143839119535993</v>
      </c>
      <c r="EB144" s="11">
        <v>8</v>
      </c>
      <c r="EC144" s="11">
        <v>3.5747980613893379E-2</v>
      </c>
      <c r="ED144">
        <v>0.35185621970920833</v>
      </c>
      <c r="EE144">
        <v>11.12701</v>
      </c>
      <c r="EF144">
        <v>10.011609999999999</v>
      </c>
      <c r="EG144">
        <v>20.101598262618285</v>
      </c>
      <c r="EH144" s="13" t="s">
        <v>5652</v>
      </c>
      <c r="EI144">
        <v>0</v>
      </c>
      <c r="EJ144">
        <v>0</v>
      </c>
      <c r="EK144">
        <v>45470</v>
      </c>
      <c r="EL144">
        <v>0.27</v>
      </c>
      <c r="EM144">
        <v>-5.63</v>
      </c>
      <c r="EN144">
        <v>-3.13</v>
      </c>
      <c r="EO144">
        <v>1.76</v>
      </c>
      <c r="EP144">
        <v>-3.46</v>
      </c>
    </row>
    <row r="145" spans="1:146" ht="96">
      <c r="C145" s="7" t="str">
        <f>""&amp;CHAR(10)&amp;Basic_Fundamental_Information_Constructure(F145)&amp;CHAR(10)&amp;Basic_Fundamental_Information_Concatenate("")</f>
        <v xml:space="preserve">
市值45.675亿, 利润1.50亿; PE42.62; 平均PE66.22; 平均PEG2.44, PB3.12; ROIC15.18%; ROE20.085%; 股利率1.9048%; 毛利36.3933%; 净利18.3%; 上一年度营收增64%, 利润增65.03%; 当季营收增-21.23%, 利润增23.32%; 过往5年营收增27.14%, 利润增38.83%
Income profile:
</v>
      </c>
      <c r="D145" t="s">
        <v>1965</v>
      </c>
      <c r="E145" t="s">
        <v>2035</v>
      </c>
      <c r="F145">
        <v>52.5</v>
      </c>
      <c r="G145">
        <v>-2.96</v>
      </c>
      <c r="H145" t="s">
        <v>5653</v>
      </c>
      <c r="I145">
        <v>4567500000</v>
      </c>
      <c r="J145">
        <v>42.62</v>
      </c>
      <c r="K145">
        <v>3.12</v>
      </c>
      <c r="L145" t="s">
        <v>85</v>
      </c>
      <c r="M145" t="s">
        <v>509</v>
      </c>
      <c r="N145" t="s">
        <v>5654</v>
      </c>
      <c r="O145" t="s">
        <v>109</v>
      </c>
      <c r="P145">
        <v>0.11</v>
      </c>
      <c r="Q145" t="s">
        <v>988</v>
      </c>
      <c r="R145">
        <v>28794123</v>
      </c>
      <c r="S145">
        <v>0.26200000000000001</v>
      </c>
      <c r="T145" t="s">
        <v>104</v>
      </c>
      <c r="U145">
        <v>21750000</v>
      </c>
      <c r="V145">
        <v>87000000</v>
      </c>
      <c r="W145">
        <v>1.1299999999999999</v>
      </c>
      <c r="X145">
        <v>7.0000000000000007E-2</v>
      </c>
      <c r="Y145">
        <v>25.1</v>
      </c>
      <c r="Z145" t="s">
        <v>5655</v>
      </c>
      <c r="AA145" t="s">
        <v>5656</v>
      </c>
      <c r="AB145" t="s">
        <v>5657</v>
      </c>
      <c r="AC145" t="s">
        <v>5658</v>
      </c>
      <c r="AD145" t="s">
        <v>90</v>
      </c>
      <c r="AE145">
        <v>-504754</v>
      </c>
      <c r="AF145" t="s">
        <v>3008</v>
      </c>
      <c r="AG145">
        <v>8800.17</v>
      </c>
      <c r="AH145" t="s">
        <v>3009</v>
      </c>
      <c r="AI145" t="s">
        <v>1847</v>
      </c>
      <c r="AJ145" t="s">
        <v>3010</v>
      </c>
      <c r="AK145" t="s">
        <v>5659</v>
      </c>
      <c r="AL145" t="s">
        <v>3011</v>
      </c>
      <c r="AM145" t="s">
        <v>90</v>
      </c>
      <c r="AN145" t="s">
        <v>5660</v>
      </c>
      <c r="AO145" t="s">
        <v>90</v>
      </c>
      <c r="AP145" t="s">
        <v>5661</v>
      </c>
      <c r="AQ145" t="s">
        <v>210</v>
      </c>
      <c r="AR145" t="s">
        <v>90</v>
      </c>
      <c r="AS145" t="s">
        <v>107</v>
      </c>
      <c r="AT145" t="s">
        <v>90</v>
      </c>
      <c r="AU145" t="s">
        <v>5662</v>
      </c>
      <c r="AV145" t="s">
        <v>2292</v>
      </c>
      <c r="AW145" t="s">
        <v>90</v>
      </c>
      <c r="AX145" t="s">
        <v>891</v>
      </c>
      <c r="AY145" t="s">
        <v>820</v>
      </c>
      <c r="AZ145" t="s">
        <v>1042</v>
      </c>
      <c r="BA145" t="s">
        <v>452</v>
      </c>
      <c r="BB145" t="s">
        <v>226</v>
      </c>
      <c r="BC145" t="s">
        <v>1966</v>
      </c>
      <c r="BD145" t="s">
        <v>1967</v>
      </c>
      <c r="BE145" t="s">
        <v>1968</v>
      </c>
      <c r="BF145" t="s">
        <v>1969</v>
      </c>
      <c r="BG145" t="s">
        <v>1970</v>
      </c>
      <c r="BH145" t="s">
        <v>587</v>
      </c>
      <c r="BI145" t="s">
        <v>261</v>
      </c>
      <c r="BJ145" t="s">
        <v>891</v>
      </c>
      <c r="BK145" t="s">
        <v>210</v>
      </c>
      <c r="BL145" t="s">
        <v>5663</v>
      </c>
      <c r="BM145" t="s">
        <v>1966</v>
      </c>
      <c r="BN145">
        <v>8.3800000000000008</v>
      </c>
      <c r="BO145">
        <v>20.14</v>
      </c>
      <c r="BP145">
        <v>17.02</v>
      </c>
      <c r="BQ145">
        <v>16.95</v>
      </c>
      <c r="BR145">
        <v>23.22</v>
      </c>
      <c r="BS145" t="s">
        <v>90</v>
      </c>
      <c r="BT145" t="s">
        <v>3012</v>
      </c>
      <c r="BU145" t="s">
        <v>1337</v>
      </c>
      <c r="BV145">
        <v>38.9</v>
      </c>
      <c r="BW145">
        <v>36.4</v>
      </c>
      <c r="BX145">
        <v>33.880000000000003</v>
      </c>
      <c r="BY145">
        <v>19.25</v>
      </c>
      <c r="BZ145">
        <v>20.21</v>
      </c>
      <c r="CA145">
        <v>15.44</v>
      </c>
      <c r="CB145">
        <v>-1.0900000000000001</v>
      </c>
      <c r="CC145" s="8">
        <v>15.32</v>
      </c>
      <c r="CD145" s="9" t="s">
        <v>5664</v>
      </c>
      <c r="CE145" s="8" t="s">
        <v>5665</v>
      </c>
      <c r="CF145" s="8">
        <v>-0.21232876712328777</v>
      </c>
      <c r="CG145" s="8">
        <v>0.23315301927194862</v>
      </c>
      <c r="CH145" s="8">
        <v>0.63999998569488525</v>
      </c>
      <c r="CI145" s="8">
        <v>9.4890512526035309E-2</v>
      </c>
      <c r="CJ145" s="9">
        <v>0.27244582772254944</v>
      </c>
      <c r="CK145" s="9">
        <v>0.25193798542022705</v>
      </c>
      <c r="CL145" s="9">
        <v>9.7872339189052582E-2</v>
      </c>
      <c r="CM145" s="9">
        <v>0.65025770664215088</v>
      </c>
      <c r="CN145" s="9">
        <v>0.43732568621635437</v>
      </c>
      <c r="CO145">
        <v>0.37244939804077148</v>
      </c>
      <c r="CP145">
        <v>0.38228189945220947</v>
      </c>
      <c r="CQ145">
        <v>9.9361836910247803E-2</v>
      </c>
      <c r="CR145" s="8">
        <v>66.216924760853132</v>
      </c>
      <c r="CS145" s="9">
        <v>2.4395640933086993</v>
      </c>
      <c r="CT145">
        <v>1.9047619047619047</v>
      </c>
      <c r="CU145">
        <v>0.27142933011054993</v>
      </c>
      <c r="CV145">
        <v>0.38833530545234679</v>
      </c>
      <c r="CW145">
        <v>0.06</v>
      </c>
      <c r="CX145">
        <v>18.411037702974806</v>
      </c>
      <c r="CY145">
        <v>179919244.82696459</v>
      </c>
      <c r="CZ145">
        <v>0.27142933011054993</v>
      </c>
      <c r="DA145">
        <v>5.1768097658474543</v>
      </c>
      <c r="DB145">
        <v>639872846.37215889</v>
      </c>
      <c r="DC145">
        <v>0.25785786360502244</v>
      </c>
      <c r="DD145">
        <v>2.0588520327558353</v>
      </c>
      <c r="DE145">
        <v>1608906296.9552598</v>
      </c>
      <c r="DF145">
        <v>0.23885781049728394</v>
      </c>
      <c r="DG145">
        <v>0.95536057610610725</v>
      </c>
      <c r="DH145">
        <v>3467277259.3372083</v>
      </c>
      <c r="DI145">
        <v>0.21714346408843996</v>
      </c>
      <c r="DJ145">
        <v>0.2647654950796608</v>
      </c>
      <c r="DK145">
        <v>12511071350.152172</v>
      </c>
      <c r="DL145">
        <v>0.19000053107738493</v>
      </c>
      <c r="DM145">
        <v>150000000</v>
      </c>
      <c r="DN145">
        <v>0.27142933011054993</v>
      </c>
      <c r="DO145">
        <v>3312500000</v>
      </c>
      <c r="DP145">
        <v>1267675500</v>
      </c>
      <c r="DQ145" s="10">
        <v>2829</v>
      </c>
      <c r="DR145">
        <v>-0.48375809723383767</v>
      </c>
      <c r="DS145">
        <v>-0.15518228618039817</v>
      </c>
      <c r="DT145">
        <v>0.14333333333333331</v>
      </c>
      <c r="DU145">
        <v>0.95333333333333348</v>
      </c>
      <c r="DV145">
        <v>1.0966666666666667</v>
      </c>
      <c r="DW145">
        <v>2.1532</v>
      </c>
      <c r="DX145">
        <v>0.36363019387139017</v>
      </c>
      <c r="DY145">
        <v>2.0204721457010968</v>
      </c>
      <c r="DZ145">
        <v>1866</v>
      </c>
      <c r="EA145">
        <v>2.0129964071730644</v>
      </c>
      <c r="EB145" s="11">
        <v>2</v>
      </c>
      <c r="EC145" s="11">
        <v>0.13445977011494253</v>
      </c>
      <c r="ED145">
        <v>1.0062080459770115</v>
      </c>
      <c r="EE145">
        <v>27.0185</v>
      </c>
      <c r="EF145">
        <v>27.01211</v>
      </c>
      <c r="EG145">
        <v>23.13363019387139</v>
      </c>
      <c r="EH145" s="13" t="s">
        <v>5666</v>
      </c>
      <c r="EI145">
        <v>1</v>
      </c>
      <c r="EJ145">
        <v>0</v>
      </c>
      <c r="EK145">
        <v>45470</v>
      </c>
      <c r="EL145">
        <v>1.61</v>
      </c>
      <c r="EM145">
        <v>-4.37</v>
      </c>
      <c r="EN145">
        <v>0.61</v>
      </c>
      <c r="EO145">
        <v>8.9600000000000009</v>
      </c>
      <c r="EP145">
        <v>-3.06</v>
      </c>
    </row>
    <row r="146" spans="1:146" ht="96">
      <c r="C146" s="7" t="str">
        <f>""&amp;CHAR(10)&amp;Basic_Fundamental_Information_Constructure(F146)&amp;CHAR(10)&amp;Basic_Fundamental_Information_Concatenate("")</f>
        <v xml:space="preserve">
市值84.6亿, 利润2.06亿; PE19.92; 平均PE21.54; 平均PEG4.92, PB1.79; ROIC19.6333%; ROE25.105%; 股利率3.1915%; 毛利19.6667%; 净利10.8433%; 上一年度营收增-57.54%, 利润增-70.9%; 当季营收增30.04%, 利润增-21.49%; 过往5年营收增-4.37%, 利润增4.48%
Income profile:
</v>
      </c>
      <c r="D146" t="s">
        <v>1971</v>
      </c>
      <c r="E146" t="s">
        <v>1972</v>
      </c>
      <c r="F146">
        <v>14.1</v>
      </c>
      <c r="G146">
        <v>-7.0000000000000007E-2</v>
      </c>
      <c r="H146" t="s">
        <v>5667</v>
      </c>
      <c r="I146">
        <v>8460000000</v>
      </c>
      <c r="J146">
        <v>19.920000000000002</v>
      </c>
      <c r="K146">
        <v>1.79</v>
      </c>
      <c r="L146" t="s">
        <v>85</v>
      </c>
      <c r="M146" t="s">
        <v>2040</v>
      </c>
      <c r="N146" t="s">
        <v>3013</v>
      </c>
      <c r="O146" t="s">
        <v>1407</v>
      </c>
      <c r="P146">
        <v>-56.34</v>
      </c>
      <c r="Q146" t="s">
        <v>5668</v>
      </c>
      <c r="R146">
        <v>52033709</v>
      </c>
      <c r="S146">
        <v>-0.76690000000000003</v>
      </c>
      <c r="T146" t="s">
        <v>653</v>
      </c>
      <c r="U146">
        <v>90000000</v>
      </c>
      <c r="V146">
        <v>600000000</v>
      </c>
      <c r="W146">
        <v>1.17</v>
      </c>
      <c r="X146">
        <v>0.11</v>
      </c>
      <c r="Y146">
        <v>8.18</v>
      </c>
      <c r="Z146" t="s">
        <v>646</v>
      </c>
      <c r="AA146" t="s">
        <v>453</v>
      </c>
      <c r="AB146" t="s">
        <v>3014</v>
      </c>
      <c r="AC146" t="s">
        <v>3015</v>
      </c>
      <c r="AD146" t="s">
        <v>90</v>
      </c>
      <c r="AE146">
        <v>-37833361</v>
      </c>
      <c r="AF146" t="s">
        <v>3016</v>
      </c>
      <c r="AG146" t="s">
        <v>5669</v>
      </c>
      <c r="AH146" t="s">
        <v>3017</v>
      </c>
      <c r="AI146" t="s">
        <v>5670</v>
      </c>
      <c r="AJ146" t="s">
        <v>3018</v>
      </c>
      <c r="AK146" t="s">
        <v>5671</v>
      </c>
      <c r="AL146" t="s">
        <v>3019</v>
      </c>
      <c r="AM146" t="s">
        <v>90</v>
      </c>
      <c r="AN146" t="s">
        <v>5672</v>
      </c>
      <c r="AO146" t="s">
        <v>90</v>
      </c>
      <c r="AP146" t="s">
        <v>5673</v>
      </c>
      <c r="AQ146" t="s">
        <v>753</v>
      </c>
      <c r="AR146" t="s">
        <v>5674</v>
      </c>
      <c r="AS146" t="s">
        <v>1861</v>
      </c>
      <c r="AT146" t="s">
        <v>90</v>
      </c>
      <c r="AU146" t="s">
        <v>5675</v>
      </c>
      <c r="AV146" t="s">
        <v>5676</v>
      </c>
      <c r="AW146" t="s">
        <v>5677</v>
      </c>
      <c r="AX146" t="s">
        <v>1973</v>
      </c>
      <c r="AY146" t="s">
        <v>4777</v>
      </c>
      <c r="AZ146" t="s">
        <v>2092</v>
      </c>
      <c r="BA146" t="s">
        <v>5678</v>
      </c>
      <c r="BB146" t="s">
        <v>5679</v>
      </c>
      <c r="BC146" t="s">
        <v>1570</v>
      </c>
      <c r="BD146" t="s">
        <v>162</v>
      </c>
      <c r="BE146" t="s">
        <v>190</v>
      </c>
      <c r="BF146" t="s">
        <v>148</v>
      </c>
      <c r="BG146" t="s">
        <v>2093</v>
      </c>
      <c r="BH146" t="s">
        <v>5680</v>
      </c>
      <c r="BI146" t="s">
        <v>454</v>
      </c>
      <c r="BJ146" t="s">
        <v>1973</v>
      </c>
      <c r="BK146" t="s">
        <v>1577</v>
      </c>
      <c r="BL146" t="s">
        <v>5681</v>
      </c>
      <c r="BM146" t="s">
        <v>1570</v>
      </c>
      <c r="BN146">
        <v>11.01</v>
      </c>
      <c r="BO146">
        <v>30.18</v>
      </c>
      <c r="BP146">
        <v>17.71</v>
      </c>
      <c r="BQ146">
        <v>17.54</v>
      </c>
      <c r="BR146">
        <v>32.67</v>
      </c>
      <c r="BS146" t="s">
        <v>90</v>
      </c>
      <c r="BT146" t="s">
        <v>3007</v>
      </c>
      <c r="BU146" t="s">
        <v>1337</v>
      </c>
      <c r="BV146">
        <v>21.24</v>
      </c>
      <c r="BW146">
        <v>22.81</v>
      </c>
      <c r="BX146">
        <v>14.95</v>
      </c>
      <c r="BY146">
        <v>12.7</v>
      </c>
      <c r="BZ146">
        <v>12.45</v>
      </c>
      <c r="CA146">
        <v>7.38</v>
      </c>
      <c r="CB146">
        <v>-3.23</v>
      </c>
      <c r="CC146" s="8">
        <v>-9.85</v>
      </c>
      <c r="CD146" s="9" t="s">
        <v>5682</v>
      </c>
      <c r="CE146" s="8" t="s">
        <v>5683</v>
      </c>
      <c r="CF146" s="8">
        <v>0.30042016806722688</v>
      </c>
      <c r="CG146" s="8">
        <v>-0.21493865400921539</v>
      </c>
      <c r="CH146" s="8">
        <v>-0.57537460327148438</v>
      </c>
      <c r="CI146" s="8">
        <v>0.33437719941139221</v>
      </c>
      <c r="CJ146" s="9">
        <v>0.46316537261009216</v>
      </c>
      <c r="CK146" s="9">
        <v>-0.32883843779563904</v>
      </c>
      <c r="CL146" s="9">
        <v>-0.11197477579116821</v>
      </c>
      <c r="CM146" s="9">
        <v>-0.70903956890106201</v>
      </c>
      <c r="CN146" s="9">
        <v>1.2838709354400635</v>
      </c>
      <c r="CO146">
        <v>0.23505976796150208</v>
      </c>
      <c r="CP146">
        <v>-0.33597883582115173</v>
      </c>
      <c r="CQ146">
        <v>-0.25</v>
      </c>
      <c r="CR146" s="8">
        <v>21.535850657615615</v>
      </c>
      <c r="CS146" s="9">
        <v>4.9248385606761254</v>
      </c>
      <c r="CT146">
        <v>3.1914893617021276</v>
      </c>
      <c r="CU146">
        <v>-4.3729048967361447E-2</v>
      </c>
      <c r="CV146">
        <v>4.4782459735870361E-2</v>
      </c>
      <c r="CW146">
        <v>0.06</v>
      </c>
      <c r="CX146">
        <v>22.631067961165048</v>
      </c>
      <c r="CY146" t="s">
        <v>5684</v>
      </c>
      <c r="CZ146">
        <v>-4.3729048967361447E-2</v>
      </c>
      <c r="DA146">
        <v>7.5436893203883493</v>
      </c>
      <c r="DB146" t="s">
        <v>5685</v>
      </c>
      <c r="DC146">
        <v>-4.154259651899337E-2</v>
      </c>
      <c r="DD146">
        <v>3.7718446601941746</v>
      </c>
      <c r="DE146" t="s">
        <v>5686</v>
      </c>
      <c r="DF146">
        <v>-3.8481563091278072E-2</v>
      </c>
      <c r="DG146">
        <v>2.2631067961165048</v>
      </c>
      <c r="DH146" t="s">
        <v>5687</v>
      </c>
      <c r="DI146">
        <v>-3.4983239173889159E-2</v>
      </c>
      <c r="DJ146">
        <v>1.1315533980582524</v>
      </c>
      <c r="DK146" t="s">
        <v>5688</v>
      </c>
      <c r="DL146">
        <v>-3.0610334277153012E-2</v>
      </c>
      <c r="DM146">
        <v>206000000</v>
      </c>
      <c r="DN146">
        <v>-4.3729048967361447E-2</v>
      </c>
      <c r="DO146">
        <v>4662000000</v>
      </c>
      <c r="DP146">
        <v>4142945700</v>
      </c>
      <c r="DQ146" s="10">
        <v>2833</v>
      </c>
      <c r="DR146">
        <v>0.34414921703458834</v>
      </c>
      <c r="DS146">
        <v>-0.25972111374508577</v>
      </c>
      <c r="DT146">
        <v>-0.44</v>
      </c>
      <c r="DU146">
        <v>-0.33666666666666661</v>
      </c>
      <c r="DV146">
        <v>-0.77666666666666662</v>
      </c>
      <c r="DW146">
        <v>-8.327918781725888</v>
      </c>
      <c r="DX146">
        <v>0.3877240106813058</v>
      </c>
      <c r="DY146">
        <v>-8.0353247263452392</v>
      </c>
      <c r="DZ146">
        <v>3055</v>
      </c>
      <c r="EA146">
        <v>-8.0142059320233798</v>
      </c>
      <c r="EB146" s="11">
        <v>8</v>
      </c>
      <c r="EC146" s="11">
        <v>7.7454999999999998E-3</v>
      </c>
      <c r="ED146">
        <v>7.1901333333333331E-2</v>
      </c>
      <c r="EE146">
        <v>19.065809999999999</v>
      </c>
      <c r="EF146">
        <v>19.084409999999998</v>
      </c>
      <c r="EG146">
        <v>28.107724010681306</v>
      </c>
      <c r="EH146" s="13" t="s">
        <v>3020</v>
      </c>
      <c r="EI146">
        <v>0</v>
      </c>
      <c r="EJ146">
        <v>0</v>
      </c>
      <c r="EK146">
        <v>45470</v>
      </c>
      <c r="EL146">
        <v>-1.92</v>
      </c>
      <c r="EM146">
        <v>-6.22</v>
      </c>
      <c r="EN146">
        <v>0.12</v>
      </c>
      <c r="EO146">
        <v>5.77</v>
      </c>
      <c r="EP146">
        <v>-1.86</v>
      </c>
    </row>
    <row r="147" spans="1:146" ht="108">
      <c r="C147" s="7" t="str">
        <f>""&amp;CHAR(10)&amp;Basic_Fundamental_Information_Constructure(F147)&amp;CHAR(10)&amp;Basic_Fundamental_Information_Concatenate("")</f>
        <v xml:space="preserve">
市值42.049577亿, 利润367.02亿; PE42.88; 平均PE.57; 平均PEG0, PB5.57; ROIC19.885%; ROE0%; 股利率0%; 毛利29.52%; 净利14.46%; 上一年度营收增29445.83%, 利润增48911.61%; 当季营收增-99.73%, 利润增-99.66%; 过往5年营收增7374.47%, 利润增12260.81%
Income profile:
</v>
      </c>
      <c r="D147" t="s">
        <v>3021</v>
      </c>
      <c r="E147" t="s">
        <v>3022</v>
      </c>
      <c r="F147">
        <v>76.290000000000006</v>
      </c>
      <c r="G147">
        <v>-12.42</v>
      </c>
      <c r="H147" t="s">
        <v>5689</v>
      </c>
      <c r="I147">
        <v>4204957700</v>
      </c>
      <c r="J147">
        <v>42.88</v>
      </c>
      <c r="K147">
        <v>5.57</v>
      </c>
      <c r="L147" t="s">
        <v>85</v>
      </c>
      <c r="M147" t="s">
        <v>444</v>
      </c>
      <c r="N147" t="s">
        <v>449</v>
      </c>
      <c r="O147" t="s">
        <v>175</v>
      </c>
      <c r="P147" s="5">
        <v>-2.31</v>
      </c>
      <c r="Q147" t="s">
        <v>5690</v>
      </c>
      <c r="R147">
        <v>54175100</v>
      </c>
      <c r="S147">
        <v>6.3600000000000004E-2</v>
      </c>
      <c r="T147" t="s">
        <v>5691</v>
      </c>
      <c r="U147">
        <v>13779518</v>
      </c>
      <c r="V147">
        <v>55118072</v>
      </c>
      <c r="W147">
        <v>1.54</v>
      </c>
      <c r="X147">
        <v>0.18</v>
      </c>
      <c r="Y147">
        <v>19.04</v>
      </c>
      <c r="Z147" t="s">
        <v>121</v>
      </c>
      <c r="AA147" t="s">
        <v>3023</v>
      </c>
      <c r="AB147" t="s">
        <v>3024</v>
      </c>
      <c r="AC147" t="s">
        <v>3025</v>
      </c>
      <c r="AD147" t="s">
        <v>90</v>
      </c>
      <c r="AE147">
        <v>92375</v>
      </c>
      <c r="AF147" t="s">
        <v>182</v>
      </c>
      <c r="AG147" t="s">
        <v>5692</v>
      </c>
      <c r="AH147" t="s">
        <v>3026</v>
      </c>
      <c r="AI147" t="s">
        <v>249</v>
      </c>
      <c r="AJ147" t="s">
        <v>3027</v>
      </c>
      <c r="AK147" t="s">
        <v>5693</v>
      </c>
      <c r="AL147" t="s">
        <v>3028</v>
      </c>
      <c r="AM147" t="s">
        <v>706</v>
      </c>
      <c r="AN147" t="s">
        <v>5694</v>
      </c>
      <c r="AO147" t="s">
        <v>5695</v>
      </c>
      <c r="AP147" t="s">
        <v>90</v>
      </c>
      <c r="AQ147" t="s">
        <v>5696</v>
      </c>
      <c r="AR147" t="s">
        <v>90</v>
      </c>
      <c r="AS147" t="s">
        <v>685</v>
      </c>
      <c r="AT147" t="s">
        <v>5697</v>
      </c>
      <c r="AU147" t="s">
        <v>5698</v>
      </c>
      <c r="AV147" t="s">
        <v>5699</v>
      </c>
      <c r="AW147" t="s">
        <v>5700</v>
      </c>
      <c r="AX147" t="s">
        <v>994</v>
      </c>
      <c r="AY147" t="s">
        <v>1396</v>
      </c>
      <c r="AZ147" t="s">
        <v>257</v>
      </c>
      <c r="BA147" t="s">
        <v>1460</v>
      </c>
      <c r="BB147" t="s">
        <v>90</v>
      </c>
      <c r="BC147" t="s">
        <v>3029</v>
      </c>
      <c r="BD147" t="s">
        <v>5701</v>
      </c>
      <c r="BE147" t="s">
        <v>5702</v>
      </c>
      <c r="BF147" t="s">
        <v>5703</v>
      </c>
      <c r="BG147" t="s">
        <v>90</v>
      </c>
      <c r="BH147" t="s">
        <v>2016</v>
      </c>
      <c r="BI147" t="s">
        <v>5704</v>
      </c>
      <c r="BJ147" t="s">
        <v>994</v>
      </c>
      <c r="BK147" t="s">
        <v>5705</v>
      </c>
      <c r="BL147" t="s">
        <v>5706</v>
      </c>
      <c r="BM147" t="s">
        <v>3029</v>
      </c>
      <c r="BN147" t="s">
        <v>90</v>
      </c>
      <c r="BO147">
        <v>19.54</v>
      </c>
      <c r="BP147">
        <v>20.23</v>
      </c>
      <c r="BQ147" t="s">
        <v>90</v>
      </c>
      <c r="BR147" t="s">
        <v>90</v>
      </c>
      <c r="BS147" t="s">
        <v>90</v>
      </c>
      <c r="BT147" t="s">
        <v>90</v>
      </c>
      <c r="BU147" t="s">
        <v>1381</v>
      </c>
      <c r="BV147">
        <v>32.880000000000003</v>
      </c>
      <c r="BW147">
        <v>28.38</v>
      </c>
      <c r="BX147">
        <v>27.3</v>
      </c>
      <c r="BY147">
        <v>17.23</v>
      </c>
      <c r="BZ147">
        <v>13.88</v>
      </c>
      <c r="CA147">
        <v>12.27</v>
      </c>
      <c r="CB147">
        <v>-8.3800000000000008</v>
      </c>
      <c r="CC147" s="8">
        <v>-44.6</v>
      </c>
      <c r="CD147" s="9" t="s">
        <v>5707</v>
      </c>
      <c r="CE147" s="8" t="s">
        <v>253</v>
      </c>
      <c r="CF147" s="8">
        <v>-0.99727531770627509</v>
      </c>
      <c r="CG147" s="8">
        <v>-0.99657791042890531</v>
      </c>
      <c r="CH147" s="8">
        <v>294.458251953125</v>
      </c>
      <c r="CI147" s="8">
        <v>3.5273369401693344E-2</v>
      </c>
      <c r="CJ147" s="9">
        <v>0.3829268217086792</v>
      </c>
      <c r="CK147" s="9">
        <v>0.10215053707361221</v>
      </c>
      <c r="CL147" s="9" t="s">
        <v>90</v>
      </c>
      <c r="CM147" s="9">
        <v>489.11605834960937</v>
      </c>
      <c r="CN147" s="9">
        <v>0.15219029784202576</v>
      </c>
      <c r="CO147">
        <v>0.38256797194480896</v>
      </c>
      <c r="CP147">
        <v>0.78170645236968994</v>
      </c>
      <c r="CQ147" t="s">
        <v>90</v>
      </c>
      <c r="CR147" s="8">
        <v>0.56954177152661467</v>
      </c>
      <c r="CS147" s="9">
        <v>7.7231604780763046E-5</v>
      </c>
      <c r="CT147">
        <v>0</v>
      </c>
      <c r="CU147">
        <v>73.744650670327246</v>
      </c>
      <c r="CV147">
        <v>122.60813076794147</v>
      </c>
      <c r="CW147">
        <v>0.06</v>
      </c>
      <c r="CX147">
        <v>1.5351469675002202E-3</v>
      </c>
      <c r="CY147">
        <v>2587998272549.3872</v>
      </c>
      <c r="CZ147">
        <v>73.744650670327246</v>
      </c>
      <c r="DA147">
        <v>3.5398721388536189E-7</v>
      </c>
      <c r="DB147">
        <v>1.1223449729703048E+16</v>
      </c>
      <c r="DC147">
        <v>70.057418136810881</v>
      </c>
      <c r="DD147">
        <v>1.8453984101269591E-12</v>
      </c>
      <c r="DE147">
        <v>2.152899708917962E+21</v>
      </c>
      <c r="DF147">
        <v>64.895292589887973</v>
      </c>
      <c r="DG147">
        <v>3.1516534125085026E-19</v>
      </c>
      <c r="DH147">
        <v>1.2605947355225824E+28</v>
      </c>
      <c r="DI147">
        <v>58.9957205362618</v>
      </c>
      <c r="DJ147">
        <v>1.2837477130669078E-35</v>
      </c>
      <c r="DK147">
        <v>3.0948119007811099E+44</v>
      </c>
      <c r="DL147">
        <v>51.621255469229069</v>
      </c>
      <c r="DM147">
        <v>36702000000</v>
      </c>
      <c r="DN147">
        <v>73.744650670327246</v>
      </c>
      <c r="DO147">
        <v>3972957700</v>
      </c>
      <c r="DP147">
        <v>311229120</v>
      </c>
      <c r="DQ147" s="10">
        <v>2845</v>
      </c>
      <c r="DR147">
        <v>-74.741925988033515</v>
      </c>
      <c r="DS147">
        <v>-123.60470867837039</v>
      </c>
      <c r="DT147">
        <v>-8.0000000000000054E-3</v>
      </c>
      <c r="DU147">
        <v>0.45200000000000007</v>
      </c>
      <c r="DV147">
        <v>0.44400000000000006</v>
      </c>
      <c r="DW147">
        <v>-9.1878923766816136</v>
      </c>
      <c r="DX147">
        <v>0.55709349593496249</v>
      </c>
      <c r="DY147">
        <v>-9.0257588227788101</v>
      </c>
      <c r="DZ147" t="s">
        <v>1729</v>
      </c>
      <c r="EA147" t="e">
        <v>#VALUE!</v>
      </c>
      <c r="EB147" s="11" t="e">
        <v>#VALUE!</v>
      </c>
      <c r="EC147" s="11">
        <v>0.30593414080231252</v>
      </c>
      <c r="ED147">
        <v>2.2315729766454822</v>
      </c>
      <c r="EE147">
        <v>31.017910000000001</v>
      </c>
      <c r="EF147">
        <v>31.056709999999999</v>
      </c>
      <c r="EG147">
        <v>42.137093495934963</v>
      </c>
      <c r="EH147" s="13" t="s">
        <v>5708</v>
      </c>
      <c r="EI147" t="e">
        <v>#VALUE!</v>
      </c>
      <c r="EJ147">
        <v>0</v>
      </c>
      <c r="EK147">
        <v>45470</v>
      </c>
      <c r="EL147">
        <v>-4.6399999999999997</v>
      </c>
      <c r="EM147">
        <v>-7.29</v>
      </c>
      <c r="EN147">
        <v>0.45</v>
      </c>
      <c r="EO147">
        <v>3.44</v>
      </c>
      <c r="EP147">
        <v>-3.88</v>
      </c>
    </row>
    <row r="148" spans="1:146" ht="108">
      <c r="A148" s="7"/>
      <c r="B148" s="7"/>
      <c r="C148" s="7" t="str">
        <f>""&amp;CHAR(10)&amp;Basic_Fundamental_Information_Constructure(F148)&amp;CHAR(10)&amp;Basic_Fundamental_Information_Concatenate("")</f>
        <v xml:space="preserve">
市值81.670811亿, 利润-81.68亿; PE31.44; 平均PE-2.04; 平均PEG0, PB3.13; ROIC3.6833%; ROE3.81%; 股利率1.5094%; 毛利22.14%; 净利3.5667%; 上一年度营收增2952.63%, 利润增-5335.9%; 当季营收增-95.05%, 利润增102.11%; 过往5年营收增1005.73%, 利润增-5335.9%
Income profile:
</v>
      </c>
      <c r="D148" t="s">
        <v>1171</v>
      </c>
      <c r="E148" t="s">
        <v>1172</v>
      </c>
      <c r="F148">
        <v>13.25</v>
      </c>
      <c r="G148">
        <v>0.68</v>
      </c>
      <c r="H148" t="s">
        <v>5709</v>
      </c>
      <c r="I148">
        <v>8167081100</v>
      </c>
      <c r="J148">
        <v>31.44</v>
      </c>
      <c r="K148">
        <v>3.13</v>
      </c>
      <c r="L148" t="s">
        <v>85</v>
      </c>
      <c r="M148" t="s">
        <v>3030</v>
      </c>
      <c r="N148" t="s">
        <v>5710</v>
      </c>
      <c r="O148" t="s">
        <v>2723</v>
      </c>
      <c r="P148">
        <v>37.42</v>
      </c>
      <c r="Q148" t="s">
        <v>5711</v>
      </c>
      <c r="R148">
        <v>81171485</v>
      </c>
      <c r="S148" s="5">
        <v>3.2080000000000002</v>
      </c>
      <c r="T148" t="s">
        <v>5712</v>
      </c>
      <c r="U148">
        <v>616383480</v>
      </c>
      <c r="V148">
        <v>616383480</v>
      </c>
      <c r="W148">
        <v>2.2799999999999998</v>
      </c>
      <c r="X148" t="s">
        <v>90</v>
      </c>
      <c r="Y148">
        <v>8.0399999999999991</v>
      </c>
      <c r="Z148" t="s">
        <v>90</v>
      </c>
      <c r="AA148" t="s">
        <v>90</v>
      </c>
      <c r="AB148" t="s">
        <v>90</v>
      </c>
      <c r="AC148" t="s">
        <v>90</v>
      </c>
      <c r="AD148" t="s">
        <v>90</v>
      </c>
      <c r="AE148">
        <v>27679748</v>
      </c>
      <c r="AF148" t="s">
        <v>3032</v>
      </c>
      <c r="AG148" t="s">
        <v>5713</v>
      </c>
      <c r="AH148" t="s">
        <v>3033</v>
      </c>
      <c r="AI148" t="s">
        <v>483</v>
      </c>
      <c r="AJ148" t="s">
        <v>3034</v>
      </c>
      <c r="AK148" t="s">
        <v>90</v>
      </c>
      <c r="AL148" t="s">
        <v>3035</v>
      </c>
      <c r="AM148" t="s">
        <v>90</v>
      </c>
      <c r="AN148" t="s">
        <v>856</v>
      </c>
      <c r="AO148" t="s">
        <v>90</v>
      </c>
      <c r="AP148" t="s">
        <v>5714</v>
      </c>
      <c r="AQ148" t="s">
        <v>1146</v>
      </c>
      <c r="AR148" t="s">
        <v>5715</v>
      </c>
      <c r="AS148" t="s">
        <v>90</v>
      </c>
      <c r="AT148" t="s">
        <v>90</v>
      </c>
      <c r="AU148" t="s">
        <v>5716</v>
      </c>
      <c r="AV148" t="s">
        <v>5717</v>
      </c>
      <c r="AW148" t="s">
        <v>5718</v>
      </c>
      <c r="AX148" t="s">
        <v>1974</v>
      </c>
      <c r="AY148" t="s">
        <v>90</v>
      </c>
      <c r="AZ148" t="s">
        <v>1173</v>
      </c>
      <c r="BA148" t="s">
        <v>427</v>
      </c>
      <c r="BB148" t="s">
        <v>952</v>
      </c>
      <c r="BC148" t="s">
        <v>192</v>
      </c>
      <c r="BD148" t="s">
        <v>90</v>
      </c>
      <c r="BE148" t="s">
        <v>90</v>
      </c>
      <c r="BF148" t="s">
        <v>90</v>
      </c>
      <c r="BG148" t="s">
        <v>90</v>
      </c>
      <c r="BH148" t="s">
        <v>3031</v>
      </c>
      <c r="BI148" t="s">
        <v>5719</v>
      </c>
      <c r="BJ148" t="s">
        <v>1974</v>
      </c>
      <c r="BK148" t="s">
        <v>170</v>
      </c>
      <c r="BL148" t="s">
        <v>5720</v>
      </c>
      <c r="BM148" t="s">
        <v>192</v>
      </c>
      <c r="BN148">
        <v>3.13</v>
      </c>
      <c r="BO148">
        <v>5.36</v>
      </c>
      <c r="BP148">
        <v>2.56</v>
      </c>
      <c r="BQ148">
        <v>4.2300000000000004</v>
      </c>
      <c r="BR148">
        <v>6.21</v>
      </c>
      <c r="BS148">
        <v>0.99</v>
      </c>
      <c r="BT148" t="s">
        <v>3036</v>
      </c>
      <c r="BU148" t="s">
        <v>1337</v>
      </c>
      <c r="BV148">
        <v>22.33</v>
      </c>
      <c r="BW148">
        <v>22.05</v>
      </c>
      <c r="BX148">
        <v>22.04</v>
      </c>
      <c r="BY148">
        <v>5.03</v>
      </c>
      <c r="BZ148">
        <v>4.55</v>
      </c>
      <c r="CA148">
        <v>1.1200000000000001</v>
      </c>
      <c r="CB148">
        <v>-7.92</v>
      </c>
      <c r="CC148">
        <v>-7.47</v>
      </c>
      <c r="CD148" t="s">
        <v>5721</v>
      </c>
      <c r="CE148" t="s">
        <v>467</v>
      </c>
      <c r="CF148" s="8">
        <v>-0.95053859964093357</v>
      </c>
      <c r="CG148" s="9">
        <v>1.0211384075520833</v>
      </c>
      <c r="CH148" s="8">
        <v>29.526300430297852</v>
      </c>
      <c r="CI148" s="8" t="s">
        <v>90</v>
      </c>
      <c r="CJ148" s="8" t="s">
        <v>90</v>
      </c>
      <c r="CK148" s="8">
        <v>0.51850152015686035</v>
      </c>
      <c r="CL148" s="8">
        <v>0.12721578776836395</v>
      </c>
      <c r="CM148" s="9">
        <v>-53.358974456787109</v>
      </c>
      <c r="CN148" s="9" t="s">
        <v>90</v>
      </c>
      <c r="CO148" s="9" t="s">
        <v>90</v>
      </c>
      <c r="CP148" s="9" t="s">
        <v>90</v>
      </c>
      <c r="CQ148" s="9" t="s">
        <v>90</v>
      </c>
      <c r="CR148">
        <v>-2.038712206689965</v>
      </c>
      <c r="CS148">
        <v>-2.0270890310135729E-3</v>
      </c>
      <c r="CT148">
        <v>1.5094339622641511</v>
      </c>
      <c r="CU148" s="8">
        <v>10.057339246074358</v>
      </c>
      <c r="CV148" s="9">
        <v>-53.358974456787109</v>
      </c>
      <c r="CW148">
        <v>0.06</v>
      </c>
      <c r="CX148" t="e">
        <v>#VALUE!</v>
      </c>
      <c r="CY148" t="s">
        <v>1391</v>
      </c>
      <c r="CZ148">
        <v>10.057339246074358</v>
      </c>
      <c r="DA148" t="e">
        <v>#VALUE!</v>
      </c>
      <c r="DB148" t="s">
        <v>1391</v>
      </c>
      <c r="DC148">
        <v>9.5544722837706395</v>
      </c>
      <c r="DD148" t="e">
        <v>#VALUE!</v>
      </c>
      <c r="DE148" t="s">
        <v>1391</v>
      </c>
      <c r="DF148">
        <v>8.8504585365454354</v>
      </c>
      <c r="DG148" t="e">
        <v>#VALUE!</v>
      </c>
      <c r="DH148" t="s">
        <v>1391</v>
      </c>
      <c r="DI148">
        <v>8.0458713968594875</v>
      </c>
      <c r="DJ148" t="e">
        <v>#VALUE!</v>
      </c>
      <c r="DK148" t="s">
        <v>1391</v>
      </c>
      <c r="DL148">
        <v>7.0401374722520504</v>
      </c>
      <c r="DM148">
        <v>-8168000000.000001</v>
      </c>
      <c r="DN148">
        <v>10.057339246074358</v>
      </c>
      <c r="DO148">
        <v>9014081100</v>
      </c>
      <c r="DP148">
        <v>2660188600</v>
      </c>
      <c r="DQ148">
        <v>2931</v>
      </c>
      <c r="DR148">
        <v>-11.007877845715292</v>
      </c>
      <c r="DS148">
        <v>54.380112864339196</v>
      </c>
      <c r="DT148" s="10">
        <v>-0.21000000000000008</v>
      </c>
      <c r="DU148">
        <v>-0.92999999999999994</v>
      </c>
      <c r="DV148">
        <v>-1.1400000000000001</v>
      </c>
      <c r="DW148">
        <v>-5.9431818181818183</v>
      </c>
      <c r="DX148">
        <v>0.33695185185185028</v>
      </c>
      <c r="DY148">
        <v>-5.1668977693602693</v>
      </c>
      <c r="DZ148">
        <v>2100</v>
      </c>
      <c r="EA148">
        <v>-5.0983096449656378</v>
      </c>
      <c r="EB148">
        <v>5</v>
      </c>
      <c r="EC148">
        <v>0.13952126036862636</v>
      </c>
      <c r="ED148">
        <v>0.78847019066766688</v>
      </c>
      <c r="EE148" s="11">
        <v>-3.0249999999999999</v>
      </c>
      <c r="EF148">
        <v>-3.0171999999999999</v>
      </c>
      <c r="EG148">
        <v>16.17695185185185</v>
      </c>
      <c r="EH148" t="s">
        <v>2118</v>
      </c>
      <c r="EI148">
        <v>0</v>
      </c>
      <c r="EJ148">
        <v>0</v>
      </c>
      <c r="EK148" s="13">
        <v>45470</v>
      </c>
      <c r="EL148" s="14">
        <v>-2.66</v>
      </c>
      <c r="EM148" s="14">
        <v>-2.09</v>
      </c>
      <c r="EN148">
        <v>0.8</v>
      </c>
      <c r="EO148">
        <v>1.72</v>
      </c>
      <c r="EP148">
        <v>-0.78</v>
      </c>
    </row>
    <row r="149" spans="1:146" ht="96">
      <c r="A149" s="7"/>
      <c r="B149" s="7"/>
      <c r="C149" s="7" t="str">
        <f>""&amp;CHAR(10)&amp;Basic_Fundamental_Information_Constructure(F149)&amp;CHAR(10)&amp;Basic_Fundamental_Information_Concatenate("")</f>
        <v xml:space="preserve">
市值28.266816亿, 利润1.64亿; PE; 平均PE29.02; 平均PEG1.18, PB1.18; ROIC3.53%; ROE-3.17%; 股利率0%; 毛利25.7233%; 净利-15.9367%; 上一年度营收增97.34%, 利润增432.14%; 当季营收增-78.46%, 利润增-259.96%; 过往5年营收增24.5%, 利润增432.14%
Income profile:
</v>
      </c>
      <c r="D149" t="s">
        <v>410</v>
      </c>
      <c r="E149" t="s">
        <v>28</v>
      </c>
      <c r="F149">
        <v>1.96</v>
      </c>
      <c r="G149">
        <v>1.55</v>
      </c>
      <c r="H149" t="s">
        <v>5722</v>
      </c>
      <c r="I149">
        <v>2826681600</v>
      </c>
      <c r="K149">
        <v>1.18</v>
      </c>
      <c r="L149" t="s">
        <v>85</v>
      </c>
      <c r="M149" t="s">
        <v>2151</v>
      </c>
      <c r="N149" t="s">
        <v>5723</v>
      </c>
      <c r="O149" t="s">
        <v>142</v>
      </c>
      <c r="P149">
        <v>-34.51</v>
      </c>
      <c r="Q149" t="s">
        <v>5724</v>
      </c>
      <c r="R149">
        <v>-105861601</v>
      </c>
      <c r="S149" s="5">
        <v>-5.6859999999999999</v>
      </c>
      <c r="T149" t="s">
        <v>422</v>
      </c>
      <c r="U149">
        <v>1276255750</v>
      </c>
      <c r="V149">
        <v>1442184500</v>
      </c>
      <c r="W149">
        <v>3.74</v>
      </c>
      <c r="X149" t="s">
        <v>90</v>
      </c>
      <c r="Y149">
        <v>-32.229999999999997</v>
      </c>
      <c r="Z149" t="s">
        <v>90</v>
      </c>
      <c r="AA149" t="s">
        <v>90</v>
      </c>
      <c r="AB149" t="s">
        <v>90</v>
      </c>
      <c r="AC149" t="s">
        <v>90</v>
      </c>
      <c r="AD149" t="s">
        <v>90</v>
      </c>
      <c r="AE149">
        <v>68210671</v>
      </c>
      <c r="AF149" t="s">
        <v>3038</v>
      </c>
      <c r="AG149" t="s">
        <v>5725</v>
      </c>
      <c r="AH149" t="s">
        <v>3039</v>
      </c>
      <c r="AI149" t="s">
        <v>1022</v>
      </c>
      <c r="AJ149" t="s">
        <v>3040</v>
      </c>
      <c r="AK149" t="s">
        <v>90</v>
      </c>
      <c r="AL149" t="s">
        <v>3041</v>
      </c>
      <c r="AM149" t="s">
        <v>90</v>
      </c>
      <c r="AN149" t="s">
        <v>160</v>
      </c>
      <c r="AO149" t="s">
        <v>90</v>
      </c>
      <c r="AP149" t="s">
        <v>229</v>
      </c>
      <c r="AQ149" t="s">
        <v>1224</v>
      </c>
      <c r="AR149" t="s">
        <v>5726</v>
      </c>
      <c r="AS149" t="s">
        <v>90</v>
      </c>
      <c r="AT149" t="s">
        <v>90</v>
      </c>
      <c r="AU149" t="s">
        <v>5727</v>
      </c>
      <c r="AV149" t="s">
        <v>5728</v>
      </c>
      <c r="AW149" t="s">
        <v>5729</v>
      </c>
      <c r="AX149" t="s">
        <v>1976</v>
      </c>
      <c r="AY149" t="s">
        <v>90</v>
      </c>
      <c r="AZ149" t="s">
        <v>921</v>
      </c>
      <c r="BA149" t="s">
        <v>411</v>
      </c>
      <c r="BB149" t="s">
        <v>922</v>
      </c>
      <c r="BC149" t="s">
        <v>1977</v>
      </c>
      <c r="BD149" t="s">
        <v>90</v>
      </c>
      <c r="BE149" t="s">
        <v>90</v>
      </c>
      <c r="BF149" t="s">
        <v>90</v>
      </c>
      <c r="BG149" t="s">
        <v>90</v>
      </c>
      <c r="BH149" t="s">
        <v>201</v>
      </c>
      <c r="BI149" t="s">
        <v>2603</v>
      </c>
      <c r="BJ149" t="s">
        <v>1976</v>
      </c>
      <c r="BK149" t="s">
        <v>3037</v>
      </c>
      <c r="BL149" t="s">
        <v>5730</v>
      </c>
      <c r="BM149" t="s">
        <v>1977</v>
      </c>
      <c r="BN149" t="s">
        <v>90</v>
      </c>
      <c r="BO149">
        <v>3.53</v>
      </c>
      <c r="BP149" t="s">
        <v>90</v>
      </c>
      <c r="BQ149">
        <v>-11.78</v>
      </c>
      <c r="BR149">
        <v>0.94</v>
      </c>
      <c r="BS149">
        <v>1.33</v>
      </c>
      <c r="BT149" t="s">
        <v>1692</v>
      </c>
      <c r="BU149" t="s">
        <v>1458</v>
      </c>
      <c r="BV149">
        <v>15.63</v>
      </c>
      <c r="BW149">
        <v>30.71</v>
      </c>
      <c r="BX149">
        <v>30.83</v>
      </c>
      <c r="BY149">
        <v>-50.71</v>
      </c>
      <c r="BZ149">
        <v>1.28</v>
      </c>
      <c r="CA149">
        <v>1.62</v>
      </c>
      <c r="CB149">
        <v>4.26</v>
      </c>
      <c r="CC149">
        <v>-24.9</v>
      </c>
      <c r="CD149" t="s">
        <v>248</v>
      </c>
      <c r="CE149" t="s">
        <v>5731</v>
      </c>
      <c r="CF149" s="8">
        <v>-0.78463558765594221</v>
      </c>
      <c r="CG149" s="9">
        <v>-2.5995624312497734</v>
      </c>
      <c r="CH149" s="8">
        <v>0.97344398498535156</v>
      </c>
      <c r="CI149" s="8" t="s">
        <v>90</v>
      </c>
      <c r="CJ149" s="8" t="s">
        <v>90</v>
      </c>
      <c r="CK149" s="8">
        <v>-0.1588880717754364</v>
      </c>
      <c r="CL149" s="8">
        <v>-7.9595781862735748E-2</v>
      </c>
      <c r="CM149" s="9">
        <v>4.3214101791381836</v>
      </c>
      <c r="CN149" s="9" t="s">
        <v>90</v>
      </c>
      <c r="CO149" s="9" t="s">
        <v>90</v>
      </c>
      <c r="CP149" s="9" t="s">
        <v>90</v>
      </c>
      <c r="CQ149" s="9" t="s">
        <v>90</v>
      </c>
      <c r="CR149">
        <v>29.018556207842259</v>
      </c>
      <c r="CS149">
        <v>1.1844951162718722</v>
      </c>
      <c r="CT149">
        <v>0</v>
      </c>
      <c r="CU149" s="8">
        <v>0.24498671044905981</v>
      </c>
      <c r="CV149" s="9">
        <v>4.3214101791381836</v>
      </c>
      <c r="CW149">
        <v>0.06</v>
      </c>
      <c r="CX149">
        <v>36.048491836595403</v>
      </c>
      <c r="CY149">
        <v>192620585.39023185</v>
      </c>
      <c r="CZ149">
        <v>0.24498671044905981</v>
      </c>
      <c r="DA149">
        <v>10.356240996195741</v>
      </c>
      <c r="DB149">
        <v>670482813.46008563</v>
      </c>
      <c r="DC149">
        <v>0.23273737492660682</v>
      </c>
      <c r="DD149">
        <v>4.2520681047273889</v>
      </c>
      <c r="DE149">
        <v>1633012790.2420268</v>
      </c>
      <c r="DF149">
        <v>0.21558830519517264</v>
      </c>
      <c r="DG149">
        <v>2.0541860834968575</v>
      </c>
      <c r="DH149">
        <v>3380259293.8317032</v>
      </c>
      <c r="DI149">
        <v>0.19598936835924785</v>
      </c>
      <c r="DJ149">
        <v>0.63056138071309964</v>
      </c>
      <c r="DK149">
        <v>11011904332.211742</v>
      </c>
      <c r="DL149">
        <v>0.17149069731434186</v>
      </c>
      <c r="DM149">
        <v>164000000</v>
      </c>
      <c r="DN149">
        <v>0.24498671044905981</v>
      </c>
      <c r="DO149">
        <v>6943681600</v>
      </c>
      <c r="DP149">
        <v>3372602600</v>
      </c>
      <c r="DQ149">
        <v>2977</v>
      </c>
      <c r="DR149">
        <v>-1.0296222981050021</v>
      </c>
      <c r="DS149">
        <v>-6.920972610387957</v>
      </c>
      <c r="DT149" s="10">
        <v>-0.16000000000000003</v>
      </c>
      <c r="DU149">
        <v>-1.7950000000000002</v>
      </c>
      <c r="DV149">
        <v>-1.9550000000000001</v>
      </c>
      <c r="DW149">
        <v>6.1460905349794235</v>
      </c>
      <c r="DX149">
        <v>0.38393841166936771</v>
      </c>
      <c r="DY149">
        <v>6.0312543770134264</v>
      </c>
      <c r="DZ149">
        <v>2730</v>
      </c>
      <c r="EA149">
        <v>6.0145568331295411</v>
      </c>
      <c r="EB149">
        <v>6</v>
      </c>
      <c r="EC149">
        <v>9.1527817696002142E-2</v>
      </c>
      <c r="ED149">
        <v>0.42782320847297972</v>
      </c>
      <c r="EE149" s="11">
        <v>-3.0565099999999998</v>
      </c>
      <c r="EF149">
        <v>-3.1389100000000001</v>
      </c>
      <c r="EG149">
        <v>17.213938411669368</v>
      </c>
      <c r="EH149" t="s">
        <v>2117</v>
      </c>
      <c r="EI149">
        <v>0</v>
      </c>
      <c r="EJ149">
        <v>0</v>
      </c>
      <c r="EK149" s="13">
        <v>45470</v>
      </c>
      <c r="EL149" s="14">
        <v>-0.32</v>
      </c>
      <c r="EM149" s="14">
        <v>-0.22</v>
      </c>
      <c r="EN149">
        <v>3.41</v>
      </c>
      <c r="EO149">
        <v>-4.8600000000000003</v>
      </c>
      <c r="EP149">
        <v>-8.24</v>
      </c>
    </row>
    <row r="150" spans="1:146" ht="108">
      <c r="A150" s="7"/>
      <c r="B150" s="7"/>
      <c r="C150" s="7" t="str">
        <f>""&amp;CHAR(10)&amp;Basic_Fundamental_Information_Constructure(F150)&amp;CHAR(10)&amp;Basic_Fundamental_Information_Concatenate("")</f>
        <v xml:space="preserve">
市值13.723596亿, 利润-2.86亿; PE66.3; 平均PE-11.04; 平均PEG-.04, PB1.64; ROIC4.7733%; ROE5.5167%; 股利率0%; 毛利12.8133%; 净利4.44%; 上一年度营收增864.73%, 利润增-863.55%; 当季营收增-86.15%, 利润增108.24%; 过往5年营收增294.58%, 利润增-863.55%
Income profile:
</v>
      </c>
      <c r="D150" t="s">
        <v>1488</v>
      </c>
      <c r="E150" t="s">
        <v>1489</v>
      </c>
      <c r="F150">
        <v>3.58</v>
      </c>
      <c r="G150">
        <v>1.42</v>
      </c>
      <c r="H150" t="s">
        <v>5732</v>
      </c>
      <c r="I150">
        <v>1372359600</v>
      </c>
      <c r="J150">
        <v>66.3</v>
      </c>
      <c r="K150">
        <v>1.64</v>
      </c>
      <c r="L150" t="s">
        <v>85</v>
      </c>
      <c r="M150" t="s">
        <v>2116</v>
      </c>
      <c r="N150" t="s">
        <v>503</v>
      </c>
      <c r="O150" t="s">
        <v>2213</v>
      </c>
      <c r="P150">
        <v>2.79</v>
      </c>
      <c r="Q150" t="s">
        <v>5733</v>
      </c>
      <c r="R150">
        <v>6177520</v>
      </c>
      <c r="S150" s="5">
        <v>-9.3399999999999997E-2</v>
      </c>
      <c r="T150" t="s">
        <v>5734</v>
      </c>
      <c r="U150">
        <v>383340670</v>
      </c>
      <c r="V150">
        <v>383340670</v>
      </c>
      <c r="W150">
        <v>3.57</v>
      </c>
      <c r="X150" t="s">
        <v>90</v>
      </c>
      <c r="Y150">
        <v>2.4</v>
      </c>
      <c r="Z150" t="s">
        <v>90</v>
      </c>
      <c r="AA150" t="s">
        <v>90</v>
      </c>
      <c r="AB150" t="s">
        <v>90</v>
      </c>
      <c r="AC150" t="s">
        <v>90</v>
      </c>
      <c r="AD150" t="s">
        <v>90</v>
      </c>
      <c r="AE150">
        <v>6992812</v>
      </c>
      <c r="AF150" t="s">
        <v>3044</v>
      </c>
      <c r="AG150" t="s">
        <v>5735</v>
      </c>
      <c r="AH150" t="s">
        <v>3045</v>
      </c>
      <c r="AI150" t="s">
        <v>491</v>
      </c>
      <c r="AJ150" t="s">
        <v>3046</v>
      </c>
      <c r="AK150" t="s">
        <v>90</v>
      </c>
      <c r="AL150" t="s">
        <v>3047</v>
      </c>
      <c r="AM150" t="s">
        <v>90</v>
      </c>
      <c r="AN150" t="s">
        <v>5736</v>
      </c>
      <c r="AO150" t="s">
        <v>90</v>
      </c>
      <c r="AP150" t="s">
        <v>159</v>
      </c>
      <c r="AQ150" t="s">
        <v>705</v>
      </c>
      <c r="AR150" t="s">
        <v>90</v>
      </c>
      <c r="AS150" t="s">
        <v>90</v>
      </c>
      <c r="AT150" t="s">
        <v>90</v>
      </c>
      <c r="AU150" t="s">
        <v>5737</v>
      </c>
      <c r="AV150" t="s">
        <v>5738</v>
      </c>
      <c r="AW150" t="s">
        <v>253</v>
      </c>
      <c r="AX150" t="s">
        <v>986</v>
      </c>
      <c r="AY150" t="s">
        <v>90</v>
      </c>
      <c r="AZ150" t="s">
        <v>604</v>
      </c>
      <c r="BA150" t="s">
        <v>1491</v>
      </c>
      <c r="BB150" t="s">
        <v>1482</v>
      </c>
      <c r="BC150" t="s">
        <v>1978</v>
      </c>
      <c r="BD150" t="s">
        <v>90</v>
      </c>
      <c r="BE150" t="s">
        <v>90</v>
      </c>
      <c r="BF150" t="s">
        <v>90</v>
      </c>
      <c r="BG150" t="s">
        <v>90</v>
      </c>
      <c r="BH150" t="s">
        <v>3042</v>
      </c>
      <c r="BI150" t="s">
        <v>5739</v>
      </c>
      <c r="BJ150" t="s">
        <v>986</v>
      </c>
      <c r="BK150" t="s">
        <v>3043</v>
      </c>
      <c r="BL150" t="s">
        <v>5740</v>
      </c>
      <c r="BM150" t="s">
        <v>1978</v>
      </c>
      <c r="BN150">
        <v>2.48</v>
      </c>
      <c r="BO150">
        <v>4.63</v>
      </c>
      <c r="BP150">
        <v>7.21</v>
      </c>
      <c r="BQ150">
        <v>2.86</v>
      </c>
      <c r="BR150">
        <v>4.7300000000000004</v>
      </c>
      <c r="BS150">
        <v>8.9600000000000009</v>
      </c>
      <c r="BT150" t="s">
        <v>1692</v>
      </c>
      <c r="BU150" t="s">
        <v>1449</v>
      </c>
      <c r="BV150">
        <v>16.41</v>
      </c>
      <c r="BW150">
        <v>14.65</v>
      </c>
      <c r="BX150">
        <v>7.38</v>
      </c>
      <c r="BY150">
        <v>1.74</v>
      </c>
      <c r="BZ150">
        <v>3.71</v>
      </c>
      <c r="CA150">
        <v>7.87</v>
      </c>
      <c r="CB150">
        <v>0.28000000000000003</v>
      </c>
      <c r="CC150">
        <v>-21.66</v>
      </c>
      <c r="CD150" t="s">
        <v>5741</v>
      </c>
      <c r="CE150" t="s">
        <v>433</v>
      </c>
      <c r="CF150" s="8">
        <v>-0.86147412441191851</v>
      </c>
      <c r="CG150" s="9">
        <v>1.0824139642355906</v>
      </c>
      <c r="CH150" s="8">
        <v>8.6473255157470703</v>
      </c>
      <c r="CI150" s="8" t="s">
        <v>90</v>
      </c>
      <c r="CJ150" s="8" t="s">
        <v>90</v>
      </c>
      <c r="CK150" s="8">
        <v>1.3259668834507465E-2</v>
      </c>
      <c r="CL150" s="8">
        <v>0.17685306072235107</v>
      </c>
      <c r="CM150" s="9">
        <v>-8.6355037689208984</v>
      </c>
      <c r="CN150" s="9" t="s">
        <v>90</v>
      </c>
      <c r="CO150" s="9" t="s">
        <v>90</v>
      </c>
      <c r="CP150" s="9" t="s">
        <v>90</v>
      </c>
      <c r="CQ150" s="9" t="s">
        <v>90</v>
      </c>
      <c r="CR150">
        <v>-11.04321901124713</v>
      </c>
      <c r="CS150">
        <v>-3.7487851246197905E-2</v>
      </c>
      <c r="CT150">
        <v>0</v>
      </c>
      <c r="CU150" s="8">
        <v>2.9458127484346428</v>
      </c>
      <c r="CV150" s="9">
        <v>-8.6355037689208984</v>
      </c>
      <c r="CW150">
        <v>0.06</v>
      </c>
      <c r="CX150" t="e">
        <v>#VALUE!</v>
      </c>
      <c r="CY150" t="s">
        <v>1391</v>
      </c>
      <c r="CZ150">
        <v>2.9458127484346428</v>
      </c>
      <c r="DA150" t="e">
        <v>#VALUE!</v>
      </c>
      <c r="DB150" t="s">
        <v>1391</v>
      </c>
      <c r="DC150">
        <v>2.7985221110129106</v>
      </c>
      <c r="DD150" t="e">
        <v>#VALUE!</v>
      </c>
      <c r="DE150" t="s">
        <v>1391</v>
      </c>
      <c r="DF150">
        <v>2.5923152186224856</v>
      </c>
      <c r="DG150" t="e">
        <v>#VALUE!</v>
      </c>
      <c r="DH150" t="s">
        <v>1391</v>
      </c>
      <c r="DI150">
        <v>2.3566501987477144</v>
      </c>
      <c r="DJ150" t="e">
        <v>#VALUE!</v>
      </c>
      <c r="DK150" t="s">
        <v>1391</v>
      </c>
      <c r="DL150">
        <v>2.06206892390425</v>
      </c>
      <c r="DM150">
        <v>-286000000</v>
      </c>
      <c r="DN150">
        <v>2.9458127484346428</v>
      </c>
      <c r="DO150">
        <v>2587359600</v>
      </c>
      <c r="DP150">
        <v>2342996600</v>
      </c>
      <c r="DQ150">
        <v>3003</v>
      </c>
      <c r="DR150">
        <v>-3.8072868728465612</v>
      </c>
      <c r="DS150">
        <v>9.7179177331564883</v>
      </c>
      <c r="DT150" s="10">
        <v>-0.21000000000000008</v>
      </c>
      <c r="DU150">
        <v>-3.57</v>
      </c>
      <c r="DV150">
        <v>-3.78</v>
      </c>
      <c r="DW150">
        <v>-3.0640119047619048</v>
      </c>
      <c r="DX150">
        <v>0.30771586538461621</v>
      </c>
      <c r="DY150">
        <v>-3.0068950977163462</v>
      </c>
      <c r="DZ150">
        <v>2618</v>
      </c>
      <c r="EA150">
        <v>-3.0033625408041358</v>
      </c>
      <c r="EB150">
        <v>3</v>
      </c>
      <c r="EC150">
        <v>5.8446446603226308E-2</v>
      </c>
      <c r="ED150">
        <v>0.54259831079233001</v>
      </c>
      <c r="EE150" s="11">
        <v>4.1999999999999989E-3</v>
      </c>
      <c r="EF150">
        <v>2.5410000000000002E-2</v>
      </c>
      <c r="EG150">
        <v>20.107715865384616</v>
      </c>
      <c r="EH150">
        <v>-1</v>
      </c>
      <c r="EI150">
        <v>0</v>
      </c>
      <c r="EJ150">
        <v>0</v>
      </c>
      <c r="EK150" s="13">
        <v>45470</v>
      </c>
      <c r="EL150" s="14">
        <v>2.04</v>
      </c>
      <c r="EM150" s="14">
        <v>-2.8</v>
      </c>
      <c r="EN150">
        <v>-0.96</v>
      </c>
      <c r="EO150">
        <v>3.19</v>
      </c>
      <c r="EP150">
        <v>-2.96</v>
      </c>
    </row>
    <row r="151" spans="1:146" ht="96">
      <c r="A151" s="7"/>
      <c r="B151" s="7"/>
      <c r="C151" s="7" t="str">
        <f>""&amp;CHAR(10)&amp;Basic_Fundamental_Information_Constructure(F151)&amp;CHAR(10)&amp;Basic_Fundamental_Information_Concatenate("")</f>
        <v xml:space="preserve">
市值11.892835亿, 利润-3.90亿; PE; 平均PE-4.38; 平均PEG-.5, PB1.65; ROIC0%; ROE-9.7233%; 股利率0%; 毛利9.6733%; 净利-31.3967%; 上一年度营收增-8.97%, 利润增-154.9%; 当季营收增-54.91%, 利润增71.99%; 过往5年营收增-8.78%, 利润增-154.9%
Income profile:
</v>
      </c>
      <c r="D151" t="s">
        <v>536</v>
      </c>
      <c r="E151" t="s">
        <v>924</v>
      </c>
      <c r="F151">
        <v>2.71</v>
      </c>
      <c r="G151">
        <v>1.1200000000000001</v>
      </c>
      <c r="H151" t="s">
        <v>5742</v>
      </c>
      <c r="I151">
        <v>1189283500</v>
      </c>
      <c r="K151">
        <v>1.65</v>
      </c>
      <c r="L151" t="s">
        <v>85</v>
      </c>
      <c r="M151" t="s">
        <v>119</v>
      </c>
      <c r="N151" t="s">
        <v>1507</v>
      </c>
      <c r="O151" t="s">
        <v>3048</v>
      </c>
      <c r="P151">
        <v>-9.99</v>
      </c>
      <c r="Q151" t="s">
        <v>1062</v>
      </c>
      <c r="R151">
        <v>-7617837</v>
      </c>
      <c r="S151" s="5">
        <v>0.51500000000000001</v>
      </c>
      <c r="T151" t="s">
        <v>5476</v>
      </c>
      <c r="U151">
        <v>438850000</v>
      </c>
      <c r="V151">
        <v>438850000</v>
      </c>
      <c r="W151">
        <v>1.38</v>
      </c>
      <c r="X151" t="s">
        <v>90</v>
      </c>
      <c r="Y151">
        <v>-13.86</v>
      </c>
      <c r="Z151" t="s">
        <v>90</v>
      </c>
      <c r="AA151" t="s">
        <v>90</v>
      </c>
      <c r="AB151" t="s">
        <v>90</v>
      </c>
      <c r="AC151" t="s">
        <v>90</v>
      </c>
      <c r="AD151" t="s">
        <v>90</v>
      </c>
      <c r="AE151">
        <v>163378</v>
      </c>
      <c r="AF151" t="s">
        <v>3049</v>
      </c>
      <c r="AG151" t="s">
        <v>5743</v>
      </c>
      <c r="AH151" t="s">
        <v>3050</v>
      </c>
      <c r="AI151" t="s">
        <v>247</v>
      </c>
      <c r="AJ151" t="s">
        <v>3051</v>
      </c>
      <c r="AK151" t="s">
        <v>90</v>
      </c>
      <c r="AL151" t="s">
        <v>3052</v>
      </c>
      <c r="AM151" t="s">
        <v>90</v>
      </c>
      <c r="AN151">
        <v>0</v>
      </c>
      <c r="AO151" t="s">
        <v>90</v>
      </c>
      <c r="AP151" t="s">
        <v>90</v>
      </c>
      <c r="AQ151" t="s">
        <v>818</v>
      </c>
      <c r="AR151" t="s">
        <v>90</v>
      </c>
      <c r="AS151" t="s">
        <v>90</v>
      </c>
      <c r="AT151" t="s">
        <v>90</v>
      </c>
      <c r="AU151" t="s">
        <v>5744</v>
      </c>
      <c r="AV151" t="s">
        <v>5745</v>
      </c>
      <c r="AW151" t="s">
        <v>5746</v>
      </c>
      <c r="AX151" t="s">
        <v>511</v>
      </c>
      <c r="AY151" t="s">
        <v>90</v>
      </c>
      <c r="AZ151" t="s">
        <v>344</v>
      </c>
      <c r="BA151" t="s">
        <v>537</v>
      </c>
      <c r="BB151" t="s">
        <v>858</v>
      </c>
      <c r="BC151" t="s">
        <v>1856</v>
      </c>
      <c r="BD151" t="s">
        <v>90</v>
      </c>
      <c r="BE151" t="s">
        <v>90</v>
      </c>
      <c r="BF151" t="s">
        <v>90</v>
      </c>
      <c r="BG151" t="s">
        <v>90</v>
      </c>
      <c r="BH151" t="s">
        <v>240</v>
      </c>
      <c r="BI151" t="s">
        <v>323</v>
      </c>
      <c r="BJ151" t="s">
        <v>511</v>
      </c>
      <c r="BK151" t="s">
        <v>2094</v>
      </c>
      <c r="BL151" t="s">
        <v>5747</v>
      </c>
      <c r="BM151" t="s">
        <v>1856</v>
      </c>
      <c r="BN151" t="s">
        <v>90</v>
      </c>
      <c r="BO151" t="s">
        <v>90</v>
      </c>
      <c r="BP151" t="s">
        <v>90</v>
      </c>
      <c r="BQ151">
        <v>-3.23</v>
      </c>
      <c r="BR151">
        <v>-15.76</v>
      </c>
      <c r="BS151">
        <v>-10.18</v>
      </c>
      <c r="BT151" t="s">
        <v>1692</v>
      </c>
      <c r="BU151" t="s">
        <v>1381</v>
      </c>
      <c r="BV151">
        <v>6.21</v>
      </c>
      <c r="BW151">
        <v>8.75</v>
      </c>
      <c r="BX151">
        <v>14.06</v>
      </c>
      <c r="BY151">
        <v>-46.87</v>
      </c>
      <c r="BZ151">
        <v>-30.92</v>
      </c>
      <c r="CA151">
        <v>-16.399999999999999</v>
      </c>
      <c r="CB151">
        <v>0.74</v>
      </c>
      <c r="CC151">
        <v>-20.76</v>
      </c>
      <c r="CD151" t="s">
        <v>5748</v>
      </c>
      <c r="CE151" t="s">
        <v>2039</v>
      </c>
      <c r="CF151" s="8">
        <v>-0.5490992125984252</v>
      </c>
      <c r="CG151" s="9">
        <v>0.7199056895144389</v>
      </c>
      <c r="CH151" s="8">
        <v>-8.9719623327255249E-2</v>
      </c>
      <c r="CI151" s="8" t="s">
        <v>90</v>
      </c>
      <c r="CJ151" s="8" t="s">
        <v>90</v>
      </c>
      <c r="CK151" s="8">
        <v>-9.7733713686466217E-2</v>
      </c>
      <c r="CL151" s="8">
        <v>-7.591623067855835E-2</v>
      </c>
      <c r="CM151" s="9">
        <v>-1.5490195751190186</v>
      </c>
      <c r="CN151" s="9" t="s">
        <v>90</v>
      </c>
      <c r="CO151" s="9" t="s">
        <v>90</v>
      </c>
      <c r="CP151" s="9" t="s">
        <v>90</v>
      </c>
      <c r="CQ151" s="9" t="s">
        <v>90</v>
      </c>
      <c r="CR151">
        <v>-4.3804180478821362</v>
      </c>
      <c r="CS151">
        <v>-0.49896631029901711</v>
      </c>
      <c r="CT151">
        <v>0</v>
      </c>
      <c r="CU151" s="8">
        <v>-8.7789855897426605E-2</v>
      </c>
      <c r="CV151" s="9">
        <v>-1.5490195751190186</v>
      </c>
      <c r="CW151">
        <v>0.06</v>
      </c>
      <c r="CX151" t="e">
        <v>#VALUE!</v>
      </c>
      <c r="CY151" t="s">
        <v>1392</v>
      </c>
      <c r="CZ151">
        <v>-8.7789855897426605E-2</v>
      </c>
      <c r="DA151" t="e">
        <v>#VALUE!</v>
      </c>
      <c r="DB151" t="s">
        <v>1391</v>
      </c>
      <c r="DC151">
        <v>-8.3400363102555275E-2</v>
      </c>
      <c r="DD151" t="e">
        <v>#VALUE!</v>
      </c>
      <c r="DE151" t="s">
        <v>1391</v>
      </c>
      <c r="DF151">
        <v>-7.7255073189735415E-2</v>
      </c>
      <c r="DG151" t="e">
        <v>#VALUE!</v>
      </c>
      <c r="DH151" t="s">
        <v>1391</v>
      </c>
      <c r="DI151">
        <v>-7.0231884717941284E-2</v>
      </c>
      <c r="DJ151" t="e">
        <v>#VALUE!</v>
      </c>
      <c r="DK151" t="s">
        <v>1391</v>
      </c>
      <c r="DL151">
        <v>-6.1452899128198617E-2</v>
      </c>
      <c r="DM151">
        <v>-390000000</v>
      </c>
      <c r="DN151">
        <v>-8.7789855897426605E-2</v>
      </c>
      <c r="DO151">
        <v>831283500</v>
      </c>
      <c r="DP151">
        <v>590201720</v>
      </c>
      <c r="DQ151">
        <v>3037</v>
      </c>
      <c r="DR151">
        <v>-0.4613093567009986</v>
      </c>
      <c r="DS151">
        <v>2.2689252646334577</v>
      </c>
      <c r="DT151" s="10">
        <v>-0.66</v>
      </c>
      <c r="DU151">
        <v>-2.3050000000000002</v>
      </c>
      <c r="DV151">
        <v>-2.9650000000000003</v>
      </c>
      <c r="DW151">
        <v>-3.0538333333333334</v>
      </c>
      <c r="DX151">
        <v>0.33351308016877579</v>
      </c>
      <c r="DY151">
        <v>-3.0061107874824193</v>
      </c>
      <c r="DZ151">
        <v>3757</v>
      </c>
      <c r="EA151">
        <v>-3.0016179834566952</v>
      </c>
      <c r="EB151">
        <v>3</v>
      </c>
      <c r="EC151">
        <v>6.13024951577988E-2</v>
      </c>
      <c r="ED151">
        <v>0.54004785234134667</v>
      </c>
      <c r="EE151" s="11">
        <v>-2.03891</v>
      </c>
      <c r="EF151">
        <v>-2.0619100000000001</v>
      </c>
      <c r="EG151">
        <v>22.113513080168776</v>
      </c>
      <c r="EH151" t="s">
        <v>1735</v>
      </c>
      <c r="EI151">
        <v>0</v>
      </c>
      <c r="EJ151">
        <v>0</v>
      </c>
      <c r="EK151" s="13">
        <v>45470</v>
      </c>
      <c r="EL151" s="14">
        <v>0</v>
      </c>
      <c r="EM151" s="14">
        <v>-4.4000000000000004</v>
      </c>
      <c r="EN151">
        <v>-0.74</v>
      </c>
      <c r="EO151">
        <v>4.6399999999999997</v>
      </c>
      <c r="EP151">
        <v>-2.2999999999999998</v>
      </c>
    </row>
    <row r="152" spans="1:146" ht="96">
      <c r="A152" s="7"/>
      <c r="B152" s="7"/>
      <c r="C152" s="7" t="str">
        <f>""&amp;CHAR(10)&amp;Basic_Fundamental_Information_Constructure(F152)&amp;CHAR(10)&amp;Basic_Fundamental_Information_Concatenate("")</f>
        <v xml:space="preserve">
市值48.056938亿, 利润2.21亿; PE; 平均PE-314.2; 平均PEG-52.81, PB2.96; ROIC0%; ROE-6.02%; 股利率0%; 毛利9.7633%; 净利-14.6867%; 上一年度营收增-45.41%, 利润增653.02%; 当季营收增239.27%, 利润增-1169.17%; 过往5年营收增-5.95%, 利润增-577.66%
Income profile:
</v>
      </c>
      <c r="D152" t="s">
        <v>1492</v>
      </c>
      <c r="E152" t="s">
        <v>1493</v>
      </c>
      <c r="F152">
        <v>7.53</v>
      </c>
      <c r="G152">
        <v>-0.26</v>
      </c>
      <c r="H152" t="s">
        <v>5749</v>
      </c>
      <c r="I152">
        <v>4805693800</v>
      </c>
      <c r="K152">
        <v>2.96</v>
      </c>
      <c r="L152" t="s">
        <v>85</v>
      </c>
      <c r="M152" t="s">
        <v>3053</v>
      </c>
      <c r="N152" t="s">
        <v>1846</v>
      </c>
      <c r="O152" t="s">
        <v>373</v>
      </c>
      <c r="P152">
        <v>8.98</v>
      </c>
      <c r="Q152" t="s">
        <v>1481</v>
      </c>
      <c r="R152">
        <v>-22874289</v>
      </c>
      <c r="S152" s="5">
        <v>-0.87460000000000004</v>
      </c>
      <c r="T152" t="s">
        <v>272</v>
      </c>
      <c r="U152">
        <v>638206350</v>
      </c>
      <c r="V152">
        <v>638206350</v>
      </c>
      <c r="W152">
        <v>1.83</v>
      </c>
      <c r="X152">
        <v>0.05</v>
      </c>
      <c r="Y152">
        <v>-14.57</v>
      </c>
      <c r="Z152" t="s">
        <v>137</v>
      </c>
      <c r="AA152" t="s">
        <v>219</v>
      </c>
      <c r="AB152" t="s">
        <v>5750</v>
      </c>
      <c r="AC152" t="s">
        <v>5751</v>
      </c>
      <c r="AD152" t="s">
        <v>90</v>
      </c>
      <c r="AE152">
        <v>2355583</v>
      </c>
      <c r="AF152" t="s">
        <v>3055</v>
      </c>
      <c r="AG152" t="s">
        <v>5752</v>
      </c>
      <c r="AH152" t="s">
        <v>3056</v>
      </c>
      <c r="AI152" t="s">
        <v>225</v>
      </c>
      <c r="AJ152" t="s">
        <v>3057</v>
      </c>
      <c r="AK152" t="s">
        <v>5753</v>
      </c>
      <c r="AL152" t="s">
        <v>3058</v>
      </c>
      <c r="AM152" t="s">
        <v>90</v>
      </c>
      <c r="AN152" t="s">
        <v>189</v>
      </c>
      <c r="AO152" t="s">
        <v>133</v>
      </c>
      <c r="AP152" t="s">
        <v>5754</v>
      </c>
      <c r="AQ152" t="s">
        <v>820</v>
      </c>
      <c r="AR152" t="s">
        <v>90</v>
      </c>
      <c r="AS152" t="s">
        <v>3953</v>
      </c>
      <c r="AT152" t="s">
        <v>219</v>
      </c>
      <c r="AU152" t="s">
        <v>2494</v>
      </c>
      <c r="AV152" t="s">
        <v>5755</v>
      </c>
      <c r="AW152" t="s">
        <v>5756</v>
      </c>
      <c r="AX152" t="s">
        <v>583</v>
      </c>
      <c r="AY152" t="s">
        <v>664</v>
      </c>
      <c r="AZ152" t="s">
        <v>663</v>
      </c>
      <c r="BA152" t="s">
        <v>1925</v>
      </c>
      <c r="BB152" t="s">
        <v>5757</v>
      </c>
      <c r="BC152" t="s">
        <v>1979</v>
      </c>
      <c r="BD152" t="s">
        <v>5758</v>
      </c>
      <c r="BE152" t="s">
        <v>5759</v>
      </c>
      <c r="BF152" t="s">
        <v>5760</v>
      </c>
      <c r="BG152" t="s">
        <v>5761</v>
      </c>
      <c r="BH152" t="s">
        <v>1829</v>
      </c>
      <c r="BI152" t="s">
        <v>5762</v>
      </c>
      <c r="BJ152" t="s">
        <v>583</v>
      </c>
      <c r="BK152" t="s">
        <v>3054</v>
      </c>
      <c r="BL152" t="s">
        <v>5763</v>
      </c>
      <c r="BM152" t="s">
        <v>1979</v>
      </c>
      <c r="BN152" t="s">
        <v>90</v>
      </c>
      <c r="BO152" t="s">
        <v>90</v>
      </c>
      <c r="BP152" t="s">
        <v>90</v>
      </c>
      <c r="BQ152">
        <v>-3.15</v>
      </c>
      <c r="BR152">
        <v>-2.14</v>
      </c>
      <c r="BS152">
        <v>-12.77</v>
      </c>
      <c r="BT152" t="s">
        <v>1692</v>
      </c>
      <c r="BU152" t="s">
        <v>1381</v>
      </c>
      <c r="BV152">
        <v>11.99</v>
      </c>
      <c r="BW152">
        <v>14.6</v>
      </c>
      <c r="BX152">
        <v>2.7</v>
      </c>
      <c r="BY152">
        <v>-23.55</v>
      </c>
      <c r="BZ152">
        <v>-2.64</v>
      </c>
      <c r="CA152">
        <v>-17.87</v>
      </c>
      <c r="CB152">
        <v>-2.96</v>
      </c>
      <c r="CC152">
        <v>-5.76</v>
      </c>
      <c r="CD152" t="s">
        <v>5764</v>
      </c>
      <c r="CE152" t="s">
        <v>501</v>
      </c>
      <c r="CF152" s="8">
        <v>2.392698488764867</v>
      </c>
      <c r="CG152" s="9">
        <v>-11.69172113410642</v>
      </c>
      <c r="CH152" s="8">
        <v>-0.45411768555641174</v>
      </c>
      <c r="CI152" s="8">
        <v>3.9967425167560577E-2</v>
      </c>
      <c r="CJ152" s="8">
        <v>5.0556927919387817E-2</v>
      </c>
      <c r="CK152" s="8">
        <v>0.17641136050224304</v>
      </c>
      <c r="CL152" s="8">
        <v>-0.11031395196914673</v>
      </c>
      <c r="CM152" s="9">
        <v>6.53021240234375</v>
      </c>
      <c r="CN152" s="9">
        <v>0.79714566469192505</v>
      </c>
      <c r="CO152" s="9">
        <v>-12.419826507568359</v>
      </c>
      <c r="CP152" s="9">
        <v>1.1776400804519653</v>
      </c>
      <c r="CQ152" s="9">
        <v>-24.968406677246094</v>
      </c>
      <c r="CR152">
        <v>-314.19894432191643</v>
      </c>
      <c r="CS152">
        <v>-52.80726877944084</v>
      </c>
      <c r="CT152">
        <v>0</v>
      </c>
      <c r="CU152" s="8">
        <v>-5.949918478727341E-2</v>
      </c>
      <c r="CV152" s="9">
        <v>-5.7766470074653622</v>
      </c>
      <c r="CW152">
        <v>0.06</v>
      </c>
      <c r="CX152" t="e">
        <v>#VALUE!</v>
      </c>
      <c r="CY152" t="s">
        <v>1734</v>
      </c>
      <c r="CZ152">
        <v>-5.949918478727341E-2</v>
      </c>
      <c r="DA152">
        <v>6.9301565610859726</v>
      </c>
      <c r="DB152" t="s">
        <v>5765</v>
      </c>
      <c r="DC152">
        <v>-5.6524225547909736E-2</v>
      </c>
      <c r="DD152">
        <v>3.4650782805429863</v>
      </c>
      <c r="DE152" t="s">
        <v>5766</v>
      </c>
      <c r="DF152">
        <v>-5.2359282612800602E-2</v>
      </c>
      <c r="DG152">
        <v>2.0790469683257919</v>
      </c>
      <c r="DH152" t="s">
        <v>5767</v>
      </c>
      <c r="DI152">
        <v>-4.7599347829818728E-2</v>
      </c>
      <c r="DJ152">
        <v>1.039523484162896</v>
      </c>
      <c r="DK152" t="s">
        <v>5768</v>
      </c>
      <c r="DL152">
        <v>-4.1649429351091387E-2</v>
      </c>
      <c r="DM152">
        <v>221000000</v>
      </c>
      <c r="DN152">
        <v>-5.949918478727341E-2</v>
      </c>
      <c r="DO152">
        <v>4594693800</v>
      </c>
      <c r="DP152">
        <v>536890000</v>
      </c>
      <c r="DQ152">
        <v>3112</v>
      </c>
      <c r="DR152">
        <v>2.4521976735521402</v>
      </c>
      <c r="DS152">
        <v>-5.9150741266410574</v>
      </c>
      <c r="DT152" s="10">
        <v>-0.49</v>
      </c>
      <c r="DU152">
        <v>-1.781666666666667</v>
      </c>
      <c r="DV152">
        <v>-2.2716666666666669</v>
      </c>
      <c r="DW152">
        <v>-8.5138888888888893</v>
      </c>
      <c r="DX152">
        <v>0.37349687500000045</v>
      </c>
      <c r="DY152">
        <v>-8.0274914496527785</v>
      </c>
      <c r="DZ152">
        <v>4831</v>
      </c>
      <c r="EA152">
        <v>-8.0015010008714533</v>
      </c>
      <c r="EB152">
        <v>8</v>
      </c>
      <c r="EC152">
        <v>2.6823612770383747E-2</v>
      </c>
      <c r="ED152">
        <v>0.50140522732185289</v>
      </c>
      <c r="EE152" s="11">
        <v>1.006</v>
      </c>
      <c r="EF152">
        <v>1.006</v>
      </c>
      <c r="EG152">
        <v>32.053496875</v>
      </c>
      <c r="EH152" t="s">
        <v>1725</v>
      </c>
      <c r="EI152">
        <v>0</v>
      </c>
      <c r="EJ152">
        <v>0</v>
      </c>
      <c r="EK152" s="13">
        <v>45470</v>
      </c>
      <c r="EL152" s="14">
        <v>-0.94</v>
      </c>
      <c r="EM152" s="14">
        <v>0</v>
      </c>
      <c r="EN152">
        <v>2.86</v>
      </c>
      <c r="EO152">
        <v>-0.93</v>
      </c>
      <c r="EP152">
        <v>0</v>
      </c>
    </row>
    <row r="153" spans="1:146" ht="96">
      <c r="A153" s="7"/>
      <c r="B153" s="7"/>
      <c r="C153" s="7" t="str">
        <f>""&amp;CHAR(10)&amp;Basic_Fundamental_Information_Constructure(F153)&amp;CHAR(10)&amp;Basic_Fundamental_Information_Concatenate("")</f>
        <v xml:space="preserve">
市值13.3986亿, 利润4.45亿; PE; 平均PE18.53; 平均PEG.01, PB109.4; ROIC0%; ROE-24.44%; 股利率0%; 毛利12.6067%; 净利-6.23%; 上一年度营收增6062.4%, 利润增6959.77%; 当季营收增-98.85%, 利润增-100.44%; 过往5年营收增1754.72%, 利润增1427.74%
Income profile:
</v>
      </c>
      <c r="D153" t="s">
        <v>927</v>
      </c>
      <c r="E153" t="s">
        <v>1054</v>
      </c>
      <c r="F153">
        <v>6.85</v>
      </c>
      <c r="G153">
        <v>2.7</v>
      </c>
      <c r="H153" t="s">
        <v>5769</v>
      </c>
      <c r="I153">
        <v>1339860000</v>
      </c>
      <c r="K153">
        <v>109.4</v>
      </c>
      <c r="L153" t="s">
        <v>85</v>
      </c>
      <c r="M153" t="s">
        <v>521</v>
      </c>
      <c r="N153" t="s">
        <v>5770</v>
      </c>
      <c r="O153" t="s">
        <v>3059</v>
      </c>
      <c r="P153">
        <v>-16.14</v>
      </c>
      <c r="Q153" t="s">
        <v>5771</v>
      </c>
      <c r="R153">
        <v>-582681</v>
      </c>
      <c r="S153" s="5">
        <v>0.65069999999999995</v>
      </c>
      <c r="T153" t="s">
        <v>351</v>
      </c>
      <c r="U153">
        <v>195600000</v>
      </c>
      <c r="V153">
        <v>195600000</v>
      </c>
      <c r="W153">
        <v>3.74</v>
      </c>
      <c r="X153">
        <v>0.15</v>
      </c>
      <c r="Y153">
        <v>1.84</v>
      </c>
      <c r="Z153" t="s">
        <v>5772</v>
      </c>
      <c r="AA153" t="s">
        <v>5773</v>
      </c>
      <c r="AB153" t="s">
        <v>5774</v>
      </c>
      <c r="AC153" t="s">
        <v>5775</v>
      </c>
      <c r="AD153" t="s">
        <v>90</v>
      </c>
      <c r="AE153">
        <v>542956</v>
      </c>
      <c r="AF153" t="s">
        <v>182</v>
      </c>
      <c r="AG153" t="s">
        <v>5776</v>
      </c>
      <c r="AH153" t="s">
        <v>3061</v>
      </c>
      <c r="AI153" t="s">
        <v>5777</v>
      </c>
      <c r="AJ153" t="s">
        <v>3062</v>
      </c>
      <c r="AK153" t="s">
        <v>5778</v>
      </c>
      <c r="AL153" t="s">
        <v>3063</v>
      </c>
      <c r="AM153" t="s">
        <v>90</v>
      </c>
      <c r="AN153">
        <v>0</v>
      </c>
      <c r="AO153" t="s">
        <v>5779</v>
      </c>
      <c r="AP153" t="s">
        <v>90</v>
      </c>
      <c r="AQ153" t="s">
        <v>5780</v>
      </c>
      <c r="AR153" t="s">
        <v>90</v>
      </c>
      <c r="AS153" t="s">
        <v>121</v>
      </c>
      <c r="AT153" t="s">
        <v>90</v>
      </c>
      <c r="AU153" t="s">
        <v>5781</v>
      </c>
      <c r="AV153" t="s">
        <v>5782</v>
      </c>
      <c r="AW153" t="s">
        <v>5783</v>
      </c>
      <c r="AX153" t="s">
        <v>579</v>
      </c>
      <c r="AY153" t="s">
        <v>480</v>
      </c>
      <c r="AZ153" t="s">
        <v>219</v>
      </c>
      <c r="BA153" t="s">
        <v>929</v>
      </c>
      <c r="BB153" t="s">
        <v>930</v>
      </c>
      <c r="BC153" t="s">
        <v>1980</v>
      </c>
      <c r="BD153" t="s">
        <v>1338</v>
      </c>
      <c r="BE153" t="s">
        <v>928</v>
      </c>
      <c r="BF153" t="s">
        <v>931</v>
      </c>
      <c r="BG153" t="s">
        <v>932</v>
      </c>
      <c r="BH153" t="s">
        <v>326</v>
      </c>
      <c r="BI153" t="s">
        <v>1233</v>
      </c>
      <c r="BJ153" t="s">
        <v>579</v>
      </c>
      <c r="BK153" t="s">
        <v>3060</v>
      </c>
      <c r="BL153" t="s">
        <v>175</v>
      </c>
      <c r="BM153" t="s">
        <v>1980</v>
      </c>
      <c r="BN153" t="s">
        <v>90</v>
      </c>
      <c r="BO153" t="s">
        <v>90</v>
      </c>
      <c r="BP153" t="s">
        <v>90</v>
      </c>
      <c r="BQ153">
        <v>-18.649999999999999</v>
      </c>
      <c r="BR153">
        <v>-26.79</v>
      </c>
      <c r="BS153">
        <v>-27.88</v>
      </c>
      <c r="BT153" t="s">
        <v>1692</v>
      </c>
      <c r="BU153" t="s">
        <v>1337</v>
      </c>
      <c r="BV153">
        <v>16.309999999999999</v>
      </c>
      <c r="BW153">
        <v>10.08</v>
      </c>
      <c r="BX153">
        <v>11.43</v>
      </c>
      <c r="BY153">
        <v>-5.87</v>
      </c>
      <c r="BZ153">
        <v>-4.91</v>
      </c>
      <c r="CA153">
        <v>-7.91</v>
      </c>
      <c r="CB153">
        <v>6.04</v>
      </c>
      <c r="CC153">
        <v>17.5</v>
      </c>
      <c r="CD153" t="s">
        <v>5784</v>
      </c>
      <c r="CE153" t="s">
        <v>232</v>
      </c>
      <c r="CF153" s="8">
        <v>-0.98849445026178007</v>
      </c>
      <c r="CG153" s="9">
        <v>-1.0044479465648855</v>
      </c>
      <c r="CH153" s="8">
        <v>60.624000549316406</v>
      </c>
      <c r="CI153" s="8">
        <v>-3.8461539894342422E-2</v>
      </c>
      <c r="CJ153" s="8">
        <v>-7.1428574621677399E-2</v>
      </c>
      <c r="CK153" s="8">
        <v>5.0168991088867188</v>
      </c>
      <c r="CL153" s="8">
        <v>22.205146789550781</v>
      </c>
      <c r="CM153" s="9">
        <v>69.597679138183594</v>
      </c>
      <c r="CN153" s="9">
        <v>0.26812729239463806</v>
      </c>
      <c r="CO153" s="9">
        <v>-1.8912540674209595</v>
      </c>
      <c r="CP153" s="9">
        <v>2.0471229553222656</v>
      </c>
      <c r="CQ153" s="9">
        <v>1.3654870986938477</v>
      </c>
      <c r="CR153">
        <v>18.526475117312032</v>
      </c>
      <c r="CS153">
        <v>1.0558061745345388E-2</v>
      </c>
      <c r="CT153">
        <v>0</v>
      </c>
      <c r="CU153" s="8">
        <v>17.547231266647579</v>
      </c>
      <c r="CV153" s="9">
        <v>14.277432483434676</v>
      </c>
      <c r="CW153">
        <v>0.06</v>
      </c>
      <c r="CX153">
        <v>0.18045107499377547</v>
      </c>
      <c r="CY153">
        <v>7786337654.3945017</v>
      </c>
      <c r="CZ153">
        <v>17.547231266647579</v>
      </c>
      <c r="DA153">
        <v>6.4088026088850115E-4</v>
      </c>
      <c r="DB153">
        <v>2192379896444.4121</v>
      </c>
      <c r="DC153">
        <v>16.6698697033152</v>
      </c>
      <c r="DD153">
        <v>2.1211266471540801E-7</v>
      </c>
      <c r="DE153">
        <v>6624088202772628</v>
      </c>
      <c r="DF153">
        <v>15.44156351464987</v>
      </c>
      <c r="DG153">
        <v>8.8880628369760712E-12</v>
      </c>
      <c r="DH153">
        <v>1.5808315330025639E+20</v>
      </c>
      <c r="DI153">
        <v>14.037785013318064</v>
      </c>
      <c r="DJ153">
        <v>3.1868960238423387E-22</v>
      </c>
      <c r="DK153">
        <v>4.4088448116546097E+30</v>
      </c>
      <c r="DL153">
        <v>12.283061886653304</v>
      </c>
      <c r="DM153">
        <v>445000000</v>
      </c>
      <c r="DN153">
        <v>17.547231266647579</v>
      </c>
      <c r="DO153">
        <v>1405053000</v>
      </c>
      <c r="DP153">
        <v>30860430</v>
      </c>
      <c r="DQ153">
        <v>3171</v>
      </c>
      <c r="DR153">
        <v>-18.535725716909358</v>
      </c>
      <c r="DS153">
        <v>-15.281880429999562</v>
      </c>
      <c r="DT153" s="10">
        <v>0.81</v>
      </c>
      <c r="DU153">
        <v>-0.99333333333333351</v>
      </c>
      <c r="DV153">
        <v>-0.18333333333333346</v>
      </c>
      <c r="DW153">
        <v>9.3451428571428572</v>
      </c>
      <c r="DX153">
        <v>0.41360105820105897</v>
      </c>
      <c r="DY153">
        <v>9.0702714509448228</v>
      </c>
      <c r="DZ153">
        <v>1711</v>
      </c>
      <c r="EA153">
        <v>9.0467422038672112</v>
      </c>
      <c r="EB153">
        <v>9</v>
      </c>
      <c r="EC153">
        <v>0.19673108384458077</v>
      </c>
      <c r="ED153">
        <v>0.96625766871165641</v>
      </c>
      <c r="EE153" s="11">
        <v>-1.05681</v>
      </c>
      <c r="EF153">
        <v>-1.07081</v>
      </c>
      <c r="EG153">
        <v>21.203601058201059</v>
      </c>
      <c r="EH153" t="s">
        <v>1726</v>
      </c>
      <c r="EI153">
        <v>1</v>
      </c>
      <c r="EJ153">
        <v>0</v>
      </c>
      <c r="EK153" s="13">
        <v>45470</v>
      </c>
      <c r="EL153" s="14">
        <v>1.43</v>
      </c>
      <c r="EM153" s="14">
        <v>-1.22</v>
      </c>
      <c r="EN153">
        <v>-0.09</v>
      </c>
      <c r="EO153">
        <v>1.61</v>
      </c>
      <c r="EP153">
        <v>-1.4</v>
      </c>
    </row>
    <row r="154" spans="1:146" ht="108">
      <c r="A154" s="7"/>
      <c r="B154" s="7"/>
      <c r="C154" s="7" t="str">
        <f>""&amp;CHAR(10)&amp;Basic_Fundamental_Information_Constructure(F154)&amp;CHAR(10)&amp;Basic_Fundamental_Information_Concatenate("")</f>
        <v xml:space="preserve">
市值32.134253亿, 利润6.66亿; PE30.67; 平均PE18.15; 平均PEG1.07, PB1.41; ROIC3.6933%; ROE3.3467%; 股利率1.5363%; 毛利11.8167%; 净利2.8733%; 上一年度营收增57.4%, 利润增878.23%; 当季营收增-1.79%, 利润增-70.55%; 过往5年营收增17.01%, 利润增180.11%
Income profile:
</v>
      </c>
      <c r="D154" t="s">
        <v>607</v>
      </c>
      <c r="E154" t="s">
        <v>29</v>
      </c>
      <c r="F154">
        <v>3.58</v>
      </c>
      <c r="G154">
        <v>0.56000000000000005</v>
      </c>
      <c r="H154" t="s">
        <v>5785</v>
      </c>
      <c r="I154">
        <v>3213425300</v>
      </c>
      <c r="J154">
        <v>30.67</v>
      </c>
      <c r="K154">
        <v>1.41</v>
      </c>
      <c r="L154" t="s">
        <v>85</v>
      </c>
      <c r="M154" t="s">
        <v>86</v>
      </c>
      <c r="N154" t="s">
        <v>5613</v>
      </c>
      <c r="O154" t="s">
        <v>836</v>
      </c>
      <c r="P154">
        <v>10.44</v>
      </c>
      <c r="Q154" t="s">
        <v>5786</v>
      </c>
      <c r="R154">
        <v>30034383</v>
      </c>
      <c r="S154" s="5">
        <v>0.13089999999999999</v>
      </c>
      <c r="T154" t="s">
        <v>1409</v>
      </c>
      <c r="U154">
        <v>897604830</v>
      </c>
      <c r="V154">
        <v>897604830</v>
      </c>
      <c r="W154">
        <v>1.27</v>
      </c>
      <c r="X154">
        <v>0.31</v>
      </c>
      <c r="Y154">
        <v>3.68</v>
      </c>
      <c r="Z154" t="s">
        <v>2326</v>
      </c>
      <c r="AA154" t="s">
        <v>1490</v>
      </c>
      <c r="AB154" t="s">
        <v>5787</v>
      </c>
      <c r="AC154" t="s">
        <v>5788</v>
      </c>
      <c r="AD154" t="s">
        <v>90</v>
      </c>
      <c r="AE154">
        <v>784502</v>
      </c>
      <c r="AF154" t="s">
        <v>3065</v>
      </c>
      <c r="AG154" t="s">
        <v>5789</v>
      </c>
      <c r="AH154" t="s">
        <v>3066</v>
      </c>
      <c r="AI154" t="s">
        <v>142</v>
      </c>
      <c r="AJ154" t="s">
        <v>3067</v>
      </c>
      <c r="AK154" t="s">
        <v>5790</v>
      </c>
      <c r="AL154" t="s">
        <v>3068</v>
      </c>
      <c r="AM154" t="s">
        <v>90</v>
      </c>
      <c r="AN154" t="s">
        <v>5791</v>
      </c>
      <c r="AO154" t="s">
        <v>219</v>
      </c>
      <c r="AP154" t="s">
        <v>5792</v>
      </c>
      <c r="AQ154" t="s">
        <v>909</v>
      </c>
      <c r="AR154" t="s">
        <v>90</v>
      </c>
      <c r="AS154" t="s">
        <v>3303</v>
      </c>
      <c r="AT154" t="s">
        <v>90</v>
      </c>
      <c r="AU154" t="s">
        <v>5793</v>
      </c>
      <c r="AV154" t="s">
        <v>5794</v>
      </c>
      <c r="AW154" t="s">
        <v>5795</v>
      </c>
      <c r="AX154" t="s">
        <v>2032</v>
      </c>
      <c r="AY154" t="s">
        <v>1341</v>
      </c>
      <c r="AZ154" t="s">
        <v>934</v>
      </c>
      <c r="BA154" t="s">
        <v>608</v>
      </c>
      <c r="BB154" t="s">
        <v>935</v>
      </c>
      <c r="BC154" t="s">
        <v>3069</v>
      </c>
      <c r="BD154" t="s">
        <v>1342</v>
      </c>
      <c r="BE154" t="s">
        <v>597</v>
      </c>
      <c r="BF154" t="s">
        <v>609</v>
      </c>
      <c r="BG154" t="s">
        <v>936</v>
      </c>
      <c r="BH154" t="s">
        <v>3064</v>
      </c>
      <c r="BI154" t="s">
        <v>5796</v>
      </c>
      <c r="BJ154" t="s">
        <v>2032</v>
      </c>
      <c r="BK154" t="s">
        <v>210</v>
      </c>
      <c r="BL154" t="s">
        <v>249</v>
      </c>
      <c r="BM154" t="s">
        <v>3069</v>
      </c>
      <c r="BN154">
        <v>3.39</v>
      </c>
      <c r="BO154">
        <v>3.4</v>
      </c>
      <c r="BP154">
        <v>4.29</v>
      </c>
      <c r="BQ154">
        <v>3.23</v>
      </c>
      <c r="BR154">
        <v>3.17</v>
      </c>
      <c r="BS154">
        <v>3.64</v>
      </c>
      <c r="BT154" t="s">
        <v>1701</v>
      </c>
      <c r="BU154" t="s">
        <v>1337</v>
      </c>
      <c r="BV154">
        <v>13</v>
      </c>
      <c r="BW154">
        <v>10.84</v>
      </c>
      <c r="BX154">
        <v>11.61</v>
      </c>
      <c r="BY154">
        <v>3.38</v>
      </c>
      <c r="BZ154">
        <v>2.36</v>
      </c>
      <c r="CA154">
        <v>2.88</v>
      </c>
      <c r="CB154">
        <v>-0.56000000000000005</v>
      </c>
      <c r="CC154">
        <v>-9.3699999999999992</v>
      </c>
      <c r="CD154" t="s">
        <v>5797</v>
      </c>
      <c r="CE154" t="s">
        <v>452</v>
      </c>
      <c r="CF154" s="8">
        <v>-1.7946161515453522E-2</v>
      </c>
      <c r="CG154" s="9">
        <v>-0.7055452647058823</v>
      </c>
      <c r="CH154" s="8">
        <v>0.5739520788192749</v>
      </c>
      <c r="CI154" s="8">
        <v>-3.0478937551379204E-2</v>
      </c>
      <c r="CJ154" s="8">
        <v>0.14375828206539154</v>
      </c>
      <c r="CK154" s="8">
        <v>8.0344334244728088E-2</v>
      </c>
      <c r="CL154" s="8">
        <v>8.3139032125473022E-2</v>
      </c>
      <c r="CM154" s="9">
        <v>8.7822637557983398</v>
      </c>
      <c r="CN154" s="9">
        <v>-0.12033241987228394</v>
      </c>
      <c r="CO154" s="9">
        <v>-0.26985281705856323</v>
      </c>
      <c r="CP154" s="9">
        <v>0.27749481797218323</v>
      </c>
      <c r="CQ154" s="9">
        <v>0.33583992719650269</v>
      </c>
      <c r="CR154">
        <v>18.145252352486285</v>
      </c>
      <c r="CS154">
        <v>1.066470959016165</v>
      </c>
      <c r="CT154">
        <v>1.5363128491620113</v>
      </c>
      <c r="CU154" s="8">
        <v>0.17014295794069767</v>
      </c>
      <c r="CV154" s="9">
        <v>1.8010826528072357</v>
      </c>
      <c r="CW154">
        <v>0.06</v>
      </c>
      <c r="CX154">
        <v>1.9918651632923952</v>
      </c>
      <c r="CY154">
        <v>735203028.29104209</v>
      </c>
      <c r="CZ154">
        <v>0.17014295794069767</v>
      </c>
      <c r="DA154">
        <v>0.60859829104603103</v>
      </c>
      <c r="DB154">
        <v>2406226441.2261372</v>
      </c>
      <c r="DC154">
        <v>0.16163581004366279</v>
      </c>
      <c r="DD154">
        <v>0.2731236037299638</v>
      </c>
      <c r="DE154">
        <v>5361767639.2695494</v>
      </c>
      <c r="DF154">
        <v>0.14972580298781396</v>
      </c>
      <c r="DG154">
        <v>0.14722239667387105</v>
      </c>
      <c r="DH154">
        <v>9947027986.8083782</v>
      </c>
      <c r="DI154">
        <v>0.13611436635255814</v>
      </c>
      <c r="DJ154">
        <v>5.9251881080225048E-2</v>
      </c>
      <c r="DK154">
        <v>24715254153.99416</v>
      </c>
      <c r="DL154">
        <v>0.11910007055848836</v>
      </c>
      <c r="DM154">
        <v>666000000</v>
      </c>
      <c r="DN154">
        <v>0.17014295794069767</v>
      </c>
      <c r="DO154">
        <v>1464425300</v>
      </c>
      <c r="DP154">
        <v>1160907300</v>
      </c>
      <c r="DQ154">
        <v>3268</v>
      </c>
      <c r="DR154">
        <v>-0.1880891194561512</v>
      </c>
      <c r="DS154">
        <v>-2.5066279175131179</v>
      </c>
      <c r="DT154" s="10">
        <v>-0.27333333333333337</v>
      </c>
      <c r="DU154">
        <v>-5.6666666666666719E-2</v>
      </c>
      <c r="DV154">
        <v>-0.33000000000000007</v>
      </c>
      <c r="DW154">
        <v>-2.0937000000000001</v>
      </c>
      <c r="DX154">
        <v>0.28786046511627961</v>
      </c>
      <c r="DY154">
        <v>-2.0129175255813951</v>
      </c>
      <c r="DZ154">
        <v>1128</v>
      </c>
      <c r="EA154">
        <v>-2.0100660639657759</v>
      </c>
      <c r="EB154">
        <v>2</v>
      </c>
      <c r="EC154">
        <v>3.9625455223987596E-2</v>
      </c>
      <c r="ED154">
        <v>0.28743160840611787</v>
      </c>
      <c r="EE154" s="11">
        <v>-1.10911</v>
      </c>
      <c r="EF154">
        <v>-1.13791</v>
      </c>
      <c r="EG154">
        <v>15.13786046511628</v>
      </c>
      <c r="EH154" t="s">
        <v>1726</v>
      </c>
      <c r="EI154">
        <v>0</v>
      </c>
      <c r="EJ154">
        <v>1</v>
      </c>
      <c r="EK154" s="13">
        <v>45470</v>
      </c>
      <c r="EL154" s="14">
        <v>0.19</v>
      </c>
      <c r="EM154" s="14">
        <v>-2.48</v>
      </c>
      <c r="EN154">
        <v>-0.76</v>
      </c>
      <c r="EO154">
        <v>2.44</v>
      </c>
      <c r="EP154">
        <v>-2.88</v>
      </c>
    </row>
    <row r="155" spans="1:146" ht="108">
      <c r="A155" s="7"/>
      <c r="B155" s="7"/>
      <c r="C155" s="7" t="str">
        <f>""&amp;CHAR(10)&amp;Basic_Fundamental_Information_Constructure(F155)&amp;CHAR(10)&amp;Basic_Fundamental_Information_Concatenate("")</f>
        <v xml:space="preserve">
市值32.44375亿, 利润3437.68万; PE24.06; 平均PE27.41; 平均PEG9.48, PB1.33; ROIC8.53%; ROE6.84%; 股利率1.564%; 毛利24.1933%; 净利9.03%; 上一年度营收增-72.77%, 利润增673.9%; 当季营收增687.66%, 利润增1817.57%; 过往5年营收增-2.89%, 利润增147.94%
Income profile:
</v>
      </c>
      <c r="D155" t="s">
        <v>331</v>
      </c>
      <c r="E155" t="s">
        <v>1174</v>
      </c>
      <c r="F155">
        <v>8.1199999999999992</v>
      </c>
      <c r="G155">
        <v>0.12</v>
      </c>
      <c r="H155" t="s">
        <v>5798</v>
      </c>
      <c r="I155">
        <v>3244375000</v>
      </c>
      <c r="J155">
        <v>24.06</v>
      </c>
      <c r="K155">
        <v>1.33</v>
      </c>
      <c r="L155" t="s">
        <v>85</v>
      </c>
      <c r="M155" t="s">
        <v>1128</v>
      </c>
      <c r="N155" t="s">
        <v>5799</v>
      </c>
      <c r="O155" t="s">
        <v>594</v>
      </c>
      <c r="P155">
        <v>12.14</v>
      </c>
      <c r="Q155" t="s">
        <v>289</v>
      </c>
      <c r="R155">
        <v>35244873</v>
      </c>
      <c r="S155" s="5">
        <v>-0.4869</v>
      </c>
      <c r="T155" t="s">
        <v>5800</v>
      </c>
      <c r="U155">
        <v>399553570</v>
      </c>
      <c r="V155">
        <v>399553570</v>
      </c>
      <c r="W155">
        <v>1.54</v>
      </c>
      <c r="X155">
        <v>0.15</v>
      </c>
      <c r="Y155">
        <v>6.27</v>
      </c>
      <c r="Z155" t="s">
        <v>886</v>
      </c>
      <c r="AA155" t="s">
        <v>1163</v>
      </c>
      <c r="AB155" t="s">
        <v>5801</v>
      </c>
      <c r="AC155" t="s">
        <v>5802</v>
      </c>
      <c r="AD155" t="s">
        <v>90</v>
      </c>
      <c r="AE155">
        <v>2774284</v>
      </c>
      <c r="AF155" t="s">
        <v>3071</v>
      </c>
      <c r="AG155" t="s">
        <v>5803</v>
      </c>
      <c r="AH155" t="s">
        <v>3072</v>
      </c>
      <c r="AI155" t="s">
        <v>369</v>
      </c>
      <c r="AJ155" t="s">
        <v>3073</v>
      </c>
      <c r="AK155" t="s">
        <v>123</v>
      </c>
      <c r="AL155" t="s">
        <v>3074</v>
      </c>
      <c r="AM155" t="s">
        <v>90</v>
      </c>
      <c r="AN155" t="s">
        <v>5804</v>
      </c>
      <c r="AO155" t="s">
        <v>5805</v>
      </c>
      <c r="AP155" t="s">
        <v>5806</v>
      </c>
      <c r="AQ155" t="s">
        <v>479</v>
      </c>
      <c r="AR155" t="s">
        <v>90</v>
      </c>
      <c r="AS155" t="s">
        <v>5497</v>
      </c>
      <c r="AT155" t="s">
        <v>126</v>
      </c>
      <c r="AU155" t="s">
        <v>5807</v>
      </c>
      <c r="AV155" t="s">
        <v>5808</v>
      </c>
      <c r="AW155" t="s">
        <v>5809</v>
      </c>
      <c r="AX155" t="s">
        <v>1597</v>
      </c>
      <c r="AY155" t="s">
        <v>799</v>
      </c>
      <c r="AZ155" t="s">
        <v>926</v>
      </c>
      <c r="BA155" t="s">
        <v>332</v>
      </c>
      <c r="BB155" t="s">
        <v>937</v>
      </c>
      <c r="BC155" t="s">
        <v>1981</v>
      </c>
      <c r="BD155" t="s">
        <v>457</v>
      </c>
      <c r="BE155" t="s">
        <v>104</v>
      </c>
      <c r="BF155" t="s">
        <v>261</v>
      </c>
      <c r="BG155" t="s">
        <v>939</v>
      </c>
      <c r="BH155" t="s">
        <v>3070</v>
      </c>
      <c r="BI155" t="s">
        <v>5810</v>
      </c>
      <c r="BJ155" t="s">
        <v>1597</v>
      </c>
      <c r="BK155" t="s">
        <v>247</v>
      </c>
      <c r="BL155" t="s">
        <v>5811</v>
      </c>
      <c r="BM155" t="s">
        <v>1981</v>
      </c>
      <c r="BN155">
        <v>5.64</v>
      </c>
      <c r="BO155" t="s">
        <v>90</v>
      </c>
      <c r="BP155">
        <v>11.42</v>
      </c>
      <c r="BQ155">
        <v>7.04</v>
      </c>
      <c r="BR155">
        <v>-0.27</v>
      </c>
      <c r="BS155">
        <v>13.75</v>
      </c>
      <c r="BT155" t="s">
        <v>3075</v>
      </c>
      <c r="BU155" t="s">
        <v>1337</v>
      </c>
      <c r="BV155">
        <v>21.84</v>
      </c>
      <c r="BW155">
        <v>24.26</v>
      </c>
      <c r="BX155">
        <v>26.48</v>
      </c>
      <c r="BY155">
        <v>8.4600000000000009</v>
      </c>
      <c r="BZ155">
        <v>-1.1000000000000001</v>
      </c>
      <c r="CA155">
        <v>19.73</v>
      </c>
      <c r="CB155">
        <v>-6.34</v>
      </c>
      <c r="CC155">
        <v>-18.25</v>
      </c>
      <c r="CD155" t="s">
        <v>5812</v>
      </c>
      <c r="CE155" t="s">
        <v>550</v>
      </c>
      <c r="CF155" s="8">
        <v>6.8765668536211324</v>
      </c>
      <c r="CG155" s="9">
        <v>18.175665397170839</v>
      </c>
      <c r="CH155" s="8">
        <v>-0.72774869203567505</v>
      </c>
      <c r="CI155" s="8">
        <v>0.1979093998670578</v>
      </c>
      <c r="CJ155" s="8">
        <v>0.23813630640506744</v>
      </c>
      <c r="CK155" s="8">
        <v>0.22515863180160522</v>
      </c>
      <c r="CL155" s="8">
        <v>-7.7972710132598877E-2</v>
      </c>
      <c r="CM155" s="9">
        <v>6.7390317916870117</v>
      </c>
      <c r="CN155" s="9">
        <v>-1.0201007127761841</v>
      </c>
      <c r="CO155" s="9">
        <v>0.98666667938232422</v>
      </c>
      <c r="CP155" s="9">
        <v>2.7397260069847107E-2</v>
      </c>
      <c r="CQ155" s="9">
        <v>0.6637759804725647</v>
      </c>
      <c r="CR155">
        <v>27.411886968607554</v>
      </c>
      <c r="CS155">
        <v>9.4839620291049584</v>
      </c>
      <c r="CT155">
        <v>1.5640394088669953</v>
      </c>
      <c r="CU155" s="8">
        <v>-2.8903412818908691E-2</v>
      </c>
      <c r="CV155" s="9">
        <v>1.4793541997671127</v>
      </c>
      <c r="CW155">
        <v>0.06</v>
      </c>
      <c r="CX155">
        <v>62.087657955365245</v>
      </c>
      <c r="CY155" t="s">
        <v>5813</v>
      </c>
      <c r="CZ155">
        <v>-2.8903412818908691E-2</v>
      </c>
      <c r="DA155">
        <v>20.695885985121748</v>
      </c>
      <c r="DB155" t="s">
        <v>5814</v>
      </c>
      <c r="DC155">
        <v>-2.7458242177963256E-2</v>
      </c>
      <c r="DD155">
        <v>10.347942992560874</v>
      </c>
      <c r="DE155" t="s">
        <v>5815</v>
      </c>
      <c r="DF155">
        <v>-2.5435003280639648E-2</v>
      </c>
      <c r="DG155">
        <v>6.2087657955365243</v>
      </c>
      <c r="DH155" t="s">
        <v>5816</v>
      </c>
      <c r="DI155">
        <v>-2.3122730255126955E-2</v>
      </c>
      <c r="DJ155">
        <v>3.1043828977682622</v>
      </c>
      <c r="DK155" t="s">
        <v>5817</v>
      </c>
      <c r="DL155">
        <v>-2.0232388973236082E-2</v>
      </c>
      <c r="DM155">
        <v>34376800</v>
      </c>
      <c r="DN155">
        <v>-2.8903412818908691E-2</v>
      </c>
      <c r="DO155">
        <v>2134375000</v>
      </c>
      <c r="DP155">
        <v>1940793000</v>
      </c>
      <c r="DQ155">
        <v>3299</v>
      </c>
      <c r="DR155">
        <v>6.9054702664400409</v>
      </c>
      <c r="DS155">
        <v>16.696311197403727</v>
      </c>
      <c r="DT155" s="10">
        <v>-0.37333333333333335</v>
      </c>
      <c r="DU155">
        <v>0.49</v>
      </c>
      <c r="DV155">
        <v>0.11666666666666664</v>
      </c>
      <c r="DW155">
        <v>-9.3473972602739721</v>
      </c>
      <c r="DX155">
        <v>0.29243478260869665</v>
      </c>
      <c r="DY155">
        <v>-9.0355855628350206</v>
      </c>
      <c r="DZ155">
        <v>4110</v>
      </c>
      <c r="EA155">
        <v>-9.0069639066213352</v>
      </c>
      <c r="EB155">
        <v>9</v>
      </c>
      <c r="EC155">
        <v>5.8965810266693397E-2</v>
      </c>
      <c r="ED155">
        <v>0.57564246015872156</v>
      </c>
      <c r="EE155" s="11">
        <v>-1.01311</v>
      </c>
      <c r="EF155">
        <v>-1.03651</v>
      </c>
      <c r="EG155">
        <v>19.102434782608697</v>
      </c>
      <c r="EH155" t="s">
        <v>1726</v>
      </c>
      <c r="EI155">
        <v>0</v>
      </c>
      <c r="EJ155">
        <v>0</v>
      </c>
      <c r="EK155" s="13">
        <v>45470</v>
      </c>
      <c r="EL155" s="14">
        <v>-0.76</v>
      </c>
      <c r="EM155" s="14">
        <v>-5.13</v>
      </c>
      <c r="EN155">
        <v>-0.54</v>
      </c>
      <c r="EO155">
        <v>4.3499999999999996</v>
      </c>
      <c r="EP155">
        <v>-2.34</v>
      </c>
    </row>
    <row r="156" spans="1:146" ht="108">
      <c r="A156" s="7"/>
      <c r="B156" s="7"/>
      <c r="C156" s="7" t="str">
        <f>""&amp;CHAR(10)&amp;Basic_Fundamental_Information_Constructure(F156)&amp;CHAR(10)&amp;Basic_Fundamental_Information_Concatenate("")</f>
        <v xml:space="preserve">
市值43.484679亿, 利润5.48亿; PE; 平均PE54.92; 平均PEG.1, PB4.09; ROIC1.61%; ROE-1.99%; 股利率0%; 毛利13.2633%; 净利-2.6333%; 上一年度营收增2692.42%, 利润增2892.05%; 当季营收增-96.57%, 利润增-102.51%; 过往5年营收增542.94%, 利润增627.48%
Income profile:
</v>
      </c>
      <c r="D156" t="s">
        <v>610</v>
      </c>
      <c r="E156" t="s">
        <v>941</v>
      </c>
      <c r="F156">
        <v>7.94</v>
      </c>
      <c r="G156">
        <v>0.76</v>
      </c>
      <c r="H156" t="s">
        <v>5818</v>
      </c>
      <c r="I156">
        <v>4348467900</v>
      </c>
      <c r="K156">
        <v>4.09</v>
      </c>
      <c r="L156" t="s">
        <v>85</v>
      </c>
      <c r="M156" t="s">
        <v>2145</v>
      </c>
      <c r="N156" t="s">
        <v>3076</v>
      </c>
      <c r="O156" t="s">
        <v>1287</v>
      </c>
      <c r="P156">
        <v>16.68</v>
      </c>
      <c r="Q156" t="s">
        <v>5819</v>
      </c>
      <c r="R156">
        <v>-6523098</v>
      </c>
      <c r="S156" s="5">
        <v>0.58599999999999997</v>
      </c>
      <c r="T156" t="s">
        <v>520</v>
      </c>
      <c r="U156">
        <v>435231440</v>
      </c>
      <c r="V156">
        <v>547665990</v>
      </c>
      <c r="W156">
        <v>2.11</v>
      </c>
      <c r="X156">
        <v>0.11</v>
      </c>
      <c r="Y156">
        <v>-1.04</v>
      </c>
      <c r="Z156" t="s">
        <v>877</v>
      </c>
      <c r="AA156" t="s">
        <v>378</v>
      </c>
      <c r="AB156" t="s">
        <v>5820</v>
      </c>
      <c r="AC156" t="s">
        <v>5821</v>
      </c>
      <c r="AD156" t="s">
        <v>90</v>
      </c>
      <c r="AE156">
        <v>2862738</v>
      </c>
      <c r="AF156" t="s">
        <v>3078</v>
      </c>
      <c r="AG156" t="s">
        <v>2745</v>
      </c>
      <c r="AH156" t="s">
        <v>3079</v>
      </c>
      <c r="AI156" t="s">
        <v>529</v>
      </c>
      <c r="AJ156" t="s">
        <v>3080</v>
      </c>
      <c r="AK156" t="s">
        <v>5822</v>
      </c>
      <c r="AL156" t="s">
        <v>3081</v>
      </c>
      <c r="AM156" t="s">
        <v>90</v>
      </c>
      <c r="AN156" t="s">
        <v>371</v>
      </c>
      <c r="AO156" t="s">
        <v>138</v>
      </c>
      <c r="AP156" t="s">
        <v>215</v>
      </c>
      <c r="AQ156" t="s">
        <v>262</v>
      </c>
      <c r="AR156" t="s">
        <v>90</v>
      </c>
      <c r="AS156" t="s">
        <v>4973</v>
      </c>
      <c r="AT156" t="s">
        <v>5823</v>
      </c>
      <c r="AU156" t="s">
        <v>5824</v>
      </c>
      <c r="AV156" t="s">
        <v>5825</v>
      </c>
      <c r="AW156" t="s">
        <v>5826</v>
      </c>
      <c r="AX156" t="s">
        <v>1982</v>
      </c>
      <c r="AY156" t="s">
        <v>1343</v>
      </c>
      <c r="AZ156" t="s">
        <v>942</v>
      </c>
      <c r="BA156" t="s">
        <v>487</v>
      </c>
      <c r="BB156" t="s">
        <v>298</v>
      </c>
      <c r="BC156" t="s">
        <v>3082</v>
      </c>
      <c r="BD156" t="s">
        <v>1344</v>
      </c>
      <c r="BE156" t="s">
        <v>192</v>
      </c>
      <c r="BF156" t="s">
        <v>611</v>
      </c>
      <c r="BG156" t="s">
        <v>944</v>
      </c>
      <c r="BH156" t="s">
        <v>2893</v>
      </c>
      <c r="BI156" t="s">
        <v>5827</v>
      </c>
      <c r="BJ156" t="s">
        <v>1982</v>
      </c>
      <c r="BK156" t="s">
        <v>3077</v>
      </c>
      <c r="BL156" t="s">
        <v>5828</v>
      </c>
      <c r="BM156" t="s">
        <v>3082</v>
      </c>
      <c r="BN156" t="s">
        <v>90</v>
      </c>
      <c r="BO156">
        <v>1.61</v>
      </c>
      <c r="BP156" t="s">
        <v>90</v>
      </c>
      <c r="BQ156">
        <v>-4.74</v>
      </c>
      <c r="BR156">
        <v>2.15</v>
      </c>
      <c r="BS156">
        <v>-3.38</v>
      </c>
      <c r="BT156" t="s">
        <v>1692</v>
      </c>
      <c r="BU156" t="s">
        <v>1337</v>
      </c>
      <c r="BV156">
        <v>15.31</v>
      </c>
      <c r="BW156">
        <v>13.54</v>
      </c>
      <c r="BX156">
        <v>10.94</v>
      </c>
      <c r="BY156">
        <v>-5.43</v>
      </c>
      <c r="BZ156">
        <v>1.02</v>
      </c>
      <c r="CA156">
        <v>-3.49</v>
      </c>
      <c r="CB156">
        <v>-1.61</v>
      </c>
      <c r="CC156">
        <v>-13.13</v>
      </c>
      <c r="CD156" t="s">
        <v>5829</v>
      </c>
      <c r="CE156" t="s">
        <v>314</v>
      </c>
      <c r="CF156" s="8">
        <v>-0.96565743019150529</v>
      </c>
      <c r="CG156" s="9">
        <v>-1.0250888384615384</v>
      </c>
      <c r="CH156" s="8">
        <v>26.924200057983398</v>
      </c>
      <c r="CI156" s="8">
        <v>0.15976324677467346</v>
      </c>
      <c r="CJ156" s="8">
        <v>8.7316237390041351E-2</v>
      </c>
      <c r="CK156" s="8">
        <v>-9.0301007032394409E-2</v>
      </c>
      <c r="CL156" s="8">
        <v>6.5953657031059265E-2</v>
      </c>
      <c r="CM156" s="9">
        <v>28.920503616333008</v>
      </c>
      <c r="CN156" s="9">
        <v>1.7866576910018921</v>
      </c>
      <c r="CO156" s="9">
        <v>-1.1492455005645752</v>
      </c>
      <c r="CP156" s="9">
        <v>2.2000000476837158</v>
      </c>
      <c r="CQ156" s="9">
        <v>-0.38391801714897156</v>
      </c>
      <c r="CR156">
        <v>54.91683566734941</v>
      </c>
      <c r="CS156">
        <v>0.10114740641529298</v>
      </c>
      <c r="CT156">
        <v>0</v>
      </c>
      <c r="CU156" s="8">
        <v>5.429386438429356</v>
      </c>
      <c r="CV156" s="9">
        <v>6.274799567461014</v>
      </c>
      <c r="CW156">
        <v>0.06</v>
      </c>
      <c r="CX156">
        <v>1.3251017457136891</v>
      </c>
      <c r="CY156">
        <v>3323871479.4898934</v>
      </c>
      <c r="CZ156">
        <v>5.429386438429356</v>
      </c>
      <c r="DA156">
        <v>3.411211951725375E-2</v>
      </c>
      <c r="DB156">
        <v>129117391775.44336</v>
      </c>
      <c r="DC156">
        <v>5.1579171165078881</v>
      </c>
      <c r="DD156">
        <v>2.5023068235309422E-4</v>
      </c>
      <c r="DE156">
        <v>17601630058239.484</v>
      </c>
      <c r="DF156">
        <v>4.7778600658178334</v>
      </c>
      <c r="DG156">
        <v>6.0796580251710258E-7</v>
      </c>
      <c r="DH156">
        <v>7244598103650902</v>
      </c>
      <c r="DI156">
        <v>4.3435091507434853</v>
      </c>
      <c r="DJ156">
        <v>4.7535507597706488E-13</v>
      </c>
      <c r="DK156">
        <v>9.2656376729476824E+21</v>
      </c>
      <c r="DL156">
        <v>3.8005705069005491</v>
      </c>
      <c r="DM156">
        <v>548000000</v>
      </c>
      <c r="DN156">
        <v>5.429386438429356</v>
      </c>
      <c r="DO156">
        <v>4404467900</v>
      </c>
      <c r="DP156">
        <v>521916200</v>
      </c>
      <c r="DQ156">
        <v>3525</v>
      </c>
      <c r="DR156">
        <v>-6.3950438686208617</v>
      </c>
      <c r="DS156">
        <v>-7.2998884059225526</v>
      </c>
      <c r="DT156" s="10">
        <v>1.0000000000000011E-2</v>
      </c>
      <c r="DU156">
        <v>-1.0866666666666667</v>
      </c>
      <c r="DV156">
        <v>-1.0766666666666667</v>
      </c>
      <c r="DW156">
        <v>-2.1313</v>
      </c>
      <c r="DX156">
        <v>0.31139863945578355</v>
      </c>
      <c r="DY156">
        <v>-2.0159396413605442</v>
      </c>
      <c r="DZ156">
        <v>3150</v>
      </c>
      <c r="EA156">
        <v>-2.0061138350424006</v>
      </c>
      <c r="EB156">
        <v>2</v>
      </c>
      <c r="EC156">
        <v>3.2584824191839994E-2</v>
      </c>
      <c r="ED156">
        <v>0.2684117741180167</v>
      </c>
      <c r="EE156" s="11">
        <v>4.0007999999999999</v>
      </c>
      <c r="EF156">
        <v>4.0193099999999999</v>
      </c>
      <c r="EG156">
        <v>19.121398639455784</v>
      </c>
      <c r="EH156" t="s">
        <v>2132</v>
      </c>
      <c r="EI156">
        <v>0</v>
      </c>
      <c r="EJ156">
        <v>0</v>
      </c>
      <c r="EK156" s="13">
        <v>45470</v>
      </c>
      <c r="EL156" s="14">
        <v>-0.25</v>
      </c>
      <c r="EM156" s="14">
        <v>-3.11</v>
      </c>
      <c r="EN156">
        <v>-0.34</v>
      </c>
      <c r="EO156">
        <v>1.36</v>
      </c>
      <c r="EP156">
        <v>-2.0099999999999998</v>
      </c>
    </row>
    <row r="157" spans="1:146" ht="108">
      <c r="A157" s="7"/>
      <c r="B157" s="7" t="s">
        <v>2130</v>
      </c>
      <c r="C157" s="7" t="str">
        <f>""&amp;CHAR(10)&amp;Basic_Fundamental_Information_Constructure(F157)&amp;CHAR(10)&amp;Basic_Fundamental_Information_Concatenate("")</f>
        <v xml:space="preserve">
市值41.199629亿, 利润4.43亿; PE124.5; 平均PE42.48; 平均PEG4.49, PB2.73; ROIC1.71%; ROE1.7467%; 股利率.2499%; 毛利10.0033%; 净利1.25%; 上一年度营收增31.42%, 利润增1839.69%; 当季营收增-43.22%, 利润增-96.2%; 过往5年营收增9.46%, 利润增366.7%
Income profile:
</v>
      </c>
      <c r="D157" t="s">
        <v>614</v>
      </c>
      <c r="E157" t="s">
        <v>1176</v>
      </c>
      <c r="F157">
        <v>16.809999999999999</v>
      </c>
      <c r="G157">
        <v>-2.15</v>
      </c>
      <c r="H157" t="s">
        <v>5830</v>
      </c>
      <c r="I157">
        <v>4119962900</v>
      </c>
      <c r="J157">
        <v>124.5</v>
      </c>
      <c r="K157">
        <v>2.73</v>
      </c>
      <c r="L157" t="s">
        <v>85</v>
      </c>
      <c r="M157" t="s">
        <v>1301</v>
      </c>
      <c r="N157" t="s">
        <v>2507</v>
      </c>
      <c r="O157" t="s">
        <v>568</v>
      </c>
      <c r="P157">
        <v>10.31</v>
      </c>
      <c r="Q157" t="s">
        <v>5831</v>
      </c>
      <c r="R157">
        <v>7139494</v>
      </c>
      <c r="S157" s="5">
        <v>-9.9099999999999994E-2</v>
      </c>
      <c r="T157" t="s">
        <v>1469</v>
      </c>
      <c r="U157">
        <v>245090000</v>
      </c>
      <c r="V157">
        <v>245090000</v>
      </c>
      <c r="W157">
        <v>2.3199999999999998</v>
      </c>
      <c r="X157">
        <v>0.14000000000000001</v>
      </c>
      <c r="Y157">
        <v>1.51</v>
      </c>
      <c r="Z157" t="s">
        <v>656</v>
      </c>
      <c r="AA157" t="s">
        <v>1398</v>
      </c>
      <c r="AB157" t="s">
        <v>5832</v>
      </c>
      <c r="AC157" t="s">
        <v>5833</v>
      </c>
      <c r="AD157" t="s">
        <v>90</v>
      </c>
      <c r="AE157">
        <v>2540435</v>
      </c>
      <c r="AF157" t="s">
        <v>3084</v>
      </c>
      <c r="AG157" t="s">
        <v>90</v>
      </c>
      <c r="AH157" t="s">
        <v>3085</v>
      </c>
      <c r="AI157" t="s">
        <v>1612</v>
      </c>
      <c r="AJ157" t="s">
        <v>3086</v>
      </c>
      <c r="AK157" t="s">
        <v>158</v>
      </c>
      <c r="AL157" t="s">
        <v>3087</v>
      </c>
      <c r="AM157" t="s">
        <v>90</v>
      </c>
      <c r="AN157" t="s">
        <v>2566</v>
      </c>
      <c r="AO157" t="s">
        <v>1759</v>
      </c>
      <c r="AP157" t="s">
        <v>820</v>
      </c>
      <c r="AQ157" t="s">
        <v>584</v>
      </c>
      <c r="AR157" t="s">
        <v>90</v>
      </c>
      <c r="AS157" t="s">
        <v>5834</v>
      </c>
      <c r="AT157" t="s">
        <v>214</v>
      </c>
      <c r="AU157" t="s">
        <v>5835</v>
      </c>
      <c r="AV157" t="s">
        <v>5836</v>
      </c>
      <c r="AW157" t="s">
        <v>189</v>
      </c>
      <c r="AX157" t="s">
        <v>1983</v>
      </c>
      <c r="AY157" t="s">
        <v>1345</v>
      </c>
      <c r="AZ157" t="s">
        <v>945</v>
      </c>
      <c r="BA157" t="s">
        <v>615</v>
      </c>
      <c r="BB157" t="s">
        <v>948</v>
      </c>
      <c r="BC157" t="s">
        <v>3088</v>
      </c>
      <c r="BD157" t="s">
        <v>1346</v>
      </c>
      <c r="BE157" t="s">
        <v>946</v>
      </c>
      <c r="BF157" t="s">
        <v>616</v>
      </c>
      <c r="BG157" t="s">
        <v>949</v>
      </c>
      <c r="BH157" t="s">
        <v>2579</v>
      </c>
      <c r="BI157" t="s">
        <v>4461</v>
      </c>
      <c r="BJ157" t="s">
        <v>1983</v>
      </c>
      <c r="BK157" t="s">
        <v>3083</v>
      </c>
      <c r="BL157" t="s">
        <v>237</v>
      </c>
      <c r="BM157" t="s">
        <v>3088</v>
      </c>
      <c r="BN157" t="s">
        <v>90</v>
      </c>
      <c r="BO157">
        <v>1.56</v>
      </c>
      <c r="BP157">
        <v>1.86</v>
      </c>
      <c r="BQ157">
        <v>1.54</v>
      </c>
      <c r="BR157">
        <v>1.56</v>
      </c>
      <c r="BS157">
        <v>2.14</v>
      </c>
      <c r="BT157" t="s">
        <v>3089</v>
      </c>
      <c r="BU157" t="s">
        <v>1337</v>
      </c>
      <c r="BV157">
        <v>10.66</v>
      </c>
      <c r="BW157">
        <v>8.56</v>
      </c>
      <c r="BX157">
        <v>10.79</v>
      </c>
      <c r="BY157">
        <v>1.55</v>
      </c>
      <c r="BZ157">
        <v>0.97</v>
      </c>
      <c r="CA157">
        <v>1.23</v>
      </c>
      <c r="CB157">
        <v>-0.88</v>
      </c>
      <c r="CC157">
        <v>29.73</v>
      </c>
      <c r="CD157" t="s">
        <v>5837</v>
      </c>
      <c r="CE157" t="s">
        <v>1470</v>
      </c>
      <c r="CF157" s="8">
        <v>-0.43217286914765901</v>
      </c>
      <c r="CG157" s="9">
        <v>-0.96202396808510637</v>
      </c>
      <c r="CH157" s="8">
        <v>0.31420186161994934</v>
      </c>
      <c r="CI157" s="8">
        <v>-5.6148625910282135E-2</v>
      </c>
      <c r="CJ157" s="8">
        <v>0.1873239129781723</v>
      </c>
      <c r="CK157" s="8">
        <v>-2.6508226990699768E-2</v>
      </c>
      <c r="CL157" s="8">
        <v>5.3949903696775436E-2</v>
      </c>
      <c r="CM157" s="9">
        <v>18.396902084350586</v>
      </c>
      <c r="CN157" s="9">
        <v>-0.26402035355567932</v>
      </c>
      <c r="CO157" s="9">
        <v>2.7995865792036057E-2</v>
      </c>
      <c r="CP157" s="9">
        <v>3.3830158412456512E-2</v>
      </c>
      <c r="CQ157" s="9">
        <v>0.14011494815349579</v>
      </c>
      <c r="CR157">
        <v>42.483611180714739</v>
      </c>
      <c r="CS157">
        <v>4.492588799242581</v>
      </c>
      <c r="CT157">
        <v>0.24985127900059489</v>
      </c>
      <c r="CU157" s="8">
        <v>9.456376507878303E-2</v>
      </c>
      <c r="CV157" s="9">
        <v>3.6669645406305791</v>
      </c>
      <c r="CW157">
        <v>0.06</v>
      </c>
      <c r="CX157">
        <v>9.7497239212316895</v>
      </c>
      <c r="CY157">
        <v>457445045.21688753</v>
      </c>
      <c r="CZ157">
        <v>9.456376507878303E-2</v>
      </c>
      <c r="DA157">
        <v>3.1738361257409333</v>
      </c>
      <c r="DB157">
        <v>1405227845.2022533</v>
      </c>
      <c r="DC157">
        <v>8.9835576824843874E-2</v>
      </c>
      <c r="DD157">
        <v>1.5543422735325965</v>
      </c>
      <c r="DE157">
        <v>2869357010.9649787</v>
      </c>
      <c r="DF157">
        <v>8.3216113269329067E-2</v>
      </c>
      <c r="DG157">
        <v>0.92796658418897471</v>
      </c>
      <c r="DH157">
        <v>4806167566.7965174</v>
      </c>
      <c r="DI157">
        <v>7.5651012063026435E-2</v>
      </c>
      <c r="DJ157">
        <v>0.47323930590876684</v>
      </c>
      <c r="DK157">
        <v>9424328969.1152821</v>
      </c>
      <c r="DL157">
        <v>6.619463555514811E-2</v>
      </c>
      <c r="DM157">
        <v>443000000</v>
      </c>
      <c r="DN157">
        <v>9.456376507878303E-2</v>
      </c>
      <c r="DO157">
        <v>4459962900</v>
      </c>
      <c r="DP157">
        <v>270113300</v>
      </c>
      <c r="DQ157">
        <v>3612</v>
      </c>
      <c r="DR157">
        <v>-0.52673663422644201</v>
      </c>
      <c r="DS157">
        <v>-4.6289885087156852</v>
      </c>
      <c r="DT157" s="10">
        <v>-0.14000000000000001</v>
      </c>
      <c r="DU157">
        <v>-0.29000000000000004</v>
      </c>
      <c r="DV157">
        <v>-0.43000000000000005</v>
      </c>
      <c r="DW157">
        <v>3.1552797619047621</v>
      </c>
      <c r="DX157">
        <v>0.31674615384615368</v>
      </c>
      <c r="DY157">
        <v>3.0243395054487179</v>
      </c>
      <c r="DZ157">
        <v>4822</v>
      </c>
      <c r="EA157">
        <v>3.0013717764323347</v>
      </c>
      <c r="EB157">
        <v>3</v>
      </c>
      <c r="EC157">
        <v>0.34919172548859601</v>
      </c>
      <c r="ED157">
        <v>2.227753070300706</v>
      </c>
      <c r="EE157" s="11">
        <v>-2.0441099999999999</v>
      </c>
      <c r="EF157">
        <v>-2.0720100000000001</v>
      </c>
      <c r="EG157">
        <v>16.156746153846154</v>
      </c>
      <c r="EH157" t="s">
        <v>1735</v>
      </c>
      <c r="EI157">
        <v>0</v>
      </c>
      <c r="EJ157">
        <v>0</v>
      </c>
      <c r="EK157" s="13">
        <v>45470</v>
      </c>
      <c r="EL157" s="14">
        <v>0.44</v>
      </c>
      <c r="EM157" s="14">
        <v>-5.18</v>
      </c>
      <c r="EN157">
        <v>-0.52</v>
      </c>
      <c r="EO157">
        <v>1.44</v>
      </c>
      <c r="EP157">
        <v>-2.79</v>
      </c>
    </row>
    <row r="158" spans="1:146" ht="216">
      <c r="A158" s="7" t="s">
        <v>1192</v>
      </c>
      <c r="B158" s="7" t="s">
        <v>1199</v>
      </c>
      <c r="C158" s="7" t="str">
        <f>"公司是国内紧固件行业龙头企业，是全球最大的紧固件制造厂商之一，生产国标（GB）、美标（ANSI）、德标（DIN）、意标（UNI）、日标（JIS）、国际标准（ISO）等各类高品质螺栓、螺母、螺钉、精线及非标准特殊紧固件，是国内唯一一家能够生产制造全套时速 250 公里和 350 公里高铁扣配件及整件产品的企业，是行业内的领军企业。"&amp;CHAR(10)&amp;Basic_Fundamental_Information_Constructure(F158)&amp;CHAR(10)&amp;Basic_Fundamental_Information_Concatenate("紧固件行业 22.54亿 89.36% 毛利23.99%
其他业务 2.39亿 9.49% 毛利10.98%
自动仓储设备制造行业 1465.10万 0.58% 毛利9.33%
五金工具行业 1391.86万 0.55% 毛利14.08%
运输业 30.07万 0.01% 毛利27.45%")</f>
        <v>公司是国内紧固件行业龙头企业，是全球最大的紧固件制造厂商之一，生产国标（GB）、美标（ANSI）、德标（DIN）、意标（UNI）、日标（JIS）、国际标准（ISO）等各类高品质螺栓、螺母、螺钉、精线及非标准特殊紧固件，是国内唯一一家能够生产制造全套时速 250 公里和 350 公里高铁扣配件及整件产品的企业，是行业内的领军企业。
市值27.936806亿, 利润-10.12亿; PE; 平均PE122.35; 平均PEG.22, PB.676; ROIC4.055%; ROE2.6833%; 股利率3.4247%; 毛利16.43%; 净利3.6267%; 上一年度营收增2832.09%, 利润增-980%; 当季营收增-97.53%, 利润增-107.66%; 过往5年营收增562.21%, 利润增-168.89%
Income profile:
紧固件行业 22.54亿 89.36% 毛利23.99%
其他业务 2.39亿 9.49% 毛利10.98%
自动仓储设备制造行业 1465.10万 0.58% 毛利9.33%
五金工具行业 1391.86万 0.55% 毛利14.08%
运输业 30.07万 0.01% 毛利27.45%</v>
      </c>
      <c r="D158" t="s">
        <v>336</v>
      </c>
      <c r="E158" t="s">
        <v>43</v>
      </c>
      <c r="F158">
        <v>2.92</v>
      </c>
      <c r="G158">
        <v>2.46</v>
      </c>
      <c r="H158" t="s">
        <v>5838</v>
      </c>
      <c r="I158">
        <v>2793680600</v>
      </c>
      <c r="K158">
        <v>0.67600000000000005</v>
      </c>
      <c r="L158" t="s">
        <v>85</v>
      </c>
      <c r="M158" t="s">
        <v>3090</v>
      </c>
      <c r="N158" t="s">
        <v>4777</v>
      </c>
      <c r="O158" t="s">
        <v>689</v>
      </c>
      <c r="P158">
        <v>-12.85</v>
      </c>
      <c r="Q158" t="s">
        <v>5839</v>
      </c>
      <c r="R158">
        <v>-20608946</v>
      </c>
      <c r="S158" s="5">
        <v>-2.0779999999999998</v>
      </c>
      <c r="T158" t="s">
        <v>5840</v>
      </c>
      <c r="U158">
        <v>954440720</v>
      </c>
      <c r="V158">
        <v>956739920</v>
      </c>
      <c r="W158">
        <v>1.25</v>
      </c>
      <c r="X158">
        <v>0.08</v>
      </c>
      <c r="Y158">
        <v>-4.76</v>
      </c>
      <c r="Z158" t="s">
        <v>1459</v>
      </c>
      <c r="AA158" t="s">
        <v>1434</v>
      </c>
      <c r="AB158" t="s">
        <v>5841</v>
      </c>
      <c r="AC158" t="s">
        <v>5842</v>
      </c>
      <c r="AD158" t="s">
        <v>90</v>
      </c>
      <c r="AE158">
        <v>-660122</v>
      </c>
      <c r="AF158" t="s">
        <v>3093</v>
      </c>
      <c r="AG158" t="s">
        <v>5843</v>
      </c>
      <c r="AH158" t="s">
        <v>3094</v>
      </c>
      <c r="AI158" t="s">
        <v>1221</v>
      </c>
      <c r="AJ158" t="s">
        <v>3095</v>
      </c>
      <c r="AK158" t="s">
        <v>5844</v>
      </c>
      <c r="AL158" t="s">
        <v>3096</v>
      </c>
      <c r="AM158" t="s">
        <v>90</v>
      </c>
      <c r="AN158" t="s">
        <v>5845</v>
      </c>
      <c r="AO158" t="s">
        <v>90</v>
      </c>
      <c r="AP158" t="s">
        <v>163</v>
      </c>
      <c r="AQ158" t="s">
        <v>550</v>
      </c>
      <c r="AR158" t="s">
        <v>5846</v>
      </c>
      <c r="AS158" t="s">
        <v>1277</v>
      </c>
      <c r="AT158" t="s">
        <v>90</v>
      </c>
      <c r="AU158" t="s">
        <v>175</v>
      </c>
      <c r="AV158" t="s">
        <v>5847</v>
      </c>
      <c r="AW158" t="s">
        <v>5848</v>
      </c>
      <c r="AX158" t="s">
        <v>1984</v>
      </c>
      <c r="AY158" t="s">
        <v>1347</v>
      </c>
      <c r="AZ158" t="s">
        <v>950</v>
      </c>
      <c r="BA158" t="s">
        <v>338</v>
      </c>
      <c r="BB158" t="s">
        <v>951</v>
      </c>
      <c r="BC158" t="s">
        <v>109</v>
      </c>
      <c r="BD158" t="s">
        <v>856</v>
      </c>
      <c r="BE158" t="s">
        <v>216</v>
      </c>
      <c r="BF158" t="s">
        <v>339</v>
      </c>
      <c r="BG158" t="s">
        <v>671</v>
      </c>
      <c r="BH158" t="s">
        <v>3091</v>
      </c>
      <c r="BI158" t="s">
        <v>5849</v>
      </c>
      <c r="BJ158" t="s">
        <v>1984</v>
      </c>
      <c r="BK158" t="s">
        <v>3092</v>
      </c>
      <c r="BL158" t="s">
        <v>1393</v>
      </c>
      <c r="BM158" t="s">
        <v>109</v>
      </c>
      <c r="BN158" t="s">
        <v>90</v>
      </c>
      <c r="BO158">
        <v>2.81</v>
      </c>
      <c r="BP158">
        <v>5.3</v>
      </c>
      <c r="BQ158">
        <v>-0.01</v>
      </c>
      <c r="BR158">
        <v>2.74</v>
      </c>
      <c r="BS158">
        <v>5.32</v>
      </c>
      <c r="BT158" t="s">
        <v>1697</v>
      </c>
      <c r="BU158" t="s">
        <v>1337</v>
      </c>
      <c r="BV158">
        <v>12.19</v>
      </c>
      <c r="BW158">
        <v>16.27</v>
      </c>
      <c r="BX158">
        <v>20.83</v>
      </c>
      <c r="BY158">
        <v>-0.86</v>
      </c>
      <c r="BZ158">
        <v>4.24</v>
      </c>
      <c r="CA158">
        <v>7.5</v>
      </c>
      <c r="CB158">
        <v>0.69</v>
      </c>
      <c r="CC158">
        <v>-15.85</v>
      </c>
      <c r="CD158" t="s">
        <v>5850</v>
      </c>
      <c r="CE158" t="s">
        <v>236</v>
      </c>
      <c r="CF158" s="8">
        <v>-0.97529857267695896</v>
      </c>
      <c r="CG158" s="9">
        <v>-1.0766131821561338</v>
      </c>
      <c r="CH158" s="8">
        <v>28.320941925048828</v>
      </c>
      <c r="CI158" s="8">
        <v>-5.4627675563097E-2</v>
      </c>
      <c r="CJ158" s="8">
        <v>0.13957177102565765</v>
      </c>
      <c r="CK158" s="8">
        <v>-0.14421451091766357</v>
      </c>
      <c r="CL158" s="8">
        <v>-0.1509651392698288</v>
      </c>
      <c r="CM158" s="9">
        <v>-9.8000001907348633</v>
      </c>
      <c r="CN158" s="9">
        <v>-0.46511629223823547</v>
      </c>
      <c r="CO158" s="9">
        <v>-0.5717131495475769</v>
      </c>
      <c r="CP158" s="9">
        <v>2.6115107536315918</v>
      </c>
      <c r="CQ158" s="9">
        <v>-0.21910113096237183</v>
      </c>
      <c r="CR158">
        <v>122.35097518248163</v>
      </c>
      <c r="CS158">
        <v>0.21762344490860241</v>
      </c>
      <c r="CT158">
        <v>3.4246575342465753</v>
      </c>
      <c r="CU158" s="8">
        <v>5.6221412740647789</v>
      </c>
      <c r="CV158" s="9">
        <v>-1.6888840019702911</v>
      </c>
      <c r="CW158">
        <v>0.06</v>
      </c>
      <c r="CX158" t="s">
        <v>3098</v>
      </c>
      <c r="CY158" t="s">
        <v>1392</v>
      </c>
      <c r="CZ158">
        <v>5.6221412740647789</v>
      </c>
      <c r="DA158" t="s">
        <v>3098</v>
      </c>
      <c r="DB158" t="s">
        <v>1391</v>
      </c>
      <c r="DC158">
        <v>5.3410342103615394</v>
      </c>
      <c r="DD158" t="s">
        <v>3098</v>
      </c>
      <c r="DE158" t="s">
        <v>1391</v>
      </c>
      <c r="DF158">
        <v>4.9474843211770052</v>
      </c>
      <c r="DG158" t="s">
        <v>3098</v>
      </c>
      <c r="DH158" t="s">
        <v>1391</v>
      </c>
      <c r="DI158">
        <v>4.4977130192518233</v>
      </c>
      <c r="DJ158" t="s">
        <v>3098</v>
      </c>
      <c r="DK158" t="s">
        <v>1391</v>
      </c>
      <c r="DL158">
        <v>3.9354988918453451</v>
      </c>
      <c r="DM158">
        <v>-1011999999.9999999</v>
      </c>
      <c r="DN158">
        <v>5.6221412740647789</v>
      </c>
      <c r="DO158">
        <v>-307319400</v>
      </c>
      <c r="DP158">
        <v>2058575800</v>
      </c>
      <c r="DQ158">
        <v>3621</v>
      </c>
      <c r="DR158">
        <v>-6.5974398467417377</v>
      </c>
      <c r="DS158">
        <v>0.61227081981415732</v>
      </c>
      <c r="DT158" s="10">
        <v>-0.24000000000000002</v>
      </c>
      <c r="DU158">
        <v>-1.6850000000000003</v>
      </c>
      <c r="DV158">
        <v>-1.9250000000000003</v>
      </c>
      <c r="DW158">
        <v>-2.1585000000000001</v>
      </c>
      <c r="DX158">
        <v>0.34332034883720963</v>
      </c>
      <c r="DY158">
        <v>-2.0179612752906975</v>
      </c>
      <c r="DZ158">
        <v>1339</v>
      </c>
      <c r="EA158">
        <v>-2.0132547884777341</v>
      </c>
      <c r="EB158">
        <v>2</v>
      </c>
      <c r="EC158">
        <v>2.0372412180731415E-2</v>
      </c>
      <c r="ED158">
        <v>0.17977717497143841</v>
      </c>
      <c r="EE158" s="11">
        <v>2.0409999999999998E-2</v>
      </c>
      <c r="EF158">
        <v>3.3710000000000004E-2</v>
      </c>
      <c r="EG158">
        <v>23.11332034883721</v>
      </c>
      <c r="EH158">
        <v>-1</v>
      </c>
      <c r="EI158">
        <v>0</v>
      </c>
      <c r="EJ158">
        <v>1</v>
      </c>
      <c r="EK158" s="13">
        <v>45470</v>
      </c>
      <c r="EL158" s="14">
        <v>-1.78</v>
      </c>
      <c r="EM158" s="14">
        <v>-3.85</v>
      </c>
      <c r="EN158">
        <v>0.52</v>
      </c>
      <c r="EO158">
        <v>-1.1399999999999999</v>
      </c>
      <c r="EP158">
        <v>-1.33</v>
      </c>
    </row>
    <row r="159" spans="1:146" ht="276">
      <c r="A159" s="7" t="s">
        <v>1193</v>
      </c>
      <c r="B159" s="7"/>
      <c r="C159" s="7" t="str">
        <f>"公司主营业务为专业生产各类齿轮传动装置。公司生产和销售的主要产品包括船用齿轮箱及船舶推进系统、工程机械变速箱、风电增速箱及工业齿轮箱、汽车变速器、农业机械变速箱和驱动桥、摩擦材料及摩擦片、弹性联轴器。公司是中国齿轮行业产品应用领域最广和船用齿轮箱销售规模最大、工程机械传动装置覆盖领域最广、深具综合竞争力的大型骨干企业。"&amp;CHAR(10)&amp;Basic_Fundamental_Information_Constructure(F159)&amp;CHAR(10)&amp;Basic_Fundamental_Information_Concatenate("船用齿轮箱产品 10.93亿 49.75% 2.43亿 49.77% 22.28%
风电及工业传动产品 5.67亿 25.81% 5089.67万 10.41% 8.98%
工程机械变速箱产品 4.76亿 21.67% 7541.00万 15.42% 15.84%
铸造件 1.86亿 8.46% 2642.86万 5.40% 14.22%
摩擦及粉末冶金产品 1.38亿 6.29% 4540.39万 9.28% 32.85%")</f>
        <v>公司主营业务为专业生产各类齿轮传动装置。公司生产和销售的主要产品包括船用齿轮箱及船舶推进系统、工程机械变速箱、风电增速箱及工业齿轮箱、汽车变速器、农业机械变速箱和驱动桥、摩擦材料及摩擦片、弹性联轴器。公司是中国齿轮行业产品应用领域最广和船用齿轮箱销售规模最大、工程机械传动装置覆盖领域最广、深具综合竞争力的大型骨干企业。
市值27.783098亿, 利润8.85亿; PE14.02; 平均PE12.17; 平均PEG.07, PB1.13; ROIC7.16%; ROE8.4567%; 股利率.7342%; 毛利23.44%; 净利10.1933%; 上一年度营收增849.36%, 利润增323.44%; 当季营收增-91.18%, 利润增-72.3%; 过往5年营收增176.14%, 利润增165.67%
Income profile:
船用齿轮箱产品 10.93亿 49.75% 2.43亿 49.77% 22.28%
风电及工业传动产品 5.67亿 25.81% 5089.67万 10.41% 8.98%
工程机械变速箱产品 4.76亿 21.67% 7541.00万 15.42% 15.84%
铸造件 1.86亿 8.46% 2642.86万 5.40% 14.22%
摩擦及粉末冶金产品 1.38亿 6.29% 4540.39万 9.28% 32.85%</v>
      </c>
      <c r="D159" t="s">
        <v>346</v>
      </c>
      <c r="E159" t="s">
        <v>6</v>
      </c>
      <c r="F159">
        <v>6.81</v>
      </c>
      <c r="G159">
        <v>0.44</v>
      </c>
      <c r="H159" t="s">
        <v>5851</v>
      </c>
      <c r="I159">
        <v>2778309800</v>
      </c>
      <c r="J159">
        <v>14.02</v>
      </c>
      <c r="K159">
        <v>1.1299999999999999</v>
      </c>
      <c r="L159" t="s">
        <v>85</v>
      </c>
      <c r="M159" t="s">
        <v>3099</v>
      </c>
      <c r="N159" t="s">
        <v>5852</v>
      </c>
      <c r="O159" t="s">
        <v>504</v>
      </c>
      <c r="P159">
        <v>-22.34</v>
      </c>
      <c r="Q159" t="s">
        <v>5853</v>
      </c>
      <c r="R159">
        <v>52350758</v>
      </c>
      <c r="S159" s="5">
        <v>-0.2019</v>
      </c>
      <c r="T159" t="s">
        <v>5854</v>
      </c>
      <c r="U159">
        <v>400060000</v>
      </c>
      <c r="V159">
        <v>407975000</v>
      </c>
      <c r="W159">
        <v>1.89</v>
      </c>
      <c r="X159">
        <v>0.09</v>
      </c>
      <c r="Y159">
        <v>12.72</v>
      </c>
      <c r="Z159" t="s">
        <v>1574</v>
      </c>
      <c r="AA159" t="s">
        <v>877</v>
      </c>
      <c r="AB159" t="s">
        <v>5855</v>
      </c>
      <c r="AC159" t="s">
        <v>5856</v>
      </c>
      <c r="AD159" t="s">
        <v>90</v>
      </c>
      <c r="AE159">
        <v>4548652</v>
      </c>
      <c r="AF159" t="s">
        <v>3101</v>
      </c>
      <c r="AG159">
        <v>6000.3</v>
      </c>
      <c r="AH159" t="s">
        <v>3102</v>
      </c>
      <c r="AI159" t="s">
        <v>198</v>
      </c>
      <c r="AJ159" t="s">
        <v>3103</v>
      </c>
      <c r="AK159" t="s">
        <v>5857</v>
      </c>
      <c r="AL159" t="s">
        <v>3104</v>
      </c>
      <c r="AM159" t="s">
        <v>90</v>
      </c>
      <c r="AN159" t="s">
        <v>418</v>
      </c>
      <c r="AO159" t="s">
        <v>327</v>
      </c>
      <c r="AP159" t="s">
        <v>272</v>
      </c>
      <c r="AQ159" t="s">
        <v>875</v>
      </c>
      <c r="AR159" t="s">
        <v>5858</v>
      </c>
      <c r="AS159" t="s">
        <v>5859</v>
      </c>
      <c r="AT159" t="s">
        <v>238</v>
      </c>
      <c r="AU159" t="s">
        <v>5860</v>
      </c>
      <c r="AV159" t="s">
        <v>5861</v>
      </c>
      <c r="AW159" t="s">
        <v>5862</v>
      </c>
      <c r="AX159" t="s">
        <v>1731</v>
      </c>
      <c r="AY159" t="s">
        <v>776</v>
      </c>
      <c r="AZ159" t="s">
        <v>952</v>
      </c>
      <c r="BA159" t="s">
        <v>347</v>
      </c>
      <c r="BB159" t="s">
        <v>954</v>
      </c>
      <c r="BC159" t="s">
        <v>407</v>
      </c>
      <c r="BD159" t="s">
        <v>104</v>
      </c>
      <c r="BE159" t="s">
        <v>1985</v>
      </c>
      <c r="BF159" t="s">
        <v>348</v>
      </c>
      <c r="BG159" t="s">
        <v>955</v>
      </c>
      <c r="BH159" t="s">
        <v>3100</v>
      </c>
      <c r="BI159" t="s">
        <v>5863</v>
      </c>
      <c r="BJ159" t="s">
        <v>1731</v>
      </c>
      <c r="BK159" t="s">
        <v>494</v>
      </c>
      <c r="BL159" t="s">
        <v>232</v>
      </c>
      <c r="BM159" t="s">
        <v>407</v>
      </c>
      <c r="BN159">
        <v>5.95</v>
      </c>
      <c r="BO159">
        <v>7.89</v>
      </c>
      <c r="BP159">
        <v>7.64</v>
      </c>
      <c r="BQ159">
        <v>7.84</v>
      </c>
      <c r="BR159">
        <v>10.210000000000001</v>
      </c>
      <c r="BS159">
        <v>7.32</v>
      </c>
      <c r="BT159" t="s">
        <v>3105</v>
      </c>
      <c r="BU159" t="s">
        <v>1337</v>
      </c>
      <c r="BV159">
        <v>23.99</v>
      </c>
      <c r="BW159">
        <v>22.27</v>
      </c>
      <c r="BX159">
        <v>24.06</v>
      </c>
      <c r="BY159">
        <v>11.56</v>
      </c>
      <c r="BZ159">
        <v>9.93</v>
      </c>
      <c r="CA159">
        <v>9.09</v>
      </c>
      <c r="CB159">
        <v>-1.59</v>
      </c>
      <c r="CC159">
        <v>-13.58</v>
      </c>
      <c r="CD159" t="s">
        <v>5864</v>
      </c>
      <c r="CE159" t="s">
        <v>371</v>
      </c>
      <c r="CF159" s="8">
        <v>-0.9117831074035454</v>
      </c>
      <c r="CG159" s="9">
        <v>-0.7230118624338624</v>
      </c>
      <c r="CH159" s="8">
        <v>8.4936246871948242</v>
      </c>
      <c r="CI159" s="8">
        <v>2.6168223470449448E-2</v>
      </c>
      <c r="CJ159" s="8">
        <v>0.11574556678533554</v>
      </c>
      <c r="CK159" s="8">
        <v>0.16031461954116821</v>
      </c>
      <c r="CL159" s="8">
        <v>1.100909523665905E-2</v>
      </c>
      <c r="CM159" s="9">
        <v>3.2344498634338379</v>
      </c>
      <c r="CN159" s="9">
        <v>0.39333334565162659</v>
      </c>
      <c r="CO159" s="9">
        <v>0.62911903858184814</v>
      </c>
      <c r="CP159" s="9">
        <v>3.6660537719726562</v>
      </c>
      <c r="CQ159" s="9">
        <v>0.36033862829208374</v>
      </c>
      <c r="CR159">
        <v>12.165001730626633</v>
      </c>
      <c r="CS159">
        <v>6.9065471135460521E-2</v>
      </c>
      <c r="CT159">
        <v>0.73421439060205584</v>
      </c>
      <c r="CU159" s="8">
        <v>1.7613724384456872</v>
      </c>
      <c r="CV159" s="9">
        <v>1.6566589295864105</v>
      </c>
      <c r="CW159">
        <v>0.06</v>
      </c>
      <c r="CX159">
        <v>1.1439281763930147</v>
      </c>
      <c r="CY159">
        <v>2305485479.2683334</v>
      </c>
      <c r="CZ159">
        <v>1.7613724384456872</v>
      </c>
      <c r="DA159">
        <v>0.11956755815183485</v>
      </c>
      <c r="DB159">
        <v>22057068328.274868</v>
      </c>
      <c r="DC159">
        <v>1.6733038165234029</v>
      </c>
      <c r="DD159">
        <v>9.0302033429612676E-3</v>
      </c>
      <c r="DE159">
        <v>292054309281.495</v>
      </c>
      <c r="DF159">
        <v>1.5500077458322048</v>
      </c>
      <c r="DG159">
        <v>4.5398248962065757E-4</v>
      </c>
      <c r="DH159">
        <v>5809276481574.6641</v>
      </c>
      <c r="DI159">
        <v>1.40909795075655</v>
      </c>
      <c r="DJ159">
        <v>5.2858653315258724E-7</v>
      </c>
      <c r="DK159">
        <v>4989362449835034</v>
      </c>
      <c r="DL159">
        <v>1.232960706911981</v>
      </c>
      <c r="DM159">
        <v>885000000</v>
      </c>
      <c r="DN159">
        <v>1.7613724384456872</v>
      </c>
      <c r="DO159">
        <v>2637309800</v>
      </c>
      <c r="DP159">
        <v>185965000</v>
      </c>
      <c r="DQ159">
        <v>3683</v>
      </c>
      <c r="DR159">
        <v>-2.6731555458492329</v>
      </c>
      <c r="DS159">
        <v>-2.3796707920202729</v>
      </c>
      <c r="DT159" s="10">
        <v>-2.3333333333333355E-2</v>
      </c>
      <c r="DU159">
        <v>0.86833333333333351</v>
      </c>
      <c r="DV159">
        <v>0.8450000000000002</v>
      </c>
      <c r="DW159">
        <v>-2.1358000000000001</v>
      </c>
      <c r="DX159">
        <v>0.3311839285714302</v>
      </c>
      <c r="DY159">
        <v>-2.0137407774999998</v>
      </c>
      <c r="DZ159">
        <v>2761</v>
      </c>
      <c r="EA159">
        <v>-2.0063164552539137</v>
      </c>
      <c r="EB159">
        <v>2</v>
      </c>
      <c r="EC159">
        <v>2.7777682456032845E-2</v>
      </c>
      <c r="ED159">
        <v>0.27452662540596856</v>
      </c>
      <c r="EE159" s="11">
        <v>2.2499999999999999E-2</v>
      </c>
      <c r="EF159">
        <v>4.19E-2</v>
      </c>
      <c r="EG159">
        <v>23.10118392857143</v>
      </c>
      <c r="EH159" t="s">
        <v>1390</v>
      </c>
      <c r="EI159">
        <v>0</v>
      </c>
      <c r="EJ159">
        <v>0</v>
      </c>
      <c r="EK159" s="13">
        <v>45470</v>
      </c>
      <c r="EL159" s="14">
        <v>0.18</v>
      </c>
      <c r="EM159" s="14">
        <v>-0.53</v>
      </c>
      <c r="EN159">
        <v>0.89</v>
      </c>
      <c r="EO159">
        <v>0.35</v>
      </c>
      <c r="EP159">
        <v>1.94</v>
      </c>
    </row>
    <row r="160" spans="1:146" ht="108">
      <c r="A160" s="7"/>
      <c r="B160" s="7"/>
      <c r="C160" s="7" t="str">
        <f>""&amp;CHAR(10)&amp;Basic_Fundamental_Information_Constructure(F160)&amp;CHAR(10)&amp;Basic_Fundamental_Information_Concatenate("")</f>
        <v xml:space="preserve">
市值134.42416亿, 利润2.12亿; PE13.54; 平均PE21.95; 平均PEG18.21, PB1.49; ROIC6.71%; ROE11.0667%; 股利率5.0064%; 毛利20.8033%; 净利9.9267%; 上一年度营收增-81.72%, 利润增-78.1%; 当季营收增437.07%, 利润增232.82%; 过往5年营收增1.21%, 利润增9.17%
Income profile:
</v>
      </c>
      <c r="D160" t="s">
        <v>539</v>
      </c>
      <c r="E160" t="s">
        <v>46</v>
      </c>
      <c r="F160">
        <v>7.79</v>
      </c>
      <c r="G160">
        <v>0.13</v>
      </c>
      <c r="H160" t="s">
        <v>5865</v>
      </c>
      <c r="I160">
        <v>13442416000</v>
      </c>
      <c r="J160">
        <v>13.54</v>
      </c>
      <c r="K160">
        <v>1.49</v>
      </c>
      <c r="L160" t="s">
        <v>85</v>
      </c>
      <c r="M160" t="s">
        <v>3106</v>
      </c>
      <c r="N160" t="s">
        <v>5866</v>
      </c>
      <c r="O160" t="s">
        <v>3107</v>
      </c>
      <c r="P160">
        <v>-6.42</v>
      </c>
      <c r="Q160" t="s">
        <v>3234</v>
      </c>
      <c r="R160">
        <v>234630040</v>
      </c>
      <c r="S160" s="5">
        <v>-0.1057</v>
      </c>
      <c r="T160" t="s">
        <v>218</v>
      </c>
      <c r="U160">
        <v>1690931600</v>
      </c>
      <c r="V160">
        <v>1725599000</v>
      </c>
      <c r="W160">
        <v>2.8</v>
      </c>
      <c r="X160">
        <v>0.1</v>
      </c>
      <c r="Y160">
        <v>10.65</v>
      </c>
      <c r="Z160" t="s">
        <v>5867</v>
      </c>
      <c r="AA160" t="s">
        <v>5868</v>
      </c>
      <c r="AB160" t="s">
        <v>5869</v>
      </c>
      <c r="AC160" t="s">
        <v>204</v>
      </c>
      <c r="AD160" t="s">
        <v>90</v>
      </c>
      <c r="AE160">
        <v>-58014772</v>
      </c>
      <c r="AF160" t="s">
        <v>3109</v>
      </c>
      <c r="AG160" t="s">
        <v>5870</v>
      </c>
      <c r="AH160" t="s">
        <v>3110</v>
      </c>
      <c r="AI160" t="s">
        <v>5871</v>
      </c>
      <c r="AJ160" t="s">
        <v>3111</v>
      </c>
      <c r="AK160" t="s">
        <v>190</v>
      </c>
      <c r="AL160" t="s">
        <v>3112</v>
      </c>
      <c r="AM160" t="s">
        <v>90</v>
      </c>
      <c r="AN160" t="s">
        <v>550</v>
      </c>
      <c r="AO160" t="s">
        <v>5872</v>
      </c>
      <c r="AP160" t="s">
        <v>2314</v>
      </c>
      <c r="AQ160" t="s">
        <v>5873</v>
      </c>
      <c r="AR160" t="s">
        <v>5874</v>
      </c>
      <c r="AS160" t="s">
        <v>5875</v>
      </c>
      <c r="AT160" t="s">
        <v>5876</v>
      </c>
      <c r="AU160" t="s">
        <v>766</v>
      </c>
      <c r="AV160" t="s">
        <v>5877</v>
      </c>
      <c r="AW160" t="s">
        <v>5878</v>
      </c>
      <c r="AX160" t="s">
        <v>1986</v>
      </c>
      <c r="AY160" t="s">
        <v>1348</v>
      </c>
      <c r="AZ160" t="s">
        <v>956</v>
      </c>
      <c r="BA160" t="s">
        <v>540</v>
      </c>
      <c r="BB160" t="s">
        <v>957</v>
      </c>
      <c r="BC160" t="s">
        <v>982</v>
      </c>
      <c r="BD160" t="s">
        <v>1427</v>
      </c>
      <c r="BE160" t="s">
        <v>947</v>
      </c>
      <c r="BF160" t="s">
        <v>541</v>
      </c>
      <c r="BG160" t="s">
        <v>515</v>
      </c>
      <c r="BH160" t="s">
        <v>3108</v>
      </c>
      <c r="BI160" t="s">
        <v>1567</v>
      </c>
      <c r="BJ160" t="s">
        <v>1986</v>
      </c>
      <c r="BK160" t="s">
        <v>212</v>
      </c>
      <c r="BL160" t="s">
        <v>5879</v>
      </c>
      <c r="BM160" t="s">
        <v>982</v>
      </c>
      <c r="BN160">
        <v>4.91</v>
      </c>
      <c r="BO160">
        <v>7.3</v>
      </c>
      <c r="BP160">
        <v>7.92</v>
      </c>
      <c r="BQ160">
        <v>8.7100000000000009</v>
      </c>
      <c r="BR160">
        <v>12.51</v>
      </c>
      <c r="BS160">
        <v>11.98</v>
      </c>
      <c r="BT160" t="s">
        <v>3114</v>
      </c>
      <c r="BU160" t="s">
        <v>1381</v>
      </c>
      <c r="BV160">
        <v>21.49</v>
      </c>
      <c r="BW160">
        <v>22.04</v>
      </c>
      <c r="BX160">
        <v>18.88</v>
      </c>
      <c r="BY160">
        <v>10.83</v>
      </c>
      <c r="BZ160">
        <v>9.7799999999999994</v>
      </c>
      <c r="CA160">
        <v>9.17</v>
      </c>
      <c r="CB160">
        <v>-2.87</v>
      </c>
      <c r="CC160">
        <v>-4.3</v>
      </c>
      <c r="CD160" t="s">
        <v>5880</v>
      </c>
      <c r="CE160" t="s">
        <v>379</v>
      </c>
      <c r="CF160" s="8">
        <v>4.3706896551724146</v>
      </c>
      <c r="CG160" s="9">
        <v>2.3282131372407169</v>
      </c>
      <c r="CH160" s="8">
        <v>-0.81720232963562012</v>
      </c>
      <c r="CI160" s="8">
        <v>3.9088908582925797E-2</v>
      </c>
      <c r="CJ160" s="8">
        <v>0.28468692302703857</v>
      </c>
      <c r="CK160" s="8">
        <v>0.10418947786092758</v>
      </c>
      <c r="CL160" s="8">
        <v>0.44949391484260559</v>
      </c>
      <c r="CM160" s="9">
        <v>-0.78099173307418823</v>
      </c>
      <c r="CN160" s="9">
        <v>0.12952159345149994</v>
      </c>
      <c r="CO160" s="9">
        <v>0.25109487771987915</v>
      </c>
      <c r="CP160" s="9">
        <v>0.13598673045635223</v>
      </c>
      <c r="CQ160" s="9">
        <v>0.72285711765289307</v>
      </c>
      <c r="CR160">
        <v>21.946801632653059</v>
      </c>
      <c r="CS160">
        <v>18.211029418273821</v>
      </c>
      <c r="CT160">
        <v>5.006418485237484</v>
      </c>
      <c r="CU160" s="8">
        <v>1.2051378935575485E-2</v>
      </c>
      <c r="CV160" s="9">
        <v>9.1693717241287234E-2</v>
      </c>
      <c r="CW160">
        <v>0.06</v>
      </c>
      <c r="CX160">
        <v>98.633411383706459</v>
      </c>
      <c r="CY160">
        <v>202410275.78711507</v>
      </c>
      <c r="CZ160">
        <v>1.2051378935575485E-2</v>
      </c>
      <c r="DA160">
        <v>34.451270611154349</v>
      </c>
      <c r="DB160">
        <v>579497233.2177521</v>
      </c>
      <c r="DC160">
        <v>1.144880998879671E-2</v>
      </c>
      <c r="DD160">
        <v>18.486872342633355</v>
      </c>
      <c r="DE160">
        <v>1079923938.9974701</v>
      </c>
      <c r="DF160">
        <v>1.0605213463306427E-2</v>
      </c>
      <c r="DG160">
        <v>12.188452099473578</v>
      </c>
      <c r="DH160">
        <v>1637977967.7570598</v>
      </c>
      <c r="DI160">
        <v>9.6411031484603879E-3</v>
      </c>
      <c r="DJ160">
        <v>7.6293299250660267</v>
      </c>
      <c r="DK160">
        <v>2616798093.1598291</v>
      </c>
      <c r="DL160">
        <v>8.4359652549028386E-3</v>
      </c>
      <c r="DM160">
        <v>212000000</v>
      </c>
      <c r="DN160">
        <v>1.2051378935575485E-2</v>
      </c>
      <c r="DO160">
        <v>19964416000</v>
      </c>
      <c r="DP160">
        <v>6444170000</v>
      </c>
      <c r="DQ160">
        <v>3720</v>
      </c>
      <c r="DR160">
        <v>4.3586382762368387</v>
      </c>
      <c r="DS160">
        <v>2.2365194199994298</v>
      </c>
      <c r="DT160" s="10">
        <v>-0.54</v>
      </c>
      <c r="DU160">
        <v>0</v>
      </c>
      <c r="DV160">
        <v>-0.54</v>
      </c>
      <c r="DW160">
        <v>-8.6674418604651162</v>
      </c>
      <c r="DX160">
        <v>0.30569933333333499</v>
      </c>
      <c r="DY160">
        <v>-8.0905714155038755</v>
      </c>
      <c r="DZ160">
        <v>3216</v>
      </c>
      <c r="EA160">
        <v>-8.0335699140830403</v>
      </c>
      <c r="EB160">
        <v>8</v>
      </c>
      <c r="EC160">
        <v>2.3591691928426015E-2</v>
      </c>
      <c r="ED160">
        <v>0.17385267376719621</v>
      </c>
      <c r="EE160" s="11">
        <v>-1.0784</v>
      </c>
      <c r="EF160">
        <v>-1.0733999999999999</v>
      </c>
      <c r="EG160">
        <v>17.135699333333335</v>
      </c>
      <c r="EH160" t="s">
        <v>1730</v>
      </c>
      <c r="EI160">
        <v>0</v>
      </c>
      <c r="EJ160">
        <v>0</v>
      </c>
      <c r="EK160" s="13">
        <v>45470</v>
      </c>
      <c r="EL160" s="14">
        <v>0.99</v>
      </c>
      <c r="EM160" s="14">
        <v>-3.68</v>
      </c>
      <c r="EN160">
        <v>0.25</v>
      </c>
      <c r="EO160">
        <v>2.0299999999999998</v>
      </c>
      <c r="EP160">
        <v>-0.5</v>
      </c>
    </row>
    <row r="161" spans="1:146" ht="108">
      <c r="A161" s="7"/>
      <c r="B161" s="7"/>
      <c r="C161" s="7" t="str">
        <f>""&amp;CHAR(10)&amp;Basic_Fundamental_Information_Constructure(F161)&amp;CHAR(10)&amp;Basic_Fundamental_Information_Concatenate("")</f>
        <v xml:space="preserve">
市值111.0294亿, 利润6.72亿; PE18.37; 平均PE35.42; 平均PEG.26, PB4.54; ROIC24.2767%; ROE25.27%; 股利率1.2694%; 毛利27.6567%; 净利16.1067%; 上一年度营收增559.55%, 利润增28.98%; 当季营收增-77.89%, 利润增-20.46%; 过往5年营收增134.98%, 利润增58.67%
Income profile:
</v>
      </c>
      <c r="D161" t="s">
        <v>152</v>
      </c>
      <c r="E161" t="s">
        <v>1425</v>
      </c>
      <c r="F161">
        <v>21.27</v>
      </c>
      <c r="G161">
        <v>1.29</v>
      </c>
      <c r="H161" t="s">
        <v>5881</v>
      </c>
      <c r="I161">
        <v>11102940000</v>
      </c>
      <c r="J161">
        <v>18.37</v>
      </c>
      <c r="K161">
        <v>4.54</v>
      </c>
      <c r="L161" t="s">
        <v>85</v>
      </c>
      <c r="M161" t="s">
        <v>3115</v>
      </c>
      <c r="N161" t="s">
        <v>5882</v>
      </c>
      <c r="O161" t="s">
        <v>737</v>
      </c>
      <c r="P161">
        <v>-3.41</v>
      </c>
      <c r="Q161" t="s">
        <v>5883</v>
      </c>
      <c r="R161">
        <v>130453588</v>
      </c>
      <c r="S161" s="5">
        <v>-3.6700000000000003E-2</v>
      </c>
      <c r="T161" t="s">
        <v>5542</v>
      </c>
      <c r="U161">
        <v>522000000</v>
      </c>
      <c r="V161">
        <v>522000000</v>
      </c>
      <c r="W161">
        <v>1.86</v>
      </c>
      <c r="X161">
        <v>0.17</v>
      </c>
      <c r="Y161">
        <v>17.25</v>
      </c>
      <c r="Z161" t="s">
        <v>2048</v>
      </c>
      <c r="AA161" t="s">
        <v>1078</v>
      </c>
      <c r="AB161" t="s">
        <v>5884</v>
      </c>
      <c r="AC161" t="s">
        <v>5885</v>
      </c>
      <c r="AD161" t="s">
        <v>90</v>
      </c>
      <c r="AE161">
        <v>-3267219</v>
      </c>
      <c r="AF161" t="s">
        <v>3117</v>
      </c>
      <c r="AG161" t="s">
        <v>5886</v>
      </c>
      <c r="AH161" t="s">
        <v>3118</v>
      </c>
      <c r="AI161" t="s">
        <v>568</v>
      </c>
      <c r="AJ161" t="s">
        <v>3119</v>
      </c>
      <c r="AK161" t="s">
        <v>5887</v>
      </c>
      <c r="AL161" t="s">
        <v>3120</v>
      </c>
      <c r="AM161" t="s">
        <v>90</v>
      </c>
      <c r="AN161" t="s">
        <v>391</v>
      </c>
      <c r="AO161" t="s">
        <v>90</v>
      </c>
      <c r="AP161" t="s">
        <v>1560</v>
      </c>
      <c r="AQ161" t="s">
        <v>1926</v>
      </c>
      <c r="AR161" t="s">
        <v>90</v>
      </c>
      <c r="AS161" t="s">
        <v>4795</v>
      </c>
      <c r="AT161" t="s">
        <v>90</v>
      </c>
      <c r="AU161" t="s">
        <v>3357</v>
      </c>
      <c r="AV161" t="s">
        <v>1394</v>
      </c>
      <c r="AW161" t="s">
        <v>5888</v>
      </c>
      <c r="AX161" t="s">
        <v>1988</v>
      </c>
      <c r="AY161" t="s">
        <v>622</v>
      </c>
      <c r="AZ161" t="s">
        <v>853</v>
      </c>
      <c r="BA161" t="s">
        <v>153</v>
      </c>
      <c r="BB161" t="s">
        <v>958</v>
      </c>
      <c r="BC161" t="s">
        <v>1827</v>
      </c>
      <c r="BD161" t="s">
        <v>819</v>
      </c>
      <c r="BE161" t="s">
        <v>486</v>
      </c>
      <c r="BF161" t="s">
        <v>154</v>
      </c>
      <c r="BG161" t="s">
        <v>249</v>
      </c>
      <c r="BH161" t="s">
        <v>3116</v>
      </c>
      <c r="BI161" t="s">
        <v>5889</v>
      </c>
      <c r="BJ161" t="s">
        <v>1988</v>
      </c>
      <c r="BK161" t="s">
        <v>2004</v>
      </c>
      <c r="BL161" t="s">
        <v>422</v>
      </c>
      <c r="BM161" t="s">
        <v>1827</v>
      </c>
      <c r="BN161">
        <v>21.33</v>
      </c>
      <c r="BO161">
        <v>27.94</v>
      </c>
      <c r="BP161">
        <v>23.56</v>
      </c>
      <c r="BQ161">
        <v>21.92</v>
      </c>
      <c r="BR161">
        <v>29.18</v>
      </c>
      <c r="BS161">
        <v>24.71</v>
      </c>
      <c r="BT161" t="s">
        <v>3121</v>
      </c>
      <c r="BU161" t="s">
        <v>1447</v>
      </c>
      <c r="BV161">
        <v>29.94</v>
      </c>
      <c r="BW161">
        <v>27.31</v>
      </c>
      <c r="BX161">
        <v>25.72</v>
      </c>
      <c r="BY161">
        <v>18.34</v>
      </c>
      <c r="BZ161">
        <v>16.39</v>
      </c>
      <c r="CA161">
        <v>13.59</v>
      </c>
      <c r="CB161">
        <v>-7.16</v>
      </c>
      <c r="CC161">
        <v>-18.13</v>
      </c>
      <c r="CD161" t="s">
        <v>5890</v>
      </c>
      <c r="CE161" t="s">
        <v>5891</v>
      </c>
      <c r="CF161" s="8">
        <v>-0.77888271424393096</v>
      </c>
      <c r="CG161" s="9">
        <v>-0.20455129268292682</v>
      </c>
      <c r="CH161" s="8">
        <v>5.5955305099487305</v>
      </c>
      <c r="CI161" s="8">
        <v>0.16373629868030548</v>
      </c>
      <c r="CJ161" s="8">
        <v>0.67279404401779175</v>
      </c>
      <c r="CK161" s="8">
        <v>0.40085843205451965</v>
      </c>
      <c r="CL161" s="8">
        <v>-8.4119550883769989E-2</v>
      </c>
      <c r="CM161" s="9">
        <v>0.28982725739479065</v>
      </c>
      <c r="CN161" s="9">
        <v>0.40431267023086548</v>
      </c>
      <c r="CO161" s="9">
        <v>1.6884057521820068</v>
      </c>
      <c r="CP161" s="9">
        <v>0.7987862229347229</v>
      </c>
      <c r="CQ161" s="9">
        <v>-0.24785882234573364</v>
      </c>
      <c r="CR161">
        <v>35.42137940480616</v>
      </c>
      <c r="CS161">
        <v>0.26242725226615543</v>
      </c>
      <c r="CT161">
        <v>1.2693935119887165</v>
      </c>
      <c r="CU161" s="8">
        <v>1.3497599467635155</v>
      </c>
      <c r="CV161" s="9">
        <v>0.58669461607933049</v>
      </c>
      <c r="CW161">
        <v>0.06</v>
      </c>
      <c r="CX161">
        <v>7.3580188478421347</v>
      </c>
      <c r="CY161">
        <v>1489659136.0613983</v>
      </c>
      <c r="CZ161">
        <v>1.3497599467635155</v>
      </c>
      <c r="DA161">
        <v>0.97261863272975424</v>
      </c>
      <c r="DB161">
        <v>11269514721.548151</v>
      </c>
      <c r="DC161">
        <v>1.2822719494253396</v>
      </c>
      <c r="DD161">
        <v>0.11019414139569567</v>
      </c>
      <c r="DE161">
        <v>99469353462.63472</v>
      </c>
      <c r="DF161">
        <v>1.1877887531518936</v>
      </c>
      <c r="DG161">
        <v>9.4692127198483748E-3</v>
      </c>
      <c r="DH161">
        <v>1157534456589.4927</v>
      </c>
      <c r="DI161">
        <v>1.0798079574108124</v>
      </c>
      <c r="DJ161">
        <v>3.9713229702783444E-5</v>
      </c>
      <c r="DK161">
        <v>276002231045735.47</v>
      </c>
      <c r="DL161">
        <v>0.9448319627344608</v>
      </c>
      <c r="DM161">
        <v>672000000</v>
      </c>
      <c r="DN161">
        <v>1.3497599467635155</v>
      </c>
      <c r="DO161">
        <v>10960940000</v>
      </c>
      <c r="DP161">
        <v>1644622299.9999998</v>
      </c>
      <c r="DQ161">
        <v>3806</v>
      </c>
      <c r="DR161">
        <v>-2.1286426610074463</v>
      </c>
      <c r="DS161">
        <v>-0.79124590876225731</v>
      </c>
      <c r="DT161" s="10">
        <v>0.39333333333333331</v>
      </c>
      <c r="DU161">
        <v>0.49666666666666665</v>
      </c>
      <c r="DV161">
        <v>0.8899999999999999</v>
      </c>
      <c r="DW161">
        <v>-9.3949255377826812</v>
      </c>
      <c r="DX161">
        <v>0.34467880328386957</v>
      </c>
      <c r="DY161">
        <v>-9.0729343757039445</v>
      </c>
      <c r="DZ161">
        <v>1505</v>
      </c>
      <c r="EA161">
        <v>-9.0514537034075779</v>
      </c>
      <c r="EB161">
        <v>9</v>
      </c>
      <c r="EC161">
        <v>2.1379118773946361E-2</v>
      </c>
      <c r="ED161">
        <v>0.11576379310344828</v>
      </c>
      <c r="EE161" s="11">
        <v>4.0607100000000003</v>
      </c>
      <c r="EF161">
        <v>4.0732099999999996</v>
      </c>
      <c r="EG161">
        <v>16.18467880328387</v>
      </c>
      <c r="EH161" t="s">
        <v>2132</v>
      </c>
      <c r="EI161">
        <v>0</v>
      </c>
      <c r="EJ161">
        <v>0</v>
      </c>
      <c r="EK161" s="13">
        <v>45470</v>
      </c>
      <c r="EL161" s="14">
        <v>-0.09</v>
      </c>
      <c r="EM161" s="14">
        <v>-1.63</v>
      </c>
      <c r="EN161">
        <v>-3.05</v>
      </c>
      <c r="EO161">
        <v>0.9</v>
      </c>
      <c r="EP161">
        <v>-1.25</v>
      </c>
    </row>
    <row r="162" spans="1:146" ht="108">
      <c r="A162" s="7"/>
      <c r="B162" s="7"/>
      <c r="C162" s="7" t="str">
        <f>""&amp;CHAR(10)&amp;Basic_Fundamental_Information_Constructure(F162)&amp;CHAR(10)&amp;Basic_Fundamental_Information_Concatenate("")</f>
        <v xml:space="preserve">
市值15.902016亿, 利润6539.63万; PE78.96; 平均PE74.59; 平均PEG11.77, PB2.18; ROIC6.09%; ROE.7067%; 股利率.6168%; 毛利15.9933%; 净利-.1667%; 上一年度营收增-11.56%, 利润增182.27%; 当季营收增187.46%, 利润增-201.91%; 过往5年营收增6.34%, 利润增41.58%
Income profile:
</v>
      </c>
      <c r="D162" t="s">
        <v>617</v>
      </c>
      <c r="E162" t="s">
        <v>14</v>
      </c>
      <c r="F162">
        <v>5.54</v>
      </c>
      <c r="G162">
        <v>2.4</v>
      </c>
      <c r="H162" t="s">
        <v>5892</v>
      </c>
      <c r="I162">
        <v>1590201600</v>
      </c>
      <c r="J162">
        <v>78.959999999999994</v>
      </c>
      <c r="K162">
        <v>2.1800000000000002</v>
      </c>
      <c r="L162" t="s">
        <v>85</v>
      </c>
      <c r="M162" t="s">
        <v>419</v>
      </c>
      <c r="N162" t="s">
        <v>5893</v>
      </c>
      <c r="O162" t="s">
        <v>825</v>
      </c>
      <c r="P162">
        <v>-15.15</v>
      </c>
      <c r="Q162" t="s">
        <v>781</v>
      </c>
      <c r="R162">
        <v>-6069400</v>
      </c>
      <c r="S162" s="5">
        <v>-2.0790000000000002</v>
      </c>
      <c r="T162" t="s">
        <v>5894</v>
      </c>
      <c r="U162">
        <v>287040000</v>
      </c>
      <c r="V162">
        <v>287040000</v>
      </c>
      <c r="W162">
        <v>2.75</v>
      </c>
      <c r="X162">
        <v>0.12</v>
      </c>
      <c r="Y162">
        <v>-7</v>
      </c>
      <c r="Z162" t="s">
        <v>844</v>
      </c>
      <c r="AA162" t="s">
        <v>1393</v>
      </c>
      <c r="AB162" t="s">
        <v>5895</v>
      </c>
      <c r="AC162" t="s">
        <v>5896</v>
      </c>
      <c r="AD162" t="s">
        <v>90</v>
      </c>
      <c r="AE162">
        <v>1688224</v>
      </c>
      <c r="AF162" t="s">
        <v>3123</v>
      </c>
      <c r="AG162" t="s">
        <v>5897</v>
      </c>
      <c r="AH162" t="s">
        <v>3124</v>
      </c>
      <c r="AI162" t="s">
        <v>1394</v>
      </c>
      <c r="AJ162" t="s">
        <v>3125</v>
      </c>
      <c r="AK162" t="s">
        <v>5898</v>
      </c>
      <c r="AL162" t="s">
        <v>3126</v>
      </c>
      <c r="AM162" t="s">
        <v>90</v>
      </c>
      <c r="AN162" t="s">
        <v>422</v>
      </c>
      <c r="AO162" t="s">
        <v>820</v>
      </c>
      <c r="AP162" t="s">
        <v>502</v>
      </c>
      <c r="AQ162" t="s">
        <v>1308</v>
      </c>
      <c r="AR162" t="s">
        <v>90</v>
      </c>
      <c r="AS162" t="s">
        <v>482</v>
      </c>
      <c r="AT162" t="s">
        <v>1480</v>
      </c>
      <c r="AU162" t="s">
        <v>5899</v>
      </c>
      <c r="AV162" t="s">
        <v>5900</v>
      </c>
      <c r="AW162" t="s">
        <v>374</v>
      </c>
      <c r="AX162" t="s">
        <v>1989</v>
      </c>
      <c r="AY162" t="s">
        <v>1349</v>
      </c>
      <c r="AZ162" t="s">
        <v>908</v>
      </c>
      <c r="BA162" t="s">
        <v>155</v>
      </c>
      <c r="BB162" t="s">
        <v>594</v>
      </c>
      <c r="BC162" t="s">
        <v>1990</v>
      </c>
      <c r="BD162" t="s">
        <v>1350</v>
      </c>
      <c r="BE162" t="s">
        <v>959</v>
      </c>
      <c r="BF162" t="s">
        <v>618</v>
      </c>
      <c r="BG162" t="s">
        <v>961</v>
      </c>
      <c r="BH162" t="s">
        <v>1849</v>
      </c>
      <c r="BI162" t="s">
        <v>5901</v>
      </c>
      <c r="BJ162" t="s">
        <v>1989</v>
      </c>
      <c r="BK162" t="s">
        <v>3122</v>
      </c>
      <c r="BL162" t="s">
        <v>5902</v>
      </c>
      <c r="BM162" t="s">
        <v>1990</v>
      </c>
      <c r="BN162">
        <v>5.58</v>
      </c>
      <c r="BO162" t="s">
        <v>90</v>
      </c>
      <c r="BP162">
        <v>6.6</v>
      </c>
      <c r="BQ162">
        <v>5.56</v>
      </c>
      <c r="BR162">
        <v>-10.72</v>
      </c>
      <c r="BS162">
        <v>7.28</v>
      </c>
      <c r="BT162" t="s">
        <v>5903</v>
      </c>
      <c r="BU162" t="s">
        <v>1337</v>
      </c>
      <c r="BV162">
        <v>12.04</v>
      </c>
      <c r="BW162">
        <v>16.63</v>
      </c>
      <c r="BX162">
        <v>19.309999999999999</v>
      </c>
      <c r="BY162">
        <v>3.2</v>
      </c>
      <c r="BZ162">
        <v>-9.98</v>
      </c>
      <c r="CA162">
        <v>6.28</v>
      </c>
      <c r="CB162">
        <v>-1.6</v>
      </c>
      <c r="CC162">
        <v>-17.14</v>
      </c>
      <c r="CD162" t="s">
        <v>5904</v>
      </c>
      <c r="CE162" t="s">
        <v>5905</v>
      </c>
      <c r="CF162" s="8">
        <v>1.8746016623410755</v>
      </c>
      <c r="CG162" s="9">
        <v>-2.0191080663577141</v>
      </c>
      <c r="CH162" s="8">
        <v>-0.11557789146900177</v>
      </c>
      <c r="CI162" s="8">
        <v>-0.13100436329841614</v>
      </c>
      <c r="CJ162" s="8">
        <v>0.2213333398103714</v>
      </c>
      <c r="CK162" s="8">
        <v>0.18670886754989624</v>
      </c>
      <c r="CL162" s="8">
        <v>0.15539304912090302</v>
      </c>
      <c r="CM162" s="9">
        <v>1.8227150440216064</v>
      </c>
      <c r="CN162" s="9">
        <v>-2.395512580871582</v>
      </c>
      <c r="CO162" s="9">
        <v>5.9293270111083984E-2</v>
      </c>
      <c r="CP162" s="9">
        <v>2.743217945098877</v>
      </c>
      <c r="CQ162" s="9">
        <v>-0.15056204795837402</v>
      </c>
      <c r="CR162">
        <v>74.58964945745646</v>
      </c>
      <c r="CS162">
        <v>11.77038706498373</v>
      </c>
      <c r="CT162">
        <v>0.6167870036101083</v>
      </c>
      <c r="CU162" s="8">
        <v>6.3370600342750549E-2</v>
      </c>
      <c r="CV162" s="9">
        <v>0.41583032608032228</v>
      </c>
      <c r="CW162">
        <v>0.06</v>
      </c>
      <c r="CX162">
        <v>32.744855222535598</v>
      </c>
      <c r="CY162">
        <v>65604247.916221328</v>
      </c>
      <c r="CZ162">
        <v>6.3370600342750549E-2</v>
      </c>
      <c r="DA162">
        <v>10.945485573116535</v>
      </c>
      <c r="DB162">
        <v>196263709.42155811</v>
      </c>
      <c r="DC162">
        <v>6.0202070325613019E-2</v>
      </c>
      <c r="DD162">
        <v>5.5519296634969768</v>
      </c>
      <c r="DE162">
        <v>386928821.18519473</v>
      </c>
      <c r="DF162">
        <v>5.5766128301620484E-2</v>
      </c>
      <c r="DG162">
        <v>3.4469888265391817</v>
      </c>
      <c r="DH162">
        <v>623211071.48955286</v>
      </c>
      <c r="DI162">
        <v>5.0696480274200442E-2</v>
      </c>
      <c r="DJ162">
        <v>1.9128648129034547</v>
      </c>
      <c r="DK162">
        <v>1123028446.9184928</v>
      </c>
      <c r="DL162">
        <v>4.4359420239925382E-2</v>
      </c>
      <c r="DM162">
        <v>65396300</v>
      </c>
      <c r="DN162">
        <v>6.3370600342750549E-2</v>
      </c>
      <c r="DO162">
        <v>2148201600</v>
      </c>
      <c r="DP162">
        <v>-219589040</v>
      </c>
      <c r="DQ162">
        <v>3870</v>
      </c>
      <c r="DR162">
        <v>1.811231061998325</v>
      </c>
      <c r="DS162">
        <v>-2.4349383924380366</v>
      </c>
      <c r="DT162" s="10">
        <v>-9.000000000000008E-2</v>
      </c>
      <c r="DU162">
        <v>-1.0366666666666668</v>
      </c>
      <c r="DV162">
        <v>-1.1266666666666669</v>
      </c>
      <c r="DW162">
        <v>-3.012892857142857</v>
      </c>
      <c r="DX162">
        <v>0.35414026432321632</v>
      </c>
      <c r="DY162">
        <v>-3.0016005226935958</v>
      </c>
      <c r="DZ162">
        <v>1031</v>
      </c>
      <c r="EA162">
        <v>-3.0012775992303675</v>
      </c>
      <c r="EB162">
        <v>3</v>
      </c>
      <c r="EC162">
        <v>4.0394370122630995E-2</v>
      </c>
      <c r="ED162">
        <v>0.32539297658862876</v>
      </c>
      <c r="EE162" s="11">
        <v>-2.0228100000000002</v>
      </c>
      <c r="EF162">
        <v>-2.05681</v>
      </c>
      <c r="EG162">
        <v>23.124140264323216</v>
      </c>
      <c r="EH162" t="s">
        <v>1735</v>
      </c>
      <c r="EI162">
        <v>0</v>
      </c>
      <c r="EJ162">
        <v>1</v>
      </c>
      <c r="EK162" s="13">
        <v>45470</v>
      </c>
      <c r="EL162" s="14">
        <v>-0.71</v>
      </c>
      <c r="EM162" s="14">
        <v>-1.07</v>
      </c>
      <c r="EN162">
        <v>-0.14000000000000001</v>
      </c>
      <c r="EO162">
        <v>2.3199999999999998</v>
      </c>
      <c r="EP162">
        <v>-3.4</v>
      </c>
    </row>
    <row r="163" spans="1:146" ht="108">
      <c r="C163" s="7" t="str">
        <f>""&amp;CHAR(10)&amp;Basic_Fundamental_Information_Constructure(F163)&amp;CHAR(10)&amp;Basic_Fundamental_Information_Concatenate("")</f>
        <v xml:space="preserve">
市值46.640419亿, 利润9501.82万; PE28.32; 平均PE50.16; 平均PEG1.14, PB3.04; ROIC24.0667%; ROE20.05%; 股利率2.0174%; 毛利17.0167%; 净利8.4067%; 上一年度营收增94.52%, 利润增-27.47%; 当季营收增-59.4%, 利润增-42.31%; 过往5年营收增44.13%, 利润增28.27%
Income profile:
</v>
      </c>
      <c r="D163" s="5" t="s">
        <v>2126</v>
      </c>
      <c r="E163" t="s">
        <v>2127</v>
      </c>
      <c r="F163">
        <v>28.75</v>
      </c>
      <c r="G163">
        <v>-0.45</v>
      </c>
      <c r="H163" t="s">
        <v>5906</v>
      </c>
      <c r="I163">
        <v>4664041900</v>
      </c>
      <c r="J163">
        <v>28.32</v>
      </c>
      <c r="K163">
        <v>3.04</v>
      </c>
      <c r="L163" t="s">
        <v>85</v>
      </c>
      <c r="M163" t="s">
        <v>3127</v>
      </c>
      <c r="N163" t="s">
        <v>758</v>
      </c>
      <c r="O163" t="s">
        <v>661</v>
      </c>
      <c r="P163" s="5">
        <v>0.9</v>
      </c>
      <c r="Q163" t="s">
        <v>5907</v>
      </c>
      <c r="R163">
        <v>41229699</v>
      </c>
      <c r="S163">
        <v>0.29809999999999998</v>
      </c>
      <c r="T163" t="s">
        <v>5908</v>
      </c>
      <c r="U163">
        <v>31795447</v>
      </c>
      <c r="V163">
        <v>162227540</v>
      </c>
      <c r="W163">
        <v>2.84</v>
      </c>
      <c r="X163">
        <v>0.11</v>
      </c>
      <c r="Y163">
        <v>9.4600000000000009</v>
      </c>
      <c r="Z163" t="s">
        <v>1876</v>
      </c>
      <c r="AA163" t="s">
        <v>214</v>
      </c>
      <c r="AB163" t="s">
        <v>5909</v>
      </c>
      <c r="AC163" t="s">
        <v>5910</v>
      </c>
      <c r="AD163" t="s">
        <v>90</v>
      </c>
      <c r="AE163">
        <v>-1147201</v>
      </c>
      <c r="AF163" t="s">
        <v>182</v>
      </c>
      <c r="AG163">
        <v>0.75</v>
      </c>
      <c r="AH163" t="s">
        <v>3128</v>
      </c>
      <c r="AI163" t="s">
        <v>986</v>
      </c>
      <c r="AJ163" t="s">
        <v>3129</v>
      </c>
      <c r="AK163" t="s">
        <v>1393</v>
      </c>
      <c r="AL163" t="s">
        <v>3130</v>
      </c>
      <c r="AM163" t="s">
        <v>90</v>
      </c>
      <c r="AN163">
        <v>0</v>
      </c>
      <c r="AO163" t="s">
        <v>90</v>
      </c>
      <c r="AP163" t="s">
        <v>90</v>
      </c>
      <c r="AQ163" t="s">
        <v>938</v>
      </c>
      <c r="AR163" t="s">
        <v>5911</v>
      </c>
      <c r="AS163" t="s">
        <v>5912</v>
      </c>
      <c r="AT163" t="s">
        <v>90</v>
      </c>
      <c r="AU163" t="s">
        <v>5913</v>
      </c>
      <c r="AV163" t="s">
        <v>5914</v>
      </c>
      <c r="AW163" t="s">
        <v>1399</v>
      </c>
      <c r="AX163" t="s">
        <v>1279</v>
      </c>
      <c r="AY163" t="s">
        <v>1893</v>
      </c>
      <c r="AZ163" t="s">
        <v>3131</v>
      </c>
      <c r="BA163" t="s">
        <v>1557</v>
      </c>
      <c r="BB163" t="s">
        <v>90</v>
      </c>
      <c r="BC163" t="s">
        <v>175</v>
      </c>
      <c r="BD163" t="s">
        <v>274</v>
      </c>
      <c r="BE163" t="s">
        <v>3132</v>
      </c>
      <c r="BF163" t="s">
        <v>3133</v>
      </c>
      <c r="BG163" t="s">
        <v>90</v>
      </c>
      <c r="BH163" t="s">
        <v>2320</v>
      </c>
      <c r="BI163" t="s">
        <v>2075</v>
      </c>
      <c r="BJ163" t="s">
        <v>1279</v>
      </c>
      <c r="BK163" t="s">
        <v>514</v>
      </c>
      <c r="BL163" t="s">
        <v>5915</v>
      </c>
      <c r="BM163" t="s">
        <v>175</v>
      </c>
      <c r="BN163">
        <v>19.3</v>
      </c>
      <c r="BO163">
        <v>24.24</v>
      </c>
      <c r="BP163">
        <v>28.66</v>
      </c>
      <c r="BQ163">
        <v>20.05</v>
      </c>
      <c r="BR163" t="s">
        <v>90</v>
      </c>
      <c r="BS163" t="s">
        <v>90</v>
      </c>
      <c r="BT163" t="s">
        <v>2337</v>
      </c>
      <c r="BU163" t="s">
        <v>1381</v>
      </c>
      <c r="BV163">
        <v>17.27</v>
      </c>
      <c r="BW163">
        <v>17.059999999999999</v>
      </c>
      <c r="BX163">
        <v>16.72</v>
      </c>
      <c r="BY163">
        <v>8.33</v>
      </c>
      <c r="BZ163">
        <v>8.23</v>
      </c>
      <c r="CA163">
        <v>8.66</v>
      </c>
      <c r="CB163">
        <v>-4.93</v>
      </c>
      <c r="CC163" s="8">
        <v>-17.43</v>
      </c>
      <c r="CD163" s="9" t="s">
        <v>5916</v>
      </c>
      <c r="CE163" s="8" t="s">
        <v>5917</v>
      </c>
      <c r="CF163" s="8">
        <v>-0.5940409683426443</v>
      </c>
      <c r="CG163" s="8">
        <v>-0.42313898352513202</v>
      </c>
      <c r="CH163" s="8">
        <v>0.9451795220375061</v>
      </c>
      <c r="CI163" s="8">
        <v>0.18787430226802826</v>
      </c>
      <c r="CJ163" s="9">
        <v>0.20468898117542267</v>
      </c>
      <c r="CK163" s="9">
        <v>0.42728433012962341</v>
      </c>
      <c r="CL163" s="9" t="s">
        <v>90</v>
      </c>
      <c r="CM163" s="9">
        <v>-0.27467024326324463</v>
      </c>
      <c r="CN163" s="9">
        <v>0.12931033968925476</v>
      </c>
      <c r="CO163">
        <v>0.46465384960174561</v>
      </c>
      <c r="CP163">
        <v>0.81146073341369629</v>
      </c>
      <c r="CQ163" t="s">
        <v>90</v>
      </c>
      <c r="CR163" s="8">
        <v>50.157546406067716</v>
      </c>
      <c r="CS163" s="9">
        <v>1.1366974568063304</v>
      </c>
      <c r="CT163">
        <v>2.017391304347826</v>
      </c>
      <c r="CU163">
        <v>0.44125678390264511</v>
      </c>
      <c r="CV163">
        <v>0.28268866986036301</v>
      </c>
      <c r="CW163">
        <v>0.06</v>
      </c>
      <c r="CX163">
        <v>45.946735415492775</v>
      </c>
      <c r="CY163">
        <v>129193986.17379086</v>
      </c>
      <c r="CZ163">
        <v>0.44125678390264511</v>
      </c>
      <c r="DA163">
        <v>11.294201534087959</v>
      </c>
      <c r="DB163">
        <v>525583139.46177989</v>
      </c>
      <c r="DC163">
        <v>0.41919394470751281</v>
      </c>
      <c r="DD163">
        <v>3.650037734426161</v>
      </c>
      <c r="DE163">
        <v>1626296036.343096</v>
      </c>
      <c r="DF163">
        <v>0.38830596983432769</v>
      </c>
      <c r="DG163">
        <v>1.2909536457466433</v>
      </c>
      <c r="DH163">
        <v>4598183613.7631397</v>
      </c>
      <c r="DI163">
        <v>0.35300542712211613</v>
      </c>
      <c r="DJ163">
        <v>0.17756029131251636</v>
      </c>
      <c r="DK163">
        <v>33431134045.349274</v>
      </c>
      <c r="DL163">
        <v>0.30887974873185153</v>
      </c>
      <c r="DM163">
        <v>95018200</v>
      </c>
      <c r="DN163">
        <v>0.44125678390264511</v>
      </c>
      <c r="DO163">
        <v>5936041900</v>
      </c>
      <c r="DP163">
        <v>1332303100</v>
      </c>
      <c r="DQ163" s="10">
        <v>3915</v>
      </c>
      <c r="DR163">
        <v>-1.0352977522452895</v>
      </c>
      <c r="DS163">
        <v>-0.70582765338549502</v>
      </c>
      <c r="DT163">
        <v>0.35200000000000004</v>
      </c>
      <c r="DU163">
        <v>-2.3999999999999976E-2</v>
      </c>
      <c r="DV163">
        <v>0.32800000000000007</v>
      </c>
      <c r="DW163">
        <v>-8.2828456683878375</v>
      </c>
      <c r="DX163">
        <v>0.38426279008079178</v>
      </c>
      <c r="DY163">
        <v>-8.0351471919161401</v>
      </c>
      <c r="DZ163">
        <v>2868</v>
      </c>
      <c r="EA163">
        <v>-8.0154207444767103</v>
      </c>
      <c r="EB163" s="11">
        <v>8</v>
      </c>
      <c r="EC163" s="11">
        <v>3.0897959742223792E-2</v>
      </c>
      <c r="ED163">
        <v>0.24865013671538136</v>
      </c>
      <c r="EE163">
        <v>-2.0491000000000001</v>
      </c>
      <c r="EF163">
        <v>-2.0373999999999999</v>
      </c>
      <c r="EG163">
        <v>26.124262790080792</v>
      </c>
      <c r="EH163" s="13" t="s">
        <v>1793</v>
      </c>
      <c r="EI163">
        <v>0</v>
      </c>
      <c r="EJ163">
        <v>0</v>
      </c>
      <c r="EK163">
        <v>45470</v>
      </c>
      <c r="EL163">
        <v>0.31</v>
      </c>
      <c r="EM163">
        <v>-6.12</v>
      </c>
      <c r="EN163">
        <v>0.33</v>
      </c>
      <c r="EO163">
        <v>3.96</v>
      </c>
      <c r="EP163">
        <v>-1.17</v>
      </c>
    </row>
    <row r="164" spans="1:146" ht="108">
      <c r="A164" s="7"/>
      <c r="B164" s="7"/>
      <c r="C164" s="7" t="str">
        <f>""&amp;CHAR(10)&amp;Basic_Fundamental_Information_Constructure(F164)&amp;CHAR(10)&amp;Basic_Fundamental_Information_Concatenate("")</f>
        <v xml:space="preserve">
市值33.280175亿, 利润5887.07万; PE19.05; 平均PE43.58; 平均PEG.91, PB4.26; ROIC17.4767%; ROE19.3467%; 股利率3.8158%; 毛利40.5667%; 净利20.2067%; 上一年度营收增170.46%, 利润增-58.83%; 当季营收增-38.38%, 利润增744.29%; 过往5年营收增48.03%, 利润增19.56%
Income profile:
</v>
      </c>
      <c r="D164" t="s">
        <v>161</v>
      </c>
      <c r="E164" t="s">
        <v>35</v>
      </c>
      <c r="F164">
        <v>7.6</v>
      </c>
      <c r="G164">
        <v>1.2</v>
      </c>
      <c r="H164" t="s">
        <v>5918</v>
      </c>
      <c r="I164">
        <v>3328017500</v>
      </c>
      <c r="J164">
        <v>19.05</v>
      </c>
      <c r="K164">
        <v>4.26</v>
      </c>
      <c r="L164" t="s">
        <v>85</v>
      </c>
      <c r="M164" t="s">
        <v>1564</v>
      </c>
      <c r="N164" t="s">
        <v>5919</v>
      </c>
      <c r="O164" t="s">
        <v>230</v>
      </c>
      <c r="P164">
        <v>17.23</v>
      </c>
      <c r="Q164" t="s">
        <v>5920</v>
      </c>
      <c r="R164">
        <v>53323241</v>
      </c>
      <c r="S164" s="5">
        <v>0.40970000000000001</v>
      </c>
      <c r="T164" t="s">
        <v>5921</v>
      </c>
      <c r="U164">
        <v>433314340</v>
      </c>
      <c r="V164">
        <v>437897040</v>
      </c>
      <c r="W164">
        <v>1.83</v>
      </c>
      <c r="X164">
        <v>0.13</v>
      </c>
      <c r="Y164">
        <v>29.35</v>
      </c>
      <c r="Z164" t="s">
        <v>174</v>
      </c>
      <c r="AA164" t="s">
        <v>5922</v>
      </c>
      <c r="AB164" t="s">
        <v>5923</v>
      </c>
      <c r="AC164" t="s">
        <v>5924</v>
      </c>
      <c r="AD164" t="s">
        <v>90</v>
      </c>
      <c r="AE164">
        <v>-225276</v>
      </c>
      <c r="AF164" t="s">
        <v>3135</v>
      </c>
      <c r="AG164" t="s">
        <v>5925</v>
      </c>
      <c r="AH164" t="s">
        <v>3136</v>
      </c>
      <c r="AI164" t="s">
        <v>129</v>
      </c>
      <c r="AJ164" t="s">
        <v>3137</v>
      </c>
      <c r="AK164" t="s">
        <v>5926</v>
      </c>
      <c r="AL164" t="s">
        <v>3138</v>
      </c>
      <c r="AM164" t="s">
        <v>90</v>
      </c>
      <c r="AN164" t="s">
        <v>5927</v>
      </c>
      <c r="AO164" t="s">
        <v>90</v>
      </c>
      <c r="AP164" t="s">
        <v>5928</v>
      </c>
      <c r="AQ164" t="s">
        <v>339</v>
      </c>
      <c r="AR164" t="s">
        <v>5929</v>
      </c>
      <c r="AS164" t="s">
        <v>1780</v>
      </c>
      <c r="AT164" t="s">
        <v>90</v>
      </c>
      <c r="AU164" t="s">
        <v>5930</v>
      </c>
      <c r="AV164" t="s">
        <v>5931</v>
      </c>
      <c r="AW164" t="s">
        <v>5932</v>
      </c>
      <c r="AX164" t="s">
        <v>1780</v>
      </c>
      <c r="AY164" t="s">
        <v>401</v>
      </c>
      <c r="AZ164" t="s">
        <v>149</v>
      </c>
      <c r="BA164" t="s">
        <v>148</v>
      </c>
      <c r="BB164" t="s">
        <v>404</v>
      </c>
      <c r="BC164" t="s">
        <v>103</v>
      </c>
      <c r="BD164" t="s">
        <v>1351</v>
      </c>
      <c r="BE164" t="s">
        <v>962</v>
      </c>
      <c r="BF164" t="s">
        <v>164</v>
      </c>
      <c r="BG164" t="s">
        <v>963</v>
      </c>
      <c r="BH164" t="s">
        <v>1575</v>
      </c>
      <c r="BI164" t="s">
        <v>461</v>
      </c>
      <c r="BJ164" t="s">
        <v>1780</v>
      </c>
      <c r="BK164" t="s">
        <v>273</v>
      </c>
      <c r="BL164" t="s">
        <v>5933</v>
      </c>
      <c r="BM164" t="s">
        <v>103</v>
      </c>
      <c r="BN164">
        <v>15.24</v>
      </c>
      <c r="BO164">
        <v>22.42</v>
      </c>
      <c r="BP164">
        <v>14.77</v>
      </c>
      <c r="BQ164">
        <v>17.739999999999998</v>
      </c>
      <c r="BR164">
        <v>24.48</v>
      </c>
      <c r="BS164">
        <v>15.82</v>
      </c>
      <c r="BT164" t="s">
        <v>3139</v>
      </c>
      <c r="BU164" t="s">
        <v>1447</v>
      </c>
      <c r="BV164">
        <v>42.43</v>
      </c>
      <c r="BW164">
        <v>41.65</v>
      </c>
      <c r="BX164">
        <v>37.619999999999997</v>
      </c>
      <c r="BY164">
        <v>22.55</v>
      </c>
      <c r="BZ164">
        <v>22.05</v>
      </c>
      <c r="CA164">
        <v>16.02</v>
      </c>
      <c r="CB164">
        <v>0.93</v>
      </c>
      <c r="CC164">
        <v>-2.31</v>
      </c>
      <c r="CD164" t="s">
        <v>5934</v>
      </c>
      <c r="CE164" t="s">
        <v>339</v>
      </c>
      <c r="CF164" s="8">
        <v>-0.38383838383838381</v>
      </c>
      <c r="CG164" s="9">
        <v>7.4428840182207026</v>
      </c>
      <c r="CH164" s="8">
        <v>1.7046153545379639</v>
      </c>
      <c r="CI164" s="8">
        <v>0.21722845733165741</v>
      </c>
      <c r="CJ164" s="8">
        <v>0.25647059082984924</v>
      </c>
      <c r="CK164" s="8">
        <v>0.12433862686157227</v>
      </c>
      <c r="CL164" s="8">
        <v>9.8837211728096008E-2</v>
      </c>
      <c r="CM164" s="9">
        <v>-0.58831673860549927</v>
      </c>
      <c r="CN164" s="9">
        <v>0.66683173179626465</v>
      </c>
      <c r="CO164" s="9">
        <v>0.27376300096511841</v>
      </c>
      <c r="CP164" s="9">
        <v>7.3412977159023285E-2</v>
      </c>
      <c r="CQ164" s="9">
        <v>0.55226039886474609</v>
      </c>
      <c r="CR164">
        <v>43.580974019171336</v>
      </c>
      <c r="CS164">
        <v>0.90737353976872148</v>
      </c>
      <c r="CT164">
        <v>3.8157894736842106</v>
      </c>
      <c r="CU164" s="8">
        <v>0.48029804825782774</v>
      </c>
      <c r="CV164" s="9">
        <v>0.19559027403593063</v>
      </c>
      <c r="CW164">
        <v>0.06</v>
      </c>
      <c r="CX164">
        <v>39.312548859913697</v>
      </c>
      <c r="CY164">
        <v>82213379.537332177</v>
      </c>
      <c r="CZ164">
        <v>0.48029804825782774</v>
      </c>
      <c r="DA164">
        <v>9.3775686855824194</v>
      </c>
      <c r="DB164">
        <v>344654100.47799259</v>
      </c>
      <c r="DC164">
        <v>0.45628314584493634</v>
      </c>
      <c r="DD164">
        <v>2.8886299702980569</v>
      </c>
      <c r="DE164">
        <v>1118875568.429594</v>
      </c>
      <c r="DF164">
        <v>0.42266228246688842</v>
      </c>
      <c r="DG164">
        <v>0.95804101723896273</v>
      </c>
      <c r="DH164">
        <v>3373569024.5440116</v>
      </c>
      <c r="DI164">
        <v>0.38423843860626222</v>
      </c>
      <c r="DJ164">
        <v>0.11164024831659079</v>
      </c>
      <c r="DK164">
        <v>28950289422.812862</v>
      </c>
      <c r="DL164">
        <v>0.33620863378047938</v>
      </c>
      <c r="DM164">
        <v>58870700</v>
      </c>
      <c r="DN164">
        <v>0.48029804825782774</v>
      </c>
      <c r="DO164">
        <v>3232017500</v>
      </c>
      <c r="DP164">
        <v>500983040</v>
      </c>
      <c r="DQ164">
        <v>3920</v>
      </c>
      <c r="DR164">
        <v>-0.86413643209621149</v>
      </c>
      <c r="DS164">
        <v>7.2472937441847716</v>
      </c>
      <c r="DT164" s="10">
        <v>0.17666666666666667</v>
      </c>
      <c r="DU164">
        <v>0.58666666666666667</v>
      </c>
      <c r="DV164">
        <v>0.76333333333333331</v>
      </c>
      <c r="DW164">
        <v>-2.3099999999999999E-2</v>
      </c>
      <c r="DX164">
        <v>0.33166043165467612</v>
      </c>
      <c r="DY164">
        <v>-3.5033559712230218E-3</v>
      </c>
      <c r="DZ164">
        <v>2032</v>
      </c>
      <c r="EA164">
        <v>-2.1102406417660394E-3</v>
      </c>
      <c r="EB164">
        <v>0</v>
      </c>
      <c r="EC164">
        <v>4.8140996796872615E-2</v>
      </c>
      <c r="ED164">
        <v>0.31742621507558033</v>
      </c>
      <c r="EE164" s="11">
        <v>1.02481</v>
      </c>
      <c r="EF164">
        <v>1.06751</v>
      </c>
      <c r="EG164">
        <v>18.151660431654676</v>
      </c>
      <c r="EH164" t="s">
        <v>1733</v>
      </c>
      <c r="EI164">
        <v>0</v>
      </c>
      <c r="EJ164">
        <v>0</v>
      </c>
      <c r="EK164" s="13">
        <v>45470</v>
      </c>
      <c r="EL164" s="14">
        <v>7.04</v>
      </c>
      <c r="EM164" s="14">
        <v>-3.49</v>
      </c>
      <c r="EN164">
        <v>-2.71</v>
      </c>
      <c r="EO164">
        <v>2.38</v>
      </c>
      <c r="EP164">
        <v>-4.2699999999999996</v>
      </c>
    </row>
    <row r="165" spans="1:146" ht="96">
      <c r="A165" s="7"/>
      <c r="B165" s="7"/>
      <c r="C165" s="7" t="str">
        <f>""&amp;CHAR(10)&amp;Basic_Fundamental_Information_Constructure(F165)&amp;CHAR(10)&amp;Basic_Fundamental_Information_Concatenate("")</f>
        <v xml:space="preserve">
市值17.4亿, 利润4.02亿; PE32.21; 平均PE19.32; 平均PEG.11, PB3.02; ROIC6.68%; ROE7.7367%; 股利率1.7241%; 毛利20.7867%; 净利6.0733%; 上一年度营收增774.93%, 利润增652.93%; 当季营收增-89.96%, 利润增-74.52%; 过往5年营收增171.83%, 利润增191.47%
Income profile:
</v>
      </c>
      <c r="D165" t="s">
        <v>543</v>
      </c>
      <c r="E165" t="s">
        <v>23</v>
      </c>
      <c r="F165">
        <v>17.399999999999999</v>
      </c>
      <c r="G165">
        <v>1.46</v>
      </c>
      <c r="H165" t="s">
        <v>5935</v>
      </c>
      <c r="I165">
        <v>1740000000</v>
      </c>
      <c r="J165">
        <v>32.21</v>
      </c>
      <c r="K165">
        <v>3.02</v>
      </c>
      <c r="L165" t="s">
        <v>85</v>
      </c>
      <c r="M165" t="s">
        <v>227</v>
      </c>
      <c r="N165" t="s">
        <v>4058</v>
      </c>
      <c r="O165" t="s">
        <v>339</v>
      </c>
      <c r="P165">
        <v>-8.74</v>
      </c>
      <c r="Q165" t="s">
        <v>5936</v>
      </c>
      <c r="R165">
        <v>15883260</v>
      </c>
      <c r="S165" s="5">
        <v>1.5900000000000001E-2</v>
      </c>
      <c r="T165" t="s">
        <v>565</v>
      </c>
      <c r="U165">
        <v>100000000</v>
      </c>
      <c r="V165">
        <v>100000000</v>
      </c>
      <c r="W165">
        <v>1.42</v>
      </c>
      <c r="X165">
        <v>0.17</v>
      </c>
      <c r="Y165">
        <v>11.78</v>
      </c>
      <c r="Z165" t="s">
        <v>174</v>
      </c>
      <c r="AA165" t="s">
        <v>5937</v>
      </c>
      <c r="AB165" t="s">
        <v>5938</v>
      </c>
      <c r="AC165" t="s">
        <v>5939</v>
      </c>
      <c r="AD165" t="s">
        <v>90</v>
      </c>
      <c r="AE165">
        <v>-155294</v>
      </c>
      <c r="AF165" t="s">
        <v>3142</v>
      </c>
      <c r="AG165">
        <v>0.1</v>
      </c>
      <c r="AH165" t="s">
        <v>3143</v>
      </c>
      <c r="AI165" t="s">
        <v>236</v>
      </c>
      <c r="AJ165" t="s">
        <v>3144</v>
      </c>
      <c r="AK165" t="s">
        <v>5940</v>
      </c>
      <c r="AL165" t="s">
        <v>3145</v>
      </c>
      <c r="AM165" t="s">
        <v>90</v>
      </c>
      <c r="AN165" t="s">
        <v>3146</v>
      </c>
      <c r="AO165" t="s">
        <v>371</v>
      </c>
      <c r="AP165" t="s">
        <v>5941</v>
      </c>
      <c r="AQ165" t="s">
        <v>5942</v>
      </c>
      <c r="AR165" t="s">
        <v>90</v>
      </c>
      <c r="AS165" t="s">
        <v>1451</v>
      </c>
      <c r="AT165" t="s">
        <v>90</v>
      </c>
      <c r="AU165" t="s">
        <v>5943</v>
      </c>
      <c r="AV165" t="s">
        <v>5944</v>
      </c>
      <c r="AW165" t="s">
        <v>5945</v>
      </c>
      <c r="AX165" t="s">
        <v>851</v>
      </c>
      <c r="AY165" t="s">
        <v>110</v>
      </c>
      <c r="AZ165" t="s">
        <v>315</v>
      </c>
      <c r="BA165" t="s">
        <v>534</v>
      </c>
      <c r="BB165" t="s">
        <v>478</v>
      </c>
      <c r="BC165" t="s">
        <v>1991</v>
      </c>
      <c r="BD165" t="s">
        <v>1352</v>
      </c>
      <c r="BE165" t="s">
        <v>964</v>
      </c>
      <c r="BF165" t="s">
        <v>544</v>
      </c>
      <c r="BG165" t="s">
        <v>965</v>
      </c>
      <c r="BH165" t="s">
        <v>1481</v>
      </c>
      <c r="BI165" t="s">
        <v>3311</v>
      </c>
      <c r="BJ165" t="s">
        <v>851</v>
      </c>
      <c r="BK165" t="s">
        <v>3140</v>
      </c>
      <c r="BL165" t="s">
        <v>5946</v>
      </c>
      <c r="BM165" t="s">
        <v>1991</v>
      </c>
      <c r="BN165">
        <v>8.19</v>
      </c>
      <c r="BO165">
        <v>9.06</v>
      </c>
      <c r="BP165">
        <v>2.79</v>
      </c>
      <c r="BQ165">
        <v>10.08</v>
      </c>
      <c r="BR165">
        <v>10.23</v>
      </c>
      <c r="BS165">
        <v>2.9</v>
      </c>
      <c r="BT165" t="s">
        <v>1720</v>
      </c>
      <c r="BU165" t="s">
        <v>1381</v>
      </c>
      <c r="BV165">
        <v>24.88</v>
      </c>
      <c r="BW165">
        <v>19.43</v>
      </c>
      <c r="BX165">
        <v>18.05</v>
      </c>
      <c r="BY165">
        <v>8</v>
      </c>
      <c r="BZ165">
        <v>7.59</v>
      </c>
      <c r="CA165">
        <v>2.63</v>
      </c>
      <c r="CB165">
        <v>-2.36</v>
      </c>
      <c r="CC165">
        <v>-18.920000000000002</v>
      </c>
      <c r="CD165" t="s">
        <v>5947</v>
      </c>
      <c r="CE165" t="s">
        <v>5948</v>
      </c>
      <c r="CF165" s="8">
        <v>-0.89956647398843925</v>
      </c>
      <c r="CG165" s="9">
        <v>-0.74516449400344953</v>
      </c>
      <c r="CH165" s="8">
        <v>7.7493000030517578</v>
      </c>
      <c r="CI165" s="8">
        <v>0.27728086709976196</v>
      </c>
      <c r="CJ165" s="8">
        <v>0.72000002861022949</v>
      </c>
      <c r="CK165" s="8">
        <v>-0.33808553218841553</v>
      </c>
      <c r="CL165" s="8">
        <v>0.18313252925872803</v>
      </c>
      <c r="CM165" s="9">
        <v>6.5292739868164063</v>
      </c>
      <c r="CN165" s="9">
        <v>2.6407501697540283</v>
      </c>
      <c r="CO165" s="9">
        <v>1.2416006326675415</v>
      </c>
      <c r="CP165" s="9">
        <v>-0.78918027877807617</v>
      </c>
      <c r="CQ165" s="9">
        <v>-4.8789385706186295E-2</v>
      </c>
      <c r="CR165">
        <v>19.324211589751432</v>
      </c>
      <c r="CS165">
        <v>0.11245954680559385</v>
      </c>
      <c r="CT165">
        <v>1.7241379310344829</v>
      </c>
      <c r="CU165" s="8">
        <v>1.7183255791664123</v>
      </c>
      <c r="CV165" s="9">
        <v>1.9147310249507428</v>
      </c>
      <c r="CW165">
        <v>0.06</v>
      </c>
      <c r="CX165">
        <v>1.3483205093030755</v>
      </c>
      <c r="CY165">
        <v>1030912153.6083939</v>
      </c>
      <c r="CZ165">
        <v>1.7183255791664123</v>
      </c>
      <c r="DA165">
        <v>0.14427202837206218</v>
      </c>
      <c r="DB165">
        <v>9634577233.6085701</v>
      </c>
      <c r="DC165">
        <v>1.6324093002080915</v>
      </c>
      <c r="DD165">
        <v>1.1344776478735705E-2</v>
      </c>
      <c r="DE165">
        <v>122523348309.71529</v>
      </c>
      <c r="DF165">
        <v>1.5121265096664429</v>
      </c>
      <c r="DG165">
        <v>6.0142391106845095E-4</v>
      </c>
      <c r="DH165">
        <v>2311181804412.4912</v>
      </c>
      <c r="DI165">
        <v>1.3746604633331299</v>
      </c>
      <c r="DJ165">
        <v>7.9486819895207122E-7</v>
      </c>
      <c r="DK165">
        <v>1748717588441117</v>
      </c>
      <c r="DL165">
        <v>1.2028279054164885</v>
      </c>
      <c r="DM165">
        <v>401999999.99999994</v>
      </c>
      <c r="DN165">
        <v>1.7183255791664123</v>
      </c>
      <c r="DO165">
        <v>1390000000</v>
      </c>
      <c r="DP165">
        <v>324934360</v>
      </c>
      <c r="DQ165">
        <v>3922</v>
      </c>
      <c r="DR165">
        <v>-2.6178920531548515</v>
      </c>
      <c r="DS165">
        <v>-2.6598955189541922</v>
      </c>
      <c r="DT165" s="10">
        <v>0.26</v>
      </c>
      <c r="DU165">
        <v>0.24333333333333326</v>
      </c>
      <c r="DV165">
        <v>0.5033333333333333</v>
      </c>
      <c r="DW165">
        <v>-3.0330238095238093</v>
      </c>
      <c r="DX165">
        <v>0.32288170070197819</v>
      </c>
      <c r="DY165">
        <v>-3.0033975456874678</v>
      </c>
      <c r="DZ165">
        <v>3023</v>
      </c>
      <c r="EA165">
        <v>-3.0013876081897739</v>
      </c>
      <c r="EB165">
        <v>3</v>
      </c>
      <c r="EC165">
        <v>5.1589000000000003E-2</v>
      </c>
      <c r="ED165">
        <v>0.50144</v>
      </c>
      <c r="EE165" s="11">
        <v>-1.0463100000000001</v>
      </c>
      <c r="EF165">
        <v>-1.06281</v>
      </c>
      <c r="EG165">
        <v>22.102881700701978</v>
      </c>
      <c r="EH165" t="s">
        <v>1726</v>
      </c>
      <c r="EI165">
        <v>0</v>
      </c>
      <c r="EJ165">
        <v>0</v>
      </c>
      <c r="EK165" s="13">
        <v>45470</v>
      </c>
      <c r="EL165" s="14">
        <v>-0.24</v>
      </c>
      <c r="EM165" s="14">
        <v>-3.21</v>
      </c>
      <c r="EN165">
        <v>0.98</v>
      </c>
      <c r="EO165">
        <v>3.29</v>
      </c>
      <c r="EP165">
        <v>-1.65</v>
      </c>
    </row>
    <row r="166" spans="1:146" ht="108">
      <c r="C166" s="7" t="str">
        <f>""&amp;CHAR(10)&amp;Basic_Fundamental_Information_Constructure(F166)&amp;CHAR(10)&amp;Basic_Fundamental_Information_Concatenate("")</f>
        <v xml:space="preserve">
市值89.493971亿, 利润1.62亿; PE11.89; 平均PE23.53; 平均PEG39.24, PB2.18; ROIC14.6333%; ROE16.94%; 股利率3.3098%; 毛利34.6533%; 净利9.68%; 上一年度营收增-60.85%, 利润增-72.02%; 当季营收增112.04%, 利润增64.66%; 过往5年营收增.6%, 利润增.03%
Income profile:
</v>
      </c>
      <c r="D166" t="s">
        <v>5949</v>
      </c>
      <c r="E166" t="s">
        <v>5950</v>
      </c>
      <c r="F166">
        <v>22.66</v>
      </c>
      <c r="G166">
        <v>1.25</v>
      </c>
      <c r="H166" t="s">
        <v>5951</v>
      </c>
      <c r="I166">
        <v>8949397100</v>
      </c>
      <c r="J166">
        <v>11.89</v>
      </c>
      <c r="K166">
        <v>2.1800000000000002</v>
      </c>
      <c r="L166" t="s">
        <v>85</v>
      </c>
      <c r="M166" t="s">
        <v>5952</v>
      </c>
      <c r="N166" t="s">
        <v>5953</v>
      </c>
      <c r="O166" t="s">
        <v>1552</v>
      </c>
      <c r="P166" s="5">
        <v>0.48</v>
      </c>
      <c r="Q166" t="s">
        <v>5954</v>
      </c>
      <c r="R166">
        <v>148369990</v>
      </c>
      <c r="S166">
        <v>6.4799999999999996E-2</v>
      </c>
      <c r="T166" t="s">
        <v>372</v>
      </c>
      <c r="U166">
        <v>391095000</v>
      </c>
      <c r="V166">
        <v>394942500</v>
      </c>
      <c r="W166">
        <v>1.96</v>
      </c>
      <c r="X166">
        <v>0.19</v>
      </c>
      <c r="Y166">
        <v>9.49</v>
      </c>
      <c r="Z166" t="s">
        <v>5955</v>
      </c>
      <c r="AA166" t="s">
        <v>1883</v>
      </c>
      <c r="AB166" t="s">
        <v>129</v>
      </c>
      <c r="AC166" t="s">
        <v>5956</v>
      </c>
      <c r="AD166" t="s">
        <v>90</v>
      </c>
      <c r="AE166">
        <v>-6386798</v>
      </c>
      <c r="AF166" t="s">
        <v>5957</v>
      </c>
      <c r="AG166" t="s">
        <v>5958</v>
      </c>
      <c r="AH166" t="s">
        <v>5959</v>
      </c>
      <c r="AI166" t="s">
        <v>5960</v>
      </c>
      <c r="AJ166" t="s">
        <v>5961</v>
      </c>
      <c r="AK166" t="s">
        <v>5962</v>
      </c>
      <c r="AL166" t="s">
        <v>5963</v>
      </c>
      <c r="AM166" t="s">
        <v>90</v>
      </c>
      <c r="AN166" t="s">
        <v>5964</v>
      </c>
      <c r="AO166" t="s">
        <v>90</v>
      </c>
      <c r="AP166" t="s">
        <v>1930</v>
      </c>
      <c r="AQ166" t="s">
        <v>2147</v>
      </c>
      <c r="AR166" t="s">
        <v>5965</v>
      </c>
      <c r="AS166" t="s">
        <v>5966</v>
      </c>
      <c r="AT166" t="s">
        <v>1287</v>
      </c>
      <c r="AU166" t="s">
        <v>5967</v>
      </c>
      <c r="AV166" t="s">
        <v>5968</v>
      </c>
      <c r="AW166" t="s">
        <v>5969</v>
      </c>
      <c r="AX166" t="s">
        <v>5970</v>
      </c>
      <c r="AY166" t="s">
        <v>5971</v>
      </c>
      <c r="AZ166" t="s">
        <v>5972</v>
      </c>
      <c r="BA166" t="s">
        <v>5973</v>
      </c>
      <c r="BB166" t="s">
        <v>5974</v>
      </c>
      <c r="BC166" t="s">
        <v>1085</v>
      </c>
      <c r="BD166" t="s">
        <v>462</v>
      </c>
      <c r="BE166" t="s">
        <v>1533</v>
      </c>
      <c r="BF166" t="s">
        <v>363</v>
      </c>
      <c r="BG166" t="s">
        <v>531</v>
      </c>
      <c r="BH166" t="s">
        <v>5975</v>
      </c>
      <c r="BI166" t="s">
        <v>5976</v>
      </c>
      <c r="BJ166" t="s">
        <v>5970</v>
      </c>
      <c r="BK166" t="s">
        <v>1033</v>
      </c>
      <c r="BL166" t="s">
        <v>5977</v>
      </c>
      <c r="BM166" t="s">
        <v>1085</v>
      </c>
      <c r="BN166">
        <v>12.84</v>
      </c>
      <c r="BO166">
        <v>15.29</v>
      </c>
      <c r="BP166">
        <v>15.77</v>
      </c>
      <c r="BQ166">
        <v>14.92</v>
      </c>
      <c r="BR166">
        <v>17.5</v>
      </c>
      <c r="BS166">
        <v>18.399999999999999</v>
      </c>
      <c r="BT166" t="s">
        <v>5978</v>
      </c>
      <c r="BU166" t="s">
        <v>3551</v>
      </c>
      <c r="BV166">
        <v>34.200000000000003</v>
      </c>
      <c r="BW166">
        <v>34.82</v>
      </c>
      <c r="BX166">
        <v>34.94</v>
      </c>
      <c r="BY166">
        <v>10.07</v>
      </c>
      <c r="BZ166">
        <v>9.1199999999999992</v>
      </c>
      <c r="CA166">
        <v>9.85</v>
      </c>
      <c r="CB166">
        <v>-3.62</v>
      </c>
      <c r="CC166" s="8">
        <v>-9.94</v>
      </c>
      <c r="CD166" s="9" t="s">
        <v>5979</v>
      </c>
      <c r="CE166" s="8" t="s">
        <v>5980</v>
      </c>
      <c r="CF166" s="8">
        <v>1.1204330175913397</v>
      </c>
      <c r="CG166" s="8">
        <v>0.64655396662279407</v>
      </c>
      <c r="CH166" s="8">
        <v>-0.60847723484039307</v>
      </c>
      <c r="CI166" s="8">
        <v>0.16092579066753387</v>
      </c>
      <c r="CJ166" s="9">
        <v>0.29014816880226135</v>
      </c>
      <c r="CK166" s="9">
        <v>7.1554549038410187E-2</v>
      </c>
      <c r="CL166" s="9">
        <v>0.11582794785499573</v>
      </c>
      <c r="CM166" s="9">
        <v>-0.72020727396011353</v>
      </c>
      <c r="CN166" s="9">
        <v>7.4211500585079193E-2</v>
      </c>
      <c r="CO166">
        <v>0.41469815373420715</v>
      </c>
      <c r="CP166">
        <v>0.62820512056350708</v>
      </c>
      <c r="CQ166">
        <v>-0.39534884691238403</v>
      </c>
      <c r="CR166" s="8">
        <v>23.530404294478529</v>
      </c>
      <c r="CS166" s="9">
        <v>39.244521870884292</v>
      </c>
      <c r="CT166">
        <v>3.3097969991173875</v>
      </c>
      <c r="CU166">
        <v>5.9958443045616148E-3</v>
      </c>
      <c r="CV166">
        <v>3.1173080205917361E-4</v>
      </c>
      <c r="CW166">
        <v>0.06</v>
      </c>
      <c r="CX166">
        <v>59.6462035268381</v>
      </c>
      <c r="CY166">
        <v>153746534.6956028</v>
      </c>
      <c r="CZ166">
        <v>5.9958443045616148E-3</v>
      </c>
      <c r="DA166">
        <v>20.942563584640993</v>
      </c>
      <c r="DB166">
        <v>437883216.29952943</v>
      </c>
      <c r="DC166">
        <v>5.6960520893335337E-3</v>
      </c>
      <c r="DD166">
        <v>11.311373022005867</v>
      </c>
      <c r="DE166">
        <v>810723603.77111816</v>
      </c>
      <c r="DF166">
        <v>5.2763429880142215E-3</v>
      </c>
      <c r="DG166">
        <v>7.507807529901072</v>
      </c>
      <c r="DH166">
        <v>1221448081.0113196</v>
      </c>
      <c r="DI166">
        <v>4.796675443649292E-3</v>
      </c>
      <c r="DJ166">
        <v>4.7592820048695836</v>
      </c>
      <c r="DK166">
        <v>1926844656.5295076</v>
      </c>
      <c r="DL166">
        <v>4.1970910131931298E-3</v>
      </c>
      <c r="DM166">
        <v>162000000</v>
      </c>
      <c r="DN166">
        <v>5.9958443045616148E-3</v>
      </c>
      <c r="DO166">
        <v>9170397100</v>
      </c>
      <c r="DP166">
        <v>2925528600</v>
      </c>
      <c r="DQ166" s="10">
        <v>3929</v>
      </c>
      <c r="DR166">
        <v>1.1144371732867782</v>
      </c>
      <c r="DS166">
        <v>0.64624223582073492</v>
      </c>
      <c r="DT166">
        <v>-0.49</v>
      </c>
      <c r="DU166">
        <v>-6.6666666666666652E-2</v>
      </c>
      <c r="DV166">
        <v>-0.55666666666666664</v>
      </c>
      <c r="DW166">
        <v>-8.3641851106639837</v>
      </c>
      <c r="DX166">
        <v>0.36534201035245939</v>
      </c>
      <c r="DY166">
        <v>-8.0565732472309755</v>
      </c>
      <c r="DZ166">
        <v>3762</v>
      </c>
      <c r="EA166">
        <v>-8.0149238233399913</v>
      </c>
      <c r="EB166" s="11">
        <v>8</v>
      </c>
      <c r="EC166" s="11">
        <v>3.568367547174589E-2</v>
      </c>
      <c r="ED166">
        <v>0.22971040088114092</v>
      </c>
      <c r="EE166">
        <v>6.0166000000000004</v>
      </c>
      <c r="EF166">
        <v>6.0212000000000003</v>
      </c>
      <c r="EG166">
        <v>21.155342010352459</v>
      </c>
      <c r="EH166" s="13" t="s">
        <v>5981</v>
      </c>
      <c r="EI166">
        <v>0</v>
      </c>
      <c r="EJ166">
        <v>0</v>
      </c>
      <c r="EK166">
        <v>45470</v>
      </c>
      <c r="EL166">
        <v>0.32</v>
      </c>
      <c r="EM166">
        <v>-6.23</v>
      </c>
      <c r="EN166">
        <v>6.98</v>
      </c>
      <c r="EO166">
        <v>-0.46</v>
      </c>
      <c r="EP166">
        <v>0.46</v>
      </c>
    </row>
    <row r="167" spans="1:146" ht="96">
      <c r="A167" s="7"/>
      <c r="B167" s="7"/>
      <c r="C167" s="7" t="str">
        <f>""&amp;CHAR(10)&amp;Basic_Fundamental_Information_Constructure(F167)&amp;CHAR(10)&amp;Basic_Fundamental_Information_Concatenate("")</f>
        <v xml:space="preserve">
市值42.165595亿, 利润3.43亿; PE; 平均PE38.83; 平均PEG3.85, PB3.48; ROIC5.765%; ROE1.52%; 股利率0%; 毛利23.51%; 净利-2.4567%; 上一年度营收增29.33%, 利润增370.08%; 当季营收增7.8%, 利润增-54.65%; 过往5年营收增10.09%, 利润增51.26%
Income profile:
</v>
      </c>
      <c r="D167" t="s">
        <v>545</v>
      </c>
      <c r="E167" t="s">
        <v>18</v>
      </c>
      <c r="F167">
        <v>13.26</v>
      </c>
      <c r="G167">
        <v>1.45</v>
      </c>
      <c r="H167" t="s">
        <v>5982</v>
      </c>
      <c r="I167">
        <v>4216559500</v>
      </c>
      <c r="K167">
        <v>3.48</v>
      </c>
      <c r="L167" t="s">
        <v>85</v>
      </c>
      <c r="M167" t="s">
        <v>2104</v>
      </c>
      <c r="N167" t="s">
        <v>987</v>
      </c>
      <c r="O167" t="s">
        <v>272</v>
      </c>
      <c r="P167">
        <v>8.8699999999999992</v>
      </c>
      <c r="Q167" t="s">
        <v>2088</v>
      </c>
      <c r="R167">
        <v>18695241</v>
      </c>
      <c r="S167" s="5">
        <v>1.6830000000000001</v>
      </c>
      <c r="T167" t="s">
        <v>116</v>
      </c>
      <c r="U167">
        <v>317990920</v>
      </c>
      <c r="V167">
        <v>317990920</v>
      </c>
      <c r="W167">
        <v>1.72</v>
      </c>
      <c r="X167">
        <v>0.1</v>
      </c>
      <c r="Y167">
        <v>8.18</v>
      </c>
      <c r="Z167" t="s">
        <v>659</v>
      </c>
      <c r="AA167" t="s">
        <v>138</v>
      </c>
      <c r="AB167" t="s">
        <v>5983</v>
      </c>
      <c r="AC167" t="s">
        <v>5984</v>
      </c>
      <c r="AD167" t="s">
        <v>90</v>
      </c>
      <c r="AE167">
        <v>-137451</v>
      </c>
      <c r="AF167" t="s">
        <v>3149</v>
      </c>
      <c r="AG167" t="s">
        <v>5985</v>
      </c>
      <c r="AH167" t="s">
        <v>3150</v>
      </c>
      <c r="AI167" t="s">
        <v>1872</v>
      </c>
      <c r="AJ167" t="s">
        <v>3151</v>
      </c>
      <c r="AK167" t="s">
        <v>5986</v>
      </c>
      <c r="AL167" t="s">
        <v>3152</v>
      </c>
      <c r="AM167" t="s">
        <v>90</v>
      </c>
      <c r="AN167" t="s">
        <v>5987</v>
      </c>
      <c r="AO167" t="s">
        <v>90</v>
      </c>
      <c r="AP167" t="s">
        <v>5988</v>
      </c>
      <c r="AQ167" t="s">
        <v>706</v>
      </c>
      <c r="AR167" t="s">
        <v>90</v>
      </c>
      <c r="AS167" t="s">
        <v>1469</v>
      </c>
      <c r="AT167" t="s">
        <v>90</v>
      </c>
      <c r="AU167" t="s">
        <v>5989</v>
      </c>
      <c r="AV167" t="s">
        <v>5990</v>
      </c>
      <c r="AW167" t="s">
        <v>5991</v>
      </c>
      <c r="AX167" t="s">
        <v>1925</v>
      </c>
      <c r="AY167" t="s">
        <v>1128</v>
      </c>
      <c r="AZ167" t="s">
        <v>966</v>
      </c>
      <c r="BA167" t="s">
        <v>546</v>
      </c>
      <c r="BB167" t="s">
        <v>503</v>
      </c>
      <c r="BC167" t="s">
        <v>1608</v>
      </c>
      <c r="BD167" t="s">
        <v>281</v>
      </c>
      <c r="BE167" t="s">
        <v>326</v>
      </c>
      <c r="BF167" t="s">
        <v>547</v>
      </c>
      <c r="BG167" t="s">
        <v>968</v>
      </c>
      <c r="BH167" t="s">
        <v>1298</v>
      </c>
      <c r="BI167" t="s">
        <v>659</v>
      </c>
      <c r="BJ167" t="s">
        <v>1925</v>
      </c>
      <c r="BK167" t="s">
        <v>3148</v>
      </c>
      <c r="BL167" t="s">
        <v>5992</v>
      </c>
      <c r="BM167" t="s">
        <v>1608</v>
      </c>
      <c r="BN167">
        <v>2.95</v>
      </c>
      <c r="BO167" t="s">
        <v>90</v>
      </c>
      <c r="BP167">
        <v>8.58</v>
      </c>
      <c r="BQ167">
        <v>3.43</v>
      </c>
      <c r="BR167">
        <v>-9.51</v>
      </c>
      <c r="BS167">
        <v>10.64</v>
      </c>
      <c r="BT167" t="s">
        <v>1692</v>
      </c>
      <c r="BU167" t="s">
        <v>1381</v>
      </c>
      <c r="BV167">
        <v>21.93</v>
      </c>
      <c r="BW167">
        <v>22.78</v>
      </c>
      <c r="BX167">
        <v>25.82</v>
      </c>
      <c r="BY167">
        <v>-5.0999999999999996</v>
      </c>
      <c r="BZ167">
        <v>-13.37</v>
      </c>
      <c r="CA167">
        <v>11.1</v>
      </c>
      <c r="CB167">
        <v>-4.1900000000000004</v>
      </c>
      <c r="CC167">
        <v>-13.33</v>
      </c>
      <c r="CD167" t="s">
        <v>5993</v>
      </c>
      <c r="CE167" t="s">
        <v>2181</v>
      </c>
      <c r="CF167" s="8">
        <v>7.8048780487805031E-2</v>
      </c>
      <c r="CG167" s="9">
        <v>-0.54648629045365349</v>
      </c>
      <c r="CH167" s="8">
        <v>0.29334685206413269</v>
      </c>
      <c r="CI167" s="8">
        <v>-0.24332574009895325</v>
      </c>
      <c r="CJ167" s="8">
        <v>0.207182377576828</v>
      </c>
      <c r="CK167" s="8">
        <v>0.19735391438007355</v>
      </c>
      <c r="CL167" s="8">
        <v>4.9768518656492233E-2</v>
      </c>
      <c r="CM167" s="9">
        <v>3.7007873058319092</v>
      </c>
      <c r="CN167" s="9">
        <v>-1.8819444179534912</v>
      </c>
      <c r="CO167" s="9">
        <v>0.18032786250114441</v>
      </c>
      <c r="CP167" s="9">
        <v>0.28111556172370911</v>
      </c>
      <c r="CQ167" s="9">
        <v>0.28290125727653503</v>
      </c>
      <c r="CR167">
        <v>38.834900353713579</v>
      </c>
      <c r="CS167">
        <v>3.8501788838410502</v>
      </c>
      <c r="CT167">
        <v>0</v>
      </c>
      <c r="CU167" s="8">
        <v>0.10086518451571465</v>
      </c>
      <c r="CV167" s="9">
        <v>0.51263751387596135</v>
      </c>
      <c r="CW167">
        <v>0.06</v>
      </c>
      <c r="CX167">
        <v>11.067661409324552</v>
      </c>
      <c r="CY167">
        <v>356223356.87631142</v>
      </c>
      <c r="CZ167">
        <v>0.10086518451571465</v>
      </c>
      <c r="DA167">
        <v>3.5837255733831443</v>
      </c>
      <c r="DB167">
        <v>1100128740.125072</v>
      </c>
      <c r="DC167">
        <v>9.5821925289928916E-2</v>
      </c>
      <c r="DD167">
        <v>1.742549510370337</v>
      </c>
      <c r="DE167">
        <v>2262523662.333189</v>
      </c>
      <c r="DF167">
        <v>8.8761362373828895E-2</v>
      </c>
      <c r="DG167">
        <v>1.031896300264723</v>
      </c>
      <c r="DH167">
        <v>3820693512.5056405</v>
      </c>
      <c r="DI167">
        <v>8.0692147612571721E-2</v>
      </c>
      <c r="DJ167">
        <v>0.5168212479044122</v>
      </c>
      <c r="DK167">
        <v>7628477962.1312895</v>
      </c>
      <c r="DL167">
        <v>7.0605629161000244E-2</v>
      </c>
      <c r="DM167">
        <v>343000000</v>
      </c>
      <c r="DN167">
        <v>0.10086518451571465</v>
      </c>
      <c r="DO167">
        <v>3942559500</v>
      </c>
      <c r="DP167">
        <v>1190800200</v>
      </c>
      <c r="DQ167">
        <v>3956</v>
      </c>
      <c r="DR167">
        <v>-2.2816404027909618E-2</v>
      </c>
      <c r="DS167">
        <v>-1.0591238043296149</v>
      </c>
      <c r="DT167" s="10">
        <v>-0.17333333333333334</v>
      </c>
      <c r="DU167">
        <v>-0.28666666666666668</v>
      </c>
      <c r="DV167">
        <v>-0.46</v>
      </c>
      <c r="DW167">
        <v>-8.3143285821455368</v>
      </c>
      <c r="DX167">
        <v>0.27955871886121142</v>
      </c>
      <c r="DY167">
        <v>-8.0187210076540492</v>
      </c>
      <c r="DZ167">
        <v>1047</v>
      </c>
      <c r="EA167">
        <v>-8.0148852160662241</v>
      </c>
      <c r="EB167">
        <v>8</v>
      </c>
      <c r="EC167">
        <v>0.10526086719708852</v>
      </c>
      <c r="ED167">
        <v>1.7673460613277889</v>
      </c>
      <c r="EE167" s="11">
        <v>-3.0764999999999998</v>
      </c>
      <c r="EF167">
        <v>-3.0661999999999998</v>
      </c>
      <c r="EG167">
        <v>22.059558718861211</v>
      </c>
      <c r="EH167" t="s">
        <v>2118</v>
      </c>
      <c r="EI167">
        <v>0</v>
      </c>
      <c r="EJ167">
        <v>1</v>
      </c>
      <c r="EK167" s="13">
        <v>45470</v>
      </c>
      <c r="EL167" s="14">
        <v>2.93</v>
      </c>
      <c r="EM167" s="14">
        <v>-4.07</v>
      </c>
      <c r="EN167">
        <v>-0.23</v>
      </c>
      <c r="EO167">
        <v>1.75</v>
      </c>
      <c r="EP167">
        <v>-1.03</v>
      </c>
    </row>
    <row r="168" spans="1:146" ht="108">
      <c r="A168" s="7"/>
      <c r="B168" s="7"/>
      <c r="C168" s="7" t="str">
        <f>""&amp;CHAR(10)&amp;Basic_Fundamental_Information_Constructure(F168)&amp;CHAR(10)&amp;Basic_Fundamental_Information_Concatenate("")</f>
        <v xml:space="preserve">
市值43.394722亿, 利润-5.78亿; PE10.55; 平均PE46.08; 平均PEG10.4, PB1.06; ROIC9.3867%; ROE9.93%; 股利率4.8976%; 毛利24.6767%; 净利10.8333%; 上一年度营收增-77.59%, 利润增-297.95%; 当季营收增289.04%, 利润增1350.2%; 过往5年营收增4.43%, 利润增-40.86%
Income profile:
</v>
      </c>
      <c r="D168" t="s">
        <v>455</v>
      </c>
      <c r="E168" t="s">
        <v>54</v>
      </c>
      <c r="F168">
        <v>11.23</v>
      </c>
      <c r="G168">
        <v>1.17</v>
      </c>
      <c r="H168" t="s">
        <v>5994</v>
      </c>
      <c r="I168">
        <v>4339472200</v>
      </c>
      <c r="J168">
        <v>10.55</v>
      </c>
      <c r="K168">
        <v>1.06</v>
      </c>
      <c r="L168" t="s">
        <v>85</v>
      </c>
      <c r="M168" t="s">
        <v>1578</v>
      </c>
      <c r="N168" t="s">
        <v>2311</v>
      </c>
      <c r="O168" t="s">
        <v>553</v>
      </c>
      <c r="P168">
        <v>-4.34</v>
      </c>
      <c r="Q168" t="s">
        <v>5247</v>
      </c>
      <c r="R168">
        <v>114653701</v>
      </c>
      <c r="S168" s="5">
        <v>-1.67E-2</v>
      </c>
      <c r="T168" t="s">
        <v>5995</v>
      </c>
      <c r="U168">
        <v>384472880</v>
      </c>
      <c r="V168">
        <v>386417830</v>
      </c>
      <c r="W168">
        <v>1.39</v>
      </c>
      <c r="X168">
        <v>0.15</v>
      </c>
      <c r="Y168">
        <v>13.53</v>
      </c>
      <c r="Z168" t="s">
        <v>1872</v>
      </c>
      <c r="AA168" t="s">
        <v>1769</v>
      </c>
      <c r="AB168" t="s">
        <v>5996</v>
      </c>
      <c r="AC168" t="s">
        <v>5997</v>
      </c>
      <c r="AD168" t="s">
        <v>90</v>
      </c>
      <c r="AE168">
        <v>-9295975</v>
      </c>
      <c r="AF168" t="s">
        <v>3154</v>
      </c>
      <c r="AG168" t="s">
        <v>5998</v>
      </c>
      <c r="AH168" t="s">
        <v>3155</v>
      </c>
      <c r="AI168" t="s">
        <v>5999</v>
      </c>
      <c r="AJ168" t="s">
        <v>3156</v>
      </c>
      <c r="AK168" t="s">
        <v>90</v>
      </c>
      <c r="AL168" t="s">
        <v>3157</v>
      </c>
      <c r="AM168" t="s">
        <v>90</v>
      </c>
      <c r="AN168" t="s">
        <v>6000</v>
      </c>
      <c r="AO168" t="s">
        <v>90</v>
      </c>
      <c r="AP168" t="s">
        <v>972</v>
      </c>
      <c r="AQ168" t="s">
        <v>1056</v>
      </c>
      <c r="AR168" t="s">
        <v>90</v>
      </c>
      <c r="AS168" t="s">
        <v>6001</v>
      </c>
      <c r="AT168" t="s">
        <v>90</v>
      </c>
      <c r="AU168" t="s">
        <v>6002</v>
      </c>
      <c r="AV168" t="s">
        <v>1565</v>
      </c>
      <c r="AW168" t="s">
        <v>6003</v>
      </c>
      <c r="AX168" t="s">
        <v>2033</v>
      </c>
      <c r="AY168" t="s">
        <v>1353</v>
      </c>
      <c r="AZ168" t="s">
        <v>969</v>
      </c>
      <c r="BA168" t="s">
        <v>456</v>
      </c>
      <c r="BB168" t="s">
        <v>970</v>
      </c>
      <c r="BC168" t="s">
        <v>933</v>
      </c>
      <c r="BD168" t="s">
        <v>349</v>
      </c>
      <c r="BE168" t="s">
        <v>533</v>
      </c>
      <c r="BF168" t="s">
        <v>355</v>
      </c>
      <c r="BG168" t="s">
        <v>339</v>
      </c>
      <c r="BH168" t="s">
        <v>3153</v>
      </c>
      <c r="BI168" t="s">
        <v>355</v>
      </c>
      <c r="BJ168" t="s">
        <v>2033</v>
      </c>
      <c r="BK168" t="s">
        <v>1454</v>
      </c>
      <c r="BL168" t="s">
        <v>6004</v>
      </c>
      <c r="BM168" t="s">
        <v>933</v>
      </c>
      <c r="BN168">
        <v>8.57</v>
      </c>
      <c r="BO168">
        <v>9.43</v>
      </c>
      <c r="BP168">
        <v>10.16</v>
      </c>
      <c r="BQ168">
        <v>9.36</v>
      </c>
      <c r="BR168">
        <v>10.02</v>
      </c>
      <c r="BS168">
        <v>10.41</v>
      </c>
      <c r="BT168" t="s">
        <v>1901</v>
      </c>
      <c r="BU168" t="s">
        <v>1449</v>
      </c>
      <c r="BV168">
        <v>29.66</v>
      </c>
      <c r="BW168">
        <v>23.62</v>
      </c>
      <c r="BX168">
        <v>20.75</v>
      </c>
      <c r="BY168">
        <v>12.89</v>
      </c>
      <c r="BZ168">
        <v>10.47</v>
      </c>
      <c r="CA168">
        <v>9.14</v>
      </c>
      <c r="CB168">
        <v>-3.69</v>
      </c>
      <c r="CC168">
        <v>-18.27</v>
      </c>
      <c r="CD168" t="s">
        <v>6005</v>
      </c>
      <c r="CE168" t="s">
        <v>326</v>
      </c>
      <c r="CF168" s="8">
        <v>2.8904109589041096</v>
      </c>
      <c r="CG168" s="9">
        <v>13.50203918960178</v>
      </c>
      <c r="CH168" s="8">
        <v>-0.77590358257293701</v>
      </c>
      <c r="CI168" s="8">
        <v>9.1284669935703278E-2</v>
      </c>
      <c r="CJ168" s="8">
        <v>0.4084656834602356</v>
      </c>
      <c r="CK168" s="8">
        <v>0.23046875</v>
      </c>
      <c r="CL168" s="8">
        <v>0.26732674241065979</v>
      </c>
      <c r="CM168" s="9">
        <v>-2.9794521331787109</v>
      </c>
      <c r="CN168" s="9">
        <v>0.29777777194976807</v>
      </c>
      <c r="CO168" s="9">
        <v>-0.16044776141643524</v>
      </c>
      <c r="CP168" s="9">
        <v>0.22374428808689117</v>
      </c>
      <c r="CQ168" s="9">
        <v>0.57553958892822266</v>
      </c>
      <c r="CR168">
        <v>46.082890619469026</v>
      </c>
      <c r="CS168">
        <v>10.39578146043544</v>
      </c>
      <c r="CT168">
        <v>4.8975957257346394</v>
      </c>
      <c r="CU168" s="8">
        <v>4.4328452646732332E-2</v>
      </c>
      <c r="CV168" s="9">
        <v>-0.40856764912605287</v>
      </c>
      <c r="CW168">
        <v>0.06</v>
      </c>
      <c r="CX168" t="e">
        <v>#VALUE!</v>
      </c>
      <c r="CY168" t="s">
        <v>1391</v>
      </c>
      <c r="CZ168">
        <v>4.4328452646732332E-2</v>
      </c>
      <c r="DA168" t="e">
        <v>#VALUE!</v>
      </c>
      <c r="DB168" t="s">
        <v>1391</v>
      </c>
      <c r="DC168">
        <v>4.2112030014395715E-2</v>
      </c>
      <c r="DD168" t="e">
        <v>#VALUE!</v>
      </c>
      <c r="DE168" t="s">
        <v>1391</v>
      </c>
      <c r="DF168">
        <v>3.9009038329124453E-2</v>
      </c>
      <c r="DG168" t="e">
        <v>#VALUE!</v>
      </c>
      <c r="DH168" t="s">
        <v>1391</v>
      </c>
      <c r="DI168">
        <v>3.5462762117385867E-2</v>
      </c>
      <c r="DJ168" t="e">
        <v>#VALUE!</v>
      </c>
      <c r="DK168" t="s">
        <v>1391</v>
      </c>
      <c r="DL168">
        <v>3.1029916852712631E-2</v>
      </c>
      <c r="DM168">
        <v>-578000000</v>
      </c>
      <c r="DN168">
        <v>4.4328452646732332E-2</v>
      </c>
      <c r="DO168">
        <v>1849472199.9999995</v>
      </c>
      <c r="DP168">
        <v>2709164800</v>
      </c>
      <c r="DQ168">
        <v>3993</v>
      </c>
      <c r="DR168">
        <v>2.8460825062573774</v>
      </c>
      <c r="DS168">
        <v>13.910606838727832</v>
      </c>
      <c r="DT168" s="10">
        <v>-0.42333333333333339</v>
      </c>
      <c r="DU168">
        <v>-0.73666666666666669</v>
      </c>
      <c r="DV168">
        <v>-1.1600000000000001</v>
      </c>
      <c r="DW168">
        <v>-8.2019704433497544</v>
      </c>
      <c r="DX168">
        <v>0.34204672131147529</v>
      </c>
      <c r="DY168">
        <v>-8.0266695348461603</v>
      </c>
      <c r="DZ168">
        <v>4158</v>
      </c>
      <c r="EA168">
        <v>-8.0049685708754499</v>
      </c>
      <c r="EB168">
        <v>8</v>
      </c>
      <c r="EC168">
        <v>4.168984645454895E-2</v>
      </c>
      <c r="ED168">
        <v>0.31572042107891346</v>
      </c>
      <c r="EE168" s="11">
        <v>-2.01431</v>
      </c>
      <c r="EF168">
        <v>-2.03891</v>
      </c>
      <c r="EG168">
        <v>21.132046721311475</v>
      </c>
      <c r="EH168" t="s">
        <v>1735</v>
      </c>
      <c r="EI168">
        <v>0</v>
      </c>
      <c r="EJ168">
        <v>0</v>
      </c>
      <c r="EK168" s="13">
        <v>45470</v>
      </c>
      <c r="EL168" s="14">
        <v>-0.12</v>
      </c>
      <c r="EM168" s="14">
        <v>-4.95</v>
      </c>
      <c r="EN168">
        <v>-2.86</v>
      </c>
      <c r="EO168">
        <v>2.12</v>
      </c>
      <c r="EP168">
        <v>-2.46</v>
      </c>
    </row>
    <row r="169" spans="1:146" ht="108">
      <c r="A169" s="7"/>
      <c r="B169" s="7"/>
      <c r="C169" s="7" t="str">
        <f>""&amp;CHAR(10)&amp;Basic_Fundamental_Information_Constructure(F169)&amp;CHAR(10)&amp;Basic_Fundamental_Information_Concatenate("")</f>
        <v xml:space="preserve">
市值24.937926亿, 利润1.91亿; PE10.84; 平均PE18.7; 平均PEG1.75, PB1.65; ROIC12.9767%; ROE18.45%; 股利率4.1165%; 毛利18%; 净利6.3967%; 上一年度营收增-71.29%, 利润增10.4%; 当季营收增192.13%, 利润增-14.21%; 过往5年营收增-10.7%, 利润增22.31%
Income profile:
</v>
      </c>
      <c r="D169" t="s">
        <v>1498</v>
      </c>
      <c r="E169" t="s">
        <v>1499</v>
      </c>
      <c r="F169">
        <v>15.79</v>
      </c>
      <c r="G169">
        <v>-0.69</v>
      </c>
      <c r="H169" t="s">
        <v>6006</v>
      </c>
      <c r="I169">
        <v>2493792600</v>
      </c>
      <c r="J169">
        <v>10.84</v>
      </c>
      <c r="K169">
        <v>1.65</v>
      </c>
      <c r="L169" t="s">
        <v>85</v>
      </c>
      <c r="M169" t="s">
        <v>1851</v>
      </c>
      <c r="N169" t="s">
        <v>6007</v>
      </c>
      <c r="O169" t="s">
        <v>1099</v>
      </c>
      <c r="P169">
        <v>4.8899999999999997</v>
      </c>
      <c r="Q169" t="s">
        <v>1757</v>
      </c>
      <c r="R169">
        <v>47234232</v>
      </c>
      <c r="S169" s="5">
        <v>0.73250000000000004</v>
      </c>
      <c r="T169" t="s">
        <v>450</v>
      </c>
      <c r="U169">
        <v>64255335</v>
      </c>
      <c r="V169">
        <v>157934940</v>
      </c>
      <c r="W169">
        <v>1.8</v>
      </c>
      <c r="X169">
        <v>0.23</v>
      </c>
      <c r="Y169">
        <v>7.7</v>
      </c>
      <c r="Z169" t="s">
        <v>1103</v>
      </c>
      <c r="AA169" t="s">
        <v>2396</v>
      </c>
      <c r="AB169" t="s">
        <v>6008</v>
      </c>
      <c r="AC169" t="s">
        <v>6009</v>
      </c>
      <c r="AD169" t="s">
        <v>90</v>
      </c>
      <c r="AE169">
        <v>-2859928</v>
      </c>
      <c r="AF169" t="s">
        <v>3159</v>
      </c>
      <c r="AG169" t="s">
        <v>6010</v>
      </c>
      <c r="AH169" t="s">
        <v>3160</v>
      </c>
      <c r="AI169" t="s">
        <v>558</v>
      </c>
      <c r="AJ169" t="s">
        <v>3161</v>
      </c>
      <c r="AK169" t="s">
        <v>6011</v>
      </c>
      <c r="AL169" t="s">
        <v>3162</v>
      </c>
      <c r="AM169" t="s">
        <v>90</v>
      </c>
      <c r="AN169" t="s">
        <v>848</v>
      </c>
      <c r="AO169" t="s">
        <v>1052</v>
      </c>
      <c r="AP169" t="s">
        <v>6012</v>
      </c>
      <c r="AQ169" t="s">
        <v>748</v>
      </c>
      <c r="AR169" t="s">
        <v>90</v>
      </c>
      <c r="AS169" t="s">
        <v>2158</v>
      </c>
      <c r="AT169" t="s">
        <v>170</v>
      </c>
      <c r="AU169" t="s">
        <v>6013</v>
      </c>
      <c r="AV169" t="s">
        <v>6014</v>
      </c>
      <c r="AW169" t="s">
        <v>6015</v>
      </c>
      <c r="AX169" t="s">
        <v>1992</v>
      </c>
      <c r="AY169" t="s">
        <v>1500</v>
      </c>
      <c r="AZ169" t="s">
        <v>1501</v>
      </c>
      <c r="BA169" t="s">
        <v>1502</v>
      </c>
      <c r="BB169" t="s">
        <v>1503</v>
      </c>
      <c r="BC169" t="s">
        <v>542</v>
      </c>
      <c r="BD169" t="s">
        <v>485</v>
      </c>
      <c r="BE169" t="s">
        <v>253</v>
      </c>
      <c r="BF169" t="s">
        <v>818</v>
      </c>
      <c r="BG169" t="s">
        <v>1504</v>
      </c>
      <c r="BH169" t="s">
        <v>3158</v>
      </c>
      <c r="BI169" t="s">
        <v>150</v>
      </c>
      <c r="BJ169" t="s">
        <v>1992</v>
      </c>
      <c r="BK169" t="s">
        <v>509</v>
      </c>
      <c r="BL169" t="s">
        <v>6016</v>
      </c>
      <c r="BM169" t="s">
        <v>542</v>
      </c>
      <c r="BN169">
        <v>7.56</v>
      </c>
      <c r="BO169">
        <v>14.26</v>
      </c>
      <c r="BP169">
        <v>17.11</v>
      </c>
      <c r="BQ169">
        <v>9.2899999999999991</v>
      </c>
      <c r="BR169">
        <v>19.23</v>
      </c>
      <c r="BS169">
        <v>26.83</v>
      </c>
      <c r="BT169" t="s">
        <v>3163</v>
      </c>
      <c r="BU169" t="s">
        <v>1381</v>
      </c>
      <c r="BV169">
        <v>20.16</v>
      </c>
      <c r="BW169">
        <v>17.649999999999999</v>
      </c>
      <c r="BX169">
        <v>16.190000000000001</v>
      </c>
      <c r="BY169">
        <v>7.94</v>
      </c>
      <c r="BZ169">
        <v>6.5</v>
      </c>
      <c r="CA169">
        <v>4.75</v>
      </c>
      <c r="CB169">
        <v>-6.13</v>
      </c>
      <c r="CC169">
        <v>-20.71</v>
      </c>
      <c r="CD169" t="s">
        <v>6017</v>
      </c>
      <c r="CE169" t="s">
        <v>6018</v>
      </c>
      <c r="CF169" s="8">
        <v>1.9212962962962963</v>
      </c>
      <c r="CG169" s="9">
        <v>-0.1420802191195622</v>
      </c>
      <c r="CH169" s="8">
        <v>-0.71288919448852539</v>
      </c>
      <c r="CI169" s="8">
        <v>-9.6204228699207306E-2</v>
      </c>
      <c r="CJ169" s="8">
        <v>0.23524662852287292</v>
      </c>
      <c r="CK169" s="8">
        <v>7.7392291277647018E-3</v>
      </c>
      <c r="CL169" s="8">
        <v>3.1079433858394623E-2</v>
      </c>
      <c r="CM169" s="9">
        <v>0.10404624044895172</v>
      </c>
      <c r="CN169" s="9">
        <v>0.21830986440181732</v>
      </c>
      <c r="CO169" s="9">
        <v>0.15447154641151428</v>
      </c>
      <c r="CP169" s="9">
        <v>0.23000000417232513</v>
      </c>
      <c r="CQ169" s="9">
        <v>0.40844878554344177</v>
      </c>
      <c r="CR169">
        <v>18.703442162069731</v>
      </c>
      <c r="CS169">
        <v>1.7478933400554046</v>
      </c>
      <c r="CT169">
        <v>4.1165294490183664</v>
      </c>
      <c r="CU169" s="8">
        <v>-0.10700562633574009</v>
      </c>
      <c r="CV169" s="9">
        <v>0.22305528819561005</v>
      </c>
      <c r="CW169">
        <v>0.06</v>
      </c>
      <c r="CX169">
        <v>11.072212565445026</v>
      </c>
      <c r="CY169" t="s">
        <v>6019</v>
      </c>
      <c r="CZ169">
        <v>-0.10700562633574009</v>
      </c>
      <c r="DA169">
        <v>3.6907375218150089</v>
      </c>
      <c r="DB169" t="s">
        <v>6020</v>
      </c>
      <c r="DC169">
        <v>-0.10165534501895308</v>
      </c>
      <c r="DD169">
        <v>1.8453687609075045</v>
      </c>
      <c r="DE169" t="s">
        <v>6021</v>
      </c>
      <c r="DF169">
        <v>-9.4164951175451289E-2</v>
      </c>
      <c r="DG169">
        <v>1.1072212565445025</v>
      </c>
      <c r="DH169" t="s">
        <v>6022</v>
      </c>
      <c r="DI169">
        <v>-8.5604501068592076E-2</v>
      </c>
      <c r="DJ169">
        <v>0.55361062827225127</v>
      </c>
      <c r="DK169" t="s">
        <v>6023</v>
      </c>
      <c r="DL169">
        <v>-7.4903938435018066E-2</v>
      </c>
      <c r="DM169">
        <v>191000000</v>
      </c>
      <c r="DN169">
        <v>-0.10700562633574009</v>
      </c>
      <c r="DO169">
        <v>2114792600</v>
      </c>
      <c r="DP169">
        <v>1044036299.9999999</v>
      </c>
      <c r="DQ169">
        <v>4006</v>
      </c>
      <c r="DR169">
        <v>2.0283019226320365</v>
      </c>
      <c r="DS169">
        <v>-0.36513550731517225</v>
      </c>
      <c r="DT169" s="10">
        <v>-0.64</v>
      </c>
      <c r="DU169">
        <v>0.49999999999999994</v>
      </c>
      <c r="DV169">
        <v>-0.14000000000000007</v>
      </c>
      <c r="DW169">
        <v>-9.2959922742636412</v>
      </c>
      <c r="DX169">
        <v>0.43286889569411546</v>
      </c>
      <c r="DY169">
        <v>-9.0778071622696732</v>
      </c>
      <c r="DZ169">
        <v>1399</v>
      </c>
      <c r="EA169">
        <v>-9.0565053579614005</v>
      </c>
      <c r="EB169">
        <v>9</v>
      </c>
      <c r="EC169">
        <v>4.3861098753701998E-2</v>
      </c>
      <c r="ED169">
        <v>0.16685541527416289</v>
      </c>
      <c r="EE169" s="11">
        <v>2.0495999999999999</v>
      </c>
      <c r="EF169">
        <v>2.0447000000000002</v>
      </c>
      <c r="EG169">
        <v>17.262868895694115</v>
      </c>
      <c r="EH169" t="s">
        <v>1732</v>
      </c>
      <c r="EI169">
        <v>0</v>
      </c>
      <c r="EJ169">
        <v>1</v>
      </c>
      <c r="EK169" s="13">
        <v>45470</v>
      </c>
      <c r="EL169" s="14">
        <v>1.5</v>
      </c>
      <c r="EM169" s="14">
        <v>-3.53</v>
      </c>
      <c r="EN169">
        <v>-1.78</v>
      </c>
      <c r="EO169">
        <v>3.23</v>
      </c>
      <c r="EP169">
        <v>-0.49</v>
      </c>
    </row>
    <row r="170" spans="1:146" ht="108">
      <c r="A170" s="7"/>
      <c r="B170" s="7"/>
      <c r="C170" s="7" t="str">
        <f>""&amp;CHAR(10)&amp;Basic_Fundamental_Information_Constructure(F170)&amp;CHAR(10)&amp;Basic_Fundamental_Information_Concatenate("")</f>
        <v xml:space="preserve">
市值19.870382亿, 利润1.32亿; PE20.81; 平均PE30.82; 平均PEG2, PB1.97; ROIC5.1033%; ROE6.07%; 股利率3.3296%; 毛利28.0333%; 净利5.81%; 上一年度营收增-16.1%, 利润增78.98%; 当季营收增12.08%, 利润增-62.83%; 过往5年营收增15.37%, 利润增34.83%
Income profile:
</v>
      </c>
      <c r="D170" t="s">
        <v>548</v>
      </c>
      <c r="E170" t="s">
        <v>27</v>
      </c>
      <c r="F170">
        <v>9.01</v>
      </c>
      <c r="G170">
        <v>-0.55000000000000004</v>
      </c>
      <c r="H170" t="s">
        <v>6024</v>
      </c>
      <c r="I170">
        <v>1987038200</v>
      </c>
      <c r="J170">
        <v>20.81</v>
      </c>
      <c r="K170">
        <v>1.97</v>
      </c>
      <c r="L170" t="s">
        <v>85</v>
      </c>
      <c r="M170" t="s">
        <v>3164</v>
      </c>
      <c r="N170" t="s">
        <v>6025</v>
      </c>
      <c r="O170" t="s">
        <v>1393</v>
      </c>
      <c r="P170">
        <v>29.51</v>
      </c>
      <c r="Q170" t="s">
        <v>2026</v>
      </c>
      <c r="R170">
        <v>12886714</v>
      </c>
      <c r="S170" s="5">
        <v>4.83</v>
      </c>
      <c r="T170" t="s">
        <v>248</v>
      </c>
      <c r="U170">
        <v>220536980</v>
      </c>
      <c r="V170">
        <v>220536980</v>
      </c>
      <c r="W170">
        <v>3.48</v>
      </c>
      <c r="X170">
        <v>0.08</v>
      </c>
      <c r="Y170">
        <v>4.7699999999999996</v>
      </c>
      <c r="Z170" t="s">
        <v>292</v>
      </c>
      <c r="AA170" t="s">
        <v>685</v>
      </c>
      <c r="AB170" t="s">
        <v>6026</v>
      </c>
      <c r="AC170" t="s">
        <v>6027</v>
      </c>
      <c r="AD170" t="s">
        <v>90</v>
      </c>
      <c r="AE170">
        <v>-2326534</v>
      </c>
      <c r="AF170" t="s">
        <v>3166</v>
      </c>
      <c r="AG170" t="s">
        <v>6028</v>
      </c>
      <c r="AH170" t="s">
        <v>3167</v>
      </c>
      <c r="AI170" t="s">
        <v>1615</v>
      </c>
      <c r="AJ170" t="s">
        <v>3168</v>
      </c>
      <c r="AK170" t="s">
        <v>6029</v>
      </c>
      <c r="AL170" t="s">
        <v>3169</v>
      </c>
      <c r="AM170" t="s">
        <v>90</v>
      </c>
      <c r="AN170" t="s">
        <v>3170</v>
      </c>
      <c r="AO170" t="s">
        <v>820</v>
      </c>
      <c r="AP170" t="s">
        <v>248</v>
      </c>
      <c r="AQ170" t="s">
        <v>1140</v>
      </c>
      <c r="AR170" t="s">
        <v>90</v>
      </c>
      <c r="AS170" t="s">
        <v>6030</v>
      </c>
      <c r="AT170" t="s">
        <v>6031</v>
      </c>
      <c r="AU170" t="s">
        <v>6032</v>
      </c>
      <c r="AV170" t="s">
        <v>6033</v>
      </c>
      <c r="AW170" t="s">
        <v>6034</v>
      </c>
      <c r="AX170" t="s">
        <v>1367</v>
      </c>
      <c r="AY170" t="s">
        <v>1354</v>
      </c>
      <c r="AZ170" t="s">
        <v>601</v>
      </c>
      <c r="BA170" t="s">
        <v>387</v>
      </c>
      <c r="BB170" t="s">
        <v>972</v>
      </c>
      <c r="BC170" t="s">
        <v>1993</v>
      </c>
      <c r="BD170" t="s">
        <v>1355</v>
      </c>
      <c r="BE170" t="s">
        <v>971</v>
      </c>
      <c r="BF170" t="s">
        <v>549</v>
      </c>
      <c r="BG170" t="s">
        <v>973</v>
      </c>
      <c r="BH170" t="s">
        <v>1928</v>
      </c>
      <c r="BI170" t="s">
        <v>111</v>
      </c>
      <c r="BJ170" t="s">
        <v>1367</v>
      </c>
      <c r="BK170" t="s">
        <v>3165</v>
      </c>
      <c r="BL170" t="s">
        <v>3175</v>
      </c>
      <c r="BM170" t="s">
        <v>1993</v>
      </c>
      <c r="BN170">
        <v>2.7</v>
      </c>
      <c r="BO170">
        <v>6.97</v>
      </c>
      <c r="BP170">
        <v>5.64</v>
      </c>
      <c r="BQ170">
        <v>4.01</v>
      </c>
      <c r="BR170">
        <v>8.1</v>
      </c>
      <c r="BS170">
        <v>6.1</v>
      </c>
      <c r="BT170" t="s">
        <v>1723</v>
      </c>
      <c r="BU170" t="s">
        <v>1381</v>
      </c>
      <c r="BV170">
        <v>28.71</v>
      </c>
      <c r="BW170">
        <v>27.1</v>
      </c>
      <c r="BX170">
        <v>28.29</v>
      </c>
      <c r="BY170">
        <v>6.51</v>
      </c>
      <c r="BZ170">
        <v>5.81</v>
      </c>
      <c r="CA170">
        <v>5.1100000000000003</v>
      </c>
      <c r="CB170">
        <v>-8.25</v>
      </c>
      <c r="CC170">
        <v>-9.9600000000000009</v>
      </c>
      <c r="CD170" t="s">
        <v>6035</v>
      </c>
      <c r="CE170" t="s">
        <v>706</v>
      </c>
      <c r="CF170" s="8">
        <v>0.12083333333333333</v>
      </c>
      <c r="CG170" s="9">
        <v>-0.62826607820229907</v>
      </c>
      <c r="CH170" s="8">
        <v>-0.16100442409515381</v>
      </c>
      <c r="CI170" s="8">
        <v>0.1982300877571106</v>
      </c>
      <c r="CJ170" s="8">
        <v>0.35491606593132019</v>
      </c>
      <c r="CK170" s="8">
        <v>0.3649754524230957</v>
      </c>
      <c r="CL170" s="8">
        <v>1.1589404195547104E-2</v>
      </c>
      <c r="CM170" s="9">
        <v>0.78977459669113159</v>
      </c>
      <c r="CN170" s="9">
        <v>0.3932826817035675</v>
      </c>
      <c r="CO170" s="9">
        <v>0.138994500041008</v>
      </c>
      <c r="CP170" s="9">
        <v>-4.169570654630661E-2</v>
      </c>
      <c r="CQ170" s="9">
        <v>0.46128234267234802</v>
      </c>
      <c r="CR170">
        <v>30.819113480246497</v>
      </c>
      <c r="CS170">
        <v>2.004608392398382</v>
      </c>
      <c r="CT170">
        <v>3.3296337402885685</v>
      </c>
      <c r="CU170" s="8">
        <v>0.15374131724238396</v>
      </c>
      <c r="CV170" s="9">
        <v>0.34832768291234972</v>
      </c>
      <c r="CW170">
        <v>0.06</v>
      </c>
      <c r="CX170">
        <v>22.245155702465301</v>
      </c>
      <c r="CY170">
        <v>143673447.05282515</v>
      </c>
      <c r="CZ170">
        <v>0.15374131724238396</v>
      </c>
      <c r="DA170">
        <v>6.8902754676685118</v>
      </c>
      <c r="DB170">
        <v>463847666.90343302</v>
      </c>
      <c r="DC170">
        <v>0.14605425138026476</v>
      </c>
      <c r="DD170">
        <v>3.1521165867742802</v>
      </c>
      <c r="DE170">
        <v>1013934006.5687948</v>
      </c>
      <c r="DF170">
        <v>0.13529235917329788</v>
      </c>
      <c r="DG170">
        <v>1.7385726621619084</v>
      </c>
      <c r="DH170">
        <v>1838311546.9132817</v>
      </c>
      <c r="DI170">
        <v>0.12299305379390718</v>
      </c>
      <c r="DJ170">
        <v>0.73920893653105024</v>
      </c>
      <c r="DK170">
        <v>4323592481.1709194</v>
      </c>
      <c r="DL170">
        <v>0.10761892206966876</v>
      </c>
      <c r="DM170">
        <v>132000000</v>
      </c>
      <c r="DN170">
        <v>0.15374131724238396</v>
      </c>
      <c r="DO170">
        <v>3196038200</v>
      </c>
      <c r="DP170">
        <v>648287000</v>
      </c>
      <c r="DQ170">
        <v>4047</v>
      </c>
      <c r="DR170">
        <v>-3.2907983909050628E-2</v>
      </c>
      <c r="DS170">
        <v>-0.9765937611146488</v>
      </c>
      <c r="DT170" s="10">
        <v>-0.20666666666666669</v>
      </c>
      <c r="DU170">
        <v>0.14333333333333331</v>
      </c>
      <c r="DV170">
        <v>-6.333333333333338E-2</v>
      </c>
      <c r="DW170">
        <v>-9.8283132530120483</v>
      </c>
      <c r="DX170">
        <v>0.37015966850828619</v>
      </c>
      <c r="DY170">
        <v>-9.0995298459029481</v>
      </c>
      <c r="DZ170">
        <v>4631</v>
      </c>
      <c r="EA170">
        <v>-9.009329705711842</v>
      </c>
      <c r="EB170">
        <v>9</v>
      </c>
      <c r="EC170">
        <v>9.8617927932086485E-2</v>
      </c>
      <c r="ED170">
        <v>0.8207240345814113</v>
      </c>
      <c r="EE170" s="11">
        <v>-3.0919099999999999</v>
      </c>
      <c r="EF170">
        <v>-3.0926100000000001</v>
      </c>
      <c r="EG170">
        <v>25.120159668508286</v>
      </c>
      <c r="EH170" t="s">
        <v>2117</v>
      </c>
      <c r="EI170">
        <v>0</v>
      </c>
      <c r="EJ170">
        <v>0</v>
      </c>
      <c r="EK170" s="13">
        <v>45470</v>
      </c>
      <c r="EL170" s="14">
        <v>-6.35</v>
      </c>
      <c r="EM170" s="14">
        <v>-4.43</v>
      </c>
      <c r="EN170">
        <v>-1.87</v>
      </c>
      <c r="EO170">
        <v>2.2799999999999998</v>
      </c>
      <c r="EP170">
        <v>-7.0000000000000007E-2</v>
      </c>
    </row>
    <row r="171" spans="1:146" ht="108">
      <c r="C171" s="7" t="str">
        <f>""&amp;CHAR(10)&amp;Basic_Fundamental_Information_Constructure(F171)&amp;CHAR(10)&amp;Basic_Fundamental_Information_Concatenate("")</f>
        <v xml:space="preserve">
市值40.841483亿, 利润-1328.81万; PE32.28; 平均PE51.93; 平均PEG81.04, PB1.89; ROIC10.27%; ROE12.915%; 股利率1.073%; 毛利33.3033%; 净利12.01%; 上一年度营收增-85.78%, 利润增-110.46%; 当季营收增656.61%, 利润增815.02%; 过往5年营收增-.64%, 利润增1.58%
Income profile:
</v>
      </c>
      <c r="D171" t="s">
        <v>1994</v>
      </c>
      <c r="E171" t="s">
        <v>1995</v>
      </c>
      <c r="F171">
        <v>18.64</v>
      </c>
      <c r="G171">
        <v>-0.27</v>
      </c>
      <c r="H171" t="s">
        <v>6036</v>
      </c>
      <c r="I171">
        <v>4084148300</v>
      </c>
      <c r="J171">
        <v>32.28</v>
      </c>
      <c r="K171">
        <v>1.89</v>
      </c>
      <c r="L171" t="s">
        <v>85</v>
      </c>
      <c r="M171" t="s">
        <v>712</v>
      </c>
      <c r="N171" t="s">
        <v>6037</v>
      </c>
      <c r="O171" t="s">
        <v>722</v>
      </c>
      <c r="P171">
        <v>13.66</v>
      </c>
      <c r="Q171" t="s">
        <v>192</v>
      </c>
      <c r="R171">
        <v>28721610</v>
      </c>
      <c r="S171">
        <v>-0.17150000000000001</v>
      </c>
      <c r="T171" t="s">
        <v>6038</v>
      </c>
      <c r="U171">
        <v>50075796</v>
      </c>
      <c r="V171">
        <v>219106670</v>
      </c>
      <c r="W171">
        <v>1.34</v>
      </c>
      <c r="X171">
        <v>0.09</v>
      </c>
      <c r="Y171">
        <v>10.36</v>
      </c>
      <c r="Z171" t="s">
        <v>809</v>
      </c>
      <c r="AA171" t="s">
        <v>706</v>
      </c>
      <c r="AB171" t="s">
        <v>6039</v>
      </c>
      <c r="AC171" t="s">
        <v>6040</v>
      </c>
      <c r="AD171" t="s">
        <v>90</v>
      </c>
      <c r="AE171">
        <v>2009489</v>
      </c>
      <c r="AF171" t="s">
        <v>3171</v>
      </c>
      <c r="AG171">
        <v>7.14</v>
      </c>
      <c r="AH171" t="s">
        <v>3172</v>
      </c>
      <c r="AI171" t="s">
        <v>6041</v>
      </c>
      <c r="AJ171" t="s">
        <v>3173</v>
      </c>
      <c r="AK171" t="s">
        <v>6042</v>
      </c>
      <c r="AL171" t="s">
        <v>3174</v>
      </c>
      <c r="AM171" t="s">
        <v>90</v>
      </c>
      <c r="AN171" t="s">
        <v>6043</v>
      </c>
      <c r="AO171" t="s">
        <v>6044</v>
      </c>
      <c r="AP171" t="s">
        <v>6045</v>
      </c>
      <c r="AQ171" t="s">
        <v>859</v>
      </c>
      <c r="AR171" t="s">
        <v>90</v>
      </c>
      <c r="AS171" t="s">
        <v>1765</v>
      </c>
      <c r="AT171" t="s">
        <v>6046</v>
      </c>
      <c r="AU171" t="s">
        <v>6047</v>
      </c>
      <c r="AV171" t="s">
        <v>6048</v>
      </c>
      <c r="AW171" t="s">
        <v>6049</v>
      </c>
      <c r="AX171" t="s">
        <v>1996</v>
      </c>
      <c r="AY171" t="s">
        <v>1556</v>
      </c>
      <c r="AZ171" t="s">
        <v>155</v>
      </c>
      <c r="BA171" t="s">
        <v>1408</v>
      </c>
      <c r="BB171" t="s">
        <v>90</v>
      </c>
      <c r="BC171" t="s">
        <v>323</v>
      </c>
      <c r="BD171" t="s">
        <v>109</v>
      </c>
      <c r="BE171" t="s">
        <v>215</v>
      </c>
      <c r="BF171" t="s">
        <v>1997</v>
      </c>
      <c r="BG171" t="s">
        <v>90</v>
      </c>
      <c r="BH171" t="s">
        <v>2026</v>
      </c>
      <c r="BI171" t="s">
        <v>6050</v>
      </c>
      <c r="BJ171" t="s">
        <v>1996</v>
      </c>
      <c r="BK171" t="s">
        <v>248</v>
      </c>
      <c r="BL171" t="s">
        <v>6051</v>
      </c>
      <c r="BM171" t="s">
        <v>323</v>
      </c>
      <c r="BN171">
        <v>7.07</v>
      </c>
      <c r="BO171">
        <v>11.02</v>
      </c>
      <c r="BP171">
        <v>12.72</v>
      </c>
      <c r="BQ171">
        <v>11.44</v>
      </c>
      <c r="BR171">
        <v>14.39</v>
      </c>
      <c r="BS171" t="s">
        <v>90</v>
      </c>
      <c r="BT171" t="s">
        <v>1694</v>
      </c>
      <c r="BU171" t="s">
        <v>1337</v>
      </c>
      <c r="BV171">
        <v>33.130000000000003</v>
      </c>
      <c r="BW171">
        <v>32.72</v>
      </c>
      <c r="BX171">
        <v>34.06</v>
      </c>
      <c r="BY171">
        <v>12.03</v>
      </c>
      <c r="BZ171">
        <v>11.44</v>
      </c>
      <c r="CA171">
        <v>12.56</v>
      </c>
      <c r="CB171">
        <v>-6.05</v>
      </c>
      <c r="CC171" s="8">
        <v>-21.68</v>
      </c>
      <c r="CD171" s="9" t="s">
        <v>6052</v>
      </c>
      <c r="CE171" s="8" t="s">
        <v>6053</v>
      </c>
      <c r="CF171" s="8">
        <v>6.5660994401640709</v>
      </c>
      <c r="CG171" s="8">
        <v>8.1501929348502582</v>
      </c>
      <c r="CH171" s="8">
        <v>-0.85779398679733276</v>
      </c>
      <c r="CI171" s="8">
        <v>0.20021875202655792</v>
      </c>
      <c r="CJ171" s="9">
        <v>0.44620254635810852</v>
      </c>
      <c r="CK171" s="9">
        <v>0.18574108183383942</v>
      </c>
      <c r="CL171" s="9" t="s">
        <v>90</v>
      </c>
      <c r="CM171" s="9">
        <v>-1.104630708694458</v>
      </c>
      <c r="CN171" s="9">
        <v>0.104347825050354</v>
      </c>
      <c r="CO171">
        <v>4.5454546809196472E-2</v>
      </c>
      <c r="CP171">
        <v>1.0181857347488403</v>
      </c>
      <c r="CQ171" t="s">
        <v>90</v>
      </c>
      <c r="CR171" s="8">
        <v>51.932591553300306</v>
      </c>
      <c r="CS171" s="9">
        <v>81.044614029304654</v>
      </c>
      <c r="CT171">
        <v>1.0729613733905579</v>
      </c>
      <c r="CU171">
        <v>-6.4079016447067261E-3</v>
      </c>
      <c r="CV171">
        <v>1.58393494784832E-2</v>
      </c>
      <c r="CW171">
        <v>0.06</v>
      </c>
      <c r="CX171" t="e">
        <v>#VALUE!</v>
      </c>
      <c r="CY171" t="s">
        <v>1391</v>
      </c>
      <c r="CZ171">
        <v>-6.4079016447067261E-3</v>
      </c>
      <c r="DA171" t="e">
        <v>#VALUE!</v>
      </c>
      <c r="DB171" t="s">
        <v>1391</v>
      </c>
      <c r="DC171">
        <v>-6.0875065624713893E-3</v>
      </c>
      <c r="DD171" t="e">
        <v>#VALUE!</v>
      </c>
      <c r="DE171" t="s">
        <v>1391</v>
      </c>
      <c r="DF171">
        <v>-5.6389534473419191E-3</v>
      </c>
      <c r="DG171" t="e">
        <v>#VALUE!</v>
      </c>
      <c r="DH171" t="s">
        <v>1391</v>
      </c>
      <c r="DI171">
        <v>-5.1263213157653814E-3</v>
      </c>
      <c r="DJ171" t="e">
        <v>#VALUE!</v>
      </c>
      <c r="DK171" t="s">
        <v>1391</v>
      </c>
      <c r="DL171">
        <v>-4.4855311512947077E-3</v>
      </c>
      <c r="DM171">
        <v>-13288100</v>
      </c>
      <c r="DN171">
        <v>-6.4079016447067261E-3</v>
      </c>
      <c r="DO171">
        <v>2702148300</v>
      </c>
      <c r="DP171">
        <v>1335180000</v>
      </c>
      <c r="DQ171" s="10">
        <v>4048</v>
      </c>
      <c r="DR171">
        <v>6.5725073418087776</v>
      </c>
      <c r="DS171">
        <v>8.134353585371775</v>
      </c>
      <c r="DT171">
        <v>-0.44800000000000006</v>
      </c>
      <c r="DU171">
        <v>-0.62</v>
      </c>
      <c r="DV171">
        <v>-1.0680000000000001</v>
      </c>
      <c r="DW171">
        <v>-9.2790590405904059</v>
      </c>
      <c r="DX171">
        <v>0.3216332400619038</v>
      </c>
      <c r="DY171">
        <v>-9.0339428552755781</v>
      </c>
      <c r="DZ171">
        <v>589</v>
      </c>
      <c r="EA171">
        <v>-9.0300304596283532</v>
      </c>
      <c r="EB171" s="11">
        <v>9</v>
      </c>
      <c r="EC171" s="11">
        <v>2.8409906462455021E-2</v>
      </c>
      <c r="ED171">
        <v>0.23357025142137389</v>
      </c>
      <c r="EE171">
        <v>-1.0629999999999999</v>
      </c>
      <c r="EF171">
        <v>-1.0142</v>
      </c>
      <c r="EG171">
        <v>20.121633240061904</v>
      </c>
      <c r="EH171" s="13" t="s">
        <v>1730</v>
      </c>
      <c r="EI171">
        <v>0</v>
      </c>
      <c r="EJ171">
        <v>1</v>
      </c>
      <c r="EK171">
        <v>45470</v>
      </c>
      <c r="EL171">
        <v>8.26</v>
      </c>
      <c r="EM171">
        <v>-0.38</v>
      </c>
      <c r="EN171">
        <v>-4.8899999999999997</v>
      </c>
      <c r="EO171">
        <v>1.21</v>
      </c>
      <c r="EP171">
        <v>-4.88</v>
      </c>
    </row>
    <row r="172" spans="1:146" ht="108">
      <c r="A172" s="7"/>
      <c r="B172" s="7"/>
      <c r="C172" s="7" t="str">
        <f>""&amp;CHAR(10)&amp;Basic_Fundamental_Information_Constructure(F172)&amp;CHAR(10)&amp;Basic_Fundamental_Information_Concatenate("")</f>
        <v xml:space="preserve">
市值122.407259亿, 利润9585.25万; PE21.18; 平均PE40.49; 平均PEG1.13, PB4.13; ROIC15.8667%; ROE16.9867%; 股利率3.4364%; 毛利40.1033%; 净利17.6267%; 上一年度营收增108.64%, 利润增-78.7%; 当季营收增-50.16%, 利润增391.04%; 过往5年营收增35.79%, 利润增-2.51%
Income profile:
</v>
      </c>
      <c r="D172" t="s">
        <v>458</v>
      </c>
      <c r="E172" t="s">
        <v>459</v>
      </c>
      <c r="F172">
        <v>29.1</v>
      </c>
      <c r="G172">
        <v>0.34</v>
      </c>
      <c r="H172" t="s">
        <v>6054</v>
      </c>
      <c r="I172">
        <v>12240725900</v>
      </c>
      <c r="J172">
        <v>21.18</v>
      </c>
      <c r="K172">
        <v>4.13</v>
      </c>
      <c r="L172" t="s">
        <v>85</v>
      </c>
      <c r="M172" t="s">
        <v>1877</v>
      </c>
      <c r="N172" t="s">
        <v>6055</v>
      </c>
      <c r="O172" t="s">
        <v>1099</v>
      </c>
      <c r="P172">
        <v>5.6</v>
      </c>
      <c r="Q172" t="s">
        <v>3183</v>
      </c>
      <c r="R172">
        <v>164559370</v>
      </c>
      <c r="S172" s="5">
        <v>0.68810000000000004</v>
      </c>
      <c r="T172" t="s">
        <v>3184</v>
      </c>
      <c r="U172">
        <v>420514500</v>
      </c>
      <c r="V172">
        <v>420643500</v>
      </c>
      <c r="W172">
        <v>1.38</v>
      </c>
      <c r="X172">
        <v>0.16</v>
      </c>
      <c r="Y172">
        <v>26.06</v>
      </c>
      <c r="Z172" t="s">
        <v>1553</v>
      </c>
      <c r="AA172" t="s">
        <v>1403</v>
      </c>
      <c r="AB172" t="s">
        <v>6056</v>
      </c>
      <c r="AC172" t="s">
        <v>6057</v>
      </c>
      <c r="AD172" t="s">
        <v>90</v>
      </c>
      <c r="AE172">
        <v>-21353690</v>
      </c>
      <c r="AF172" t="s">
        <v>3177</v>
      </c>
      <c r="AG172">
        <v>2544.2800000000002</v>
      </c>
      <c r="AH172" t="s">
        <v>3178</v>
      </c>
      <c r="AI172" t="s">
        <v>1155</v>
      </c>
      <c r="AJ172" t="s">
        <v>3179</v>
      </c>
      <c r="AK172" t="s">
        <v>90</v>
      </c>
      <c r="AL172" t="s">
        <v>3180</v>
      </c>
      <c r="AM172" t="s">
        <v>90</v>
      </c>
      <c r="AN172" t="s">
        <v>272</v>
      </c>
      <c r="AO172" t="s">
        <v>515</v>
      </c>
      <c r="AP172" t="s">
        <v>6058</v>
      </c>
      <c r="AQ172" t="s">
        <v>399</v>
      </c>
      <c r="AR172" t="s">
        <v>6059</v>
      </c>
      <c r="AS172" t="s">
        <v>1490</v>
      </c>
      <c r="AT172" t="s">
        <v>90</v>
      </c>
      <c r="AU172" t="s">
        <v>6060</v>
      </c>
      <c r="AV172" t="s">
        <v>6061</v>
      </c>
      <c r="AW172" t="s">
        <v>4038</v>
      </c>
      <c r="AX172" t="s">
        <v>1987</v>
      </c>
      <c r="AY172" t="s">
        <v>1356</v>
      </c>
      <c r="AZ172" t="s">
        <v>860</v>
      </c>
      <c r="BA172" t="s">
        <v>460</v>
      </c>
      <c r="BB172" t="s">
        <v>975</v>
      </c>
      <c r="BC172" t="s">
        <v>891</v>
      </c>
      <c r="BD172" t="s">
        <v>563</v>
      </c>
      <c r="BE172" t="s">
        <v>186</v>
      </c>
      <c r="BF172" t="s">
        <v>461</v>
      </c>
      <c r="BG172" t="s">
        <v>287</v>
      </c>
      <c r="BH172" t="s">
        <v>3176</v>
      </c>
      <c r="BI172" t="s">
        <v>194</v>
      </c>
      <c r="BJ172" t="s">
        <v>1987</v>
      </c>
      <c r="BK172" t="s">
        <v>1111</v>
      </c>
      <c r="BL172" t="s">
        <v>3190</v>
      </c>
      <c r="BM172" t="s">
        <v>891</v>
      </c>
      <c r="BN172">
        <v>13.23</v>
      </c>
      <c r="BO172">
        <v>17.66</v>
      </c>
      <c r="BP172">
        <v>16.71</v>
      </c>
      <c r="BQ172">
        <v>15.27</v>
      </c>
      <c r="BR172">
        <v>18.3</v>
      </c>
      <c r="BS172">
        <v>17.39</v>
      </c>
      <c r="BT172" t="s">
        <v>1700</v>
      </c>
      <c r="BU172" t="s">
        <v>1449</v>
      </c>
      <c r="BV172">
        <v>43.5</v>
      </c>
      <c r="BW172">
        <v>37.79</v>
      </c>
      <c r="BX172">
        <v>39.020000000000003</v>
      </c>
      <c r="BY172">
        <v>19.260000000000002</v>
      </c>
      <c r="BZ172">
        <v>16.86</v>
      </c>
      <c r="CA172">
        <v>16.760000000000002</v>
      </c>
      <c r="CB172">
        <v>-3.13</v>
      </c>
      <c r="CC172">
        <v>-7.79</v>
      </c>
      <c r="CD172" t="s">
        <v>6062</v>
      </c>
      <c r="CE172" t="s">
        <v>6063</v>
      </c>
      <c r="CF172" s="8">
        <v>-0.50157977883096372</v>
      </c>
      <c r="CG172" s="9">
        <v>3.9104024182093795</v>
      </c>
      <c r="CH172" s="8">
        <v>1.0863685607910156</v>
      </c>
      <c r="CI172" s="8">
        <v>8.2960553467273712E-2</v>
      </c>
      <c r="CJ172" s="8">
        <v>0.52354401350021362</v>
      </c>
      <c r="CK172" s="8">
        <v>-6.4889915287494659E-2</v>
      </c>
      <c r="CL172" s="8">
        <v>0.16150739789009094</v>
      </c>
      <c r="CM172" s="9">
        <v>-0.78699451684951782</v>
      </c>
      <c r="CN172" s="9">
        <v>9.223300963640213E-2</v>
      </c>
      <c r="CO172" s="9">
        <v>0.32475882768630981</v>
      </c>
      <c r="CP172" s="9">
        <v>4.7138046473264694E-2</v>
      </c>
      <c r="CQ172" s="9">
        <v>0.19758065044879913</v>
      </c>
      <c r="CR172">
        <v>40.490809147932367</v>
      </c>
      <c r="CS172">
        <v>1.1313501427023909</v>
      </c>
      <c r="CT172">
        <v>3.4364261168384878</v>
      </c>
      <c r="CU172" s="8">
        <v>0.35789812207221983</v>
      </c>
      <c r="CV172" s="9">
        <v>-2.5056796520948409E-2</v>
      </c>
      <c r="CW172">
        <v>0.06</v>
      </c>
      <c r="CX172">
        <v>83.799039177182948</v>
      </c>
      <c r="CY172">
        <v>122790499.76030892</v>
      </c>
      <c r="CZ172">
        <v>0.35789812207221983</v>
      </c>
      <c r="DA172">
        <v>21.986758817740391</v>
      </c>
      <c r="DB172">
        <v>467996487.58131456</v>
      </c>
      <c r="DC172">
        <v>0.34000321596860883</v>
      </c>
      <c r="DD172">
        <v>7.8709381914513976</v>
      </c>
      <c r="DE172">
        <v>1307306149.4976089</v>
      </c>
      <c r="DF172">
        <v>0.31495034742355343</v>
      </c>
      <c r="DG172">
        <v>3.1876871376540961</v>
      </c>
      <c r="DH172">
        <v>3227959788.918458</v>
      </c>
      <c r="DI172">
        <v>0.28631849765777589</v>
      </c>
      <c r="DJ172">
        <v>0.62249173070850583</v>
      </c>
      <c r="DK172">
        <v>16529899743.870443</v>
      </c>
      <c r="DL172">
        <v>0.25052868545055385</v>
      </c>
      <c r="DM172">
        <v>95852500</v>
      </c>
      <c r="DN172">
        <v>0.35789812207221983</v>
      </c>
      <c r="DO172">
        <v>10289725900</v>
      </c>
      <c r="DP172">
        <v>1920085400</v>
      </c>
      <c r="DQ172">
        <v>4053</v>
      </c>
      <c r="DR172">
        <v>-0.85947790090318354</v>
      </c>
      <c r="DS172">
        <v>3.935459214730328</v>
      </c>
      <c r="DT172" s="10">
        <v>0.12666666666666662</v>
      </c>
      <c r="DU172">
        <v>-0.10000000000000002</v>
      </c>
      <c r="DV172">
        <v>2.6666666666666602E-2</v>
      </c>
      <c r="DW172">
        <v>-8.4017971758664949</v>
      </c>
      <c r="DX172">
        <v>0.43072300580775247</v>
      </c>
      <c r="DY172">
        <v>-8.0806499368649884</v>
      </c>
      <c r="DZ172">
        <v>2294</v>
      </c>
      <c r="EA172">
        <v>-8.0444442704915478</v>
      </c>
      <c r="EB172">
        <v>8</v>
      </c>
      <c r="EC172">
        <v>1.449350816071091E-2</v>
      </c>
      <c r="ED172">
        <v>7.2206512165289616E-2</v>
      </c>
      <c r="EE172" s="11">
        <v>3.9110000000000013E-2</v>
      </c>
      <c r="EF172">
        <v>5.3210000000000007E-2</v>
      </c>
      <c r="EG172">
        <v>23.200723005807752</v>
      </c>
      <c r="EH172">
        <v>-1</v>
      </c>
      <c r="EI172">
        <v>0</v>
      </c>
      <c r="EJ172">
        <v>0</v>
      </c>
      <c r="EK172" s="13">
        <v>45470</v>
      </c>
      <c r="EL172" s="14">
        <v>-1.21</v>
      </c>
      <c r="EM172" s="14">
        <v>-4.57</v>
      </c>
      <c r="EN172">
        <v>-1.1000000000000001</v>
      </c>
      <c r="EO172">
        <v>4.59</v>
      </c>
      <c r="EP172">
        <v>-1.41</v>
      </c>
    </row>
    <row r="173" spans="1:146" ht="108">
      <c r="A173" s="7"/>
      <c r="B173" s="7"/>
      <c r="C173" s="7" t="str">
        <f>""&amp;CHAR(10)&amp;Basic_Fundamental_Information_Constructure(F173)&amp;CHAR(10)&amp;Basic_Fundamental_Information_Concatenate("")</f>
        <v xml:space="preserve">
市值19.958748亿, 利润10.08亿; PE28.77; 平均PE8.41; 平均PEG.37, PB.864; ROIC6.67%; ROE-1.38%; 股利率.5993%; 毛利5.8333%; 净利.2933%; 上一年度营收增19.87%, 利润增495.29%; 当季营收增-15.6%, 利润增-96.72%; 过往5年营收增22.47%, 利润增64.24%
Income profile:
</v>
      </c>
      <c r="D173" t="s">
        <v>621</v>
      </c>
      <c r="E173" t="s">
        <v>1179</v>
      </c>
      <c r="F173">
        <v>5.84</v>
      </c>
      <c r="G173">
        <v>1.21</v>
      </c>
      <c r="H173" t="s">
        <v>6064</v>
      </c>
      <c r="I173">
        <v>1995874800</v>
      </c>
      <c r="J173">
        <v>28.77</v>
      </c>
      <c r="K173">
        <v>0.86399999999999999</v>
      </c>
      <c r="L173" t="s">
        <v>85</v>
      </c>
      <c r="M173" t="s">
        <v>3181</v>
      </c>
      <c r="N173" t="s">
        <v>1353</v>
      </c>
      <c r="O173" t="s">
        <v>3182</v>
      </c>
      <c r="P173">
        <v>-2.12</v>
      </c>
      <c r="Q173" t="s">
        <v>6065</v>
      </c>
      <c r="R173">
        <v>7022011</v>
      </c>
      <c r="S173" s="5">
        <v>-0.79049999999999998</v>
      </c>
      <c r="T173" t="s">
        <v>527</v>
      </c>
      <c r="U173">
        <v>341759390</v>
      </c>
      <c r="V173">
        <v>341759390</v>
      </c>
      <c r="W173">
        <v>2.94</v>
      </c>
      <c r="X173">
        <v>0.16</v>
      </c>
      <c r="Y173">
        <v>0.42</v>
      </c>
      <c r="Z173" t="s">
        <v>6066</v>
      </c>
      <c r="AA173" t="s">
        <v>6067</v>
      </c>
      <c r="AB173" t="s">
        <v>6068</v>
      </c>
      <c r="AC173" t="s">
        <v>6069</v>
      </c>
      <c r="AD173" t="s">
        <v>90</v>
      </c>
      <c r="AE173">
        <v>37906096</v>
      </c>
      <c r="AF173" t="s">
        <v>3185</v>
      </c>
      <c r="AG173" t="s">
        <v>6070</v>
      </c>
      <c r="AH173" t="s">
        <v>3186</v>
      </c>
      <c r="AI173" t="s">
        <v>3222</v>
      </c>
      <c r="AJ173" t="s">
        <v>3187</v>
      </c>
      <c r="AK173" t="s">
        <v>308</v>
      </c>
      <c r="AL173" t="s">
        <v>3188</v>
      </c>
      <c r="AM173" t="s">
        <v>90</v>
      </c>
      <c r="AN173" t="s">
        <v>1715</v>
      </c>
      <c r="AO173" t="s">
        <v>6071</v>
      </c>
      <c r="AP173" t="s">
        <v>592</v>
      </c>
      <c r="AQ173" t="s">
        <v>1033</v>
      </c>
      <c r="AR173" t="s">
        <v>90</v>
      </c>
      <c r="AS173" t="s">
        <v>6072</v>
      </c>
      <c r="AT173" t="s">
        <v>120</v>
      </c>
      <c r="AU173" t="s">
        <v>6073</v>
      </c>
      <c r="AV173" t="s">
        <v>6074</v>
      </c>
      <c r="AW173" t="s">
        <v>295</v>
      </c>
      <c r="AX173" t="s">
        <v>1998</v>
      </c>
      <c r="AY173" t="s">
        <v>2000</v>
      </c>
      <c r="AZ173" t="s">
        <v>977</v>
      </c>
      <c r="BA173" t="s">
        <v>622</v>
      </c>
      <c r="BB173" t="s">
        <v>978</v>
      </c>
      <c r="BC173" t="s">
        <v>1999</v>
      </c>
      <c r="BD173" t="s">
        <v>494</v>
      </c>
      <c r="BE173" t="s">
        <v>418</v>
      </c>
      <c r="BF173" t="s">
        <v>431</v>
      </c>
      <c r="BG173" t="s">
        <v>659</v>
      </c>
      <c r="BH173" t="s">
        <v>3183</v>
      </c>
      <c r="BI173" t="s">
        <v>113</v>
      </c>
      <c r="BJ173" t="s">
        <v>1998</v>
      </c>
      <c r="BK173" t="s">
        <v>3184</v>
      </c>
      <c r="BL173" t="s">
        <v>178</v>
      </c>
      <c r="BM173" t="s">
        <v>1999</v>
      </c>
      <c r="BN173">
        <v>4.97</v>
      </c>
      <c r="BO173" t="s">
        <v>90</v>
      </c>
      <c r="BP173">
        <v>8.3699999999999992</v>
      </c>
      <c r="BQ173">
        <v>5.64</v>
      </c>
      <c r="BR173">
        <v>-15.77</v>
      </c>
      <c r="BS173">
        <v>5.99</v>
      </c>
      <c r="BT173" t="s">
        <v>1704</v>
      </c>
      <c r="BU173" t="s">
        <v>1337</v>
      </c>
      <c r="BV173">
        <v>8.25</v>
      </c>
      <c r="BW173">
        <v>2.08</v>
      </c>
      <c r="BX173">
        <v>7.17</v>
      </c>
      <c r="BY173">
        <v>1.92</v>
      </c>
      <c r="BZ173">
        <v>-5.19</v>
      </c>
      <c r="CA173">
        <v>4.1500000000000004</v>
      </c>
      <c r="CB173">
        <v>-5.96</v>
      </c>
      <c r="CC173">
        <v>-28.69</v>
      </c>
      <c r="CD173" t="s">
        <v>6075</v>
      </c>
      <c r="CE173" t="s">
        <v>111</v>
      </c>
      <c r="CF173" s="8">
        <v>-0.15599455040871935</v>
      </c>
      <c r="CG173" s="9">
        <v>-0.96718686448598135</v>
      </c>
      <c r="CH173" s="8">
        <v>0.19873388111591339</v>
      </c>
      <c r="CI173" s="8">
        <v>2.4769043549895287E-2</v>
      </c>
      <c r="CJ173" s="8">
        <v>0.65484720468521118</v>
      </c>
      <c r="CK173" s="8">
        <v>0.1260073333978653</v>
      </c>
      <c r="CL173" s="8">
        <v>0.11931110918521881</v>
      </c>
      <c r="CM173" s="9">
        <v>4.9529414176940918</v>
      </c>
      <c r="CN173" s="9">
        <v>-2.2085309028625488</v>
      </c>
      <c r="CO173" s="9">
        <v>1.0485436916351318</v>
      </c>
      <c r="CP173" s="9">
        <v>-0.32236841320991516</v>
      </c>
      <c r="CQ173" s="9">
        <v>-0.25853657722473145</v>
      </c>
      <c r="CR173">
        <v>8.4095848314606734</v>
      </c>
      <c r="CS173">
        <v>0.37420219099773139</v>
      </c>
      <c r="CT173">
        <v>0.59931506849315064</v>
      </c>
      <c r="CU173" s="8">
        <v>0.2247337143868208</v>
      </c>
      <c r="CV173" s="9">
        <v>0.6424098432064056</v>
      </c>
      <c r="CW173">
        <v>0.06</v>
      </c>
      <c r="CX173">
        <v>3.4489901618009116</v>
      </c>
      <c r="CY173">
        <v>1164652437.8319955</v>
      </c>
      <c r="CZ173">
        <v>0.2247337143868208</v>
      </c>
      <c r="DA173">
        <v>1.0073889981283404</v>
      </c>
      <c r="DB173">
        <v>3987411821.5139117</v>
      </c>
      <c r="DC173">
        <v>0.21349702866747974</v>
      </c>
      <c r="DD173">
        <v>0.42377247198028584</v>
      </c>
      <c r="DE173">
        <v>9478847885.5862713</v>
      </c>
      <c r="DF173">
        <v>0.19776566866040229</v>
      </c>
      <c r="DG173">
        <v>0.21103254694667095</v>
      </c>
      <c r="DH173">
        <v>19034385255.346825</v>
      </c>
      <c r="DI173">
        <v>0.17978697150945666</v>
      </c>
      <c r="DJ173">
        <v>6.9910507318976758E-2</v>
      </c>
      <c r="DK173">
        <v>57457383075.085266</v>
      </c>
      <c r="DL173">
        <v>0.15731360007077455</v>
      </c>
      <c r="DM173">
        <v>1008000000</v>
      </c>
      <c r="DN173">
        <v>0.2247337143868208</v>
      </c>
      <c r="DO173">
        <v>4016874800</v>
      </c>
      <c r="DP173">
        <v>-35590500</v>
      </c>
      <c r="DQ173">
        <v>4054</v>
      </c>
      <c r="DR173">
        <v>-0.38072826479554012</v>
      </c>
      <c r="DS173">
        <v>-1.6095967076923869</v>
      </c>
      <c r="DT173" s="10">
        <v>-6.6666666666666714E-3</v>
      </c>
      <c r="DU173">
        <v>-0.80666666666666664</v>
      </c>
      <c r="DV173">
        <v>-0.81333333333333335</v>
      </c>
      <c r="DW173">
        <v>-8.2077378877657718</v>
      </c>
      <c r="DX173">
        <v>0.39952874999999932</v>
      </c>
      <c r="DY173">
        <v>-8.03729492331823</v>
      </c>
      <c r="DZ173">
        <v>1156</v>
      </c>
      <c r="EA173">
        <v>-8.0288579504501527</v>
      </c>
      <c r="EB173">
        <v>8</v>
      </c>
      <c r="EC173">
        <v>0.12607378541961931</v>
      </c>
      <c r="ED173">
        <v>0.70224844443922962</v>
      </c>
      <c r="EE173" s="11">
        <v>2.0550099999999998</v>
      </c>
      <c r="EF173">
        <v>2.0754100000000002</v>
      </c>
      <c r="EG173">
        <v>22.179528749999999</v>
      </c>
      <c r="EH173" t="s">
        <v>2143</v>
      </c>
      <c r="EI173">
        <v>0</v>
      </c>
      <c r="EJ173">
        <v>1</v>
      </c>
      <c r="EK173" s="13">
        <v>45470</v>
      </c>
      <c r="EL173" s="14">
        <v>1.49</v>
      </c>
      <c r="EM173" s="14">
        <v>-4.1500000000000004</v>
      </c>
      <c r="EN173">
        <v>1.2</v>
      </c>
      <c r="EO173">
        <v>0.23</v>
      </c>
      <c r="EP173">
        <v>-2.04</v>
      </c>
    </row>
    <row r="174" spans="1:146" ht="108">
      <c r="A174" s="7"/>
      <c r="B174" s="7"/>
      <c r="C174" s="7" t="str">
        <f>""&amp;CHAR(10)&amp;Basic_Fundamental_Information_Constructure(F174)&amp;CHAR(10)&amp;Basic_Fundamental_Information_Concatenate("")</f>
        <v xml:space="preserve">
市值81.416469亿, 利润1.92亿; PE26.07; 平均PE39.68; 平均PEG23.02, PB1.81; ROIC4.41%; ROE7.11%; 股利率1.0008%; 毛利36.4433%; 净利13.19%; 上一年度营收增-36.85%, 利润增-52.24%; 当季营收增82.87%, 利润增73.81%; 过往5年营收增-1.72%, 利润增33.89%
Income profile:
</v>
      </c>
      <c r="D174" t="s">
        <v>353</v>
      </c>
      <c r="E174" t="s">
        <v>25</v>
      </c>
      <c r="F174">
        <v>11.99</v>
      </c>
      <c r="G174">
        <v>1.35</v>
      </c>
      <c r="H174" t="s">
        <v>6076</v>
      </c>
      <c r="I174">
        <v>8141646900</v>
      </c>
      <c r="J174">
        <v>26.07</v>
      </c>
      <c r="K174">
        <v>1.81</v>
      </c>
      <c r="L174" t="s">
        <v>85</v>
      </c>
      <c r="M174" t="s">
        <v>1973</v>
      </c>
      <c r="N174" t="s">
        <v>6077</v>
      </c>
      <c r="O174" t="s">
        <v>2087</v>
      </c>
      <c r="P174">
        <v>9.07</v>
      </c>
      <c r="Q174" t="s">
        <v>2595</v>
      </c>
      <c r="R174">
        <v>90549512</v>
      </c>
      <c r="S174" s="5">
        <v>0.11119999999999999</v>
      </c>
      <c r="T174" t="s">
        <v>848</v>
      </c>
      <c r="U174">
        <v>679036440</v>
      </c>
      <c r="V174">
        <v>679036440</v>
      </c>
      <c r="W174">
        <v>2.2400000000000002</v>
      </c>
      <c r="X174">
        <v>0.06</v>
      </c>
      <c r="Y174">
        <v>12.9</v>
      </c>
      <c r="Z174" t="s">
        <v>6078</v>
      </c>
      <c r="AA174" t="s">
        <v>465</v>
      </c>
      <c r="AB174" t="s">
        <v>6079</v>
      </c>
      <c r="AC174" t="s">
        <v>6080</v>
      </c>
      <c r="AD174" t="s">
        <v>90</v>
      </c>
      <c r="AE174">
        <v>32869424</v>
      </c>
      <c r="AF174" t="s">
        <v>3192</v>
      </c>
      <c r="AG174" t="s">
        <v>6081</v>
      </c>
      <c r="AH174" t="s">
        <v>3193</v>
      </c>
      <c r="AI174" t="s">
        <v>1461</v>
      </c>
      <c r="AJ174" t="s">
        <v>3194</v>
      </c>
      <c r="AK174" t="s">
        <v>6082</v>
      </c>
      <c r="AL174" t="s">
        <v>3195</v>
      </c>
      <c r="AM174" t="s">
        <v>90</v>
      </c>
      <c r="AN174" t="s">
        <v>2101</v>
      </c>
      <c r="AO174" t="s">
        <v>4517</v>
      </c>
      <c r="AP174" t="s">
        <v>612</v>
      </c>
      <c r="AQ174" t="s">
        <v>1078</v>
      </c>
      <c r="AR174" t="s">
        <v>3196</v>
      </c>
      <c r="AS174" t="s">
        <v>6083</v>
      </c>
      <c r="AT174" t="s">
        <v>6084</v>
      </c>
      <c r="AU174" t="s">
        <v>6085</v>
      </c>
      <c r="AV174" t="s">
        <v>6086</v>
      </c>
      <c r="AW174" t="s">
        <v>678</v>
      </c>
      <c r="AX174" t="s">
        <v>2001</v>
      </c>
      <c r="AY174" t="s">
        <v>1357</v>
      </c>
      <c r="AZ174" t="s">
        <v>979</v>
      </c>
      <c r="BA174" t="s">
        <v>354</v>
      </c>
      <c r="BB174" t="s">
        <v>980</v>
      </c>
      <c r="BC174" t="s">
        <v>565</v>
      </c>
      <c r="BD174" t="s">
        <v>766</v>
      </c>
      <c r="BE174" t="s">
        <v>551</v>
      </c>
      <c r="BF174" t="s">
        <v>175</v>
      </c>
      <c r="BG174" t="s">
        <v>981</v>
      </c>
      <c r="BH174" t="s">
        <v>3191</v>
      </c>
      <c r="BI174" t="s">
        <v>179</v>
      </c>
      <c r="BJ174" t="s">
        <v>2001</v>
      </c>
      <c r="BK174" t="s">
        <v>1510</v>
      </c>
      <c r="BL174" t="s">
        <v>6087</v>
      </c>
      <c r="BM174" t="s">
        <v>565</v>
      </c>
      <c r="BN174">
        <v>3.38</v>
      </c>
      <c r="BO174">
        <v>6.09</v>
      </c>
      <c r="BP174">
        <v>3.76</v>
      </c>
      <c r="BQ174">
        <v>5.53</v>
      </c>
      <c r="BR174">
        <v>9.8000000000000007</v>
      </c>
      <c r="BS174">
        <v>6</v>
      </c>
      <c r="BT174" t="s">
        <v>2267</v>
      </c>
      <c r="BU174" t="s">
        <v>1337</v>
      </c>
      <c r="BV174">
        <v>36.17</v>
      </c>
      <c r="BW174">
        <v>36.72</v>
      </c>
      <c r="BX174">
        <v>36.44</v>
      </c>
      <c r="BY174">
        <v>11.54</v>
      </c>
      <c r="BZ174">
        <v>17.68</v>
      </c>
      <c r="CA174">
        <v>10.35</v>
      </c>
      <c r="CB174">
        <v>-3.46</v>
      </c>
      <c r="CC174">
        <v>-17.48</v>
      </c>
      <c r="CD174" t="s">
        <v>6088</v>
      </c>
      <c r="CE174" t="s">
        <v>494</v>
      </c>
      <c r="CF174" s="8">
        <v>0.82872928176795579</v>
      </c>
      <c r="CG174" s="9">
        <v>0.73806119236822909</v>
      </c>
      <c r="CH174" s="8">
        <v>-0.36851686239242554</v>
      </c>
      <c r="CI174" s="8">
        <v>7.7451042830944061E-2</v>
      </c>
      <c r="CJ174" s="8">
        <v>0.11292966455221176</v>
      </c>
      <c r="CK174" s="8">
        <v>-1.4516163617372513E-2</v>
      </c>
      <c r="CL174" s="8">
        <v>0.10648427903652191</v>
      </c>
      <c r="CM174" s="9">
        <v>-0.5223880410194397</v>
      </c>
      <c r="CN174" s="9">
        <v>0.74025976657867432</v>
      </c>
      <c r="CO174" s="9">
        <v>0.14356435835361481</v>
      </c>
      <c r="CP174" s="9">
        <v>0.54198473691940308</v>
      </c>
      <c r="CQ174" s="9">
        <v>0.79106599092483521</v>
      </c>
      <c r="CR174">
        <v>39.678549683350596</v>
      </c>
      <c r="CS174">
        <v>23.023936642919736</v>
      </c>
      <c r="CT174">
        <v>1.0008340283569641</v>
      </c>
      <c r="CU174" s="8">
        <v>-1.7233607918024064E-2</v>
      </c>
      <c r="CV174" s="9">
        <v>0.33889736235141754</v>
      </c>
      <c r="CW174">
        <v>0.06</v>
      </c>
      <c r="CX174">
        <v>45.248160937500003</v>
      </c>
      <c r="CY174" t="s">
        <v>6089</v>
      </c>
      <c r="CZ174">
        <v>-1.7233607918024064E-2</v>
      </c>
      <c r="DA174">
        <v>15.082720312499999</v>
      </c>
      <c r="DB174" t="s">
        <v>6090</v>
      </c>
      <c r="DC174">
        <v>-1.637192752212286E-2</v>
      </c>
      <c r="DD174">
        <v>7.5413601562499997</v>
      </c>
      <c r="DE174" t="s">
        <v>6091</v>
      </c>
      <c r="DF174">
        <v>-1.5165574967861176E-2</v>
      </c>
      <c r="DG174">
        <v>4.5248160937500002</v>
      </c>
      <c r="DH174" t="s">
        <v>6092</v>
      </c>
      <c r="DI174">
        <v>-1.3786886334419253E-2</v>
      </c>
      <c r="DJ174">
        <v>2.2624080468750001</v>
      </c>
      <c r="DK174" t="s">
        <v>6093</v>
      </c>
      <c r="DL174">
        <v>-1.2063525542616844E-2</v>
      </c>
      <c r="DM174">
        <v>192000000</v>
      </c>
      <c r="DN174">
        <v>-1.7233607918024064E-2</v>
      </c>
      <c r="DO174">
        <v>8687646900</v>
      </c>
      <c r="DP174">
        <v>734824600</v>
      </c>
      <c r="DQ174">
        <v>4076</v>
      </c>
      <c r="DR174">
        <v>0.84596288968597988</v>
      </c>
      <c r="DS174">
        <v>0.39916383001681155</v>
      </c>
      <c r="DT174" s="10">
        <v>-0.60666666666666669</v>
      </c>
      <c r="DU174">
        <v>0.67</v>
      </c>
      <c r="DV174">
        <v>6.3333333333333353E-2</v>
      </c>
      <c r="DW174">
        <v>-8.1979405034324948</v>
      </c>
      <c r="DX174">
        <v>0.4282123222748821</v>
      </c>
      <c r="DY174">
        <v>-8.0233990065830145</v>
      </c>
      <c r="DZ174">
        <v>1685</v>
      </c>
      <c r="EA174">
        <v>-8.015683287191159</v>
      </c>
      <c r="EB174">
        <v>8</v>
      </c>
      <c r="EC174">
        <v>3.6732638383884089E-2</v>
      </c>
      <c r="ED174">
        <v>0.31073442833200526</v>
      </c>
      <c r="EE174" s="11">
        <v>1.0428999999999999</v>
      </c>
      <c r="EF174">
        <v>1.0112000000000001</v>
      </c>
      <c r="EG174">
        <v>31.118212322274882</v>
      </c>
      <c r="EH174" t="s">
        <v>1725</v>
      </c>
      <c r="EI174">
        <v>0</v>
      </c>
      <c r="EJ174">
        <v>0</v>
      </c>
      <c r="EK174" s="13">
        <v>45470</v>
      </c>
      <c r="EL174" s="14">
        <v>0.38</v>
      </c>
      <c r="EM174" s="14">
        <v>-5.03</v>
      </c>
      <c r="EN174">
        <v>-0.16</v>
      </c>
      <c r="EO174">
        <v>1.45</v>
      </c>
      <c r="EP174">
        <v>-3.17</v>
      </c>
    </row>
    <row r="175" spans="1:146" ht="108">
      <c r="A175" s="7"/>
      <c r="B175" s="7"/>
      <c r="C175" s="7" t="str">
        <f>""&amp;CHAR(10)&amp;Basic_Fundamental_Information_Constructure(F175)&amp;CHAR(10)&amp;Basic_Fundamental_Information_Concatenate("")</f>
        <v xml:space="preserve">
市值17.673035亿, 利润1437.87万; PE15.58; 平均PE26.49; 平均PEG1.67, PB1.35; ROIC5.93%; ROE8.7233%; 股利率2.2883%; 毛利22.0433%; 净利6.87%; 上一年度营收增24.24%, 利润增-78.65%; 当季营收增90.31%, 利润增337.35%; 过往5年营收增15.86%, 利润增-15.51%
Income profile:
</v>
      </c>
      <c r="D175" t="s">
        <v>552</v>
      </c>
      <c r="E175" t="s">
        <v>51</v>
      </c>
      <c r="F175">
        <v>8.74</v>
      </c>
      <c r="G175">
        <v>0.46</v>
      </c>
      <c r="H175" t="s">
        <v>6094</v>
      </c>
      <c r="I175">
        <v>1767303500</v>
      </c>
      <c r="J175">
        <v>15.58</v>
      </c>
      <c r="K175">
        <v>1.35</v>
      </c>
      <c r="L175" t="s">
        <v>85</v>
      </c>
      <c r="M175" t="s">
        <v>3197</v>
      </c>
      <c r="N175" t="s">
        <v>6095</v>
      </c>
      <c r="O175" t="s">
        <v>2066</v>
      </c>
      <c r="P175">
        <v>7.86</v>
      </c>
      <c r="Q175" t="s">
        <v>2245</v>
      </c>
      <c r="R175">
        <v>29643088</v>
      </c>
      <c r="S175" s="5">
        <v>-0.15570000000000001</v>
      </c>
      <c r="T175" t="s">
        <v>6096</v>
      </c>
      <c r="U175">
        <v>201386640</v>
      </c>
      <c r="V175">
        <v>202208640</v>
      </c>
      <c r="W175">
        <v>2.38</v>
      </c>
      <c r="X175">
        <v>0.12</v>
      </c>
      <c r="Y175">
        <v>7.62</v>
      </c>
      <c r="Z175" t="s">
        <v>686</v>
      </c>
      <c r="AA175" t="s">
        <v>619</v>
      </c>
      <c r="AB175" t="s">
        <v>6097</v>
      </c>
      <c r="AC175" t="s">
        <v>6098</v>
      </c>
      <c r="AD175" t="s">
        <v>90</v>
      </c>
      <c r="AE175">
        <v>6502064</v>
      </c>
      <c r="AF175" t="s">
        <v>3198</v>
      </c>
      <c r="AG175">
        <v>2035.21</v>
      </c>
      <c r="AH175" t="s">
        <v>3199</v>
      </c>
      <c r="AI175" t="s">
        <v>653</v>
      </c>
      <c r="AJ175" t="s">
        <v>3200</v>
      </c>
      <c r="AK175" t="s">
        <v>6099</v>
      </c>
      <c r="AL175" t="s">
        <v>3201</v>
      </c>
      <c r="AM175" t="s">
        <v>90</v>
      </c>
      <c r="AN175" t="s">
        <v>4069</v>
      </c>
      <c r="AO175" t="s">
        <v>2083</v>
      </c>
      <c r="AP175" t="s">
        <v>532</v>
      </c>
      <c r="AQ175" t="s">
        <v>820</v>
      </c>
      <c r="AR175" t="s">
        <v>2002</v>
      </c>
      <c r="AS175" t="s">
        <v>6100</v>
      </c>
      <c r="AT175" t="s">
        <v>579</v>
      </c>
      <c r="AU175" t="s">
        <v>6101</v>
      </c>
      <c r="AV175" t="s">
        <v>6102</v>
      </c>
      <c r="AW175" t="s">
        <v>6103</v>
      </c>
      <c r="AX175" t="s">
        <v>1558</v>
      </c>
      <c r="AY175" t="s">
        <v>1178</v>
      </c>
      <c r="AZ175" t="s">
        <v>982</v>
      </c>
      <c r="BA175" t="s">
        <v>553</v>
      </c>
      <c r="BB175" t="s">
        <v>984</v>
      </c>
      <c r="BC175" t="s">
        <v>3202</v>
      </c>
      <c r="BD175" t="s">
        <v>1358</v>
      </c>
      <c r="BE175" t="s">
        <v>983</v>
      </c>
      <c r="BF175" t="s">
        <v>554</v>
      </c>
      <c r="BG175" t="s">
        <v>985</v>
      </c>
      <c r="BH175" t="s">
        <v>417</v>
      </c>
      <c r="BI175" t="s">
        <v>123</v>
      </c>
      <c r="BJ175" t="s">
        <v>1558</v>
      </c>
      <c r="BK175" t="s">
        <v>151</v>
      </c>
      <c r="BL175" t="s">
        <v>6104</v>
      </c>
      <c r="BM175" t="s">
        <v>3202</v>
      </c>
      <c r="BN175">
        <v>5.26</v>
      </c>
      <c r="BO175">
        <v>5.38</v>
      </c>
      <c r="BP175">
        <v>7.15</v>
      </c>
      <c r="BQ175">
        <v>8.49</v>
      </c>
      <c r="BR175">
        <v>7.4</v>
      </c>
      <c r="BS175">
        <v>10.28</v>
      </c>
      <c r="BT175" t="s">
        <v>1694</v>
      </c>
      <c r="BU175" t="s">
        <v>1381</v>
      </c>
      <c r="BV175">
        <v>24.02</v>
      </c>
      <c r="BW175">
        <v>20.239999999999998</v>
      </c>
      <c r="BX175">
        <v>21.87</v>
      </c>
      <c r="BY175">
        <v>8.08</v>
      </c>
      <c r="BZ175">
        <v>5.08</v>
      </c>
      <c r="CA175">
        <v>7.45</v>
      </c>
      <c r="CB175">
        <v>-3.64</v>
      </c>
      <c r="CC175">
        <v>-13.03</v>
      </c>
      <c r="CD175" t="s">
        <v>6105</v>
      </c>
      <c r="CE175" t="s">
        <v>6106</v>
      </c>
      <c r="CF175" s="8">
        <v>0.90306122448979587</v>
      </c>
      <c r="CG175" s="9">
        <v>3.3734977420491306</v>
      </c>
      <c r="CH175" s="8">
        <v>0.24242423474788666</v>
      </c>
      <c r="CI175" s="8">
        <v>5.6650299578905106E-2</v>
      </c>
      <c r="CJ175" s="8">
        <v>0.2582644522190094</v>
      </c>
      <c r="CK175" s="8">
        <v>0.13615024089813232</v>
      </c>
      <c r="CL175" s="8">
        <v>9.9354840815067291E-2</v>
      </c>
      <c r="CM175" s="9">
        <v>-0.78653216361999512</v>
      </c>
      <c r="CN175" s="9">
        <v>-0.26651248335838318</v>
      </c>
      <c r="CO175" s="9">
        <v>0.12695537507534027</v>
      </c>
      <c r="CP175" s="9">
        <v>9.0624690055847168E-2</v>
      </c>
      <c r="CQ175" s="9">
        <v>6.0183554887771606E-2</v>
      </c>
      <c r="CR175">
        <v>26.493285622627706</v>
      </c>
      <c r="CS175">
        <v>1.6707752938610034</v>
      </c>
      <c r="CT175">
        <v>2.2883295194508007</v>
      </c>
      <c r="CU175" s="8">
        <v>0.15856881365180014</v>
      </c>
      <c r="CV175" s="9">
        <v>-0.15505620539188386</v>
      </c>
      <c r="CW175">
        <v>0.06</v>
      </c>
      <c r="CX175">
        <v>148.65984247456203</v>
      </c>
      <c r="CY175">
        <v>15715767.359297298</v>
      </c>
      <c r="CZ175">
        <v>0.15856881365180014</v>
      </c>
      <c r="DA175">
        <v>45.861352984984329</v>
      </c>
      <c r="DB175">
        <v>50942751.313179523</v>
      </c>
      <c r="DC175">
        <v>0.15064037296921012</v>
      </c>
      <c r="DD175">
        <v>20.862394924535316</v>
      </c>
      <c r="DE175">
        <v>111986351.92416856</v>
      </c>
      <c r="DF175">
        <v>0.13954055601358412</v>
      </c>
      <c r="DG175">
        <v>11.429760641909395</v>
      </c>
      <c r="DH175">
        <v>204405286.61934513</v>
      </c>
      <c r="DI175">
        <v>0.12685505092144012</v>
      </c>
      <c r="DJ175">
        <v>4.7827165862002294</v>
      </c>
      <c r="DK175">
        <v>488488802.94120568</v>
      </c>
      <c r="DL175">
        <v>0.11099816955626009</v>
      </c>
      <c r="DM175">
        <v>14378699.999999998</v>
      </c>
      <c r="DN175">
        <v>0.15856881365180014</v>
      </c>
      <c r="DO175">
        <v>2336303500</v>
      </c>
      <c r="DP175">
        <v>-234687000</v>
      </c>
      <c r="DQ175">
        <v>4097</v>
      </c>
      <c r="DR175">
        <v>0.74449241083799578</v>
      </c>
      <c r="DS175">
        <v>3.5285539474410146</v>
      </c>
      <c r="DT175" s="10">
        <v>-0.14000000000000001</v>
      </c>
      <c r="DU175">
        <v>-0.70333333333333325</v>
      </c>
      <c r="DV175">
        <v>-0.84333333333333327</v>
      </c>
      <c r="DW175">
        <v>-8.2793553338449737</v>
      </c>
      <c r="DX175">
        <v>0.31246661135173298</v>
      </c>
      <c r="DY175">
        <v>-8.034211701099025</v>
      </c>
      <c r="DZ175">
        <v>2563</v>
      </c>
      <c r="EA175">
        <v>-8.0170522901564016</v>
      </c>
      <c r="EB175">
        <v>8</v>
      </c>
      <c r="EC175">
        <v>3.7153704213628062E-2</v>
      </c>
      <c r="ED175">
        <v>0.30337823349190224</v>
      </c>
      <c r="EE175" s="11">
        <v>-2.05911</v>
      </c>
      <c r="EF175">
        <v>-2.0624099999999999</v>
      </c>
      <c r="EG175">
        <v>19.122466611351733</v>
      </c>
      <c r="EH175" t="s">
        <v>1735</v>
      </c>
      <c r="EI175">
        <v>0</v>
      </c>
      <c r="EJ175">
        <v>0</v>
      </c>
      <c r="EK175" s="13">
        <v>45470</v>
      </c>
      <c r="EL175" s="14">
        <v>0</v>
      </c>
      <c r="EM175" s="14">
        <v>-4.18</v>
      </c>
      <c r="EN175">
        <v>0.83</v>
      </c>
      <c r="EO175">
        <v>5.03</v>
      </c>
      <c r="EP175">
        <v>-0.33</v>
      </c>
    </row>
    <row r="176" spans="1:146" ht="108">
      <c r="A176" s="7"/>
      <c r="B176" s="7"/>
      <c r="C176" s="7" t="str">
        <f>""&amp;CHAR(10)&amp;Basic_Fundamental_Information_Constructure(F176)&amp;CHAR(10)&amp;Basic_Fundamental_Information_Concatenate("")</f>
        <v xml:space="preserve">
市值28.282923亿, 利润6.05亿; PE9.16; 平均PE11.34; 平均PEG.04, PB1.12; ROIC10.73%; ROE11.58%; 股利率2.8446%; 毛利23.61%; 净利13.4333%; 上一年度营收增1243.13%, 利润增97.71%; 当季营收增-89.37%, 利润增-39.24%; 过往5年营收增260.94%, 利润增38.25%
Income profile:
</v>
      </c>
      <c r="D176" t="s">
        <v>464</v>
      </c>
      <c r="E176" t="s">
        <v>57</v>
      </c>
      <c r="F176">
        <v>9.14</v>
      </c>
      <c r="G176">
        <v>0.66</v>
      </c>
      <c r="H176" t="s">
        <v>6107</v>
      </c>
      <c r="I176">
        <v>2828292300</v>
      </c>
      <c r="J176">
        <v>9.16</v>
      </c>
      <c r="K176">
        <v>1.1200000000000001</v>
      </c>
      <c r="L176" t="s">
        <v>85</v>
      </c>
      <c r="M176" t="s">
        <v>1005</v>
      </c>
      <c r="N176" t="s">
        <v>6108</v>
      </c>
      <c r="O176" t="s">
        <v>351</v>
      </c>
      <c r="P176">
        <v>-16.34</v>
      </c>
      <c r="Q176" t="s">
        <v>6109</v>
      </c>
      <c r="R176">
        <v>51800122</v>
      </c>
      <c r="S176" s="5">
        <v>-0.32269999999999999</v>
      </c>
      <c r="T176" t="s">
        <v>719</v>
      </c>
      <c r="U176">
        <v>309441180</v>
      </c>
      <c r="V176">
        <v>309441180</v>
      </c>
      <c r="W176">
        <v>1.34</v>
      </c>
      <c r="X176">
        <v>0.13</v>
      </c>
      <c r="Y176">
        <v>11.65</v>
      </c>
      <c r="Z176" t="s">
        <v>1402</v>
      </c>
      <c r="AA176" t="s">
        <v>1904</v>
      </c>
      <c r="AB176" t="s">
        <v>6110</v>
      </c>
      <c r="AC176" t="s">
        <v>6111</v>
      </c>
      <c r="AD176" t="s">
        <v>90</v>
      </c>
      <c r="AE176">
        <v>2507581</v>
      </c>
      <c r="AF176" t="s">
        <v>3204</v>
      </c>
      <c r="AG176" t="s">
        <v>6112</v>
      </c>
      <c r="AH176" t="s">
        <v>3205</v>
      </c>
      <c r="AI176" t="s">
        <v>1544</v>
      </c>
      <c r="AJ176" t="s">
        <v>3206</v>
      </c>
      <c r="AK176" t="s">
        <v>90</v>
      </c>
      <c r="AL176" t="s">
        <v>3207</v>
      </c>
      <c r="AM176" t="s">
        <v>90</v>
      </c>
      <c r="AN176" t="s">
        <v>6113</v>
      </c>
      <c r="AO176" t="s">
        <v>2005</v>
      </c>
      <c r="AP176" t="s">
        <v>90</v>
      </c>
      <c r="AQ176" t="s">
        <v>6114</v>
      </c>
      <c r="AR176" t="s">
        <v>90</v>
      </c>
      <c r="AS176" t="s">
        <v>1467</v>
      </c>
      <c r="AT176" t="s">
        <v>90</v>
      </c>
      <c r="AU176" t="s">
        <v>6115</v>
      </c>
      <c r="AV176" t="s">
        <v>6116</v>
      </c>
      <c r="AW176" t="s">
        <v>6117</v>
      </c>
      <c r="AX176" t="s">
        <v>1464</v>
      </c>
      <c r="AY176" t="s">
        <v>1359</v>
      </c>
      <c r="AZ176" t="s">
        <v>986</v>
      </c>
      <c r="BA176" t="s">
        <v>429</v>
      </c>
      <c r="BB176" t="s">
        <v>987</v>
      </c>
      <c r="BC176" t="s">
        <v>669</v>
      </c>
      <c r="BD176" t="s">
        <v>304</v>
      </c>
      <c r="BE176" t="s">
        <v>597</v>
      </c>
      <c r="BF176" t="s">
        <v>204</v>
      </c>
      <c r="BG176" t="s">
        <v>391</v>
      </c>
      <c r="BH176" t="s">
        <v>3203</v>
      </c>
      <c r="BI176" t="s">
        <v>6118</v>
      </c>
      <c r="BJ176" t="s">
        <v>1464</v>
      </c>
      <c r="BK176" t="s">
        <v>262</v>
      </c>
      <c r="BL176" t="s">
        <v>6119</v>
      </c>
      <c r="BM176" t="s">
        <v>669</v>
      </c>
      <c r="BN176">
        <v>10.6</v>
      </c>
      <c r="BO176">
        <v>13.32</v>
      </c>
      <c r="BP176">
        <v>8.27</v>
      </c>
      <c r="BQ176">
        <v>11.01</v>
      </c>
      <c r="BR176">
        <v>14.72</v>
      </c>
      <c r="BS176">
        <v>9.01</v>
      </c>
      <c r="BT176" t="s">
        <v>3208</v>
      </c>
      <c r="BU176" t="s">
        <v>1449</v>
      </c>
      <c r="BV176">
        <v>25.35</v>
      </c>
      <c r="BW176">
        <v>25.06</v>
      </c>
      <c r="BX176">
        <v>20.420000000000002</v>
      </c>
      <c r="BY176">
        <v>14.97</v>
      </c>
      <c r="BZ176">
        <v>15.1</v>
      </c>
      <c r="CA176">
        <v>10.23</v>
      </c>
      <c r="CB176">
        <v>0.77</v>
      </c>
      <c r="CC176">
        <v>-5.09</v>
      </c>
      <c r="CD176" t="s">
        <v>6120</v>
      </c>
      <c r="CE176" t="s">
        <v>6121</v>
      </c>
      <c r="CF176" s="8">
        <v>-0.89369326325848064</v>
      </c>
      <c r="CG176" s="9">
        <v>-0.3924145599649056</v>
      </c>
      <c r="CH176" s="8">
        <v>12.43132495880127</v>
      </c>
      <c r="CI176" s="8">
        <v>0.22666667401790619</v>
      </c>
      <c r="CJ176" s="8">
        <v>0.49592012166976929</v>
      </c>
      <c r="CK176" s="8">
        <v>-6.1276592314243317E-2</v>
      </c>
      <c r="CL176" s="8">
        <v>-4.5491468161344528E-2</v>
      </c>
      <c r="CM176" s="9">
        <v>0.97712415456771851</v>
      </c>
      <c r="CN176" s="9">
        <v>0.81065088510513306</v>
      </c>
      <c r="CO176" s="9">
        <v>0.59433960914611816</v>
      </c>
      <c r="CP176" s="9">
        <v>-0.17829456925392151</v>
      </c>
      <c r="CQ176" s="9">
        <v>-0.29120880365371704</v>
      </c>
      <c r="CR176">
        <v>11.335840881763527</v>
      </c>
      <c r="CS176">
        <v>4.3441848835331462E-2</v>
      </c>
      <c r="CT176">
        <v>2.8446389496717726</v>
      </c>
      <c r="CU176" s="8">
        <v>2.6094287388026713</v>
      </c>
      <c r="CV176" s="9">
        <v>0.38252225518226624</v>
      </c>
      <c r="CW176">
        <v>0.06</v>
      </c>
      <c r="CX176">
        <v>0.6001132047982799</v>
      </c>
      <c r="CY176">
        <v>2060098478.278883</v>
      </c>
      <c r="CZ176">
        <v>2.6094287388026713</v>
      </c>
      <c r="DA176">
        <v>4.1359635033302006E-2</v>
      </c>
      <c r="DB176">
        <v>29891276821.097683</v>
      </c>
      <c r="DC176">
        <v>2.4789573018625375</v>
      </c>
      <c r="DD176">
        <v>1.5347103209990599E-3</v>
      </c>
      <c r="DE176">
        <v>805554170767.02991</v>
      </c>
      <c r="DF176">
        <v>2.296297290146351</v>
      </c>
      <c r="DG176">
        <v>3.0525391676461714E-5</v>
      </c>
      <c r="DH176">
        <v>40500456574102.25</v>
      </c>
      <c r="DI176">
        <v>2.0875429910421373</v>
      </c>
      <c r="DJ176">
        <v>3.8642883540955333E-9</v>
      </c>
      <c r="DK176">
        <v>3.1992754854583405E+17</v>
      </c>
      <c r="DL176">
        <v>1.8266001171618698</v>
      </c>
      <c r="DM176">
        <v>605000000</v>
      </c>
      <c r="DN176">
        <v>2.6094287388026713</v>
      </c>
      <c r="DO176">
        <v>1236292300</v>
      </c>
      <c r="DP176">
        <v>1631381700</v>
      </c>
      <c r="DQ176">
        <v>4104</v>
      </c>
      <c r="DR176">
        <v>-3.503122002061152</v>
      </c>
      <c r="DS176">
        <v>-0.77493681514717183</v>
      </c>
      <c r="DT176" s="10">
        <v>0.14333333333333331</v>
      </c>
      <c r="DU176">
        <v>0.33</v>
      </c>
      <c r="DV176">
        <v>0.47333333333333333</v>
      </c>
      <c r="DW176">
        <v>-1.0508999999999999</v>
      </c>
      <c r="DX176">
        <v>0.49028359303467201</v>
      </c>
      <c r="DY176">
        <v>-1.0076494348854648</v>
      </c>
      <c r="DZ176">
        <v>2104</v>
      </c>
      <c r="EA176">
        <v>-1.0044998436919192</v>
      </c>
      <c r="EB176">
        <v>1</v>
      </c>
      <c r="EC176">
        <v>2.3444520215441269E-2</v>
      </c>
      <c r="ED176">
        <v>0.15600186116146533</v>
      </c>
      <c r="EE176" s="11">
        <v>-3.0531000000000001</v>
      </c>
      <c r="EF176">
        <v>-3.0323000000000002</v>
      </c>
      <c r="EG176">
        <v>34.150283593034672</v>
      </c>
      <c r="EH176" t="s">
        <v>2118</v>
      </c>
      <c r="EI176">
        <v>0</v>
      </c>
      <c r="EJ176">
        <v>0</v>
      </c>
      <c r="EK176" s="13">
        <v>45470</v>
      </c>
      <c r="EL176" s="14">
        <v>0.33</v>
      </c>
      <c r="EM176" s="14">
        <v>-3.36</v>
      </c>
      <c r="EN176">
        <v>-0.11</v>
      </c>
      <c r="EO176">
        <v>2.4700000000000002</v>
      </c>
      <c r="EP176">
        <v>-2.08</v>
      </c>
    </row>
    <row r="177" spans="1:146" ht="96">
      <c r="A177" s="7"/>
      <c r="B177" s="7"/>
      <c r="C177" s="7" t="str">
        <f>""&amp;CHAR(10)&amp;Basic_Fundamental_Information_Constructure(F177)&amp;CHAR(10)&amp;Basic_Fundamental_Information_Concatenate("")</f>
        <v xml:space="preserve">
市值23.19053亿, 利润1.36亿; PE54.1; 平均PE26.59; 平均PEG.15, PB1.62; ROIC3.7733%; ROE6.2967%; 股利率.6745%; 毛利20.6667%; 净利7.1833%; 上一年度营收增876.92%, 利润增152.66%; 当季营收增-83.86%, 利润增55.76%; 过往5年营收增180.34%, 利润增28.92%
Income profile:
</v>
      </c>
      <c r="D177" t="s">
        <v>557</v>
      </c>
      <c r="E177" t="s">
        <v>52</v>
      </c>
      <c r="F177">
        <v>5.93</v>
      </c>
      <c r="G177">
        <v>2.6</v>
      </c>
      <c r="H177" t="s">
        <v>6122</v>
      </c>
      <c r="I177">
        <v>2319053000</v>
      </c>
      <c r="J177">
        <v>54.1</v>
      </c>
      <c r="K177">
        <v>1.62</v>
      </c>
      <c r="L177" t="s">
        <v>85</v>
      </c>
      <c r="M177" t="s">
        <v>1570</v>
      </c>
      <c r="N177" t="s">
        <v>6123</v>
      </c>
      <c r="O177" t="s">
        <v>755</v>
      </c>
      <c r="P177">
        <v>37.83</v>
      </c>
      <c r="Q177" t="s">
        <v>6124</v>
      </c>
      <c r="R177">
        <v>34820000</v>
      </c>
      <c r="S177" s="5">
        <v>0.65390000000000004</v>
      </c>
      <c r="T177" t="s">
        <v>195</v>
      </c>
      <c r="U177">
        <v>381571340</v>
      </c>
      <c r="V177">
        <v>391071340</v>
      </c>
      <c r="W177">
        <v>1.53</v>
      </c>
      <c r="X177">
        <v>0.11</v>
      </c>
      <c r="Y177">
        <v>6.62</v>
      </c>
      <c r="Z177" t="s">
        <v>451</v>
      </c>
      <c r="AA177" t="s">
        <v>1394</v>
      </c>
      <c r="AB177" t="s">
        <v>6125</v>
      </c>
      <c r="AC177" t="s">
        <v>6126</v>
      </c>
      <c r="AD177" t="s">
        <v>90</v>
      </c>
      <c r="AE177">
        <v>-4309887</v>
      </c>
      <c r="AF177" t="s">
        <v>6127</v>
      </c>
      <c r="AG177" t="s">
        <v>6128</v>
      </c>
      <c r="AH177" t="s">
        <v>6129</v>
      </c>
      <c r="AI177" t="s">
        <v>874</v>
      </c>
      <c r="AJ177" t="s">
        <v>6130</v>
      </c>
      <c r="AK177" t="s">
        <v>6131</v>
      </c>
      <c r="AL177" t="s">
        <v>6132</v>
      </c>
      <c r="AM177" t="s">
        <v>90</v>
      </c>
      <c r="AN177" t="s">
        <v>1393</v>
      </c>
      <c r="AO177" t="s">
        <v>1789</v>
      </c>
      <c r="AP177" t="s">
        <v>6133</v>
      </c>
      <c r="AQ177" t="s">
        <v>521</v>
      </c>
      <c r="AR177" t="s">
        <v>6134</v>
      </c>
      <c r="AS177" t="s">
        <v>86</v>
      </c>
      <c r="AT177" t="s">
        <v>90</v>
      </c>
      <c r="AU177" t="s">
        <v>6135</v>
      </c>
      <c r="AV177" t="s">
        <v>6136</v>
      </c>
      <c r="AW177" t="s">
        <v>6137</v>
      </c>
      <c r="AX177" t="s">
        <v>1340</v>
      </c>
      <c r="AY177" t="s">
        <v>1266</v>
      </c>
      <c r="AZ177" t="s">
        <v>988</v>
      </c>
      <c r="BA177" t="s">
        <v>421</v>
      </c>
      <c r="BB177" t="s">
        <v>344</v>
      </c>
      <c r="BC177" t="s">
        <v>2006</v>
      </c>
      <c r="BD177" t="s">
        <v>1360</v>
      </c>
      <c r="BE177" t="s">
        <v>989</v>
      </c>
      <c r="BF177" t="s">
        <v>559</v>
      </c>
      <c r="BG177" t="s">
        <v>990</v>
      </c>
      <c r="BH177" t="s">
        <v>4411</v>
      </c>
      <c r="BI177" t="s">
        <v>476</v>
      </c>
      <c r="BJ177" t="s">
        <v>1340</v>
      </c>
      <c r="BK177" t="s">
        <v>6138</v>
      </c>
      <c r="BL177" t="s">
        <v>6139</v>
      </c>
      <c r="BM177" t="s">
        <v>2006</v>
      </c>
      <c r="BN177">
        <v>0.96</v>
      </c>
      <c r="BO177">
        <v>3.39</v>
      </c>
      <c r="BP177">
        <v>6.97</v>
      </c>
      <c r="BQ177">
        <v>2.85</v>
      </c>
      <c r="BR177">
        <v>4.18</v>
      </c>
      <c r="BS177">
        <v>11.86</v>
      </c>
      <c r="BT177" t="s">
        <v>2671</v>
      </c>
      <c r="BU177" t="s">
        <v>1381</v>
      </c>
      <c r="BV177">
        <v>17.98</v>
      </c>
      <c r="BW177">
        <v>21.47</v>
      </c>
      <c r="BX177">
        <v>22.55</v>
      </c>
      <c r="BY177">
        <v>5</v>
      </c>
      <c r="BZ177">
        <v>7.08</v>
      </c>
      <c r="CA177">
        <v>9.4700000000000006</v>
      </c>
      <c r="CB177">
        <v>0.51</v>
      </c>
      <c r="CC177">
        <v>0.68</v>
      </c>
      <c r="CD177" t="s">
        <v>191</v>
      </c>
      <c r="CE177" t="s">
        <v>362</v>
      </c>
      <c r="CF177" s="8">
        <v>-0.83862255232950711</v>
      </c>
      <c r="CG177" s="9">
        <v>0.55763518591418249</v>
      </c>
      <c r="CH177" s="8">
        <v>8.769230842590332</v>
      </c>
      <c r="CI177" s="8">
        <v>-0.22666667401790619</v>
      </c>
      <c r="CJ177" s="8">
        <v>0.32113820314407349</v>
      </c>
      <c r="CK177" s="8">
        <v>9.6582464873790741E-2</v>
      </c>
      <c r="CL177" s="8">
        <v>5.6514915078878403E-2</v>
      </c>
      <c r="CM177" s="9">
        <v>1.5266318321228027</v>
      </c>
      <c r="CN177" s="9">
        <v>-0.41725105047225952</v>
      </c>
      <c r="CO177" s="9">
        <v>-5.0760447978973389E-2</v>
      </c>
      <c r="CP177" s="9">
        <v>0.29664406180381775</v>
      </c>
      <c r="CQ177" s="9">
        <v>9.0867668390274048E-2</v>
      </c>
      <c r="CR177">
        <v>26.587672345860373</v>
      </c>
      <c r="CS177">
        <v>0.14743408458715371</v>
      </c>
      <c r="CT177">
        <v>0.67453625632377745</v>
      </c>
      <c r="CU177" s="8">
        <v>1.8033599503338338</v>
      </c>
      <c r="CV177" s="9">
        <v>0.28922641277313232</v>
      </c>
      <c r="CW177">
        <v>0.06</v>
      </c>
      <c r="CX177">
        <v>4.4458105368874197</v>
      </c>
      <c r="CY177">
        <v>359676370.98622775</v>
      </c>
      <c r="CZ177">
        <v>1.8033599503338338</v>
      </c>
      <c r="DA177">
        <v>0.45430204684053516</v>
      </c>
      <c r="DB177">
        <v>3519801442.9401956</v>
      </c>
      <c r="DC177">
        <v>1.713191952817142</v>
      </c>
      <c r="DD177">
        <v>3.3000606290879683E-2</v>
      </c>
      <c r="DE177">
        <v>48455261273.24295</v>
      </c>
      <c r="DF177">
        <v>1.5869567562937736</v>
      </c>
      <c r="DG177">
        <v>1.5763829407266948E-3</v>
      </c>
      <c r="DH177">
        <v>1014381061027.5031</v>
      </c>
      <c r="DI177">
        <v>1.442687960267067</v>
      </c>
      <c r="DJ177">
        <v>1.624461381225789E-6</v>
      </c>
      <c r="DK177">
        <v>984358888724940.75</v>
      </c>
      <c r="DL177">
        <v>1.2623519652336836</v>
      </c>
      <c r="DM177">
        <v>136000000</v>
      </c>
      <c r="DN177">
        <v>1.8033599503338338</v>
      </c>
      <c r="DO177">
        <v>1599053000</v>
      </c>
      <c r="DP177">
        <v>529266470</v>
      </c>
      <c r="DQ177">
        <v>4218</v>
      </c>
      <c r="DR177">
        <v>-2.6419825026633408</v>
      </c>
      <c r="DS177">
        <v>0.26840877314105016</v>
      </c>
      <c r="DT177" s="10">
        <v>-0.1566666666666667</v>
      </c>
      <c r="DU177">
        <v>0.51999999999999991</v>
      </c>
      <c r="DV177">
        <v>0.36333333333333317</v>
      </c>
      <c r="DW177">
        <v>6.8000000000000005E-3</v>
      </c>
      <c r="DX177">
        <v>0.4869230769230759</v>
      </c>
      <c r="DY177">
        <v>1.8830769230769233E-3</v>
      </c>
      <c r="DZ177">
        <v>1768</v>
      </c>
      <c r="EA177">
        <v>1.2315544181845555E-3</v>
      </c>
      <c r="EB177">
        <v>0</v>
      </c>
      <c r="EC177">
        <v>0.32219185379322351</v>
      </c>
      <c r="ED177">
        <v>1.1634705831421961</v>
      </c>
      <c r="EE177" s="11">
        <v>-3.0457999999999998</v>
      </c>
      <c r="EF177">
        <v>-3.0228999999999999</v>
      </c>
      <c r="EG177">
        <v>21.276923076923076</v>
      </c>
      <c r="EH177" t="s">
        <v>2118</v>
      </c>
      <c r="EI177">
        <v>0</v>
      </c>
      <c r="EJ177">
        <v>0</v>
      </c>
      <c r="EK177" s="13">
        <v>45470</v>
      </c>
      <c r="EL177" s="14">
        <v>-0.23</v>
      </c>
      <c r="EM177" s="14">
        <v>-4.97</v>
      </c>
      <c r="EN177">
        <v>0.48</v>
      </c>
      <c r="EO177">
        <v>3.31</v>
      </c>
      <c r="EP177">
        <v>-2.29</v>
      </c>
    </row>
    <row r="178" spans="1:146">
      <c r="D178" t="s">
        <v>6140</v>
      </c>
      <c r="E178" t="s">
        <v>6141</v>
      </c>
      <c r="F178">
        <v>22.43</v>
      </c>
      <c r="G178">
        <v>-0.18</v>
      </c>
      <c r="H178" t="s">
        <v>6142</v>
      </c>
      <c r="I178">
        <v>6336587000</v>
      </c>
      <c r="J178">
        <v>21.16</v>
      </c>
      <c r="K178">
        <v>2.46</v>
      </c>
      <c r="L178" t="s">
        <v>85</v>
      </c>
      <c r="M178" t="s">
        <v>6143</v>
      </c>
      <c r="N178" t="s">
        <v>6144</v>
      </c>
      <c r="O178" t="s">
        <v>287</v>
      </c>
      <c r="P178" s="5">
        <v>12.89</v>
      </c>
      <c r="Q178" t="s">
        <v>6145</v>
      </c>
      <c r="R178">
        <v>43021686</v>
      </c>
      <c r="S178">
        <v>-0.23130000000000001</v>
      </c>
      <c r="T178" t="s">
        <v>6146</v>
      </c>
      <c r="U178">
        <v>280829870</v>
      </c>
      <c r="V178">
        <v>282504990</v>
      </c>
      <c r="W178">
        <v>1.43</v>
      </c>
      <c r="X178">
        <v>0.06</v>
      </c>
      <c r="Y178">
        <v>20.3</v>
      </c>
      <c r="Z178" t="s">
        <v>260</v>
      </c>
      <c r="AA178" t="s">
        <v>135</v>
      </c>
      <c r="AB178" t="s">
        <v>6147</v>
      </c>
      <c r="AC178" t="s">
        <v>6148</v>
      </c>
      <c r="AD178" t="s">
        <v>90</v>
      </c>
      <c r="AE178">
        <v>2410399</v>
      </c>
      <c r="AF178" t="s">
        <v>6149</v>
      </c>
      <c r="AG178" t="s">
        <v>6150</v>
      </c>
      <c r="AH178" t="s">
        <v>6151</v>
      </c>
      <c r="AI178" t="s">
        <v>6152</v>
      </c>
      <c r="AJ178" t="s">
        <v>6153</v>
      </c>
      <c r="AK178" t="s">
        <v>818</v>
      </c>
      <c r="AL178" t="s">
        <v>6154</v>
      </c>
      <c r="AM178" t="s">
        <v>90</v>
      </c>
      <c r="AN178" t="s">
        <v>494</v>
      </c>
      <c r="AO178" t="s">
        <v>1309</v>
      </c>
      <c r="AP178" t="s">
        <v>237</v>
      </c>
      <c r="AQ178" t="s">
        <v>109</v>
      </c>
      <c r="AR178" t="s">
        <v>90</v>
      </c>
      <c r="AS178" t="s">
        <v>3782</v>
      </c>
      <c r="AT178" t="s">
        <v>90</v>
      </c>
      <c r="AU178" t="s">
        <v>6155</v>
      </c>
      <c r="AV178" t="s">
        <v>6156</v>
      </c>
      <c r="AW178" t="s">
        <v>6157</v>
      </c>
      <c r="AX178" t="s">
        <v>6158</v>
      </c>
      <c r="AY178" t="s">
        <v>6159</v>
      </c>
      <c r="AZ178" t="s">
        <v>2282</v>
      </c>
      <c r="BA178" t="s">
        <v>4069</v>
      </c>
      <c r="BB178" t="s">
        <v>1575</v>
      </c>
      <c r="BC178" t="s">
        <v>5828</v>
      </c>
      <c r="BD178" t="s">
        <v>190</v>
      </c>
      <c r="BE178" t="s">
        <v>225</v>
      </c>
      <c r="BF178" t="s">
        <v>230</v>
      </c>
      <c r="BG178" t="s">
        <v>135</v>
      </c>
      <c r="BH178" t="s">
        <v>3246</v>
      </c>
      <c r="BI178" t="s">
        <v>457</v>
      </c>
      <c r="BJ178" t="s">
        <v>6158</v>
      </c>
      <c r="BK178" t="s">
        <v>844</v>
      </c>
      <c r="BL178" t="s">
        <v>6160</v>
      </c>
      <c r="BM178" t="s">
        <v>5828</v>
      </c>
      <c r="BN178">
        <v>7.64</v>
      </c>
      <c r="BO178">
        <v>10.68</v>
      </c>
      <c r="BP178">
        <v>11.29</v>
      </c>
      <c r="BQ178">
        <v>8.9</v>
      </c>
      <c r="BR178">
        <v>11.64</v>
      </c>
      <c r="BS178">
        <v>12.33</v>
      </c>
      <c r="BT178" t="s">
        <v>6161</v>
      </c>
      <c r="BU178" t="s">
        <v>3551</v>
      </c>
      <c r="BV178">
        <v>43.05</v>
      </c>
      <c r="BW178">
        <v>40.24</v>
      </c>
      <c r="BX178">
        <v>38.31</v>
      </c>
      <c r="BY178">
        <v>31.27</v>
      </c>
      <c r="BZ178">
        <v>25.99</v>
      </c>
      <c r="CA178">
        <v>24.84</v>
      </c>
      <c r="CB178">
        <v>-3.9</v>
      </c>
      <c r="CC178" s="8">
        <v>-16.37</v>
      </c>
      <c r="CD178" s="9" t="s">
        <v>6162</v>
      </c>
      <c r="CE178" s="8" t="s">
        <v>104</v>
      </c>
      <c r="CF178" s="8">
        <v>-0.16778523489932887</v>
      </c>
      <c r="CG178" s="8">
        <v>0.19390267660159013</v>
      </c>
      <c r="CH178" s="8">
        <v>1.7907634377479553E-2</v>
      </c>
      <c r="CI178" s="8">
        <v>2.9097963124513626E-2</v>
      </c>
      <c r="CJ178" s="9">
        <v>0.23473054170608521</v>
      </c>
      <c r="CK178" s="9">
        <v>0.12837837636470795</v>
      </c>
      <c r="CL178" s="9">
        <v>4.3723553419113159E-2</v>
      </c>
      <c r="CM178" s="9">
        <v>-0.69525730609893799</v>
      </c>
      <c r="CN178" s="9">
        <v>3.5856574773788452E-2</v>
      </c>
      <c r="CO178">
        <v>0.14090909063816071</v>
      </c>
      <c r="CP178">
        <v>0.20218579471111298</v>
      </c>
      <c r="CQ178">
        <v>0.29787233471870422</v>
      </c>
      <c r="CR178" s="8">
        <v>33.520025116530277</v>
      </c>
      <c r="CS178" s="9">
        <v>3.692949909533545</v>
      </c>
      <c r="CT178">
        <v>1.4801604993312527</v>
      </c>
      <c r="CU178">
        <v>9.0767613798379901E-2</v>
      </c>
      <c r="CV178">
        <v>-3.6867022514343261E-3</v>
      </c>
      <c r="CW178">
        <v>0.06</v>
      </c>
      <c r="CX178">
        <v>56.475185423502872</v>
      </c>
      <c r="CY178">
        <v>81532923.981932461</v>
      </c>
      <c r="CZ178">
        <v>9.0767613798379901E-2</v>
      </c>
      <c r="DA178">
        <v>18.443572538052159</v>
      </c>
      <c r="DB178">
        <v>249658084.97784096</v>
      </c>
      <c r="DC178">
        <v>8.6229233108460895E-2</v>
      </c>
      <c r="DD178">
        <v>9.0714531174455537</v>
      </c>
      <c r="DE178">
        <v>507590894.24656737</v>
      </c>
      <c r="DF178">
        <v>7.9875500142574316E-2</v>
      </c>
      <c r="DG178">
        <v>5.4422235545196251</v>
      </c>
      <c r="DH178">
        <v>846085603.40671968</v>
      </c>
      <c r="DI178">
        <v>7.2614091038703921E-2</v>
      </c>
      <c r="DJ178">
        <v>2.8053156870224725</v>
      </c>
      <c r="DK178">
        <v>1641379264.8367684</v>
      </c>
      <c r="DL178">
        <v>6.3537329658865924E-2</v>
      </c>
      <c r="DM178">
        <v>79233100</v>
      </c>
      <c r="DN178">
        <v>9.0767613798379901E-2</v>
      </c>
      <c r="DO178">
        <v>4604587000</v>
      </c>
      <c r="DP178">
        <v>1361322900</v>
      </c>
      <c r="DQ178" s="10">
        <v>4239</v>
      </c>
      <c r="DR178">
        <v>-0.25855284869770878</v>
      </c>
      <c r="DS178">
        <v>0.19758937885302447</v>
      </c>
      <c r="DT178">
        <v>-0.3066666666666667</v>
      </c>
      <c r="DU178">
        <v>-0.1166666666666667</v>
      </c>
      <c r="DV178">
        <v>-0.42333333333333339</v>
      </c>
      <c r="DW178">
        <v>-8.2382406841783755</v>
      </c>
      <c r="DX178">
        <v>0.40405266666666706</v>
      </c>
      <c r="DY178">
        <v>-8.0343192058643869</v>
      </c>
      <c r="DZ178">
        <v>2700</v>
      </c>
      <c r="EA178">
        <v>-8.0161857702804635</v>
      </c>
      <c r="EB178" s="11">
        <v>8</v>
      </c>
      <c r="EC178" s="11">
        <v>7.6486790551912015E-2</v>
      </c>
      <c r="ED178">
        <v>0.53096407252841804</v>
      </c>
      <c r="EE178">
        <v>9.1325000000000003</v>
      </c>
      <c r="EF178">
        <v>9.1007999999999996</v>
      </c>
      <c r="EG178">
        <v>26.144052666666667</v>
      </c>
      <c r="EH178" s="13" t="s">
        <v>5091</v>
      </c>
      <c r="EI178">
        <v>0</v>
      </c>
      <c r="EJ178">
        <v>0</v>
      </c>
      <c r="EK178">
        <v>45470</v>
      </c>
      <c r="EL178">
        <v>-0.41</v>
      </c>
      <c r="EM178">
        <v>-4.08</v>
      </c>
      <c r="EN178">
        <v>1.87</v>
      </c>
      <c r="EO178">
        <v>2.48</v>
      </c>
      <c r="EP178">
        <v>-3.17</v>
      </c>
    </row>
    <row r="179" spans="1:146" ht="108">
      <c r="A179" s="7"/>
      <c r="B179" s="7"/>
      <c r="C179" s="7" t="str">
        <f>""&amp;CHAR(10)&amp;Basic_Fundamental_Information_Constructure(F179)&amp;CHAR(10)&amp;Basic_Fundamental_Information_Concatenate("")</f>
        <v xml:space="preserve">
市值57.332288亿, 利润-1.88亿; PE42.21; 平均PE98.26; 平均PEG2.26, PB1.96; ROIC5.05%; ROE6.2%; 股利率1.1502%; 毛利18.4033%; 净利4.9933%; 上一年度营收增118.69%, 利润增-227.03%; 当季营收增-49.51%, 利润增573.9%; 过往5年营收增43.54%, 利润增-29.42%
Income profile:
</v>
      </c>
      <c r="D179" t="s">
        <v>356</v>
      </c>
      <c r="E179" t="s">
        <v>53</v>
      </c>
      <c r="F179">
        <v>15.65</v>
      </c>
      <c r="G179">
        <v>-3.99</v>
      </c>
      <c r="H179" t="s">
        <v>6163</v>
      </c>
      <c r="I179">
        <v>5733228800</v>
      </c>
      <c r="J179">
        <v>42.21</v>
      </c>
      <c r="K179">
        <v>1.96</v>
      </c>
      <c r="L179" t="s">
        <v>85</v>
      </c>
      <c r="M179" t="s">
        <v>2102</v>
      </c>
      <c r="N179" t="s">
        <v>6164</v>
      </c>
      <c r="O179" t="s">
        <v>132</v>
      </c>
      <c r="P179">
        <v>-4.5999999999999996</v>
      </c>
      <c r="Q179" t="s">
        <v>6165</v>
      </c>
      <c r="R179">
        <v>37827452</v>
      </c>
      <c r="S179" s="5">
        <v>-5.8400000000000001E-2</v>
      </c>
      <c r="T179" t="s">
        <v>6166</v>
      </c>
      <c r="U179">
        <v>366202770</v>
      </c>
      <c r="V179">
        <v>366340500</v>
      </c>
      <c r="W179">
        <v>1.72</v>
      </c>
      <c r="X179">
        <v>0.16</v>
      </c>
      <c r="Y179">
        <v>4.92</v>
      </c>
      <c r="Z179" t="s">
        <v>86</v>
      </c>
      <c r="AA179" t="s">
        <v>1952</v>
      </c>
      <c r="AB179" t="s">
        <v>6167</v>
      </c>
      <c r="AC179" t="s">
        <v>6168</v>
      </c>
      <c r="AD179" t="s">
        <v>90</v>
      </c>
      <c r="AE179">
        <v>3639177</v>
      </c>
      <c r="AF179" t="s">
        <v>3210</v>
      </c>
      <c r="AG179" t="s">
        <v>6169</v>
      </c>
      <c r="AH179" t="s">
        <v>3211</v>
      </c>
      <c r="AI179" t="s">
        <v>988</v>
      </c>
      <c r="AJ179" t="s">
        <v>3212</v>
      </c>
      <c r="AK179" t="s">
        <v>6170</v>
      </c>
      <c r="AL179" t="s">
        <v>3213</v>
      </c>
      <c r="AM179" t="s">
        <v>90</v>
      </c>
      <c r="AN179" t="s">
        <v>308</v>
      </c>
      <c r="AO179" t="s">
        <v>6171</v>
      </c>
      <c r="AP179" t="s">
        <v>373</v>
      </c>
      <c r="AQ179" t="s">
        <v>1780</v>
      </c>
      <c r="AR179" t="s">
        <v>6172</v>
      </c>
      <c r="AS179" t="s">
        <v>6173</v>
      </c>
      <c r="AT179" t="s">
        <v>685</v>
      </c>
      <c r="AU179" t="s">
        <v>6174</v>
      </c>
      <c r="AV179" t="s">
        <v>6175</v>
      </c>
      <c r="AW179" t="s">
        <v>355</v>
      </c>
      <c r="AX179" t="s">
        <v>2008</v>
      </c>
      <c r="AY179" t="s">
        <v>1361</v>
      </c>
      <c r="AZ179" t="s">
        <v>94</v>
      </c>
      <c r="BA179" t="s">
        <v>357</v>
      </c>
      <c r="BB179" t="s">
        <v>234</v>
      </c>
      <c r="BC179" t="s">
        <v>502</v>
      </c>
      <c r="BD179" t="s">
        <v>296</v>
      </c>
      <c r="BE179" t="s">
        <v>991</v>
      </c>
      <c r="BF179" t="s">
        <v>249</v>
      </c>
      <c r="BG179" t="s">
        <v>249</v>
      </c>
      <c r="BH179" t="s">
        <v>3209</v>
      </c>
      <c r="BI179" t="s">
        <v>1781</v>
      </c>
      <c r="BJ179" t="s">
        <v>2008</v>
      </c>
      <c r="BK179" t="s">
        <v>486</v>
      </c>
      <c r="BL179" t="s">
        <v>6176</v>
      </c>
      <c r="BM179" t="s">
        <v>502</v>
      </c>
      <c r="BN179">
        <v>3.96</v>
      </c>
      <c r="BO179">
        <v>5.69</v>
      </c>
      <c r="BP179">
        <v>5.5</v>
      </c>
      <c r="BQ179">
        <v>4.99</v>
      </c>
      <c r="BR179">
        <v>6.97</v>
      </c>
      <c r="BS179">
        <v>6.64</v>
      </c>
      <c r="BT179" t="s">
        <v>1703</v>
      </c>
      <c r="BU179" t="s">
        <v>1337</v>
      </c>
      <c r="BV179">
        <v>17.54</v>
      </c>
      <c r="BW179">
        <v>17.78</v>
      </c>
      <c r="BX179">
        <v>19.89</v>
      </c>
      <c r="BY179">
        <v>4.63</v>
      </c>
      <c r="BZ179">
        <v>4.96</v>
      </c>
      <c r="CA179">
        <v>5.39</v>
      </c>
      <c r="CB179">
        <v>-4.57</v>
      </c>
      <c r="CC179">
        <v>-9.75</v>
      </c>
      <c r="CD179" t="s">
        <v>6177</v>
      </c>
      <c r="CE179" t="s">
        <v>401</v>
      </c>
      <c r="CF179" s="8">
        <v>-0.49510124101894187</v>
      </c>
      <c r="CG179" s="9">
        <v>5.7390173163258025</v>
      </c>
      <c r="CH179" s="8">
        <v>1.1868749856948853</v>
      </c>
      <c r="CI179" s="8">
        <v>0.32067680358886719</v>
      </c>
      <c r="CJ179" s="8">
        <v>0.38141393661499023</v>
      </c>
      <c r="CK179" s="8">
        <v>-3.5203520208597183E-2</v>
      </c>
      <c r="CL179" s="8">
        <v>0.32314410805702209</v>
      </c>
      <c r="CM179" s="9">
        <v>-2.2702703475952148</v>
      </c>
      <c r="CN179" s="9">
        <v>0.19354838132858276</v>
      </c>
      <c r="CO179" s="9">
        <v>0.99677294492721558</v>
      </c>
      <c r="CP179" s="9">
        <v>-0.39117449522018433</v>
      </c>
      <c r="CQ179" s="9">
        <v>0</v>
      </c>
      <c r="CR179">
        <v>98.255793055816582</v>
      </c>
      <c r="CS179">
        <v>2.2567758758227456</v>
      </c>
      <c r="CT179">
        <v>1.1501597444089458</v>
      </c>
      <c r="CU179" s="8">
        <v>0.43538126274943351</v>
      </c>
      <c r="CV179" s="9">
        <v>-0.29422470331192019</v>
      </c>
      <c r="CW179">
        <v>0.06</v>
      </c>
      <c r="CX179" t="e">
        <v>#VALUE!</v>
      </c>
      <c r="CY179" t="s">
        <v>1391</v>
      </c>
      <c r="CZ179">
        <v>0.43538126274943351</v>
      </c>
      <c r="DA179" t="e">
        <v>#VALUE!</v>
      </c>
      <c r="DB179" t="s">
        <v>1391</v>
      </c>
      <c r="DC179">
        <v>0.41361219961196183</v>
      </c>
      <c r="DD179" t="e">
        <v>#VALUE!</v>
      </c>
      <c r="DE179" t="s">
        <v>1391</v>
      </c>
      <c r="DF179">
        <v>0.38313551121950151</v>
      </c>
      <c r="DG179" t="e">
        <v>#VALUE!</v>
      </c>
      <c r="DH179" t="s">
        <v>1391</v>
      </c>
      <c r="DI179">
        <v>0.34830501019954685</v>
      </c>
      <c r="DJ179" t="e">
        <v>#VALUE!</v>
      </c>
      <c r="DK179" t="s">
        <v>1391</v>
      </c>
      <c r="DL179">
        <v>0.30476688392460344</v>
      </c>
      <c r="DM179">
        <v>-188000000</v>
      </c>
      <c r="DN179">
        <v>0.43538126274943351</v>
      </c>
      <c r="DO179">
        <v>4458228800</v>
      </c>
      <c r="DP179">
        <v>916798900</v>
      </c>
      <c r="DQ179">
        <v>4243</v>
      </c>
      <c r="DR179">
        <v>-0.93048250376837538</v>
      </c>
      <c r="DS179">
        <v>6.033242019637723</v>
      </c>
      <c r="DT179" s="10">
        <v>0.27666666666666662</v>
      </c>
      <c r="DU179">
        <v>-0.66999999999999993</v>
      </c>
      <c r="DV179">
        <v>-0.39333333333333331</v>
      </c>
      <c r="DW179">
        <v>-8.4687179487179485</v>
      </c>
      <c r="DX179">
        <v>0.48204456928839023</v>
      </c>
      <c r="DY179">
        <v>-8.0431429417074813</v>
      </c>
      <c r="DZ179">
        <v>3058</v>
      </c>
      <c r="EA179">
        <v>-8.0173247194488759</v>
      </c>
      <c r="EB179">
        <v>8</v>
      </c>
      <c r="EC179">
        <v>0.13416971369531897</v>
      </c>
      <c r="ED179">
        <v>1.4576602914501673</v>
      </c>
      <c r="EE179" s="11">
        <v>-2.0448</v>
      </c>
      <c r="EF179">
        <v>-2.00251</v>
      </c>
      <c r="EG179">
        <v>39.09204456928839</v>
      </c>
      <c r="EH179" t="s">
        <v>1735</v>
      </c>
      <c r="EI179">
        <v>0</v>
      </c>
      <c r="EJ179">
        <v>0</v>
      </c>
      <c r="EK179" s="13">
        <v>45470</v>
      </c>
      <c r="EL179" s="14">
        <v>3.75</v>
      </c>
      <c r="EM179" s="14">
        <v>-2.56</v>
      </c>
      <c r="EN179">
        <v>-6.72</v>
      </c>
      <c r="EO179">
        <v>1.49</v>
      </c>
      <c r="EP179">
        <v>-4.7300000000000004</v>
      </c>
    </row>
    <row r="180" spans="1:146" ht="108">
      <c r="A180" s="7"/>
      <c r="B180" s="7"/>
      <c r="C180" s="7" t="str">
        <f>""&amp;CHAR(10)&amp;Basic_Fundamental_Information_Constructure(F180)&amp;CHAR(10)&amp;Basic_Fundamental_Information_Concatenate("")</f>
        <v xml:space="preserve">
市值126.756777亿, 利润1.31亿; PE15.45; 平均PE34.09; 平均PEG10.89, PB3.2; ROIC11.5333%; ROE15.0433%; 股利率3.1194%; 毛利29.92%; 净利11.5%; 上一年度营收增-55.93%, 利润增-71.89%; 当季营收增335.9%, 利润增1822.5%; 过往5年营收增-3.13%, 利润增1.04%
Income profile:
</v>
      </c>
      <c r="D180" t="s">
        <v>360</v>
      </c>
      <c r="E180" t="s">
        <v>44</v>
      </c>
      <c r="F180">
        <v>16.670000000000002</v>
      </c>
      <c r="G180">
        <v>0.6</v>
      </c>
      <c r="H180" t="s">
        <v>6178</v>
      </c>
      <c r="I180">
        <v>12675677700</v>
      </c>
      <c r="J180">
        <v>15.45</v>
      </c>
      <c r="K180">
        <v>3.2</v>
      </c>
      <c r="L180" t="s">
        <v>85</v>
      </c>
      <c r="M180" t="s">
        <v>3214</v>
      </c>
      <c r="N180" t="s">
        <v>6179</v>
      </c>
      <c r="O180" t="s">
        <v>976</v>
      </c>
      <c r="P180">
        <v>24.54</v>
      </c>
      <c r="Q180" t="s">
        <v>6180</v>
      </c>
      <c r="R180">
        <v>196750300</v>
      </c>
      <c r="S180" s="5">
        <v>1.0049999999999999</v>
      </c>
      <c r="T180" t="s">
        <v>175</v>
      </c>
      <c r="U180">
        <v>749062000</v>
      </c>
      <c r="V180">
        <v>760388590</v>
      </c>
      <c r="W180">
        <v>1.95</v>
      </c>
      <c r="X180">
        <v>0.17</v>
      </c>
      <c r="Y180">
        <v>14.67</v>
      </c>
      <c r="Z180" t="s">
        <v>6181</v>
      </c>
      <c r="AA180" t="s">
        <v>546</v>
      </c>
      <c r="AB180" t="s">
        <v>597</v>
      </c>
      <c r="AC180" t="s">
        <v>6182</v>
      </c>
      <c r="AD180" t="s">
        <v>90</v>
      </c>
      <c r="AE180">
        <v>-974689</v>
      </c>
      <c r="AF180" t="s">
        <v>3216</v>
      </c>
      <c r="AG180" t="s">
        <v>6183</v>
      </c>
      <c r="AH180" t="s">
        <v>3217</v>
      </c>
      <c r="AI180" t="s">
        <v>6184</v>
      </c>
      <c r="AJ180" t="s">
        <v>3218</v>
      </c>
      <c r="AK180" t="s">
        <v>579</v>
      </c>
      <c r="AL180" t="s">
        <v>3219</v>
      </c>
      <c r="AM180" t="s">
        <v>90</v>
      </c>
      <c r="AN180" t="s">
        <v>6185</v>
      </c>
      <c r="AO180" t="s">
        <v>1463</v>
      </c>
      <c r="AP180" t="s">
        <v>786</v>
      </c>
      <c r="AQ180" t="s">
        <v>2089</v>
      </c>
      <c r="AR180" t="s">
        <v>90</v>
      </c>
      <c r="AS180" t="s">
        <v>2223</v>
      </c>
      <c r="AT180" t="s">
        <v>90</v>
      </c>
      <c r="AU180" t="s">
        <v>6186</v>
      </c>
      <c r="AV180" t="s">
        <v>2082</v>
      </c>
      <c r="AW180" t="s">
        <v>6187</v>
      </c>
      <c r="AX180" t="s">
        <v>2009</v>
      </c>
      <c r="AY180" t="s">
        <v>1362</v>
      </c>
      <c r="AZ180" t="s">
        <v>993</v>
      </c>
      <c r="BA180" t="s">
        <v>361</v>
      </c>
      <c r="BB180" t="s">
        <v>995</v>
      </c>
      <c r="BC180" t="s">
        <v>1834</v>
      </c>
      <c r="BD180" t="s">
        <v>156</v>
      </c>
      <c r="BE180" t="s">
        <v>350</v>
      </c>
      <c r="BF180" t="s">
        <v>362</v>
      </c>
      <c r="BG180" t="s">
        <v>797</v>
      </c>
      <c r="BH180" t="s">
        <v>3215</v>
      </c>
      <c r="BI180" t="s">
        <v>844</v>
      </c>
      <c r="BJ180" t="s">
        <v>2009</v>
      </c>
      <c r="BK180" t="s">
        <v>692</v>
      </c>
      <c r="BL180" t="s">
        <v>6188</v>
      </c>
      <c r="BM180" t="s">
        <v>1834</v>
      </c>
      <c r="BN180">
        <v>12.06</v>
      </c>
      <c r="BO180">
        <v>11.95</v>
      </c>
      <c r="BP180">
        <v>10.59</v>
      </c>
      <c r="BQ180">
        <v>16.98</v>
      </c>
      <c r="BR180">
        <v>15.09</v>
      </c>
      <c r="BS180">
        <v>13.06</v>
      </c>
      <c r="BT180" t="s">
        <v>3220</v>
      </c>
      <c r="BU180" t="s">
        <v>1337</v>
      </c>
      <c r="BV180">
        <v>31.4</v>
      </c>
      <c r="BW180">
        <v>30.51</v>
      </c>
      <c r="BX180">
        <v>27.85</v>
      </c>
      <c r="BY180">
        <v>13.24</v>
      </c>
      <c r="BZ180">
        <v>11.68</v>
      </c>
      <c r="CA180">
        <v>9.58</v>
      </c>
      <c r="CB180">
        <v>-2.63</v>
      </c>
      <c r="CC180">
        <v>-18.36</v>
      </c>
      <c r="CD180" t="s">
        <v>6189</v>
      </c>
      <c r="CE180" t="s">
        <v>1541</v>
      </c>
      <c r="CF180" s="8">
        <v>3.358974358974359</v>
      </c>
      <c r="CG180" s="9">
        <v>18.224973373330336</v>
      </c>
      <c r="CH180" s="8">
        <v>-0.55925107002258301</v>
      </c>
      <c r="CI180" s="8">
        <v>2.4482633918523788E-2</v>
      </c>
      <c r="CJ180" s="8">
        <v>9.0858995914459229E-2</v>
      </c>
      <c r="CK180" s="8">
        <v>0.18809293210506439</v>
      </c>
      <c r="CL180" s="8">
        <v>9.9244877696037292E-2</v>
      </c>
      <c r="CM180" s="9">
        <v>-0.71888411045074463</v>
      </c>
      <c r="CN180" s="9">
        <v>0.23607426881790161</v>
      </c>
      <c r="CO180" s="9">
        <v>-0.28598484396934509</v>
      </c>
      <c r="CP180" s="9">
        <v>0.16043956577777863</v>
      </c>
      <c r="CQ180" s="9">
        <v>0.66058391332626343</v>
      </c>
      <c r="CR180">
        <v>34.089675571492606</v>
      </c>
      <c r="CS180">
        <v>10.886287473313818</v>
      </c>
      <c r="CT180">
        <v>3.1193761247750449</v>
      </c>
      <c r="CU180" s="8">
        <v>-3.1314326077699663E-2</v>
      </c>
      <c r="CV180" s="9">
        <v>1.0445758700370789E-2</v>
      </c>
      <c r="CW180">
        <v>0.06</v>
      </c>
      <c r="CX180">
        <v>96.867768702290078</v>
      </c>
      <c r="CY180" t="s">
        <v>6190</v>
      </c>
      <c r="CZ180">
        <v>-3.1314326077699663E-2</v>
      </c>
      <c r="DA180">
        <v>32.28925623409669</v>
      </c>
      <c r="DB180" t="s">
        <v>6191</v>
      </c>
      <c r="DC180">
        <v>-2.9748609773814678E-2</v>
      </c>
      <c r="DD180">
        <v>16.144628117048345</v>
      </c>
      <c r="DE180" t="s">
        <v>6192</v>
      </c>
      <c r="DF180">
        <v>-2.7556606948375702E-2</v>
      </c>
      <c r="DG180">
        <v>9.6867768702290071</v>
      </c>
      <c r="DH180" t="s">
        <v>6193</v>
      </c>
      <c r="DI180">
        <v>-2.505146086215973E-2</v>
      </c>
      <c r="DJ180">
        <v>4.8433884351145036</v>
      </c>
      <c r="DK180" t="s">
        <v>6194</v>
      </c>
      <c r="DL180">
        <v>-2.1920028254389764E-2</v>
      </c>
      <c r="DM180">
        <v>131000000</v>
      </c>
      <c r="DN180">
        <v>-3.1314326077699663E-2</v>
      </c>
      <c r="DO180">
        <v>12689677700</v>
      </c>
      <c r="DP180">
        <v>2422482800</v>
      </c>
      <c r="DQ180">
        <v>4264</v>
      </c>
      <c r="DR180">
        <v>3.3902886850520586</v>
      </c>
      <c r="DS180">
        <v>18.214527614629965</v>
      </c>
      <c r="DT180" s="10">
        <v>-0.49</v>
      </c>
      <c r="DU180">
        <v>0</v>
      </c>
      <c r="DV180">
        <v>-0.49</v>
      </c>
      <c r="DW180">
        <v>-8.1432461873638342</v>
      </c>
      <c r="DX180">
        <v>0.31771818181818234</v>
      </c>
      <c r="DY180">
        <v>-8.0254574519706878</v>
      </c>
      <c r="DZ180">
        <v>1695</v>
      </c>
      <c r="EA180">
        <v>-8.0170131503874558</v>
      </c>
      <c r="EB180">
        <v>8</v>
      </c>
      <c r="EC180">
        <v>3.8563834841340794E-2</v>
      </c>
      <c r="ED180">
        <v>0.21699431339441849</v>
      </c>
      <c r="EE180" s="11">
        <v>-2.0251999999999999</v>
      </c>
      <c r="EF180">
        <v>-2.0104000000000002</v>
      </c>
      <c r="EG180">
        <v>14.177718181818182</v>
      </c>
      <c r="EH180" t="s">
        <v>1793</v>
      </c>
      <c r="EI180">
        <v>0</v>
      </c>
      <c r="EJ180">
        <v>0</v>
      </c>
      <c r="EK180" s="13">
        <v>45470</v>
      </c>
      <c r="EL180" s="14">
        <v>-1.04</v>
      </c>
      <c r="EM180" s="14">
        <v>-4.21</v>
      </c>
      <c r="EN180">
        <v>0.88</v>
      </c>
      <c r="EO180">
        <v>3.27</v>
      </c>
      <c r="EP180">
        <v>-1.48</v>
      </c>
    </row>
    <row r="181" spans="1:146" ht="108">
      <c r="C181" s="7" t="str">
        <f>""&amp;CHAR(10)&amp;Basic_Fundamental_Information_Constructure(F181)&amp;CHAR(10)&amp;Basic_Fundamental_Information_Concatenate("")</f>
        <v xml:space="preserve">
市值18.779561亿, 利润1995.90万; PE14.15; 平均PE11.23; 平均PEG5.32, PB1.17; ROIC9.2067%; ROE9.6133%; 股利率3.2468%; 毛利29.2567%; 净利9.69%; 上一年度营收增-58.33%, 利润增-84.16%; 当季营收增69.59%, 利润增73.48%; 过往5年营收增-2.11%, 利润增-12.19%
Income profile:
</v>
      </c>
      <c r="D181" t="s">
        <v>6195</v>
      </c>
      <c r="E181" t="s">
        <v>6196</v>
      </c>
      <c r="F181">
        <v>9.24</v>
      </c>
      <c r="G181">
        <v>1.54</v>
      </c>
      <c r="H181" t="s">
        <v>6197</v>
      </c>
      <c r="I181">
        <v>1877956100</v>
      </c>
      <c r="J181">
        <v>14.15</v>
      </c>
      <c r="K181">
        <v>1.17</v>
      </c>
      <c r="L181" t="s">
        <v>85</v>
      </c>
      <c r="M181" t="s">
        <v>200</v>
      </c>
      <c r="N181" t="s">
        <v>6198</v>
      </c>
      <c r="O181" t="s">
        <v>190</v>
      </c>
      <c r="P181" s="5">
        <v>-19.48</v>
      </c>
      <c r="Q181" t="s">
        <v>786</v>
      </c>
      <c r="R181">
        <v>11682795</v>
      </c>
      <c r="S181">
        <v>0.1416</v>
      </c>
      <c r="T181" t="s">
        <v>6199</v>
      </c>
      <c r="U181">
        <v>203242000</v>
      </c>
      <c r="V181">
        <v>203242000</v>
      </c>
      <c r="W181">
        <v>1.35</v>
      </c>
      <c r="X181">
        <v>0.11</v>
      </c>
      <c r="Y181">
        <v>4.6399999999999997</v>
      </c>
      <c r="Z181" t="s">
        <v>1466</v>
      </c>
      <c r="AA181" t="s">
        <v>288</v>
      </c>
      <c r="AB181" t="s">
        <v>6200</v>
      </c>
      <c r="AC181" t="s">
        <v>6201</v>
      </c>
      <c r="AD181" t="s">
        <v>90</v>
      </c>
      <c r="AE181">
        <v>-1399918</v>
      </c>
      <c r="AF181" t="s">
        <v>6202</v>
      </c>
      <c r="AG181" t="s">
        <v>6203</v>
      </c>
      <c r="AH181" t="s">
        <v>6204</v>
      </c>
      <c r="AI181" t="s">
        <v>242</v>
      </c>
      <c r="AJ181" t="s">
        <v>6205</v>
      </c>
      <c r="AK181" t="s">
        <v>6206</v>
      </c>
      <c r="AL181" t="s">
        <v>6207</v>
      </c>
      <c r="AM181" t="s">
        <v>90</v>
      </c>
      <c r="AN181" t="s">
        <v>6208</v>
      </c>
      <c r="AO181" t="s">
        <v>215</v>
      </c>
      <c r="AP181" t="s">
        <v>183</v>
      </c>
      <c r="AQ181" t="s">
        <v>1451</v>
      </c>
      <c r="AR181" t="s">
        <v>90</v>
      </c>
      <c r="AS181" t="s">
        <v>2044</v>
      </c>
      <c r="AT181" t="s">
        <v>90</v>
      </c>
      <c r="AU181" t="s">
        <v>3226</v>
      </c>
      <c r="AV181" t="s">
        <v>6209</v>
      </c>
      <c r="AW181" t="s">
        <v>6210</v>
      </c>
      <c r="AX181" t="s">
        <v>6211</v>
      </c>
      <c r="AY181" t="s">
        <v>6212</v>
      </c>
      <c r="AZ181" t="s">
        <v>6213</v>
      </c>
      <c r="BA181" t="s">
        <v>4482</v>
      </c>
      <c r="BB181" t="s">
        <v>1463</v>
      </c>
      <c r="BC181" t="s">
        <v>191</v>
      </c>
      <c r="BD181" t="s">
        <v>226</v>
      </c>
      <c r="BE181" t="s">
        <v>722</v>
      </c>
      <c r="BF181" t="s">
        <v>218</v>
      </c>
      <c r="BG181" t="s">
        <v>394</v>
      </c>
      <c r="BH181" t="s">
        <v>6180</v>
      </c>
      <c r="BI181" t="s">
        <v>502</v>
      </c>
      <c r="BJ181" t="s">
        <v>6211</v>
      </c>
      <c r="BK181" t="s">
        <v>175</v>
      </c>
      <c r="BL181" t="s">
        <v>6214</v>
      </c>
      <c r="BM181" t="s">
        <v>191</v>
      </c>
      <c r="BN181">
        <v>4.87</v>
      </c>
      <c r="BO181">
        <v>7.76</v>
      </c>
      <c r="BP181">
        <v>14.99</v>
      </c>
      <c r="BQ181">
        <v>5.29</v>
      </c>
      <c r="BR181">
        <v>8.07</v>
      </c>
      <c r="BS181">
        <v>15.48</v>
      </c>
      <c r="BT181" t="s">
        <v>1720</v>
      </c>
      <c r="BU181" t="s">
        <v>3551</v>
      </c>
      <c r="BV181">
        <v>28.69</v>
      </c>
      <c r="BW181">
        <v>28.35</v>
      </c>
      <c r="BX181">
        <v>30.73</v>
      </c>
      <c r="BY181">
        <v>7.33</v>
      </c>
      <c r="BZ181">
        <v>8.08</v>
      </c>
      <c r="CA181">
        <v>13.66</v>
      </c>
      <c r="CB181">
        <v>-1.49</v>
      </c>
      <c r="CC181" s="8">
        <v>-9.68</v>
      </c>
      <c r="CD181" s="9" t="s">
        <v>6215</v>
      </c>
      <c r="CE181" s="8" t="s">
        <v>6216</v>
      </c>
      <c r="CF181" s="8">
        <v>0.69594594594594572</v>
      </c>
      <c r="CG181" s="8">
        <v>0.73484526744082446</v>
      </c>
      <c r="CH181" s="8">
        <v>-0.58327978849411011</v>
      </c>
      <c r="CI181" s="8">
        <v>-9.4350606203079224E-2</v>
      </c>
      <c r="CJ181" s="9">
        <v>7.9874254763126373E-2</v>
      </c>
      <c r="CK181" s="9">
        <v>0.15973736345767975</v>
      </c>
      <c r="CL181" s="9">
        <v>0.33236157894134521</v>
      </c>
      <c r="CM181" s="9">
        <v>-0.84159523248672485</v>
      </c>
      <c r="CN181" s="9">
        <v>-0.46382978558540344</v>
      </c>
      <c r="CO181">
        <v>-0.13919414579868317</v>
      </c>
      <c r="CP181">
        <v>0.28773584961891174</v>
      </c>
      <c r="CQ181">
        <v>0.54744523763656616</v>
      </c>
      <c r="CR181" s="8">
        <v>11.234493733043923</v>
      </c>
      <c r="CS181" s="9">
        <v>5.316482925509332</v>
      </c>
      <c r="CT181">
        <v>3.2467532467532467</v>
      </c>
      <c r="CU181">
        <v>-2.1131439507007597E-2</v>
      </c>
      <c r="CV181">
        <v>-0.12188761532306672</v>
      </c>
      <c r="CW181">
        <v>0.06</v>
      </c>
      <c r="CX181">
        <v>47.445067388145702</v>
      </c>
      <c r="CY181" t="s">
        <v>6217</v>
      </c>
      <c r="CZ181">
        <v>-2.1131439507007597E-2</v>
      </c>
      <c r="DA181">
        <v>15.815022462715232</v>
      </c>
      <c r="DB181" t="s">
        <v>6218</v>
      </c>
      <c r="DC181">
        <v>-2.0074867531657218E-2</v>
      </c>
      <c r="DD181">
        <v>7.9075112313576161</v>
      </c>
      <c r="DE181" t="s">
        <v>6219</v>
      </c>
      <c r="DF181">
        <v>-1.8595666766166686E-2</v>
      </c>
      <c r="DG181">
        <v>4.7445067388145699</v>
      </c>
      <c r="DH181" t="s">
        <v>6220</v>
      </c>
      <c r="DI181">
        <v>-1.6905151605606079E-2</v>
      </c>
      <c r="DJ181">
        <v>2.3722533694072849</v>
      </c>
      <c r="DK181" t="s">
        <v>6221</v>
      </c>
      <c r="DL181">
        <v>-1.4792007654905317E-2</v>
      </c>
      <c r="DM181">
        <v>19959000</v>
      </c>
      <c r="DN181">
        <v>-2.1131439507007597E-2</v>
      </c>
      <c r="DO181">
        <v>946956100</v>
      </c>
      <c r="DP181">
        <v>933730200</v>
      </c>
      <c r="DQ181" s="10">
        <v>4265</v>
      </c>
      <c r="DR181">
        <v>0.7170773854529533</v>
      </c>
      <c r="DS181">
        <v>0.85673288276389115</v>
      </c>
      <c r="DT181">
        <v>-0.39000000000000007</v>
      </c>
      <c r="DU181">
        <v>-0.26666666666666666</v>
      </c>
      <c r="DV181">
        <v>-0.65666666666666673</v>
      </c>
      <c r="DW181">
        <v>-2.0968</v>
      </c>
      <c r="DX181">
        <v>0.28816787140823596</v>
      </c>
      <c r="DY181">
        <v>-2.0114386499523169</v>
      </c>
      <c r="DZ181">
        <v>2402</v>
      </c>
      <c r="EA181">
        <v>-2.0060618129297212</v>
      </c>
      <c r="EB181" s="11">
        <v>2</v>
      </c>
      <c r="EC181" s="11">
        <v>2.1033546215841213E-2</v>
      </c>
      <c r="ED181">
        <v>0.17799716594011081</v>
      </c>
      <c r="EE181">
        <v>1.0848</v>
      </c>
      <c r="EF181">
        <v>1.0521</v>
      </c>
      <c r="EG181">
        <v>17.118167871408236</v>
      </c>
      <c r="EH181" s="13" t="s">
        <v>1725</v>
      </c>
      <c r="EI181">
        <v>0</v>
      </c>
      <c r="EJ181">
        <v>0</v>
      </c>
      <c r="EK181">
        <v>45470</v>
      </c>
      <c r="EL181">
        <v>-0.63</v>
      </c>
      <c r="EM181">
        <v>-6.14</v>
      </c>
      <c r="EN181">
        <v>1.1499999999999999</v>
      </c>
      <c r="EO181">
        <v>1.62</v>
      </c>
      <c r="EP181">
        <v>-3.27</v>
      </c>
    </row>
    <row r="182" spans="1:146" ht="96">
      <c r="A182" s="7"/>
      <c r="B182" s="7"/>
      <c r="C182" s="7" t="str">
        <f>""&amp;CHAR(10)&amp;Basic_Fundamental_Information_Constructure(F182)&amp;CHAR(10)&amp;Basic_Fundamental_Information_Concatenate("")</f>
        <v xml:space="preserve">
市值30.1233亿, 利润2.61亿; PE11.33; 平均PE14.8; 平均PEG1.54, PB1.83; ROIC12.8733%; ROE15.3833%; 股利率5.534%; 毛利28.88%; 净利13.47%; 上一年度营收增3.69%, 利润增0%; 当季营收增-16.31%, 利润增-32.75%; 过往5年营收增9.63%, 利润增14.58%
Income profile:
</v>
      </c>
      <c r="D182" t="s">
        <v>561</v>
      </c>
      <c r="E182" t="s">
        <v>62</v>
      </c>
      <c r="F182">
        <v>18.07</v>
      </c>
      <c r="G182">
        <v>-0.44</v>
      </c>
      <c r="H182" t="s">
        <v>6222</v>
      </c>
      <c r="I182">
        <v>3012330000</v>
      </c>
      <c r="J182">
        <v>11.33</v>
      </c>
      <c r="K182">
        <v>1.83</v>
      </c>
      <c r="L182" t="s">
        <v>85</v>
      </c>
      <c r="M182" t="s">
        <v>3221</v>
      </c>
      <c r="N182" t="s">
        <v>6223</v>
      </c>
      <c r="O182" t="s">
        <v>566</v>
      </c>
      <c r="P182">
        <v>-23.51</v>
      </c>
      <c r="Q182" t="s">
        <v>2102</v>
      </c>
      <c r="R182">
        <v>40827156</v>
      </c>
      <c r="S182" s="5">
        <v>-0.32229999999999998</v>
      </c>
      <c r="T182" t="s">
        <v>702</v>
      </c>
      <c r="U182">
        <v>166703380</v>
      </c>
      <c r="V182">
        <v>166703380</v>
      </c>
      <c r="W182">
        <v>1.53</v>
      </c>
      <c r="X182">
        <v>0.11</v>
      </c>
      <c r="Y182">
        <v>14.21</v>
      </c>
      <c r="Z182" t="s">
        <v>226</v>
      </c>
      <c r="AA182" t="s">
        <v>158</v>
      </c>
      <c r="AB182" t="s">
        <v>6224</v>
      </c>
      <c r="AC182" t="s">
        <v>6225</v>
      </c>
      <c r="AD182" t="s">
        <v>90</v>
      </c>
      <c r="AE182">
        <v>-1534540</v>
      </c>
      <c r="AF182" t="s">
        <v>182</v>
      </c>
      <c r="AG182" t="s">
        <v>6226</v>
      </c>
      <c r="AH182" t="s">
        <v>3223</v>
      </c>
      <c r="AI182" t="s">
        <v>1609</v>
      </c>
      <c r="AJ182" t="s">
        <v>3224</v>
      </c>
      <c r="AK182" t="s">
        <v>6227</v>
      </c>
      <c r="AL182" t="s">
        <v>3225</v>
      </c>
      <c r="AM182" t="s">
        <v>90</v>
      </c>
      <c r="AN182" t="s">
        <v>491</v>
      </c>
      <c r="AO182" t="s">
        <v>90</v>
      </c>
      <c r="AP182" t="s">
        <v>6228</v>
      </c>
      <c r="AQ182" t="s">
        <v>933</v>
      </c>
      <c r="AR182" t="s">
        <v>90</v>
      </c>
      <c r="AS182" t="s">
        <v>4676</v>
      </c>
      <c r="AT182" t="s">
        <v>90</v>
      </c>
      <c r="AU182" t="s">
        <v>6229</v>
      </c>
      <c r="AV182" t="s">
        <v>6230</v>
      </c>
      <c r="AW182" t="s">
        <v>6231</v>
      </c>
      <c r="AX182" t="s">
        <v>1773</v>
      </c>
      <c r="AY182" t="s">
        <v>777</v>
      </c>
      <c r="AZ182" t="s">
        <v>997</v>
      </c>
      <c r="BA182" t="s">
        <v>482</v>
      </c>
      <c r="BB182" t="s">
        <v>623</v>
      </c>
      <c r="BC182" t="s">
        <v>702</v>
      </c>
      <c r="BD182" t="s">
        <v>314</v>
      </c>
      <c r="BE182" t="s">
        <v>909</v>
      </c>
      <c r="BF182" t="s">
        <v>136</v>
      </c>
      <c r="BG182" t="s">
        <v>247</v>
      </c>
      <c r="BH182" t="s">
        <v>2037</v>
      </c>
      <c r="BI182" t="s">
        <v>2146</v>
      </c>
      <c r="BJ182" t="s">
        <v>1773</v>
      </c>
      <c r="BK182" t="s">
        <v>1715</v>
      </c>
      <c r="BL182" t="s">
        <v>6232</v>
      </c>
      <c r="BM182" t="s">
        <v>702</v>
      </c>
      <c r="BN182">
        <v>11.78</v>
      </c>
      <c r="BO182">
        <v>15.93</v>
      </c>
      <c r="BP182">
        <v>10.91</v>
      </c>
      <c r="BQ182">
        <v>15.42</v>
      </c>
      <c r="BR182">
        <v>18.940000000000001</v>
      </c>
      <c r="BS182">
        <v>11.79</v>
      </c>
      <c r="BT182" t="s">
        <v>1700</v>
      </c>
      <c r="BU182" t="s">
        <v>1381</v>
      </c>
      <c r="BV182">
        <v>31.97</v>
      </c>
      <c r="BW182">
        <v>29.36</v>
      </c>
      <c r="BX182">
        <v>25.31</v>
      </c>
      <c r="BY182">
        <v>14.95</v>
      </c>
      <c r="BZ182">
        <v>15.54</v>
      </c>
      <c r="CA182">
        <v>9.92</v>
      </c>
      <c r="CB182">
        <v>-5.39</v>
      </c>
      <c r="CC182">
        <v>-11.94</v>
      </c>
      <c r="CD182" t="s">
        <v>6233</v>
      </c>
      <c r="CE182" t="s">
        <v>6234</v>
      </c>
      <c r="CF182" s="8">
        <v>-0.16314199395770393</v>
      </c>
      <c r="CG182" s="9">
        <v>-0.32753959194967813</v>
      </c>
      <c r="CH182" s="8">
        <v>3.6948747932910919E-2</v>
      </c>
      <c r="CI182" s="8">
        <v>0.13072776794433594</v>
      </c>
      <c r="CJ182" s="8">
        <v>5.0247747451066971E-2</v>
      </c>
      <c r="CK182" s="8">
        <v>0.24493379890918732</v>
      </c>
      <c r="CL182" s="8">
        <v>1.8851045519113541E-2</v>
      </c>
      <c r="CM182" s="9">
        <v>0</v>
      </c>
      <c r="CN182" s="9">
        <v>0.77551019191741943</v>
      </c>
      <c r="CO182" s="9">
        <v>-0.30985915660858154</v>
      </c>
      <c r="CP182" s="9">
        <v>0.24561403691768646</v>
      </c>
      <c r="CQ182" s="9">
        <v>1.785714365541935E-2</v>
      </c>
      <c r="CR182">
        <v>14.802604422604423</v>
      </c>
      <c r="CS182">
        <v>1.5364671525043589</v>
      </c>
      <c r="CT182">
        <v>5.5340343110127286</v>
      </c>
      <c r="CU182" s="8">
        <v>9.634182155132294E-2</v>
      </c>
      <c r="CV182" s="9">
        <v>0.14582444317638873</v>
      </c>
      <c r="CW182">
        <v>0.06</v>
      </c>
      <c r="CX182">
        <v>8.332446853810163</v>
      </c>
      <c r="CY182">
        <v>269948316.43858045</v>
      </c>
      <c r="CZ182">
        <v>9.634182155132294E-2</v>
      </c>
      <c r="DA182">
        <v>2.7083928440584297</v>
      </c>
      <c r="DB182">
        <v>830503597.33983767</v>
      </c>
      <c r="DC182">
        <v>9.1524730473756782E-2</v>
      </c>
      <c r="DD182">
        <v>1.3237220683582385</v>
      </c>
      <c r="DE182">
        <v>1699246430.7781448</v>
      </c>
      <c r="DF182">
        <v>8.4780802965164187E-2</v>
      </c>
      <c r="DG182">
        <v>0.78847576967945088</v>
      </c>
      <c r="DH182">
        <v>2852757290.0743022</v>
      </c>
      <c r="DI182">
        <v>7.7073457241058352E-2</v>
      </c>
      <c r="DJ182">
        <v>0.40007166904334501</v>
      </c>
      <c r="DK182">
        <v>5622317634.684351</v>
      </c>
      <c r="DL182">
        <v>6.7439275085926051E-2</v>
      </c>
      <c r="DM182">
        <v>261000000</v>
      </c>
      <c r="DN182">
        <v>9.634182155132294E-2</v>
      </c>
      <c r="DO182">
        <v>2249330000</v>
      </c>
      <c r="DP182">
        <v>1198485800</v>
      </c>
      <c r="DQ182">
        <v>4292</v>
      </c>
      <c r="DR182">
        <v>-0.25948381550902688</v>
      </c>
      <c r="DS182">
        <v>-0.47336403512606684</v>
      </c>
      <c r="DT182" s="10">
        <v>-0.32333333333333336</v>
      </c>
      <c r="DU182">
        <v>6.3333333333333311E-2</v>
      </c>
      <c r="DV182">
        <v>-0.26000000000000006</v>
      </c>
      <c r="DW182">
        <v>-8.4514237855946401</v>
      </c>
      <c r="DX182">
        <v>0.34253747170160675</v>
      </c>
      <c r="DY182">
        <v>-8.0598305672086816</v>
      </c>
      <c r="DZ182">
        <v>425</v>
      </c>
      <c r="EA182">
        <v>-8.054854443712852</v>
      </c>
      <c r="EB182">
        <v>8</v>
      </c>
      <c r="EC182">
        <v>1.8894038021304668E-2</v>
      </c>
      <c r="ED182">
        <v>0.14255619772076608</v>
      </c>
      <c r="EE182" s="11">
        <v>-1.0838000000000001</v>
      </c>
      <c r="EF182">
        <v>-1.0567</v>
      </c>
      <c r="EG182">
        <v>21.132537471701607</v>
      </c>
      <c r="EH182" t="s">
        <v>1730</v>
      </c>
      <c r="EI182">
        <v>0</v>
      </c>
      <c r="EJ182">
        <v>1</v>
      </c>
      <c r="EK182" s="13">
        <v>45470</v>
      </c>
      <c r="EL182" s="14">
        <v>1.05</v>
      </c>
      <c r="EM182" s="14">
        <v>-4.92</v>
      </c>
      <c r="EN182">
        <v>2.59</v>
      </c>
      <c r="EO182">
        <v>2.79</v>
      </c>
      <c r="EP182">
        <v>-2.71</v>
      </c>
    </row>
    <row r="183" spans="1:146" ht="108">
      <c r="A183" s="7"/>
      <c r="B183" s="7"/>
      <c r="C183" s="7" t="str">
        <f>""&amp;CHAR(10)&amp;Basic_Fundamental_Information_Constructure(F183)&amp;CHAR(10)&amp;Basic_Fundamental_Information_Concatenate("")</f>
        <v xml:space="preserve">
市值32.01896亿, 利润3.96亿; PE95.83; 平均PE23.28; 平均PEG.34, PB1.73; ROIC3.1%; ROE4.5133%; 股利率1.3536%; 毛利28.3733%; 净利8.0533%; 上一年度营收增325.6%, 利润增984.87%; 当季营收增-81.79%, 利润增-97.1%; 过往5年营收增68.65%, 利润增183.47%
Income profile:
</v>
      </c>
      <c r="D183" t="s">
        <v>1104</v>
      </c>
      <c r="E183" t="s">
        <v>1105</v>
      </c>
      <c r="F183">
        <v>5.91</v>
      </c>
      <c r="G183">
        <v>0.85</v>
      </c>
      <c r="H183" t="s">
        <v>6235</v>
      </c>
      <c r="I183">
        <v>3201896000</v>
      </c>
      <c r="J183">
        <v>95.83</v>
      </c>
      <c r="K183">
        <v>1.73</v>
      </c>
      <c r="L183" t="s">
        <v>85</v>
      </c>
      <c r="M183" t="s">
        <v>472</v>
      </c>
      <c r="N183" t="s">
        <v>6236</v>
      </c>
      <c r="O183" t="s">
        <v>282</v>
      </c>
      <c r="P183">
        <v>2.64</v>
      </c>
      <c r="Q183" t="s">
        <v>3233</v>
      </c>
      <c r="R183">
        <v>2335202</v>
      </c>
      <c r="S183" s="5">
        <v>-0.45569999999999999</v>
      </c>
      <c r="T183" t="s">
        <v>1876</v>
      </c>
      <c r="U183">
        <v>541775970</v>
      </c>
      <c r="V183">
        <v>541775970</v>
      </c>
      <c r="W183">
        <v>1.76</v>
      </c>
      <c r="X183">
        <v>0.04</v>
      </c>
      <c r="Y183">
        <v>2.0699999999999998</v>
      </c>
      <c r="Z183" t="s">
        <v>109</v>
      </c>
      <c r="AA183" t="s">
        <v>6237</v>
      </c>
      <c r="AB183" t="s">
        <v>6238</v>
      </c>
      <c r="AC183" t="s">
        <v>6239</v>
      </c>
      <c r="AD183" t="s">
        <v>90</v>
      </c>
      <c r="AE183">
        <v>-2583709</v>
      </c>
      <c r="AF183" t="s">
        <v>3229</v>
      </c>
      <c r="AG183" t="s">
        <v>6240</v>
      </c>
      <c r="AH183" t="s">
        <v>3230</v>
      </c>
      <c r="AI183" t="s">
        <v>3319</v>
      </c>
      <c r="AJ183" t="s">
        <v>3231</v>
      </c>
      <c r="AK183" t="s">
        <v>6241</v>
      </c>
      <c r="AL183" t="s">
        <v>3232</v>
      </c>
      <c r="AM183" t="s">
        <v>90</v>
      </c>
      <c r="AN183" t="s">
        <v>478</v>
      </c>
      <c r="AO183" t="s">
        <v>1224</v>
      </c>
      <c r="AP183" t="s">
        <v>6242</v>
      </c>
      <c r="AQ183" t="s">
        <v>227</v>
      </c>
      <c r="AR183" t="s">
        <v>90</v>
      </c>
      <c r="AS183" t="s">
        <v>4135</v>
      </c>
      <c r="AT183" t="s">
        <v>90</v>
      </c>
      <c r="AU183" t="s">
        <v>6243</v>
      </c>
      <c r="AV183" t="s">
        <v>6244</v>
      </c>
      <c r="AW183" t="s">
        <v>1397</v>
      </c>
      <c r="AX183" t="s">
        <v>624</v>
      </c>
      <c r="AY183" t="s">
        <v>200</v>
      </c>
      <c r="AZ183" t="s">
        <v>624</v>
      </c>
      <c r="BA183" t="s">
        <v>747</v>
      </c>
      <c r="BB183" t="s">
        <v>511</v>
      </c>
      <c r="BC183" t="s">
        <v>2010</v>
      </c>
      <c r="BD183" t="s">
        <v>1363</v>
      </c>
      <c r="BE183" t="s">
        <v>274</v>
      </c>
      <c r="BF183" t="s">
        <v>1106</v>
      </c>
      <c r="BG183" t="s">
        <v>189</v>
      </c>
      <c r="BH183" t="s">
        <v>3227</v>
      </c>
      <c r="BI183" t="s">
        <v>1081</v>
      </c>
      <c r="BJ183" t="s">
        <v>624</v>
      </c>
      <c r="BK183" t="s">
        <v>3228</v>
      </c>
      <c r="BL183" t="s">
        <v>3240</v>
      </c>
      <c r="BM183" t="s">
        <v>2010</v>
      </c>
      <c r="BN183">
        <v>0.49</v>
      </c>
      <c r="BO183">
        <v>2.56</v>
      </c>
      <c r="BP183">
        <v>6.25</v>
      </c>
      <c r="BQ183">
        <v>1.27</v>
      </c>
      <c r="BR183">
        <v>3.62</v>
      </c>
      <c r="BS183">
        <v>8.65</v>
      </c>
      <c r="BT183" t="s">
        <v>2543</v>
      </c>
      <c r="BU183" t="s">
        <v>1449</v>
      </c>
      <c r="BV183">
        <v>25.41</v>
      </c>
      <c r="BW183">
        <v>26.65</v>
      </c>
      <c r="BX183">
        <v>33.06</v>
      </c>
      <c r="BY183">
        <v>5.55</v>
      </c>
      <c r="BZ183">
        <v>5.84</v>
      </c>
      <c r="CA183">
        <v>12.77</v>
      </c>
      <c r="CB183">
        <v>-1.5</v>
      </c>
      <c r="CC183">
        <v>-10.99</v>
      </c>
      <c r="CD183" t="s">
        <v>6245</v>
      </c>
      <c r="CE183" t="s">
        <v>706</v>
      </c>
      <c r="CF183" s="8">
        <v>-0.8178913738019169</v>
      </c>
      <c r="CG183" s="9">
        <v>-0.97095162215247899</v>
      </c>
      <c r="CH183" s="8">
        <v>3.2560000419616699</v>
      </c>
      <c r="CI183" s="8">
        <v>-6.2968514859676361E-2</v>
      </c>
      <c r="CJ183" s="8">
        <v>6.719999760389328E-2</v>
      </c>
      <c r="CK183" s="8">
        <v>-2.1909233182668686E-2</v>
      </c>
      <c r="CL183" s="8">
        <v>0.19439251720905304</v>
      </c>
      <c r="CM183" s="9">
        <v>9.8486614227294922</v>
      </c>
      <c r="CN183" s="9">
        <v>-0.57130074501037598</v>
      </c>
      <c r="CO183" s="9">
        <v>-0.26597931981086731</v>
      </c>
      <c r="CP183" s="9">
        <v>0.37159612774848938</v>
      </c>
      <c r="CQ183" s="9">
        <v>-0.2095981240272522</v>
      </c>
      <c r="CR183">
        <v>23.280263143863415</v>
      </c>
      <c r="CS183">
        <v>0.33909404714662272</v>
      </c>
      <c r="CT183">
        <v>1.3536379018612521</v>
      </c>
      <c r="CU183" s="8">
        <v>0.68654296174645424</v>
      </c>
      <c r="CV183" s="9">
        <v>1.8346758723258971</v>
      </c>
      <c r="CW183">
        <v>0.06</v>
      </c>
      <c r="CX183">
        <v>3.7867338323335304</v>
      </c>
      <c r="CY183">
        <v>630066993.25622249</v>
      </c>
      <c r="CZ183">
        <v>0.68654296174645424</v>
      </c>
      <c r="DA183">
        <v>0.77490715336771487</v>
      </c>
      <c r="DB183">
        <v>3078944347.8886385</v>
      </c>
      <c r="DC183">
        <v>0.6522158136591315</v>
      </c>
      <c r="DD183">
        <v>0.18558076837103218</v>
      </c>
      <c r="DE183">
        <v>12856375264.218494</v>
      </c>
      <c r="DF183">
        <v>0.60415780633687977</v>
      </c>
      <c r="DG183">
        <v>4.3764303812538076E-2</v>
      </c>
      <c r="DH183">
        <v>54516941711.671021</v>
      </c>
      <c r="DI183">
        <v>0.54923436939716341</v>
      </c>
      <c r="DJ183">
        <v>2.144847114643E-3</v>
      </c>
      <c r="DK183">
        <v>1112385113004.7195</v>
      </c>
      <c r="DL183">
        <v>0.48058007322251795</v>
      </c>
      <c r="DM183">
        <v>396000000</v>
      </c>
      <c r="DN183">
        <v>0.68654296174645424</v>
      </c>
      <c r="DO183">
        <v>2385896000</v>
      </c>
      <c r="DP183">
        <v>1484131400</v>
      </c>
      <c r="DQ183">
        <v>4375</v>
      </c>
      <c r="DR183">
        <v>-1.5044343355483711</v>
      </c>
      <c r="DS183">
        <v>-2.8056274944783759</v>
      </c>
      <c r="DT183" s="10">
        <v>-4.0000000000000036E-2</v>
      </c>
      <c r="DU183">
        <v>-0.40666666666666673</v>
      </c>
      <c r="DV183">
        <v>-0.44666666666666677</v>
      </c>
      <c r="DW183">
        <v>-2.1099000000000001</v>
      </c>
      <c r="DX183">
        <v>0.29663259668508274</v>
      </c>
      <c r="DY183">
        <v>-2.0128179223756906</v>
      </c>
      <c r="DZ183">
        <v>1860</v>
      </c>
      <c r="EA183">
        <v>-2.0081522989669267</v>
      </c>
      <c r="EB183">
        <v>2</v>
      </c>
      <c r="EC183">
        <v>3.8965367917665306E-2</v>
      </c>
      <c r="ED183">
        <v>0.33408643059602661</v>
      </c>
      <c r="EE183" s="11">
        <v>-4.0099099999999996</v>
      </c>
      <c r="EF183">
        <v>-4.0626100000000003</v>
      </c>
      <c r="EG183">
        <v>18.116632596685083</v>
      </c>
      <c r="EH183" t="s">
        <v>2124</v>
      </c>
      <c r="EI183">
        <v>0</v>
      </c>
      <c r="EJ183">
        <v>0</v>
      </c>
      <c r="EK183" s="13">
        <v>45470</v>
      </c>
      <c r="EL183" s="14">
        <v>-4.55</v>
      </c>
      <c r="EM183" s="14">
        <v>-6.61</v>
      </c>
      <c r="EN183">
        <v>0.38</v>
      </c>
      <c r="EO183">
        <v>1.69</v>
      </c>
      <c r="EP183">
        <v>-5.27</v>
      </c>
    </row>
    <row r="184" spans="1:146" ht="108">
      <c r="A184" s="7"/>
      <c r="B184" s="7"/>
      <c r="C184" s="7" t="str">
        <f>""&amp;CHAR(10)&amp;Basic_Fundamental_Information_Constructure(F184)&amp;CHAR(10)&amp;Basic_Fundamental_Information_Concatenate("")</f>
        <v xml:space="preserve">
市值65.069254亿, 利润1.60亿; PE17.13; 平均PE20.58; 平均PEG1.26, PB1.78; ROIC12.22%; ROE12.7067%; 股利率2.0346%; 毛利26.6233%; 净利15.23%; 上一年度营收增32.81%, 利润增-61.35%; 当季营收增-12.16%, 利润增59.93%; 过往5年营收增16.34%, 利润增2.73%
Income profile:
</v>
      </c>
      <c r="D184" t="s">
        <v>366</v>
      </c>
      <c r="E184" t="s">
        <v>367</v>
      </c>
      <c r="F184">
        <v>9.83</v>
      </c>
      <c r="G184">
        <v>0.72</v>
      </c>
      <c r="H184" t="s">
        <v>6246</v>
      </c>
      <c r="I184">
        <v>6506925400</v>
      </c>
      <c r="J184">
        <v>17.13</v>
      </c>
      <c r="K184">
        <v>1.78</v>
      </c>
      <c r="L184" t="s">
        <v>85</v>
      </c>
      <c r="M184" t="s">
        <v>729</v>
      </c>
      <c r="N184" t="s">
        <v>6247</v>
      </c>
      <c r="O184" t="s">
        <v>2016</v>
      </c>
      <c r="P184">
        <v>-6.48</v>
      </c>
      <c r="Q184" t="s">
        <v>6248</v>
      </c>
      <c r="R184">
        <v>64645049</v>
      </c>
      <c r="S184" s="5">
        <v>-0.19589999999999999</v>
      </c>
      <c r="T184" t="s">
        <v>373</v>
      </c>
      <c r="U184">
        <v>656632480</v>
      </c>
      <c r="V184">
        <v>661945620</v>
      </c>
      <c r="W184">
        <v>1.34</v>
      </c>
      <c r="X184">
        <v>0.12</v>
      </c>
      <c r="Y184">
        <v>11.02</v>
      </c>
      <c r="Z184" t="s">
        <v>960</v>
      </c>
      <c r="AA184" t="s">
        <v>115</v>
      </c>
      <c r="AB184" t="s">
        <v>6249</v>
      </c>
      <c r="AC184" t="s">
        <v>6250</v>
      </c>
      <c r="AD184" t="s">
        <v>90</v>
      </c>
      <c r="AE184">
        <v>-1358898</v>
      </c>
      <c r="AF184" t="s">
        <v>3235</v>
      </c>
      <c r="AG184" t="s">
        <v>6251</v>
      </c>
      <c r="AH184" t="s">
        <v>3236</v>
      </c>
      <c r="AI184" t="s">
        <v>6252</v>
      </c>
      <c r="AJ184" t="s">
        <v>3237</v>
      </c>
      <c r="AK184" t="s">
        <v>6253</v>
      </c>
      <c r="AL184" t="s">
        <v>3238</v>
      </c>
      <c r="AM184" t="s">
        <v>90</v>
      </c>
      <c r="AN184" t="s">
        <v>6254</v>
      </c>
      <c r="AO184" t="s">
        <v>90</v>
      </c>
      <c r="AP184" t="s">
        <v>2591</v>
      </c>
      <c r="AQ184" t="s">
        <v>224</v>
      </c>
      <c r="AR184" t="s">
        <v>6255</v>
      </c>
      <c r="AS184" t="s">
        <v>6256</v>
      </c>
      <c r="AT184" t="s">
        <v>90</v>
      </c>
      <c r="AU184" t="s">
        <v>6257</v>
      </c>
      <c r="AV184" t="s">
        <v>6258</v>
      </c>
      <c r="AW184" t="s">
        <v>6259</v>
      </c>
      <c r="AX184" t="s">
        <v>2012</v>
      </c>
      <c r="AY184" t="s">
        <v>1364</v>
      </c>
      <c r="AZ184" t="s">
        <v>999</v>
      </c>
      <c r="BA184" t="s">
        <v>368</v>
      </c>
      <c r="BB184" t="s">
        <v>1000</v>
      </c>
      <c r="BC184" t="s">
        <v>1574</v>
      </c>
      <c r="BD184" t="s">
        <v>284</v>
      </c>
      <c r="BE184" t="s">
        <v>620</v>
      </c>
      <c r="BF184" t="s">
        <v>369</v>
      </c>
      <c r="BG184" t="s">
        <v>197</v>
      </c>
      <c r="BH184" t="s">
        <v>3233</v>
      </c>
      <c r="BI184" t="s">
        <v>1409</v>
      </c>
      <c r="BJ184" t="s">
        <v>2012</v>
      </c>
      <c r="BK184" t="s">
        <v>1876</v>
      </c>
      <c r="BL184" t="s">
        <v>6260</v>
      </c>
      <c r="BM184" t="s">
        <v>1574</v>
      </c>
      <c r="BN184">
        <v>7.4</v>
      </c>
      <c r="BO184">
        <v>12.76</v>
      </c>
      <c r="BP184">
        <v>16.5</v>
      </c>
      <c r="BQ184">
        <v>7.93</v>
      </c>
      <c r="BR184">
        <v>13.32</v>
      </c>
      <c r="BS184">
        <v>16.87</v>
      </c>
      <c r="BT184" t="s">
        <v>1694</v>
      </c>
      <c r="BU184" t="s">
        <v>1337</v>
      </c>
      <c r="BV184">
        <v>26.01</v>
      </c>
      <c r="BW184">
        <v>26.74</v>
      </c>
      <c r="BX184">
        <v>27.12</v>
      </c>
      <c r="BY184">
        <v>14.78</v>
      </c>
      <c r="BZ184">
        <v>15.27</v>
      </c>
      <c r="CA184">
        <v>15.64</v>
      </c>
      <c r="CB184">
        <v>-4.47</v>
      </c>
      <c r="CC184">
        <v>-31.45</v>
      </c>
      <c r="CD184" t="s">
        <v>6261</v>
      </c>
      <c r="CE184" t="s">
        <v>502</v>
      </c>
      <c r="CF184" s="8">
        <v>-0.12162162162162163</v>
      </c>
      <c r="CG184" s="9">
        <v>0.59926992004274937</v>
      </c>
      <c r="CH184" s="8">
        <v>0.32814246416091919</v>
      </c>
      <c r="CI184" s="8">
        <v>-8.3899475634098053E-2</v>
      </c>
      <c r="CJ184" s="8">
        <v>0.34798535704612732</v>
      </c>
      <c r="CK184" s="8">
        <v>0.15189872682094574</v>
      </c>
      <c r="CL184" s="8">
        <v>7.3005057871341705E-2</v>
      </c>
      <c r="CM184" s="9">
        <v>-0.61352658271789551</v>
      </c>
      <c r="CN184" s="9">
        <v>-0.10389610379934311</v>
      </c>
      <c r="CO184" s="9">
        <v>0.28690809011459351</v>
      </c>
      <c r="CP184" s="9">
        <v>0.26408451795578003</v>
      </c>
      <c r="CQ184" s="9">
        <v>0.302752286195755</v>
      </c>
      <c r="CR184">
        <v>20.580681286241433</v>
      </c>
      <c r="CS184">
        <v>1.2593239528814681</v>
      </c>
      <c r="CT184">
        <v>2.0345879959308242</v>
      </c>
      <c r="CU184" s="8">
        <v>0.16342642605304719</v>
      </c>
      <c r="CV184" s="9">
        <v>2.7264441549777984E-2</v>
      </c>
      <c r="CW184">
        <v>0.06</v>
      </c>
      <c r="CX184">
        <v>24.263357048512582</v>
      </c>
      <c r="CY184">
        <v>175611536.00800711</v>
      </c>
      <c r="CZ184">
        <v>0.16342642605304719</v>
      </c>
      <c r="DA184">
        <v>7.4549941901580787</v>
      </c>
      <c r="DB184">
        <v>571553148.30763805</v>
      </c>
      <c r="DC184">
        <v>0.15525510475039483</v>
      </c>
      <c r="DD184">
        <v>3.372067596224956</v>
      </c>
      <c r="DE184">
        <v>1263594301.8372836</v>
      </c>
      <c r="DF184">
        <v>0.14381525492668154</v>
      </c>
      <c r="DG184">
        <v>1.8349221794032933</v>
      </c>
      <c r="DH184">
        <v>2322128669.9938579</v>
      </c>
      <c r="DI184">
        <v>0.13074114084243776</v>
      </c>
      <c r="DJ184">
        <v>0.75544973517267178</v>
      </c>
      <c r="DK184">
        <v>5640250041.2897606</v>
      </c>
      <c r="DL184">
        <v>0.11439849823713302</v>
      </c>
      <c r="DM184">
        <v>160000000</v>
      </c>
      <c r="DN184">
        <v>0.16342642605304719</v>
      </c>
      <c r="DO184">
        <v>4260925400.0000005</v>
      </c>
      <c r="DP184">
        <v>2070620700</v>
      </c>
      <c r="DQ184">
        <v>4376</v>
      </c>
      <c r="DR184">
        <v>-0.28504804767466885</v>
      </c>
      <c r="DS184">
        <v>0.57200547849297134</v>
      </c>
      <c r="DT184" s="10">
        <v>-2.3333333333333355E-2</v>
      </c>
      <c r="DU184">
        <v>1.6666666666666607E-2</v>
      </c>
      <c r="DV184">
        <v>-6.6666666666667478E-3</v>
      </c>
      <c r="DW184">
        <v>-8.1421303656597779</v>
      </c>
      <c r="DX184">
        <v>0.35666351351351355</v>
      </c>
      <c r="DY184">
        <v>-8.0279518570876114</v>
      </c>
      <c r="DZ184">
        <v>2950</v>
      </c>
      <c r="EA184">
        <v>-8.011815266401026</v>
      </c>
      <c r="EB184">
        <v>8</v>
      </c>
      <c r="EC184">
        <v>4.3970681458697466E-2</v>
      </c>
      <c r="ED184">
        <v>0.2235833209380553</v>
      </c>
      <c r="EE184" s="11">
        <v>-2.1074099999999998</v>
      </c>
      <c r="EF184">
        <v>-2.1250100000000001</v>
      </c>
      <c r="EG184">
        <v>16.196663513513514</v>
      </c>
      <c r="EH184" t="s">
        <v>1735</v>
      </c>
      <c r="EI184">
        <v>0</v>
      </c>
      <c r="EJ184">
        <v>0</v>
      </c>
      <c r="EK184" s="13">
        <v>45470</v>
      </c>
      <c r="EL184" s="14">
        <v>1.59</v>
      </c>
      <c r="EM184" s="14">
        <v>-4.28</v>
      </c>
      <c r="EN184">
        <v>1.83</v>
      </c>
      <c r="EO184">
        <v>2.1</v>
      </c>
      <c r="EP184">
        <v>-1.76</v>
      </c>
    </row>
    <row r="185" spans="1:146" ht="108">
      <c r="A185" s="7"/>
      <c r="B185" s="7"/>
      <c r="C185" s="7" t="str">
        <f>""&amp;CHAR(10)&amp;Basic_Fundamental_Information_Constructure(F185)&amp;CHAR(10)&amp;Basic_Fundamental_Information_Concatenate("")</f>
        <v xml:space="preserve">
市值39.233668亿, 利润2.25亿; PE22.12; 平均PE25.34; 平均PEG.38, PB1.73; ROIC5.8133%; ROE6.0333%; 股利率1.5251%; 毛利13.9867%; 净利5.2367%; 上一年度营收增324.51%, 利润增116.35%; 当季营收增-79.81%, 利润增-26.65%; 过往5年营收增67.15%, 利润增17.52%
Income profile:
</v>
      </c>
      <c r="D185" t="s">
        <v>625</v>
      </c>
      <c r="E185" t="s">
        <v>6262</v>
      </c>
      <c r="F185">
        <v>4.59</v>
      </c>
      <c r="G185">
        <v>-0.65</v>
      </c>
      <c r="H185" t="s">
        <v>6263</v>
      </c>
      <c r="I185">
        <v>3923366800</v>
      </c>
      <c r="J185">
        <v>22.12</v>
      </c>
      <c r="K185">
        <v>1.73</v>
      </c>
      <c r="L185" t="s">
        <v>85</v>
      </c>
      <c r="M185" t="s">
        <v>1800</v>
      </c>
      <c r="N185" t="s">
        <v>2852</v>
      </c>
      <c r="O185" t="s">
        <v>568</v>
      </c>
      <c r="P185">
        <v>-1.77</v>
      </c>
      <c r="Q185" t="s">
        <v>6264</v>
      </c>
      <c r="R185">
        <v>39345865</v>
      </c>
      <c r="S185" s="5">
        <v>0.17380000000000001</v>
      </c>
      <c r="T185" t="s">
        <v>349</v>
      </c>
      <c r="U185">
        <v>841598800</v>
      </c>
      <c r="V185">
        <v>854764000</v>
      </c>
      <c r="W185">
        <v>1.46</v>
      </c>
      <c r="X185">
        <v>0.14000000000000001</v>
      </c>
      <c r="Y185">
        <v>8.42</v>
      </c>
      <c r="Z185" t="s">
        <v>2083</v>
      </c>
      <c r="AA185" t="s">
        <v>1217</v>
      </c>
      <c r="AB185" t="s">
        <v>6265</v>
      </c>
      <c r="AC185" t="s">
        <v>6266</v>
      </c>
      <c r="AD185" t="s">
        <v>90</v>
      </c>
      <c r="AE185">
        <v>3098199</v>
      </c>
      <c r="AF185" t="s">
        <v>182</v>
      </c>
      <c r="AG185" t="s">
        <v>6267</v>
      </c>
      <c r="AH185" t="s">
        <v>3243</v>
      </c>
      <c r="AI185" t="s">
        <v>349</v>
      </c>
      <c r="AJ185" t="s">
        <v>3244</v>
      </c>
      <c r="AK185" t="s">
        <v>120</v>
      </c>
      <c r="AL185" t="s">
        <v>3245</v>
      </c>
      <c r="AM185" t="s">
        <v>90</v>
      </c>
      <c r="AN185" t="s">
        <v>6268</v>
      </c>
      <c r="AO185" t="s">
        <v>555</v>
      </c>
      <c r="AP185" t="s">
        <v>763</v>
      </c>
      <c r="AQ185" t="s">
        <v>6269</v>
      </c>
      <c r="AR185" t="s">
        <v>90</v>
      </c>
      <c r="AS185" t="s">
        <v>3285</v>
      </c>
      <c r="AT185" t="s">
        <v>90</v>
      </c>
      <c r="AU185" t="s">
        <v>89</v>
      </c>
      <c r="AV185" t="s">
        <v>6270</v>
      </c>
      <c r="AW185" t="s">
        <v>202</v>
      </c>
      <c r="AX185" t="s">
        <v>1596</v>
      </c>
      <c r="AY185" t="s">
        <v>1365</v>
      </c>
      <c r="AZ185" t="s">
        <v>1001</v>
      </c>
      <c r="BA185" t="s">
        <v>626</v>
      </c>
      <c r="BB185" t="s">
        <v>1002</v>
      </c>
      <c r="BC185" t="s">
        <v>121</v>
      </c>
      <c r="BD185" t="s">
        <v>314</v>
      </c>
      <c r="BE185" t="s">
        <v>394</v>
      </c>
      <c r="BF185" t="s">
        <v>479</v>
      </c>
      <c r="BG185" t="s">
        <v>104</v>
      </c>
      <c r="BH185" t="s">
        <v>3241</v>
      </c>
      <c r="BI185" t="s">
        <v>6271</v>
      </c>
      <c r="BJ185" t="s">
        <v>1596</v>
      </c>
      <c r="BK185" t="s">
        <v>236</v>
      </c>
      <c r="BL185" t="s">
        <v>6272</v>
      </c>
      <c r="BM185" t="s">
        <v>121</v>
      </c>
      <c r="BN185">
        <v>5.17</v>
      </c>
      <c r="BO185">
        <v>4.8499999999999996</v>
      </c>
      <c r="BP185">
        <v>7.42</v>
      </c>
      <c r="BQ185">
        <v>5.5</v>
      </c>
      <c r="BR185">
        <v>5.07</v>
      </c>
      <c r="BS185">
        <v>7.53</v>
      </c>
      <c r="BT185" t="s">
        <v>1822</v>
      </c>
      <c r="BU185" t="s">
        <v>1337</v>
      </c>
      <c r="BV185">
        <v>15.07</v>
      </c>
      <c r="BW185">
        <v>13.33</v>
      </c>
      <c r="BX185">
        <v>13.56</v>
      </c>
      <c r="BY185">
        <v>6.63</v>
      </c>
      <c r="BZ185">
        <v>4.1500000000000004</v>
      </c>
      <c r="CA185">
        <v>4.93</v>
      </c>
      <c r="CB185">
        <v>-6.13</v>
      </c>
      <c r="CC185">
        <v>-18.760000000000002</v>
      </c>
      <c r="CD185" t="s">
        <v>6273</v>
      </c>
      <c r="CE185" t="s">
        <v>2146</v>
      </c>
      <c r="CF185" s="8">
        <v>-0.7981220657276995</v>
      </c>
      <c r="CG185" s="9">
        <v>-0.26647181538874554</v>
      </c>
      <c r="CH185" s="8">
        <v>3.2451300621032715</v>
      </c>
      <c r="CI185" s="8">
        <v>-0.2177778035402298</v>
      </c>
      <c r="CJ185" s="8">
        <v>0.23191247880458832</v>
      </c>
      <c r="CK185" s="8">
        <v>-3.4000802785158157E-2</v>
      </c>
      <c r="CL185" s="8">
        <v>0.13216432929039001</v>
      </c>
      <c r="CM185" s="9">
        <v>1.1634615659713745</v>
      </c>
      <c r="CN185" s="9">
        <v>-0.29251700639724731</v>
      </c>
      <c r="CO185" s="9">
        <v>7.2992697358131409E-2</v>
      </c>
      <c r="CP185" s="9">
        <v>-0.17469879984855652</v>
      </c>
      <c r="CQ185" s="9">
        <v>0.10666666924953461</v>
      </c>
      <c r="CR185">
        <v>25.339290419806243</v>
      </c>
      <c r="CS185">
        <v>0.37736160579313249</v>
      </c>
      <c r="CT185">
        <v>1.5250544662309369</v>
      </c>
      <c r="CU185" s="8">
        <v>0.67148565277457239</v>
      </c>
      <c r="CV185" s="9">
        <v>0.17518102526664733</v>
      </c>
      <c r="CW185">
        <v>0.06</v>
      </c>
      <c r="CX185">
        <v>7.6589451445150898</v>
      </c>
      <c r="CY185">
        <v>354796482.90026295</v>
      </c>
      <c r="CZ185">
        <v>0.67148565277457239</v>
      </c>
      <c r="DA185">
        <v>1.584470404820552</v>
      </c>
      <c r="DB185">
        <v>1715000035.1743731</v>
      </c>
      <c r="DC185">
        <v>0.63791137013584376</v>
      </c>
      <c r="DD185">
        <v>0.38642793054205082</v>
      </c>
      <c r="DE185">
        <v>7032014472.1120205</v>
      </c>
      <c r="DF185">
        <v>0.59090737444162367</v>
      </c>
      <c r="DG185">
        <v>9.3412313929335647E-2</v>
      </c>
      <c r="DH185">
        <v>29090027702.938908</v>
      </c>
      <c r="DI185">
        <v>0.53718852221965796</v>
      </c>
      <c r="DJ185">
        <v>4.8710751648839016E-3</v>
      </c>
      <c r="DK185">
        <v>557857702461.62207</v>
      </c>
      <c r="DL185">
        <v>0.47003995694220063</v>
      </c>
      <c r="DM185">
        <v>225000000</v>
      </c>
      <c r="DN185">
        <v>0.67148565277457239</v>
      </c>
      <c r="DO185">
        <v>2717366800</v>
      </c>
      <c r="DP185">
        <v>1636976100</v>
      </c>
      <c r="DQ185">
        <v>4405</v>
      </c>
      <c r="DR185">
        <v>-1.4696077185022718</v>
      </c>
      <c r="DS185">
        <v>-0.4416528406553929</v>
      </c>
      <c r="DT185" s="10">
        <v>-0.1566666666666667</v>
      </c>
      <c r="DU185">
        <v>-0.15333333333333335</v>
      </c>
      <c r="DV185">
        <v>-0.31000000000000005</v>
      </c>
      <c r="DW185">
        <v>-9.3267590618336893</v>
      </c>
      <c r="DX185">
        <v>0.31114350453172268</v>
      </c>
      <c r="DY185">
        <v>-9.0461199191247044</v>
      </c>
      <c r="DZ185">
        <v>972</v>
      </c>
      <c r="EA185">
        <v>-9.0373472065240765</v>
      </c>
      <c r="EB185">
        <v>9</v>
      </c>
      <c r="EC185">
        <v>5.4656606969877064E-2</v>
      </c>
      <c r="ED185">
        <v>0.387241390606062</v>
      </c>
      <c r="EE185" s="11">
        <v>2.0145</v>
      </c>
      <c r="EF185">
        <v>2.0003000000000002</v>
      </c>
      <c r="EG185">
        <v>17.141143504531723</v>
      </c>
      <c r="EH185" t="s">
        <v>1732</v>
      </c>
      <c r="EI185">
        <v>0</v>
      </c>
      <c r="EJ185">
        <v>1</v>
      </c>
      <c r="EK185" s="13">
        <v>45470</v>
      </c>
      <c r="EL185" s="14">
        <v>0.11</v>
      </c>
      <c r="EM185" s="14">
        <v>-3.27</v>
      </c>
      <c r="EN185">
        <v>1.1499999999999999</v>
      </c>
      <c r="EO185">
        <v>0</v>
      </c>
      <c r="EP185">
        <v>-1.42</v>
      </c>
    </row>
    <row r="186" spans="1:146" ht="108">
      <c r="C186" s="7" t="str">
        <f>""&amp;CHAR(10)&amp;Basic_Fundamental_Information_Constructure(F186)&amp;CHAR(10)&amp;Basic_Fundamental_Information_Concatenate("")</f>
        <v xml:space="preserve">
市值41.878028亿, 利润1.33亿; PE45.26; 平均PE21.37; 平均PEG8.83, PB2.65; ROIC11.3533%; ROE11.38%; 股利率1.4735%; 毛利37.8333%; 净利8.12%; 上一年度营收增-49.06%, 利润增-35.75%; 当季营收增71.76%, 利润增-71.09%; 过往5年营收增-2.42%, 利润增-.71%
Income profile:
</v>
      </c>
      <c r="D186" t="s">
        <v>6274</v>
      </c>
      <c r="E186" t="s">
        <v>6275</v>
      </c>
      <c r="F186">
        <v>10.18</v>
      </c>
      <c r="G186">
        <v>-0.78</v>
      </c>
      <c r="H186" t="s">
        <v>6276</v>
      </c>
      <c r="I186">
        <v>4187802800</v>
      </c>
      <c r="J186">
        <v>45.26</v>
      </c>
      <c r="K186">
        <v>2.65</v>
      </c>
      <c r="L186" t="s">
        <v>85</v>
      </c>
      <c r="M186" t="s">
        <v>4482</v>
      </c>
      <c r="N186" t="s">
        <v>1849</v>
      </c>
      <c r="O186" t="s">
        <v>491</v>
      </c>
      <c r="P186" s="5">
        <v>17.37</v>
      </c>
      <c r="Q186" t="s">
        <v>2246</v>
      </c>
      <c r="R186">
        <v>8825270</v>
      </c>
      <c r="S186">
        <v>-0.31819999999999998</v>
      </c>
      <c r="T186" t="s">
        <v>333</v>
      </c>
      <c r="U186">
        <v>159972350</v>
      </c>
      <c r="V186">
        <v>411375520</v>
      </c>
      <c r="W186">
        <v>1.58</v>
      </c>
      <c r="X186">
        <v>0.16</v>
      </c>
      <c r="Y186">
        <v>1.82</v>
      </c>
      <c r="Z186" t="s">
        <v>145</v>
      </c>
      <c r="AA186" t="s">
        <v>1287</v>
      </c>
      <c r="AB186" t="s">
        <v>6277</v>
      </c>
      <c r="AC186" t="s">
        <v>6278</v>
      </c>
      <c r="AD186" t="s">
        <v>90</v>
      </c>
      <c r="AE186">
        <v>-3153646</v>
      </c>
      <c r="AF186" t="s">
        <v>6279</v>
      </c>
      <c r="AG186" t="s">
        <v>6280</v>
      </c>
      <c r="AH186" t="s">
        <v>6281</v>
      </c>
      <c r="AI186" t="s">
        <v>3926</v>
      </c>
      <c r="AJ186" t="s">
        <v>6282</v>
      </c>
      <c r="AK186" t="s">
        <v>6283</v>
      </c>
      <c r="AL186" t="s">
        <v>6284</v>
      </c>
      <c r="AM186" t="s">
        <v>90</v>
      </c>
      <c r="AN186" t="s">
        <v>6285</v>
      </c>
      <c r="AO186" t="s">
        <v>6286</v>
      </c>
      <c r="AP186" t="s">
        <v>6287</v>
      </c>
      <c r="AQ186" t="s">
        <v>606</v>
      </c>
      <c r="AR186" t="s">
        <v>129</v>
      </c>
      <c r="AS186" t="s">
        <v>1550</v>
      </c>
      <c r="AT186" t="s">
        <v>90</v>
      </c>
      <c r="AU186" t="s">
        <v>3304</v>
      </c>
      <c r="AV186" t="s">
        <v>6288</v>
      </c>
      <c r="AW186" t="s">
        <v>6289</v>
      </c>
      <c r="AX186" t="s">
        <v>6290</v>
      </c>
      <c r="AY186" t="s">
        <v>6291</v>
      </c>
      <c r="AZ186" t="s">
        <v>6071</v>
      </c>
      <c r="BA186" t="s">
        <v>6292</v>
      </c>
      <c r="BB186" t="s">
        <v>6293</v>
      </c>
      <c r="BC186" t="s">
        <v>260</v>
      </c>
      <c r="BD186" t="s">
        <v>441</v>
      </c>
      <c r="BE186" t="s">
        <v>1339</v>
      </c>
      <c r="BF186" t="s">
        <v>226</v>
      </c>
      <c r="BG186" t="s">
        <v>422</v>
      </c>
      <c r="BH186" t="s">
        <v>6294</v>
      </c>
      <c r="BI186" t="s">
        <v>415</v>
      </c>
      <c r="BJ186" t="s">
        <v>6290</v>
      </c>
      <c r="BK186" t="s">
        <v>6295</v>
      </c>
      <c r="BL186" t="s">
        <v>6296</v>
      </c>
      <c r="BM186" t="s">
        <v>260</v>
      </c>
      <c r="BN186">
        <v>3.78</v>
      </c>
      <c r="BO186">
        <v>13.84</v>
      </c>
      <c r="BP186">
        <v>16.440000000000001</v>
      </c>
      <c r="BQ186">
        <v>3.99</v>
      </c>
      <c r="BR186">
        <v>13.8</v>
      </c>
      <c r="BS186">
        <v>16.350000000000001</v>
      </c>
      <c r="BT186" t="s">
        <v>1695</v>
      </c>
      <c r="BU186" t="s">
        <v>3551</v>
      </c>
      <c r="BV186">
        <v>32.18</v>
      </c>
      <c r="BW186">
        <v>39.56</v>
      </c>
      <c r="BX186">
        <v>41.76</v>
      </c>
      <c r="BY186">
        <v>3.7</v>
      </c>
      <c r="BZ186">
        <v>10.28</v>
      </c>
      <c r="CA186">
        <v>10.38</v>
      </c>
      <c r="CB186">
        <v>-5.57</v>
      </c>
      <c r="CC186" s="8">
        <v>-23.63</v>
      </c>
      <c r="CD186" s="9" t="s">
        <v>6297</v>
      </c>
      <c r="CE186" s="8" t="s">
        <v>296</v>
      </c>
      <c r="CF186" s="8">
        <v>0.71764705882352964</v>
      </c>
      <c r="CG186" s="8">
        <v>-0.71089523098191065</v>
      </c>
      <c r="CH186" s="8">
        <v>-0.49058380722999573</v>
      </c>
      <c r="CI186" s="8">
        <v>6.5730087459087372E-2</v>
      </c>
      <c r="CJ186" s="9">
        <v>1.0044560767710209E-3</v>
      </c>
      <c r="CK186" s="9">
        <v>2.2073954343795776E-2</v>
      </c>
      <c r="CL186" s="9">
        <v>0.28073641657829285</v>
      </c>
      <c r="CM186" s="9">
        <v>-0.35748791694641113</v>
      </c>
      <c r="CN186" s="9">
        <v>4.0201004594564438E-2</v>
      </c>
      <c r="CO186">
        <v>-0.16386555135250092</v>
      </c>
      <c r="CP186">
        <v>1.2765957042574883E-2</v>
      </c>
      <c r="CQ186">
        <v>0.43292683362960815</v>
      </c>
      <c r="CR186" s="8">
        <v>21.366340816326531</v>
      </c>
      <c r="CS186" s="9">
        <v>8.8262294569091679</v>
      </c>
      <c r="CT186">
        <v>1.4734774066797642</v>
      </c>
      <c r="CU186">
        <v>-2.4207778554409743E-2</v>
      </c>
      <c r="CV186">
        <v>-7.0919346064329146E-3</v>
      </c>
      <c r="CW186">
        <v>0.06</v>
      </c>
      <c r="CX186">
        <v>29.727840601503761</v>
      </c>
      <c r="CY186" t="s">
        <v>6298</v>
      </c>
      <c r="CZ186">
        <v>-2.4207778554409743E-2</v>
      </c>
      <c r="DA186">
        <v>9.9092802005012537</v>
      </c>
      <c r="DB186" t="s">
        <v>6299</v>
      </c>
      <c r="DC186">
        <v>-2.2997389626689256E-2</v>
      </c>
      <c r="DD186">
        <v>4.9546401002506268</v>
      </c>
      <c r="DE186" t="s">
        <v>6300</v>
      </c>
      <c r="DF186">
        <v>-2.1302845127880575E-2</v>
      </c>
      <c r="DG186">
        <v>2.9727840601503761</v>
      </c>
      <c r="DH186" t="s">
        <v>6301</v>
      </c>
      <c r="DI186">
        <v>-1.9366222843527795E-2</v>
      </c>
      <c r="DJ186">
        <v>1.4863920300751881</v>
      </c>
      <c r="DK186" t="s">
        <v>6302</v>
      </c>
      <c r="DL186">
        <v>-1.6945444988086818E-2</v>
      </c>
      <c r="DM186">
        <v>133000000</v>
      </c>
      <c r="DN186">
        <v>-2.4207778554409743E-2</v>
      </c>
      <c r="DO186">
        <v>3953802800</v>
      </c>
      <c r="DP186">
        <v>1046031400</v>
      </c>
      <c r="DQ186" s="10">
        <v>4442</v>
      </c>
      <c r="DR186">
        <v>0.74185483737793934</v>
      </c>
      <c r="DS186">
        <v>-0.70380329637547778</v>
      </c>
      <c r="DT186">
        <v>-0.50666666666666671</v>
      </c>
      <c r="DU186">
        <v>-0.64</v>
      </c>
      <c r="DV186">
        <v>-1.1466666666666667</v>
      </c>
      <c r="DW186">
        <v>-8.2357173085061355</v>
      </c>
      <c r="DX186">
        <v>0.29100725806451494</v>
      </c>
      <c r="DY186">
        <v>-8.0214519859254914</v>
      </c>
      <c r="DZ186">
        <v>2224</v>
      </c>
      <c r="EA186">
        <v>-8.0121155443015599</v>
      </c>
      <c r="EB186" s="11">
        <v>8</v>
      </c>
      <c r="EC186" s="11">
        <v>2.7432113607537948E-2</v>
      </c>
      <c r="ED186">
        <v>0.30142775632346813</v>
      </c>
      <c r="EE186">
        <v>-3.0188100000000002</v>
      </c>
      <c r="EF186">
        <v>-3.0560100000000001</v>
      </c>
      <c r="EG186">
        <v>20.091007258064515</v>
      </c>
      <c r="EH186" s="13" t="s">
        <v>2117</v>
      </c>
      <c r="EI186">
        <v>0</v>
      </c>
      <c r="EJ186">
        <v>0</v>
      </c>
      <c r="EK186">
        <v>45470</v>
      </c>
      <c r="EL186">
        <v>2.02</v>
      </c>
      <c r="EM186">
        <v>-1.78</v>
      </c>
      <c r="EN186">
        <v>-4.5999999999999996</v>
      </c>
      <c r="EO186">
        <v>6.56</v>
      </c>
      <c r="EP186">
        <v>-3.72</v>
      </c>
    </row>
    <row r="187" spans="1:146" ht="108">
      <c r="A187" s="7"/>
      <c r="B187" s="7"/>
      <c r="C187" s="7" t="str">
        <f>""&amp;CHAR(10)&amp;Basic_Fundamental_Information_Constructure(F187)&amp;CHAR(10)&amp;Basic_Fundamental_Information_Concatenate("")</f>
        <v xml:space="preserve">
市值33.235155亿, 利润1.62亿; PE13.48; 平均PE18.67; 平均PEG.44, PB1.46; ROIC10.1167%; ROE10.5733%; 股利率2.5399%; 毛利36.0333%; 净利20.8567%; 上一年度营收增156.82%, 利润增-34.68%; 当季营收增-53.15%, 利润增-4.52%; 过往5年营收增42.22%, 利润增3.91%
Income profile:
</v>
      </c>
      <c r="D187" t="s">
        <v>1003</v>
      </c>
      <c r="E187" t="s">
        <v>6303</v>
      </c>
      <c r="F187">
        <v>13.78</v>
      </c>
      <c r="G187">
        <v>1.85</v>
      </c>
      <c r="H187" t="s">
        <v>6304</v>
      </c>
      <c r="I187">
        <v>3323515500</v>
      </c>
      <c r="J187">
        <v>13.48</v>
      </c>
      <c r="K187">
        <v>1.46</v>
      </c>
      <c r="L187" t="s">
        <v>85</v>
      </c>
      <c r="M187" t="s">
        <v>149</v>
      </c>
      <c r="N187" t="s">
        <v>6305</v>
      </c>
      <c r="O187" t="s">
        <v>1273</v>
      </c>
      <c r="P187">
        <v>3.43</v>
      </c>
      <c r="Q187" t="s">
        <v>4116</v>
      </c>
      <c r="R187">
        <v>51830618</v>
      </c>
      <c r="S187" s="5">
        <v>-8.4900000000000003E-2</v>
      </c>
      <c r="T187" t="s">
        <v>372</v>
      </c>
      <c r="U187">
        <v>240592000</v>
      </c>
      <c r="V187">
        <v>241184000</v>
      </c>
      <c r="W187">
        <v>1.2</v>
      </c>
      <c r="X187">
        <v>0.11</v>
      </c>
      <c r="Y187">
        <v>17.87</v>
      </c>
      <c r="Z187" t="s">
        <v>294</v>
      </c>
      <c r="AA187" t="s">
        <v>693</v>
      </c>
      <c r="AB187" t="s">
        <v>6306</v>
      </c>
      <c r="AC187" t="s">
        <v>6307</v>
      </c>
      <c r="AD187" t="s">
        <v>90</v>
      </c>
      <c r="AE187">
        <v>-5662721</v>
      </c>
      <c r="AF187" t="s">
        <v>3247</v>
      </c>
      <c r="AG187" t="s">
        <v>90</v>
      </c>
      <c r="AH187" t="s">
        <v>3248</v>
      </c>
      <c r="AI187" t="s">
        <v>4411</v>
      </c>
      <c r="AJ187" t="s">
        <v>3249</v>
      </c>
      <c r="AK187" t="s">
        <v>6308</v>
      </c>
      <c r="AL187" t="s">
        <v>3250</v>
      </c>
      <c r="AM187" t="s">
        <v>90</v>
      </c>
      <c r="AN187" t="s">
        <v>504</v>
      </c>
      <c r="AO187" t="s">
        <v>104</v>
      </c>
      <c r="AP187" t="s">
        <v>6309</v>
      </c>
      <c r="AQ187" t="s">
        <v>391</v>
      </c>
      <c r="AR187" t="s">
        <v>90</v>
      </c>
      <c r="AS187" t="s">
        <v>2196</v>
      </c>
      <c r="AT187" t="s">
        <v>90</v>
      </c>
      <c r="AU187" t="s">
        <v>6310</v>
      </c>
      <c r="AV187" t="s">
        <v>6311</v>
      </c>
      <c r="AW187" t="s">
        <v>6312</v>
      </c>
      <c r="AX187" t="s">
        <v>1462</v>
      </c>
      <c r="AY187" t="s">
        <v>1366</v>
      </c>
      <c r="AZ187" t="s">
        <v>558</v>
      </c>
      <c r="BA187" t="s">
        <v>874</v>
      </c>
      <c r="BB187" t="s">
        <v>794</v>
      </c>
      <c r="BC187" t="s">
        <v>287</v>
      </c>
      <c r="BD187" t="s">
        <v>101</v>
      </c>
      <c r="BE187" t="s">
        <v>535</v>
      </c>
      <c r="BF187" t="s">
        <v>304</v>
      </c>
      <c r="BG187" t="s">
        <v>101</v>
      </c>
      <c r="BH187" t="s">
        <v>1149</v>
      </c>
      <c r="BI187" t="s">
        <v>1407</v>
      </c>
      <c r="BJ187" t="s">
        <v>1462</v>
      </c>
      <c r="BK187" t="s">
        <v>190</v>
      </c>
      <c r="BL187" t="s">
        <v>6313</v>
      </c>
      <c r="BM187" t="s">
        <v>287</v>
      </c>
      <c r="BN187">
        <v>8.66</v>
      </c>
      <c r="BO187">
        <v>11.34</v>
      </c>
      <c r="BP187">
        <v>10.35</v>
      </c>
      <c r="BQ187">
        <v>9.58</v>
      </c>
      <c r="BR187">
        <v>12.62</v>
      </c>
      <c r="BS187">
        <v>9.52</v>
      </c>
      <c r="BT187" t="s">
        <v>1699</v>
      </c>
      <c r="BU187" t="s">
        <v>1381</v>
      </c>
      <c r="BV187">
        <v>37.369999999999997</v>
      </c>
      <c r="BW187">
        <v>36.47</v>
      </c>
      <c r="BX187">
        <v>34.26</v>
      </c>
      <c r="BY187">
        <v>20.59</v>
      </c>
      <c r="BZ187">
        <v>21.93</v>
      </c>
      <c r="CA187">
        <v>20.05</v>
      </c>
      <c r="CB187">
        <v>-4.1100000000000003</v>
      </c>
      <c r="CC187">
        <v>-15.87</v>
      </c>
      <c r="CD187" t="s">
        <v>6314</v>
      </c>
      <c r="CE187" t="s">
        <v>6315</v>
      </c>
      <c r="CF187" s="8">
        <v>-0.53150242326332797</v>
      </c>
      <c r="CG187" s="9">
        <v>-4.5223447838837687E-2</v>
      </c>
      <c r="CH187" s="8">
        <v>1.5682427883148193</v>
      </c>
      <c r="CI187" s="8">
        <v>0.40300366282463074</v>
      </c>
      <c r="CJ187" s="8">
        <v>0.19253730773925781</v>
      </c>
      <c r="CK187" s="8">
        <v>-1.7595307901501656E-2</v>
      </c>
      <c r="CL187" s="8">
        <v>-3.5360679030418396E-2</v>
      </c>
      <c r="CM187" s="9">
        <v>-0.34677419066429138</v>
      </c>
      <c r="CN187" s="9">
        <v>0.54037266969680786</v>
      </c>
      <c r="CO187" s="9">
        <v>-3.5928145051002502E-2</v>
      </c>
      <c r="CP187" s="9">
        <v>-1.1834319680929184E-2</v>
      </c>
      <c r="CQ187" s="9">
        <v>4.9689441919326782E-2</v>
      </c>
      <c r="CR187">
        <v>18.671435393258427</v>
      </c>
      <c r="CS187">
        <v>0.4422775662089668</v>
      </c>
      <c r="CT187">
        <v>2.5399129172714079</v>
      </c>
      <c r="CU187" s="8">
        <v>0.42216555438935754</v>
      </c>
      <c r="CV187" s="9">
        <v>3.9105091243982315E-2</v>
      </c>
      <c r="CW187">
        <v>0.06</v>
      </c>
      <c r="CX187">
        <v>6.751859432921802</v>
      </c>
      <c r="CY187">
        <v>217349830.01044896</v>
      </c>
      <c r="CZ187">
        <v>0.42216555438935754</v>
      </c>
      <c r="DA187">
        <v>1.6844315014666809</v>
      </c>
      <c r="DB187">
        <v>871223020.18348265</v>
      </c>
      <c r="DC187">
        <v>0.40105727666988966</v>
      </c>
      <c r="DD187">
        <v>0.55729341421624667</v>
      </c>
      <c r="DE187">
        <v>2633290583.675478</v>
      </c>
      <c r="DF187">
        <v>0.37150568786263466</v>
      </c>
      <c r="DG187">
        <v>0.20336815338021061</v>
      </c>
      <c r="DH187">
        <v>7216053622.9897308</v>
      </c>
      <c r="DI187">
        <v>0.33773244351148607</v>
      </c>
      <c r="DJ187">
        <v>3.032722388171858E-2</v>
      </c>
      <c r="DK187">
        <v>48389377996.600159</v>
      </c>
      <c r="DL187">
        <v>0.29551588807255025</v>
      </c>
      <c r="DM187">
        <v>162000000</v>
      </c>
      <c r="DN187">
        <v>0.42216555438935754</v>
      </c>
      <c r="DO187">
        <v>1467515500</v>
      </c>
      <c r="DP187">
        <v>961375300</v>
      </c>
      <c r="DQ187">
        <v>4444</v>
      </c>
      <c r="DR187">
        <v>-0.95366797765268552</v>
      </c>
      <c r="DS187">
        <v>-8.4328539082820009E-2</v>
      </c>
      <c r="DT187" s="10">
        <v>0.17666666666666667</v>
      </c>
      <c r="DU187">
        <v>-1.6666666666666663E-2</v>
      </c>
      <c r="DV187">
        <v>0.16</v>
      </c>
      <c r="DW187">
        <v>-8.2589792060491494</v>
      </c>
      <c r="DX187">
        <v>0.36069232979028998</v>
      </c>
      <c r="DY187">
        <v>-8.0234874275638361</v>
      </c>
      <c r="DZ187">
        <v>2670</v>
      </c>
      <c r="EA187">
        <v>-8.0112151317525946</v>
      </c>
      <c r="EB187">
        <v>8</v>
      </c>
      <c r="EC187">
        <v>1.5707509619211885E-2</v>
      </c>
      <c r="ED187">
        <v>0.17319556852859228</v>
      </c>
      <c r="EE187" s="11">
        <v>7.2899999999999993E-2</v>
      </c>
      <c r="EF187">
        <v>5.6000000000000008E-2</v>
      </c>
      <c r="EG187">
        <v>27.09069232979029</v>
      </c>
      <c r="EH187" t="s">
        <v>1390</v>
      </c>
      <c r="EI187">
        <v>0</v>
      </c>
      <c r="EJ187">
        <v>0</v>
      </c>
      <c r="EK187" s="13">
        <v>45470</v>
      </c>
      <c r="EL187" s="14">
        <v>-0.93</v>
      </c>
      <c r="EM187" s="14">
        <v>-5.25</v>
      </c>
      <c r="EN187">
        <v>1.39</v>
      </c>
      <c r="EO187">
        <v>3.91</v>
      </c>
      <c r="EP187">
        <v>-1.69</v>
      </c>
    </row>
    <row r="188" spans="1:146" ht="132">
      <c r="A188" s="7" t="s">
        <v>1194</v>
      </c>
      <c r="B188" s="7" t="s">
        <v>1195</v>
      </c>
      <c r="C188" s="7" t="str">
        <f>""&amp;CHAR(10)&amp;Basic_Fundamental_Information_Constructure(F188)&amp;CHAR(10)&amp;Basic_Fundamental_Information_Concatenate("零部件 12.75亿 80.10%（毛利22.61%）
柴油发动机及发电机组 2.02亿 12.70%（毛利8.48%）运维服务 8816.35万 5.54%（毛利30.44%）其他业务 2652.83万 1.67%（毛利11.85%）")</f>
        <v xml:space="preserve">
市值19.015391亿, 利润3.04亿; PE18.48; 平均PE12; 平均PEG.27, PB.999; ROIC4.0733%; ROE4.54%; 股利率3.5746%; 毛利17.1167%; 净利7.7467%; 上一年度营收增222.28%, 利润增1188.49%; 当季营收增-43.15%, 利润增-58.44%; 过往5年营收增44.9%, 利润增230.09%
Income profile:
零部件 12.75亿 80.10%（毛利22.61%）
柴油发动机及发电机组 2.02亿 12.70%（毛利8.48%）运维服务 8816.35万 5.54%（毛利30.44%）其他业务 2652.83万 1.67%（毛利11.85%）</v>
      </c>
      <c r="D188" t="s">
        <v>430</v>
      </c>
      <c r="E188" t="s">
        <v>1511</v>
      </c>
      <c r="F188">
        <v>11.19</v>
      </c>
      <c r="G188">
        <v>0.99</v>
      </c>
      <c r="H188" t="s">
        <v>6316</v>
      </c>
      <c r="I188">
        <v>1901539100</v>
      </c>
      <c r="J188">
        <v>18.48</v>
      </c>
      <c r="K188">
        <v>0.999</v>
      </c>
      <c r="L188" t="s">
        <v>85</v>
      </c>
      <c r="M188" t="s">
        <v>1111</v>
      </c>
      <c r="N188" t="s">
        <v>4112</v>
      </c>
      <c r="O188" t="s">
        <v>784</v>
      </c>
      <c r="P188">
        <v>-20.329999999999998</v>
      </c>
      <c r="Q188" t="s">
        <v>4585</v>
      </c>
      <c r="R188">
        <v>30041022</v>
      </c>
      <c r="S188" s="5">
        <v>-0.1749</v>
      </c>
      <c r="T188" t="s">
        <v>131</v>
      </c>
      <c r="U188">
        <v>169932000</v>
      </c>
      <c r="V188">
        <v>169932000</v>
      </c>
      <c r="W188">
        <v>1.31</v>
      </c>
      <c r="X188">
        <v>0.13</v>
      </c>
      <c r="Y188">
        <v>9.7899999999999991</v>
      </c>
      <c r="Z188" t="s">
        <v>335</v>
      </c>
      <c r="AA188" t="s">
        <v>415</v>
      </c>
      <c r="AB188" t="s">
        <v>6317</v>
      </c>
      <c r="AC188" t="s">
        <v>6318</v>
      </c>
      <c r="AD188" t="s">
        <v>90</v>
      </c>
      <c r="AE188">
        <v>-2602770</v>
      </c>
      <c r="AF188" t="s">
        <v>3251</v>
      </c>
      <c r="AG188" t="s">
        <v>90</v>
      </c>
      <c r="AH188" t="s">
        <v>3252</v>
      </c>
      <c r="AI188" t="s">
        <v>1707</v>
      </c>
      <c r="AJ188" t="s">
        <v>3253</v>
      </c>
      <c r="AK188" t="s">
        <v>6319</v>
      </c>
      <c r="AL188" t="s">
        <v>3254</v>
      </c>
      <c r="AM188" t="s">
        <v>90</v>
      </c>
      <c r="AN188" t="s">
        <v>371</v>
      </c>
      <c r="AO188" t="s">
        <v>90</v>
      </c>
      <c r="AP188" t="s">
        <v>6320</v>
      </c>
      <c r="AQ188" t="s">
        <v>1308</v>
      </c>
      <c r="AR188" t="s">
        <v>90</v>
      </c>
      <c r="AS188" t="s">
        <v>763</v>
      </c>
      <c r="AT188" t="s">
        <v>6321</v>
      </c>
      <c r="AU188" t="s">
        <v>6322</v>
      </c>
      <c r="AV188" t="s">
        <v>6323</v>
      </c>
      <c r="AW188" t="s">
        <v>6324</v>
      </c>
      <c r="AX188" t="s">
        <v>1239</v>
      </c>
      <c r="AY188" t="s">
        <v>1367</v>
      </c>
      <c r="AZ188" t="s">
        <v>1004</v>
      </c>
      <c r="BA188" t="s">
        <v>412</v>
      </c>
      <c r="BB188" t="s">
        <v>1005</v>
      </c>
      <c r="BC188" t="s">
        <v>2013</v>
      </c>
      <c r="BD188" t="s">
        <v>422</v>
      </c>
      <c r="BE188" t="s">
        <v>450</v>
      </c>
      <c r="BF188" t="s">
        <v>192</v>
      </c>
      <c r="BG188" t="s">
        <v>371</v>
      </c>
      <c r="BH188" t="s">
        <v>3113</v>
      </c>
      <c r="BI188" t="s">
        <v>646</v>
      </c>
      <c r="BJ188" t="s">
        <v>1239</v>
      </c>
      <c r="BK188" t="s">
        <v>342</v>
      </c>
      <c r="BL188" t="s">
        <v>6325</v>
      </c>
      <c r="BM188" t="s">
        <v>2013</v>
      </c>
      <c r="BN188">
        <v>2.83</v>
      </c>
      <c r="BO188">
        <v>0.79</v>
      </c>
      <c r="BP188">
        <v>8.6</v>
      </c>
      <c r="BQ188">
        <v>3.3</v>
      </c>
      <c r="BR188">
        <v>1.31</v>
      </c>
      <c r="BS188">
        <v>9.01</v>
      </c>
      <c r="BT188" t="s">
        <v>1875</v>
      </c>
      <c r="BU188" t="s">
        <v>1337</v>
      </c>
      <c r="BV188">
        <v>19.2</v>
      </c>
      <c r="BW188">
        <v>12.64</v>
      </c>
      <c r="BX188">
        <v>19.510000000000002</v>
      </c>
      <c r="BY188">
        <v>8.08</v>
      </c>
      <c r="BZ188">
        <v>3.08</v>
      </c>
      <c r="CA188">
        <v>12.08</v>
      </c>
      <c r="CB188">
        <v>-3.78</v>
      </c>
      <c r="CC188">
        <v>-11.19</v>
      </c>
      <c r="CD188" t="s">
        <v>6326</v>
      </c>
      <c r="CE188" t="s">
        <v>6327</v>
      </c>
      <c r="CF188" s="8">
        <v>-0.43148148148148147</v>
      </c>
      <c r="CG188" s="9">
        <v>-0.5844345029361111</v>
      </c>
      <c r="CH188" s="8">
        <v>2.2228188514709473</v>
      </c>
      <c r="CI188" s="8">
        <v>-0.44977843761444092</v>
      </c>
      <c r="CJ188" s="8">
        <v>-0.14949749410152435</v>
      </c>
      <c r="CK188" s="8">
        <v>0.37597241997718811</v>
      </c>
      <c r="CL188" s="8">
        <v>0.24542511999607086</v>
      </c>
      <c r="CM188" s="9">
        <v>11.884904861450195</v>
      </c>
      <c r="CN188" s="9">
        <v>-0.85613715648651123</v>
      </c>
      <c r="CO188" s="9">
        <v>-0.14136125147342682</v>
      </c>
      <c r="CP188" s="9">
        <v>0.22435897588729858</v>
      </c>
      <c r="CQ188" s="9">
        <v>0.3928571343421936</v>
      </c>
      <c r="CR188">
        <v>12.002222401057866</v>
      </c>
      <c r="CS188">
        <v>0.26731716534056282</v>
      </c>
      <c r="CT188">
        <v>3.5746201966041111</v>
      </c>
      <c r="CU188" s="8">
        <v>0.4489880919456482</v>
      </c>
      <c r="CV188" s="9">
        <v>2.3009245127439497</v>
      </c>
      <c r="CW188">
        <v>0.06</v>
      </c>
      <c r="CX188">
        <v>1.2261538918323549</v>
      </c>
      <c r="CY188">
        <v>415558849.01082742</v>
      </c>
      <c r="CZ188">
        <v>0.4489880919456482</v>
      </c>
      <c r="DA188">
        <v>0.2996069911021163</v>
      </c>
      <c r="DB188">
        <v>1700691623.1348276</v>
      </c>
      <c r="DC188">
        <v>0.42653868734836575</v>
      </c>
      <c r="DD188">
        <v>9.5910636071647987E-2</v>
      </c>
      <c r="DE188">
        <v>5312644362.188983</v>
      </c>
      <c r="DF188">
        <v>0.39510952091217044</v>
      </c>
      <c r="DG188">
        <v>3.3493782101312902E-2</v>
      </c>
      <c r="DH188">
        <v>15212946046.485054</v>
      </c>
      <c r="DI188">
        <v>0.35919047355651856</v>
      </c>
      <c r="DJ188">
        <v>4.4581653695767321E-3</v>
      </c>
      <c r="DK188">
        <v>114293449829.64972</v>
      </c>
      <c r="DL188">
        <v>0.31429166436195372</v>
      </c>
      <c r="DM188">
        <v>304000000</v>
      </c>
      <c r="DN188">
        <v>0.4489880919456482</v>
      </c>
      <c r="DO188">
        <v>509539100</v>
      </c>
      <c r="DP188">
        <v>885975720</v>
      </c>
      <c r="DQ188">
        <v>4457</v>
      </c>
      <c r="DR188">
        <v>-0.88046957342712973</v>
      </c>
      <c r="DS188">
        <v>-2.885359015680061</v>
      </c>
      <c r="DT188" s="10">
        <v>-7.3333333333333403E-2</v>
      </c>
      <c r="DU188">
        <v>-3.3333333333333726E-3</v>
      </c>
      <c r="DV188">
        <v>-7.6666666666666772E-2</v>
      </c>
      <c r="DW188">
        <v>-8.3378016085790883</v>
      </c>
      <c r="DX188">
        <v>0.31238811914919112</v>
      </c>
      <c r="DY188">
        <v>-8.037964887433775</v>
      </c>
      <c r="DZ188">
        <v>2006</v>
      </c>
      <c r="EA188">
        <v>-8.02306125451946</v>
      </c>
      <c r="EB188">
        <v>8</v>
      </c>
      <c r="EC188">
        <v>2.6401737165454416E-2</v>
      </c>
      <c r="ED188">
        <v>0.23491573099828167</v>
      </c>
      <c r="EE188" s="11">
        <v>2.0115099999999999</v>
      </c>
      <c r="EF188">
        <v>2.0247099999999998</v>
      </c>
      <c r="EG188">
        <v>20.112388119149191</v>
      </c>
      <c r="EH188" t="s">
        <v>2143</v>
      </c>
      <c r="EI188">
        <v>0</v>
      </c>
      <c r="EJ188">
        <v>0</v>
      </c>
      <c r="EK188" s="13">
        <v>45470</v>
      </c>
      <c r="EL188" s="14">
        <v>-0.89</v>
      </c>
      <c r="EM188" s="14">
        <v>-5.12</v>
      </c>
      <c r="EN188">
        <v>0.04</v>
      </c>
      <c r="EO188">
        <v>-0.94</v>
      </c>
      <c r="EP188">
        <v>-1.32</v>
      </c>
    </row>
    <row r="189" spans="1:146" ht="108">
      <c r="A189" s="7"/>
      <c r="B189" s="7"/>
      <c r="C189" s="7" t="str">
        <f>""&amp;CHAR(10)&amp;Basic_Fundamental_Information_Constructure(F189)&amp;CHAR(10)&amp;Basic_Fundamental_Information_Concatenate("")</f>
        <v xml:space="preserve">
市值23.472242亿, 利润4.86亿; PE21.18; 平均PE18.08; 平均PEG.17, PB1.21; ROIC4.6767%; ROE5.2933%; 股利率1.5033%; 毛利46.8533%; 净利15.9%; 上一年度营收增482.37%, 利润增673.62%; 当季营收增-73.09%, 利润增-76.52%; 过往5年营收增107.26%, 利润增134.4%
Income profile:
</v>
      </c>
      <c r="D189" t="s">
        <v>413</v>
      </c>
      <c r="E189" t="s">
        <v>414</v>
      </c>
      <c r="F189">
        <v>15.3</v>
      </c>
      <c r="G189">
        <v>1.19</v>
      </c>
      <c r="H189" t="s">
        <v>6328</v>
      </c>
      <c r="I189">
        <v>2347224200</v>
      </c>
      <c r="J189">
        <v>21.18</v>
      </c>
      <c r="K189">
        <v>1.21</v>
      </c>
      <c r="L189" t="s">
        <v>85</v>
      </c>
      <c r="M189" t="s">
        <v>352</v>
      </c>
      <c r="N189" t="s">
        <v>6329</v>
      </c>
      <c r="O189" t="s">
        <v>502</v>
      </c>
      <c r="P189">
        <v>37.42</v>
      </c>
      <c r="Q189" t="s">
        <v>6330</v>
      </c>
      <c r="R189">
        <v>23716313</v>
      </c>
      <c r="S189" s="5">
        <v>1.3149999999999999</v>
      </c>
      <c r="T189" t="s">
        <v>467</v>
      </c>
      <c r="U189">
        <v>144608220</v>
      </c>
      <c r="V189">
        <v>153413340</v>
      </c>
      <c r="W189">
        <v>1.1299999999999999</v>
      </c>
      <c r="X189">
        <v>7.0000000000000007E-2</v>
      </c>
      <c r="Y189">
        <v>15.9</v>
      </c>
      <c r="Z189" t="s">
        <v>296</v>
      </c>
      <c r="AA189" t="s">
        <v>6331</v>
      </c>
      <c r="AB189" t="s">
        <v>6332</v>
      </c>
      <c r="AC189" t="s">
        <v>6333</v>
      </c>
      <c r="AD189" t="s">
        <v>90</v>
      </c>
      <c r="AE189">
        <v>384782</v>
      </c>
      <c r="AF189" t="s">
        <v>3256</v>
      </c>
      <c r="AG189">
        <v>4627.4399999999996</v>
      </c>
      <c r="AH189" t="s">
        <v>3257</v>
      </c>
      <c r="AI189" t="s">
        <v>1451</v>
      </c>
      <c r="AJ189" t="s">
        <v>3258</v>
      </c>
      <c r="AK189" t="s">
        <v>6334</v>
      </c>
      <c r="AL189" t="s">
        <v>3259</v>
      </c>
      <c r="AM189" t="s">
        <v>90</v>
      </c>
      <c r="AN189" t="s">
        <v>708</v>
      </c>
      <c r="AO189" t="s">
        <v>4653</v>
      </c>
      <c r="AP189" t="s">
        <v>90</v>
      </c>
      <c r="AQ189" t="s">
        <v>6335</v>
      </c>
      <c r="AR189" t="s">
        <v>90</v>
      </c>
      <c r="AS189" t="s">
        <v>273</v>
      </c>
      <c r="AT189" t="s">
        <v>6336</v>
      </c>
      <c r="AU189" t="s">
        <v>6337</v>
      </c>
      <c r="AV189" t="s">
        <v>6338</v>
      </c>
      <c r="AW189" t="s">
        <v>6339</v>
      </c>
      <c r="AX189" t="s">
        <v>1574</v>
      </c>
      <c r="AY189" t="s">
        <v>525</v>
      </c>
      <c r="AZ189" t="s">
        <v>673</v>
      </c>
      <c r="BA189" t="s">
        <v>415</v>
      </c>
      <c r="BB189" t="s">
        <v>402</v>
      </c>
      <c r="BC189" t="s">
        <v>2014</v>
      </c>
      <c r="BD189" t="s">
        <v>1368</v>
      </c>
      <c r="BE189" t="s">
        <v>1007</v>
      </c>
      <c r="BF189" t="s">
        <v>416</v>
      </c>
      <c r="BG189" t="s">
        <v>1008</v>
      </c>
      <c r="BH189" t="s">
        <v>541</v>
      </c>
      <c r="BI189" t="s">
        <v>2090</v>
      </c>
      <c r="BJ189" t="s">
        <v>1574</v>
      </c>
      <c r="BK189" t="s">
        <v>3255</v>
      </c>
      <c r="BL189" t="s">
        <v>210</v>
      </c>
      <c r="BM189" t="s">
        <v>2014</v>
      </c>
      <c r="BN189">
        <v>3.71</v>
      </c>
      <c r="BO189">
        <v>4.42</v>
      </c>
      <c r="BP189">
        <v>5.9</v>
      </c>
      <c r="BQ189">
        <v>3.93</v>
      </c>
      <c r="BR189">
        <v>5.57</v>
      </c>
      <c r="BS189">
        <v>6.38</v>
      </c>
      <c r="BT189" t="s">
        <v>1882</v>
      </c>
      <c r="BU189" t="s">
        <v>1458</v>
      </c>
      <c r="BV189">
        <v>45.11</v>
      </c>
      <c r="BW189">
        <v>46.23</v>
      </c>
      <c r="BX189">
        <v>49.22</v>
      </c>
      <c r="BY189">
        <v>16.09</v>
      </c>
      <c r="BZ189">
        <v>14.9</v>
      </c>
      <c r="CA189">
        <v>16.71</v>
      </c>
      <c r="CB189">
        <v>-6.88</v>
      </c>
      <c r="CC189">
        <v>-12.17</v>
      </c>
      <c r="CD189" t="s">
        <v>6340</v>
      </c>
      <c r="CE189" t="s">
        <v>6341</v>
      </c>
      <c r="CF189" s="8">
        <v>-0.73090909090909095</v>
      </c>
      <c r="CG189" s="9">
        <v>-0.76518501980198017</v>
      </c>
      <c r="CH189" s="8">
        <v>4.823671817779541</v>
      </c>
      <c r="CI189" s="8">
        <v>0.26993864774703979</v>
      </c>
      <c r="CJ189" s="8">
        <v>0.34710744023323059</v>
      </c>
      <c r="CK189" s="8">
        <v>-5.0980392843484879E-2</v>
      </c>
      <c r="CL189" s="8">
        <v>-2.6717556640505791E-2</v>
      </c>
      <c r="CM189" s="9">
        <v>6.7361927032470703</v>
      </c>
      <c r="CN189" s="9">
        <v>0.15374839305877686</v>
      </c>
      <c r="CO189" s="9">
        <v>0.10020448267459869</v>
      </c>
      <c r="CP189" s="9">
        <v>-0.17545017600059509</v>
      </c>
      <c r="CQ189" s="9">
        <v>-9.4668157398700714E-2</v>
      </c>
      <c r="CR189">
        <v>18.076848146517076</v>
      </c>
      <c r="CS189">
        <v>0.16853235950915582</v>
      </c>
      <c r="CT189">
        <v>1.5032679738562089</v>
      </c>
      <c r="CU189" s="8">
        <v>1.0726039912551641</v>
      </c>
      <c r="CV189" s="9">
        <v>1.3440054491162301</v>
      </c>
      <c r="CW189">
        <v>0.06</v>
      </c>
      <c r="CX189">
        <v>0.65794417357016721</v>
      </c>
      <c r="CY189">
        <v>950269377.12265074</v>
      </c>
      <c r="CZ189">
        <v>1.0726039912551641</v>
      </c>
      <c r="DA189">
        <v>0.10339327554207788</v>
      </c>
      <c r="DB189">
        <v>6047048966.4054899</v>
      </c>
      <c r="DC189">
        <v>1.018973791692406</v>
      </c>
      <c r="DD189">
        <v>1.5794293615502324E-2</v>
      </c>
      <c r="DE189">
        <v>39585448720.94397</v>
      </c>
      <c r="DF189">
        <v>0.94389151230454449</v>
      </c>
      <c r="DG189">
        <v>2.0247812770356594E-3</v>
      </c>
      <c r="DH189">
        <v>308786043752.5119</v>
      </c>
      <c r="DI189">
        <v>0.85808319300413138</v>
      </c>
      <c r="DJ189">
        <v>2.2223704577434164E-5</v>
      </c>
      <c r="DK189">
        <v>28133212346372.234</v>
      </c>
      <c r="DL189">
        <v>0.75082279387861484</v>
      </c>
      <c r="DM189">
        <v>486000000.00000006</v>
      </c>
      <c r="DN189">
        <v>1.0726039912551641</v>
      </c>
      <c r="DO189">
        <v>625224200</v>
      </c>
      <c r="DP189">
        <v>628680730</v>
      </c>
      <c r="DQ189">
        <v>4565</v>
      </c>
      <c r="DR189">
        <v>-1.8035130821642551</v>
      </c>
      <c r="DS189">
        <v>-2.1091904689182104</v>
      </c>
      <c r="DT189" s="10">
        <v>0.14333333333333331</v>
      </c>
      <c r="DU189">
        <v>-0.10666666666666669</v>
      </c>
      <c r="DV189">
        <v>3.6666666666666625E-2</v>
      </c>
      <c r="DW189">
        <v>-9.5653245686113397</v>
      </c>
      <c r="DX189">
        <v>0.32846679120702788</v>
      </c>
      <c r="DY189">
        <v>-9.083931924692223</v>
      </c>
      <c r="DZ189">
        <v>603</v>
      </c>
      <c r="EA189">
        <v>-9.0740276290778574</v>
      </c>
      <c r="EB189">
        <v>9</v>
      </c>
      <c r="EC189">
        <v>5.1855985926647578E-2</v>
      </c>
      <c r="ED189">
        <v>0.34927666655324757</v>
      </c>
      <c r="EE189" s="11">
        <v>9.7500000000000003E-2</v>
      </c>
      <c r="EF189">
        <v>7.0599999999999996E-2</v>
      </c>
      <c r="EG189">
        <v>18.148466791207028</v>
      </c>
      <c r="EH189" t="s">
        <v>1390</v>
      </c>
      <c r="EI189">
        <v>0</v>
      </c>
      <c r="EJ189">
        <v>1</v>
      </c>
      <c r="EK189" s="13">
        <v>45470</v>
      </c>
      <c r="EL189" s="14">
        <v>2.17</v>
      </c>
      <c r="EM189" s="14">
        <v>-1.72</v>
      </c>
      <c r="EN189">
        <v>-1.01</v>
      </c>
      <c r="EO189">
        <v>2.38</v>
      </c>
      <c r="EP189">
        <v>-2.69</v>
      </c>
    </row>
    <row r="190" spans="1:146" ht="108">
      <c r="C190" s="7" t="str">
        <f>""&amp;CHAR(10)&amp;Basic_Fundamental_Information_Constructure(F190)&amp;CHAR(10)&amp;Basic_Fundamental_Information_Concatenate("")</f>
        <v xml:space="preserve">
市值14.361695亿, 利润1.83亿; PE54.67; 平均PE17.83; 平均PEG2, PB1.68; ROIC5.65%; ROE5.9433%; 股利率3.7453%; 毛利46.6467%; 净利12.6733%; 上一年度营收增42.25%, 利润增310.09%; 当季营收增-7.89%, 利润增-76.75%; 过往5年营收增8.93%, 利润增57.94%
Income profile:
</v>
      </c>
      <c r="D190" t="s">
        <v>6342</v>
      </c>
      <c r="E190" t="s">
        <v>6343</v>
      </c>
      <c r="F190">
        <v>21.36</v>
      </c>
      <c r="G190">
        <v>1.47</v>
      </c>
      <c r="H190" t="s">
        <v>6344</v>
      </c>
      <c r="I190">
        <v>1436169500</v>
      </c>
      <c r="J190">
        <v>54.67</v>
      </c>
      <c r="K190">
        <v>1.68</v>
      </c>
      <c r="L190" t="s">
        <v>85</v>
      </c>
      <c r="M190" t="s">
        <v>514</v>
      </c>
      <c r="N190" t="s">
        <v>553</v>
      </c>
      <c r="O190" t="s">
        <v>521</v>
      </c>
      <c r="P190" s="5">
        <v>9.19</v>
      </c>
      <c r="Q190" t="s">
        <v>1566</v>
      </c>
      <c r="R190">
        <v>11574779</v>
      </c>
      <c r="S190">
        <v>-0.10050000000000001</v>
      </c>
      <c r="T190" t="s">
        <v>230</v>
      </c>
      <c r="U190">
        <v>67236400</v>
      </c>
      <c r="V190">
        <v>67236400</v>
      </c>
      <c r="W190">
        <v>1.1599999999999999</v>
      </c>
      <c r="X190">
        <v>0.11</v>
      </c>
      <c r="Y190">
        <v>10.97</v>
      </c>
      <c r="Z190" t="s">
        <v>6345</v>
      </c>
      <c r="AA190" t="s">
        <v>6346</v>
      </c>
      <c r="AB190" t="s">
        <v>6347</v>
      </c>
      <c r="AC190" t="s">
        <v>6348</v>
      </c>
      <c r="AD190" t="s">
        <v>90</v>
      </c>
      <c r="AE190">
        <v>-890074</v>
      </c>
      <c r="AF190" t="s">
        <v>6349</v>
      </c>
      <c r="AG190">
        <v>4485.13</v>
      </c>
      <c r="AH190" t="s">
        <v>6350</v>
      </c>
      <c r="AI190" t="s">
        <v>1287</v>
      </c>
      <c r="AJ190" t="s">
        <v>6351</v>
      </c>
      <c r="AK190" t="s">
        <v>6352</v>
      </c>
      <c r="AL190" t="s">
        <v>6353</v>
      </c>
      <c r="AM190" t="s">
        <v>90</v>
      </c>
      <c r="AN190" t="s">
        <v>6354</v>
      </c>
      <c r="AO190" t="s">
        <v>90</v>
      </c>
      <c r="AP190" t="s">
        <v>90</v>
      </c>
      <c r="AQ190" t="s">
        <v>6355</v>
      </c>
      <c r="AR190" t="s">
        <v>90</v>
      </c>
      <c r="AS190" t="s">
        <v>307</v>
      </c>
      <c r="AT190" t="s">
        <v>90</v>
      </c>
      <c r="AU190" t="s">
        <v>6356</v>
      </c>
      <c r="AV190" t="s">
        <v>2214</v>
      </c>
      <c r="AW190" t="s">
        <v>6357</v>
      </c>
      <c r="AX190" t="s">
        <v>266</v>
      </c>
      <c r="AY190" t="s">
        <v>1217</v>
      </c>
      <c r="AZ190" t="s">
        <v>364</v>
      </c>
      <c r="BA190" t="s">
        <v>1533</v>
      </c>
      <c r="BB190" t="s">
        <v>515</v>
      </c>
      <c r="BC190" t="s">
        <v>6358</v>
      </c>
      <c r="BD190" t="s">
        <v>6359</v>
      </c>
      <c r="BE190" t="s">
        <v>6360</v>
      </c>
      <c r="BF190" t="s">
        <v>6361</v>
      </c>
      <c r="BG190" t="s">
        <v>6362</v>
      </c>
      <c r="BH190" t="s">
        <v>779</v>
      </c>
      <c r="BI190" t="s">
        <v>282</v>
      </c>
      <c r="BJ190" t="s">
        <v>266</v>
      </c>
      <c r="BK190" t="s">
        <v>6363</v>
      </c>
      <c r="BL190" t="s">
        <v>6364</v>
      </c>
      <c r="BM190" t="s">
        <v>6358</v>
      </c>
      <c r="BN190">
        <v>2.86</v>
      </c>
      <c r="BO190">
        <v>5.21</v>
      </c>
      <c r="BP190">
        <v>8.8800000000000008</v>
      </c>
      <c r="BQ190">
        <v>3.18</v>
      </c>
      <c r="BR190">
        <v>5.55</v>
      </c>
      <c r="BS190">
        <v>9.1</v>
      </c>
      <c r="BT190" t="s">
        <v>3265</v>
      </c>
      <c r="BU190" t="s">
        <v>3551</v>
      </c>
      <c r="BV190">
        <v>43.79</v>
      </c>
      <c r="BW190">
        <v>47.71</v>
      </c>
      <c r="BX190">
        <v>48.44</v>
      </c>
      <c r="BY190">
        <v>6.63</v>
      </c>
      <c r="BZ190">
        <v>12.57</v>
      </c>
      <c r="CA190">
        <v>18.82</v>
      </c>
      <c r="CB190">
        <v>-3.61</v>
      </c>
      <c r="CC190" s="8">
        <v>-8.9499999999999993</v>
      </c>
      <c r="CD190" s="9" t="s">
        <v>6365</v>
      </c>
      <c r="CE190" s="8" t="s">
        <v>6366</v>
      </c>
      <c r="CF190" s="8">
        <v>-7.8947368421052516E-2</v>
      </c>
      <c r="CG190" s="8">
        <v>-0.76746078399858564</v>
      </c>
      <c r="CH190" s="8">
        <v>0.42253521084785461</v>
      </c>
      <c r="CI190" s="8">
        <v>-3.7940379232168198E-2</v>
      </c>
      <c r="CJ190" s="9">
        <v>5.7306591421365738E-2</v>
      </c>
      <c r="CK190" s="9">
        <v>-8.3989500999450684E-2</v>
      </c>
      <c r="CL190" s="9">
        <v>8.8571429252624512E-2</v>
      </c>
      <c r="CM190" s="9">
        <v>3.100886344909668</v>
      </c>
      <c r="CN190" s="9">
        <v>-0.35711705684661865</v>
      </c>
      <c r="CO190">
        <v>6.4438574016094208E-2</v>
      </c>
      <c r="CP190">
        <v>6.3391581177711487E-2</v>
      </c>
      <c r="CQ190">
        <v>2.5202244520187378E-2</v>
      </c>
      <c r="CR190" s="8">
        <v>17.826283755730124</v>
      </c>
      <c r="CS190" s="9">
        <v>1.9962988210217236</v>
      </c>
      <c r="CT190">
        <v>3.7453183520599254</v>
      </c>
      <c r="CU190">
        <v>8.9296670258045191E-2</v>
      </c>
      <c r="CV190">
        <v>0.5793603375554085</v>
      </c>
      <c r="CW190">
        <v>0.06</v>
      </c>
      <c r="CX190">
        <v>3.9305437795489291</v>
      </c>
      <c r="CY190">
        <v>188057821.37473798</v>
      </c>
      <c r="CZ190">
        <v>8.9296670258045191E-2</v>
      </c>
      <c r="DA190">
        <v>1.2852303141940735</v>
      </c>
      <c r="DB190">
        <v>575126101.39724982</v>
      </c>
      <c r="DC190">
        <v>8.4831836745142927E-2</v>
      </c>
      <c r="DD190">
        <v>0.63319315523545316</v>
      </c>
      <c r="DE190">
        <v>1167368114.9082217</v>
      </c>
      <c r="DF190">
        <v>7.8581069827079769E-2</v>
      </c>
      <c r="DG190">
        <v>0.38058495865970615</v>
      </c>
      <c r="DH190">
        <v>1942193150.7832301</v>
      </c>
      <c r="DI190">
        <v>7.143733620643615E-2</v>
      </c>
      <c r="DJ190">
        <v>0.19699148513332274</v>
      </c>
      <c r="DK190">
        <v>3752291625.7001371</v>
      </c>
      <c r="DL190">
        <v>6.2507669180631636E-2</v>
      </c>
      <c r="DM190">
        <v>183000000</v>
      </c>
      <c r="DN190">
        <v>8.9296670258045191E-2</v>
      </c>
      <c r="DO190">
        <v>739169500</v>
      </c>
      <c r="DP190">
        <v>655510900</v>
      </c>
      <c r="DQ190" s="10">
        <v>4587</v>
      </c>
      <c r="DR190">
        <v>-0.16824403867909771</v>
      </c>
      <c r="DS190">
        <v>-1.3468211215539942</v>
      </c>
      <c r="DT190">
        <v>-0.27333333333333337</v>
      </c>
      <c r="DU190">
        <v>-0.29000000000000004</v>
      </c>
      <c r="DV190">
        <v>-0.56333333333333346</v>
      </c>
      <c r="DW190">
        <v>-8.4033519553072633</v>
      </c>
      <c r="DX190">
        <v>0.24662758498792214</v>
      </c>
      <c r="DY190">
        <v>-8.0510754840007142</v>
      </c>
      <c r="DZ190">
        <v>3471</v>
      </c>
      <c r="EA190">
        <v>-8.0163821366491526</v>
      </c>
      <c r="EB190" s="11">
        <v>8</v>
      </c>
      <c r="EC190" s="11">
        <v>2.5572457775847605E-2</v>
      </c>
      <c r="ED190">
        <v>0.20195013415352397</v>
      </c>
      <c r="EE190">
        <v>1.0142</v>
      </c>
      <c r="EF190">
        <v>1.0031000000000001</v>
      </c>
      <c r="EG190">
        <v>12.126627584987922</v>
      </c>
      <c r="EH190" s="13" t="s">
        <v>1725</v>
      </c>
      <c r="EI190">
        <v>0</v>
      </c>
      <c r="EJ190">
        <v>0</v>
      </c>
      <c r="EK190">
        <v>45470</v>
      </c>
      <c r="EL190">
        <v>-2.72</v>
      </c>
      <c r="EM190">
        <v>-4.09</v>
      </c>
      <c r="EN190">
        <v>0.62</v>
      </c>
      <c r="EO190">
        <v>2.38</v>
      </c>
      <c r="EP190">
        <v>-1.1100000000000001</v>
      </c>
    </row>
    <row r="191" spans="1:146" ht="108">
      <c r="A191" s="7"/>
      <c r="B191" s="7"/>
      <c r="C191" s="7" t="str">
        <f>""&amp;CHAR(10)&amp;Basic_Fundamental_Information_Constructure(F191)&amp;CHAR(10)&amp;Basic_Fundamental_Information_Concatenate("")</f>
        <v xml:space="preserve">
市值26.304546亿, 利润-674.67万; PE17.42; 平均PE29.43; 平均PEG2.17, PB2.24; ROIC15.4667%; ROE15.75%; 股利率1.881%; 毛利48.2067%; 净利26.9667%; 上一年度营收增-53.16%, 利润增-104.06%; 当季营收增281.71%, 利润增308.75%; 过往5年营收增13.58%, 利润增7.39%
Income profile:
</v>
      </c>
      <c r="D191" t="s">
        <v>1009</v>
      </c>
      <c r="E191" t="s">
        <v>1010</v>
      </c>
      <c r="F191">
        <v>42.53</v>
      </c>
      <c r="G191">
        <v>-1.39</v>
      </c>
      <c r="H191" t="s">
        <v>6367</v>
      </c>
      <c r="I191">
        <v>2630454600</v>
      </c>
      <c r="J191">
        <v>17.420000000000002</v>
      </c>
      <c r="K191">
        <v>2.2400000000000002</v>
      </c>
      <c r="L191" t="s">
        <v>85</v>
      </c>
      <c r="M191" t="s">
        <v>3260</v>
      </c>
      <c r="N191" t="s">
        <v>6368</v>
      </c>
      <c r="O191" t="s">
        <v>138</v>
      </c>
      <c r="P191">
        <v>13.24</v>
      </c>
      <c r="Q191" t="s">
        <v>220</v>
      </c>
      <c r="R191">
        <v>17190765</v>
      </c>
      <c r="S191" s="5">
        <v>-0.28689999999999999</v>
      </c>
      <c r="T191" t="s">
        <v>6369</v>
      </c>
      <c r="U191">
        <v>61849391</v>
      </c>
      <c r="V191">
        <v>61849391</v>
      </c>
      <c r="W191">
        <v>1.85</v>
      </c>
      <c r="X191">
        <v>7.0000000000000007E-2</v>
      </c>
      <c r="Y191">
        <v>10.1</v>
      </c>
      <c r="Z191" t="s">
        <v>502</v>
      </c>
      <c r="AA191" t="s">
        <v>189</v>
      </c>
      <c r="AB191" t="s">
        <v>6370</v>
      </c>
      <c r="AC191" t="s">
        <v>6371</v>
      </c>
      <c r="AD191" t="s">
        <v>90</v>
      </c>
      <c r="AE191">
        <v>8237727</v>
      </c>
      <c r="AF191" t="s">
        <v>3261</v>
      </c>
      <c r="AG191">
        <v>2.33</v>
      </c>
      <c r="AH191" t="s">
        <v>3262</v>
      </c>
      <c r="AI191" t="s">
        <v>6372</v>
      </c>
      <c r="AJ191" t="s">
        <v>3263</v>
      </c>
      <c r="AK191" t="s">
        <v>165</v>
      </c>
      <c r="AL191" t="s">
        <v>3264</v>
      </c>
      <c r="AM191" t="s">
        <v>90</v>
      </c>
      <c r="AN191" t="s">
        <v>304</v>
      </c>
      <c r="AO191" t="s">
        <v>314</v>
      </c>
      <c r="AP191" t="s">
        <v>6373</v>
      </c>
      <c r="AQ191" t="s">
        <v>810</v>
      </c>
      <c r="AR191" t="s">
        <v>90</v>
      </c>
      <c r="AS191" t="s">
        <v>721</v>
      </c>
      <c r="AT191" t="s">
        <v>6374</v>
      </c>
      <c r="AU191" t="s">
        <v>6375</v>
      </c>
      <c r="AV191" t="s">
        <v>6376</v>
      </c>
      <c r="AW191" t="s">
        <v>189</v>
      </c>
      <c r="AX191" t="s">
        <v>1465</v>
      </c>
      <c r="AY191" t="s">
        <v>312</v>
      </c>
      <c r="AZ191" t="s">
        <v>844</v>
      </c>
      <c r="BA191" t="s">
        <v>343</v>
      </c>
      <c r="BB191" t="s">
        <v>178</v>
      </c>
      <c r="BC191" t="s">
        <v>479</v>
      </c>
      <c r="BD191" t="s">
        <v>372</v>
      </c>
      <c r="BE191" t="s">
        <v>1011</v>
      </c>
      <c r="BF191" t="s">
        <v>1012</v>
      </c>
      <c r="BG191" t="s">
        <v>1013</v>
      </c>
      <c r="BH191" t="s">
        <v>1606</v>
      </c>
      <c r="BI191" t="s">
        <v>6377</v>
      </c>
      <c r="BJ191" t="s">
        <v>1465</v>
      </c>
      <c r="BK191" t="s">
        <v>810</v>
      </c>
      <c r="BL191" t="s">
        <v>6378</v>
      </c>
      <c r="BM191" t="s">
        <v>479</v>
      </c>
      <c r="BN191">
        <v>8.01</v>
      </c>
      <c r="BO191">
        <v>14.72</v>
      </c>
      <c r="BP191">
        <v>23.67</v>
      </c>
      <c r="BQ191">
        <v>9.1999999999999993</v>
      </c>
      <c r="BR191">
        <v>16.760000000000002</v>
      </c>
      <c r="BS191">
        <v>21.29</v>
      </c>
      <c r="BT191" t="s">
        <v>3265</v>
      </c>
      <c r="BU191" t="s">
        <v>1337</v>
      </c>
      <c r="BV191">
        <v>45.47</v>
      </c>
      <c r="BW191">
        <v>48.85</v>
      </c>
      <c r="BX191">
        <v>50.3</v>
      </c>
      <c r="BY191">
        <v>19.88</v>
      </c>
      <c r="BZ191">
        <v>27.58</v>
      </c>
      <c r="CA191">
        <v>33.44</v>
      </c>
      <c r="CB191">
        <v>-6.28</v>
      </c>
      <c r="CC191">
        <v>-32.07</v>
      </c>
      <c r="CD191" t="s">
        <v>6379</v>
      </c>
      <c r="CE191" t="s">
        <v>6380</v>
      </c>
      <c r="CF191" s="8">
        <v>2.8171366984012933</v>
      </c>
      <c r="CG191" s="9">
        <v>3.0874919751765462</v>
      </c>
      <c r="CH191" s="8">
        <v>-0.53156143426895142</v>
      </c>
      <c r="CI191" s="8">
        <v>0.24123711884021759</v>
      </c>
      <c r="CJ191" s="8">
        <v>0.55448716878890991</v>
      </c>
      <c r="CK191" s="8">
        <v>0.2046332061290741</v>
      </c>
      <c r="CL191" s="8">
        <v>0.21028037369251251</v>
      </c>
      <c r="CM191" s="9">
        <v>-1.0406427383422852</v>
      </c>
      <c r="CN191" s="9">
        <v>2.4691358208656311E-2</v>
      </c>
      <c r="CO191" s="9">
        <v>0.82012456655502319</v>
      </c>
      <c r="CP191" s="9">
        <v>0.23941701650619507</v>
      </c>
      <c r="CQ191" s="9">
        <v>0.32588958740234375</v>
      </c>
      <c r="CR191">
        <v>29.432680741933428</v>
      </c>
      <c r="CS191">
        <v>2.1671110425691529</v>
      </c>
      <c r="CT191">
        <v>1.8810251587114977</v>
      </c>
      <c r="CU191" s="8">
        <v>0.13581528663635253</v>
      </c>
      <c r="CV191" s="9">
        <v>7.3895958065986631E-2</v>
      </c>
      <c r="CW191">
        <v>0.06</v>
      </c>
      <c r="CX191" t="e">
        <v>#VALUE!</v>
      </c>
      <c r="CY191" t="s">
        <v>1391</v>
      </c>
      <c r="CZ191">
        <v>0.13581528663635253</v>
      </c>
      <c r="DA191" t="e">
        <v>#VALUE!</v>
      </c>
      <c r="DB191" t="s">
        <v>1391</v>
      </c>
      <c r="DC191">
        <v>0.1290245223045349</v>
      </c>
      <c r="DD191" t="e">
        <v>#VALUE!</v>
      </c>
      <c r="DE191" t="s">
        <v>1391</v>
      </c>
      <c r="DF191">
        <v>0.11951745223999023</v>
      </c>
      <c r="DG191" t="e">
        <v>#VALUE!</v>
      </c>
      <c r="DH191" t="s">
        <v>1391</v>
      </c>
      <c r="DI191">
        <v>0.10865222930908203</v>
      </c>
      <c r="DJ191" t="e">
        <v>#VALUE!</v>
      </c>
      <c r="DK191" t="s">
        <v>1391</v>
      </c>
      <c r="DL191">
        <v>9.5070700645446773E-2</v>
      </c>
      <c r="DM191">
        <v>-6746700</v>
      </c>
      <c r="DN191">
        <v>0.13581528663635253</v>
      </c>
      <c r="DO191">
        <v>2304454600</v>
      </c>
      <c r="DP191">
        <v>480673310</v>
      </c>
      <c r="DQ191">
        <v>4590</v>
      </c>
      <c r="DR191">
        <v>2.6813214117649409</v>
      </c>
      <c r="DS191">
        <v>3.0135960171105594</v>
      </c>
      <c r="DT191" s="10">
        <v>-0.10666666666666676</v>
      </c>
      <c r="DU191">
        <v>-0.26666666666666666</v>
      </c>
      <c r="DV191">
        <v>-0.37333333333333341</v>
      </c>
      <c r="DW191">
        <v>-9.195821640162146</v>
      </c>
      <c r="DX191">
        <v>0.43488169843808677</v>
      </c>
      <c r="DY191">
        <v>-9.0362038374241092</v>
      </c>
      <c r="DZ191">
        <v>4030</v>
      </c>
      <c r="EA191">
        <v>-9.0076516916669345</v>
      </c>
      <c r="EB191">
        <v>9</v>
      </c>
      <c r="EC191">
        <v>6.8400026768250632E-2</v>
      </c>
      <c r="ED191">
        <v>0.36996645609655227</v>
      </c>
      <c r="EE191" s="11">
        <v>-3.07361</v>
      </c>
      <c r="EF191">
        <v>-3.12161</v>
      </c>
      <c r="EG191">
        <v>25.184881698438087</v>
      </c>
      <c r="EH191" t="s">
        <v>2117</v>
      </c>
      <c r="EI191">
        <v>0</v>
      </c>
      <c r="EJ191">
        <v>0</v>
      </c>
      <c r="EK191" s="13">
        <v>45470</v>
      </c>
      <c r="EL191" s="14">
        <v>4.87</v>
      </c>
      <c r="EM191" s="14">
        <v>-8.6300000000000008</v>
      </c>
      <c r="EN191">
        <v>-2.4700000000000002</v>
      </c>
      <c r="EO191">
        <v>-0.75</v>
      </c>
      <c r="EP191">
        <v>-4.8</v>
      </c>
    </row>
    <row r="192" spans="1:146" ht="108">
      <c r="C192" s="7" t="str">
        <f>""&amp;CHAR(10)&amp;Basic_Fundamental_Information_Constructure(F192)&amp;CHAR(10)&amp;Basic_Fundamental_Information_Concatenate("")</f>
        <v xml:space="preserve">
市值41.583045亿, 利润9065.90万; PE27.77; 平均PE57.92; 平均PEG2.18, PB2.61; ROIC7.6733%; ROE15.0033%; 股利率3.3691%; 毛利58.44%; 净利31.4033%; 上一年度营收增24.37%, 利润增-35.7%; 当季营收增33.92%, 利润增161.03%; 过往5年营收增26.51%, 利润增32.66%
Income profile:
</v>
      </c>
      <c r="D192" t="s">
        <v>6381</v>
      </c>
      <c r="E192" t="s">
        <v>6382</v>
      </c>
      <c r="F192">
        <v>26.12</v>
      </c>
      <c r="G192">
        <v>0.5</v>
      </c>
      <c r="H192" t="s">
        <v>6383</v>
      </c>
      <c r="I192">
        <v>4158304500</v>
      </c>
      <c r="J192">
        <v>27.77</v>
      </c>
      <c r="K192">
        <v>2.61</v>
      </c>
      <c r="L192" t="s">
        <v>85</v>
      </c>
      <c r="M192" t="s">
        <v>210</v>
      </c>
      <c r="N192" t="s">
        <v>1768</v>
      </c>
      <c r="O192" t="s">
        <v>121</v>
      </c>
      <c r="P192" s="5">
        <v>1.62</v>
      </c>
      <c r="Q192" t="s">
        <v>5396</v>
      </c>
      <c r="R192">
        <v>30374251</v>
      </c>
      <c r="S192">
        <v>-0.15329999999999999</v>
      </c>
      <c r="T192" t="s">
        <v>6384</v>
      </c>
      <c r="U192">
        <v>45948099</v>
      </c>
      <c r="V192">
        <v>159200020</v>
      </c>
      <c r="W192">
        <v>1.08</v>
      </c>
      <c r="X192">
        <v>0.06</v>
      </c>
      <c r="Y192">
        <v>29.25</v>
      </c>
      <c r="Z192" t="s">
        <v>6385</v>
      </c>
      <c r="AA192" t="s">
        <v>6386</v>
      </c>
      <c r="AB192" t="s">
        <v>6387</v>
      </c>
      <c r="AC192" t="s">
        <v>6388</v>
      </c>
      <c r="AD192" t="s">
        <v>90</v>
      </c>
      <c r="AE192">
        <v>-7811261</v>
      </c>
      <c r="AF192" t="s">
        <v>182</v>
      </c>
      <c r="AG192" t="s">
        <v>6389</v>
      </c>
      <c r="AH192" t="s">
        <v>6390</v>
      </c>
      <c r="AI192" t="s">
        <v>834</v>
      </c>
      <c r="AJ192" t="s">
        <v>6391</v>
      </c>
      <c r="AK192" t="s">
        <v>6392</v>
      </c>
      <c r="AL192" t="s">
        <v>6393</v>
      </c>
      <c r="AM192" t="s">
        <v>90</v>
      </c>
      <c r="AN192">
        <v>0</v>
      </c>
      <c r="AO192" t="s">
        <v>90</v>
      </c>
      <c r="AP192" t="s">
        <v>90</v>
      </c>
      <c r="AQ192" t="s">
        <v>6394</v>
      </c>
      <c r="AR192" t="s">
        <v>90</v>
      </c>
      <c r="AS192" t="s">
        <v>6395</v>
      </c>
      <c r="AT192" t="s">
        <v>90</v>
      </c>
      <c r="AU192" t="s">
        <v>6396</v>
      </c>
      <c r="AV192" t="s">
        <v>6397</v>
      </c>
      <c r="AW192" t="s">
        <v>6398</v>
      </c>
      <c r="AX192" t="s">
        <v>490</v>
      </c>
      <c r="AY192" t="s">
        <v>131</v>
      </c>
      <c r="AZ192" t="s">
        <v>272</v>
      </c>
      <c r="BA192" t="s">
        <v>693</v>
      </c>
      <c r="BB192" t="s">
        <v>228</v>
      </c>
      <c r="BC192" t="s">
        <v>135</v>
      </c>
      <c r="BD192" t="s">
        <v>6399</v>
      </c>
      <c r="BE192" t="s">
        <v>6400</v>
      </c>
      <c r="BF192" t="s">
        <v>6401</v>
      </c>
      <c r="BG192" t="s">
        <v>6402</v>
      </c>
      <c r="BH192" t="s">
        <v>1260</v>
      </c>
      <c r="BI192" t="s">
        <v>6403</v>
      </c>
      <c r="BJ192" t="s">
        <v>490</v>
      </c>
      <c r="BK192" t="s">
        <v>514</v>
      </c>
      <c r="BL192" t="s">
        <v>6404</v>
      </c>
      <c r="BM192" t="s">
        <v>135</v>
      </c>
      <c r="BN192">
        <v>5.94</v>
      </c>
      <c r="BO192">
        <v>7.11</v>
      </c>
      <c r="BP192">
        <v>9.9700000000000006</v>
      </c>
      <c r="BQ192">
        <v>7.83</v>
      </c>
      <c r="BR192">
        <v>9.85</v>
      </c>
      <c r="BS192">
        <v>27.33</v>
      </c>
      <c r="BT192" t="s">
        <v>2863</v>
      </c>
      <c r="BU192" t="s">
        <v>3551</v>
      </c>
      <c r="BV192">
        <v>61.3</v>
      </c>
      <c r="BW192">
        <v>57.54</v>
      </c>
      <c r="BX192">
        <v>56.48</v>
      </c>
      <c r="BY192">
        <v>32.130000000000003</v>
      </c>
      <c r="BZ192">
        <v>35.4</v>
      </c>
      <c r="CA192">
        <v>26.68</v>
      </c>
      <c r="CB192">
        <v>-3.22</v>
      </c>
      <c r="CC192" s="8">
        <v>-19.36</v>
      </c>
      <c r="CD192" s="9" t="s">
        <v>6405</v>
      </c>
      <c r="CE192" s="8" t="s">
        <v>6406</v>
      </c>
      <c r="CF192" s="8">
        <v>0.33917074426989441</v>
      </c>
      <c r="CG192" s="8">
        <v>1.6103239029923861</v>
      </c>
      <c r="CH192" s="8">
        <v>0.24371859431266785</v>
      </c>
      <c r="CI192" s="8">
        <v>0.30921053886413574</v>
      </c>
      <c r="CJ192" s="9">
        <v>0.37556561827659607</v>
      </c>
      <c r="CK192" s="9">
        <v>0.16315789520740509</v>
      </c>
      <c r="CL192" s="9">
        <v>0.23376622796058655</v>
      </c>
      <c r="CM192" s="9">
        <v>-0.35702836513519287</v>
      </c>
      <c r="CN192" s="9">
        <v>0.73948454856872559</v>
      </c>
      <c r="CO192">
        <v>0.50917410850524902</v>
      </c>
      <c r="CP192">
        <v>0.51600813865661621</v>
      </c>
      <c r="CQ192">
        <v>0.22532415390014648</v>
      </c>
      <c r="CR192" s="8">
        <v>57.919030259246917</v>
      </c>
      <c r="CS192" s="9">
        <v>2.1849330565701961</v>
      </c>
      <c r="CT192">
        <v>3.3690658499234303</v>
      </c>
      <c r="CU192">
        <v>0.26508377492427826</v>
      </c>
      <c r="CV192">
        <v>0.3265925168991089</v>
      </c>
      <c r="CW192">
        <v>0.06</v>
      </c>
      <c r="CX192">
        <v>24.642536061483781</v>
      </c>
      <c r="CY192">
        <v>108199273.53854731</v>
      </c>
      <c r="CZ192">
        <v>0.26508377492427826</v>
      </c>
      <c r="DA192">
        <v>6.9647047066141949</v>
      </c>
      <c r="DB192">
        <v>382830947.22851372</v>
      </c>
      <c r="DC192">
        <v>0.25182958617806434</v>
      </c>
      <c r="DD192">
        <v>2.7912134576653691</v>
      </c>
      <c r="DE192">
        <v>955249227.77857137</v>
      </c>
      <c r="DF192">
        <v>0.23327372193336487</v>
      </c>
      <c r="DG192">
        <v>1.3078640956600718</v>
      </c>
      <c r="DH192">
        <v>2038670920.6619294</v>
      </c>
      <c r="DI192">
        <v>0.21206701993942262</v>
      </c>
      <c r="DJ192">
        <v>0.37155312457226075</v>
      </c>
      <c r="DK192">
        <v>7176105713.1991615</v>
      </c>
      <c r="DL192">
        <v>0.18555864244699477</v>
      </c>
      <c r="DM192">
        <v>90659000</v>
      </c>
      <c r="DN192">
        <v>0.26508377492427826</v>
      </c>
      <c r="DO192">
        <v>2666304500</v>
      </c>
      <c r="DP192">
        <v>1538421700</v>
      </c>
      <c r="DQ192" s="10">
        <v>4638</v>
      </c>
      <c r="DR192">
        <v>7.4086969345616149E-2</v>
      </c>
      <c r="DS192">
        <v>1.2837313860932773</v>
      </c>
      <c r="DT192">
        <v>0.22666666666666657</v>
      </c>
      <c r="DU192">
        <v>0.70333333333333325</v>
      </c>
      <c r="DV192">
        <v>0.92999999999999983</v>
      </c>
      <c r="DW192">
        <v>-8.1663223140495873</v>
      </c>
      <c r="DX192">
        <v>0.35939866405386423</v>
      </c>
      <c r="DY192">
        <v>-8.0231851083808596</v>
      </c>
      <c r="DZ192">
        <v>1382</v>
      </c>
      <c r="EA192">
        <v>-8.016914693550655</v>
      </c>
      <c r="EB192" s="11">
        <v>8</v>
      </c>
      <c r="EC192" s="11">
        <v>1.6398867286574463E-2</v>
      </c>
      <c r="ED192">
        <v>0.11764006059798233</v>
      </c>
      <c r="EE192">
        <v>-2.0053100000000001</v>
      </c>
      <c r="EF192">
        <v>-2.0367099999999998</v>
      </c>
      <c r="EG192">
        <v>22.139398664053864</v>
      </c>
      <c r="EH192" s="13" t="s">
        <v>1735</v>
      </c>
      <c r="EI192">
        <v>0</v>
      </c>
      <c r="EJ192">
        <v>1</v>
      </c>
      <c r="EK192">
        <v>45470</v>
      </c>
      <c r="EL192">
        <v>-2.79</v>
      </c>
      <c r="EM192">
        <v>-5.24</v>
      </c>
      <c r="EN192">
        <v>-0.7</v>
      </c>
      <c r="EO192">
        <v>2.94</v>
      </c>
      <c r="EP192">
        <v>-3.14</v>
      </c>
    </row>
    <row r="193" spans="1:146" ht="108">
      <c r="C193" s="7" t="str">
        <f>""&amp;CHAR(10)&amp;Basic_Fundamental_Information_Constructure(F193)&amp;CHAR(10)&amp;Basic_Fundamental_Information_Concatenate("")</f>
        <v xml:space="preserve">
市值13.80069亿, 利润2.97亿; PE62.68; 平均PE14.93; 平均PEG.13, PB1.08; ROIC14.68%; ROE9.8367%; 股利率.628%; 毛利67.0233%; 净利19.1167%; 上一年度营收增480.17%, 利润增449.67%; 当季营收增-90.59%, 利润增-92.94%; 过往5年营收增112.76%, 利润增102.91%
Income profile:
</v>
      </c>
      <c r="D193" t="s">
        <v>6407</v>
      </c>
      <c r="E193" t="s">
        <v>6408</v>
      </c>
      <c r="F193">
        <v>20.7</v>
      </c>
      <c r="G193">
        <v>0.98</v>
      </c>
      <c r="H193" t="s">
        <v>6409</v>
      </c>
      <c r="I193">
        <v>1380069000</v>
      </c>
      <c r="J193">
        <v>62.68</v>
      </c>
      <c r="K193">
        <v>1.08</v>
      </c>
      <c r="L193" t="s">
        <v>85</v>
      </c>
      <c r="M193" t="s">
        <v>228</v>
      </c>
      <c r="N193" t="s">
        <v>958</v>
      </c>
      <c r="O193" t="s">
        <v>6410</v>
      </c>
      <c r="P193" s="5">
        <v>-15.96</v>
      </c>
      <c r="Q193" t="s">
        <v>2073</v>
      </c>
      <c r="R193">
        <v>2806036</v>
      </c>
      <c r="S193">
        <v>1.274</v>
      </c>
      <c r="T193" t="s">
        <v>461</v>
      </c>
      <c r="U193">
        <v>42139500</v>
      </c>
      <c r="V193">
        <v>66670000</v>
      </c>
      <c r="W193">
        <v>1.03</v>
      </c>
      <c r="X193">
        <v>0.02</v>
      </c>
      <c r="Y193">
        <v>10.69</v>
      </c>
      <c r="Z193" t="s">
        <v>6411</v>
      </c>
      <c r="AA193" t="s">
        <v>6412</v>
      </c>
      <c r="AB193" t="s">
        <v>6413</v>
      </c>
      <c r="AC193" t="s">
        <v>6414</v>
      </c>
      <c r="AD193" t="s">
        <v>90</v>
      </c>
      <c r="AE193">
        <v>-2732962</v>
      </c>
      <c r="AF193" t="s">
        <v>6415</v>
      </c>
      <c r="AG193" t="s">
        <v>6416</v>
      </c>
      <c r="AH193" t="s">
        <v>6417</v>
      </c>
      <c r="AI193" t="s">
        <v>6418</v>
      </c>
      <c r="AJ193" t="s">
        <v>6419</v>
      </c>
      <c r="AK193" t="s">
        <v>6420</v>
      </c>
      <c r="AL193" t="s">
        <v>6421</v>
      </c>
      <c r="AM193" t="s">
        <v>90</v>
      </c>
      <c r="AN193" t="s">
        <v>6422</v>
      </c>
      <c r="AO193" t="s">
        <v>1858</v>
      </c>
      <c r="AP193" t="s">
        <v>6423</v>
      </c>
      <c r="AQ193" t="s">
        <v>6424</v>
      </c>
      <c r="AR193" t="s">
        <v>90</v>
      </c>
      <c r="AS193" t="s">
        <v>6425</v>
      </c>
      <c r="AT193" t="s">
        <v>90</v>
      </c>
      <c r="AU193" t="s">
        <v>6426</v>
      </c>
      <c r="AV193" t="s">
        <v>6427</v>
      </c>
      <c r="AW193" t="s">
        <v>6428</v>
      </c>
      <c r="AX193" t="s">
        <v>673</v>
      </c>
      <c r="AY193" t="s">
        <v>451</v>
      </c>
      <c r="AZ193" t="s">
        <v>232</v>
      </c>
      <c r="BA193" t="s">
        <v>151</v>
      </c>
      <c r="BB193" t="s">
        <v>174</v>
      </c>
      <c r="BC193" t="s">
        <v>6429</v>
      </c>
      <c r="BD193" t="s">
        <v>6430</v>
      </c>
      <c r="BE193" t="s">
        <v>6431</v>
      </c>
      <c r="BF193" t="s">
        <v>6432</v>
      </c>
      <c r="BG193" t="s">
        <v>6433</v>
      </c>
      <c r="BH193" t="s">
        <v>247</v>
      </c>
      <c r="BI193" t="s">
        <v>974</v>
      </c>
      <c r="BJ193" t="s">
        <v>673</v>
      </c>
      <c r="BK193" t="s">
        <v>6434</v>
      </c>
      <c r="BL193" t="s">
        <v>6435</v>
      </c>
      <c r="BM193" t="s">
        <v>6429</v>
      </c>
      <c r="BN193" t="s">
        <v>90</v>
      </c>
      <c r="BO193">
        <v>4.83</v>
      </c>
      <c r="BP193">
        <v>24.53</v>
      </c>
      <c r="BQ193">
        <v>-0.92</v>
      </c>
      <c r="BR193">
        <v>5.04</v>
      </c>
      <c r="BS193">
        <v>25.39</v>
      </c>
      <c r="BT193" t="s">
        <v>6436</v>
      </c>
      <c r="BU193" t="s">
        <v>3551</v>
      </c>
      <c r="BV193">
        <v>60.72</v>
      </c>
      <c r="BW193">
        <v>67.23</v>
      </c>
      <c r="BX193">
        <v>73.12</v>
      </c>
      <c r="BY193">
        <v>5.34</v>
      </c>
      <c r="BZ193">
        <v>22.3</v>
      </c>
      <c r="CA193">
        <v>29.71</v>
      </c>
      <c r="CB193">
        <v>-12.21</v>
      </c>
      <c r="CC193" s="8">
        <v>-2.82</v>
      </c>
      <c r="CD193" s="9" t="s">
        <v>6437</v>
      </c>
      <c r="CE193" s="8" t="s">
        <v>6438</v>
      </c>
      <c r="CF193" s="8">
        <v>-0.90593691756272399</v>
      </c>
      <c r="CG193" s="8">
        <v>-0.92937094127241426</v>
      </c>
      <c r="CH193" s="8">
        <v>4.8016529083251953</v>
      </c>
      <c r="CI193" s="8">
        <v>9.0090088546276093E-2</v>
      </c>
      <c r="CJ193" s="9">
        <v>0.1746031790971756</v>
      </c>
      <c r="CK193" s="9">
        <v>0.58823531866073608</v>
      </c>
      <c r="CL193" s="9">
        <v>-1.652892492711544E-2</v>
      </c>
      <c r="CM193" s="9">
        <v>4.4967226982116699</v>
      </c>
      <c r="CN193" s="9">
        <v>-0.18181873857975006</v>
      </c>
      <c r="CO193">
        <v>5.1008764654397964E-2</v>
      </c>
      <c r="CP193">
        <v>1.123605489730835</v>
      </c>
      <c r="CQ193">
        <v>-0.3440127968788147</v>
      </c>
      <c r="CR193" s="8">
        <v>14.930433608240323</v>
      </c>
      <c r="CS193" s="9">
        <v>0.1324077190098705</v>
      </c>
      <c r="CT193">
        <v>0.6280193236714976</v>
      </c>
      <c r="CU193">
        <v>1.1276105139404535</v>
      </c>
      <c r="CV193">
        <v>1.0291010834276677</v>
      </c>
      <c r="CW193">
        <v>0.06</v>
      </c>
      <c r="CX193">
        <v>0.43961544257372254</v>
      </c>
      <c r="CY193">
        <v>596132379.84935343</v>
      </c>
      <c r="CZ193">
        <v>1.1276105139404535</v>
      </c>
      <c r="DA193">
        <v>6.6683030138870655E-2</v>
      </c>
      <c r="DB193">
        <v>3930070356.0445371</v>
      </c>
      <c r="DC193">
        <v>1.0712299882434309</v>
      </c>
      <c r="DD193">
        <v>9.5837311550404751E-3</v>
      </c>
      <c r="DE193">
        <v>27345195285.676105</v>
      </c>
      <c r="DF193">
        <v>0.99229725226759913</v>
      </c>
      <c r="DG193">
        <v>1.1318642813448923E-3</v>
      </c>
      <c r="DH193">
        <v>231537476992.03568</v>
      </c>
      <c r="DI193">
        <v>0.90208841115236282</v>
      </c>
      <c r="DJ193">
        <v>1.019120329802889E-5</v>
      </c>
      <c r="DK193">
        <v>25715216578074.496</v>
      </c>
      <c r="DL193">
        <v>0.78932735975831747</v>
      </c>
      <c r="DM193">
        <v>297000000</v>
      </c>
      <c r="DN193">
        <v>1.1276105139404535</v>
      </c>
      <c r="DO193">
        <v>262069000</v>
      </c>
      <c r="DP193">
        <v>1120346980</v>
      </c>
      <c r="DQ193" s="10">
        <v>4641</v>
      </c>
      <c r="DR193">
        <v>-2.0335474315031776</v>
      </c>
      <c r="DS193">
        <v>-1.958472024700082</v>
      </c>
      <c r="DT193">
        <v>0.10999999999999995</v>
      </c>
      <c r="DU193">
        <v>-0.15666666666666673</v>
      </c>
      <c r="DV193">
        <v>-4.6666666666666787E-2</v>
      </c>
      <c r="DW193">
        <v>-5.2309582309582305</v>
      </c>
      <c r="DX193">
        <v>0.32120544298784626</v>
      </c>
      <c r="DY193">
        <v>-5.0372317239333109</v>
      </c>
      <c r="DZ193">
        <v>468</v>
      </c>
      <c r="EA193">
        <v>-5.033821851760945</v>
      </c>
      <c r="EB193" s="11">
        <v>5</v>
      </c>
      <c r="EC193" s="11">
        <v>0.11845057747112644</v>
      </c>
      <c r="ED193">
        <v>0.73478026098695071</v>
      </c>
      <c r="EE193">
        <v>-2.0899100000000002</v>
      </c>
      <c r="EF193">
        <v>-2.11381</v>
      </c>
      <c r="EG193">
        <v>16.161205442987846</v>
      </c>
      <c r="EH193" s="13" t="s">
        <v>1735</v>
      </c>
      <c r="EI193">
        <v>0</v>
      </c>
      <c r="EJ193">
        <v>1</v>
      </c>
      <c r="EK193">
        <v>45470</v>
      </c>
      <c r="EL193">
        <v>0.08</v>
      </c>
      <c r="EM193">
        <v>-3.65</v>
      </c>
      <c r="EN193">
        <v>-1.5</v>
      </c>
      <c r="EO193">
        <v>2.2000000000000002</v>
      </c>
      <c r="EP193">
        <v>-2.39</v>
      </c>
    </row>
    <row r="194" spans="1:146" ht="96">
      <c r="A194" s="7"/>
      <c r="B194" s="7"/>
      <c r="C194" s="7" t="str">
        <f>""&amp;CHAR(10)&amp;Basic_Fundamental_Information_Constructure(F194)&amp;CHAR(10)&amp;Basic_Fundamental_Information_Concatenate("")</f>
        <v xml:space="preserve">
市值32.494188亿, 利润5785.44万; PE; 平均PE33.17; 平均PEG.79, PB.904; ROIC10.88%; ROE4.92%; 股利率.3214%; 毛利22.5433%; 净利2.5567%; 上一年度营收增-70.71%, 利润增148.62%; 当季营收增176%, 利润增-352.39%; 过往5年营收增41.8%, 利润增59.13%
Income profile:
</v>
      </c>
      <c r="D194" t="s">
        <v>1150</v>
      </c>
      <c r="E194" t="s">
        <v>1151</v>
      </c>
      <c r="F194">
        <v>24.69</v>
      </c>
      <c r="G194">
        <v>0.65</v>
      </c>
      <c r="H194" t="s">
        <v>6439</v>
      </c>
      <c r="I194">
        <v>3249418800</v>
      </c>
      <c r="K194">
        <v>0.90400000000000003</v>
      </c>
      <c r="L194" t="s">
        <v>85</v>
      </c>
      <c r="M194" t="s">
        <v>3266</v>
      </c>
      <c r="N194" t="s">
        <v>6440</v>
      </c>
      <c r="O194" t="s">
        <v>358</v>
      </c>
      <c r="P194">
        <v>18.350000000000001</v>
      </c>
      <c r="Q194" t="s">
        <v>6441</v>
      </c>
      <c r="R194">
        <v>-41764489</v>
      </c>
      <c r="S194" s="5">
        <v>-2.319</v>
      </c>
      <c r="T194" t="s">
        <v>6442</v>
      </c>
      <c r="U194">
        <v>65008698</v>
      </c>
      <c r="V194">
        <v>131608698</v>
      </c>
      <c r="W194">
        <v>1.82</v>
      </c>
      <c r="X194">
        <v>0.05</v>
      </c>
      <c r="Y194">
        <v>-12.12</v>
      </c>
      <c r="Z194" t="s">
        <v>1454</v>
      </c>
      <c r="AA194" t="s">
        <v>457</v>
      </c>
      <c r="AB194" t="s">
        <v>6443</v>
      </c>
      <c r="AC194" t="s">
        <v>6444</v>
      </c>
      <c r="AD194" t="s">
        <v>90</v>
      </c>
      <c r="AE194">
        <v>-475824</v>
      </c>
      <c r="AF194" t="s">
        <v>3269</v>
      </c>
      <c r="AG194" t="s">
        <v>6445</v>
      </c>
      <c r="AH194" t="s">
        <v>3270</v>
      </c>
      <c r="AI194" t="s">
        <v>1400</v>
      </c>
      <c r="AJ194" t="s">
        <v>3271</v>
      </c>
      <c r="AK194" t="s">
        <v>6446</v>
      </c>
      <c r="AL194" t="s">
        <v>3272</v>
      </c>
      <c r="AM194" t="s">
        <v>90</v>
      </c>
      <c r="AN194" t="s">
        <v>401</v>
      </c>
      <c r="AO194" t="s">
        <v>3273</v>
      </c>
      <c r="AP194" t="s">
        <v>103</v>
      </c>
      <c r="AQ194" t="s">
        <v>5976</v>
      </c>
      <c r="AR194" t="s">
        <v>90</v>
      </c>
      <c r="AS194" t="s">
        <v>6447</v>
      </c>
      <c r="AT194" t="s">
        <v>90</v>
      </c>
      <c r="AU194" t="s">
        <v>6448</v>
      </c>
      <c r="AV194" t="s">
        <v>6449</v>
      </c>
      <c r="AW194" t="s">
        <v>6450</v>
      </c>
      <c r="AX194" t="s">
        <v>1495</v>
      </c>
      <c r="AY194" t="s">
        <v>1369</v>
      </c>
      <c r="AZ194" t="s">
        <v>1100</v>
      </c>
      <c r="BA194" t="s">
        <v>1152</v>
      </c>
      <c r="BB194" t="s">
        <v>315</v>
      </c>
      <c r="BC194" t="s">
        <v>2015</v>
      </c>
      <c r="BD194" t="s">
        <v>343</v>
      </c>
      <c r="BE194" t="s">
        <v>909</v>
      </c>
      <c r="BF194" t="s">
        <v>89</v>
      </c>
      <c r="BG194" t="s">
        <v>1153</v>
      </c>
      <c r="BH194" t="s">
        <v>3267</v>
      </c>
      <c r="BI194" t="s">
        <v>579</v>
      </c>
      <c r="BJ194" t="s">
        <v>1495</v>
      </c>
      <c r="BK194" t="s">
        <v>3268</v>
      </c>
      <c r="BL194" t="s">
        <v>6451</v>
      </c>
      <c r="BM194" t="s">
        <v>2015</v>
      </c>
      <c r="BN194" t="s">
        <v>90</v>
      </c>
      <c r="BO194" t="s">
        <v>90</v>
      </c>
      <c r="BP194">
        <v>10.88</v>
      </c>
      <c r="BQ194">
        <v>-0.53</v>
      </c>
      <c r="BR194">
        <v>-3.15</v>
      </c>
      <c r="BS194">
        <v>18.440000000000001</v>
      </c>
      <c r="BT194" t="s">
        <v>6452</v>
      </c>
      <c r="BU194" t="s">
        <v>1381</v>
      </c>
      <c r="BV194">
        <v>24.28</v>
      </c>
      <c r="BW194">
        <v>14.78</v>
      </c>
      <c r="BX194">
        <v>28.57</v>
      </c>
      <c r="BY194">
        <v>1.07</v>
      </c>
      <c r="BZ194">
        <v>-5.13</v>
      </c>
      <c r="CA194">
        <v>11.73</v>
      </c>
      <c r="CB194">
        <v>-2.6</v>
      </c>
      <c r="CC194">
        <v>-11.47</v>
      </c>
      <c r="CD194" t="s">
        <v>6453</v>
      </c>
      <c r="CE194" t="s">
        <v>6454</v>
      </c>
      <c r="CF194" s="8">
        <v>1.76</v>
      </c>
      <c r="CG194" s="9">
        <v>-3.5239458401068453</v>
      </c>
      <c r="CH194" s="8">
        <v>-0.70712745189666748</v>
      </c>
      <c r="CI194" s="8">
        <v>4.7511402517557144E-2</v>
      </c>
      <c r="CJ194" s="8">
        <v>0.8355480432510376</v>
      </c>
      <c r="CK194" s="8">
        <v>0.60319572687149048</v>
      </c>
      <c r="CL194" s="8">
        <v>1.3107692003250122</v>
      </c>
      <c r="CM194" s="9">
        <v>1.4861714839935303</v>
      </c>
      <c r="CN194" s="9">
        <v>-1.4594594240188599</v>
      </c>
      <c r="CO194" s="9">
        <v>0.21596243977546692</v>
      </c>
      <c r="CP194" s="9">
        <v>0.58955222368240356</v>
      </c>
      <c r="CQ194" s="9">
        <v>2.1241693496704102</v>
      </c>
      <c r="CR194">
        <v>33.17167523783241</v>
      </c>
      <c r="CS194">
        <v>0.79361988869943556</v>
      </c>
      <c r="CT194">
        <v>0.32138517618469015</v>
      </c>
      <c r="CU194" s="8">
        <v>0.41797938421368597</v>
      </c>
      <c r="CV194" s="9">
        <v>0.59127921462059019</v>
      </c>
      <c r="CW194">
        <v>0.06</v>
      </c>
      <c r="CX194">
        <v>34.905307837994094</v>
      </c>
      <c r="CY194">
        <v>77392779.703822896</v>
      </c>
      <c r="CZ194">
        <v>0.41797938421368597</v>
      </c>
      <c r="DA194">
        <v>8.7364640347968532</v>
      </c>
      <c r="DB194">
        <v>309211917.91557747</v>
      </c>
      <c r="DC194">
        <v>0.39708041500300167</v>
      </c>
      <c r="DD194">
        <v>2.9053582335541974</v>
      </c>
      <c r="DE194">
        <v>929805752.97087765</v>
      </c>
      <c r="DF194">
        <v>0.36782185810804363</v>
      </c>
      <c r="DG194">
        <v>1.0675060818586413</v>
      </c>
      <c r="DH194">
        <v>2530588673.8336358</v>
      </c>
      <c r="DI194">
        <v>0.3343835073709488</v>
      </c>
      <c r="DJ194">
        <v>0.16203394474307828</v>
      </c>
      <c r="DK194">
        <v>16671931330.705927</v>
      </c>
      <c r="DL194">
        <v>0.29258556894958015</v>
      </c>
      <c r="DM194">
        <v>57854399.999999993</v>
      </c>
      <c r="DN194">
        <v>0.41797938421368597</v>
      </c>
      <c r="DO194">
        <v>2701418799.9999995</v>
      </c>
      <c r="DP194">
        <v>1797233500</v>
      </c>
      <c r="DQ194">
        <v>4725</v>
      </c>
      <c r="DR194">
        <v>1.3420206157863142</v>
      </c>
      <c r="DS194">
        <v>-4.1152250547274356</v>
      </c>
      <c r="DT194" s="10">
        <v>-7.3333333333333472E-2</v>
      </c>
      <c r="DU194">
        <v>-0.54500000000000004</v>
      </c>
      <c r="DV194">
        <v>-0.61833333333333351</v>
      </c>
      <c r="DW194">
        <v>-8.2266782911944194</v>
      </c>
      <c r="DX194">
        <v>0.36369403336789619</v>
      </c>
      <c r="DY194">
        <v>-8.0212384033789483</v>
      </c>
      <c r="DZ194">
        <v>777</v>
      </c>
      <c r="EA194">
        <v>-8.0180090023172177</v>
      </c>
      <c r="EB194">
        <v>8</v>
      </c>
      <c r="EC194">
        <v>4.5316153800108259E-3</v>
      </c>
      <c r="ED194">
        <v>4.836610419168496E-2</v>
      </c>
      <c r="EE194" s="11">
        <v>-6.0306100000000002</v>
      </c>
      <c r="EF194">
        <v>-6.1066099999999999</v>
      </c>
      <c r="EG194">
        <v>27.093694033367896</v>
      </c>
      <c r="EH194" t="s">
        <v>2641</v>
      </c>
      <c r="EI194">
        <v>0</v>
      </c>
      <c r="EJ194">
        <v>1</v>
      </c>
      <c r="EK194" s="13">
        <v>45470</v>
      </c>
      <c r="EL194" s="14">
        <v>-2.63</v>
      </c>
      <c r="EM194" s="14">
        <v>-2.7</v>
      </c>
      <c r="EN194">
        <v>0.87</v>
      </c>
      <c r="EO194">
        <v>0.86</v>
      </c>
      <c r="EP194">
        <v>-7.6</v>
      </c>
    </row>
    <row r="195" spans="1:146" ht="108">
      <c r="A195" s="7"/>
      <c r="B195" s="7"/>
      <c r="C195" s="7" t="str">
        <f>""&amp;CHAR(10)&amp;Basic_Fundamental_Information_Constructure(F195)&amp;CHAR(10)&amp;Basic_Fundamental_Information_Concatenate("")</f>
        <v xml:space="preserve">
市值10.0971995亿, 利润1.13亿; PE24.05; 平均PE18.26; 平均PEG.38, PB1.28; ROIC13.0233%; ROE16.4733%; 股利率1.8739%; 毛利26.41%; 净利10.3867%; 上一年度营收增106.67%, 利润增59.39%; 当季营收增-77.65%, 利润增-195.61%; 过往5年营收增47.58%, 利润增127.31%
Income profile:
</v>
      </c>
      <c r="D195" t="s">
        <v>1429</v>
      </c>
      <c r="E195" t="s">
        <v>1512</v>
      </c>
      <c r="F195">
        <v>11.74</v>
      </c>
      <c r="G195">
        <v>1.03</v>
      </c>
      <c r="H195" t="s">
        <v>2650</v>
      </c>
      <c r="I195">
        <v>1009719950</v>
      </c>
      <c r="J195">
        <v>24.05</v>
      </c>
      <c r="K195">
        <v>1.28</v>
      </c>
      <c r="L195" t="s">
        <v>85</v>
      </c>
      <c r="M195" t="s">
        <v>2079</v>
      </c>
      <c r="N195" t="s">
        <v>6455</v>
      </c>
      <c r="O195" t="s">
        <v>3275</v>
      </c>
      <c r="P195">
        <v>1.77</v>
      </c>
      <c r="Q195" t="s">
        <v>3439</v>
      </c>
      <c r="R195">
        <v>-10162292</v>
      </c>
      <c r="S195" s="5">
        <v>-3.1600000000000003E-2</v>
      </c>
      <c r="T195" t="s">
        <v>143</v>
      </c>
      <c r="U195">
        <v>52058525</v>
      </c>
      <c r="V195">
        <v>86006810</v>
      </c>
      <c r="W195">
        <v>2</v>
      </c>
      <c r="X195">
        <v>0.03</v>
      </c>
      <c r="Y195">
        <v>-19.27</v>
      </c>
      <c r="Z195" t="s">
        <v>6456</v>
      </c>
      <c r="AA195" t="s">
        <v>6457</v>
      </c>
      <c r="AB195" t="s">
        <v>6458</v>
      </c>
      <c r="AC195" t="s">
        <v>6459</v>
      </c>
      <c r="AD195" t="s">
        <v>90</v>
      </c>
      <c r="AE195">
        <v>-1725295</v>
      </c>
      <c r="AF195" t="s">
        <v>3277</v>
      </c>
      <c r="AG195" t="s">
        <v>90</v>
      </c>
      <c r="AH195" t="s">
        <v>3278</v>
      </c>
      <c r="AI195" t="s">
        <v>433</v>
      </c>
      <c r="AJ195" t="s">
        <v>3279</v>
      </c>
      <c r="AK195" t="s">
        <v>6460</v>
      </c>
      <c r="AL195" t="s">
        <v>3280</v>
      </c>
      <c r="AM195" t="s">
        <v>90</v>
      </c>
      <c r="AN195" t="s">
        <v>6461</v>
      </c>
      <c r="AO195" t="s">
        <v>6462</v>
      </c>
      <c r="AP195" t="s">
        <v>6463</v>
      </c>
      <c r="AQ195" t="s">
        <v>335</v>
      </c>
      <c r="AR195" t="s">
        <v>90</v>
      </c>
      <c r="AS195" t="s">
        <v>2502</v>
      </c>
      <c r="AT195" t="s">
        <v>90</v>
      </c>
      <c r="AU195" t="s">
        <v>6464</v>
      </c>
      <c r="AV195" t="s">
        <v>6465</v>
      </c>
      <c r="AW195" t="s">
        <v>6466</v>
      </c>
      <c r="AX195" t="s">
        <v>2016</v>
      </c>
      <c r="AY195" t="s">
        <v>462</v>
      </c>
      <c r="AZ195" t="s">
        <v>565</v>
      </c>
      <c r="BA195" t="s">
        <v>379</v>
      </c>
      <c r="BB195" t="s">
        <v>399</v>
      </c>
      <c r="BC195" t="s">
        <v>3281</v>
      </c>
      <c r="BD195" t="s">
        <v>1430</v>
      </c>
      <c r="BE195" t="s">
        <v>1431</v>
      </c>
      <c r="BF195" t="s">
        <v>1432</v>
      </c>
      <c r="BG195" t="s">
        <v>1433</v>
      </c>
      <c r="BH195" t="s">
        <v>171</v>
      </c>
      <c r="BI195" t="s">
        <v>1453</v>
      </c>
      <c r="BJ195" t="s">
        <v>2016</v>
      </c>
      <c r="BK195" t="s">
        <v>3276</v>
      </c>
      <c r="BL195" t="s">
        <v>6467</v>
      </c>
      <c r="BM195" t="s">
        <v>3281</v>
      </c>
      <c r="BN195">
        <v>0.34</v>
      </c>
      <c r="BO195">
        <v>12.13</v>
      </c>
      <c r="BP195">
        <v>26.6</v>
      </c>
      <c r="BQ195">
        <v>1.01</v>
      </c>
      <c r="BR195">
        <v>14.09</v>
      </c>
      <c r="BS195">
        <v>34.32</v>
      </c>
      <c r="BT195" t="s">
        <v>3282</v>
      </c>
      <c r="BU195" t="s">
        <v>1381</v>
      </c>
      <c r="BV195">
        <v>23.81</v>
      </c>
      <c r="BW195">
        <v>26.4</v>
      </c>
      <c r="BX195">
        <v>29.02</v>
      </c>
      <c r="BY195">
        <v>6.36</v>
      </c>
      <c r="BZ195">
        <v>12.12</v>
      </c>
      <c r="CA195">
        <v>12.68</v>
      </c>
      <c r="CB195">
        <v>-7.23</v>
      </c>
      <c r="CC195">
        <v>-11.52</v>
      </c>
      <c r="CD195" t="s">
        <v>6468</v>
      </c>
      <c r="CE195" t="s">
        <v>6469</v>
      </c>
      <c r="CF195" s="8">
        <v>-0.77652118644067791</v>
      </c>
      <c r="CG195" s="9">
        <v>-1.9561090621707056</v>
      </c>
      <c r="CH195" s="8">
        <v>1.0666666030883789</v>
      </c>
      <c r="CI195" s="8">
        <v>8.5343226790428162E-2</v>
      </c>
      <c r="CJ195" s="8">
        <v>0.34079602360725403</v>
      </c>
      <c r="CK195" s="8">
        <v>0.34000000357627869</v>
      </c>
      <c r="CL195" s="8">
        <v>0.54639172554016113</v>
      </c>
      <c r="CM195" s="9">
        <v>0.5939289927482605</v>
      </c>
      <c r="CN195" s="9">
        <v>3.8152780383825302E-2</v>
      </c>
      <c r="CO195" s="9">
        <v>0.2722703218460083</v>
      </c>
      <c r="CP195" s="9">
        <v>1.488783597946167</v>
      </c>
      <c r="CQ195" s="9">
        <v>3.9723560810089111</v>
      </c>
      <c r="CR195">
        <v>18.261091188810262</v>
      </c>
      <c r="CS195">
        <v>0.38376575620161918</v>
      </c>
      <c r="CT195">
        <v>1.8739352640545146</v>
      </c>
      <c r="CU195" s="8">
        <v>0.47583951652050016</v>
      </c>
      <c r="CV195" s="9">
        <v>1.2730983547866344</v>
      </c>
      <c r="CW195">
        <v>0.06</v>
      </c>
      <c r="CX195">
        <v>6.0555493330807968</v>
      </c>
      <c r="CY195">
        <v>157330061.66680804</v>
      </c>
      <c r="CZ195">
        <v>0.47583951652050016</v>
      </c>
      <c r="DA195">
        <v>1.4494219061261717</v>
      </c>
      <c r="DB195">
        <v>657310301.41962409</v>
      </c>
      <c r="DC195">
        <v>0.45204754069447511</v>
      </c>
      <c r="DD195">
        <v>0.44892739580152885</v>
      </c>
      <c r="DE195">
        <v>2122213878.9257545</v>
      </c>
      <c r="DF195">
        <v>0.41873877453804015</v>
      </c>
      <c r="DG195">
        <v>0.14999075736469242</v>
      </c>
      <c r="DH195">
        <v>6351857719.3628378</v>
      </c>
      <c r="DI195">
        <v>0.38067161321640014</v>
      </c>
      <c r="DJ195">
        <v>1.7812685534440289E-2</v>
      </c>
      <c r="DK195">
        <v>53485475177.672943</v>
      </c>
      <c r="DL195">
        <v>0.3330876615643501</v>
      </c>
      <c r="DM195">
        <v>112999999.99999999</v>
      </c>
      <c r="DN195">
        <v>0.47583951652050016</v>
      </c>
      <c r="DO195">
        <v>952719950</v>
      </c>
      <c r="DP195">
        <v>474413030</v>
      </c>
      <c r="DQ195">
        <v>4757</v>
      </c>
      <c r="DR195">
        <v>-1.2523607029611781</v>
      </c>
      <c r="DS195">
        <v>-3.2292074169573399</v>
      </c>
      <c r="DT195" s="10">
        <v>0.24333333333333326</v>
      </c>
      <c r="DU195">
        <v>0.18833333333333324</v>
      </c>
      <c r="DV195">
        <v>0.43166666666666653</v>
      </c>
      <c r="DW195">
        <v>-9.6276041666666661</v>
      </c>
      <c r="DX195">
        <v>0.37925347470984377</v>
      </c>
      <c r="DY195">
        <v>-9.1187762692840426</v>
      </c>
      <c r="DZ195">
        <v>192</v>
      </c>
      <c r="EA195">
        <v>-9.1143134427277737</v>
      </c>
      <c r="EB195">
        <v>9</v>
      </c>
      <c r="EC195">
        <v>3.0713846961653392E-2</v>
      </c>
      <c r="ED195">
        <v>0.1622894745195177</v>
      </c>
      <c r="EE195" s="11">
        <v>-3.0950099999999998</v>
      </c>
      <c r="EF195">
        <v>-3.10331</v>
      </c>
      <c r="EG195">
        <v>19.189253474709844</v>
      </c>
      <c r="EH195" t="s">
        <v>2117</v>
      </c>
      <c r="EI195">
        <v>0</v>
      </c>
      <c r="EJ195">
        <v>1</v>
      </c>
      <c r="EK195" s="13">
        <v>45470</v>
      </c>
      <c r="EL195" s="14">
        <v>1.08</v>
      </c>
      <c r="EM195" s="14">
        <v>-4.1900000000000004</v>
      </c>
      <c r="EN195">
        <v>-2.71</v>
      </c>
      <c r="EO195">
        <v>3.21</v>
      </c>
      <c r="EP195">
        <v>-0.83</v>
      </c>
    </row>
    <row r="196" spans="1:146" ht="108">
      <c r="A196" s="7"/>
      <c r="B196" s="7"/>
      <c r="C196" s="7" t="str">
        <f>""&amp;CHAR(10)&amp;Basic_Fundamental_Information_Constructure(F196)&amp;CHAR(10)&amp;Basic_Fundamental_Information_Concatenate("")</f>
        <v xml:space="preserve">
市值28.500186亿, 利润5616.05万; PE16.98; 平均PE28.82; 平均PEG32.43, PB1.34; ROIC7.9967%; ROE10.1033%; 股利率2.5397%; 毛利33.06%; 净利14.3%; 上一年度营收增-72.97%, 利润增-61.8%; 当季营收增509.12%, 利润增534.92%; 过往5年营收增-.89%, 利润增6.91%
Income profile:
</v>
      </c>
      <c r="D196" t="s">
        <v>1181</v>
      </c>
      <c r="E196" t="s">
        <v>1182</v>
      </c>
      <c r="F196">
        <v>15.75</v>
      </c>
      <c r="G196">
        <v>2.0099999999999998</v>
      </c>
      <c r="H196" t="s">
        <v>6470</v>
      </c>
      <c r="I196">
        <v>2850018600</v>
      </c>
      <c r="J196">
        <v>16.98</v>
      </c>
      <c r="K196">
        <v>1.34</v>
      </c>
      <c r="L196" t="s">
        <v>85</v>
      </c>
      <c r="M196" t="s">
        <v>3283</v>
      </c>
      <c r="N196" t="s">
        <v>1754</v>
      </c>
      <c r="O196" t="s">
        <v>97</v>
      </c>
      <c r="P196">
        <v>5.98</v>
      </c>
      <c r="Q196" t="s">
        <v>501</v>
      </c>
      <c r="R196">
        <v>42984392</v>
      </c>
      <c r="S196" s="5">
        <v>0.12620000000000001</v>
      </c>
      <c r="T196" t="s">
        <v>6471</v>
      </c>
      <c r="U196">
        <v>132723842</v>
      </c>
      <c r="V196">
        <v>180953560</v>
      </c>
      <c r="W196">
        <v>1.47</v>
      </c>
      <c r="X196">
        <v>0.11</v>
      </c>
      <c r="Y196">
        <v>12.67</v>
      </c>
      <c r="Z196" t="s">
        <v>1480</v>
      </c>
      <c r="AA196" t="s">
        <v>2055</v>
      </c>
      <c r="AB196" t="s">
        <v>6472</v>
      </c>
      <c r="AC196" t="s">
        <v>6473</v>
      </c>
      <c r="AD196" t="s">
        <v>90</v>
      </c>
      <c r="AE196">
        <v>3495487</v>
      </c>
      <c r="AF196" t="s">
        <v>3286</v>
      </c>
      <c r="AG196" t="s">
        <v>6474</v>
      </c>
      <c r="AH196" t="s">
        <v>3287</v>
      </c>
      <c r="AI196" t="s">
        <v>232</v>
      </c>
      <c r="AJ196" t="s">
        <v>3288</v>
      </c>
      <c r="AK196" t="s">
        <v>479</v>
      </c>
      <c r="AL196" t="s">
        <v>3289</v>
      </c>
      <c r="AM196" t="s">
        <v>90</v>
      </c>
      <c r="AN196" t="s">
        <v>339</v>
      </c>
      <c r="AO196" t="s">
        <v>533</v>
      </c>
      <c r="AP196" t="s">
        <v>1403</v>
      </c>
      <c r="AQ196" t="s">
        <v>856</v>
      </c>
      <c r="AR196" t="s">
        <v>90</v>
      </c>
      <c r="AS196" t="s">
        <v>4993</v>
      </c>
      <c r="AT196" t="s">
        <v>6475</v>
      </c>
      <c r="AU196" t="s">
        <v>6476</v>
      </c>
      <c r="AV196" t="s">
        <v>6477</v>
      </c>
      <c r="AW196" t="s">
        <v>6478</v>
      </c>
      <c r="AX196" t="s">
        <v>1496</v>
      </c>
      <c r="AY196" t="s">
        <v>627</v>
      </c>
      <c r="AZ196" t="s">
        <v>1183</v>
      </c>
      <c r="BA196" t="s">
        <v>1056</v>
      </c>
      <c r="BB196" t="s">
        <v>1112</v>
      </c>
      <c r="BC196" t="s">
        <v>314</v>
      </c>
      <c r="BD196" t="s">
        <v>195</v>
      </c>
      <c r="BE196" t="s">
        <v>282</v>
      </c>
      <c r="BF196" t="s">
        <v>1184</v>
      </c>
      <c r="BG196" t="s">
        <v>1185</v>
      </c>
      <c r="BH196" t="s">
        <v>3284</v>
      </c>
      <c r="BI196" t="s">
        <v>6479</v>
      </c>
      <c r="BJ196" t="s">
        <v>1496</v>
      </c>
      <c r="BK196" t="s">
        <v>841</v>
      </c>
      <c r="BL196" t="s">
        <v>6480</v>
      </c>
      <c r="BM196" t="s">
        <v>314</v>
      </c>
      <c r="BN196">
        <v>5.95</v>
      </c>
      <c r="BO196">
        <v>7.26</v>
      </c>
      <c r="BP196">
        <v>10.78</v>
      </c>
      <c r="BQ196">
        <v>6.1</v>
      </c>
      <c r="BR196">
        <v>7.22</v>
      </c>
      <c r="BS196">
        <v>16.989999999999998</v>
      </c>
      <c r="BT196" t="s">
        <v>2823</v>
      </c>
      <c r="BU196" t="s">
        <v>1337</v>
      </c>
      <c r="BV196">
        <v>32.520000000000003</v>
      </c>
      <c r="BW196">
        <v>29.89</v>
      </c>
      <c r="BX196">
        <v>36.770000000000003</v>
      </c>
      <c r="BY196">
        <v>12.09</v>
      </c>
      <c r="BZ196">
        <v>14.03</v>
      </c>
      <c r="CA196">
        <v>16.78</v>
      </c>
      <c r="CB196">
        <v>2.74</v>
      </c>
      <c r="CC196">
        <v>-11.37</v>
      </c>
      <c r="CD196" t="s">
        <v>6481</v>
      </c>
      <c r="CE196" t="s">
        <v>6482</v>
      </c>
      <c r="CF196" s="8">
        <v>5.0911979098224434</v>
      </c>
      <c r="CG196" s="9">
        <v>5.3491517112007205</v>
      </c>
      <c r="CH196" s="8">
        <v>-0.72972971200942993</v>
      </c>
      <c r="CI196" s="8">
        <v>0.32438477873802185</v>
      </c>
      <c r="CJ196" s="8">
        <v>0.22465753555297852</v>
      </c>
      <c r="CK196" s="8">
        <v>5.1873199641704559E-2</v>
      </c>
      <c r="CL196" s="8">
        <v>8.4375001490116119E-2</v>
      </c>
      <c r="CM196" s="9">
        <v>-0.61795580387115479</v>
      </c>
      <c r="CN196" s="9">
        <v>8.0882355570793152E-2</v>
      </c>
      <c r="CO196" s="9">
        <v>0.19298245012760162</v>
      </c>
      <c r="CP196" s="9">
        <v>0.49372634291648865</v>
      </c>
      <c r="CQ196" s="9">
        <v>0.1957983672618866</v>
      </c>
      <c r="CR196">
        <v>28.821910576813682</v>
      </c>
      <c r="CS196">
        <v>32.428478449921784</v>
      </c>
      <c r="CT196">
        <v>2.5396825396825395</v>
      </c>
      <c r="CU196" s="8">
        <v>-8.887839317321778E-3</v>
      </c>
      <c r="CV196" s="9">
        <v>6.9086742401123044E-2</v>
      </c>
      <c r="CW196">
        <v>0.06</v>
      </c>
      <c r="CX196">
        <v>30.270716962990001</v>
      </c>
      <c r="CY196" t="s">
        <v>6483</v>
      </c>
      <c r="CZ196">
        <v>-8.887839317321778E-3</v>
      </c>
      <c r="DA196">
        <v>10.090238987663334</v>
      </c>
      <c r="DB196" t="s">
        <v>6484</v>
      </c>
      <c r="DC196">
        <v>-8.443447351455689E-3</v>
      </c>
      <c r="DD196">
        <v>5.0451194938316668</v>
      </c>
      <c r="DE196" t="s">
        <v>6485</v>
      </c>
      <c r="DF196">
        <v>-7.8212985992431646E-3</v>
      </c>
      <c r="DG196">
        <v>3.0270716962990001</v>
      </c>
      <c r="DH196" t="s">
        <v>6486</v>
      </c>
      <c r="DI196">
        <v>-7.1102714538574226E-3</v>
      </c>
      <c r="DJ196">
        <v>1.5135358481495</v>
      </c>
      <c r="DK196" t="s">
        <v>6487</v>
      </c>
      <c r="DL196">
        <v>-6.2214875221252445E-3</v>
      </c>
      <c r="DM196">
        <v>56160500</v>
      </c>
      <c r="DN196">
        <v>-8.887839317321778E-3</v>
      </c>
      <c r="DO196">
        <v>1700018600</v>
      </c>
      <c r="DP196">
        <v>1417703000</v>
      </c>
      <c r="DQ196">
        <v>4762</v>
      </c>
      <c r="DR196">
        <v>5.1000857491397653</v>
      </c>
      <c r="DS196">
        <v>5.2800649687995973</v>
      </c>
      <c r="DT196" s="10">
        <v>-0.49</v>
      </c>
      <c r="DU196">
        <v>1.6666666666666607E-2</v>
      </c>
      <c r="DV196">
        <v>-0.47333333333333338</v>
      </c>
      <c r="DW196">
        <v>6.1941885187810062</v>
      </c>
      <c r="DX196">
        <v>0.37175728422034293</v>
      </c>
      <c r="DY196">
        <v>6.0314114074247867</v>
      </c>
      <c r="DZ196">
        <v>1770</v>
      </c>
      <c r="EA196">
        <v>6.0205311351856725</v>
      </c>
      <c r="EB196">
        <v>6</v>
      </c>
      <c r="EC196">
        <v>2.7986186068956035E-2</v>
      </c>
      <c r="ED196">
        <v>0.17301345162814147</v>
      </c>
      <c r="EE196" s="11">
        <v>-3.0685099999999998</v>
      </c>
      <c r="EF196">
        <v>-3.0939100000000002</v>
      </c>
      <c r="EG196">
        <v>21.161757284220343</v>
      </c>
      <c r="EH196" t="s">
        <v>2117</v>
      </c>
      <c r="EI196">
        <v>0</v>
      </c>
      <c r="EJ196">
        <v>0</v>
      </c>
      <c r="EK196" s="13">
        <v>45470</v>
      </c>
      <c r="EL196" s="14">
        <v>-2.52</v>
      </c>
      <c r="EM196" s="14">
        <v>-4.3899999999999997</v>
      </c>
      <c r="EN196">
        <v>-4.5</v>
      </c>
      <c r="EO196">
        <v>5.47</v>
      </c>
      <c r="EP196">
        <v>-2.54</v>
      </c>
    </row>
    <row r="197" spans="1:146" ht="312">
      <c r="A197" s="7" t="s">
        <v>2128</v>
      </c>
      <c r="B197" s="7" t="s">
        <v>1519</v>
      </c>
      <c r="C197" s="7" t="str">
        <f>"公司主要从事高端制造装备产业开展研发、生产、销售及服务，主要产品为系列化五轴立式（含车铣）、五轴卧式（含车铣）、五轴龙门、五轴卧式铣车复合四大通用加工中心和五轴磨削、五轴叶片两大系列化专用机床，以及服务于高端数控机床的高档数控系统，伺服驱动装置，系列化电机，系列化传感产品，电主轴，铣头，转台等。"&amp;CHAR(10)&amp;Basic_Fundamental_Information_Constructure(C197)&amp;CHAR(10)&amp;Basic_Fundamental_Information_Concatenate("高档数控机床 2.33亿 92.03% 93.06% 43.62%
其他 1265.79万 4.99% 3.93% 33.95%
关键功能部件 574.15万 2.26% 2.18% 41.63%
高档数控系统 181.53万 0.72% 0.83% 49.81%")</f>
        <v>公司主要从事高端制造装备产业开展研发、生产、销售及服务，主要产品为系列化五轴立式（含车铣）、五轴卧式（含车铣）、五轴龙门、五轴卧式铣车复合四大通用加工中心和五轴磨削、五轴叶片两大系列化专用机床，以及服务于高端数控机床的高档数控系统，伺服驱动装置，系列化电机，系列化传感产品，电主轴，铣头，转台等。
市值62.242178亿, 利润-2.06亿; PE69.03; 平均PE-1143.86; 平均PEG-8.23, PB3.59; ROIC7.3833%; ROE7.9033%; 股利率.4085%; 毛利43.8567%; 净利23.4467%; 上一年度营收增565.4%, 利润增-441.38%; 当季营收增-53.67%, 利润增133.09%; 过往5年营收增139%, 利润增-31.14%
Income profile:
高档数控机床 2.33亿 92.03% 93.06% 43.62%
其他 1265.79万 4.99% 3.93% 33.95%
关键功能部件 574.15万 2.26% 2.18% 41.63%
高档数控系统 181.53万 0.72% 0.83% 49.81%</v>
      </c>
      <c r="D197" t="s">
        <v>1057</v>
      </c>
      <c r="E197" t="s">
        <v>1058</v>
      </c>
      <c r="F197">
        <v>61.2</v>
      </c>
      <c r="G197">
        <v>1.29</v>
      </c>
      <c r="H197" t="s">
        <v>6488</v>
      </c>
      <c r="I197">
        <v>6224217800</v>
      </c>
      <c r="J197">
        <v>69.03</v>
      </c>
      <c r="K197">
        <v>3.59</v>
      </c>
      <c r="L197" t="s">
        <v>85</v>
      </c>
      <c r="M197" t="s">
        <v>1549</v>
      </c>
      <c r="N197" t="s">
        <v>1890</v>
      </c>
      <c r="O197" t="s">
        <v>210</v>
      </c>
      <c r="P197">
        <v>18.63</v>
      </c>
      <c r="Q197" t="s">
        <v>6489</v>
      </c>
      <c r="R197">
        <v>15063703</v>
      </c>
      <c r="S197" s="5">
        <v>-0.43969999999999998</v>
      </c>
      <c r="T197" t="s">
        <v>6490</v>
      </c>
      <c r="U197">
        <v>53177757</v>
      </c>
      <c r="V197">
        <v>101702906</v>
      </c>
      <c r="W197">
        <v>1.33</v>
      </c>
      <c r="X197">
        <v>7.0000000000000007E-2</v>
      </c>
      <c r="Y197">
        <v>14.86</v>
      </c>
      <c r="Z197" t="s">
        <v>6491</v>
      </c>
      <c r="AA197" t="s">
        <v>6492</v>
      </c>
      <c r="AB197" t="s">
        <v>6493</v>
      </c>
      <c r="AC197" t="s">
        <v>6494</v>
      </c>
      <c r="AD197" t="s">
        <v>90</v>
      </c>
      <c r="AE197">
        <v>-672535</v>
      </c>
      <c r="AF197" t="s">
        <v>3290</v>
      </c>
      <c r="AG197">
        <v>3409.8</v>
      </c>
      <c r="AH197" t="s">
        <v>3291</v>
      </c>
      <c r="AI197" t="s">
        <v>856</v>
      </c>
      <c r="AJ197" t="s">
        <v>3292</v>
      </c>
      <c r="AK197" t="s">
        <v>6495</v>
      </c>
      <c r="AL197" t="s">
        <v>3293</v>
      </c>
      <c r="AM197" t="s">
        <v>90</v>
      </c>
      <c r="AN197" t="s">
        <v>6496</v>
      </c>
      <c r="AO197" t="s">
        <v>6497</v>
      </c>
      <c r="AP197" t="s">
        <v>6498</v>
      </c>
      <c r="AQ197" t="s">
        <v>274</v>
      </c>
      <c r="AR197" t="s">
        <v>90</v>
      </c>
      <c r="AS197" t="s">
        <v>1234</v>
      </c>
      <c r="AT197" t="s">
        <v>90</v>
      </c>
      <c r="AU197" t="s">
        <v>6499</v>
      </c>
      <c r="AV197" t="s">
        <v>6500</v>
      </c>
      <c r="AW197" t="s">
        <v>90</v>
      </c>
      <c r="AX197" t="s">
        <v>584</v>
      </c>
      <c r="AY197" t="s">
        <v>208</v>
      </c>
      <c r="AZ197" t="s">
        <v>170</v>
      </c>
      <c r="BA197" t="s">
        <v>485</v>
      </c>
      <c r="BB197" t="s">
        <v>418</v>
      </c>
      <c r="BC197" t="s">
        <v>3294</v>
      </c>
      <c r="BD197" t="s">
        <v>1370</v>
      </c>
      <c r="BE197" t="s">
        <v>1059</v>
      </c>
      <c r="BF197" t="s">
        <v>1060</v>
      </c>
      <c r="BG197" t="s">
        <v>1061</v>
      </c>
      <c r="BH197" t="s">
        <v>321</v>
      </c>
      <c r="BI197" t="s">
        <v>197</v>
      </c>
      <c r="BJ197" t="s">
        <v>584</v>
      </c>
      <c r="BK197" t="s">
        <v>249</v>
      </c>
      <c r="BL197" t="s">
        <v>6501</v>
      </c>
      <c r="BM197" t="s">
        <v>3294</v>
      </c>
      <c r="BN197">
        <v>5.72</v>
      </c>
      <c r="BO197">
        <v>6.09</v>
      </c>
      <c r="BP197">
        <v>10.34</v>
      </c>
      <c r="BQ197">
        <v>6.09</v>
      </c>
      <c r="BR197">
        <v>6.65</v>
      </c>
      <c r="BS197">
        <v>10.97</v>
      </c>
      <c r="BT197" t="s">
        <v>1721</v>
      </c>
      <c r="BU197" t="s">
        <v>1447</v>
      </c>
      <c r="BV197">
        <v>46.03</v>
      </c>
      <c r="BW197">
        <v>42.4</v>
      </c>
      <c r="BX197">
        <v>43.14</v>
      </c>
      <c r="BY197">
        <v>22.49</v>
      </c>
      <c r="BZ197">
        <v>19.13</v>
      </c>
      <c r="CA197">
        <v>28.72</v>
      </c>
      <c r="CB197">
        <v>-5.0599999999999996</v>
      </c>
      <c r="CC197">
        <v>-8.86</v>
      </c>
      <c r="CD197" t="s">
        <v>6502</v>
      </c>
      <c r="CE197" t="s">
        <v>6503</v>
      </c>
      <c r="CF197" s="8">
        <v>-0.53669724770642213</v>
      </c>
      <c r="CG197" s="9">
        <v>1.3308798669776964</v>
      </c>
      <c r="CH197" s="8">
        <v>5.6539678573608398</v>
      </c>
      <c r="CI197" s="8">
        <v>0.24015748500823975</v>
      </c>
      <c r="CJ197" s="8">
        <v>0.28282827138900757</v>
      </c>
      <c r="CK197" s="8">
        <v>0.39436620473861694</v>
      </c>
      <c r="CL197" s="8">
        <v>0.37864077091217041</v>
      </c>
      <c r="CM197" s="9">
        <v>-4.413823127746582</v>
      </c>
      <c r="CN197" s="9">
        <v>-0.17187497019767761</v>
      </c>
      <c r="CO197" s="9">
        <v>1.0681082010269165</v>
      </c>
      <c r="CP197" s="9">
        <v>-0.17022243142127991</v>
      </c>
      <c r="CQ197" s="9">
        <v>2.1306934356689453</v>
      </c>
      <c r="CR197">
        <v>-1143.8563001170035</v>
      </c>
      <c r="CS197">
        <v>-8.2292286798010004</v>
      </c>
      <c r="CT197">
        <v>0.40849673202614378</v>
      </c>
      <c r="CU197" s="8">
        <v>1.3899921178817749</v>
      </c>
      <c r="CV197" s="9">
        <v>-0.31142377853393555</v>
      </c>
      <c r="CW197">
        <v>0.06</v>
      </c>
      <c r="CX197" t="e">
        <v>#VALUE!</v>
      </c>
      <c r="CY197" t="s">
        <v>1391</v>
      </c>
      <c r="CZ197">
        <v>1.3899921178817749</v>
      </c>
      <c r="DA197" t="e">
        <v>#VALUE!</v>
      </c>
      <c r="DB197" t="s">
        <v>1391</v>
      </c>
      <c r="DC197">
        <v>1.320492511987686</v>
      </c>
      <c r="DD197" t="e">
        <v>#VALUE!</v>
      </c>
      <c r="DE197" t="s">
        <v>1391</v>
      </c>
      <c r="DF197">
        <v>1.2231930637359618</v>
      </c>
      <c r="DG197" t="e">
        <v>#VALUE!</v>
      </c>
      <c r="DH197" t="s">
        <v>1391</v>
      </c>
      <c r="DI197">
        <v>1.1119936943054201</v>
      </c>
      <c r="DJ197" t="e">
        <v>#VALUE!</v>
      </c>
      <c r="DK197" t="s">
        <v>1391</v>
      </c>
      <c r="DL197">
        <v>0.97299448251724241</v>
      </c>
      <c r="DM197">
        <v>-206000000</v>
      </c>
      <c r="DN197">
        <v>1.3899921178817749</v>
      </c>
      <c r="DO197">
        <v>5441217800</v>
      </c>
      <c r="DP197">
        <v>708709950</v>
      </c>
      <c r="DQ197">
        <v>4804</v>
      </c>
      <c r="DR197">
        <v>-1.9266893655881971</v>
      </c>
      <c r="DS197">
        <v>1.642303645511632</v>
      </c>
      <c r="DT197" s="10">
        <v>0.35999999999999993</v>
      </c>
      <c r="DU197">
        <v>-0.54500000000000004</v>
      </c>
      <c r="DV197">
        <v>-0.18500000000000011</v>
      </c>
      <c r="DW197">
        <v>-8.5711060948081261</v>
      </c>
      <c r="DX197">
        <v>0.40043565762992883</v>
      </c>
      <c r="DY197">
        <v>-8.091625781897001</v>
      </c>
      <c r="DZ197">
        <v>4457</v>
      </c>
      <c r="EA197">
        <v>-8.0117087349469163</v>
      </c>
      <c r="EB197">
        <v>8</v>
      </c>
      <c r="EC197">
        <v>2.665017261158693E-2</v>
      </c>
      <c r="ED197">
        <v>0.16611128102868564</v>
      </c>
      <c r="EE197" s="11">
        <v>-4.04061</v>
      </c>
      <c r="EF197">
        <v>-4.0576100000000004</v>
      </c>
      <c r="EG197">
        <v>24.160435657629929</v>
      </c>
      <c r="EH197" t="s">
        <v>2124</v>
      </c>
      <c r="EI197">
        <v>0</v>
      </c>
      <c r="EJ197">
        <v>0</v>
      </c>
      <c r="EK197" s="13">
        <v>45470</v>
      </c>
      <c r="EL197" s="14">
        <v>-1.89</v>
      </c>
      <c r="EM197" s="14">
        <v>-5.05</v>
      </c>
      <c r="EN197">
        <v>1.01</v>
      </c>
      <c r="EO197">
        <v>3.01</v>
      </c>
      <c r="EP197">
        <v>-1.7</v>
      </c>
    </row>
    <row r="198" spans="1:146" ht="108">
      <c r="A198" s="7"/>
      <c r="B198" s="7"/>
      <c r="C198" s="7" t="str">
        <f>""&amp;CHAR(10)&amp;Basic_Fundamental_Information_Constructure(F198)&amp;CHAR(10)&amp;Basic_Fundamental_Information_Concatenate("")</f>
        <v xml:space="preserve">
市值28.580707亿, 利润1814.68万; PE20.93; 平均PE23.03; 平均PEG6.7, PB1.11; ROIC11.0267%; ROE12.29%; 股利率1.9444%; 毛利33.4833%; 净利20.5167%; 上一年度营收增-84.45%, 利润增-92.5%; 当季营收增437.1%, 利润增152.01%; 过往5年营收增-3.44%, 利润增15.36%
Income profile:
</v>
      </c>
      <c r="D198" t="s">
        <v>1014</v>
      </c>
      <c r="E198" t="s">
        <v>1015</v>
      </c>
      <c r="F198">
        <v>18</v>
      </c>
      <c r="G198">
        <v>0.11</v>
      </c>
      <c r="H198" t="s">
        <v>6504</v>
      </c>
      <c r="I198">
        <v>2858070700</v>
      </c>
      <c r="J198">
        <v>20.93</v>
      </c>
      <c r="K198">
        <v>1.1100000000000001</v>
      </c>
      <c r="L198" t="s">
        <v>85</v>
      </c>
      <c r="M198" t="s">
        <v>1509</v>
      </c>
      <c r="N198" t="s">
        <v>6505</v>
      </c>
      <c r="O198" t="s">
        <v>2055</v>
      </c>
      <c r="P198">
        <v>-7.03</v>
      </c>
      <c r="Q198" t="s">
        <v>422</v>
      </c>
      <c r="R198">
        <v>29849198</v>
      </c>
      <c r="S198" s="5">
        <v>-0.49659999999999999</v>
      </c>
      <c r="T198" t="s">
        <v>6506</v>
      </c>
      <c r="U198">
        <v>158781710</v>
      </c>
      <c r="V198">
        <v>158781710</v>
      </c>
      <c r="W198">
        <v>1.54</v>
      </c>
      <c r="X198">
        <v>7.0000000000000007E-2</v>
      </c>
      <c r="Y198">
        <v>11.31</v>
      </c>
      <c r="Z198" t="s">
        <v>111</v>
      </c>
      <c r="AA198" t="s">
        <v>170</v>
      </c>
      <c r="AB198" t="s">
        <v>6507</v>
      </c>
      <c r="AC198" t="s">
        <v>6508</v>
      </c>
      <c r="AD198" t="s">
        <v>90</v>
      </c>
      <c r="AE198">
        <v>3382386</v>
      </c>
      <c r="AF198" t="s">
        <v>3295</v>
      </c>
      <c r="AG198" t="s">
        <v>6509</v>
      </c>
      <c r="AH198" t="s">
        <v>3296</v>
      </c>
      <c r="AI198" t="s">
        <v>675</v>
      </c>
      <c r="AJ198" t="s">
        <v>3297</v>
      </c>
      <c r="AK198" t="s">
        <v>339</v>
      </c>
      <c r="AL198" t="s">
        <v>3298</v>
      </c>
      <c r="AM198" t="s">
        <v>90</v>
      </c>
      <c r="AN198" t="s">
        <v>226</v>
      </c>
      <c r="AO198" t="s">
        <v>737</v>
      </c>
      <c r="AP198" t="s">
        <v>407</v>
      </c>
      <c r="AQ198" t="s">
        <v>101</v>
      </c>
      <c r="AR198" t="s">
        <v>90</v>
      </c>
      <c r="AS198" t="s">
        <v>6510</v>
      </c>
      <c r="AT198" t="s">
        <v>6511</v>
      </c>
      <c r="AU198" t="s">
        <v>3274</v>
      </c>
      <c r="AV198" t="s">
        <v>2433</v>
      </c>
      <c r="AW198" t="s">
        <v>810</v>
      </c>
      <c r="AX198" t="s">
        <v>2017</v>
      </c>
      <c r="AY198" t="s">
        <v>1371</v>
      </c>
      <c r="AZ198" t="s">
        <v>678</v>
      </c>
      <c r="BA198" t="s">
        <v>541</v>
      </c>
      <c r="BB198" t="s">
        <v>707</v>
      </c>
      <c r="BC198" t="s">
        <v>673</v>
      </c>
      <c r="BD198" t="s">
        <v>451</v>
      </c>
      <c r="BE198" t="s">
        <v>189</v>
      </c>
      <c r="BF198" t="s">
        <v>1016</v>
      </c>
      <c r="BG198" t="s">
        <v>1017</v>
      </c>
      <c r="BH198" t="s">
        <v>937</v>
      </c>
      <c r="BI198" t="s">
        <v>6512</v>
      </c>
      <c r="BJ198" t="s">
        <v>2017</v>
      </c>
      <c r="BK198" t="s">
        <v>479</v>
      </c>
      <c r="BL198" t="s">
        <v>6513</v>
      </c>
      <c r="BM198" t="s">
        <v>673</v>
      </c>
      <c r="BN198">
        <v>5.57</v>
      </c>
      <c r="BO198">
        <v>11.87</v>
      </c>
      <c r="BP198">
        <v>15.64</v>
      </c>
      <c r="BQ198">
        <v>6.29</v>
      </c>
      <c r="BR198">
        <v>14.69</v>
      </c>
      <c r="BS198">
        <v>15.89</v>
      </c>
      <c r="BT198" t="s">
        <v>1699</v>
      </c>
      <c r="BU198" t="s">
        <v>1337</v>
      </c>
      <c r="BV198">
        <v>29.32</v>
      </c>
      <c r="BW198">
        <v>36.75</v>
      </c>
      <c r="BX198">
        <v>34.380000000000003</v>
      </c>
      <c r="BY198">
        <v>16.170000000000002</v>
      </c>
      <c r="BZ198">
        <v>22.94</v>
      </c>
      <c r="CA198">
        <v>22.44</v>
      </c>
      <c r="CB198">
        <v>-7.31</v>
      </c>
      <c r="CC198">
        <v>-27.1</v>
      </c>
      <c r="CD198" t="s">
        <v>6514</v>
      </c>
      <c r="CE198" t="s">
        <v>6515</v>
      </c>
      <c r="CF198" s="8">
        <v>4.3709626229828373</v>
      </c>
      <c r="CG198" s="9">
        <v>1.5201318777808734</v>
      </c>
      <c r="CH198" s="8">
        <v>-0.84454977512359619</v>
      </c>
      <c r="CI198" s="8">
        <v>6.5656565129756927E-2</v>
      </c>
      <c r="CJ198" s="8">
        <v>0.41025641560554504</v>
      </c>
      <c r="CK198" s="8">
        <v>0.16417910158634186</v>
      </c>
      <c r="CL198" s="8">
        <v>3.2534245401620865E-2</v>
      </c>
      <c r="CM198" s="9">
        <v>-0.92501324415206909</v>
      </c>
      <c r="CN198" s="9">
        <v>9.0090088546276093E-2</v>
      </c>
      <c r="CO198" s="9">
        <v>1.0747663974761963</v>
      </c>
      <c r="CP198" s="9">
        <v>0.20988988876342773</v>
      </c>
      <c r="CQ198" s="9">
        <v>0.31810018420219421</v>
      </c>
      <c r="CR198">
        <v>23.027925704950921</v>
      </c>
      <c r="CS198">
        <v>6.6971451693058928</v>
      </c>
      <c r="CT198">
        <v>1.9444444444444444</v>
      </c>
      <c r="CU198" s="8">
        <v>-3.4384689480066302E-2</v>
      </c>
      <c r="CV198" s="9">
        <v>0.15356666296720506</v>
      </c>
      <c r="CW198">
        <v>0.06</v>
      </c>
      <c r="CX198">
        <v>87.567543588952319</v>
      </c>
      <c r="CY198" t="s">
        <v>6516</v>
      </c>
      <c r="CZ198">
        <v>-3.4384689480066302E-2</v>
      </c>
      <c r="DA198">
        <v>29.189181196317442</v>
      </c>
      <c r="DB198" t="s">
        <v>6517</v>
      </c>
      <c r="DC198">
        <v>-3.2665455006062986E-2</v>
      </c>
      <c r="DD198">
        <v>14.594590598158721</v>
      </c>
      <c r="DE198" t="s">
        <v>6518</v>
      </c>
      <c r="DF198">
        <v>-3.0258526742458346E-2</v>
      </c>
      <c r="DG198">
        <v>8.7567543588952326</v>
      </c>
      <c r="DH198" t="s">
        <v>6519</v>
      </c>
      <c r="DI198">
        <v>-2.7507751584053042E-2</v>
      </c>
      <c r="DJ198">
        <v>4.3783771794476163</v>
      </c>
      <c r="DK198" t="s">
        <v>6520</v>
      </c>
      <c r="DL198">
        <v>-2.4069282636046411E-2</v>
      </c>
      <c r="DM198">
        <v>18146800</v>
      </c>
      <c r="DN198">
        <v>-3.4384689480066302E-2</v>
      </c>
      <c r="DO198">
        <v>1589070700</v>
      </c>
      <c r="DP198">
        <v>1074212400</v>
      </c>
      <c r="DQ198">
        <v>4807</v>
      </c>
      <c r="DR198">
        <v>4.4053473124629035</v>
      </c>
      <c r="DS198">
        <v>1.3665652148136684</v>
      </c>
      <c r="DT198" s="10">
        <v>-0.52333333333333332</v>
      </c>
      <c r="DU198">
        <v>0.36999999999999994</v>
      </c>
      <c r="DV198">
        <v>-0.15333333333333338</v>
      </c>
      <c r="DW198">
        <v>-9.2697416974169737</v>
      </c>
      <c r="DX198">
        <v>0.24765538175694479</v>
      </c>
      <c r="DY198">
        <v>-9.0371313963336988</v>
      </c>
      <c r="DZ198">
        <v>3759</v>
      </c>
      <c r="EA198">
        <v>-9.0098169308115121</v>
      </c>
      <c r="EB198">
        <v>9</v>
      </c>
      <c r="EC198">
        <v>4.5354090216058261E-2</v>
      </c>
      <c r="ED198">
        <v>0.32947560521926611</v>
      </c>
      <c r="EE198" s="11">
        <v>-4.0160099999999996</v>
      </c>
      <c r="EF198">
        <v>-4.0202099999999996</v>
      </c>
      <c r="EG198">
        <v>11.137655381756945</v>
      </c>
      <c r="EH198" t="s">
        <v>2124</v>
      </c>
      <c r="EI198">
        <v>0</v>
      </c>
      <c r="EJ198">
        <v>0</v>
      </c>
      <c r="EK198" s="13">
        <v>45470</v>
      </c>
      <c r="EL198" s="14">
        <v>-2.36</v>
      </c>
      <c r="EM198" s="14">
        <v>-7.5</v>
      </c>
      <c r="EN198">
        <v>3.42</v>
      </c>
      <c r="EO198">
        <v>4.09</v>
      </c>
      <c r="EP198">
        <v>-0.42</v>
      </c>
    </row>
    <row r="199" spans="1:146" ht="228">
      <c r="A199" s="7" t="s">
        <v>2140</v>
      </c>
      <c r="B199" s="7" t="s">
        <v>2141</v>
      </c>
      <c r="C199" s="7" t="str">
        <f>"公司的主营业务是金属3D打印设备的研发及生产、金属3D打印定制化产品服务、金属3D打印原材料的研发及生产、金属3D打印结构优化设计开发及工艺技术服务。公司的主要产品有3D打印设备及配件（自研）、3D打印定制化产品、3D打印原材料、3D打印技术服务、代理销售设备及配件。"&amp;CHAR(10)&amp;Basic_Fundamental_Information_Constructure(F199)&amp;CHAR(10)&amp;Basic_Fundamental_Information_Concatenate("3D打印定制化产品及技术服务 4.68亿 50.94% 2.74亿 54.76% 58.64%
自研3D打印设备、配件及技术服务 4.18亿 45.54% 2.14亿 42.73% 51.17%
3D打印原材料 3225.82万 3.51% 1257.55万 2.51% 38.98%")</f>
        <v>公司的主营业务是金属3D打印设备的研发及生产、金属3D打印定制化产品服务、金属3D打印原材料的研发及生产、金属3D打印结构优化设计开发及工艺技术服务。公司的主要产品有3D打印设备及配件（自研）、3D打印定制化产品、3D打印原材料、3D打印技术服务、代理销售设备及配件。
市值133.519715亿, 利润1.62亿; PE77.89; 平均PE197.15; 平均PEG9.44, PB2.78; ROIC3.985%; ROE1.2233%; 股利率.2972%; 毛利50.5833%; 净利3.4967%; 上一年度营收增-34.42%, 利润增103.78%; 当季营收增51.47%, 利润增-96.14%; 过往5年营收增20.89%, 利润增47.61%
Income profile:
3D打印定制化产品及技术服务 4.68亿 50.94% 2.74亿 54.76% 58.64%
自研3D打印设备、配件及技术服务 4.18亿 45.54% 2.14亿 42.73% 51.17%
3D打印原材料 3225.82万 3.51% 1257.55万 2.51% 38.98%</v>
      </c>
      <c r="D199" t="s">
        <v>569</v>
      </c>
      <c r="E199" t="s">
        <v>570</v>
      </c>
      <c r="F199">
        <v>49.13</v>
      </c>
      <c r="G199">
        <v>4.16</v>
      </c>
      <c r="H199" t="s">
        <v>6521</v>
      </c>
      <c r="I199">
        <v>13351971500</v>
      </c>
      <c r="J199">
        <v>77.89</v>
      </c>
      <c r="K199">
        <v>2.78</v>
      </c>
      <c r="L199" t="s">
        <v>85</v>
      </c>
      <c r="M199" t="s">
        <v>1311</v>
      </c>
      <c r="N199" t="s">
        <v>6522</v>
      </c>
      <c r="O199" t="s">
        <v>653</v>
      </c>
      <c r="P199">
        <v>54.72</v>
      </c>
      <c r="Q199" t="s">
        <v>1465</v>
      </c>
      <c r="R199">
        <v>1343549</v>
      </c>
      <c r="S199" s="5">
        <v>1.0469999999999999</v>
      </c>
      <c r="T199" t="s">
        <v>372</v>
      </c>
      <c r="U199">
        <v>271768200</v>
      </c>
      <c r="V199">
        <v>271768200</v>
      </c>
      <c r="W199">
        <v>1.35</v>
      </c>
      <c r="X199">
        <v>0.03</v>
      </c>
      <c r="Y199">
        <v>0.65</v>
      </c>
      <c r="Z199" t="s">
        <v>432</v>
      </c>
      <c r="AA199" t="s">
        <v>174</v>
      </c>
      <c r="AB199" t="s">
        <v>6523</v>
      </c>
      <c r="AC199" t="s">
        <v>6524</v>
      </c>
      <c r="AD199" t="s">
        <v>90</v>
      </c>
      <c r="AE199">
        <v>1600441</v>
      </c>
      <c r="AF199" t="s">
        <v>3299</v>
      </c>
      <c r="AG199" t="s">
        <v>6525</v>
      </c>
      <c r="AH199" t="s">
        <v>3300</v>
      </c>
      <c r="AI199" t="s">
        <v>206</v>
      </c>
      <c r="AJ199" t="s">
        <v>3301</v>
      </c>
      <c r="AK199" t="s">
        <v>6526</v>
      </c>
      <c r="AL199" t="s">
        <v>3302</v>
      </c>
      <c r="AM199" t="s">
        <v>90</v>
      </c>
      <c r="AN199" t="s">
        <v>1926</v>
      </c>
      <c r="AO199" t="s">
        <v>594</v>
      </c>
      <c r="AP199" t="s">
        <v>6527</v>
      </c>
      <c r="AQ199" t="s">
        <v>362</v>
      </c>
      <c r="AR199" t="s">
        <v>90</v>
      </c>
      <c r="AS199" t="s">
        <v>1242</v>
      </c>
      <c r="AT199" t="s">
        <v>275</v>
      </c>
      <c r="AU199" t="s">
        <v>5758</v>
      </c>
      <c r="AV199" t="s">
        <v>6528</v>
      </c>
      <c r="AW199" t="s">
        <v>6529</v>
      </c>
      <c r="AX199" t="s">
        <v>925</v>
      </c>
      <c r="AY199" t="s">
        <v>795</v>
      </c>
      <c r="AZ199" t="s">
        <v>563</v>
      </c>
      <c r="BA199" t="s">
        <v>532</v>
      </c>
      <c r="BB199" t="s">
        <v>701</v>
      </c>
      <c r="BC199" t="s">
        <v>2018</v>
      </c>
      <c r="BD199" t="s">
        <v>1372</v>
      </c>
      <c r="BE199" t="s">
        <v>1018</v>
      </c>
      <c r="BF199" t="s">
        <v>571</v>
      </c>
      <c r="BG199" t="s">
        <v>1019</v>
      </c>
      <c r="BH199" t="s">
        <v>1548</v>
      </c>
      <c r="BI199" t="s">
        <v>195</v>
      </c>
      <c r="BJ199" t="s">
        <v>925</v>
      </c>
      <c r="BK199" t="s">
        <v>485</v>
      </c>
      <c r="BL199" t="s">
        <v>6530</v>
      </c>
      <c r="BM199" t="s">
        <v>2018</v>
      </c>
      <c r="BN199">
        <v>3</v>
      </c>
      <c r="BO199">
        <v>4.97</v>
      </c>
      <c r="BP199" t="s">
        <v>90</v>
      </c>
      <c r="BQ199">
        <v>2.41</v>
      </c>
      <c r="BR199">
        <v>5.64</v>
      </c>
      <c r="BS199">
        <v>-4.38</v>
      </c>
      <c r="BT199" t="s">
        <v>3305</v>
      </c>
      <c r="BU199" t="s">
        <v>1381</v>
      </c>
      <c r="BV199">
        <v>48.97</v>
      </c>
      <c r="BW199">
        <v>54.55</v>
      </c>
      <c r="BX199">
        <v>48.23</v>
      </c>
      <c r="BY199">
        <v>11.49</v>
      </c>
      <c r="BZ199">
        <v>8.66</v>
      </c>
      <c r="CA199">
        <v>-9.66</v>
      </c>
      <c r="CB199">
        <v>1.4</v>
      </c>
      <c r="CC199">
        <v>-21.06</v>
      </c>
      <c r="CD199" t="s">
        <v>6531</v>
      </c>
      <c r="CE199" t="s">
        <v>6532</v>
      </c>
      <c r="CF199" s="8">
        <v>0.51470588235294112</v>
      </c>
      <c r="CG199" s="9">
        <v>-0.96142220116576216</v>
      </c>
      <c r="CH199" s="8">
        <v>-0.34422656893730164</v>
      </c>
      <c r="CI199" s="8">
        <v>0.66304349899291992</v>
      </c>
      <c r="CJ199" s="8">
        <v>0.33980581164360046</v>
      </c>
      <c r="CK199" s="8">
        <v>0.27950310707092285</v>
      </c>
      <c r="CL199" s="8">
        <v>0.10652920603752136</v>
      </c>
      <c r="CM199" s="9">
        <v>1.0377665758132935</v>
      </c>
      <c r="CN199" s="9">
        <v>2.4913809299468994</v>
      </c>
      <c r="CO199" s="9">
        <v>-1.6148107051849365</v>
      </c>
      <c r="CP199" s="9">
        <v>0.16741535067558289</v>
      </c>
      <c r="CQ199" s="9">
        <v>0.29877448081970215</v>
      </c>
      <c r="CR199">
        <v>197.15088650658379</v>
      </c>
      <c r="CS199">
        <v>9.4361715668375474</v>
      </c>
      <c r="CT199">
        <v>0.29717077142275594</v>
      </c>
      <c r="CU199" s="8">
        <v>0.2089310109615326</v>
      </c>
      <c r="CV199" s="9">
        <v>0.4761053264141083</v>
      </c>
      <c r="CW199">
        <v>0.06</v>
      </c>
      <c r="CX199">
        <v>56.012702062300612</v>
      </c>
      <c r="CY199">
        <v>184761154.50544176</v>
      </c>
      <c r="CZ199">
        <v>0.2089310109615326</v>
      </c>
      <c r="DA199">
        <v>16.574023034453109</v>
      </c>
      <c r="DB199">
        <v>624409141.85331857</v>
      </c>
      <c r="DC199">
        <v>0.19848446041345597</v>
      </c>
      <c r="DD199">
        <v>7.1046919659817735</v>
      </c>
      <c r="DE199">
        <v>1456639013.9857261</v>
      </c>
      <c r="DF199">
        <v>0.1838592896461487</v>
      </c>
      <c r="DG199">
        <v>3.6215587874171606</v>
      </c>
      <c r="DH199">
        <v>2857601410.7396903</v>
      </c>
      <c r="DI199">
        <v>0.16714480876922611</v>
      </c>
      <c r="DJ199">
        <v>1.2714781416936103</v>
      </c>
      <c r="DK199">
        <v>8139323170.9159851</v>
      </c>
      <c r="DL199">
        <v>0.1462517076730728</v>
      </c>
      <c r="DM199">
        <v>162000000</v>
      </c>
      <c r="DN199">
        <v>0.2089310109615326</v>
      </c>
      <c r="DO199">
        <v>10348971500</v>
      </c>
      <c r="DP199">
        <v>3325169500</v>
      </c>
      <c r="DQ199">
        <v>4831</v>
      </c>
      <c r="DR199">
        <v>0.30577487139140852</v>
      </c>
      <c r="DS199">
        <v>-1.4375275275798705</v>
      </c>
      <c r="DT199" s="10">
        <v>-5.6666666666666719E-2</v>
      </c>
      <c r="DU199">
        <v>-0.19000000000000006</v>
      </c>
      <c r="DV199">
        <v>-0.24666666666666678</v>
      </c>
      <c r="DW199">
        <v>-3.0572261904761904</v>
      </c>
      <c r="DX199">
        <v>0.41326059239390545</v>
      </c>
      <c r="DY199">
        <v>-3.0099150436623514</v>
      </c>
      <c r="DZ199">
        <v>485</v>
      </c>
      <c r="EA199">
        <v>-3.0089739876591732</v>
      </c>
      <c r="EB199">
        <v>3</v>
      </c>
      <c r="EC199">
        <v>4.9658863693397538E-2</v>
      </c>
      <c r="ED199">
        <v>0.28661373920863442</v>
      </c>
      <c r="EE199" s="11">
        <v>3.0566</v>
      </c>
      <c r="EF199">
        <v>3.0396000000000001</v>
      </c>
      <c r="EG199">
        <v>24.173260592393905</v>
      </c>
      <c r="EH199" t="s">
        <v>1816</v>
      </c>
      <c r="EI199">
        <v>0</v>
      </c>
      <c r="EJ199">
        <v>1</v>
      </c>
      <c r="EK199" s="13">
        <v>45470</v>
      </c>
      <c r="EL199" s="14">
        <v>0</v>
      </c>
      <c r="EM199" s="14">
        <v>-3.58</v>
      </c>
      <c r="EN199">
        <v>-1.03</v>
      </c>
      <c r="EO199">
        <v>2.78</v>
      </c>
      <c r="EP199">
        <v>-1.7</v>
      </c>
    </row>
    <row r="200" spans="1:146" ht="108">
      <c r="C200" s="7" t="str">
        <f>""&amp;CHAR(10)&amp;Basic_Fundamental_Information_Constructure(F200)&amp;CHAR(10)&amp;Basic_Fundamental_Information_Concatenate("")</f>
        <v xml:space="preserve">
市值43.281855亿, 利润1.17亿; PE47.5; 平均PE98.55; 平均PEG15.78, PB1.5; ROIC3.88%; ROE2.2933%; 股利率2.1439%; 毛利53.14%; 净利9.9867%; 上一年度营收增-56.42%, 利润增26.5%; 当季营收增126.17%, 利润增-76.27%; 过往5年营收增6.25%, 利润增488.72%
Income profile:
</v>
      </c>
      <c r="D200" t="s">
        <v>6533</v>
      </c>
      <c r="E200" t="s">
        <v>6534</v>
      </c>
      <c r="F200">
        <v>23.38</v>
      </c>
      <c r="G200">
        <v>0.91</v>
      </c>
      <c r="H200" t="s">
        <v>6535</v>
      </c>
      <c r="I200">
        <v>4328185500</v>
      </c>
      <c r="J200">
        <v>47.5</v>
      </c>
      <c r="K200">
        <v>1.5</v>
      </c>
      <c r="L200" t="s">
        <v>85</v>
      </c>
      <c r="M200" t="s">
        <v>705</v>
      </c>
      <c r="N200" t="s">
        <v>6536</v>
      </c>
      <c r="O200" t="s">
        <v>276</v>
      </c>
      <c r="P200" s="5">
        <v>-3.54</v>
      </c>
      <c r="Q200" t="s">
        <v>378</v>
      </c>
      <c r="R200">
        <v>6307156</v>
      </c>
      <c r="S200">
        <v>-0.72750000000000004</v>
      </c>
      <c r="T200" t="s">
        <v>393</v>
      </c>
      <c r="U200">
        <v>66438816</v>
      </c>
      <c r="V200">
        <v>185123420</v>
      </c>
      <c r="W200">
        <v>1.17</v>
      </c>
      <c r="X200">
        <v>0.05</v>
      </c>
      <c r="Y200">
        <v>6.31</v>
      </c>
      <c r="Z200" t="s">
        <v>841</v>
      </c>
      <c r="AA200" t="s">
        <v>6537</v>
      </c>
      <c r="AB200" t="s">
        <v>6538</v>
      </c>
      <c r="AC200" t="s">
        <v>6539</v>
      </c>
      <c r="AD200" t="s">
        <v>90</v>
      </c>
      <c r="AE200">
        <v>3838698</v>
      </c>
      <c r="AF200" t="s">
        <v>6540</v>
      </c>
      <c r="AG200" t="s">
        <v>6541</v>
      </c>
      <c r="AH200" t="s">
        <v>6542</v>
      </c>
      <c r="AI200" t="s">
        <v>702</v>
      </c>
      <c r="AJ200" t="s">
        <v>6543</v>
      </c>
      <c r="AK200" t="s">
        <v>6544</v>
      </c>
      <c r="AL200" t="s">
        <v>6545</v>
      </c>
      <c r="AM200" t="s">
        <v>90</v>
      </c>
      <c r="AN200" t="s">
        <v>6546</v>
      </c>
      <c r="AO200" t="s">
        <v>292</v>
      </c>
      <c r="AP200" t="s">
        <v>90</v>
      </c>
      <c r="AQ200" t="s">
        <v>6547</v>
      </c>
      <c r="AR200" t="s">
        <v>6548</v>
      </c>
      <c r="AS200" t="s">
        <v>324</v>
      </c>
      <c r="AT200" t="s">
        <v>90</v>
      </c>
      <c r="AU200" t="s">
        <v>6549</v>
      </c>
      <c r="AV200" t="s">
        <v>2504</v>
      </c>
      <c r="AW200" t="s">
        <v>158</v>
      </c>
      <c r="AX200" t="s">
        <v>1099</v>
      </c>
      <c r="AY200" t="s">
        <v>2292</v>
      </c>
      <c r="AZ200" t="s">
        <v>185</v>
      </c>
      <c r="BA200" t="s">
        <v>131</v>
      </c>
      <c r="BB200" t="s">
        <v>933</v>
      </c>
      <c r="BC200" t="s">
        <v>6550</v>
      </c>
      <c r="BD200" t="s">
        <v>6551</v>
      </c>
      <c r="BE200" t="s">
        <v>6552</v>
      </c>
      <c r="BF200" t="s">
        <v>6553</v>
      </c>
      <c r="BG200" t="s">
        <v>6554</v>
      </c>
      <c r="BH200" t="s">
        <v>2178</v>
      </c>
      <c r="BI200" t="s">
        <v>6555</v>
      </c>
      <c r="BJ200" t="s">
        <v>1099</v>
      </c>
      <c r="BK200" t="s">
        <v>95</v>
      </c>
      <c r="BL200" t="s">
        <v>6556</v>
      </c>
      <c r="BM200" t="s">
        <v>6550</v>
      </c>
      <c r="BN200">
        <v>2.42</v>
      </c>
      <c r="BO200">
        <v>5.34</v>
      </c>
      <c r="BP200" t="s">
        <v>90</v>
      </c>
      <c r="BQ200">
        <v>2.65</v>
      </c>
      <c r="BR200">
        <v>4.78</v>
      </c>
      <c r="BS200">
        <v>-0.55000000000000004</v>
      </c>
      <c r="BT200" t="s">
        <v>6557</v>
      </c>
      <c r="BU200" t="s">
        <v>3551</v>
      </c>
      <c r="BV200">
        <v>56.45</v>
      </c>
      <c r="BW200">
        <v>52.39</v>
      </c>
      <c r="BX200">
        <v>50.58</v>
      </c>
      <c r="BY200">
        <v>16.100000000000001</v>
      </c>
      <c r="BZ200">
        <v>14.67</v>
      </c>
      <c r="CA200">
        <v>-0.81</v>
      </c>
      <c r="CB200">
        <v>-7.3</v>
      </c>
      <c r="CC200" s="8">
        <v>-21.04</v>
      </c>
      <c r="CD200" s="9" t="s">
        <v>6558</v>
      </c>
      <c r="CE200" s="8" t="s">
        <v>6559</v>
      </c>
      <c r="CF200" s="8">
        <v>1.2617148591670599</v>
      </c>
      <c r="CG200" s="8">
        <v>-0.76270867350393912</v>
      </c>
      <c r="CH200" s="8">
        <v>-0.56418383121490479</v>
      </c>
      <c r="CI200" s="8">
        <v>0.30371901392936707</v>
      </c>
      <c r="CJ200" s="9">
        <v>0.36723163723945618</v>
      </c>
      <c r="CK200" s="9">
        <v>0.16447368264198303</v>
      </c>
      <c r="CL200" s="9">
        <v>4.109589010477066E-2</v>
      </c>
      <c r="CM200" s="9">
        <v>0.26502349972724915</v>
      </c>
      <c r="CN200" s="9">
        <v>24.728967666625977</v>
      </c>
      <c r="CO200">
        <v>0.85652494430541992</v>
      </c>
      <c r="CP200">
        <v>-1.590697169303894</v>
      </c>
      <c r="CQ200">
        <v>0.1763574481010437</v>
      </c>
      <c r="CR200" s="8">
        <v>98.550656274157021</v>
      </c>
      <c r="CS200" s="9">
        <v>15.776364614770193</v>
      </c>
      <c r="CT200">
        <v>2.1439264328485885</v>
      </c>
      <c r="CU200">
        <v>6.2467278540134431E-2</v>
      </c>
      <c r="CV200">
        <v>4.8872352778911594</v>
      </c>
      <c r="CW200">
        <v>0.06</v>
      </c>
      <c r="CX200">
        <v>15.188454722124959</v>
      </c>
      <c r="CY200">
        <v>117272331.68792047</v>
      </c>
      <c r="CZ200">
        <v>6.2467278540134431E-2</v>
      </c>
      <c r="DA200">
        <v>5.0808895869599091</v>
      </c>
      <c r="DB200">
        <v>350565677.43007213</v>
      </c>
      <c r="DC200">
        <v>5.9343914613127706E-2</v>
      </c>
      <c r="DD200">
        <v>2.5798005083309801</v>
      </c>
      <c r="DE200">
        <v>690435362.83057415</v>
      </c>
      <c r="DF200">
        <v>5.4971205115318299E-2</v>
      </c>
      <c r="DG200">
        <v>1.6034748827195888</v>
      </c>
      <c r="DH200">
        <v>1110828438.4093397</v>
      </c>
      <c r="DI200">
        <v>4.9973822832107551E-2</v>
      </c>
      <c r="DJ200">
        <v>0.89189777151289817</v>
      </c>
      <c r="DK200">
        <v>1997073607.4142566</v>
      </c>
      <c r="DL200">
        <v>4.37270949780941E-2</v>
      </c>
      <c r="DM200">
        <v>117000000</v>
      </c>
      <c r="DN200">
        <v>6.2467278540134431E-2</v>
      </c>
      <c r="DO200">
        <v>1781185500</v>
      </c>
      <c r="DP200">
        <v>2029422400</v>
      </c>
      <c r="DQ200" s="10">
        <v>4835</v>
      </c>
      <c r="DR200">
        <v>1.1992475806269256</v>
      </c>
      <c r="DS200">
        <v>-5.6499439513950982</v>
      </c>
      <c r="DT200">
        <v>-0.20666666666666669</v>
      </c>
      <c r="DU200">
        <v>-0.60666666666666658</v>
      </c>
      <c r="DV200">
        <v>-0.81333333333333324</v>
      </c>
      <c r="DW200">
        <v>-9.3469581749049429</v>
      </c>
      <c r="DX200">
        <v>0.33443126880432583</v>
      </c>
      <c r="DY200">
        <v>-9.043172445925455</v>
      </c>
      <c r="DZ200">
        <v>1572</v>
      </c>
      <c r="EA200">
        <v>-9.0298912159851774</v>
      </c>
      <c r="EB200" s="11">
        <v>9</v>
      </c>
      <c r="EC200" s="11">
        <v>2.7389295206408783E-2</v>
      </c>
      <c r="ED200">
        <v>0.22011585568157718</v>
      </c>
      <c r="EE200">
        <v>-1.0327999999999999</v>
      </c>
      <c r="EF200">
        <v>-1.0056</v>
      </c>
      <c r="EG200">
        <v>21.124431268804326</v>
      </c>
      <c r="EH200" s="13" t="s">
        <v>1730</v>
      </c>
      <c r="EI200">
        <v>0</v>
      </c>
      <c r="EJ200">
        <v>0</v>
      </c>
      <c r="EK200">
        <v>45470</v>
      </c>
      <c r="EL200">
        <v>-0.45</v>
      </c>
      <c r="EM200">
        <v>-2.41</v>
      </c>
      <c r="EN200">
        <v>-1.96</v>
      </c>
      <c r="EO200">
        <v>3.24</v>
      </c>
      <c r="EP200">
        <v>-2.72</v>
      </c>
    </row>
    <row r="201" spans="1:146" ht="108">
      <c r="A201" s="7"/>
      <c r="B201" s="7"/>
      <c r="C201" s="7" t="str">
        <f>""&amp;CHAR(10)&amp;Basic_Fundamental_Information_Constructure(F201)&amp;CHAR(10)&amp;Basic_Fundamental_Information_Concatenate("")</f>
        <v xml:space="preserve">
市值15.420135亿, 利润1.16亿; PE73.16; 平均PE18.63; 平均PEG4.47, PB1.43; ROIC8.785%; ROE9.0833%; 股利率3.2154%; 毛利30.3333%; 净利8.69%; 上一年度营收增-52.37%, 利润增213.3%; 当季营收增31.43%, 利润增-65.05%; 过往5年营收增-4.17%, 利润增73.64%
Income profile:
</v>
      </c>
      <c r="D201" t="s">
        <v>1020</v>
      </c>
      <c r="E201" t="s">
        <v>1021</v>
      </c>
      <c r="F201">
        <v>12.44</v>
      </c>
      <c r="G201">
        <v>1.8</v>
      </c>
      <c r="H201" t="s">
        <v>6560</v>
      </c>
      <c r="I201">
        <v>1542013500</v>
      </c>
      <c r="J201">
        <v>73.16</v>
      </c>
      <c r="K201">
        <v>1.43</v>
      </c>
      <c r="L201" t="s">
        <v>85</v>
      </c>
      <c r="M201" t="s">
        <v>1403</v>
      </c>
      <c r="N201" t="s">
        <v>1321</v>
      </c>
      <c r="O201" t="s">
        <v>326</v>
      </c>
      <c r="P201">
        <v>12.39</v>
      </c>
      <c r="Q201" t="s">
        <v>933</v>
      </c>
      <c r="R201">
        <v>16456221</v>
      </c>
      <c r="S201" s="5">
        <v>0.63880000000000003</v>
      </c>
      <c r="T201" t="s">
        <v>274</v>
      </c>
      <c r="U201">
        <v>123956072</v>
      </c>
      <c r="V201">
        <v>123956072</v>
      </c>
      <c r="W201">
        <v>1.37</v>
      </c>
      <c r="X201">
        <v>0.09</v>
      </c>
      <c r="Y201">
        <v>13.48</v>
      </c>
      <c r="Z201" t="s">
        <v>326</v>
      </c>
      <c r="AA201" t="s">
        <v>6561</v>
      </c>
      <c r="AB201" t="s">
        <v>6562</v>
      </c>
      <c r="AC201" t="s">
        <v>6563</v>
      </c>
      <c r="AD201" t="s">
        <v>90</v>
      </c>
      <c r="AE201">
        <v>2587957</v>
      </c>
      <c r="AF201" t="s">
        <v>3307</v>
      </c>
      <c r="AG201" t="s">
        <v>6564</v>
      </c>
      <c r="AH201" t="s">
        <v>3308</v>
      </c>
      <c r="AI201" t="s">
        <v>226</v>
      </c>
      <c r="AJ201" t="s">
        <v>3309</v>
      </c>
      <c r="AK201" t="s">
        <v>6565</v>
      </c>
      <c r="AL201" t="s">
        <v>3310</v>
      </c>
      <c r="AM201" t="s">
        <v>90</v>
      </c>
      <c r="AN201" t="s">
        <v>6566</v>
      </c>
      <c r="AO201" t="s">
        <v>239</v>
      </c>
      <c r="AP201" t="s">
        <v>6567</v>
      </c>
      <c r="AQ201" t="s">
        <v>6568</v>
      </c>
      <c r="AR201" t="s">
        <v>90</v>
      </c>
      <c r="AS201" t="s">
        <v>705</v>
      </c>
      <c r="AT201" t="s">
        <v>90</v>
      </c>
      <c r="AU201" t="s">
        <v>6569</v>
      </c>
      <c r="AV201" t="s">
        <v>6570</v>
      </c>
      <c r="AW201" t="s">
        <v>6571</v>
      </c>
      <c r="AX201" t="s">
        <v>1863</v>
      </c>
      <c r="AY201" t="s">
        <v>851</v>
      </c>
      <c r="AZ201" t="s">
        <v>667</v>
      </c>
      <c r="BA201" t="s">
        <v>1022</v>
      </c>
      <c r="BB201" t="s">
        <v>1023</v>
      </c>
      <c r="BC201" t="s">
        <v>2019</v>
      </c>
      <c r="BD201" t="s">
        <v>253</v>
      </c>
      <c r="BE201" t="s">
        <v>290</v>
      </c>
      <c r="BF201" t="s">
        <v>1024</v>
      </c>
      <c r="BG201" t="s">
        <v>1025</v>
      </c>
      <c r="BH201" t="s">
        <v>1408</v>
      </c>
      <c r="BI201" t="s">
        <v>6572</v>
      </c>
      <c r="BJ201" t="s">
        <v>1863</v>
      </c>
      <c r="BK201" t="s">
        <v>3306</v>
      </c>
      <c r="BL201" t="s">
        <v>6573</v>
      </c>
      <c r="BM201" t="s">
        <v>2019</v>
      </c>
      <c r="BN201" t="s">
        <v>90</v>
      </c>
      <c r="BO201">
        <v>3.1</v>
      </c>
      <c r="BP201">
        <v>14.47</v>
      </c>
      <c r="BQ201">
        <v>-0.05</v>
      </c>
      <c r="BR201">
        <v>3.46</v>
      </c>
      <c r="BS201">
        <v>23.84</v>
      </c>
      <c r="BT201" t="s">
        <v>1875</v>
      </c>
      <c r="BU201" t="s">
        <v>1337</v>
      </c>
      <c r="BV201">
        <v>28.99</v>
      </c>
      <c r="BW201">
        <v>27.65</v>
      </c>
      <c r="BX201">
        <v>34.36</v>
      </c>
      <c r="BY201">
        <v>2.75</v>
      </c>
      <c r="BZ201">
        <v>6.04</v>
      </c>
      <c r="CA201">
        <v>17.28</v>
      </c>
      <c r="CB201">
        <v>-7.3</v>
      </c>
      <c r="CC201">
        <v>-13.85</v>
      </c>
      <c r="CD201" t="s">
        <v>6574</v>
      </c>
      <c r="CE201" t="s">
        <v>6575</v>
      </c>
      <c r="CF201" s="8">
        <v>0.31431951107314166</v>
      </c>
      <c r="CG201" s="9">
        <v>-0.65047670123763057</v>
      </c>
      <c r="CH201" s="8">
        <v>-0.52365416288375854</v>
      </c>
      <c r="CI201" s="8">
        <v>-0.14145658910274506</v>
      </c>
      <c r="CJ201" s="8">
        <v>0.1666666716337204</v>
      </c>
      <c r="CK201" s="8">
        <v>3.7288136780261993E-2</v>
      </c>
      <c r="CL201" s="8">
        <v>0.25265392661094666</v>
      </c>
      <c r="CM201" s="9">
        <v>2.1330013275146484</v>
      </c>
      <c r="CN201" s="9">
        <v>-0.6989821195602417</v>
      </c>
      <c r="CO201" s="9">
        <v>4.237288236618042E-2</v>
      </c>
      <c r="CP201" s="9">
        <v>0.59190988540649414</v>
      </c>
      <c r="CQ201" s="9">
        <v>1.6138753890991211</v>
      </c>
      <c r="CR201">
        <v>18.63429647284778</v>
      </c>
      <c r="CS201">
        <v>4.4686130005835745</v>
      </c>
      <c r="CT201">
        <v>3.2154340836012865</v>
      </c>
      <c r="CU201" s="8">
        <v>-4.1700403392314914E-2</v>
      </c>
      <c r="CV201" s="9">
        <v>0.73643547296524048</v>
      </c>
      <c r="CW201">
        <v>0.06</v>
      </c>
      <c r="CX201">
        <v>6.8190818965517241</v>
      </c>
      <c r="CY201" t="s">
        <v>6576</v>
      </c>
      <c r="CZ201">
        <v>-4.1700403392314914E-2</v>
      </c>
      <c r="DA201">
        <v>2.2730272988505749</v>
      </c>
      <c r="DB201" t="s">
        <v>6577</v>
      </c>
      <c r="DC201">
        <v>-3.9615383222699169E-2</v>
      </c>
      <c r="DD201">
        <v>1.1365136494252874</v>
      </c>
      <c r="DE201" t="s">
        <v>6578</v>
      </c>
      <c r="DF201">
        <v>-3.6696354985237122E-2</v>
      </c>
      <c r="DG201">
        <v>0.68190818965517241</v>
      </c>
      <c r="DH201" t="s">
        <v>6579</v>
      </c>
      <c r="DI201">
        <v>-3.3360322713851934E-2</v>
      </c>
      <c r="DJ201">
        <v>0.34095409482758621</v>
      </c>
      <c r="DK201" t="s">
        <v>6580</v>
      </c>
      <c r="DL201">
        <v>-2.9190282374620437E-2</v>
      </c>
      <c r="DM201">
        <v>115999999.99999999</v>
      </c>
      <c r="DN201">
        <v>-4.1700403392314914E-2</v>
      </c>
      <c r="DO201">
        <v>791013500</v>
      </c>
      <c r="DP201">
        <v>669621960</v>
      </c>
      <c r="DQ201">
        <v>4847</v>
      </c>
      <c r="DR201">
        <v>0.35601991446545656</v>
      </c>
      <c r="DS201">
        <v>-1.3869121742028709</v>
      </c>
      <c r="DT201" s="10">
        <v>-0.37333333333333335</v>
      </c>
      <c r="DU201">
        <v>-0.12333333333333336</v>
      </c>
      <c r="DV201">
        <v>-0.4966666666666667</v>
      </c>
      <c r="DW201">
        <v>-9.5270758122743686</v>
      </c>
      <c r="DX201">
        <v>0.28490673447862414</v>
      </c>
      <c r="DY201">
        <v>-9.0816475929020903</v>
      </c>
      <c r="DZ201">
        <v>1706</v>
      </c>
      <c r="EA201">
        <v>-9.0543891205946601</v>
      </c>
      <c r="EB201">
        <v>9</v>
      </c>
      <c r="EC201">
        <v>3.4596933662112174E-2</v>
      </c>
      <c r="ED201">
        <v>0.2233404104641199</v>
      </c>
      <c r="EE201" s="11">
        <v>-2.0141100000000001</v>
      </c>
      <c r="EF201">
        <v>-2.0555099999999999</v>
      </c>
      <c r="EG201">
        <v>13.154906734478624</v>
      </c>
      <c r="EH201" t="s">
        <v>1735</v>
      </c>
      <c r="EI201">
        <v>0</v>
      </c>
      <c r="EJ201">
        <v>0</v>
      </c>
      <c r="EK201" s="13">
        <v>45470</v>
      </c>
      <c r="EL201" s="14">
        <v>6.89</v>
      </c>
      <c r="EM201" s="14">
        <v>-6.33</v>
      </c>
      <c r="EN201">
        <v>-5</v>
      </c>
      <c r="EO201">
        <v>3.9</v>
      </c>
      <c r="EP201">
        <v>-4.1399999999999997</v>
      </c>
    </row>
    <row r="202" spans="1:146" ht="204">
      <c r="A202" s="7" t="s">
        <v>1196</v>
      </c>
      <c r="B202" s="7"/>
      <c r="C202" s="7" t="str">
        <f>"公司主要从事自动化物流输送分拣系统、关键设备及其核心部件的研发、设计、制造、销售和服务，是国内物流输送分拣装备领域的领先企业"&amp;CHAR(10)&amp;Basic_Fundamental_Information_Constructure(F202)&amp;CHAR(10)&amp;Basic_Fundamental_Information_Concatenate("物流输送分拣核心部件 3.27亿 42.68%（毛利29.14%）
自动化物流输送分拣关键设备 2.38亿 31.05%（毛利30.36%）
自动化物流输送分拣系统 1.82亿 23.78%（毛利24.27%）
其他及售后 1502.54万 1.96%（毛利12.45%）
其他业务 408.61万 0.53%（毛利74.41%）")</f>
        <v>公司主要从事自动化物流输送分拣系统、关键设备及其核心部件的研发、设计、制造、销售和服务，是国内物流输送分拣装备领域的领先企业
市值21.740179亿, 利润1.40亿; PE24.85; 平均PE26.78; 平均PEG2.19, PB1.61; ROIC7.31%; ROE8.03%; 股利率2.1664%; 毛利21.61%; 净利5.61%; 上一年度营收增-41.76%, 利润增71.4%; 当季营收增72.84%, 利润增-32.37%; 过往5年营收增12.25%, 利润增21.49%
Income profile:
物流输送分拣核心部件 3.27亿 42.68%（毛利29.14%）
自动化物流输送分拣关键设备 2.38亿 31.05%（毛利30.36%）
自动化物流输送分拣系统 1.82亿 23.78%（毛利24.27%）
其他及售后 1502.54万 1.96%（毛利12.45%）
其他业务 408.61万 0.53%（毛利74.41%）</v>
      </c>
      <c r="D202" t="s">
        <v>572</v>
      </c>
      <c r="E202" t="s">
        <v>573</v>
      </c>
      <c r="F202">
        <v>11.54</v>
      </c>
      <c r="G202">
        <v>-0.52</v>
      </c>
      <c r="H202" t="s">
        <v>6581</v>
      </c>
      <c r="I202">
        <v>2174017900</v>
      </c>
      <c r="J202">
        <v>24.85</v>
      </c>
      <c r="K202">
        <v>1.61</v>
      </c>
      <c r="L202" t="s">
        <v>85</v>
      </c>
      <c r="M202" t="s">
        <v>943</v>
      </c>
      <c r="N202" t="s">
        <v>6582</v>
      </c>
      <c r="O202" t="s">
        <v>825</v>
      </c>
      <c r="P202">
        <v>-5.78</v>
      </c>
      <c r="Q202" t="s">
        <v>1405</v>
      </c>
      <c r="R202">
        <v>21214731</v>
      </c>
      <c r="S202" s="5">
        <v>-5.4599999999999996E-3</v>
      </c>
      <c r="T202" t="s">
        <v>219</v>
      </c>
      <c r="U202">
        <v>167926140</v>
      </c>
      <c r="V202">
        <v>188389760</v>
      </c>
      <c r="W202">
        <v>1.92</v>
      </c>
      <c r="X202">
        <v>0.11</v>
      </c>
      <c r="Y202">
        <v>7.28</v>
      </c>
      <c r="Z202" t="s">
        <v>5828</v>
      </c>
      <c r="AA202" t="s">
        <v>4038</v>
      </c>
      <c r="AB202" t="s">
        <v>6583</v>
      </c>
      <c r="AC202" t="s">
        <v>6584</v>
      </c>
      <c r="AD202" t="s">
        <v>90</v>
      </c>
      <c r="AE202">
        <v>991884</v>
      </c>
      <c r="AF202" t="s">
        <v>3313</v>
      </c>
      <c r="AG202" t="s">
        <v>6585</v>
      </c>
      <c r="AH202" t="s">
        <v>3314</v>
      </c>
      <c r="AI202" t="s">
        <v>119</v>
      </c>
      <c r="AJ202" t="s">
        <v>3315</v>
      </c>
      <c r="AK202" t="s">
        <v>6586</v>
      </c>
      <c r="AL202" t="s">
        <v>3316</v>
      </c>
      <c r="AM202" t="s">
        <v>90</v>
      </c>
      <c r="AN202" t="s">
        <v>6587</v>
      </c>
      <c r="AO202" t="s">
        <v>6588</v>
      </c>
      <c r="AP202" t="s">
        <v>371</v>
      </c>
      <c r="AQ202" t="s">
        <v>217</v>
      </c>
      <c r="AR202" t="s">
        <v>6589</v>
      </c>
      <c r="AS202" t="s">
        <v>1749</v>
      </c>
      <c r="AT202" t="s">
        <v>296</v>
      </c>
      <c r="AU202" t="s">
        <v>6590</v>
      </c>
      <c r="AV202" t="s">
        <v>6591</v>
      </c>
      <c r="AW202" t="s">
        <v>6592</v>
      </c>
      <c r="AX202" t="s">
        <v>1471</v>
      </c>
      <c r="AY202" t="s">
        <v>1373</v>
      </c>
      <c r="AZ202" t="s">
        <v>998</v>
      </c>
      <c r="BA202" t="s">
        <v>574</v>
      </c>
      <c r="BB202" t="s">
        <v>692</v>
      </c>
      <c r="BC202" t="s">
        <v>2020</v>
      </c>
      <c r="BD202" t="s">
        <v>1374</v>
      </c>
      <c r="BE202" t="s">
        <v>1026</v>
      </c>
      <c r="BF202" t="s">
        <v>575</v>
      </c>
      <c r="BG202" t="s">
        <v>1027</v>
      </c>
      <c r="BH202" t="s">
        <v>3311</v>
      </c>
      <c r="BI202" t="s">
        <v>372</v>
      </c>
      <c r="BJ202" t="s">
        <v>1471</v>
      </c>
      <c r="BK202" t="s">
        <v>3312</v>
      </c>
      <c r="BL202" t="s">
        <v>6593</v>
      </c>
      <c r="BM202" t="s">
        <v>2020</v>
      </c>
      <c r="BN202">
        <v>6.26</v>
      </c>
      <c r="BO202">
        <v>7.83</v>
      </c>
      <c r="BP202">
        <v>7.84</v>
      </c>
      <c r="BQ202">
        <v>7.13</v>
      </c>
      <c r="BR202">
        <v>8.49</v>
      </c>
      <c r="BS202">
        <v>8.4700000000000006</v>
      </c>
      <c r="BT202" t="s">
        <v>1722</v>
      </c>
      <c r="BU202" t="s">
        <v>1381</v>
      </c>
      <c r="BV202">
        <v>23.08</v>
      </c>
      <c r="BW202">
        <v>21.63</v>
      </c>
      <c r="BX202">
        <v>20.12</v>
      </c>
      <c r="BY202">
        <v>6.31</v>
      </c>
      <c r="BZ202">
        <v>5.34</v>
      </c>
      <c r="CA202">
        <v>5.18</v>
      </c>
      <c r="CB202">
        <v>-4.1500000000000004</v>
      </c>
      <c r="CC202">
        <v>-9.5399999999999991</v>
      </c>
      <c r="CD202" t="s">
        <v>6594</v>
      </c>
      <c r="CE202" t="s">
        <v>6595</v>
      </c>
      <c r="CF202" s="8">
        <v>0.72839506172839508</v>
      </c>
      <c r="CG202" s="9">
        <v>-0.32366297808850675</v>
      </c>
      <c r="CH202" s="8">
        <v>-0.41764706373214722</v>
      </c>
      <c r="CI202" s="8">
        <v>3.1692471355199814E-2</v>
      </c>
      <c r="CJ202" s="8">
        <v>0.93350726366043091</v>
      </c>
      <c r="CK202" s="8">
        <v>-2.7883397415280342E-2</v>
      </c>
      <c r="CL202" s="8">
        <v>9.2797785997390747E-2</v>
      </c>
      <c r="CM202" s="9">
        <v>0.71403944492340088</v>
      </c>
      <c r="CN202" s="9">
        <v>6.3018336892127991E-2</v>
      </c>
      <c r="CO202" s="9">
        <v>0.15649746358394623</v>
      </c>
      <c r="CP202" s="9">
        <v>3.7885699421167374E-2</v>
      </c>
      <c r="CQ202" s="9">
        <v>0.10312359035015106</v>
      </c>
      <c r="CR202">
        <v>26.784807283009222</v>
      </c>
      <c r="CS202">
        <v>2.1866324769275884</v>
      </c>
      <c r="CT202">
        <v>2.1663778162911616</v>
      </c>
      <c r="CU202" s="8">
        <v>0.12249341197311878</v>
      </c>
      <c r="CV202" s="9">
        <v>0.21491290703415872</v>
      </c>
      <c r="CW202">
        <v>0.06</v>
      </c>
      <c r="CX202">
        <v>13.632144748654456</v>
      </c>
      <c r="CY202">
        <v>148253846.86437416</v>
      </c>
      <c r="CZ202">
        <v>0.12249341197311878</v>
      </c>
      <c r="DA202">
        <v>4.3343974116626498</v>
      </c>
      <c r="DB202">
        <v>466274249.4636063</v>
      </c>
      <c r="DC202">
        <v>0.11636874137446283</v>
      </c>
      <c r="DD202">
        <v>2.0560017827487442</v>
      </c>
      <c r="DE202">
        <v>982984507.58054638</v>
      </c>
      <c r="DF202">
        <v>0.10779420253634453</v>
      </c>
      <c r="DG202">
        <v>1.1833235230389199</v>
      </c>
      <c r="DH202">
        <v>1707916609.9984038</v>
      </c>
      <c r="DI202">
        <v>9.7994729578495032E-2</v>
      </c>
      <c r="DJ202">
        <v>0.55568631535018465</v>
      </c>
      <c r="DK202">
        <v>3636976193.5317531</v>
      </c>
      <c r="DL202">
        <v>8.5745388381183132E-2</v>
      </c>
      <c r="DM202">
        <v>140000000</v>
      </c>
      <c r="DN202">
        <v>0.12249341197311878</v>
      </c>
      <c r="DO202">
        <v>2021017900</v>
      </c>
      <c r="DP202">
        <v>659976200</v>
      </c>
      <c r="DQ202">
        <v>4852</v>
      </c>
      <c r="DR202">
        <v>0.60590164975527627</v>
      </c>
      <c r="DS202">
        <v>-0.53857588512266541</v>
      </c>
      <c r="DT202" s="10">
        <v>-0.34</v>
      </c>
      <c r="DU202">
        <v>0.24666666666666662</v>
      </c>
      <c r="DV202">
        <v>-9.3333333333333407E-2</v>
      </c>
      <c r="DW202">
        <v>-8.435010482180294</v>
      </c>
      <c r="DX202">
        <v>0.42746771409070744</v>
      </c>
      <c r="DY202">
        <v>-8.0597998965908211</v>
      </c>
      <c r="DZ202">
        <v>533</v>
      </c>
      <c r="EA202">
        <v>-8.053562451408256</v>
      </c>
      <c r="EB202">
        <v>8</v>
      </c>
      <c r="EC202">
        <v>3.8167679602118504E-2</v>
      </c>
      <c r="ED202">
        <v>0.27764831804021622</v>
      </c>
      <c r="EE202" s="11">
        <v>7.11151</v>
      </c>
      <c r="EF202">
        <v>7.1415100000000002</v>
      </c>
      <c r="EG202">
        <v>29.137467714090707</v>
      </c>
      <c r="EH202" t="s">
        <v>6596</v>
      </c>
      <c r="EI202">
        <v>0</v>
      </c>
      <c r="EJ202">
        <v>1</v>
      </c>
      <c r="EK202" s="13">
        <v>45470</v>
      </c>
      <c r="EL202" s="14">
        <v>-1.1200000000000001</v>
      </c>
      <c r="EM202" s="14">
        <v>-6.03</v>
      </c>
      <c r="EN202">
        <v>-7.65</v>
      </c>
      <c r="EO202">
        <v>2.82</v>
      </c>
      <c r="EP202">
        <v>-3</v>
      </c>
    </row>
    <row r="203" spans="1:146" ht="108">
      <c r="A203" s="7"/>
      <c r="B203" s="7"/>
      <c r="C203" s="7" t="str">
        <f>""&amp;CHAR(10)&amp;Basic_Fundamental_Information_Constructure(F203)&amp;CHAR(10)&amp;Basic_Fundamental_Information_Concatenate("")</f>
        <v xml:space="preserve">
市值11.8510809亿, 利润-2194.85万; PE28.84; 平均PE34.62; 平均PEG6.49, PB1.28; ROIC8.5133%; ROE3.35%; 股利率1.1321%; 毛利12.18%; 净利2.46%; 上一年度营收增-41.48%, 利润增-351.75%; 当季营收增172.73%, 利润增-82.2%; 过往5年营收增5.34%, 利润增-86.71%
Income profile:
</v>
      </c>
      <c r="D203" t="s">
        <v>1186</v>
      </c>
      <c r="E203" t="s">
        <v>1187</v>
      </c>
      <c r="F203">
        <v>13.25</v>
      </c>
      <c r="G203">
        <v>1.84</v>
      </c>
      <c r="H203" t="s">
        <v>6597</v>
      </c>
      <c r="I203">
        <v>1185108090</v>
      </c>
      <c r="J203">
        <v>28.84</v>
      </c>
      <c r="K203">
        <v>1.28</v>
      </c>
      <c r="L203" t="s">
        <v>85</v>
      </c>
      <c r="M203" t="s">
        <v>1877</v>
      </c>
      <c r="N203" t="s">
        <v>2106</v>
      </c>
      <c r="O203" t="s">
        <v>325</v>
      </c>
      <c r="P203">
        <v>24.88</v>
      </c>
      <c r="Q203" t="s">
        <v>851</v>
      </c>
      <c r="R203">
        <v>7690827</v>
      </c>
      <c r="S203" s="5">
        <v>-6.25E-2</v>
      </c>
      <c r="T203" t="s">
        <v>6598</v>
      </c>
      <c r="U203">
        <v>89442120</v>
      </c>
      <c r="V203">
        <v>89442120</v>
      </c>
      <c r="W203">
        <v>2.13</v>
      </c>
      <c r="X203">
        <v>0.18</v>
      </c>
      <c r="Y203">
        <v>2.13</v>
      </c>
      <c r="Z203" t="s">
        <v>266</v>
      </c>
      <c r="AA203" t="s">
        <v>1375</v>
      </c>
      <c r="AB203" t="s">
        <v>6599</v>
      </c>
      <c r="AC203" t="s">
        <v>6600</v>
      </c>
      <c r="AD203" t="s">
        <v>90</v>
      </c>
      <c r="AE203">
        <v>7140420</v>
      </c>
      <c r="AF203" t="s">
        <v>3320</v>
      </c>
      <c r="AG203">
        <v>300.17</v>
      </c>
      <c r="AH203" t="s">
        <v>3321</v>
      </c>
      <c r="AI203" t="s">
        <v>239</v>
      </c>
      <c r="AJ203" t="s">
        <v>3322</v>
      </c>
      <c r="AK203" t="s">
        <v>1140</v>
      </c>
      <c r="AL203" t="s">
        <v>3323</v>
      </c>
      <c r="AM203" t="s">
        <v>90</v>
      </c>
      <c r="AN203" t="s">
        <v>6601</v>
      </c>
      <c r="AO203" t="s">
        <v>278</v>
      </c>
      <c r="AP203" t="s">
        <v>166</v>
      </c>
      <c r="AQ203" t="s">
        <v>6602</v>
      </c>
      <c r="AR203" t="s">
        <v>90</v>
      </c>
      <c r="AS203" t="s">
        <v>712</v>
      </c>
      <c r="AT203" t="s">
        <v>246</v>
      </c>
      <c r="AU203" t="s">
        <v>6603</v>
      </c>
      <c r="AV203" t="s">
        <v>6604</v>
      </c>
      <c r="AW203" t="s">
        <v>6605</v>
      </c>
      <c r="AX203" t="s">
        <v>1802</v>
      </c>
      <c r="AY203" t="s">
        <v>1149</v>
      </c>
      <c r="AZ203" t="s">
        <v>1039</v>
      </c>
      <c r="BA203" t="s">
        <v>998</v>
      </c>
      <c r="BB203" t="s">
        <v>558</v>
      </c>
      <c r="BC203" t="s">
        <v>2021</v>
      </c>
      <c r="BD203" t="s">
        <v>1376</v>
      </c>
      <c r="BE203" t="s">
        <v>1188</v>
      </c>
      <c r="BF203" t="s">
        <v>1189</v>
      </c>
      <c r="BG203" t="s">
        <v>1190</v>
      </c>
      <c r="BH203" t="s">
        <v>3317</v>
      </c>
      <c r="BI203" t="s">
        <v>248</v>
      </c>
      <c r="BJ203" t="s">
        <v>1802</v>
      </c>
      <c r="BK203" t="s">
        <v>3318</v>
      </c>
      <c r="BL203" t="s">
        <v>6606</v>
      </c>
      <c r="BM203" t="s">
        <v>2021</v>
      </c>
      <c r="BN203">
        <v>3.68</v>
      </c>
      <c r="BO203">
        <v>16.420000000000002</v>
      </c>
      <c r="BP203">
        <v>5.44</v>
      </c>
      <c r="BQ203">
        <v>4.08</v>
      </c>
      <c r="BR203">
        <v>0.96</v>
      </c>
      <c r="BS203">
        <v>5.01</v>
      </c>
      <c r="BT203" t="s">
        <v>1695</v>
      </c>
      <c r="BU203" t="s">
        <v>1337</v>
      </c>
      <c r="BV203">
        <v>12.8</v>
      </c>
      <c r="BW203">
        <v>10.15</v>
      </c>
      <c r="BX203">
        <v>13.59</v>
      </c>
      <c r="BY203">
        <v>2.94</v>
      </c>
      <c r="BZ203">
        <v>0.71</v>
      </c>
      <c r="CA203">
        <v>3.73</v>
      </c>
      <c r="CB203">
        <v>-3.36</v>
      </c>
      <c r="CC203">
        <v>-13.23</v>
      </c>
      <c r="CD203" t="s">
        <v>6607</v>
      </c>
      <c r="CE203" t="s">
        <v>6608</v>
      </c>
      <c r="CF203" s="8">
        <v>1.7272727272727273</v>
      </c>
      <c r="CG203" s="9">
        <v>-0.82199920382718417</v>
      </c>
      <c r="CH203" s="8">
        <v>-0.41475409269332886</v>
      </c>
      <c r="CI203" s="8">
        <v>7.4318214319646358E-3</v>
      </c>
      <c r="CJ203" s="8">
        <v>0.40813961625099182</v>
      </c>
      <c r="CK203" s="8">
        <v>0.12125162780284882</v>
      </c>
      <c r="CL203" s="8">
        <v>0.1447761207818985</v>
      </c>
      <c r="CM203" s="9">
        <v>-3.5175495147705078</v>
      </c>
      <c r="CN203" s="9">
        <v>-0.80714339017868042</v>
      </c>
      <c r="CO203" s="9">
        <v>-0.3011111319065094</v>
      </c>
      <c r="CP203" s="9">
        <v>9.0350508689880371E-2</v>
      </c>
      <c r="CQ203" s="9">
        <v>0.20006918907165527</v>
      </c>
      <c r="CR203">
        <v>34.616502825296074</v>
      </c>
      <c r="CS203">
        <v>6.4862543211137931</v>
      </c>
      <c r="CT203">
        <v>1.1320754716981132</v>
      </c>
      <c r="CU203" s="8">
        <v>5.3369018714874983E-2</v>
      </c>
      <c r="CV203" s="9">
        <v>-0.86707686781883242</v>
      </c>
      <c r="CW203">
        <v>0.06</v>
      </c>
      <c r="CX203" t="e">
        <v>#VALUE!</v>
      </c>
      <c r="CY203" t="s">
        <v>1391</v>
      </c>
      <c r="CZ203">
        <v>5.3369018714874983E-2</v>
      </c>
      <c r="DA203" t="e">
        <v>#VALUE!</v>
      </c>
      <c r="DB203" t="s">
        <v>1391</v>
      </c>
      <c r="DC203">
        <v>5.0700567779131234E-2</v>
      </c>
      <c r="DD203" t="e">
        <v>#VALUE!</v>
      </c>
      <c r="DE203" t="s">
        <v>1391</v>
      </c>
      <c r="DF203">
        <v>4.6964736469089982E-2</v>
      </c>
      <c r="DG203" t="e">
        <v>#VALUE!</v>
      </c>
      <c r="DH203" t="s">
        <v>1391</v>
      </c>
      <c r="DI203">
        <v>4.2695214971899986E-2</v>
      </c>
      <c r="DJ203" t="e">
        <v>#VALUE!</v>
      </c>
      <c r="DK203" t="s">
        <v>1391</v>
      </c>
      <c r="DL203">
        <v>3.7358313100412488E-2</v>
      </c>
      <c r="DM203">
        <v>-21948500</v>
      </c>
      <c r="DN203">
        <v>5.3369018714874983E-2</v>
      </c>
      <c r="DO203">
        <v>1270108090</v>
      </c>
      <c r="DP203">
        <v>701257200</v>
      </c>
      <c r="DQ203">
        <v>4869</v>
      </c>
      <c r="DR203">
        <v>1.6739037085578523</v>
      </c>
      <c r="DS203">
        <v>4.5077663991648254E-2</v>
      </c>
      <c r="DT203" s="10">
        <v>-0.47333333333333333</v>
      </c>
      <c r="DU203">
        <v>-1.5233333333333334</v>
      </c>
      <c r="DV203">
        <v>-1.9966666666666668</v>
      </c>
      <c r="DW203">
        <v>-8.2539682539682531</v>
      </c>
      <c r="DX203">
        <v>0.46924585611386166</v>
      </c>
      <c r="DY203">
        <v>-8.0328243444098693</v>
      </c>
      <c r="DZ203">
        <v>3247</v>
      </c>
      <c r="EA203">
        <v>-8.0119670750754572</v>
      </c>
      <c r="EB203">
        <v>8</v>
      </c>
      <c r="EC203">
        <v>3.330198345030283E-2</v>
      </c>
      <c r="ED203">
        <v>0.25766383891616162</v>
      </c>
      <c r="EE203" s="11">
        <v>-5.0626100000000003</v>
      </c>
      <c r="EF203">
        <v>-5.0898099999999999</v>
      </c>
      <c r="EG203">
        <v>34.129245856113862</v>
      </c>
      <c r="EH203" t="s">
        <v>2138</v>
      </c>
      <c r="EI203">
        <v>0</v>
      </c>
      <c r="EJ203">
        <v>0</v>
      </c>
      <c r="EK203" s="13">
        <v>45470</v>
      </c>
      <c r="EL203" s="14">
        <v>-1.46</v>
      </c>
      <c r="EM203" s="14">
        <v>-5.89</v>
      </c>
      <c r="EN203">
        <v>-3.15</v>
      </c>
      <c r="EO203">
        <v>3.49</v>
      </c>
      <c r="EP203">
        <v>-2.72</v>
      </c>
    </row>
    <row r="204" spans="1:146" ht="228">
      <c r="A204" s="7" t="s">
        <v>2142</v>
      </c>
      <c r="B204" s="7" t="s">
        <v>2139</v>
      </c>
      <c r="C204" s="7" t="str">
        <f>"公司专注于工业级增材制造设备的研发、生产与销售，致力于为全球客户提供金属（SLM）增材制造设备和高分子（SLS）增材制造设备，并提供3D打印材料、工艺及服务。公司的核心产品为具有自主知识产权和应用核心技术的金属3D打印设备和高分子3D打印设备，同时向客户提供自主研制的3D打印高分子粉末材料。"&amp;CHAR(10)&amp;Basic_Fundamental_Information_Constructure(F204)&amp;CHAR(10)&amp;Basic_Fundamental_Information_Concatenate("（海外占比37%）
3D打印设备 4.03亿 88.20% 2.14亿 87.83% 53.09%
3D打印原材料 3388.60万 7.42% 1612.72万 6.62% 47.59%
售后服务及其他 1760.17万 3.86% 1148.54万 4.72% 65.25%")</f>
        <v>公司专注于工业级增材制造设备的研发、生产与销售，致力于为全球客户提供金属（SLM）增材制造设备和高分子（SLS）增材制造设备，并提供3D打印材料、工艺及服务。公司的核心产品为具有自主知识产权和应用核心技术的金属3D打印设备和高分子3D打印设备，同时向客户提供自主研制的3D打印高分子粉末材料。
市值80.141663亿, 利润4446.46万; PE58.51; 平均PE125.4; 平均PEG5.98, PB4.09; ROIC13.4967%; ROE9.625%; 股利率.4972%; 毛利53.8867%; 净利26.1667%; 上一年度营收增-46.83%, 利润增-55.16%; 当季营收增276.88%, 利润增809.59%; 过往5年营收增20.98%, 利润增60.86%
Income profile:
（海外占比37%）
3D打印设备 4.03亿 88.20% 2.14亿 87.83% 53.09%
3D打印原材料 3388.60万 7.42% 1612.72万 6.62% 47.59%
售后服务及其他 1760.17万 3.86% 1148.54万 4.72% 65.25%</v>
      </c>
      <c r="D204" t="s">
        <v>2022</v>
      </c>
      <c r="E204" t="s">
        <v>6609</v>
      </c>
      <c r="F204">
        <v>19.350000000000001</v>
      </c>
      <c r="G204">
        <v>1.52</v>
      </c>
      <c r="H204" t="s">
        <v>6610</v>
      </c>
      <c r="I204">
        <v>8014166300</v>
      </c>
      <c r="J204">
        <v>58.51</v>
      </c>
      <c r="K204">
        <v>4.09</v>
      </c>
      <c r="L204" t="s">
        <v>85</v>
      </c>
      <c r="M204" t="s">
        <v>1562</v>
      </c>
      <c r="N204" t="s">
        <v>6611</v>
      </c>
      <c r="O204" t="s">
        <v>296</v>
      </c>
      <c r="P204" s="5">
        <v>23.49</v>
      </c>
      <c r="Q204" t="s">
        <v>227</v>
      </c>
      <c r="R204">
        <v>26279078</v>
      </c>
      <c r="S204">
        <v>0.28439999999999999</v>
      </c>
      <c r="T204" t="s">
        <v>6612</v>
      </c>
      <c r="U204">
        <v>177400800</v>
      </c>
      <c r="V204">
        <v>414168800</v>
      </c>
      <c r="W204">
        <v>1.1599999999999999</v>
      </c>
      <c r="X204">
        <v>0.05</v>
      </c>
      <c r="Y204">
        <v>21.13</v>
      </c>
      <c r="Z204" t="s">
        <v>6613</v>
      </c>
      <c r="AA204" t="s">
        <v>6614</v>
      </c>
      <c r="AB204" t="s">
        <v>6615</v>
      </c>
      <c r="AC204" t="s">
        <v>6616</v>
      </c>
      <c r="AD204" t="s">
        <v>90</v>
      </c>
      <c r="AE204">
        <v>-2471613</v>
      </c>
      <c r="AF204" t="s">
        <v>3324</v>
      </c>
      <c r="AG204">
        <v>450.05</v>
      </c>
      <c r="AH204" t="s">
        <v>3325</v>
      </c>
      <c r="AI204" t="s">
        <v>6181</v>
      </c>
      <c r="AJ204" t="s">
        <v>3326</v>
      </c>
      <c r="AK204" t="s">
        <v>6617</v>
      </c>
      <c r="AL204" t="s">
        <v>3327</v>
      </c>
      <c r="AM204" t="s">
        <v>90</v>
      </c>
      <c r="AN204" t="s">
        <v>294</v>
      </c>
      <c r="AO204" t="s">
        <v>90</v>
      </c>
      <c r="AP204" t="s">
        <v>6618</v>
      </c>
      <c r="AQ204" t="s">
        <v>210</v>
      </c>
      <c r="AR204" t="s">
        <v>90</v>
      </c>
      <c r="AS204" t="s">
        <v>1453</v>
      </c>
      <c r="AT204" t="s">
        <v>90</v>
      </c>
      <c r="AU204" t="s">
        <v>6619</v>
      </c>
      <c r="AV204" t="s">
        <v>6620</v>
      </c>
      <c r="AW204" t="s">
        <v>90</v>
      </c>
      <c r="AX204" t="s">
        <v>890</v>
      </c>
      <c r="AY204" t="s">
        <v>262</v>
      </c>
      <c r="AZ204" t="s">
        <v>352</v>
      </c>
      <c r="BA204" t="s">
        <v>514</v>
      </c>
      <c r="BB204" t="s">
        <v>90</v>
      </c>
      <c r="BC204" t="s">
        <v>3328</v>
      </c>
      <c r="BD204" t="s">
        <v>393</v>
      </c>
      <c r="BE204" t="s">
        <v>2023</v>
      </c>
      <c r="BF204" t="s">
        <v>2024</v>
      </c>
      <c r="BG204" t="s">
        <v>90</v>
      </c>
      <c r="BH204" t="s">
        <v>1089</v>
      </c>
      <c r="BI204" t="s">
        <v>6621</v>
      </c>
      <c r="BJ204" t="s">
        <v>890</v>
      </c>
      <c r="BK204" t="s">
        <v>175</v>
      </c>
      <c r="BL204" t="s">
        <v>6622</v>
      </c>
      <c r="BM204" t="s">
        <v>3328</v>
      </c>
      <c r="BN204">
        <v>4.53</v>
      </c>
      <c r="BO204">
        <v>13.53</v>
      </c>
      <c r="BP204">
        <v>22.43</v>
      </c>
      <c r="BQ204">
        <v>5.3</v>
      </c>
      <c r="BR204">
        <v>13.95</v>
      </c>
      <c r="BS204" t="s">
        <v>90</v>
      </c>
      <c r="BT204" t="s">
        <v>6623</v>
      </c>
      <c r="BU204" t="s">
        <v>1381</v>
      </c>
      <c r="BV204">
        <v>51.6</v>
      </c>
      <c r="BW204">
        <v>53.32</v>
      </c>
      <c r="BX204">
        <v>56.74</v>
      </c>
      <c r="BY204">
        <v>21.64</v>
      </c>
      <c r="BZ204">
        <v>21.72</v>
      </c>
      <c r="CA204">
        <v>35.14</v>
      </c>
      <c r="CB204">
        <v>-6.81</v>
      </c>
      <c r="CC204" s="8">
        <v>-16.32</v>
      </c>
      <c r="CD204" s="9" t="s">
        <v>6624</v>
      </c>
      <c r="CE204" s="8" t="s">
        <v>6625</v>
      </c>
      <c r="CF204" s="8">
        <v>2.7688251295533637</v>
      </c>
      <c r="CG204" s="8">
        <v>8.0959329264999749</v>
      </c>
      <c r="CH204" s="8">
        <v>-0.46827134490013123</v>
      </c>
      <c r="CI204" s="8">
        <v>0.36826348304748535</v>
      </c>
      <c r="CJ204" s="9">
        <v>0.53917050361633301</v>
      </c>
      <c r="CK204" s="9">
        <v>0.40000000596046448</v>
      </c>
      <c r="CL204" s="9" t="s">
        <v>90</v>
      </c>
      <c r="CM204" s="9">
        <v>-0.55161488056182861</v>
      </c>
      <c r="CN204" s="9">
        <v>-0.15242652595043182</v>
      </c>
      <c r="CO204">
        <v>1.8563406467437744</v>
      </c>
      <c r="CP204">
        <v>1.2819141149520874</v>
      </c>
      <c r="CQ204" t="s">
        <v>90</v>
      </c>
      <c r="CR204" s="8">
        <v>125.40055366622364</v>
      </c>
      <c r="CS204" s="9">
        <v>5.9774135088741529</v>
      </c>
      <c r="CT204">
        <v>0.49715762273901803</v>
      </c>
      <c r="CU204">
        <v>0.2097906619310379</v>
      </c>
      <c r="CV204">
        <v>0.60855333879590034</v>
      </c>
      <c r="CW204">
        <v>0.06</v>
      </c>
      <c r="CX204">
        <v>127.0625237083145</v>
      </c>
      <c r="CY204">
        <v>50747979.11933852</v>
      </c>
      <c r="CZ204">
        <v>0.2097906619310379</v>
      </c>
      <c r="DA204">
        <v>37.570909491099364</v>
      </c>
      <c r="DB204">
        <v>171626569.26172057</v>
      </c>
      <c r="DC204">
        <v>0.199301128834486</v>
      </c>
      <c r="DD204">
        <v>16.088846594991534</v>
      </c>
      <c r="DE204">
        <v>400784870.5579254</v>
      </c>
      <c r="DF204">
        <v>0.18461578249931335</v>
      </c>
      <c r="DG204">
        <v>8.190821160189877</v>
      </c>
      <c r="DH204">
        <v>787242960.61306274</v>
      </c>
      <c r="DI204">
        <v>0.16783252954483033</v>
      </c>
      <c r="DJ204">
        <v>2.8667083988909798</v>
      </c>
      <c r="DK204">
        <v>2249327592.0545492</v>
      </c>
      <c r="DL204">
        <v>0.14685346335172653</v>
      </c>
      <c r="DM204">
        <v>44464600</v>
      </c>
      <c r="DN204">
        <v>0.2097906619310379</v>
      </c>
      <c r="DO204">
        <v>6448166300</v>
      </c>
      <c r="DP204">
        <v>1499864100</v>
      </c>
      <c r="DQ204" s="10">
        <v>4902</v>
      </c>
      <c r="DR204">
        <v>2.5590344676223258</v>
      </c>
      <c r="DS204">
        <v>7.4873795877040745</v>
      </c>
      <c r="DT204">
        <v>-0.24800000000000005</v>
      </c>
      <c r="DU204">
        <v>0.86999999999999988</v>
      </c>
      <c r="DV204">
        <v>0.62199999999999989</v>
      </c>
      <c r="DW204">
        <v>-9.4172794117647065</v>
      </c>
      <c r="DX204">
        <v>0.27650873456020292</v>
      </c>
      <c r="DY204">
        <v>-9.0402711079874365</v>
      </c>
      <c r="DZ204">
        <v>1222</v>
      </c>
      <c r="EA204">
        <v>-9.0306407177798729</v>
      </c>
      <c r="EB204" s="11">
        <v>9</v>
      </c>
      <c r="EC204" s="11">
        <v>7.285676757882293E-3</v>
      </c>
      <c r="ED204">
        <v>7.549240792643E-2</v>
      </c>
      <c r="EE204">
        <v>3.0192999999999999</v>
      </c>
      <c r="EF204">
        <v>3.0104099999999998</v>
      </c>
      <c r="EG204">
        <v>18.096508734560203</v>
      </c>
      <c r="EH204" s="13" t="s">
        <v>1736</v>
      </c>
      <c r="EI204">
        <v>0</v>
      </c>
      <c r="EJ204">
        <v>1</v>
      </c>
      <c r="EK204">
        <v>45470</v>
      </c>
      <c r="EL204">
        <v>-1.75</v>
      </c>
      <c r="EM204">
        <v>-6.88</v>
      </c>
      <c r="EN204">
        <v>-1.92</v>
      </c>
      <c r="EO204">
        <v>7.05</v>
      </c>
      <c r="EP204">
        <v>-2.97</v>
      </c>
    </row>
    <row r="205" spans="1:146" ht="108">
      <c r="C205" s="7" t="str">
        <f>""&amp;CHAR(10)&amp;Basic_Fundamental_Information_Constructure(F205)&amp;CHAR(10)&amp;Basic_Fundamental_Information_Concatenate("")</f>
        <v xml:space="preserve">
市值12.3352964亿, 利润4695.19万; PE24.67; 平均PE27.07; 平均PEG1.92, PB1.28; ROIC8.08%; ROE9.7667%; 股利率0%; 毛利36.65%; 净利14.88%; 上一年度营收增-11.63%, 利润增-1.44%; 当季营收增160.02%, 利润增106.56%; 过往5年营收增14.13%, 利润增11.57%
Income profile:
</v>
      </c>
      <c r="D205" t="s">
        <v>1527</v>
      </c>
      <c r="E205" t="s">
        <v>1536</v>
      </c>
      <c r="F205">
        <v>17.309999999999999</v>
      </c>
      <c r="G205">
        <v>1.41</v>
      </c>
      <c r="H205" t="s">
        <v>6626</v>
      </c>
      <c r="I205">
        <v>1233529640</v>
      </c>
      <c r="J205">
        <v>24.67</v>
      </c>
      <c r="K205">
        <v>1.28</v>
      </c>
      <c r="L205" t="s">
        <v>85</v>
      </c>
      <c r="M205" t="s">
        <v>779</v>
      </c>
      <c r="N205" t="s">
        <v>500</v>
      </c>
      <c r="O205" t="s">
        <v>3329</v>
      </c>
      <c r="P205" s="5">
        <v>19.829999999999998</v>
      </c>
      <c r="Q205" t="s">
        <v>131</v>
      </c>
      <c r="R205">
        <v>718969</v>
      </c>
      <c r="S205">
        <v>1.5880000000000001</v>
      </c>
      <c r="T205" t="s">
        <v>6627</v>
      </c>
      <c r="U205">
        <v>46690335</v>
      </c>
      <c r="V205">
        <v>71261100</v>
      </c>
      <c r="W205">
        <v>1.42</v>
      </c>
      <c r="X205">
        <v>0.03</v>
      </c>
      <c r="Y205">
        <v>1.64</v>
      </c>
      <c r="Z205" t="s">
        <v>6628</v>
      </c>
      <c r="AA205" t="s">
        <v>6629</v>
      </c>
      <c r="AB205" t="s">
        <v>6630</v>
      </c>
      <c r="AC205" t="s">
        <v>6631</v>
      </c>
      <c r="AD205" t="s">
        <v>90</v>
      </c>
      <c r="AE205">
        <v>-1023081</v>
      </c>
      <c r="AF205" t="s">
        <v>3331</v>
      </c>
      <c r="AG205">
        <v>2825.85</v>
      </c>
      <c r="AH205" t="s">
        <v>3332</v>
      </c>
      <c r="AI205" t="s">
        <v>1567</v>
      </c>
      <c r="AJ205" t="s">
        <v>3333</v>
      </c>
      <c r="AK205" t="s">
        <v>6632</v>
      </c>
      <c r="AL205" t="s">
        <v>3334</v>
      </c>
      <c r="AM205" t="s">
        <v>90</v>
      </c>
      <c r="AN205" t="s">
        <v>143</v>
      </c>
      <c r="AO205" t="s">
        <v>6633</v>
      </c>
      <c r="AP205" t="s">
        <v>6634</v>
      </c>
      <c r="AQ205" t="s">
        <v>451</v>
      </c>
      <c r="AR205" t="s">
        <v>90</v>
      </c>
      <c r="AS205" t="s">
        <v>148</v>
      </c>
      <c r="AT205" t="s">
        <v>90</v>
      </c>
      <c r="AU205" t="s">
        <v>6635</v>
      </c>
      <c r="AV205" t="s">
        <v>6636</v>
      </c>
      <c r="AW205" t="s">
        <v>6637</v>
      </c>
      <c r="AX205" t="s">
        <v>404</v>
      </c>
      <c r="AY205" t="s">
        <v>844</v>
      </c>
      <c r="AZ205" t="s">
        <v>190</v>
      </c>
      <c r="BA205" t="s">
        <v>909</v>
      </c>
      <c r="BB205" t="s">
        <v>422</v>
      </c>
      <c r="BC205" t="s">
        <v>2025</v>
      </c>
      <c r="BD205" t="s">
        <v>1528</v>
      </c>
      <c r="BE205" t="s">
        <v>1529</v>
      </c>
      <c r="BF205" t="s">
        <v>1530</v>
      </c>
      <c r="BG205" t="s">
        <v>1531</v>
      </c>
      <c r="BH205" t="s">
        <v>1574</v>
      </c>
      <c r="BI205" t="s">
        <v>6638</v>
      </c>
      <c r="BJ205" t="s">
        <v>404</v>
      </c>
      <c r="BK205" t="s">
        <v>3330</v>
      </c>
      <c r="BL205" t="s">
        <v>6639</v>
      </c>
      <c r="BM205" t="s">
        <v>2025</v>
      </c>
      <c r="BN205">
        <v>1.1599999999999999</v>
      </c>
      <c r="BO205">
        <v>6.75</v>
      </c>
      <c r="BP205">
        <v>16.329999999999998</v>
      </c>
      <c r="BQ205">
        <v>2</v>
      </c>
      <c r="BR205">
        <v>9.19</v>
      </c>
      <c r="BS205">
        <v>18.11</v>
      </c>
      <c r="BT205" t="s">
        <v>1692</v>
      </c>
      <c r="BU205" t="s">
        <v>1381</v>
      </c>
      <c r="BV205">
        <v>33.92</v>
      </c>
      <c r="BW205">
        <v>36.31</v>
      </c>
      <c r="BX205">
        <v>39.72</v>
      </c>
      <c r="BY205">
        <v>11.62</v>
      </c>
      <c r="BZ205">
        <v>13.84</v>
      </c>
      <c r="CA205">
        <v>19.18</v>
      </c>
      <c r="CB205">
        <v>-8.32</v>
      </c>
      <c r="CC205" s="8">
        <v>-15.85</v>
      </c>
      <c r="CD205" s="9" t="s">
        <v>6640</v>
      </c>
      <c r="CE205" s="8" t="s">
        <v>6641</v>
      </c>
      <c r="CF205" s="8">
        <v>1.6001965104507831</v>
      </c>
      <c r="CG205" s="8">
        <v>1.0656388883816896</v>
      </c>
      <c r="CH205" s="8">
        <v>-0.11627907305955887</v>
      </c>
      <c r="CI205" s="8">
        <v>0.10256410390138626</v>
      </c>
      <c r="CJ205" s="9">
        <v>0.24302789568901062</v>
      </c>
      <c r="CK205" s="9">
        <v>0.17840375006198883</v>
      </c>
      <c r="CL205" s="9">
        <v>0.29878050088882446</v>
      </c>
      <c r="CM205" s="9">
        <v>-1.4387885108590126E-2</v>
      </c>
      <c r="CN205" s="9">
        <v>-0.20284709334373474</v>
      </c>
      <c r="CO205">
        <v>0.23866049945354462</v>
      </c>
      <c r="CP205">
        <v>0.17309604585170746</v>
      </c>
      <c r="CQ205">
        <v>0.38388517498970032</v>
      </c>
      <c r="CR205" s="8">
        <v>27.067125076662744</v>
      </c>
      <c r="CS205" s="9">
        <v>1.9155862145935971</v>
      </c>
      <c r="CT205">
        <v>0</v>
      </c>
      <c r="CU205">
        <v>0.14129943549633026</v>
      </c>
      <c r="CV205">
        <v>0.11568134836852551</v>
      </c>
      <c r="CW205">
        <v>0.06</v>
      </c>
      <c r="CX205">
        <v>13.521050752822783</v>
      </c>
      <c r="CY205">
        <v>50552997.137245409</v>
      </c>
      <c r="CZ205">
        <v>0.14129943549633026</v>
      </c>
      <c r="DA205">
        <v>4.2318079140598606</v>
      </c>
      <c r="DB205">
        <v>161521896.52300254</v>
      </c>
      <c r="DC205">
        <v>0.13423446372151374</v>
      </c>
      <c r="DD205">
        <v>1.9641731830939608</v>
      </c>
      <c r="DE205">
        <v>347998662.17667514</v>
      </c>
      <c r="DF205">
        <v>0.12434350323677062</v>
      </c>
      <c r="DG205">
        <v>1.10208714979416</v>
      </c>
      <c r="DH205">
        <v>620213782.66470563</v>
      </c>
      <c r="DI205">
        <v>0.1130395483970642</v>
      </c>
      <c r="DJ205">
        <v>0.48791305886587422</v>
      </c>
      <c r="DK205">
        <v>1400925077.8997908</v>
      </c>
      <c r="DL205">
        <v>9.8909604847431179E-2</v>
      </c>
      <c r="DM205">
        <v>46951899.999999993</v>
      </c>
      <c r="DN205">
        <v>0.14129943549633026</v>
      </c>
      <c r="DO205">
        <v>683529640</v>
      </c>
      <c r="DP205">
        <v>689856790</v>
      </c>
      <c r="DQ205" s="10">
        <v>4906</v>
      </c>
      <c r="DR205">
        <v>1.458897074954453</v>
      </c>
      <c r="DS205">
        <v>0.94995754001316413</v>
      </c>
      <c r="DT205">
        <v>-9.000000000000008E-2</v>
      </c>
      <c r="DU205">
        <v>0.19999999999999996</v>
      </c>
      <c r="DV205">
        <v>0.10999999999999988</v>
      </c>
      <c r="DW205">
        <v>-9.5249211356466876</v>
      </c>
      <c r="DX205">
        <v>0.31020414475719182</v>
      </c>
      <c r="DY205">
        <v>-9.0735961188883181</v>
      </c>
      <c r="DZ205">
        <v>2284</v>
      </c>
      <c r="EA205">
        <v>-9.0407011021484127</v>
      </c>
      <c r="EB205" s="11">
        <v>9</v>
      </c>
      <c r="EC205">
        <v>4.7706252078623543E-2</v>
      </c>
      <c r="ED205">
        <v>0.34026278011425587</v>
      </c>
      <c r="EE205">
        <v>1.03511</v>
      </c>
      <c r="EF205">
        <v>1.0825100000000001</v>
      </c>
      <c r="EG205">
        <v>17.140204144757192</v>
      </c>
      <c r="EH205" s="13" t="s">
        <v>1733</v>
      </c>
      <c r="EI205" s="14">
        <v>0</v>
      </c>
      <c r="EJ205" s="14">
        <v>0</v>
      </c>
      <c r="EK205" s="14">
        <v>45470</v>
      </c>
      <c r="EL205" s="14">
        <v>-11.18</v>
      </c>
      <c r="EM205" s="14">
        <v>-5.59</v>
      </c>
      <c r="EN205">
        <v>-0.52</v>
      </c>
      <c r="EO205">
        <v>3.52</v>
      </c>
      <c r="EP205">
        <v>-4.74</v>
      </c>
    </row>
    <row r="206" spans="1:146" ht="96">
      <c r="A206" s="7"/>
      <c r="B206" s="7"/>
      <c r="C206" s="7" t="str">
        <f>""&amp;CHAR(10)&amp;Basic_Fundamental_Information_Constructure(F206)&amp;CHAR(10)&amp;Basic_Fundamental_Information_Concatenate("")</f>
        <v xml:space="preserve">
市值14.504103亿, 利润5511.93万; PE; 平均PE27.13; 平均PEG.54, PB1.24; ROIC16.165%; ROE13.27%; 股利率0%; 毛利17.8533%; 净利1.77%; 上一年度营收增60.64%, 利润增-38.09%; 当季营收增-75.16%, 利润增-408.69%; 过往5年营收增50.29%, 利润增73.66%
Income profile:
</v>
      </c>
      <c r="D206" t="s">
        <v>1513</v>
      </c>
      <c r="E206" t="s">
        <v>1532</v>
      </c>
      <c r="F206">
        <v>8.02</v>
      </c>
      <c r="G206">
        <v>2.4300000000000002</v>
      </c>
      <c r="H206" t="s">
        <v>6642</v>
      </c>
      <c r="I206">
        <v>1450410300</v>
      </c>
      <c r="K206">
        <v>1.24</v>
      </c>
      <c r="L206" t="s">
        <v>85</v>
      </c>
      <c r="M206" t="s">
        <v>3335</v>
      </c>
      <c r="N206" t="s">
        <v>153</v>
      </c>
      <c r="O206" t="s">
        <v>276</v>
      </c>
      <c r="P206">
        <v>1385.08</v>
      </c>
      <c r="Q206" t="s">
        <v>6643</v>
      </c>
      <c r="R206">
        <v>-32967689</v>
      </c>
      <c r="S206">
        <v>-0.2848</v>
      </c>
      <c r="T206" t="s">
        <v>6644</v>
      </c>
      <c r="U206">
        <v>128021014</v>
      </c>
      <c r="V206">
        <v>180849170</v>
      </c>
      <c r="W206">
        <v>2.29</v>
      </c>
      <c r="X206">
        <v>0.06</v>
      </c>
      <c r="Y206">
        <v>-21.85</v>
      </c>
      <c r="Z206" t="s">
        <v>685</v>
      </c>
      <c r="AA206" t="s">
        <v>248</v>
      </c>
      <c r="AB206" t="s">
        <v>6645</v>
      </c>
      <c r="AC206" t="s">
        <v>6646</v>
      </c>
      <c r="AD206" t="s">
        <v>90</v>
      </c>
      <c r="AE206">
        <v>-2417920</v>
      </c>
      <c r="AF206" t="s">
        <v>3338</v>
      </c>
      <c r="AG206" t="s">
        <v>6647</v>
      </c>
      <c r="AH206" t="s">
        <v>3339</v>
      </c>
      <c r="AI206" t="s">
        <v>656</v>
      </c>
      <c r="AJ206" t="s">
        <v>3340</v>
      </c>
      <c r="AK206" t="s">
        <v>6648</v>
      </c>
      <c r="AL206" t="s">
        <v>3341</v>
      </c>
      <c r="AM206" t="s">
        <v>90</v>
      </c>
      <c r="AN206" t="s">
        <v>6649</v>
      </c>
      <c r="AO206" t="s">
        <v>137</v>
      </c>
      <c r="AP206" t="s">
        <v>123</v>
      </c>
      <c r="AQ206" t="s">
        <v>278</v>
      </c>
      <c r="AR206" t="s">
        <v>90</v>
      </c>
      <c r="AS206" t="s">
        <v>6650</v>
      </c>
      <c r="AT206" t="s">
        <v>90</v>
      </c>
      <c r="AU206" t="s">
        <v>6651</v>
      </c>
      <c r="AV206" t="s">
        <v>6652</v>
      </c>
      <c r="AW206" t="s">
        <v>6653</v>
      </c>
      <c r="AX206" t="s">
        <v>2027</v>
      </c>
      <c r="AY206" t="s">
        <v>1452</v>
      </c>
      <c r="AZ206" t="s">
        <v>1290</v>
      </c>
      <c r="BA206" t="s">
        <v>284</v>
      </c>
      <c r="BB206" t="s">
        <v>819</v>
      </c>
      <c r="BC206" t="s">
        <v>2028</v>
      </c>
      <c r="BD206" t="s">
        <v>1514</v>
      </c>
      <c r="BE206" t="s">
        <v>1516</v>
      </c>
      <c r="BF206" t="s">
        <v>1517</v>
      </c>
      <c r="BG206" t="s">
        <v>1518</v>
      </c>
      <c r="BH206" t="s">
        <v>3336</v>
      </c>
      <c r="BI206" t="s">
        <v>6654</v>
      </c>
      <c r="BJ206" t="s">
        <v>2027</v>
      </c>
      <c r="BK206" t="s">
        <v>3337</v>
      </c>
      <c r="BL206" t="s">
        <v>6655</v>
      </c>
      <c r="BM206" t="s">
        <v>2028</v>
      </c>
      <c r="BN206" t="s">
        <v>90</v>
      </c>
      <c r="BO206">
        <v>9.01</v>
      </c>
      <c r="BP206">
        <v>23.32</v>
      </c>
      <c r="BQ206">
        <v>-4.55</v>
      </c>
      <c r="BR206">
        <v>14.58</v>
      </c>
      <c r="BS206">
        <v>29.78</v>
      </c>
      <c r="BT206" t="s">
        <v>1692</v>
      </c>
      <c r="BU206" t="s">
        <v>1381</v>
      </c>
      <c r="BV206">
        <v>11.79</v>
      </c>
      <c r="BW206">
        <v>20.45</v>
      </c>
      <c r="BX206">
        <v>21.32</v>
      </c>
      <c r="BY206">
        <v>-6.79</v>
      </c>
      <c r="BZ206">
        <v>5.33</v>
      </c>
      <c r="CA206">
        <v>6.77</v>
      </c>
      <c r="CB206">
        <v>-0.12</v>
      </c>
      <c r="CC206">
        <v>-10.29</v>
      </c>
      <c r="CD206" t="s">
        <v>6656</v>
      </c>
      <c r="CE206" t="s">
        <v>6657</v>
      </c>
      <c r="CF206" s="8">
        <v>-0.75164473684210531</v>
      </c>
      <c r="CG206" s="9">
        <v>-4.0868622659176026</v>
      </c>
      <c r="CH206" s="8">
        <v>0.60635101795196533</v>
      </c>
      <c r="CI206" s="8">
        <v>0.30696958303451538</v>
      </c>
      <c r="CJ206" s="8">
        <v>0.45113629102706909</v>
      </c>
      <c r="CK206" s="8">
        <v>0.9047619104385376</v>
      </c>
      <c r="CL206" s="8">
        <v>0.24528302252292633</v>
      </c>
      <c r="CM206" s="9">
        <v>-0.38093864917755127</v>
      </c>
      <c r="CN206" s="9">
        <v>2.941158227622509E-2</v>
      </c>
      <c r="CO206" s="9">
        <v>0.40720939636230469</v>
      </c>
      <c r="CP206" s="9">
        <v>3.8289401531219482</v>
      </c>
      <c r="CQ206" s="9">
        <v>-0.20158199965953827</v>
      </c>
      <c r="CR206">
        <v>27.128761570105205</v>
      </c>
      <c r="CS206">
        <v>0.53944605051886918</v>
      </c>
      <c r="CT206">
        <v>0</v>
      </c>
      <c r="CU206" s="8">
        <v>0.50290036499500279</v>
      </c>
      <c r="CV206" s="9">
        <v>0.73660809658467774</v>
      </c>
      <c r="CW206">
        <v>0.06</v>
      </c>
      <c r="CX206">
        <v>21.835113095684942</v>
      </c>
      <c r="CY206">
        <v>78149826.498367026</v>
      </c>
      <c r="CZ206">
        <v>0.50290036499500279</v>
      </c>
      <c r="DA206">
        <v>5.1195143986201117</v>
      </c>
      <c r="DB206">
        <v>333314874.64122325</v>
      </c>
      <c r="DC206">
        <v>0.47775534674525261</v>
      </c>
      <c r="DD206">
        <v>1.5338079845868766</v>
      </c>
      <c r="DE206">
        <v>1112531892.6147153</v>
      </c>
      <c r="DF206">
        <v>0.44255232119560245</v>
      </c>
      <c r="DG206">
        <v>0.49004710120931072</v>
      </c>
      <c r="DH206">
        <v>3482135280.0353608</v>
      </c>
      <c r="DI206">
        <v>0.40232029199600228</v>
      </c>
      <c r="DJ206">
        <v>5.1876005585124965E-2</v>
      </c>
      <c r="DK206">
        <v>32894018742.43956</v>
      </c>
      <c r="DL206">
        <v>0.35203025549650191</v>
      </c>
      <c r="DM206">
        <v>55119300</v>
      </c>
      <c r="DN206">
        <v>0.50290036499500279</v>
      </c>
      <c r="DO206">
        <v>1706410300</v>
      </c>
      <c r="DP206">
        <v>759256800</v>
      </c>
      <c r="DQ206">
        <v>4908</v>
      </c>
      <c r="DR206">
        <v>-1.2545451018371081</v>
      </c>
      <c r="DS206">
        <v>-4.8234703625022801</v>
      </c>
      <c r="DT206" s="10">
        <v>0.5099999999999999</v>
      </c>
      <c r="DU206">
        <v>-0.58499999999999996</v>
      </c>
      <c r="DV206">
        <v>-7.5000000000000067E-2</v>
      </c>
      <c r="DW206">
        <v>-2.1029</v>
      </c>
      <c r="DX206">
        <v>0.50031181929400648</v>
      </c>
      <c r="DY206">
        <v>-2.010322086205353</v>
      </c>
      <c r="DZ206">
        <v>2259</v>
      </c>
      <c r="EA206">
        <v>-2.0057589565110492</v>
      </c>
      <c r="EB206">
        <v>2</v>
      </c>
      <c r="EC206">
        <v>1.4870955725149305E-2</v>
      </c>
      <c r="ED206">
        <v>0.14824729358724731</v>
      </c>
      <c r="EE206" s="11">
        <v>-2.0377000000000001</v>
      </c>
      <c r="EF206">
        <v>-2.0181100000000001</v>
      </c>
      <c r="EG206">
        <v>40.100311819294006</v>
      </c>
      <c r="EH206" t="s">
        <v>1735</v>
      </c>
      <c r="EI206">
        <v>0</v>
      </c>
      <c r="EJ206">
        <v>0</v>
      </c>
      <c r="EK206" s="13">
        <v>45470</v>
      </c>
      <c r="EL206" s="14">
        <v>-1.86</v>
      </c>
      <c r="EM206" s="14">
        <v>5.49</v>
      </c>
      <c r="EN206">
        <v>-1</v>
      </c>
      <c r="EO206">
        <v>-0.63</v>
      </c>
      <c r="EP206">
        <v>-5.58</v>
      </c>
    </row>
    <row r="207" spans="1:146" ht="96">
      <c r="C207" s="7" t="str">
        <f>""&amp;CHAR(10)&amp;Basic_Fundamental_Information_Constructure(F207)&amp;CHAR(10)&amp;Basic_Fundamental_Information_Concatenate("")</f>
        <v xml:space="preserve">
市值12.6亿, 利润8665.60万; PE; 平均PE30; 平均PEG.29, PB1.99; ROIC3.27%; ROE-.6867%; 股利率0%; 毛利31.3733%; 净利-2.7133%; 上一年度营收增445.11%, 利润增6219.72%; 当季营收增-75.37%, 利润增-121.89%; 过往5年营收增102.13%, 利润增1218.35%
Income profile:
</v>
      </c>
      <c r="D207" t="s">
        <v>6658</v>
      </c>
      <c r="E207" t="s">
        <v>6659</v>
      </c>
      <c r="F207">
        <v>7.5</v>
      </c>
      <c r="G207">
        <v>0.94</v>
      </c>
      <c r="H207" t="s">
        <v>6660</v>
      </c>
      <c r="I207">
        <v>1260000000</v>
      </c>
      <c r="K207">
        <v>1.99</v>
      </c>
      <c r="L207" t="s">
        <v>85</v>
      </c>
      <c r="M207" t="s">
        <v>1042</v>
      </c>
      <c r="N207" t="s">
        <v>3926</v>
      </c>
      <c r="O207" t="s">
        <v>210</v>
      </c>
      <c r="P207" s="5">
        <v>101.83</v>
      </c>
      <c r="Q207" t="s">
        <v>4421</v>
      </c>
      <c r="R207">
        <v>-6133832</v>
      </c>
      <c r="S207">
        <v>0.58750000000000002</v>
      </c>
      <c r="T207" t="s">
        <v>6661</v>
      </c>
      <c r="U207">
        <v>168000000</v>
      </c>
      <c r="V207">
        <v>168000000</v>
      </c>
      <c r="W207">
        <v>1.5</v>
      </c>
      <c r="X207">
        <v>0.1</v>
      </c>
      <c r="Y207">
        <v>-5.88</v>
      </c>
      <c r="Z207" t="s">
        <v>371</v>
      </c>
      <c r="AA207" t="s">
        <v>6662</v>
      </c>
      <c r="AB207" t="s">
        <v>6663</v>
      </c>
      <c r="AC207" t="s">
        <v>6664</v>
      </c>
      <c r="AD207" t="s">
        <v>90</v>
      </c>
      <c r="AE207">
        <v>695854</v>
      </c>
      <c r="AF207" t="s">
        <v>6665</v>
      </c>
      <c r="AG207" t="s">
        <v>6666</v>
      </c>
      <c r="AH207" t="s">
        <v>6667</v>
      </c>
      <c r="AI207" t="s">
        <v>6668</v>
      </c>
      <c r="AJ207" t="s">
        <v>6669</v>
      </c>
      <c r="AK207" t="s">
        <v>6670</v>
      </c>
      <c r="AL207" t="s">
        <v>6671</v>
      </c>
      <c r="AM207" t="s">
        <v>90</v>
      </c>
      <c r="AN207" t="s">
        <v>6672</v>
      </c>
      <c r="AO207" t="s">
        <v>6673</v>
      </c>
      <c r="AP207" t="s">
        <v>6674</v>
      </c>
      <c r="AQ207" t="s">
        <v>175</v>
      </c>
      <c r="AR207" t="s">
        <v>6675</v>
      </c>
      <c r="AS207" t="s">
        <v>379</v>
      </c>
      <c r="AT207" t="s">
        <v>90</v>
      </c>
      <c r="AU207" t="s">
        <v>6676</v>
      </c>
      <c r="AV207" t="s">
        <v>6677</v>
      </c>
      <c r="AW207" t="s">
        <v>6678</v>
      </c>
      <c r="AX207" t="s">
        <v>389</v>
      </c>
      <c r="AY207" t="s">
        <v>669</v>
      </c>
      <c r="AZ207" t="s">
        <v>133</v>
      </c>
      <c r="BA207" t="s">
        <v>740</v>
      </c>
      <c r="BB207" t="s">
        <v>708</v>
      </c>
      <c r="BC207" t="s">
        <v>6679</v>
      </c>
      <c r="BD207" t="s">
        <v>6680</v>
      </c>
      <c r="BE207" t="s">
        <v>6681</v>
      </c>
      <c r="BF207" t="s">
        <v>6682</v>
      </c>
      <c r="BG207" t="s">
        <v>6683</v>
      </c>
      <c r="BH207" t="s">
        <v>1403</v>
      </c>
      <c r="BI207" t="s">
        <v>257</v>
      </c>
      <c r="BJ207" t="s">
        <v>389</v>
      </c>
      <c r="BK207" t="s">
        <v>6684</v>
      </c>
      <c r="BL207" t="s">
        <v>6685</v>
      </c>
      <c r="BM207" t="s">
        <v>6679</v>
      </c>
      <c r="BN207" t="s">
        <v>90</v>
      </c>
      <c r="BO207" t="s">
        <v>90</v>
      </c>
      <c r="BP207">
        <v>3.27</v>
      </c>
      <c r="BQ207">
        <v>-6.11</v>
      </c>
      <c r="BR207">
        <v>0.18</v>
      </c>
      <c r="BS207">
        <v>3.87</v>
      </c>
      <c r="BT207" t="s">
        <v>1692</v>
      </c>
      <c r="BU207" t="s">
        <v>3551</v>
      </c>
      <c r="BV207">
        <v>27.72</v>
      </c>
      <c r="BW207">
        <v>30.51</v>
      </c>
      <c r="BX207">
        <v>35.89</v>
      </c>
      <c r="BY207">
        <v>-18.059999999999999</v>
      </c>
      <c r="BZ207">
        <v>0.37</v>
      </c>
      <c r="CA207">
        <v>9.5500000000000007</v>
      </c>
      <c r="CB207">
        <v>-6.13</v>
      </c>
      <c r="CC207" s="8">
        <v>-11.66</v>
      </c>
      <c r="CD207" s="9" t="s">
        <v>6686</v>
      </c>
      <c r="CE207" s="8" t="s">
        <v>6687</v>
      </c>
      <c r="CF207" s="8">
        <v>-0.75365853658536586</v>
      </c>
      <c r="CG207" s="8">
        <v>-1.218850486129694</v>
      </c>
      <c r="CH207" s="8">
        <v>4.4510869979858398</v>
      </c>
      <c r="CI207" s="8">
        <v>0.20261438190937042</v>
      </c>
      <c r="CJ207" s="9">
        <v>1.3245033100247383E-2</v>
      </c>
      <c r="CK207" s="9">
        <v>0.23265306651592255</v>
      </c>
      <c r="CL207" s="9">
        <v>0.20689655840396881</v>
      </c>
      <c r="CM207" s="9">
        <v>62.197200775146484</v>
      </c>
      <c r="CN207" s="9">
        <v>-0.95304638147354126</v>
      </c>
      <c r="CO207">
        <v>-0.36731329560279846</v>
      </c>
      <c r="CP207">
        <v>4.3593078851699829E-2</v>
      </c>
      <c r="CQ207">
        <v>-3.1530740670859814E-3</v>
      </c>
      <c r="CR207" s="8">
        <v>30.001547698889226</v>
      </c>
      <c r="CS207" s="9">
        <v>0.29375865051230815</v>
      </c>
      <c r="CT207">
        <v>0</v>
      </c>
      <c r="CU207">
        <v>1.0212992075830698</v>
      </c>
      <c r="CV207">
        <v>12.183456220570951</v>
      </c>
      <c r="CW207">
        <v>0.06</v>
      </c>
      <c r="CX207">
        <v>5.7491048137927585</v>
      </c>
      <c r="CY207">
        <v>165243117.10596085</v>
      </c>
      <c r="CZ207">
        <v>1.0212992075830698</v>
      </c>
      <c r="DA207">
        <v>0.93420329430222071</v>
      </c>
      <c r="DB207">
        <v>1016909280.6609917</v>
      </c>
      <c r="DC207">
        <v>0.97023424720391627</v>
      </c>
      <c r="DD207">
        <v>0.1511734050837065</v>
      </c>
      <c r="DE207">
        <v>6284174120.9306879</v>
      </c>
      <c r="DF207">
        <v>0.89874330267310143</v>
      </c>
      <c r="DG207">
        <v>2.094504796545444E-2</v>
      </c>
      <c r="DH207">
        <v>45356783215.1483</v>
      </c>
      <c r="DI207">
        <v>0.81703936606645589</v>
      </c>
      <c r="DJ207">
        <v>2.7745162140668957E-4</v>
      </c>
      <c r="DK207">
        <v>3424020357795.9512</v>
      </c>
      <c r="DL207">
        <v>0.71490944530814882</v>
      </c>
      <c r="DM207">
        <v>86656000</v>
      </c>
      <c r="DN207">
        <v>1.0212992075830698</v>
      </c>
      <c r="DO207">
        <v>950000000</v>
      </c>
      <c r="DP207">
        <v>166333070</v>
      </c>
      <c r="DQ207" s="10">
        <v>4952</v>
      </c>
      <c r="DR207">
        <v>-1.7749577441684357</v>
      </c>
      <c r="DS207">
        <v>-13.402306706700646</v>
      </c>
      <c r="DT207">
        <v>0.22666666666666657</v>
      </c>
      <c r="DU207">
        <v>-1.0316666666666667</v>
      </c>
      <c r="DV207">
        <v>-0.80500000000000016</v>
      </c>
      <c r="DW207">
        <v>-9.5257289879931388</v>
      </c>
      <c r="DX207">
        <v>0.29221505264296799</v>
      </c>
      <c r="DY207">
        <v>-9.0642519959435166</v>
      </c>
      <c r="DZ207" t="s">
        <v>1729</v>
      </c>
      <c r="EA207" t="e">
        <v>#VALUE!</v>
      </c>
      <c r="EB207" s="11" t="e">
        <v>#VALUE!</v>
      </c>
      <c r="EC207" s="11">
        <v>1.8151190476190477E-2</v>
      </c>
      <c r="ED207">
        <v>0.14851845238095238</v>
      </c>
      <c r="EE207">
        <v>3.1345000000000001</v>
      </c>
      <c r="EF207">
        <v>3.1234999999999999</v>
      </c>
      <c r="EG207">
        <v>17.122215052642968</v>
      </c>
      <c r="EH207" s="13" t="s">
        <v>1816</v>
      </c>
      <c r="EI207" t="e">
        <v>#VALUE!</v>
      </c>
      <c r="EJ207">
        <v>0</v>
      </c>
      <c r="EK207">
        <v>45470</v>
      </c>
      <c r="EL207">
        <v>0</v>
      </c>
      <c r="EM207">
        <v>-5.32</v>
      </c>
      <c r="EN207">
        <v>0.78</v>
      </c>
      <c r="EO207">
        <v>5.27</v>
      </c>
      <c r="EP207">
        <v>-1.1000000000000001</v>
      </c>
    </row>
    <row r="208" spans="1:146" ht="108">
      <c r="C208" s="7" t="str">
        <f>""&amp;CHAR(10)&amp;Basic_Fundamental_Information_Constructure(F208)&amp;CHAR(10)&amp;Basic_Fundamental_Information_Concatenate("")</f>
        <v xml:space="preserve">
市值48.71104亿, 利润1.41亿; PE48.35; 平均PE69.97; 平均PEG.77, PB2.72; ROIC12.9367%; ROE10.525%; 股利率1.5267%; 毛利58.8167%; 净利29.5333%; 上一年度营收增276.81%, 利润增73.74%; 当季营收增-48.62%, 利润增98.83%; 过往5年营收增90.95%, 利润增64.65%
Income profile:
</v>
      </c>
      <c r="D208" t="s">
        <v>6688</v>
      </c>
      <c r="E208" t="s">
        <v>6689</v>
      </c>
      <c r="F208">
        <v>26.2</v>
      </c>
      <c r="G208">
        <v>2.46</v>
      </c>
      <c r="H208" t="s">
        <v>6690</v>
      </c>
      <c r="I208">
        <v>4871104000</v>
      </c>
      <c r="J208">
        <v>48.35</v>
      </c>
      <c r="K208">
        <v>2.72</v>
      </c>
      <c r="L208" t="s">
        <v>85</v>
      </c>
      <c r="M208" t="s">
        <v>479</v>
      </c>
      <c r="N208" t="s">
        <v>6180</v>
      </c>
      <c r="O208" t="s">
        <v>6691</v>
      </c>
      <c r="P208" s="5">
        <v>17.98</v>
      </c>
      <c r="Q208" t="s">
        <v>6692</v>
      </c>
      <c r="R208">
        <v>18780659</v>
      </c>
      <c r="S208">
        <v>0.307</v>
      </c>
      <c r="T208" t="s">
        <v>135</v>
      </c>
      <c r="U208">
        <v>88790800</v>
      </c>
      <c r="V208">
        <v>185920000</v>
      </c>
      <c r="W208">
        <v>1.0900000000000001</v>
      </c>
      <c r="X208">
        <v>0.04</v>
      </c>
      <c r="Y208">
        <v>25.04</v>
      </c>
      <c r="Z208" t="s">
        <v>6693</v>
      </c>
      <c r="AA208" t="s">
        <v>6694</v>
      </c>
      <c r="AB208" t="s">
        <v>6695</v>
      </c>
      <c r="AC208" t="s">
        <v>6696</v>
      </c>
      <c r="AD208" t="s">
        <v>90</v>
      </c>
      <c r="AE208">
        <v>-2675606</v>
      </c>
      <c r="AF208" t="s">
        <v>6697</v>
      </c>
      <c r="AG208" t="s">
        <v>90</v>
      </c>
      <c r="AH208" t="s">
        <v>6698</v>
      </c>
      <c r="AI208" t="s">
        <v>1819</v>
      </c>
      <c r="AJ208" t="s">
        <v>6699</v>
      </c>
      <c r="AK208" t="s">
        <v>6700</v>
      </c>
      <c r="AL208" t="s">
        <v>6701</v>
      </c>
      <c r="AM208" t="s">
        <v>90</v>
      </c>
      <c r="AN208" t="s">
        <v>6702</v>
      </c>
      <c r="AO208" t="s">
        <v>90</v>
      </c>
      <c r="AP208" t="s">
        <v>6703</v>
      </c>
      <c r="AQ208" t="s">
        <v>6704</v>
      </c>
      <c r="AR208" t="s">
        <v>90</v>
      </c>
      <c r="AS208" t="s">
        <v>290</v>
      </c>
      <c r="AT208" t="s">
        <v>90</v>
      </c>
      <c r="AU208" t="s">
        <v>6705</v>
      </c>
      <c r="AV208" t="s">
        <v>6706</v>
      </c>
      <c r="AW208" t="s">
        <v>6707</v>
      </c>
      <c r="AX208" t="s">
        <v>1055</v>
      </c>
      <c r="AY208" t="s">
        <v>741</v>
      </c>
      <c r="AZ208" t="s">
        <v>192</v>
      </c>
      <c r="BA208" t="s">
        <v>480</v>
      </c>
      <c r="BB208" t="s">
        <v>90</v>
      </c>
      <c r="BC208" t="s">
        <v>6708</v>
      </c>
      <c r="BD208" t="s">
        <v>6709</v>
      </c>
      <c r="BE208" t="s">
        <v>6710</v>
      </c>
      <c r="BF208" t="s">
        <v>6711</v>
      </c>
      <c r="BG208" t="s">
        <v>90</v>
      </c>
      <c r="BH208" t="s">
        <v>423</v>
      </c>
      <c r="BI208" t="s">
        <v>261</v>
      </c>
      <c r="BJ208" t="s">
        <v>1055</v>
      </c>
      <c r="BK208" t="s">
        <v>6712</v>
      </c>
      <c r="BL208" t="s">
        <v>6713</v>
      </c>
      <c r="BM208" t="s">
        <v>6708</v>
      </c>
      <c r="BN208">
        <v>4.8499999999999996</v>
      </c>
      <c r="BO208">
        <v>15.6</v>
      </c>
      <c r="BP208">
        <v>18.36</v>
      </c>
      <c r="BQ208">
        <v>5.01</v>
      </c>
      <c r="BR208">
        <v>16.04</v>
      </c>
      <c r="BS208" t="s">
        <v>90</v>
      </c>
      <c r="BT208" t="s">
        <v>2823</v>
      </c>
      <c r="BU208" t="s">
        <v>3551</v>
      </c>
      <c r="BV208">
        <v>55.8</v>
      </c>
      <c r="BW208">
        <v>60.19</v>
      </c>
      <c r="BX208">
        <v>60.46</v>
      </c>
      <c r="BY208">
        <v>28.24</v>
      </c>
      <c r="BZ208">
        <v>29.44</v>
      </c>
      <c r="CA208">
        <v>30.92</v>
      </c>
      <c r="CB208">
        <v>-2.64</v>
      </c>
      <c r="CC208" s="8">
        <v>-7.16</v>
      </c>
      <c r="CD208" s="9" t="s">
        <v>6714</v>
      </c>
      <c r="CE208" s="8" t="s">
        <v>6715</v>
      </c>
      <c r="CF208" s="8">
        <v>-0.48621917808219178</v>
      </c>
      <c r="CG208" s="8">
        <v>0.98831814091366255</v>
      </c>
      <c r="CH208" s="8">
        <v>2.7681159973144531</v>
      </c>
      <c r="CI208" s="8">
        <v>0.22123894095420837</v>
      </c>
      <c r="CJ208" s="9">
        <v>0.44871795177459717</v>
      </c>
      <c r="CK208" s="9">
        <v>0.20000000298023224</v>
      </c>
      <c r="CL208" s="9" t="s">
        <v>90</v>
      </c>
      <c r="CM208" s="9">
        <v>0.73737752437591553</v>
      </c>
      <c r="CN208" s="9">
        <v>0.15915924310684204</v>
      </c>
      <c r="CO208">
        <v>0.98820662498474121</v>
      </c>
      <c r="CP208">
        <v>0.70126914978027344</v>
      </c>
      <c r="CQ208" t="s">
        <v>90</v>
      </c>
      <c r="CR208" s="8">
        <v>69.970317475457051</v>
      </c>
      <c r="CS208" s="9">
        <v>0.76931188057979638</v>
      </c>
      <c r="CT208">
        <v>1.5267175572519085</v>
      </c>
      <c r="CU208">
        <v>0.90951822325587273</v>
      </c>
      <c r="CV208">
        <v>0.64650313556194305</v>
      </c>
      <c r="CW208">
        <v>0.06</v>
      </c>
      <c r="CX208">
        <v>12.787712732491622</v>
      </c>
      <c r="CY208">
        <v>254001952.33875287</v>
      </c>
      <c r="CZ208">
        <v>0.90951822325587273</v>
      </c>
      <c r="DA208">
        <v>2.2388953165529073</v>
      </c>
      <c r="DB208">
        <v>1450761889.5736985</v>
      </c>
      <c r="DC208">
        <v>0.86404231209307902</v>
      </c>
      <c r="DD208">
        <v>0.41174982269397919</v>
      </c>
      <c r="DE208">
        <v>7888537701.724906</v>
      </c>
      <c r="DF208">
        <v>0.80037603646516797</v>
      </c>
      <c r="DG208">
        <v>6.7822856272671123E-2</v>
      </c>
      <c r="DH208">
        <v>47890993958.460091</v>
      </c>
      <c r="DI208">
        <v>0.72761457860469825</v>
      </c>
      <c r="DJ208">
        <v>1.3689263030274427E-3</v>
      </c>
      <c r="DK208">
        <v>2372738395643.8491</v>
      </c>
      <c r="DL208">
        <v>0.63666275627911084</v>
      </c>
      <c r="DM208">
        <v>141000000</v>
      </c>
      <c r="DN208">
        <v>0.90951822325587273</v>
      </c>
      <c r="DO208">
        <v>3248104000</v>
      </c>
      <c r="DP208">
        <v>1567083100</v>
      </c>
      <c r="DQ208" s="10">
        <v>4960</v>
      </c>
      <c r="DR208">
        <v>-1.3957374013380646</v>
      </c>
      <c r="DS208">
        <v>0.34181500535171949</v>
      </c>
      <c r="DT208">
        <v>0.312</v>
      </c>
      <c r="DU208">
        <v>1.7080000000000002</v>
      </c>
      <c r="DV208">
        <v>2.02</v>
      </c>
      <c r="DW208">
        <v>-8.3687150837988824</v>
      </c>
      <c r="DX208">
        <v>0.2806891281199525</v>
      </c>
      <c r="DY208">
        <v>-8.0444999019883632</v>
      </c>
      <c r="DZ208">
        <v>12</v>
      </c>
      <c r="EA208">
        <v>-8.0443954012400543</v>
      </c>
      <c r="EB208" s="11">
        <v>8</v>
      </c>
      <c r="EC208" s="11">
        <v>2.5482465576592082E-2</v>
      </c>
      <c r="ED208">
        <v>0.21114135111876076</v>
      </c>
      <c r="EE208">
        <v>3.0830099999999998</v>
      </c>
      <c r="EF208">
        <v>3.0900099999999999</v>
      </c>
      <c r="EG208">
        <v>16.120689128119952</v>
      </c>
      <c r="EH208" s="13" t="s">
        <v>1736</v>
      </c>
      <c r="EI208">
        <v>0</v>
      </c>
      <c r="EJ208">
        <v>1</v>
      </c>
      <c r="EK208">
        <v>45470</v>
      </c>
      <c r="EL208">
        <v>0.14000000000000001</v>
      </c>
      <c r="EM208">
        <v>-4.6900000000000004</v>
      </c>
      <c r="EN208">
        <v>-3.97</v>
      </c>
      <c r="EO208">
        <v>0.96</v>
      </c>
      <c r="EP208">
        <v>-0.7</v>
      </c>
    </row>
    <row r="209" spans="1:146" ht="192">
      <c r="A209" s="7" t="s">
        <v>1197</v>
      </c>
      <c r="B209" s="7" t="s">
        <v>1198</v>
      </c>
      <c r="C209" s="7" t="str">
        <f>"公司主要从事以物流机器人为核心的智能仓储物流自动化系统的研发、设计、生产、销售及服务。公司的主要产品是智能仓储物流自动化系统，并基于该产品提供自动化代运营、售后运营维护、技术咨询规划等服务。"&amp;CHAR(10)&amp;Basic_Fundamental_Information_Constructure(F209)&amp;CHAR(10)&amp;Basic_Fundamental_Information_Concatenate("智能仓储物流自动化系统 8.50亿 92.82% 2.16亿 86.10% 25.47%
代运营 3956.69万 4.32% 1945.05万 7.74% 49.16%
运营维护服务 2508.43万 2.74% 1467.05万 5.84% 58.49%")</f>
        <v>公司主要从事以物流机器人为核心的智能仓储物流自动化系统的研发、设计、生产、销售及服务。公司的主要产品是智能仓储物流自动化系统，并基于该产品提供自动化代运营、售后运营维护、技术咨询规划等服务。
市值16.564993亿, 利润1.43亿; PE16.51; 平均PE19.61; 平均PEG.74, PB1.53; ROIC8.1767%; ROE8.3467%; 股利率2.0273%; 毛利32.5867%; 净利11.5133%; 上一年度营收增20.66%, 利润增57.97%; 当季营收增-72.72%, 利润增-129.77%; 过往5年营收增26.68%, 利润增37.17%
Income profile:
智能仓储物流自动化系统 8.50亿 92.82% 2.16亿 86.10% 25.47%
代运营 3956.69万 4.32% 1945.05万 7.74% 49.16%
运营维护服务 2508.43万 2.74% 1467.05万 5.84% 58.49%</v>
      </c>
      <c r="D209" t="s">
        <v>1028</v>
      </c>
      <c r="E209" t="s">
        <v>1029</v>
      </c>
      <c r="F209">
        <v>22.69</v>
      </c>
      <c r="G209">
        <v>0.53</v>
      </c>
      <c r="H209" t="s">
        <v>6716</v>
      </c>
      <c r="I209">
        <v>1656499300</v>
      </c>
      <c r="J209">
        <v>16.510000000000002</v>
      </c>
      <c r="K209">
        <v>1.53</v>
      </c>
      <c r="L209" t="s">
        <v>85</v>
      </c>
      <c r="M209" t="s">
        <v>884</v>
      </c>
      <c r="N209" t="s">
        <v>6717</v>
      </c>
      <c r="O209" t="s">
        <v>3342</v>
      </c>
      <c r="P209">
        <v>-53.53</v>
      </c>
      <c r="Q209" t="s">
        <v>801</v>
      </c>
      <c r="R209">
        <v>-10837429</v>
      </c>
      <c r="S209" s="5">
        <v>-13.83</v>
      </c>
      <c r="T209" t="s">
        <v>103</v>
      </c>
      <c r="U209">
        <v>73005700</v>
      </c>
      <c r="V209">
        <v>73005700</v>
      </c>
      <c r="W209">
        <v>1.49</v>
      </c>
      <c r="X209">
        <v>0.04</v>
      </c>
      <c r="Y209">
        <v>-15.1</v>
      </c>
      <c r="Z209" t="s">
        <v>6718</v>
      </c>
      <c r="AA209" t="s">
        <v>6719</v>
      </c>
      <c r="AB209" t="s">
        <v>6720</v>
      </c>
      <c r="AC209" t="s">
        <v>6721</v>
      </c>
      <c r="AD209" t="s">
        <v>90</v>
      </c>
      <c r="AE209">
        <v>-823440</v>
      </c>
      <c r="AF209" t="s">
        <v>3343</v>
      </c>
      <c r="AG209" t="s">
        <v>6722</v>
      </c>
      <c r="AH209" t="s">
        <v>3344</v>
      </c>
      <c r="AI209" t="s">
        <v>136</v>
      </c>
      <c r="AJ209" t="s">
        <v>3345</v>
      </c>
      <c r="AK209" t="s">
        <v>6723</v>
      </c>
      <c r="AL209" t="s">
        <v>3346</v>
      </c>
      <c r="AM209" t="s">
        <v>90</v>
      </c>
      <c r="AN209" t="s">
        <v>6724</v>
      </c>
      <c r="AO209" t="s">
        <v>1858</v>
      </c>
      <c r="AP209" t="s">
        <v>810</v>
      </c>
      <c r="AQ209" t="s">
        <v>261</v>
      </c>
      <c r="AR209" t="s">
        <v>90</v>
      </c>
      <c r="AS209" t="s">
        <v>1406</v>
      </c>
      <c r="AT209" t="s">
        <v>90</v>
      </c>
      <c r="AU209" t="s">
        <v>6725</v>
      </c>
      <c r="AV209" t="s">
        <v>6726</v>
      </c>
      <c r="AW209" t="s">
        <v>6727</v>
      </c>
      <c r="AX209" t="s">
        <v>2029</v>
      </c>
      <c r="AY209" t="s">
        <v>972</v>
      </c>
      <c r="AZ209" t="s">
        <v>321</v>
      </c>
      <c r="BA209" t="s">
        <v>821</v>
      </c>
      <c r="BB209" t="s">
        <v>364</v>
      </c>
      <c r="BC209" t="s">
        <v>2030</v>
      </c>
      <c r="BD209" t="s">
        <v>1377</v>
      </c>
      <c r="BE209" t="s">
        <v>1030</v>
      </c>
      <c r="BF209" t="s">
        <v>1031</v>
      </c>
      <c r="BG209" t="s">
        <v>1032</v>
      </c>
      <c r="BH209" t="s">
        <v>2089</v>
      </c>
      <c r="BI209" t="s">
        <v>1052</v>
      </c>
      <c r="BJ209" t="s">
        <v>2029</v>
      </c>
      <c r="BK209" t="s">
        <v>215</v>
      </c>
      <c r="BL209" t="s">
        <v>3352</v>
      </c>
      <c r="BM209" t="s">
        <v>2030</v>
      </c>
      <c r="BN209">
        <v>6.44</v>
      </c>
      <c r="BO209">
        <v>9.35</v>
      </c>
      <c r="BP209">
        <v>8.74</v>
      </c>
      <c r="BQ209">
        <v>6.7</v>
      </c>
      <c r="BR209">
        <v>9.44</v>
      </c>
      <c r="BS209">
        <v>8.9</v>
      </c>
      <c r="BT209" t="s">
        <v>3347</v>
      </c>
      <c r="BU209" t="s">
        <v>1381</v>
      </c>
      <c r="BV209">
        <v>35.78</v>
      </c>
      <c r="BW209">
        <v>27.46</v>
      </c>
      <c r="BX209">
        <v>34.520000000000003</v>
      </c>
      <c r="BY209">
        <v>11.32</v>
      </c>
      <c r="BZ209">
        <v>9.89</v>
      </c>
      <c r="CA209">
        <v>13.33</v>
      </c>
      <c r="CB209">
        <v>-2.11</v>
      </c>
      <c r="CC209">
        <v>-7.43</v>
      </c>
      <c r="CD209" t="s">
        <v>6728</v>
      </c>
      <c r="CE209" t="s">
        <v>6729</v>
      </c>
      <c r="CF209" s="8">
        <v>-0.72719049429657789</v>
      </c>
      <c r="CG209" s="9">
        <v>-1.2976816797185087</v>
      </c>
      <c r="CH209" s="8">
        <v>0.20655737817287445</v>
      </c>
      <c r="CI209" s="8">
        <v>0.51490068435668945</v>
      </c>
      <c r="CJ209" s="8">
        <v>0.33628317713737488</v>
      </c>
      <c r="CK209" s="8">
        <v>0.14430379867553711</v>
      </c>
      <c r="CL209" s="8">
        <v>0.13180515170097351</v>
      </c>
      <c r="CM209" s="9">
        <v>0.57969504594802856</v>
      </c>
      <c r="CN209" s="9">
        <v>0.12448573112487793</v>
      </c>
      <c r="CO209" s="9">
        <v>-3.874627873301506E-2</v>
      </c>
      <c r="CP209" s="9">
        <v>0.14192034304141998</v>
      </c>
      <c r="CQ209" s="9">
        <v>1.0510216951370239</v>
      </c>
      <c r="CR209">
        <v>19.608577587380427</v>
      </c>
      <c r="CS209">
        <v>0.73503672802796871</v>
      </c>
      <c r="CT209">
        <v>2.0273248126928158</v>
      </c>
      <c r="CU209" s="8">
        <v>0.26677003800868987</v>
      </c>
      <c r="CV209" s="9">
        <v>0.37167530730366705</v>
      </c>
      <c r="CW209">
        <v>0.06</v>
      </c>
      <c r="CX209">
        <v>6.4806043119983041</v>
      </c>
      <c r="CY209">
        <v>170894448.52381381</v>
      </c>
      <c r="CZ209">
        <v>0.26677003800868987</v>
      </c>
      <c r="DA209">
        <v>1.829106348200161</v>
      </c>
      <c r="DB209">
        <v>605486554.17973828</v>
      </c>
      <c r="DC209">
        <v>0.25343153610825536</v>
      </c>
      <c r="DD209">
        <v>0.7315525125392669</v>
      </c>
      <c r="DE209">
        <v>1513902667.2956083</v>
      </c>
      <c r="DF209">
        <v>0.23475763344764708</v>
      </c>
      <c r="DG209">
        <v>0.34189549983511258</v>
      </c>
      <c r="DH209">
        <v>3239291831.9606972</v>
      </c>
      <c r="DI209">
        <v>0.2134160304069519</v>
      </c>
      <c r="DJ209">
        <v>9.6493423370408143E-2</v>
      </c>
      <c r="DK209">
        <v>11477458891.148008</v>
      </c>
      <c r="DL209">
        <v>0.18673902660608291</v>
      </c>
      <c r="DM209">
        <v>143000000</v>
      </c>
      <c r="DN209">
        <v>0.26677003800868987</v>
      </c>
      <c r="DO209">
        <v>1107499300</v>
      </c>
      <c r="DP209">
        <v>598596950</v>
      </c>
      <c r="DQ209">
        <v>4969</v>
      </c>
      <c r="DR209">
        <v>-0.99396053230526782</v>
      </c>
      <c r="DS209">
        <v>-1.6693569870221756</v>
      </c>
      <c r="DT209" s="10">
        <v>1.0000000000000011E-2</v>
      </c>
      <c r="DU209">
        <v>-0.53166666666666662</v>
      </c>
      <c r="DV209">
        <v>-0.52166666666666661</v>
      </c>
      <c r="DW209">
        <v>-2.0743</v>
      </c>
      <c r="DX209">
        <v>0.32388585203544662</v>
      </c>
      <c r="DY209">
        <v>-2.0077187188062338</v>
      </c>
      <c r="DZ209">
        <v>2487</v>
      </c>
      <c r="EA209">
        <v>-2.0039620742522017</v>
      </c>
      <c r="EB209">
        <v>2</v>
      </c>
      <c r="EC209">
        <v>1.6764444420093224E-2</v>
      </c>
      <c r="ED209">
        <v>0.16137370095759643</v>
      </c>
      <c r="EE209" s="11">
        <v>-2.0501100000000001</v>
      </c>
      <c r="EF209">
        <v>-2.0786099999999998</v>
      </c>
      <c r="EG209">
        <v>22.103885852035447</v>
      </c>
      <c r="EH209" t="s">
        <v>1735</v>
      </c>
      <c r="EI209">
        <v>0</v>
      </c>
      <c r="EJ209">
        <v>0</v>
      </c>
      <c r="EK209" s="13">
        <v>45470</v>
      </c>
      <c r="EL209" s="14">
        <v>-1.75</v>
      </c>
      <c r="EM209" s="14">
        <v>-3.51</v>
      </c>
      <c r="EN209">
        <v>6.18</v>
      </c>
      <c r="EO209">
        <v>2.94</v>
      </c>
      <c r="EP209">
        <v>-2.85</v>
      </c>
    </row>
    <row r="210" spans="1:146" ht="108">
      <c r="A210" s="7"/>
      <c r="B210" s="7"/>
      <c r="C210" s="7" t="str">
        <f>""&amp;CHAR(10)&amp;Basic_Fundamental_Information_Constructure(F210)&amp;CHAR(10)&amp;Basic_Fundamental_Information_Concatenate("")</f>
        <v xml:space="preserve">
市值22.242亿, 利润3.22亿; PE16.75; 平均PE13.25; 平均PEG.18, PB1.38; ROIC11.3033%; ROE11.8667%; 股利率2.9674%; 毛利27.0633%; 净利15.56%; 上一年度营收增313.16%, 利润增74.05%; 当季营收增-72.51%, 利润增-15.89%; 过往5年营收增74%, 利润增32.76%
Income profile:
</v>
      </c>
      <c r="D210" t="s">
        <v>168</v>
      </c>
      <c r="E210" t="s">
        <v>169</v>
      </c>
      <c r="F210">
        <v>16.850000000000001</v>
      </c>
      <c r="G210">
        <v>0.06</v>
      </c>
      <c r="H210" t="s">
        <v>6730</v>
      </c>
      <c r="I210">
        <v>2224200000</v>
      </c>
      <c r="J210">
        <v>16.75</v>
      </c>
      <c r="K210">
        <v>1.38</v>
      </c>
      <c r="L210" t="s">
        <v>85</v>
      </c>
      <c r="M210" t="s">
        <v>1553</v>
      </c>
      <c r="N210" t="s">
        <v>1170</v>
      </c>
      <c r="O210" t="s">
        <v>444</v>
      </c>
      <c r="P210">
        <v>-6.71</v>
      </c>
      <c r="Q210" t="s">
        <v>6731</v>
      </c>
      <c r="R210">
        <v>26553249</v>
      </c>
      <c r="S210" s="5">
        <v>-0.27060000000000001</v>
      </c>
      <c r="T210" t="s">
        <v>532</v>
      </c>
      <c r="U210">
        <v>132000000</v>
      </c>
      <c r="V210">
        <v>132000000</v>
      </c>
      <c r="W210">
        <v>1.25</v>
      </c>
      <c r="X210">
        <v>0.12</v>
      </c>
      <c r="Y210">
        <v>10.93</v>
      </c>
      <c r="Z210" t="s">
        <v>2613</v>
      </c>
      <c r="AA210" t="s">
        <v>693</v>
      </c>
      <c r="AB210" t="s">
        <v>6732</v>
      </c>
      <c r="AC210" t="s">
        <v>6733</v>
      </c>
      <c r="AD210" t="s">
        <v>90</v>
      </c>
      <c r="AE210">
        <v>171498</v>
      </c>
      <c r="AF210" t="s">
        <v>3348</v>
      </c>
      <c r="AG210" t="s">
        <v>90</v>
      </c>
      <c r="AH210" t="s">
        <v>3349</v>
      </c>
      <c r="AI210" t="s">
        <v>2975</v>
      </c>
      <c r="AJ210" t="s">
        <v>3350</v>
      </c>
      <c r="AK210" t="s">
        <v>673</v>
      </c>
      <c r="AL210" t="s">
        <v>3351</v>
      </c>
      <c r="AM210" t="s">
        <v>90</v>
      </c>
      <c r="AN210" t="s">
        <v>6734</v>
      </c>
      <c r="AO210" t="s">
        <v>90</v>
      </c>
      <c r="AP210" t="s">
        <v>90</v>
      </c>
      <c r="AQ210" t="s">
        <v>379</v>
      </c>
      <c r="AR210" t="s">
        <v>90</v>
      </c>
      <c r="AS210" t="s">
        <v>1434</v>
      </c>
      <c r="AT210" t="s">
        <v>90</v>
      </c>
      <c r="AU210" t="s">
        <v>6735</v>
      </c>
      <c r="AV210" t="s">
        <v>301</v>
      </c>
      <c r="AW210" t="s">
        <v>6736</v>
      </c>
      <c r="AX210" t="s">
        <v>2031</v>
      </c>
      <c r="AY210" t="s">
        <v>1378</v>
      </c>
      <c r="AZ210" t="s">
        <v>86</v>
      </c>
      <c r="BA210" t="s">
        <v>171</v>
      </c>
      <c r="BB210" t="s">
        <v>1033</v>
      </c>
      <c r="BC210" t="s">
        <v>137</v>
      </c>
      <c r="BD210" t="s">
        <v>685</v>
      </c>
      <c r="BE210" t="s">
        <v>183</v>
      </c>
      <c r="BF210" t="s">
        <v>172</v>
      </c>
      <c r="BG210" t="s">
        <v>1034</v>
      </c>
      <c r="BH210" t="s">
        <v>801</v>
      </c>
      <c r="BI210" t="s">
        <v>470</v>
      </c>
      <c r="BJ210" t="s">
        <v>2031</v>
      </c>
      <c r="BK210" t="s">
        <v>103</v>
      </c>
      <c r="BL210" t="s">
        <v>6737</v>
      </c>
      <c r="BM210" t="s">
        <v>137</v>
      </c>
      <c r="BN210">
        <v>6.77</v>
      </c>
      <c r="BO210">
        <v>12.06</v>
      </c>
      <c r="BP210">
        <v>15.08</v>
      </c>
      <c r="BQ210">
        <v>7.43</v>
      </c>
      <c r="BR210">
        <v>12.86</v>
      </c>
      <c r="BS210">
        <v>15.31</v>
      </c>
      <c r="BT210" t="s">
        <v>1702</v>
      </c>
      <c r="BU210" t="s">
        <v>1447</v>
      </c>
      <c r="BV210">
        <v>24.74</v>
      </c>
      <c r="BW210">
        <v>26.3</v>
      </c>
      <c r="BX210">
        <v>30.15</v>
      </c>
      <c r="BY210">
        <v>12.94</v>
      </c>
      <c r="BZ210">
        <v>16.010000000000002</v>
      </c>
      <c r="CA210">
        <v>17.73</v>
      </c>
      <c r="CB210">
        <v>-8.82</v>
      </c>
      <c r="CC210">
        <v>-11.22</v>
      </c>
      <c r="CD210" t="s">
        <v>6738</v>
      </c>
      <c r="CE210" t="s">
        <v>6739</v>
      </c>
      <c r="CF210" s="8">
        <v>-0.72513966480446923</v>
      </c>
      <c r="CG210" s="9">
        <v>-0.15894343913617748</v>
      </c>
      <c r="CH210" s="8">
        <v>3.1315562725067139</v>
      </c>
      <c r="CI210" s="8">
        <v>2.2867308929562569E-2</v>
      </c>
      <c r="CJ210" s="8">
        <v>0.54483687877655029</v>
      </c>
      <c r="CK210" s="8">
        <v>0.10676691681146622</v>
      </c>
      <c r="CL210" s="8">
        <v>-0.10618279874324799</v>
      </c>
      <c r="CM210" s="9">
        <v>0.74054056406021118</v>
      </c>
      <c r="CN210" s="9">
        <v>-7.5000002980232239E-2</v>
      </c>
      <c r="CO210" s="9">
        <v>0.66666668653488159</v>
      </c>
      <c r="CP210" s="9">
        <v>0.4236598014831543</v>
      </c>
      <c r="CQ210" s="9">
        <v>-0.11770949512720108</v>
      </c>
      <c r="CR210">
        <v>13.254736423906836</v>
      </c>
      <c r="CS210">
        <v>0.17912558410852236</v>
      </c>
      <c r="CT210">
        <v>2.9673590504451037</v>
      </c>
      <c r="CU210" s="8">
        <v>0.73996891565620904</v>
      </c>
      <c r="CV210" s="9">
        <v>0.32763151079416275</v>
      </c>
      <c r="CW210">
        <v>0.06</v>
      </c>
      <c r="CX210">
        <v>1.9528656145888796</v>
      </c>
      <c r="CY210">
        <v>528556595.13330126</v>
      </c>
      <c r="CZ210">
        <v>0.73996891565620904</v>
      </c>
      <c r="DA210">
        <v>0.38462282367872702</v>
      </c>
      <c r="DB210">
        <v>2683668093.6599593</v>
      </c>
      <c r="DC210">
        <v>0.70297046987339851</v>
      </c>
      <c r="DD210">
        <v>8.6382510804844492E-2</v>
      </c>
      <c r="DE210">
        <v>11949178026.695101</v>
      </c>
      <c r="DF210">
        <v>0.65117264577746392</v>
      </c>
      <c r="DG210">
        <v>1.866645040762065E-2</v>
      </c>
      <c r="DH210">
        <v>55297069204.898239</v>
      </c>
      <c r="DI210">
        <v>0.59197513252496725</v>
      </c>
      <c r="DJ210">
        <v>7.3556972148075854E-4</v>
      </c>
      <c r="DK210">
        <v>1403266026124.7593</v>
      </c>
      <c r="DL210">
        <v>0.5179782409593463</v>
      </c>
      <c r="DM210">
        <v>322000000</v>
      </c>
      <c r="DN210">
        <v>0.73996891565620904</v>
      </c>
      <c r="DO210">
        <v>1032200000</v>
      </c>
      <c r="DP210">
        <v>1198373300</v>
      </c>
      <c r="DQ210">
        <v>4970</v>
      </c>
      <c r="DR210">
        <v>-1.4651085804606783</v>
      </c>
      <c r="DS210">
        <v>-0.48657494993034023</v>
      </c>
      <c r="DT210" s="10">
        <v>-6.6666666666666714E-3</v>
      </c>
      <c r="DU210">
        <v>0.49666666666666665</v>
      </c>
      <c r="DV210">
        <v>0.49</v>
      </c>
      <c r="DW210">
        <v>-9.7860962566844911</v>
      </c>
      <c r="DX210">
        <v>0.33463652038489233</v>
      </c>
      <c r="DY210">
        <v>-9.1294201523881249</v>
      </c>
      <c r="DZ210">
        <v>217</v>
      </c>
      <c r="EA210">
        <v>-9.1239242281086295</v>
      </c>
      <c r="EB210">
        <v>9</v>
      </c>
      <c r="EC210">
        <v>4.0363636363636365E-2</v>
      </c>
      <c r="ED210">
        <v>0.24516818181818179</v>
      </c>
      <c r="EE210" s="11">
        <v>2.6599999999999999E-2</v>
      </c>
      <c r="EF210">
        <v>2.7100000000000045E-3</v>
      </c>
      <c r="EG210">
        <v>17.164636520384892</v>
      </c>
      <c r="EH210">
        <v>-1</v>
      </c>
      <c r="EI210">
        <v>0</v>
      </c>
      <c r="EJ210">
        <v>1</v>
      </c>
      <c r="EK210" s="13">
        <v>45470</v>
      </c>
      <c r="EL210" s="14">
        <v>-1.2</v>
      </c>
      <c r="EM210" s="14">
        <v>-4.92</v>
      </c>
      <c r="EN210">
        <v>-5.0199999999999996</v>
      </c>
      <c r="EO210">
        <v>6.05</v>
      </c>
      <c r="EP210">
        <v>-2.93</v>
      </c>
    </row>
    <row r="211" spans="1:146" ht="108">
      <c r="A211" s="7"/>
      <c r="B211" s="7"/>
      <c r="C211" s="7" t="str">
        <f>""&amp;CHAR(10)&amp;Basic_Fundamental_Information_Constructure(F211)&amp;CHAR(10)&amp;Basic_Fundamental_Information_Concatenate("")</f>
        <v xml:space="preserve">
市值26.879977亿, 利润6.44亿; PE117.7; 平均PE17.28; 平均PEG.33, PB3.03; ROIC6.1367%; ROE6.39%; 股利率1.694%; 毛利31.03%; 净利9.1333%; 上一年度营收增219.81%, 利润增978.21%; 当季营收增-40.43%, 利润增-91.93%; 过往5年营收增53%, 利润增198.6%
Income profile:
</v>
      </c>
      <c r="D211" t="s">
        <v>176</v>
      </c>
      <c r="E211" t="s">
        <v>177</v>
      </c>
      <c r="F211">
        <v>35.42</v>
      </c>
      <c r="G211">
        <v>-2.1800000000000002</v>
      </c>
      <c r="H211" t="s">
        <v>6740</v>
      </c>
      <c r="I211">
        <v>2687997700</v>
      </c>
      <c r="J211">
        <v>117.7</v>
      </c>
      <c r="K211">
        <v>3.03</v>
      </c>
      <c r="L211" t="s">
        <v>85</v>
      </c>
      <c r="M211" t="s">
        <v>1428</v>
      </c>
      <c r="N211" t="s">
        <v>5893</v>
      </c>
      <c r="O211" t="s">
        <v>1541</v>
      </c>
      <c r="P211">
        <v>9.67</v>
      </c>
      <c r="Q211" t="s">
        <v>6741</v>
      </c>
      <c r="R211">
        <v>2815272</v>
      </c>
      <c r="S211" s="5">
        <v>-0.70130000000000003</v>
      </c>
      <c r="T211" t="s">
        <v>788</v>
      </c>
      <c r="U211">
        <v>75889262</v>
      </c>
      <c r="V211">
        <v>75889262</v>
      </c>
      <c r="W211">
        <v>1.68</v>
      </c>
      <c r="X211">
        <v>0.11</v>
      </c>
      <c r="Y211">
        <v>1.7</v>
      </c>
      <c r="Z211" t="s">
        <v>535</v>
      </c>
      <c r="AA211" t="s">
        <v>323</v>
      </c>
      <c r="AB211" t="s">
        <v>6742</v>
      </c>
      <c r="AC211" t="s">
        <v>6743</v>
      </c>
      <c r="AD211" t="s">
        <v>90</v>
      </c>
      <c r="AE211">
        <v>1015712</v>
      </c>
      <c r="AF211" t="s">
        <v>182</v>
      </c>
      <c r="AG211">
        <v>175.01</v>
      </c>
      <c r="AH211" t="s">
        <v>3354</v>
      </c>
      <c r="AI211" t="s">
        <v>6744</v>
      </c>
      <c r="AJ211" t="s">
        <v>3355</v>
      </c>
      <c r="AK211" t="s">
        <v>323</v>
      </c>
      <c r="AL211" t="s">
        <v>3356</v>
      </c>
      <c r="AM211" t="s">
        <v>90</v>
      </c>
      <c r="AN211" t="s">
        <v>326</v>
      </c>
      <c r="AO211" t="s">
        <v>189</v>
      </c>
      <c r="AP211" t="s">
        <v>90</v>
      </c>
      <c r="AQ211" t="s">
        <v>173</v>
      </c>
      <c r="AR211" t="s">
        <v>90</v>
      </c>
      <c r="AS211" t="s">
        <v>453</v>
      </c>
      <c r="AT211" t="s">
        <v>90</v>
      </c>
      <c r="AU211" t="s">
        <v>6745</v>
      </c>
      <c r="AV211" t="s">
        <v>6746</v>
      </c>
      <c r="AW211" t="s">
        <v>6747</v>
      </c>
      <c r="AX211" t="s">
        <v>1099</v>
      </c>
      <c r="AY211" t="s">
        <v>1078</v>
      </c>
      <c r="AZ211" t="s">
        <v>820</v>
      </c>
      <c r="BA211" t="s">
        <v>180</v>
      </c>
      <c r="BB211" t="s">
        <v>293</v>
      </c>
      <c r="BC211" t="s">
        <v>3358</v>
      </c>
      <c r="BD211" t="s">
        <v>1379</v>
      </c>
      <c r="BE211" t="s">
        <v>1035</v>
      </c>
      <c r="BF211" t="s">
        <v>181</v>
      </c>
      <c r="BG211" t="s">
        <v>1036</v>
      </c>
      <c r="BH211" t="s">
        <v>2085</v>
      </c>
      <c r="BI211" t="s">
        <v>566</v>
      </c>
      <c r="BJ211" t="s">
        <v>1099</v>
      </c>
      <c r="BK211" t="s">
        <v>3353</v>
      </c>
      <c r="BL211" t="s">
        <v>6748</v>
      </c>
      <c r="BM211" t="s">
        <v>3358</v>
      </c>
      <c r="BN211">
        <v>2.57</v>
      </c>
      <c r="BO211">
        <v>6.74</v>
      </c>
      <c r="BP211">
        <v>9.1</v>
      </c>
      <c r="BQ211">
        <v>2.74</v>
      </c>
      <c r="BR211">
        <v>7.15</v>
      </c>
      <c r="BS211">
        <v>9.2799999999999994</v>
      </c>
      <c r="BT211" t="s">
        <v>3359</v>
      </c>
      <c r="BU211" t="s">
        <v>1447</v>
      </c>
      <c r="BV211">
        <v>26.8</v>
      </c>
      <c r="BW211">
        <v>31.86</v>
      </c>
      <c r="BX211">
        <v>34.43</v>
      </c>
      <c r="BY211">
        <v>4.54</v>
      </c>
      <c r="BZ211">
        <v>9.36</v>
      </c>
      <c r="CA211">
        <v>13.5</v>
      </c>
      <c r="CB211">
        <v>-11.27</v>
      </c>
      <c r="CC211">
        <v>-29.7</v>
      </c>
      <c r="CD211" t="s">
        <v>6749</v>
      </c>
      <c r="CE211" t="s">
        <v>6750</v>
      </c>
      <c r="CF211" s="8">
        <v>-0.40433212996389889</v>
      </c>
      <c r="CG211" s="9">
        <v>-0.91928090970083776</v>
      </c>
      <c r="CH211" s="8">
        <v>2.1980984210968018</v>
      </c>
      <c r="CI211" s="8">
        <v>0.1663585901260376</v>
      </c>
      <c r="CJ211" s="8">
        <v>0.31630170345306396</v>
      </c>
      <c r="CK211" s="8">
        <v>6.7532464861869812E-2</v>
      </c>
      <c r="CL211" s="8">
        <v>-9.8360657691955566E-2</v>
      </c>
      <c r="CM211" s="9">
        <v>9.7821226119995117</v>
      </c>
      <c r="CN211" s="9">
        <v>-0.18187649548053741</v>
      </c>
      <c r="CO211" s="9">
        <v>0.37141194939613342</v>
      </c>
      <c r="CP211" s="9">
        <v>0.16747371852397919</v>
      </c>
      <c r="CQ211" s="9">
        <v>-0.20922400057315826</v>
      </c>
      <c r="CR211">
        <v>17.281885604492008</v>
      </c>
      <c r="CS211">
        <v>0.32608186256246174</v>
      </c>
      <c r="CT211">
        <v>1.6939582156973461</v>
      </c>
      <c r="CU211" s="8">
        <v>0.52998610436916349</v>
      </c>
      <c r="CV211" s="9">
        <v>1.9859815567731858</v>
      </c>
      <c r="CW211">
        <v>0.06</v>
      </c>
      <c r="CX211">
        <v>2.5496492289469255</v>
      </c>
      <c r="CY211">
        <v>929538727.56013334</v>
      </c>
      <c r="CZ211">
        <v>0.52998610436916349</v>
      </c>
      <c r="DA211">
        <v>0.58565968983887784</v>
      </c>
      <c r="DB211">
        <v>4046714740.8625908</v>
      </c>
      <c r="DC211">
        <v>0.50348679915070527</v>
      </c>
      <c r="DD211">
        <v>0.1697264921595032</v>
      </c>
      <c r="DE211">
        <v>13963628599.43371</v>
      </c>
      <c r="DF211">
        <v>0.46638777184486385</v>
      </c>
      <c r="DG211">
        <v>5.1848630184597282E-2</v>
      </c>
      <c r="DH211">
        <v>45709938556.950676</v>
      </c>
      <c r="DI211">
        <v>0.42398888349533081</v>
      </c>
      <c r="DJ211">
        <v>4.8926288314374237E-3</v>
      </c>
      <c r="DK211">
        <v>484401695213.75885</v>
      </c>
      <c r="DL211">
        <v>0.37099027305841442</v>
      </c>
      <c r="DM211">
        <v>644000000</v>
      </c>
      <c r="DN211">
        <v>0.52998610436916349</v>
      </c>
      <c r="DO211">
        <v>2369997700</v>
      </c>
      <c r="DP211">
        <v>250981160</v>
      </c>
      <c r="DQ211">
        <v>4986</v>
      </c>
      <c r="DR211">
        <v>-0.93431823433306238</v>
      </c>
      <c r="DS211">
        <v>-2.9052624664740234</v>
      </c>
      <c r="DT211" s="10">
        <v>0.14333333333333331</v>
      </c>
      <c r="DU211">
        <v>-0.14000000000000004</v>
      </c>
      <c r="DV211">
        <v>3.3333333333332715E-3</v>
      </c>
      <c r="DW211">
        <v>-9.3794612794612799</v>
      </c>
      <c r="DX211">
        <v>0.53703253019571007</v>
      </c>
      <c r="DY211">
        <v>-9.0671769904143318</v>
      </c>
      <c r="DZ211">
        <v>426</v>
      </c>
      <c r="EA211">
        <v>-9.0615767168494585</v>
      </c>
      <c r="EB211">
        <v>9</v>
      </c>
      <c r="EC211">
        <v>3.3625310521533336E-2</v>
      </c>
      <c r="ED211">
        <v>0.18993859763717297</v>
      </c>
      <c r="EE211" s="11">
        <v>5.0492100000000004</v>
      </c>
      <c r="EF211">
        <v>5.0422099999999999</v>
      </c>
      <c r="EG211">
        <v>36.17703253019571</v>
      </c>
      <c r="EH211" t="s">
        <v>2137</v>
      </c>
      <c r="EI211">
        <v>0</v>
      </c>
      <c r="EJ211">
        <v>1</v>
      </c>
      <c r="EK211" s="13">
        <v>45470</v>
      </c>
      <c r="EL211" s="14">
        <v>0.93</v>
      </c>
      <c r="EM211" s="14">
        <v>0.13</v>
      </c>
      <c r="EN211">
        <v>-1.66</v>
      </c>
      <c r="EO211">
        <v>2.44</v>
      </c>
      <c r="EP211">
        <v>0.7</v>
      </c>
    </row>
    <row r="212" spans="1:146" ht="108">
      <c r="C212" s="7" t="str">
        <f>""&amp;CHAR(10)&amp;Basic_Fundamental_Information_Constructure(F212)&amp;CHAR(10)&amp;Basic_Fundamental_Information_Concatenate("")</f>
        <v xml:space="preserve">
市值20.8828亿, 利润4720.60万; PE94.93; 平均PE75.11; 平均PEG1.07, PB1.42; ROIC14.83%; ROE12.04%; 股利率.6513%; 毛利44.8767%; 净利20.0867%; 上一年度营收增-23.19%, 利润增-33.03%; 当季营收增68.67%, 利润增-29.65%; 过往5年营收增70.1%, 利润增-103.21%
Income profile:
</v>
      </c>
      <c r="D212" t="s">
        <v>6751</v>
      </c>
      <c r="E212" t="s">
        <v>6752</v>
      </c>
      <c r="F212">
        <v>30.71</v>
      </c>
      <c r="G212">
        <v>-4.33</v>
      </c>
      <c r="H212" t="s">
        <v>6753</v>
      </c>
      <c r="I212">
        <v>2088280000</v>
      </c>
      <c r="J212">
        <v>94.93</v>
      </c>
      <c r="K212">
        <v>1.42</v>
      </c>
      <c r="L212" t="s">
        <v>85</v>
      </c>
      <c r="M212" t="s">
        <v>6754</v>
      </c>
      <c r="N212" t="s">
        <v>586</v>
      </c>
      <c r="O212" t="s">
        <v>6755</v>
      </c>
      <c r="P212" s="5">
        <v>9.64</v>
      </c>
      <c r="Q212" t="s">
        <v>551</v>
      </c>
      <c r="R212">
        <v>9167557</v>
      </c>
      <c r="S212">
        <v>2.14</v>
      </c>
      <c r="T212" t="s">
        <v>6756</v>
      </c>
      <c r="U212">
        <v>14410835</v>
      </c>
      <c r="V212">
        <v>68000000</v>
      </c>
      <c r="W212">
        <v>1.05</v>
      </c>
      <c r="X212">
        <v>0.04</v>
      </c>
      <c r="Y212">
        <v>14.58</v>
      </c>
      <c r="Z212" t="s">
        <v>6757</v>
      </c>
      <c r="AA212" t="s">
        <v>6758</v>
      </c>
      <c r="AB212" t="s">
        <v>6759</v>
      </c>
      <c r="AC212" t="s">
        <v>6760</v>
      </c>
      <c r="AD212" t="s">
        <v>90</v>
      </c>
      <c r="AE212">
        <v>-4132102</v>
      </c>
      <c r="AF212" t="s">
        <v>6761</v>
      </c>
      <c r="AG212" t="s">
        <v>6762</v>
      </c>
      <c r="AH212" t="s">
        <v>6763</v>
      </c>
      <c r="AI212" t="s">
        <v>103</v>
      </c>
      <c r="AJ212" t="s">
        <v>6764</v>
      </c>
      <c r="AK212" t="s">
        <v>6765</v>
      </c>
      <c r="AL212" t="s">
        <v>6766</v>
      </c>
      <c r="AM212" t="s">
        <v>90</v>
      </c>
      <c r="AN212" t="s">
        <v>6767</v>
      </c>
      <c r="AO212" t="s">
        <v>6768</v>
      </c>
      <c r="AP212" t="s">
        <v>6769</v>
      </c>
      <c r="AQ212" t="s">
        <v>6770</v>
      </c>
      <c r="AR212" t="s">
        <v>90</v>
      </c>
      <c r="AS212" t="s">
        <v>6771</v>
      </c>
      <c r="AT212" t="s">
        <v>90</v>
      </c>
      <c r="AU212" t="s">
        <v>6772</v>
      </c>
      <c r="AV212" t="s">
        <v>6773</v>
      </c>
      <c r="AW212" t="s">
        <v>6774</v>
      </c>
      <c r="AX212" t="s">
        <v>1052</v>
      </c>
      <c r="AY212" t="s">
        <v>422</v>
      </c>
      <c r="AZ212" t="s">
        <v>6775</v>
      </c>
      <c r="BA212" t="s">
        <v>6776</v>
      </c>
      <c r="BB212" t="s">
        <v>90</v>
      </c>
      <c r="BC212" t="s">
        <v>6777</v>
      </c>
      <c r="BD212" t="s">
        <v>6778</v>
      </c>
      <c r="BE212" t="s">
        <v>6779</v>
      </c>
      <c r="BF212" t="s">
        <v>6780</v>
      </c>
      <c r="BG212" t="s">
        <v>90</v>
      </c>
      <c r="BH212" t="s">
        <v>1453</v>
      </c>
      <c r="BI212" t="s">
        <v>6781</v>
      </c>
      <c r="BJ212" t="s">
        <v>1052</v>
      </c>
      <c r="BK212" t="s">
        <v>6782</v>
      </c>
      <c r="BL212" t="s">
        <v>6783</v>
      </c>
      <c r="BM212" t="s">
        <v>6777</v>
      </c>
      <c r="BN212">
        <v>0.5</v>
      </c>
      <c r="BO212">
        <v>19.399999999999999</v>
      </c>
      <c r="BP212">
        <v>24.59</v>
      </c>
      <c r="BQ212">
        <v>1.1499999999999999</v>
      </c>
      <c r="BR212">
        <v>22.93</v>
      </c>
      <c r="BS212" t="s">
        <v>90</v>
      </c>
      <c r="BT212" t="s">
        <v>1694</v>
      </c>
      <c r="BU212" t="s">
        <v>3551</v>
      </c>
      <c r="BV212">
        <v>39.5</v>
      </c>
      <c r="BW212">
        <v>45.38</v>
      </c>
      <c r="BX212">
        <v>49.75</v>
      </c>
      <c r="BY212">
        <v>6.69</v>
      </c>
      <c r="BZ212">
        <v>26.77</v>
      </c>
      <c r="CA212">
        <v>26.8</v>
      </c>
      <c r="CB212">
        <v>-8.14</v>
      </c>
      <c r="CC212" s="8">
        <v>-14.62</v>
      </c>
      <c r="CD212" s="9" t="s">
        <v>6784</v>
      </c>
      <c r="CE212" s="8" t="s">
        <v>6785</v>
      </c>
      <c r="CF212" s="8">
        <v>0.6867198437944223</v>
      </c>
      <c r="CG212" s="8">
        <v>-0.29651871973725608</v>
      </c>
      <c r="CH212" s="8">
        <v>-0.2319391667842865</v>
      </c>
      <c r="CI212" s="8">
        <v>0.60365855693817139</v>
      </c>
      <c r="CJ212" s="9">
        <v>1.3919327259063721</v>
      </c>
      <c r="CK212" s="9">
        <v>1.0402067899703979</v>
      </c>
      <c r="CL212" s="9" t="s">
        <v>90</v>
      </c>
      <c r="CM212" s="9">
        <v>-0.33025464415550232</v>
      </c>
      <c r="CN212" s="9">
        <v>0.59912115335464478</v>
      </c>
      <c r="CO212">
        <v>2.6144552230834961</v>
      </c>
      <c r="CP212">
        <v>-7.0116043090820313</v>
      </c>
      <c r="CQ212" t="s">
        <v>90</v>
      </c>
      <c r="CR212" s="8">
        <v>75.114635174546166</v>
      </c>
      <c r="CS212" s="9">
        <v>1.0715893729600519</v>
      </c>
      <c r="CT212">
        <v>0.65125366330185608</v>
      </c>
      <c r="CU212">
        <v>0.70096472650766373</v>
      </c>
      <c r="CV212">
        <v>-1.0320706441998482</v>
      </c>
      <c r="CW212">
        <v>0.06</v>
      </c>
      <c r="CX212">
        <v>9.3544008159412968</v>
      </c>
      <c r="CY212">
        <v>75750698.942944124</v>
      </c>
      <c r="CZ212">
        <v>0.70096472650766373</v>
      </c>
      <c r="DA212">
        <v>1.8944759500410477</v>
      </c>
      <c r="DB212">
        <v>374036102.16569215</v>
      </c>
      <c r="DC212">
        <v>0.6659164901822805</v>
      </c>
      <c r="DD212">
        <v>0.44588279615249532</v>
      </c>
      <c r="DE212">
        <v>1589212246.1653636</v>
      </c>
      <c r="DF212">
        <v>0.61684895932674411</v>
      </c>
      <c r="DG212">
        <v>0.1026911795936217</v>
      </c>
      <c r="DH212">
        <v>6900323891.5371494</v>
      </c>
      <c r="DI212">
        <v>0.56077178120613103</v>
      </c>
      <c r="DJ212">
        <v>4.7435473913943335E-3</v>
      </c>
      <c r="DK212">
        <v>149382380217.28949</v>
      </c>
      <c r="DL212">
        <v>0.49067530855536456</v>
      </c>
      <c r="DM212">
        <v>47206000</v>
      </c>
      <c r="DN212">
        <v>0.70096472650766373</v>
      </c>
      <c r="DO212">
        <v>708602400</v>
      </c>
      <c r="DP212">
        <v>1407086300</v>
      </c>
      <c r="DQ212" s="10">
        <v>5014</v>
      </c>
      <c r="DR212">
        <v>-1.4244882713241425E-2</v>
      </c>
      <c r="DS212">
        <v>0.7355519244625921</v>
      </c>
      <c r="DT212">
        <v>0.23199999999999993</v>
      </c>
      <c r="DU212">
        <v>-0.85</v>
      </c>
      <c r="DV212">
        <v>-0.6180000000000001</v>
      </c>
      <c r="DW212">
        <v>-9.5567715458276332</v>
      </c>
      <c r="DX212">
        <v>0.4159089994436751</v>
      </c>
      <c r="DY212">
        <v>-9.0756702637121425</v>
      </c>
      <c r="DZ212">
        <v>3475</v>
      </c>
      <c r="EA212">
        <v>-9.0242115227337294</v>
      </c>
      <c r="EB212" s="11">
        <v>9</v>
      </c>
      <c r="EC212" s="11">
        <v>3.3770588235294115E-2</v>
      </c>
      <c r="ED212">
        <v>0.24847941176470589</v>
      </c>
      <c r="EE212">
        <v>1.0148999999999999</v>
      </c>
      <c r="EF212">
        <v>1.01041</v>
      </c>
      <c r="EG212">
        <v>28.135908999443675</v>
      </c>
      <c r="EH212" s="13" t="s">
        <v>1733</v>
      </c>
      <c r="EI212">
        <v>0</v>
      </c>
      <c r="EJ212">
        <v>0</v>
      </c>
      <c r="EK212">
        <v>45470</v>
      </c>
      <c r="EL212">
        <v>-0.25</v>
      </c>
      <c r="EM212">
        <v>-4.68</v>
      </c>
      <c r="EN212">
        <v>-0.42</v>
      </c>
      <c r="EO212">
        <v>3.3</v>
      </c>
      <c r="EP212">
        <v>-2.5299999999999998</v>
      </c>
    </row>
    <row r="213" spans="1:146" ht="96">
      <c r="C213" s="7" t="str">
        <f>""&amp;CHAR(10)&amp;Basic_Fundamental_Information_Constructure(F213)&amp;CHAR(10)&amp;Basic_Fundamental_Information_Concatenate("")</f>
        <v xml:space="preserve">
市值10.7866311亿, 利润1.33亿; PE; 平均PE22.77; 平均PEG.63, PB2.56; ROIC13.51%; ROE-.05%; 股利率0%; 毛利46.6733%; 净利-13.18%; 上一年度营收增53.21%, 利润增310.02%; 当季营收增-55.19%, 利润增-157.92%; 过往5年营收增36.02%, 利润增64.79%
Income profile:
</v>
      </c>
      <c r="D213" t="s">
        <v>6786</v>
      </c>
      <c r="E213" t="s">
        <v>6787</v>
      </c>
      <c r="F213">
        <v>15.41</v>
      </c>
      <c r="G213">
        <v>3.84</v>
      </c>
      <c r="H213" t="s">
        <v>6788</v>
      </c>
      <c r="I213">
        <v>1078663110</v>
      </c>
      <c r="K213">
        <v>2.56</v>
      </c>
      <c r="L213" t="s">
        <v>85</v>
      </c>
      <c r="M213" t="s">
        <v>4966</v>
      </c>
      <c r="N213" t="s">
        <v>565</v>
      </c>
      <c r="O213" t="s">
        <v>6789</v>
      </c>
      <c r="P213" s="5">
        <v>-18.12</v>
      </c>
      <c r="Q213" t="s">
        <v>382</v>
      </c>
      <c r="R213">
        <v>-15019069</v>
      </c>
      <c r="S213">
        <v>8.2100000000000006E-2</v>
      </c>
      <c r="T213" t="s">
        <v>333</v>
      </c>
      <c r="U213">
        <v>38842484</v>
      </c>
      <c r="V213">
        <v>69997606</v>
      </c>
      <c r="W213">
        <v>2.62</v>
      </c>
      <c r="X213">
        <v>0.04</v>
      </c>
      <c r="Y213">
        <v>-35.21</v>
      </c>
      <c r="Z213" t="s">
        <v>6790</v>
      </c>
      <c r="AA213" t="s">
        <v>6791</v>
      </c>
      <c r="AB213" t="s">
        <v>6792</v>
      </c>
      <c r="AC213" t="s">
        <v>6793</v>
      </c>
      <c r="AD213" t="s">
        <v>90</v>
      </c>
      <c r="AE213">
        <v>1818702</v>
      </c>
      <c r="AF213" t="s">
        <v>6794</v>
      </c>
      <c r="AG213" t="s">
        <v>6795</v>
      </c>
      <c r="AH213" t="s">
        <v>6796</v>
      </c>
      <c r="AI213" t="s">
        <v>485</v>
      </c>
      <c r="AJ213" t="s">
        <v>6797</v>
      </c>
      <c r="AK213" t="s">
        <v>6798</v>
      </c>
      <c r="AL213" t="s">
        <v>6799</v>
      </c>
      <c r="AM213" t="s">
        <v>90</v>
      </c>
      <c r="AN213" t="s">
        <v>296</v>
      </c>
      <c r="AO213" t="s">
        <v>509</v>
      </c>
      <c r="AP213" t="s">
        <v>6800</v>
      </c>
      <c r="AQ213" t="s">
        <v>6801</v>
      </c>
      <c r="AR213" t="s">
        <v>90</v>
      </c>
      <c r="AS213" t="s">
        <v>1828</v>
      </c>
      <c r="AT213" t="s">
        <v>175</v>
      </c>
      <c r="AU213" t="s">
        <v>6802</v>
      </c>
      <c r="AV213" t="s">
        <v>6803</v>
      </c>
      <c r="AW213" t="s">
        <v>6804</v>
      </c>
      <c r="AX213" t="s">
        <v>825</v>
      </c>
      <c r="AY213" t="s">
        <v>1567</v>
      </c>
      <c r="AZ213" t="s">
        <v>844</v>
      </c>
      <c r="BA213" t="s">
        <v>225</v>
      </c>
      <c r="BB213" t="s">
        <v>579</v>
      </c>
      <c r="BC213" t="s">
        <v>6805</v>
      </c>
      <c r="BD213" t="s">
        <v>6806</v>
      </c>
      <c r="BE213" t="s">
        <v>6807</v>
      </c>
      <c r="BF213" t="s">
        <v>6808</v>
      </c>
      <c r="BG213" t="s">
        <v>6809</v>
      </c>
      <c r="BH213" t="s">
        <v>1549</v>
      </c>
      <c r="BI213" t="s">
        <v>121</v>
      </c>
      <c r="BJ213" t="s">
        <v>825</v>
      </c>
      <c r="BK213" t="s">
        <v>6810</v>
      </c>
      <c r="BL213" t="s">
        <v>6811</v>
      </c>
      <c r="BM213" t="s">
        <v>6805</v>
      </c>
      <c r="BN213" t="s">
        <v>90</v>
      </c>
      <c r="BO213" t="s">
        <v>90</v>
      </c>
      <c r="BP213">
        <v>13.51</v>
      </c>
      <c r="BQ213">
        <v>-10.93</v>
      </c>
      <c r="BR213">
        <v>-11.16</v>
      </c>
      <c r="BS213">
        <v>21.94</v>
      </c>
      <c r="BT213" t="s">
        <v>1692</v>
      </c>
      <c r="BU213" t="s">
        <v>3551</v>
      </c>
      <c r="BV213">
        <v>38.51</v>
      </c>
      <c r="BW213">
        <v>49.84</v>
      </c>
      <c r="BX213">
        <v>51.67</v>
      </c>
      <c r="BY213">
        <v>-28.2</v>
      </c>
      <c r="BZ213">
        <v>-26.18</v>
      </c>
      <c r="CA213">
        <v>14.84</v>
      </c>
      <c r="CB213">
        <v>-3.69</v>
      </c>
      <c r="CC213" s="8">
        <v>-21.18</v>
      </c>
      <c r="CD213" s="9" t="s">
        <v>6812</v>
      </c>
      <c r="CE213" s="8" t="s">
        <v>6813</v>
      </c>
      <c r="CF213" s="8">
        <v>-0.5518932692307692</v>
      </c>
      <c r="CG213" s="8">
        <v>-1.579160088691796</v>
      </c>
      <c r="CH213" s="8">
        <v>0.53214287757873535</v>
      </c>
      <c r="CI213" s="8">
        <v>-0.39655172824859619</v>
      </c>
      <c r="CJ213" s="9">
        <v>0.48717948794364929</v>
      </c>
      <c r="CK213" s="9">
        <v>0.41818180680274963</v>
      </c>
      <c r="CL213" s="9">
        <v>0.75999999046325684</v>
      </c>
      <c r="CM213" s="9">
        <v>3.1001670360565186</v>
      </c>
      <c r="CN213" s="9">
        <v>-1.8059630393981934</v>
      </c>
      <c r="CO213">
        <v>0.13132007420063019</v>
      </c>
      <c r="CP213">
        <v>0.49446037411689758</v>
      </c>
      <c r="CQ213">
        <v>1.3196439743041992</v>
      </c>
      <c r="CR213" s="8">
        <v>22.771834961356014</v>
      </c>
      <c r="CS213" s="9">
        <v>0.63221644627096985</v>
      </c>
      <c r="CT213">
        <v>0</v>
      </c>
      <c r="CU213">
        <v>0.36019048690795896</v>
      </c>
      <c r="CV213">
        <v>0.64792568385601046</v>
      </c>
      <c r="CW213">
        <v>0.06</v>
      </c>
      <c r="CX213">
        <v>7.8496463274212447</v>
      </c>
      <c r="CY213">
        <v>170665410.14977223</v>
      </c>
      <c r="CZ213">
        <v>0.36019048690795896</v>
      </c>
      <c r="DA213">
        <v>2.0558184562203574</v>
      </c>
      <c r="DB213">
        <v>651644655.65844953</v>
      </c>
      <c r="DC213">
        <v>0.34218096256256098</v>
      </c>
      <c r="DD213">
        <v>0.7338911363446704</v>
      </c>
      <c r="DE213">
        <v>1825424839.8100698</v>
      </c>
      <c r="DF213">
        <v>0.31696762847900389</v>
      </c>
      <c r="DG213">
        <v>0.29613015443135204</v>
      </c>
      <c r="DH213">
        <v>4523899677.0609407</v>
      </c>
      <c r="DI213">
        <v>0.28815238952636718</v>
      </c>
      <c r="DJ213">
        <v>5.72803760825163E-2</v>
      </c>
      <c r="DK213">
        <v>23387819732.016487</v>
      </c>
      <c r="DL213">
        <v>0.25213334083557126</v>
      </c>
      <c r="DM213">
        <v>133000000</v>
      </c>
      <c r="DN213">
        <v>0.36019048690795896</v>
      </c>
      <c r="DO213">
        <v>1339663110</v>
      </c>
      <c r="DP213">
        <v>71319070</v>
      </c>
      <c r="DQ213" s="10">
        <v>5024</v>
      </c>
      <c r="DR213">
        <v>-0.91208375613872816</v>
      </c>
      <c r="DS213">
        <v>-2.2270857725478064</v>
      </c>
      <c r="DT213">
        <v>2.6666666666666689E-2</v>
      </c>
      <c r="DU213">
        <v>-0.99833333333333341</v>
      </c>
      <c r="DV213">
        <v>-0.97166666666666668</v>
      </c>
      <c r="DW213">
        <v>-8.1742209631728038</v>
      </c>
      <c r="DX213">
        <v>0.32180216025114117</v>
      </c>
      <c r="DY213">
        <v>-8.0194782800437547</v>
      </c>
      <c r="DZ213">
        <v>143</v>
      </c>
      <c r="EA213">
        <v>-8.018933193146248</v>
      </c>
      <c r="EB213" s="11">
        <v>8</v>
      </c>
      <c r="EC213" s="11">
        <v>2.7016638254742601E-2</v>
      </c>
      <c r="ED213">
        <v>0.24164683575035409</v>
      </c>
      <c r="EE213">
        <v>-3.0049100000000002</v>
      </c>
      <c r="EF213">
        <v>-3.0139100000000001</v>
      </c>
      <c r="EG213">
        <v>21.111802160251141</v>
      </c>
      <c r="EH213" s="13" t="s">
        <v>2117</v>
      </c>
      <c r="EI213">
        <v>0</v>
      </c>
      <c r="EJ213">
        <v>1</v>
      </c>
      <c r="EK213">
        <v>45470</v>
      </c>
      <c r="EL213">
        <v>-0.44</v>
      </c>
      <c r="EM213">
        <v>-0.92</v>
      </c>
      <c r="EN213">
        <v>-0.05</v>
      </c>
      <c r="EO213">
        <v>1.27</v>
      </c>
      <c r="EP213">
        <v>-0.9</v>
      </c>
    </row>
    <row r="214" spans="1:146" ht="108">
      <c r="C214" s="7" t="str">
        <f>""&amp;CHAR(10)&amp;Basic_Fundamental_Information_Constructure(F214)&amp;CHAR(10)&amp;Basic_Fundamental_Information_Concatenate("")</f>
        <v xml:space="preserve">
市值33.56437亿, 利润7236.92万; PE19.17; 平均PE37.95; 平均PEG2.29, PB2.7; ROIC12.2333%; ROE11.9567%; 股利率2.9851%; 毛利37.9567%; 净利13.75%; 上一年度营收增1.46%, 利润增-38.15%; 当季营收增59.55%, 利润增368.26%; 过往5年营收增16.55%, 利润增37.06%
Income profile:
</v>
      </c>
      <c r="D214" t="s">
        <v>6814</v>
      </c>
      <c r="E214" t="s">
        <v>6815</v>
      </c>
      <c r="F214">
        <v>30.15</v>
      </c>
      <c r="G214">
        <v>-1.53</v>
      </c>
      <c r="H214" t="s">
        <v>6816</v>
      </c>
      <c r="I214">
        <v>3356437000</v>
      </c>
      <c r="J214">
        <v>19.170000000000002</v>
      </c>
      <c r="K214">
        <v>2.7</v>
      </c>
      <c r="L214" t="s">
        <v>85</v>
      </c>
      <c r="M214" t="s">
        <v>2072</v>
      </c>
      <c r="N214" t="s">
        <v>710</v>
      </c>
      <c r="O214" t="s">
        <v>369</v>
      </c>
      <c r="P214" s="5">
        <v>19.399999999999999</v>
      </c>
      <c r="Q214" t="s">
        <v>6817</v>
      </c>
      <c r="R214">
        <v>54609256</v>
      </c>
      <c r="S214">
        <v>0.33610000000000001</v>
      </c>
      <c r="T214" t="s">
        <v>6818</v>
      </c>
      <c r="U214">
        <v>49090521</v>
      </c>
      <c r="V214">
        <v>111324609</v>
      </c>
      <c r="W214">
        <v>1.24</v>
      </c>
      <c r="X214">
        <v>0.19</v>
      </c>
      <c r="Y214">
        <v>18.940000000000001</v>
      </c>
      <c r="Z214" t="s">
        <v>225</v>
      </c>
      <c r="AA214" t="s">
        <v>810</v>
      </c>
      <c r="AB214" t="s">
        <v>6819</v>
      </c>
      <c r="AC214" t="s">
        <v>6820</v>
      </c>
      <c r="AD214" t="s">
        <v>90</v>
      </c>
      <c r="AE214">
        <v>-3811263</v>
      </c>
      <c r="AF214" t="s">
        <v>6821</v>
      </c>
      <c r="AG214">
        <v>0.03</v>
      </c>
      <c r="AH214" t="s">
        <v>6822</v>
      </c>
      <c r="AI214" t="s">
        <v>1839</v>
      </c>
      <c r="AJ214" t="s">
        <v>6823</v>
      </c>
      <c r="AK214" t="s">
        <v>6824</v>
      </c>
      <c r="AL214" t="s">
        <v>6825</v>
      </c>
      <c r="AM214" t="s">
        <v>90</v>
      </c>
      <c r="AN214" t="s">
        <v>189</v>
      </c>
      <c r="AO214" t="s">
        <v>6826</v>
      </c>
      <c r="AP214" t="s">
        <v>90</v>
      </c>
      <c r="AQ214" t="s">
        <v>276</v>
      </c>
      <c r="AR214" t="s">
        <v>90</v>
      </c>
      <c r="AS214" t="s">
        <v>740</v>
      </c>
      <c r="AT214" t="s">
        <v>6827</v>
      </c>
      <c r="AU214" t="s">
        <v>6828</v>
      </c>
      <c r="AV214" t="s">
        <v>6829</v>
      </c>
      <c r="AW214" t="s">
        <v>6830</v>
      </c>
      <c r="AX214" t="s">
        <v>1405</v>
      </c>
      <c r="AY214" t="s">
        <v>6831</v>
      </c>
      <c r="AZ214" t="s">
        <v>6832</v>
      </c>
      <c r="BA214" t="s">
        <v>646</v>
      </c>
      <c r="BB214" t="s">
        <v>1567</v>
      </c>
      <c r="BC214" t="s">
        <v>393</v>
      </c>
      <c r="BD214" t="s">
        <v>342</v>
      </c>
      <c r="BE214" t="s">
        <v>314</v>
      </c>
      <c r="BF214" t="s">
        <v>6833</v>
      </c>
      <c r="BG214" t="s">
        <v>6834</v>
      </c>
      <c r="BH214" t="s">
        <v>212</v>
      </c>
      <c r="BI214" t="s">
        <v>671</v>
      </c>
      <c r="BJ214" t="s">
        <v>1405</v>
      </c>
      <c r="BK214" t="s">
        <v>101</v>
      </c>
      <c r="BL214" t="s">
        <v>6835</v>
      </c>
      <c r="BM214" t="s">
        <v>393</v>
      </c>
      <c r="BN214">
        <v>10.98</v>
      </c>
      <c r="BO214">
        <v>11.21</v>
      </c>
      <c r="BP214">
        <v>14.51</v>
      </c>
      <c r="BQ214">
        <v>11.79</v>
      </c>
      <c r="BR214">
        <v>11.7</v>
      </c>
      <c r="BS214">
        <v>12.38</v>
      </c>
      <c r="BT214" t="s">
        <v>6836</v>
      </c>
      <c r="BU214" t="s">
        <v>3551</v>
      </c>
      <c r="BV214">
        <v>43.32</v>
      </c>
      <c r="BW214">
        <v>36.26</v>
      </c>
      <c r="BX214">
        <v>34.29</v>
      </c>
      <c r="BY214">
        <v>15.52</v>
      </c>
      <c r="BZ214">
        <v>12.9</v>
      </c>
      <c r="CA214">
        <v>12.83</v>
      </c>
      <c r="CB214">
        <v>-8</v>
      </c>
      <c r="CC214" s="8">
        <v>-23.28</v>
      </c>
      <c r="CD214" s="9" t="s">
        <v>6837</v>
      </c>
      <c r="CE214" s="8" t="s">
        <v>6838</v>
      </c>
      <c r="CF214" s="8">
        <v>0.5955056179775281</v>
      </c>
      <c r="CG214" s="8">
        <v>3.6826262851459002</v>
      </c>
      <c r="CH214" s="8">
        <v>1.4590348117053509E-2</v>
      </c>
      <c r="CI214" s="8">
        <v>5.8194775134325027E-2</v>
      </c>
      <c r="CJ214" s="9">
        <v>-4.9661397933959961E-2</v>
      </c>
      <c r="CK214" s="9">
        <v>0.64074075222015381</v>
      </c>
      <c r="CL214" s="9">
        <v>0.16379310190677643</v>
      </c>
      <c r="CM214" s="9">
        <v>-0.38145983219146729</v>
      </c>
      <c r="CN214" s="9">
        <v>7.3394492268562317E-2</v>
      </c>
      <c r="CO214">
        <v>-0.25850340723991394</v>
      </c>
      <c r="CP214">
        <v>1.7596098184585571</v>
      </c>
      <c r="CQ214">
        <v>0.65998435020446777</v>
      </c>
      <c r="CR214" s="8">
        <v>37.945328985337667</v>
      </c>
      <c r="CS214" s="9">
        <v>2.2923325979091747</v>
      </c>
      <c r="CT214">
        <v>2.9850746268656718</v>
      </c>
      <c r="CU214">
        <v>0.16553151588886977</v>
      </c>
      <c r="CV214">
        <v>0.37060508430004119</v>
      </c>
      <c r="CW214">
        <v>0.06</v>
      </c>
      <c r="CX214">
        <v>29.789038764174038</v>
      </c>
      <c r="CY214">
        <v>79574135.2638347</v>
      </c>
      <c r="CZ214">
        <v>0.16553151588886977</v>
      </c>
      <c r="DA214">
        <v>9.1367605285045652</v>
      </c>
      <c r="DB214">
        <v>259439545.62503731</v>
      </c>
      <c r="DC214">
        <v>0.15725494009442628</v>
      </c>
      <c r="DD214">
        <v>4.1225895556001078</v>
      </c>
      <c r="DE214">
        <v>574987387.91010821</v>
      </c>
      <c r="DF214">
        <v>0.14566773398220539</v>
      </c>
      <c r="DG214">
        <v>2.2366988894867843</v>
      </c>
      <c r="DH214">
        <v>1059792630.6226684</v>
      </c>
      <c r="DI214">
        <v>0.13242521271109584</v>
      </c>
      <c r="DJ214">
        <v>0.91436403151163959</v>
      </c>
      <c r="DK214">
        <v>2592443401.432972</v>
      </c>
      <c r="DL214">
        <v>0.11587206112220884</v>
      </c>
      <c r="DM214">
        <v>72369200</v>
      </c>
      <c r="DN214">
        <v>0.16553151588886977</v>
      </c>
      <c r="DO214">
        <v>2370437000</v>
      </c>
      <c r="DP214">
        <v>605227770</v>
      </c>
      <c r="DQ214" s="10">
        <v>5029</v>
      </c>
      <c r="DR214">
        <v>0.42997410208865833</v>
      </c>
      <c r="DS214">
        <v>3.3120212008458592</v>
      </c>
      <c r="DT214">
        <v>-0.10666666666666669</v>
      </c>
      <c r="DU214">
        <v>0.35333333333333328</v>
      </c>
      <c r="DV214">
        <v>0.24666666666666659</v>
      </c>
      <c r="DW214">
        <v>-9.3436426116838494</v>
      </c>
      <c r="DX214">
        <v>0.67962556960635734</v>
      </c>
      <c r="DY214">
        <v>-9.0754727043320802</v>
      </c>
      <c r="DZ214">
        <v>1642</v>
      </c>
      <c r="EA214">
        <v>-9.0512210056014979</v>
      </c>
      <c r="EB214" s="11">
        <v>9</v>
      </c>
      <c r="EC214" s="11">
        <v>3.2340558231828145E-2</v>
      </c>
      <c r="ED214">
        <v>0.14725315585882723</v>
      </c>
      <c r="EE214">
        <v>18.118210000000001</v>
      </c>
      <c r="EF214">
        <v>18.07471</v>
      </c>
      <c r="EG214">
        <v>46.219625569606357</v>
      </c>
      <c r="EH214" s="13" t="s">
        <v>6839</v>
      </c>
      <c r="EI214">
        <v>0</v>
      </c>
      <c r="EJ214">
        <v>0</v>
      </c>
      <c r="EK214">
        <v>45470</v>
      </c>
      <c r="EL214">
        <v>-2.4</v>
      </c>
      <c r="EM214">
        <v>-6.47</v>
      </c>
      <c r="EN214">
        <v>-3.96</v>
      </c>
      <c r="EO214">
        <v>1.69</v>
      </c>
      <c r="EP214">
        <v>4.3499999999999996</v>
      </c>
    </row>
    <row r="215" spans="1:146" ht="108">
      <c r="C215" s="7" t="str">
        <f>""&amp;CHAR(10)&amp;Basic_Fundamental_Information_Constructure(F215)&amp;CHAR(10)&amp;Basic_Fundamental_Information_Concatenate("")</f>
        <v xml:space="preserve">
市值28.4104亿, 利润4250.86万; PE50.79; 平均PE45.89; 平均PEG10.02, PB1.66; ROIC5.1667%; ROE4.19%; 股利率.7659%; 毛利15.4633%; 净利3.9267%; 上一年度营收增-86.89%, 利润增-46.26%; 当季营收增486.3%, 利润增-180.58%; 过往5年营收增-4.58%, 利润增9.74%
Income profile:
</v>
      </c>
      <c r="D215" t="s">
        <v>2107</v>
      </c>
      <c r="E215" t="s">
        <v>2108</v>
      </c>
      <c r="F215">
        <v>20.89</v>
      </c>
      <c r="G215">
        <v>0.28999999999999998</v>
      </c>
      <c r="H215" t="s">
        <v>6840</v>
      </c>
      <c r="I215">
        <v>2841040000</v>
      </c>
      <c r="J215">
        <v>50.79</v>
      </c>
      <c r="K215">
        <v>1.66</v>
      </c>
      <c r="L215" t="s">
        <v>85</v>
      </c>
      <c r="M215" t="s">
        <v>1800</v>
      </c>
      <c r="N215" t="s">
        <v>3366</v>
      </c>
      <c r="O215" t="s">
        <v>433</v>
      </c>
      <c r="P215">
        <v>-34.97</v>
      </c>
      <c r="Q215" t="s">
        <v>701</v>
      </c>
      <c r="R215">
        <v>-19820445</v>
      </c>
      <c r="S215">
        <v>-3.7629999999999999</v>
      </c>
      <c r="T215" t="s">
        <v>6841</v>
      </c>
      <c r="U215">
        <v>30600000</v>
      </c>
      <c r="V215">
        <v>136000000</v>
      </c>
      <c r="W215">
        <v>1.53</v>
      </c>
      <c r="X215">
        <v>0.08</v>
      </c>
      <c r="Y215">
        <v>-9.51</v>
      </c>
      <c r="Z215" t="s">
        <v>766</v>
      </c>
      <c r="AA215" t="s">
        <v>230</v>
      </c>
      <c r="AB215" t="s">
        <v>6842</v>
      </c>
      <c r="AC215" t="s">
        <v>6843</v>
      </c>
      <c r="AD215" t="s">
        <v>90</v>
      </c>
      <c r="AE215">
        <v>-2992856</v>
      </c>
      <c r="AF215" t="s">
        <v>182</v>
      </c>
      <c r="AG215" t="s">
        <v>6844</v>
      </c>
      <c r="AH215" t="s">
        <v>3361</v>
      </c>
      <c r="AI215" t="s">
        <v>6845</v>
      </c>
      <c r="AJ215" t="s">
        <v>3362</v>
      </c>
      <c r="AK215" t="s">
        <v>6846</v>
      </c>
      <c r="AL215" t="s">
        <v>3363</v>
      </c>
      <c r="AM215" t="s">
        <v>90</v>
      </c>
      <c r="AN215" t="s">
        <v>6847</v>
      </c>
      <c r="AO215" t="s">
        <v>90</v>
      </c>
      <c r="AP215" t="s">
        <v>109</v>
      </c>
      <c r="AQ215" t="s">
        <v>875</v>
      </c>
      <c r="AR215" t="s">
        <v>90</v>
      </c>
      <c r="AS215" t="s">
        <v>1039</v>
      </c>
      <c r="AT215" t="s">
        <v>90</v>
      </c>
      <c r="AU215" t="s">
        <v>3598</v>
      </c>
      <c r="AV215" t="s">
        <v>6848</v>
      </c>
      <c r="AW215" t="s">
        <v>6849</v>
      </c>
      <c r="AX215" t="s">
        <v>2109</v>
      </c>
      <c r="AY215" t="s">
        <v>2098</v>
      </c>
      <c r="AZ215" t="s">
        <v>2111</v>
      </c>
      <c r="BA215" t="s">
        <v>2074</v>
      </c>
      <c r="BB215" t="s">
        <v>90</v>
      </c>
      <c r="BC215" t="s">
        <v>2110</v>
      </c>
      <c r="BD215" t="s">
        <v>2112</v>
      </c>
      <c r="BE215" t="s">
        <v>2113</v>
      </c>
      <c r="BF215" t="s">
        <v>2114</v>
      </c>
      <c r="BG215" t="s">
        <v>90</v>
      </c>
      <c r="BH215" t="s">
        <v>1761</v>
      </c>
      <c r="BI215" t="s">
        <v>6850</v>
      </c>
      <c r="BJ215" t="s">
        <v>2109</v>
      </c>
      <c r="BK215" t="s">
        <v>3360</v>
      </c>
      <c r="BL215" t="s">
        <v>6851</v>
      </c>
      <c r="BM215" t="s">
        <v>2110</v>
      </c>
      <c r="BN215">
        <v>1.56</v>
      </c>
      <c r="BO215">
        <v>6.17</v>
      </c>
      <c r="BP215">
        <v>7.77</v>
      </c>
      <c r="BQ215">
        <v>1.69</v>
      </c>
      <c r="BR215">
        <v>6.69</v>
      </c>
      <c r="BS215" t="s">
        <v>90</v>
      </c>
      <c r="BT215" t="s">
        <v>1869</v>
      </c>
      <c r="BU215" t="s">
        <v>1381</v>
      </c>
      <c r="BV215">
        <v>15.9</v>
      </c>
      <c r="BW215">
        <v>14.52</v>
      </c>
      <c r="BX215">
        <v>15.97</v>
      </c>
      <c r="BY215">
        <v>3.67</v>
      </c>
      <c r="BZ215">
        <v>3.56</v>
      </c>
      <c r="CA215">
        <v>4.55</v>
      </c>
      <c r="CB215">
        <v>-4.3499999999999996</v>
      </c>
      <c r="CC215" s="8">
        <v>-10.69</v>
      </c>
      <c r="CD215" s="9" t="s">
        <v>6852</v>
      </c>
      <c r="CE215" s="8" t="s">
        <v>6853</v>
      </c>
      <c r="CF215" s="8">
        <v>4.8629865151310154</v>
      </c>
      <c r="CG215" s="8">
        <v>-1.8057990402174375</v>
      </c>
      <c r="CH215" s="8">
        <v>-0.86885982751846313</v>
      </c>
      <c r="CI215" s="8">
        <v>7.82313272356987E-2</v>
      </c>
      <c r="CJ215" s="9">
        <v>0.44421058893203735</v>
      </c>
      <c r="CK215" s="9">
        <v>0.16326531767845154</v>
      </c>
      <c r="CL215" s="9" t="s">
        <v>90</v>
      </c>
      <c r="CM215" s="9">
        <v>-0.46263539791107178</v>
      </c>
      <c r="CN215" s="9">
        <v>-0.15567094087600708</v>
      </c>
      <c r="CO215">
        <v>1.1414357423782349</v>
      </c>
      <c r="CP215">
        <v>-0.13348662853240967</v>
      </c>
      <c r="CQ215" t="s">
        <v>90</v>
      </c>
      <c r="CR215" s="8">
        <v>45.890225535733784</v>
      </c>
      <c r="CS215" s="9">
        <v>10.022293349085201</v>
      </c>
      <c r="CT215">
        <v>0.7659167065581618</v>
      </c>
      <c r="CU215">
        <v>-4.5788148418068886E-2</v>
      </c>
      <c r="CV215">
        <v>9.7410693764686584E-2</v>
      </c>
      <c r="CW215">
        <v>0.06</v>
      </c>
      <c r="CX215" t="e">
        <v>#VALUE!</v>
      </c>
      <c r="CY215" t="s">
        <v>1734</v>
      </c>
      <c r="CZ215">
        <v>-4.5788148418068886E-2</v>
      </c>
      <c r="DA215">
        <v>17.447763511383577</v>
      </c>
      <c r="DB215" t="s">
        <v>6854</v>
      </c>
      <c r="DC215">
        <v>-4.3498740997165442E-2</v>
      </c>
      <c r="DD215">
        <v>8.7238817556917887</v>
      </c>
      <c r="DE215" t="s">
        <v>6855</v>
      </c>
      <c r="DF215">
        <v>-4.029357060790062E-2</v>
      </c>
      <c r="DG215">
        <v>5.2343290534150739</v>
      </c>
      <c r="DH215" t="s">
        <v>6856</v>
      </c>
      <c r="DI215">
        <v>-3.6630518734455109E-2</v>
      </c>
      <c r="DJ215">
        <v>2.617164526707537</v>
      </c>
      <c r="DK215" t="s">
        <v>6857</v>
      </c>
      <c r="DL215">
        <v>-3.205170389264822E-2</v>
      </c>
      <c r="DM215">
        <v>42508600</v>
      </c>
      <c r="DN215">
        <v>-4.5788148418068886E-2</v>
      </c>
      <c r="DO215">
        <v>2225040000</v>
      </c>
      <c r="DP215">
        <v>1045470100</v>
      </c>
      <c r="DQ215" s="10">
        <v>5038</v>
      </c>
      <c r="DR215">
        <v>4.9087746635490843</v>
      </c>
      <c r="DS215">
        <v>-1.9032097339821241</v>
      </c>
      <c r="DT215">
        <v>-0.628</v>
      </c>
      <c r="DU215">
        <v>-1.1380000000000001</v>
      </c>
      <c r="DV215">
        <v>-1.766</v>
      </c>
      <c r="DW215">
        <v>-8.4069223573433121</v>
      </c>
      <c r="DX215">
        <v>0.26284221499182225</v>
      </c>
      <c r="DY215">
        <v>-8.0459180201323122</v>
      </c>
      <c r="DZ215">
        <v>1037</v>
      </c>
      <c r="EA215">
        <v>-8.036599627397047</v>
      </c>
      <c r="EB215" s="11">
        <v>8</v>
      </c>
      <c r="EC215" s="11">
        <v>4.2663235294117648E-2</v>
      </c>
      <c r="ED215">
        <v>0.37807867647058824</v>
      </c>
      <c r="EE215">
        <v>4.0305999999999997</v>
      </c>
      <c r="EF215">
        <v>4.0133000000000001</v>
      </c>
      <c r="EG215">
        <v>15.112842214991822</v>
      </c>
      <c r="EH215" s="13" t="s">
        <v>2131</v>
      </c>
      <c r="EI215">
        <v>0</v>
      </c>
      <c r="EJ215">
        <v>1</v>
      </c>
      <c r="EK215">
        <v>45470</v>
      </c>
      <c r="EL215">
        <v>-3.06</v>
      </c>
      <c r="EM215">
        <v>-6.24</v>
      </c>
      <c r="EN215">
        <v>-0.28000000000000003</v>
      </c>
      <c r="EO215">
        <v>3.62</v>
      </c>
      <c r="EP215">
        <v>-1.73</v>
      </c>
    </row>
    <row r="216" spans="1:146" ht="108">
      <c r="C216" s="7" t="str">
        <f>""&amp;CHAR(10)&amp;Basic_Fundamental_Information_Constructure(F216)&amp;CHAR(10)&amp;Basic_Fundamental_Information_Concatenate("")</f>
        <v xml:space="preserve">
市值26.41639亿, 利润4913.37万; PE23.22; 平均PE29.65; 平均PEG.52, PB2.68; ROIC18.68%; ROE18.2767%; 股利率3.2588%; 毛利46.77%; 净利25.6767%; 上一年度营收增67.44%, 利润增-66.11%; 当季营收增-38.79%, 利润增45.9%; 过往5年营收增56.95%, 利润增109.1%
Income profile:
</v>
      </c>
      <c r="D216" t="s">
        <v>6858</v>
      </c>
      <c r="E216" t="s">
        <v>6859</v>
      </c>
      <c r="F216">
        <v>26.39</v>
      </c>
      <c r="G216">
        <v>0.15</v>
      </c>
      <c r="H216" t="s">
        <v>6860</v>
      </c>
      <c r="I216">
        <v>2641639000</v>
      </c>
      <c r="J216">
        <v>23.22</v>
      </c>
      <c r="K216">
        <v>2.68</v>
      </c>
      <c r="L216" t="s">
        <v>85</v>
      </c>
      <c r="M216" t="s">
        <v>722</v>
      </c>
      <c r="N216" t="s">
        <v>6861</v>
      </c>
      <c r="O216" t="s">
        <v>485</v>
      </c>
      <c r="P216" s="5">
        <v>1.4</v>
      </c>
      <c r="Q216" t="s">
        <v>527</v>
      </c>
      <c r="R216">
        <v>19851687</v>
      </c>
      <c r="S216">
        <v>-0.48809999999999998</v>
      </c>
      <c r="T216" t="s">
        <v>6862</v>
      </c>
      <c r="U216">
        <v>100100000</v>
      </c>
      <c r="V216">
        <v>100100000</v>
      </c>
      <c r="W216">
        <v>1.25</v>
      </c>
      <c r="X216">
        <v>0.11</v>
      </c>
      <c r="Y216">
        <v>14.31</v>
      </c>
      <c r="Z216" t="s">
        <v>191</v>
      </c>
      <c r="AA216" t="s">
        <v>6863</v>
      </c>
      <c r="AB216" t="s">
        <v>6864</v>
      </c>
      <c r="AC216" t="s">
        <v>6865</v>
      </c>
      <c r="AD216" t="s">
        <v>90</v>
      </c>
      <c r="AE216">
        <v>-1063269</v>
      </c>
      <c r="AF216" t="s">
        <v>6866</v>
      </c>
      <c r="AG216" t="s">
        <v>6867</v>
      </c>
      <c r="AH216" t="s">
        <v>6868</v>
      </c>
      <c r="AI216" t="s">
        <v>1394</v>
      </c>
      <c r="AJ216" t="s">
        <v>6869</v>
      </c>
      <c r="AK216" t="s">
        <v>6870</v>
      </c>
      <c r="AL216" t="s">
        <v>6871</v>
      </c>
      <c r="AM216" t="s">
        <v>90</v>
      </c>
      <c r="AN216" t="s">
        <v>6872</v>
      </c>
      <c r="AO216" t="s">
        <v>6873</v>
      </c>
      <c r="AP216" t="s">
        <v>6874</v>
      </c>
      <c r="AQ216" t="s">
        <v>6875</v>
      </c>
      <c r="AR216" t="s">
        <v>90</v>
      </c>
      <c r="AS216" t="s">
        <v>1453</v>
      </c>
      <c r="AT216" t="s">
        <v>90</v>
      </c>
      <c r="AU216" t="s">
        <v>6876</v>
      </c>
      <c r="AV216" t="s">
        <v>6877</v>
      </c>
      <c r="AW216" t="s">
        <v>6878</v>
      </c>
      <c r="AX216" t="s">
        <v>1465</v>
      </c>
      <c r="AY216" t="s">
        <v>594</v>
      </c>
      <c r="AZ216" t="s">
        <v>224</v>
      </c>
      <c r="BA216" t="s">
        <v>432</v>
      </c>
      <c r="BB216" t="s">
        <v>290</v>
      </c>
      <c r="BC216" t="s">
        <v>165</v>
      </c>
      <c r="BD216" t="s">
        <v>263</v>
      </c>
      <c r="BE216" t="s">
        <v>6879</v>
      </c>
      <c r="BF216" t="s">
        <v>6880</v>
      </c>
      <c r="BG216" t="s">
        <v>6881</v>
      </c>
      <c r="BH216" t="s">
        <v>1543</v>
      </c>
      <c r="BI216" t="s">
        <v>96</v>
      </c>
      <c r="BJ216" t="s">
        <v>1465</v>
      </c>
      <c r="BK216" t="s">
        <v>333</v>
      </c>
      <c r="BL216" t="s">
        <v>6882</v>
      </c>
      <c r="BM216" t="s">
        <v>165</v>
      </c>
      <c r="BN216">
        <v>9.9499999999999993</v>
      </c>
      <c r="BO216">
        <v>15.26</v>
      </c>
      <c r="BP216">
        <v>30.83</v>
      </c>
      <c r="BQ216">
        <v>11.12</v>
      </c>
      <c r="BR216">
        <v>17.09</v>
      </c>
      <c r="BS216">
        <v>26.62</v>
      </c>
      <c r="BT216" t="s">
        <v>6883</v>
      </c>
      <c r="BU216" t="s">
        <v>3551</v>
      </c>
      <c r="BV216">
        <v>45.14</v>
      </c>
      <c r="BW216">
        <v>44.24</v>
      </c>
      <c r="BX216">
        <v>50.93</v>
      </c>
      <c r="BY216">
        <v>19.53</v>
      </c>
      <c r="BZ216">
        <v>24.35</v>
      </c>
      <c r="CA216">
        <v>33.15</v>
      </c>
      <c r="CB216">
        <v>-4.87</v>
      </c>
      <c r="CC216" s="8">
        <v>-15.97</v>
      </c>
      <c r="CD216" s="9" t="s">
        <v>6884</v>
      </c>
      <c r="CE216" s="8" t="s">
        <v>6885</v>
      </c>
      <c r="CF216" s="8">
        <v>-0.38793103448275856</v>
      </c>
      <c r="CG216" s="8">
        <v>0.45901772721259448</v>
      </c>
      <c r="CH216" s="8">
        <v>0.67441862821578979</v>
      </c>
      <c r="CI216" s="8">
        <v>0.10054844617843628</v>
      </c>
      <c r="CJ216" s="9">
        <v>0.77597403526306152</v>
      </c>
      <c r="CK216" s="9">
        <v>0.32188841700553894</v>
      </c>
      <c r="CL216" s="9">
        <v>0.97457629442214966</v>
      </c>
      <c r="CM216" s="9">
        <v>-0.66114693880081177</v>
      </c>
      <c r="CN216" s="9">
        <v>-0.1944444477558136</v>
      </c>
      <c r="CO216">
        <v>1.1308153867721558</v>
      </c>
      <c r="CP216">
        <v>0.30061930418014526</v>
      </c>
      <c r="CQ216">
        <v>4.8789091110229492</v>
      </c>
      <c r="CR216" s="8">
        <v>29.647697490805847</v>
      </c>
      <c r="CS216" s="9">
        <v>0.52060892183448726</v>
      </c>
      <c r="CT216">
        <v>3.2588101553618793</v>
      </c>
      <c r="CU216">
        <v>0.56948116421699524</v>
      </c>
      <c r="CV216">
        <v>1.0909504830837249</v>
      </c>
      <c r="CW216">
        <v>0.06</v>
      </c>
      <c r="CX216">
        <v>26.386989977360479</v>
      </c>
      <c r="CY216">
        <v>72749449.696498647</v>
      </c>
      <c r="CZ216">
        <v>0.56948116421699524</v>
      </c>
      <c r="DA216">
        <v>5.8841783671004793</v>
      </c>
      <c r="DB216">
        <v>326237391.22747433</v>
      </c>
      <c r="DC216">
        <v>0.54100710600614543</v>
      </c>
      <c r="DD216">
        <v>1.6247208075871706</v>
      </c>
      <c r="DE216">
        <v>1181519305.3696434</v>
      </c>
      <c r="DF216">
        <v>0.50114342451095584</v>
      </c>
      <c r="DG216">
        <v>0.46487384645560559</v>
      </c>
      <c r="DH216">
        <v>4129376205.2568412</v>
      </c>
      <c r="DI216">
        <v>0.45558493137359624</v>
      </c>
      <c r="DJ216">
        <v>3.71183191477037E-2</v>
      </c>
      <c r="DK216">
        <v>51716754531.939987</v>
      </c>
      <c r="DL216">
        <v>0.39863681495189662</v>
      </c>
      <c r="DM216">
        <v>49133700</v>
      </c>
      <c r="DN216">
        <v>0.56948116421699524</v>
      </c>
      <c r="DO216">
        <v>1919639000</v>
      </c>
      <c r="DP216">
        <v>520143200</v>
      </c>
      <c r="DQ216" s="10">
        <v>5051</v>
      </c>
      <c r="DR216">
        <v>-0.9574121986997538</v>
      </c>
      <c r="DS216">
        <v>-0.6319327558711304</v>
      </c>
      <c r="DT216">
        <v>0.47666666666666663</v>
      </c>
      <c r="DU216">
        <v>0.61</v>
      </c>
      <c r="DV216">
        <v>1.0866666666666667</v>
      </c>
      <c r="DW216">
        <v>-8.304946775203506</v>
      </c>
      <c r="DX216">
        <v>0.49506928609015632</v>
      </c>
      <c r="DY216">
        <v>-8.032040539966129</v>
      </c>
      <c r="DZ216">
        <v>1681</v>
      </c>
      <c r="EA216">
        <v>-8.0215003936485036</v>
      </c>
      <c r="EB216" s="11">
        <v>8</v>
      </c>
      <c r="EC216" s="11">
        <v>2.2140859140859139E-2</v>
      </c>
      <c r="ED216">
        <v>0.21072627372627373</v>
      </c>
      <c r="EE216">
        <v>-7.04901</v>
      </c>
      <c r="EF216">
        <v>-7.0763100000000003</v>
      </c>
      <c r="EG216">
        <v>39.105069286090156</v>
      </c>
      <c r="EH216" s="13" t="s">
        <v>2425</v>
      </c>
      <c r="EI216">
        <v>0</v>
      </c>
      <c r="EJ216">
        <v>0</v>
      </c>
      <c r="EK216">
        <v>45470</v>
      </c>
      <c r="EL216">
        <v>-2.57</v>
      </c>
      <c r="EM216">
        <v>-6.43</v>
      </c>
      <c r="EN216">
        <v>-1.46</v>
      </c>
      <c r="EO216">
        <v>2.2200000000000002</v>
      </c>
      <c r="EP216">
        <v>-2.73</v>
      </c>
    </row>
    <row r="217" spans="1:146" ht="108">
      <c r="A217" s="7"/>
      <c r="B217" s="7"/>
      <c r="C217" s="7" t="str">
        <f>""&amp;CHAR(10)&amp;Basic_Fundamental_Information_Constructure(F217)&amp;CHAR(10)&amp;Basic_Fundamental_Information_Concatenate("")</f>
        <v xml:space="preserve">
市值48.477338亿, 利润1.91亿; PE15.37; 平均PE34.2; 平均PEG3.73, PB2.89; ROIC16.12%; ROE19.5567%; 股利率4.0431%; 毛利26.4067%; 净利12.58%; 上一年度营收增-29.31%, 利润增-27.1%; 当季营收增93.31%, 利润增62.42%; 过往5年营收增9.16%, 利润增31.5%
Income profile:
</v>
      </c>
      <c r="D217" t="s">
        <v>1087</v>
      </c>
      <c r="E217" t="s">
        <v>1088</v>
      </c>
      <c r="F217">
        <v>14.84</v>
      </c>
      <c r="G217">
        <v>1.0900000000000001</v>
      </c>
      <c r="H217" t="s">
        <v>6886</v>
      </c>
      <c r="I217">
        <v>4847733800</v>
      </c>
      <c r="J217">
        <v>15.37</v>
      </c>
      <c r="K217">
        <v>2.89</v>
      </c>
      <c r="L217" t="s">
        <v>85</v>
      </c>
      <c r="M217" t="s">
        <v>3364</v>
      </c>
      <c r="N217" t="s">
        <v>1773</v>
      </c>
      <c r="O217" t="s">
        <v>108</v>
      </c>
      <c r="P217">
        <v>3.96</v>
      </c>
      <c r="Q217" t="s">
        <v>6887</v>
      </c>
      <c r="R217">
        <v>69551422</v>
      </c>
      <c r="S217" s="5">
        <v>-3.0300000000000001E-2</v>
      </c>
      <c r="T217" t="s">
        <v>450</v>
      </c>
      <c r="U217">
        <v>81666700</v>
      </c>
      <c r="V217">
        <v>326666700</v>
      </c>
      <c r="W217">
        <v>2.31</v>
      </c>
      <c r="X217">
        <v>0.15</v>
      </c>
      <c r="Y217">
        <v>12.68</v>
      </c>
      <c r="Z217" t="s">
        <v>2292</v>
      </c>
      <c r="AA217" t="s">
        <v>889</v>
      </c>
      <c r="AB217" t="s">
        <v>6888</v>
      </c>
      <c r="AC217" t="s">
        <v>6889</v>
      </c>
      <c r="AD217" t="s">
        <v>90</v>
      </c>
      <c r="AE217">
        <v>2485439</v>
      </c>
      <c r="AF217" t="s">
        <v>3367</v>
      </c>
      <c r="AG217" t="s">
        <v>6890</v>
      </c>
      <c r="AH217" t="s">
        <v>3368</v>
      </c>
      <c r="AI217" t="s">
        <v>1562</v>
      </c>
      <c r="AJ217" t="s">
        <v>3369</v>
      </c>
      <c r="AK217" t="s">
        <v>2066</v>
      </c>
      <c r="AL217" t="s">
        <v>3370</v>
      </c>
      <c r="AM217" t="s">
        <v>90</v>
      </c>
      <c r="AN217" t="s">
        <v>6891</v>
      </c>
      <c r="AO217" t="s">
        <v>875</v>
      </c>
      <c r="AP217" t="s">
        <v>1101</v>
      </c>
      <c r="AQ217" t="s">
        <v>252</v>
      </c>
      <c r="AR217" t="s">
        <v>90</v>
      </c>
      <c r="AS217" t="s">
        <v>892</v>
      </c>
      <c r="AT217" t="s">
        <v>90</v>
      </c>
      <c r="AU217" t="s">
        <v>6892</v>
      </c>
      <c r="AV217" t="s">
        <v>6893</v>
      </c>
      <c r="AW217" t="s">
        <v>170</v>
      </c>
      <c r="AX217" t="s">
        <v>1545</v>
      </c>
      <c r="AY217" t="s">
        <v>1380</v>
      </c>
      <c r="AZ217" t="s">
        <v>153</v>
      </c>
      <c r="BA217" t="s">
        <v>746</v>
      </c>
      <c r="BB217" t="s">
        <v>982</v>
      </c>
      <c r="BC217" t="s">
        <v>402</v>
      </c>
      <c r="BD217" t="s">
        <v>304</v>
      </c>
      <c r="BE217" t="s">
        <v>121</v>
      </c>
      <c r="BF217" t="s">
        <v>1091</v>
      </c>
      <c r="BG217" t="s">
        <v>1092</v>
      </c>
      <c r="BH217" t="s">
        <v>3365</v>
      </c>
      <c r="BI217" t="s">
        <v>369</v>
      </c>
      <c r="BJ217" t="s">
        <v>1545</v>
      </c>
      <c r="BK217" t="s">
        <v>718</v>
      </c>
      <c r="BL217" t="s">
        <v>6894</v>
      </c>
      <c r="BM217" t="s">
        <v>402</v>
      </c>
      <c r="BN217">
        <v>13.19</v>
      </c>
      <c r="BO217">
        <v>17.7</v>
      </c>
      <c r="BP217">
        <v>17.47</v>
      </c>
      <c r="BQ217">
        <v>15.78</v>
      </c>
      <c r="BR217">
        <v>19.7</v>
      </c>
      <c r="BS217">
        <v>23.19</v>
      </c>
      <c r="BT217" t="s">
        <v>1724</v>
      </c>
      <c r="BU217" t="s">
        <v>1447</v>
      </c>
      <c r="BV217">
        <v>26.46</v>
      </c>
      <c r="BW217">
        <v>27.49</v>
      </c>
      <c r="BX217">
        <v>25.27</v>
      </c>
      <c r="BY217">
        <v>13.69</v>
      </c>
      <c r="BZ217">
        <v>14.21</v>
      </c>
      <c r="CA217">
        <v>9.84</v>
      </c>
      <c r="CB217">
        <v>-5.42</v>
      </c>
      <c r="CC217">
        <v>-13.01</v>
      </c>
      <c r="CD217" t="s">
        <v>6895</v>
      </c>
      <c r="CE217" t="s">
        <v>6896</v>
      </c>
      <c r="CF217" s="8">
        <v>0.93309859154929575</v>
      </c>
      <c r="CG217" s="9">
        <v>0.62421732073841407</v>
      </c>
      <c r="CH217" s="8">
        <v>-0.2930661141872406</v>
      </c>
      <c r="CI217" s="8">
        <v>7.7641606330871582E-2</v>
      </c>
      <c r="CJ217" s="8">
        <v>0.47038629651069641</v>
      </c>
      <c r="CK217" s="8">
        <v>0.20103086531162262</v>
      </c>
      <c r="CL217" s="8">
        <v>2.06611561588943E-3</v>
      </c>
      <c r="CM217" s="9">
        <v>-0.27099236845970154</v>
      </c>
      <c r="CN217" s="9">
        <v>0.55029582977294922</v>
      </c>
      <c r="CO217" s="9">
        <v>0.625</v>
      </c>
      <c r="CP217" s="9">
        <v>0.67122232913970947</v>
      </c>
      <c r="CQ217" s="9">
        <v>-2.8434832347556949E-4</v>
      </c>
      <c r="CR217">
        <v>34.200085011067316</v>
      </c>
      <c r="CS217">
        <v>3.7331547043939883</v>
      </c>
      <c r="CT217">
        <v>4.0431266846361185</v>
      </c>
      <c r="CU217" s="8">
        <v>9.1611753916367888E-2</v>
      </c>
      <c r="CV217" s="9">
        <v>0.31504828842589633</v>
      </c>
      <c r="CW217">
        <v>0.06</v>
      </c>
      <c r="CX217">
        <v>26.511630506551889</v>
      </c>
      <c r="CY217">
        <v>196696080.18681723</v>
      </c>
      <c r="CZ217">
        <v>9.1611753916367888E-2</v>
      </c>
      <c r="DA217">
        <v>8.6519394147299433</v>
      </c>
      <c r="DB217">
        <v>602724262.1604476</v>
      </c>
      <c r="DC217">
        <v>8.7031166220549488E-2</v>
      </c>
      <c r="DD217">
        <v>4.2513793542099734</v>
      </c>
      <c r="DE217">
        <v>1226598091.002172</v>
      </c>
      <c r="DF217">
        <v>8.0618343446403742E-2</v>
      </c>
      <c r="DG217">
        <v>2.5477707654966668</v>
      </c>
      <c r="DH217">
        <v>2046782964.3941419</v>
      </c>
      <c r="DI217">
        <v>7.3289403133094316E-2</v>
      </c>
      <c r="DJ217">
        <v>1.3101911618757054</v>
      </c>
      <c r="DK217">
        <v>3980132023.280057</v>
      </c>
      <c r="DL217">
        <v>6.4128227741457516E-2</v>
      </c>
      <c r="DM217">
        <v>191000000</v>
      </c>
      <c r="DN217">
        <v>9.1611753916367888E-2</v>
      </c>
      <c r="DO217">
        <v>5214733800</v>
      </c>
      <c r="DP217">
        <v>1088612800</v>
      </c>
      <c r="DQ217">
        <v>5075</v>
      </c>
      <c r="DR217">
        <v>0.84148683763292786</v>
      </c>
      <c r="DS217">
        <v>0.30916903231251774</v>
      </c>
      <c r="DT217" s="10">
        <v>-0.35666666666666669</v>
      </c>
      <c r="DU217">
        <v>0.92333333333333334</v>
      </c>
      <c r="DV217">
        <v>0.56666666666666665</v>
      </c>
      <c r="DW217">
        <v>-8.4166026133743266</v>
      </c>
      <c r="DX217">
        <v>0.28642816060305665</v>
      </c>
      <c r="DY217">
        <v>-8.0568363282450868</v>
      </c>
      <c r="DZ217">
        <v>266</v>
      </c>
      <c r="EA217">
        <v>-8.0538777248569868</v>
      </c>
      <c r="EB217">
        <v>8</v>
      </c>
      <c r="EC217">
        <v>2.0476834645220956E-2</v>
      </c>
      <c r="ED217">
        <v>0.15009243366403741</v>
      </c>
      <c r="EE217" s="11">
        <v>-1.1346099999999999</v>
      </c>
      <c r="EF217">
        <v>-2.0201099999999999</v>
      </c>
      <c r="EG217">
        <v>15.136428160603057</v>
      </c>
      <c r="EH217" t="s">
        <v>1735</v>
      </c>
      <c r="EI217">
        <v>0</v>
      </c>
      <c r="EJ217">
        <v>1</v>
      </c>
      <c r="EK217" s="13">
        <v>45470</v>
      </c>
      <c r="EL217" s="14">
        <v>-0.42</v>
      </c>
      <c r="EM217" s="14">
        <v>-2.2400000000000002</v>
      </c>
      <c r="EN217">
        <v>-0.04</v>
      </c>
      <c r="EO217">
        <v>0.4</v>
      </c>
      <c r="EP217">
        <v>-3.55</v>
      </c>
    </row>
    <row r="218" spans="1:146" ht="108">
      <c r="C218" s="7" t="str">
        <f>""&amp;CHAR(10)&amp;Basic_Fundamental_Information_Constructure(F218)&amp;CHAR(10)&amp;Basic_Fundamental_Information_Concatenate("")</f>
        <v xml:space="preserve">
市值18.251584亿, 利润3.44亿; PE28.9; 平均PE16.31; 平均PEG.04, PB2.33; ROIC15.66%; ROE10.4933%; 股利率.5143%; 毛利62.52%; 净利18.09%; 上一年度营收增1992.5%, 利润增196.55%; 当季营收增-97.44%, 利润增86.21%; 过往5年营收增437.33%, 利润增96.93%
Income profile:
</v>
      </c>
      <c r="D218" t="s">
        <v>6897</v>
      </c>
      <c r="E218" t="s">
        <v>6898</v>
      </c>
      <c r="F218">
        <v>22.36</v>
      </c>
      <c r="G218">
        <v>0.86</v>
      </c>
      <c r="H218" t="s">
        <v>6899</v>
      </c>
      <c r="I218">
        <v>1825158400</v>
      </c>
      <c r="J218">
        <v>28.9</v>
      </c>
      <c r="K218">
        <v>2.33</v>
      </c>
      <c r="L218" t="s">
        <v>85</v>
      </c>
      <c r="M218" t="s">
        <v>2055</v>
      </c>
      <c r="N218" t="s">
        <v>712</v>
      </c>
      <c r="O218" t="s">
        <v>6900</v>
      </c>
      <c r="P218" s="5">
        <v>6.32</v>
      </c>
      <c r="Q218" t="s">
        <v>6901</v>
      </c>
      <c r="R218">
        <v>-19302367</v>
      </c>
      <c r="S218">
        <v>2.29E-2</v>
      </c>
      <c r="T218" t="s">
        <v>404</v>
      </c>
      <c r="U218">
        <v>49616285</v>
      </c>
      <c r="V218">
        <v>81626048</v>
      </c>
      <c r="W218">
        <v>1.26</v>
      </c>
      <c r="X218">
        <v>0.06</v>
      </c>
      <c r="Y218">
        <v>-31.76</v>
      </c>
      <c r="Z218" t="s">
        <v>6902</v>
      </c>
      <c r="AA218" t="s">
        <v>6903</v>
      </c>
      <c r="AB218" t="s">
        <v>6904</v>
      </c>
      <c r="AC218" t="s">
        <v>6905</v>
      </c>
      <c r="AD218" t="s">
        <v>90</v>
      </c>
      <c r="AE218">
        <v>-462284</v>
      </c>
      <c r="AF218" t="s">
        <v>6906</v>
      </c>
      <c r="AG218" t="s">
        <v>6907</v>
      </c>
      <c r="AH218" t="s">
        <v>6908</v>
      </c>
      <c r="AI218" t="s">
        <v>394</v>
      </c>
      <c r="AJ218" t="s">
        <v>6909</v>
      </c>
      <c r="AK218" t="s">
        <v>6910</v>
      </c>
      <c r="AL218" t="s">
        <v>6911</v>
      </c>
      <c r="AM218" t="s">
        <v>90</v>
      </c>
      <c r="AN218" t="s">
        <v>109</v>
      </c>
      <c r="AO218" t="s">
        <v>6912</v>
      </c>
      <c r="AP218" t="s">
        <v>6913</v>
      </c>
      <c r="AQ218" t="s">
        <v>6914</v>
      </c>
      <c r="AR218" t="s">
        <v>90</v>
      </c>
      <c r="AS218" t="s">
        <v>441</v>
      </c>
      <c r="AT218" t="s">
        <v>90</v>
      </c>
      <c r="AU218" t="s">
        <v>6915</v>
      </c>
      <c r="AV218" t="s">
        <v>6916</v>
      </c>
      <c r="AW218" t="s">
        <v>6917</v>
      </c>
      <c r="AX218" t="s">
        <v>594</v>
      </c>
      <c r="AY218" t="s">
        <v>1397</v>
      </c>
      <c r="AZ218" t="s">
        <v>2055</v>
      </c>
      <c r="BA218" t="s">
        <v>263</v>
      </c>
      <c r="BB218" t="s">
        <v>143</v>
      </c>
      <c r="BC218" t="s">
        <v>274</v>
      </c>
      <c r="BD218" t="s">
        <v>6918</v>
      </c>
      <c r="BE218" t="s">
        <v>6919</v>
      </c>
      <c r="BF218" t="s">
        <v>6920</v>
      </c>
      <c r="BG218" t="s">
        <v>6921</v>
      </c>
      <c r="BH218" t="s">
        <v>231</v>
      </c>
      <c r="BI218" t="s">
        <v>6922</v>
      </c>
      <c r="BJ218" t="s">
        <v>594</v>
      </c>
      <c r="BK218" t="s">
        <v>6923</v>
      </c>
      <c r="BL218" t="s">
        <v>5136</v>
      </c>
      <c r="BM218" t="s">
        <v>274</v>
      </c>
      <c r="BN218" t="s">
        <v>90</v>
      </c>
      <c r="BO218">
        <v>15.63</v>
      </c>
      <c r="BP218">
        <v>15.69</v>
      </c>
      <c r="BQ218">
        <v>-2.1800000000000002</v>
      </c>
      <c r="BR218">
        <v>16.72</v>
      </c>
      <c r="BS218">
        <v>16.940000000000001</v>
      </c>
      <c r="BT218" t="s">
        <v>6924</v>
      </c>
      <c r="BU218" t="s">
        <v>3551</v>
      </c>
      <c r="BV218">
        <v>62.13</v>
      </c>
      <c r="BW218">
        <v>64.16</v>
      </c>
      <c r="BX218">
        <v>61.27</v>
      </c>
      <c r="BY218">
        <v>12.59</v>
      </c>
      <c r="BZ218">
        <v>21.22</v>
      </c>
      <c r="CA218">
        <v>20.46</v>
      </c>
      <c r="CB218">
        <v>-4.49</v>
      </c>
      <c r="CC218" s="8">
        <v>-13.22</v>
      </c>
      <c r="CD218" s="9" t="s">
        <v>6925</v>
      </c>
      <c r="CE218" s="8" t="s">
        <v>6926</v>
      </c>
      <c r="CF218" s="8">
        <v>-0.9744318468657972</v>
      </c>
      <c r="CG218" s="8">
        <v>0.86212595000000003</v>
      </c>
      <c r="CH218" s="8">
        <v>19.925045013427734</v>
      </c>
      <c r="CI218" s="8">
        <v>0.37783375382423401</v>
      </c>
      <c r="CJ218" s="9">
        <v>0.50378787517547607</v>
      </c>
      <c r="CK218" s="9">
        <v>0.46666666865348816</v>
      </c>
      <c r="CL218" s="9">
        <v>0.59292036294937134</v>
      </c>
      <c r="CM218" s="9">
        <v>1.9655172824859619</v>
      </c>
      <c r="CN218" s="9">
        <v>0.42794707417488098</v>
      </c>
      <c r="CO218">
        <v>9.1646157205104828E-2</v>
      </c>
      <c r="CP218">
        <v>0.86765515804290771</v>
      </c>
      <c r="CQ218">
        <v>1.493547797203064</v>
      </c>
      <c r="CR218" s="8">
        <v>16.308810535619745</v>
      </c>
      <c r="CS218" s="9">
        <v>3.7292191837573631E-2</v>
      </c>
      <c r="CT218">
        <v>0.5143112701252236</v>
      </c>
      <c r="CU218">
        <v>4.373250734806061</v>
      </c>
      <c r="CV218">
        <v>0.96926269382238384</v>
      </c>
      <c r="CW218">
        <v>0.06</v>
      </c>
      <c r="CX218">
        <v>0.74846851966251515</v>
      </c>
      <c r="CY218">
        <v>1743771936.5785706</v>
      </c>
      <c r="CZ218">
        <v>4.373250734806061</v>
      </c>
      <c r="DA218">
        <v>2.6439302217647766E-2</v>
      </c>
      <c r="DB218">
        <v>49364328500.65271</v>
      </c>
      <c r="DC218">
        <v>4.154588198065758</v>
      </c>
      <c r="DD218">
        <v>3.2375989757371112E-4</v>
      </c>
      <c r="DE218">
        <v>4031254055184.0635</v>
      </c>
      <c r="DF218">
        <v>3.8484606466293338</v>
      </c>
      <c r="DG218">
        <v>1.5300076518539939E-6</v>
      </c>
      <c r="DH218">
        <v>853040439646473.75</v>
      </c>
      <c r="DI218">
        <v>3.498600587844849</v>
      </c>
      <c r="DJ218">
        <v>6.0341547374182468E-12</v>
      </c>
      <c r="DK218">
        <v>2.1629514932830854E+20</v>
      </c>
      <c r="DL218">
        <v>3.0612755143642425</v>
      </c>
      <c r="DM218">
        <v>344000000</v>
      </c>
      <c r="DN218">
        <v>4.373250734806061</v>
      </c>
      <c r="DO218">
        <v>1305158400</v>
      </c>
      <c r="DP218">
        <v>540750670</v>
      </c>
      <c r="DQ218" s="10">
        <v>5096</v>
      </c>
      <c r="DR218">
        <v>-5.3476825816718581</v>
      </c>
      <c r="DS218">
        <v>-0.10713674382238381</v>
      </c>
      <c r="DT218">
        <v>0.35999999999999993</v>
      </c>
      <c r="DU218">
        <v>0.86499999999999988</v>
      </c>
      <c r="DV218">
        <v>1.2249999999999999</v>
      </c>
      <c r="DW218">
        <v>-8.3396369137670199</v>
      </c>
      <c r="DX218">
        <v>0.46077087746433393</v>
      </c>
      <c r="DY218">
        <v>-8.0478109863702603</v>
      </c>
      <c r="DZ218">
        <v>335</v>
      </c>
      <c r="EA218">
        <v>-8.0446766066375712</v>
      </c>
      <c r="EB218" s="11">
        <v>8</v>
      </c>
      <c r="EC218" s="11">
        <v>3.0774490025536946E-2</v>
      </c>
      <c r="ED218">
        <v>0.21861403849908304</v>
      </c>
      <c r="EE218">
        <v>2.0047000000000001</v>
      </c>
      <c r="EF218">
        <v>2.0003099999999998</v>
      </c>
      <c r="EG218">
        <v>32.140770877464334</v>
      </c>
      <c r="EH218" s="13" t="s">
        <v>2143</v>
      </c>
      <c r="EI218">
        <v>0</v>
      </c>
      <c r="EJ218">
        <v>1</v>
      </c>
      <c r="EK218">
        <v>45470</v>
      </c>
      <c r="EL218">
        <v>-0.98</v>
      </c>
      <c r="EM218">
        <v>-2.76</v>
      </c>
      <c r="EN218">
        <v>1.82</v>
      </c>
      <c r="EO218">
        <v>1</v>
      </c>
      <c r="EP218">
        <v>-0.5</v>
      </c>
    </row>
    <row r="219" spans="1:146">
      <c r="S219" s="5"/>
    </row>
    <row r="220" spans="1:146">
      <c r="S220" s="5"/>
    </row>
    <row r="221" spans="1:146">
      <c r="A221" s="7"/>
      <c r="B221" s="7"/>
      <c r="C221" s="7"/>
      <c r="S221" s="5"/>
    </row>
  </sheetData>
  <autoFilter ref="BU1:BU221"/>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通用设备&quot;,&quot;&quot;'" altText="更新基本面按钮_x000a_">
                <anchor moveWithCells="1" sizeWithCells="1">
                  <from>
                    <xdr:col>147</xdr:col>
                    <xdr:colOff>298450</xdr:colOff>
                    <xdr:row>0</xdr:row>
                    <xdr:rowOff>107950</xdr:rowOff>
                  </from>
                  <to>
                    <xdr:col>147</xdr:col>
                    <xdr:colOff>1358900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sheetData>
    <row r="1" spans="1:30">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c r="A2">
        <v>0.15</v>
      </c>
      <c r="B2" t="s">
        <v>2</v>
      </c>
    </row>
    <row r="3" spans="1:30" s="2" customFormat="1">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c r="A4">
        <v>0.5</v>
      </c>
      <c r="B4" t="s">
        <v>0</v>
      </c>
    </row>
    <row r="5" spans="1:30">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通用设备</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2024-07-10T14:46:11Z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