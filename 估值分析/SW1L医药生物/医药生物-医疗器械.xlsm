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医药生物\"/>
    </mc:Choice>
  </mc:AlternateContent>
  <bookViews>
    <workbookView xWindow="-110" yWindow="-110" windowWidth="20270" windowHeight="9130"/>
  </bookViews>
  <sheets>
    <sheet name="医疗器械" sheetId="7" r:id="rId1"/>
    <sheet name="估值-增速与年化收益" sheetId="14" r:id="rId2"/>
  </sheets>
  <functionGroups builtInGroupCount="18"/>
  <definedNames>
    <definedName name="_xlnm._FilterDatabase" localSheetId="0" hidden="1">医疗器械!$BU$1:$BU$150</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C5" i="14" s="1"/>
  <c r="D5" i="14" s="1"/>
  <c r="E5" i="14" s="1"/>
  <c r="F5" i="14" s="1"/>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85" i="7"/>
  <c r="A9" i="14" l="1"/>
  <c r="D12" i="14"/>
  <c r="E7" i="14"/>
  <c r="E9" i="14" s="1"/>
  <c r="G5" i="14"/>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AD7" i="14" s="1"/>
  <c r="AD9" i="14" s="1"/>
  <c r="I7" i="14"/>
  <c r="I9" i="14" s="1"/>
  <c r="C7" i="14"/>
  <c r="C9" i="14" s="1"/>
  <c r="R7" i="14"/>
  <c r="R9" i="14" s="1"/>
  <c r="F7" i="14"/>
  <c r="F9" i="14" s="1"/>
  <c r="B7" i="14"/>
  <c r="B9" i="14" s="1"/>
  <c r="D7" i="14"/>
  <c r="D9" i="14" s="1"/>
  <c r="S7" i="14" l="1"/>
  <c r="S9" i="14" s="1"/>
  <c r="AB7" i="14"/>
  <c r="AB9" i="14" s="1"/>
  <c r="N7" i="14"/>
  <c r="N9" i="14" s="1"/>
  <c r="O7" i="14"/>
  <c r="O9" i="14" s="1"/>
  <c r="U7" i="14"/>
  <c r="U9" i="14" s="1"/>
  <c r="Q7" i="14"/>
  <c r="Q9" i="14" s="1"/>
  <c r="M7" i="14"/>
  <c r="M9" i="14" s="1"/>
  <c r="P7" i="14"/>
  <c r="P9" i="14" s="1"/>
  <c r="T7" i="14"/>
  <c r="T9" i="14" s="1"/>
  <c r="V7" i="14"/>
  <c r="V9" i="14" s="1"/>
  <c r="G7" i="14"/>
  <c r="G9" i="14" s="1"/>
  <c r="W7" i="14"/>
  <c r="W9" i="14" s="1"/>
  <c r="X7" i="14"/>
  <c r="X9" i="14" s="1"/>
  <c r="AC7" i="14"/>
  <c r="AC9" i="14" s="1"/>
  <c r="L7" i="14"/>
  <c r="L9" i="14" s="1"/>
  <c r="J7" i="14"/>
  <c r="J9" i="14" s="1"/>
  <c r="Z7" i="14"/>
  <c r="Z9" i="14" s="1"/>
  <c r="K7" i="14"/>
  <c r="K9" i="14" s="1"/>
  <c r="AA7" i="14"/>
  <c r="AA9" i="14" s="1"/>
  <c r="H7" i="14"/>
  <c r="H9" i="14" s="1"/>
  <c r="D11" i="14"/>
  <c r="E12" i="14"/>
  <c r="Y7" i="14"/>
  <c r="Y9" i="14" s="1"/>
  <c r="F12" i="14" l="1"/>
  <c r="E11" i="14"/>
  <c r="G12" i="14" l="1"/>
  <c r="F11" i="14"/>
  <c r="G11" i="14" l="1"/>
  <c r="H12" i="14"/>
  <c r="H11" i="14" l="1"/>
  <c r="I12" i="14"/>
  <c r="J12" i="14" l="1"/>
  <c r="I11" i="14"/>
  <c r="K12" i="14" l="1"/>
  <c r="J11" i="14"/>
  <c r="K11" i="14" l="1"/>
  <c r="L12" i="14"/>
  <c r="L11" i="14" l="1"/>
  <c r="M12" i="14"/>
  <c r="N12" i="14" l="1"/>
  <c r="M11" i="14"/>
  <c r="O12" i="14" l="1"/>
  <c r="N11" i="14"/>
  <c r="O11" i="14" l="1"/>
  <c r="P12" i="14"/>
  <c r="P11" i="14" l="1"/>
  <c r="Q12" i="14"/>
  <c r="R12" i="14" l="1"/>
  <c r="Q11" i="14"/>
  <c r="S12" i="14" l="1"/>
  <c r="R11" i="14"/>
  <c r="S11" i="14" l="1"/>
  <c r="T12" i="14"/>
  <c r="T11" i="14" s="1"/>
  <c r="C80" i="7"/>
  <c r="C75" i="7"/>
  <c r="C86" i="7"/>
  <c r="C73" i="7"/>
  <c r="C63" i="7"/>
  <c r="C92" i="7"/>
  <c r="C103" i="7"/>
  <c r="C98" i="7"/>
  <c r="C69" i="7"/>
  <c r="C121" i="7"/>
  <c r="C116" i="7"/>
  <c r="C111" i="7"/>
  <c r="C118" i="7"/>
  <c r="C117" i="7"/>
  <c r="C112" i="7"/>
  <c r="C97" i="7"/>
  <c r="C107" i="7"/>
  <c r="C102" i="7"/>
  <c r="C95" i="7"/>
  <c r="C115" i="7"/>
  <c r="C61" i="7"/>
  <c r="C62" i="7"/>
  <c r="C64" i="7"/>
  <c r="C59" i="7"/>
  <c r="C70" i="7"/>
  <c r="C122" i="7"/>
  <c r="C90" i="7"/>
  <c r="C76" i="7"/>
  <c r="C87" i="7"/>
  <c r="C82" i="7"/>
  <c r="C123" i="7"/>
  <c r="C104" i="7"/>
  <c r="C99" i="7"/>
  <c r="C94" i="7"/>
  <c r="C101" i="7"/>
  <c r="C100" i="7"/>
  <c r="C79" i="7"/>
  <c r="C96" i="7"/>
  <c r="C109" i="7"/>
  <c r="C67" i="7"/>
  <c r="C68" i="7"/>
  <c r="C113" i="7"/>
  <c r="C108" i="7"/>
  <c r="C119" i="7"/>
  <c r="C110" i="7"/>
  <c r="C89" i="7"/>
  <c r="C77" i="7"/>
  <c r="C60" i="7"/>
  <c r="C71" i="7"/>
  <c r="C66" i="7"/>
  <c r="C114" i="7"/>
  <c r="C88" i="7"/>
  <c r="C83" i="7"/>
  <c r="C78" i="7"/>
  <c r="C81" i="7"/>
  <c r="C84" i="7"/>
  <c r="C91" i="7"/>
  <c r="C93" i="7"/>
  <c r="C120" i="7"/>
  <c r="C106" i="7"/>
  <c r="C72" i="7"/>
  <c r="C65" i="7"/>
  <c r="C74"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<sst xmlns="http://schemas.openxmlformats.org/spreadsheetml/2006/main" count="6909" uniqueCount="4285">
  <si>
    <t>市净率</t>
  </si>
  <si>
    <t>代码</t>
  </si>
  <si>
    <t>总市值</t>
  </si>
  <si>
    <t>TTM市盈率</t>
  </si>
  <si>
    <t>现价</t>
  </si>
  <si>
    <t>所属行业</t>
  </si>
  <si>
    <t>负债合计</t>
  </si>
  <si>
    <t>所有者权益合计</t>
  </si>
  <si>
    <t>净利润增长率</t>
  </si>
  <si>
    <t>总股本</t>
  </si>
  <si>
    <t>财务费用</t>
  </si>
  <si>
    <t>投资收益</t>
  </si>
  <si>
    <t>应收账款</t>
  </si>
  <si>
    <t>预期多</t>
    <phoneticPr fontId="1" type="noConversion"/>
  </si>
  <si>
    <t>预期空</t>
    <phoneticPr fontId="1" type="noConversion"/>
  </si>
  <si>
    <t>已知和基本信息</t>
    <phoneticPr fontId="1" type="noConversion"/>
  </si>
  <si>
    <t>主营业务收入</t>
  </si>
  <si>
    <t>流动资产</t>
  </si>
  <si>
    <t>营业收入[20191231]</t>
  </si>
  <si>
    <t>营业收入[20181231]</t>
  </si>
  <si>
    <t>净利润[20191231]</t>
  </si>
  <si>
    <t>净利润[20181231]</t>
  </si>
  <si>
    <t>净利润[20171231]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</si>
  <si>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</si>
  <si>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</si>
  <si>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</si>
  <si>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</si>
  <si>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</si>
  <si>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</si>
  <si>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</si>
  <si>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</si>
  <si>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</si>
  <si>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</si>
  <si>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</si>
  <si>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</si>
  <si>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</si>
  <si>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</si>
  <si>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</si>
  <si>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</si>
  <si>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</si>
  <si>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医疗器械</t>
  </si>
  <si>
    <t>2.11亿</t>
  </si>
  <si>
    <t>3.70亿</t>
  </si>
  <si>
    <t>1.39亿</t>
  </si>
  <si>
    <t>4.34亿</t>
  </si>
  <si>
    <t>8.78亿</t>
  </si>
  <si>
    <t>1.71亿</t>
  </si>
  <si>
    <t>--</t>
  </si>
  <si>
    <t>2.09亿</t>
  </si>
  <si>
    <t>11.71亿</t>
  </si>
  <si>
    <t>9.22亿</t>
  </si>
  <si>
    <t>2.30亿</t>
  </si>
  <si>
    <t>2.68亿</t>
  </si>
  <si>
    <t>2.33亿</t>
  </si>
  <si>
    <t>1.51亿</t>
  </si>
  <si>
    <t>1.17亿</t>
  </si>
  <si>
    <t>SZ002022</t>
  </si>
  <si>
    <t>41.55亿</t>
  </si>
  <si>
    <t>6.75亿</t>
  </si>
  <si>
    <t>2.91亿</t>
  </si>
  <si>
    <t>1.27亿</t>
  </si>
  <si>
    <t>4.30亿</t>
  </si>
  <si>
    <t>1.48亿</t>
  </si>
  <si>
    <t>2.57亿</t>
  </si>
  <si>
    <t>24.14亿</t>
  </si>
  <si>
    <t>19.90亿</t>
  </si>
  <si>
    <t>11.56亿</t>
  </si>
  <si>
    <t>2.02亿</t>
  </si>
  <si>
    <t>2.08亿</t>
  </si>
  <si>
    <t>2.32亿</t>
  </si>
  <si>
    <t>3.42亿</t>
  </si>
  <si>
    <t>1.93亿</t>
  </si>
  <si>
    <t>SZ002030</t>
  </si>
  <si>
    <t>达安基因</t>
  </si>
  <si>
    <t>53.41亿</t>
  </si>
  <si>
    <t>24.49亿</t>
  </si>
  <si>
    <t>17.78亿</t>
  </si>
  <si>
    <t>4.33亿</t>
  </si>
  <si>
    <t>1.60亿</t>
  </si>
  <si>
    <t>1.46亿</t>
  </si>
  <si>
    <t>4.42亿</t>
  </si>
  <si>
    <t>6.22亿</t>
  </si>
  <si>
    <t>10.98亿</t>
  </si>
  <si>
    <t>14.79亿</t>
  </si>
  <si>
    <t>15.42亿</t>
  </si>
  <si>
    <t>9218.18万</t>
  </si>
  <si>
    <t>1.02亿</t>
  </si>
  <si>
    <t>1.07亿</t>
  </si>
  <si>
    <t>1.01亿</t>
  </si>
  <si>
    <t>7.78亿</t>
  </si>
  <si>
    <t>1.86亿</t>
  </si>
  <si>
    <t>6.85亿</t>
  </si>
  <si>
    <t>SZ002223</t>
  </si>
  <si>
    <t>鱼跃医疗</t>
  </si>
  <si>
    <t>67.26亿</t>
  </si>
  <si>
    <t>17.59亿</t>
  </si>
  <si>
    <t>4.04亿</t>
  </si>
  <si>
    <t>1.64亿</t>
  </si>
  <si>
    <t>1.84亿</t>
  </si>
  <si>
    <t>46.36亿</t>
  </si>
  <si>
    <t>41.83亿</t>
  </si>
  <si>
    <t>7.53亿</t>
  </si>
  <si>
    <t>7.27亿</t>
  </si>
  <si>
    <t>5.92亿</t>
  </si>
  <si>
    <t>4.59亿</t>
  </si>
  <si>
    <t>11.19亿</t>
  </si>
  <si>
    <t>3.22亿</t>
  </si>
  <si>
    <t>SZ002382</t>
  </si>
  <si>
    <t>蓝帆医疗</t>
  </si>
  <si>
    <t>78.69亿</t>
  </si>
  <si>
    <t>17.58亿</t>
  </si>
  <si>
    <t>1.44亿</t>
  </si>
  <si>
    <t>1.61亿</t>
  </si>
  <si>
    <t>2.28亿</t>
  </si>
  <si>
    <t>21.26亿</t>
  </si>
  <si>
    <t>34.76亿</t>
  </si>
  <si>
    <t>26.53亿</t>
  </si>
  <si>
    <t>4.90亿</t>
  </si>
  <si>
    <t>3.47亿</t>
  </si>
  <si>
    <t>2.01亿</t>
  </si>
  <si>
    <t>1.81亿</t>
  </si>
  <si>
    <t>1.70亿</t>
  </si>
  <si>
    <t>1.45亿</t>
  </si>
  <si>
    <t>SZ002432</t>
  </si>
  <si>
    <t>九安医疗</t>
  </si>
  <si>
    <t>20.08亿</t>
  </si>
  <si>
    <t>2.42亿</t>
  </si>
  <si>
    <t>9.93亿</t>
  </si>
  <si>
    <t>1.83亿</t>
  </si>
  <si>
    <t>1.87亿</t>
  </si>
  <si>
    <t>1.69亿</t>
  </si>
  <si>
    <t>5.55亿</t>
  </si>
  <si>
    <t>7.06亿</t>
  </si>
  <si>
    <t>5.64亿</t>
  </si>
  <si>
    <t>5.98亿</t>
  </si>
  <si>
    <t>3.98亿</t>
  </si>
  <si>
    <t>6644.91万</t>
  </si>
  <si>
    <t>1268.68万</t>
  </si>
  <si>
    <t>3.01亿</t>
  </si>
  <si>
    <t>2.58亿</t>
  </si>
  <si>
    <t>SZ002551</t>
  </si>
  <si>
    <t>尚荣医疗</t>
  </si>
  <si>
    <t>22.67亿</t>
  </si>
  <si>
    <t>1.62亿</t>
  </si>
  <si>
    <t>5.93亿</t>
  </si>
  <si>
    <t>9.06亿</t>
  </si>
  <si>
    <t>3.37亿</t>
  </si>
  <si>
    <t>4.80亿</t>
  </si>
  <si>
    <t>1.35亿</t>
  </si>
  <si>
    <t>15.31亿</t>
  </si>
  <si>
    <t>16.30亿</t>
  </si>
  <si>
    <t>5975.89万</t>
  </si>
  <si>
    <t>9771.08万</t>
  </si>
  <si>
    <t>1.75亿</t>
  </si>
  <si>
    <t>1.14亿</t>
  </si>
  <si>
    <t>1.19亿</t>
  </si>
  <si>
    <t>5.50亿</t>
  </si>
  <si>
    <t>3.59亿</t>
  </si>
  <si>
    <t>2.10亿</t>
  </si>
  <si>
    <t>SZ002817</t>
  </si>
  <si>
    <t>黄山胶囊</t>
  </si>
  <si>
    <t>1.99亿</t>
  </si>
  <si>
    <t>3.19亿</t>
  </si>
  <si>
    <t>4525.57万</t>
  </si>
  <si>
    <t>1.72亿</t>
  </si>
  <si>
    <t>1.37亿</t>
  </si>
  <si>
    <t>2.63亿</t>
  </si>
  <si>
    <t>1.16亿</t>
  </si>
  <si>
    <t>3.26亿</t>
  </si>
  <si>
    <t>2.95亿</t>
  </si>
  <si>
    <t>2.86亿</t>
  </si>
  <si>
    <t>2.83亿</t>
  </si>
  <si>
    <t>3913.07万</t>
  </si>
  <si>
    <t>3596.62万</t>
  </si>
  <si>
    <t>1.04亿</t>
  </si>
  <si>
    <t>1.43亿</t>
  </si>
  <si>
    <t>SZ002901</t>
  </si>
  <si>
    <t>大博医疗</t>
  </si>
  <si>
    <t>15.87亿</t>
  </si>
  <si>
    <t>6.06亿</t>
  </si>
  <si>
    <t>1.21亿</t>
  </si>
  <si>
    <t>12.57亿</t>
  </si>
  <si>
    <t>7.72亿</t>
  </si>
  <si>
    <t>4.63亿</t>
  </si>
  <si>
    <t>4.65亿</t>
  </si>
  <si>
    <t>3.71亿</t>
  </si>
  <si>
    <t>2.96亿</t>
  </si>
  <si>
    <t>2.19亿</t>
  </si>
  <si>
    <t>3.75亿</t>
  </si>
  <si>
    <t>6.73亿</t>
  </si>
  <si>
    <t>1.31亿</t>
  </si>
  <si>
    <t>2.64亿</t>
  </si>
  <si>
    <t>SZ002932</t>
  </si>
  <si>
    <t>明德生物</t>
  </si>
  <si>
    <t>2.52亿</t>
  </si>
  <si>
    <t>9.59亿</t>
  </si>
  <si>
    <t>4.69亿</t>
  </si>
  <si>
    <t>8.61亿</t>
  </si>
  <si>
    <t>1.20亿</t>
  </si>
  <si>
    <t>1.76亿</t>
  </si>
  <si>
    <t>1.65亿</t>
  </si>
  <si>
    <t>1.41亿</t>
  </si>
  <si>
    <t>4152.58万</t>
  </si>
  <si>
    <t>6141.99万</t>
  </si>
  <si>
    <t>2.00亿</t>
  </si>
  <si>
    <t>SZ002950</t>
  </si>
  <si>
    <t>奥美医疗</t>
  </si>
  <si>
    <t>38.34亿</t>
  </si>
  <si>
    <t>11.58亿</t>
  </si>
  <si>
    <t>1.98亿</t>
  </si>
  <si>
    <t>3.11亿</t>
  </si>
  <si>
    <t>13.32亿</t>
  </si>
  <si>
    <t>1.42亿</t>
  </si>
  <si>
    <t>23.52亿</t>
  </si>
  <si>
    <t>20.28亿</t>
  </si>
  <si>
    <t>15.58亿</t>
  </si>
  <si>
    <t>2.34亿</t>
  </si>
  <si>
    <t>1.57亿</t>
  </si>
  <si>
    <t>8.21亿</t>
  </si>
  <si>
    <t>SZ300003</t>
  </si>
  <si>
    <t>乐普医疗</t>
  </si>
  <si>
    <t>80.39亿</t>
  </si>
  <si>
    <t>18.02亿</t>
  </si>
  <si>
    <t>4.46亿</t>
  </si>
  <si>
    <t>8.45亿</t>
  </si>
  <si>
    <t>77.96亿</t>
  </si>
  <si>
    <t>63.56亿</t>
  </si>
  <si>
    <t>17.25亿</t>
  </si>
  <si>
    <t>12.19亿</t>
  </si>
  <si>
    <t>6.79亿</t>
  </si>
  <si>
    <t>5.21亿</t>
  </si>
  <si>
    <t>1.47亿</t>
  </si>
  <si>
    <t>SZ300030</t>
  </si>
  <si>
    <t>阳普医疗</t>
  </si>
  <si>
    <t>9.19亿</t>
  </si>
  <si>
    <t>1.63亿</t>
  </si>
  <si>
    <t>2.35亿</t>
  </si>
  <si>
    <t>2.05亿</t>
  </si>
  <si>
    <t>2.72亿</t>
  </si>
  <si>
    <t>1.82亿</t>
  </si>
  <si>
    <t>5.75亿</t>
  </si>
  <si>
    <t>2602.42万</t>
  </si>
  <si>
    <t>-1.37亿</t>
  </si>
  <si>
    <t>2.31亿</t>
  </si>
  <si>
    <t>4.02亿</t>
  </si>
  <si>
    <t>1.05亿</t>
  </si>
  <si>
    <t>1.03亿</t>
  </si>
  <si>
    <t>SZ300049</t>
  </si>
  <si>
    <t>福瑞股份</t>
  </si>
  <si>
    <t>8.08亿</t>
  </si>
  <si>
    <t>6190.56万</t>
  </si>
  <si>
    <t>2.36亿</t>
  </si>
  <si>
    <t>8.32亿</t>
  </si>
  <si>
    <t>8.67亿</t>
  </si>
  <si>
    <t>4338.58万</t>
  </si>
  <si>
    <t>3541.61万</t>
  </si>
  <si>
    <t>1.77亿</t>
  </si>
  <si>
    <t>SZ300171</t>
  </si>
  <si>
    <t>东富龙</t>
  </si>
  <si>
    <t>27.08亿</t>
  </si>
  <si>
    <t>14.02亿</t>
  </si>
  <si>
    <t>3.06亿</t>
  </si>
  <si>
    <t>3.24亿</t>
  </si>
  <si>
    <t>5.96亿</t>
  </si>
  <si>
    <t>22.64亿</t>
  </si>
  <si>
    <t>19.17亿</t>
  </si>
  <si>
    <t>13.28亿</t>
  </si>
  <si>
    <t>7045.77万</t>
  </si>
  <si>
    <t>1.23亿</t>
  </si>
  <si>
    <t>3.87亿</t>
  </si>
  <si>
    <t>5.03亿</t>
  </si>
  <si>
    <t>1.10亿</t>
  </si>
  <si>
    <t>SZ300206</t>
  </si>
  <si>
    <t>理邦仪器</t>
  </si>
  <si>
    <t>3.02亿</t>
  </si>
  <si>
    <t>23.19亿</t>
  </si>
  <si>
    <t>6.53亿</t>
  </si>
  <si>
    <t>1.11亿</t>
  </si>
  <si>
    <t>1.67亿</t>
  </si>
  <si>
    <t>2.67亿</t>
  </si>
  <si>
    <t>1.36亿</t>
  </si>
  <si>
    <t>11.36亿</t>
  </si>
  <si>
    <t>6.98亿</t>
  </si>
  <si>
    <t>1.32亿</t>
  </si>
  <si>
    <t>9265.50万</t>
  </si>
  <si>
    <t>5.09亿</t>
  </si>
  <si>
    <t>1.25亿</t>
  </si>
  <si>
    <t>SZ300238</t>
  </si>
  <si>
    <t>冠昊生物</t>
  </si>
  <si>
    <t>4.37亿</t>
  </si>
  <si>
    <t>4659.49万</t>
  </si>
  <si>
    <t>2.26亿</t>
  </si>
  <si>
    <t>1.06亿</t>
  </si>
  <si>
    <t>1.74亿</t>
  </si>
  <si>
    <t>2.92亿</t>
  </si>
  <si>
    <t>4.38亿</t>
  </si>
  <si>
    <t>4.58亿</t>
  </si>
  <si>
    <t>4.61亿</t>
  </si>
  <si>
    <t>-4.65亿</t>
  </si>
  <si>
    <t>4574.65万</t>
  </si>
  <si>
    <t>2.04亿</t>
  </si>
  <si>
    <t>1.38亿</t>
  </si>
  <si>
    <t>SZ300246</t>
  </si>
  <si>
    <t>宝莱特</t>
  </si>
  <si>
    <t>13.96亿</t>
  </si>
  <si>
    <t>3.46亿</t>
  </si>
  <si>
    <t>3.25亿</t>
  </si>
  <si>
    <t>4.29亿</t>
  </si>
  <si>
    <t>3.89亿</t>
  </si>
  <si>
    <t>4.39亿</t>
  </si>
  <si>
    <t>8.26亿</t>
  </si>
  <si>
    <t>8.13亿</t>
  </si>
  <si>
    <t>7.11亿</t>
  </si>
  <si>
    <t>3.81亿</t>
  </si>
  <si>
    <t>6471.28万</t>
  </si>
  <si>
    <t>6419.34万</t>
  </si>
  <si>
    <t>2.22亿</t>
  </si>
  <si>
    <t>2.40亿</t>
  </si>
  <si>
    <t>4.35亿</t>
  </si>
  <si>
    <t>4.23亿</t>
  </si>
  <si>
    <t>SZ300289</t>
  </si>
  <si>
    <t>利德曼</t>
  </si>
  <si>
    <t>2.03亿</t>
  </si>
  <si>
    <t>4.72亿</t>
  </si>
  <si>
    <t>-5098.37万</t>
  </si>
  <si>
    <t>3.30亿</t>
  </si>
  <si>
    <t>5.63亿</t>
  </si>
  <si>
    <t>5.15亿</t>
  </si>
  <si>
    <t>6.55亿</t>
  </si>
  <si>
    <t>5.76亿</t>
  </si>
  <si>
    <t>630.92万</t>
  </si>
  <si>
    <t>4047.17万</t>
  </si>
  <si>
    <t>SZ300298</t>
  </si>
  <si>
    <t>三诺生物</t>
  </si>
  <si>
    <t>20.15亿</t>
  </si>
  <si>
    <t>8.71亿</t>
  </si>
  <si>
    <t>15.51亿</t>
  </si>
  <si>
    <t>7.96亿</t>
  </si>
  <si>
    <t>2.51亿</t>
  </si>
  <si>
    <t>3.10亿</t>
  </si>
  <si>
    <t>1.15亿</t>
  </si>
  <si>
    <t>SZ300314</t>
  </si>
  <si>
    <t>戴维医疗</t>
  </si>
  <si>
    <t>4.60亿</t>
  </si>
  <si>
    <t>2.25亿</t>
  </si>
  <si>
    <t>1.00亿</t>
  </si>
  <si>
    <t>3.56亿</t>
  </si>
  <si>
    <t>3.00亿</t>
  </si>
  <si>
    <t>3.04亿</t>
  </si>
  <si>
    <t>6205.66万</t>
  </si>
  <si>
    <t>2881.26万</t>
  </si>
  <si>
    <t>1.80亿</t>
  </si>
  <si>
    <t>1.53亿</t>
  </si>
  <si>
    <t>SZ300318</t>
  </si>
  <si>
    <t>博晖创新</t>
  </si>
  <si>
    <t>7.39亿</t>
  </si>
  <si>
    <t>750.40万</t>
  </si>
  <si>
    <t>1.40亿</t>
  </si>
  <si>
    <t>6.28亿</t>
  </si>
  <si>
    <t>4.44亿</t>
  </si>
  <si>
    <t>254.28万</t>
  </si>
  <si>
    <t>6943.83万</t>
  </si>
  <si>
    <t>1.59亿</t>
  </si>
  <si>
    <t>1.08亿</t>
  </si>
  <si>
    <t>SZ300326</t>
  </si>
  <si>
    <t>凯利泰</t>
  </si>
  <si>
    <t>10.62亿</t>
  </si>
  <si>
    <t>-1.27亿</t>
  </si>
  <si>
    <t>6.47亿</t>
  </si>
  <si>
    <t>1.09亿</t>
  </si>
  <si>
    <t>12.22亿</t>
  </si>
  <si>
    <t>9.31亿</t>
  </si>
  <si>
    <t>1.95亿</t>
  </si>
  <si>
    <t>5.66亿</t>
  </si>
  <si>
    <t>SZ300358</t>
  </si>
  <si>
    <t>楚天科技</t>
  </si>
  <si>
    <t>35.76亿</t>
  </si>
  <si>
    <t>4.15亿</t>
  </si>
  <si>
    <t>31.40亿</t>
  </si>
  <si>
    <t>16.32亿</t>
  </si>
  <si>
    <t>6518.78万</t>
  </si>
  <si>
    <t>4131.49万</t>
  </si>
  <si>
    <t>13.84亿</t>
  </si>
  <si>
    <t>SZ300396</t>
  </si>
  <si>
    <t>迪瑞医疗</t>
  </si>
  <si>
    <t>4.31亿</t>
  </si>
  <si>
    <t>9.37亿</t>
  </si>
  <si>
    <t>10.09亿</t>
  </si>
  <si>
    <t>9.33亿</t>
  </si>
  <si>
    <t>8.68亿</t>
  </si>
  <si>
    <t>7.59亿</t>
  </si>
  <si>
    <t>1.73亿</t>
  </si>
  <si>
    <t>SZ300406</t>
  </si>
  <si>
    <t>九强生物</t>
  </si>
  <si>
    <t>5.56亿</t>
  </si>
  <si>
    <t>8.48亿</t>
  </si>
  <si>
    <t>1.12亿</t>
  </si>
  <si>
    <t>2.16亿</t>
  </si>
  <si>
    <t>2.85亿</t>
  </si>
  <si>
    <t>8.41亿</t>
  </si>
  <si>
    <t>7.74亿</t>
  </si>
  <si>
    <t>6.94亿</t>
  </si>
  <si>
    <t>3.32亿</t>
  </si>
  <si>
    <t>2.73亿</t>
  </si>
  <si>
    <t>3.74亿</t>
  </si>
  <si>
    <t>1.13亿</t>
  </si>
  <si>
    <t>SZ300439</t>
  </si>
  <si>
    <t>美康生物</t>
  </si>
  <si>
    <t>23.02亿</t>
  </si>
  <si>
    <t>2.99亿</t>
  </si>
  <si>
    <t>1.29亿</t>
  </si>
  <si>
    <t>6.01亿</t>
  </si>
  <si>
    <t>1.52亿</t>
  </si>
  <si>
    <t>31.33亿</t>
  </si>
  <si>
    <t>31.35亿</t>
  </si>
  <si>
    <t>-5.60亿</t>
  </si>
  <si>
    <t>2.41亿</t>
  </si>
  <si>
    <t>5.31亿</t>
  </si>
  <si>
    <t>4.41亿</t>
  </si>
  <si>
    <t>SZ300453</t>
  </si>
  <si>
    <t>三鑫医疗</t>
  </si>
  <si>
    <t>9.40亿</t>
  </si>
  <si>
    <t>7.22亿</t>
  </si>
  <si>
    <t>3.18亿</t>
  </si>
  <si>
    <t>3.12亿</t>
  </si>
  <si>
    <t>6168.31万</t>
  </si>
  <si>
    <t>4114.57万</t>
  </si>
  <si>
    <t>2.46亿</t>
  </si>
  <si>
    <t>SZ300463</t>
  </si>
  <si>
    <t>迈克生物</t>
  </si>
  <si>
    <t>37.04亿</t>
  </si>
  <si>
    <t>7.94亿</t>
  </si>
  <si>
    <t>5.25亿</t>
  </si>
  <si>
    <t>32.23亿</t>
  </si>
  <si>
    <t>26.85亿</t>
  </si>
  <si>
    <t>4.45亿</t>
  </si>
  <si>
    <t>SZ300482</t>
  </si>
  <si>
    <t>万孚生物</t>
  </si>
  <si>
    <t>28.11亿</t>
  </si>
  <si>
    <t>6.34亿</t>
  </si>
  <si>
    <t>5.80亿</t>
  </si>
  <si>
    <t>3.63亿</t>
  </si>
  <si>
    <t>1.22亿</t>
  </si>
  <si>
    <t>2.14亿</t>
  </si>
  <si>
    <t>5.02亿</t>
  </si>
  <si>
    <t>20.72亿</t>
  </si>
  <si>
    <t>16.50亿</t>
  </si>
  <si>
    <t>11.45亿</t>
  </si>
  <si>
    <t>5.47亿</t>
  </si>
  <si>
    <t>3.08亿</t>
  </si>
  <si>
    <t>1.55亿</t>
  </si>
  <si>
    <t>1.91亿</t>
  </si>
  <si>
    <t>SZ300529</t>
  </si>
  <si>
    <t>健帆生物</t>
  </si>
  <si>
    <t>19.51亿</t>
  </si>
  <si>
    <t>8.75亿</t>
  </si>
  <si>
    <t>2.94亿</t>
  </si>
  <si>
    <t>4.92亿</t>
  </si>
  <si>
    <t>14.32亿</t>
  </si>
  <si>
    <t>10.17亿</t>
  </si>
  <si>
    <t>5.71亿</t>
  </si>
  <si>
    <t>2.84亿</t>
  </si>
  <si>
    <t>3.79亿</t>
  </si>
  <si>
    <t>SZ300562</t>
  </si>
  <si>
    <t>乐心医疗</t>
  </si>
  <si>
    <t>13.37亿</t>
  </si>
  <si>
    <t>7016.17万</t>
  </si>
  <si>
    <t>1.50亿</t>
  </si>
  <si>
    <t>1.24亿</t>
  </si>
  <si>
    <t>3.33亿</t>
  </si>
  <si>
    <t>8.84亿</t>
  </si>
  <si>
    <t>7.75亿</t>
  </si>
  <si>
    <t>7.71亿</t>
  </si>
  <si>
    <t>3106.41万</t>
  </si>
  <si>
    <t>2401.59万</t>
  </si>
  <si>
    <t>3.66亿</t>
  </si>
  <si>
    <t>SZ300595</t>
  </si>
  <si>
    <t>欧普康视</t>
  </si>
  <si>
    <t>1.34亿</t>
  </si>
  <si>
    <t>3.07亿</t>
  </si>
  <si>
    <t>SZ300633</t>
  </si>
  <si>
    <t>开立医疗</t>
  </si>
  <si>
    <t>11.63亿</t>
  </si>
  <si>
    <t>-4626.31万</t>
  </si>
  <si>
    <t>2.21亿</t>
  </si>
  <si>
    <t>4.18亿</t>
  </si>
  <si>
    <t>12.54亿</t>
  </si>
  <si>
    <t>12.27亿</t>
  </si>
  <si>
    <t>6.86亿</t>
  </si>
  <si>
    <t>2.53亿</t>
  </si>
  <si>
    <t>1.90亿</t>
  </si>
  <si>
    <t>1.30亿</t>
  </si>
  <si>
    <t>2.82亿</t>
  </si>
  <si>
    <t>SZ300639</t>
  </si>
  <si>
    <t>凯普生物</t>
  </si>
  <si>
    <t>13.54亿</t>
  </si>
  <si>
    <t>2.89亿</t>
  </si>
  <si>
    <t>7.29亿</t>
  </si>
  <si>
    <t>4.79亿</t>
  </si>
  <si>
    <t>SZ300642</t>
  </si>
  <si>
    <t>透景生命</t>
  </si>
  <si>
    <t>3.65亿</t>
  </si>
  <si>
    <t>3.03亿</t>
  </si>
  <si>
    <t>1.18亿</t>
  </si>
  <si>
    <t>SZ300653</t>
  </si>
  <si>
    <t>正海生物</t>
  </si>
  <si>
    <t>2.93亿</t>
  </si>
  <si>
    <t>0亿</t>
  </si>
  <si>
    <t>2.80亿</t>
  </si>
  <si>
    <t>8581.51万</t>
  </si>
  <si>
    <t>7.97亿</t>
  </si>
  <si>
    <t>13.19亿</t>
  </si>
  <si>
    <t>2.62亿</t>
  </si>
  <si>
    <t>SZ300677</t>
  </si>
  <si>
    <t>英科医疗</t>
  </si>
  <si>
    <t>138.37亿</t>
  </si>
  <si>
    <t>70.07亿</t>
  </si>
  <si>
    <t>1.79亿</t>
  </si>
  <si>
    <t>8.52亿</t>
  </si>
  <si>
    <t>20.83亿</t>
  </si>
  <si>
    <t>18.93亿</t>
  </si>
  <si>
    <t>17.50亿</t>
  </si>
  <si>
    <t>1.78亿</t>
  </si>
  <si>
    <t>7.73亿</t>
  </si>
  <si>
    <t>SZ300685</t>
  </si>
  <si>
    <t>艾德生物</t>
  </si>
  <si>
    <t>7.28亿</t>
  </si>
  <si>
    <t>5.78亿</t>
  </si>
  <si>
    <t>SZ300753</t>
  </si>
  <si>
    <t>爱朋医疗</t>
  </si>
  <si>
    <t>4.43亿</t>
  </si>
  <si>
    <t>9695.86万</t>
  </si>
  <si>
    <t>3.80亿</t>
  </si>
  <si>
    <t>2.98亿</t>
  </si>
  <si>
    <t>2.47亿</t>
  </si>
  <si>
    <t>1.54亿</t>
  </si>
  <si>
    <t>7008.98万</t>
  </si>
  <si>
    <t>SZ300760</t>
  </si>
  <si>
    <t>迈瑞医疗</t>
  </si>
  <si>
    <t>210.26亿</t>
  </si>
  <si>
    <t>66.58亿</t>
  </si>
  <si>
    <t>165.56亿</t>
  </si>
  <si>
    <t>137.53亿</t>
  </si>
  <si>
    <t>46.81亿</t>
  </si>
  <si>
    <t>37.19亿</t>
  </si>
  <si>
    <t>SZ300832</t>
  </si>
  <si>
    <t>新产业</t>
  </si>
  <si>
    <t>21.95亿</t>
  </si>
  <si>
    <t>9.39亿</t>
  </si>
  <si>
    <t>1.56亿</t>
  </si>
  <si>
    <t>4.27亿</t>
  </si>
  <si>
    <t>16.82亿</t>
  </si>
  <si>
    <t>SZ300869</t>
  </si>
  <si>
    <t>康泰医学</t>
  </si>
  <si>
    <t>14.01亿</t>
  </si>
  <si>
    <t>6.13亿</t>
  </si>
  <si>
    <t>7378.12万</t>
  </si>
  <si>
    <t>6203.10万</t>
  </si>
  <si>
    <t>2.60亿</t>
  </si>
  <si>
    <t>SZ300981</t>
  </si>
  <si>
    <t>中红医疗</t>
  </si>
  <si>
    <t>47.78亿</t>
  </si>
  <si>
    <t>26.64亿</t>
  </si>
  <si>
    <t>11.87亿</t>
  </si>
  <si>
    <t>8.34亿</t>
  </si>
  <si>
    <t>9.68亿</t>
  </si>
  <si>
    <t>9.51亿</t>
  </si>
  <si>
    <t>8926.60万</t>
  </si>
  <si>
    <t>5666.94万</t>
  </si>
  <si>
    <t>SZ301033</t>
  </si>
  <si>
    <t>迈普医学</t>
  </si>
  <si>
    <t>3696.78万</t>
  </si>
  <si>
    <t>8575.45万</t>
  </si>
  <si>
    <t>2768.04万</t>
  </si>
  <si>
    <t>-1859.27万</t>
  </si>
  <si>
    <t>SZ301087</t>
  </si>
  <si>
    <t>可孚医疗</t>
  </si>
  <si>
    <t>12.11亿</t>
  </si>
  <si>
    <t>23.75亿</t>
  </si>
  <si>
    <t>4.24亿</t>
  </si>
  <si>
    <t>1.94亿</t>
  </si>
  <si>
    <t>2.15亿</t>
  </si>
  <si>
    <t>14.62亿</t>
  </si>
  <si>
    <t>10.87亿</t>
  </si>
  <si>
    <t>6622.70万</t>
  </si>
  <si>
    <t>SZ301093</t>
  </si>
  <si>
    <t>华兰股份</t>
  </si>
  <si>
    <t>8135.81万</t>
  </si>
  <si>
    <t>3.88亿</t>
  </si>
  <si>
    <t>9517.40万</t>
  </si>
  <si>
    <t>8606.14万</t>
  </si>
  <si>
    <t>SH600055</t>
  </si>
  <si>
    <t>万东医疗</t>
  </si>
  <si>
    <t>11.32亿</t>
  </si>
  <si>
    <t>2.56亿</t>
  </si>
  <si>
    <t>9.82亿</t>
  </si>
  <si>
    <t>9.55亿</t>
  </si>
  <si>
    <t>2.50亿</t>
  </si>
  <si>
    <t>SH600529</t>
  </si>
  <si>
    <t>34.27亿</t>
  </si>
  <si>
    <t>29.92亿</t>
  </si>
  <si>
    <t>25.85亿</t>
  </si>
  <si>
    <t>3.58亿</t>
  </si>
  <si>
    <t>SH600538</t>
  </si>
  <si>
    <t>国发股份</t>
  </si>
  <si>
    <t>320.06万</t>
  </si>
  <si>
    <t>4.55亿</t>
  </si>
  <si>
    <t>577.29万</t>
  </si>
  <si>
    <t>-2161.11万</t>
  </si>
  <si>
    <t>3.50亿</t>
  </si>
  <si>
    <t>SH600587</t>
  </si>
  <si>
    <t>新华医疗</t>
  </si>
  <si>
    <t>91.51亿</t>
  </si>
  <si>
    <t>11.08亿</t>
  </si>
  <si>
    <t>87.67亿</t>
  </si>
  <si>
    <t>102.84亿</t>
  </si>
  <si>
    <t>2278.41万</t>
  </si>
  <si>
    <t>SH600645</t>
  </si>
  <si>
    <t>中源协和</t>
  </si>
  <si>
    <t>13.87亿</t>
  </si>
  <si>
    <t>13.21亿</t>
  </si>
  <si>
    <t>4969.48万</t>
  </si>
  <si>
    <t>5925.29万</t>
  </si>
  <si>
    <t>3.67亿</t>
  </si>
  <si>
    <t>SH603222</t>
  </si>
  <si>
    <t>济民医疗</t>
  </si>
  <si>
    <t>639.72万</t>
  </si>
  <si>
    <t>1.88亿</t>
  </si>
  <si>
    <t>6.03亿</t>
  </si>
  <si>
    <t>6919.87万</t>
  </si>
  <si>
    <t>3206.28万</t>
  </si>
  <si>
    <t>SH603301</t>
  </si>
  <si>
    <t>振德医疗</t>
  </si>
  <si>
    <t>103.99亿</t>
  </si>
  <si>
    <t>25.49亿</t>
  </si>
  <si>
    <t>3.39亿</t>
  </si>
  <si>
    <t>18.68亿</t>
  </si>
  <si>
    <t>14.29亿</t>
  </si>
  <si>
    <t>SH603309</t>
  </si>
  <si>
    <t>维力医疗</t>
  </si>
  <si>
    <t>11.31亿</t>
  </si>
  <si>
    <t>9.94亿</t>
  </si>
  <si>
    <t>7.46亿</t>
  </si>
  <si>
    <t>6540.30万</t>
  </si>
  <si>
    <t>2.20亿</t>
  </si>
  <si>
    <t>SH603387</t>
  </si>
  <si>
    <t>11.23亿</t>
  </si>
  <si>
    <t>3.05亿</t>
  </si>
  <si>
    <t>4.89亿</t>
  </si>
  <si>
    <t>3.40亿</t>
  </si>
  <si>
    <t>7.15亿</t>
  </si>
  <si>
    <t>11.84亿</t>
  </si>
  <si>
    <t>SH603658</t>
  </si>
  <si>
    <t>安图生物</t>
  </si>
  <si>
    <t>29.78亿</t>
  </si>
  <si>
    <t>7.48亿</t>
  </si>
  <si>
    <t>26.79亿</t>
  </si>
  <si>
    <t>19.30亿</t>
  </si>
  <si>
    <t>4.47亿</t>
  </si>
  <si>
    <t>SH603880</t>
  </si>
  <si>
    <t>6.90亿</t>
  </si>
  <si>
    <t>10.72亿</t>
  </si>
  <si>
    <t>9806.76万</t>
  </si>
  <si>
    <t>5.14亿</t>
  </si>
  <si>
    <t>2805.16万</t>
  </si>
  <si>
    <t>3925.01万</t>
  </si>
  <si>
    <t>SH603976</t>
  </si>
  <si>
    <t>正川股份</t>
  </si>
  <si>
    <t>5305.05万</t>
  </si>
  <si>
    <t>4.70亿</t>
  </si>
  <si>
    <t>6105.67万</t>
  </si>
  <si>
    <t>8276.66万</t>
  </si>
  <si>
    <t>SH603987</t>
  </si>
  <si>
    <t>康德莱</t>
  </si>
  <si>
    <t>26.45亿</t>
  </si>
  <si>
    <t>2.24亿</t>
  </si>
  <si>
    <t>18.17亿</t>
  </si>
  <si>
    <t>14.50亿</t>
  </si>
  <si>
    <t>SH605369</t>
  </si>
  <si>
    <t>8.30亿</t>
  </si>
  <si>
    <t>5.53亿</t>
  </si>
  <si>
    <t>4.83亿</t>
  </si>
  <si>
    <t>8492.65万</t>
  </si>
  <si>
    <t>SH688013</t>
  </si>
  <si>
    <t>天臣医疗</t>
  </si>
  <si>
    <t>3494.81万</t>
  </si>
  <si>
    <t>4200.60万</t>
  </si>
  <si>
    <t>2313.07万</t>
  </si>
  <si>
    <t>SH688016</t>
  </si>
  <si>
    <t>心脉医疗</t>
  </si>
  <si>
    <t>1.97亿</t>
  </si>
  <si>
    <t>3.34亿</t>
  </si>
  <si>
    <t>9064.79万</t>
  </si>
  <si>
    <t>SH688029</t>
  </si>
  <si>
    <t>南微医学</t>
  </si>
  <si>
    <t>13.26亿</t>
  </si>
  <si>
    <t>2.61亿</t>
  </si>
  <si>
    <t>13.07亿</t>
  </si>
  <si>
    <t>6.41亿</t>
  </si>
  <si>
    <t>SH688050</t>
  </si>
  <si>
    <t>爱博医疗</t>
  </si>
  <si>
    <t>9655.83万</t>
  </si>
  <si>
    <t>6668.51万</t>
  </si>
  <si>
    <t>2031.08万</t>
  </si>
  <si>
    <t>SH688067</t>
  </si>
  <si>
    <t>爱威科技</t>
  </si>
  <si>
    <t>3010.03万</t>
  </si>
  <si>
    <t>5052.05万</t>
  </si>
  <si>
    <t>2728.32万</t>
  </si>
  <si>
    <t>SH688068</t>
  </si>
  <si>
    <t>热景生物</t>
  </si>
  <si>
    <t>4.84亿</t>
  </si>
  <si>
    <t>2.55亿</t>
  </si>
  <si>
    <t>3387.78万</t>
  </si>
  <si>
    <t>4814.08万</t>
  </si>
  <si>
    <t>SH688085</t>
  </si>
  <si>
    <t>三友医疗</t>
  </si>
  <si>
    <t>3.90亿</t>
  </si>
  <si>
    <t>3.54亿</t>
  </si>
  <si>
    <t>9781.84万</t>
  </si>
  <si>
    <t>6213.74万</t>
  </si>
  <si>
    <t>SH688108</t>
  </si>
  <si>
    <t>赛诺医疗</t>
  </si>
  <si>
    <t>3.27亿</t>
  </si>
  <si>
    <t>2249.32万</t>
  </si>
  <si>
    <t>4.36亿</t>
  </si>
  <si>
    <t>2.66亿</t>
  </si>
  <si>
    <t>9003.78万</t>
  </si>
  <si>
    <t>8919.04万</t>
  </si>
  <si>
    <t>SH688139</t>
  </si>
  <si>
    <t>海尔生物</t>
  </si>
  <si>
    <t>10.13亿</t>
  </si>
  <si>
    <t>8.42亿</t>
  </si>
  <si>
    <t>SH688161</t>
  </si>
  <si>
    <t>18.24亿</t>
  </si>
  <si>
    <t>5.58亿</t>
  </si>
  <si>
    <t>15.74亿</t>
  </si>
  <si>
    <t>SH688198</t>
  </si>
  <si>
    <t>佰仁医疗</t>
  </si>
  <si>
    <t>5652.54万</t>
  </si>
  <si>
    <t>6308.49万</t>
  </si>
  <si>
    <t>3339.97万</t>
  </si>
  <si>
    <t>SH688217</t>
  </si>
  <si>
    <t>睿昂基因</t>
  </si>
  <si>
    <t>3871.35万</t>
  </si>
  <si>
    <t>3594.77万</t>
  </si>
  <si>
    <t>1457.68万</t>
  </si>
  <si>
    <t>SH688277</t>
  </si>
  <si>
    <t>天智航-U</t>
  </si>
  <si>
    <t>9.99亿</t>
  </si>
  <si>
    <t>-5447.09万</t>
  </si>
  <si>
    <t>-3095.78万</t>
  </si>
  <si>
    <t>-85.60万</t>
  </si>
  <si>
    <t>SH688289</t>
  </si>
  <si>
    <t>圣湘生物</t>
  </si>
  <si>
    <t>47.63亿</t>
  </si>
  <si>
    <t>26.17亿</t>
  </si>
  <si>
    <t>1.49亿</t>
  </si>
  <si>
    <t>3947.85万</t>
  </si>
  <si>
    <t>676.21万</t>
  </si>
  <si>
    <t>4.00亿</t>
  </si>
  <si>
    <t>SH688298</t>
  </si>
  <si>
    <t>东方生物</t>
  </si>
  <si>
    <t>32.65亿</t>
  </si>
  <si>
    <t>16.77亿</t>
  </si>
  <si>
    <t>1.96亿</t>
  </si>
  <si>
    <t>8210.52万</t>
  </si>
  <si>
    <t>6536.96万</t>
  </si>
  <si>
    <t>8.28亿</t>
  </si>
  <si>
    <t>SH688301</t>
  </si>
  <si>
    <t>奕瑞科技</t>
  </si>
  <si>
    <t>7.84亿</t>
  </si>
  <si>
    <t>14.13亿</t>
  </si>
  <si>
    <t>5.46亿</t>
  </si>
  <si>
    <t>2.13亿</t>
  </si>
  <si>
    <t>9640.08万</t>
  </si>
  <si>
    <t>6057.46万</t>
  </si>
  <si>
    <t>SH688314</t>
  </si>
  <si>
    <t>5238.14万</t>
  </si>
  <si>
    <t>5193.27万</t>
  </si>
  <si>
    <t>2215.24万</t>
  </si>
  <si>
    <t>SH688317</t>
  </si>
  <si>
    <t>之江生物</t>
  </si>
  <si>
    <t>20.52亿</t>
  </si>
  <si>
    <t>9.32亿</t>
  </si>
  <si>
    <t>2.59亿</t>
  </si>
  <si>
    <t>5152.18万</t>
  </si>
  <si>
    <t>6231.85万</t>
  </si>
  <si>
    <t>3.16亿</t>
  </si>
  <si>
    <t>SH688338</t>
  </si>
  <si>
    <t>赛科希德</t>
  </si>
  <si>
    <t>6918.84万</t>
  </si>
  <si>
    <t>7104.01万</t>
  </si>
  <si>
    <t>5671.28万</t>
  </si>
  <si>
    <t>SH688358</t>
  </si>
  <si>
    <t>祥生医疗</t>
  </si>
  <si>
    <t>9963.61万</t>
  </si>
  <si>
    <t>9506.31万</t>
  </si>
  <si>
    <t>SH688366</t>
  </si>
  <si>
    <t>昊海生科</t>
  </si>
  <si>
    <t>16.04亿</t>
  </si>
  <si>
    <t>3.72亿</t>
  </si>
  <si>
    <t>4.96亿</t>
  </si>
  <si>
    <t>SH688389</t>
  </si>
  <si>
    <t>普门科技</t>
  </si>
  <si>
    <t>5.54亿</t>
  </si>
  <si>
    <t>3.23亿</t>
  </si>
  <si>
    <t>8114.40万</t>
  </si>
  <si>
    <t>SH688393</t>
  </si>
  <si>
    <t>安必平</t>
  </si>
  <si>
    <t>8474.57万</t>
  </si>
  <si>
    <t>3.55亿</t>
  </si>
  <si>
    <t>7398.89万</t>
  </si>
  <si>
    <t>6147.18万</t>
  </si>
  <si>
    <t>SH688399</t>
  </si>
  <si>
    <t>硕世生物</t>
  </si>
  <si>
    <t>17.40亿</t>
  </si>
  <si>
    <t>8.20亿</t>
  </si>
  <si>
    <t>8375.62万</t>
  </si>
  <si>
    <t>6382.46万</t>
  </si>
  <si>
    <t>SH688468</t>
  </si>
  <si>
    <t>科美诊断</t>
  </si>
  <si>
    <t>-4.24亿</t>
  </si>
  <si>
    <t>SH688575</t>
  </si>
  <si>
    <t>8.77亿</t>
  </si>
  <si>
    <t>3803.34万</t>
  </si>
  <si>
    <t>SH688580</t>
  </si>
  <si>
    <t>伟思医疗</t>
  </si>
  <si>
    <t>3.78亿</t>
  </si>
  <si>
    <t>9971.83万</t>
  </si>
  <si>
    <t>6336.45万</t>
  </si>
  <si>
    <t>SH688606</t>
  </si>
  <si>
    <t>奥泰生物</t>
  </si>
  <si>
    <t>7841.94万</t>
  </si>
  <si>
    <t>5642.53万</t>
  </si>
  <si>
    <t>SH688607</t>
  </si>
  <si>
    <t>康众医疗</t>
  </si>
  <si>
    <t>7514.44万</t>
  </si>
  <si>
    <t>4818.11万</t>
  </si>
  <si>
    <t>4928.52万</t>
  </si>
  <si>
    <t>SH688613</t>
  </si>
  <si>
    <t>奥精医疗</t>
  </si>
  <si>
    <t>8894.45万</t>
  </si>
  <si>
    <t>6778.49万</t>
  </si>
  <si>
    <t>3298.50万</t>
  </si>
  <si>
    <t>SH688617</t>
  </si>
  <si>
    <t>惠泰医疗</t>
  </si>
  <si>
    <t>8257.49万</t>
  </si>
  <si>
    <t>2151.20万</t>
  </si>
  <si>
    <t>SH688626</t>
  </si>
  <si>
    <t>翔宇医疗</t>
  </si>
  <si>
    <t>8032.73万</t>
  </si>
  <si>
    <t>SH688656</t>
  </si>
  <si>
    <t>浩欧博</t>
  </si>
  <si>
    <t>5661.76万</t>
  </si>
  <si>
    <t>6383.85万</t>
  </si>
  <si>
    <t>4015.44万</t>
  </si>
  <si>
    <t>SH688677</t>
  </si>
  <si>
    <t>海泰新光</t>
  </si>
  <si>
    <t>2.75亿</t>
  </si>
  <si>
    <t>9635.18万</t>
  </si>
  <si>
    <t>7193.08万</t>
  </si>
  <si>
    <t>5455.45万</t>
  </si>
  <si>
    <t>SH688767</t>
  </si>
  <si>
    <t>博拓生物</t>
  </si>
  <si>
    <t>8.65亿</t>
  </si>
  <si>
    <t>4.98亿</t>
  </si>
  <si>
    <t>2822.84万</t>
  </si>
  <si>
    <t>1890.67万</t>
  </si>
  <si>
    <t>1.新冠核酸检测的同比下滑明显，主要关注营收变化，因此这次启动或许是情绪部分更多，注意拐点变化；</t>
    <phoneticPr fontId="1" type="noConversion"/>
  </si>
  <si>
    <t>1. 估值数字的低，是因为疫情收益，持续性需谨慎</t>
    <phoneticPr fontId="1" type="noConversion"/>
  </si>
  <si>
    <t>1.5月份已经演绎过一次</t>
    <phoneticPr fontId="1" type="noConversion"/>
  </si>
  <si>
    <t>1.多年平均增速20%，在2020年初的pe35，随着一季度的利润改善而推高到了100pe目前又回落，应该属于高位，观察;</t>
    <phoneticPr fontId="1" type="noConversion"/>
  </si>
  <si>
    <t>1.三胎政策</t>
    <phoneticPr fontId="1" type="noConversion"/>
  </si>
  <si>
    <t>1.需观察趋势，毕竟三胎政策是长期</t>
    <phoneticPr fontId="1" type="noConversion"/>
  </si>
  <si>
    <r>
      <t>1.报告期内，公司常规业务（包含生化、免疫、临检）</t>
    </r>
    <r>
      <rPr>
        <b/>
        <sz val="9"/>
        <color rgb="FFFF0000"/>
        <rFont val="宋体"/>
        <family val="3"/>
        <charset val="134"/>
        <scheme val="minor"/>
      </rPr>
      <t>整体实现同比增长59.52%</t>
    </r>
    <r>
      <rPr>
        <sz val="9"/>
        <color theme="1"/>
        <rFont val="宋体"/>
        <family val="3"/>
        <charset val="134"/>
        <scheme val="minor"/>
      </rPr>
      <t>；在分子诊断领域，报告期内新冠核酸检测产品实现销售收入4.51亿元，同比增长133.49%</t>
    </r>
    <phoneticPr fontId="1" type="noConversion"/>
  </si>
  <si>
    <t>1.新冠检测产品下半年会减弱，但局部可以期待；2.慢性病等随着医院慢慢恢复，会有一定上升；3.血栓六项检测产品作为切入点，化学发光技术平台也实现了快速的装机和终端覆盖率的提升；</t>
    <phoneticPr fontId="1" type="noConversion"/>
  </si>
  <si>
    <t>1.下半年戴口罩等情况会导致流感的检测变少；</t>
    <phoneticPr fontId="1" type="noConversion"/>
  </si>
  <si>
    <t>1.未来，公司将继续立足血液净化领域，精耕国内血液净化市场，拓展重症肝病、心外科手术、重危症等新增长点市场发展，推动产品疗程化使用，快速扩张国际市场；同时借助资本市场，寻找优质并购标的，以扩充产品线、增强技术实力，同时借助相互保险平台力量，布局医疗健康产业，打造具有健帆特色的多位一体的血液净化全价值链，实现集团化、品牌化、多元化发展，成为世界一流的高科技医疗技术企业集团；2.长远来看，随着推广深入人心，让患者真正知道灌流的好处，同时价格又有下降，以价换量就是必然的结果，有利于公司进一步发挥规模及成本优势，有利于公司提升销量及市场份额。长期而言将提升公司产品推广度、巩固公司市场领先地位，从而提升公司盈利规模</t>
    <phoneticPr fontId="1" type="noConversion"/>
  </si>
  <si>
    <t>1.问：公司如何看待集采风险？将采取何种措施应对？答：我们预判短期内公司产品不会被纳入全国性集中带量采购范围，主要理由如下：根据国务院办公厅发布的《治理高值医用耗材改革方案》，目前拟纳入集中采购的医用耗材主要是具有“临床用量较大、采购金额较高、临床使用较成熟、多家企业生产”等四个特点的高值医用耗材,而公司产品血液灌流器基本上不满足以上四个特点。</t>
    <phoneticPr fontId="1" type="noConversion"/>
  </si>
  <si>
    <t>1.心标的POCT（荧光免疫）技术领先对手，有望进行进口替代；2.下半年及明年1200的大力推广，多样检测功能及自动化能获得更多市场份额；3.技术型创始人，需关注其市场销售能力；4.目前营收预告，以及万孚生物的激励计划，双向验证及估计：2021（4.5亿），2022（6.3亿），2023（8.1亿）。估值依然按照30pe以下进行估算，先把握利润和营收；如果市场预期高涨，那是bonus</t>
    <phoneticPr fontId="1" type="noConversion"/>
  </si>
  <si>
    <r>
      <t>1</t>
    </r>
    <r>
      <rPr>
        <sz val="9"/>
        <rFont val="宋体"/>
        <family val="3"/>
        <charset val="134"/>
        <scheme val="minor"/>
      </rPr>
      <t>.集采的影响随时关注；2.Q3单季毛利下降（营收翻倍，但主营成本从5千万增加到1.5亿），公司解释为“</t>
    </r>
    <r>
      <rPr>
        <sz val="9"/>
        <color rgb="FFFF0000"/>
        <rFont val="宋体"/>
        <family val="3"/>
        <charset val="134"/>
        <scheme val="minor"/>
      </rPr>
      <t>代理类业务增加</t>
    </r>
    <r>
      <rPr>
        <sz val="9"/>
        <rFont val="宋体"/>
        <family val="3"/>
        <charset val="134"/>
        <scheme val="minor"/>
      </rPr>
      <t>，该类业务成本较高，进而导致营业成本有所增长。”</t>
    </r>
    <phoneticPr fontId="1" type="noConversion"/>
  </si>
  <si>
    <t>1.未提前申请到新冠核酸检测注册证，导致营收下滑未能弥补；</t>
    <phoneticPr fontId="1" type="noConversion"/>
  </si>
  <si>
    <r>
      <t xml:space="preserve">1.注意骨科类的集采对企业的影响；这一块以价换量的影响相对难以估计，需要注意其对市场情绪的影响；2.2018年脊柱植入对手市占率：强生28.97% 美敦力23.35% </t>
    </r>
    <r>
      <rPr>
        <sz val="9"/>
        <color rgb="FFFF0000"/>
        <rFont val="宋体"/>
        <family val="3"/>
        <charset val="134"/>
        <scheme val="minor"/>
      </rPr>
      <t>威高骨科</t>
    </r>
    <r>
      <rPr>
        <sz val="9"/>
        <color theme="1"/>
        <rFont val="宋体"/>
        <family val="3"/>
        <charset val="134"/>
        <scheme val="minor"/>
      </rPr>
      <t xml:space="preserve">8.37% 史赛克6.59% </t>
    </r>
    <r>
      <rPr>
        <sz val="9"/>
        <color rgb="FFFF0000"/>
        <rFont val="宋体"/>
        <family val="3"/>
        <charset val="134"/>
        <scheme val="minor"/>
      </rPr>
      <t>天津正天</t>
    </r>
    <r>
      <rPr>
        <sz val="9"/>
        <color theme="1"/>
        <rFont val="宋体"/>
        <family val="3"/>
        <charset val="134"/>
        <scheme val="minor"/>
      </rPr>
      <t xml:space="preserve">3.91% </t>
    </r>
    <r>
      <rPr>
        <sz val="9"/>
        <color rgb="FFFF0000"/>
        <rFont val="宋体"/>
        <family val="3"/>
        <charset val="134"/>
        <scheme val="minor"/>
      </rPr>
      <t>三友医疗</t>
    </r>
    <r>
      <rPr>
        <sz val="9"/>
        <color theme="1"/>
        <rFont val="宋体"/>
        <family val="3"/>
        <charset val="134"/>
        <scheme val="minor"/>
      </rPr>
      <t xml:space="preserve">2.73% </t>
    </r>
    <r>
      <rPr>
        <sz val="9"/>
        <color rgb="FFFF0000"/>
        <rFont val="宋体"/>
        <family val="3"/>
        <charset val="134"/>
        <scheme val="minor"/>
      </rPr>
      <t>大博医疗</t>
    </r>
    <r>
      <rPr>
        <sz val="9"/>
        <color theme="1"/>
        <rFont val="宋体"/>
        <family val="3"/>
        <charset val="134"/>
        <scheme val="minor"/>
      </rPr>
      <t xml:space="preserve">1.98%
</t>
    </r>
    <phoneticPr fontId="1" type="noConversion"/>
  </si>
  <si>
    <t>1.时刻注意疫情慢慢平静以及竞争对手增加后，核酸检测的利润会暴减；</t>
    <phoneticPr fontId="1" type="noConversion"/>
  </si>
  <si>
    <t>2020年：
眼科产品 5.66亿 42.45% 毛利65.97%
骨科产品 3.32亿 24.89% 毛利82.96%
医疗美容与创面护理产品 2.42亿 18.16% 毛利87.78%
防粘连及止血产品 1.72亿 12.93% 毛利76.01%
其他产品 1982.50万 1.49% 毛利28.83%</t>
    <phoneticPr fontId="1" type="noConversion"/>
  </si>
  <si>
    <t>1.最近营收和利润变差主要系报告期内监护产品销售收入较上年同期减少影响所致。2.具体原因：（1）2020年上半年健康监测板块爆发式增长且以重症监护为主的产品出口价格高，销售费用大幅降低，导致去年同期销售收入和利润基数大；（2）受原材料价格上涨、人民币汇率升值幅度较大汇兑损失增加，以及公司在营销和研发上加大投入等叠加影响；（3）报告期内公司新增合并子公司苏州君康，其业绩亏损对合并口径业绩影响较大；（4）
公司于2020年9月发行可转债以及2020年12月推出股权激励计划，可转债利息及限制性股票费用的摊销导致财务费用增加较多，以上因素使得本报告期内归属于上市公司股东的净利润同比下降幅度较大。</t>
    <phoneticPr fontId="1" type="noConversion"/>
  </si>
  <si>
    <t>1.本次向特定对象发行股票拟募集资金不超过人民币54,000.00万元，本次募集资金将主要用于“宝莱特血液净化产业基地及研发中心项目”、“营销网络及信息化建设项目”和“补充流动资金”；如本次定增事项顺利实施，公司将实现年产血液透析液400万人份、透析液过滤器50万支、透析器2,000万支、血液净化设备2,000台的新增产能，项目实施将有效提高公司血液净化产品的研发能力和生产能力</t>
    <phoneticPr fontId="1" type="noConversion"/>
  </si>
  <si>
    <t/>
  </si>
  <si>
    <t>流通股本</t>
  </si>
  <si>
    <t>投入资本回报率roic%[20201231]</t>
  </si>
  <si>
    <t>净资产收益率%[20201231]</t>
  </si>
  <si>
    <t>营业收入[20171231]</t>
  </si>
  <si>
    <t>净利润[20201231]</t>
  </si>
  <si>
    <t>14.22亿</t>
  </si>
  <si>
    <t>1.33亿</t>
  </si>
  <si>
    <t>76.64亿</t>
  </si>
  <si>
    <t>36.18亿</t>
  </si>
  <si>
    <t>68.94亿</t>
  </si>
  <si>
    <t>14.82亿</t>
  </si>
  <si>
    <t>81.09亿</t>
  </si>
  <si>
    <t>23.97亿</t>
  </si>
  <si>
    <t>9.09亿</t>
  </si>
  <si>
    <t>17.90亿</t>
  </si>
  <si>
    <t>5688.78万</t>
  </si>
  <si>
    <t>19.94亿</t>
  </si>
  <si>
    <t>28.30亿</t>
  </si>
  <si>
    <t>29.26亿</t>
  </si>
  <si>
    <t>106.60亿</t>
  </si>
  <si>
    <t>17.19亿</t>
  </si>
  <si>
    <t>8.00亿</t>
  </si>
  <si>
    <t>1856.85万</t>
  </si>
  <si>
    <t>8.98亿</t>
  </si>
  <si>
    <t>9546.89万</t>
  </si>
  <si>
    <t>2.37亿</t>
  </si>
  <si>
    <t>41.92亿</t>
  </si>
  <si>
    <t>16.36亿</t>
  </si>
  <si>
    <t>7368.70万</t>
  </si>
  <si>
    <t>1.85亿</t>
  </si>
  <si>
    <t>10.91亿</t>
  </si>
  <si>
    <t>6379.26万</t>
  </si>
  <si>
    <t>2241.92万</t>
  </si>
  <si>
    <t>4.99亿</t>
  </si>
  <si>
    <t>23.61亿</t>
  </si>
  <si>
    <t>7.25亿</t>
  </si>
  <si>
    <t>4.74亿</t>
  </si>
  <si>
    <t>8020.67万</t>
  </si>
  <si>
    <t>-3.22亿</t>
  </si>
  <si>
    <t>12.69亿</t>
  </si>
  <si>
    <t>52.60亿</t>
  </si>
  <si>
    <t>15.99亿</t>
  </si>
  <si>
    <t>4.06亿</t>
  </si>
  <si>
    <t>7.66亿</t>
  </si>
  <si>
    <t>22.52亿</t>
  </si>
  <si>
    <t>3.31亿</t>
  </si>
  <si>
    <t>11.64亿</t>
  </si>
  <si>
    <t>39.81亿</t>
  </si>
  <si>
    <t>9.57亿</t>
  </si>
  <si>
    <t>33.61亿</t>
  </si>
  <si>
    <t>26.75亿</t>
  </si>
  <si>
    <t>11.97亿</t>
  </si>
  <si>
    <t>1.26亿</t>
  </si>
  <si>
    <t>18.21亿</t>
  </si>
  <si>
    <t>886.88万</t>
  </si>
  <si>
    <t>12.95亿</t>
  </si>
  <si>
    <t>14.45亿</t>
  </si>
  <si>
    <t>4.71亿</t>
  </si>
  <si>
    <t>3.57亿</t>
  </si>
  <si>
    <t>26.73亿</t>
  </si>
  <si>
    <t>162.40亿</t>
  </si>
  <si>
    <t>74.30亿</t>
  </si>
  <si>
    <t>9.17亿</t>
  </si>
  <si>
    <t>5406.37万</t>
  </si>
  <si>
    <t>252.70亿</t>
  </si>
  <si>
    <t>80.02亿</t>
  </si>
  <si>
    <t>25.45亿</t>
  </si>
  <si>
    <t>9.74亿</t>
  </si>
  <si>
    <t>3.52亿</t>
  </si>
  <si>
    <t>49.09亿</t>
  </si>
  <si>
    <t>23.42亿</t>
  </si>
  <si>
    <t>22.76亿</t>
  </si>
  <si>
    <t>SZ301097</t>
  </si>
  <si>
    <t>天益医疗</t>
  </si>
  <si>
    <t>7829.20万</t>
  </si>
  <si>
    <t>8714.95万</t>
  </si>
  <si>
    <t>SZ301122</t>
  </si>
  <si>
    <t>采纳股份</t>
  </si>
  <si>
    <t>5.05亿</t>
  </si>
  <si>
    <t>3233.31万</t>
  </si>
  <si>
    <t>2049.83万</t>
  </si>
  <si>
    <t>38.75亿</t>
  </si>
  <si>
    <t>5.91亿</t>
  </si>
  <si>
    <t>4.25亿</t>
  </si>
  <si>
    <t>1048.65万</t>
  </si>
  <si>
    <t>94.82亿</t>
  </si>
  <si>
    <t>15.35亿</t>
  </si>
  <si>
    <t>50.92亿</t>
  </si>
  <si>
    <t>3.99亿</t>
  </si>
  <si>
    <t>37.66亿</t>
  </si>
  <si>
    <t>5.27亿</t>
  </si>
  <si>
    <t>-2276.20万</t>
  </si>
  <si>
    <t>30.97亿</t>
  </si>
  <si>
    <t>11.94亿</t>
  </si>
  <si>
    <t>4141.94万</t>
  </si>
  <si>
    <t>19.47亿</t>
  </si>
  <si>
    <t>3127.50万</t>
  </si>
  <si>
    <t>53.69亿</t>
  </si>
  <si>
    <t>21.86亿</t>
  </si>
  <si>
    <t>SH688075</t>
  </si>
  <si>
    <t>安旭生物</t>
  </si>
  <si>
    <t>15.89亿</t>
  </si>
  <si>
    <t>12.00亿</t>
  </si>
  <si>
    <t>6.49亿</t>
  </si>
  <si>
    <t>5447.40万</t>
  </si>
  <si>
    <t>3337.05万</t>
  </si>
  <si>
    <t>-1.31亿</t>
  </si>
  <si>
    <t>21.54亿</t>
  </si>
  <si>
    <t>SH688193</t>
  </si>
  <si>
    <t>仁度生物</t>
  </si>
  <si>
    <t>6461.89万</t>
  </si>
  <si>
    <t>6137.65万</t>
  </si>
  <si>
    <t>5119.82万</t>
  </si>
  <si>
    <t>SH688212</t>
  </si>
  <si>
    <t>澳华内镜</t>
  </si>
  <si>
    <t>5703.71万</t>
  </si>
  <si>
    <t>1850.89万</t>
  </si>
  <si>
    <t>5290.86万</t>
  </si>
  <si>
    <t>-579.91万</t>
  </si>
  <si>
    <t>4733.26万</t>
  </si>
  <si>
    <t>SH688236</t>
  </si>
  <si>
    <t>春立医疗</t>
  </si>
  <si>
    <t>9.38亿</t>
  </si>
  <si>
    <t>8.55亿</t>
  </si>
  <si>
    <t>-7993.32万</t>
  </si>
  <si>
    <t>45.15亿</t>
  </si>
  <si>
    <t>22.43亿</t>
  </si>
  <si>
    <t>101.69亿</t>
  </si>
  <si>
    <t>49.20亿</t>
  </si>
  <si>
    <t>8162.65万</t>
  </si>
  <si>
    <t>20.19亿</t>
  </si>
  <si>
    <t>9736.88万</t>
  </si>
  <si>
    <t>17.67亿</t>
  </si>
  <si>
    <t>7977.58万</t>
  </si>
  <si>
    <t>28.39亿</t>
  </si>
  <si>
    <t>11.93亿</t>
  </si>
  <si>
    <t>11.78亿</t>
  </si>
  <si>
    <t>18.73亿</t>
  </si>
  <si>
    <t>8509.00万</t>
  </si>
  <si>
    <t>8.29亿</t>
  </si>
  <si>
    <t>5.23亿</t>
  </si>
  <si>
    <t>8619.27万</t>
  </si>
  <si>
    <t>18.18亿</t>
  </si>
  <si>
    <t>医疗设备</t>
  </si>
  <si>
    <t xml:space="preserve">    名称</t>
  </si>
  <si>
    <t>净利润?</t>
  </si>
  <si>
    <t>投入资本回报率roic%[20211231]</t>
  </si>
  <si>
    <t>净资产收益率%[20211231]</t>
  </si>
  <si>
    <t>亏损</t>
  </si>
  <si>
    <t>扭亏</t>
  </si>
  <si>
    <t>-1-1</t>
  </si>
  <si>
    <t>-1-0</t>
  </si>
  <si>
    <t>2.90亿</t>
  </si>
  <si>
    <t>4.28亿</t>
  </si>
  <si>
    <t>2.07亿</t>
  </si>
  <si>
    <t>5.86亿</t>
  </si>
  <si>
    <t>2-1</t>
  </si>
  <si>
    <t>5.82亿</t>
  </si>
  <si>
    <t>4.57亿</t>
  </si>
  <si>
    <t>6320.38万</t>
  </si>
  <si>
    <t>4.62亿</t>
  </si>
  <si>
    <t>3.45亿</t>
  </si>
  <si>
    <t>373.92万</t>
  </si>
  <si>
    <t>4.07亿</t>
  </si>
  <si>
    <t>8.35亿</t>
  </si>
  <si>
    <t>20.35亿</t>
  </si>
  <si>
    <t>3.17亿</t>
  </si>
  <si>
    <t>6.20亿</t>
  </si>
  <si>
    <t>3.73亿</t>
  </si>
  <si>
    <t>3.21亿</t>
  </si>
  <si>
    <t>15.11亿</t>
  </si>
  <si>
    <t>10.37亿</t>
  </si>
  <si>
    <t>2.06亿</t>
  </si>
  <si>
    <t>7.43亿</t>
  </si>
  <si>
    <t>5.73亿</t>
  </si>
  <si>
    <t>4457.79万</t>
  </si>
  <si>
    <t>3.48亿</t>
  </si>
  <si>
    <t>9916.81万</t>
  </si>
  <si>
    <t>6934.34万</t>
  </si>
  <si>
    <t>-3205.12万</t>
  </si>
  <si>
    <t>康拓医疗</t>
  </si>
  <si>
    <t>1.iPOCT(智慧化即时检测)产品产能扩建项目;CGMS(连续血糖监测系统)产能建设项目2.公司定位的细分赛道国内竞争对手不多；然后还是糖尿病大赛道资金相对比较看好；3.CGM是指通过葡萄糖传感器监测皮下组织间液的葡萄糖浓度变化的技 术，可以提供更全面的血糖信息，了解血糖波动的特点。相较于指尖血血糖仪，连续血糖仪（CGM）具 有很多优势。</t>
    <phoneticPr fontId="1" type="noConversion"/>
  </si>
  <si>
    <t>细分行业</t>
  </si>
  <si>
    <t>过往营收增速均值</t>
    <phoneticPr fontId="1" type="noConversion"/>
  </si>
  <si>
    <t>折现率</t>
    <phoneticPr fontId="1" type="noConversion"/>
  </si>
  <si>
    <t>3.76亿</t>
  </si>
  <si>
    <t>体外诊断</t>
  </si>
  <si>
    <t>2.29亿</t>
  </si>
  <si>
    <t>2.45亿</t>
  </si>
  <si>
    <t>SZ002086</t>
  </si>
  <si>
    <t>医疗耗材</t>
  </si>
  <si>
    <t>1.58亿</t>
  </si>
  <si>
    <t>8.47亿</t>
  </si>
  <si>
    <t>5.45亿</t>
  </si>
  <si>
    <t>4.78亿</t>
  </si>
  <si>
    <t>8.88亿</t>
  </si>
  <si>
    <t>5.04亿</t>
  </si>
  <si>
    <t>5.07亿</t>
  </si>
  <si>
    <t>2.78亿</t>
  </si>
  <si>
    <t>11.21亿</t>
  </si>
  <si>
    <t>3.38亿</t>
  </si>
  <si>
    <t>12.76亿</t>
  </si>
  <si>
    <t>8.37亿</t>
  </si>
  <si>
    <t>2.97亿</t>
  </si>
  <si>
    <t>2.12亿</t>
  </si>
  <si>
    <t>SZ301234</t>
  </si>
  <si>
    <t>五洲医疗</t>
  </si>
  <si>
    <t>5.13亿</t>
  </si>
  <si>
    <t>6839.23万</t>
  </si>
  <si>
    <t>4.77亿</t>
  </si>
  <si>
    <t>4.87亿</t>
  </si>
  <si>
    <t>5674.44万</t>
  </si>
  <si>
    <t>5289.96万</t>
  </si>
  <si>
    <t>3378.83万</t>
  </si>
  <si>
    <t>SH688026</t>
  </si>
  <si>
    <t>洁特生物</t>
  </si>
  <si>
    <t>8.56亿</t>
  </si>
  <si>
    <t>6615.32万</t>
  </si>
  <si>
    <t>5283.49万</t>
  </si>
  <si>
    <t>SH688114</t>
  </si>
  <si>
    <t>39.29亿</t>
  </si>
  <si>
    <t>27.80亿</t>
  </si>
  <si>
    <t>10.97亿</t>
  </si>
  <si>
    <t>-2.44亿</t>
  </si>
  <si>
    <t>SH688151</t>
  </si>
  <si>
    <t>华强科技</t>
  </si>
  <si>
    <t>12.75亿</t>
  </si>
  <si>
    <t>3.20亿</t>
  </si>
  <si>
    <t>16.48亿</t>
  </si>
  <si>
    <t>2.39亿</t>
  </si>
  <si>
    <t>9.03亿</t>
  </si>
  <si>
    <t>5.60亿</t>
  </si>
  <si>
    <t>SH688253</t>
  </si>
  <si>
    <t>英诺特</t>
  </si>
  <si>
    <t>7882.57万</t>
  </si>
  <si>
    <t>2128.83万</t>
  </si>
  <si>
    <t>1696.72万</t>
  </si>
  <si>
    <t>SH688271</t>
  </si>
  <si>
    <t>联影医疗</t>
  </si>
  <si>
    <t>72.54亿</t>
  </si>
  <si>
    <t>14.17亿</t>
  </si>
  <si>
    <t>5.06亿</t>
  </si>
  <si>
    <t>57.61亿</t>
  </si>
  <si>
    <t>29.79亿</t>
  </si>
  <si>
    <t>-7351.98万</t>
  </si>
  <si>
    <t>-1.26亿</t>
  </si>
  <si>
    <t>SH688273</t>
  </si>
  <si>
    <t>麦澜德</t>
  </si>
  <si>
    <t>5599.04万</t>
  </si>
  <si>
    <t>SH688351</t>
  </si>
  <si>
    <t>-1197.43万</t>
  </si>
  <si>
    <t>8421.78万</t>
  </si>
  <si>
    <t>574.19万</t>
  </si>
  <si>
    <t>-1512.89万</t>
  </si>
  <si>
    <t>-167.23万</t>
  </si>
  <si>
    <t>1.结构性心脏病业务，封堵器类有四代产品，普通金属封堵器（第一二代）终端价1万元左右，氧化膜封堵器（第三代）3万元左右，可降解封堵器（第四代）十几万元，普通金属封堵器未来可能集采，但这可能会促进公司新产品提高渗透率。</t>
    <phoneticPr fontId="1" type="noConversion"/>
  </si>
  <si>
    <r>
      <t>1.总体来看，整体器械板块，包括心血管医疗器械、体外诊断、外科、麻醉，集采的影响基本都到底。2.扣除新冠抗原类影响，常规业务收入同比增长17.6%。二季度单季度表现比一季度好。费用端来看，半年报销售费用率15.4%，得到有效控制。3.外科麻醉业务。吻合器目前集采覆盖全中国大部分地区，上半年吻合器业务增长30%-40%，处于供不应求的状态;4.近年来公司对研发投入不断提高，今年研发投入收入占比超10%，其中75%以上投入到器械中，如果用医疗器械收入作为分母，研发费用销售收入占比超15%，这是力度非常强的研发投入;5.我们在心血管医疗器械领域，</t>
    </r>
    <r>
      <rPr>
        <sz val="9"/>
        <color rgb="FFFF0000"/>
        <rFont val="宋体"/>
        <family val="3"/>
        <charset val="134"/>
        <scheme val="minor"/>
      </rPr>
      <t>不管是研发能力，还是商业化能力，都首屈一指</t>
    </r>
    <r>
      <rPr>
        <sz val="9"/>
        <color theme="1"/>
        <rFont val="宋体"/>
        <family val="3"/>
        <charset val="134"/>
        <scheme val="minor"/>
      </rPr>
      <t>，这两个加起来给公司更好机会，让我们和友商比起来也更有优势。6.关于指引，</t>
    </r>
    <r>
      <rPr>
        <sz val="9"/>
        <color rgb="FFFF0000"/>
        <rFont val="宋体"/>
        <family val="3"/>
        <charset val="134"/>
        <scheme val="minor"/>
      </rPr>
      <t>全年常规业务15%-25%增长，利润15%增长</t>
    </r>
    <phoneticPr fontId="1" type="noConversion"/>
  </si>
  <si>
    <t>7.12亿</t>
  </si>
  <si>
    <t>微电生理-U</t>
  </si>
  <si>
    <t>SZ301363</t>
  </si>
  <si>
    <t>11.37亿</t>
  </si>
  <si>
    <t>7.42亿</t>
  </si>
  <si>
    <t>6.63亿</t>
  </si>
  <si>
    <t>SZ301367</t>
  </si>
  <si>
    <t>怡和嘉业</t>
  </si>
  <si>
    <t>1.89亿</t>
  </si>
  <si>
    <t>3880.24万</t>
  </si>
  <si>
    <t>2497.15万</t>
  </si>
  <si>
    <t>华大智造</t>
  </si>
  <si>
    <t>SH688426</t>
  </si>
  <si>
    <t>7393.85万</t>
  </si>
  <si>
    <t>5582.88万</t>
  </si>
  <si>
    <t>897.16万</t>
  </si>
  <si>
    <t>657.53万</t>
  </si>
  <si>
    <r>
      <t>1.发行人为港股上市公司威高股份（01066.HK）子公司；2.根据行业报告，骨科植入医疗器械市场规模未来几年的</t>
    </r>
    <r>
      <rPr>
        <sz val="9"/>
        <color rgb="FFFF0000"/>
        <rFont val="宋体"/>
        <family val="3"/>
        <charset val="134"/>
        <scheme val="minor"/>
      </rPr>
      <t>复合增长率在14.51%</t>
    </r>
    <r>
      <rPr>
        <sz val="9"/>
        <color theme="1"/>
        <rFont val="宋体"/>
        <family val="3"/>
        <charset val="134"/>
        <scheme val="minor"/>
      </rPr>
      <t>左右</t>
    </r>
    <phoneticPr fontId="1" type="noConversion"/>
  </si>
  <si>
    <t>1. 公司研发的小型便携式移动心电产品可以满足心血管疾病患者进行即时快速检测和长期监测的需求；2. 构建了以全血滤过技术、多重抗体标记技术、胶体金炼制技术、化学发光磁酶免疫技术为核心的技术平台以及高通量智能 POCT 定量检测平台；3.快速诊断试剂分为感染性疾病系列、心脑血管疾病系列、肾脏疾病系列、糖尿病系列、妇产科优生优育系列、健康体检系列等六大类；4.和基蛋一样主打心脑血管</t>
    <phoneticPr fontId="1" type="noConversion"/>
  </si>
  <si>
    <r>
      <t>1.国产和进口的</t>
    </r>
    <r>
      <rPr>
        <sz val="9"/>
        <color rgb="FFFF0000"/>
        <rFont val="宋体"/>
        <family val="3"/>
        <charset val="134"/>
        <scheme val="minor"/>
      </rPr>
      <t>创伤脊柱差距已经很小</t>
    </r>
    <r>
      <rPr>
        <sz val="9"/>
        <color theme="1"/>
        <rFont val="宋体"/>
        <family val="3"/>
        <charset val="134"/>
        <scheme val="minor"/>
      </rPr>
      <t>，有些产品已经没有差距，关节领域国产与进口还有差距，所以关节领域进口有50-60%的份额，创伤领域进口只有20%左右，但创伤分散比较高；2.齿科是比较大的市场，2019年中国齿科的量估计达到400万颗左右，</t>
    </r>
    <r>
      <rPr>
        <sz val="9"/>
        <color rgb="FFFF0000"/>
        <rFont val="宋体"/>
        <family val="3"/>
        <charset val="134"/>
        <scheme val="minor"/>
      </rPr>
      <t>国产占比不到5%，齿科未来会是比较大的增长机会；</t>
    </r>
    <r>
      <rPr>
        <sz val="9"/>
        <rFont val="宋体"/>
        <family val="3"/>
        <charset val="134"/>
        <scheme val="minor"/>
      </rPr>
      <t>3.</t>
    </r>
    <phoneticPr fontId="1" type="noConversion"/>
  </si>
  <si>
    <r>
      <t>1.</t>
    </r>
    <r>
      <rPr>
        <sz val="9"/>
        <color rgb="FFFF0000"/>
        <rFont val="宋体"/>
        <family val="3"/>
        <charset val="134"/>
        <scheme val="minor"/>
      </rPr>
      <t>关节假体产品</t>
    </r>
    <r>
      <rPr>
        <sz val="9"/>
        <color theme="1"/>
        <rFont val="宋体"/>
        <family val="3"/>
        <charset val="134"/>
        <scheme val="minor"/>
      </rPr>
      <t>主要用于治疗一个或多个关节面的骨关节炎、类风湿性关节炎、创伤性关节炎、骨肿瘤、严重的粉碎性骨折、多次人工关节置换造成的骨缺损、其他手术失败或其他适合置换人工关节的疾病。2.护城河：.产品设计技术壁垒，产品加工技术壁垒，新材料研发技术壁垒；</t>
    </r>
    <phoneticPr fontId="1" type="noConversion"/>
  </si>
  <si>
    <r>
      <t>1.现在越来越多的医院开始开设运动医学科。我们做运动医学业务会有我们自己特有的战略发展计划，还是要在产品上和疗法上做出优势，为运动医学医生真正解决手术治疗中的临床痛点，相信这个业务未来将成为公司的整体发展中很重要的一个组成部分；2.公司目前主要在研项目有11项，分别为：新型骨与软组织损伤修复系统项目、通用创伤固定系统更新升级、微创脊柱椎间隙融合系统、退变性脊柱畸形矫正固定系统、颈椎减压矫形固定系统、脊柱矫形、融合器及骨水泥横向位移螺钉内固定系统、新型髓内钉及足踝内固定系统项目、3D打印定制椎间隙融合器系统、微创脊柱内固定系统、新型通用脊柱内固定系统、新型颈椎间盘假体。3.</t>
    </r>
    <r>
      <rPr>
        <sz val="9"/>
        <color rgb="FFFF0000"/>
        <rFont val="宋体"/>
        <family val="3"/>
        <charset val="134"/>
        <scheme val="minor"/>
      </rPr>
      <t>子公司水木天蓬的</t>
    </r>
    <r>
      <rPr>
        <b/>
        <sz val="9"/>
        <color rgb="FFFF0000"/>
        <rFont val="宋体"/>
        <family val="3"/>
        <charset val="134"/>
        <scheme val="minor"/>
      </rPr>
      <t>超声骨刀</t>
    </r>
    <r>
      <rPr>
        <sz val="9"/>
        <color rgb="FFFF0000"/>
        <rFont val="宋体"/>
        <family val="3"/>
        <charset val="134"/>
        <scheme val="minor"/>
      </rPr>
      <t>作为国产替代强生</t>
    </r>
    <r>
      <rPr>
        <sz val="9"/>
        <color theme="1"/>
        <rFont val="宋体"/>
        <family val="3"/>
        <charset val="134"/>
        <scheme val="minor"/>
      </rPr>
      <t>（外资80%的市占率）很有前途</t>
    </r>
    <phoneticPr fontId="1" type="noConversion"/>
  </si>
  <si>
    <r>
      <t>1.自成立以来主要从事</t>
    </r>
    <r>
      <rPr>
        <sz val="9"/>
        <color rgb="FFFF0000"/>
        <rFont val="宋体"/>
        <family val="3"/>
        <charset val="134"/>
        <scheme val="minor"/>
      </rPr>
      <t>椎体成形微创介入手术系统</t>
    </r>
    <r>
      <rPr>
        <sz val="9"/>
        <color theme="1"/>
        <rFont val="宋体"/>
        <family val="3"/>
        <charset val="134"/>
        <scheme val="minor"/>
      </rPr>
      <t>的研发、生产和销售，产品主要用于因骨质疏松导致的椎体压缩性骨折的临床微创手术治疗，具体包括经皮椎体成形（PVP）手术系统和经皮球囊扩张椎体后凸成形（PKP）手术系统；2.</t>
    </r>
    <r>
      <rPr>
        <b/>
        <sz val="9"/>
        <color rgb="FFFF0000"/>
        <rFont val="宋体"/>
        <family val="3"/>
        <charset val="134"/>
        <scheme val="minor"/>
      </rPr>
      <t>骨水泥</t>
    </r>
    <r>
      <rPr>
        <sz val="9"/>
        <color theme="1"/>
        <rFont val="宋体"/>
        <family val="3"/>
        <charset val="134"/>
        <scheme val="minor"/>
      </rPr>
      <t xml:space="preserve">是一种用于填充骨与植入物间隙或骨腔并具有自凝特性的生物材料，系公司椎体成形微创介入手术的重要植入物；
</t>
    </r>
    <phoneticPr fontId="1" type="noConversion"/>
  </si>
  <si>
    <r>
      <t>1.公司已拥有“威高骨科”、“北京亚华”、“健力邦德”和“海星医疗”四大品牌，覆盖脊柱类、创伤类、关节类三类产品的不同类型市场；2.集采常态化下，骨科龙头企业更有望脱颖而出，从出厂价的影响来看，终端价的大幅</t>
    </r>
    <r>
      <rPr>
        <sz val="9"/>
        <color rgb="FFFF0000"/>
        <rFont val="宋体"/>
        <family val="3"/>
        <charset val="134"/>
        <scheme val="minor"/>
      </rPr>
      <t>降低主要压降中间商不合理利润</t>
    </r>
    <r>
      <rPr>
        <sz val="9"/>
        <color theme="1"/>
        <rFont val="宋体"/>
        <family val="3"/>
        <charset val="134"/>
        <scheme val="minor"/>
      </rPr>
      <t>，对厂商的出厂价影响要低很多</t>
    </r>
    <phoneticPr fontId="1" type="noConversion"/>
  </si>
  <si>
    <r>
      <t>1.</t>
    </r>
    <r>
      <rPr>
        <sz val="9"/>
        <color rgb="FFFF0000"/>
        <rFont val="宋体"/>
        <family val="3"/>
        <charset val="134"/>
        <scheme val="minor"/>
      </rPr>
      <t>感染控制产品线</t>
    </r>
    <r>
      <rPr>
        <sz val="9"/>
        <color theme="1"/>
        <rFont val="宋体"/>
        <family val="3"/>
        <charset val="134"/>
        <scheme val="minor"/>
      </rPr>
      <t>国内市场占有率在70%以上，规模居国内第一；</t>
    </r>
    <r>
      <rPr>
        <sz val="9"/>
        <color rgb="FFFF0000"/>
        <rFont val="宋体"/>
        <family val="3"/>
        <charset val="134"/>
        <scheme val="minor"/>
      </rPr>
      <t>放射治疗设备</t>
    </r>
    <r>
      <rPr>
        <sz val="9"/>
        <color theme="1"/>
        <rFont val="宋体"/>
        <family val="3"/>
        <charset val="134"/>
        <scheme val="minor"/>
      </rPr>
      <t>国内生产品种最全，国内装机即将超过400台，规模居国内第一；</t>
    </r>
    <phoneticPr fontId="1" type="noConversion"/>
  </si>
  <si>
    <r>
      <t>1.医疗服务板块，重点发展与公司产品具有协同作用的血液透析专科医院，逐步</t>
    </r>
    <r>
      <rPr>
        <sz val="9"/>
        <color rgb="FFFF0000"/>
        <rFont val="宋体"/>
        <family val="3"/>
        <charset val="134"/>
        <scheme val="minor"/>
      </rPr>
      <t>有序退出医疗服务板块</t>
    </r>
    <r>
      <rPr>
        <sz val="9"/>
        <color theme="1"/>
        <rFont val="宋体"/>
        <family val="3"/>
        <charset val="134"/>
        <scheme val="minor"/>
      </rPr>
      <t>的不良资产，实现资金回笼，优化资源配置；</t>
    </r>
    <phoneticPr fontId="1" type="noConversion"/>
  </si>
  <si>
    <r>
      <t>1.问：可视化产品是公司的第二增长曲线，随着</t>
    </r>
    <r>
      <rPr>
        <b/>
        <sz val="9"/>
        <color rgb="FFFF0000"/>
        <rFont val="宋体"/>
        <family val="3"/>
        <charset val="134"/>
        <scheme val="minor"/>
      </rPr>
      <t>第二增长曲线</t>
    </r>
    <r>
      <rPr>
        <sz val="9"/>
        <color theme="1"/>
        <rFont val="宋体"/>
        <family val="3"/>
        <charset val="134"/>
        <scheme val="minor"/>
      </rPr>
      <t>的快速发展，公司对原有传统内镜耗材业务是否会降低关注度，公司未来的产品战略会发生怎样的变化？答：可视化业务潜力较大且增长迅速，但公司</t>
    </r>
    <r>
      <rPr>
        <sz val="9"/>
        <color rgb="FFFF0000"/>
        <rFont val="宋体"/>
        <family val="3"/>
        <charset val="134"/>
        <scheme val="minor"/>
      </rPr>
      <t>对传统内镜耗材业务不会松懈</t>
    </r>
    <r>
      <rPr>
        <sz val="9"/>
        <color theme="1"/>
        <rFont val="宋体"/>
        <family val="3"/>
        <charset val="134"/>
        <scheme val="minor"/>
      </rPr>
      <t>，积极采取各种举措确保传统产品的基本盘及市场份额。在继续实现内镜耗材年度目标的情况下，公司致力于通过开发新产品，撬开新科室市场，将一次性业务做大做强，确保第二增长曲线的持续发展;</t>
    </r>
    <phoneticPr fontId="1" type="noConversion"/>
  </si>
  <si>
    <r>
      <t>1.问：公司对一次性内镜的看法？答：目前市场上做一次性镜体的厂家比较多，公司也在关注，也在做相关的技术储备和研发，但</t>
    </r>
    <r>
      <rPr>
        <sz val="9"/>
        <color rgb="FFFF0000"/>
        <rFont val="宋体"/>
        <family val="3"/>
        <charset val="134"/>
        <scheme val="minor"/>
      </rPr>
      <t>一次性镜体</t>
    </r>
    <r>
      <rPr>
        <sz val="9"/>
        <color theme="1"/>
        <rFont val="宋体"/>
        <family val="3"/>
        <charset val="134"/>
        <scheme val="minor"/>
      </rPr>
      <t>的市场规模仍较小，在泌尿等特殊科室存在需求，尚未看到很明显的放量趋势，目前成本比较高，主要运用于高风险手术或高端客户，短期内</t>
    </r>
    <r>
      <rPr>
        <sz val="9"/>
        <color rgb="FFFF0000"/>
        <rFont val="宋体"/>
        <family val="3"/>
        <charset val="134"/>
        <scheme val="minor"/>
      </rPr>
      <t>不是公司重点研发方向</t>
    </r>
    <r>
      <rPr>
        <sz val="9"/>
        <color theme="1"/>
        <rFont val="宋体"/>
        <family val="3"/>
        <charset val="134"/>
        <scheme val="minor"/>
      </rPr>
      <t>。</t>
    </r>
    <phoneticPr fontId="1" type="noConversion"/>
  </si>
  <si>
    <r>
      <t>1.2022年初，公司对全年业务的发展制定了目标，即超声业务平稳增长、</t>
    </r>
    <r>
      <rPr>
        <b/>
        <sz val="9"/>
        <color rgb="FFFF0000"/>
        <rFont val="宋体"/>
        <family val="3"/>
        <charset val="134"/>
        <scheme val="minor"/>
      </rPr>
      <t>内镜业务保持较高增速</t>
    </r>
    <r>
      <rPr>
        <sz val="9"/>
        <color theme="1"/>
        <rFont val="宋体"/>
        <family val="3"/>
        <charset val="134"/>
        <scheme val="minor"/>
      </rPr>
      <t>，从2022年上半年的数据看，公司超额完成了原定目标，验证了公司年初制定的业务发展规划。2.将</t>
    </r>
    <r>
      <rPr>
        <sz val="9"/>
        <color rgb="FFFF0000"/>
        <rFont val="宋体"/>
        <family val="3"/>
        <charset val="134"/>
        <scheme val="minor"/>
      </rPr>
      <t>光学放大和可变硬度功能集成到一起</t>
    </r>
    <r>
      <rPr>
        <sz val="9"/>
        <color theme="1"/>
        <rFont val="宋体"/>
        <family val="3"/>
        <charset val="134"/>
        <scheme val="minor"/>
      </rPr>
      <t>是很自然的临床需求，特别是在下消化道疾病诊疗中的需求尤为迫切。3.2021 年，公司便携式彩超 X5 入驻中国空
间站，作为国内唯一一家入选的超声设备公司;</t>
    </r>
    <phoneticPr fontId="1" type="noConversion"/>
  </si>
  <si>
    <r>
      <t>1.2022年上半年度，公司质谱仪装机数量为40台；2.AutoiLab</t>
    </r>
    <r>
      <rPr>
        <sz val="9"/>
        <color rgb="FFFF0000"/>
        <rFont val="宋体"/>
        <family val="3"/>
        <charset val="134"/>
        <scheme val="minor"/>
      </rPr>
      <t>智能化实验室</t>
    </r>
    <r>
      <rPr>
        <sz val="9"/>
        <color theme="1"/>
        <rFont val="宋体"/>
        <family val="3"/>
        <charset val="134"/>
        <scheme val="minor"/>
      </rPr>
      <t>整体解决方案，上半年只增加了2家医疗机构，呈</t>
    </r>
    <r>
      <rPr>
        <sz val="9"/>
        <color rgb="FFFF0000"/>
        <rFont val="宋体"/>
        <family val="3"/>
        <charset val="134"/>
        <scheme val="minor"/>
      </rPr>
      <t>降低趋势</t>
    </r>
    <r>
      <rPr>
        <sz val="9"/>
        <color theme="1"/>
        <rFont val="宋体"/>
        <family val="3"/>
        <charset val="134"/>
        <scheme val="minor"/>
      </rPr>
      <t>，因为过程需要一定时间策划和推进，且落地需要一定机会；</t>
    </r>
    <phoneticPr fontId="1" type="noConversion"/>
  </si>
  <si>
    <t>1.公司全自动核酸提纯及实时荧光PCR分析系统不仅是针对新冠肺炎检测设计，而是面向整个分子检测领域设计，其他检测项目同样适用；</t>
    <phoneticPr fontId="1" type="noConversion"/>
  </si>
  <si>
    <t>3.09亿</t>
  </si>
  <si>
    <t>11.66亿</t>
  </si>
  <si>
    <t>11.67亿</t>
  </si>
  <si>
    <t>2.70亿</t>
  </si>
  <si>
    <t>4.91亿</t>
  </si>
  <si>
    <t>4.01亿</t>
  </si>
  <si>
    <t>100.00万</t>
  </si>
  <si>
    <t>2.74亿</t>
  </si>
  <si>
    <t>美好医疗</t>
  </si>
  <si>
    <t>6.24亿</t>
  </si>
  <si>
    <t>-1.62亿</t>
  </si>
  <si>
    <t>8.15亿</t>
  </si>
  <si>
    <t>-1.11亿</t>
  </si>
  <si>
    <t>8.50亿</t>
  </si>
  <si>
    <t>5.84亿</t>
  </si>
  <si>
    <t>SZ301290</t>
  </si>
  <si>
    <t>7970.29万</t>
  </si>
  <si>
    <t>4737.90万</t>
  </si>
  <si>
    <t>5047.50万</t>
  </si>
  <si>
    <t>康为世纪</t>
  </si>
  <si>
    <r>
      <t>1.长期看，</t>
    </r>
    <r>
      <rPr>
        <sz val="9"/>
        <color rgb="FFFF0000"/>
        <rFont val="宋体"/>
        <family val="3"/>
        <charset val="134"/>
        <scheme val="minor"/>
      </rPr>
      <t>高毛利产品占比提升以及后续血糖等业务板块内新品的不断推出</t>
    </r>
    <r>
      <rPr>
        <sz val="9"/>
        <color theme="1"/>
        <rFont val="宋体"/>
        <family val="3"/>
        <charset val="134"/>
        <scheme val="minor"/>
      </rPr>
      <t>、AED国产化降本增效等举措落实，长期看，公司的盈利能力有望不断向上。2.</t>
    </r>
    <r>
      <rPr>
        <b/>
        <sz val="9"/>
        <color rgb="FFFF0000"/>
        <rFont val="宋体"/>
        <family val="3"/>
        <charset val="134"/>
        <scheme val="minor"/>
      </rPr>
      <t>腾讯投资讯捷医疗</t>
    </r>
    <r>
      <rPr>
        <sz val="9"/>
        <color theme="1"/>
        <rFont val="宋体"/>
        <family val="3"/>
        <charset val="134"/>
        <scheme val="minor"/>
      </rPr>
      <t>一是基于其本身一直以来对急救行业的重视，希望参与其中让国内的急救事业做得更好。3.近年来，公司海外业务主要围绕东南亚、南美、非洲等区域进行发展，今年也逐步解决了例如在特定地区的产品准入等问题，目前看来，公司</t>
    </r>
    <r>
      <rPr>
        <sz val="9"/>
        <color rgb="FFFF0000"/>
        <rFont val="宋体"/>
        <family val="3"/>
        <charset val="134"/>
        <scheme val="minor"/>
      </rPr>
      <t>外销业务的战略脚步正在不断加速</t>
    </r>
    <r>
      <rPr>
        <sz val="9"/>
        <color theme="1"/>
        <rFont val="宋体"/>
        <family val="3"/>
        <charset val="134"/>
        <scheme val="minor"/>
      </rPr>
      <t>。</t>
    </r>
    <phoneticPr fontId="1" type="noConversion"/>
  </si>
  <si>
    <t>1.28亿</t>
  </si>
  <si>
    <t>18.22亿</t>
  </si>
  <si>
    <t>股利率</t>
    <phoneticPr fontId="1" type="noConversion"/>
  </si>
  <si>
    <t>利润成长策略</t>
    <phoneticPr fontId="1" type="noConversion"/>
  </si>
  <si>
    <t>过往利润增速均值</t>
    <phoneticPr fontId="1" type="noConversion"/>
  </si>
  <si>
    <t>1年自由现金流折现</t>
    <phoneticPr fontId="1" type="noConversion"/>
  </si>
  <si>
    <t>策略1利润单季最佳增速</t>
    <phoneticPr fontId="1" type="noConversion"/>
  </si>
  <si>
    <t>营收和利润加权</t>
    <phoneticPr fontId="1" type="noConversion"/>
  </si>
  <si>
    <t>价格变动策略</t>
    <phoneticPr fontId="1" type="noConversion"/>
  </si>
  <si>
    <t>成交量综合策略</t>
    <phoneticPr fontId="1" type="noConversion"/>
  </si>
  <si>
    <t>不分配不转增</t>
  </si>
  <si>
    <t>10派3元(含税)</t>
  </si>
  <si>
    <t>10派1元(含税)</t>
  </si>
  <si>
    <t>10派5元(含税)</t>
  </si>
  <si>
    <t>10派2.07元(含税)</t>
  </si>
  <si>
    <t>10派2元(含税)</t>
  </si>
  <si>
    <t>10派1.2元(含税)</t>
  </si>
  <si>
    <t>10派1.5元(含税)</t>
  </si>
  <si>
    <t>10派0.1元(含税)</t>
  </si>
  <si>
    <t>10派1.25元(含税)</t>
  </si>
  <si>
    <t>10派6元(含税)</t>
  </si>
  <si>
    <t>东星医疗</t>
  </si>
  <si>
    <t>SH688410</t>
  </si>
  <si>
    <t>山外山</t>
  </si>
  <si>
    <t>1947.33万</t>
  </si>
  <si>
    <t>2.54亿</t>
  </si>
  <si>
    <t>2061.67万</t>
  </si>
  <si>
    <t>-3399.28万</t>
  </si>
  <si>
    <t>-2706.38万</t>
  </si>
  <si>
    <t>1.较早的疫情监测申请和上市，在疫情可能二次反复时，市场预期继续高涨；2.甲乙型流感及新型冠状病毒抗原联合检测试纸，已取得CE认证；3.体外诊断试剂98.51%(毛利47.90%） 生化诊断试剂1.49%（毛利50.96%）
1.主要收入及利润来源为 POCT 即时诊断试剂，传染病检测和毒品检测是公司的两大核心产品系列;2.疫情期间公司新开发的三款新冠病毒检测试剂：1）新型冠状病毒 IgG/IgM 抗体检测试剂；2）新型冠状病毒2019-nCOV 核酸检测试剂；3）新型冠状病毒抗原快速检测试纸（胶体金法）3. 抗原抗体的材料侧重在毒品检测；</t>
    <phoneticPr fontId="1" type="noConversion"/>
  </si>
  <si>
    <t>1-1</t>
  </si>
  <si>
    <t>1-0</t>
  </si>
  <si>
    <r>
      <t>1.将楚天打造成全球液体制剂技术与装备的领导者，将ROMACO打造成全球固体制剂技术与装备的领导者;2.问：今年快过完三季度了，公司的新增订单目标有变化吗？答：我们</t>
    </r>
    <r>
      <rPr>
        <sz val="9"/>
        <color rgb="FFFF0000"/>
        <rFont val="宋体"/>
        <family val="3"/>
        <charset val="134"/>
        <scheme val="minor"/>
      </rPr>
      <t>今年的新增订单目标还是不低于100亿元</t>
    </r>
    <r>
      <rPr>
        <sz val="9"/>
        <color theme="1"/>
        <rFont val="宋体"/>
        <family val="3"/>
        <charset val="134"/>
        <scheme val="minor"/>
      </rPr>
      <t>。3.产品链条增加，楚天过去没有</t>
    </r>
    <r>
      <rPr>
        <b/>
        <sz val="9"/>
        <color rgb="FFFF0000"/>
        <rFont val="宋体"/>
        <family val="3"/>
        <charset val="134"/>
        <scheme val="minor"/>
      </rPr>
      <t>但未来会高速增长的新产品</t>
    </r>
    <r>
      <rPr>
        <sz val="9"/>
        <color theme="1"/>
        <rFont val="宋体"/>
        <family val="3"/>
        <charset val="134"/>
        <scheme val="minor"/>
      </rPr>
      <t>;4.公司期望，在2025年前后，海外业务收入占总收入的50%左右，2030年前后，海外业务收入超过国内业务收入;5.2023年的业绩考核目标为：以2021年为基数，2022-2023年两年的</t>
    </r>
    <r>
      <rPr>
        <b/>
        <sz val="9"/>
        <color rgb="FFFF0000"/>
        <rFont val="宋体"/>
        <family val="3"/>
        <charset val="134"/>
        <scheme val="minor"/>
      </rPr>
      <t>累计净利润增长率不低于40%</t>
    </r>
    <r>
      <rPr>
        <sz val="9"/>
        <color theme="1"/>
        <rFont val="宋体"/>
        <family val="3"/>
        <charset val="134"/>
        <scheme val="minor"/>
      </rPr>
      <t>，或2022-2023年两年的累计营业收入增长率不低于40%。</t>
    </r>
    <phoneticPr fontId="1" type="noConversion"/>
  </si>
  <si>
    <t>2-0</t>
  </si>
  <si>
    <t>涨幅%</t>
  </si>
  <si>
    <t>成交量[20230512]</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</si>
  <si>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</si>
  <si>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</si>
  <si>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</si>
  <si>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</si>
  <si>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</si>
  <si>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</si>
  <si>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</si>
  <si>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</si>
  <si>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</si>
  <si>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</si>
  <si>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</si>
  <si>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</si>
  <si>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</si>
  <si>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</si>
  <si>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</si>
  <si>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</si>
  <si>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</si>
  <si>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</si>
  <si>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</si>
  <si>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</si>
  <si>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</si>
  <si>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</si>
  <si>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</si>
  <si>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</si>
  <si>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</si>
  <si>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</si>
  <si>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</si>
  <si>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</si>
  <si>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</si>
  <si>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</si>
  <si>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</si>
  <si>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</si>
  <si>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</si>
  <si>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</si>
  <si>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</si>
  <si>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</si>
  <si>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</si>
  <si>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</si>
  <si>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</si>
  <si>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</si>
  <si>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</si>
  <si>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</si>
  <si>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区间涨跌幅:前复权%[20230508-20230512]</t>
  </si>
  <si>
    <t>区间涨跌幅:前复权%[20230328-20230512]</t>
  </si>
  <si>
    <t>区间成交量[20230508-20230512]</t>
  </si>
  <si>
    <t>区间成交量[20230328-20230512]</t>
  </si>
  <si>
    <t>6年PE</t>
    <phoneticPr fontId="1" type="noConversion"/>
  </si>
  <si>
    <t>5年营收增速PEG</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</si>
  <si>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</si>
  <si>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</si>
  <si>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</si>
  <si>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</si>
  <si>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</si>
  <si>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</si>
  <si>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</si>
  <si>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</si>
  <si>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</si>
  <si>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</si>
  <si>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</si>
  <si>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</si>
  <si>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营收成长策略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</si>
  <si>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</si>
  <si>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</si>
  <si>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</si>
  <si>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</si>
  <si>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</si>
  <si>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</si>
  <si>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</si>
  <si>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</si>
  <si>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</si>
  <si>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</si>
  <si>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</si>
  <si>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</si>
  <si>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</si>
  <si>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</si>
  <si>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</si>
  <si>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</si>
  <si>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</si>
  <si>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科华生物</t>
  </si>
  <si>
    <t>69.70亿</t>
  </si>
  <si>
    <t>48.54亿</t>
  </si>
  <si>
    <t>120.46亿</t>
  </si>
  <si>
    <t>54.12亿</t>
  </si>
  <si>
    <t>6.29亿</t>
  </si>
  <si>
    <t>-15.85亿</t>
  </si>
  <si>
    <t>-10.03亿</t>
  </si>
  <si>
    <t>71.02亿</t>
  </si>
  <si>
    <t>15.95亿</t>
  </si>
  <si>
    <t>49.00亿</t>
  </si>
  <si>
    <t>-3.72亿</t>
  </si>
  <si>
    <t>10派4元(含税)</t>
  </si>
  <si>
    <t>263.15亿</t>
  </si>
  <si>
    <t>160.30亿</t>
  </si>
  <si>
    <t>6.07亿</t>
  </si>
  <si>
    <t>12.20亿</t>
  </si>
  <si>
    <t>-3.08亿</t>
  </si>
  <si>
    <t>4452.36万</t>
  </si>
  <si>
    <t>6085.04万</t>
  </si>
  <si>
    <t>10派0.6元(含税)</t>
  </si>
  <si>
    <t>14.34亿</t>
  </si>
  <si>
    <t>105.30亿</t>
  </si>
  <si>
    <t>42.08亿</t>
  </si>
  <si>
    <t>-2-0</t>
  </si>
  <si>
    <t>42.11亿</t>
  </si>
  <si>
    <t>6.78亿</t>
  </si>
  <si>
    <t>106.09亿</t>
  </si>
  <si>
    <t>22.03亿</t>
  </si>
  <si>
    <t>5.62亿</t>
  </si>
  <si>
    <t>-1.98亿</t>
  </si>
  <si>
    <t>54.69亿</t>
  </si>
  <si>
    <t>17.42亿</t>
  </si>
  <si>
    <t>3.77亿</t>
  </si>
  <si>
    <t>4.68亿</t>
  </si>
  <si>
    <t>-5627.18万</t>
  </si>
  <si>
    <t>1.92亿</t>
  </si>
  <si>
    <t>-2128.25万</t>
  </si>
  <si>
    <t>2.27亿</t>
  </si>
  <si>
    <t>64.46亿</t>
  </si>
  <si>
    <t>5.67亿</t>
  </si>
  <si>
    <t>24.89亿</t>
  </si>
  <si>
    <t>13.36亿</t>
  </si>
  <si>
    <t>36.08亿</t>
  </si>
  <si>
    <t>7.08亿</t>
  </si>
  <si>
    <t>56.81亿</t>
  </si>
  <si>
    <t>5.20亿</t>
  </si>
  <si>
    <t>24.91亿</t>
  </si>
  <si>
    <t>8.90亿</t>
  </si>
  <si>
    <t>10.65亿</t>
  </si>
  <si>
    <t>15.25亿</t>
  </si>
  <si>
    <t>17.63亿</t>
  </si>
  <si>
    <t>10派1.8元(含税)</t>
  </si>
  <si>
    <t>55.97亿</t>
  </si>
  <si>
    <t>7.16亿</t>
  </si>
  <si>
    <t>66.14亿</t>
  </si>
  <si>
    <t>303.66亿</t>
  </si>
  <si>
    <t>96.07亿</t>
  </si>
  <si>
    <t>30.47亿</t>
  </si>
  <si>
    <t>8.97亿</t>
  </si>
  <si>
    <t>SZ300942</t>
  </si>
  <si>
    <t>易瑞生物</t>
  </si>
  <si>
    <t>6.87亿</t>
  </si>
  <si>
    <t>8296.55万</t>
  </si>
  <si>
    <t>6544.51万</t>
  </si>
  <si>
    <t>9230.84万</t>
  </si>
  <si>
    <t>7393.67万</t>
  </si>
  <si>
    <t>15.73亿</t>
  </si>
  <si>
    <t>6691.60万</t>
  </si>
  <si>
    <t>6.10亿</t>
  </si>
  <si>
    <t>3589.18万</t>
  </si>
  <si>
    <t>4471.44万</t>
  </si>
  <si>
    <t>29.77亿</t>
  </si>
  <si>
    <t>10派12元(含税)</t>
  </si>
  <si>
    <t>9375.15万</t>
  </si>
  <si>
    <t>14.15亿</t>
  </si>
  <si>
    <t>-1.53亿</t>
  </si>
  <si>
    <t>41.87亿</t>
  </si>
  <si>
    <t>6.18亿</t>
  </si>
  <si>
    <t>92.82亿</t>
  </si>
  <si>
    <t>15.55亿</t>
  </si>
  <si>
    <t>3.94亿</t>
  </si>
  <si>
    <t>SH600807</t>
  </si>
  <si>
    <t>济南高新</t>
  </si>
  <si>
    <t>17.17亿</t>
  </si>
  <si>
    <t>12.82亿</t>
  </si>
  <si>
    <t>10.89亿</t>
  </si>
  <si>
    <t>15.22亿</t>
  </si>
  <si>
    <t>1468.50万</t>
  </si>
  <si>
    <t>-8.25亿</t>
  </si>
  <si>
    <t>6312.45万</t>
  </si>
  <si>
    <t>3588.30万</t>
  </si>
  <si>
    <t>61.38亿</t>
  </si>
  <si>
    <t>6.81亿</t>
  </si>
  <si>
    <t>13.63亿</t>
  </si>
  <si>
    <t>44.42亿</t>
  </si>
  <si>
    <t>10派8元(含税)</t>
  </si>
  <si>
    <t>-1464.87万</t>
  </si>
  <si>
    <t>31.19亿</t>
  </si>
  <si>
    <t>14.69亿</t>
  </si>
  <si>
    <t>5.24亿</t>
  </si>
  <si>
    <t>4319.51万</t>
  </si>
  <si>
    <t>10派2.50元(含税)</t>
  </si>
  <si>
    <t>8771.22万</t>
  </si>
  <si>
    <t>19.80亿</t>
  </si>
  <si>
    <t>10派5.5元(含税)</t>
  </si>
  <si>
    <t>5.79亿</t>
  </si>
  <si>
    <t>1797.30万</t>
  </si>
  <si>
    <t>35.57亿</t>
  </si>
  <si>
    <t>9.45亿</t>
  </si>
  <si>
    <t>61.66亿</t>
  </si>
  <si>
    <t>30.45亿</t>
  </si>
  <si>
    <t>42.31亿</t>
  </si>
  <si>
    <t>20.26亿</t>
  </si>
  <si>
    <t>28.64亿</t>
  </si>
  <si>
    <t>2.44亿</t>
  </si>
  <si>
    <t>20.58亿</t>
  </si>
  <si>
    <t>2333.14万</t>
  </si>
  <si>
    <t>11.22亿</t>
  </si>
  <si>
    <t>4047.36万</t>
  </si>
  <si>
    <t>12.02亿</t>
  </si>
  <si>
    <t>92.38亿</t>
  </si>
  <si>
    <t>16.56亿</t>
  </si>
  <si>
    <t>64.50亿</t>
  </si>
  <si>
    <t>19.37亿</t>
  </si>
  <si>
    <t>14.40亿</t>
  </si>
  <si>
    <t>87.68亿</t>
  </si>
  <si>
    <t>20.68亿</t>
  </si>
  <si>
    <t>15.49亿</t>
  </si>
  <si>
    <t>23.26亿</t>
  </si>
  <si>
    <t>7.60亿</t>
  </si>
  <si>
    <t>21.30亿</t>
  </si>
  <si>
    <t>3.84亿</t>
  </si>
  <si>
    <t>9.83亿</t>
  </si>
  <si>
    <t>4269.43万</t>
  </si>
  <si>
    <t>55.35亿</t>
  </si>
  <si>
    <t>18.28亿</t>
  </si>
  <si>
    <t>3.82亿</t>
  </si>
  <si>
    <t>5.22亿</t>
  </si>
  <si>
    <t>10.12亿</t>
  </si>
  <si>
    <t>9382.59万</t>
  </si>
  <si>
    <t>SH688581</t>
  </si>
  <si>
    <t>安杰思</t>
  </si>
  <si>
    <t>4523.44万</t>
  </si>
  <si>
    <t>5473.95万</t>
  </si>
  <si>
    <t>3731.55万</t>
  </si>
  <si>
    <t>33.89亿</t>
  </si>
  <si>
    <t>9521.73万</t>
  </si>
  <si>
    <t>12.16亿</t>
  </si>
  <si>
    <t>4165.11万</t>
  </si>
  <si>
    <t>19.01亿</t>
  </si>
  <si>
    <t>SH688576</t>
  </si>
  <si>
    <t>西山科技</t>
  </si>
  <si>
    <t>4.32亿</t>
  </si>
  <si>
    <t>7535.16万</t>
  </si>
  <si>
    <t>6142.94万</t>
  </si>
  <si>
    <t xml:space="preserve">影响净利润的原因主要如下：
1、原材料价格上涨（尤其是海外进口的部件）；2、公司在研发、管理、销售、制造、服务各环节同步进行人员补强和储备，用工成本及各类费用相应增加；3、受外部环境影响，海外产品交付环节压力及支出增加，国际收入占比约为 19.18%低于预期，影响整体毛利率水平。
</t>
    <phoneticPr fontId="1" type="noConversion"/>
  </si>
  <si>
    <t xml:space="preserve">1.面对发展机遇，公司提出“M+E+C（AI）”策略。其中“M”即“Machinery”——设备，“E”即“Engineering”——工程，“C”即Consumable”——耗材，“AI”——数智化。意为客户提供设备+耗材+工程一体化的智能解决方案，提供量身定制的一站式服务，打造平台型一体化供应商。
</t>
    <phoneticPr fontId="1" type="noConversion"/>
  </si>
  <si>
    <r>
      <t>1.近年来，内镜设备耗材化的趋势已经逐渐形成，一次性内镜开始在各个领域崭露头角。传统软式内镜存在购置成本高、周转率低、结构复杂消毒困难、维修成本高等问题。</t>
    </r>
    <r>
      <rPr>
        <b/>
        <sz val="9"/>
        <color rgb="FFFF0000"/>
        <rFont val="宋体"/>
        <family val="3"/>
        <charset val="134"/>
        <scheme val="minor"/>
      </rPr>
      <t>一次性内镜避免了传统内镜的诸多问题</t>
    </r>
    <r>
      <rPr>
        <sz val="9"/>
        <color theme="1"/>
        <rFont val="宋体"/>
        <family val="3"/>
        <charset val="134"/>
        <scheme val="minor"/>
      </rPr>
      <t>，同时随着技术进步，成本也大幅下降，逐步获得市场认可。支气管镜、胆道镜、输尿管镜、鼻咽镜等软式内镜在未来均有望实现一次性替代。全球一次性内镜市场规模在近几年也增长迅速，复合增长率高达40%多。我国一次性内镜行业起步较晚，但近年来发展迅速。很多企业布局呼吸、消化、泌尿、妇科等领域的一次性内镜，数个省份也已经将一次性内镜列入了医保支付目录，我国的一次性内镜市场即将迎来高速增长。2.2023年公司从追求规模增长转变为价值增长，明确2023年开源、提效、降本三个方向目标，做深做透内镜诊疗耗材第一增长曲线、</t>
    </r>
    <r>
      <rPr>
        <b/>
        <sz val="9"/>
        <color rgb="FFFF0000"/>
        <rFont val="宋体"/>
        <family val="3"/>
        <charset val="134"/>
        <scheme val="minor"/>
      </rPr>
      <t>加强一次性内镜第二增长曲线</t>
    </r>
    <r>
      <rPr>
        <sz val="9"/>
        <color theme="1"/>
        <rFont val="宋体"/>
        <family val="3"/>
        <charset val="134"/>
        <scheme val="minor"/>
      </rPr>
      <t>、持续探索和培育第三增长曲线，一季度归母净利润实现1.01亿元，同比增长134%。</t>
    </r>
    <phoneticPr fontId="1" type="noConversion"/>
  </si>
  <si>
    <t>1.2022年亚太区实现收入2.9亿元，同比增长18%；欧非区实现收入2.5亿元，同比增长84%；美洲区域实现收入0.6亿元，同比增长228%；国内区域实现收入11.6亿元，同比增长32%。</t>
    <phoneticPr fontId="1" type="noConversion"/>
  </si>
  <si>
    <r>
      <t>1.问：内窥镜上面有什么核心零部件从国外进口？答：内窥镜的主要材料分为光学材料、机械材料和电子材料三类，光学和机械类材料都有部分从国外进口，这些进口材料在国内都有可替代的，但在品质的稳定性上进口材料更优。在电子材料方面的，有些</t>
    </r>
    <r>
      <rPr>
        <sz val="9"/>
        <color rgb="FFFF0000"/>
        <rFont val="宋体"/>
        <family val="3"/>
        <charset val="134"/>
        <scheme val="minor"/>
      </rPr>
      <t>图像处理方面的芯片如CMOS和FPGA目前国内还没有可替代的</t>
    </r>
    <r>
      <rPr>
        <sz val="9"/>
        <color theme="1"/>
        <rFont val="宋体"/>
        <family val="3"/>
        <charset val="134"/>
        <scheme val="minor"/>
      </rPr>
      <t>，只能从国外进口。；2.公司主要营收以外销收入为主，</t>
    </r>
    <r>
      <rPr>
        <b/>
        <sz val="9"/>
        <color rgb="FFFF0000"/>
        <rFont val="宋体"/>
        <family val="3"/>
        <charset val="134"/>
        <scheme val="minor"/>
      </rPr>
      <t>史赛克为主要外销客户</t>
    </r>
    <r>
      <rPr>
        <sz val="9"/>
        <rFont val="宋体"/>
        <family val="3"/>
        <charset val="134"/>
        <scheme val="minor"/>
      </rPr>
      <t>，所以销售费用低，但这也是一个问题；3.相对于软镜来讲，硬镜对于光学技术有更高的要求，而</t>
    </r>
    <r>
      <rPr>
        <sz val="9"/>
        <color rgb="FFFF0000"/>
        <rFont val="宋体"/>
        <family val="3"/>
        <charset val="134"/>
        <scheme val="minor"/>
      </rPr>
      <t>光学技术的积累需要一个长期的过程</t>
    </r>
    <r>
      <rPr>
        <sz val="9"/>
        <rFont val="宋体"/>
        <family val="3"/>
        <charset val="134"/>
        <scheme val="minor"/>
      </rPr>
      <t>。从世界领先的头部企业来看，能够把硬镜产品与软镜产品同时做好的目前只有奥林巴斯一家（奥林巴斯的光学技术非常优秀），除此以外的</t>
    </r>
    <r>
      <rPr>
        <sz val="9"/>
        <color rgb="FFFF0000"/>
        <rFont val="宋体"/>
        <family val="3"/>
        <charset val="134"/>
        <scheme val="minor"/>
      </rPr>
      <t>软镜和硬镜头部企业都不重叠</t>
    </r>
    <r>
      <rPr>
        <sz val="9"/>
        <rFont val="宋体"/>
        <family val="3"/>
        <charset val="134"/>
        <scheme val="minor"/>
      </rPr>
      <t>。4.问：美国客户美国以外市场如何预期？答：美国客户2022年在美国以外的新兴市场如加拿大、欧洲和日本等国家和地区的增长是比较好的。从</t>
    </r>
    <r>
      <rPr>
        <sz val="9"/>
        <color rgb="FFFF0000"/>
        <rFont val="宋体"/>
        <family val="3"/>
        <charset val="134"/>
        <scheme val="minor"/>
      </rPr>
      <t>公开信息来看，客户对于以上新兴市场的销售是持续看好的</t>
    </r>
    <r>
      <rPr>
        <sz val="9"/>
        <rFont val="宋体"/>
        <family val="3"/>
        <charset val="134"/>
        <scheme val="minor"/>
      </rPr>
      <t>，尤其是新一代内窥镜系统会在今年第三季度推出</t>
    </r>
    <phoneticPr fontId="1" type="noConversion"/>
  </si>
  <si>
    <r>
      <t>1.公司是史赛克供应荧</t>
    </r>
    <r>
      <rPr>
        <b/>
        <sz val="9"/>
        <color theme="1"/>
        <rFont val="宋体"/>
        <family val="3"/>
        <charset val="134"/>
        <scheme val="minor"/>
      </rPr>
      <t>光腹腔镜光源模组和适配镜头的唯一供应商</t>
    </r>
    <r>
      <rPr>
        <sz val="9"/>
        <color theme="1"/>
        <rFont val="宋体"/>
        <family val="3"/>
        <charset val="134"/>
        <scheme val="minor"/>
      </rPr>
      <t>；2.问：2022年美国客户内窥镜增速以及2023年的预期？答：美国客户在2022年的内窥镜业务有不错的增长，</t>
    </r>
    <r>
      <rPr>
        <sz val="9"/>
        <color rgb="FFFF0000"/>
        <rFont val="宋体"/>
        <family val="3"/>
        <charset val="134"/>
        <scheme val="minor"/>
      </rPr>
      <t>增速达到百分之十几</t>
    </r>
    <r>
      <rPr>
        <sz val="9"/>
        <color theme="1"/>
        <rFont val="宋体"/>
        <family val="3"/>
        <charset val="134"/>
        <scheme val="minor"/>
      </rPr>
      <t>。从目前的市场需求来看，2023年也会保持一个稳步增长的态势。3.问：我们的产品和国内其他品牌相比的优势在哪？答：公司的产品与其他国内品牌相比有几点优势：一是采用</t>
    </r>
    <r>
      <rPr>
        <b/>
        <sz val="9"/>
        <color rgb="FFFF0000"/>
        <rFont val="宋体"/>
        <family val="3"/>
        <charset val="134"/>
        <scheme val="minor"/>
      </rPr>
      <t>光学除雾技术</t>
    </r>
    <r>
      <rPr>
        <sz val="9"/>
        <color theme="1"/>
        <rFont val="宋体"/>
        <family val="3"/>
        <charset val="134"/>
        <scheme val="minor"/>
      </rPr>
      <t>，（除雾内窥镜摄像系统于3月取得生产许可证，目前正在准备生产物料，预计5月会投放样机到临床试用，</t>
    </r>
    <r>
      <rPr>
        <sz val="9"/>
        <color rgb="FFFF0000"/>
        <rFont val="宋体"/>
        <family val="3"/>
        <charset val="134"/>
        <scheme val="minor"/>
      </rPr>
      <t>下半年进行正式销售，目前采用光学除雾技术的只有海泰新光，</t>
    </r>
    <r>
      <rPr>
        <sz val="9"/>
        <rFont val="宋体"/>
        <family val="3"/>
        <charset val="134"/>
        <scheme val="minor"/>
      </rPr>
      <t>并且已经在中国、美国等主要国家和地区取得了专利保护</t>
    </r>
    <r>
      <rPr>
        <sz val="9"/>
        <color theme="1"/>
        <rFont val="宋体"/>
        <family val="3"/>
        <charset val="134"/>
        <scheme val="minor"/>
      </rPr>
      <t>）解决手术过程中内窥镜起雾的临床痛点；二是核心部件都是公司执行设计和生产，成本和质量的控制更有优势；三是公司</t>
    </r>
    <r>
      <rPr>
        <sz val="9"/>
        <color rgb="FFFF0000"/>
        <rFont val="宋体"/>
        <family val="3"/>
        <charset val="134"/>
        <scheme val="minor"/>
      </rPr>
      <t>掌握从整机到零部件的核心底层技术</t>
    </r>
    <r>
      <rPr>
        <sz val="9"/>
        <color theme="1"/>
        <rFont val="宋体"/>
        <family val="3"/>
        <charset val="134"/>
        <scheme val="minor"/>
      </rPr>
      <t>，可以在临床过程中快速的适应临床要求，满足临床对产品创新的需求。4.问：以后重点会放到整机上吗？答：公司的市场定位是内外结合，</t>
    </r>
    <r>
      <rPr>
        <sz val="9"/>
        <color rgb="FFFF0000"/>
        <rFont val="宋体"/>
        <family val="3"/>
        <charset val="134"/>
        <scheme val="minor"/>
      </rPr>
      <t>国际市场以ODM为主、国内市场以自主品牌为主</t>
    </r>
    <r>
      <rPr>
        <sz val="9"/>
        <color theme="1"/>
        <rFont val="宋体"/>
        <family val="3"/>
        <charset val="134"/>
        <scheme val="minor"/>
      </rPr>
      <t>，公司会坚定不移的进行自主品牌和销售渠道的建设，国内整机市场的推广进度会影响到公司业绩增长的速度。5.问：掌静脉仪和新能源汽车企业的合作进展？答：这一场景的合作还在进行商谈中，原来是集中于高端线，现在公司正在开发一些价格较为亲民的消费级别产品。</t>
    </r>
    <phoneticPr fontId="1" type="noConversion"/>
  </si>
  <si>
    <t>1.公司骨科手术机器人可以将医生的手术规划转换为机器人精确定位，降低对医生经验的依赖，提高手术精度至亚毫米级，帮助医生完成高难度手术。在骨科手术机器人的辅助下，未来各级医疗机构也可以开展类似高难度手术，有助于提高基层医疗机构治疗水平。</t>
    <phoneticPr fontId="1" type="noConversion"/>
  </si>
  <si>
    <t>SZ300341</t>
  </si>
  <si>
    <t>麦克奥迪</t>
  </si>
  <si>
    <t>17.94亿</t>
  </si>
  <si>
    <t>4.73亿</t>
  </si>
  <si>
    <t>14.65亿</t>
  </si>
  <si>
    <t>11.18亿</t>
  </si>
  <si>
    <t>9.79亿</t>
  </si>
  <si>
    <t>SZ301515</t>
  </si>
  <si>
    <t>港通医疗</t>
  </si>
  <si>
    <t>7.69亿</t>
  </si>
  <si>
    <t xml:space="preserve">1.可转债11亿用途：a.生物工程一期建设项目 63,068.00;b.医药装备与材料技术研究中心项目 25,266.00;c.补充流动资金 22,000.00
</t>
    <phoneticPr fontId="1" type="noConversion"/>
  </si>
  <si>
    <t>-3-0</t>
  </si>
  <si>
    <t>1.预计公司在亚太及拉美地区的业务有望实现快速增长，成为公司海外业绩增长的主要驱动力之一。</t>
    <phoneticPr fontId="1" type="noConversion"/>
  </si>
  <si>
    <t>3.41亿</t>
  </si>
  <si>
    <t>-3.09亿</t>
  </si>
  <si>
    <t>-10.24亿</t>
  </si>
  <si>
    <t>-7.91亿</t>
  </si>
  <si>
    <t>6.00亿</t>
  </si>
  <si>
    <t>4.82亿</t>
  </si>
  <si>
    <t>2.17亿</t>
  </si>
  <si>
    <t>7.50亿</t>
  </si>
  <si>
    <t>3.97亿</t>
  </si>
  <si>
    <t>1.68亿</t>
  </si>
  <si>
    <t>5.97亿</t>
  </si>
  <si>
    <t>6.76亿</t>
  </si>
  <si>
    <t>2.49亿</t>
  </si>
  <si>
    <t>4.03亿</t>
  </si>
  <si>
    <t>6.40亿</t>
  </si>
  <si>
    <t>8.58亿</t>
  </si>
  <si>
    <t>4.10亿</t>
  </si>
  <si>
    <t>3.83亿</t>
  </si>
  <si>
    <t>4.22亿</t>
  </si>
  <si>
    <t>5.41亿</t>
  </si>
  <si>
    <t>11.46亿</t>
  </si>
  <si>
    <t>1.66亿</t>
  </si>
  <si>
    <t>2.76亿</t>
  </si>
  <si>
    <t>2.23亿</t>
  </si>
  <si>
    <t>7.80亿</t>
  </si>
  <si>
    <t>6.84亿</t>
  </si>
  <si>
    <t>5.70亿</t>
  </si>
  <si>
    <t>4.75亿</t>
  </si>
  <si>
    <t>7.54亿</t>
  </si>
  <si>
    <t>6.64亿</t>
  </si>
  <si>
    <t>7167.84万</t>
  </si>
  <si>
    <t>6528.80万</t>
  </si>
  <si>
    <t>3464.89万</t>
  </si>
  <si>
    <t>2387.20万</t>
  </si>
  <si>
    <t>5.34亿</t>
  </si>
  <si>
    <t>18.64亿</t>
  </si>
  <si>
    <t>11.54亿</t>
  </si>
  <si>
    <t>6.23亿</t>
  </si>
  <si>
    <t>3.43亿</t>
  </si>
  <si>
    <t>7.45亿</t>
  </si>
  <si>
    <t>1000.00万</t>
  </si>
  <si>
    <t>8249.60万</t>
  </si>
  <si>
    <t>1419.07万</t>
  </si>
  <si>
    <t>-5419.88万</t>
  </si>
  <si>
    <t>-2-1</t>
  </si>
  <si>
    <t>基蛋生物</t>
  </si>
  <si>
    <t>1. 脑膜片进入医保，人工晶体进入医保；2.皮肤的银屑病软膏本维莫德针对90%的轻度患者适用性广；</t>
    <phoneticPr fontId="1" type="noConversion"/>
  </si>
  <si>
    <t>1. 和基蛋一样，从poct向化学发光发展；2. 产品应用于肝癌肝炎、心脑血管疾病、炎症感染等临床领域和公共安全及其他领域；2.连续开发出小型、中型、大型全自动化学发光仪器和试剂产品；3.上转发光技术率先将稀土元素所构成的上转发光材料（UCP）应用于临床及生物安全领域，并荣获 2015 年国家技术发明二等奖</t>
    <phoneticPr fontId="1" type="noConversion"/>
  </si>
  <si>
    <t>16.62亿</t>
  </si>
  <si>
    <t>12.35亿</t>
  </si>
  <si>
    <t>-3-1</t>
  </si>
  <si>
    <t>5.65亿</t>
  </si>
  <si>
    <t>8.07亿</t>
  </si>
  <si>
    <t>12.42亿</t>
  </si>
  <si>
    <t>9.02亿</t>
  </si>
  <si>
    <t>15.33亿</t>
  </si>
  <si>
    <t>6.36亿</t>
  </si>
  <si>
    <t>5.26亿</t>
  </si>
  <si>
    <t>8.11亿</t>
  </si>
  <si>
    <t>7.70亿</t>
  </si>
  <si>
    <t>10.14亿</t>
  </si>
  <si>
    <t>2.87亿</t>
  </si>
  <si>
    <t>6.54亿</t>
  </si>
  <si>
    <t>8.03亿</t>
  </si>
  <si>
    <t>13.92亿</t>
  </si>
  <si>
    <t>12.73亿</t>
  </si>
  <si>
    <t>4.54亿</t>
  </si>
  <si>
    <t>2.79亿</t>
  </si>
  <si>
    <t>5.08亿</t>
  </si>
  <si>
    <t>12.84亿</t>
  </si>
  <si>
    <t>11.06亿</t>
  </si>
  <si>
    <t>15.90亿</t>
  </si>
  <si>
    <t>-1.40亿</t>
  </si>
  <si>
    <t>10.88亿</t>
  </si>
  <si>
    <t>6.68亿</t>
  </si>
  <si>
    <t>拱东医疗</t>
  </si>
  <si>
    <t>4.97亿</t>
  </si>
  <si>
    <t>22.04亿</t>
  </si>
  <si>
    <t>-1.69亿</t>
  </si>
  <si>
    <t>4.85亿</t>
  </si>
  <si>
    <t>7.92亿</t>
  </si>
  <si>
    <t>3.13亿</t>
  </si>
  <si>
    <t>11.04亿</t>
  </si>
  <si>
    <t>-1.49亿</t>
  </si>
  <si>
    <t>18.83亿</t>
  </si>
  <si>
    <t>12.67亿</t>
  </si>
  <si>
    <t>26.54亿</t>
  </si>
  <si>
    <t>3.92亿</t>
  </si>
  <si>
    <t>-3.98亿</t>
  </si>
  <si>
    <t>4.67亿</t>
  </si>
  <si>
    <t>16.24亿</t>
  </si>
  <si>
    <t>3.64亿</t>
  </si>
  <si>
    <t>6.05亿</t>
  </si>
  <si>
    <t>4.86亿</t>
  </si>
  <si>
    <t>1.在技术研发、商业化方面始终向 GE 医疗、西门子医疗以及飞利浦医疗这些高端医疗设备领军企业对标。</t>
    <phoneticPr fontId="1" type="noConversion"/>
  </si>
  <si>
    <r>
      <t xml:space="preserve">1.销售医学影像诊断设备及放射治疗设备是公司的主要收入来源，包含 </t>
    </r>
    <r>
      <rPr>
        <sz val="9"/>
        <color rgb="FFFF0000"/>
        <rFont val="宋体"/>
        <family val="3"/>
        <charset val="134"/>
        <scheme val="minor"/>
      </rPr>
      <t>CT，MR，MI，XR 及 RT</t>
    </r>
    <r>
      <rPr>
        <sz val="9"/>
        <color theme="1"/>
        <rFont val="宋体"/>
        <family val="3"/>
        <charset val="134"/>
        <scheme val="minor"/>
      </rPr>
      <t xml:space="preserve"> 五大业务线，入驻全国近 900 家三甲医院，MR、CT、PET/CT、PET/MR、DR 等品类全面打破“GPS”垄断;2.影像业务构成占比：MR(Megnetic Resonance)21.39%，CT(Computed Tomography)47.87%，XR(X Ray,分DR, DSA, 乳腺机等)6.91%，MI(Molecular Imaging,就是各种PET-xx)14.55%，RT(Radiation Therapy)1.95%；</t>
    </r>
    <phoneticPr fontId="1" type="noConversion"/>
  </si>
  <si>
    <t>账面净赚</t>
  </si>
  <si>
    <t>-4-1</t>
  </si>
  <si>
    <r>
      <t>1.公司生命信息与支持业务的主要产品已逐渐步入全球引领阶段，监护仪、输注泵、麻醉机、
除颤仪、灯床塔的市场份额均已达到中国第一，其中监护仪和麻醉机的市场份额在全球排名第三。体外诊断领域，公司产品包括血液细胞分析仪、化学发光免疫分析仪、生化分析仪、凝血分析仪、尿液分析仪、微生物诊断系统等及相关试剂。目前，血球业务和生化业务市场份额均已成为全国第一。公司医学影像业务主要聚焦于超声和 DR，目前超声业务的市场份额已上升至全国第二，全球第四。随着各产线在高端领域不断推出重磅产品，公司在全球高端客户群中的渗透率不断提高，品牌影响力也在持续提升。2.作为医疗器械产品解决方案和 IT 生态方案提供商，迈瑞医疗近年推出了智慧医院全院解决方案、数字一体化手术室系统，并针对公司三条核心产品线分别推出了“瑞智联生态系统”、
“迈瑞质检实验室解决方案”、“瑞影云++”三大 IT 解决方案，即“三瑞”生态系统。“三瑞”系统能极大地简化工作流程，提升医生工作效率。3.迈瑞收购惠泰医疗20%股份-66亿，</t>
    </r>
    <r>
      <rPr>
        <sz val="9"/>
        <color rgb="FFFF0000"/>
        <rFont val="宋体"/>
        <family val="3"/>
        <charset val="134"/>
        <scheme val="minor"/>
      </rPr>
      <t>进入电生理，冠脉导管行业</t>
    </r>
    <r>
      <rPr>
        <sz val="9"/>
        <color theme="1"/>
        <rFont val="宋体"/>
        <family val="3"/>
        <charset val="134"/>
        <scheme val="minor"/>
      </rPr>
      <t>。</t>
    </r>
    <phoneticPr fontId="1" type="noConversion"/>
  </si>
  <si>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</si>
  <si>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</si>
  <si>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</si>
  <si>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</si>
  <si>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</si>
  <si>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</si>
  <si>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</si>
  <si>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</si>
  <si>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</si>
  <si>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0.电生理手术的目的在于心律失常的诊断及治疗， 是通过穿刺股静脉、 颈内静脉或锁骨下静脉，将电极导管输送到心腔特定部位，先检查及定位引起 心动过速的异常位置，然后在该处进行局部射频消 融，以达到阻断心脏电信号异常传导路径或起源点的介入诊断治疗技术。1.公司是国产电生理和血管介入医疗器械品种品类齐全、规模领先 、具有较强市场竞争力的企业之一，也是能够与国外产品形成强有力竞争的为数不多的企业之一。</t>
    <phoneticPr fontId="1" type="noConversion"/>
  </si>
  <si>
    <t>1.公司电生理耗材产品的竞争对手主要是强生、雅培等企业，销售价格方面定价略低于进口其他产品。2.国内竞争对手：微创医疗，归创通桥，赛诺医疗；惠泰排第三；</t>
    <phoneticPr fontId="1" type="noConversion"/>
  </si>
  <si>
    <t>3-0</t>
  </si>
  <si>
    <t>-5-1</t>
  </si>
  <si>
    <t>4-0</t>
  </si>
  <si>
    <t>3-1</t>
  </si>
  <si>
    <t>4.05亿</t>
  </si>
  <si>
    <t>-5-0</t>
  </si>
  <si>
    <r>
      <t>0.公司业务主要分为</t>
    </r>
    <r>
      <rPr>
        <sz val="9"/>
        <color rgb="FFFF0000"/>
        <rFont val="宋体"/>
        <family val="3"/>
        <charset val="134"/>
        <scheme val="minor"/>
      </rPr>
      <t>生物样本库、药品及试剂安全、血液安全和疫苗安全</t>
    </r>
    <r>
      <rPr>
        <sz val="9"/>
        <color theme="1"/>
        <rFont val="宋体"/>
        <family val="3"/>
        <charset val="134"/>
        <scheme val="minor"/>
      </rPr>
      <t>四大板块;1.全球低温存储市场集中度较高，主要参与者为</t>
    </r>
    <r>
      <rPr>
        <b/>
        <sz val="9"/>
        <color rgb="FFFF0000"/>
        <rFont val="宋体"/>
        <family val="3"/>
        <charset val="134"/>
        <scheme val="minor"/>
      </rPr>
      <t>赛默飞世尔、普和希和海尔生物</t>
    </r>
    <r>
      <rPr>
        <sz val="9"/>
        <color theme="1"/>
        <rFont val="宋体"/>
        <family val="3"/>
        <charset val="134"/>
        <scheme val="minor"/>
      </rPr>
      <t>，三家企业合计市场规模占据60%;第二梯队包括</t>
    </r>
    <r>
      <rPr>
        <sz val="9"/>
        <color rgb="FFFF0000"/>
        <rFont val="宋体"/>
        <family val="3"/>
        <charset val="134"/>
        <scheme val="minor"/>
      </rPr>
      <t>中科美菱、艾本德、澳柯玛</t>
    </r>
    <r>
      <rPr>
        <sz val="9"/>
        <color theme="1"/>
        <rFont val="宋体"/>
        <family val="3"/>
        <charset val="134"/>
        <scheme val="minor"/>
      </rPr>
      <t>等企业;第三梯队 包括</t>
    </r>
    <r>
      <rPr>
        <sz val="9"/>
        <color rgb="FFFF0000"/>
        <rFont val="宋体"/>
        <family val="3"/>
        <charset val="134"/>
        <scheme val="minor"/>
      </rPr>
      <t>冰轮环境</t>
    </r>
    <r>
      <rPr>
        <sz val="9"/>
        <color theme="1"/>
        <rFont val="宋体"/>
        <family val="3"/>
        <charset val="134"/>
        <scheme val="minor"/>
      </rPr>
      <t>.</t>
    </r>
    <phoneticPr fontId="1" type="noConversion"/>
  </si>
  <si>
    <r>
      <t>1.2023年上半年公司</t>
    </r>
    <r>
      <rPr>
        <sz val="9"/>
        <color rgb="FFFF0000"/>
        <rFont val="宋体"/>
        <family val="3"/>
        <charset val="134"/>
        <scheme val="minor"/>
      </rPr>
      <t>非存储类业务</t>
    </r>
    <r>
      <rPr>
        <sz val="9"/>
        <color theme="1"/>
        <rFont val="宋体"/>
        <family val="3"/>
        <charset val="134"/>
        <scheme val="minor"/>
      </rPr>
      <t>占比33.5%，较去年同期增长50%;2.公司前瞻性提前布局航空温控业务，打开航空冷链新的增长空间;3.公司物联网打开新的增长空间，疫苗安全和血液安全增长迅猛。</t>
    </r>
    <phoneticPr fontId="1" type="noConversion"/>
  </si>
  <si>
    <t>24.28亿</t>
  </si>
  <si>
    <t>-2.34亿</t>
  </si>
  <si>
    <t>2366656亿</t>
  </si>
  <si>
    <t>-39116564亿</t>
  </si>
  <si>
    <t>16.31亿</t>
  </si>
  <si>
    <t>1113732240亿</t>
  </si>
  <si>
    <t>4142000000亿</t>
  </si>
  <si>
    <t>9.72亿</t>
  </si>
  <si>
    <t>8.33亿</t>
  </si>
  <si>
    <t>5476.19万</t>
  </si>
  <si>
    <t>18.61亿</t>
  </si>
  <si>
    <t>11.81亿</t>
  </si>
  <si>
    <t>-22096061亿</t>
  </si>
  <si>
    <t>-69813962亿</t>
  </si>
  <si>
    <t>1872415200亿</t>
  </si>
  <si>
    <t>5496322800亿</t>
  </si>
  <si>
    <t>3656.14万</t>
  </si>
  <si>
    <t>10派0.15元(含税)</t>
  </si>
  <si>
    <t>10.81亿</t>
  </si>
  <si>
    <t>6664.39万</t>
  </si>
  <si>
    <t>2379亿</t>
  </si>
  <si>
    <t>-16687637亿</t>
  </si>
  <si>
    <t>49440422亿</t>
  </si>
  <si>
    <t>1188895230亿</t>
  </si>
  <si>
    <t>470.00万</t>
  </si>
  <si>
    <t>4678.11万</t>
  </si>
  <si>
    <t>1106.91万</t>
  </si>
  <si>
    <t>开始亏损</t>
  </si>
  <si>
    <t>05250000000</t>
  </si>
  <si>
    <t>010500000000</t>
  </si>
  <si>
    <t>017500000000</t>
  </si>
  <si>
    <t>035000000000</t>
  </si>
  <si>
    <t>4-1</t>
  </si>
  <si>
    <t>40.52亿</t>
  </si>
  <si>
    <t>22.31亿</t>
  </si>
  <si>
    <t>79.72亿</t>
  </si>
  <si>
    <t>23.96亿</t>
  </si>
  <si>
    <t>-854710亿</t>
  </si>
  <si>
    <t>550683630亿</t>
  </si>
  <si>
    <t>884734320亿</t>
  </si>
  <si>
    <t>10078070800亿</t>
  </si>
  <si>
    <t>27.03亿</t>
  </si>
  <si>
    <t>7.14亿</t>
  </si>
  <si>
    <t>60.85亿</t>
  </si>
  <si>
    <t>14.55亿</t>
  </si>
  <si>
    <t>49.27亿</t>
  </si>
  <si>
    <t>-5.68亿</t>
  </si>
  <si>
    <t>-4316709亿</t>
  </si>
  <si>
    <t>-124119343亿</t>
  </si>
  <si>
    <t>982387990亿</t>
  </si>
  <si>
    <t>4677974700亿</t>
  </si>
  <si>
    <t>5.43亿</t>
  </si>
  <si>
    <t>10.94亿</t>
  </si>
  <si>
    <t>-7729.98万</t>
  </si>
  <si>
    <t>27.95亿</t>
  </si>
  <si>
    <t>7.62亿</t>
  </si>
  <si>
    <t>32.31亿</t>
  </si>
  <si>
    <t>12.52亿</t>
  </si>
  <si>
    <t>175801810亿</t>
  </si>
  <si>
    <t>315771990亿</t>
  </si>
  <si>
    <t>192945250亿</t>
  </si>
  <si>
    <t>10794140300亿</t>
  </si>
  <si>
    <t>14.95亿</t>
  </si>
  <si>
    <t>6.31亿</t>
  </si>
  <si>
    <t>1507312亿</t>
  </si>
  <si>
    <t>6335007亿</t>
  </si>
  <si>
    <t>472560600亿</t>
  </si>
  <si>
    <t>1811981500亿</t>
  </si>
  <si>
    <t>703.17万</t>
  </si>
  <si>
    <t>9.01亿</t>
  </si>
  <si>
    <t>6486.35万</t>
  </si>
  <si>
    <t>-86.73亿</t>
  </si>
  <si>
    <t>14254896亿</t>
  </si>
  <si>
    <t>112820755亿</t>
  </si>
  <si>
    <t>522127230亿</t>
  </si>
  <si>
    <t>991.00万</t>
  </si>
  <si>
    <t>-2.08亿</t>
  </si>
  <si>
    <t>2009.99万</t>
  </si>
  <si>
    <t>10派0.85元(含税)</t>
  </si>
  <si>
    <t>5897.25万</t>
  </si>
  <si>
    <t>4199276亿</t>
  </si>
  <si>
    <t>49360290亿</t>
  </si>
  <si>
    <t>242474850亿</t>
  </si>
  <si>
    <t>3091003700亿</t>
  </si>
  <si>
    <t>9255.53万</t>
  </si>
  <si>
    <t>3.91亿</t>
  </si>
  <si>
    <t>5820.93万</t>
  </si>
  <si>
    <t>6096.34万</t>
  </si>
  <si>
    <t>7492.59万</t>
  </si>
  <si>
    <t>26856888亿</t>
  </si>
  <si>
    <t>-15970615亿</t>
  </si>
  <si>
    <t>1064219780亿</t>
  </si>
  <si>
    <t>89.14万</t>
  </si>
  <si>
    <t>2531590500亿</t>
  </si>
  <si>
    <t>7545.07万</t>
  </si>
  <si>
    <t>27.57亿</t>
  </si>
  <si>
    <t>5164033亿</t>
  </si>
  <si>
    <t>83581008亿</t>
  </si>
  <si>
    <t>369144460亿</t>
  </si>
  <si>
    <t>1877393900亿</t>
  </si>
  <si>
    <t>1500.00万</t>
  </si>
  <si>
    <t>13.25亿</t>
  </si>
  <si>
    <t>75.25亿</t>
  </si>
  <si>
    <t>19.22亿</t>
  </si>
  <si>
    <t>79.80亿</t>
  </si>
  <si>
    <t>12.58亿</t>
  </si>
  <si>
    <t>-4292648亿</t>
  </si>
  <si>
    <t>456433820亿</t>
  </si>
  <si>
    <t>2129677800亿</t>
  </si>
  <si>
    <t>9612306600亿</t>
  </si>
  <si>
    <t>24.37亿</t>
  </si>
  <si>
    <t>10派3.3141元(含税)</t>
  </si>
  <si>
    <t>-4-0</t>
  </si>
  <si>
    <t>6.45亿</t>
  </si>
  <si>
    <t>-6320.38万</t>
  </si>
  <si>
    <t>-8949462亿</t>
  </si>
  <si>
    <t>-3798200亿</t>
  </si>
  <si>
    <t>180878800亿</t>
  </si>
  <si>
    <t>673920230亿</t>
  </si>
  <si>
    <t>1363.39万</t>
  </si>
  <si>
    <t>-685703亿</t>
  </si>
  <si>
    <t>41291172亿</t>
  </si>
  <si>
    <t>457839020亿</t>
  </si>
  <si>
    <t>1335256030亿</t>
  </si>
  <si>
    <t>9788.98万</t>
  </si>
  <si>
    <t>1300.16万</t>
  </si>
  <si>
    <t>47.89亿</t>
  </si>
  <si>
    <t>11.09亿</t>
  </si>
  <si>
    <t>56.42亿</t>
  </si>
  <si>
    <t>3236907亿</t>
  </si>
  <si>
    <t>59818648亿</t>
  </si>
  <si>
    <t>1605589000亿</t>
  </si>
  <si>
    <t>9003718100亿</t>
  </si>
  <si>
    <t>14.23亿</t>
  </si>
  <si>
    <t>19.38亿</t>
  </si>
  <si>
    <t>-212868亿</t>
  </si>
  <si>
    <t>33260565亿</t>
  </si>
  <si>
    <t>136334660亿</t>
  </si>
  <si>
    <t>1583887200亿</t>
  </si>
  <si>
    <t>4.56亿</t>
  </si>
  <si>
    <t>9144.13万</t>
  </si>
  <si>
    <t>3100.58万</t>
  </si>
  <si>
    <t>-129016亿</t>
  </si>
  <si>
    <t>13967061亿</t>
  </si>
  <si>
    <t>74827102亿</t>
  </si>
  <si>
    <t>274841500亿</t>
  </si>
  <si>
    <t>2211.53万</t>
  </si>
  <si>
    <t>031005800</t>
  </si>
  <si>
    <t>093017400</t>
  </si>
  <si>
    <t>0186034800</t>
  </si>
  <si>
    <t>0310058000</t>
  </si>
  <si>
    <t>0620116000</t>
  </si>
  <si>
    <t>-6518.51万</t>
  </si>
  <si>
    <t>2343090亿</t>
  </si>
  <si>
    <t>-6173718亿</t>
  </si>
  <si>
    <t>254043130亿</t>
  </si>
  <si>
    <t>1400813300亿</t>
  </si>
  <si>
    <t>-1.90亿</t>
  </si>
  <si>
    <t>2213.26万</t>
  </si>
  <si>
    <t>2716.22万</t>
  </si>
  <si>
    <t>9462.41万</t>
  </si>
  <si>
    <t>1533.74万</t>
  </si>
  <si>
    <t>4.16亿</t>
  </si>
  <si>
    <t>281975亿</t>
  </si>
  <si>
    <t>-4879445亿</t>
  </si>
  <si>
    <t>129036698亿</t>
  </si>
  <si>
    <t>1086465860亿</t>
  </si>
  <si>
    <t>51.51万</t>
  </si>
  <si>
    <t>829.63万</t>
  </si>
  <si>
    <t>046012200</t>
  </si>
  <si>
    <t>092024400</t>
  </si>
  <si>
    <t>0153374000</t>
  </si>
  <si>
    <t>0306748000</t>
  </si>
  <si>
    <t>24.56亿</t>
  </si>
  <si>
    <t>40.59亿</t>
  </si>
  <si>
    <t>145920亿</t>
  </si>
  <si>
    <t>77581082亿</t>
  </si>
  <si>
    <t>547319300亿</t>
  </si>
  <si>
    <t>1998458100亿</t>
  </si>
  <si>
    <t>39.52亿</t>
  </si>
  <si>
    <t>8.82亿</t>
  </si>
  <si>
    <t>5972.75万</t>
  </si>
  <si>
    <t>-2554624亿</t>
  </si>
  <si>
    <t>39443758亿</t>
  </si>
  <si>
    <t>47493541亿</t>
  </si>
  <si>
    <t>964633250亿</t>
  </si>
  <si>
    <t>9735.86万</t>
  </si>
  <si>
    <t>5001.93万</t>
  </si>
  <si>
    <t>15.85亿</t>
  </si>
  <si>
    <t>10.45亿</t>
  </si>
  <si>
    <t>-2492.94万</t>
  </si>
  <si>
    <t>18366321亿</t>
  </si>
  <si>
    <t>46551141亿</t>
  </si>
  <si>
    <t>1145268680亿</t>
  </si>
  <si>
    <t>-7844.13万</t>
  </si>
  <si>
    <t>517.42万</t>
  </si>
  <si>
    <t>9.56亿</t>
  </si>
  <si>
    <t>-2447817亿</t>
  </si>
  <si>
    <t>8311622亿</t>
  </si>
  <si>
    <t>235019570亿</t>
  </si>
  <si>
    <t>1705364200亿</t>
  </si>
  <si>
    <t>3.29亿</t>
  </si>
  <si>
    <t>7490.05万</t>
  </si>
  <si>
    <t>13.65亿</t>
  </si>
  <si>
    <t>-343460亿</t>
  </si>
  <si>
    <t>26934371亿</t>
  </si>
  <si>
    <t>467210030亿</t>
  </si>
  <si>
    <t>1710644100亿</t>
  </si>
  <si>
    <t>3.49亿</t>
  </si>
  <si>
    <t>3894.22万</t>
  </si>
  <si>
    <t>10派0.7元(含税)</t>
  </si>
  <si>
    <t>69.03亿</t>
  </si>
  <si>
    <t>68.53亿</t>
  </si>
  <si>
    <t>7.32亿</t>
  </si>
  <si>
    <t>-336614亿</t>
  </si>
  <si>
    <t>-24562441亿</t>
  </si>
  <si>
    <t>1484167800亿</t>
  </si>
  <si>
    <t>7400188200亿</t>
  </si>
  <si>
    <t>17.72亿</t>
  </si>
  <si>
    <t>-6.57亿</t>
  </si>
  <si>
    <t>15.53亿</t>
  </si>
  <si>
    <t>12.81亿</t>
  </si>
  <si>
    <t>13.78亿</t>
  </si>
  <si>
    <t>6240843亿</t>
  </si>
  <si>
    <t>119404969亿</t>
  </si>
  <si>
    <t>659052140亿</t>
  </si>
  <si>
    <t>1960804500亿</t>
  </si>
  <si>
    <t>7771.17万</t>
  </si>
  <si>
    <t>14.54亿</t>
  </si>
  <si>
    <t>1115167亿</t>
  </si>
  <si>
    <t>121105155亿</t>
  </si>
  <si>
    <t>1130764140亿</t>
  </si>
  <si>
    <t>2743372100亿</t>
  </si>
  <si>
    <t>7.82亿</t>
  </si>
  <si>
    <t>18.86亿</t>
  </si>
  <si>
    <t>1680077亿</t>
  </si>
  <si>
    <t>64741881亿</t>
  </si>
  <si>
    <t>573677030亿</t>
  </si>
  <si>
    <t>1791170200亿</t>
  </si>
  <si>
    <t>7141.31万</t>
  </si>
  <si>
    <t>10派1.34元(含税)</t>
  </si>
  <si>
    <t>0257000000</t>
  </si>
  <si>
    <t>0771000000</t>
  </si>
  <si>
    <t>01542000000</t>
  </si>
  <si>
    <t>02570000000</t>
  </si>
  <si>
    <t>05140000000</t>
  </si>
  <si>
    <t>6.97亿</t>
  </si>
  <si>
    <t>13.00亿</t>
  </si>
  <si>
    <t>-109477亿</t>
  </si>
  <si>
    <t>46793481亿</t>
  </si>
  <si>
    <t>94668888亿</t>
  </si>
  <si>
    <t>659638140亿</t>
  </si>
  <si>
    <t>4478.56万</t>
  </si>
  <si>
    <t>15.08亿</t>
  </si>
  <si>
    <t>6.16亿</t>
  </si>
  <si>
    <t>28.96亿</t>
  </si>
  <si>
    <t>4.14亿</t>
  </si>
  <si>
    <t>1850226亿</t>
  </si>
  <si>
    <t>117725071亿</t>
  </si>
  <si>
    <t>1707519800亿</t>
  </si>
  <si>
    <t>4121289100亿</t>
  </si>
  <si>
    <t>11.57亿</t>
  </si>
  <si>
    <t>27.65亿</t>
  </si>
  <si>
    <t>4.88亿</t>
  </si>
  <si>
    <t>10.34亿</t>
  </si>
  <si>
    <t>2955606亿</t>
  </si>
  <si>
    <t>208623680亿</t>
  </si>
  <si>
    <t>743917300亿</t>
  </si>
  <si>
    <t>4050347300亿</t>
  </si>
  <si>
    <t>-1.13亿</t>
  </si>
  <si>
    <t>23.90亿</t>
  </si>
  <si>
    <t>7.44亿</t>
  </si>
  <si>
    <t>2528326亿</t>
  </si>
  <si>
    <t>270836100亿</t>
  </si>
  <si>
    <t>48545478亿</t>
  </si>
  <si>
    <t>3599004300亿</t>
  </si>
  <si>
    <t>5.32亿</t>
  </si>
  <si>
    <t>3436.73万</t>
  </si>
  <si>
    <t>6.11亿</t>
  </si>
  <si>
    <t>2102584亿</t>
  </si>
  <si>
    <t>11916633亿</t>
  </si>
  <si>
    <t>237532630亿</t>
  </si>
  <si>
    <t>991852870亿</t>
  </si>
  <si>
    <t>-3235.88万</t>
  </si>
  <si>
    <t>-1209.82万</t>
  </si>
  <si>
    <t>10派1.510750元(含税)</t>
  </si>
  <si>
    <t>17.37亿</t>
  </si>
  <si>
    <t>6.67亿</t>
  </si>
  <si>
    <t>9.87亿</t>
  </si>
  <si>
    <t>22744198亿</t>
  </si>
  <si>
    <t>166587270亿</t>
  </si>
  <si>
    <t>278350180亿</t>
  </si>
  <si>
    <t>3813795600亿</t>
  </si>
  <si>
    <t>7.23亿</t>
  </si>
  <si>
    <t>10派2.23元(含税)</t>
  </si>
  <si>
    <t>6.25亿</t>
  </si>
  <si>
    <t>21.20亿</t>
  </si>
  <si>
    <t>-1950942亿</t>
  </si>
  <si>
    <t>92202887亿</t>
  </si>
  <si>
    <t>170143040亿</t>
  </si>
  <si>
    <t>2873808400亿</t>
  </si>
  <si>
    <t>5.69亿</t>
  </si>
  <si>
    <t>10派3.2元(含税)</t>
  </si>
  <si>
    <t>6.27亿</t>
  </si>
  <si>
    <t>1389962亿</t>
  </si>
  <si>
    <t>-15959346亿</t>
  </si>
  <si>
    <t>1830912000亿</t>
  </si>
  <si>
    <t>2977276700亿</t>
  </si>
  <si>
    <t>2826.85万</t>
  </si>
  <si>
    <t>-2.94亿</t>
  </si>
  <si>
    <t>17.26亿</t>
  </si>
  <si>
    <t>6535.39万</t>
  </si>
  <si>
    <t>10派0.65元(含税)</t>
  </si>
  <si>
    <t>9307.21万</t>
  </si>
  <si>
    <t>8940.35万</t>
  </si>
  <si>
    <t>1832145亿</t>
  </si>
  <si>
    <t>-5617497亿</t>
  </si>
  <si>
    <t>228643330亿</t>
  </si>
  <si>
    <t>886206890亿</t>
  </si>
  <si>
    <t>1112.92万</t>
  </si>
  <si>
    <t>8963.44万</t>
  </si>
  <si>
    <t>1069511亿</t>
  </si>
  <si>
    <t>35121314亿</t>
  </si>
  <si>
    <t>54067813亿</t>
  </si>
  <si>
    <t>801813140亿</t>
  </si>
  <si>
    <t>5339.88万</t>
  </si>
  <si>
    <t>107.85亿</t>
  </si>
  <si>
    <t>69.19亿</t>
  </si>
  <si>
    <t>20890757亿</t>
  </si>
  <si>
    <t>160950740亿</t>
  </si>
  <si>
    <t>1160525460亿</t>
  </si>
  <si>
    <t>17933558000亿</t>
  </si>
  <si>
    <t>7.67亿</t>
  </si>
  <si>
    <t>10派0.8元(含税)</t>
  </si>
  <si>
    <t>10.44亿</t>
  </si>
  <si>
    <t>-220268亿</t>
  </si>
  <si>
    <t>56981942亿</t>
  </si>
  <si>
    <t>504358880亿</t>
  </si>
  <si>
    <t>1667794400亿</t>
  </si>
  <si>
    <t>500.48万</t>
  </si>
  <si>
    <t>64.97万</t>
  </si>
  <si>
    <t>-3.32亿</t>
  </si>
  <si>
    <t>5731.73万</t>
  </si>
  <si>
    <t>8775.30万</t>
  </si>
  <si>
    <t>827.74万</t>
  </si>
  <si>
    <t>85116亿</t>
  </si>
  <si>
    <t>1720178亿</t>
  </si>
  <si>
    <t>162468840亿</t>
  </si>
  <si>
    <t>430139420亿</t>
  </si>
  <si>
    <t>-7598.13万</t>
  </si>
  <si>
    <t>9406.82万</t>
  </si>
  <si>
    <t>121.56万</t>
  </si>
  <si>
    <t>145.94亿</t>
  </si>
  <si>
    <t>93.73亿</t>
  </si>
  <si>
    <t>349.32亿</t>
  </si>
  <si>
    <t>115.82亿</t>
  </si>
  <si>
    <t>-3098705亿</t>
  </si>
  <si>
    <t>3037009400亿</t>
  </si>
  <si>
    <t>3649845500亿</t>
  </si>
  <si>
    <t>29747715000亿</t>
  </si>
  <si>
    <t>83.64亿</t>
  </si>
  <si>
    <t>25.71亿</t>
  </si>
  <si>
    <t>10派15元(含税)</t>
  </si>
  <si>
    <t>10.21亿</t>
  </si>
  <si>
    <t>39.30亿</t>
  </si>
  <si>
    <t>16.54亿</t>
  </si>
  <si>
    <t>18188377亿</t>
  </si>
  <si>
    <t>399135670亿</t>
  </si>
  <si>
    <t>10.48亿</t>
  </si>
  <si>
    <t>723382690亿</t>
  </si>
  <si>
    <t>5115510600亿</t>
  </si>
  <si>
    <t>10派10元(含税)</t>
  </si>
  <si>
    <t>9917.52万</t>
  </si>
  <si>
    <t>7.47亿</t>
  </si>
  <si>
    <t>7695776亿</t>
  </si>
  <si>
    <t>-3316458亿</t>
  </si>
  <si>
    <t>40737468亿</t>
  </si>
  <si>
    <t>2150686400亿</t>
  </si>
  <si>
    <t>3.69亿</t>
  </si>
  <si>
    <t>3647.51万</t>
  </si>
  <si>
    <t>-1.85亿</t>
  </si>
  <si>
    <t>-1663634亿</t>
  </si>
  <si>
    <t>-8418549亿</t>
  </si>
  <si>
    <t>60479845亿</t>
  </si>
  <si>
    <t>749654790亿</t>
  </si>
  <si>
    <t>11.42亿</t>
  </si>
  <si>
    <t>21.05亿</t>
  </si>
  <si>
    <t>6722350亿</t>
  </si>
  <si>
    <t>-17660523亿</t>
  </si>
  <si>
    <t>7.76亿</t>
  </si>
  <si>
    <t>422251350亿</t>
  </si>
  <si>
    <t>4709692700亿</t>
  </si>
  <si>
    <t>5720.61万</t>
  </si>
  <si>
    <t>4087.74万</t>
  </si>
  <si>
    <t>850057亿</t>
  </si>
  <si>
    <t>12072556亿</t>
  </si>
  <si>
    <t>14073640亿</t>
  </si>
  <si>
    <t>265898790亿</t>
  </si>
  <si>
    <t>4643.02万</t>
  </si>
  <si>
    <t>28.54亿</t>
  </si>
  <si>
    <t>-431700亿</t>
  </si>
  <si>
    <t>91784210亿</t>
  </si>
  <si>
    <t>475512600亿</t>
  </si>
  <si>
    <t>3975602000亿</t>
  </si>
  <si>
    <t>10.86亿</t>
  </si>
  <si>
    <t>-2.78亿</t>
  </si>
  <si>
    <t>5610412亿</t>
  </si>
  <si>
    <t>3803838亿</t>
  </si>
  <si>
    <t>153186860亿</t>
  </si>
  <si>
    <t>1812165200亿</t>
  </si>
  <si>
    <t>9691.46万</t>
  </si>
  <si>
    <t>6357.00万</t>
  </si>
  <si>
    <t>274716亿</t>
  </si>
  <si>
    <t>2227226亿</t>
  </si>
  <si>
    <t>54610572亿</t>
  </si>
  <si>
    <t>1071492750亿</t>
  </si>
  <si>
    <t>8560.22万</t>
  </si>
  <si>
    <t>5281919亿</t>
  </si>
  <si>
    <t>81.12万</t>
  </si>
  <si>
    <t>17703983亿</t>
  </si>
  <si>
    <t>77165254亿</t>
  </si>
  <si>
    <t>1327982110亿</t>
  </si>
  <si>
    <t>9847.06万</t>
  </si>
  <si>
    <t>9004.02万</t>
  </si>
  <si>
    <t>6026.51万</t>
  </si>
  <si>
    <t>311723亿</t>
  </si>
  <si>
    <t>8268759亿</t>
  </si>
  <si>
    <t>67273730亿</t>
  </si>
  <si>
    <t>495267110亿</t>
  </si>
  <si>
    <t>7093.05万</t>
  </si>
  <si>
    <t>9181.47万</t>
  </si>
  <si>
    <t>9722.28万</t>
  </si>
  <si>
    <t>12082100亿</t>
  </si>
  <si>
    <t>12313888亿</t>
  </si>
  <si>
    <t>93025755亿</t>
  </si>
  <si>
    <t>1377471600亿</t>
  </si>
  <si>
    <t>13.38亿</t>
  </si>
  <si>
    <t>527840亿</t>
  </si>
  <si>
    <t>55717163亿</t>
  </si>
  <si>
    <t>17.08亿</t>
  </si>
  <si>
    <t>222724030亿</t>
  </si>
  <si>
    <t>2370563900亿</t>
  </si>
  <si>
    <t>10派1.6元(含税)</t>
  </si>
  <si>
    <t>6276521亿</t>
  </si>
  <si>
    <t>42035734亿</t>
  </si>
  <si>
    <t>122887032亿</t>
  </si>
  <si>
    <t>2860172000亿</t>
  </si>
  <si>
    <t>10转4股派10元(含税)</t>
  </si>
  <si>
    <t>7612.00万</t>
  </si>
  <si>
    <t>8309.72万</t>
  </si>
  <si>
    <t>1360040亿</t>
  </si>
  <si>
    <t>10445474亿</t>
  </si>
  <si>
    <t>7.55亿</t>
  </si>
  <si>
    <t>639395280亿</t>
  </si>
  <si>
    <t>1878653200亿</t>
  </si>
  <si>
    <t>7392.78万</t>
  </si>
  <si>
    <t>10派2.58元(含税)</t>
  </si>
  <si>
    <t>12.37亿</t>
  </si>
  <si>
    <t>131428亿</t>
  </si>
  <si>
    <t>31348917亿</t>
  </si>
  <si>
    <t>268526350亿</t>
  </si>
  <si>
    <t>4273756100亿</t>
  </si>
  <si>
    <t>281.84万</t>
  </si>
  <si>
    <t>10派1.3元(含税)</t>
  </si>
  <si>
    <t>17.84亿</t>
  </si>
  <si>
    <t>49.82亿</t>
  </si>
  <si>
    <t>1952862亿</t>
  </si>
  <si>
    <t>210351770亿</t>
  </si>
  <si>
    <t>1027621040亿</t>
  </si>
  <si>
    <t>5738693100亿</t>
  </si>
  <si>
    <t>182.56万</t>
  </si>
  <si>
    <t>8757.33万</t>
  </si>
  <si>
    <t>-8230.83万</t>
  </si>
  <si>
    <t>-7768572亿</t>
  </si>
  <si>
    <t>-12709955亿</t>
  </si>
  <si>
    <t>229510020亿</t>
  </si>
  <si>
    <t>515217120亿</t>
  </si>
  <si>
    <t>734.06万</t>
  </si>
  <si>
    <t>3484.20万</t>
  </si>
  <si>
    <t>78.70亿</t>
  </si>
  <si>
    <t>25.29亿</t>
  </si>
  <si>
    <t>100.12亿</t>
  </si>
  <si>
    <t>18623684亿</t>
  </si>
  <si>
    <t>208965930亿</t>
  </si>
  <si>
    <t>1811927800亿</t>
  </si>
  <si>
    <t>9317526700亿</t>
  </si>
  <si>
    <t>10.30亿</t>
  </si>
  <si>
    <t>5.00亿</t>
  </si>
  <si>
    <t>10转3股派5元(含税)</t>
  </si>
  <si>
    <t>16.13亿</t>
  </si>
  <si>
    <t>-3275850亿</t>
  </si>
  <si>
    <t>38341379亿</t>
  </si>
  <si>
    <t>592670140亿</t>
  </si>
  <si>
    <t>2487118500亿</t>
  </si>
  <si>
    <t>16.60亿</t>
  </si>
  <si>
    <t>5556.88万</t>
  </si>
  <si>
    <t>-9510.13万</t>
  </si>
  <si>
    <t>-615678亿</t>
  </si>
  <si>
    <t>-18124728亿</t>
  </si>
  <si>
    <t>387462680亿</t>
  </si>
  <si>
    <t>1467225600亿</t>
  </si>
  <si>
    <t>1837.07万</t>
  </si>
  <si>
    <t>8.95亿</t>
  </si>
  <si>
    <t>-6548.04万</t>
  </si>
  <si>
    <t>661833亿</t>
  </si>
  <si>
    <t>13709932亿</t>
  </si>
  <si>
    <t>194010860亿</t>
  </si>
  <si>
    <t>779885770亿</t>
  </si>
  <si>
    <t>3445.52万</t>
  </si>
  <si>
    <t>9.64亿</t>
  </si>
  <si>
    <t>41.27亿</t>
  </si>
  <si>
    <t>764903亿</t>
  </si>
  <si>
    <t>74696045亿</t>
  </si>
  <si>
    <t>559536020亿</t>
  </si>
  <si>
    <t>3290568300亿</t>
  </si>
  <si>
    <t>11.72亿</t>
  </si>
  <si>
    <t>6.80亿</t>
  </si>
  <si>
    <t>7.68亿</t>
  </si>
  <si>
    <t>13.88亿</t>
  </si>
  <si>
    <t>1487997亿</t>
  </si>
  <si>
    <t>47011107亿</t>
  </si>
  <si>
    <t>160562940亿</t>
  </si>
  <si>
    <t>1017595590亿</t>
  </si>
  <si>
    <t>3.62亿</t>
  </si>
  <si>
    <t>13.69亿</t>
  </si>
  <si>
    <t>10.82亿</t>
  </si>
  <si>
    <t>-1280713亿</t>
  </si>
  <si>
    <t>82736693亿</t>
  </si>
  <si>
    <t>452677620亿</t>
  </si>
  <si>
    <t>2021269100亿</t>
  </si>
  <si>
    <t>28.88亿</t>
  </si>
  <si>
    <t>44.44亿</t>
  </si>
  <si>
    <t>12.17亿</t>
  </si>
  <si>
    <t>22967999亿</t>
  </si>
  <si>
    <t>314005200亿</t>
  </si>
  <si>
    <t>1106909540亿</t>
  </si>
  <si>
    <t>6618533400亿</t>
  </si>
  <si>
    <t>14.70亿</t>
  </si>
  <si>
    <t>-1.47亿</t>
  </si>
  <si>
    <t>1986316亿</t>
  </si>
  <si>
    <t>553291亿</t>
  </si>
  <si>
    <t>547452780亿</t>
  </si>
  <si>
    <t>-6-0</t>
  </si>
  <si>
    <t>8.27亿</t>
  </si>
  <si>
    <t>4026.77万</t>
  </si>
  <si>
    <t>7.57亿</t>
  </si>
  <si>
    <t>409318亿</t>
  </si>
  <si>
    <t>20382259亿</t>
  </si>
  <si>
    <t>223911820亿</t>
  </si>
  <si>
    <t>1082702770亿</t>
  </si>
  <si>
    <t>3000.00万</t>
  </si>
  <si>
    <t>6477.06万</t>
  </si>
  <si>
    <t>24.53亿</t>
  </si>
  <si>
    <t>9505426亿</t>
  </si>
  <si>
    <t>58952574亿</t>
  </si>
  <si>
    <t>977501160亿</t>
  </si>
  <si>
    <t>1893528700亿</t>
  </si>
  <si>
    <t>6.88亿</t>
  </si>
  <si>
    <t>9.75亿</t>
  </si>
  <si>
    <t>2543116亿</t>
  </si>
  <si>
    <t>43445000亿</t>
  </si>
  <si>
    <t>236187070亿</t>
  </si>
  <si>
    <t>890131880亿</t>
  </si>
  <si>
    <t>-3.97亿</t>
  </si>
  <si>
    <t>10转4股派3元(含税)</t>
  </si>
  <si>
    <t>5508.40万</t>
  </si>
  <si>
    <t>6021.96万</t>
  </si>
  <si>
    <t>4731.12万</t>
  </si>
  <si>
    <t>1099630亿</t>
  </si>
  <si>
    <t>11011201亿</t>
  </si>
  <si>
    <t>9485953亿</t>
  </si>
  <si>
    <t>445449530亿</t>
  </si>
  <si>
    <t>7127681亿</t>
  </si>
  <si>
    <t>178026920亿</t>
  </si>
  <si>
    <t>29.67亿</t>
  </si>
  <si>
    <t>193344630亿</t>
  </si>
  <si>
    <t>3625400100亿</t>
  </si>
  <si>
    <t>10送4.9股派30元(含税)</t>
  </si>
  <si>
    <t>9827.53万</t>
  </si>
  <si>
    <t>3478.85万</t>
  </si>
  <si>
    <t>-298602亿</t>
  </si>
  <si>
    <t>4238346亿</t>
  </si>
  <si>
    <t>5.39亿</t>
  </si>
  <si>
    <t>106027612亿</t>
  </si>
  <si>
    <t>744426950亿</t>
  </si>
  <si>
    <t>145.33万</t>
  </si>
  <si>
    <t>36.70亿</t>
  </si>
  <si>
    <t>24.11亿</t>
  </si>
  <si>
    <t>2803690亿</t>
  </si>
  <si>
    <t>141039590亿</t>
  </si>
  <si>
    <t>12.09亿</t>
  </si>
  <si>
    <t>401368810亿</t>
  </si>
  <si>
    <t>3208432800亿</t>
  </si>
  <si>
    <t>2.65亿</t>
  </si>
  <si>
    <t>161800亿</t>
  </si>
  <si>
    <t>98923300亿</t>
  </si>
  <si>
    <t>5.37亿</t>
  </si>
  <si>
    <t>276407600亿</t>
  </si>
  <si>
    <t>938659000亿</t>
  </si>
  <si>
    <t>10转8股派4.90元(含税)</t>
  </si>
  <si>
    <t>6684.65万</t>
  </si>
  <si>
    <t>4681.38万</t>
  </si>
  <si>
    <t>2153.38万</t>
  </si>
  <si>
    <t>1756579亿</t>
  </si>
  <si>
    <t>3365607亿</t>
  </si>
  <si>
    <t>5408982亿</t>
  </si>
  <si>
    <t>287063210亿</t>
  </si>
  <si>
    <t>2738.29万</t>
  </si>
  <si>
    <t>-5182455亿</t>
  </si>
  <si>
    <t>-33946415亿</t>
  </si>
  <si>
    <t>40946926亿</t>
  </si>
  <si>
    <t>1090874770亿</t>
  </si>
  <si>
    <t>5888.41万</t>
  </si>
  <si>
    <t>38691314亿</t>
  </si>
  <si>
    <t>19629647亿</t>
  </si>
  <si>
    <t>224074390亿</t>
  </si>
  <si>
    <t>4878654000亿</t>
  </si>
  <si>
    <t>300.00万</t>
  </si>
  <si>
    <t>-6.23亿</t>
  </si>
  <si>
    <t>-4.59亿</t>
  </si>
  <si>
    <t>8642.93万</t>
  </si>
  <si>
    <t>9558.29万</t>
  </si>
  <si>
    <t>1140226亿</t>
  </si>
  <si>
    <t>-2951636亿</t>
  </si>
  <si>
    <t>78310725亿</t>
  </si>
  <si>
    <t>956516970亿</t>
  </si>
  <si>
    <t>10派0.78元(含税)</t>
  </si>
  <si>
    <t>9106.26万</t>
  </si>
  <si>
    <t>-3963.00万</t>
  </si>
  <si>
    <t>4.17亿</t>
  </si>
  <si>
    <t>20714206亿</t>
  </si>
  <si>
    <t>-17791974亿</t>
  </si>
  <si>
    <t>10469613亿</t>
  </si>
  <si>
    <t>369529370亿</t>
  </si>
  <si>
    <t>5-0</t>
  </si>
  <si>
    <t>29.11亿</t>
  </si>
  <si>
    <t>-6.07亿</t>
  </si>
  <si>
    <t>-27534亿</t>
  </si>
  <si>
    <t>-212938760亿</t>
  </si>
  <si>
    <t>673119670亿</t>
  </si>
  <si>
    <t>6452425000亿</t>
  </si>
  <si>
    <t>22.81亿</t>
  </si>
  <si>
    <t>3291656亿</t>
  </si>
  <si>
    <t>132888963亿</t>
  </si>
  <si>
    <t>334708360亿</t>
  </si>
  <si>
    <t>2748960800亿</t>
  </si>
  <si>
    <t>10派5.15元(含税)</t>
  </si>
  <si>
    <t>8.81亿</t>
  </si>
  <si>
    <t>792.51万</t>
  </si>
  <si>
    <t>4057191亿</t>
  </si>
  <si>
    <t>-7531028亿</t>
  </si>
  <si>
    <t>634077960亿</t>
  </si>
  <si>
    <t>3631738400亿</t>
  </si>
  <si>
    <t>1493.07万</t>
  </si>
  <si>
    <t>6807.26万</t>
  </si>
  <si>
    <t>10派0.083元(含税)</t>
  </si>
  <si>
    <t>11.74亿</t>
  </si>
  <si>
    <t>6465333亿</t>
  </si>
  <si>
    <t>34565232亿</t>
  </si>
  <si>
    <t>278001760亿</t>
  </si>
  <si>
    <t>4236508400亿</t>
  </si>
  <si>
    <t>9197.41万</t>
  </si>
  <si>
    <t>4481.51万</t>
  </si>
  <si>
    <t>825.93万</t>
  </si>
  <si>
    <t>974192亿</t>
  </si>
  <si>
    <t>1085263亿</t>
  </si>
  <si>
    <t>69604041亿</t>
  </si>
  <si>
    <t>887218900亿</t>
  </si>
  <si>
    <t>7626.52万</t>
  </si>
  <si>
    <t>2803910亿</t>
  </si>
  <si>
    <t>6377823亿</t>
  </si>
  <si>
    <t>83051244亿</t>
  </si>
  <si>
    <t>605147760亿</t>
  </si>
  <si>
    <t>9512.73万</t>
  </si>
  <si>
    <t>119.85万</t>
  </si>
  <si>
    <t>5785.44万</t>
  </si>
  <si>
    <t>1238834亿</t>
  </si>
  <si>
    <t>-245577亿</t>
  </si>
  <si>
    <t>248600230亿</t>
  </si>
  <si>
    <t>977540680亿</t>
  </si>
  <si>
    <t>2166.50万</t>
  </si>
  <si>
    <t>7648.45万</t>
  </si>
  <si>
    <t>6418.82万</t>
  </si>
  <si>
    <t>793.07万</t>
  </si>
  <si>
    <t>409122亿</t>
  </si>
  <si>
    <t>-614601亿</t>
  </si>
  <si>
    <t>183424650亿</t>
  </si>
  <si>
    <t>497572080亿</t>
  </si>
  <si>
    <t>1625.00万</t>
  </si>
  <si>
    <t>9.12亿</t>
  </si>
  <si>
    <t>3286525亿</t>
  </si>
  <si>
    <t>48882462亿</t>
  </si>
  <si>
    <t>418285560亿</t>
  </si>
  <si>
    <t>2899501400亿</t>
  </si>
  <si>
    <t>6.77亿</t>
  </si>
  <si>
    <t>5.12亿</t>
  </si>
  <si>
    <t>10派3.62元(含税)</t>
  </si>
  <si>
    <t>4846322亿</t>
  </si>
  <si>
    <t>137138050亿</t>
  </si>
  <si>
    <t>77236283亿</t>
  </si>
  <si>
    <t>1976775900亿</t>
  </si>
  <si>
    <t>64.55亿</t>
  </si>
  <si>
    <t>23.50亿</t>
  </si>
  <si>
    <t>114.11亿</t>
  </si>
  <si>
    <t>19.74亿</t>
  </si>
  <si>
    <t>15500995亿</t>
  </si>
  <si>
    <t>300194940亿</t>
  </si>
  <si>
    <t>3693872200亿</t>
  </si>
  <si>
    <t>19770733000亿</t>
  </si>
  <si>
    <t>10派2.5元(含税)</t>
  </si>
  <si>
    <t>8981.79万</t>
  </si>
  <si>
    <t>1361447亿</t>
  </si>
  <si>
    <t>33674390亿</t>
  </si>
  <si>
    <t>9.92亿</t>
  </si>
  <si>
    <t>18478477亿</t>
  </si>
  <si>
    <t>1107348230亿</t>
  </si>
  <si>
    <t>2894.47万</t>
  </si>
  <si>
    <t>-1.56亿</t>
  </si>
  <si>
    <t>33591208亿</t>
  </si>
  <si>
    <t>-39637445亿</t>
  </si>
  <si>
    <t>33879467亿</t>
  </si>
  <si>
    <t>453173540亿</t>
  </si>
  <si>
    <t>10.29亿</t>
  </si>
  <si>
    <t>10.07亿</t>
  </si>
  <si>
    <t>-16888539亿</t>
  </si>
  <si>
    <t>73755741亿</t>
  </si>
  <si>
    <t>661551720亿</t>
  </si>
  <si>
    <t>6110526500亿</t>
  </si>
  <si>
    <t>900.00万</t>
  </si>
  <si>
    <t>14.46亿</t>
  </si>
  <si>
    <t>10.02亿</t>
  </si>
  <si>
    <t>15278251亿</t>
  </si>
  <si>
    <t>-109011043亿</t>
  </si>
  <si>
    <t>221348840亿</t>
  </si>
  <si>
    <t>5271199500亿</t>
  </si>
  <si>
    <t>31.58亿</t>
  </si>
  <si>
    <t>40524亿</t>
  </si>
  <si>
    <t>155573270亿</t>
  </si>
  <si>
    <t>726972330亿</t>
  </si>
  <si>
    <t>4007240900亿</t>
  </si>
  <si>
    <t>10转4股派20元(含税)</t>
  </si>
  <si>
    <t>9027.71万</t>
  </si>
  <si>
    <t>6991.79万</t>
  </si>
  <si>
    <t>7551.10万</t>
  </si>
  <si>
    <t>-2201610亿</t>
  </si>
  <si>
    <t>18855036亿</t>
  </si>
  <si>
    <t>5459008亿</t>
  </si>
  <si>
    <t>439036430亿</t>
  </si>
  <si>
    <t>7568.75万</t>
  </si>
  <si>
    <t>5122.73万</t>
  </si>
  <si>
    <t>25817257亿</t>
  </si>
  <si>
    <t>99094173亿</t>
  </si>
  <si>
    <t>3148172000亿</t>
  </si>
  <si>
    <t>7581.86万</t>
  </si>
  <si>
    <t>-349235亿</t>
  </si>
  <si>
    <t>30265270亿</t>
  </si>
  <si>
    <t>36145769亿</t>
  </si>
  <si>
    <t>1370081800亿</t>
  </si>
  <si>
    <t>-1.01亿</t>
  </si>
  <si>
    <t>10派2.6元(含税)</t>
  </si>
  <si>
    <t>8915.25万</t>
  </si>
  <si>
    <t>568.85万</t>
  </si>
  <si>
    <t>1892646亿</t>
  </si>
  <si>
    <t>-1350797亿</t>
  </si>
  <si>
    <t>59382833亿</t>
  </si>
  <si>
    <t>1544532000亿</t>
  </si>
  <si>
    <t>307.21万</t>
  </si>
  <si>
    <t>1424616亿</t>
  </si>
  <si>
    <t>44879361亿</t>
  </si>
  <si>
    <t>6.89亿</t>
  </si>
  <si>
    <t>175938690亿</t>
  </si>
  <si>
    <t>1360337500亿</t>
  </si>
  <si>
    <t>6.46亿</t>
  </si>
  <si>
    <t>47188亿</t>
  </si>
  <si>
    <t>215.67万</t>
  </si>
  <si>
    <t>95217851亿</t>
  </si>
  <si>
    <t>328757540亿</t>
  </si>
  <si>
    <t>3745333900亿</t>
  </si>
  <si>
    <t>103288918亿</t>
  </si>
  <si>
    <t>13.10亿</t>
  </si>
  <si>
    <t>195896980亿</t>
  </si>
  <si>
    <t>1680494700亿</t>
  </si>
  <si>
    <t>10派2.81元(含税)</t>
  </si>
  <si>
    <t>4005.72万</t>
  </si>
  <si>
    <t>298855亿</t>
  </si>
  <si>
    <t>4800071亿</t>
  </si>
  <si>
    <t>240636190亿</t>
  </si>
  <si>
    <t>525459860亿</t>
  </si>
  <si>
    <t>5.01亿</t>
  </si>
  <si>
    <t>9111.94万</t>
  </si>
  <si>
    <t>-3.74亿</t>
  </si>
  <si>
    <t>-846408亿</t>
  </si>
  <si>
    <t>14874073亿</t>
  </si>
  <si>
    <t>74042605亿</t>
  </si>
  <si>
    <t>2854816000亿</t>
  </si>
  <si>
    <t>3510897亿</t>
  </si>
  <si>
    <t>28999805亿</t>
  </si>
  <si>
    <t>113834704亿</t>
  </si>
  <si>
    <t>1642763400亿</t>
  </si>
  <si>
    <t>5923.75万</t>
  </si>
  <si>
    <t>10转4.9股派2元(含税)</t>
  </si>
  <si>
    <t>2880.30万</t>
  </si>
  <si>
    <t>-8440.95万</t>
  </si>
  <si>
    <t>6143274亿</t>
  </si>
  <si>
    <t>-35902995亿</t>
  </si>
  <si>
    <t>58204051亿</t>
  </si>
  <si>
    <t>1047900760亿</t>
  </si>
  <si>
    <t>4231301亿</t>
  </si>
  <si>
    <t>34787361亿</t>
  </si>
  <si>
    <t>22029580亿</t>
  </si>
  <si>
    <t>1048954560亿</t>
  </si>
  <si>
    <t>20.53亿</t>
  </si>
  <si>
    <t>-5549342亿</t>
  </si>
  <si>
    <t>57166618亿</t>
  </si>
  <si>
    <t>426694290亿</t>
  </si>
  <si>
    <t>1845597800亿</t>
  </si>
  <si>
    <t>10派2.73元(含税)</t>
  </si>
  <si>
    <t>7418.81万</t>
  </si>
  <si>
    <t>3.61亿</t>
  </si>
  <si>
    <t>289932亿</t>
  </si>
  <si>
    <t>19987027亿</t>
  </si>
  <si>
    <t>85076099亿</t>
  </si>
  <si>
    <t>1610912600亿</t>
  </si>
  <si>
    <t>6745.37万</t>
  </si>
  <si>
    <t>2394.96万</t>
  </si>
  <si>
    <t>8767.03万</t>
  </si>
  <si>
    <t>1133776亿</t>
  </si>
  <si>
    <t>19210946亿</t>
  </si>
  <si>
    <t>11.55亿</t>
  </si>
  <si>
    <t>36730381亿</t>
  </si>
  <si>
    <t>1222232050亿</t>
  </si>
  <si>
    <t>48270105亿</t>
  </si>
  <si>
    <t>61490018亿</t>
  </si>
  <si>
    <t>2135465200亿</t>
  </si>
  <si>
    <t>9044.63万</t>
  </si>
  <si>
    <t>3422.50万</t>
  </si>
  <si>
    <t>10送4股派14.5元(含税)</t>
  </si>
  <si>
    <t>4204436亿</t>
  </si>
  <si>
    <t>37777315亿</t>
  </si>
  <si>
    <t>87785817亿</t>
  </si>
  <si>
    <t>3065860400亿</t>
  </si>
  <si>
    <t>11.85亿</t>
  </si>
  <si>
    <t>8923.61万</t>
  </si>
  <si>
    <t>5296.98万</t>
  </si>
  <si>
    <t>1541.22万</t>
  </si>
  <si>
    <t>2482896亿</t>
  </si>
  <si>
    <t>-2197238亿</t>
  </si>
  <si>
    <t>67501577亿</t>
  </si>
  <si>
    <t>762593610亿</t>
  </si>
  <si>
    <t>-563.02万</t>
  </si>
  <si>
    <t>5011.90万</t>
  </si>
  <si>
    <t>-669.68万</t>
  </si>
  <si>
    <t>10派0.54元(含税)</t>
  </si>
  <si>
    <t>4736.09万</t>
  </si>
  <si>
    <t>5423.18万</t>
  </si>
  <si>
    <t>3432714亿</t>
  </si>
  <si>
    <t>76259788亿</t>
  </si>
  <si>
    <t>1200374680亿</t>
  </si>
  <si>
    <t>33.29万</t>
  </si>
  <si>
    <t>3346584亿</t>
  </si>
  <si>
    <t>136530230亿</t>
  </si>
  <si>
    <t>42418750亿</t>
  </si>
  <si>
    <t>1666720700亿</t>
  </si>
  <si>
    <t>10转4.5股派20元(含税)</t>
  </si>
  <si>
    <t>1019841亿</t>
  </si>
  <si>
    <t>36482746亿</t>
  </si>
  <si>
    <t>56724410亿</t>
  </si>
  <si>
    <t>1302979410亿</t>
  </si>
  <si>
    <t>8559.98万</t>
  </si>
  <si>
    <t>4733.14万</t>
  </si>
  <si>
    <t>36637亿</t>
  </si>
  <si>
    <t>2584100亿</t>
  </si>
  <si>
    <t>37922687亿</t>
  </si>
  <si>
    <t>285415490亿</t>
  </si>
  <si>
    <t>-2886420亿</t>
  </si>
  <si>
    <t>36459349亿</t>
  </si>
  <si>
    <t>83120063亿</t>
  </si>
  <si>
    <t>856840570亿</t>
  </si>
  <si>
    <t>24.21亿</t>
  </si>
  <si>
    <t>-271329亿</t>
  </si>
  <si>
    <t>39439732亿</t>
  </si>
  <si>
    <t>60565920亿</t>
  </si>
  <si>
    <t>1919199200亿</t>
  </si>
  <si>
    <t>638.37万</t>
  </si>
  <si>
    <t>48.84亿</t>
  </si>
  <si>
    <t>9518.59万</t>
  </si>
  <si>
    <t>7400.38万</t>
  </si>
  <si>
    <t>9.14万</t>
  </si>
  <si>
    <t>13.97亿</t>
  </si>
  <si>
    <t>154.01万</t>
  </si>
  <si>
    <t>3740.07万</t>
  </si>
  <si>
    <t>4864.84万</t>
  </si>
  <si>
    <t>4621.61万</t>
  </si>
  <si>
    <t>8.17亿</t>
  </si>
  <si>
    <t>8895.37万</t>
  </si>
  <si>
    <t>-1.44亿</t>
  </si>
  <si>
    <t>-2323.81万</t>
  </si>
  <si>
    <t>-7376.13万</t>
  </si>
  <si>
    <t>2257.68万</t>
  </si>
  <si>
    <t>1108.25万</t>
  </si>
  <si>
    <t>87.96亿</t>
  </si>
  <si>
    <t>8758.12万</t>
  </si>
  <si>
    <t>2541.90万</t>
  </si>
  <si>
    <t>5341.44万</t>
  </si>
  <si>
    <t>12.65万</t>
  </si>
  <si>
    <t>7.98亿</t>
  </si>
  <si>
    <t>399.94万</t>
  </si>
  <si>
    <t>-8979.87万</t>
  </si>
  <si>
    <t>-1.02亿</t>
  </si>
  <si>
    <t>-769.37万</t>
  </si>
  <si>
    <t>4916.98万</t>
  </si>
  <si>
    <t>东方海洋</t>
  </si>
  <si>
    <t>1376.04万</t>
  </si>
  <si>
    <t>16.12亿</t>
  </si>
  <si>
    <t>8361.80万</t>
  </si>
  <si>
    <t>5002.53万</t>
  </si>
  <si>
    <t>367.28万</t>
  </si>
  <si>
    <t>2285.12万</t>
  </si>
  <si>
    <t>3.03万</t>
  </si>
  <si>
    <t>59.47万</t>
  </si>
  <si>
    <t>5583.69万</t>
  </si>
  <si>
    <t>4.00万</t>
  </si>
  <si>
    <t>-4589.88万</t>
  </si>
  <si>
    <t>-724.87万</t>
  </si>
  <si>
    <t>4623.97万</t>
  </si>
  <si>
    <t>3.68亿</t>
  </si>
  <si>
    <t>5-1</t>
  </si>
  <si>
    <t>843.09万</t>
  </si>
  <si>
    <t>125.86亿</t>
  </si>
  <si>
    <t>15.84亿</t>
  </si>
  <si>
    <t>11.17亿</t>
  </si>
  <si>
    <t>9764.62万</t>
  </si>
  <si>
    <t>126.41万</t>
  </si>
  <si>
    <t>76.48亿</t>
  </si>
  <si>
    <t>12.70亿</t>
  </si>
  <si>
    <t>30.48亿</t>
  </si>
  <si>
    <t>-2830.33万</t>
  </si>
  <si>
    <t>-2.00亿</t>
  </si>
  <si>
    <t>3109.94万</t>
  </si>
  <si>
    <t>674.91万</t>
  </si>
  <si>
    <t>94.71亿</t>
  </si>
  <si>
    <t>15.65亿</t>
  </si>
  <si>
    <t>9298.17万</t>
  </si>
  <si>
    <t>7400.62万</t>
  </si>
  <si>
    <t>1840.67万</t>
  </si>
  <si>
    <t>19.43亿</t>
  </si>
  <si>
    <t>90.50万</t>
  </si>
  <si>
    <t>38.13亿</t>
  </si>
  <si>
    <t>-4451.36万</t>
  </si>
  <si>
    <t>-3.05亿</t>
  </si>
  <si>
    <t>2973.62万</t>
  </si>
  <si>
    <t>386.60万</t>
  </si>
  <si>
    <t>194.16亿</t>
  </si>
  <si>
    <t>9304.61万</t>
  </si>
  <si>
    <t>15.44万</t>
  </si>
  <si>
    <t>18.72亿</t>
  </si>
  <si>
    <t>255.92万</t>
  </si>
  <si>
    <t>187.84万</t>
  </si>
  <si>
    <t>11.50亿</t>
  </si>
  <si>
    <t>7481.02万</t>
  </si>
  <si>
    <t>15.80亿</t>
  </si>
  <si>
    <t>-17.57亿</t>
  </si>
  <si>
    <t>5.57亿</t>
  </si>
  <si>
    <t>1496.36万</t>
  </si>
  <si>
    <t>1029.46万</t>
  </si>
  <si>
    <t>27.66亿</t>
  </si>
  <si>
    <t>2.69亿</t>
  </si>
  <si>
    <t>310.83万</t>
  </si>
  <si>
    <t>3818.32万</t>
  </si>
  <si>
    <t>762.18万</t>
  </si>
  <si>
    <t>6.17亿</t>
  </si>
  <si>
    <t>27.33万</t>
  </si>
  <si>
    <t>7440.95万</t>
  </si>
  <si>
    <t>875.40万</t>
  </si>
  <si>
    <t>7.85亿</t>
  </si>
  <si>
    <t>7141.00万</t>
  </si>
  <si>
    <t>5499.18万</t>
  </si>
  <si>
    <t>7562.72万</t>
  </si>
  <si>
    <t>2538.83万</t>
  </si>
  <si>
    <t>4118.79万</t>
  </si>
  <si>
    <t>2.81亿</t>
  </si>
  <si>
    <t>343.33万</t>
  </si>
  <si>
    <t>8909.11万</t>
  </si>
  <si>
    <t>598.55万</t>
  </si>
  <si>
    <t>581.53万</t>
  </si>
  <si>
    <t>1364.83万</t>
  </si>
  <si>
    <t>7443.42万</t>
  </si>
  <si>
    <t>4712.15万</t>
  </si>
  <si>
    <t>-1848.85万</t>
  </si>
  <si>
    <t>348.05万</t>
  </si>
  <si>
    <t>-9.59万</t>
  </si>
  <si>
    <t>1508.86万</t>
  </si>
  <si>
    <t>91.61万</t>
  </si>
  <si>
    <t>32.28亿</t>
  </si>
  <si>
    <t>2756.20万</t>
  </si>
  <si>
    <t>6.41万</t>
  </si>
  <si>
    <t>9.76亿</t>
  </si>
  <si>
    <t>20.00万</t>
  </si>
  <si>
    <t>10.75亿</t>
  </si>
  <si>
    <t>5267.15万</t>
  </si>
  <si>
    <t>-5282.59万</t>
  </si>
  <si>
    <t>524.68万</t>
  </si>
  <si>
    <t>3217.37万</t>
  </si>
  <si>
    <t>190.60万</t>
  </si>
  <si>
    <t>63.08亿</t>
  </si>
  <si>
    <t>3640.93万</t>
  </si>
  <si>
    <t>2407.66万</t>
  </si>
  <si>
    <t>1884.35万</t>
  </si>
  <si>
    <t>12.52万</t>
  </si>
  <si>
    <t>9.86亿</t>
  </si>
  <si>
    <t>57.29万</t>
  </si>
  <si>
    <t>5.99亿</t>
  </si>
  <si>
    <t>4568.81万</t>
  </si>
  <si>
    <t>-6059.69万</t>
  </si>
  <si>
    <t>-1452.53万</t>
  </si>
  <si>
    <t>644.43万</t>
  </si>
  <si>
    <t>4960.53万</t>
  </si>
  <si>
    <t>280.90万</t>
  </si>
  <si>
    <t>33.02亿</t>
  </si>
  <si>
    <t>6.44亿</t>
  </si>
  <si>
    <t>1874.91万</t>
  </si>
  <si>
    <t>6503.26万</t>
  </si>
  <si>
    <t>5.24万</t>
  </si>
  <si>
    <t>759.17万</t>
  </si>
  <si>
    <t>3906.22万</t>
  </si>
  <si>
    <t>7.07亿</t>
  </si>
  <si>
    <t>12.86亿</t>
  </si>
  <si>
    <t>-3915.92万</t>
  </si>
  <si>
    <t>-8216.87万</t>
  </si>
  <si>
    <t>10派0.270508元(含税)</t>
  </si>
  <si>
    <t>1417.88万</t>
  </si>
  <si>
    <t>1849.57万</t>
  </si>
  <si>
    <t>180.10亿</t>
  </si>
  <si>
    <t>712.93万</t>
  </si>
  <si>
    <t>41.30亿</t>
  </si>
  <si>
    <t>9322.26万</t>
  </si>
  <si>
    <t>18.35亿</t>
  </si>
  <si>
    <t>16.22亿</t>
  </si>
  <si>
    <t>-2.80亿</t>
  </si>
  <si>
    <t>-5206.21万</t>
  </si>
  <si>
    <t>7275.87万</t>
  </si>
  <si>
    <t>649.02万</t>
  </si>
  <si>
    <t>8504.60万</t>
  </si>
  <si>
    <t>1840.17万</t>
  </si>
  <si>
    <t>2147.02万</t>
  </si>
  <si>
    <t>1.86万</t>
  </si>
  <si>
    <t>5656.15万</t>
  </si>
  <si>
    <t>8323.92万</t>
  </si>
  <si>
    <t>1316.93万</t>
  </si>
  <si>
    <t>1600.03万</t>
  </si>
  <si>
    <t>286.94万</t>
  </si>
  <si>
    <t>665.12万</t>
  </si>
  <si>
    <t>2964.82万</t>
  </si>
  <si>
    <t>582.23万</t>
  </si>
  <si>
    <t>18.50亿</t>
  </si>
  <si>
    <t>7552.66万</t>
  </si>
  <si>
    <t>7815.06万</t>
  </si>
  <si>
    <t>5898.50万</t>
  </si>
  <si>
    <t>6.02万</t>
  </si>
  <si>
    <t>4.93亿</t>
  </si>
  <si>
    <t>2187.85万</t>
  </si>
  <si>
    <t>7131.81万</t>
  </si>
  <si>
    <t>615.28万</t>
  </si>
  <si>
    <t>3848.16万</t>
  </si>
  <si>
    <t>-5853.85万</t>
  </si>
  <si>
    <t>856.25万</t>
  </si>
  <si>
    <t>2260.09万</t>
  </si>
  <si>
    <t>11-1</t>
  </si>
  <si>
    <t>487.44万</t>
  </si>
  <si>
    <t>81.75亿</t>
  </si>
  <si>
    <t>10.22亿</t>
  </si>
  <si>
    <t>5808.62万</t>
  </si>
  <si>
    <t>45.14万</t>
  </si>
  <si>
    <t>23.06亿</t>
  </si>
  <si>
    <t>7722.74万</t>
  </si>
  <si>
    <t>8.31亿</t>
  </si>
  <si>
    <t>179.00万</t>
  </si>
  <si>
    <t>9.66亿</t>
  </si>
  <si>
    <t>46.53亿</t>
  </si>
  <si>
    <t>-1344.18万</t>
  </si>
  <si>
    <t>10派2.391867元(含税)</t>
  </si>
  <si>
    <t>2197.74万</t>
  </si>
  <si>
    <t>450.71万</t>
  </si>
  <si>
    <t>20.03亿</t>
  </si>
  <si>
    <t>4.13亿</t>
  </si>
  <si>
    <t>3015.47万</t>
  </si>
  <si>
    <t>65.91万</t>
  </si>
  <si>
    <t>2916.91万</t>
  </si>
  <si>
    <t>7771.96万</t>
  </si>
  <si>
    <t>-2.09亿</t>
  </si>
  <si>
    <t>-228.53万</t>
  </si>
  <si>
    <t>1748.51万</t>
  </si>
  <si>
    <t>541.00万</t>
  </si>
  <si>
    <t>7175.12万</t>
  </si>
  <si>
    <t>2007.09万</t>
  </si>
  <si>
    <t>3073.46万</t>
  </si>
  <si>
    <t>1247.38万</t>
  </si>
  <si>
    <t>9672.67万</t>
  </si>
  <si>
    <t>8491.86万</t>
  </si>
  <si>
    <t>2351.87万</t>
  </si>
  <si>
    <t>800.40万</t>
  </si>
  <si>
    <t>3604.51万</t>
  </si>
  <si>
    <t>1087.05万</t>
  </si>
  <si>
    <t>-3462.28万</t>
  </si>
  <si>
    <t>1579.03万</t>
  </si>
  <si>
    <t>2635.58万</t>
  </si>
  <si>
    <t>401.53万</t>
  </si>
  <si>
    <t>13.86亿</t>
  </si>
  <si>
    <t>3434.84万</t>
  </si>
  <si>
    <t>2262.67万</t>
  </si>
  <si>
    <t>2.46万</t>
  </si>
  <si>
    <t>594.63万</t>
  </si>
  <si>
    <t>4952.06万</t>
  </si>
  <si>
    <t>18.52万</t>
  </si>
  <si>
    <t>7.52亿</t>
  </si>
  <si>
    <t>-2470.91万</t>
  </si>
  <si>
    <t>673.99万</t>
  </si>
  <si>
    <t>1929.94万</t>
  </si>
  <si>
    <t>9113.61万</t>
  </si>
  <si>
    <t>294.08万</t>
  </si>
  <si>
    <t>18.04亿</t>
  </si>
  <si>
    <t>9710.64万</t>
  </si>
  <si>
    <t>4417.57万</t>
  </si>
  <si>
    <t>2225.39万</t>
  </si>
  <si>
    <t>2180.25万</t>
  </si>
  <si>
    <t>22.98万</t>
  </si>
  <si>
    <t>7.37亿</t>
  </si>
  <si>
    <t>1792.11万</t>
  </si>
  <si>
    <t>13.06万</t>
  </si>
  <si>
    <t>7716.13万</t>
  </si>
  <si>
    <t>851.23万</t>
  </si>
  <si>
    <t>-18.40万</t>
  </si>
  <si>
    <t>1486.85万</t>
  </si>
  <si>
    <t>337.32万</t>
  </si>
  <si>
    <t>35.12亿</t>
  </si>
  <si>
    <t>9.21亿</t>
  </si>
  <si>
    <t>6582.87万</t>
  </si>
  <si>
    <t>19.96万</t>
  </si>
  <si>
    <t>2507.55万</t>
  </si>
  <si>
    <t>1255.81万</t>
  </si>
  <si>
    <t>1.01万</t>
  </si>
  <si>
    <t>-3161.82万</t>
  </si>
  <si>
    <t>-903.08万</t>
  </si>
  <si>
    <t>-6765.25万</t>
  </si>
  <si>
    <t>1912.70万</t>
  </si>
  <si>
    <t>410.18万</t>
  </si>
  <si>
    <t>12.01亿</t>
  </si>
  <si>
    <t>6442.12万</t>
  </si>
  <si>
    <t>2267.09万</t>
  </si>
  <si>
    <t>1329.66万</t>
  </si>
  <si>
    <t>8.21万</t>
  </si>
  <si>
    <t>6200.18万</t>
  </si>
  <si>
    <t>9948.45万</t>
  </si>
  <si>
    <t>102.03万</t>
  </si>
  <si>
    <t>-1033.10万</t>
  </si>
  <si>
    <t>-1.04亿</t>
  </si>
  <si>
    <t>1727.38万</t>
  </si>
  <si>
    <t>555.09万</t>
  </si>
  <si>
    <t>23.82亿</t>
  </si>
  <si>
    <t>1883.97万</t>
  </si>
  <si>
    <t>4042.91万</t>
  </si>
  <si>
    <t>4.70万</t>
  </si>
  <si>
    <t>9030.10万</t>
  </si>
  <si>
    <t>779.71万</t>
  </si>
  <si>
    <t>540.99万</t>
  </si>
  <si>
    <t>3191.01万</t>
  </si>
  <si>
    <t>-7254.66万</t>
  </si>
  <si>
    <t>2694.39万</t>
  </si>
  <si>
    <t>2129.40万</t>
  </si>
  <si>
    <t>476.98万</t>
  </si>
  <si>
    <t>4095.75万</t>
  </si>
  <si>
    <t>4305.61万</t>
  </si>
  <si>
    <t>4.60万</t>
  </si>
  <si>
    <t>318.86万</t>
  </si>
  <si>
    <t>456.06万</t>
  </si>
  <si>
    <t>4926.96万</t>
  </si>
  <si>
    <t>-1949.77万</t>
  </si>
  <si>
    <t>931.76万</t>
  </si>
  <si>
    <t>2471.24万</t>
  </si>
  <si>
    <t>261.35万</t>
  </si>
  <si>
    <t>18.39亿</t>
  </si>
  <si>
    <t>3244.59万</t>
  </si>
  <si>
    <t>4214.87万</t>
  </si>
  <si>
    <t>196.99万</t>
  </si>
  <si>
    <t>7.95亿</t>
  </si>
  <si>
    <t>9614.46万</t>
  </si>
  <si>
    <t>7720.86万</t>
  </si>
  <si>
    <t>7919.77万</t>
  </si>
  <si>
    <t>-1768.47万</t>
  </si>
  <si>
    <t>-255.59万</t>
  </si>
  <si>
    <t>1541.81万</t>
  </si>
  <si>
    <t>297.38万</t>
  </si>
  <si>
    <t>48.41亿</t>
  </si>
  <si>
    <t>14.44亿</t>
  </si>
  <si>
    <t>32.37万</t>
  </si>
  <si>
    <t>5.35亿</t>
  </si>
  <si>
    <t>9284.90万</t>
  </si>
  <si>
    <t>4.50亿</t>
  </si>
  <si>
    <t>15.96亿</t>
  </si>
  <si>
    <t>58.73亿</t>
  </si>
  <si>
    <t>106.49万</t>
  </si>
  <si>
    <t>-8.69亿</t>
  </si>
  <si>
    <t>11.02亿</t>
  </si>
  <si>
    <t>1956.06万</t>
  </si>
  <si>
    <t>372.51万</t>
  </si>
  <si>
    <t>21.60亿</t>
  </si>
  <si>
    <t>4.21亿</t>
  </si>
  <si>
    <t>6154.88万</t>
  </si>
  <si>
    <t>1242.46万</t>
  </si>
  <si>
    <t>11.40万</t>
  </si>
  <si>
    <t>22.00万</t>
  </si>
  <si>
    <t>3.15亿</t>
  </si>
  <si>
    <t>33.85万</t>
  </si>
  <si>
    <t>10.41亿</t>
  </si>
  <si>
    <t>-1.84亿</t>
  </si>
  <si>
    <t>1650.34万</t>
  </si>
  <si>
    <t>-283.56万</t>
  </si>
  <si>
    <t>1859.04万</t>
  </si>
  <si>
    <t>7346.55万</t>
  </si>
  <si>
    <t>429.68万</t>
  </si>
  <si>
    <t>38.42亿</t>
  </si>
  <si>
    <t>9114.34万</t>
  </si>
  <si>
    <t>6972.08万</t>
  </si>
  <si>
    <t>3407.55万</t>
  </si>
  <si>
    <t>1.57万</t>
  </si>
  <si>
    <t>3488.33万</t>
  </si>
  <si>
    <t>53.05万</t>
  </si>
  <si>
    <t>6.39万</t>
  </si>
  <si>
    <t>1549.19万</t>
  </si>
  <si>
    <t>8422.54万</t>
  </si>
  <si>
    <t>440.49万</t>
  </si>
  <si>
    <t>2.48亿</t>
  </si>
  <si>
    <t>1755.08万</t>
  </si>
  <si>
    <t>1713.13万</t>
  </si>
  <si>
    <t>1903.76万</t>
  </si>
  <si>
    <t>371.15万</t>
  </si>
  <si>
    <t>27.86亿</t>
  </si>
  <si>
    <t>4.12亿</t>
  </si>
  <si>
    <t>5471.32万</t>
  </si>
  <si>
    <t>3987.09万</t>
  </si>
  <si>
    <t>246.72万</t>
  </si>
  <si>
    <t>8.09亿</t>
  </si>
  <si>
    <t>380.00万</t>
  </si>
  <si>
    <t>3002.21万</t>
  </si>
  <si>
    <t>3500.00万</t>
  </si>
  <si>
    <t>5.77亿</t>
  </si>
  <si>
    <t>914.98万</t>
  </si>
  <si>
    <t>-1.38亿</t>
  </si>
  <si>
    <t>-2043.23万</t>
  </si>
  <si>
    <t>1397.69万</t>
  </si>
  <si>
    <t>8485.63万</t>
  </si>
  <si>
    <t>314.71万</t>
  </si>
  <si>
    <t>13.35亿</t>
  </si>
  <si>
    <t>1991.67万</t>
  </si>
  <si>
    <t>2313.69万</t>
  </si>
  <si>
    <t>36.34万</t>
  </si>
  <si>
    <t>6106.64万</t>
  </si>
  <si>
    <t>3541.45万</t>
  </si>
  <si>
    <t>-332.63万</t>
  </si>
  <si>
    <t>-5573.82万</t>
  </si>
  <si>
    <t>1470.96万</t>
  </si>
  <si>
    <t>497.58万</t>
  </si>
  <si>
    <t>67.12亿</t>
  </si>
  <si>
    <t>3269.18万</t>
  </si>
  <si>
    <t>7.36万</t>
  </si>
  <si>
    <t>8.19亿</t>
  </si>
  <si>
    <t>3083.98万</t>
  </si>
  <si>
    <t>8.12亿</t>
  </si>
  <si>
    <t>2244.44万</t>
  </si>
  <si>
    <t>488.43万</t>
  </si>
  <si>
    <t>-3946.12万</t>
  </si>
  <si>
    <t>1616.60万</t>
  </si>
  <si>
    <t>10派1.540240元(含税)</t>
  </si>
  <si>
    <t>1966.67万</t>
  </si>
  <si>
    <t>441.92万</t>
  </si>
  <si>
    <t>55.24亿</t>
  </si>
  <si>
    <t>5848.87万</t>
  </si>
  <si>
    <t>22.88万</t>
  </si>
  <si>
    <t>11.70亿</t>
  </si>
  <si>
    <t>19.52万</t>
  </si>
  <si>
    <t>-4.77亿</t>
  </si>
  <si>
    <t>6.92亿</t>
  </si>
  <si>
    <t>2167.11万</t>
  </si>
  <si>
    <t>706.63万</t>
  </si>
  <si>
    <t>32.34亿</t>
  </si>
  <si>
    <t>3847.00万</t>
  </si>
  <si>
    <t>6.22万</t>
  </si>
  <si>
    <t>23.92亿</t>
  </si>
  <si>
    <t>3051.69万</t>
  </si>
  <si>
    <t>9766.23万</t>
  </si>
  <si>
    <t>-8.39亿</t>
  </si>
  <si>
    <t>-9320.85万</t>
  </si>
  <si>
    <t>2856.32万</t>
  </si>
  <si>
    <t>689.81万</t>
  </si>
  <si>
    <t>2650.15万</t>
  </si>
  <si>
    <t>2072.29万</t>
  </si>
  <si>
    <t>515.20万</t>
  </si>
  <si>
    <t>8942.74万</t>
  </si>
  <si>
    <t>-1632.46万</t>
  </si>
  <si>
    <t>-3.06亿</t>
  </si>
  <si>
    <t>-899.82万</t>
  </si>
  <si>
    <t>3822.53万</t>
  </si>
  <si>
    <t>689.86万</t>
  </si>
  <si>
    <t>49.37亿</t>
  </si>
  <si>
    <t>1264.05万</t>
  </si>
  <si>
    <t>109.41万</t>
  </si>
  <si>
    <t>9.77亿</t>
  </si>
  <si>
    <t>1092.83万</t>
  </si>
  <si>
    <t>7658.20万</t>
  </si>
  <si>
    <t>-2.31亿</t>
  </si>
  <si>
    <t>-4568.44万</t>
  </si>
  <si>
    <t>2733.70万</t>
  </si>
  <si>
    <t>595.86万</t>
  </si>
  <si>
    <t>32.56亿</t>
  </si>
  <si>
    <t>3454.55万</t>
  </si>
  <si>
    <t>60.03万</t>
  </si>
  <si>
    <t>18.99亿</t>
  </si>
  <si>
    <t>669.13万</t>
  </si>
  <si>
    <t>-2851.31万</t>
  </si>
  <si>
    <t>-7262.23万</t>
  </si>
  <si>
    <t>2451.06万</t>
  </si>
  <si>
    <t>595.40万</t>
  </si>
  <si>
    <t>50.44亿</t>
  </si>
  <si>
    <t>9099.08万</t>
  </si>
  <si>
    <t>5377.73万</t>
  </si>
  <si>
    <t>5510.76万</t>
  </si>
  <si>
    <t>67.40万</t>
  </si>
  <si>
    <t>325.67万</t>
  </si>
  <si>
    <t>50.05万</t>
  </si>
  <si>
    <t>-6405.14万</t>
  </si>
  <si>
    <t>-2809.75万</t>
  </si>
  <si>
    <t>-3513.56万</t>
  </si>
  <si>
    <t>3184.65万</t>
  </si>
  <si>
    <t>94.60万</t>
  </si>
  <si>
    <t>15.28亿</t>
  </si>
  <si>
    <t>9370.27万</t>
  </si>
  <si>
    <t>3692.64万</t>
  </si>
  <si>
    <t>3170.18万</t>
  </si>
  <si>
    <t>867.68万</t>
  </si>
  <si>
    <t>4.53万</t>
  </si>
  <si>
    <t>7274.04万</t>
  </si>
  <si>
    <t>579.33万</t>
  </si>
  <si>
    <t>6583.98万</t>
  </si>
  <si>
    <t>2916.68万</t>
  </si>
  <si>
    <t>-4529.40万</t>
  </si>
  <si>
    <t>52.70万</t>
  </si>
  <si>
    <t>438.94万</t>
  </si>
  <si>
    <t>3930.82万</t>
  </si>
  <si>
    <t>177.52万</t>
  </si>
  <si>
    <t>9.88亿</t>
  </si>
  <si>
    <t>4788.70万</t>
  </si>
  <si>
    <t>1138.22万</t>
  </si>
  <si>
    <t>2144.10万</t>
  </si>
  <si>
    <t>616.74万</t>
  </si>
  <si>
    <t>715.39万</t>
  </si>
  <si>
    <t>705.37万</t>
  </si>
  <si>
    <t>1819.78万</t>
  </si>
  <si>
    <t>7616.80万</t>
  </si>
  <si>
    <t>3641.01万</t>
  </si>
  <si>
    <t>7575.42万</t>
  </si>
  <si>
    <t>10派8.018040元(含税)</t>
  </si>
  <si>
    <t>989.74万</t>
  </si>
  <si>
    <t>4635.23万</t>
  </si>
  <si>
    <t>870.10万</t>
  </si>
  <si>
    <t>165.48亿</t>
  </si>
  <si>
    <t>19.87亿</t>
  </si>
  <si>
    <t>17.48亿</t>
  </si>
  <si>
    <t>6789.89万</t>
  </si>
  <si>
    <t>46.63万</t>
  </si>
  <si>
    <t>100.59亿</t>
  </si>
  <si>
    <t>13.51亿</t>
  </si>
  <si>
    <t>92.42亿</t>
  </si>
  <si>
    <t>6.35亿</t>
  </si>
  <si>
    <t>107.80亿</t>
  </si>
  <si>
    <t>6.83亿</t>
  </si>
  <si>
    <t>22.30亿</t>
  </si>
  <si>
    <t>4995.53万</t>
  </si>
  <si>
    <t>447.09万</t>
  </si>
  <si>
    <t>3625.76万</t>
  </si>
  <si>
    <t>6544.03万</t>
  </si>
  <si>
    <t>2019.91万</t>
  </si>
  <si>
    <t>3.40万</t>
  </si>
  <si>
    <t>1366.31万</t>
  </si>
  <si>
    <t>1648.50万</t>
  </si>
  <si>
    <t>4378.00万</t>
  </si>
  <si>
    <t>8057.79万</t>
  </si>
  <si>
    <t>5099.68万</t>
  </si>
  <si>
    <t>-626.48万</t>
  </si>
  <si>
    <t>2383.96万</t>
  </si>
  <si>
    <t>452.20万</t>
  </si>
  <si>
    <t>8663.64万</t>
  </si>
  <si>
    <t>2991.22万</t>
  </si>
  <si>
    <t>2476.54万</t>
  </si>
  <si>
    <t>2277.14万</t>
  </si>
  <si>
    <t>4794.44万</t>
  </si>
  <si>
    <t>247.80万</t>
  </si>
  <si>
    <t>5488.25万</t>
  </si>
  <si>
    <t>4923.79万</t>
  </si>
  <si>
    <t>200.00万</t>
  </si>
  <si>
    <t>2166.92万</t>
  </si>
  <si>
    <t>-6405.30万</t>
  </si>
  <si>
    <t>-9723.82万</t>
  </si>
  <si>
    <t>833.93万</t>
  </si>
  <si>
    <t>3288.72万</t>
  </si>
  <si>
    <t>263.80万</t>
  </si>
  <si>
    <t>364.31亿</t>
  </si>
  <si>
    <t>60.73亿</t>
  </si>
  <si>
    <t>31.90亿</t>
  </si>
  <si>
    <t>14.85亿</t>
  </si>
  <si>
    <t>747.50万</t>
  </si>
  <si>
    <t>211.94亿</t>
  </si>
  <si>
    <t>4821.02万</t>
  </si>
  <si>
    <t>23.87亿</t>
  </si>
  <si>
    <t>490.91万</t>
  </si>
  <si>
    <t>28.32亿</t>
  </si>
  <si>
    <t>387.57万</t>
  </si>
  <si>
    <t>110.71亿</t>
  </si>
  <si>
    <t>97.39万</t>
  </si>
  <si>
    <t>28.65亿</t>
  </si>
  <si>
    <t>-4.01亿</t>
  </si>
  <si>
    <t>-4027.06万</t>
  </si>
  <si>
    <t>1208.83万</t>
  </si>
  <si>
    <t>9220.43万</t>
  </si>
  <si>
    <t>344.40万</t>
  </si>
  <si>
    <t>79.65亿</t>
  </si>
  <si>
    <t>13.05亿</t>
  </si>
  <si>
    <t>5.59亿</t>
  </si>
  <si>
    <t>2928.00万</t>
  </si>
  <si>
    <t>2.00万</t>
  </si>
  <si>
    <t>10.28亿</t>
  </si>
  <si>
    <t>739.80万</t>
  </si>
  <si>
    <t>-83.84万</t>
  </si>
  <si>
    <t>9965.54万</t>
  </si>
  <si>
    <t>2032.88万</t>
  </si>
  <si>
    <t>288.00万</t>
  </si>
  <si>
    <t>20.49亿</t>
  </si>
  <si>
    <t>28.70亿</t>
  </si>
  <si>
    <t>5019.23万</t>
  </si>
  <si>
    <t>1617.36万</t>
  </si>
  <si>
    <t>1079.67万</t>
  </si>
  <si>
    <t>59.80万</t>
  </si>
  <si>
    <t>2698.20万</t>
  </si>
  <si>
    <t>1399.64万</t>
  </si>
  <si>
    <t>-54.64万</t>
  </si>
  <si>
    <t>88.21万</t>
  </si>
  <si>
    <t>5.19亿</t>
  </si>
  <si>
    <t>172.84万</t>
  </si>
  <si>
    <t>1146.02万</t>
  </si>
  <si>
    <t>5752.56万</t>
  </si>
  <si>
    <t>345.15万</t>
  </si>
  <si>
    <t>8.43亿</t>
  </si>
  <si>
    <t>7645.53万</t>
  </si>
  <si>
    <t>4439.05万</t>
  </si>
  <si>
    <t>925.84万</t>
  </si>
  <si>
    <t>973.24万</t>
  </si>
  <si>
    <t>1277.22万</t>
  </si>
  <si>
    <t>1.27万</t>
  </si>
  <si>
    <t>3.93亿</t>
  </si>
  <si>
    <t>7859.22万</t>
  </si>
  <si>
    <t>941.28万</t>
  </si>
  <si>
    <t>-3565.22万</t>
  </si>
  <si>
    <t>4612.00万</t>
  </si>
  <si>
    <t>3609.79万</t>
  </si>
  <si>
    <t>1457.86万</t>
  </si>
  <si>
    <t>9562.09万</t>
  </si>
  <si>
    <t>230.54万</t>
  </si>
  <si>
    <t>59.11亿</t>
  </si>
  <si>
    <t>26.94亿</t>
  </si>
  <si>
    <t>7840.33万</t>
  </si>
  <si>
    <t>3033.42万</t>
  </si>
  <si>
    <t>2419.35万</t>
  </si>
  <si>
    <t>7.23万</t>
  </si>
  <si>
    <t>734.33万</t>
  </si>
  <si>
    <t>4.95亿</t>
  </si>
  <si>
    <t>15.02亿</t>
  </si>
  <si>
    <t>3340.66万</t>
  </si>
  <si>
    <t>5.81亿</t>
  </si>
  <si>
    <t>9608.57万</t>
  </si>
  <si>
    <t>1194.44万</t>
  </si>
  <si>
    <t>6605.79万</t>
  </si>
  <si>
    <t>47.74万</t>
  </si>
  <si>
    <t>114.85亿</t>
  </si>
  <si>
    <t>4303.57万</t>
  </si>
  <si>
    <t>1070.19万</t>
  </si>
  <si>
    <t>1223.48万</t>
  </si>
  <si>
    <t>1350.80万</t>
  </si>
  <si>
    <t>1.07万</t>
  </si>
  <si>
    <t>4938.06万</t>
  </si>
  <si>
    <t>120.20万</t>
  </si>
  <si>
    <t>1939.25万</t>
  </si>
  <si>
    <t>151.13万</t>
  </si>
  <si>
    <t>4739.49万</t>
  </si>
  <si>
    <t>1588.82万</t>
  </si>
  <si>
    <t>1681.80万</t>
  </si>
  <si>
    <t>-998.34万</t>
  </si>
  <si>
    <t>22.33亿</t>
  </si>
  <si>
    <t>294.29万</t>
  </si>
  <si>
    <t>1543.48万</t>
  </si>
  <si>
    <t>8471.94万</t>
  </si>
  <si>
    <t>2952.03万</t>
  </si>
  <si>
    <t>48.89万</t>
  </si>
  <si>
    <t>17.49亿</t>
  </si>
  <si>
    <t>6505.84万</t>
  </si>
  <si>
    <t>9512.32万</t>
  </si>
  <si>
    <t>1770.15万</t>
  </si>
  <si>
    <t>-7087.94万</t>
  </si>
  <si>
    <t>5957.40万</t>
  </si>
  <si>
    <t>3634.38万</t>
  </si>
  <si>
    <t>309.70万</t>
  </si>
  <si>
    <t>2273.98万</t>
  </si>
  <si>
    <t>89.48万</t>
  </si>
  <si>
    <t>23.29亿</t>
  </si>
  <si>
    <t>7878.84万</t>
  </si>
  <si>
    <t>998.07万</t>
  </si>
  <si>
    <t>2344.21万</t>
  </si>
  <si>
    <t>2.16万</t>
  </si>
  <si>
    <t>4838.27万</t>
  </si>
  <si>
    <t>6051.77万</t>
  </si>
  <si>
    <t>6549.50万</t>
  </si>
  <si>
    <t>-1.73亿</t>
  </si>
  <si>
    <t>2188.16万</t>
  </si>
  <si>
    <t>403.20万</t>
  </si>
  <si>
    <t>372.65万</t>
  </si>
  <si>
    <t>2763.56万</t>
  </si>
  <si>
    <t>21.64万</t>
  </si>
  <si>
    <t>12.80亿</t>
  </si>
  <si>
    <t>2121.81万</t>
  </si>
  <si>
    <t>9381.51万</t>
  </si>
  <si>
    <t>6221.38万</t>
  </si>
  <si>
    <t>1909.52万</t>
  </si>
  <si>
    <t>1.34万</t>
  </si>
  <si>
    <t>7055.55万</t>
  </si>
  <si>
    <t>1599.20万</t>
  </si>
  <si>
    <t>753.58万</t>
  </si>
  <si>
    <t>2187.15万</t>
  </si>
  <si>
    <t>10派5.015983元(含税)</t>
  </si>
  <si>
    <t>88.86万</t>
  </si>
  <si>
    <t>954.59万</t>
  </si>
  <si>
    <t>137.01万</t>
  </si>
  <si>
    <t>18.32亿</t>
  </si>
  <si>
    <t>214.24万</t>
  </si>
  <si>
    <t>7962.75万</t>
  </si>
  <si>
    <t>6668.69万</t>
  </si>
  <si>
    <t>159.21万</t>
  </si>
  <si>
    <t>679.74万</t>
  </si>
  <si>
    <t>7863.85万</t>
  </si>
  <si>
    <t>4179.01万</t>
  </si>
  <si>
    <t>6587.10万</t>
  </si>
  <si>
    <t>-5.80万</t>
  </si>
  <si>
    <t>2091.88万</t>
  </si>
  <si>
    <t>929.18万</t>
  </si>
  <si>
    <t>4123.79万</t>
  </si>
  <si>
    <t>87.65万</t>
  </si>
  <si>
    <t>16.02亿</t>
  </si>
  <si>
    <t>8084.99万</t>
  </si>
  <si>
    <t>7527.19万</t>
  </si>
  <si>
    <t>222.93万</t>
  </si>
  <si>
    <t>326.62万</t>
  </si>
  <si>
    <t>91.59万</t>
  </si>
  <si>
    <t>1951.48万</t>
  </si>
  <si>
    <t>4561.32万</t>
  </si>
  <si>
    <t>6423.01万</t>
  </si>
  <si>
    <t>3284.48万</t>
  </si>
  <si>
    <t>943.42万</t>
  </si>
  <si>
    <t>-20.00万</t>
  </si>
  <si>
    <t>-1730.95万</t>
  </si>
  <si>
    <t>390.98万</t>
  </si>
  <si>
    <t>2381.76万</t>
  </si>
  <si>
    <t>56.75万</t>
  </si>
  <si>
    <t>22.41亿</t>
  </si>
  <si>
    <t>49.48亿</t>
  </si>
  <si>
    <t>7818.94万</t>
  </si>
  <si>
    <t>4855.29万</t>
  </si>
  <si>
    <t>973.03万</t>
  </si>
  <si>
    <t>1585.38万</t>
  </si>
  <si>
    <t>2.48万</t>
  </si>
  <si>
    <t>182.42万</t>
  </si>
  <si>
    <t>8634.15万</t>
  </si>
  <si>
    <t>239.24万</t>
  </si>
  <si>
    <t>1992.78万</t>
  </si>
  <si>
    <t>4847.97万</t>
  </si>
  <si>
    <t>9731.04万</t>
  </si>
  <si>
    <t>2367.13万</t>
  </si>
  <si>
    <t>-3.27亿</t>
  </si>
  <si>
    <t>-2497.51万</t>
  </si>
  <si>
    <t>4395.56万</t>
  </si>
  <si>
    <t>315.63万</t>
  </si>
  <si>
    <t>2221.89万</t>
  </si>
  <si>
    <t>6-0</t>
  </si>
  <si>
    <t>145.06万</t>
  </si>
  <si>
    <t>32.29亿</t>
  </si>
  <si>
    <t>5.29亿</t>
  </si>
  <si>
    <t>3395.43万</t>
  </si>
  <si>
    <t>920.34万</t>
  </si>
  <si>
    <t>2335.87万</t>
  </si>
  <si>
    <t>13.94亿</t>
  </si>
  <si>
    <t>826.94万</t>
  </si>
  <si>
    <t>1978.88万</t>
  </si>
  <si>
    <t>7492.18万</t>
  </si>
  <si>
    <t>-187.51万</t>
  </si>
  <si>
    <t>1574.73万</t>
  </si>
  <si>
    <t>709.76万</t>
  </si>
  <si>
    <t>7075.73万</t>
  </si>
  <si>
    <t>77.99万</t>
  </si>
  <si>
    <t>28.37亿</t>
  </si>
  <si>
    <t>2409.07万</t>
  </si>
  <si>
    <t>9268.80万</t>
  </si>
  <si>
    <t>2072.06万</t>
  </si>
  <si>
    <t>1144.59万</t>
  </si>
  <si>
    <t>1.29万</t>
  </si>
  <si>
    <t>4569.90万</t>
  </si>
  <si>
    <t>7567.77万</t>
  </si>
  <si>
    <t>-3.47亿</t>
  </si>
  <si>
    <t>-177.85万</t>
  </si>
  <si>
    <t>8359.48万</t>
  </si>
  <si>
    <t>801.62万</t>
  </si>
  <si>
    <t>289.99万</t>
  </si>
  <si>
    <t>2780.15万</t>
  </si>
  <si>
    <t>120.82万</t>
  </si>
  <si>
    <t>6601.04万</t>
  </si>
  <si>
    <t>7775.75万</t>
  </si>
  <si>
    <t>5699.83万</t>
  </si>
  <si>
    <t>945.51万</t>
  </si>
  <si>
    <t>589.25万</t>
  </si>
  <si>
    <t>10.48万</t>
  </si>
  <si>
    <t>762.91万</t>
  </si>
  <si>
    <t>3517.46万</t>
  </si>
  <si>
    <t>6.93亿</t>
  </si>
  <si>
    <t>3749.84万</t>
  </si>
  <si>
    <t>-1412.83万</t>
  </si>
  <si>
    <t>3112.52万</t>
  </si>
  <si>
    <t>1456.97万</t>
  </si>
  <si>
    <t>521.63万</t>
  </si>
  <si>
    <t>3480.57万</t>
  </si>
  <si>
    <t>SZ301580</t>
  </si>
  <si>
    <t>爱迪特</t>
  </si>
  <si>
    <t>396.95万</t>
  </si>
  <si>
    <t>11.07亿</t>
  </si>
  <si>
    <t>8430.63万</t>
  </si>
  <si>
    <t>3591.67万</t>
  </si>
  <si>
    <t>1582.39万</t>
  </si>
  <si>
    <t>1157591亿</t>
  </si>
  <si>
    <t>5.33万</t>
  </si>
  <si>
    <t>22473400亿</t>
  </si>
  <si>
    <t>154794250亿</t>
  </si>
  <si>
    <t>20.94万</t>
  </si>
  <si>
    <t>1059156030亿</t>
  </si>
  <si>
    <t>8580.27万</t>
  </si>
  <si>
    <t>-1295.88万</t>
  </si>
  <si>
    <t>-9.52万</t>
  </si>
  <si>
    <t>5534.37万</t>
  </si>
  <si>
    <t>4462.16万</t>
  </si>
  <si>
    <t>4858.33万</t>
  </si>
  <si>
    <t>4737.02万</t>
  </si>
  <si>
    <t>3339.69万</t>
  </si>
  <si>
    <t>2601.51万</t>
  </si>
  <si>
    <t>5947.20万</t>
  </si>
  <si>
    <t>24-0</t>
  </si>
  <si>
    <t>290.88万</t>
  </si>
  <si>
    <t>48.55亿</t>
  </si>
  <si>
    <t>388.24亿</t>
  </si>
  <si>
    <t>30.34亿</t>
  </si>
  <si>
    <t>630.01万</t>
  </si>
  <si>
    <t>5533.93万</t>
  </si>
  <si>
    <t>-7553.78万</t>
  </si>
  <si>
    <t>-87.76万</t>
  </si>
  <si>
    <t>125.31亿</t>
  </si>
  <si>
    <t>1316.70万</t>
  </si>
  <si>
    <t>9219.66万</t>
  </si>
  <si>
    <t>XD山东药</t>
  </si>
  <si>
    <t>469.71万</t>
  </si>
  <si>
    <t>77.54亿</t>
  </si>
  <si>
    <t>-3508.44万</t>
  </si>
  <si>
    <t>10.04亿</t>
  </si>
  <si>
    <t>8.80亿</t>
  </si>
  <si>
    <t>2885.14万</t>
  </si>
  <si>
    <t>5538.24万</t>
  </si>
  <si>
    <t>78.09万</t>
  </si>
  <si>
    <t>13.43亿</t>
  </si>
  <si>
    <t>5.42亿</t>
  </si>
  <si>
    <t>17.64亿</t>
  </si>
  <si>
    <t>-4.26亿</t>
  </si>
  <si>
    <t>9133.79万</t>
  </si>
  <si>
    <t>2769.69万</t>
  </si>
  <si>
    <t>739.46万</t>
  </si>
  <si>
    <t>-7759.22万</t>
  </si>
  <si>
    <t>9140.00万</t>
  </si>
  <si>
    <t>6853.03万</t>
  </si>
  <si>
    <t>848.33万</t>
  </si>
  <si>
    <t>1244.75万</t>
  </si>
  <si>
    <t>5.62万</t>
  </si>
  <si>
    <t>196.50万</t>
  </si>
  <si>
    <t>519.45万</t>
  </si>
  <si>
    <t>1423.16万</t>
  </si>
  <si>
    <t>7070.67万</t>
  </si>
  <si>
    <t>28.80万</t>
  </si>
  <si>
    <t>-2278.89万</t>
  </si>
  <si>
    <t>-104.85万</t>
  </si>
  <si>
    <t>-29.41万</t>
  </si>
  <si>
    <t>8448.56万</t>
  </si>
  <si>
    <t>-444.92万</t>
  </si>
  <si>
    <t>2609.54万</t>
  </si>
  <si>
    <t>1344.96万</t>
  </si>
  <si>
    <t>78.65亿</t>
  </si>
  <si>
    <t>97.96亿</t>
  </si>
  <si>
    <t>-9.67亿</t>
  </si>
  <si>
    <t>22.99亿</t>
  </si>
  <si>
    <t>19.04亿</t>
  </si>
  <si>
    <t>8819.09万</t>
  </si>
  <si>
    <t>195.97万</t>
  </si>
  <si>
    <t>27.75亿</t>
  </si>
  <si>
    <t>19.97亿</t>
  </si>
  <si>
    <t>71.88亿</t>
  </si>
  <si>
    <t>-2.14亿</t>
  </si>
  <si>
    <t>-8569.60万</t>
  </si>
  <si>
    <t>-9282.85万</t>
  </si>
  <si>
    <t>14.75亿</t>
  </si>
  <si>
    <t>3568.82万</t>
  </si>
  <si>
    <t>475.89万</t>
  </si>
  <si>
    <t>37.76亿</t>
  </si>
  <si>
    <t>75.69亿</t>
  </si>
  <si>
    <t>9.28亿</t>
  </si>
  <si>
    <t>8830.47万</t>
  </si>
  <si>
    <t>8126.78万</t>
  </si>
  <si>
    <t>3.94万</t>
  </si>
  <si>
    <t>15.20亿</t>
  </si>
  <si>
    <t>135.21万</t>
  </si>
  <si>
    <t>1877.94万</t>
  </si>
  <si>
    <t>337.66万</t>
  </si>
  <si>
    <t>14.64亿</t>
  </si>
  <si>
    <t>788.63万</t>
  </si>
  <si>
    <t>2142.48万</t>
  </si>
  <si>
    <t>-2037.72万</t>
  </si>
  <si>
    <t>-6398.83万</t>
  </si>
  <si>
    <t>14.49亿</t>
  </si>
  <si>
    <t>3210.44万</t>
  </si>
  <si>
    <t>1967.25万</t>
  </si>
  <si>
    <t>634.29万</t>
  </si>
  <si>
    <t>989.38亿</t>
  </si>
  <si>
    <t>-13.27亿</t>
  </si>
  <si>
    <t>7959.11万</t>
  </si>
  <si>
    <t>4499.89万</t>
  </si>
  <si>
    <t>638.55万</t>
  </si>
  <si>
    <t>1756.65万</t>
  </si>
  <si>
    <t>4.98万</t>
  </si>
  <si>
    <t>9853.10万</t>
  </si>
  <si>
    <t>8954.25万</t>
  </si>
  <si>
    <t>1075.35万</t>
  </si>
  <si>
    <t>2750.00万</t>
  </si>
  <si>
    <t>-6613.70万</t>
  </si>
  <si>
    <t>2589.63万</t>
  </si>
  <si>
    <t>-3376.17万</t>
  </si>
  <si>
    <t>227.37亿</t>
  </si>
  <si>
    <t>-5.09亿</t>
  </si>
  <si>
    <t>2461.84万</t>
  </si>
  <si>
    <t>512.94万</t>
  </si>
  <si>
    <t>16.66亿</t>
  </si>
  <si>
    <t>37.56亿</t>
  </si>
  <si>
    <t>4164.34万</t>
  </si>
  <si>
    <t>2841.12万</t>
  </si>
  <si>
    <t>2.18亿</t>
  </si>
  <si>
    <t>3231.40万</t>
  </si>
  <si>
    <t>5.16亿</t>
  </si>
  <si>
    <t>1266.12万</t>
  </si>
  <si>
    <t>4422.11万</t>
  </si>
  <si>
    <t>6489.45万</t>
  </si>
  <si>
    <t>2850.31万</t>
  </si>
  <si>
    <t>2862.66万</t>
  </si>
  <si>
    <t>176.98万</t>
  </si>
  <si>
    <t>57.08亿</t>
  </si>
  <si>
    <t>46.97亿</t>
  </si>
  <si>
    <t>8.70亿</t>
  </si>
  <si>
    <t>8896.28万</t>
  </si>
  <si>
    <t>2.99万</t>
  </si>
  <si>
    <t>15.83亿</t>
  </si>
  <si>
    <t>2446.17万</t>
  </si>
  <si>
    <t>6.72亿</t>
  </si>
  <si>
    <t>2629.72万</t>
  </si>
  <si>
    <t>-2.11亿</t>
  </si>
  <si>
    <t>6597.88万</t>
  </si>
  <si>
    <t>582.20万</t>
  </si>
  <si>
    <t>2997.28万</t>
  </si>
  <si>
    <t>n/a</t>
  </si>
  <si>
    <t>352.17万</t>
  </si>
  <si>
    <t>18.89亿</t>
  </si>
  <si>
    <t>4919.84万</t>
  </si>
  <si>
    <t>2984.78万</t>
  </si>
  <si>
    <t>2960.17万</t>
  </si>
  <si>
    <t>17.30万</t>
  </si>
  <si>
    <t>92.04万</t>
  </si>
  <si>
    <t>2.80万</t>
  </si>
  <si>
    <t>9544.84万</t>
  </si>
  <si>
    <t>41.17万</t>
  </si>
  <si>
    <t>3840.75万</t>
  </si>
  <si>
    <t>2010.69万</t>
  </si>
  <si>
    <t>1785.48万</t>
  </si>
  <si>
    <t>9397.65万</t>
  </si>
  <si>
    <t>283.47万</t>
  </si>
  <si>
    <t>28.25亿</t>
  </si>
  <si>
    <t>9173.28万</t>
  </si>
  <si>
    <t>6656.38万</t>
  </si>
  <si>
    <t>2227.63万</t>
  </si>
  <si>
    <t>8.49万</t>
  </si>
  <si>
    <t>6711.45万</t>
  </si>
  <si>
    <t>-1.00亿</t>
  </si>
  <si>
    <t>-3299.41万</t>
  </si>
  <si>
    <t>8973.36万</t>
  </si>
  <si>
    <t>384.64万</t>
  </si>
  <si>
    <t>1105.89万</t>
  </si>
  <si>
    <t>7335.04万</t>
  </si>
  <si>
    <t>-8-1</t>
  </si>
  <si>
    <t>341.71万</t>
  </si>
  <si>
    <t>88.54亿</t>
  </si>
  <si>
    <t>153.40亿</t>
  </si>
  <si>
    <t>19.12亿</t>
  </si>
  <si>
    <t>3.86亿</t>
  </si>
  <si>
    <t>4655.35万</t>
  </si>
  <si>
    <t>154.44万</t>
  </si>
  <si>
    <t>10.79亿</t>
  </si>
  <si>
    <t>1615.76万</t>
  </si>
  <si>
    <t>20.57亿</t>
  </si>
  <si>
    <t>3.28亿</t>
  </si>
  <si>
    <t>36.99亿</t>
  </si>
  <si>
    <t>7.02亿</t>
  </si>
  <si>
    <t>10派10.5208元(含税)</t>
  </si>
  <si>
    <t>1354.17万</t>
  </si>
  <si>
    <t>南卫股份</t>
  </si>
  <si>
    <t>296.11万</t>
  </si>
  <si>
    <t>174.68万</t>
  </si>
  <si>
    <t>1082.30万</t>
  </si>
  <si>
    <t>91.89万</t>
  </si>
  <si>
    <t>5446.92万</t>
  </si>
  <si>
    <t>155540330亿</t>
  </si>
  <si>
    <t>1313.24万</t>
  </si>
  <si>
    <t>3520.00万</t>
  </si>
  <si>
    <t>-829.36万</t>
  </si>
  <si>
    <t>-1435.94万</t>
  </si>
  <si>
    <t>-30.71万</t>
  </si>
  <si>
    <t>3508.27万</t>
  </si>
  <si>
    <t>2799.69万</t>
  </si>
  <si>
    <t>59.07万</t>
  </si>
  <si>
    <t>25.41亿</t>
  </si>
  <si>
    <t>221.78万</t>
  </si>
  <si>
    <t>1122.54万</t>
  </si>
  <si>
    <t>7.88万</t>
  </si>
  <si>
    <t>15.03万</t>
  </si>
  <si>
    <t>1393.26万</t>
  </si>
  <si>
    <t>461.80万</t>
  </si>
  <si>
    <t>1551.55万</t>
  </si>
  <si>
    <t>-26.14万</t>
  </si>
  <si>
    <t>3964.91万</t>
  </si>
  <si>
    <t>275.32万</t>
  </si>
  <si>
    <t>2315.21万</t>
  </si>
  <si>
    <t>438.86万</t>
  </si>
  <si>
    <t>28.60亿</t>
  </si>
  <si>
    <t>4320.70万</t>
  </si>
  <si>
    <t>5028.83万</t>
  </si>
  <si>
    <t>3230.24万</t>
  </si>
  <si>
    <t>13.37万</t>
  </si>
  <si>
    <t>6.32亿</t>
  </si>
  <si>
    <t>6829.94万</t>
  </si>
  <si>
    <t>11.69亿</t>
  </si>
  <si>
    <t>7804.71万</t>
  </si>
  <si>
    <t>-4469.66万</t>
  </si>
  <si>
    <t>-3740.76万</t>
  </si>
  <si>
    <t>-4827.92万</t>
  </si>
  <si>
    <t>357.46万</t>
  </si>
  <si>
    <t>1928.14万</t>
  </si>
  <si>
    <t>50.61万</t>
  </si>
  <si>
    <t>16.84亿</t>
  </si>
  <si>
    <t>-3231.11万</t>
  </si>
  <si>
    <t>1313.52万</t>
  </si>
  <si>
    <t>2186.06万</t>
  </si>
  <si>
    <t>24.86万</t>
  </si>
  <si>
    <t>1411.38万</t>
  </si>
  <si>
    <t>9635.10万</t>
  </si>
  <si>
    <t>4106.50万</t>
  </si>
  <si>
    <t>-2412.45万</t>
  </si>
  <si>
    <t>-162.25万</t>
  </si>
  <si>
    <t>180.12万</t>
  </si>
  <si>
    <t>242.07万</t>
  </si>
  <si>
    <t>1683.84万</t>
  </si>
  <si>
    <t>-6-1</t>
  </si>
  <si>
    <t>50.35万</t>
  </si>
  <si>
    <t>19.95亿</t>
  </si>
  <si>
    <t>8898.79万</t>
  </si>
  <si>
    <t>4851.98万</t>
  </si>
  <si>
    <t>2496.76万</t>
  </si>
  <si>
    <t>900.84万</t>
  </si>
  <si>
    <t>758.02万</t>
  </si>
  <si>
    <t>2.50万</t>
  </si>
  <si>
    <t>1770.33万</t>
  </si>
  <si>
    <t>1612.58万</t>
  </si>
  <si>
    <t>3.51万</t>
  </si>
  <si>
    <t>4357.78万</t>
  </si>
  <si>
    <t>879.27万</t>
  </si>
  <si>
    <t>1348.79万</t>
  </si>
  <si>
    <t>-3589.27万</t>
  </si>
  <si>
    <t>1012.22万</t>
  </si>
  <si>
    <t>174.87万</t>
  </si>
  <si>
    <t>1560.12万</t>
  </si>
  <si>
    <t>261.02万</t>
  </si>
  <si>
    <t>40.86亿</t>
  </si>
  <si>
    <t>8415.53万</t>
  </si>
  <si>
    <t>8409.37万</t>
  </si>
  <si>
    <t>2658.35万</t>
  </si>
  <si>
    <t>1259.42万</t>
  </si>
  <si>
    <t>5.44万</t>
  </si>
  <si>
    <t>14.74亿</t>
  </si>
  <si>
    <t>4265.57万</t>
  </si>
  <si>
    <t>-17.37亿</t>
  </si>
  <si>
    <t>3164.93万</t>
  </si>
  <si>
    <t>8852.47万</t>
  </si>
  <si>
    <t>2464.99万</t>
  </si>
  <si>
    <t>1648.32万</t>
  </si>
  <si>
    <t>4921.67万</t>
  </si>
  <si>
    <t>269.14万</t>
  </si>
  <si>
    <t>-1.24亿</t>
  </si>
  <si>
    <t>9317.26万</t>
  </si>
  <si>
    <t>6690.07万</t>
  </si>
  <si>
    <t>594.90万</t>
  </si>
  <si>
    <t>835.86万</t>
  </si>
  <si>
    <t>5.47万</t>
  </si>
  <si>
    <t>2734.53万</t>
  </si>
  <si>
    <t>27.91万</t>
  </si>
  <si>
    <t>9510.35万</t>
  </si>
  <si>
    <t>3530.50万</t>
  </si>
  <si>
    <t>-2637.05万</t>
  </si>
  <si>
    <t>-2095.75万</t>
  </si>
  <si>
    <t>3051.46万</t>
  </si>
  <si>
    <t>-1622.53万</t>
  </si>
  <si>
    <t>10派0.723元(含税)</t>
  </si>
  <si>
    <t>757.83万</t>
  </si>
  <si>
    <t>4422.50万</t>
  </si>
  <si>
    <t>119.26万</t>
  </si>
  <si>
    <t>37.84亿</t>
  </si>
  <si>
    <t>-2.40亿</t>
  </si>
  <si>
    <t>8248.55万</t>
  </si>
  <si>
    <t>76.83万</t>
  </si>
  <si>
    <t>177.56万</t>
  </si>
  <si>
    <t>142.55万</t>
  </si>
  <si>
    <t>5.18亿</t>
  </si>
  <si>
    <t>5572.56万</t>
  </si>
  <si>
    <t>-3.10亿</t>
  </si>
  <si>
    <t>-3280.22万</t>
  </si>
  <si>
    <t>-8745.64万</t>
  </si>
  <si>
    <t>614.20万</t>
  </si>
  <si>
    <t>3954.82万</t>
  </si>
  <si>
    <t>187.56万</t>
  </si>
  <si>
    <t>8812.68万</t>
  </si>
  <si>
    <t>4752.69万</t>
  </si>
  <si>
    <t>3621.23万</t>
  </si>
  <si>
    <t>12.16万</t>
  </si>
  <si>
    <t>8294.58万</t>
  </si>
  <si>
    <t>2339.33万</t>
  </si>
  <si>
    <t>5716.66万</t>
  </si>
  <si>
    <t>5395.48万</t>
  </si>
  <si>
    <t>-3750.78万</t>
  </si>
  <si>
    <t>6238.85万</t>
  </si>
  <si>
    <t>-2928.97万</t>
  </si>
  <si>
    <t>680.95万</t>
  </si>
  <si>
    <t>4130.47万</t>
  </si>
  <si>
    <t>67.61万</t>
  </si>
  <si>
    <t>4368.49万</t>
  </si>
  <si>
    <t>1990.80万</t>
  </si>
  <si>
    <t>1343.17万</t>
  </si>
  <si>
    <t>434.36万</t>
  </si>
  <si>
    <t>2724.87万</t>
  </si>
  <si>
    <t>62.57万</t>
  </si>
  <si>
    <t>1451.36万</t>
  </si>
  <si>
    <t>743.61万</t>
  </si>
  <si>
    <t>5.71万</t>
  </si>
  <si>
    <t>4328.27万</t>
  </si>
  <si>
    <t>-776.91万</t>
  </si>
  <si>
    <t>-5228.91万</t>
  </si>
  <si>
    <t>2341.98万</t>
  </si>
  <si>
    <t>56.99万</t>
  </si>
  <si>
    <t>32.80亿</t>
  </si>
  <si>
    <t>-1344.11万</t>
  </si>
  <si>
    <t>4756.73万</t>
  </si>
  <si>
    <t>3857.35万</t>
  </si>
  <si>
    <t>2200.60万</t>
  </si>
  <si>
    <t>7.87万</t>
  </si>
  <si>
    <t>7460.70万</t>
  </si>
  <si>
    <t>-1400.70万</t>
  </si>
  <si>
    <t>6326.56万</t>
  </si>
  <si>
    <t>-8696.05万</t>
  </si>
  <si>
    <t>3105.52万</t>
  </si>
  <si>
    <t>-1527.34万</t>
  </si>
  <si>
    <t>239.61万</t>
  </si>
  <si>
    <t>2434.78万</t>
  </si>
  <si>
    <t>22.40万</t>
  </si>
  <si>
    <t>51.75亿</t>
  </si>
  <si>
    <t>7491.33万</t>
  </si>
  <si>
    <t>852.50万</t>
  </si>
  <si>
    <t>1086.24万</t>
  </si>
  <si>
    <t>5.00万</t>
  </si>
  <si>
    <t>45.74万</t>
  </si>
  <si>
    <t>5868.72万</t>
  </si>
  <si>
    <t>7566.37万</t>
  </si>
  <si>
    <t>100.86万</t>
  </si>
  <si>
    <t>-200.00万</t>
  </si>
  <si>
    <t>2101.29万</t>
  </si>
  <si>
    <t>129.70万</t>
  </si>
  <si>
    <t>981.85万</t>
  </si>
  <si>
    <t>85.76万</t>
  </si>
  <si>
    <t>20.50亿</t>
  </si>
  <si>
    <t>24.55亿</t>
  </si>
  <si>
    <t>8936.44万</t>
  </si>
  <si>
    <t>3604.19万</t>
  </si>
  <si>
    <t>2686.62万</t>
  </si>
  <si>
    <t>1205.95万</t>
  </si>
  <si>
    <t>17.44万</t>
  </si>
  <si>
    <t>940.60万</t>
  </si>
  <si>
    <t>4241.42万</t>
  </si>
  <si>
    <t>9486.55万</t>
  </si>
  <si>
    <t>1356.58万</t>
  </si>
  <si>
    <t>-4959.37万</t>
  </si>
  <si>
    <t>-1339.33万</t>
  </si>
  <si>
    <t>1972.29万</t>
  </si>
  <si>
    <t>5.17亿</t>
  </si>
  <si>
    <t>1167.51万</t>
  </si>
  <si>
    <t>361.87万</t>
  </si>
  <si>
    <t>3831.71万</t>
  </si>
  <si>
    <t>449.93万</t>
  </si>
  <si>
    <t>8.93亿</t>
  </si>
  <si>
    <t>1242.93万</t>
  </si>
  <si>
    <t>4158.18万</t>
  </si>
  <si>
    <t>1658.00万</t>
  </si>
  <si>
    <t>1877.86万</t>
  </si>
  <si>
    <t>38.72万</t>
  </si>
  <si>
    <t>140.37万</t>
  </si>
  <si>
    <t>5355.01万</t>
  </si>
  <si>
    <t>2452.17万</t>
  </si>
  <si>
    <t>5930.00万</t>
  </si>
  <si>
    <t>-1621.83万</t>
  </si>
  <si>
    <t>-3498.09万</t>
  </si>
  <si>
    <t>6253.37万</t>
  </si>
  <si>
    <t>5939.71万</t>
  </si>
  <si>
    <t>-1372.62万</t>
  </si>
  <si>
    <t>1838.89万</t>
  </si>
  <si>
    <t>155.18万</t>
  </si>
  <si>
    <t>83.38亿</t>
  </si>
  <si>
    <t>898.44万</t>
  </si>
  <si>
    <t>64.16万</t>
  </si>
  <si>
    <t>42.24亿</t>
  </si>
  <si>
    <t>7744.01万</t>
  </si>
  <si>
    <t>4964.60万</t>
  </si>
  <si>
    <t>-2.19亿</t>
  </si>
  <si>
    <t>-1.67亿</t>
  </si>
  <si>
    <t>-1.65亿</t>
  </si>
  <si>
    <t>3122.83万</t>
  </si>
  <si>
    <t>-1022.56万</t>
  </si>
  <si>
    <t>715.61万</t>
  </si>
  <si>
    <t>4813.89万</t>
  </si>
  <si>
    <t>233.14万</t>
  </si>
  <si>
    <t>45.56亿</t>
  </si>
  <si>
    <t>12.97亿</t>
  </si>
  <si>
    <t>-5.31亿</t>
  </si>
  <si>
    <t>8047.61万</t>
  </si>
  <si>
    <t>4104.48万</t>
  </si>
  <si>
    <t>44.61万</t>
  </si>
  <si>
    <t>13.20亿</t>
  </si>
  <si>
    <t>601.69万</t>
  </si>
  <si>
    <t>8781.80万</t>
  </si>
  <si>
    <t>1101.07万</t>
  </si>
  <si>
    <t>7720.50万</t>
  </si>
  <si>
    <t>-752.94万</t>
  </si>
  <si>
    <t>-2049.61万</t>
  </si>
  <si>
    <t>-5713.45万</t>
  </si>
  <si>
    <t>1210.00万</t>
  </si>
  <si>
    <t>7590.04万</t>
  </si>
  <si>
    <t>134.64万</t>
  </si>
  <si>
    <t>41.84亿</t>
  </si>
  <si>
    <t>-3011.83万</t>
  </si>
  <si>
    <t>9546.76万</t>
  </si>
  <si>
    <t>698.63万</t>
  </si>
  <si>
    <t>2104.79万</t>
  </si>
  <si>
    <t>9.53亿</t>
  </si>
  <si>
    <t>4873.41万</t>
  </si>
  <si>
    <t>3812.65万</t>
  </si>
  <si>
    <t>-8548.78万</t>
  </si>
  <si>
    <t>-13.82亿</t>
  </si>
  <si>
    <t>3400.24万</t>
  </si>
  <si>
    <t>-132.33万</t>
  </si>
  <si>
    <t>409.31万</t>
  </si>
  <si>
    <t>2615.66万</t>
  </si>
  <si>
    <t>XD威高骨</t>
  </si>
  <si>
    <t>116.86万</t>
  </si>
  <si>
    <t>38.89亿</t>
  </si>
  <si>
    <t>36.91亿</t>
  </si>
  <si>
    <t>-2.04亿</t>
  </si>
  <si>
    <t>1654.00万</t>
  </si>
  <si>
    <t>9.55万</t>
  </si>
  <si>
    <t>1800.62万</t>
  </si>
  <si>
    <t>5428.71万</t>
  </si>
  <si>
    <t>10.32亿</t>
  </si>
  <si>
    <t>1495.61万</t>
  </si>
  <si>
    <t>-2213.73万</t>
  </si>
  <si>
    <t>-1645.37万</t>
  </si>
  <si>
    <t>2189.74万</t>
  </si>
  <si>
    <t>10派1.2048元(含税)</t>
  </si>
  <si>
    <t>504.11万</t>
  </si>
  <si>
    <t>2919.04万</t>
  </si>
  <si>
    <t>28.53万</t>
  </si>
  <si>
    <t>4165.59万</t>
  </si>
  <si>
    <t>4373.99万</t>
  </si>
  <si>
    <t>871.31万</t>
  </si>
  <si>
    <t>2025.71万</t>
  </si>
  <si>
    <t>722.38万</t>
  </si>
  <si>
    <t>3.30万</t>
  </si>
  <si>
    <t>5.90亿</t>
  </si>
  <si>
    <t>10.00万</t>
  </si>
  <si>
    <t>390.52万</t>
  </si>
  <si>
    <t>7256.11万</t>
  </si>
  <si>
    <t>813.52万</t>
  </si>
  <si>
    <t>-1564.09万</t>
  </si>
  <si>
    <t>-1223.31万</t>
  </si>
  <si>
    <t>7782.68万</t>
  </si>
  <si>
    <t>654.09万</t>
  </si>
  <si>
    <t>189.50万</t>
  </si>
  <si>
    <t>811.01万</t>
  </si>
  <si>
    <t>22.55万</t>
  </si>
  <si>
    <t>-9613.77万</t>
  </si>
  <si>
    <t>7637.78万</t>
  </si>
  <si>
    <t>817.25万</t>
  </si>
  <si>
    <t>2359.88万</t>
  </si>
  <si>
    <t>819.65万</t>
  </si>
  <si>
    <t>3.61万</t>
  </si>
  <si>
    <t>356.69万</t>
  </si>
  <si>
    <t>3479.79万</t>
  </si>
  <si>
    <t>5777.57万</t>
  </si>
  <si>
    <t>-999.69万</t>
  </si>
  <si>
    <t>-2436.87万</t>
  </si>
  <si>
    <t>-111.09万</t>
  </si>
  <si>
    <t>-1784.90万</t>
  </si>
  <si>
    <t>70.59万</t>
  </si>
  <si>
    <t>629.81万</t>
  </si>
  <si>
    <t>151.18万</t>
  </si>
  <si>
    <t>14.20亿</t>
  </si>
  <si>
    <t>28.57亿</t>
  </si>
  <si>
    <t>1421.55万</t>
  </si>
  <si>
    <t>3994.72万</t>
  </si>
  <si>
    <t>6357.56万</t>
  </si>
  <si>
    <t>2775.73万</t>
  </si>
  <si>
    <t>50.30万</t>
  </si>
  <si>
    <t>1045.75万</t>
  </si>
  <si>
    <t>5362.94万</t>
  </si>
  <si>
    <t>-2873.88万</t>
  </si>
  <si>
    <t>-351.75万</t>
  </si>
  <si>
    <t>-2568.09万</t>
  </si>
  <si>
    <t>880.84万</t>
  </si>
  <si>
    <t>3129.96万</t>
  </si>
  <si>
    <t>48.43万</t>
  </si>
  <si>
    <t>8.54亿</t>
  </si>
  <si>
    <t>8180.59万</t>
  </si>
  <si>
    <t>6456.83万</t>
  </si>
  <si>
    <t>1434.79万</t>
  </si>
  <si>
    <t>2088.00万</t>
  </si>
  <si>
    <t>1309.62万</t>
  </si>
  <si>
    <t>33.07万</t>
  </si>
  <si>
    <t>269.83万</t>
  </si>
  <si>
    <t>4556.90万</t>
  </si>
  <si>
    <t>1201.65万</t>
  </si>
  <si>
    <t>7.70万</t>
  </si>
  <si>
    <t>4194.79万</t>
  </si>
  <si>
    <t>1151.89万</t>
  </si>
  <si>
    <t>-1313.49万</t>
  </si>
  <si>
    <t>-1506.38万</t>
  </si>
  <si>
    <t>60.52万</t>
  </si>
  <si>
    <t>222.36万</t>
  </si>
  <si>
    <t>1212.49万</t>
  </si>
  <si>
    <t>285.10万</t>
  </si>
  <si>
    <t>29.34亿</t>
  </si>
  <si>
    <t>-3500.16万</t>
  </si>
  <si>
    <t>5804.17万</t>
  </si>
  <si>
    <t>6314.60万</t>
  </si>
  <si>
    <t>752.26万</t>
  </si>
  <si>
    <t>85.61万</t>
  </si>
  <si>
    <t>990.87万</t>
  </si>
  <si>
    <t>-1.30亿</t>
  </si>
  <si>
    <t>8372.83万</t>
  </si>
  <si>
    <t>6005.01万</t>
  </si>
  <si>
    <t>2148.87万</t>
  </si>
  <si>
    <t>914.60万</t>
  </si>
  <si>
    <t>6691.10万</t>
  </si>
  <si>
    <t>-7-0</t>
  </si>
  <si>
    <t>180.02万</t>
  </si>
  <si>
    <t>2487.05万</t>
  </si>
  <si>
    <t>9956.03万</t>
  </si>
  <si>
    <t>4632.98万</t>
  </si>
  <si>
    <t>2031.23万</t>
  </si>
  <si>
    <t>1081.90万</t>
  </si>
  <si>
    <t>25.46万</t>
  </si>
  <si>
    <t>6514.74万</t>
  </si>
  <si>
    <t>-5553.62万</t>
  </si>
  <si>
    <t>-105.16万</t>
  </si>
  <si>
    <t>803.02万</t>
  </si>
  <si>
    <t>1087.65万</t>
  </si>
  <si>
    <t>5335.27万</t>
  </si>
  <si>
    <t>322.98万</t>
  </si>
  <si>
    <t>192.69亿</t>
  </si>
  <si>
    <t>-9631.87万</t>
  </si>
  <si>
    <t>20.55亿</t>
  </si>
  <si>
    <t>95.04万</t>
  </si>
  <si>
    <t>60.70亿</t>
  </si>
  <si>
    <t>422.95万</t>
  </si>
  <si>
    <t>762.92万</t>
  </si>
  <si>
    <t>16.63亿</t>
  </si>
  <si>
    <t>54.48亿</t>
  </si>
  <si>
    <t>-11.24亿</t>
  </si>
  <si>
    <t>-5296.56万</t>
  </si>
  <si>
    <t>3090.64万</t>
  </si>
  <si>
    <t>-1913.01万</t>
  </si>
  <si>
    <t>1147.64万</t>
  </si>
  <si>
    <t>8218.10万</t>
  </si>
  <si>
    <t>-7-1</t>
  </si>
  <si>
    <t>101.85万</t>
  </si>
  <si>
    <t>14.06亿</t>
  </si>
  <si>
    <t>121.74亿</t>
  </si>
  <si>
    <t>-15.04亿</t>
  </si>
  <si>
    <t>6744.11万</t>
  </si>
  <si>
    <t>2707.11万</t>
  </si>
  <si>
    <t>1981.50万</t>
  </si>
  <si>
    <t>1088.59万</t>
  </si>
  <si>
    <t>1.10万</t>
  </si>
  <si>
    <t>672.80万</t>
  </si>
  <si>
    <t>2399.75万</t>
  </si>
  <si>
    <t>405.87万</t>
  </si>
  <si>
    <t>263.42万</t>
  </si>
  <si>
    <t>-1158.52万</t>
  </si>
  <si>
    <t>30.98亿</t>
  </si>
  <si>
    <t>-3378.64万</t>
  </si>
  <si>
    <t>341.77万</t>
  </si>
  <si>
    <t>2424.47万</t>
  </si>
  <si>
    <t>344.15万</t>
  </si>
  <si>
    <t>12.34亿</t>
  </si>
  <si>
    <t>21.00亿</t>
  </si>
  <si>
    <t>7986.26万</t>
  </si>
  <si>
    <t>1067.88万</t>
  </si>
  <si>
    <t>1835.45万</t>
  </si>
  <si>
    <t>13.86万</t>
  </si>
  <si>
    <t>4584.33万</t>
  </si>
  <si>
    <t>3834.19万</t>
  </si>
  <si>
    <t>-4995.23万</t>
  </si>
  <si>
    <t>1255.17万</t>
  </si>
  <si>
    <t>550.16万</t>
  </si>
  <si>
    <t>4.19亿</t>
  </si>
  <si>
    <t>8417.31万</t>
  </si>
  <si>
    <t>1759.59万</t>
  </si>
  <si>
    <t>498.99万</t>
  </si>
  <si>
    <t>75.29亿</t>
  </si>
  <si>
    <t>3468.68万</t>
  </si>
  <si>
    <t>7390.41万</t>
  </si>
  <si>
    <t>6196.15万</t>
  </si>
  <si>
    <t>10.88万</t>
  </si>
  <si>
    <t>43.31亿</t>
  </si>
  <si>
    <t>749.87万</t>
  </si>
  <si>
    <t>1027.11万</t>
  </si>
  <si>
    <t>4487.80万</t>
  </si>
  <si>
    <t>7.21亿</t>
  </si>
  <si>
    <t>5198.62万</t>
  </si>
  <si>
    <t>581.84万</t>
  </si>
  <si>
    <t>1939.47万</t>
  </si>
  <si>
    <t>9338.66万</t>
  </si>
  <si>
    <t>122.11万</t>
  </si>
  <si>
    <t>75.37亿</t>
  </si>
  <si>
    <t>12.53亿</t>
  </si>
  <si>
    <t>9542.03万</t>
  </si>
  <si>
    <t>3473.32万</t>
  </si>
  <si>
    <t>9002.45万</t>
  </si>
  <si>
    <t>1.62万</t>
  </si>
  <si>
    <t>34.62亿</t>
  </si>
  <si>
    <t>191.77万</t>
  </si>
  <si>
    <t>1353.87万</t>
  </si>
  <si>
    <t>-2.12亿</t>
  </si>
  <si>
    <t>-3002.65万</t>
  </si>
  <si>
    <t>2492.70万</t>
  </si>
  <si>
    <t>556.19万</t>
  </si>
  <si>
    <t>3152.82万</t>
  </si>
  <si>
    <t>97.64万</t>
  </si>
  <si>
    <t>44.98亿</t>
  </si>
  <si>
    <t>1861.49万</t>
  </si>
  <si>
    <t>2409.30万</t>
  </si>
  <si>
    <t>5.11万</t>
  </si>
  <si>
    <t>20.11亿</t>
  </si>
  <si>
    <t>8120.72万</t>
  </si>
  <si>
    <t>26.82亿</t>
  </si>
  <si>
    <t>7007.40万</t>
  </si>
  <si>
    <t>1926.69万</t>
  </si>
  <si>
    <t>6.08亿</t>
  </si>
  <si>
    <t>15.48亿</t>
  </si>
  <si>
    <t>-4225.82万</t>
  </si>
  <si>
    <t>-5.64亿</t>
  </si>
  <si>
    <t>-7536.93万</t>
  </si>
  <si>
    <t>433.62万</t>
  </si>
  <si>
    <t>3610.18万</t>
  </si>
  <si>
    <t>43.85万</t>
  </si>
  <si>
    <t>20.02亿</t>
  </si>
  <si>
    <t>4439.03万</t>
  </si>
  <si>
    <t>1313.10万</t>
  </si>
  <si>
    <t>1304.74万</t>
  </si>
  <si>
    <t>1301.60万</t>
  </si>
  <si>
    <t>1943.72万</t>
  </si>
  <si>
    <t>1677.87万</t>
  </si>
  <si>
    <t>8048.46万</t>
  </si>
  <si>
    <t>3356.37万</t>
  </si>
  <si>
    <t>-9850.61万</t>
  </si>
  <si>
    <t>-100.40万</t>
  </si>
  <si>
    <t>2250.11万</t>
  </si>
  <si>
    <t>181.30万</t>
  </si>
  <si>
    <t>1363.57万</t>
  </si>
  <si>
    <t>178.10万</t>
  </si>
  <si>
    <t>38.39亿</t>
  </si>
  <si>
    <t>1717.15万</t>
  </si>
  <si>
    <t>1246.20万</t>
  </si>
  <si>
    <t>1747.07万</t>
  </si>
  <si>
    <t>1869.78万</t>
  </si>
  <si>
    <t>2.51万</t>
  </si>
  <si>
    <t>27.61亿</t>
  </si>
  <si>
    <t>312.39万</t>
  </si>
  <si>
    <t>9834.87万</t>
  </si>
  <si>
    <t>1628.11万</t>
  </si>
  <si>
    <t>-1302.82万</t>
  </si>
  <si>
    <t>-1344.35万</t>
  </si>
  <si>
    <t>6508.40万</t>
  </si>
  <si>
    <t>5616.66万</t>
  </si>
  <si>
    <t>599.85万</t>
  </si>
  <si>
    <t>4037.20万</t>
  </si>
  <si>
    <t>8-1</t>
  </si>
  <si>
    <t>48.85万</t>
  </si>
  <si>
    <t>8.01亿</t>
  </si>
  <si>
    <t>-2.43亿</t>
  </si>
  <si>
    <t>4089.05万</t>
  </si>
  <si>
    <t>2715.22万</t>
  </si>
  <si>
    <t>919.98万</t>
  </si>
  <si>
    <t>606.66万</t>
  </si>
  <si>
    <t>1.09万</t>
  </si>
  <si>
    <t>12.61亿</t>
  </si>
  <si>
    <t>190.42万</t>
  </si>
  <si>
    <t>63.82万</t>
  </si>
  <si>
    <t>4080.93万</t>
  </si>
  <si>
    <t>9064.17万</t>
  </si>
  <si>
    <t>1981.48万</t>
  </si>
  <si>
    <t>-3984.81万</t>
  </si>
  <si>
    <t>-6.27万</t>
  </si>
  <si>
    <t>4837.33万</t>
  </si>
  <si>
    <t>-3863.37万</t>
  </si>
  <si>
    <t>295.87万</t>
  </si>
  <si>
    <t>1583.85万</t>
  </si>
  <si>
    <t>527.34万</t>
  </si>
  <si>
    <t>16.91亿</t>
  </si>
  <si>
    <t>16.29亿</t>
  </si>
  <si>
    <t>8955.45万</t>
  </si>
  <si>
    <t>3517.58万</t>
  </si>
  <si>
    <t>2450.63万</t>
  </si>
  <si>
    <t>1025.23万</t>
  </si>
  <si>
    <t>5949.42万</t>
  </si>
  <si>
    <t>626.10万</t>
  </si>
  <si>
    <t>-241.46万</t>
  </si>
  <si>
    <t>3061.26万</t>
  </si>
  <si>
    <t>1531.40万</t>
  </si>
  <si>
    <t>5756.20万</t>
  </si>
  <si>
    <t>68.95万</t>
  </si>
  <si>
    <t>-3679.34万</t>
  </si>
  <si>
    <t>8899.32万</t>
  </si>
  <si>
    <t>5536.80万</t>
  </si>
  <si>
    <t>1243.28万</t>
  </si>
  <si>
    <t>787.90万</t>
  </si>
  <si>
    <t>5581.05万</t>
  </si>
  <si>
    <t>6181.90万</t>
  </si>
  <si>
    <t>2634.14万</t>
  </si>
  <si>
    <t>943.99万</t>
  </si>
  <si>
    <t>-118.73万</t>
  </si>
  <si>
    <t>8379.43万</t>
  </si>
  <si>
    <t>-1225.75万</t>
  </si>
  <si>
    <t>283.11万</t>
  </si>
  <si>
    <t>1791.40万</t>
  </si>
  <si>
    <t>59.85万</t>
  </si>
  <si>
    <t>61.22亿</t>
  </si>
  <si>
    <t>2004.12万</t>
  </si>
  <si>
    <t>8246.83万</t>
  </si>
  <si>
    <t>3.74万</t>
  </si>
  <si>
    <t>26.77亿</t>
  </si>
  <si>
    <t>7782.90万</t>
  </si>
  <si>
    <t>7596.97万</t>
  </si>
  <si>
    <t>4213.77万</t>
  </si>
  <si>
    <t>1801.94万</t>
  </si>
  <si>
    <t>15.31万</t>
  </si>
  <si>
    <t>276.98万</t>
  </si>
  <si>
    <t>1520.72万</t>
  </si>
  <si>
    <t>020041200</t>
  </si>
  <si>
    <t>060123600</t>
  </si>
  <si>
    <t>0120247200</t>
  </si>
  <si>
    <t>0200412000</t>
  </si>
  <si>
    <t>0400824000</t>
  </si>
  <si>
    <t>250.89万</t>
  </si>
  <si>
    <t>19.08亿</t>
  </si>
  <si>
    <t>73.53亿</t>
  </si>
  <si>
    <t>9174.92万</t>
  </si>
  <si>
    <t>3912.89万</t>
  </si>
  <si>
    <t>1517.64万</t>
  </si>
  <si>
    <t>13.14万</t>
  </si>
  <si>
    <t>2608.21万</t>
  </si>
  <si>
    <t>-1726.03万</t>
  </si>
  <si>
    <t>-2671.60万</t>
  </si>
  <si>
    <t>3.36亿</t>
  </si>
  <si>
    <t>1600.33万</t>
  </si>
  <si>
    <t>9014.19万</t>
  </si>
  <si>
    <t>52.98万</t>
  </si>
  <si>
    <t>12.44亿</t>
  </si>
  <si>
    <t>5112.40万</t>
  </si>
  <si>
    <t>2828.69万</t>
  </si>
  <si>
    <t>4323.23万</t>
  </si>
  <si>
    <t>2165.00万</t>
  </si>
  <si>
    <t>19.27万</t>
  </si>
  <si>
    <t>4830.92万</t>
  </si>
  <si>
    <t>1064.93万</t>
  </si>
  <si>
    <t>35.34万</t>
  </si>
  <si>
    <t>2803.96万</t>
  </si>
  <si>
    <t>6593.82万</t>
  </si>
  <si>
    <t>-2447.58万</t>
  </si>
  <si>
    <t>2553.97万</t>
  </si>
  <si>
    <t>-2037.45万</t>
  </si>
  <si>
    <t>9871.95万</t>
  </si>
  <si>
    <t>1696.54万</t>
  </si>
  <si>
    <t>304.49万</t>
  </si>
  <si>
    <t>2071.69万</t>
  </si>
  <si>
    <t>33.62万</t>
  </si>
  <si>
    <t>34.45亿</t>
  </si>
  <si>
    <t>26.41亿</t>
  </si>
  <si>
    <t>8815.37万</t>
  </si>
  <si>
    <t>2649.07万</t>
  </si>
  <si>
    <t>2854.92万</t>
  </si>
  <si>
    <t>1620.38万</t>
  </si>
  <si>
    <t>2.32万</t>
  </si>
  <si>
    <t>22.94亿</t>
  </si>
  <si>
    <t>126.38万</t>
  </si>
  <si>
    <t>206.15万</t>
  </si>
  <si>
    <t>4266.88万</t>
  </si>
  <si>
    <t>5279.02万</t>
  </si>
  <si>
    <t>5.51亿</t>
  </si>
  <si>
    <t>1017.18万</t>
  </si>
  <si>
    <t>303.68万</t>
  </si>
  <si>
    <t>2095.26万</t>
  </si>
  <si>
    <t>250.87万</t>
  </si>
  <si>
    <t>8577.53万</t>
  </si>
  <si>
    <t>3053.67万</t>
  </si>
  <si>
    <t>1016.53万</t>
  </si>
  <si>
    <t>292.88万</t>
  </si>
  <si>
    <t>6.58亿</t>
  </si>
  <si>
    <t>321.60万</t>
  </si>
  <si>
    <t>1071.89万</t>
  </si>
  <si>
    <t>3662.44万</t>
  </si>
  <si>
    <t>9490.80万</t>
  </si>
  <si>
    <t>32.73万</t>
  </si>
  <si>
    <t>-1.52亿</t>
  </si>
  <si>
    <t>-3016.30万</t>
  </si>
  <si>
    <t>7173.71万</t>
  </si>
  <si>
    <t>-1867.41万</t>
  </si>
  <si>
    <t>940.27万</t>
  </si>
  <si>
    <t>2842.67万</t>
  </si>
  <si>
    <t>48.28万</t>
  </si>
  <si>
    <t>16.45亿</t>
  </si>
  <si>
    <t>-6.31亿</t>
  </si>
  <si>
    <t>6804.74万</t>
  </si>
  <si>
    <t>1212.61万</t>
  </si>
  <si>
    <t>1801.82万</t>
  </si>
  <si>
    <t>1266.57万</t>
  </si>
  <si>
    <t>11.07万</t>
  </si>
  <si>
    <t>41.50万</t>
  </si>
  <si>
    <t>3445.66万</t>
  </si>
  <si>
    <t>7046.91万</t>
  </si>
  <si>
    <t>-2947.75万</t>
  </si>
  <si>
    <t>-937.55万</t>
  </si>
  <si>
    <t>-1240.65万</t>
  </si>
  <si>
    <t>363.60万</t>
  </si>
  <si>
    <t>1512.89万</t>
  </si>
  <si>
    <t>332.71万</t>
  </si>
  <si>
    <t>13.83亿</t>
  </si>
  <si>
    <t>53.24亿</t>
  </si>
  <si>
    <t>-19.58亿</t>
  </si>
  <si>
    <t>7415.55万</t>
  </si>
  <si>
    <t>2477.91万</t>
  </si>
  <si>
    <t>1943.44万</t>
  </si>
  <si>
    <t>1180.38万</t>
  </si>
  <si>
    <t>8.26万</t>
  </si>
  <si>
    <t>8693.50万</t>
  </si>
  <si>
    <t>3776.77万</t>
  </si>
  <si>
    <t>6093.50万</t>
  </si>
  <si>
    <t>-2327.45万</t>
  </si>
  <si>
    <t>-5.00亿</t>
  </si>
  <si>
    <t>1647.20万</t>
  </si>
  <si>
    <t>9510.10万</t>
  </si>
  <si>
    <t>XD亚辉龙</t>
  </si>
  <si>
    <t>436.44万</t>
  </si>
  <si>
    <t>25.90亿</t>
  </si>
  <si>
    <t>9143.01万</t>
  </si>
  <si>
    <t>3628.64万</t>
  </si>
  <si>
    <t>3.49万</t>
  </si>
  <si>
    <t>1112.84万</t>
  </si>
  <si>
    <t>7000.71万</t>
  </si>
  <si>
    <t>-9165.04万</t>
  </si>
  <si>
    <t>3573.58万</t>
  </si>
  <si>
    <t>1509.00万</t>
  </si>
  <si>
    <t>40.42万</t>
  </si>
  <si>
    <t>21.28亿</t>
  </si>
  <si>
    <t>2944.11万</t>
  </si>
  <si>
    <t>5188.97万</t>
  </si>
  <si>
    <t>2172.29万</t>
  </si>
  <si>
    <t>1806.08万</t>
  </si>
  <si>
    <t>523.51万</t>
  </si>
  <si>
    <t>1.20万</t>
  </si>
  <si>
    <t>509.61万</t>
  </si>
  <si>
    <t>6795.87万</t>
  </si>
  <si>
    <t>-4881.24万</t>
  </si>
  <si>
    <t>-3.62亿</t>
  </si>
  <si>
    <t>-6062.95万</t>
  </si>
  <si>
    <t>942.50万</t>
  </si>
  <si>
    <t>217.69万</t>
  </si>
  <si>
    <t>1397.14万</t>
  </si>
  <si>
    <t>70.95万</t>
  </si>
  <si>
    <t>16.49亿</t>
  </si>
  <si>
    <t>7237.85万</t>
  </si>
  <si>
    <t>2613.98万</t>
  </si>
  <si>
    <t>2221.83万</t>
  </si>
  <si>
    <t>1272.24万</t>
  </si>
  <si>
    <t>10.20万</t>
  </si>
  <si>
    <t>11.15亿</t>
  </si>
  <si>
    <t>1401.21万</t>
  </si>
  <si>
    <t>128.44万</t>
  </si>
  <si>
    <t>938.61万</t>
  </si>
  <si>
    <t>-4417.00万</t>
  </si>
  <si>
    <t>-670.23万</t>
  </si>
  <si>
    <t>10转4股派15.058元(含税)</t>
  </si>
  <si>
    <t>231.56万</t>
  </si>
  <si>
    <t>1343.98万</t>
  </si>
  <si>
    <t>39.26万</t>
  </si>
  <si>
    <t>22.42亿</t>
  </si>
  <si>
    <t>5687.04万</t>
  </si>
  <si>
    <t>3148.60万</t>
  </si>
  <si>
    <t>1268.20万</t>
  </si>
  <si>
    <t>1249.05万</t>
  </si>
  <si>
    <t>3.62万</t>
  </si>
  <si>
    <t>19.34亿</t>
  </si>
  <si>
    <t>7821.93万</t>
  </si>
  <si>
    <t>1154.57万</t>
  </si>
  <si>
    <t>3759.61万</t>
  </si>
  <si>
    <t>8521.33万</t>
  </si>
  <si>
    <t>1427.91万</t>
  </si>
  <si>
    <t>-1513.10万</t>
  </si>
  <si>
    <t>-2036.32万</t>
  </si>
  <si>
    <t>1120.55万</t>
  </si>
  <si>
    <t>-581.97万</t>
  </si>
  <si>
    <t>237.14万</t>
  </si>
  <si>
    <t>1565.71万</t>
  </si>
  <si>
    <t>35.65万</t>
  </si>
  <si>
    <t>38.43亿</t>
  </si>
  <si>
    <t>9970.23万</t>
  </si>
  <si>
    <t>1081.31万</t>
  </si>
  <si>
    <t>1349.34万</t>
  </si>
  <si>
    <t>12.41亿</t>
  </si>
  <si>
    <t>3908.15万</t>
  </si>
  <si>
    <t>-7625.14万</t>
  </si>
  <si>
    <t>-3951.53万</t>
  </si>
  <si>
    <t>139.83万</t>
  </si>
  <si>
    <t>1005.83万</t>
  </si>
  <si>
    <t>72.95万</t>
  </si>
  <si>
    <t>21.76亿</t>
  </si>
  <si>
    <t>5328.08万</t>
  </si>
  <si>
    <t>3098.48万</t>
  </si>
  <si>
    <t>731.33万</t>
  </si>
  <si>
    <t>491.46万</t>
  </si>
  <si>
    <t>302.44万</t>
  </si>
  <si>
    <t>4356.23万</t>
  </si>
  <si>
    <t>5923.59万</t>
  </si>
  <si>
    <t>-227.76万</t>
  </si>
  <si>
    <t>4253.23万</t>
  </si>
  <si>
    <t>-1243.10万</t>
  </si>
  <si>
    <t>-76.17万</t>
  </si>
  <si>
    <t>302.77万</t>
  </si>
  <si>
    <t>3587.53万</t>
  </si>
  <si>
    <t>107.48万</t>
  </si>
  <si>
    <t>14.16亿</t>
  </si>
  <si>
    <t>7445.68万</t>
  </si>
  <si>
    <t>4583.52万</t>
  </si>
  <si>
    <t>929.41万</t>
  </si>
  <si>
    <t>948.04万</t>
  </si>
  <si>
    <t>1816.93万</t>
  </si>
  <si>
    <t>584.10万</t>
  </si>
  <si>
    <t>3265.87万</t>
  </si>
  <si>
    <t>4555.22万</t>
  </si>
  <si>
    <t>-209.02万</t>
  </si>
  <si>
    <t>2123.32万</t>
  </si>
  <si>
    <t>-198.12万</t>
  </si>
  <si>
    <t>5352.82万</t>
  </si>
  <si>
    <t>276.27万</t>
  </si>
  <si>
    <t>10派0.6001元(含税)</t>
  </si>
  <si>
    <t>472.43万</t>
  </si>
  <si>
    <t>3529.82万</t>
  </si>
  <si>
    <t>47.31万</t>
  </si>
  <si>
    <t>21.03亿</t>
  </si>
  <si>
    <t>8785.00万</t>
  </si>
  <si>
    <t>2425.76万</t>
  </si>
  <si>
    <t>4.95万</t>
  </si>
  <si>
    <t>21.94万</t>
  </si>
  <si>
    <t>6327.08万</t>
  </si>
  <si>
    <t>6811.95万</t>
  </si>
  <si>
    <t>29.55万</t>
  </si>
  <si>
    <t>-6.64亿</t>
  </si>
  <si>
    <t>-7311.05万</t>
  </si>
  <si>
    <t>7170.79万</t>
  </si>
  <si>
    <t>1162.91万</t>
  </si>
  <si>
    <t>2108.40万</t>
  </si>
  <si>
    <t>52.95万</t>
  </si>
  <si>
    <t>20.94亿</t>
  </si>
  <si>
    <t>5272.42万</t>
  </si>
  <si>
    <t>3689.80万</t>
  </si>
  <si>
    <t>1562.49万</t>
  </si>
  <si>
    <t>1.79万</t>
  </si>
  <si>
    <t>19.21万</t>
  </si>
  <si>
    <t>269.45万</t>
  </si>
  <si>
    <t>8376.36万</t>
  </si>
  <si>
    <t>1729.56万</t>
  </si>
  <si>
    <t>5118.46万</t>
  </si>
  <si>
    <t>-342.15万</t>
  </si>
  <si>
    <t>10派5.3017元(含税)</t>
  </si>
  <si>
    <t>290.67万</t>
  </si>
  <si>
    <t>1990.41万</t>
  </si>
  <si>
    <t>52.05万</t>
  </si>
  <si>
    <t>8.18亿</t>
  </si>
  <si>
    <t>5413.86万</t>
  </si>
  <si>
    <t>8325.46万</t>
  </si>
  <si>
    <t>3245.68万</t>
  </si>
  <si>
    <t>2299.82万</t>
  </si>
  <si>
    <t>1552.88万</t>
  </si>
  <si>
    <t>12.33万</t>
  </si>
  <si>
    <t>8004.35万</t>
  </si>
  <si>
    <t>3143.94万</t>
  </si>
  <si>
    <t>228.17万</t>
  </si>
  <si>
    <t>812.99万</t>
  </si>
  <si>
    <t>-8034.47万</t>
  </si>
  <si>
    <t>2727.67万</t>
  </si>
  <si>
    <t>5368.17万</t>
  </si>
  <si>
    <t>826.25万</t>
  </si>
  <si>
    <t>122.07万</t>
  </si>
  <si>
    <t>819.60万</t>
  </si>
  <si>
    <t>74.01万</t>
  </si>
  <si>
    <t>8849.30万</t>
  </si>
  <si>
    <t>7124.44万</t>
  </si>
  <si>
    <t>4176.56万</t>
  </si>
  <si>
    <t>435.23万</t>
  </si>
  <si>
    <t>1134.93万</t>
  </si>
  <si>
    <t>142.37万</t>
  </si>
  <si>
    <t>1980.47万</t>
  </si>
  <si>
    <t>3166.03万</t>
  </si>
  <si>
    <t>5818.83万</t>
  </si>
  <si>
    <t>3957.48万</t>
  </si>
  <si>
    <t>-911.47万</t>
  </si>
  <si>
    <t>730.56万</t>
  </si>
  <si>
    <t>498.44万</t>
  </si>
  <si>
    <t>2334.20万</t>
  </si>
  <si>
    <t>177.88万</t>
  </si>
  <si>
    <t>6269.78万</t>
  </si>
  <si>
    <t>9114.30万</t>
  </si>
  <si>
    <t>7482.29万</t>
  </si>
  <si>
    <t>448.84万</t>
  </si>
  <si>
    <t>1300.58万</t>
  </si>
  <si>
    <t>17.66亿</t>
  </si>
  <si>
    <t>3976.36万</t>
  </si>
  <si>
    <t>34.76万</t>
  </si>
  <si>
    <t>5681.37万</t>
  </si>
  <si>
    <t>5652.41万</t>
  </si>
  <si>
    <t>-1.58亿</t>
  </si>
  <si>
    <t>-4067.64万</t>
  </si>
  <si>
    <t>5716.52万</t>
  </si>
  <si>
    <t>-1975.39万</t>
  </si>
  <si>
    <t>311.44万</t>
  </si>
  <si>
    <t>1443.82万</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</si>
</sst>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宋体"/>
      <family val="2"/>
      <charset val="134"/>
      <scheme val="minor"/>
    </font>
    <font>
      <sz val="9"/>
      <name val="宋体"/>
      <family val="2"/>
      <charset val="134"/>
      <scheme val="minor"/>
    </font>
    <font>
      <sz val="11"/>
      <color indexed="8"/>
      <name val="Calibri"/>
      <family val="2"/>
    </font>
    <font>
      <sz val="11"/>
      <color indexed="8"/>
      <name val="Calibri"/>
      <family val="2"/>
    </font>
    <font>
      <sz val="11"/>
      <color indexed="8"/>
      <name val="Calibri"/>
      <family val="2"/>
    </font>
    <font>
      <sz val="9"/>
      <color theme="1"/>
      <name val="宋体"/>
      <family val="3"/>
      <charset val="134"/>
      <scheme val="minor"/>
    </font>
    <font>
      <sz val="9"/>
      <color rgb="FFFF0000"/>
      <name val="宋体"/>
      <family val="3"/>
      <charset val="134"/>
      <scheme val="minor"/>
    </font>
    <font>
      <b/>
      <sz val="9"/>
      <color rgb="FFFF0000"/>
      <name val="宋体"/>
      <family val="3"/>
      <charset val="134"/>
      <scheme val="minor"/>
    </font>
    <font>
      <sz val="9"/>
      <name val="宋体"/>
      <family val="3"/>
      <charset val="134"/>
      <scheme val="minor"/>
    </font>
    <font>
      <sz val="11"/>
      <name val="宋体"/>
      <family val="2"/>
      <charset val="134"/>
      <scheme val="minor"/>
    </font>
    <font>
      <sz val="11"/>
      <color rgb="FFFF0000"/>
      <name val="宋体"/>
      <family val="2"/>
      <charset val="134"/>
      <scheme val="minor"/>
    </font>
    <font>
      <sz val="11"/>
      <color rgb="FF000000"/>
      <name val="宋体"/>
      <family val="3"/>
      <charset val="134"/>
    </font>
    <font>
      <b/>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alignment vertical="center"/>
    </xf>
    <xf numFmtId="0" fontId="2" fillId="0" borderId="0" applyFill="0" applyProtection="0"/>
    <xf numFmtId="0" fontId="3" fillId="0" borderId="0" applyFill="0" applyProtection="0"/>
    <xf numFmtId="0" fontId="4"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10" fontId="0" fillId="0" borderId="0" xfId="0" applyNumberFormat="1">
      <alignment vertical="center"/>
    </xf>
    <xf numFmtId="9" fontId="0" fillId="0" borderId="0" xfId="0" applyNumberFormat="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9" fillId="0" borderId="0" xfId="0" applyFont="1">
      <alignment vertical="center"/>
    </xf>
    <xf numFmtId="0" fontId="10" fillId="0" borderId="0" xfId="0" applyFont="1">
      <alignment vertical="center"/>
    </xf>
    <xf numFmtId="0" fontId="9"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
    <cellStyle name="Normal 2" xfId="2"/>
    <cellStyle name="常规" xfId="0" builtinId="0"/>
    <cellStyle name="常规 2" xfId="1"/>
    <cellStyle name="常规 3" xfId="3"/>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520700</xdr:colOff>
          <xdr:row>0</xdr:row>
          <xdr:rowOff>107950</xdr:rowOff>
        </xdr:from>
        <xdr:to>
          <xdr:col>147</xdr:col>
          <xdr:colOff>1968500</xdr:colOff>
          <xdr:row>0</xdr:row>
          <xdr:rowOff>419100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50"/>
  <sheetViews>
    <sheetView tabSelected="1" zoomScale="85" zoomScaleNormal="85" workbookViewId="0">
      <pane xSplit="5" ySplit="1" topLeftCell="F2" activePane="bottomRight" state="frozen"/>
      <selection pane="topRight" activeCell="F1" sqref="F1"/>
      <selection pane="bottomLeft" activeCell="A2" sqref="A2"/>
      <selection pane="bottomRight" activeCell="D123" sqref="D123:EP123"/>
    </sheetView>
  </sheetViews>
  <sheetFormatPr defaultRowHeight="14" x14ac:dyDescent="0.25"/>
  <cols>
    <col min="1" max="1" width="36.1796875" customWidth="1"/>
    <col min="2" max="2" width="37.453125" customWidth="1"/>
    <col min="3" max="3" width="46" customWidth="1"/>
    <col min="4" max="4" width="10.7265625" customWidth="1"/>
    <col min="5" max="5" width="11.36328125" customWidth="1"/>
    <col min="9" max="9" width="12.81640625" customWidth="1"/>
    <col min="14" max="14" width="10.54296875" customWidth="1"/>
    <col min="15" max="15" width="11" customWidth="1"/>
    <col min="19" max="19" width="11.08984375" customWidth="1"/>
    <col min="147" max="147" width="11.1796875" customWidth="1"/>
    <col min="148" max="148" width="31.81640625" customWidth="1"/>
  </cols>
  <sheetData>
    <row r="1" spans="1:146" ht="52.5" customHeight="1" x14ac:dyDescent="0.25">
      <c r="A1" s="5" t="s">
        <v>13</v>
      </c>
      <c r="B1" s="6" t="s">
        <v>14</v>
      </c>
      <c r="C1" s="5" t="s">
        <v>15</v>
      </c>
      <c r="D1" t="s">
        <v>1</v>
      </c>
      <c r="E1" t="s">
        <v>1033</v>
      </c>
      <c r="F1" t="s">
        <v>4</v>
      </c>
      <c r="G1" t="s">
        <v>1232</v>
      </c>
      <c r="H1" t="s">
        <v>1233</v>
      </c>
      <c r="I1" t="s">
        <v>2</v>
      </c>
      <c r="J1" t="s">
        <v>3</v>
      </c>
      <c r="K1" t="s">
        <v>0</v>
      </c>
      <c r="L1" t="s">
        <v>5</v>
      </c>
      <c r="M1" t="s">
        <v>6</v>
      </c>
      <c r="N1" t="s">
        <v>7</v>
      </c>
      <c r="O1" t="s">
        <v>16</v>
      </c>
      <c r="P1" t="s">
        <v>1234</v>
      </c>
      <c r="Q1" t="s">
        <v>1235</v>
      </c>
      <c r="R1" t="s">
        <v>1034</v>
      </c>
      <c r="S1" t="s">
        <v>8</v>
      </c>
      <c r="T1" t="s">
        <v>1236</v>
      </c>
      <c r="U1" t="s">
        <v>889</v>
      </c>
      <c r="V1" t="s">
        <v>9</v>
      </c>
      <c r="W1" t="s">
        <v>1237</v>
      </c>
      <c r="X1" t="s">
        <v>1238</v>
      </c>
      <c r="Y1" t="s">
        <v>1239</v>
      </c>
      <c r="Z1" t="s">
        <v>1240</v>
      </c>
      <c r="AA1" t="s">
        <v>1241</v>
      </c>
      <c r="AB1" t="s">
        <v>1242</v>
      </c>
      <c r="AC1" t="s">
        <v>1243</v>
      </c>
      <c r="AD1" t="s">
        <v>1244</v>
      </c>
      <c r="AE1" t="s">
        <v>10</v>
      </c>
      <c r="AF1" t="s">
        <v>11</v>
      </c>
      <c r="AG1" t="s">
        <v>1245</v>
      </c>
      <c r="AH1" t="s">
        <v>1246</v>
      </c>
      <c r="AI1" t="s">
        <v>1247</v>
      </c>
      <c r="AJ1" t="s">
        <v>12</v>
      </c>
      <c r="AK1" t="s">
        <v>1248</v>
      </c>
      <c r="AL1" t="s">
        <v>17</v>
      </c>
      <c r="AM1" t="s">
        <v>1249</v>
      </c>
      <c r="AN1" t="s">
        <v>1250</v>
      </c>
      <c r="AO1" t="s">
        <v>1251</v>
      </c>
      <c r="AP1" t="s">
        <v>1252</v>
      </c>
      <c r="AQ1" t="s">
        <v>1253</v>
      </c>
      <c r="AR1" t="s">
        <v>1254</v>
      </c>
      <c r="AS1" t="s">
        <v>1255</v>
      </c>
      <c r="AT1" t="s">
        <v>1256</v>
      </c>
      <c r="AU1" t="s">
        <v>1257</v>
      </c>
      <c r="AV1" t="s">
        <v>1258</v>
      </c>
      <c r="AW1" t="s">
        <v>1259</v>
      </c>
      <c r="AX1" t="s">
        <v>1260</v>
      </c>
      <c r="AY1" t="s">
        <v>1261</v>
      </c>
      <c r="AZ1" t="s">
        <v>18</v>
      </c>
      <c r="BA1" t="s">
        <v>19</v>
      </c>
      <c r="BB1" t="s">
        <v>892</v>
      </c>
      <c r="BC1" t="s">
        <v>1262</v>
      </c>
      <c r="BD1" t="s">
        <v>893</v>
      </c>
      <c r="BE1" t="s">
        <v>20</v>
      </c>
      <c r="BF1" t="s">
        <v>21</v>
      </c>
      <c r="BG1" t="s">
        <v>22</v>
      </c>
      <c r="BH1" t="s">
        <v>1263</v>
      </c>
      <c r="BI1" t="s">
        <v>1264</v>
      </c>
      <c r="BJ1" t="s">
        <v>1265</v>
      </c>
      <c r="BK1" t="s">
        <v>1266</v>
      </c>
      <c r="BL1" t="s">
        <v>1267</v>
      </c>
      <c r="BM1" t="s">
        <v>1268</v>
      </c>
      <c r="BN1" t="s">
        <v>1269</v>
      </c>
      <c r="BO1" t="s">
        <v>1035</v>
      </c>
      <c r="BP1" t="s">
        <v>890</v>
      </c>
      <c r="BQ1" t="s">
        <v>1270</v>
      </c>
      <c r="BR1" t="s">
        <v>1036</v>
      </c>
      <c r="BS1" t="s">
        <v>891</v>
      </c>
      <c r="BT1" t="s">
        <v>1271</v>
      </c>
      <c r="BU1" t="s">
        <v>1071</v>
      </c>
      <c r="BV1" t="s">
        <v>1272</v>
      </c>
      <c r="BW1" t="s">
        <v>1273</v>
      </c>
      <c r="BX1" t="s">
        <v>38</v>
      </c>
      <c r="BY1" t="s">
        <v>1274</v>
      </c>
      <c r="BZ1" t="s">
        <v>1275</v>
      </c>
      <c r="CA1" t="s">
        <v>39</v>
      </c>
      <c r="CB1" t="s">
        <v>1276</v>
      </c>
      <c r="CC1" t="s">
        <v>1277</v>
      </c>
      <c r="CD1" t="s">
        <v>1278</v>
      </c>
      <c r="CE1" t="s">
        <v>1279</v>
      </c>
      <c r="CF1" s="1" t="s">
        <v>23</v>
      </c>
      <c r="CG1" s="1" t="s">
        <v>24</v>
      </c>
      <c r="CH1" s="1" t="s">
        <v>25</v>
      </c>
      <c r="CI1" s="1" t="s">
        <v>26</v>
      </c>
      <c r="CJ1" s="1" t="s">
        <v>27</v>
      </c>
      <c r="CK1" s="1" t="s">
        <v>28</v>
      </c>
      <c r="CL1" s="1" t="s">
        <v>29</v>
      </c>
      <c r="CM1" s="1" t="s">
        <v>30</v>
      </c>
      <c r="CN1" s="1" t="s">
        <v>31</v>
      </c>
      <c r="CO1" s="1" t="s">
        <v>32</v>
      </c>
      <c r="CP1" s="1" t="s">
        <v>33</v>
      </c>
      <c r="CQ1" s="1" t="s">
        <v>34</v>
      </c>
      <c r="CR1" s="1" t="s">
        <v>1280</v>
      </c>
      <c r="CS1" s="1" t="s">
        <v>1281</v>
      </c>
      <c r="CT1" s="1" t="s">
        <v>1200</v>
      </c>
      <c r="CU1" s="1" t="s">
        <v>1072</v>
      </c>
      <c r="CV1" s="1" t="s">
        <v>1202</v>
      </c>
      <c r="CW1" s="1" t="s">
        <v>1073</v>
      </c>
      <c r="CX1">
        <v>1</v>
      </c>
      <c r="CY1" t="s">
        <v>1203</v>
      </c>
      <c r="CZ1" t="s">
        <v>1282</v>
      </c>
      <c r="DA1">
        <v>3</v>
      </c>
      <c r="DB1" t="s">
        <v>1283</v>
      </c>
      <c r="DC1" t="s">
        <v>1284</v>
      </c>
      <c r="DD1">
        <v>6</v>
      </c>
      <c r="DE1" t="s">
        <v>1285</v>
      </c>
      <c r="DF1" t="s">
        <v>1286</v>
      </c>
      <c r="DG1">
        <v>10</v>
      </c>
      <c r="DH1" t="s">
        <v>1287</v>
      </c>
      <c r="DI1" t="s">
        <v>1288</v>
      </c>
      <c r="DJ1">
        <v>20</v>
      </c>
      <c r="DK1" t="s">
        <v>1289</v>
      </c>
      <c r="DL1" t="s">
        <v>35</v>
      </c>
      <c r="DM1" t="s">
        <v>36</v>
      </c>
      <c r="DN1" s="2" t="s">
        <v>37</v>
      </c>
      <c r="DO1" t="s">
        <v>1290</v>
      </c>
      <c r="DP1" t="s">
        <v>1291</v>
      </c>
      <c r="DQ1" s="12" t="s">
        <v>1292</v>
      </c>
      <c r="DR1" s="1" t="s">
        <v>1293</v>
      </c>
      <c r="DS1" s="1" t="s">
        <v>1204</v>
      </c>
      <c r="DT1" t="s">
        <v>1294</v>
      </c>
      <c r="DU1" t="s">
        <v>1201</v>
      </c>
      <c r="DV1" t="s">
        <v>1205</v>
      </c>
      <c r="DW1" t="s">
        <v>1206</v>
      </c>
      <c r="DX1" t="s">
        <v>1207</v>
      </c>
      <c r="DY1" t="s">
        <v>1295</v>
      </c>
      <c r="DZ1" t="s">
        <v>1296</v>
      </c>
      <c r="EA1" t="s">
        <v>1297</v>
      </c>
      <c r="EB1" t="s">
        <v>1298</v>
      </c>
      <c r="EC1" t="s">
        <v>1299</v>
      </c>
      <c r="ED1" t="s">
        <v>1300</v>
      </c>
      <c r="EE1" t="s">
        <v>1301</v>
      </c>
      <c r="EF1" t="s">
        <v>1302</v>
      </c>
      <c r="EG1" t="s">
        <v>1303</v>
      </c>
      <c r="EH1" t="s">
        <v>1304</v>
      </c>
      <c r="EI1" t="s">
        <v>1305</v>
      </c>
      <c r="EK1" s="13" t="s">
        <v>1306</v>
      </c>
      <c r="EL1" t="s">
        <v>1307</v>
      </c>
      <c r="EM1" t="s">
        <v>1308</v>
      </c>
      <c r="EN1" t="s">
        <v>1309</v>
      </c>
      <c r="EO1" t="s">
        <v>1310</v>
      </c>
      <c r="EP1" t="s">
        <v>1311</v>
      </c>
    </row>
    <row r="2" spans="1:146" ht="96" x14ac:dyDescent="0.25">
      <c r="A2" s="7"/>
      <c r="B2" s="7"/>
      <c r="C2" s="7" t="str">
        <f>""&amp;CHAR(10)&amp;Basic_Fundamental_Information_Constructure(F2)&amp;CHAR(10)&amp;Basic_Fundamental_Information_Concatenate("")</f>
        <v xml:space="preserve">
市值28.59604亿, 利润-2.34亿; PE; 平均PE6.42; 平均PEG.36, PB.729; ROIC17.65%; ROE15.3667%; 股利率0%; 毛利49.8167%; 净利15.1467%; 上一年度营收增-65.16%, 利润增-124.07%; 当季营收增-46.82%, 利润增-152.63%; 过往5年营收增17.74%, 利润增29.5%
Income profile:
</v>
      </c>
      <c r="D2" t="s">
        <v>56</v>
      </c>
      <c r="E2" t="s">
        <v>1312</v>
      </c>
      <c r="F2">
        <v>5.56</v>
      </c>
      <c r="G2">
        <v>4.12</v>
      </c>
      <c r="H2" t="s">
        <v>2489</v>
      </c>
      <c r="I2">
        <v>2859604000</v>
      </c>
      <c r="K2">
        <v>0.72899999999999998</v>
      </c>
      <c r="L2" t="s">
        <v>40</v>
      </c>
      <c r="M2" t="s">
        <v>734</v>
      </c>
      <c r="N2" t="s">
        <v>2490</v>
      </c>
      <c r="O2" t="s">
        <v>530</v>
      </c>
      <c r="P2">
        <v>-46.79</v>
      </c>
      <c r="Q2" t="s">
        <v>1606</v>
      </c>
      <c r="R2">
        <v>-28821454</v>
      </c>
      <c r="S2" s="3">
        <v>-1.526</v>
      </c>
      <c r="T2" t="s">
        <v>1607</v>
      </c>
      <c r="U2">
        <v>514244150</v>
      </c>
      <c r="V2">
        <v>514317270</v>
      </c>
      <c r="W2">
        <v>1.36</v>
      </c>
      <c r="X2">
        <v>7.0000000000000007E-2</v>
      </c>
      <c r="Y2">
        <v>-4.8899999999999997</v>
      </c>
      <c r="Z2" t="s">
        <v>1493</v>
      </c>
      <c r="AA2" t="s">
        <v>63</v>
      </c>
      <c r="AB2" t="s">
        <v>2491</v>
      </c>
      <c r="AC2" t="s">
        <v>2492</v>
      </c>
      <c r="AD2" t="s">
        <v>47</v>
      </c>
      <c r="AE2">
        <v>6081459</v>
      </c>
      <c r="AF2" t="s">
        <v>1608</v>
      </c>
      <c r="AG2" t="s">
        <v>2493</v>
      </c>
      <c r="AH2" t="s">
        <v>1609</v>
      </c>
      <c r="AI2" t="s">
        <v>2494</v>
      </c>
      <c r="AJ2" t="s">
        <v>1611</v>
      </c>
      <c r="AK2" t="s">
        <v>2495</v>
      </c>
      <c r="AL2" t="s">
        <v>1612</v>
      </c>
      <c r="AM2" t="s">
        <v>47</v>
      </c>
      <c r="AN2" t="s">
        <v>2496</v>
      </c>
      <c r="AO2" t="s">
        <v>2497</v>
      </c>
      <c r="AP2" t="s">
        <v>2498</v>
      </c>
      <c r="AQ2" t="s">
        <v>274</v>
      </c>
      <c r="AR2" t="s">
        <v>47</v>
      </c>
      <c r="AS2" t="s">
        <v>2499</v>
      </c>
      <c r="AT2" t="s">
        <v>2500</v>
      </c>
      <c r="AU2" t="s">
        <v>2501</v>
      </c>
      <c r="AV2" t="s">
        <v>2502</v>
      </c>
      <c r="AW2" t="s">
        <v>2503</v>
      </c>
      <c r="AX2" t="s">
        <v>1313</v>
      </c>
      <c r="AY2" t="s">
        <v>1314</v>
      </c>
      <c r="AZ2" t="s">
        <v>57</v>
      </c>
      <c r="BA2" t="s">
        <v>64</v>
      </c>
      <c r="BB2" t="s">
        <v>65</v>
      </c>
      <c r="BC2" t="s">
        <v>1613</v>
      </c>
      <c r="BD2" t="s">
        <v>1190</v>
      </c>
      <c r="BE2" t="s">
        <v>58</v>
      </c>
      <c r="BF2" t="s">
        <v>67</v>
      </c>
      <c r="BG2" t="s">
        <v>68</v>
      </c>
      <c r="BH2" t="s">
        <v>1606</v>
      </c>
      <c r="BI2" t="s">
        <v>1614</v>
      </c>
      <c r="BJ2" t="s">
        <v>1313</v>
      </c>
      <c r="BK2" t="s">
        <v>1607</v>
      </c>
      <c r="BL2" t="s">
        <v>1615</v>
      </c>
      <c r="BM2" t="s">
        <v>1613</v>
      </c>
      <c r="BN2">
        <v>0.84</v>
      </c>
      <c r="BO2">
        <v>27.27</v>
      </c>
      <c r="BP2">
        <v>24.84</v>
      </c>
      <c r="BQ2">
        <v>-0.43</v>
      </c>
      <c r="BR2">
        <v>22.36</v>
      </c>
      <c r="BS2">
        <v>24.17</v>
      </c>
      <c r="BT2" t="s">
        <v>1208</v>
      </c>
      <c r="BU2" t="s">
        <v>1075</v>
      </c>
      <c r="BV2">
        <v>42.35</v>
      </c>
      <c r="BW2">
        <v>52.56</v>
      </c>
      <c r="BX2">
        <v>54.54</v>
      </c>
      <c r="BY2">
        <v>-7.29</v>
      </c>
      <c r="BZ2">
        <v>24.84</v>
      </c>
      <c r="CA2">
        <v>27.89</v>
      </c>
      <c r="CB2">
        <v>-1.59</v>
      </c>
      <c r="CC2">
        <v>-19.190000000000001</v>
      </c>
      <c r="CD2" t="s">
        <v>2504</v>
      </c>
      <c r="CE2" t="s">
        <v>180</v>
      </c>
      <c r="CF2" s="8">
        <v>-0.46818727490996398</v>
      </c>
      <c r="CG2" s="9">
        <v>-1.5263048579395531</v>
      </c>
      <c r="CH2" s="8">
        <v>-0.65164995193481445</v>
      </c>
      <c r="CI2" s="8">
        <v>0.4359290599822998</v>
      </c>
      <c r="CJ2" s="8">
        <v>0.1682310551404953</v>
      </c>
      <c r="CK2" s="8">
        <v>0.72120952606201172</v>
      </c>
      <c r="CL2" s="8">
        <v>0.21306538581848145</v>
      </c>
      <c r="CM2" s="9">
        <v>-1.2407407760620117</v>
      </c>
      <c r="CN2" s="9">
        <v>0.14352941513061523</v>
      </c>
      <c r="CO2" s="9">
        <v>0.25925925374031067</v>
      </c>
      <c r="CP2" s="9">
        <v>2.3415842056274414</v>
      </c>
      <c r="CQ2" s="9">
        <v>-2.8846153989434242E-2</v>
      </c>
      <c r="CR2">
        <v>6.4188641975308638</v>
      </c>
      <c r="CS2">
        <v>0.36191769448957101</v>
      </c>
      <c r="CT2">
        <v>0</v>
      </c>
      <c r="CU2" s="8">
        <v>0.17735701501369477</v>
      </c>
      <c r="CV2" s="9">
        <v>0.29495718888938427</v>
      </c>
      <c r="CW2">
        <v>0.06</v>
      </c>
      <c r="CX2" t="s">
        <v>1584</v>
      </c>
      <c r="CY2" t="s">
        <v>1037</v>
      </c>
      <c r="CZ2">
        <v>0.17735701501369477</v>
      </c>
      <c r="DA2" t="s">
        <v>1584</v>
      </c>
      <c r="DB2" t="s">
        <v>1038</v>
      </c>
      <c r="DC2">
        <v>0.16848916426301003</v>
      </c>
      <c r="DD2" t="s">
        <v>1584</v>
      </c>
      <c r="DE2" t="s">
        <v>1038</v>
      </c>
      <c r="DF2">
        <v>0.15607417321205141</v>
      </c>
      <c r="DG2" t="s">
        <v>1584</v>
      </c>
      <c r="DH2" t="s">
        <v>1038</v>
      </c>
      <c r="DI2">
        <v>0.14188561201095581</v>
      </c>
      <c r="DJ2" t="s">
        <v>1584</v>
      </c>
      <c r="DK2" t="s">
        <v>1038</v>
      </c>
      <c r="DL2">
        <v>0.12414991050958633</v>
      </c>
      <c r="DM2">
        <v>-234000000</v>
      </c>
      <c r="DN2">
        <v>0.17735701501369477</v>
      </c>
      <c r="DO2">
        <v>-200396000</v>
      </c>
      <c r="DP2">
        <v>3325000000</v>
      </c>
      <c r="DQ2">
        <v>540</v>
      </c>
      <c r="DR2">
        <v>-0.64554428992365875</v>
      </c>
      <c r="DS2">
        <v>-1.8212620468289373</v>
      </c>
      <c r="DT2" s="10">
        <v>-0.15666666666666673</v>
      </c>
      <c r="DU2">
        <v>-1.1266666666666667</v>
      </c>
      <c r="DV2">
        <v>-1.2833333333333334</v>
      </c>
      <c r="DW2">
        <v>-3.0360773809523809</v>
      </c>
      <c r="DX2">
        <v>0.5765851239669425</v>
      </c>
      <c r="DY2">
        <v>-3.0067315025974026</v>
      </c>
      <c r="DZ2">
        <v>3840</v>
      </c>
      <c r="EA2">
        <v>-3.0016729957531707</v>
      </c>
      <c r="EB2">
        <v>3</v>
      </c>
      <c r="EC2">
        <v>4.3896639908669606E-2</v>
      </c>
      <c r="ED2">
        <v>0.23526334241119301</v>
      </c>
      <c r="EE2" s="11">
        <v>-2.1185</v>
      </c>
      <c r="EF2">
        <v>-2.0928</v>
      </c>
      <c r="EG2">
        <v>39.186585123966942</v>
      </c>
      <c r="EH2" t="s">
        <v>1336</v>
      </c>
      <c r="EI2">
        <v>0</v>
      </c>
      <c r="EJ2">
        <v>0</v>
      </c>
      <c r="EK2" s="13">
        <v>45470</v>
      </c>
      <c r="EL2" s="14">
        <v>0.17</v>
      </c>
      <c r="EM2" s="14">
        <v>-4.25</v>
      </c>
      <c r="EN2" s="14">
        <v>-0.36</v>
      </c>
      <c r="EO2" s="14">
        <v>4.0999999999999996</v>
      </c>
      <c r="EP2" s="14">
        <v>-2.57</v>
      </c>
    </row>
    <row r="3" spans="1:146" ht="132" x14ac:dyDescent="0.25">
      <c r="A3" s="7"/>
      <c r="B3" s="7" t="s">
        <v>869</v>
      </c>
      <c r="C3" s="7" t="str">
        <f>"公司是一家主要从事荧光PCR 检测技术技术研究、开发和应用,荧光PCR检测试剂盒和医疗设备的生产和销售以及提供临床检验服务的生物制品公司。"&amp;CHAR(10)&amp;Basic_Fundamental_Information_Constructure(F3)&amp;CHAR(10)&amp;Basic_Fundamental_Information_Concatenate("生物制品业 66.59亿 99.74% 99.68% 75.82%
金融服务 1706.21万 0.26% 0.32% 94.46%")</f>
        <v>公司是一家主要从事荧光PCR 检测技术技术研究、开发和应用,荧光PCR检测试剂盒和医疗设备的生产和销售以及提供临床检验服务的生物制品公司。
市值70.73368亿, 利润1.05亿; PE; 平均PE3.6; 平均PEG.05, PB.831; ROIC37.3%; ROE42.0067%; 股利率.2976%; 毛利66.0267%; 净利32.78%; 上一年度营收增-90.2%, 利润增-98.06%; 当季营收增-41.94%, 利润增-1093.65%; 过往5年营收增74.23%, 利润增509.27%
Income profile:
生物制品业 66.59亿 99.74% 99.68% 75.82%
金融服务 1706.21万 0.26% 0.32% 94.46%</v>
      </c>
      <c r="D3" t="s">
        <v>72</v>
      </c>
      <c r="E3" t="s">
        <v>73</v>
      </c>
      <c r="F3">
        <v>5.04</v>
      </c>
      <c r="G3">
        <v>2.65</v>
      </c>
      <c r="H3" t="s">
        <v>2505</v>
      </c>
      <c r="I3">
        <v>7073368000</v>
      </c>
      <c r="K3">
        <v>0.83099999999999996</v>
      </c>
      <c r="L3" t="s">
        <v>40</v>
      </c>
      <c r="M3" t="s">
        <v>1616</v>
      </c>
      <c r="N3" t="s">
        <v>2506</v>
      </c>
      <c r="O3" t="s">
        <v>209</v>
      </c>
      <c r="P3">
        <v>-41.85</v>
      </c>
      <c r="Q3" t="s">
        <v>1617</v>
      </c>
      <c r="R3">
        <v>-363290640</v>
      </c>
      <c r="S3" s="3">
        <v>-10.94</v>
      </c>
      <c r="T3" t="s">
        <v>245</v>
      </c>
      <c r="U3">
        <v>1403446000</v>
      </c>
      <c r="V3">
        <v>1403446000</v>
      </c>
      <c r="W3">
        <v>1.18</v>
      </c>
      <c r="X3">
        <v>0.02</v>
      </c>
      <c r="Y3">
        <v>-182.11</v>
      </c>
      <c r="Z3" t="s">
        <v>68</v>
      </c>
      <c r="AA3" t="s">
        <v>2507</v>
      </c>
      <c r="AB3" t="s">
        <v>2508</v>
      </c>
      <c r="AC3" t="s">
        <v>2509</v>
      </c>
      <c r="AD3" t="s">
        <v>47</v>
      </c>
      <c r="AE3">
        <v>-16087602</v>
      </c>
      <c r="AF3" t="s">
        <v>1618</v>
      </c>
      <c r="AG3" t="s">
        <v>2510</v>
      </c>
      <c r="AH3" t="s">
        <v>1619</v>
      </c>
      <c r="AI3" t="s">
        <v>2511</v>
      </c>
      <c r="AJ3" t="s">
        <v>1620</v>
      </c>
      <c r="AK3" t="s">
        <v>2512</v>
      </c>
      <c r="AL3" t="s">
        <v>1621</v>
      </c>
      <c r="AM3" t="s">
        <v>47</v>
      </c>
      <c r="AN3" t="s">
        <v>510</v>
      </c>
      <c r="AO3" t="s">
        <v>723</v>
      </c>
      <c r="AP3" t="s">
        <v>47</v>
      </c>
      <c r="AQ3" t="s">
        <v>1575</v>
      </c>
      <c r="AR3" t="s">
        <v>47</v>
      </c>
      <c r="AS3" t="s">
        <v>2143</v>
      </c>
      <c r="AT3" t="s">
        <v>47</v>
      </c>
      <c r="AU3" t="s">
        <v>2513</v>
      </c>
      <c r="AV3" t="s">
        <v>2514</v>
      </c>
      <c r="AW3" t="s">
        <v>2515</v>
      </c>
      <c r="AX3" t="s">
        <v>1315</v>
      </c>
      <c r="AY3" t="s">
        <v>896</v>
      </c>
      <c r="AZ3" t="s">
        <v>74</v>
      </c>
      <c r="BA3" t="s">
        <v>82</v>
      </c>
      <c r="BB3" t="s">
        <v>83</v>
      </c>
      <c r="BC3" t="s">
        <v>1316</v>
      </c>
      <c r="BD3" t="s">
        <v>897</v>
      </c>
      <c r="BE3" t="s">
        <v>75</v>
      </c>
      <c r="BF3" t="s">
        <v>85</v>
      </c>
      <c r="BG3" t="s">
        <v>86</v>
      </c>
      <c r="BH3" t="s">
        <v>1617</v>
      </c>
      <c r="BI3" t="s">
        <v>1488</v>
      </c>
      <c r="BJ3" t="s">
        <v>1315</v>
      </c>
      <c r="BK3" t="s">
        <v>245</v>
      </c>
      <c r="BL3" t="s">
        <v>1622</v>
      </c>
      <c r="BM3" t="s">
        <v>1316</v>
      </c>
      <c r="BN3">
        <v>2.74</v>
      </c>
      <c r="BO3">
        <v>53.96</v>
      </c>
      <c r="BP3">
        <v>55.2</v>
      </c>
      <c r="BQ3">
        <v>3.31</v>
      </c>
      <c r="BR3">
        <v>59.64</v>
      </c>
      <c r="BS3">
        <v>63.07</v>
      </c>
      <c r="BT3" t="s">
        <v>1623</v>
      </c>
      <c r="BU3" t="s">
        <v>1075</v>
      </c>
      <c r="BV3">
        <v>50.47</v>
      </c>
      <c r="BW3">
        <v>72.84</v>
      </c>
      <c r="BX3">
        <v>74.77</v>
      </c>
      <c r="BY3">
        <v>6.07</v>
      </c>
      <c r="BZ3">
        <v>45.06</v>
      </c>
      <c r="CA3">
        <v>47.21</v>
      </c>
      <c r="CB3">
        <v>0.8</v>
      </c>
      <c r="CC3">
        <v>-25.17</v>
      </c>
      <c r="CD3" t="s">
        <v>2516</v>
      </c>
      <c r="CE3" t="s">
        <v>1074</v>
      </c>
      <c r="CF3" s="8">
        <v>-0.41935483870967744</v>
      </c>
      <c r="CG3" s="9">
        <v>-10.936453199275739</v>
      </c>
      <c r="CH3" s="8">
        <v>-0.90195918083190918</v>
      </c>
      <c r="CI3" s="8">
        <v>0.57176411151885986</v>
      </c>
      <c r="CJ3" s="8">
        <v>0.4349372386932373</v>
      </c>
      <c r="CK3" s="8">
        <v>3.8642990589141846</v>
      </c>
      <c r="CL3" s="8">
        <v>-0.25760653614997864</v>
      </c>
      <c r="CM3" s="9">
        <v>-0.98059868812561035</v>
      </c>
      <c r="CN3" s="9">
        <v>0.49585404992103577</v>
      </c>
      <c r="CO3" s="9">
        <v>0.47733768820762634</v>
      </c>
      <c r="CP3" s="9">
        <v>25.567066192626953</v>
      </c>
      <c r="CQ3" s="9">
        <v>-9.6256859600543976E-2</v>
      </c>
      <c r="CR3">
        <v>3.6032902803385154</v>
      </c>
      <c r="CS3">
        <v>4.8543091543079328E-2</v>
      </c>
      <c r="CT3">
        <v>0.29761904761904762</v>
      </c>
      <c r="CU3" s="8">
        <v>0.74228693842887883</v>
      </c>
      <c r="CV3" s="9">
        <v>5.0926804766058922</v>
      </c>
      <c r="CW3">
        <v>0.06</v>
      </c>
      <c r="CX3">
        <v>0.80173814883875127</v>
      </c>
      <c r="CY3">
        <v>172585026.91984177</v>
      </c>
      <c r="CZ3">
        <v>0.74228693842887883</v>
      </c>
      <c r="DA3">
        <v>0.15764482368492885</v>
      </c>
      <c r="DB3">
        <v>877719907.10297096</v>
      </c>
      <c r="DC3">
        <v>0.70517259150743483</v>
      </c>
      <c r="DD3">
        <v>3.5307390002876513E-2</v>
      </c>
      <c r="DE3">
        <v>3918952944.0926414</v>
      </c>
      <c r="DF3">
        <v>0.65321250581741341</v>
      </c>
      <c r="DG3">
        <v>7.6008518864224984E-3</v>
      </c>
      <c r="DH3">
        <v>18204275266.456459</v>
      </c>
      <c r="DI3">
        <v>0.59382955074310306</v>
      </c>
      <c r="DJ3">
        <v>2.9672051568682635E-4</v>
      </c>
      <c r="DK3">
        <v>466324344576.29651</v>
      </c>
      <c r="DL3">
        <v>0.51960085690021518</v>
      </c>
      <c r="DM3">
        <v>105000000</v>
      </c>
      <c r="DN3">
        <v>0.74228693842887883</v>
      </c>
      <c r="DO3">
        <v>138368000</v>
      </c>
      <c r="DP3">
        <v>4026322800</v>
      </c>
      <c r="DQ3">
        <v>548</v>
      </c>
      <c r="DR3">
        <v>-1.1616417771385563</v>
      </c>
      <c r="DS3">
        <v>-16.029133675881631</v>
      </c>
      <c r="DT3" s="10">
        <v>-0.14499999999999993</v>
      </c>
      <c r="DU3">
        <v>-0.5033333333333333</v>
      </c>
      <c r="DV3">
        <v>-0.64833333333333321</v>
      </c>
      <c r="DW3">
        <v>-3.1037083333333335</v>
      </c>
      <c r="DX3">
        <v>0.42077074468085213</v>
      </c>
      <c r="DY3">
        <v>-3.0135620159796099</v>
      </c>
      <c r="DZ3">
        <v>3114</v>
      </c>
      <c r="EA3">
        <v>-3.0052974136781412</v>
      </c>
      <c r="EB3">
        <v>3</v>
      </c>
      <c r="EC3">
        <v>3.5035049442586313E-2</v>
      </c>
      <c r="ED3">
        <v>0.26791198236341118</v>
      </c>
      <c r="EE3" s="11">
        <v>-2.0558000000000001</v>
      </c>
      <c r="EF3">
        <v>-2.0251000000000001</v>
      </c>
      <c r="EG3">
        <v>29.130770744680852</v>
      </c>
      <c r="EH3" t="s">
        <v>1336</v>
      </c>
      <c r="EI3">
        <v>0</v>
      </c>
      <c r="EJ3">
        <v>0</v>
      </c>
      <c r="EK3" s="13">
        <v>45470</v>
      </c>
      <c r="EL3" s="14">
        <v>1.1599999999999999</v>
      </c>
      <c r="EM3" s="14">
        <v>-4.57</v>
      </c>
      <c r="EN3" s="14">
        <v>-0.6</v>
      </c>
      <c r="EO3" s="14">
        <v>4.82</v>
      </c>
      <c r="EP3" s="14">
        <v>-3.07</v>
      </c>
    </row>
    <row r="4" spans="1:146" ht="96" x14ac:dyDescent="0.25">
      <c r="A4" s="7"/>
      <c r="B4" s="7"/>
      <c r="C4" s="7" t="str">
        <f>""&amp;CHAR(10)&amp;Basic_Fundamental_Information_Constructure(F4)&amp;CHAR(10)&amp;Basic_Fundamental_Information_Concatenate("")</f>
        <v xml:space="preserve">
市值41.72556亿, 利润17.50亿; PE2.42; 平均PE-8.45; 平均PEG-1.76, PB2.6; ROIC0%; ROE-110.6%; 股利率0%; 毛利13.84%; 净利-36.91%; 上一年度营收增-30.52%, 利润增210.41%; 当季营收增-51%, 利润增-230%; 过往5年营收增-4.81%, 利润增-6.37%
Income profile:
</v>
      </c>
      <c r="D4" t="s">
        <v>1078</v>
      </c>
      <c r="E4" t="s">
        <v>2517</v>
      </c>
      <c r="F4">
        <v>2.13</v>
      </c>
      <c r="G4">
        <v>6.5</v>
      </c>
      <c r="H4" t="s">
        <v>2518</v>
      </c>
      <c r="I4">
        <v>4172556000</v>
      </c>
      <c r="J4">
        <v>2.42</v>
      </c>
      <c r="K4">
        <v>2.6</v>
      </c>
      <c r="L4" t="s">
        <v>40</v>
      </c>
      <c r="M4" t="s">
        <v>1624</v>
      </c>
      <c r="N4" t="s">
        <v>2519</v>
      </c>
      <c r="O4" t="s">
        <v>1625</v>
      </c>
      <c r="P4">
        <v>-50.85</v>
      </c>
      <c r="Q4" t="s">
        <v>289</v>
      </c>
      <c r="R4">
        <v>-14389780</v>
      </c>
      <c r="S4" s="3">
        <v>-2.2999999999999998</v>
      </c>
      <c r="T4" t="s">
        <v>521</v>
      </c>
      <c r="U4">
        <v>890946500</v>
      </c>
      <c r="V4">
        <v>1958946500</v>
      </c>
      <c r="W4">
        <v>1.48</v>
      </c>
      <c r="X4">
        <v>0.03</v>
      </c>
      <c r="Y4">
        <v>-21.68</v>
      </c>
      <c r="Z4" t="s">
        <v>2520</v>
      </c>
      <c r="AA4" t="s">
        <v>2521</v>
      </c>
      <c r="AB4" t="s">
        <v>2522</v>
      </c>
      <c r="AC4" t="s">
        <v>2523</v>
      </c>
      <c r="AD4" t="s">
        <v>47</v>
      </c>
      <c r="AE4">
        <v>-715715</v>
      </c>
      <c r="AF4" t="s">
        <v>1626</v>
      </c>
      <c r="AG4" t="s">
        <v>2524</v>
      </c>
      <c r="AH4" t="s">
        <v>1627</v>
      </c>
      <c r="AI4" t="s">
        <v>595</v>
      </c>
      <c r="AJ4" t="s">
        <v>1628</v>
      </c>
      <c r="AK4" t="s">
        <v>47</v>
      </c>
      <c r="AL4" t="s">
        <v>1629</v>
      </c>
      <c r="AM4" t="s">
        <v>47</v>
      </c>
      <c r="AN4" t="s">
        <v>2525</v>
      </c>
      <c r="AO4" t="s">
        <v>1630</v>
      </c>
      <c r="AP4" t="s">
        <v>47</v>
      </c>
      <c r="AQ4" t="s">
        <v>2526</v>
      </c>
      <c r="AR4" t="s">
        <v>2527</v>
      </c>
      <c r="AS4" t="s">
        <v>196</v>
      </c>
      <c r="AT4" t="s">
        <v>1631</v>
      </c>
      <c r="AU4" t="s">
        <v>2528</v>
      </c>
      <c r="AV4" t="s">
        <v>2529</v>
      </c>
      <c r="AW4" t="s">
        <v>1180</v>
      </c>
      <c r="AX4" t="s">
        <v>1317</v>
      </c>
      <c r="AY4" t="s">
        <v>308</v>
      </c>
      <c r="AZ4" t="s">
        <v>1042</v>
      </c>
      <c r="BA4" t="s">
        <v>1044</v>
      </c>
      <c r="BB4" t="s">
        <v>924</v>
      </c>
      <c r="BC4" t="s">
        <v>1318</v>
      </c>
      <c r="BD4" t="s">
        <v>1319</v>
      </c>
      <c r="BE4" t="s">
        <v>1489</v>
      </c>
      <c r="BF4" t="s">
        <v>1490</v>
      </c>
      <c r="BG4" t="s">
        <v>1491</v>
      </c>
      <c r="BH4" t="s">
        <v>289</v>
      </c>
      <c r="BI4" t="s">
        <v>280</v>
      </c>
      <c r="BJ4" t="s">
        <v>1317</v>
      </c>
      <c r="BK4" t="s">
        <v>521</v>
      </c>
      <c r="BL4" t="s">
        <v>1632</v>
      </c>
      <c r="BM4" t="s">
        <v>1318</v>
      </c>
      <c r="BN4" t="s">
        <v>47</v>
      </c>
      <c r="BO4" t="s">
        <v>47</v>
      </c>
      <c r="BP4" t="s">
        <v>47</v>
      </c>
      <c r="BQ4" t="s">
        <v>47</v>
      </c>
      <c r="BR4" t="s">
        <v>47</v>
      </c>
      <c r="BS4">
        <v>-110.6</v>
      </c>
      <c r="BT4" t="s">
        <v>1208</v>
      </c>
      <c r="BU4" t="s">
        <v>1075</v>
      </c>
      <c r="BV4">
        <v>13.71</v>
      </c>
      <c r="BW4">
        <v>25.46</v>
      </c>
      <c r="BX4">
        <v>2.35</v>
      </c>
      <c r="BY4">
        <v>399.06</v>
      </c>
      <c r="BZ4">
        <v>-251.42</v>
      </c>
      <c r="CA4">
        <v>-258.37</v>
      </c>
      <c r="CB4">
        <v>0.95</v>
      </c>
      <c r="CC4">
        <v>-18.079999999999998</v>
      </c>
      <c r="CD4" t="s">
        <v>2530</v>
      </c>
      <c r="CE4" t="s">
        <v>2531</v>
      </c>
      <c r="CF4" s="8">
        <v>-0.50997132352941177</v>
      </c>
      <c r="CG4" s="9">
        <v>-2.2999954829209242</v>
      </c>
      <c r="CH4" s="8">
        <v>-0.30524641275405884</v>
      </c>
      <c r="CI4" s="8">
        <v>0.6169666051864624</v>
      </c>
      <c r="CJ4" s="8">
        <v>-9.1121494770050049E-2</v>
      </c>
      <c r="CK4" s="8">
        <v>-0.26962456107139587</v>
      </c>
      <c r="CL4" s="8">
        <v>-0.19172413647174835</v>
      </c>
      <c r="CM4" s="9">
        <v>2.1041011810302734</v>
      </c>
      <c r="CN4" s="9">
        <v>-0.58025914430618286</v>
      </c>
      <c r="CO4" s="9">
        <v>-2.2459547519683838</v>
      </c>
      <c r="CP4" s="9">
        <v>0.6982421875</v>
      </c>
      <c r="CQ4" s="9">
        <v>-0.29456382989883423</v>
      </c>
      <c r="CR4">
        <v>-8.4521728561782581</v>
      </c>
      <c r="CS4">
        <v>-1.7553837716227247</v>
      </c>
      <c r="CT4">
        <v>0</v>
      </c>
      <c r="CU4" s="8">
        <v>-4.8149999976158139E-2</v>
      </c>
      <c r="CV4" s="9">
        <v>-6.3686871528625483E-2</v>
      </c>
      <c r="CW4">
        <v>0.06</v>
      </c>
      <c r="CX4" t="e">
        <v>#VALUE!</v>
      </c>
      <c r="CY4" t="s">
        <v>1633</v>
      </c>
      <c r="CZ4">
        <v>-4.8149999976158139E-2</v>
      </c>
      <c r="DA4">
        <v>0.69362971428571429</v>
      </c>
      <c r="DB4" t="s">
        <v>1634</v>
      </c>
      <c r="DC4">
        <v>-4.5742499977350227E-2</v>
      </c>
      <c r="DD4">
        <v>0.34681485714285715</v>
      </c>
      <c r="DE4" t="s">
        <v>1635</v>
      </c>
      <c r="DF4">
        <v>-4.2371999979019165E-2</v>
      </c>
      <c r="DG4">
        <v>0.2080889142857143</v>
      </c>
      <c r="DH4" t="s">
        <v>1636</v>
      </c>
      <c r="DI4">
        <v>-3.8519999980926513E-2</v>
      </c>
      <c r="DJ4">
        <v>0.10404445714285715</v>
      </c>
      <c r="DK4" t="s">
        <v>1637</v>
      </c>
      <c r="DL4">
        <v>-3.3704999983310696E-2</v>
      </c>
      <c r="DM4">
        <v>1750000000</v>
      </c>
      <c r="DN4">
        <v>-4.8149999976158139E-2</v>
      </c>
      <c r="DO4">
        <v>3641556000</v>
      </c>
      <c r="DP4">
        <v>719895230</v>
      </c>
      <c r="DQ4">
        <v>602</v>
      </c>
      <c r="DR4">
        <v>-0.46182132355325362</v>
      </c>
      <c r="DS4">
        <v>-2.2363086113922988</v>
      </c>
      <c r="DT4" s="10">
        <v>-0.52333333333333332</v>
      </c>
      <c r="DU4">
        <v>-2.5483333333333333</v>
      </c>
      <c r="DV4">
        <v>-3.0716666666666668</v>
      </c>
      <c r="DW4">
        <v>-3.0235238095238097</v>
      </c>
      <c r="DX4">
        <v>0.54565135869564863</v>
      </c>
      <c r="DY4">
        <v>-3.0029557986283644</v>
      </c>
      <c r="DZ4">
        <v>4935</v>
      </c>
      <c r="EA4">
        <v>-3.0001012259804236</v>
      </c>
      <c r="EB4">
        <v>3</v>
      </c>
      <c r="EC4">
        <v>2.3604371022894192E-2</v>
      </c>
      <c r="ED4">
        <v>0.18785607468095733</v>
      </c>
      <c r="EE4" s="11">
        <v>5.11721</v>
      </c>
      <c r="EF4">
        <v>5.1079100000000004</v>
      </c>
      <c r="EG4">
        <v>42.125651358695649</v>
      </c>
      <c r="EH4" t="s">
        <v>2532</v>
      </c>
      <c r="EI4">
        <v>0</v>
      </c>
      <c r="EJ4">
        <v>0</v>
      </c>
      <c r="EK4" s="13">
        <v>45470</v>
      </c>
      <c r="EL4" s="14">
        <v>3.15</v>
      </c>
      <c r="EM4" s="14">
        <v>-4.37</v>
      </c>
      <c r="EN4" s="14">
        <v>-2.74</v>
      </c>
      <c r="EO4" s="14">
        <v>0.94</v>
      </c>
      <c r="EP4" s="14">
        <v>0.93</v>
      </c>
    </row>
    <row r="5" spans="1:146" ht="180" x14ac:dyDescent="0.25">
      <c r="A5" s="7" t="s">
        <v>1197</v>
      </c>
      <c r="B5" s="7"/>
      <c r="C5" s="7" t="str">
        <f>"公司的主营业务是研发、制造和销售医疗器械产品及提供相关解决方案。公司产品主要集中在呼吸供氧、血压血糖、消毒感控、医疗急救、手术器械、中医器械、眼科器械、康复护理、隐形眼镜及提供医院消毒感染控制解决方案等领域。"&amp;CHAR(10)&amp;Basic_Fundamental_Information_Constructure(F5)&amp;CHAR(10)&amp;Basic_Fundamental_Information_Concatenate("呼吸治疗解决方案 10.99亿 30.94% 30.88% 47.15%
家用类电子检测及体外诊断 8.10亿 22.80% 22.75% 47.13%
康复及临床器械 6.49亿 18.27% 12.83% 33.16%
感染控制解决方案 6.27亿 17.65% 21.50% 57.53%
糖尿病护理解决方案 2.77亿 7.79% 10.17% 61.66%")</f>
        <v>公司的主营业务是研发、制造和销售医疗器械产品及提供相关解决方案。公司产品主要集中在呼吸供氧、血压血糖、消毒感控、医疗急救、手术器械、中医器械、眼科器械、康复护理、隐形眼镜及提供医院消毒感染控制解决方案等领域。
市值381.34222亿, 利润23.96亿; PE16.28; 平均PE26.26; 平均PEG1.78, PB3.07; ROIC15.79%; ROE19.0733%; 股利率2.103%; 毛利49.3033%; 净利24.4967%; 上一年度营收增12.25%, 利润增50.22%; 当季营收增-17.46%, 利润增-7.65%; 过往5年营收增14.74%, 利润增35.85%
Income profile:
呼吸治疗解决方案 10.99亿 30.94% 30.88% 47.15%
家用类电子检测及体外诊断 8.10亿 22.80% 22.75% 47.13%
康复及临床器械 6.49亿 18.27% 12.83% 33.16%
感染控制解决方案 6.27亿 17.65% 21.50% 57.53%
糖尿病护理解决方案 2.77亿 7.79% 10.17% 61.66%</v>
      </c>
      <c r="D5" t="s">
        <v>92</v>
      </c>
      <c r="E5" t="s">
        <v>93</v>
      </c>
      <c r="F5">
        <v>38.04</v>
      </c>
      <c r="G5">
        <v>4.45</v>
      </c>
      <c r="H5" t="s">
        <v>2533</v>
      </c>
      <c r="I5">
        <v>38134222000</v>
      </c>
      <c r="J5">
        <v>16.28</v>
      </c>
      <c r="K5">
        <v>3.07</v>
      </c>
      <c r="L5" t="s">
        <v>40</v>
      </c>
      <c r="M5" t="s">
        <v>1639</v>
      </c>
      <c r="N5" t="s">
        <v>2534</v>
      </c>
      <c r="O5" t="s">
        <v>1640</v>
      </c>
      <c r="P5">
        <v>-17.440000000000001</v>
      </c>
      <c r="Q5" t="s">
        <v>1641</v>
      </c>
      <c r="R5">
        <v>659412770</v>
      </c>
      <c r="S5" s="3">
        <v>-7.5800000000000006E-2</v>
      </c>
      <c r="T5" t="s">
        <v>1642</v>
      </c>
      <c r="U5">
        <v>938673650</v>
      </c>
      <c r="V5">
        <v>1002476930</v>
      </c>
      <c r="W5">
        <v>1.32</v>
      </c>
      <c r="X5">
        <v>0.14000000000000001</v>
      </c>
      <c r="Y5">
        <v>29.63</v>
      </c>
      <c r="Z5" t="s">
        <v>2535</v>
      </c>
      <c r="AA5" t="s">
        <v>2536</v>
      </c>
      <c r="AB5" t="s">
        <v>1184</v>
      </c>
      <c r="AC5" t="s">
        <v>2537</v>
      </c>
      <c r="AD5" t="s">
        <v>47</v>
      </c>
      <c r="AE5">
        <v>-50842630</v>
      </c>
      <c r="AF5" t="s">
        <v>1643</v>
      </c>
      <c r="AG5" t="s">
        <v>2538</v>
      </c>
      <c r="AH5" t="s">
        <v>1644</v>
      </c>
      <c r="AI5" t="s">
        <v>2539</v>
      </c>
      <c r="AJ5" t="s">
        <v>1645</v>
      </c>
      <c r="AK5" t="s">
        <v>47</v>
      </c>
      <c r="AL5" t="s">
        <v>1646</v>
      </c>
      <c r="AM5" t="s">
        <v>47</v>
      </c>
      <c r="AN5" t="s">
        <v>167</v>
      </c>
      <c r="AO5" t="s">
        <v>47</v>
      </c>
      <c r="AP5" t="s">
        <v>348</v>
      </c>
      <c r="AQ5" t="s">
        <v>2540</v>
      </c>
      <c r="AR5" t="s">
        <v>47</v>
      </c>
      <c r="AS5" t="s">
        <v>2541</v>
      </c>
      <c r="AT5" t="s">
        <v>147</v>
      </c>
      <c r="AU5" t="s">
        <v>1499</v>
      </c>
      <c r="AV5" t="s">
        <v>2542</v>
      </c>
      <c r="AW5" t="s">
        <v>2543</v>
      </c>
      <c r="AX5" t="s">
        <v>1320</v>
      </c>
      <c r="AY5" t="s">
        <v>898</v>
      </c>
      <c r="AZ5" t="s">
        <v>94</v>
      </c>
      <c r="BA5" t="s">
        <v>99</v>
      </c>
      <c r="BB5" t="s">
        <v>100</v>
      </c>
      <c r="BC5" t="s">
        <v>1321</v>
      </c>
      <c r="BD5" t="s">
        <v>899</v>
      </c>
      <c r="BE5" t="s">
        <v>95</v>
      </c>
      <c r="BF5" t="s">
        <v>101</v>
      </c>
      <c r="BG5" t="s">
        <v>102</v>
      </c>
      <c r="BH5" t="s">
        <v>1641</v>
      </c>
      <c r="BI5" t="s">
        <v>1647</v>
      </c>
      <c r="BJ5" t="s">
        <v>1320</v>
      </c>
      <c r="BK5" t="s">
        <v>1642</v>
      </c>
      <c r="BL5" t="s">
        <v>1648</v>
      </c>
      <c r="BM5" t="s">
        <v>1321</v>
      </c>
      <c r="BN5">
        <v>16.79</v>
      </c>
      <c r="BO5">
        <v>14.25</v>
      </c>
      <c r="BP5">
        <v>16.329999999999998</v>
      </c>
      <c r="BQ5">
        <v>20.49</v>
      </c>
      <c r="BR5">
        <v>17.510000000000002</v>
      </c>
      <c r="BS5">
        <v>19.22</v>
      </c>
      <c r="BT5" t="s">
        <v>1408</v>
      </c>
      <c r="BU5" t="s">
        <v>1032</v>
      </c>
      <c r="BV5">
        <v>51.49</v>
      </c>
      <c r="BW5">
        <v>48.13</v>
      </c>
      <c r="BX5">
        <v>48.29</v>
      </c>
      <c r="BY5">
        <v>29.81</v>
      </c>
      <c r="BZ5">
        <v>22.15</v>
      </c>
      <c r="CA5">
        <v>21.53</v>
      </c>
      <c r="CB5">
        <v>1.17</v>
      </c>
      <c r="CC5">
        <v>-1.1399999999999999</v>
      </c>
      <c r="CD5" t="s">
        <v>2544</v>
      </c>
      <c r="CE5" t="s">
        <v>53</v>
      </c>
      <c r="CF5" s="8">
        <v>-0.17462079171291159</v>
      </c>
      <c r="CG5" s="9">
        <v>-7.645270308123249E-2</v>
      </c>
      <c r="CH5" s="8">
        <v>0.12250065058469772</v>
      </c>
      <c r="CI5" s="8">
        <v>3.0171163380146027E-2</v>
      </c>
      <c r="CJ5" s="8">
        <v>2.4977698922157288E-2</v>
      </c>
      <c r="CK5" s="8">
        <v>0.45081961154937744</v>
      </c>
      <c r="CL5" s="8">
        <v>0.10829552263021469</v>
      </c>
      <c r="CM5" s="9">
        <v>0.50219428539276123</v>
      </c>
      <c r="CN5" s="9">
        <v>7.6248355209827423E-2</v>
      </c>
      <c r="CO5" s="9">
        <v>-0.15747587382793427</v>
      </c>
      <c r="CP5" s="9">
        <v>1.3359894752502441</v>
      </c>
      <c r="CQ5" s="9">
        <v>3.5763412714004517E-2</v>
      </c>
      <c r="CR5">
        <v>26.263238292011021</v>
      </c>
      <c r="CS5">
        <v>1.7823356750746209</v>
      </c>
      <c r="CT5">
        <v>2.1030494216614093</v>
      </c>
      <c r="CU5" s="8">
        <v>0.14735292941331862</v>
      </c>
      <c r="CV5" s="9">
        <v>0.35854393094778059</v>
      </c>
      <c r="CW5">
        <v>0.06</v>
      </c>
      <c r="CX5">
        <v>11.413451324038816</v>
      </c>
      <c r="CY5">
        <v>2593450583.8436899</v>
      </c>
      <c r="CZ5">
        <v>0.14735292941331862</v>
      </c>
      <c r="DA5">
        <v>3.554138736401228</v>
      </c>
      <c r="DB5">
        <v>8328381134.0386629</v>
      </c>
      <c r="DC5">
        <v>0.13998528294265269</v>
      </c>
      <c r="DD5">
        <v>1.638071306876637</v>
      </c>
      <c r="DE5">
        <v>18070166955.332176</v>
      </c>
      <c r="DF5">
        <v>0.12967057788372038</v>
      </c>
      <c r="DG5">
        <v>0.91150666103448452</v>
      </c>
      <c r="DH5">
        <v>32473950290.616856</v>
      </c>
      <c r="DI5">
        <v>0.11788234353065491</v>
      </c>
      <c r="DJ5">
        <v>0.3957364130592268</v>
      </c>
      <c r="DK5">
        <v>74797822548.540573</v>
      </c>
      <c r="DL5">
        <v>0.10314705058932302</v>
      </c>
      <c r="DM5">
        <v>2396000000</v>
      </c>
      <c r="DN5">
        <v>0.14735292941331862</v>
      </c>
      <c r="DO5">
        <v>29600222000</v>
      </c>
      <c r="DP5">
        <v>7030070800</v>
      </c>
      <c r="DQ5">
        <v>732</v>
      </c>
      <c r="DR5">
        <v>-0.32197372112623024</v>
      </c>
      <c r="DS5">
        <v>-0.43499663402901306</v>
      </c>
      <c r="DT5" s="10">
        <v>-0.32333333333333336</v>
      </c>
      <c r="DU5">
        <v>0.26666666666666666</v>
      </c>
      <c r="DV5">
        <v>-5.6666666666666698E-2</v>
      </c>
      <c r="DW5">
        <v>-1.1399999999999999E-2</v>
      </c>
      <c r="DX5">
        <v>0.50347381974249117</v>
      </c>
      <c r="DY5">
        <v>-1.5216015450643773E-3</v>
      </c>
      <c r="DZ5">
        <v>1842</v>
      </c>
      <c r="EA5">
        <v>-9.7311034232297174E-4</v>
      </c>
      <c r="EB5">
        <v>0</v>
      </c>
      <c r="EC5">
        <v>3.1022559292212339E-2</v>
      </c>
      <c r="ED5">
        <v>0.23242430127544181</v>
      </c>
      <c r="EE5" s="11">
        <v>1.0508999999999999</v>
      </c>
      <c r="EF5">
        <v>1.0514000000000001</v>
      </c>
      <c r="EG5">
        <v>37.133473819742491</v>
      </c>
      <c r="EH5" t="s">
        <v>1229</v>
      </c>
      <c r="EI5">
        <v>0</v>
      </c>
      <c r="EJ5">
        <v>0</v>
      </c>
      <c r="EK5" s="13">
        <v>45470</v>
      </c>
      <c r="EL5" s="14">
        <v>-1.58</v>
      </c>
      <c r="EM5" s="14">
        <v>-0.76</v>
      </c>
      <c r="EN5" s="14">
        <v>1.0900000000000001</v>
      </c>
      <c r="EO5" s="14">
        <v>-0.92</v>
      </c>
      <c r="EP5" s="14">
        <v>0.05</v>
      </c>
    </row>
    <row r="6" spans="1:146" ht="96" x14ac:dyDescent="0.25">
      <c r="A6" s="7"/>
      <c r="B6" s="7"/>
      <c r="C6" s="7" t="str">
        <f>""&amp;CHAR(10)&amp;Basic_Fundamental_Information_Constructure(F6)&amp;CHAR(10)&amp;Basic_Fundamental_Information_Concatenate("")</f>
        <v xml:space="preserve">
市值44.111943亿, 利润-5.68亿; PE; 平均PE9.42; 平均PEG.39, PB.491; ROIC8.25%; ROE1.1033%; 股利率0%; 毛利23.16%; 净利-1.63%; 上一年度营收增.55%, 利润增-52.69%; 当季营收增33%, 利润增-27.97%; 过往5年营收增24.29%, 利润增16.17%
Income profile:
</v>
      </c>
      <c r="D6" t="s">
        <v>107</v>
      </c>
      <c r="E6" t="s">
        <v>108</v>
      </c>
      <c r="F6">
        <v>4.38</v>
      </c>
      <c r="G6">
        <v>2.58</v>
      </c>
      <c r="H6" t="s">
        <v>2545</v>
      </c>
      <c r="I6">
        <v>4411194300</v>
      </c>
      <c r="K6">
        <v>0.49099999999999999</v>
      </c>
      <c r="L6" t="s">
        <v>40</v>
      </c>
      <c r="M6" t="s">
        <v>1649</v>
      </c>
      <c r="N6" t="s">
        <v>2546</v>
      </c>
      <c r="O6" t="s">
        <v>1650</v>
      </c>
      <c r="P6">
        <v>32.96</v>
      </c>
      <c r="Q6" t="s">
        <v>1651</v>
      </c>
      <c r="R6">
        <v>-98919578</v>
      </c>
      <c r="S6" s="3">
        <v>-0.2797</v>
      </c>
      <c r="T6" t="s">
        <v>1652</v>
      </c>
      <c r="U6">
        <v>999690110</v>
      </c>
      <c r="V6">
        <v>1007121990</v>
      </c>
      <c r="W6">
        <v>1.74</v>
      </c>
      <c r="X6">
        <v>0.09</v>
      </c>
      <c r="Y6">
        <v>-6.79</v>
      </c>
      <c r="Z6" t="s">
        <v>2547</v>
      </c>
      <c r="AA6" t="s">
        <v>1541</v>
      </c>
      <c r="AB6" t="s">
        <v>2548</v>
      </c>
      <c r="AC6" t="s">
        <v>2549</v>
      </c>
      <c r="AD6" t="s">
        <v>47</v>
      </c>
      <c r="AE6">
        <v>62244572</v>
      </c>
      <c r="AF6" t="s">
        <v>1653</v>
      </c>
      <c r="AG6" t="s">
        <v>2550</v>
      </c>
      <c r="AH6" t="s">
        <v>1654</v>
      </c>
      <c r="AI6" t="s">
        <v>2551</v>
      </c>
      <c r="AJ6" t="s">
        <v>1655</v>
      </c>
      <c r="AK6" t="s">
        <v>47</v>
      </c>
      <c r="AL6" t="s">
        <v>1656</v>
      </c>
      <c r="AM6" t="s">
        <v>47</v>
      </c>
      <c r="AN6" t="s">
        <v>1484</v>
      </c>
      <c r="AO6" t="s">
        <v>2301</v>
      </c>
      <c r="AP6" t="s">
        <v>2552</v>
      </c>
      <c r="AQ6" t="s">
        <v>1358</v>
      </c>
      <c r="AR6" t="s">
        <v>47</v>
      </c>
      <c r="AS6" t="s">
        <v>2553</v>
      </c>
      <c r="AT6" t="s">
        <v>269</v>
      </c>
      <c r="AU6" t="s">
        <v>2554</v>
      </c>
      <c r="AV6" t="s">
        <v>2555</v>
      </c>
      <c r="AW6" t="s">
        <v>749</v>
      </c>
      <c r="AX6" t="s">
        <v>1322</v>
      </c>
      <c r="AY6" t="s">
        <v>900</v>
      </c>
      <c r="AZ6" t="s">
        <v>109</v>
      </c>
      <c r="BA6" t="s">
        <v>115</v>
      </c>
      <c r="BB6" t="s">
        <v>116</v>
      </c>
      <c r="BC6" t="s">
        <v>1323</v>
      </c>
      <c r="BD6" t="s">
        <v>66</v>
      </c>
      <c r="BE6" t="s">
        <v>110</v>
      </c>
      <c r="BF6" t="s">
        <v>117</v>
      </c>
      <c r="BG6" t="s">
        <v>118</v>
      </c>
      <c r="BH6" t="s">
        <v>1651</v>
      </c>
      <c r="BI6" t="s">
        <v>1658</v>
      </c>
      <c r="BJ6" t="s">
        <v>1322</v>
      </c>
      <c r="BK6" t="s">
        <v>1652</v>
      </c>
      <c r="BL6" t="s">
        <v>1659</v>
      </c>
      <c r="BM6" t="s">
        <v>1323</v>
      </c>
      <c r="BN6" t="s">
        <v>47</v>
      </c>
      <c r="BO6" t="s">
        <v>47</v>
      </c>
      <c r="BP6">
        <v>8.25</v>
      </c>
      <c r="BQ6">
        <v>-3.48</v>
      </c>
      <c r="BR6">
        <v>-3.53</v>
      </c>
      <c r="BS6">
        <v>10.32</v>
      </c>
      <c r="BT6" t="s">
        <v>1208</v>
      </c>
      <c r="BU6" t="s">
        <v>1079</v>
      </c>
      <c r="BV6">
        <v>12.3</v>
      </c>
      <c r="BW6">
        <v>10.23</v>
      </c>
      <c r="BX6">
        <v>46.95</v>
      </c>
      <c r="BY6">
        <v>-11.54</v>
      </c>
      <c r="BZ6">
        <v>-7.6</v>
      </c>
      <c r="CA6">
        <v>14.25</v>
      </c>
      <c r="CB6">
        <v>1.39</v>
      </c>
      <c r="CC6">
        <v>-15.93</v>
      </c>
      <c r="CD6" t="s">
        <v>2556</v>
      </c>
      <c r="CE6" t="s">
        <v>106</v>
      </c>
      <c r="CF6" s="8">
        <v>0.32998171846435098</v>
      </c>
      <c r="CG6" s="9">
        <v>-0.27968737305917996</v>
      </c>
      <c r="CH6" s="8">
        <v>5.5102696642279625E-3</v>
      </c>
      <c r="CI6" s="8">
        <v>-0.39573317766189575</v>
      </c>
      <c r="CJ6" s="8">
        <v>3.0499426648020744E-2</v>
      </c>
      <c r="CK6" s="8">
        <v>1.2638089656829834</v>
      </c>
      <c r="CL6" s="8">
        <v>0.31021487712860107</v>
      </c>
      <c r="CM6" s="9">
        <v>-0.52688169479370117</v>
      </c>
      <c r="CN6" s="9">
        <v>-1.3217992782592773</v>
      </c>
      <c r="CO6" s="9">
        <v>-0.3424345850944519</v>
      </c>
      <c r="CP6" s="9">
        <v>2.5877552032470703</v>
      </c>
      <c r="CQ6" s="9">
        <v>0.41210374236106873</v>
      </c>
      <c r="CR6">
        <v>9.4155694770544294</v>
      </c>
      <c r="CS6">
        <v>0.38769524311590858</v>
      </c>
      <c r="CT6">
        <v>0</v>
      </c>
      <c r="CU6" s="8">
        <v>0.24286007229238749</v>
      </c>
      <c r="CV6" s="9">
        <v>0.16174867749214172</v>
      </c>
      <c r="CW6">
        <v>0.06</v>
      </c>
      <c r="CX6" t="e">
        <v>#VALUE!</v>
      </c>
      <c r="CY6" t="s">
        <v>1037</v>
      </c>
      <c r="CZ6">
        <v>0.24286007229238749</v>
      </c>
      <c r="DA6" t="e">
        <v>#VALUE!</v>
      </c>
      <c r="DB6" t="s">
        <v>1038</v>
      </c>
      <c r="DC6">
        <v>0.23071706867776809</v>
      </c>
      <c r="DD6" t="e">
        <v>#VALUE!</v>
      </c>
      <c r="DE6" t="s">
        <v>1038</v>
      </c>
      <c r="DF6">
        <v>0.213716863617301</v>
      </c>
      <c r="DG6" t="e">
        <v>#VALUE!</v>
      </c>
      <c r="DH6" t="s">
        <v>1038</v>
      </c>
      <c r="DI6">
        <v>0.19428805783391001</v>
      </c>
      <c r="DJ6" t="e">
        <v>#VALUE!</v>
      </c>
      <c r="DK6" t="s">
        <v>1038</v>
      </c>
      <c r="DL6">
        <v>0.17000205060467122</v>
      </c>
      <c r="DM6">
        <v>-568000000</v>
      </c>
      <c r="DN6">
        <v>0.24286007229238749</v>
      </c>
      <c r="DO6">
        <v>1025194300</v>
      </c>
      <c r="DP6">
        <v>864974699.99999952</v>
      </c>
      <c r="DQ6">
        <v>888</v>
      </c>
      <c r="DR6">
        <v>8.7121646171963496E-2</v>
      </c>
      <c r="DS6">
        <v>-0.44143605055132168</v>
      </c>
      <c r="DT6" s="10">
        <v>-0.25666666666666665</v>
      </c>
      <c r="DU6">
        <v>-1.7050000000000003</v>
      </c>
      <c r="DV6">
        <v>-1.9616666666666669</v>
      </c>
      <c r="DW6">
        <v>-2.1593</v>
      </c>
      <c r="DX6">
        <v>0.38234844720496935</v>
      </c>
      <c r="DY6">
        <v>-2.0147111076397515</v>
      </c>
      <c r="DZ6">
        <v>4364</v>
      </c>
      <c r="EA6">
        <v>-2.0021476489822416</v>
      </c>
      <c r="EB6">
        <v>2</v>
      </c>
      <c r="EC6">
        <v>2.9525916716404931E-2</v>
      </c>
      <c r="ED6">
        <v>0.31972293644387606</v>
      </c>
      <c r="EE6" s="11">
        <v>-1.01471</v>
      </c>
      <c r="EF6">
        <v>-1.0437099999999999</v>
      </c>
      <c r="EG6">
        <v>29.092348447204969</v>
      </c>
      <c r="EH6" t="s">
        <v>1039</v>
      </c>
      <c r="EI6">
        <v>0</v>
      </c>
      <c r="EJ6">
        <v>0</v>
      </c>
      <c r="EK6" s="13">
        <v>45470</v>
      </c>
      <c r="EL6" s="14">
        <v>0.23</v>
      </c>
      <c r="EM6" s="14">
        <v>-2.95</v>
      </c>
      <c r="EN6" s="14">
        <v>0.47</v>
      </c>
      <c r="EO6" s="14">
        <v>4.1900000000000004</v>
      </c>
      <c r="EP6" s="14">
        <v>-2.9</v>
      </c>
    </row>
    <row r="7" spans="1:146" ht="96" x14ac:dyDescent="0.25">
      <c r="A7" s="7"/>
      <c r="B7" s="7"/>
      <c r="C7" s="7" t="str">
        <f>""&amp;CHAR(10)&amp;Basic_Fundamental_Information_Constructure(F7)&amp;CHAR(10)&amp;Basic_Fundamental_Information_Concatenate("")</f>
        <v xml:space="preserve">
市值196.89314亿, 利润12.52亿; PE21.94; 平均PE6.38; 平均PEG.03, PB1.05; ROIC59.1867%; ROE61.8267%; 股利率.7468%; 毛利68.8867%; 净利47.7933%; 上一年度营收增-87.72%, 利润增-92.19%; 当季营收增-49.03%, 利润增-58.83%; 过往5年营收增227.82%, 利润增506.97%
Income profile:
</v>
      </c>
      <c r="D7" t="s">
        <v>123</v>
      </c>
      <c r="E7" t="s">
        <v>124</v>
      </c>
      <c r="F7">
        <v>40.17</v>
      </c>
      <c r="G7">
        <v>1.8</v>
      </c>
      <c r="H7" t="s">
        <v>2557</v>
      </c>
      <c r="I7">
        <v>19689314000</v>
      </c>
      <c r="J7">
        <v>21.94</v>
      </c>
      <c r="K7">
        <v>1.05</v>
      </c>
      <c r="L7" t="s">
        <v>40</v>
      </c>
      <c r="M7" t="s">
        <v>1660</v>
      </c>
      <c r="N7" t="s">
        <v>2558</v>
      </c>
      <c r="O7" t="s">
        <v>1661</v>
      </c>
      <c r="P7">
        <v>-49.03</v>
      </c>
      <c r="Q7" t="s">
        <v>1662</v>
      </c>
      <c r="R7">
        <v>247428850</v>
      </c>
      <c r="S7" s="4">
        <v>-0.58860000000000001</v>
      </c>
      <c r="T7" t="s">
        <v>1663</v>
      </c>
      <c r="U7">
        <v>449068770</v>
      </c>
      <c r="V7">
        <v>490149720</v>
      </c>
      <c r="W7">
        <v>1.2</v>
      </c>
      <c r="X7">
        <v>0.03</v>
      </c>
      <c r="Y7">
        <v>40.729999999999997</v>
      </c>
      <c r="Z7" t="s">
        <v>1478</v>
      </c>
      <c r="AA7" t="s">
        <v>397</v>
      </c>
      <c r="AB7" t="s">
        <v>86</v>
      </c>
      <c r="AC7" t="s">
        <v>2559</v>
      </c>
      <c r="AD7" t="s">
        <v>47</v>
      </c>
      <c r="AE7">
        <v>7980770</v>
      </c>
      <c r="AF7" t="s">
        <v>1664</v>
      </c>
      <c r="AG7" t="s">
        <v>2560</v>
      </c>
      <c r="AH7" t="s">
        <v>1665</v>
      </c>
      <c r="AI7" t="s">
        <v>2561</v>
      </c>
      <c r="AJ7" t="s">
        <v>1666</v>
      </c>
      <c r="AK7" t="s">
        <v>2562</v>
      </c>
      <c r="AL7" t="s">
        <v>1667</v>
      </c>
      <c r="AM7" t="s">
        <v>47</v>
      </c>
      <c r="AN7" t="s">
        <v>2563</v>
      </c>
      <c r="AO7" t="s">
        <v>2564</v>
      </c>
      <c r="AP7" t="s">
        <v>47</v>
      </c>
      <c r="AQ7" t="s">
        <v>2565</v>
      </c>
      <c r="AR7" t="s">
        <v>47</v>
      </c>
      <c r="AS7" t="s">
        <v>2494</v>
      </c>
      <c r="AT7" t="s">
        <v>2566</v>
      </c>
      <c r="AU7" t="s">
        <v>278</v>
      </c>
      <c r="AV7" t="s">
        <v>2567</v>
      </c>
      <c r="AW7" t="s">
        <v>2568</v>
      </c>
      <c r="AX7" t="s">
        <v>1325</v>
      </c>
      <c r="AY7" t="s">
        <v>901</v>
      </c>
      <c r="AZ7" t="s">
        <v>125</v>
      </c>
      <c r="BA7" t="s">
        <v>132</v>
      </c>
      <c r="BB7" t="s">
        <v>133</v>
      </c>
      <c r="BC7" t="s">
        <v>1326</v>
      </c>
      <c r="BD7" t="s">
        <v>902</v>
      </c>
      <c r="BE7" t="s">
        <v>126</v>
      </c>
      <c r="BF7" t="s">
        <v>136</v>
      </c>
      <c r="BG7" t="s">
        <v>137</v>
      </c>
      <c r="BH7" t="s">
        <v>1662</v>
      </c>
      <c r="BI7" t="s">
        <v>1668</v>
      </c>
      <c r="BJ7" t="s">
        <v>1325</v>
      </c>
      <c r="BK7" t="s">
        <v>1663</v>
      </c>
      <c r="BL7" t="s">
        <v>411</v>
      </c>
      <c r="BM7" t="s">
        <v>1326</v>
      </c>
      <c r="BN7">
        <v>3.97</v>
      </c>
      <c r="BO7">
        <v>138.97</v>
      </c>
      <c r="BP7">
        <v>34.619999999999997</v>
      </c>
      <c r="BQ7">
        <v>4.49</v>
      </c>
      <c r="BR7">
        <v>143.63</v>
      </c>
      <c r="BS7">
        <v>37.36</v>
      </c>
      <c r="BT7" t="s">
        <v>1209</v>
      </c>
      <c r="BU7" t="s">
        <v>1032</v>
      </c>
      <c r="BV7">
        <v>63.59</v>
      </c>
      <c r="BW7">
        <v>79.599999999999994</v>
      </c>
      <c r="BX7">
        <v>63.47</v>
      </c>
      <c r="BY7">
        <v>41.76</v>
      </c>
      <c r="BZ7">
        <v>62.64</v>
      </c>
      <c r="CA7">
        <v>38.979999999999997</v>
      </c>
      <c r="CB7">
        <v>-0.91</v>
      </c>
      <c r="CC7">
        <v>-1.42</v>
      </c>
      <c r="CD7" t="s">
        <v>2569</v>
      </c>
      <c r="CE7" t="s">
        <v>467</v>
      </c>
      <c r="CF7" s="8">
        <v>-0.49030100334448162</v>
      </c>
      <c r="CG7" s="9">
        <v>-0.58830474209650585</v>
      </c>
      <c r="CH7" s="8">
        <v>-0.87721830606460571</v>
      </c>
      <c r="CI7" s="8">
        <v>9.978306770324707</v>
      </c>
      <c r="CJ7" s="8">
        <v>0.19372506439685822</v>
      </c>
      <c r="CK7" s="8">
        <v>1.8441926240921021</v>
      </c>
      <c r="CL7" s="8">
        <v>0.25177305936813354</v>
      </c>
      <c r="CM7" s="9">
        <v>-0.92189645767211914</v>
      </c>
      <c r="CN7" s="9">
        <v>16.634763717651367</v>
      </c>
      <c r="CO7" s="9">
        <v>2.7561984062194824</v>
      </c>
      <c r="CP7" s="9">
        <v>2.6418852806091309</v>
      </c>
      <c r="CQ7" s="9">
        <v>4.2376565933227539</v>
      </c>
      <c r="CR7">
        <v>6.3815372055474153</v>
      </c>
      <c r="CS7">
        <v>2.8011855408271426E-2</v>
      </c>
      <c r="CT7">
        <v>0.74682598954443613</v>
      </c>
      <c r="CU7" s="8">
        <v>2.2781558424234389</v>
      </c>
      <c r="CV7" s="9">
        <v>5.0697215080261229</v>
      </c>
      <c r="CW7">
        <v>0.06</v>
      </c>
      <c r="CX7">
        <v>0.79244976710605719</v>
      </c>
      <c r="CY7">
        <v>3871935013.881269</v>
      </c>
      <c r="CZ7">
        <v>2.2781558424234389</v>
      </c>
      <c r="DA7">
        <v>6.3660362452383365E-2</v>
      </c>
      <c r="DB7">
        <v>48198186152.255035</v>
      </c>
      <c r="DC7">
        <v>2.164248050302267</v>
      </c>
      <c r="DD7">
        <v>3.0630387114852619E-3</v>
      </c>
      <c r="DE7">
        <v>1001722240236.4547</v>
      </c>
      <c r="DF7">
        <v>2.0047771413326263</v>
      </c>
      <c r="DG7">
        <v>8.5407960142326069E-5</v>
      </c>
      <c r="DH7">
        <v>35925386754195.758</v>
      </c>
      <c r="DI7">
        <v>1.8225246739387513</v>
      </c>
      <c r="DJ7">
        <v>2.4298346043331944E-8</v>
      </c>
      <c r="DK7">
        <v>1.2627666074588726E+17</v>
      </c>
      <c r="DL7">
        <v>1.5947090896964071</v>
      </c>
      <c r="DM7">
        <v>1252000000</v>
      </c>
      <c r="DN7">
        <v>2.2781558424234389</v>
      </c>
      <c r="DO7">
        <v>3068314000</v>
      </c>
      <c r="DP7">
        <v>9397140300</v>
      </c>
      <c r="DQ7">
        <v>936</v>
      </c>
      <c r="DR7">
        <v>-2.7684568457679206</v>
      </c>
      <c r="DS7">
        <v>-5.6580262501226288</v>
      </c>
      <c r="DT7" s="10">
        <v>0.20333333333333314</v>
      </c>
      <c r="DU7">
        <v>0.99196666666666633</v>
      </c>
      <c r="DV7">
        <v>1.1952999999999996</v>
      </c>
      <c r="DW7">
        <v>-1.4199999999999999E-2</v>
      </c>
      <c r="DX7">
        <v>0.43975733333333639</v>
      </c>
      <c r="DY7">
        <v>-1.4165541333333333E-3</v>
      </c>
      <c r="DZ7">
        <v>126</v>
      </c>
      <c r="EA7">
        <v>-1.3816254012785389E-3</v>
      </c>
      <c r="EB7">
        <v>0</v>
      </c>
      <c r="EC7">
        <v>3.052863112928025E-2</v>
      </c>
      <c r="ED7">
        <v>0.30602894152423465</v>
      </c>
      <c r="EE7" s="11">
        <v>3.0137999999999998</v>
      </c>
      <c r="EF7">
        <v>3.0139999999999998</v>
      </c>
      <c r="EG7">
        <v>34.099757333333336</v>
      </c>
      <c r="EH7" t="s">
        <v>1598</v>
      </c>
      <c r="EI7">
        <v>0</v>
      </c>
      <c r="EJ7">
        <v>1</v>
      </c>
      <c r="EK7" s="13">
        <v>45470</v>
      </c>
      <c r="EL7" s="14">
        <v>1.04</v>
      </c>
      <c r="EM7" s="14">
        <v>-2.41</v>
      </c>
      <c r="EN7" s="14">
        <v>-1.64</v>
      </c>
      <c r="EO7" s="14">
        <v>3.48</v>
      </c>
      <c r="EP7" s="14">
        <v>0.02</v>
      </c>
    </row>
    <row r="8" spans="1:146" ht="144" x14ac:dyDescent="0.25">
      <c r="A8" s="7"/>
      <c r="B8" s="7"/>
      <c r="C8" s="7" t="str">
        <f>"公司主要业务是医疗产品生产销售、医疗服务、健康产业运营等。公司主要产品包括医疗专业工程、医疗设备销售及医院后勤托管服务等。"&amp;CHAR(10)&amp;Basic_Fundamental_Information_Constructure(F8)&amp;CHAR(10)&amp;Basic_Fundamental_Information_Concatenate("医疗产品生产销售收入 4.56亿 72.69% 91.05% 21.39%
医疗服务收入 1.44亿 22.96% -2.98% -2.21%
健康产业运营收入 2724.14万 4.34% 11.92% 46.92%")</f>
        <v>公司主要业务是医疗产品生产销售、医疗服务、健康产业运营等。公司主要产品包括医疗专业工程、医疗设备销售及医院后勤托管服务等。
市值20.444694亿, 利润-1.49亿; PE; 平均PE-131.89; 平均PEG-46.24, PB.779; ROIC1.155%; ROE-2.5867%; 股利率0%; 毛利17.3933%; 净利-11.6967%; 上一年度营收增-6.5%, 利润增51.62%; 当季营收增-10.68%, 利润增97.44%; 过往5年营收增-2.85%, 利润增-136.08%
Income profile:
医疗产品生产销售收入 4.56亿 72.69% 91.05% 21.39%
医疗服务收入 1.44亿 22.96% -2.98% -2.21%
健康产业运营收入 2724.14万 4.34% 11.92% 46.92%</v>
      </c>
      <c r="D8" t="s">
        <v>140</v>
      </c>
      <c r="E8" t="s">
        <v>141</v>
      </c>
      <c r="F8">
        <v>2.42</v>
      </c>
      <c r="G8">
        <v>3.42</v>
      </c>
      <c r="H8" t="s">
        <v>2570</v>
      </c>
      <c r="I8">
        <v>2044469400</v>
      </c>
      <c r="K8">
        <v>0.77900000000000003</v>
      </c>
      <c r="L8" t="s">
        <v>40</v>
      </c>
      <c r="M8" t="s">
        <v>651</v>
      </c>
      <c r="N8" t="s">
        <v>2571</v>
      </c>
      <c r="O8" t="s">
        <v>1510</v>
      </c>
      <c r="P8">
        <v>-10.75</v>
      </c>
      <c r="Q8" t="s">
        <v>1024</v>
      </c>
      <c r="R8">
        <v>13883489</v>
      </c>
      <c r="S8" s="3">
        <v>0.97440000000000004</v>
      </c>
      <c r="T8" t="s">
        <v>1571</v>
      </c>
      <c r="U8">
        <v>610386990</v>
      </c>
      <c r="V8">
        <v>844822050</v>
      </c>
      <c r="W8">
        <v>1.41</v>
      </c>
      <c r="X8">
        <v>7.0000000000000007E-2</v>
      </c>
      <c r="Y8">
        <v>6.65</v>
      </c>
      <c r="Z8" t="s">
        <v>2572</v>
      </c>
      <c r="AA8" t="s">
        <v>1350</v>
      </c>
      <c r="AB8" t="s">
        <v>2573</v>
      </c>
      <c r="AC8" t="s">
        <v>2574</v>
      </c>
      <c r="AD8" t="s">
        <v>47</v>
      </c>
      <c r="AE8">
        <v>-6195874</v>
      </c>
      <c r="AF8" t="s">
        <v>1670</v>
      </c>
      <c r="AG8" t="s">
        <v>2575</v>
      </c>
      <c r="AH8" t="s">
        <v>1671</v>
      </c>
      <c r="AI8" t="s">
        <v>2576</v>
      </c>
      <c r="AJ8" t="s">
        <v>1672</v>
      </c>
      <c r="AK8" t="s">
        <v>2577</v>
      </c>
      <c r="AL8" t="s">
        <v>1673</v>
      </c>
      <c r="AM8" t="s">
        <v>47</v>
      </c>
      <c r="AN8" t="s">
        <v>153</v>
      </c>
      <c r="AO8" t="s">
        <v>47</v>
      </c>
      <c r="AP8" t="s">
        <v>2578</v>
      </c>
      <c r="AQ8" t="s">
        <v>558</v>
      </c>
      <c r="AR8" t="s">
        <v>2579</v>
      </c>
      <c r="AS8" t="s">
        <v>2580</v>
      </c>
      <c r="AT8" t="s">
        <v>2581</v>
      </c>
      <c r="AU8" t="s">
        <v>2582</v>
      </c>
      <c r="AV8" t="s">
        <v>2583</v>
      </c>
      <c r="AW8" t="s">
        <v>2584</v>
      </c>
      <c r="AX8" t="s">
        <v>1090</v>
      </c>
      <c r="AY8" t="s">
        <v>903</v>
      </c>
      <c r="AZ8" t="s">
        <v>142</v>
      </c>
      <c r="BA8" t="s">
        <v>149</v>
      </c>
      <c r="BB8" t="s">
        <v>150</v>
      </c>
      <c r="BC8" t="s">
        <v>1329</v>
      </c>
      <c r="BD8" t="s">
        <v>1330</v>
      </c>
      <c r="BE8" t="s">
        <v>143</v>
      </c>
      <c r="BF8" t="s">
        <v>151</v>
      </c>
      <c r="BG8" t="s">
        <v>152</v>
      </c>
      <c r="BH8" t="s">
        <v>1024</v>
      </c>
      <c r="BI8" t="s">
        <v>1177</v>
      </c>
      <c r="BJ8" t="s">
        <v>1090</v>
      </c>
      <c r="BK8" t="s">
        <v>1571</v>
      </c>
      <c r="BL8" t="s">
        <v>1674</v>
      </c>
      <c r="BM8" t="s">
        <v>1329</v>
      </c>
      <c r="BN8">
        <v>0.42</v>
      </c>
      <c r="BO8" t="s">
        <v>47</v>
      </c>
      <c r="BP8">
        <v>1.89</v>
      </c>
      <c r="BQ8">
        <v>0.49</v>
      </c>
      <c r="BR8">
        <v>-10.210000000000001</v>
      </c>
      <c r="BS8">
        <v>1.96</v>
      </c>
      <c r="BT8" t="s">
        <v>1208</v>
      </c>
      <c r="BU8" t="s">
        <v>1079</v>
      </c>
      <c r="BV8">
        <v>16.57</v>
      </c>
      <c r="BW8">
        <v>17.39</v>
      </c>
      <c r="BX8">
        <v>18.22</v>
      </c>
      <c r="BY8">
        <v>-13.48</v>
      </c>
      <c r="BZ8">
        <v>-25.7</v>
      </c>
      <c r="CA8">
        <v>4.09</v>
      </c>
      <c r="CB8">
        <v>3.86</v>
      </c>
      <c r="CC8">
        <v>-18.79</v>
      </c>
      <c r="CD8" t="s">
        <v>2585</v>
      </c>
      <c r="CE8" t="s">
        <v>2586</v>
      </c>
      <c r="CF8" s="8">
        <v>-0.10679611650485436</v>
      </c>
      <c r="CG8" s="9">
        <v>0.97441429526288093</v>
      </c>
      <c r="CH8" s="8">
        <v>-6.5047070384025574E-2</v>
      </c>
      <c r="CI8" s="8">
        <v>-0.28715083003044128</v>
      </c>
      <c r="CJ8" s="8">
        <v>-0.21041025221347809</v>
      </c>
      <c r="CK8" s="8">
        <v>0.48073151707649231</v>
      </c>
      <c r="CL8" s="8">
        <v>-6.073615700006485E-2</v>
      </c>
      <c r="CM8" s="9">
        <v>0.51623374223709106</v>
      </c>
      <c r="CN8" s="9">
        <v>-7.9176793098449707</v>
      </c>
      <c r="CO8" s="9">
        <v>-0.72516298294067383</v>
      </c>
      <c r="CP8" s="9">
        <v>1.7108933925628662</v>
      </c>
      <c r="CQ8" s="9">
        <v>-0.38841047883033752</v>
      </c>
      <c r="CR8">
        <v>-131.89174973415894</v>
      </c>
      <c r="CS8">
        <v>-46.241205776303104</v>
      </c>
      <c r="CT8">
        <v>0</v>
      </c>
      <c r="CU8" s="8">
        <v>-2.8522558510303497E-2</v>
      </c>
      <c r="CV8" s="9">
        <v>-1.360825127363205</v>
      </c>
      <c r="CW8">
        <v>0.06</v>
      </c>
      <c r="CX8" t="e">
        <v>#VALUE!</v>
      </c>
      <c r="CY8" t="s">
        <v>1038</v>
      </c>
      <c r="CZ8">
        <v>-2.8522558510303497E-2</v>
      </c>
      <c r="DA8" t="e">
        <v>#VALUE!</v>
      </c>
      <c r="DB8" t="s">
        <v>1038</v>
      </c>
      <c r="DC8">
        <v>-2.709643058478832E-2</v>
      </c>
      <c r="DD8" t="e">
        <v>#VALUE!</v>
      </c>
      <c r="DE8" t="s">
        <v>1038</v>
      </c>
      <c r="DF8">
        <v>-2.5099851489067078E-2</v>
      </c>
      <c r="DG8" t="e">
        <v>#VALUE!</v>
      </c>
      <c r="DH8" t="s">
        <v>1038</v>
      </c>
      <c r="DI8">
        <v>-2.2818046808242801E-2</v>
      </c>
      <c r="DJ8" t="e">
        <v>#VALUE!</v>
      </c>
      <c r="DK8" t="s">
        <v>1038</v>
      </c>
      <c r="DL8">
        <v>-1.9965790957212445E-2</v>
      </c>
      <c r="DM8">
        <v>-149000000</v>
      </c>
      <c r="DN8">
        <v>-2.8522558510303497E-2</v>
      </c>
      <c r="DO8">
        <v>462469400</v>
      </c>
      <c r="DP8">
        <v>1026981500</v>
      </c>
      <c r="DQ8">
        <v>1044</v>
      </c>
      <c r="DR8">
        <v>-7.8273557994550866E-2</v>
      </c>
      <c r="DS8">
        <v>2.3352394226260857</v>
      </c>
      <c r="DT8" s="10">
        <v>-0.60666666666666669</v>
      </c>
      <c r="DU8">
        <v>-0.66</v>
      </c>
      <c r="DV8">
        <v>-1.2666666666666666</v>
      </c>
      <c r="DW8">
        <v>6.1704194260485652</v>
      </c>
      <c r="DX8">
        <v>0.47657615658362745</v>
      </c>
      <c r="DY8">
        <v>6.0249794244773867</v>
      </c>
      <c r="DZ8">
        <v>3829</v>
      </c>
      <c r="EA8">
        <v>6.0062619653141942</v>
      </c>
      <c r="EB8">
        <v>6</v>
      </c>
      <c r="EC8">
        <v>4.8753343973443872E-2</v>
      </c>
      <c r="ED8">
        <v>0.33261442454064732</v>
      </c>
      <c r="EE8" s="11">
        <v>-4.0179</v>
      </c>
      <c r="EF8">
        <v>-4.0069100000000004</v>
      </c>
      <c r="EG8">
        <v>33.146576156583627</v>
      </c>
      <c r="EH8" t="s">
        <v>1585</v>
      </c>
      <c r="EI8">
        <v>0</v>
      </c>
      <c r="EJ8">
        <v>0</v>
      </c>
      <c r="EK8" s="13">
        <v>45470</v>
      </c>
      <c r="EL8" s="14">
        <v>0</v>
      </c>
      <c r="EM8" s="14">
        <v>-4.53</v>
      </c>
      <c r="EN8" s="14">
        <v>0.86</v>
      </c>
      <c r="EO8" s="14">
        <v>3.42</v>
      </c>
      <c r="EP8" s="14">
        <v>-2.48</v>
      </c>
    </row>
    <row r="9" spans="1:146" ht="96" x14ac:dyDescent="0.25">
      <c r="A9" s="7"/>
      <c r="B9" s="7"/>
      <c r="C9" s="7" t="str">
        <f>""&amp;CHAR(10)&amp;Basic_Fundamental_Information_Constructure(F9)&amp;CHAR(10)&amp;Basic_Fundamental_Information_Concatenate("")</f>
        <v xml:space="preserve">
市值16.151301亿, 利润6486.35万; PE26.88; 平均PE31.99; 平均PEG3.31, PB1.76; ROIC5.9067%; ROE6.9667%; 股利率1.5741%; 毛利29.56%; 净利14.3133%; 上一年度营收增8.18%, 利润增6.6%; 当季营收增-17.48%, 利润增-23.75%; 过往5年营收增9.66%, 利润增12.74%
Income profile:
</v>
      </c>
      <c r="D9" t="s">
        <v>159</v>
      </c>
      <c r="E9" t="s">
        <v>160</v>
      </c>
      <c r="F9">
        <v>5.4</v>
      </c>
      <c r="G9">
        <v>3.05</v>
      </c>
      <c r="H9" t="s">
        <v>2587</v>
      </c>
      <c r="I9">
        <v>1615130100</v>
      </c>
      <c r="J9">
        <v>26.88</v>
      </c>
      <c r="K9">
        <v>1.76</v>
      </c>
      <c r="L9" t="s">
        <v>40</v>
      </c>
      <c r="M9" t="s">
        <v>67</v>
      </c>
      <c r="N9" t="s">
        <v>951</v>
      </c>
      <c r="O9" t="s">
        <v>503</v>
      </c>
      <c r="P9">
        <v>-17.329999999999998</v>
      </c>
      <c r="Q9" t="s">
        <v>183</v>
      </c>
      <c r="R9">
        <v>15327124</v>
      </c>
      <c r="S9" s="3">
        <v>-0.23749999999999999</v>
      </c>
      <c r="T9" t="s">
        <v>1676</v>
      </c>
      <c r="U9">
        <v>290039300</v>
      </c>
      <c r="V9">
        <v>299098170</v>
      </c>
      <c r="W9">
        <v>1.22</v>
      </c>
      <c r="X9">
        <v>0.11</v>
      </c>
      <c r="Y9">
        <v>13.09</v>
      </c>
      <c r="Z9" t="s">
        <v>86</v>
      </c>
      <c r="AA9" t="s">
        <v>2588</v>
      </c>
      <c r="AB9" t="s">
        <v>2589</v>
      </c>
      <c r="AC9" t="s">
        <v>2590</v>
      </c>
      <c r="AD9" t="s">
        <v>47</v>
      </c>
      <c r="AE9">
        <v>-3256655</v>
      </c>
      <c r="AF9" t="s">
        <v>1677</v>
      </c>
      <c r="AG9">
        <v>4045</v>
      </c>
      <c r="AH9" t="s">
        <v>1678</v>
      </c>
      <c r="AI9" t="s">
        <v>187</v>
      </c>
      <c r="AJ9" t="s">
        <v>1679</v>
      </c>
      <c r="AK9" t="s">
        <v>47</v>
      </c>
      <c r="AL9" t="s">
        <v>1680</v>
      </c>
      <c r="AM9" t="s">
        <v>47</v>
      </c>
      <c r="AN9" t="s">
        <v>2591</v>
      </c>
      <c r="AO9" t="s">
        <v>47</v>
      </c>
      <c r="AP9" t="s">
        <v>2592</v>
      </c>
      <c r="AQ9" t="s">
        <v>2593</v>
      </c>
      <c r="AR9" t="s">
        <v>47</v>
      </c>
      <c r="AS9" t="s">
        <v>217</v>
      </c>
      <c r="AT9" t="s">
        <v>1681</v>
      </c>
      <c r="AU9" t="s">
        <v>2594</v>
      </c>
      <c r="AV9" t="s">
        <v>2595</v>
      </c>
      <c r="AW9" t="s">
        <v>2596</v>
      </c>
      <c r="AX9" t="s">
        <v>1042</v>
      </c>
      <c r="AY9" t="s">
        <v>532</v>
      </c>
      <c r="AZ9" t="s">
        <v>162</v>
      </c>
      <c r="BA9" t="s">
        <v>168</v>
      </c>
      <c r="BB9" t="s">
        <v>169</v>
      </c>
      <c r="BC9" t="s">
        <v>1331</v>
      </c>
      <c r="BD9" t="s">
        <v>904</v>
      </c>
      <c r="BE9" t="s">
        <v>163</v>
      </c>
      <c r="BF9" t="s">
        <v>172</v>
      </c>
      <c r="BG9" t="s">
        <v>173</v>
      </c>
      <c r="BH9" t="s">
        <v>183</v>
      </c>
      <c r="BI9" t="s">
        <v>175</v>
      </c>
      <c r="BJ9" t="s">
        <v>1042</v>
      </c>
      <c r="BK9" t="s">
        <v>1676</v>
      </c>
      <c r="BL9" t="s">
        <v>1683</v>
      </c>
      <c r="BM9" t="s">
        <v>1331</v>
      </c>
      <c r="BN9">
        <v>5.41</v>
      </c>
      <c r="BO9">
        <v>6.38</v>
      </c>
      <c r="BP9">
        <v>5.93</v>
      </c>
      <c r="BQ9">
        <v>6.31</v>
      </c>
      <c r="BR9">
        <v>7.34</v>
      </c>
      <c r="BS9">
        <v>7.25</v>
      </c>
      <c r="BT9" t="s">
        <v>1684</v>
      </c>
      <c r="BU9" t="s">
        <v>1079</v>
      </c>
      <c r="BV9">
        <v>29.36</v>
      </c>
      <c r="BW9">
        <v>27.32</v>
      </c>
      <c r="BX9">
        <v>32</v>
      </c>
      <c r="BY9">
        <v>14.07</v>
      </c>
      <c r="BZ9">
        <v>14.24</v>
      </c>
      <c r="CA9">
        <v>14.63</v>
      </c>
      <c r="CB9">
        <v>1.1200000000000001</v>
      </c>
      <c r="CC9">
        <v>-14.08</v>
      </c>
      <c r="CD9" t="s">
        <v>2597</v>
      </c>
      <c r="CE9" t="s">
        <v>246</v>
      </c>
      <c r="CF9" s="8">
        <v>-0.17482517482517482</v>
      </c>
      <c r="CG9" s="9">
        <v>-0.23745272364539127</v>
      </c>
      <c r="CH9" s="8">
        <v>8.177570253610611E-2</v>
      </c>
      <c r="CI9" s="8">
        <v>0.12631578743457794</v>
      </c>
      <c r="CJ9" s="8">
        <v>0.19122256338596344</v>
      </c>
      <c r="CK9" s="8">
        <v>-2.1472392603754997E-2</v>
      </c>
      <c r="CL9" s="8">
        <v>0.10508474707603455</v>
      </c>
      <c r="CM9" s="9">
        <v>6.5950267016887665E-2</v>
      </c>
      <c r="CN9" s="9">
        <v>6.9656409323215485E-2</v>
      </c>
      <c r="CO9" s="9">
        <v>0.25703060626983643</v>
      </c>
      <c r="CP9" s="9">
        <v>0.15652671456336975</v>
      </c>
      <c r="CQ9" s="9">
        <v>8.7985388934612274E-2</v>
      </c>
      <c r="CR9">
        <v>31.987598789652431</v>
      </c>
      <c r="CS9">
        <v>3.3118502396108136</v>
      </c>
      <c r="CT9">
        <v>1.574074074074074</v>
      </c>
      <c r="CU9" s="8">
        <v>9.6585281565785414E-2</v>
      </c>
      <c r="CV9" s="9">
        <v>0.12742987722158433</v>
      </c>
      <c r="CW9">
        <v>0.06</v>
      </c>
      <c r="CX9">
        <v>13.414310605546705</v>
      </c>
      <c r="CY9">
        <v>67102225.859285213</v>
      </c>
      <c r="CZ9">
        <v>9.6585281565785414E-2</v>
      </c>
      <c r="DA9">
        <v>4.3593130926013561</v>
      </c>
      <c r="DB9">
        <v>206484388.91157061</v>
      </c>
      <c r="DC9">
        <v>9.1756017487496136E-2</v>
      </c>
      <c r="DD9">
        <v>2.1300169801147351</v>
      </c>
      <c r="DE9">
        <v>422592922.21769696</v>
      </c>
      <c r="DF9">
        <v>8.4995047777891158E-2</v>
      </c>
      <c r="DG9">
        <v>1.2683475845423138</v>
      </c>
      <c r="DH9">
        <v>709687242.65345144</v>
      </c>
      <c r="DI9">
        <v>7.7268225252628331E-2</v>
      </c>
      <c r="DJ9">
        <v>0.64311072281278081</v>
      </c>
      <c r="DK9">
        <v>1399650274.9372466</v>
      </c>
      <c r="DL9">
        <v>6.7609697096049789E-2</v>
      </c>
      <c r="DM9">
        <v>64863500</v>
      </c>
      <c r="DN9">
        <v>9.6585281565785414E-2</v>
      </c>
      <c r="DO9">
        <v>900130100</v>
      </c>
      <c r="DP9">
        <v>365127230</v>
      </c>
      <c r="DQ9">
        <v>1288</v>
      </c>
      <c r="DR9">
        <v>-0.27141045639096023</v>
      </c>
      <c r="DS9">
        <v>-0.3648826008669756</v>
      </c>
      <c r="DT9" s="10">
        <v>-0.3066666666666667</v>
      </c>
      <c r="DU9">
        <v>2.9999999999999988E-2</v>
      </c>
      <c r="DV9">
        <v>-0.27666666666666673</v>
      </c>
      <c r="DW9">
        <v>-2.1408</v>
      </c>
      <c r="DX9">
        <v>0.4364912621359211</v>
      </c>
      <c r="DY9">
        <v>-2.0206259697087376</v>
      </c>
      <c r="DZ9">
        <v>2381</v>
      </c>
      <c r="EA9">
        <v>-2.0110153172867213</v>
      </c>
      <c r="EB9">
        <v>2</v>
      </c>
      <c r="EC9">
        <v>5.0446982005941388E-2</v>
      </c>
      <c r="ED9">
        <v>0.34436853960022556</v>
      </c>
      <c r="EE9" s="11">
        <v>-1.0570999999999999</v>
      </c>
      <c r="EF9">
        <v>-1.0331999999999999</v>
      </c>
      <c r="EG9">
        <v>29.146491262135921</v>
      </c>
      <c r="EH9" t="s">
        <v>1040</v>
      </c>
      <c r="EI9">
        <v>0</v>
      </c>
      <c r="EJ9">
        <v>0</v>
      </c>
      <c r="EK9" s="13">
        <v>45470</v>
      </c>
      <c r="EL9" s="14">
        <v>0.55000000000000004</v>
      </c>
      <c r="EM9" s="14">
        <v>-4.59</v>
      </c>
      <c r="EN9" s="14">
        <v>1.92</v>
      </c>
      <c r="EO9" s="14">
        <v>3.96</v>
      </c>
      <c r="EP9" s="14">
        <v>-2.39</v>
      </c>
    </row>
    <row r="10" spans="1:146" ht="204" x14ac:dyDescent="0.25">
      <c r="A10" s="7" t="s">
        <v>1165</v>
      </c>
      <c r="B10" s="7"/>
      <c r="C10" s="7" t="str">
        <f>"公司的主营业务为医用高值耗材的生产、研发与销售。主要产品为创伤类植入耗材、脊柱类植入耗材、神经外科类植入耗材、关节类植入耗材、运动医学类植入耗材、口腔种植类植入耗材、微创外科类产品。"&amp;CHAR(10)&amp;Basic_Fundamental_Information_Constructure(F10)&amp;CHAR(10)&amp;Basic_Fundamental_Information_Concatenate("创伤类产品 4.05亿 48.91% 51.04% 84.51%
脊柱类产品 2.27亿 27.38% 28.95% 85.62%
微创外科类产品 9529.35万 11.51% 10.81% 76.08%
其他产品 4325.15万 5.22% 4.29% 66.55%
关节类产品 2849.68万 3.44% 1.77% 41.64%
神经外科类产品 1954.51万 2.36% 2.50% 85.93%
手术器械 978.86万 1.18% 0.63% 43.31%")</f>
        <v>公司的主营业务为医用高值耗材的生产、研发与销售。主要产品为创伤类植入耗材、脊柱类植入耗材、神经外科类植入耗材、关节类植入耗材、运动医学类植入耗材、口腔种植类植入耗材、微创外科类产品。
市值105.657778亿, 利润5897.25万; PE169.1; 平均PE27.97; 平均PEG1.5, PB3.39; ROIC11.68%; ROE12.0167%; 股利率.9796%; 毛利76.3367%; 净利15.9733%; 上一年度营收增6.9%, 利润增-36.28%; 当季营收增9.21%, 利润增6.05%; 过往5年营收增18.71%, 利润增-11.16%
Income profile:
创伤类产品 4.05亿 48.91% 51.04% 84.51%
脊柱类产品 2.27亿 27.38% 28.95% 85.62%
微创外科类产品 9529.35万 11.51% 10.81% 76.08%
其他产品 4325.15万 5.22% 4.29% 66.55%
关节类产品 2849.68万 3.44% 1.77% 41.64%
神经外科类产品 1954.51万 2.36% 2.50% 85.93%
手术器械 978.86万 1.18% 0.63% 43.31%</v>
      </c>
      <c r="D10" t="s">
        <v>176</v>
      </c>
      <c r="E10" t="s">
        <v>177</v>
      </c>
      <c r="F10">
        <v>25.52</v>
      </c>
      <c r="G10">
        <v>3.07</v>
      </c>
      <c r="H10" t="s">
        <v>2598</v>
      </c>
      <c r="I10">
        <v>10565777800</v>
      </c>
      <c r="J10">
        <v>169.1</v>
      </c>
      <c r="K10">
        <v>3.39</v>
      </c>
      <c r="L10" t="s">
        <v>40</v>
      </c>
      <c r="M10" t="s">
        <v>83</v>
      </c>
      <c r="N10" t="s">
        <v>2599</v>
      </c>
      <c r="O10" t="s">
        <v>550</v>
      </c>
      <c r="P10">
        <v>9.17</v>
      </c>
      <c r="Q10" t="s">
        <v>1543</v>
      </c>
      <c r="R10">
        <v>61728901</v>
      </c>
      <c r="S10" s="3">
        <v>6.0499999999999998E-2</v>
      </c>
      <c r="T10" t="s">
        <v>1685</v>
      </c>
      <c r="U10">
        <v>350634000</v>
      </c>
      <c r="V10">
        <v>414019510</v>
      </c>
      <c r="W10">
        <v>1.43</v>
      </c>
      <c r="X10">
        <v>0.09</v>
      </c>
      <c r="Y10">
        <v>15.73</v>
      </c>
      <c r="Z10" t="s">
        <v>1984</v>
      </c>
      <c r="AA10" t="s">
        <v>280</v>
      </c>
      <c r="AB10" t="s">
        <v>201</v>
      </c>
      <c r="AC10" t="s">
        <v>2600</v>
      </c>
      <c r="AD10" t="s">
        <v>47</v>
      </c>
      <c r="AE10">
        <v>-769431</v>
      </c>
      <c r="AF10" t="s">
        <v>1686</v>
      </c>
      <c r="AG10" t="s">
        <v>2601</v>
      </c>
      <c r="AH10" t="s">
        <v>1687</v>
      </c>
      <c r="AI10" t="s">
        <v>2602</v>
      </c>
      <c r="AJ10" t="s">
        <v>1688</v>
      </c>
      <c r="AK10" t="s">
        <v>2603</v>
      </c>
      <c r="AL10" t="s">
        <v>1689</v>
      </c>
      <c r="AM10" t="s">
        <v>47</v>
      </c>
      <c r="AN10" t="s">
        <v>533</v>
      </c>
      <c r="AO10" t="s">
        <v>59</v>
      </c>
      <c r="AP10" t="s">
        <v>47</v>
      </c>
      <c r="AQ10" t="s">
        <v>1041</v>
      </c>
      <c r="AR10" t="s">
        <v>47</v>
      </c>
      <c r="AS10" t="s">
        <v>2604</v>
      </c>
      <c r="AT10" t="s">
        <v>139</v>
      </c>
      <c r="AU10" t="s">
        <v>2605</v>
      </c>
      <c r="AV10" t="s">
        <v>1388</v>
      </c>
      <c r="AW10" t="s">
        <v>2606</v>
      </c>
      <c r="AX10" t="s">
        <v>1333</v>
      </c>
      <c r="AY10" t="s">
        <v>905</v>
      </c>
      <c r="AZ10" t="s">
        <v>178</v>
      </c>
      <c r="BA10" t="s">
        <v>181</v>
      </c>
      <c r="BB10" t="s">
        <v>182</v>
      </c>
      <c r="BC10" t="s">
        <v>1690</v>
      </c>
      <c r="BD10" t="s">
        <v>189</v>
      </c>
      <c r="BE10" t="s">
        <v>179</v>
      </c>
      <c r="BF10" t="s">
        <v>184</v>
      </c>
      <c r="BG10" t="s">
        <v>185</v>
      </c>
      <c r="BH10" t="s">
        <v>1543</v>
      </c>
      <c r="BI10" t="s">
        <v>1691</v>
      </c>
      <c r="BJ10" t="s">
        <v>1333</v>
      </c>
      <c r="BK10" t="s">
        <v>1685</v>
      </c>
      <c r="BL10" t="s">
        <v>1692</v>
      </c>
      <c r="BM10" t="s">
        <v>1690</v>
      </c>
      <c r="BN10">
        <v>2.96</v>
      </c>
      <c r="BO10">
        <v>3.33</v>
      </c>
      <c r="BP10">
        <v>28.75</v>
      </c>
      <c r="BQ10">
        <v>3.21</v>
      </c>
      <c r="BR10">
        <v>3.2</v>
      </c>
      <c r="BS10">
        <v>29.64</v>
      </c>
      <c r="BT10" t="s">
        <v>1414</v>
      </c>
      <c r="BU10" t="s">
        <v>1079</v>
      </c>
      <c r="BV10">
        <v>67.89</v>
      </c>
      <c r="BW10">
        <v>76.72</v>
      </c>
      <c r="BX10">
        <v>84.4</v>
      </c>
      <c r="BY10">
        <v>5.63</v>
      </c>
      <c r="BZ10">
        <v>7.62</v>
      </c>
      <c r="CA10">
        <v>34.67</v>
      </c>
      <c r="CB10">
        <v>-1.2</v>
      </c>
      <c r="CC10">
        <v>-12.39</v>
      </c>
      <c r="CD10" t="s">
        <v>2607</v>
      </c>
      <c r="CE10" t="s">
        <v>2608</v>
      </c>
      <c r="CF10" s="8">
        <v>9.2071611253196781E-2</v>
      </c>
      <c r="CG10" s="9">
        <v>6.0464582120039238E-2</v>
      </c>
      <c r="CH10" s="8">
        <v>6.9037608802318573E-2</v>
      </c>
      <c r="CI10" s="8">
        <v>-0.28084251284599304</v>
      </c>
      <c r="CJ10" s="8">
        <v>0.25645866990089417</v>
      </c>
      <c r="CK10" s="8">
        <v>0.26252993941307068</v>
      </c>
      <c r="CL10" s="8">
        <v>0.6282382607460022</v>
      </c>
      <c r="CM10" s="9">
        <v>-0.36284035444259644</v>
      </c>
      <c r="CN10" s="9">
        <v>-0.86247348785400391</v>
      </c>
      <c r="CO10" s="9">
        <v>0.1105610579252243</v>
      </c>
      <c r="CP10" s="9">
        <v>0.3032258152961731</v>
      </c>
      <c r="CQ10" s="9">
        <v>0.25336927175521851</v>
      </c>
      <c r="CR10">
        <v>27.969948923635528</v>
      </c>
      <c r="CS10">
        <v>1.4950444793782172</v>
      </c>
      <c r="CT10">
        <v>0.97962382445141072</v>
      </c>
      <c r="CU10" s="8">
        <v>0.18708439320325851</v>
      </c>
      <c r="CV10" s="9">
        <v>-0.11163153946399688</v>
      </c>
      <c r="CW10">
        <v>0.06</v>
      </c>
      <c r="CX10">
        <v>133.50103318573827</v>
      </c>
      <c r="CY10">
        <v>66042768.281301089</v>
      </c>
      <c r="CZ10">
        <v>0.18708439320325851</v>
      </c>
      <c r="DA10">
        <v>40.221191575545141</v>
      </c>
      <c r="DB10">
        <v>219207274.9371424</v>
      </c>
      <c r="DC10">
        <v>0.17773017354309559</v>
      </c>
      <c r="DD10">
        <v>17.693701957733328</v>
      </c>
      <c r="DE10">
        <v>498300345.5727635</v>
      </c>
      <c r="DF10">
        <v>0.16463426601886749</v>
      </c>
      <c r="DG10">
        <v>9.3099431292353216</v>
      </c>
      <c r="DH10">
        <v>947028105.07116091</v>
      </c>
      <c r="DI10">
        <v>0.14966751456260682</v>
      </c>
      <c r="DJ10">
        <v>3.5338570189028635</v>
      </c>
      <c r="DK10">
        <v>2494944688.7178516</v>
      </c>
      <c r="DL10">
        <v>0.13095907524228095</v>
      </c>
      <c r="DM10">
        <v>58972500</v>
      </c>
      <c r="DN10">
        <v>0.18708439320325851</v>
      </c>
      <c r="DO10">
        <v>8816777800</v>
      </c>
      <c r="DP10">
        <v>2016003700</v>
      </c>
      <c r="DQ10">
        <v>1367</v>
      </c>
      <c r="DR10">
        <v>-9.5012781950061728E-2</v>
      </c>
      <c r="DS10">
        <v>0.17209612158403612</v>
      </c>
      <c r="DT10" s="10">
        <v>-0.13999999999999999</v>
      </c>
      <c r="DU10">
        <v>0.18999999999999997</v>
      </c>
      <c r="DV10">
        <v>4.9999999999999989E-2</v>
      </c>
      <c r="DW10">
        <v>-2.1238999999999999</v>
      </c>
      <c r="DX10">
        <v>0.37307729605236428</v>
      </c>
      <c r="DY10">
        <v>-2.0202052769808883</v>
      </c>
      <c r="DZ10">
        <v>1591</v>
      </c>
      <c r="EA10">
        <v>-2.0139143580617898</v>
      </c>
      <c r="EB10">
        <v>2</v>
      </c>
      <c r="EC10">
        <v>1.267283273679542E-2</v>
      </c>
      <c r="ED10">
        <v>7.7710589049293829E-2</v>
      </c>
      <c r="EE10" s="11">
        <v>2.1009999999999997E-2</v>
      </c>
      <c r="EF10">
        <v>4.8610000000000007E-2</v>
      </c>
      <c r="EG10">
        <v>21.163077296052364</v>
      </c>
      <c r="EH10">
        <v>-1</v>
      </c>
      <c r="EI10">
        <v>0</v>
      </c>
      <c r="EJ10">
        <v>0</v>
      </c>
      <c r="EK10" s="13">
        <v>45470</v>
      </c>
      <c r="EL10" s="14">
        <v>-0.19</v>
      </c>
      <c r="EM10" s="14">
        <v>-2.87</v>
      </c>
      <c r="EN10" s="14">
        <v>-0.47</v>
      </c>
      <c r="EO10" s="14">
        <v>3.44</v>
      </c>
      <c r="EP10" s="14">
        <v>-2.76</v>
      </c>
    </row>
    <row r="11" spans="1:146" ht="144" x14ac:dyDescent="0.25">
      <c r="A11" s="7" t="s">
        <v>1164</v>
      </c>
      <c r="B11" s="7" t="s">
        <v>870</v>
      </c>
      <c r="C11" s="7" t="str">
        <f>"公司主要从事体外诊断试剂和诊断仪器的研发、生产、销售和服务。公司的主要产品及服务为快速诊断试剂、快速检测仪器、检验服务、代理产品、软件产品、技术服务"&amp;CHAR(10)&amp;Basic_Fundamental_Information_Constructure(F11)&amp;CHAR(10)&amp;Basic_Fundamental_Information_Concatenate("体外诊断试剂 24.71亿 87.33% 93.25% 79.16%
代理业务 1.35亿 4.77% 1.41% 21.96%
第三方医学检验 1.15亿 4.06% 3.58% 65.22%")</f>
        <v>公司主要从事体外诊断试剂和诊断仪器的研发、生产、销售和服务。公司的主要产品及服务为快速诊断试剂、快速检测仪器、检验服务、代理产品、软件产品、技术服务
市值39.110025亿, 利润7492.59万; PE124.1; 平均PE3.74; 平均PEG.02, PB.647; ROIC53.39%; ROE55.56%; 股利率.7134%; 毛利65.3833%; 净利33.9833%; 上一年度营收增-92.88%, 利润增-98.22%; 当季营收增-83.61%, 利润增-57.52%; 过往5年营收增161.4%, 利润增259.58%
Income profile:
体外诊断试剂 24.71亿 87.33% 93.25% 79.16%
代理业务 1.35亿 4.77% 1.41% 21.96%
第三方医学检验 1.15亿 4.06% 3.58% 65.22%</v>
      </c>
      <c r="D11" t="s">
        <v>192</v>
      </c>
      <c r="E11" t="s">
        <v>193</v>
      </c>
      <c r="F11">
        <v>16.82</v>
      </c>
      <c r="G11">
        <v>2.69</v>
      </c>
      <c r="H11" t="s">
        <v>2609</v>
      </c>
      <c r="I11">
        <v>3911002500</v>
      </c>
      <c r="J11">
        <v>124.1</v>
      </c>
      <c r="K11">
        <v>0.64700000000000002</v>
      </c>
      <c r="L11" t="s">
        <v>40</v>
      </c>
      <c r="M11" t="s">
        <v>1658</v>
      </c>
      <c r="N11" t="s">
        <v>2610</v>
      </c>
      <c r="O11" t="s">
        <v>1693</v>
      </c>
      <c r="P11">
        <v>-83.63</v>
      </c>
      <c r="Q11" t="s">
        <v>1495</v>
      </c>
      <c r="R11">
        <v>32052081</v>
      </c>
      <c r="S11" s="3">
        <v>-0.57520000000000004</v>
      </c>
      <c r="T11" t="s">
        <v>1694</v>
      </c>
      <c r="U11">
        <v>156085160</v>
      </c>
      <c r="V11">
        <v>232520960</v>
      </c>
      <c r="W11">
        <v>1.1499999999999999</v>
      </c>
      <c r="X11">
        <v>0.01</v>
      </c>
      <c r="Y11">
        <v>46.11</v>
      </c>
      <c r="Z11" t="s">
        <v>174</v>
      </c>
      <c r="AA11" t="s">
        <v>2611</v>
      </c>
      <c r="AB11" t="s">
        <v>2612</v>
      </c>
      <c r="AC11" t="s">
        <v>2613</v>
      </c>
      <c r="AD11" t="s">
        <v>47</v>
      </c>
      <c r="AE11">
        <v>-2627163</v>
      </c>
      <c r="AF11" t="s">
        <v>1695</v>
      </c>
      <c r="AG11" t="s">
        <v>2614</v>
      </c>
      <c r="AH11" t="s">
        <v>1696</v>
      </c>
      <c r="AI11" t="s">
        <v>2615</v>
      </c>
      <c r="AJ11" t="s">
        <v>1697</v>
      </c>
      <c r="AK11" t="s">
        <v>2616</v>
      </c>
      <c r="AL11" t="s">
        <v>1699</v>
      </c>
      <c r="AM11" t="s">
        <v>47</v>
      </c>
      <c r="AN11" t="s">
        <v>317</v>
      </c>
      <c r="AO11" t="s">
        <v>2223</v>
      </c>
      <c r="AP11" t="s">
        <v>47</v>
      </c>
      <c r="AQ11" t="s">
        <v>2617</v>
      </c>
      <c r="AR11" t="s">
        <v>47</v>
      </c>
      <c r="AS11" t="s">
        <v>1503</v>
      </c>
      <c r="AT11" t="s">
        <v>47</v>
      </c>
      <c r="AU11" t="s">
        <v>2618</v>
      </c>
      <c r="AV11" t="s">
        <v>2619</v>
      </c>
      <c r="AW11" t="s">
        <v>2620</v>
      </c>
      <c r="AX11" t="s">
        <v>1334</v>
      </c>
      <c r="AY11" t="s">
        <v>906</v>
      </c>
      <c r="AZ11" t="s">
        <v>195</v>
      </c>
      <c r="BA11" t="s">
        <v>120</v>
      </c>
      <c r="BB11" t="s">
        <v>199</v>
      </c>
      <c r="BC11" t="s">
        <v>1335</v>
      </c>
      <c r="BD11" t="s">
        <v>772</v>
      </c>
      <c r="BE11" t="s">
        <v>196</v>
      </c>
      <c r="BF11" t="s">
        <v>202</v>
      </c>
      <c r="BG11" t="s">
        <v>203</v>
      </c>
      <c r="BH11" t="s">
        <v>1495</v>
      </c>
      <c r="BI11" t="s">
        <v>801</v>
      </c>
      <c r="BJ11" t="s">
        <v>1334</v>
      </c>
      <c r="BK11" t="s">
        <v>1694</v>
      </c>
      <c r="BL11" t="s">
        <v>1700</v>
      </c>
      <c r="BM11" t="s">
        <v>1335</v>
      </c>
      <c r="BN11">
        <v>1.88</v>
      </c>
      <c r="BO11">
        <v>88.8</v>
      </c>
      <c r="BP11">
        <v>69.489999999999995</v>
      </c>
      <c r="BQ11">
        <v>2.2799999999999998</v>
      </c>
      <c r="BR11">
        <v>87.36</v>
      </c>
      <c r="BS11">
        <v>77.040000000000006</v>
      </c>
      <c r="BT11" t="s">
        <v>1214</v>
      </c>
      <c r="BU11" t="s">
        <v>1075</v>
      </c>
      <c r="BV11">
        <v>54.28</v>
      </c>
      <c r="BW11">
        <v>66.849999999999994</v>
      </c>
      <c r="BX11">
        <v>75.02</v>
      </c>
      <c r="BY11">
        <v>9.23</v>
      </c>
      <c r="BZ11">
        <v>41.6</v>
      </c>
      <c r="CA11">
        <v>51.12</v>
      </c>
      <c r="CB11">
        <v>0.06</v>
      </c>
      <c r="CC11">
        <v>-11.52</v>
      </c>
      <c r="CD11" t="s">
        <v>2621</v>
      </c>
      <c r="CE11" t="s">
        <v>2622</v>
      </c>
      <c r="CF11" s="8">
        <v>-0.83611989247311824</v>
      </c>
      <c r="CG11" s="9">
        <v>-0.57519173447032301</v>
      </c>
      <c r="CH11" s="8">
        <v>-0.92877489328384399</v>
      </c>
      <c r="CI11" s="8">
        <v>2.7208478450775146</v>
      </c>
      <c r="CJ11" s="8">
        <v>1.9509906768798828</v>
      </c>
      <c r="CK11" s="8">
        <v>4.2983427047729492</v>
      </c>
      <c r="CL11" s="8">
        <v>2.8409091755747795E-2</v>
      </c>
      <c r="CM11" s="9">
        <v>-0.98219442367553711</v>
      </c>
      <c r="CN11" s="9">
        <v>1.9780609607696533</v>
      </c>
      <c r="CO11" s="9">
        <v>2.0127930641174316</v>
      </c>
      <c r="CP11" s="9">
        <v>10.294183731079102</v>
      </c>
      <c r="CQ11" s="9">
        <v>-0.32390317320823669</v>
      </c>
      <c r="CR11">
        <v>3.7438570056221319</v>
      </c>
      <c r="CS11">
        <v>2.3196670607421612E-2</v>
      </c>
      <c r="CT11">
        <v>0.71343638525564801</v>
      </c>
      <c r="CU11" s="8">
        <v>1.6139630850404501</v>
      </c>
      <c r="CV11" s="9">
        <v>2.5957880318164825</v>
      </c>
      <c r="CW11">
        <v>0.06</v>
      </c>
      <c r="CX11" t="s">
        <v>1584</v>
      </c>
      <c r="CY11">
        <v>184767487.46550214</v>
      </c>
      <c r="CZ11">
        <v>1.6139630850404501</v>
      </c>
      <c r="DA11" t="s">
        <v>1584</v>
      </c>
      <c r="DB11">
        <v>1629720672.3838196</v>
      </c>
      <c r="DC11">
        <v>1.5332649307884274</v>
      </c>
      <c r="DD11" t="s">
        <v>1584</v>
      </c>
      <c r="DE11">
        <v>18756811417.939144</v>
      </c>
      <c r="DF11">
        <v>1.420287514835596</v>
      </c>
      <c r="DG11" t="s">
        <v>1584</v>
      </c>
      <c r="DH11">
        <v>310235439981.71057</v>
      </c>
      <c r="DI11">
        <v>1.2911704680323601</v>
      </c>
      <c r="DJ11" t="s">
        <v>1584</v>
      </c>
      <c r="DK11">
        <v>171485263261325.87</v>
      </c>
      <c r="DL11">
        <v>1.1297741595283151</v>
      </c>
      <c r="DM11">
        <v>74925900</v>
      </c>
      <c r="DN11">
        <v>1.6139630850404501</v>
      </c>
      <c r="DO11">
        <v>-1302997500</v>
      </c>
      <c r="DP11">
        <v>1673590500</v>
      </c>
      <c r="DQ11">
        <v>1395</v>
      </c>
      <c r="DR11">
        <v>-2.4500829775135684</v>
      </c>
      <c r="DS11">
        <v>-3.1709797662868056</v>
      </c>
      <c r="DT11" s="10">
        <v>0.31633333333333319</v>
      </c>
      <c r="DU11">
        <v>0.43633333333333318</v>
      </c>
      <c r="DV11">
        <v>0.75266666666666637</v>
      </c>
      <c r="DW11">
        <v>-2.1152000000000002</v>
      </c>
      <c r="DX11">
        <v>0.5399115215511221</v>
      </c>
      <c r="DY11">
        <v>-2.0149658072826897</v>
      </c>
      <c r="DZ11">
        <v>403</v>
      </c>
      <c r="EA11">
        <v>-2.0137855293306499</v>
      </c>
      <c r="EB11">
        <v>2</v>
      </c>
      <c r="EC11">
        <v>2.7714920839824502E-2</v>
      </c>
      <c r="ED11">
        <v>0.21333689659633265</v>
      </c>
      <c r="EE11" s="11">
        <v>-5.0232999999999999</v>
      </c>
      <c r="EF11">
        <v>-5.0093100000000002</v>
      </c>
      <c r="EG11">
        <v>41.129911521551122</v>
      </c>
      <c r="EH11" t="s">
        <v>1599</v>
      </c>
      <c r="EI11">
        <v>0</v>
      </c>
      <c r="EJ11">
        <v>1</v>
      </c>
      <c r="EK11" s="13">
        <v>45470</v>
      </c>
      <c r="EL11" s="14">
        <v>0.34</v>
      </c>
      <c r="EM11" s="14">
        <v>-4.25</v>
      </c>
      <c r="EN11" s="14">
        <v>-1.17</v>
      </c>
      <c r="EO11" s="14">
        <v>3.43</v>
      </c>
      <c r="EP11" s="14">
        <v>-3.26</v>
      </c>
    </row>
    <row r="12" spans="1:146" ht="96" x14ac:dyDescent="0.25">
      <c r="A12" s="7"/>
      <c r="B12" s="7"/>
      <c r="C12" s="7" t="str">
        <f>""&amp;CHAR(10)&amp;Basic_Fundamental_Information_Constructure(F12)&amp;CHAR(10)&amp;Basic_Fundamental_Information_Concatenate("")</f>
        <v xml:space="preserve">
市值41.858843亿, 利润1.10亿; PE54.79; 平均PE9.44; 平均PEG.73, PB1.28; ROIC8.4533%; ROE11.4967%; 股利率.4092%; 毛利30.5533%; 净利9.3867%; 上一年度营收增-34.53%, 利润增-72.97%; 当季营收增-8.47%, 利润增-26.66%; 过往5年营收增12.94%, 利润增31.38%
Income profile:
</v>
      </c>
      <c r="D12" t="s">
        <v>205</v>
      </c>
      <c r="E12" t="s">
        <v>206</v>
      </c>
      <c r="F12">
        <v>6.61</v>
      </c>
      <c r="G12">
        <v>2.8</v>
      </c>
      <c r="H12" t="s">
        <v>2623</v>
      </c>
      <c r="I12">
        <v>4185884300</v>
      </c>
      <c r="J12">
        <v>54.79</v>
      </c>
      <c r="K12">
        <v>1.28</v>
      </c>
      <c r="L12" t="s">
        <v>40</v>
      </c>
      <c r="M12" t="s">
        <v>1026</v>
      </c>
      <c r="N12" t="s">
        <v>2624</v>
      </c>
      <c r="O12" t="s">
        <v>642</v>
      </c>
      <c r="P12">
        <v>-8.3800000000000008</v>
      </c>
      <c r="Q12" t="s">
        <v>1701</v>
      </c>
      <c r="R12">
        <v>93879128</v>
      </c>
      <c r="S12" s="3">
        <v>-0.26590000000000003</v>
      </c>
      <c r="T12" t="s">
        <v>271</v>
      </c>
      <c r="U12">
        <v>451995210</v>
      </c>
      <c r="V12">
        <v>633265410</v>
      </c>
      <c r="W12">
        <v>1.56</v>
      </c>
      <c r="X12">
        <v>0.15</v>
      </c>
      <c r="Y12">
        <v>12.61</v>
      </c>
      <c r="Z12" t="s">
        <v>2625</v>
      </c>
      <c r="AA12" t="s">
        <v>1882</v>
      </c>
      <c r="AB12" t="s">
        <v>2626</v>
      </c>
      <c r="AC12" t="s">
        <v>2627</v>
      </c>
      <c r="AD12" t="s">
        <v>47</v>
      </c>
      <c r="AE12">
        <v>5670618</v>
      </c>
      <c r="AF12" t="s">
        <v>1702</v>
      </c>
      <c r="AG12" t="s">
        <v>2628</v>
      </c>
      <c r="AH12" t="s">
        <v>1703</v>
      </c>
      <c r="AI12" t="s">
        <v>1049</v>
      </c>
      <c r="AJ12" t="s">
        <v>1704</v>
      </c>
      <c r="AK12" t="s">
        <v>2629</v>
      </c>
      <c r="AL12" t="s">
        <v>1705</v>
      </c>
      <c r="AM12" t="s">
        <v>47</v>
      </c>
      <c r="AN12" t="s">
        <v>2630</v>
      </c>
      <c r="AO12" t="s">
        <v>2631</v>
      </c>
      <c r="AP12" t="s">
        <v>1706</v>
      </c>
      <c r="AQ12" t="s">
        <v>424</v>
      </c>
      <c r="AR12" t="s">
        <v>47</v>
      </c>
      <c r="AS12" t="s">
        <v>2632</v>
      </c>
      <c r="AT12" t="s">
        <v>111</v>
      </c>
      <c r="AU12" t="s">
        <v>627</v>
      </c>
      <c r="AV12" t="s">
        <v>2633</v>
      </c>
      <c r="AW12" t="s">
        <v>2634</v>
      </c>
      <c r="AX12" t="s">
        <v>1337</v>
      </c>
      <c r="AY12" t="s">
        <v>907</v>
      </c>
      <c r="AZ12" t="s">
        <v>207</v>
      </c>
      <c r="BA12" t="s">
        <v>213</v>
      </c>
      <c r="BB12" t="s">
        <v>214</v>
      </c>
      <c r="BC12" t="s">
        <v>1052</v>
      </c>
      <c r="BD12" t="s">
        <v>385</v>
      </c>
      <c r="BE12" t="s">
        <v>208</v>
      </c>
      <c r="BF12" t="s">
        <v>168</v>
      </c>
      <c r="BG12" t="s">
        <v>113</v>
      </c>
      <c r="BH12" t="s">
        <v>1701</v>
      </c>
      <c r="BI12" t="s">
        <v>1188</v>
      </c>
      <c r="BJ12" t="s">
        <v>1337</v>
      </c>
      <c r="BK12" t="s">
        <v>271</v>
      </c>
      <c r="BL12" t="s">
        <v>1198</v>
      </c>
      <c r="BM12" t="s">
        <v>1052</v>
      </c>
      <c r="BN12">
        <v>3.94</v>
      </c>
      <c r="BO12">
        <v>10.55</v>
      </c>
      <c r="BP12">
        <v>10.87</v>
      </c>
      <c r="BQ12">
        <v>4.75</v>
      </c>
      <c r="BR12">
        <v>14.09</v>
      </c>
      <c r="BS12">
        <v>15.65</v>
      </c>
      <c r="BT12" t="s">
        <v>2635</v>
      </c>
      <c r="BU12" t="s">
        <v>1079</v>
      </c>
      <c r="BV12">
        <v>27.88</v>
      </c>
      <c r="BW12">
        <v>33.65</v>
      </c>
      <c r="BX12">
        <v>30.13</v>
      </c>
      <c r="BY12">
        <v>3.78</v>
      </c>
      <c r="BZ12">
        <v>9.61</v>
      </c>
      <c r="CA12">
        <v>14.77</v>
      </c>
      <c r="CB12">
        <v>0.15</v>
      </c>
      <c r="CC12">
        <v>-19.22</v>
      </c>
      <c r="CD12" t="s">
        <v>2636</v>
      </c>
      <c r="CE12" t="s">
        <v>369</v>
      </c>
      <c r="CF12" s="8">
        <v>-8.4662576687116561E-2</v>
      </c>
      <c r="CG12" s="9">
        <v>-0.26656931249999999</v>
      </c>
      <c r="CH12" s="8">
        <v>-0.34528619050979614</v>
      </c>
      <c r="CI12" s="8">
        <v>0.43916606903076172</v>
      </c>
      <c r="CJ12" s="8">
        <v>-0.23682837188243866</v>
      </c>
      <c r="CK12" s="8">
        <v>0.63010209798812866</v>
      </c>
      <c r="CL12" s="8">
        <v>0.15976330637931824</v>
      </c>
      <c r="CM12" s="9">
        <v>-0.72972971200942993</v>
      </c>
      <c r="CN12" s="9">
        <v>-5.5684454739093781E-2</v>
      </c>
      <c r="CO12" s="9">
        <v>-0.62780654430389404</v>
      </c>
      <c r="CP12" s="9">
        <v>2.5521471500396729</v>
      </c>
      <c r="CQ12" s="9">
        <v>0.42982456088066101</v>
      </c>
      <c r="CR12">
        <v>9.4418442857142857</v>
      </c>
      <c r="CS12">
        <v>0.72975710829942242</v>
      </c>
      <c r="CT12">
        <v>0.4092405446293495</v>
      </c>
      <c r="CU12" s="8">
        <v>0.12938338220119477</v>
      </c>
      <c r="CV12" s="9">
        <v>0.31375019997358322</v>
      </c>
      <c r="CW12">
        <v>0.06</v>
      </c>
      <c r="CX12">
        <v>23.522871008074684</v>
      </c>
      <c r="CY12">
        <v>117200162.30389756</v>
      </c>
      <c r="CZ12">
        <v>0.12938338220119477</v>
      </c>
      <c r="DA12">
        <v>7.4360454811526298</v>
      </c>
      <c r="DB12">
        <v>370746024.48137081</v>
      </c>
      <c r="DC12">
        <v>0.12291421309113502</v>
      </c>
      <c r="DD12">
        <v>3.4993479531940417</v>
      </c>
      <c r="DE12">
        <v>787828000.20890868</v>
      </c>
      <c r="DF12">
        <v>0.1138573763370514</v>
      </c>
      <c r="DG12">
        <v>1.9954972176199131</v>
      </c>
      <c r="DH12">
        <v>1381552565.2740397</v>
      </c>
      <c r="DI12">
        <v>0.10350670576095583</v>
      </c>
      <c r="DJ12">
        <v>0.91734328170249912</v>
      </c>
      <c r="DK12">
        <v>3005291862.9147124</v>
      </c>
      <c r="DL12">
        <v>9.0568367540836331E-2</v>
      </c>
      <c r="DM12">
        <v>110000000.00000001</v>
      </c>
      <c r="DN12">
        <v>0.12938338220119477</v>
      </c>
      <c r="DO12">
        <v>2756884299.9999995</v>
      </c>
      <c r="DP12">
        <v>591393900</v>
      </c>
      <c r="DQ12">
        <v>1411</v>
      </c>
      <c r="DR12">
        <v>-0.21404595888831135</v>
      </c>
      <c r="DS12">
        <v>-0.58031951247358315</v>
      </c>
      <c r="DT12" s="10">
        <v>-0.25666666666666665</v>
      </c>
      <c r="DU12">
        <v>-0.33000000000000013</v>
      </c>
      <c r="DV12">
        <v>-0.58666666666666678</v>
      </c>
      <c r="DW12">
        <v>-3.0364166666666668</v>
      </c>
      <c r="DX12">
        <v>0.37008073394495411</v>
      </c>
      <c r="DY12">
        <v>-3.0047371067278288</v>
      </c>
      <c r="DZ12">
        <v>3010</v>
      </c>
      <c r="EA12">
        <v>-3.0019467561895188</v>
      </c>
      <c r="EB12">
        <v>3</v>
      </c>
      <c r="EC12">
        <v>2.2389980213825357E-2</v>
      </c>
      <c r="ED12">
        <v>0.17212372297422657</v>
      </c>
      <c r="EE12" s="11">
        <v>-1.0968</v>
      </c>
      <c r="EF12">
        <v>-1.0790999999999999</v>
      </c>
      <c r="EG12">
        <v>24.130080733944954</v>
      </c>
      <c r="EH12" t="s">
        <v>1040</v>
      </c>
      <c r="EI12">
        <v>0</v>
      </c>
      <c r="EJ12">
        <v>0</v>
      </c>
      <c r="EK12" s="13">
        <v>45470</v>
      </c>
      <c r="EL12" s="14">
        <v>1.34</v>
      </c>
      <c r="EM12" s="14">
        <v>-4.26</v>
      </c>
      <c r="EN12" s="14">
        <v>0.46</v>
      </c>
      <c r="EO12" s="14">
        <v>3.67</v>
      </c>
      <c r="EP12" s="14">
        <v>-1.77</v>
      </c>
    </row>
    <row r="13" spans="1:146" ht="192" x14ac:dyDescent="0.25">
      <c r="A13" s="7" t="s">
        <v>1145</v>
      </c>
      <c r="B13" s="7" t="s">
        <v>1144</v>
      </c>
      <c r="C13" s="7" t="str">
        <f>"公司的主营业务是医疗器械及其配件的技术开发、生产，销售。公司的主要产品是支架系统、体外诊断产品、外科器械、其他自产器械产品、器械产品代理配送业务、药品-原料药、药品-硫酸氢氯吡格雷、药品-阿托伐他汀钙片、其他药品、医疗服务、新型医疗业态。"&amp;CHAR(10)&amp;Basic_Fundamental_Information_Constructure(F13)&amp;CHAR(10)&amp;Basic_Fundamental_Information_Concatenate("医疗器械 29.90亿 56.06% 53.90% 59.71%
药品制剂业务 15.34亿 28.75% 37.51% 81.02%
医疗服务及健康管理 5.96亿 11.17% 7.28% 40.48%
其他业务 2.14亿 4.01% 1.30% 20.17%")</f>
        <v>公司的主营业务是医疗器械及其配件的技术开发、生产，销售。公司的主要产品是支架系统、体外诊断产品、外科器械、其他自产器械产品、器械产品代理配送业务、药品-原料药、药品-硫酸氢氯吡格雷、药品-阿托伐他汀钙片、其他药品、医疗服务、新型医疗业态。
市值258.96007亿, 利润12.58亿; PE22.65; 平均PE15.65; 平均PEG2.36, PB1.6; ROIC10.29%; ROE14.1467%; 股利率2.4068%; 毛利62.57%; 净利18.02%; 上一年度营收增-24.78%, 利润增-42.92%; 当季营收增-21.13%, 利润增-19.28%; 过往5年营收增6.62%, 利润增5.33%
Income profile:
医疗器械 29.90亿 56.06% 53.90% 59.71%
药品制剂业务 15.34亿 28.75% 37.51% 81.02%
医疗服务及健康管理 5.96亿 11.17% 7.28% 40.48%
其他业务 2.14亿 4.01% 1.30% 20.17%</v>
      </c>
      <c r="D13" t="s">
        <v>219</v>
      </c>
      <c r="E13" t="s">
        <v>220</v>
      </c>
      <c r="F13">
        <v>13.77</v>
      </c>
      <c r="G13">
        <v>0.73</v>
      </c>
      <c r="H13" t="s">
        <v>2637</v>
      </c>
      <c r="I13">
        <v>25896007000</v>
      </c>
      <c r="J13">
        <v>22.65</v>
      </c>
      <c r="K13">
        <v>1.6</v>
      </c>
      <c r="L13" t="s">
        <v>40</v>
      </c>
      <c r="M13" t="s">
        <v>1708</v>
      </c>
      <c r="N13" t="s">
        <v>2638</v>
      </c>
      <c r="O13" t="s">
        <v>1709</v>
      </c>
      <c r="P13">
        <v>-21.14</v>
      </c>
      <c r="Q13" t="s">
        <v>1710</v>
      </c>
      <c r="R13">
        <v>481871130</v>
      </c>
      <c r="S13" s="3">
        <v>-0.19270000000000001</v>
      </c>
      <c r="T13" t="s">
        <v>1711</v>
      </c>
      <c r="U13">
        <v>1616097900</v>
      </c>
      <c r="V13">
        <v>1880610600</v>
      </c>
      <c r="W13">
        <v>1.42</v>
      </c>
      <c r="X13">
        <v>0.08</v>
      </c>
      <c r="Y13">
        <v>25.64</v>
      </c>
      <c r="Z13" t="s">
        <v>1354</v>
      </c>
      <c r="AA13" t="s">
        <v>1544</v>
      </c>
      <c r="AB13" t="s">
        <v>691</v>
      </c>
      <c r="AC13" t="s">
        <v>175</v>
      </c>
      <c r="AD13" t="s">
        <v>47</v>
      </c>
      <c r="AE13">
        <v>869845</v>
      </c>
      <c r="AF13" t="s">
        <v>1712</v>
      </c>
      <c r="AG13" t="s">
        <v>2639</v>
      </c>
      <c r="AH13" t="s">
        <v>1713</v>
      </c>
      <c r="AI13" t="s">
        <v>2640</v>
      </c>
      <c r="AJ13" t="s">
        <v>1714</v>
      </c>
      <c r="AK13" t="s">
        <v>2641</v>
      </c>
      <c r="AL13" t="s">
        <v>1715</v>
      </c>
      <c r="AM13" t="s">
        <v>47</v>
      </c>
      <c r="AN13" t="s">
        <v>2642</v>
      </c>
      <c r="AO13" t="s">
        <v>2121</v>
      </c>
      <c r="AP13" t="s">
        <v>410</v>
      </c>
      <c r="AQ13" t="s">
        <v>400</v>
      </c>
      <c r="AR13" t="s">
        <v>47</v>
      </c>
      <c r="AS13" t="s">
        <v>2192</v>
      </c>
      <c r="AT13" t="s">
        <v>2643</v>
      </c>
      <c r="AU13" t="s">
        <v>212</v>
      </c>
      <c r="AV13" t="s">
        <v>2644</v>
      </c>
      <c r="AW13" t="s">
        <v>2645</v>
      </c>
      <c r="AX13" t="s">
        <v>1339</v>
      </c>
      <c r="AY13" t="s">
        <v>908</v>
      </c>
      <c r="AZ13" t="s">
        <v>221</v>
      </c>
      <c r="BA13" t="s">
        <v>225</v>
      </c>
      <c r="BB13" t="s">
        <v>226</v>
      </c>
      <c r="BC13" t="s">
        <v>1565</v>
      </c>
      <c r="BD13" t="s">
        <v>909</v>
      </c>
      <c r="BE13" t="s">
        <v>222</v>
      </c>
      <c r="BF13" t="s">
        <v>227</v>
      </c>
      <c r="BG13" t="s">
        <v>228</v>
      </c>
      <c r="BH13" t="s">
        <v>1710</v>
      </c>
      <c r="BI13" t="s">
        <v>1716</v>
      </c>
      <c r="BJ13" t="s">
        <v>1339</v>
      </c>
      <c r="BK13" t="s">
        <v>1711</v>
      </c>
      <c r="BL13" t="s">
        <v>1498</v>
      </c>
      <c r="BM13" t="s">
        <v>1565</v>
      </c>
      <c r="BN13">
        <v>6.75</v>
      </c>
      <c r="BO13">
        <v>12.42</v>
      </c>
      <c r="BP13">
        <v>11.7</v>
      </c>
      <c r="BQ13">
        <v>8.84</v>
      </c>
      <c r="BR13">
        <v>17.600000000000001</v>
      </c>
      <c r="BS13">
        <v>16</v>
      </c>
      <c r="BT13" t="s">
        <v>1717</v>
      </c>
      <c r="BU13" t="s">
        <v>1079</v>
      </c>
      <c r="BV13">
        <v>64.239999999999995</v>
      </c>
      <c r="BW13">
        <v>62.46</v>
      </c>
      <c r="BX13">
        <v>61.01</v>
      </c>
      <c r="BY13">
        <v>16.2</v>
      </c>
      <c r="BZ13">
        <v>21.16</v>
      </c>
      <c r="CA13">
        <v>16.7</v>
      </c>
      <c r="CB13">
        <v>-7.21</v>
      </c>
      <c r="CC13">
        <v>-9.16</v>
      </c>
      <c r="CD13" t="s">
        <v>2646</v>
      </c>
      <c r="CE13" t="s">
        <v>550</v>
      </c>
      <c r="CF13" s="8">
        <v>-0.21132540008206813</v>
      </c>
      <c r="CG13" s="9">
        <v>-0.19284567839195979</v>
      </c>
      <c r="CH13" s="8">
        <v>-0.24780847132205963</v>
      </c>
      <c r="CI13" s="8">
        <v>-4.7841742634773254E-3</v>
      </c>
      <c r="CJ13" s="8">
        <v>0.32603552937507629</v>
      </c>
      <c r="CK13" s="8">
        <v>3.1169872730970383E-2</v>
      </c>
      <c r="CL13" s="8">
        <v>0.22655759751796722</v>
      </c>
      <c r="CM13" s="9">
        <v>-0.42921960353851318</v>
      </c>
      <c r="CN13" s="9">
        <v>0.28214073181152344</v>
      </c>
      <c r="CO13" s="9">
        <v>-4.6059899032115936E-2</v>
      </c>
      <c r="CP13" s="9">
        <v>4.4637721031904221E-2</v>
      </c>
      <c r="CQ13" s="9">
        <v>0.41509422659873962</v>
      </c>
      <c r="CR13">
        <v>15.651862798428528</v>
      </c>
      <c r="CS13">
        <v>2.3631135165876018</v>
      </c>
      <c r="CT13">
        <v>2.4067538126361656</v>
      </c>
      <c r="CU13" s="8">
        <v>6.6234070807695389E-2</v>
      </c>
      <c r="CV13" s="9">
        <v>5.331863537430763E-2</v>
      </c>
      <c r="CW13">
        <v>0.06</v>
      </c>
      <c r="CX13">
        <v>12.178777209840096</v>
      </c>
      <c r="CY13">
        <v>1265398548.1849818</v>
      </c>
      <c r="CZ13">
        <v>6.6234070807695389E-2</v>
      </c>
      <c r="DA13">
        <v>4.0610343498304049</v>
      </c>
      <c r="DB13">
        <v>3794847733.9630451</v>
      </c>
      <c r="DC13">
        <v>6.2922367267310611E-2</v>
      </c>
      <c r="DD13">
        <v>2.0533233372032109</v>
      </c>
      <c r="DE13">
        <v>7505397090.0613308</v>
      </c>
      <c r="DF13">
        <v>5.8285982310771943E-2</v>
      </c>
      <c r="DG13">
        <v>1.270359302071066</v>
      </c>
      <c r="DH13">
        <v>12131219077.055952</v>
      </c>
      <c r="DI13">
        <v>5.2987256646156312E-2</v>
      </c>
      <c r="DJ13">
        <v>0.69976721906279393</v>
      </c>
      <c r="DK13">
        <v>22023047922.479328</v>
      </c>
      <c r="DL13">
        <v>4.6363849565386771E-2</v>
      </c>
      <c r="DM13">
        <v>1258000000</v>
      </c>
      <c r="DN13">
        <v>6.6234070807695389E-2</v>
      </c>
      <c r="DO13">
        <v>15411007000</v>
      </c>
      <c r="DP13">
        <v>5942306600</v>
      </c>
      <c r="DQ13">
        <v>1501</v>
      </c>
      <c r="DR13">
        <v>-0.27755947088976352</v>
      </c>
      <c r="DS13">
        <v>-0.24616431376626741</v>
      </c>
      <c r="DT13" s="10">
        <v>-0.37333333333333335</v>
      </c>
      <c r="DU13">
        <v>-0.13666666666666669</v>
      </c>
      <c r="DV13">
        <v>-0.51</v>
      </c>
      <c r="DW13">
        <v>-9.787117903930131</v>
      </c>
      <c r="DX13">
        <v>0.51039509133489624</v>
      </c>
      <c r="DY13">
        <v>-9.1341210271315063</v>
      </c>
      <c r="DZ13">
        <v>2896</v>
      </c>
      <c r="EA13">
        <v>-9.0581103628315365</v>
      </c>
      <c r="EB13">
        <v>9</v>
      </c>
      <c r="EC13">
        <v>3.8688870518968681E-2</v>
      </c>
      <c r="ED13">
        <v>0.22705391536131933</v>
      </c>
      <c r="EE13" s="11">
        <v>-3.0017</v>
      </c>
      <c r="EF13">
        <v>-3.0182099999999998</v>
      </c>
      <c r="EG13">
        <v>34.170395091334896</v>
      </c>
      <c r="EH13" t="s">
        <v>1538</v>
      </c>
      <c r="EI13">
        <v>0</v>
      </c>
      <c r="EJ13">
        <v>0</v>
      </c>
      <c r="EK13" s="13">
        <v>45470</v>
      </c>
      <c r="EL13" s="14">
        <v>-0.5</v>
      </c>
      <c r="EM13" s="14">
        <v>-1.9</v>
      </c>
      <c r="EN13" s="14">
        <v>-1.1599999999999999</v>
      </c>
      <c r="EO13" s="14">
        <v>0.72</v>
      </c>
      <c r="EP13" s="14">
        <v>-1.99</v>
      </c>
    </row>
    <row r="14" spans="1:146" ht="96" x14ac:dyDescent="0.25">
      <c r="A14" s="7"/>
      <c r="B14" s="7"/>
      <c r="C14" s="7" t="str">
        <f>""&amp;CHAR(10)&amp;Basic_Fundamental_Information_Constructure(F14)&amp;CHAR(10)&amp;Basic_Fundamental_Information_Concatenate("")</f>
        <v xml:space="preserve">
市值11.7800367亿, 利润-6320.38万; PE; 平均PE-37.08; 平均PEG-5.98, PB1.64; ROIC1.825%; ROE-6.6433%; 股利率0%; 毛利39.4667%; 净利-11.3533%; 上一年度营收增-9.28%, 利润增68.08%; 当季营收增-11.32%, 利润增-123.4%; 过往5年营收增6.2%, 利润增-108.3%
Income profile:
</v>
      </c>
      <c r="D14" t="s">
        <v>232</v>
      </c>
      <c r="E14" t="s">
        <v>233</v>
      </c>
      <c r="F14">
        <v>3.81</v>
      </c>
      <c r="G14">
        <v>4.0999999999999996</v>
      </c>
      <c r="H14" t="s">
        <v>2647</v>
      </c>
      <c r="I14">
        <v>1178003670</v>
      </c>
      <c r="K14">
        <v>1.64</v>
      </c>
      <c r="L14" t="s">
        <v>40</v>
      </c>
      <c r="M14" t="s">
        <v>1517</v>
      </c>
      <c r="N14" t="s">
        <v>390</v>
      </c>
      <c r="O14" t="s">
        <v>201</v>
      </c>
      <c r="P14">
        <v>-10.98</v>
      </c>
      <c r="Q14" t="s">
        <v>1719</v>
      </c>
      <c r="R14">
        <v>-3190876</v>
      </c>
      <c r="S14" s="3">
        <v>-1.234</v>
      </c>
      <c r="T14" t="s">
        <v>1720</v>
      </c>
      <c r="U14">
        <v>270652830</v>
      </c>
      <c r="V14">
        <v>309187320</v>
      </c>
      <c r="W14">
        <v>1.88</v>
      </c>
      <c r="X14">
        <v>0.1</v>
      </c>
      <c r="Y14">
        <v>-2.0499999999999998</v>
      </c>
      <c r="Z14" t="s">
        <v>280</v>
      </c>
      <c r="AA14" t="s">
        <v>2648</v>
      </c>
      <c r="AB14" t="s">
        <v>2649</v>
      </c>
      <c r="AC14" t="s">
        <v>2650</v>
      </c>
      <c r="AD14" t="s">
        <v>47</v>
      </c>
      <c r="AE14">
        <v>1591727</v>
      </c>
      <c r="AF14" t="s">
        <v>1721</v>
      </c>
      <c r="AG14" t="s">
        <v>2651</v>
      </c>
      <c r="AH14" t="s">
        <v>1722</v>
      </c>
      <c r="AI14" t="s">
        <v>416</v>
      </c>
      <c r="AJ14" t="s">
        <v>1723</v>
      </c>
      <c r="AK14" t="s">
        <v>47</v>
      </c>
      <c r="AL14" t="s">
        <v>1724</v>
      </c>
      <c r="AM14" t="s">
        <v>47</v>
      </c>
      <c r="AN14" t="s">
        <v>2652</v>
      </c>
      <c r="AO14" t="s">
        <v>957</v>
      </c>
      <c r="AP14" t="s">
        <v>47</v>
      </c>
      <c r="AQ14" t="s">
        <v>2653</v>
      </c>
      <c r="AR14" t="s">
        <v>47</v>
      </c>
      <c r="AS14" t="s">
        <v>628</v>
      </c>
      <c r="AT14" t="s">
        <v>2654</v>
      </c>
      <c r="AU14" t="s">
        <v>2655</v>
      </c>
      <c r="AV14" t="s">
        <v>2656</v>
      </c>
      <c r="AW14" t="s">
        <v>2657</v>
      </c>
      <c r="AX14" t="s">
        <v>312</v>
      </c>
      <c r="AY14" t="s">
        <v>910</v>
      </c>
      <c r="AZ14" t="s">
        <v>234</v>
      </c>
      <c r="BA14" t="s">
        <v>240</v>
      </c>
      <c r="BB14" t="s">
        <v>156</v>
      </c>
      <c r="BC14" t="s">
        <v>1342</v>
      </c>
      <c r="BD14" t="s">
        <v>911</v>
      </c>
      <c r="BE14" t="s">
        <v>235</v>
      </c>
      <c r="BF14" t="s">
        <v>241</v>
      </c>
      <c r="BG14" t="s">
        <v>242</v>
      </c>
      <c r="BH14" t="s">
        <v>1719</v>
      </c>
      <c r="BI14" t="s">
        <v>362</v>
      </c>
      <c r="BJ14" t="s">
        <v>312</v>
      </c>
      <c r="BK14" t="s">
        <v>1720</v>
      </c>
      <c r="BL14" t="s">
        <v>1725</v>
      </c>
      <c r="BM14" t="s">
        <v>1342</v>
      </c>
      <c r="BN14">
        <v>1.03</v>
      </c>
      <c r="BO14" t="s">
        <v>47</v>
      </c>
      <c r="BP14">
        <v>2.62</v>
      </c>
      <c r="BQ14">
        <v>0.41</v>
      </c>
      <c r="BR14">
        <v>-22.19</v>
      </c>
      <c r="BS14">
        <v>1.85</v>
      </c>
      <c r="BT14" t="s">
        <v>1208</v>
      </c>
      <c r="BU14" t="s">
        <v>1032</v>
      </c>
      <c r="BV14">
        <v>40.380000000000003</v>
      </c>
      <c r="BW14">
        <v>37.200000000000003</v>
      </c>
      <c r="BX14">
        <v>40.82</v>
      </c>
      <c r="BY14">
        <v>-9.34</v>
      </c>
      <c r="BZ14">
        <v>-27.19</v>
      </c>
      <c r="CA14">
        <v>2.4700000000000002</v>
      </c>
      <c r="CB14">
        <v>2.42</v>
      </c>
      <c r="CC14">
        <v>-16.260000000000002</v>
      </c>
      <c r="CD14" t="s">
        <v>2658</v>
      </c>
      <c r="CE14" t="s">
        <v>1154</v>
      </c>
      <c r="CF14" s="8">
        <v>-0.11320754716981132</v>
      </c>
      <c r="CG14" s="9">
        <v>-1.2340398565340802</v>
      </c>
      <c r="CH14" s="8">
        <v>-9.2827007174491882E-2</v>
      </c>
      <c r="CI14" s="8">
        <v>-0.11124999821186066</v>
      </c>
      <c r="CJ14" s="8">
        <v>-0.12948857247829437</v>
      </c>
      <c r="CK14" s="8">
        <v>0.59826087951660156</v>
      </c>
      <c r="CL14" s="8">
        <v>4.5454546809196472E-2</v>
      </c>
      <c r="CM14" s="9">
        <v>0.68078887462615967</v>
      </c>
      <c r="CN14" s="9">
        <v>-11.663219451904297</v>
      </c>
      <c r="CO14" s="9">
        <v>-0.88608282804489136</v>
      </c>
      <c r="CP14" s="9">
        <v>5.2634015083312988</v>
      </c>
      <c r="CQ14" s="9">
        <v>1.1899576187133789</v>
      </c>
      <c r="CR14">
        <v>-37.080852164433232</v>
      </c>
      <c r="CS14">
        <v>-5.9778930004987441</v>
      </c>
      <c r="CT14">
        <v>0</v>
      </c>
      <c r="CU14" s="8">
        <v>6.2029969692230222E-2</v>
      </c>
      <c r="CV14" s="9">
        <v>-1.0830308556556703</v>
      </c>
      <c r="CW14">
        <v>0.06</v>
      </c>
      <c r="CX14" t="e">
        <v>#VALUE!</v>
      </c>
      <c r="CY14" t="s">
        <v>1037</v>
      </c>
      <c r="CZ14">
        <v>6.2029969692230222E-2</v>
      </c>
      <c r="DA14" t="e">
        <v>#VALUE!</v>
      </c>
      <c r="DB14" t="s">
        <v>1038</v>
      </c>
      <c r="DC14">
        <v>5.892847120761871E-2</v>
      </c>
      <c r="DD14" t="e">
        <v>#VALUE!</v>
      </c>
      <c r="DE14" t="s">
        <v>1038</v>
      </c>
      <c r="DF14">
        <v>5.4586373329162594E-2</v>
      </c>
      <c r="DG14" t="e">
        <v>#VALUE!</v>
      </c>
      <c r="DH14" t="s">
        <v>1038</v>
      </c>
      <c r="DI14">
        <v>4.9623975753784182E-2</v>
      </c>
      <c r="DJ14" t="e">
        <v>#VALUE!</v>
      </c>
      <c r="DK14" t="s">
        <v>1038</v>
      </c>
      <c r="DL14">
        <v>4.3420978784561151E-2</v>
      </c>
      <c r="DM14">
        <v>-63203800</v>
      </c>
      <c r="DN14">
        <v>6.2029969692230222E-2</v>
      </c>
      <c r="DO14">
        <v>1083003670</v>
      </c>
      <c r="DP14">
        <v>70920230</v>
      </c>
      <c r="DQ14">
        <v>1526</v>
      </c>
      <c r="DR14">
        <v>-0.17523751686204153</v>
      </c>
      <c r="DS14">
        <v>-0.15100900087840996</v>
      </c>
      <c r="DT14" s="10">
        <v>-0.32333333333333336</v>
      </c>
      <c r="DU14">
        <v>-1.4216666666666669</v>
      </c>
      <c r="DV14">
        <v>-1.7450000000000001</v>
      </c>
      <c r="DW14">
        <v>-3.0029404761904761</v>
      </c>
      <c r="DX14">
        <v>0.43686878306878429</v>
      </c>
      <c r="DY14">
        <v>-3.0004612689216428</v>
      </c>
      <c r="DZ14">
        <v>4214</v>
      </c>
      <c r="EA14">
        <v>-3.0000808800300964</v>
      </c>
      <c r="EB14">
        <v>3</v>
      </c>
      <c r="EC14">
        <v>9.5890737045749477E-2</v>
      </c>
      <c r="ED14">
        <v>0.61127991924119007</v>
      </c>
      <c r="EE14" s="11">
        <v>-2.1015100000000002</v>
      </c>
      <c r="EF14">
        <v>-2.1200100000000002</v>
      </c>
      <c r="EG14">
        <v>28.156868783068784</v>
      </c>
      <c r="EH14" t="s">
        <v>1532</v>
      </c>
      <c r="EI14">
        <v>0</v>
      </c>
      <c r="EJ14">
        <v>0</v>
      </c>
      <c r="EK14" s="13">
        <v>45470</v>
      </c>
      <c r="EL14" s="14">
        <v>-0.53</v>
      </c>
      <c r="EM14" s="14">
        <v>-3.97</v>
      </c>
      <c r="EN14" s="14">
        <v>0</v>
      </c>
      <c r="EO14" s="14">
        <v>4.41</v>
      </c>
      <c r="EP14" s="14">
        <v>-1.85</v>
      </c>
    </row>
    <row r="15" spans="1:146" ht="96" x14ac:dyDescent="0.25">
      <c r="A15" s="7"/>
      <c r="B15" s="7"/>
      <c r="C15" s="7" t="str">
        <f>""&amp;CHAR(10)&amp;Basic_Fundamental_Information_Constructure(F15)&amp;CHAR(10)&amp;Basic_Fundamental_Information_Concatenate("")</f>
        <v xml:space="preserve">
市值136.735亿, 利润1.02亿; PE104.2; 平均PE188.14; 平均PEG30.4, PB8.73; ROIC7.41%; ROE5.8333%; 股利率0%; 毛利73.8633%; 净利15.4133%; 上一年度营收增14.37%, 利润增4.2%; 当季营收增33.47%, 利润增553.77%; 过往5年营收增6.19%, 利润增25.23%
Income profile:
</v>
      </c>
      <c r="D15" t="s">
        <v>247</v>
      </c>
      <c r="E15" t="s">
        <v>248</v>
      </c>
      <c r="F15">
        <v>51.98</v>
      </c>
      <c r="G15">
        <v>-1.1399999999999999</v>
      </c>
      <c r="H15" t="s">
        <v>2659</v>
      </c>
      <c r="I15">
        <v>13673500000</v>
      </c>
      <c r="J15">
        <v>104.2</v>
      </c>
      <c r="K15">
        <v>8.73</v>
      </c>
      <c r="L15" t="s">
        <v>40</v>
      </c>
      <c r="M15" t="s">
        <v>910</v>
      </c>
      <c r="N15" t="s">
        <v>2660</v>
      </c>
      <c r="O15" t="s">
        <v>806</v>
      </c>
      <c r="P15">
        <v>33.35</v>
      </c>
      <c r="Q15" t="s">
        <v>1524</v>
      </c>
      <c r="R15">
        <v>85000000</v>
      </c>
      <c r="S15" s="3">
        <v>2.286</v>
      </c>
      <c r="T15" t="s">
        <v>86</v>
      </c>
      <c r="U15">
        <v>233515440</v>
      </c>
      <c r="V15">
        <v>263053100</v>
      </c>
      <c r="W15">
        <v>1.45</v>
      </c>
      <c r="X15">
        <v>0.12</v>
      </c>
      <c r="Y15">
        <v>20.260000000000002</v>
      </c>
      <c r="Z15" t="s">
        <v>236</v>
      </c>
      <c r="AA15" t="s">
        <v>2661</v>
      </c>
      <c r="AB15" t="s">
        <v>2662</v>
      </c>
      <c r="AC15" t="s">
        <v>2663</v>
      </c>
      <c r="AD15" t="s">
        <v>47</v>
      </c>
      <c r="AE15">
        <v>-5524230</v>
      </c>
      <c r="AF15" t="s">
        <v>1726</v>
      </c>
      <c r="AG15" t="s">
        <v>2664</v>
      </c>
      <c r="AH15" t="s">
        <v>1727</v>
      </c>
      <c r="AI15" t="s">
        <v>2665</v>
      </c>
      <c r="AJ15" t="s">
        <v>1728</v>
      </c>
      <c r="AK15" t="s">
        <v>2666</v>
      </c>
      <c r="AL15" t="s">
        <v>1729</v>
      </c>
      <c r="AM15" t="s">
        <v>47</v>
      </c>
      <c r="AN15" t="s">
        <v>372</v>
      </c>
      <c r="AO15" t="s">
        <v>47</v>
      </c>
      <c r="AP15" t="s">
        <v>47</v>
      </c>
      <c r="AQ15" t="s">
        <v>2667</v>
      </c>
      <c r="AR15" t="s">
        <v>2668</v>
      </c>
      <c r="AS15" t="s">
        <v>138</v>
      </c>
      <c r="AT15" t="s">
        <v>47</v>
      </c>
      <c r="AU15" t="s">
        <v>2669</v>
      </c>
      <c r="AV15" t="s">
        <v>2670</v>
      </c>
      <c r="AW15" t="s">
        <v>2671</v>
      </c>
      <c r="AX15" t="s">
        <v>387</v>
      </c>
      <c r="AY15" t="s">
        <v>912</v>
      </c>
      <c r="AZ15" t="s">
        <v>249</v>
      </c>
      <c r="BA15" t="s">
        <v>252</v>
      </c>
      <c r="BB15" t="s">
        <v>253</v>
      </c>
      <c r="BC15" t="s">
        <v>1730</v>
      </c>
      <c r="BD15" t="s">
        <v>913</v>
      </c>
      <c r="BE15" t="s">
        <v>250</v>
      </c>
      <c r="BF15" t="s">
        <v>254</v>
      </c>
      <c r="BG15" t="s">
        <v>255</v>
      </c>
      <c r="BH15" t="s">
        <v>1524</v>
      </c>
      <c r="BI15" t="s">
        <v>126</v>
      </c>
      <c r="BJ15" t="s">
        <v>387</v>
      </c>
      <c r="BK15" t="s">
        <v>86</v>
      </c>
      <c r="BL15" t="s">
        <v>1731</v>
      </c>
      <c r="BM15" t="s">
        <v>1730</v>
      </c>
      <c r="BN15">
        <v>6.35</v>
      </c>
      <c r="BO15">
        <v>7.66</v>
      </c>
      <c r="BP15">
        <v>8.2200000000000006</v>
      </c>
      <c r="BQ15">
        <v>4.62</v>
      </c>
      <c r="BR15">
        <v>6.21</v>
      </c>
      <c r="BS15">
        <v>6.67</v>
      </c>
      <c r="BT15" t="s">
        <v>1208</v>
      </c>
      <c r="BU15" t="s">
        <v>1032</v>
      </c>
      <c r="BV15">
        <v>74.739999999999995</v>
      </c>
      <c r="BW15">
        <v>73.47</v>
      </c>
      <c r="BX15">
        <v>73.38</v>
      </c>
      <c r="BY15">
        <v>15.35</v>
      </c>
      <c r="BZ15">
        <v>14.41</v>
      </c>
      <c r="CA15">
        <v>16.48</v>
      </c>
      <c r="CB15">
        <v>3.26</v>
      </c>
      <c r="CC15">
        <v>0.48</v>
      </c>
      <c r="CD15" t="s">
        <v>2672</v>
      </c>
      <c r="CE15" t="s">
        <v>198</v>
      </c>
      <c r="CF15" s="8">
        <v>0.33471074380165289</v>
      </c>
      <c r="CG15" s="9">
        <v>5.53765690376569</v>
      </c>
      <c r="CH15" s="8">
        <v>0.14370663464069366</v>
      </c>
      <c r="CI15" s="8">
        <v>0.12360801547765732</v>
      </c>
      <c r="CJ15" s="8">
        <v>0.11138613522052765</v>
      </c>
      <c r="CK15" s="8">
        <v>-2.8846153989434242E-2</v>
      </c>
      <c r="CL15" s="8">
        <v>-4.0369089692831039E-2</v>
      </c>
      <c r="CM15" s="9">
        <v>4.1988030076026917E-2</v>
      </c>
      <c r="CN15" s="9">
        <v>2.5358039885759354E-2</v>
      </c>
      <c r="CO15" s="9">
        <v>0.54216897487640381</v>
      </c>
      <c r="CP15" s="9">
        <v>0.4268631637096405</v>
      </c>
      <c r="CQ15" s="9">
        <v>0.22503042221069336</v>
      </c>
      <c r="CR15">
        <v>188.13886515396058</v>
      </c>
      <c r="CS15">
        <v>30.395420759705186</v>
      </c>
      <c r="CT15">
        <v>0</v>
      </c>
      <c r="CU15" s="8">
        <v>6.189710833132267E-2</v>
      </c>
      <c r="CV15" s="9">
        <v>0.2522817261517048</v>
      </c>
      <c r="CW15">
        <v>0.06</v>
      </c>
      <c r="CX15">
        <v>123.53870363486436</v>
      </c>
      <c r="CY15">
        <v>102182551.93376879</v>
      </c>
      <c r="CZ15">
        <v>6.189710833132267E-2</v>
      </c>
      <c r="DA15">
        <v>41.346636877260771</v>
      </c>
      <c r="DB15">
        <v>305308991.33279908</v>
      </c>
      <c r="DC15">
        <v>5.8802252914756534E-2</v>
      </c>
      <c r="DD15">
        <v>21.006927903345648</v>
      </c>
      <c r="DE15">
        <v>600920803.75015378</v>
      </c>
      <c r="DF15">
        <v>5.446945533156395E-2</v>
      </c>
      <c r="DG15">
        <v>13.065957990790391</v>
      </c>
      <c r="DH15">
        <v>966136582.47621334</v>
      </c>
      <c r="DI15">
        <v>4.9517686665058139E-2</v>
      </c>
      <c r="DJ15">
        <v>7.2782864752520737</v>
      </c>
      <c r="DK15">
        <v>1734405487.1875322</v>
      </c>
      <c r="DL15">
        <v>4.3327975831925866E-2</v>
      </c>
      <c r="DM15">
        <v>102000000</v>
      </c>
      <c r="DN15">
        <v>6.189710833132267E-2</v>
      </c>
      <c r="DO15">
        <v>12623500000</v>
      </c>
      <c r="DP15">
        <v>1034256030</v>
      </c>
      <c r="DQ15">
        <v>1544</v>
      </c>
      <c r="DR15">
        <v>0.27281363547033022</v>
      </c>
      <c r="DS15">
        <v>5.285375177613985</v>
      </c>
      <c r="DT15" s="10">
        <v>-0.44</v>
      </c>
      <c r="DU15">
        <v>0.94999999999999984</v>
      </c>
      <c r="DV15">
        <v>0.50999999999999979</v>
      </c>
      <c r="DW15">
        <v>4.147239263803681</v>
      </c>
      <c r="DX15">
        <v>0.52834083333333504</v>
      </c>
      <c r="DY15">
        <v>4.0277311656441714</v>
      </c>
      <c r="DZ15">
        <v>954</v>
      </c>
      <c r="EA15">
        <v>4.0225539578115805</v>
      </c>
      <c r="EB15">
        <v>4</v>
      </c>
      <c r="EC15">
        <v>8.5917634120259365E-2</v>
      </c>
      <c r="ED15">
        <v>0.45618166066090837</v>
      </c>
      <c r="EE15" s="11">
        <v>11.09221</v>
      </c>
      <c r="EF15">
        <v>11.117710000000001</v>
      </c>
      <c r="EG15">
        <v>34.188340833333335</v>
      </c>
      <c r="EH15" t="s">
        <v>2673</v>
      </c>
      <c r="EI15">
        <v>0</v>
      </c>
      <c r="EJ15">
        <v>1</v>
      </c>
      <c r="EK15" s="13">
        <v>45470</v>
      </c>
      <c r="EL15" s="14">
        <v>-1.03</v>
      </c>
      <c r="EM15" s="14">
        <v>-4.25</v>
      </c>
      <c r="EN15" s="14">
        <v>-1.36</v>
      </c>
      <c r="EO15" s="14">
        <v>2.94</v>
      </c>
      <c r="EP15" s="14">
        <v>-2.5499999999999998</v>
      </c>
    </row>
    <row r="16" spans="1:146" ht="228" x14ac:dyDescent="0.25">
      <c r="A16" s="7" t="s">
        <v>1469</v>
      </c>
      <c r="B16" s="7" t="s">
        <v>1468</v>
      </c>
      <c r="C16" s="7" t="str">
        <f>"公司主要业务分为三大板块，分别为制药装备板块、医疗技术与科技板块、食品装备工程板块。公司产品包括灌装联动线、全自动配液系统、空气消毒机等。截止2010年,公司已成为国内最大的冻干机设备制造商,是我国替代进口冻干系统产品的代表企业；"&amp;CHAR(10)&amp;Basic_Fundamental_Information_Constructure(F16)&amp;CHAR(10)&amp;Basic_Fundamental_Information_Concatenate("海外占比14%
注射剂单机及系统 10.86亿 44.73% 48.50% 45.72%
生物工程单机及系统 4.88亿 20.09% 19.01% 39.90%
净化设备与工程 2.23亿 9.17% 4.03% 18.51%
医疗装备与耗材 1.62亿 6.66% 11.12% 70.34%
检查包装单机及系统 1.09亿 4.51% 5.14% 48.01%
售后服务与配件 9973.84万 4.11% 5.25% 53.92%
食品工程设备 9363.76万 3.86% 2.00% 21.85%")</f>
        <v>公司主要业务分为三大板块，分别为制药装备板块、医疗技术与科技板块、食品装备工程板块。公司产品包括灌装联动线、全自动配液系统、空气消毒机等。截止2010年,公司已成为国内最大的冻干机设备制造商,是我国替代进口冻干系统产品的代表企业；
市值91.278835亿, 利润6.00亿; PE21.04; 平均PE18.54; 平均PEG.73, PB1.14; ROIC14.3633%; ROE15.6833%; 股利率2.0066%; 毛利40.16%; 净利16.37%; 上一年度营收增3.16%, 利润增-29.16%; 当季营收增-22.07%, 利润增-72.01%; 过往5年营收增25.23%, 利润增75.26%
Income profile:
海外占比14%
注射剂单机及系统 10.86亿 44.73% 48.50% 45.72%
生物工程单机及系统 4.88亿 20.09% 19.01% 39.90%
净化设备与工程 2.23亿 9.17% 4.03% 18.51%
医疗装备与耗材 1.62亿 6.66% 11.12% 70.34%
检查包装单机及系统 1.09亿 4.51% 5.14% 48.01%
售后服务与配件 9973.84万 4.11% 5.25% 53.92%
食品工程设备 9363.76万 3.86% 2.00% 21.85%</v>
      </c>
      <c r="D16" t="s">
        <v>257</v>
      </c>
      <c r="E16" t="s">
        <v>258</v>
      </c>
      <c r="F16">
        <v>11.92</v>
      </c>
      <c r="G16">
        <v>2.85</v>
      </c>
      <c r="H16" t="s">
        <v>2674</v>
      </c>
      <c r="I16">
        <v>9127883500</v>
      </c>
      <c r="J16">
        <v>21.04</v>
      </c>
      <c r="K16">
        <v>1.1399999999999999</v>
      </c>
      <c r="L16" t="s">
        <v>40</v>
      </c>
      <c r="M16" t="s">
        <v>1732</v>
      </c>
      <c r="N16" t="s">
        <v>2675</v>
      </c>
      <c r="O16" t="s">
        <v>1733</v>
      </c>
      <c r="P16">
        <v>-22.07</v>
      </c>
      <c r="Q16" t="s">
        <v>1734</v>
      </c>
      <c r="R16">
        <v>64664108</v>
      </c>
      <c r="S16" s="3">
        <v>-0.72009999999999996</v>
      </c>
      <c r="T16" t="s">
        <v>1492</v>
      </c>
      <c r="U16">
        <v>562591360</v>
      </c>
      <c r="V16">
        <v>765762040</v>
      </c>
      <c r="W16">
        <v>1.59</v>
      </c>
      <c r="X16">
        <v>0.09</v>
      </c>
      <c r="Y16">
        <v>6.14</v>
      </c>
      <c r="Z16" t="s">
        <v>2676</v>
      </c>
      <c r="AA16" t="s">
        <v>1547</v>
      </c>
      <c r="AB16" t="s">
        <v>2677</v>
      </c>
      <c r="AC16" t="s">
        <v>468</v>
      </c>
      <c r="AD16" t="s">
        <v>47</v>
      </c>
      <c r="AE16">
        <v>-13733830</v>
      </c>
      <c r="AF16" t="s">
        <v>1735</v>
      </c>
      <c r="AG16" t="s">
        <v>2678</v>
      </c>
      <c r="AH16" t="s">
        <v>1736</v>
      </c>
      <c r="AI16" t="s">
        <v>2679</v>
      </c>
      <c r="AJ16" t="s">
        <v>1737</v>
      </c>
      <c r="AK16" t="s">
        <v>2680</v>
      </c>
      <c r="AL16" t="s">
        <v>1738</v>
      </c>
      <c r="AM16" t="s">
        <v>47</v>
      </c>
      <c r="AN16" t="s">
        <v>2681</v>
      </c>
      <c r="AO16" t="s">
        <v>2682</v>
      </c>
      <c r="AP16" t="s">
        <v>47</v>
      </c>
      <c r="AQ16" t="s">
        <v>2683</v>
      </c>
      <c r="AR16" t="s">
        <v>47</v>
      </c>
      <c r="AS16" t="s">
        <v>2684</v>
      </c>
      <c r="AT16" t="s">
        <v>47</v>
      </c>
      <c r="AU16" t="s">
        <v>67</v>
      </c>
      <c r="AV16" t="s">
        <v>1566</v>
      </c>
      <c r="AW16" t="s">
        <v>2685</v>
      </c>
      <c r="AX16" t="s">
        <v>1343</v>
      </c>
      <c r="AY16" t="s">
        <v>915</v>
      </c>
      <c r="AZ16" t="s">
        <v>259</v>
      </c>
      <c r="BA16" t="s">
        <v>264</v>
      </c>
      <c r="BB16" t="s">
        <v>265</v>
      </c>
      <c r="BC16" t="s">
        <v>1081</v>
      </c>
      <c r="BD16" t="s">
        <v>768</v>
      </c>
      <c r="BE16" t="s">
        <v>183</v>
      </c>
      <c r="BF16" t="s">
        <v>79</v>
      </c>
      <c r="BG16" t="s">
        <v>267</v>
      </c>
      <c r="BH16" t="s">
        <v>1734</v>
      </c>
      <c r="BI16" t="s">
        <v>1739</v>
      </c>
      <c r="BJ16" t="s">
        <v>1343</v>
      </c>
      <c r="BK16" t="s">
        <v>1492</v>
      </c>
      <c r="BL16" t="s">
        <v>243</v>
      </c>
      <c r="BM16" t="s">
        <v>1081</v>
      </c>
      <c r="BN16">
        <v>7.38</v>
      </c>
      <c r="BO16">
        <v>14.34</v>
      </c>
      <c r="BP16">
        <v>21.37</v>
      </c>
      <c r="BQ16">
        <v>7.62</v>
      </c>
      <c r="BR16">
        <v>18.11</v>
      </c>
      <c r="BS16">
        <v>21.32</v>
      </c>
      <c r="BT16" t="s">
        <v>2686</v>
      </c>
      <c r="BU16" t="s">
        <v>1032</v>
      </c>
      <c r="BV16">
        <v>35.33</v>
      </c>
      <c r="BW16">
        <v>39.049999999999997</v>
      </c>
      <c r="BX16">
        <v>46.1</v>
      </c>
      <c r="BY16">
        <v>11.46</v>
      </c>
      <c r="BZ16">
        <v>16.510000000000002</v>
      </c>
      <c r="CA16">
        <v>21.14</v>
      </c>
      <c r="CB16">
        <v>0.25</v>
      </c>
      <c r="CC16">
        <v>-17.510000000000002</v>
      </c>
      <c r="CD16" t="s">
        <v>2687</v>
      </c>
      <c r="CE16" t="s">
        <v>54</v>
      </c>
      <c r="CF16" s="8">
        <v>-0.22066057624736471</v>
      </c>
      <c r="CG16" s="9">
        <v>-0.72006879653679656</v>
      </c>
      <c r="CH16" s="8">
        <v>3.1632781028747559E-2</v>
      </c>
      <c r="CI16" s="8">
        <v>0.30462789535522461</v>
      </c>
      <c r="CJ16" s="8">
        <v>0.54800587892532349</v>
      </c>
      <c r="CK16" s="8">
        <v>0.19611307978630066</v>
      </c>
      <c r="CL16" s="8">
        <v>0.18101195991039276</v>
      </c>
      <c r="CM16" s="9">
        <v>-0.29161748290061951</v>
      </c>
      <c r="CN16" s="9">
        <v>2.2946860641241074E-2</v>
      </c>
      <c r="CO16" s="9">
        <v>0.78833693265914917</v>
      </c>
      <c r="CP16" s="9">
        <v>2.1712329387664795</v>
      </c>
      <c r="CQ16" s="9">
        <v>1.0721653699874878</v>
      </c>
      <c r="CR16">
        <v>18.537175536478319</v>
      </c>
      <c r="CS16">
        <v>0.73479067126613873</v>
      </c>
      <c r="CT16">
        <v>2.0065998322147651</v>
      </c>
      <c r="CU16" s="8">
        <v>0.25227831900119779</v>
      </c>
      <c r="CV16" s="9">
        <v>0.75261292383074763</v>
      </c>
      <c r="CW16">
        <v>0.06</v>
      </c>
      <c r="CX16">
        <v>8.1004310538763153</v>
      </c>
      <c r="CY16">
        <v>708836784.34030068</v>
      </c>
      <c r="CZ16">
        <v>0.25227831900119779</v>
      </c>
      <c r="DA16">
        <v>2.313362520251637</v>
      </c>
      <c r="DB16">
        <v>2482050889.0130305</v>
      </c>
      <c r="DC16">
        <v>0.2396644030511379</v>
      </c>
      <c r="DD16">
        <v>0.9415316897984739</v>
      </c>
      <c r="DE16">
        <v>6098449539.4191103</v>
      </c>
      <c r="DF16">
        <v>0.22200492072105407</v>
      </c>
      <c r="DG16">
        <v>0.44986412117596225</v>
      </c>
      <c r="DH16">
        <v>12763595116.210855</v>
      </c>
      <c r="DI16">
        <v>0.20182265520095824</v>
      </c>
      <c r="DJ16">
        <v>0.1342926417076242</v>
      </c>
      <c r="DK16">
        <v>42756501227.378983</v>
      </c>
      <c r="DL16">
        <v>0.17659482330083845</v>
      </c>
      <c r="DM16">
        <v>600000000</v>
      </c>
      <c r="DN16">
        <v>0.25227831900119779</v>
      </c>
      <c r="DO16">
        <v>5741883500</v>
      </c>
      <c r="DP16">
        <v>4350718100</v>
      </c>
      <c r="DQ16">
        <v>1660</v>
      </c>
      <c r="DR16">
        <v>-0.47293889524856247</v>
      </c>
      <c r="DS16">
        <v>-1.4726817203675442</v>
      </c>
      <c r="DT16" s="10">
        <v>5.9999999999999908E-2</v>
      </c>
      <c r="DU16">
        <v>0.32000000000000006</v>
      </c>
      <c r="DV16">
        <v>0.37999999999999995</v>
      </c>
      <c r="DW16">
        <v>-3.0170773809523808</v>
      </c>
      <c r="DX16">
        <v>0.42554569536423759</v>
      </c>
      <c r="DY16">
        <v>-3.0024855392857144</v>
      </c>
      <c r="DZ16">
        <v>904</v>
      </c>
      <c r="EA16">
        <v>-3.0020458274433883</v>
      </c>
      <c r="EB16">
        <v>3</v>
      </c>
      <c r="EC16">
        <v>2.8700038461034184E-2</v>
      </c>
      <c r="ED16">
        <v>0.19718919470074542</v>
      </c>
      <c r="EE16" s="11">
        <v>-2.0599099999999999</v>
      </c>
      <c r="EF16">
        <v>-2.0853099999999998</v>
      </c>
      <c r="EG16">
        <v>28.145545695364238</v>
      </c>
      <c r="EH16" t="s">
        <v>1532</v>
      </c>
      <c r="EI16">
        <v>0</v>
      </c>
      <c r="EJ16">
        <v>1</v>
      </c>
      <c r="EK16" s="13">
        <v>45470</v>
      </c>
      <c r="EL16" s="14">
        <v>-0.08</v>
      </c>
      <c r="EM16" s="14">
        <v>-4.13</v>
      </c>
      <c r="EN16" s="14">
        <v>-0.34</v>
      </c>
      <c r="EO16" s="14">
        <v>3.31</v>
      </c>
      <c r="EP16" s="14">
        <v>-2.54</v>
      </c>
    </row>
    <row r="17" spans="1:146" ht="180" x14ac:dyDescent="0.25">
      <c r="A17" s="7"/>
      <c r="B17" s="7"/>
      <c r="C17" s="7" t="str">
        <f>"公司主营业务为医疗电子设备产品和体外诊断产品的研发、生产、销售、服务。主要产品包括多参数监护产品及系统、妇幼保健产品及系统、心电产品及系统、体外诊断、数字超声诊断系统、智慧健康。"&amp;CHAR(10)&amp;Basic_Fundamental_Information_Constructure(F17)&amp;CHAR(10)&amp;Basic_Fundamental_Information_Concatenate("病人监护 5.44亿 31.22% 28.96% 52.57%
妇幼健康 2.99亿 17.17% 19.59% 64.68%
体外诊断 2.97亿 17.03% 17.11% 56.91%
心电诊断 2.84亿 16.29% 17.92% 62.35%
超声影像 2.47亿 14.16% 12.59% 50.41%")</f>
        <v>公司主营业务为医疗电子设备产品和体外诊断产品的研发、生产、销售、服务。主要产品包括多参数监护产品及系统、妇幼保健产品及系统、心电产品及系统、体外诊断、数字超声诊断系统、智慧健康。
市值48.631946亿, 利润2.21亿; PE40.72; 平均PE18.67; 平均PEG.87, PB2.43; ROIC12.1567%; ROE12.94%; 股利率2.4761%; 毛利56.5333%; 净利12.89%; 上一年度营收增11.25%, 利润增-5.15%; 当季营收增-30.62%, 利润增-72.49%; 过往5年营收增21.36%, 利润增73.65%
Income profile:
病人监护 5.44亿 31.22% 28.96% 52.57%
妇幼健康 2.99亿 17.17% 19.59% 64.68%
体外诊断 2.97亿 17.03% 17.11% 56.91%
心电诊断 2.84亿 16.29% 17.92% 62.35%
超声影像 2.47亿 14.16% 12.59% 50.41%</v>
      </c>
      <c r="D17" t="s">
        <v>272</v>
      </c>
      <c r="E17" t="s">
        <v>273</v>
      </c>
      <c r="F17">
        <v>8.36</v>
      </c>
      <c r="G17">
        <v>4.24</v>
      </c>
      <c r="H17" t="s">
        <v>2688</v>
      </c>
      <c r="I17">
        <v>4863194600</v>
      </c>
      <c r="J17">
        <v>40.72</v>
      </c>
      <c r="K17">
        <v>2.4300000000000002</v>
      </c>
      <c r="L17" t="s">
        <v>40</v>
      </c>
      <c r="M17" t="s">
        <v>597</v>
      </c>
      <c r="N17" t="s">
        <v>2689</v>
      </c>
      <c r="O17" t="s">
        <v>359</v>
      </c>
      <c r="P17">
        <v>-30.65</v>
      </c>
      <c r="Q17" t="s">
        <v>1740</v>
      </c>
      <c r="R17">
        <v>38517610</v>
      </c>
      <c r="S17" s="3">
        <v>-0.72560000000000002</v>
      </c>
      <c r="T17" t="s">
        <v>484</v>
      </c>
      <c r="U17">
        <v>340438070</v>
      </c>
      <c r="V17">
        <v>581721850</v>
      </c>
      <c r="W17">
        <v>1.1200000000000001</v>
      </c>
      <c r="X17">
        <v>0.2</v>
      </c>
      <c r="Y17">
        <v>8.76</v>
      </c>
      <c r="Z17" t="s">
        <v>2690</v>
      </c>
      <c r="AA17" t="s">
        <v>517</v>
      </c>
      <c r="AB17" t="s">
        <v>155</v>
      </c>
      <c r="AC17" t="s">
        <v>2691</v>
      </c>
      <c r="AD17" t="s">
        <v>47</v>
      </c>
      <c r="AE17">
        <v>-3192622</v>
      </c>
      <c r="AF17" t="s">
        <v>1741</v>
      </c>
      <c r="AG17" t="s">
        <v>2692</v>
      </c>
      <c r="AH17" t="s">
        <v>1742</v>
      </c>
      <c r="AI17" t="s">
        <v>1546</v>
      </c>
      <c r="AJ17" t="s">
        <v>1743</v>
      </c>
      <c r="AK17" t="s">
        <v>47</v>
      </c>
      <c r="AL17" t="s">
        <v>1744</v>
      </c>
      <c r="AM17" t="s">
        <v>47</v>
      </c>
      <c r="AN17" t="s">
        <v>2693</v>
      </c>
      <c r="AO17" t="s">
        <v>47</v>
      </c>
      <c r="AP17" t="s">
        <v>47</v>
      </c>
      <c r="AQ17" t="s">
        <v>340</v>
      </c>
      <c r="AR17" t="s">
        <v>47</v>
      </c>
      <c r="AS17" t="s">
        <v>1043</v>
      </c>
      <c r="AT17" t="s">
        <v>47</v>
      </c>
      <c r="AU17" t="s">
        <v>2694</v>
      </c>
      <c r="AV17" t="s">
        <v>2695</v>
      </c>
      <c r="AW17" t="s">
        <v>2696</v>
      </c>
      <c r="AX17" t="s">
        <v>1344</v>
      </c>
      <c r="AY17" t="s">
        <v>916</v>
      </c>
      <c r="AZ17" t="s">
        <v>275</v>
      </c>
      <c r="BA17" t="s">
        <v>281</v>
      </c>
      <c r="BB17" t="s">
        <v>127</v>
      </c>
      <c r="BC17" t="s">
        <v>53</v>
      </c>
      <c r="BD17" t="s">
        <v>243</v>
      </c>
      <c r="BE17" t="s">
        <v>276</v>
      </c>
      <c r="BF17" t="s">
        <v>283</v>
      </c>
      <c r="BG17" t="s">
        <v>284</v>
      </c>
      <c r="BH17" t="s">
        <v>1740</v>
      </c>
      <c r="BI17" t="s">
        <v>1502</v>
      </c>
      <c r="BJ17" t="s">
        <v>1344</v>
      </c>
      <c r="BK17" t="s">
        <v>484</v>
      </c>
      <c r="BL17" t="s">
        <v>357</v>
      </c>
      <c r="BM17" t="s">
        <v>53</v>
      </c>
      <c r="BN17">
        <v>11.88</v>
      </c>
      <c r="BO17">
        <v>12.57</v>
      </c>
      <c r="BP17">
        <v>12.02</v>
      </c>
      <c r="BQ17">
        <v>12.43</v>
      </c>
      <c r="BR17">
        <v>13.2</v>
      </c>
      <c r="BS17">
        <v>13.19</v>
      </c>
      <c r="BT17" t="s">
        <v>1212</v>
      </c>
      <c r="BU17" t="s">
        <v>1032</v>
      </c>
      <c r="BV17">
        <v>57.38</v>
      </c>
      <c r="BW17">
        <v>56.25</v>
      </c>
      <c r="BX17">
        <v>55.97</v>
      </c>
      <c r="BY17">
        <v>11.43</v>
      </c>
      <c r="BZ17">
        <v>13.35</v>
      </c>
      <c r="CA17">
        <v>13.89</v>
      </c>
      <c r="CB17">
        <v>-2.68</v>
      </c>
      <c r="CC17">
        <v>-10.49</v>
      </c>
      <c r="CD17" t="s">
        <v>2697</v>
      </c>
      <c r="CE17" t="s">
        <v>286</v>
      </c>
      <c r="CF17" s="8">
        <v>-0.30624999999999991</v>
      </c>
      <c r="CG17" s="9">
        <v>-0.7248742142857143</v>
      </c>
      <c r="CH17" s="8">
        <v>0.11251435428857803</v>
      </c>
      <c r="CI17" s="8">
        <v>6.4792178571224213E-2</v>
      </c>
      <c r="CJ17" s="8">
        <v>-0.29452350735664368</v>
      </c>
      <c r="CK17" s="8">
        <v>1.0413732528686523</v>
      </c>
      <c r="CL17" s="8">
        <v>0.14400805532932281</v>
      </c>
      <c r="CM17" s="9">
        <v>-5.1502145826816559E-2</v>
      </c>
      <c r="CN17" s="9">
        <v>8.6580086499452591E-3</v>
      </c>
      <c r="CO17" s="9">
        <v>-0.64624810218811035</v>
      </c>
      <c r="CP17" s="9">
        <v>3.946969747543335</v>
      </c>
      <c r="CQ17" s="9">
        <v>0.42463979125022888</v>
      </c>
      <c r="CR17">
        <v>18.672814920759862</v>
      </c>
      <c r="CS17">
        <v>0.87406096288852542</v>
      </c>
      <c r="CT17">
        <v>2.4760765550239232</v>
      </c>
      <c r="CU17" s="8">
        <v>0.21363286674022675</v>
      </c>
      <c r="CV17" s="9">
        <v>0.73650345988571642</v>
      </c>
      <c r="CW17">
        <v>0.06</v>
      </c>
      <c r="CX17">
        <v>12.291753021720565</v>
      </c>
      <c r="CY17">
        <v>253031003.34866992</v>
      </c>
      <c r="CZ17">
        <v>0.21363286674022675</v>
      </c>
      <c r="DA17">
        <v>3.623063282894297</v>
      </c>
      <c r="DB17">
        <v>858443355.01515448</v>
      </c>
      <c r="DC17">
        <v>0.20295122340321539</v>
      </c>
      <c r="DD17">
        <v>1.544410605708282</v>
      </c>
      <c r="DE17">
        <v>2013839187.9105453</v>
      </c>
      <c r="DF17">
        <v>0.18799692273139954</v>
      </c>
      <c r="DG17">
        <v>0.78182963283426432</v>
      </c>
      <c r="DH17">
        <v>3978097617.923511</v>
      </c>
      <c r="DI17">
        <v>0.17090629339218141</v>
      </c>
      <c r="DJ17">
        <v>0.26982412881757106</v>
      </c>
      <c r="DK17">
        <v>11526747491.521828</v>
      </c>
      <c r="DL17">
        <v>0.14954300671815871</v>
      </c>
      <c r="DM17">
        <v>221000000</v>
      </c>
      <c r="DN17">
        <v>0.21363286674022675</v>
      </c>
      <c r="DO17">
        <v>3110194600</v>
      </c>
      <c r="DP17">
        <v>1376887200</v>
      </c>
      <c r="DQ17">
        <v>1692</v>
      </c>
      <c r="DR17">
        <v>-0.51988286674022666</v>
      </c>
      <c r="DS17">
        <v>-1.4613776741714308</v>
      </c>
      <c r="DT17" s="10">
        <v>-0.34</v>
      </c>
      <c r="DU17">
        <v>-0.18333333333333343</v>
      </c>
      <c r="DV17">
        <v>-0.52333333333333343</v>
      </c>
      <c r="DW17">
        <v>-8.2554814108674925</v>
      </c>
      <c r="DX17">
        <v>0.47988080000000027</v>
      </c>
      <c r="DY17">
        <v>-8.0357369441372732</v>
      </c>
      <c r="DZ17">
        <v>2916</v>
      </c>
      <c r="EA17">
        <v>-8.0153438073262571</v>
      </c>
      <c r="EB17">
        <v>8</v>
      </c>
      <c r="EC17">
        <v>3.0057492253385359E-2</v>
      </c>
      <c r="ED17">
        <v>0.21487932763742673</v>
      </c>
      <c r="EE17" s="11">
        <v>-2.0180099999999999</v>
      </c>
      <c r="EF17">
        <v>-2.0451100000000002</v>
      </c>
      <c r="EG17">
        <v>34.1398808</v>
      </c>
      <c r="EH17" t="s">
        <v>1532</v>
      </c>
      <c r="EI17">
        <v>0</v>
      </c>
      <c r="EJ17">
        <v>0</v>
      </c>
      <c r="EK17" s="13">
        <v>45470</v>
      </c>
      <c r="EL17" s="14">
        <v>0.11</v>
      </c>
      <c r="EM17" s="14">
        <v>-4.5</v>
      </c>
      <c r="EN17" s="14">
        <v>1.53</v>
      </c>
      <c r="EO17" s="14">
        <v>2.67</v>
      </c>
      <c r="EP17" s="14">
        <v>-2.71</v>
      </c>
    </row>
    <row r="18" spans="1:146" ht="168" x14ac:dyDescent="0.25">
      <c r="A18" s="7" t="s">
        <v>1534</v>
      </c>
      <c r="B18" s="7" t="s">
        <v>871</v>
      </c>
      <c r="C18" s="7" t="str">
        <f>""&amp;CHAR(10)&amp;Basic_Fundamental_Information_Constructure(F18)&amp;CHAR(10)&amp;Basic_Fundamental_Information_Concatenate("生物型硬脑(脊)膜补片29.18%（毛利92.17%） 人工晶体 26.89%（毛利54.79%） 本维莫德乳膏13.94%（毛利85.05%） 代理产品11.35%（毛利66.91%） B型硬脑(脊)膜补片 6.66%（毛利90.75%） 胸普外科修补膜5.61%（毛利90.63%） 细胞技术服务4.54%（毛利41.46%） 无菌生物护创膜 1.48%（毛利84.60%） 乳房补片0.19%（毛利61.43%）肤品0.16%（毛利12.72%）")</f>
        <v xml:space="preserve">
市值24.129169亿, 利润3100.58万; PE103.6; 平均PE-25.14; 平均PEG-14.89, PB4.51; ROIC7.08%; ROE-10.2133%; 股利率0%; 毛利76.83%; 净利-23.7533%; 上一年度营收增7.16%, 利润增110.07%; 当季营收增-19.08%, 利润增-34.93%; 过往5年营收增-1.69%, 利润增-271.24%
Income profile:
生物型硬脑(脊)膜补片29.18%（毛利92.17%） 人工晶体 26.89%（毛利54.79%） 本维莫德乳膏13.94%（毛利85.05%） 代理产品11.35%（毛利66.91%） B型硬脑(脊)膜补片 6.66%（毛利90.75%） 胸普外科修补膜5.61%（毛利90.63%） 细胞技术服务4.54%（毛利41.46%） 无菌生物护创膜 1.48%（毛利84.60%） 乳房补片0.19%（毛利61.43%）肤品0.16%（毛利12.72%）</v>
      </c>
      <c r="D18" t="s">
        <v>287</v>
      </c>
      <c r="E18" t="s">
        <v>288</v>
      </c>
      <c r="F18">
        <v>9.1</v>
      </c>
      <c r="G18">
        <v>4.12</v>
      </c>
      <c r="H18" t="s">
        <v>2698</v>
      </c>
      <c r="I18">
        <v>2412916900</v>
      </c>
      <c r="J18">
        <v>103.6</v>
      </c>
      <c r="K18">
        <v>4.51</v>
      </c>
      <c r="L18" t="s">
        <v>40</v>
      </c>
      <c r="M18" t="s">
        <v>316</v>
      </c>
      <c r="N18" t="s">
        <v>323</v>
      </c>
      <c r="O18" t="s">
        <v>1746</v>
      </c>
      <c r="P18">
        <v>-18.850000000000001</v>
      </c>
      <c r="Q18" t="s">
        <v>96</v>
      </c>
      <c r="R18">
        <v>14391515</v>
      </c>
      <c r="S18" s="3">
        <v>-0.34920000000000001</v>
      </c>
      <c r="T18" t="s">
        <v>1747</v>
      </c>
      <c r="U18">
        <v>265134080</v>
      </c>
      <c r="V18">
        <v>265155700</v>
      </c>
      <c r="W18">
        <v>1.47</v>
      </c>
      <c r="X18">
        <v>0.13</v>
      </c>
      <c r="Y18">
        <v>16.920000000000002</v>
      </c>
      <c r="Z18" t="s">
        <v>2699</v>
      </c>
      <c r="AA18" t="s">
        <v>2700</v>
      </c>
      <c r="AB18" t="s">
        <v>2701</v>
      </c>
      <c r="AC18" t="s">
        <v>2702</v>
      </c>
      <c r="AD18" t="s">
        <v>47</v>
      </c>
      <c r="AE18">
        <v>133937</v>
      </c>
      <c r="AF18" t="s">
        <v>1748</v>
      </c>
      <c r="AG18">
        <v>270.14999999999998</v>
      </c>
      <c r="AH18" t="s">
        <v>1749</v>
      </c>
      <c r="AI18" t="s">
        <v>2703</v>
      </c>
      <c r="AJ18" t="s">
        <v>1750</v>
      </c>
      <c r="AK18" t="s">
        <v>47</v>
      </c>
      <c r="AL18" t="s">
        <v>1751</v>
      </c>
      <c r="AM18" t="s">
        <v>47</v>
      </c>
      <c r="AN18" t="s">
        <v>2704</v>
      </c>
      <c r="AO18" t="s">
        <v>2705</v>
      </c>
      <c r="AP18" t="s">
        <v>47</v>
      </c>
      <c r="AQ18" t="s">
        <v>2706</v>
      </c>
      <c r="AR18" t="s">
        <v>47</v>
      </c>
      <c r="AS18" t="s">
        <v>757</v>
      </c>
      <c r="AT18" t="s">
        <v>2707</v>
      </c>
      <c r="AU18" t="s">
        <v>2708</v>
      </c>
      <c r="AV18" t="s">
        <v>2709</v>
      </c>
      <c r="AW18" t="s">
        <v>2710</v>
      </c>
      <c r="AX18" t="s">
        <v>1345</v>
      </c>
      <c r="AY18" t="s">
        <v>648</v>
      </c>
      <c r="AZ18" t="s">
        <v>289</v>
      </c>
      <c r="BA18" t="s">
        <v>295</v>
      </c>
      <c r="BB18" t="s">
        <v>296</v>
      </c>
      <c r="BC18" t="s">
        <v>1329</v>
      </c>
      <c r="BD18" t="s">
        <v>917</v>
      </c>
      <c r="BE18" t="s">
        <v>290</v>
      </c>
      <c r="BF18" t="s">
        <v>298</v>
      </c>
      <c r="BG18" t="s">
        <v>299</v>
      </c>
      <c r="BH18" t="s">
        <v>96</v>
      </c>
      <c r="BI18" t="s">
        <v>405</v>
      </c>
      <c r="BJ18" t="s">
        <v>1345</v>
      </c>
      <c r="BK18" t="s">
        <v>1747</v>
      </c>
      <c r="BL18" t="s">
        <v>1752</v>
      </c>
      <c r="BM18" t="s">
        <v>1329</v>
      </c>
      <c r="BN18">
        <v>8.1300000000000008</v>
      </c>
      <c r="BO18" t="s">
        <v>47</v>
      </c>
      <c r="BP18">
        <v>6.03</v>
      </c>
      <c r="BQ18">
        <v>8.14</v>
      </c>
      <c r="BR18">
        <v>-48.51</v>
      </c>
      <c r="BS18">
        <v>9.73</v>
      </c>
      <c r="BT18" t="s">
        <v>1208</v>
      </c>
      <c r="BU18" t="s">
        <v>1079</v>
      </c>
      <c r="BV18">
        <v>79.13</v>
      </c>
      <c r="BW18">
        <v>76.25</v>
      </c>
      <c r="BX18">
        <v>75.11</v>
      </c>
      <c r="BY18">
        <v>5.21</v>
      </c>
      <c r="BZ18">
        <v>-86.85</v>
      </c>
      <c r="CA18">
        <v>10.38</v>
      </c>
      <c r="CB18">
        <v>1.1100000000000001</v>
      </c>
      <c r="CC18">
        <v>-12.25</v>
      </c>
      <c r="CD18" t="s">
        <v>2711</v>
      </c>
      <c r="CE18" t="s">
        <v>412</v>
      </c>
      <c r="CF18" s="8">
        <v>-0.19078495575221241</v>
      </c>
      <c r="CG18" s="9">
        <v>-0.34925074495937214</v>
      </c>
      <c r="CH18" s="8">
        <v>7.1618035435676575E-2</v>
      </c>
      <c r="CI18" s="8">
        <v>-0.22903884947299957</v>
      </c>
      <c r="CJ18" s="8">
        <v>0.1189931333065033</v>
      </c>
      <c r="CK18" s="8">
        <v>-2.2831049282103777E-3</v>
      </c>
      <c r="CL18" s="8">
        <v>-4.3668121099472046E-2</v>
      </c>
      <c r="CM18" s="9">
        <v>1.10066819190979</v>
      </c>
      <c r="CN18" s="9">
        <v>-5.1798419952392578</v>
      </c>
      <c r="CO18" s="9">
        <v>0.58143919706344604</v>
      </c>
      <c r="CP18" s="9">
        <v>1.1002041101455688</v>
      </c>
      <c r="CQ18" s="9">
        <v>-11.164711952209473</v>
      </c>
      <c r="CR18">
        <v>-25.136043494249137</v>
      </c>
      <c r="CS18">
        <v>-14.894743520551952</v>
      </c>
      <c r="CT18">
        <v>0</v>
      </c>
      <c r="CU18" s="8">
        <v>-1.6875781351700425E-2</v>
      </c>
      <c r="CV18" s="9">
        <v>-2.7124484896659853</v>
      </c>
      <c r="CW18">
        <v>0.06</v>
      </c>
      <c r="CX18">
        <v>69.7584613201401</v>
      </c>
      <c r="CY18" t="s">
        <v>1753</v>
      </c>
      <c r="CZ18">
        <v>-1.6875781351700425E-2</v>
      </c>
      <c r="DA18">
        <v>23.252820440046701</v>
      </c>
      <c r="DB18" t="s">
        <v>1754</v>
      </c>
      <c r="DC18">
        <v>-1.6031992284115403E-2</v>
      </c>
      <c r="DD18">
        <v>11.626410220023351</v>
      </c>
      <c r="DE18" t="s">
        <v>1755</v>
      </c>
      <c r="DF18">
        <v>-1.4850687589496375E-2</v>
      </c>
      <c r="DG18">
        <v>6.9758461320140102</v>
      </c>
      <c r="DH18" t="s">
        <v>1756</v>
      </c>
      <c r="DI18">
        <v>-1.3500625081360341E-2</v>
      </c>
      <c r="DJ18">
        <v>3.4879230660070051</v>
      </c>
      <c r="DK18" t="s">
        <v>1757</v>
      </c>
      <c r="DL18">
        <v>-1.1813046946190297E-2</v>
      </c>
      <c r="DM18">
        <v>31005800</v>
      </c>
      <c r="DN18">
        <v>-1.6875781351700425E-2</v>
      </c>
      <c r="DO18">
        <v>2162916900</v>
      </c>
      <c r="DP18">
        <v>125841500</v>
      </c>
      <c r="DQ18">
        <v>1723</v>
      </c>
      <c r="DR18">
        <v>-0.17390917440051198</v>
      </c>
      <c r="DS18">
        <v>2.3631977447066133</v>
      </c>
      <c r="DT18" s="10">
        <v>-0.59</v>
      </c>
      <c r="DU18">
        <v>-1.0733333333333333</v>
      </c>
      <c r="DV18">
        <v>-1.6633333333333331</v>
      </c>
      <c r="DW18">
        <v>-2.1225000000000001</v>
      </c>
      <c r="DX18">
        <v>0.42339342105263</v>
      </c>
      <c r="DY18">
        <v>-2.0212406940789474</v>
      </c>
      <c r="DZ18">
        <v>4145</v>
      </c>
      <c r="EA18">
        <v>-2.0040112073945564</v>
      </c>
      <c r="EB18">
        <v>2</v>
      </c>
      <c r="EC18">
        <v>9.9397448367129201E-2</v>
      </c>
      <c r="ED18">
        <v>0.57324809536434629</v>
      </c>
      <c r="EE18" s="11">
        <v>-2.09151</v>
      </c>
      <c r="EF18">
        <v>-2.1143100000000001</v>
      </c>
      <c r="EG18">
        <v>25.17339342105263</v>
      </c>
      <c r="EH18" t="s">
        <v>1532</v>
      </c>
      <c r="EI18">
        <v>0</v>
      </c>
      <c r="EJ18">
        <v>0</v>
      </c>
      <c r="EK18" s="13">
        <v>45470</v>
      </c>
      <c r="EL18" s="14">
        <v>1.95</v>
      </c>
      <c r="EM18" s="14">
        <v>-5.43</v>
      </c>
      <c r="EN18" s="14">
        <v>0.45</v>
      </c>
      <c r="EO18" s="14">
        <v>3.36</v>
      </c>
      <c r="EP18" s="14">
        <v>-2.2799999999999998</v>
      </c>
    </row>
    <row r="19" spans="1:146" ht="192" x14ac:dyDescent="0.25">
      <c r="A19" s="7" t="s">
        <v>887</v>
      </c>
      <c r="B19" s="7" t="s">
        <v>886</v>
      </c>
      <c r="C19" s="7" t="str">
        <f>"公司主营业务是医疗器械产品的研发、生产、销售、服务。主营产品为监护仪设备、心电图机、脉搏血氧仪、中央监护系统、可穿戴医疗产品、血液透析设备（机）、血液透析器、透析液过滤器、血液透析粉/透析液、透析管路、穿刺针、消毒液、透析用制水设备、消毒系统、浓缩液集中配供液系统、腹膜透析设备。"&amp;CHAR(10)&amp;Basic_Fundamental_Information_Constructure(F19)&amp;CHAR(10)&amp;Basic_Fundamental_Information_Concatenate("
血透产品 2.97亿 58.62% 毛利26.76%
监护仪产品 2.02亿 39.95% 毛利48.85%
其他业务 720.80万 1.42% 毛利47.83%")</f>
        <v>公司主营业务是医疗器械产品的研发、生产、销售、服务。主营产品为监护仪设备、心电图机、脉搏血氧仪、中央监护系统、可穿戴医疗产品、血液透析设备（机）、血液透析器、透析液过滤器、血液透析粉/透析液、透析管路、穿刺针、消毒液、透析用制水设备、消毒系统、浓缩液集中配供液系统、腹膜透析设备。
市值15.609954亿, 利润-6518.51万; PE; 平均PE18.9; 平均PEG1.63, PB1.25; ROIC3.5767%; ROE4.3967%; 股利率0%; 毛利31.7967%; 净利1.04%; 上一年度营收增.84%, 利润增-394.52%; 当季营收增-22.61%, 利润增-86.65%; 过往5年营收增11.63%, 利润增-21.18%
Income profile:
血透产品 2.97亿 58.62% 毛利26.76%
监护仪产品 2.02亿 39.95% 毛利48.85%
其他业务 720.80万 1.42% 毛利47.83%</v>
      </c>
      <c r="D19" t="s">
        <v>302</v>
      </c>
      <c r="E19" t="s">
        <v>303</v>
      </c>
      <c r="F19">
        <v>5.9</v>
      </c>
      <c r="G19">
        <v>3.51</v>
      </c>
      <c r="H19" t="s">
        <v>2712</v>
      </c>
      <c r="I19">
        <v>1560995400</v>
      </c>
      <c r="K19">
        <v>1.25</v>
      </c>
      <c r="L19" t="s">
        <v>40</v>
      </c>
      <c r="M19" t="s">
        <v>447</v>
      </c>
      <c r="N19" t="s">
        <v>2713</v>
      </c>
      <c r="O19" t="s">
        <v>279</v>
      </c>
      <c r="P19">
        <v>-22.55</v>
      </c>
      <c r="Q19" t="s">
        <v>982</v>
      </c>
      <c r="R19">
        <v>3627075</v>
      </c>
      <c r="S19" s="3">
        <v>-0.86650000000000005</v>
      </c>
      <c r="T19" t="s">
        <v>1758</v>
      </c>
      <c r="U19">
        <v>211296280</v>
      </c>
      <c r="V19">
        <v>264575490</v>
      </c>
      <c r="W19">
        <v>1.86</v>
      </c>
      <c r="X19">
        <v>0.1</v>
      </c>
      <c r="Y19">
        <v>1.66</v>
      </c>
      <c r="Z19" t="s">
        <v>238</v>
      </c>
      <c r="AA19" t="s">
        <v>580</v>
      </c>
      <c r="AB19" t="s">
        <v>2714</v>
      </c>
      <c r="AC19" t="s">
        <v>2715</v>
      </c>
      <c r="AD19" t="s">
        <v>47</v>
      </c>
      <c r="AE19">
        <v>1210479</v>
      </c>
      <c r="AF19" t="s">
        <v>1759</v>
      </c>
      <c r="AG19" t="s">
        <v>2716</v>
      </c>
      <c r="AH19" t="s">
        <v>1760</v>
      </c>
      <c r="AI19" t="s">
        <v>103</v>
      </c>
      <c r="AJ19" t="s">
        <v>1761</v>
      </c>
      <c r="AK19" t="s">
        <v>2717</v>
      </c>
      <c r="AL19" t="s">
        <v>1762</v>
      </c>
      <c r="AM19" t="s">
        <v>47</v>
      </c>
      <c r="AN19" t="s">
        <v>1505</v>
      </c>
      <c r="AO19" t="s">
        <v>2199</v>
      </c>
      <c r="AP19" t="s">
        <v>2718</v>
      </c>
      <c r="AQ19" t="s">
        <v>130</v>
      </c>
      <c r="AR19" t="s">
        <v>2719</v>
      </c>
      <c r="AS19" t="s">
        <v>2720</v>
      </c>
      <c r="AT19" t="s">
        <v>122</v>
      </c>
      <c r="AU19" t="s">
        <v>2721</v>
      </c>
      <c r="AV19" t="s">
        <v>2722</v>
      </c>
      <c r="AW19" t="s">
        <v>245</v>
      </c>
      <c r="AX19" t="s">
        <v>651</v>
      </c>
      <c r="AY19" t="s">
        <v>919</v>
      </c>
      <c r="AZ19" t="s">
        <v>304</v>
      </c>
      <c r="BA19" t="s">
        <v>310</v>
      </c>
      <c r="BB19" t="s">
        <v>311</v>
      </c>
      <c r="BC19" t="s">
        <v>1764</v>
      </c>
      <c r="BD19" t="s">
        <v>920</v>
      </c>
      <c r="BE19" t="s">
        <v>305</v>
      </c>
      <c r="BF19" t="s">
        <v>314</v>
      </c>
      <c r="BG19" t="s">
        <v>315</v>
      </c>
      <c r="BH19" t="s">
        <v>982</v>
      </c>
      <c r="BI19" t="s">
        <v>1050</v>
      </c>
      <c r="BJ19" t="s">
        <v>651</v>
      </c>
      <c r="BK19" t="s">
        <v>1758</v>
      </c>
      <c r="BL19" t="s">
        <v>1765</v>
      </c>
      <c r="BM19" t="s">
        <v>1764</v>
      </c>
      <c r="BN19">
        <v>3.43</v>
      </c>
      <c r="BO19">
        <v>1.88</v>
      </c>
      <c r="BP19">
        <v>5.42</v>
      </c>
      <c r="BQ19">
        <v>4.49</v>
      </c>
      <c r="BR19">
        <v>1.6</v>
      </c>
      <c r="BS19">
        <v>7.1</v>
      </c>
      <c r="BT19" t="s">
        <v>1208</v>
      </c>
      <c r="BU19" t="s">
        <v>1032</v>
      </c>
      <c r="BV19">
        <v>32.54</v>
      </c>
      <c r="BW19">
        <v>30.18</v>
      </c>
      <c r="BX19">
        <v>32.67</v>
      </c>
      <c r="BY19">
        <v>-5.1100000000000003</v>
      </c>
      <c r="BZ19">
        <v>2.0699999999999998</v>
      </c>
      <c r="CA19">
        <v>6.16</v>
      </c>
      <c r="CB19">
        <v>-2.48</v>
      </c>
      <c r="CC19">
        <v>-14.49</v>
      </c>
      <c r="CD19" t="s">
        <v>2723</v>
      </c>
      <c r="CE19" t="s">
        <v>2724</v>
      </c>
      <c r="CF19" s="8">
        <v>-0.22608695652173913</v>
      </c>
      <c r="CG19" s="9">
        <v>-0.86646608153978688</v>
      </c>
      <c r="CH19" s="8">
        <v>8.44594556838274E-3</v>
      </c>
      <c r="CI19" s="8">
        <v>8.5242830216884613E-2</v>
      </c>
      <c r="CJ19" s="8">
        <v>-0.21848133206367493</v>
      </c>
      <c r="CK19" s="8">
        <v>0.69007265567779541</v>
      </c>
      <c r="CL19" s="8">
        <v>1.5990160405635834E-2</v>
      </c>
      <c r="CM19" s="9">
        <v>-3.9452073574066162</v>
      </c>
      <c r="CN19" s="9">
        <v>-0.65305382013320923</v>
      </c>
      <c r="CO19" s="9">
        <v>-0.8156282901763916</v>
      </c>
      <c r="CP19" s="9">
        <v>4.3467011451721191</v>
      </c>
      <c r="CQ19" s="9">
        <v>8.0911740660667419E-3</v>
      </c>
      <c r="CR19">
        <v>18.896484045174955</v>
      </c>
      <c r="CS19">
        <v>1.6254473479783251</v>
      </c>
      <c r="CT19">
        <v>0</v>
      </c>
      <c r="CU19" s="8">
        <v>0.11625405196100473</v>
      </c>
      <c r="CV19" s="9">
        <v>-0.21181942969560624</v>
      </c>
      <c r="CW19">
        <v>0.06</v>
      </c>
      <c r="CX19" t="e">
        <v>#VALUE!</v>
      </c>
      <c r="CY19" t="s">
        <v>1038</v>
      </c>
      <c r="CZ19">
        <v>0.11625405196100473</v>
      </c>
      <c r="DA19" t="e">
        <v>#VALUE!</v>
      </c>
      <c r="DB19" t="s">
        <v>1038</v>
      </c>
      <c r="DC19">
        <v>0.11044134936295449</v>
      </c>
      <c r="DD19" t="e">
        <v>#VALUE!</v>
      </c>
      <c r="DE19" t="s">
        <v>1038</v>
      </c>
      <c r="DF19">
        <v>0.10230356572568416</v>
      </c>
      <c r="DG19" t="e">
        <v>#VALUE!</v>
      </c>
      <c r="DH19" t="s">
        <v>1038</v>
      </c>
      <c r="DI19">
        <v>9.3003241568803796E-2</v>
      </c>
      <c r="DJ19" t="e">
        <v>#VALUE!</v>
      </c>
      <c r="DK19" t="s">
        <v>1038</v>
      </c>
      <c r="DL19">
        <v>8.1377836372703308E-2</v>
      </c>
      <c r="DM19">
        <v>-65185100</v>
      </c>
      <c r="DN19">
        <v>0.11625405196100473</v>
      </c>
      <c r="DO19">
        <v>1319995400</v>
      </c>
      <c r="DP19">
        <v>648813300</v>
      </c>
      <c r="DQ19">
        <v>1731</v>
      </c>
      <c r="DR19">
        <v>-0.34234100848274385</v>
      </c>
      <c r="DS19">
        <v>-0.65464665184418069</v>
      </c>
      <c r="DT19" s="10">
        <v>-0.34</v>
      </c>
      <c r="DU19">
        <v>-1.4383333333333335</v>
      </c>
      <c r="DV19">
        <v>-1.7783333333333335</v>
      </c>
      <c r="DW19">
        <v>-2.1448999999999998</v>
      </c>
      <c r="DX19">
        <v>0.47176461190525587</v>
      </c>
      <c r="DY19">
        <v>-2.0306846922650714</v>
      </c>
      <c r="DZ19">
        <v>4237</v>
      </c>
      <c r="EA19">
        <v>-2.0052422184632892</v>
      </c>
      <c r="EB19">
        <v>2</v>
      </c>
      <c r="EC19">
        <v>7.2944776555076959E-2</v>
      </c>
      <c r="ED19">
        <v>0.34446161282740134</v>
      </c>
      <c r="EE19" s="11">
        <v>-2.0567000000000002</v>
      </c>
      <c r="EF19">
        <v>-2.0453000000000001</v>
      </c>
      <c r="EG19">
        <v>26.211764611905256</v>
      </c>
      <c r="EH19" t="s">
        <v>1336</v>
      </c>
      <c r="EI19">
        <v>0</v>
      </c>
      <c r="EJ19">
        <v>0</v>
      </c>
      <c r="EK19" s="13">
        <v>45470</v>
      </c>
      <c r="EL19" s="14">
        <v>-0.81</v>
      </c>
      <c r="EM19" s="14">
        <v>-5.4</v>
      </c>
      <c r="EN19" s="14">
        <v>0.87</v>
      </c>
      <c r="EO19" s="14">
        <v>5.32</v>
      </c>
      <c r="EP19" s="14">
        <v>-1.1399999999999999</v>
      </c>
    </row>
    <row r="20" spans="1:146" ht="96" x14ac:dyDescent="0.25">
      <c r="A20" s="7"/>
      <c r="B20" s="7"/>
      <c r="C20" s="7" t="str">
        <f>""&amp;CHAR(10)&amp;Basic_Fundamental_Information_Constructure(F20)&amp;CHAR(10)&amp;Basic_Fundamental_Information_Concatenate("")</f>
        <v xml:space="preserve">
市值21.651657亿, 利润1533.74万; PE499.3; 平均PE-571.84; 平均PEG-145.76, PB1.24; ROIC1.775%; ROE-.0733%; 股利率.2513%; 毛利50.8067%; 净利2.7233%; 上一年度营收增-34.56%, 利润增127.26%; 当季营收增-12.39%, 利润增-132.61%; 过往5年营收增-3.92%, 利润增-214.45%
Income profile:
</v>
      </c>
      <c r="D20" t="s">
        <v>320</v>
      </c>
      <c r="E20" t="s">
        <v>321</v>
      </c>
      <c r="F20">
        <v>3.98</v>
      </c>
      <c r="G20">
        <v>3.92</v>
      </c>
      <c r="H20" t="s">
        <v>2725</v>
      </c>
      <c r="I20">
        <v>2165165700</v>
      </c>
      <c r="J20">
        <v>499.3</v>
      </c>
      <c r="K20">
        <v>1.24</v>
      </c>
      <c r="L20" t="s">
        <v>40</v>
      </c>
      <c r="M20" t="s">
        <v>478</v>
      </c>
      <c r="N20" t="s">
        <v>2726</v>
      </c>
      <c r="O20" t="s">
        <v>1766</v>
      </c>
      <c r="P20">
        <v>-12.51</v>
      </c>
      <c r="Q20" t="s">
        <v>1049</v>
      </c>
      <c r="R20">
        <v>-2705088</v>
      </c>
      <c r="S20" s="3">
        <v>-1.3260000000000001</v>
      </c>
      <c r="T20" t="s">
        <v>1767</v>
      </c>
      <c r="U20">
        <v>416943340</v>
      </c>
      <c r="V20">
        <v>544011490</v>
      </c>
      <c r="W20">
        <v>1.06</v>
      </c>
      <c r="X20">
        <v>0.05</v>
      </c>
      <c r="Y20">
        <v>-2.0699999999999998</v>
      </c>
      <c r="Z20" t="s">
        <v>2727</v>
      </c>
      <c r="AA20" t="s">
        <v>2728</v>
      </c>
      <c r="AB20" t="s">
        <v>2729</v>
      </c>
      <c r="AC20" t="s">
        <v>2730</v>
      </c>
      <c r="AD20" t="s">
        <v>47</v>
      </c>
      <c r="AE20">
        <v>-2774499</v>
      </c>
      <c r="AF20" t="s">
        <v>1769</v>
      </c>
      <c r="AG20" t="s">
        <v>2731</v>
      </c>
      <c r="AH20" t="s">
        <v>1770</v>
      </c>
      <c r="AI20" t="s">
        <v>2732</v>
      </c>
      <c r="AJ20" t="s">
        <v>1771</v>
      </c>
      <c r="AK20" t="s">
        <v>47</v>
      </c>
      <c r="AL20" t="s">
        <v>1772</v>
      </c>
      <c r="AM20" t="s">
        <v>47</v>
      </c>
      <c r="AN20" t="s">
        <v>1773</v>
      </c>
      <c r="AO20" t="s">
        <v>47</v>
      </c>
      <c r="AP20" t="s">
        <v>47</v>
      </c>
      <c r="AQ20" t="s">
        <v>2733</v>
      </c>
      <c r="AR20" t="s">
        <v>2734</v>
      </c>
      <c r="AS20" t="s">
        <v>2735</v>
      </c>
      <c r="AT20" t="s">
        <v>47</v>
      </c>
      <c r="AU20" t="s">
        <v>2736</v>
      </c>
      <c r="AV20" t="s">
        <v>235</v>
      </c>
      <c r="AW20" t="s">
        <v>2737</v>
      </c>
      <c r="AX20" t="s">
        <v>132</v>
      </c>
      <c r="AY20" t="s">
        <v>133</v>
      </c>
      <c r="AZ20" t="s">
        <v>323</v>
      </c>
      <c r="BA20" t="s">
        <v>327</v>
      </c>
      <c r="BB20" t="s">
        <v>328</v>
      </c>
      <c r="BC20" t="s">
        <v>1347</v>
      </c>
      <c r="BD20" t="s">
        <v>921</v>
      </c>
      <c r="BE20" t="s">
        <v>324</v>
      </c>
      <c r="BF20" t="s">
        <v>330</v>
      </c>
      <c r="BG20" t="s">
        <v>331</v>
      </c>
      <c r="BH20" t="s">
        <v>1049</v>
      </c>
      <c r="BI20" t="s">
        <v>363</v>
      </c>
      <c r="BJ20" t="s">
        <v>132</v>
      </c>
      <c r="BK20" t="s">
        <v>1767</v>
      </c>
      <c r="BL20" t="s">
        <v>1774</v>
      </c>
      <c r="BM20" t="s">
        <v>1347</v>
      </c>
      <c r="BN20">
        <v>1.21</v>
      </c>
      <c r="BO20" t="s">
        <v>47</v>
      </c>
      <c r="BP20">
        <v>2.34</v>
      </c>
      <c r="BQ20">
        <v>1.37</v>
      </c>
      <c r="BR20">
        <v>-3.13</v>
      </c>
      <c r="BS20">
        <v>1.54</v>
      </c>
      <c r="BT20" t="s">
        <v>1216</v>
      </c>
      <c r="BU20" t="s">
        <v>1075</v>
      </c>
      <c r="BV20">
        <v>57.4</v>
      </c>
      <c r="BW20">
        <v>42.55</v>
      </c>
      <c r="BX20">
        <v>52.47</v>
      </c>
      <c r="BY20">
        <v>4.91</v>
      </c>
      <c r="BZ20">
        <v>-5.0999999999999996</v>
      </c>
      <c r="CA20">
        <v>8.36</v>
      </c>
      <c r="CB20">
        <v>3.38</v>
      </c>
      <c r="CC20">
        <v>-11.95</v>
      </c>
      <c r="CD20" t="s">
        <v>2738</v>
      </c>
      <c r="CE20" t="s">
        <v>55</v>
      </c>
      <c r="CF20" s="8">
        <v>-0.12385092592592592</v>
      </c>
      <c r="CG20" s="9">
        <v>-1.3260595687234069</v>
      </c>
      <c r="CH20" s="8">
        <v>-0.34560906887054443</v>
      </c>
      <c r="CI20" s="8">
        <v>0.25177305936813354</v>
      </c>
      <c r="CJ20" s="8">
        <v>0.19491524994373322</v>
      </c>
      <c r="CK20" s="8">
        <v>-8.3495147526264191E-2</v>
      </c>
      <c r="CL20" s="8">
        <v>-0.21374045312404633</v>
      </c>
      <c r="CM20" s="9">
        <v>1.2725592851638794</v>
      </c>
      <c r="CN20" s="9">
        <v>-3.5099825859069824</v>
      </c>
      <c r="CO20" s="9">
        <v>1.4397326707839966</v>
      </c>
      <c r="CP20" s="9">
        <v>-9.0808506011962891</v>
      </c>
      <c r="CQ20" s="9">
        <v>-0.84410834312438965</v>
      </c>
      <c r="CR20">
        <v>-571.83705431816179</v>
      </c>
      <c r="CS20">
        <v>-145.76051821845522</v>
      </c>
      <c r="CT20">
        <v>0.25125628140703521</v>
      </c>
      <c r="CU20" s="8">
        <v>-3.9231272041797639E-2</v>
      </c>
      <c r="CV20" s="9">
        <v>-2.1445299148559571</v>
      </c>
      <c r="CW20">
        <v>0.06</v>
      </c>
      <c r="CX20" t="e">
        <v>#VALUE!</v>
      </c>
      <c r="CY20" t="s">
        <v>1633</v>
      </c>
      <c r="CZ20">
        <v>-3.9231272041797639E-2</v>
      </c>
      <c r="DA20">
        <v>10.761617570992041</v>
      </c>
      <c r="DB20" t="s">
        <v>1775</v>
      </c>
      <c r="DC20">
        <v>-3.7269708439707755E-2</v>
      </c>
      <c r="DD20">
        <v>5.3808087854960203</v>
      </c>
      <c r="DE20" t="s">
        <v>1776</v>
      </c>
      <c r="DF20">
        <v>-3.4523519396781922E-2</v>
      </c>
      <c r="DG20">
        <v>3.2284852712976124</v>
      </c>
      <c r="DH20" t="s">
        <v>1777</v>
      </c>
      <c r="DI20">
        <v>-3.1385017633438116E-2</v>
      </c>
      <c r="DJ20">
        <v>1.6142426356488062</v>
      </c>
      <c r="DK20" t="s">
        <v>1778</v>
      </c>
      <c r="DL20">
        <v>-2.7461890429258347E-2</v>
      </c>
      <c r="DM20">
        <v>15337400</v>
      </c>
      <c r="DN20">
        <v>-3.9231272041797639E-2</v>
      </c>
      <c r="DO20">
        <v>495165700</v>
      </c>
      <c r="DP20">
        <v>1009304560</v>
      </c>
      <c r="DQ20">
        <v>1773</v>
      </c>
      <c r="DR20">
        <v>-8.4619653884128287E-2</v>
      </c>
      <c r="DS20">
        <v>0.81847034613255021</v>
      </c>
      <c r="DT20" s="10">
        <v>-0.42333333333333334</v>
      </c>
      <c r="DU20">
        <v>-1.8650000000000002</v>
      </c>
      <c r="DV20">
        <v>-2.2883333333333336</v>
      </c>
      <c r="DW20">
        <v>6.2204827136333982</v>
      </c>
      <c r="DX20">
        <v>0.36708119658119798</v>
      </c>
      <c r="DY20">
        <v>6.028019207074002</v>
      </c>
      <c r="DZ20">
        <v>4573</v>
      </c>
      <c r="EA20">
        <v>6.0029444841876201</v>
      </c>
      <c r="EB20">
        <v>6</v>
      </c>
      <c r="EC20">
        <v>2.7331224198959475E-2</v>
      </c>
      <c r="ED20">
        <v>0.21506898687011189</v>
      </c>
      <c r="EE20" s="11">
        <v>-5.1334</v>
      </c>
      <c r="EF20">
        <v>-5.1182999999999996</v>
      </c>
      <c r="EG20">
        <v>24.127081196581198</v>
      </c>
      <c r="EH20" t="s">
        <v>1603</v>
      </c>
      <c r="EI20">
        <v>0</v>
      </c>
      <c r="EJ20">
        <v>0</v>
      </c>
      <c r="EK20" s="13">
        <v>45470</v>
      </c>
      <c r="EL20" s="14">
        <v>1.28</v>
      </c>
      <c r="EM20" s="14">
        <v>-5.81</v>
      </c>
      <c r="EN20" s="14">
        <v>2.14</v>
      </c>
      <c r="EO20" s="14">
        <v>4.2</v>
      </c>
      <c r="EP20" s="14">
        <v>-1.51</v>
      </c>
    </row>
    <row r="21" spans="1:146" ht="168" x14ac:dyDescent="0.25">
      <c r="A21" s="7" t="s">
        <v>1070</v>
      </c>
      <c r="B21" s="7" t="s">
        <v>872</v>
      </c>
      <c r="C21" s="7" t="str">
        <f>"公司致力于利用生物传感技术研发、生产、销售快速检测慢性疾病。其主要产品有血糖监测系统、血脂检测系统、糖化血红蛋白检测系统。"&amp;CHAR(10)&amp;Basic_Fundamental_Information_Constructure(F21)&amp;CHAR(10)&amp;Basic_Fundamental_Information_Concatenate("血糖监测系统 18.37亿 77.82% 100.00% 65.73%
其他 2.06亿 8.71% - - - -
血脂检测系统 1.85亿 7.83% - - - -
糖化血红蛋白检测 1.33亿 5.65% - - - -
")</f>
        <v xml:space="preserve">公司致力于利用生物传感技术研发、生产、销售快速检测慢性疾病。其主要产品有血糖监测系统、血脂检测系统、糖化血红蛋白检测系统。
市值132.32023亿, 利润2.84亿; PE43.3; 平均PE50.03; 平均PEG2.17, PB4.43; ROIC6.88%; ROE9.45%; 股利率.8529%; 毛利57.58%; 净利8.19%; 上一年度营收增2.71%, 利润增-36.47%; 当季营收增14.97%, 利润增35.51%; 过往5年营收增23.05%, 利润增38.13%
Income profile:
血糖监测系统 18.37亿 77.82% 100.00% 65.73%
其他 2.06亿 8.71% - - - -
血脂检测系统 1.85亿 7.83% - - - -
糖化血红蛋白检测 1.33亿 5.65% - - - -
</v>
      </c>
      <c r="D21" t="s">
        <v>332</v>
      </c>
      <c r="E21" t="s">
        <v>333</v>
      </c>
      <c r="F21">
        <v>23.45</v>
      </c>
      <c r="G21">
        <v>1.25</v>
      </c>
      <c r="H21" t="s">
        <v>2739</v>
      </c>
      <c r="I21">
        <v>13232023000</v>
      </c>
      <c r="J21">
        <v>43.3</v>
      </c>
      <c r="K21">
        <v>4.43</v>
      </c>
      <c r="L21" t="s">
        <v>40</v>
      </c>
      <c r="M21" t="s">
        <v>1779</v>
      </c>
      <c r="N21" t="s">
        <v>2740</v>
      </c>
      <c r="O21" t="s">
        <v>1548</v>
      </c>
      <c r="P21">
        <v>14.92</v>
      </c>
      <c r="Q21" t="s">
        <v>1780</v>
      </c>
      <c r="R21">
        <v>80937583</v>
      </c>
      <c r="S21" s="3">
        <v>0.35510000000000003</v>
      </c>
      <c r="T21" t="s">
        <v>461</v>
      </c>
      <c r="U21">
        <v>455345720</v>
      </c>
      <c r="V21">
        <v>564265380</v>
      </c>
      <c r="W21">
        <v>1.66</v>
      </c>
      <c r="X21">
        <v>0.17</v>
      </c>
      <c r="Y21">
        <v>9.0399999999999991</v>
      </c>
      <c r="Z21" t="s">
        <v>2741</v>
      </c>
      <c r="AA21" t="s">
        <v>922</v>
      </c>
      <c r="AB21" t="s">
        <v>597</v>
      </c>
      <c r="AC21" t="s">
        <v>2742</v>
      </c>
      <c r="AD21" t="s">
        <v>47</v>
      </c>
      <c r="AE21">
        <v>859205</v>
      </c>
      <c r="AF21" t="s">
        <v>1781</v>
      </c>
      <c r="AG21" t="s">
        <v>2743</v>
      </c>
      <c r="AH21" t="s">
        <v>1782</v>
      </c>
      <c r="AI21" t="s">
        <v>189</v>
      </c>
      <c r="AJ21" t="s">
        <v>1783</v>
      </c>
      <c r="AK21" t="s">
        <v>47</v>
      </c>
      <c r="AL21" t="s">
        <v>1784</v>
      </c>
      <c r="AM21" t="s">
        <v>47</v>
      </c>
      <c r="AN21" t="s">
        <v>201</v>
      </c>
      <c r="AO21" t="s">
        <v>2744</v>
      </c>
      <c r="AP21" t="s">
        <v>2745</v>
      </c>
      <c r="AQ21" t="s">
        <v>489</v>
      </c>
      <c r="AR21" t="s">
        <v>2746</v>
      </c>
      <c r="AS21" t="s">
        <v>2262</v>
      </c>
      <c r="AT21" t="s">
        <v>1504</v>
      </c>
      <c r="AU21" t="s">
        <v>2747</v>
      </c>
      <c r="AV21" t="s">
        <v>2748</v>
      </c>
      <c r="AW21" t="s">
        <v>2749</v>
      </c>
      <c r="AX21" t="s">
        <v>1785</v>
      </c>
      <c r="AY21" t="s">
        <v>923</v>
      </c>
      <c r="AZ21" t="s">
        <v>334</v>
      </c>
      <c r="BA21" t="s">
        <v>76</v>
      </c>
      <c r="BB21" t="s">
        <v>336</v>
      </c>
      <c r="BC21" t="s">
        <v>658</v>
      </c>
      <c r="BD21" t="s">
        <v>363</v>
      </c>
      <c r="BE21" t="s">
        <v>129</v>
      </c>
      <c r="BF21" t="s">
        <v>338</v>
      </c>
      <c r="BG21" t="s">
        <v>339</v>
      </c>
      <c r="BH21" t="s">
        <v>1780</v>
      </c>
      <c r="BI21" t="s">
        <v>1786</v>
      </c>
      <c r="BJ21" t="s">
        <v>1785</v>
      </c>
      <c r="BK21" t="s">
        <v>461</v>
      </c>
      <c r="BL21" t="s">
        <v>1787</v>
      </c>
      <c r="BM21" t="s">
        <v>658</v>
      </c>
      <c r="BN21">
        <v>6.4</v>
      </c>
      <c r="BO21">
        <v>10.67</v>
      </c>
      <c r="BP21">
        <v>3.57</v>
      </c>
      <c r="BQ21">
        <v>9.76</v>
      </c>
      <c r="BR21">
        <v>14.72</v>
      </c>
      <c r="BS21">
        <v>3.87</v>
      </c>
      <c r="BT21" t="s">
        <v>1213</v>
      </c>
      <c r="BU21" t="s">
        <v>1032</v>
      </c>
      <c r="BV21">
        <v>54.06</v>
      </c>
      <c r="BW21">
        <v>58.71</v>
      </c>
      <c r="BX21">
        <v>59.97</v>
      </c>
      <c r="BY21">
        <v>4.83</v>
      </c>
      <c r="BZ21">
        <v>15.21</v>
      </c>
      <c r="CA21">
        <v>4.53</v>
      </c>
      <c r="CB21">
        <v>-7.46</v>
      </c>
      <c r="CC21">
        <v>-7.86</v>
      </c>
      <c r="CD21" t="s">
        <v>2750</v>
      </c>
      <c r="CE21" t="s">
        <v>180</v>
      </c>
      <c r="CF21" s="8">
        <v>0.14965986394557823</v>
      </c>
      <c r="CG21" s="9">
        <v>0.35511419362940017</v>
      </c>
      <c r="CH21" s="8">
        <v>2.7074914425611496E-2</v>
      </c>
      <c r="CI21" s="8">
        <v>0.67386704683303833</v>
      </c>
      <c r="CJ21" s="8">
        <v>0.17171216011047363</v>
      </c>
      <c r="CK21" s="8">
        <v>0.13329580426216125</v>
      </c>
      <c r="CL21" s="8">
        <v>0.14635714888572693</v>
      </c>
      <c r="CM21" s="9">
        <v>-0.36465322971343994</v>
      </c>
      <c r="CN21" s="9">
        <v>3.1388888359069824</v>
      </c>
      <c r="CO21" s="9">
        <v>-0.42245990037918091</v>
      </c>
      <c r="CP21" s="9">
        <v>-0.25498008728027344</v>
      </c>
      <c r="CQ21" s="9">
        <v>-0.19032257795333862</v>
      </c>
      <c r="CR21">
        <v>50.026551984877123</v>
      </c>
      <c r="CS21">
        <v>2.1707126985159619</v>
      </c>
      <c r="CT21">
        <v>0.85287846481876339</v>
      </c>
      <c r="CU21" s="8">
        <v>0.23046141490340233</v>
      </c>
      <c r="CV21" s="9">
        <v>0.3812946081161499</v>
      </c>
      <c r="CW21">
        <v>0.06</v>
      </c>
      <c r="CX21">
        <v>36.933884392835715</v>
      </c>
      <c r="CY21">
        <v>329670794.18166631</v>
      </c>
      <c r="CZ21">
        <v>0.23046141490340233</v>
      </c>
      <c r="DA21">
        <v>10.73724834679571</v>
      </c>
      <c r="DB21">
        <v>1133998451.6269162</v>
      </c>
      <c r="DC21">
        <v>0.21893834415823221</v>
      </c>
      <c r="DD21">
        <v>4.4859465945630941</v>
      </c>
      <c r="DE21">
        <v>2714259464.157949</v>
      </c>
      <c r="DF21">
        <v>0.20280604511499406</v>
      </c>
      <c r="DG21">
        <v>2.2149563609535097</v>
      </c>
      <c r="DH21">
        <v>5497184149.8305559</v>
      </c>
      <c r="DI21">
        <v>0.18436913192272186</v>
      </c>
      <c r="DJ21">
        <v>0.71825936558015291</v>
      </c>
      <c r="DK21">
        <v>16952125629.667459</v>
      </c>
      <c r="DL21">
        <v>0.16132299043238163</v>
      </c>
      <c r="DM21">
        <v>284000000</v>
      </c>
      <c r="DN21">
        <v>0.23046141490340233</v>
      </c>
      <c r="DO21">
        <v>12176023000</v>
      </c>
      <c r="DP21">
        <v>824458100</v>
      </c>
      <c r="DQ21">
        <v>1781</v>
      </c>
      <c r="DR21">
        <v>-8.0801550957824098E-2</v>
      </c>
      <c r="DS21">
        <v>-2.6180414486749737E-2</v>
      </c>
      <c r="DT21" s="10">
        <v>-6.6666666666666714E-3</v>
      </c>
      <c r="DU21">
        <v>3.6666666666666702E-2</v>
      </c>
      <c r="DV21">
        <v>3.000000000000003E-2</v>
      </c>
      <c r="DW21">
        <v>-9.9491094147582704</v>
      </c>
      <c r="DX21">
        <v>0.36807438016528859</v>
      </c>
      <c r="DY21">
        <v>-9.1500298824469546</v>
      </c>
      <c r="DZ21">
        <v>1634</v>
      </c>
      <c r="EA21">
        <v>-9.102055552130258</v>
      </c>
      <c r="EB21">
        <v>9</v>
      </c>
      <c r="EC21">
        <v>3.389717086665852E-2</v>
      </c>
      <c r="ED21">
        <v>0.21443810711902969</v>
      </c>
      <c r="EE21" s="11">
        <v>3.0407099999999998</v>
      </c>
      <c r="EF21">
        <v>3.0373100000000002</v>
      </c>
      <c r="EG21">
        <v>21.158074380165289</v>
      </c>
      <c r="EH21" t="s">
        <v>1601</v>
      </c>
      <c r="EI21">
        <v>0</v>
      </c>
      <c r="EJ21">
        <v>0</v>
      </c>
      <c r="EK21" s="13">
        <v>45470</v>
      </c>
      <c r="EL21" s="14">
        <v>1.18</v>
      </c>
      <c r="EM21" s="14">
        <v>-2.86</v>
      </c>
      <c r="EN21" s="14">
        <v>-2.0299999999999998</v>
      </c>
      <c r="EO21" s="14">
        <v>7.32</v>
      </c>
      <c r="EP21" s="14">
        <v>0.34</v>
      </c>
    </row>
    <row r="22" spans="1:146" ht="168" x14ac:dyDescent="0.25">
      <c r="A22" s="7" t="s">
        <v>873</v>
      </c>
      <c r="B22" s="7" t="s">
        <v>874</v>
      </c>
      <c r="C22" s="7" t="str">
        <f>"公司是一家国内知名的婴儿保育设备专业制造商"&amp;CHAR(10)&amp;Basic_Fundamental_Information_Constructure(F22)&amp;CHAR(10)&amp;Basic_Fundamental_Information_Concatenate("培养箱系列 1.89亿 41.12%（毛利52.12%，增速18.38%）
吻合器和组件系列 1.14亿 24.90%（毛利73.98%增速159.03%）
辐射保暖台系列 6914.09万 15.05%（毛利60.36%，增速12.49%）
其他产品 5981.44万 13.02%（毛利49.34%）
黄疸治疗系列 2328.46万 5.07%（毛利52.89%，增速-4.79%）
其他业务收入 390.13万 0.85%(毛利70.40%，增速-4.36%）")</f>
        <v>公司是一家国内知名的婴儿保育设备专业制造商
市值30.4704亿, 利润1.48亿; PE22.45; 平均PE33.09; 平均PEG2.07, PB2.54; ROIC8.95%; ROE9.6233%; 股利率1.7013%; 毛利59.44%; 净利20.0233%; 上一年度营收增22.13%, 利润增52.02%; 当季营收增-1.9%, 利润增-23.81%; 过往5年营收增15.96%, 利润增53.38%
Income profile:
培养箱系列 1.89亿 41.12%（毛利52.12%，增速18.38%）
吻合器和组件系列 1.14亿 24.90%（毛利73.98%增速159.03%）
辐射保暖台系列 6914.09万 15.05%（毛利60.36%，增速12.49%）
其他产品 5981.44万 13.02%（毛利49.34%）
黄疸治疗系列 2328.46万 5.07%（毛利52.89%，增速-4.79%）
其他业务收入 390.13万 0.85%(毛利70.40%，增速-4.36%）</v>
      </c>
      <c r="D22" t="s">
        <v>341</v>
      </c>
      <c r="E22" t="s">
        <v>342</v>
      </c>
      <c r="F22">
        <v>10.58</v>
      </c>
      <c r="G22">
        <v>5.0599999999999996</v>
      </c>
      <c r="H22" t="s">
        <v>2751</v>
      </c>
      <c r="I22">
        <v>3047040000</v>
      </c>
      <c r="J22">
        <v>22.45</v>
      </c>
      <c r="K22">
        <v>2.54</v>
      </c>
      <c r="L22" t="s">
        <v>40</v>
      </c>
      <c r="M22" t="s">
        <v>41</v>
      </c>
      <c r="N22" t="s">
        <v>2752</v>
      </c>
      <c r="O22" t="s">
        <v>450</v>
      </c>
      <c r="P22">
        <v>-1.61</v>
      </c>
      <c r="Q22" t="s">
        <v>1390</v>
      </c>
      <c r="R22">
        <v>38107229</v>
      </c>
      <c r="S22" s="3">
        <v>-0.23810000000000001</v>
      </c>
      <c r="T22" t="s">
        <v>62</v>
      </c>
      <c r="U22">
        <v>189356450</v>
      </c>
      <c r="V22">
        <v>288000000</v>
      </c>
      <c r="W22">
        <v>1.1399999999999999</v>
      </c>
      <c r="X22">
        <v>0.11</v>
      </c>
      <c r="Y22">
        <v>24.53</v>
      </c>
      <c r="Z22" t="s">
        <v>369</v>
      </c>
      <c r="AA22" t="s">
        <v>2753</v>
      </c>
      <c r="AB22" t="s">
        <v>2754</v>
      </c>
      <c r="AC22" t="s">
        <v>2755</v>
      </c>
      <c r="AD22" t="s">
        <v>47</v>
      </c>
      <c r="AE22">
        <v>-2740444</v>
      </c>
      <c r="AF22" t="s">
        <v>1788</v>
      </c>
      <c r="AG22" t="s">
        <v>2756</v>
      </c>
      <c r="AH22" t="s">
        <v>1789</v>
      </c>
      <c r="AI22" t="s">
        <v>1745</v>
      </c>
      <c r="AJ22" t="s">
        <v>1790</v>
      </c>
      <c r="AK22" t="s">
        <v>47</v>
      </c>
      <c r="AL22" t="s">
        <v>1791</v>
      </c>
      <c r="AM22" t="s">
        <v>47</v>
      </c>
      <c r="AN22" t="s">
        <v>2757</v>
      </c>
      <c r="AO22" t="s">
        <v>47</v>
      </c>
      <c r="AP22" t="s">
        <v>47</v>
      </c>
      <c r="AQ22" t="s">
        <v>2758</v>
      </c>
      <c r="AR22" t="s">
        <v>2759</v>
      </c>
      <c r="AS22" t="s">
        <v>467</v>
      </c>
      <c r="AT22" t="s">
        <v>47</v>
      </c>
      <c r="AU22" t="s">
        <v>2760</v>
      </c>
      <c r="AV22" t="s">
        <v>2761</v>
      </c>
      <c r="AW22" t="s">
        <v>47</v>
      </c>
      <c r="AX22" t="s">
        <v>1130</v>
      </c>
      <c r="AY22" t="s">
        <v>925</v>
      </c>
      <c r="AZ22" t="s">
        <v>343</v>
      </c>
      <c r="BA22" t="s">
        <v>346</v>
      </c>
      <c r="BB22" t="s">
        <v>347</v>
      </c>
      <c r="BC22" t="s">
        <v>1792</v>
      </c>
      <c r="BD22" t="s">
        <v>926</v>
      </c>
      <c r="BE22" t="s">
        <v>280</v>
      </c>
      <c r="BF22" t="s">
        <v>349</v>
      </c>
      <c r="BG22" t="s">
        <v>350</v>
      </c>
      <c r="BH22" t="s">
        <v>1390</v>
      </c>
      <c r="BI22" t="s">
        <v>1080</v>
      </c>
      <c r="BJ22" t="s">
        <v>1130</v>
      </c>
      <c r="BK22" t="s">
        <v>62</v>
      </c>
      <c r="BL22" t="s">
        <v>1793</v>
      </c>
      <c r="BM22" t="s">
        <v>1792</v>
      </c>
      <c r="BN22">
        <v>9.7899999999999991</v>
      </c>
      <c r="BO22">
        <v>9.08</v>
      </c>
      <c r="BP22">
        <v>7.98</v>
      </c>
      <c r="BQ22">
        <v>10.96</v>
      </c>
      <c r="BR22">
        <v>9.57</v>
      </c>
      <c r="BS22">
        <v>8.34</v>
      </c>
      <c r="BT22" t="s">
        <v>1364</v>
      </c>
      <c r="BU22" t="s">
        <v>1032</v>
      </c>
      <c r="BV22">
        <v>58.2</v>
      </c>
      <c r="BW22">
        <v>58.55</v>
      </c>
      <c r="BX22">
        <v>61.57</v>
      </c>
      <c r="BY22">
        <v>23.87</v>
      </c>
      <c r="BZ22">
        <v>19.28</v>
      </c>
      <c r="CA22">
        <v>16.920000000000002</v>
      </c>
      <c r="CB22">
        <v>2.3199999999999998</v>
      </c>
      <c r="CC22">
        <v>-11.98</v>
      </c>
      <c r="CD22" t="s">
        <v>2762</v>
      </c>
      <c r="CE22" t="s">
        <v>88</v>
      </c>
      <c r="CF22" s="8">
        <v>-1.8987341772151899E-2</v>
      </c>
      <c r="CG22" s="9">
        <v>-0.23814949429520205</v>
      </c>
      <c r="CH22" s="8">
        <v>0.22134387493133545</v>
      </c>
      <c r="CI22" s="8">
        <v>6.7510545253753662E-2</v>
      </c>
      <c r="CJ22" s="8">
        <v>3.0434781685471535E-2</v>
      </c>
      <c r="CK22" s="8">
        <v>0.29213482141494751</v>
      </c>
      <c r="CL22" s="8">
        <v>0.18666666746139526</v>
      </c>
      <c r="CM22" s="9">
        <v>0.52015334367752075</v>
      </c>
      <c r="CN22" s="9">
        <v>0.21384616196155548</v>
      </c>
      <c r="CO22" s="9">
        <v>-0.41024482250213623</v>
      </c>
      <c r="CP22" s="9">
        <v>1.1915477514266968</v>
      </c>
      <c r="CQ22" s="9">
        <v>1.1538007259368896</v>
      </c>
      <c r="CR22">
        <v>33.09395050453945</v>
      </c>
      <c r="CS22">
        <v>2.0733201682610813</v>
      </c>
      <c r="CT22">
        <v>1.7013232514177694</v>
      </c>
      <c r="CU22" s="8">
        <v>0.1596181381493807</v>
      </c>
      <c r="CV22" s="9">
        <v>0.53382063210010533</v>
      </c>
      <c r="CW22">
        <v>0.06</v>
      </c>
      <c r="CX22">
        <v>12.704918601537246</v>
      </c>
      <c r="CY22">
        <v>161908947.59066823</v>
      </c>
      <c r="CZ22">
        <v>0.1596181381493807</v>
      </c>
      <c r="DA22">
        <v>3.9160246175735631</v>
      </c>
      <c r="DB22">
        <v>525287811.20752448</v>
      </c>
      <c r="DC22">
        <v>0.15163723124191164</v>
      </c>
      <c r="DD22">
        <v>1.7792210358939347</v>
      </c>
      <c r="DE22">
        <v>1156146402.5555885</v>
      </c>
      <c r="DF22">
        <v>0.14046396157145502</v>
      </c>
      <c r="DG22">
        <v>0.973344585286816</v>
      </c>
      <c r="DH22">
        <v>2113372829.2060626</v>
      </c>
      <c r="DI22">
        <v>0.12769451051950456</v>
      </c>
      <c r="DJ22">
        <v>0.40587019090347587</v>
      </c>
      <c r="DK22">
        <v>5068221431.6379929</v>
      </c>
      <c r="DL22">
        <v>0.11173269670456648</v>
      </c>
      <c r="DM22">
        <v>148000000</v>
      </c>
      <c r="DN22">
        <v>0.1596181381493807</v>
      </c>
      <c r="DO22">
        <v>2057040000</v>
      </c>
      <c r="DP22">
        <v>814633250</v>
      </c>
      <c r="DQ22">
        <v>1795</v>
      </c>
      <c r="DR22">
        <v>-0.17860547992153258</v>
      </c>
      <c r="DS22">
        <v>-0.77197012639530738</v>
      </c>
      <c r="DT22" s="10">
        <v>-5.6666666666666719E-2</v>
      </c>
      <c r="DU22">
        <v>0.39666666666666667</v>
      </c>
      <c r="DV22">
        <v>0.33999999999999997</v>
      </c>
      <c r="DW22">
        <v>-2.1198000000000001</v>
      </c>
      <c r="DX22">
        <v>0.48102772277227629</v>
      </c>
      <c r="DY22">
        <v>-2.0204891211881186</v>
      </c>
      <c r="DZ22">
        <v>979</v>
      </c>
      <c r="EA22">
        <v>-2.0165637102990446</v>
      </c>
      <c r="EB22">
        <v>2</v>
      </c>
      <c r="EC22">
        <v>5.9978472222222225E-2</v>
      </c>
      <c r="ED22">
        <v>0.35069444444444442</v>
      </c>
      <c r="EE22" s="11">
        <v>-1.052</v>
      </c>
      <c r="EF22">
        <v>-1.0358000000000001</v>
      </c>
      <c r="EG22">
        <v>31.171027722772276</v>
      </c>
      <c r="EH22" t="s">
        <v>1040</v>
      </c>
      <c r="EI22">
        <v>0</v>
      </c>
      <c r="EJ22">
        <v>1</v>
      </c>
      <c r="EK22" s="13">
        <v>45470</v>
      </c>
      <c r="EL22" s="14">
        <v>1.72</v>
      </c>
      <c r="EM22" s="14">
        <v>-4.8899999999999997</v>
      </c>
      <c r="EN22" s="14">
        <v>0.3</v>
      </c>
      <c r="EO22" s="14">
        <v>3.25</v>
      </c>
      <c r="EP22" s="14">
        <v>-1.62</v>
      </c>
    </row>
    <row r="23" spans="1:146" ht="96" x14ac:dyDescent="0.25">
      <c r="A23" s="7"/>
      <c r="B23" s="7"/>
      <c r="C23" s="7" t="str">
        <f>""&amp;CHAR(10)&amp;Basic_Fundamental_Information_Constructure(F23)&amp;CHAR(10)&amp;Basic_Fundamental_Information_Concatenate("")</f>
        <v xml:space="preserve">
市值40.436575亿, 利润-2492.94万; PE; 平均PE-70.14; 平均PEG-6.05, PB2.91; ROIC.75%; ROE-11.2967%; 股利率0%; 毛利38.83%; 净利-28.8633%; 上一年度营收增31.28%, 利润增68.22%; 当季营收增3.56%, 利润增283.9%; 过往5年营收增11.6%, 利润增-829.68%
Income profile:
</v>
      </c>
      <c r="D23" t="s">
        <v>353</v>
      </c>
      <c r="E23" t="s">
        <v>354</v>
      </c>
      <c r="F23">
        <v>4.95</v>
      </c>
      <c r="G23">
        <v>4.43</v>
      </c>
      <c r="H23" t="s">
        <v>2763</v>
      </c>
      <c r="I23">
        <v>4043657500</v>
      </c>
      <c r="K23">
        <v>2.91</v>
      </c>
      <c r="L23" t="s">
        <v>40</v>
      </c>
      <c r="M23" t="s">
        <v>1794</v>
      </c>
      <c r="N23" t="s">
        <v>2764</v>
      </c>
      <c r="O23" t="s">
        <v>512</v>
      </c>
      <c r="P23">
        <v>3.6</v>
      </c>
      <c r="Q23" t="s">
        <v>1795</v>
      </c>
      <c r="R23">
        <v>19863584</v>
      </c>
      <c r="S23" s="3">
        <v>2.839</v>
      </c>
      <c r="T23" t="s">
        <v>1796</v>
      </c>
      <c r="U23">
        <v>798539480</v>
      </c>
      <c r="V23">
        <v>816900500</v>
      </c>
      <c r="W23">
        <v>1.67</v>
      </c>
      <c r="X23">
        <v>7.0000000000000007E-2</v>
      </c>
      <c r="Y23">
        <v>16.04</v>
      </c>
      <c r="Z23" t="s">
        <v>581</v>
      </c>
      <c r="AA23" t="s">
        <v>283</v>
      </c>
      <c r="AB23" t="s">
        <v>2765</v>
      </c>
      <c r="AC23" t="s">
        <v>2766</v>
      </c>
      <c r="AD23" t="s">
        <v>47</v>
      </c>
      <c r="AE23">
        <v>6269386</v>
      </c>
      <c r="AF23" t="s">
        <v>507</v>
      </c>
      <c r="AG23" t="s">
        <v>2767</v>
      </c>
      <c r="AH23" t="s">
        <v>1797</v>
      </c>
      <c r="AI23" t="s">
        <v>2768</v>
      </c>
      <c r="AJ23" t="s">
        <v>1798</v>
      </c>
      <c r="AK23" t="s">
        <v>47</v>
      </c>
      <c r="AL23" t="s">
        <v>1799</v>
      </c>
      <c r="AM23" t="s">
        <v>47</v>
      </c>
      <c r="AN23" t="s">
        <v>1542</v>
      </c>
      <c r="AO23" t="s">
        <v>1099</v>
      </c>
      <c r="AP23" t="s">
        <v>2769</v>
      </c>
      <c r="AQ23" t="s">
        <v>2199</v>
      </c>
      <c r="AR23" t="s">
        <v>2770</v>
      </c>
      <c r="AS23" t="s">
        <v>1361</v>
      </c>
      <c r="AT23" t="s">
        <v>157</v>
      </c>
      <c r="AU23" t="s">
        <v>2771</v>
      </c>
      <c r="AV23" t="s">
        <v>2772</v>
      </c>
      <c r="AW23" t="s">
        <v>2773</v>
      </c>
      <c r="AX23" t="s">
        <v>337</v>
      </c>
      <c r="AY23" t="s">
        <v>650</v>
      </c>
      <c r="AZ23" t="s">
        <v>355</v>
      </c>
      <c r="BA23" t="s">
        <v>358</v>
      </c>
      <c r="BB23" t="s">
        <v>81</v>
      </c>
      <c r="BC23" t="s">
        <v>1800</v>
      </c>
      <c r="BD23" t="s">
        <v>927</v>
      </c>
      <c r="BE23" t="s">
        <v>356</v>
      </c>
      <c r="BF23" t="s">
        <v>360</v>
      </c>
      <c r="BG23" t="s">
        <v>361</v>
      </c>
      <c r="BH23" t="s">
        <v>1795</v>
      </c>
      <c r="BI23" t="s">
        <v>489</v>
      </c>
      <c r="BJ23" t="s">
        <v>337</v>
      </c>
      <c r="BK23" t="s">
        <v>1796</v>
      </c>
      <c r="BL23" t="s">
        <v>1801</v>
      </c>
      <c r="BM23" t="s">
        <v>1800</v>
      </c>
      <c r="BN23">
        <v>0.75</v>
      </c>
      <c r="BO23" t="s">
        <v>47</v>
      </c>
      <c r="BP23" t="s">
        <v>47</v>
      </c>
      <c r="BQ23">
        <v>1.01</v>
      </c>
      <c r="BR23">
        <v>-6.61</v>
      </c>
      <c r="BS23">
        <v>-28.29</v>
      </c>
      <c r="BT23" t="s">
        <v>1208</v>
      </c>
      <c r="BU23" t="s">
        <v>1075</v>
      </c>
      <c r="BV23">
        <v>43.51</v>
      </c>
      <c r="BW23">
        <v>32.01</v>
      </c>
      <c r="BX23">
        <v>40.97</v>
      </c>
      <c r="BY23">
        <v>1.5</v>
      </c>
      <c r="BZ23">
        <v>-17.329999999999998</v>
      </c>
      <c r="CA23">
        <v>-70.760000000000005</v>
      </c>
      <c r="CB23">
        <v>1.43</v>
      </c>
      <c r="CC23">
        <v>-8.33</v>
      </c>
      <c r="CD23" t="s">
        <v>2774</v>
      </c>
      <c r="CE23" t="s">
        <v>478</v>
      </c>
      <c r="CF23" s="8">
        <v>3.557312252964439E-2</v>
      </c>
      <c r="CG23" s="9">
        <v>2.8389671833326893</v>
      </c>
      <c r="CH23" s="8">
        <v>0.31281405687332153</v>
      </c>
      <c r="CI23" s="8">
        <v>0.11328671127557755</v>
      </c>
      <c r="CJ23" s="8">
        <v>-3.2476320862770081E-2</v>
      </c>
      <c r="CK23" s="8">
        <v>0.17675159871578217</v>
      </c>
      <c r="CL23" s="8">
        <v>9.6463020890951157E-3</v>
      </c>
      <c r="CM23" s="9">
        <v>0.68219035863876343</v>
      </c>
      <c r="CN23" s="9">
        <v>0.75639349222183228</v>
      </c>
      <c r="CO23" s="9">
        <v>-43.910446166992188</v>
      </c>
      <c r="CP23" s="9">
        <v>1.9510775804519653</v>
      </c>
      <c r="CQ23" s="9">
        <v>-0.96338045597076416</v>
      </c>
      <c r="CR23">
        <v>-70.144420582990449</v>
      </c>
      <c r="CS23">
        <v>-6.0466998223303543</v>
      </c>
      <c r="CT23">
        <v>0</v>
      </c>
      <c r="CU23" s="8">
        <v>0.11600446961820125</v>
      </c>
      <c r="CV23" s="9">
        <v>-8.2968330383300781</v>
      </c>
      <c r="CW23">
        <v>0.06</v>
      </c>
      <c r="CX23" t="e">
        <v>#VALUE!</v>
      </c>
      <c r="CY23" t="s">
        <v>1038</v>
      </c>
      <c r="CZ23">
        <v>0.11600446961820125</v>
      </c>
      <c r="DA23" t="e">
        <v>#VALUE!</v>
      </c>
      <c r="DB23" t="s">
        <v>1038</v>
      </c>
      <c r="DC23">
        <v>0.11020424613729118</v>
      </c>
      <c r="DD23" t="e">
        <v>#VALUE!</v>
      </c>
      <c r="DE23" t="s">
        <v>1038</v>
      </c>
      <c r="DF23">
        <v>0.1020839332640171</v>
      </c>
      <c r="DG23" t="e">
        <v>#VALUE!</v>
      </c>
      <c r="DH23" t="s">
        <v>1038</v>
      </c>
      <c r="DI23">
        <v>9.2803575694561005E-2</v>
      </c>
      <c r="DJ23" t="e">
        <v>#VALUE!</v>
      </c>
      <c r="DK23" t="s">
        <v>1038</v>
      </c>
      <c r="DL23">
        <v>8.1203128732740867E-2</v>
      </c>
      <c r="DM23">
        <v>-24929400</v>
      </c>
      <c r="DN23">
        <v>0.11600446961820125</v>
      </c>
      <c r="DO23">
        <v>3246657500</v>
      </c>
      <c r="DP23">
        <v>80268680</v>
      </c>
      <c r="DQ23">
        <v>1799</v>
      </c>
      <c r="DR23">
        <v>-8.043134708855687E-2</v>
      </c>
      <c r="DS23">
        <v>11.135800221662768</v>
      </c>
      <c r="DT23" s="10">
        <v>-0.1566666666666667</v>
      </c>
      <c r="DU23">
        <v>-0.1216666666666667</v>
      </c>
      <c r="DV23">
        <v>-0.27833333333333343</v>
      </c>
      <c r="DW23">
        <v>-2.0832999999999999</v>
      </c>
      <c r="DX23">
        <v>0.50891044776119398</v>
      </c>
      <c r="DY23">
        <v>-2.0132372402985075</v>
      </c>
      <c r="DZ23">
        <v>2386</v>
      </c>
      <c r="EA23">
        <v>-2.0070564075485584</v>
      </c>
      <c r="EB23">
        <v>2</v>
      </c>
      <c r="EC23">
        <v>2.6066822091552155E-2</v>
      </c>
      <c r="ED23">
        <v>0.16403466517648113</v>
      </c>
      <c r="EE23" s="11">
        <v>-2.0347</v>
      </c>
      <c r="EF23">
        <v>-2.0266000000000002</v>
      </c>
      <c r="EG23">
        <v>35.158910447761194</v>
      </c>
      <c r="EH23" t="s">
        <v>1336</v>
      </c>
      <c r="EI23">
        <v>0</v>
      </c>
      <c r="EJ23">
        <v>0</v>
      </c>
      <c r="EK23" s="13">
        <v>45470</v>
      </c>
      <c r="EL23" s="14">
        <v>0</v>
      </c>
      <c r="EM23" s="14">
        <v>-4.4000000000000004</v>
      </c>
      <c r="EN23" s="14">
        <v>0.21</v>
      </c>
      <c r="EO23" s="14">
        <v>3.55</v>
      </c>
      <c r="EP23" s="14">
        <v>-0.81</v>
      </c>
    </row>
    <row r="24" spans="1:146" ht="180" x14ac:dyDescent="0.25">
      <c r="A24" s="7" t="s">
        <v>1168</v>
      </c>
      <c r="B24" s="7"/>
      <c r="C24" s="7" t="str">
        <f>"公司主要从事椎体成形微创介入手术系统的研发、生产和销售,产品主要用于因骨质疏松导致的椎体压缩性骨折的临床微创手术治疗,具体包括经皮椎体成形(PVP)手术系统和经皮球囊扩张椎体后凸成形(PKP)手术系统"&amp;CHAR(10)&amp;Basic_Fundamental_Information_Constructure(F24)&amp;CHAR(10)&amp;Basic_Fundamental_Information_Concatenate("椎体成形微创产品 2.90亿 48.10% 58.39% 77.18%
射频消融产品 9810.27万 16.29% 20.56% 80.25%
骨科脊柱或创伤产品 7482.78万 12.43% 13.50% 69.09%
器械消毒服务 6782.48万 11.26% 3.56% 20.07%
医疗器械贸易 6079.96万 10.10% 2.76% 17.39%")</f>
        <v>公司主要从事椎体成形微创介入手术系统的研发、生产和销售,产品主要用于因骨质疏松导致的椎体压缩性骨折的临床微创手术治疗,具体包括经皮椎体成形(PVP)手术系统和经皮球囊扩张椎体后凸成形(PKP)手术系统
市值27.964027亿, 利润1.13亿; PE57.64; 平均PE18.82; 平均PEG8.16, PB.974; ROIC5.02%; ROE3.27%; 股利率1.5385%; 毛利59.1067%; 净利8.3267%; 上一年度营收增-18.01%, 利润增630.95%; 当季营收增-16.33%, 利润增-85.48%; 过往5年营收增2.31%, 利润增113.71%
Income profile:
椎体成形微创产品 2.90亿 48.10% 58.39% 77.18%
射频消融产品 9810.27万 16.29% 20.56% 80.25%
骨科脊柱或创伤产品 7482.78万 12.43% 13.50% 69.09%
器械消毒服务 6782.48万 11.26% 3.56% 20.07%
医疗器械贸易 6079.96万 10.10% 2.76% 17.39%</v>
      </c>
      <c r="D24" t="s">
        <v>364</v>
      </c>
      <c r="E24" t="s">
        <v>365</v>
      </c>
      <c r="F24">
        <v>3.9</v>
      </c>
      <c r="G24">
        <v>3.17</v>
      </c>
      <c r="H24" t="s">
        <v>2775</v>
      </c>
      <c r="I24">
        <v>2796402700</v>
      </c>
      <c r="J24">
        <v>57.64</v>
      </c>
      <c r="K24">
        <v>0.97399999999999998</v>
      </c>
      <c r="L24" t="s">
        <v>40</v>
      </c>
      <c r="M24" t="s">
        <v>1602</v>
      </c>
      <c r="N24" t="s">
        <v>2180</v>
      </c>
      <c r="O24" t="s">
        <v>427</v>
      </c>
      <c r="P24">
        <v>-16.37</v>
      </c>
      <c r="Q24" t="s">
        <v>1802</v>
      </c>
      <c r="R24">
        <v>10876455</v>
      </c>
      <c r="S24" s="3">
        <v>-0.8548</v>
      </c>
      <c r="T24" t="s">
        <v>405</v>
      </c>
      <c r="U24">
        <v>716588710</v>
      </c>
      <c r="V24">
        <v>717026330</v>
      </c>
      <c r="W24">
        <v>1.1299999999999999</v>
      </c>
      <c r="X24">
        <v>7.0000000000000007E-2</v>
      </c>
      <c r="Y24">
        <v>6.72</v>
      </c>
      <c r="Z24" t="s">
        <v>291</v>
      </c>
      <c r="AA24" t="s">
        <v>60</v>
      </c>
      <c r="AB24" t="s">
        <v>2776</v>
      </c>
      <c r="AC24" t="s">
        <v>2777</v>
      </c>
      <c r="AD24" t="s">
        <v>47</v>
      </c>
      <c r="AE24">
        <v>-1143639</v>
      </c>
      <c r="AF24" t="s">
        <v>1803</v>
      </c>
      <c r="AG24" t="s">
        <v>2778</v>
      </c>
      <c r="AH24" t="s">
        <v>1804</v>
      </c>
      <c r="AI24" t="s">
        <v>623</v>
      </c>
      <c r="AJ24" t="s">
        <v>1805</v>
      </c>
      <c r="AK24" t="s">
        <v>2779</v>
      </c>
      <c r="AL24" t="s">
        <v>1806</v>
      </c>
      <c r="AM24" t="s">
        <v>47</v>
      </c>
      <c r="AN24" t="s">
        <v>2780</v>
      </c>
      <c r="AO24" t="s">
        <v>478</v>
      </c>
      <c r="AP24" t="s">
        <v>47</v>
      </c>
      <c r="AQ24" t="s">
        <v>2781</v>
      </c>
      <c r="AR24" t="s">
        <v>47</v>
      </c>
      <c r="AS24" t="s">
        <v>339</v>
      </c>
      <c r="AT24" t="s">
        <v>47</v>
      </c>
      <c r="AU24" t="s">
        <v>2782</v>
      </c>
      <c r="AV24" t="s">
        <v>1112</v>
      </c>
      <c r="AW24" t="s">
        <v>2783</v>
      </c>
      <c r="AX24" t="s">
        <v>1178</v>
      </c>
      <c r="AY24" t="s">
        <v>928</v>
      </c>
      <c r="AZ24" t="s">
        <v>366</v>
      </c>
      <c r="BA24" t="s">
        <v>370</v>
      </c>
      <c r="BB24" t="s">
        <v>371</v>
      </c>
      <c r="BC24" t="s">
        <v>1349</v>
      </c>
      <c r="BD24" t="s">
        <v>143</v>
      </c>
      <c r="BE24" t="s">
        <v>367</v>
      </c>
      <c r="BF24" t="s">
        <v>274</v>
      </c>
      <c r="BG24" t="s">
        <v>183</v>
      </c>
      <c r="BH24" t="s">
        <v>1802</v>
      </c>
      <c r="BI24" t="s">
        <v>456</v>
      </c>
      <c r="BJ24" t="s">
        <v>1178</v>
      </c>
      <c r="BK24" t="s">
        <v>405</v>
      </c>
      <c r="BL24" t="s">
        <v>1808</v>
      </c>
      <c r="BM24" t="s">
        <v>1349</v>
      </c>
      <c r="BN24">
        <v>4.41</v>
      </c>
      <c r="BO24" t="s">
        <v>47</v>
      </c>
      <c r="BP24">
        <v>5.63</v>
      </c>
      <c r="BQ24">
        <v>4.59</v>
      </c>
      <c r="BR24">
        <v>-0.78</v>
      </c>
      <c r="BS24">
        <v>6</v>
      </c>
      <c r="BT24" t="s">
        <v>1332</v>
      </c>
      <c r="BU24" t="s">
        <v>1079</v>
      </c>
      <c r="BV24">
        <v>51.67</v>
      </c>
      <c r="BW24">
        <v>63.75</v>
      </c>
      <c r="BX24">
        <v>61.9</v>
      </c>
      <c r="BY24">
        <v>13.24</v>
      </c>
      <c r="BZ24">
        <v>-2.0499999999999998</v>
      </c>
      <c r="CA24">
        <v>13.79</v>
      </c>
      <c r="CB24">
        <v>2.63</v>
      </c>
      <c r="CC24">
        <v>-16.13</v>
      </c>
      <c r="CD24" t="s">
        <v>2784</v>
      </c>
      <c r="CE24" t="s">
        <v>129</v>
      </c>
      <c r="CF24" s="8">
        <v>-0.16326530612244897</v>
      </c>
      <c r="CG24" s="9">
        <v>-0.85478795201634172</v>
      </c>
      <c r="CH24" s="8">
        <v>-0.18010291457176208</v>
      </c>
      <c r="CI24" s="8">
        <v>-8.116622269153595E-2</v>
      </c>
      <c r="CJ24" s="8">
        <v>0.19491519033908844</v>
      </c>
      <c r="CK24" s="8">
        <v>-0.13093289732933044</v>
      </c>
      <c r="CL24" s="8">
        <v>0.31256714463233948</v>
      </c>
      <c r="CM24" s="9">
        <v>6.3095264434814453</v>
      </c>
      <c r="CN24" s="9">
        <v>-1.131373405456543</v>
      </c>
      <c r="CO24" s="9">
        <v>2.2755906581878662</v>
      </c>
      <c r="CP24" s="9">
        <v>-1.420529842376709</v>
      </c>
      <c r="CQ24" s="9">
        <v>-0.34773218631744385</v>
      </c>
      <c r="CR24">
        <v>18.815842685603904</v>
      </c>
      <c r="CS24">
        <v>8.1609098101657196</v>
      </c>
      <c r="CT24">
        <v>1.5384615384615385</v>
      </c>
      <c r="CU24" s="8">
        <v>2.3056060075759888E-2</v>
      </c>
      <c r="CV24" s="9">
        <v>1.1370963335037232</v>
      </c>
      <c r="CW24">
        <v>0.06</v>
      </c>
      <c r="CX24">
        <v>2.1492681324303886</v>
      </c>
      <c r="CY24">
        <v>109061636.59298193</v>
      </c>
      <c r="CZ24">
        <v>2.3056060075759888E-2</v>
      </c>
      <c r="DA24">
        <v>0.74363728033170573</v>
      </c>
      <c r="DB24">
        <v>315211066.20077288</v>
      </c>
      <c r="DC24">
        <v>2.1903257071971893E-2</v>
      </c>
      <c r="DD24">
        <v>0.39431997944233788</v>
      </c>
      <c r="DE24">
        <v>594447941.31786346</v>
      </c>
      <c r="DF24">
        <v>2.0289332866668702E-2</v>
      </c>
      <c r="DG24">
        <v>0.25677262734127126</v>
      </c>
      <c r="DH24">
        <v>912880404.8433876</v>
      </c>
      <c r="DI24">
        <v>1.8444848060607911E-2</v>
      </c>
      <c r="DJ24">
        <v>0.15694207134809199</v>
      </c>
      <c r="DK24">
        <v>1493561911.0066609</v>
      </c>
      <c r="DL24">
        <v>1.6139242053031921E-2</v>
      </c>
      <c r="DM24">
        <v>112999999.99999999</v>
      </c>
      <c r="DN24">
        <v>2.3056060075759888E-2</v>
      </c>
      <c r="DO24">
        <v>234402700</v>
      </c>
      <c r="DP24">
        <v>1395364200</v>
      </c>
      <c r="DQ24">
        <v>1806</v>
      </c>
      <c r="DR24">
        <v>-0.18632136619820885</v>
      </c>
      <c r="DS24">
        <v>-1.9918842855200649</v>
      </c>
      <c r="DT24" s="10">
        <v>-0.37333333333333335</v>
      </c>
      <c r="DU24">
        <v>-1.2783333333333333</v>
      </c>
      <c r="DV24">
        <v>-1.6516666666666666</v>
      </c>
      <c r="DW24">
        <v>6.1401918976545842</v>
      </c>
      <c r="DX24">
        <v>0.36215187165775431</v>
      </c>
      <c r="DY24">
        <v>6.0185266216663056</v>
      </c>
      <c r="DZ24">
        <v>4137</v>
      </c>
      <c r="EA24">
        <v>6.0035276717967347</v>
      </c>
      <c r="EB24">
        <v>6</v>
      </c>
      <c r="EC24">
        <v>3.446512208275531E-2</v>
      </c>
      <c r="ED24">
        <v>0.26079934888862449</v>
      </c>
      <c r="EE24" s="11">
        <v>-2.0686</v>
      </c>
      <c r="EF24">
        <v>-2.0457999999999998</v>
      </c>
      <c r="EG24">
        <v>23.132151871657754</v>
      </c>
      <c r="EH24" t="s">
        <v>1336</v>
      </c>
      <c r="EI24">
        <v>0</v>
      </c>
      <c r="EJ24">
        <v>0</v>
      </c>
      <c r="EK24" s="13">
        <v>45470</v>
      </c>
      <c r="EL24" s="14">
        <v>-1.01</v>
      </c>
      <c r="EM24" s="14">
        <v>-4.58</v>
      </c>
      <c r="EN24" s="14">
        <v>0.8</v>
      </c>
      <c r="EO24" s="14">
        <v>4.2300000000000004</v>
      </c>
      <c r="EP24" s="14">
        <v>-2.2799999999999998</v>
      </c>
    </row>
    <row r="25" spans="1:146" ht="96" x14ac:dyDescent="0.25">
      <c r="A25" s="7"/>
      <c r="B25" s="7"/>
      <c r="C25" s="7" t="str">
        <f>""&amp;CHAR(10)&amp;Basic_Fundamental_Information_Constructure(F25)&amp;CHAR(10)&amp;Basic_Fundamental_Information_Concatenate("")</f>
        <v xml:space="preserve">
市值42.841576亿, 利润1.69亿; PE26.5; 平均PE24.65; 平均PEG2.91, PB2.49; ROIC12.6533%; ROE13.7267%; 股利率.8454%; 毛利43.3133%; 净利13.4633%; 上一年度营收增-23.91%, 利润增-35.25%; 当季营收增-14.61%, 利润增-18.35%; 过往5年营收增8.47%, 利润增6.67%
Income profile:
</v>
      </c>
      <c r="D25" s="3" t="s">
        <v>1475</v>
      </c>
      <c r="E25" t="s">
        <v>1476</v>
      </c>
      <c r="F25">
        <v>8.2799999999999994</v>
      </c>
      <c r="G25">
        <v>0.61</v>
      </c>
      <c r="H25" t="s">
        <v>2785</v>
      </c>
      <c r="I25">
        <v>4284157600</v>
      </c>
      <c r="J25">
        <v>26.5</v>
      </c>
      <c r="K25">
        <v>2.4900000000000002</v>
      </c>
      <c r="L25" t="s">
        <v>40</v>
      </c>
      <c r="M25" t="s">
        <v>1567</v>
      </c>
      <c r="N25" t="s">
        <v>2786</v>
      </c>
      <c r="O25" t="s">
        <v>533</v>
      </c>
      <c r="P25" s="3">
        <v>-14.44</v>
      </c>
      <c r="Q25" t="s">
        <v>1809</v>
      </c>
      <c r="R25">
        <v>31797929</v>
      </c>
      <c r="S25">
        <v>-0.1835</v>
      </c>
      <c r="T25" t="s">
        <v>130</v>
      </c>
      <c r="U25">
        <v>515273090</v>
      </c>
      <c r="V25">
        <v>517410340</v>
      </c>
      <c r="W25">
        <v>1.26</v>
      </c>
      <c r="X25">
        <v>0.13</v>
      </c>
      <c r="Y25">
        <v>11.17</v>
      </c>
      <c r="Z25" t="s">
        <v>166</v>
      </c>
      <c r="AA25" t="s">
        <v>199</v>
      </c>
      <c r="AB25" t="s">
        <v>2787</v>
      </c>
      <c r="AC25" t="s">
        <v>2788</v>
      </c>
      <c r="AD25" t="s">
        <v>47</v>
      </c>
      <c r="AE25">
        <v>-6250693</v>
      </c>
      <c r="AF25" t="s">
        <v>1810</v>
      </c>
      <c r="AG25" t="s">
        <v>2789</v>
      </c>
      <c r="AH25" t="s">
        <v>1811</v>
      </c>
      <c r="AI25" t="s">
        <v>2790</v>
      </c>
      <c r="AJ25" t="s">
        <v>1812</v>
      </c>
      <c r="AK25" t="s">
        <v>2791</v>
      </c>
      <c r="AL25" t="s">
        <v>1813</v>
      </c>
      <c r="AM25" t="s">
        <v>47</v>
      </c>
      <c r="AN25" t="s">
        <v>2792</v>
      </c>
      <c r="AO25" t="s">
        <v>47</v>
      </c>
      <c r="AP25" t="s">
        <v>47</v>
      </c>
      <c r="AQ25" t="s">
        <v>139</v>
      </c>
      <c r="AR25" t="s">
        <v>47</v>
      </c>
      <c r="AS25" t="s">
        <v>606</v>
      </c>
      <c r="AT25" t="s">
        <v>47</v>
      </c>
      <c r="AU25" t="s">
        <v>2793</v>
      </c>
      <c r="AV25" t="s">
        <v>2794</v>
      </c>
      <c r="AW25" t="s">
        <v>2795</v>
      </c>
      <c r="AX25" t="s">
        <v>1477</v>
      </c>
      <c r="AY25" t="s">
        <v>1479</v>
      </c>
      <c r="AZ25" t="s">
        <v>563</v>
      </c>
      <c r="BA25" t="s">
        <v>1480</v>
      </c>
      <c r="BB25" t="s">
        <v>1481</v>
      </c>
      <c r="BC25" t="s">
        <v>696</v>
      </c>
      <c r="BD25" t="s">
        <v>522</v>
      </c>
      <c r="BE25" t="s">
        <v>43</v>
      </c>
      <c r="BF25" t="s">
        <v>62</v>
      </c>
      <c r="BG25" t="s">
        <v>62</v>
      </c>
      <c r="BH25" t="s">
        <v>1809</v>
      </c>
      <c r="BI25" t="s">
        <v>1814</v>
      </c>
      <c r="BJ25" t="s">
        <v>1477</v>
      </c>
      <c r="BK25" t="s">
        <v>130</v>
      </c>
      <c r="BL25" t="s">
        <v>1815</v>
      </c>
      <c r="BM25" t="s">
        <v>696</v>
      </c>
      <c r="BN25">
        <v>6.98</v>
      </c>
      <c r="BO25">
        <v>17.190000000000001</v>
      </c>
      <c r="BP25">
        <v>13.79</v>
      </c>
      <c r="BQ25">
        <v>7.35</v>
      </c>
      <c r="BR25">
        <v>18.59</v>
      </c>
      <c r="BS25">
        <v>15.24</v>
      </c>
      <c r="BT25" t="s">
        <v>1816</v>
      </c>
      <c r="BU25" t="s">
        <v>1032</v>
      </c>
      <c r="BV25">
        <v>41.82</v>
      </c>
      <c r="BW25">
        <v>43.99</v>
      </c>
      <c r="BX25">
        <v>44.13</v>
      </c>
      <c r="BY25">
        <v>12.21</v>
      </c>
      <c r="BZ25">
        <v>15.2</v>
      </c>
      <c r="CA25">
        <v>12.98</v>
      </c>
      <c r="CB25">
        <v>-3.5</v>
      </c>
      <c r="CC25" s="8">
        <v>-8.91</v>
      </c>
      <c r="CD25" s="9" t="s">
        <v>2796</v>
      </c>
      <c r="CE25" s="8" t="s">
        <v>1061</v>
      </c>
      <c r="CF25" s="8">
        <v>-0.14613180515759314</v>
      </c>
      <c r="CG25" s="8">
        <v>-0.18345833055143262</v>
      </c>
      <c r="CH25" s="8">
        <v>-0.23913046717643738</v>
      </c>
      <c r="CI25" s="8">
        <v>0.22457343339920044</v>
      </c>
      <c r="CJ25" s="9">
        <v>0.2342037558555603</v>
      </c>
      <c r="CK25" s="9">
        <v>6.1717409640550613E-2</v>
      </c>
      <c r="CL25" s="9">
        <v>0.14198161661624908</v>
      </c>
      <c r="CM25" s="9">
        <v>-0.35249042510986328</v>
      </c>
      <c r="CN25" s="9">
        <v>0.46629214286804199</v>
      </c>
      <c r="CO25">
        <v>0.28057554364204407</v>
      </c>
      <c r="CP25">
        <v>-6.0810811817646027E-2</v>
      </c>
      <c r="CQ25">
        <v>0</v>
      </c>
      <c r="CR25" s="8">
        <v>24.645201917545542</v>
      </c>
      <c r="CS25" s="9">
        <v>2.9107652568222147</v>
      </c>
      <c r="CT25">
        <v>0.84541062801932365</v>
      </c>
      <c r="CU25">
        <v>8.4669149667024615E-2</v>
      </c>
      <c r="CV25">
        <v>6.6713289916515345E-2</v>
      </c>
      <c r="CW25">
        <v>0.06</v>
      </c>
      <c r="CX25">
        <v>16.94387942681206</v>
      </c>
      <c r="CY25">
        <v>172933100.27710107</v>
      </c>
      <c r="CZ25">
        <v>8.4669149667024615E-2</v>
      </c>
      <c r="DA25">
        <v>5.5621682357433748</v>
      </c>
      <c r="DB25">
        <v>526801325.63598901</v>
      </c>
      <c r="DC25">
        <v>8.0435692183673385E-2</v>
      </c>
      <c r="DD25">
        <v>2.7546822774138469</v>
      </c>
      <c r="DE25">
        <v>1063700748.3675733</v>
      </c>
      <c r="DF25">
        <v>7.4508851706981669E-2</v>
      </c>
      <c r="DG25">
        <v>1.6654898070619946</v>
      </c>
      <c r="DH25">
        <v>1759336855.4857392</v>
      </c>
      <c r="DI25">
        <v>6.7735319733619695E-2</v>
      </c>
      <c r="DJ25">
        <v>0.87321105990590064</v>
      </c>
      <c r="DK25">
        <v>3355612101.7474985</v>
      </c>
      <c r="DL25">
        <v>5.9268404766917228E-2</v>
      </c>
      <c r="DM25">
        <v>169000000</v>
      </c>
      <c r="DN25">
        <v>8.4669149667024615E-2</v>
      </c>
      <c r="DO25">
        <v>2930157600</v>
      </c>
      <c r="DP25">
        <v>1255644100</v>
      </c>
      <c r="DQ25" s="10">
        <v>1819</v>
      </c>
      <c r="DR25">
        <v>-0.23080095482461777</v>
      </c>
      <c r="DS25">
        <v>-0.25017162046794794</v>
      </c>
      <c r="DT25">
        <v>-0.32333333333333331</v>
      </c>
      <c r="DU25">
        <v>-0.10333333333333332</v>
      </c>
      <c r="DV25">
        <v>-0.42666666666666664</v>
      </c>
      <c r="DW25">
        <v>-8.3928170594837255</v>
      </c>
      <c r="DX25">
        <v>0.27484514563106971</v>
      </c>
      <c r="DY25">
        <v>-8.0294004500234273</v>
      </c>
      <c r="DZ25">
        <v>2731</v>
      </c>
      <c r="EA25">
        <v>-8.0136876067721587</v>
      </c>
      <c r="EB25" s="11">
        <v>8</v>
      </c>
      <c r="EC25" s="11">
        <v>2.9798592737825841E-2</v>
      </c>
      <c r="ED25">
        <v>0.39813661242255033</v>
      </c>
      <c r="EE25">
        <v>-3.0397099999999999</v>
      </c>
      <c r="EF25">
        <v>-3.0571100000000002</v>
      </c>
      <c r="EG25">
        <v>20.07484514563107</v>
      </c>
      <c r="EH25" s="13" t="s">
        <v>1538</v>
      </c>
      <c r="EI25" s="14">
        <v>0</v>
      </c>
      <c r="EJ25" s="14">
        <v>0</v>
      </c>
      <c r="EK25" s="14">
        <v>45470</v>
      </c>
      <c r="EL25" s="14">
        <v>-1.33</v>
      </c>
      <c r="EM25" s="14">
        <v>-6.05</v>
      </c>
      <c r="EN25" s="14">
        <v>-1.43</v>
      </c>
      <c r="EO25" s="14">
        <v>4.5999999999999996</v>
      </c>
      <c r="EP25" s="14">
        <v>-1.74</v>
      </c>
    </row>
    <row r="26" spans="1:146" ht="180" x14ac:dyDescent="0.25">
      <c r="A26" s="7" t="s">
        <v>1230</v>
      </c>
      <c r="B26" s="7" t="s">
        <v>1485</v>
      </c>
      <c r="C26" s="7" t="str">
        <f>"公司主营业务为制药装备的研发、设计、生产、销售和服务。主要产品为水剂类制药装备，包括安瓿瓶联动线、西林瓶联动线、口服液联动线、大输液联动线等产品。"&amp;CHAR(10)&amp;Basic_Fundamental_Information_Constructure(F26)&amp;CHAR(10)&amp;Basic_Fundamental_Information_Concatenate("检测包装解决方案及单机 10.21亿 35.58% 37.15% 39.00%
无菌制剂解决方案及单机 6.91亿 24.07% 25.34% 39.32%
生物工程解决方案及单机 4.53亿 15.79% 12.12% 28.65%
配件及售后服务 2.73亿 9.52% 12.98% 50.92%
制药用水装备及工程系统集成 2.23亿 7.77% 8.30% 39.90%
固体制剂解决方案及单机 1.82亿 6.33% 3.58% 21.12%")</f>
        <v>公司主营业务为制药装备的研发、设计、生产、销售和服务。主要产品为水剂类制药装备，包括安瓿瓶联动线、西林瓶联动线、口服液联动线、大输液联动线等产品。
市值42.678862亿, 利润3.17亿; PE26.21; 平均PE14.57; 平均PEG.4, PB.914; ROIC11.42%; ROE12.68%; 股利率1.3831%; 毛利35.95%; 净利8.0967%; 上一年度营收增6.31%, 利润增-44.09%; 当季营收增-10.37%, 利润增-115.69%; 过往5年营收增36.45%, 利润增80.76%
Income profile:
检测包装解决方案及单机 10.21亿 35.58% 37.15% 39.00%
无菌制剂解决方案及单机 6.91亿 24.07% 25.34% 39.32%
生物工程解决方案及单机 4.53亿 15.79% 12.12% 28.65%
配件及售后服务 2.73亿 9.52% 12.98% 50.92%
制药用水装备及工程系统集成 2.23亿 7.77% 8.30% 39.90%
固体制剂解决方案及单机 1.82亿 6.33% 3.58% 21.12%</v>
      </c>
      <c r="D26" t="s">
        <v>374</v>
      </c>
      <c r="E26" t="s">
        <v>375</v>
      </c>
      <c r="F26">
        <v>7.23</v>
      </c>
      <c r="G26">
        <v>1.69</v>
      </c>
      <c r="H26" t="s">
        <v>2797</v>
      </c>
      <c r="I26">
        <v>4267886200</v>
      </c>
      <c r="J26">
        <v>26.21</v>
      </c>
      <c r="K26">
        <v>0.91400000000000003</v>
      </c>
      <c r="L26" t="s">
        <v>40</v>
      </c>
      <c r="M26" t="s">
        <v>1817</v>
      </c>
      <c r="N26" t="s">
        <v>2798</v>
      </c>
      <c r="O26" t="s">
        <v>1552</v>
      </c>
      <c r="P26">
        <v>-10.39</v>
      </c>
      <c r="Q26" t="s">
        <v>1818</v>
      </c>
      <c r="R26">
        <v>-20871739</v>
      </c>
      <c r="S26" s="3">
        <v>-1.1559999999999999</v>
      </c>
      <c r="T26" t="s">
        <v>1055</v>
      </c>
      <c r="U26">
        <v>567451820</v>
      </c>
      <c r="V26">
        <v>590302370</v>
      </c>
      <c r="W26">
        <v>2.54</v>
      </c>
      <c r="X26">
        <v>0.12</v>
      </c>
      <c r="Y26">
        <v>-1.49</v>
      </c>
      <c r="Z26" t="s">
        <v>2799</v>
      </c>
      <c r="AA26" t="s">
        <v>2336</v>
      </c>
      <c r="AB26" t="s">
        <v>412</v>
      </c>
      <c r="AC26" t="s">
        <v>268</v>
      </c>
      <c r="AD26" t="s">
        <v>47</v>
      </c>
      <c r="AE26">
        <v>10384913</v>
      </c>
      <c r="AF26" t="s">
        <v>1820</v>
      </c>
      <c r="AG26" t="s">
        <v>2800</v>
      </c>
      <c r="AH26" t="s">
        <v>1821</v>
      </c>
      <c r="AI26" t="s">
        <v>2801</v>
      </c>
      <c r="AJ26" t="s">
        <v>1822</v>
      </c>
      <c r="AK26" t="s">
        <v>2802</v>
      </c>
      <c r="AL26" t="s">
        <v>1823</v>
      </c>
      <c r="AM26" t="s">
        <v>47</v>
      </c>
      <c r="AN26" t="s">
        <v>443</v>
      </c>
      <c r="AO26" t="s">
        <v>1516</v>
      </c>
      <c r="AP26" t="s">
        <v>2803</v>
      </c>
      <c r="AQ26" t="s">
        <v>2804</v>
      </c>
      <c r="AR26" t="s">
        <v>47</v>
      </c>
      <c r="AS26" t="s">
        <v>2805</v>
      </c>
      <c r="AT26" t="s">
        <v>2806</v>
      </c>
      <c r="AU26" t="s">
        <v>2225</v>
      </c>
      <c r="AV26" t="s">
        <v>2807</v>
      </c>
      <c r="AW26" t="s">
        <v>2808</v>
      </c>
      <c r="AX26" t="s">
        <v>1351</v>
      </c>
      <c r="AY26" t="s">
        <v>929</v>
      </c>
      <c r="AZ26" t="s">
        <v>376</v>
      </c>
      <c r="BA26" t="s">
        <v>378</v>
      </c>
      <c r="BB26" t="s">
        <v>379</v>
      </c>
      <c r="BC26" t="s">
        <v>1352</v>
      </c>
      <c r="BD26" t="s">
        <v>373</v>
      </c>
      <c r="BE26" t="s">
        <v>119</v>
      </c>
      <c r="BF26" t="s">
        <v>380</v>
      </c>
      <c r="BG26" t="s">
        <v>381</v>
      </c>
      <c r="BH26" t="s">
        <v>1818</v>
      </c>
      <c r="BI26" t="s">
        <v>1826</v>
      </c>
      <c r="BJ26" t="s">
        <v>1351</v>
      </c>
      <c r="BK26" t="s">
        <v>1055</v>
      </c>
      <c r="BL26" t="s">
        <v>895</v>
      </c>
      <c r="BM26" t="s">
        <v>1352</v>
      </c>
      <c r="BN26">
        <v>6.28</v>
      </c>
      <c r="BO26">
        <v>13.07</v>
      </c>
      <c r="BP26">
        <v>14.91</v>
      </c>
      <c r="BQ26">
        <v>6.54</v>
      </c>
      <c r="BR26">
        <v>14.64</v>
      </c>
      <c r="BS26">
        <v>16.86</v>
      </c>
      <c r="BT26" t="s">
        <v>1210</v>
      </c>
      <c r="BU26" t="s">
        <v>1032</v>
      </c>
      <c r="BV26">
        <v>32.119999999999997</v>
      </c>
      <c r="BW26">
        <v>36.049999999999997</v>
      </c>
      <c r="BX26">
        <v>39.68</v>
      </c>
      <c r="BY26">
        <v>4.54</v>
      </c>
      <c r="BZ26">
        <v>8.8699999999999992</v>
      </c>
      <c r="CA26">
        <v>10.88</v>
      </c>
      <c r="CB26">
        <v>-2.82</v>
      </c>
      <c r="CC26">
        <v>-9.2799999999999994</v>
      </c>
      <c r="CD26" t="s">
        <v>2809</v>
      </c>
      <c r="CE26" t="s">
        <v>43</v>
      </c>
      <c r="CF26" s="8">
        <v>-0.10367031551835158</v>
      </c>
      <c r="CG26" s="9">
        <v>-1.1569303684210526</v>
      </c>
      <c r="CH26" s="8">
        <v>6.3139937818050385E-2</v>
      </c>
      <c r="CI26" s="8">
        <v>0.2254752516746521</v>
      </c>
      <c r="CJ26" s="8">
        <v>0.47091728448867798</v>
      </c>
      <c r="CK26" s="8">
        <v>0.13885350525379181</v>
      </c>
      <c r="CL26" s="8">
        <v>0.92401963472366333</v>
      </c>
      <c r="CM26" s="9">
        <v>-0.44091710448265076</v>
      </c>
      <c r="CN26" s="9">
        <v>1.7667844658717513E-3</v>
      </c>
      <c r="CO26" s="9">
        <v>1.815920352935791</v>
      </c>
      <c r="CP26" s="9">
        <v>2.0833988189697266</v>
      </c>
      <c r="CQ26" s="9">
        <v>0.57782787084579468</v>
      </c>
      <c r="CR26">
        <v>14.570286122462287</v>
      </c>
      <c r="CS26">
        <v>0.39975420430172687</v>
      </c>
      <c r="CT26">
        <v>1.3831258644536653</v>
      </c>
      <c r="CU26" s="8">
        <v>0.36448112279176714</v>
      </c>
      <c r="CV26" s="9">
        <v>0.80759934454690663</v>
      </c>
      <c r="CW26">
        <v>0.06</v>
      </c>
      <c r="CX26">
        <v>15.512256366669643</v>
      </c>
      <c r="CY26">
        <v>408057090.49527371</v>
      </c>
      <c r="CZ26">
        <v>0.36448112279176714</v>
      </c>
      <c r="DA26">
        <v>4.0488994113360439</v>
      </c>
      <c r="DB26">
        <v>1563359707.6473882</v>
      </c>
      <c r="DC26">
        <v>0.34625706665217876</v>
      </c>
      <c r="DD26">
        <v>1.4378138910651219</v>
      </c>
      <c r="DE26">
        <v>4402437783.7321262</v>
      </c>
      <c r="DF26">
        <v>0.32074338805675506</v>
      </c>
      <c r="DG26">
        <v>0.57618070739615357</v>
      </c>
      <c r="DH26">
        <v>10985939165.866381</v>
      </c>
      <c r="DI26">
        <v>0.29158489823341371</v>
      </c>
      <c r="DJ26">
        <v>0.10947943205780186</v>
      </c>
      <c r="DK26">
        <v>57818040165.371056</v>
      </c>
      <c r="DL26">
        <v>0.255136785954237</v>
      </c>
      <c r="DM26">
        <v>317000000</v>
      </c>
      <c r="DN26">
        <v>0.36448112279176714</v>
      </c>
      <c r="DO26">
        <v>6329886200</v>
      </c>
      <c r="DP26">
        <v>1527188200</v>
      </c>
      <c r="DQ26">
        <v>1835</v>
      </c>
      <c r="DR26">
        <v>-0.46815143831011874</v>
      </c>
      <c r="DS26">
        <v>-1.9645297129679591</v>
      </c>
      <c r="DT26" s="10">
        <v>4.33333333333333E-2</v>
      </c>
      <c r="DU26">
        <v>-0.15000000000000002</v>
      </c>
      <c r="DV26">
        <v>-0.10666666666666672</v>
      </c>
      <c r="DW26">
        <v>-8.3038793103448274</v>
      </c>
      <c r="DX26">
        <v>0.31072374100719291</v>
      </c>
      <c r="DY26">
        <v>-8.0427630333664109</v>
      </c>
      <c r="DZ26">
        <v>1959</v>
      </c>
      <c r="EA26">
        <v>-8.0263691424926726</v>
      </c>
      <c r="EB26">
        <v>8</v>
      </c>
      <c r="EC26">
        <v>3.3136577107084966E-2</v>
      </c>
      <c r="ED26">
        <v>0.23547254265640166</v>
      </c>
      <c r="EE26" s="11">
        <v>-5.0071099999999999</v>
      </c>
      <c r="EF26">
        <v>-5.03071</v>
      </c>
      <c r="EG26">
        <v>17.140723741007193</v>
      </c>
      <c r="EH26" t="s">
        <v>1599</v>
      </c>
      <c r="EI26">
        <v>0</v>
      </c>
      <c r="EJ26">
        <v>0</v>
      </c>
      <c r="EK26" s="13">
        <v>45470</v>
      </c>
      <c r="EL26" s="14">
        <v>-0.39</v>
      </c>
      <c r="EM26" s="14">
        <v>-5.19</v>
      </c>
      <c r="EN26" s="14">
        <v>0.41</v>
      </c>
      <c r="EO26" s="14">
        <v>3.96</v>
      </c>
      <c r="EP26" s="14">
        <v>-2.36</v>
      </c>
    </row>
    <row r="27" spans="1:146" ht="96" x14ac:dyDescent="0.25">
      <c r="A27" s="7"/>
      <c r="B27" s="7"/>
      <c r="C27" s="7" t="str">
        <f>""&amp;CHAR(10)&amp;Basic_Fundamental_Information_Constructure(F27)&amp;CHAR(10)&amp;Basic_Fundamental_Information_Concatenate("")</f>
        <v xml:space="preserve">
市值50.98689亿, 利润2.76亿; PE15.95; 平均PE21.17; 平均PEG2.34, PB2.36; ROIC10.93%; ROE12.6367%; 股利率2.6925%; 毛利51.6167%; 净利21.5433%; 上一年度营收增12.95%, 利润增5.34%; 当季营收增99.7%, 利润增56.73%; 过往5年营收增9.06%, 利润增8.2%
Income profile:
</v>
      </c>
      <c r="D27" t="s">
        <v>383</v>
      </c>
      <c r="E27" t="s">
        <v>384</v>
      </c>
      <c r="F27">
        <v>18.57</v>
      </c>
      <c r="G27">
        <v>2.09</v>
      </c>
      <c r="H27" t="s">
        <v>2810</v>
      </c>
      <c r="I27">
        <v>5098689000</v>
      </c>
      <c r="J27">
        <v>15.95</v>
      </c>
      <c r="K27">
        <v>2.36</v>
      </c>
      <c r="L27" t="s">
        <v>40</v>
      </c>
      <c r="M27" t="s">
        <v>1827</v>
      </c>
      <c r="N27" t="s">
        <v>2811</v>
      </c>
      <c r="O27" t="s">
        <v>1151</v>
      </c>
      <c r="P27">
        <v>99.6</v>
      </c>
      <c r="Q27" t="s">
        <v>1828</v>
      </c>
      <c r="R27">
        <v>121800598</v>
      </c>
      <c r="S27" s="3">
        <v>0.56730000000000003</v>
      </c>
      <c r="T27" t="s">
        <v>1510</v>
      </c>
      <c r="U27">
        <v>259434150</v>
      </c>
      <c r="V27">
        <v>274565910</v>
      </c>
      <c r="W27">
        <v>1.51</v>
      </c>
      <c r="X27">
        <v>0.2</v>
      </c>
      <c r="Y27">
        <v>18.38</v>
      </c>
      <c r="Z27" t="s">
        <v>1882</v>
      </c>
      <c r="AA27" t="s">
        <v>2812</v>
      </c>
      <c r="AB27" t="s">
        <v>2813</v>
      </c>
      <c r="AC27" t="s">
        <v>2814</v>
      </c>
      <c r="AD27" t="s">
        <v>47</v>
      </c>
      <c r="AE27">
        <v>1246559</v>
      </c>
      <c r="AF27" t="s">
        <v>1829</v>
      </c>
      <c r="AG27" t="s">
        <v>2815</v>
      </c>
      <c r="AH27" t="s">
        <v>1830</v>
      </c>
      <c r="AI27" t="s">
        <v>58</v>
      </c>
      <c r="AJ27" t="s">
        <v>1831</v>
      </c>
      <c r="AK27" t="s">
        <v>2816</v>
      </c>
      <c r="AL27" t="s">
        <v>1832</v>
      </c>
      <c r="AM27" t="s">
        <v>47</v>
      </c>
      <c r="AN27">
        <v>0</v>
      </c>
      <c r="AO27" t="s">
        <v>2817</v>
      </c>
      <c r="AP27" t="s">
        <v>2586</v>
      </c>
      <c r="AQ27" t="s">
        <v>274</v>
      </c>
      <c r="AR27" t="s">
        <v>2818</v>
      </c>
      <c r="AS27" t="s">
        <v>2819</v>
      </c>
      <c r="AT27" t="s">
        <v>47</v>
      </c>
      <c r="AU27" t="s">
        <v>2820</v>
      </c>
      <c r="AV27" t="s">
        <v>2821</v>
      </c>
      <c r="AW27" t="s">
        <v>2822</v>
      </c>
      <c r="AX27" t="s">
        <v>1328</v>
      </c>
      <c r="AY27" t="s">
        <v>145</v>
      </c>
      <c r="AZ27" t="s">
        <v>386</v>
      </c>
      <c r="BA27" t="s">
        <v>387</v>
      </c>
      <c r="BB27" t="s">
        <v>388</v>
      </c>
      <c r="BC27" t="s">
        <v>512</v>
      </c>
      <c r="BD27" t="s">
        <v>158</v>
      </c>
      <c r="BE27" t="s">
        <v>279</v>
      </c>
      <c r="BF27" t="s">
        <v>69</v>
      </c>
      <c r="BG27" t="s">
        <v>209</v>
      </c>
      <c r="BH27" t="s">
        <v>1828</v>
      </c>
      <c r="BI27" t="s">
        <v>402</v>
      </c>
      <c r="BJ27" t="s">
        <v>1328</v>
      </c>
      <c r="BK27" t="s">
        <v>1510</v>
      </c>
      <c r="BL27" t="s">
        <v>1833</v>
      </c>
      <c r="BM27" t="s">
        <v>512</v>
      </c>
      <c r="BN27">
        <v>10.220000000000001</v>
      </c>
      <c r="BO27">
        <v>11.82</v>
      </c>
      <c r="BP27">
        <v>10.75</v>
      </c>
      <c r="BQ27">
        <v>11.8</v>
      </c>
      <c r="BR27">
        <v>13.71</v>
      </c>
      <c r="BS27">
        <v>12.4</v>
      </c>
      <c r="BT27" t="s">
        <v>1211</v>
      </c>
      <c r="BU27" t="s">
        <v>1075</v>
      </c>
      <c r="BV27">
        <v>50.53</v>
      </c>
      <c r="BW27">
        <v>51.99</v>
      </c>
      <c r="BX27">
        <v>52.33</v>
      </c>
      <c r="BY27">
        <v>20</v>
      </c>
      <c r="BZ27">
        <v>21.45</v>
      </c>
      <c r="CA27">
        <v>23.18</v>
      </c>
      <c r="CB27">
        <v>-8.57</v>
      </c>
      <c r="CC27">
        <v>-24.11</v>
      </c>
      <c r="CD27" t="s">
        <v>2823</v>
      </c>
      <c r="CE27" t="s">
        <v>2824</v>
      </c>
      <c r="CF27" s="8">
        <v>0.99698795180722888</v>
      </c>
      <c r="CG27" s="9">
        <v>0.56733925522154327</v>
      </c>
      <c r="CH27" s="8">
        <v>0.12950819730758667</v>
      </c>
      <c r="CI27" s="8">
        <v>0.34657835960388184</v>
      </c>
      <c r="CJ27" s="8">
        <v>-3.3084310591220856E-2</v>
      </c>
      <c r="CK27" s="8">
        <v>-7.1357779204845428E-2</v>
      </c>
      <c r="CL27" s="8">
        <v>8.1457667052745819E-2</v>
      </c>
      <c r="CM27" s="9">
        <v>5.3435113281011581E-2</v>
      </c>
      <c r="CN27" s="9">
        <v>0.24761904776096344</v>
      </c>
      <c r="CO27" s="9">
        <v>-0.21348313987255096</v>
      </c>
      <c r="CP27" s="9">
        <v>0.15086206793785095</v>
      </c>
      <c r="CQ27" s="9">
        <v>0.17171716690063477</v>
      </c>
      <c r="CR27">
        <v>21.171026989619378</v>
      </c>
      <c r="CS27">
        <v>2.3362312151196716</v>
      </c>
      <c r="CT27">
        <v>2.6925148088314486</v>
      </c>
      <c r="CU27" s="8">
        <v>9.0620426833629614E-2</v>
      </c>
      <c r="CV27" s="9">
        <v>8.2030051201581952E-2</v>
      </c>
      <c r="CW27">
        <v>0.06</v>
      </c>
      <c r="CX27">
        <v>14.859479574917145</v>
      </c>
      <c r="CY27">
        <v>283972865.85479414</v>
      </c>
      <c r="CZ27">
        <v>9.0620426833629614E-2</v>
      </c>
      <c r="DA27">
        <v>4.8533890047408459</v>
      </c>
      <c r="DB27">
        <v>869431441.7983309</v>
      </c>
      <c r="DC27">
        <v>8.6089405491948129E-2</v>
      </c>
      <c r="DD27">
        <v>2.3875327051355262</v>
      </c>
      <c r="DE27">
        <v>1767384794.7395859</v>
      </c>
      <c r="DF27">
        <v>7.9745975613594061E-2</v>
      </c>
      <c r="DG27">
        <v>1.4326185410481158</v>
      </c>
      <c r="DH27">
        <v>2945437936.9632058</v>
      </c>
      <c r="DI27">
        <v>7.2496341466903688E-2</v>
      </c>
      <c r="DJ27">
        <v>0.7387805325356438</v>
      </c>
      <c r="DK27">
        <v>5711694900.131134</v>
      </c>
      <c r="DL27">
        <v>6.3434298783540732E-2</v>
      </c>
      <c r="DM27">
        <v>276000000</v>
      </c>
      <c r="DN27">
        <v>9.0620426833629614E-2</v>
      </c>
      <c r="DO27">
        <v>4219689000</v>
      </c>
      <c r="DP27">
        <v>919804500</v>
      </c>
      <c r="DQ27">
        <v>1868</v>
      </c>
      <c r="DR27">
        <v>0.90636752497359929</v>
      </c>
      <c r="DS27">
        <v>0.4853092040199613</v>
      </c>
      <c r="DT27" s="10">
        <v>-0.28999999999999998</v>
      </c>
      <c r="DU27">
        <v>0.67333333333333334</v>
      </c>
      <c r="DV27">
        <v>0.38333333333333336</v>
      </c>
      <c r="DW27">
        <v>-9.3554541683948571</v>
      </c>
      <c r="DX27">
        <v>0.50304937675238648</v>
      </c>
      <c r="DY27">
        <v>-9.0899474557763558</v>
      </c>
      <c r="DZ27">
        <v>893</v>
      </c>
      <c r="EA27">
        <v>-9.0742286538177872</v>
      </c>
      <c r="EB27">
        <v>9</v>
      </c>
      <c r="EC27">
        <v>6.7708332764253212E-2</v>
      </c>
      <c r="ED27">
        <v>0.26756963382671944</v>
      </c>
      <c r="EE27" s="11">
        <v>-1.0342100000000001</v>
      </c>
      <c r="EF27">
        <v>-1.0504100000000001</v>
      </c>
      <c r="EG27">
        <v>25.253049376752386</v>
      </c>
      <c r="EH27" t="s">
        <v>1039</v>
      </c>
      <c r="EI27">
        <v>0</v>
      </c>
      <c r="EJ27">
        <v>1</v>
      </c>
      <c r="EK27" s="13">
        <v>45470</v>
      </c>
      <c r="EL27" s="14">
        <v>0.14000000000000001</v>
      </c>
      <c r="EM27" s="14">
        <v>-6.49</v>
      </c>
      <c r="EN27" s="14">
        <v>-0.53</v>
      </c>
      <c r="EO27" s="14">
        <v>2.04</v>
      </c>
      <c r="EP27" s="14">
        <v>-1.62</v>
      </c>
    </row>
    <row r="28" spans="1:146" ht="96" x14ac:dyDescent="0.25">
      <c r="A28" s="7"/>
      <c r="B28" s="7"/>
      <c r="C28" s="7" t="str">
        <f>""&amp;CHAR(10)&amp;Basic_Fundamental_Information_Constructure(F28)&amp;CHAR(10)&amp;Basic_Fundamental_Information_Concatenate("")</f>
        <v xml:space="preserve">
市值90.032277亿, 利润5.24亿; PE16.88; 平均PE26.17; 平均PEG1.21, PB2.45; ROIC10.5733%; ROE11.8367%; 股利率1.3072%; 毛利73.7733%; 净利28.4833%; 上一年度营收增15.29%, 利润增34.7%; 当季营收增5.63%, 利润增8.69%; 过往5年营收增21.57%, 利润增47.41%
Income profile:
</v>
      </c>
      <c r="D28" t="s">
        <v>392</v>
      </c>
      <c r="E28" t="s">
        <v>393</v>
      </c>
      <c r="F28">
        <v>15.3</v>
      </c>
      <c r="G28">
        <v>1.93</v>
      </c>
      <c r="H28" t="s">
        <v>2825</v>
      </c>
      <c r="I28">
        <v>9003227700</v>
      </c>
      <c r="J28">
        <v>16.88</v>
      </c>
      <c r="K28">
        <v>2.4500000000000002</v>
      </c>
      <c r="L28" t="s">
        <v>40</v>
      </c>
      <c r="M28" t="s">
        <v>1834</v>
      </c>
      <c r="N28" t="s">
        <v>2826</v>
      </c>
      <c r="O28" t="s">
        <v>1393</v>
      </c>
      <c r="P28">
        <v>5.49</v>
      </c>
      <c r="Q28" t="s">
        <v>1344</v>
      </c>
      <c r="R28">
        <v>120648450</v>
      </c>
      <c r="S28" s="3">
        <v>8.6699999999999999E-2</v>
      </c>
      <c r="T28" t="s">
        <v>1412</v>
      </c>
      <c r="U28">
        <v>422365310</v>
      </c>
      <c r="V28">
        <v>588446250</v>
      </c>
      <c r="W28">
        <v>1.37</v>
      </c>
      <c r="X28">
        <v>0.08</v>
      </c>
      <c r="Y28">
        <v>30.52</v>
      </c>
      <c r="Z28" t="s">
        <v>194</v>
      </c>
      <c r="AA28" t="s">
        <v>2827</v>
      </c>
      <c r="AB28" t="s">
        <v>2828</v>
      </c>
      <c r="AC28" t="s">
        <v>2829</v>
      </c>
      <c r="AD28" t="s">
        <v>47</v>
      </c>
      <c r="AE28">
        <v>10659620</v>
      </c>
      <c r="AF28" t="s">
        <v>1835</v>
      </c>
      <c r="AG28" t="s">
        <v>2830</v>
      </c>
      <c r="AH28" t="s">
        <v>1836</v>
      </c>
      <c r="AI28" t="s">
        <v>1870</v>
      </c>
      <c r="AJ28" t="s">
        <v>1837</v>
      </c>
      <c r="AK28" t="s">
        <v>2831</v>
      </c>
      <c r="AL28" t="s">
        <v>1838</v>
      </c>
      <c r="AM28" t="s">
        <v>47</v>
      </c>
      <c r="AN28" t="s">
        <v>2832</v>
      </c>
      <c r="AO28" t="s">
        <v>2833</v>
      </c>
      <c r="AP28" t="s">
        <v>2834</v>
      </c>
      <c r="AQ28" t="s">
        <v>2835</v>
      </c>
      <c r="AR28" t="s">
        <v>2836</v>
      </c>
      <c r="AS28" t="s">
        <v>2837</v>
      </c>
      <c r="AT28" t="s">
        <v>217</v>
      </c>
      <c r="AU28" t="s">
        <v>2838</v>
      </c>
      <c r="AV28" t="s">
        <v>859</v>
      </c>
      <c r="AW28" t="s">
        <v>2839</v>
      </c>
      <c r="AX28" t="s">
        <v>1059</v>
      </c>
      <c r="AY28" t="s">
        <v>930</v>
      </c>
      <c r="AZ28" t="s">
        <v>395</v>
      </c>
      <c r="BA28" t="s">
        <v>399</v>
      </c>
      <c r="BB28" t="s">
        <v>400</v>
      </c>
      <c r="BC28" t="s">
        <v>308</v>
      </c>
      <c r="BD28" t="s">
        <v>931</v>
      </c>
      <c r="BE28" t="s">
        <v>396</v>
      </c>
      <c r="BF28" t="s">
        <v>402</v>
      </c>
      <c r="BG28" t="s">
        <v>138</v>
      </c>
      <c r="BH28" t="s">
        <v>1344</v>
      </c>
      <c r="BI28" t="s">
        <v>1057</v>
      </c>
      <c r="BJ28" t="s">
        <v>1059</v>
      </c>
      <c r="BK28" t="s">
        <v>1412</v>
      </c>
      <c r="BL28" t="s">
        <v>277</v>
      </c>
      <c r="BM28" t="s">
        <v>308</v>
      </c>
      <c r="BN28">
        <v>8.7899999999999991</v>
      </c>
      <c r="BO28">
        <v>10.43</v>
      </c>
      <c r="BP28">
        <v>12.5</v>
      </c>
      <c r="BQ28">
        <v>10.8</v>
      </c>
      <c r="BR28">
        <v>12.66</v>
      </c>
      <c r="BS28">
        <v>12.05</v>
      </c>
      <c r="BT28" t="s">
        <v>1213</v>
      </c>
      <c r="BU28" t="s">
        <v>1075</v>
      </c>
      <c r="BV28">
        <v>74.66</v>
      </c>
      <c r="BW28">
        <v>74.59</v>
      </c>
      <c r="BX28">
        <v>72.069999999999993</v>
      </c>
      <c r="BY28">
        <v>29.98</v>
      </c>
      <c r="BZ28">
        <v>26.11</v>
      </c>
      <c r="CA28">
        <v>29.36</v>
      </c>
      <c r="CB28">
        <v>-0.52</v>
      </c>
      <c r="CC28">
        <v>-10.63</v>
      </c>
      <c r="CD28" t="s">
        <v>2840</v>
      </c>
      <c r="CE28" t="s">
        <v>130</v>
      </c>
      <c r="CF28" s="8">
        <v>5.6300268096514748E-2</v>
      </c>
      <c r="CG28" s="9">
        <v>8.6922972972972828E-2</v>
      </c>
      <c r="CH28" s="8">
        <v>0.15287883579730988</v>
      </c>
      <c r="CI28" s="8">
        <v>-5.5034395307302475E-2</v>
      </c>
      <c r="CJ28" s="8">
        <v>0.88561326265335083</v>
      </c>
      <c r="CK28" s="8">
        <v>8.3234244957566261E-3</v>
      </c>
      <c r="CL28" s="8">
        <v>8.656330406665802E-2</v>
      </c>
      <c r="CM28" s="9">
        <v>0.34704369306564331</v>
      </c>
      <c r="CN28" s="9">
        <v>-4.1871920228004456E-2</v>
      </c>
      <c r="CO28" s="9">
        <v>2.625</v>
      </c>
      <c r="CP28" s="9">
        <v>-0.66265058517456055</v>
      </c>
      <c r="CQ28" s="9">
        <v>0.10299003124237061</v>
      </c>
      <c r="CR28">
        <v>26.17217354651163</v>
      </c>
      <c r="CS28">
        <v>1.2135349697643141</v>
      </c>
      <c r="CT28">
        <v>1.3071895424836601</v>
      </c>
      <c r="CU28" s="8">
        <v>0.21566888634115458</v>
      </c>
      <c r="CV28" s="9">
        <v>0.47410224378108978</v>
      </c>
      <c r="CW28">
        <v>0.06</v>
      </c>
      <c r="CX28">
        <v>11.007889824669531</v>
      </c>
      <c r="CY28">
        <v>600953298.53091037</v>
      </c>
      <c r="CZ28">
        <v>0.21566888634115458</v>
      </c>
      <c r="DA28">
        <v>3.2392137111112045</v>
      </c>
      <c r="DB28">
        <v>2042232557.027138</v>
      </c>
      <c r="DC28">
        <v>0.20488544202409684</v>
      </c>
      <c r="DD28">
        <v>1.3774408724917391</v>
      </c>
      <c r="DE28">
        <v>4802549301.4689627</v>
      </c>
      <c r="DF28">
        <v>0.18978861998021604</v>
      </c>
      <c r="DG28">
        <v>0.69521489876603759</v>
      </c>
      <c r="DH28">
        <v>9515371019.4381771</v>
      </c>
      <c r="DI28">
        <v>0.17253510907292369</v>
      </c>
      <c r="DJ28">
        <v>0.2381486742827115</v>
      </c>
      <c r="DK28">
        <v>27777722130.617107</v>
      </c>
      <c r="DL28">
        <v>0.1509682204388082</v>
      </c>
      <c r="DM28">
        <v>524000000</v>
      </c>
      <c r="DN28">
        <v>0.21566888634115458</v>
      </c>
      <c r="DO28">
        <v>6615227700</v>
      </c>
      <c r="DP28">
        <v>2495372100</v>
      </c>
      <c r="DQ28">
        <v>1878</v>
      </c>
      <c r="DR28">
        <v>-0.15936861824463983</v>
      </c>
      <c r="DS28">
        <v>-0.38717927080811698</v>
      </c>
      <c r="DT28" s="10">
        <v>-6.6666666666666714E-3</v>
      </c>
      <c r="DU28">
        <v>0.35000000000000009</v>
      </c>
      <c r="DV28">
        <v>0.34333333333333343</v>
      </c>
      <c r="DW28">
        <v>-2.1063000000000001</v>
      </c>
      <c r="DX28">
        <v>0.40264852071006002</v>
      </c>
      <c r="DY28">
        <v>-2.0119745377514793</v>
      </c>
      <c r="DZ28">
        <v>965</v>
      </c>
      <c r="EA28">
        <v>-2.0097132013659258</v>
      </c>
      <c r="EB28">
        <v>2</v>
      </c>
      <c r="EC28">
        <v>3.2352317650082736E-2</v>
      </c>
      <c r="ED28">
        <v>0.28719700397444964</v>
      </c>
      <c r="EE28" s="11">
        <v>3.0785999999999998</v>
      </c>
      <c r="EF28">
        <v>3.0364</v>
      </c>
      <c r="EG28">
        <v>29.11264852071006</v>
      </c>
      <c r="EH28" t="s">
        <v>1598</v>
      </c>
      <c r="EI28">
        <v>0</v>
      </c>
      <c r="EJ28">
        <v>1</v>
      </c>
      <c r="EK28" s="13">
        <v>45470</v>
      </c>
      <c r="EL28" s="14">
        <v>-0.93</v>
      </c>
      <c r="EM28" s="14">
        <v>-1.01</v>
      </c>
      <c r="EN28" s="14">
        <v>0.95</v>
      </c>
      <c r="EO28" s="14">
        <v>8.18</v>
      </c>
      <c r="EP28" s="14">
        <v>-4.22</v>
      </c>
    </row>
    <row r="29" spans="1:146" ht="96" x14ac:dyDescent="0.25">
      <c r="A29" s="7"/>
      <c r="B29" s="7"/>
      <c r="C29" s="7" t="str">
        <f>""&amp;CHAR(10)&amp;Basic_Fundamental_Information_Constructure(F29)&amp;CHAR(10)&amp;Basic_Fundamental_Information_Concatenate("")</f>
        <v xml:space="preserve">
市值35.246593亿, 利润2.57亿; PE13.34; 平均PE34.39; 平均PEG4.05, PB1.26; ROIC7.6233%; ROE8.4467%; 股利率1.4597%; 毛利41.0767%; 净利10.15%; 上一年度营收增-24.23%, 利润增29.15%; 当季营收增-1.83%, 利润增10.76%; 过往5年营收增-8.49%, 利润增-35.76%
Income profile:
</v>
      </c>
      <c r="D29" t="s">
        <v>406</v>
      </c>
      <c r="E29" t="s">
        <v>407</v>
      </c>
      <c r="F29">
        <v>9.18</v>
      </c>
      <c r="G29">
        <v>4.2</v>
      </c>
      <c r="H29" t="s">
        <v>2841</v>
      </c>
      <c r="I29">
        <v>3524659300</v>
      </c>
      <c r="J29">
        <v>13.34</v>
      </c>
      <c r="K29">
        <v>1.26</v>
      </c>
      <c r="L29" t="s">
        <v>40</v>
      </c>
      <c r="M29" t="s">
        <v>1839</v>
      </c>
      <c r="N29" t="s">
        <v>2842</v>
      </c>
      <c r="O29" t="s">
        <v>1493</v>
      </c>
      <c r="P29">
        <v>-1.91</v>
      </c>
      <c r="Q29" t="s">
        <v>1840</v>
      </c>
      <c r="R29">
        <v>79096771</v>
      </c>
      <c r="S29" s="3">
        <v>0.1076</v>
      </c>
      <c r="T29" t="s">
        <v>63</v>
      </c>
      <c r="U29">
        <v>291715430</v>
      </c>
      <c r="V29">
        <v>383949820</v>
      </c>
      <c r="W29">
        <v>1.23</v>
      </c>
      <c r="X29">
        <v>0.14000000000000001</v>
      </c>
      <c r="Y29">
        <v>16.21</v>
      </c>
      <c r="Z29" t="s">
        <v>2843</v>
      </c>
      <c r="AA29" t="s">
        <v>1087</v>
      </c>
      <c r="AB29" t="s">
        <v>2844</v>
      </c>
      <c r="AC29" t="s">
        <v>2845</v>
      </c>
      <c r="AD29" t="s">
        <v>47</v>
      </c>
      <c r="AE29">
        <v>-2528868</v>
      </c>
      <c r="AF29" t="s">
        <v>1841</v>
      </c>
      <c r="AG29" t="s">
        <v>2846</v>
      </c>
      <c r="AH29" t="s">
        <v>1842</v>
      </c>
      <c r="AI29" t="s">
        <v>2847</v>
      </c>
      <c r="AJ29" t="s">
        <v>1843</v>
      </c>
      <c r="AK29" t="s">
        <v>2848</v>
      </c>
      <c r="AL29" t="s">
        <v>1844</v>
      </c>
      <c r="AM29" t="s">
        <v>47</v>
      </c>
      <c r="AN29" t="s">
        <v>317</v>
      </c>
      <c r="AO29" t="s">
        <v>2849</v>
      </c>
      <c r="AP29" t="s">
        <v>2850</v>
      </c>
      <c r="AQ29" t="s">
        <v>398</v>
      </c>
      <c r="AR29" t="s">
        <v>47</v>
      </c>
      <c r="AS29" t="s">
        <v>2851</v>
      </c>
      <c r="AT29" t="s">
        <v>47</v>
      </c>
      <c r="AU29" t="s">
        <v>2852</v>
      </c>
      <c r="AV29" t="s">
        <v>2853</v>
      </c>
      <c r="AW29" t="s">
        <v>2854</v>
      </c>
      <c r="AX29" t="s">
        <v>1353</v>
      </c>
      <c r="AY29" t="s">
        <v>933</v>
      </c>
      <c r="AZ29" t="s">
        <v>408</v>
      </c>
      <c r="BA29" t="s">
        <v>413</v>
      </c>
      <c r="BB29" t="s">
        <v>414</v>
      </c>
      <c r="BC29" t="s">
        <v>161</v>
      </c>
      <c r="BD29" t="s">
        <v>517</v>
      </c>
      <c r="BE29" t="s">
        <v>409</v>
      </c>
      <c r="BF29" t="s">
        <v>415</v>
      </c>
      <c r="BG29" t="s">
        <v>416</v>
      </c>
      <c r="BH29" t="s">
        <v>1840</v>
      </c>
      <c r="BI29" t="s">
        <v>1181</v>
      </c>
      <c r="BJ29" t="s">
        <v>1353</v>
      </c>
      <c r="BK29" t="s">
        <v>63</v>
      </c>
      <c r="BL29" t="s">
        <v>1845</v>
      </c>
      <c r="BM29" t="s">
        <v>161</v>
      </c>
      <c r="BN29">
        <v>7.79</v>
      </c>
      <c r="BO29">
        <v>7.45</v>
      </c>
      <c r="BP29">
        <v>7.63</v>
      </c>
      <c r="BQ29">
        <v>8.7799999999999994</v>
      </c>
      <c r="BR29">
        <v>8.1999999999999993</v>
      </c>
      <c r="BS29">
        <v>8.36</v>
      </c>
      <c r="BT29" t="s">
        <v>1846</v>
      </c>
      <c r="BU29" t="s">
        <v>1075</v>
      </c>
      <c r="BV29">
        <v>44.6</v>
      </c>
      <c r="BW29">
        <v>38.15</v>
      </c>
      <c r="BX29">
        <v>40.479999999999997</v>
      </c>
      <c r="BY29">
        <v>13.76</v>
      </c>
      <c r="BZ29">
        <v>8.24</v>
      </c>
      <c r="CA29">
        <v>8.4499999999999993</v>
      </c>
      <c r="CB29">
        <v>0.22</v>
      </c>
      <c r="CC29">
        <v>-7.33</v>
      </c>
      <c r="CD29" t="s">
        <v>2855</v>
      </c>
      <c r="CE29" t="s">
        <v>2856</v>
      </c>
      <c r="CF29" s="8">
        <v>-1.8329938900203666E-2</v>
      </c>
      <c r="CG29" s="9">
        <v>0.10759469901180596</v>
      </c>
      <c r="CH29" s="8">
        <v>-0.24226595461368561</v>
      </c>
      <c r="CI29" s="8">
        <v>0.10523975640535355</v>
      </c>
      <c r="CJ29" s="8">
        <v>-2.1720297634601593E-2</v>
      </c>
      <c r="CK29" s="8">
        <v>-0.26524093747138977</v>
      </c>
      <c r="CL29" s="8">
        <v>-6.3799932831898332E-4</v>
      </c>
      <c r="CM29" s="9">
        <v>0.29145729541778564</v>
      </c>
      <c r="CN29" s="9">
        <v>0.11173184216022491</v>
      </c>
      <c r="CO29" s="9">
        <v>-0.40133780241012573</v>
      </c>
      <c r="CP29" s="9">
        <v>1.5339285135269165</v>
      </c>
      <c r="CQ29" s="9">
        <v>-3.3236515522003174</v>
      </c>
      <c r="CR29">
        <v>34.386920000000003</v>
      </c>
      <c r="CS29">
        <v>4.0490886033361377</v>
      </c>
      <c r="CT29">
        <v>1.4596949891067539</v>
      </c>
      <c r="CU29" s="8">
        <v>-8.4925086528528482E-2</v>
      </c>
      <c r="CV29" s="9">
        <v>-0.35757434070110322</v>
      </c>
      <c r="CW29">
        <v>0.06</v>
      </c>
      <c r="CX29">
        <v>5.916962256809339</v>
      </c>
      <c r="CY29" t="s">
        <v>1847</v>
      </c>
      <c r="CZ29">
        <v>-8.4925086528528482E-2</v>
      </c>
      <c r="DA29">
        <v>1.9723207522697794</v>
      </c>
      <c r="DB29" t="s">
        <v>1848</v>
      </c>
      <c r="DC29">
        <v>-8.0678832202102049E-2</v>
      </c>
      <c r="DD29">
        <v>0.98616037613488972</v>
      </c>
      <c r="DE29" t="s">
        <v>1849</v>
      </c>
      <c r="DF29">
        <v>-7.4734076145105063E-2</v>
      </c>
      <c r="DG29">
        <v>0.59169622568093383</v>
      </c>
      <c r="DH29" t="s">
        <v>1850</v>
      </c>
      <c r="DI29">
        <v>-6.7940069222822794E-2</v>
      </c>
      <c r="DJ29">
        <v>0.29584811284046691</v>
      </c>
      <c r="DK29" t="s">
        <v>1851</v>
      </c>
      <c r="DL29">
        <v>-5.9447560569969936E-2</v>
      </c>
      <c r="DM29">
        <v>256999999.99999997</v>
      </c>
      <c r="DN29">
        <v>-8.4925086528528482E-2</v>
      </c>
      <c r="DO29">
        <v>1520659300</v>
      </c>
      <c r="DP29">
        <v>1214170200</v>
      </c>
      <c r="DQ29">
        <v>1910</v>
      </c>
      <c r="DR29">
        <v>6.6595147628324816E-2</v>
      </c>
      <c r="DS29">
        <v>0.46516903971290918</v>
      </c>
      <c r="DT29" s="10">
        <v>-0.72333333333333327</v>
      </c>
      <c r="DU29">
        <v>-0.13000000000000009</v>
      </c>
      <c r="DV29">
        <v>-0.85333333333333339</v>
      </c>
      <c r="DW29">
        <v>-2.0733000000000001</v>
      </c>
      <c r="DX29">
        <v>0.52471258655928266</v>
      </c>
      <c r="DY29">
        <v>-2.0120734325947955</v>
      </c>
      <c r="DZ29">
        <v>3408</v>
      </c>
      <c r="EA29">
        <v>-2.0040213272556442</v>
      </c>
      <c r="EB29">
        <v>2</v>
      </c>
      <c r="EC29">
        <v>3.6402934112587944E-2</v>
      </c>
      <c r="ED29">
        <v>0.2210088287057928</v>
      </c>
      <c r="EE29" s="11">
        <v>1.3900000000000003E-2</v>
      </c>
      <c r="EF29">
        <v>5.4099999999999981E-3</v>
      </c>
      <c r="EG29">
        <v>36.164712586559283</v>
      </c>
      <c r="EH29">
        <v>-1</v>
      </c>
      <c r="EI29">
        <v>0</v>
      </c>
      <c r="EJ29">
        <v>0</v>
      </c>
      <c r="EK29" s="13">
        <v>45470</v>
      </c>
      <c r="EL29" s="14">
        <v>0.76</v>
      </c>
      <c r="EM29" s="14">
        <v>-3.88</v>
      </c>
      <c r="EN29" s="14">
        <v>0.11</v>
      </c>
      <c r="EO29" s="14">
        <v>4.7</v>
      </c>
      <c r="EP29" s="14">
        <v>-1.93</v>
      </c>
    </row>
    <row r="30" spans="1:146" ht="180" x14ac:dyDescent="0.25">
      <c r="A30" s="7"/>
      <c r="B30" s="7"/>
      <c r="C30" s="7" t="str">
        <f>"公司是专业从事医疗器械研发、制造和销售的国家高新技术企业,主要产品为血液净化类产品、注射类产品、留置导管类产品、输液输血类产品、心胸外科类、防护类等。"&amp;CHAR(10)&amp;Basic_Fundamental_Information_Constructure(F30)&amp;CHAR(10)&amp;Basic_Fundamental_Information_Concatenate("血液净化类 4.04亿 61.27% 48.08% 28.18%
注射类 1.34亿 20.31% 35.45% 62.67%
输液输血类 3920.81万 5.94% 1.87% 11.29%
留置导管类 3145.54万 4.76% 4.85% 36.58%
心胸外科类 3083.27万 4.67% 7.13% 54.83%
其他业务 2013.36万 3.05% 2.62% 30.90%")</f>
        <v>公司是专业从事医疗器械研发、制造和销售的国家高新技术企业,主要产品为血液净化类产品、注射类产品、留置导管类产品、输液输血类产品、心胸外科类、防护类等。
市值33.981614亿, 利润2.07亿; PE15.77; 平均PE26.59; 平均PEG1.3, PB2.7; ROIC15.1067%; ROE16.7667%; 股利率2.2936%; 毛利34.29%; 净利15.61%; 上一年度营收增-2.69%, 利润增11.89%; 当季营收增21.25%, 利润增19.72%; 过往5年营收增20.42%, 利润增40.59%
Income profile:
血液净化类 4.04亿 61.27% 48.08% 28.18%
注射类 1.34亿 20.31% 35.45% 62.67%
输液输血类 3920.81万 5.94% 1.87% 11.29%
留置导管类 3145.54万 4.76% 4.85% 36.58%
心胸外科类 3083.27万 4.67% 7.13% 54.83%
其他业务 2013.36万 3.05% 2.62% 30.90%</v>
      </c>
      <c r="D30" t="s">
        <v>419</v>
      </c>
      <c r="E30" t="s">
        <v>420</v>
      </c>
      <c r="F30">
        <v>6.54</v>
      </c>
      <c r="G30">
        <v>4.3099999999999996</v>
      </c>
      <c r="H30" t="s">
        <v>2857</v>
      </c>
      <c r="I30">
        <v>3398161400</v>
      </c>
      <c r="J30">
        <v>15.77</v>
      </c>
      <c r="K30">
        <v>2.7</v>
      </c>
      <c r="L30" t="s">
        <v>40</v>
      </c>
      <c r="M30" t="s">
        <v>1852</v>
      </c>
      <c r="N30" t="s">
        <v>2858</v>
      </c>
      <c r="O30" t="s">
        <v>934</v>
      </c>
      <c r="P30">
        <v>21.34</v>
      </c>
      <c r="Q30" t="s">
        <v>1853</v>
      </c>
      <c r="R30">
        <v>53618659</v>
      </c>
      <c r="S30" s="3">
        <v>0.19719999999999999</v>
      </c>
      <c r="T30" t="s">
        <v>1043</v>
      </c>
      <c r="U30">
        <v>363145140</v>
      </c>
      <c r="V30">
        <v>519596550</v>
      </c>
      <c r="W30">
        <v>1.51</v>
      </c>
      <c r="X30">
        <v>0.16</v>
      </c>
      <c r="Y30">
        <v>17.41</v>
      </c>
      <c r="Z30" t="s">
        <v>403</v>
      </c>
      <c r="AA30" t="s">
        <v>397</v>
      </c>
      <c r="AB30" t="s">
        <v>2859</v>
      </c>
      <c r="AC30" t="s">
        <v>2860</v>
      </c>
      <c r="AD30" t="s">
        <v>47</v>
      </c>
      <c r="AE30">
        <v>-986713</v>
      </c>
      <c r="AF30" t="s">
        <v>1854</v>
      </c>
      <c r="AG30" t="s">
        <v>2861</v>
      </c>
      <c r="AH30" t="s">
        <v>1855</v>
      </c>
      <c r="AI30" t="s">
        <v>128</v>
      </c>
      <c r="AJ30" t="s">
        <v>1856</v>
      </c>
      <c r="AK30" t="s">
        <v>47</v>
      </c>
      <c r="AL30" t="s">
        <v>1857</v>
      </c>
      <c r="AM30" t="s">
        <v>47</v>
      </c>
      <c r="AN30" t="s">
        <v>691</v>
      </c>
      <c r="AO30" t="s">
        <v>396</v>
      </c>
      <c r="AP30" t="s">
        <v>2862</v>
      </c>
      <c r="AQ30" t="s">
        <v>765</v>
      </c>
      <c r="AR30" t="s">
        <v>47</v>
      </c>
      <c r="AS30" t="s">
        <v>2394</v>
      </c>
      <c r="AT30" t="s">
        <v>271</v>
      </c>
      <c r="AU30" t="s">
        <v>2863</v>
      </c>
      <c r="AV30" t="s">
        <v>2864</v>
      </c>
      <c r="AW30" t="s">
        <v>2865</v>
      </c>
      <c r="AX30" t="s">
        <v>1354</v>
      </c>
      <c r="AY30" t="s">
        <v>935</v>
      </c>
      <c r="AZ30" t="s">
        <v>421</v>
      </c>
      <c r="BA30" t="s">
        <v>422</v>
      </c>
      <c r="BB30" t="s">
        <v>417</v>
      </c>
      <c r="BC30" t="s">
        <v>918</v>
      </c>
      <c r="BD30" t="s">
        <v>549</v>
      </c>
      <c r="BE30" t="s">
        <v>167</v>
      </c>
      <c r="BF30" t="s">
        <v>425</v>
      </c>
      <c r="BG30" t="s">
        <v>426</v>
      </c>
      <c r="BH30" t="s">
        <v>1853</v>
      </c>
      <c r="BI30" t="s">
        <v>403</v>
      </c>
      <c r="BJ30" t="s">
        <v>1354</v>
      </c>
      <c r="BK30" t="s">
        <v>1043</v>
      </c>
      <c r="BL30" t="s">
        <v>1858</v>
      </c>
      <c r="BM30" t="s">
        <v>918</v>
      </c>
      <c r="BN30">
        <v>10.93</v>
      </c>
      <c r="BO30">
        <v>17.13</v>
      </c>
      <c r="BP30">
        <v>17.260000000000002</v>
      </c>
      <c r="BQ30">
        <v>12.7</v>
      </c>
      <c r="BR30">
        <v>18.96</v>
      </c>
      <c r="BS30">
        <v>18.64</v>
      </c>
      <c r="BT30" t="s">
        <v>1215</v>
      </c>
      <c r="BU30" t="s">
        <v>1079</v>
      </c>
      <c r="BV30">
        <v>34.89</v>
      </c>
      <c r="BW30">
        <v>33.61</v>
      </c>
      <c r="BX30">
        <v>34.369999999999997</v>
      </c>
      <c r="BY30">
        <v>17.170000000000002</v>
      </c>
      <c r="BZ30">
        <v>14.9</v>
      </c>
      <c r="CA30">
        <v>14.76</v>
      </c>
      <c r="CB30">
        <v>2.35</v>
      </c>
      <c r="CC30">
        <v>-11.98</v>
      </c>
      <c r="CD30" t="s">
        <v>2866</v>
      </c>
      <c r="CE30" t="s">
        <v>87</v>
      </c>
      <c r="CF30" s="8">
        <v>0.21245421245421245</v>
      </c>
      <c r="CG30" s="9">
        <v>0.19722989085777551</v>
      </c>
      <c r="CH30" s="8">
        <v>-2.6946106925606728E-2</v>
      </c>
      <c r="CI30" s="8">
        <v>0.14776632189750671</v>
      </c>
      <c r="CJ30" s="8">
        <v>0.23829787969589233</v>
      </c>
      <c r="CK30" s="8">
        <v>0.30193907022476196</v>
      </c>
      <c r="CL30" s="8">
        <v>0.35969868302345276</v>
      </c>
      <c r="CM30" s="9">
        <v>0.11891891807317734</v>
      </c>
      <c r="CN30" s="9">
        <v>0.18589743971824646</v>
      </c>
      <c r="CO30" s="9">
        <v>0.34482759237289429</v>
      </c>
      <c r="CP30" s="9">
        <v>0.88057994842529297</v>
      </c>
      <c r="CQ30" s="9">
        <v>0.49913841485977173</v>
      </c>
      <c r="CR30">
        <v>26.588683680112172</v>
      </c>
      <c r="CS30">
        <v>1.3024017317361489</v>
      </c>
      <c r="CT30">
        <v>2.2935779816513762</v>
      </c>
      <c r="CU30" s="8">
        <v>0.2041511695832014</v>
      </c>
      <c r="CV30" s="9">
        <v>0.40587246268987653</v>
      </c>
      <c r="CW30">
        <v>0.06</v>
      </c>
      <c r="CX30">
        <v>11.737861643218173</v>
      </c>
      <c r="CY30">
        <v>235150275.56954965</v>
      </c>
      <c r="CZ30">
        <v>0.2041511695832014</v>
      </c>
      <c r="DA30">
        <v>3.4869010306502179</v>
      </c>
      <c r="DB30">
        <v>791580080.91938889</v>
      </c>
      <c r="DC30">
        <v>0.19394361110404132</v>
      </c>
      <c r="DD30">
        <v>1.5032256937314803</v>
      </c>
      <c r="DE30">
        <v>1836159008.929929</v>
      </c>
      <c r="DF30">
        <v>0.17965302923321724</v>
      </c>
      <c r="DG30">
        <v>0.77163611163779333</v>
      </c>
      <c r="DH30">
        <v>3577024660.1621232</v>
      </c>
      <c r="DI30">
        <v>0.16332093566656114</v>
      </c>
      <c r="DJ30">
        <v>0.27563906484135359</v>
      </c>
      <c r="DK30">
        <v>10013680033.302372</v>
      </c>
      <c r="DL30">
        <v>0.14290581870824096</v>
      </c>
      <c r="DM30">
        <v>206999999.99999997</v>
      </c>
      <c r="DN30">
        <v>0.2041511695832014</v>
      </c>
      <c r="DO30">
        <v>2760161400</v>
      </c>
      <c r="DP30">
        <v>158638140</v>
      </c>
      <c r="DQ30">
        <v>1924</v>
      </c>
      <c r="DR30">
        <v>8.3030428710110515E-3</v>
      </c>
      <c r="DS30">
        <v>-0.20864257183210103</v>
      </c>
      <c r="DT30" s="10">
        <v>-9.000000000000008E-2</v>
      </c>
      <c r="DU30">
        <v>0.83666666666666656</v>
      </c>
      <c r="DV30">
        <v>0.74666666666666648</v>
      </c>
      <c r="DW30">
        <v>-2.1198000000000001</v>
      </c>
      <c r="DX30">
        <v>0.40747289719626112</v>
      </c>
      <c r="DY30">
        <v>-2.0164692530841122</v>
      </c>
      <c r="DZ30">
        <v>411</v>
      </c>
      <c r="EA30">
        <v>-2.0151446223566034</v>
      </c>
      <c r="EB30">
        <v>2</v>
      </c>
      <c r="EC30">
        <v>2.8309656790446357E-2</v>
      </c>
      <c r="ED30">
        <v>0.20592900395508784</v>
      </c>
      <c r="EE30" s="11">
        <v>1.02451</v>
      </c>
      <c r="EF30">
        <v>1.05301</v>
      </c>
      <c r="EG30">
        <v>27.137472897196261</v>
      </c>
      <c r="EH30" t="s">
        <v>1228</v>
      </c>
      <c r="EI30">
        <v>0</v>
      </c>
      <c r="EJ30">
        <v>1</v>
      </c>
      <c r="EK30" s="13">
        <v>45470</v>
      </c>
      <c r="EL30" s="14">
        <v>1.22</v>
      </c>
      <c r="EM30" s="14">
        <v>-3.6</v>
      </c>
      <c r="EN30" s="14">
        <v>0.78</v>
      </c>
      <c r="EO30" s="14">
        <v>3.09</v>
      </c>
      <c r="EP30" s="14">
        <v>-2.85</v>
      </c>
    </row>
    <row r="31" spans="1:146" ht="132" x14ac:dyDescent="0.25">
      <c r="A31" s="7" t="s">
        <v>875</v>
      </c>
      <c r="B31" s="7"/>
      <c r="C31" s="7" t="str">
        <f>"公司主要从事体外诊断产品研发、生产、销售和服务。主要产品类型有生化类产品、免疫类产品、分子诊断产品、临检类产品、凝血产品、血型产品、快速检测平台、病理产品平台。"&amp;CHAR(10)&amp;Basic_Fundamental_Information_Constructure(F31)&amp;CHAR(10)&amp;Basic_Fundamental_Information_Concatenate("自主产品 11.36亿 63.73% 81.78% 69.74%
代理产品 6.26亿 35.15% 16.36% 25.30%")</f>
        <v>公司主要从事体外诊断产品研发、生产、销售和服务。主要产品类型有生化类产品、免疫类产品、分子诊断产品、临检类产品、凝血产品、血型产品、快速检测平台、病理产品平台。
市值69.821533亿, 利润3.13亿; PE22.08; 平均PE11.2; 平均PEG4.2, PB1.08; ROIC11.4067%; ROE13.15%; 股利率1.3511%; 毛利55.8133%; 净利18.38%; 上一年度营收增-19.73%, 利润增-55.79%; 当季营收增-8.88%, 利润增2.94%; 过往5年营收增2.67%, 利润增1.59%
Income profile:
自主产品 11.36亿 63.73% 81.78% 69.74%
代理产品 6.26亿 35.15% 16.36% 25.30%</v>
      </c>
      <c r="D31" t="s">
        <v>428</v>
      </c>
      <c r="E31" t="s">
        <v>429</v>
      </c>
      <c r="F31">
        <v>11.4</v>
      </c>
      <c r="G31">
        <v>4.1100000000000003</v>
      </c>
      <c r="H31" t="s">
        <v>2867</v>
      </c>
      <c r="I31">
        <v>6982153300</v>
      </c>
      <c r="J31">
        <v>22.08</v>
      </c>
      <c r="K31">
        <v>1.08</v>
      </c>
      <c r="L31" t="s">
        <v>40</v>
      </c>
      <c r="M31" t="s">
        <v>1859</v>
      </c>
      <c r="N31" t="s">
        <v>2868</v>
      </c>
      <c r="O31" t="s">
        <v>1860</v>
      </c>
      <c r="P31">
        <v>-8.8800000000000008</v>
      </c>
      <c r="Q31" t="s">
        <v>1861</v>
      </c>
      <c r="R31">
        <v>120442249</v>
      </c>
      <c r="S31" s="3">
        <v>3.0499999999999999E-2</v>
      </c>
      <c r="T31" t="s">
        <v>1569</v>
      </c>
      <c r="U31">
        <v>491504820</v>
      </c>
      <c r="V31">
        <v>612469590</v>
      </c>
      <c r="W31">
        <v>1.21</v>
      </c>
      <c r="X31">
        <v>0.08</v>
      </c>
      <c r="Y31">
        <v>20.16</v>
      </c>
      <c r="Z31" t="s">
        <v>681</v>
      </c>
      <c r="AA31" t="s">
        <v>512</v>
      </c>
      <c r="AB31" t="s">
        <v>180</v>
      </c>
      <c r="AC31" t="s">
        <v>2869</v>
      </c>
      <c r="AD31" t="s">
        <v>47</v>
      </c>
      <c r="AE31">
        <v>3828016</v>
      </c>
      <c r="AF31" t="s">
        <v>1863</v>
      </c>
      <c r="AG31" t="s">
        <v>2870</v>
      </c>
      <c r="AH31" t="s">
        <v>1864</v>
      </c>
      <c r="AI31" t="s">
        <v>2871</v>
      </c>
      <c r="AJ31" t="s">
        <v>1865</v>
      </c>
      <c r="AK31" t="s">
        <v>2872</v>
      </c>
      <c r="AL31" t="s">
        <v>1866</v>
      </c>
      <c r="AM31" t="s">
        <v>47</v>
      </c>
      <c r="AN31" t="s">
        <v>2873</v>
      </c>
      <c r="AO31" t="s">
        <v>209</v>
      </c>
      <c r="AP31" t="s">
        <v>2874</v>
      </c>
      <c r="AQ31" t="s">
        <v>279</v>
      </c>
      <c r="AR31" t="s">
        <v>47</v>
      </c>
      <c r="AS31" t="s">
        <v>2131</v>
      </c>
      <c r="AT31" t="s">
        <v>396</v>
      </c>
      <c r="AU31" t="s">
        <v>2875</v>
      </c>
      <c r="AV31" t="s">
        <v>2876</v>
      </c>
      <c r="AW31" t="s">
        <v>2877</v>
      </c>
      <c r="AX31" t="s">
        <v>1355</v>
      </c>
      <c r="AY31" t="s">
        <v>936</v>
      </c>
      <c r="AZ31" t="s">
        <v>430</v>
      </c>
      <c r="BA31" t="s">
        <v>433</v>
      </c>
      <c r="BB31" t="s">
        <v>434</v>
      </c>
      <c r="BC31" t="s">
        <v>1356</v>
      </c>
      <c r="BD31" t="s">
        <v>937</v>
      </c>
      <c r="BE31" t="s">
        <v>431</v>
      </c>
      <c r="BF31" t="s">
        <v>432</v>
      </c>
      <c r="BG31" t="s">
        <v>435</v>
      </c>
      <c r="BH31" t="s">
        <v>1861</v>
      </c>
      <c r="BI31" t="s">
        <v>1499</v>
      </c>
      <c r="BJ31" t="s">
        <v>1355</v>
      </c>
      <c r="BK31" t="s">
        <v>1569</v>
      </c>
      <c r="BL31" t="s">
        <v>55</v>
      </c>
      <c r="BM31" t="s">
        <v>1356</v>
      </c>
      <c r="BN31">
        <v>3.88</v>
      </c>
      <c r="BO31">
        <v>11.23</v>
      </c>
      <c r="BP31">
        <v>19.11</v>
      </c>
      <c r="BQ31">
        <v>4.24</v>
      </c>
      <c r="BR31">
        <v>12.08</v>
      </c>
      <c r="BS31">
        <v>23.13</v>
      </c>
      <c r="BT31" t="s">
        <v>2878</v>
      </c>
      <c r="BU31" t="s">
        <v>1075</v>
      </c>
      <c r="BV31">
        <v>55.27</v>
      </c>
      <c r="BW31">
        <v>54.22</v>
      </c>
      <c r="BX31">
        <v>57.95</v>
      </c>
      <c r="BY31">
        <v>10.52</v>
      </c>
      <c r="BZ31">
        <v>19.440000000000001</v>
      </c>
      <c r="CA31">
        <v>25.18</v>
      </c>
      <c r="CB31">
        <v>1.55</v>
      </c>
      <c r="CC31">
        <v>-12.15</v>
      </c>
      <c r="CD31" t="s">
        <v>2879</v>
      </c>
      <c r="CE31" t="s">
        <v>167</v>
      </c>
      <c r="CF31" s="8">
        <v>-8.8757396449704137E-2</v>
      </c>
      <c r="CG31" s="9">
        <v>2.9420931623931623E-2</v>
      </c>
      <c r="CH31" s="8">
        <v>-0.1973392516374588</v>
      </c>
      <c r="CI31" s="8">
        <v>-9.3695037066936493E-2</v>
      </c>
      <c r="CJ31" s="8">
        <v>7.478400319814682E-2</v>
      </c>
      <c r="CK31" s="8">
        <v>0.14923982322216034</v>
      </c>
      <c r="CL31" s="8">
        <v>0.20037248730659485</v>
      </c>
      <c r="CM31" s="9">
        <v>-0.55790960788726807</v>
      </c>
      <c r="CN31" s="9">
        <v>-0.26018807291984558</v>
      </c>
      <c r="CO31" s="9">
        <v>0.20528967678546906</v>
      </c>
      <c r="CP31" s="9">
        <v>0.51238095760345459</v>
      </c>
      <c r="CQ31" s="9">
        <v>0.17977528274059296</v>
      </c>
      <c r="CR31">
        <v>11.195328647781935</v>
      </c>
      <c r="CS31">
        <v>4.1973450260269241</v>
      </c>
      <c r="CT31">
        <v>1.3510877192982456</v>
      </c>
      <c r="CU31" s="8">
        <v>2.6672405004501343E-2</v>
      </c>
      <c r="CV31" s="9">
        <v>1.5869647264480591E-2</v>
      </c>
      <c r="CW31">
        <v>0.06</v>
      </c>
      <c r="CX31">
        <v>5.8654162580205309</v>
      </c>
      <c r="CY31">
        <v>303158927.1381216</v>
      </c>
      <c r="CZ31">
        <v>2.6672405004501343E-2</v>
      </c>
      <c r="DA31">
        <v>2.0231150267218041</v>
      </c>
      <c r="DB31">
        <v>878918537.26244485</v>
      </c>
      <c r="DC31">
        <v>2.5338784754276276E-2</v>
      </c>
      <c r="DD31">
        <v>1.0685628996732597</v>
      </c>
      <c r="DE31">
        <v>1664060487.7295625</v>
      </c>
      <c r="DF31">
        <v>2.3471716403961184E-2</v>
      </c>
      <c r="DG31">
        <v>0.69295463179029215</v>
      </c>
      <c r="DH31">
        <v>2566045767.536077</v>
      </c>
      <c r="DI31">
        <v>2.1337924003601075E-2</v>
      </c>
      <c r="DJ31">
        <v>0.42013730766099655</v>
      </c>
      <c r="DK31">
        <v>4232314692.307138</v>
      </c>
      <c r="DL31">
        <v>1.8670683503150938E-2</v>
      </c>
      <c r="DM31">
        <v>313000000</v>
      </c>
      <c r="DN31">
        <v>2.6672405004501343E-2</v>
      </c>
      <c r="DO31">
        <v>1778153300</v>
      </c>
      <c r="DP31">
        <v>3039289100</v>
      </c>
      <c r="DQ31">
        <v>1934</v>
      </c>
      <c r="DR31">
        <v>-0.11542980145420548</v>
      </c>
      <c r="DS31">
        <v>1.3551284359451032E-2</v>
      </c>
      <c r="DT31" s="10">
        <v>-0.50666666666666671</v>
      </c>
      <c r="DU31">
        <v>3.3333333333333291E-2</v>
      </c>
      <c r="DV31">
        <v>-0.47333333333333344</v>
      </c>
      <c r="DW31">
        <v>-2.1215000000000002</v>
      </c>
      <c r="DX31">
        <v>0.49954051724137999</v>
      </c>
      <c r="DY31">
        <v>-2.0205991728448276</v>
      </c>
      <c r="DZ31">
        <v>2838</v>
      </c>
      <c r="EA31">
        <v>-2.0091587711748433</v>
      </c>
      <c r="EB31">
        <v>2</v>
      </c>
      <c r="EC31">
        <v>3.2110492212356206E-2</v>
      </c>
      <c r="ED31">
        <v>0.18939715847769681</v>
      </c>
      <c r="EE31" s="11">
        <v>-3.07341</v>
      </c>
      <c r="EF31">
        <v>-3.0956100000000002</v>
      </c>
      <c r="EG31">
        <v>33.16954051724138</v>
      </c>
      <c r="EH31" t="s">
        <v>1538</v>
      </c>
      <c r="EI31">
        <v>0</v>
      </c>
      <c r="EJ31">
        <v>0</v>
      </c>
      <c r="EK31" s="13">
        <v>45470</v>
      </c>
      <c r="EL31" s="14">
        <v>0.43</v>
      </c>
      <c r="EM31" s="14">
        <v>-3.83</v>
      </c>
      <c r="EN31" s="14">
        <v>0.09</v>
      </c>
      <c r="EO31" s="14">
        <v>3.63</v>
      </c>
      <c r="EP31" s="14">
        <v>-2.2200000000000002</v>
      </c>
    </row>
    <row r="32" spans="1:146" ht="156" x14ac:dyDescent="0.25">
      <c r="A32" s="7" t="s">
        <v>876</v>
      </c>
      <c r="B32" s="7" t="s">
        <v>877</v>
      </c>
      <c r="C32" s="7" t="str">
        <f>"公司专业从事快速诊断试剂及配套仪器的研发、制造、营销及服务，是国内POCT的龙头企业之一。主要有心脑血管疾病、炎症、肿瘤、传染病、毒检（药物滥用）、优生优育等检验领域的产品线。"&amp;CHAR(10)&amp;Basic_Fundamental_Information_Constructure(F32)&amp;CHAR(10)&amp;Basic_Fundamental_Information_Concatenate("传染病检测 32.07亿 79.52% 79.56% 56.59%
慢性疾病检测 5.12亿 12.68% 14.62% 65.19%
其他业务 3.14亿 7.80% 5.82% 42.23%")</f>
        <v>公司专业从事快速诊断试剂及配套仪器的研发、制造、营销及服务，是国内POCT的龙头企业之一。主要有心脑血管疾病、炎症、肿瘤、传染病、毒检（药物滥用）、优生优育等检验领域的产品线。
市值111.526791亿, 利润4.88亿; PE22.2; 平均PE18.34; 平均PEG.93, PB1.98; ROIC16.7567%; ROE20.1267%; 股利率1.692%; 毛利57.63%; 净利19.1333%; 上一年度营收增-51.33%, 利润增-59.23%; 当季营收增3.49%, 利润增7.03%; 过往5年营收增19.7%, 利润增23.81%
Income profile:
传染病检测 32.07亿 79.52% 79.56% 56.59%
慢性疾病检测 5.12亿 12.68% 14.62% 65.19%
其他业务 3.14亿 7.80% 5.82% 42.23%</v>
      </c>
      <c r="D32" t="s">
        <v>436</v>
      </c>
      <c r="E32" t="s">
        <v>437</v>
      </c>
      <c r="F32">
        <v>23.64</v>
      </c>
      <c r="G32">
        <v>2.0299999999999998</v>
      </c>
      <c r="H32" t="s">
        <v>2880</v>
      </c>
      <c r="I32">
        <v>11152679100</v>
      </c>
      <c r="J32">
        <v>22.2</v>
      </c>
      <c r="K32">
        <v>1.98</v>
      </c>
      <c r="L32" t="s">
        <v>40</v>
      </c>
      <c r="M32" t="s">
        <v>1867</v>
      </c>
      <c r="N32" t="s">
        <v>2881</v>
      </c>
      <c r="O32" t="s">
        <v>197</v>
      </c>
      <c r="P32">
        <v>3.54</v>
      </c>
      <c r="Q32" t="s">
        <v>1868</v>
      </c>
      <c r="R32">
        <v>218334250</v>
      </c>
      <c r="S32" s="3">
        <v>7.1999999999999995E-2</v>
      </c>
      <c r="T32" t="s">
        <v>1869</v>
      </c>
      <c r="U32">
        <v>308075230</v>
      </c>
      <c r="V32">
        <v>471771540</v>
      </c>
      <c r="W32">
        <v>1.21</v>
      </c>
      <c r="X32">
        <v>0.14000000000000001</v>
      </c>
      <c r="Y32">
        <v>25.6</v>
      </c>
      <c r="Z32" t="s">
        <v>1381</v>
      </c>
      <c r="AA32" t="s">
        <v>1041</v>
      </c>
      <c r="AB32" t="s">
        <v>78</v>
      </c>
      <c r="AC32" t="s">
        <v>2882</v>
      </c>
      <c r="AD32" t="s">
        <v>47</v>
      </c>
      <c r="AE32">
        <v>-7251462</v>
      </c>
      <c r="AF32" t="s">
        <v>1871</v>
      </c>
      <c r="AG32" t="s">
        <v>2883</v>
      </c>
      <c r="AH32" t="s">
        <v>1872</v>
      </c>
      <c r="AI32" t="s">
        <v>2884</v>
      </c>
      <c r="AJ32" t="s">
        <v>1873</v>
      </c>
      <c r="AK32" t="s">
        <v>2885</v>
      </c>
      <c r="AL32" t="s">
        <v>1874</v>
      </c>
      <c r="AM32" t="s">
        <v>47</v>
      </c>
      <c r="AN32" t="s">
        <v>635</v>
      </c>
      <c r="AO32" t="s">
        <v>47</v>
      </c>
      <c r="AP32" t="s">
        <v>47</v>
      </c>
      <c r="AQ32" t="s">
        <v>517</v>
      </c>
      <c r="AR32" t="s">
        <v>47</v>
      </c>
      <c r="AS32" t="s">
        <v>1745</v>
      </c>
      <c r="AT32" t="s">
        <v>47</v>
      </c>
      <c r="AU32" t="s">
        <v>405</v>
      </c>
      <c r="AV32" t="s">
        <v>2886</v>
      </c>
      <c r="AW32" t="s">
        <v>2887</v>
      </c>
      <c r="AX32" t="s">
        <v>1357</v>
      </c>
      <c r="AY32" t="s">
        <v>938</v>
      </c>
      <c r="AZ32" t="s">
        <v>438</v>
      </c>
      <c r="BA32" t="s">
        <v>445</v>
      </c>
      <c r="BB32" t="s">
        <v>446</v>
      </c>
      <c r="BC32" t="s">
        <v>940</v>
      </c>
      <c r="BD32" t="s">
        <v>439</v>
      </c>
      <c r="BE32" t="s">
        <v>439</v>
      </c>
      <c r="BF32" t="s">
        <v>269</v>
      </c>
      <c r="BG32" t="s">
        <v>449</v>
      </c>
      <c r="BH32" t="s">
        <v>1868</v>
      </c>
      <c r="BI32" t="s">
        <v>252</v>
      </c>
      <c r="BJ32" t="s">
        <v>1357</v>
      </c>
      <c r="BK32" t="s">
        <v>1869</v>
      </c>
      <c r="BL32" t="s">
        <v>300</v>
      </c>
      <c r="BM32" t="s">
        <v>940</v>
      </c>
      <c r="BN32">
        <v>7.3</v>
      </c>
      <c r="BO32">
        <v>25.86</v>
      </c>
      <c r="BP32">
        <v>17.11</v>
      </c>
      <c r="BQ32">
        <v>8.99</v>
      </c>
      <c r="BR32">
        <v>30.81</v>
      </c>
      <c r="BS32">
        <v>20.58</v>
      </c>
      <c r="BT32" t="s">
        <v>1324</v>
      </c>
      <c r="BU32" t="s">
        <v>1075</v>
      </c>
      <c r="BV32">
        <v>62.61</v>
      </c>
      <c r="BW32">
        <v>51.82</v>
      </c>
      <c r="BX32">
        <v>58.46</v>
      </c>
      <c r="BY32">
        <v>17.63</v>
      </c>
      <c r="BZ32">
        <v>20.95</v>
      </c>
      <c r="CA32">
        <v>18.82</v>
      </c>
      <c r="CB32">
        <v>-3.11</v>
      </c>
      <c r="CC32">
        <v>-15.24</v>
      </c>
      <c r="CD32" t="s">
        <v>2888</v>
      </c>
      <c r="CE32" t="s">
        <v>369</v>
      </c>
      <c r="CF32" s="8">
        <v>3.4855769230769232E-2</v>
      </c>
      <c r="CG32" s="9">
        <v>7.0265931372549023E-2</v>
      </c>
      <c r="CH32" s="8">
        <v>-0.5132899284362793</v>
      </c>
      <c r="CI32" s="8">
        <v>0.69027078151702881</v>
      </c>
      <c r="CJ32" s="8">
        <v>0.19565986096858978</v>
      </c>
      <c r="CK32" s="8">
        <v>0.35666027665138245</v>
      </c>
      <c r="CL32" s="8">
        <v>0.25575757026672363</v>
      </c>
      <c r="CM32" s="9">
        <v>-0.59231412410736084</v>
      </c>
      <c r="CN32" s="9">
        <v>0.88801252841949463</v>
      </c>
      <c r="CO32" s="9">
        <v>0</v>
      </c>
      <c r="CP32" s="9">
        <v>0.63824290037155151</v>
      </c>
      <c r="CQ32" s="9">
        <v>0.25649350881576538</v>
      </c>
      <c r="CR32">
        <v>18.34322220394737</v>
      </c>
      <c r="CS32">
        <v>0.93107267581798037</v>
      </c>
      <c r="CT32">
        <v>1.6920473773265652</v>
      </c>
      <c r="CU32" s="8">
        <v>0.19701171219348906</v>
      </c>
      <c r="CV32" s="9">
        <v>0.23808696269989013</v>
      </c>
      <c r="CW32">
        <v>0.06</v>
      </c>
      <c r="CX32">
        <v>12.313484304442081</v>
      </c>
      <c r="CY32">
        <v>551077090.14190817</v>
      </c>
      <c r="CZ32">
        <v>0.19701171219348906</v>
      </c>
      <c r="DA32">
        <v>3.679496752160095</v>
      </c>
      <c r="DB32">
        <v>1844186734.5082943</v>
      </c>
      <c r="DC32">
        <v>0.18716112658381459</v>
      </c>
      <c r="DD32">
        <v>1.5997474730624757</v>
      </c>
      <c r="DE32">
        <v>4241718905.1781025</v>
      </c>
      <c r="DF32">
        <v>0.17337030673027037</v>
      </c>
      <c r="DG32">
        <v>0.82976166333558665</v>
      </c>
      <c r="DH32">
        <v>8177865283.2935448</v>
      </c>
      <c r="DI32">
        <v>0.15760936975479126</v>
      </c>
      <c r="DJ32">
        <v>0.30409079088545327</v>
      </c>
      <c r="DK32">
        <v>22314648464.826645</v>
      </c>
      <c r="DL32">
        <v>0.13790819853544234</v>
      </c>
      <c r="DM32">
        <v>488000000</v>
      </c>
      <c r="DN32">
        <v>0.19701171219348906</v>
      </c>
      <c r="DO32">
        <v>6785679100</v>
      </c>
      <c r="DP32">
        <v>3594347300</v>
      </c>
      <c r="DQ32">
        <v>1953</v>
      </c>
      <c r="DR32">
        <v>-0.16215594296271985</v>
      </c>
      <c r="DS32">
        <v>-0.16782103132734111</v>
      </c>
      <c r="DT32" s="10">
        <v>4.3333333333333224E-2</v>
      </c>
      <c r="DU32">
        <v>0.46666666666666662</v>
      </c>
      <c r="DV32">
        <v>0.50999999999999979</v>
      </c>
      <c r="DW32">
        <v>-8.2040682414698161</v>
      </c>
      <c r="DX32">
        <v>0.44881743119266204</v>
      </c>
      <c r="DY32">
        <v>-8.0405723235570328</v>
      </c>
      <c r="DZ32">
        <v>704</v>
      </c>
      <c r="EA32">
        <v>-8.0349827118575909</v>
      </c>
      <c r="EB32">
        <v>8</v>
      </c>
      <c r="EC32">
        <v>4.5935581446901186E-2</v>
      </c>
      <c r="ED32">
        <v>0.23104403457656647</v>
      </c>
      <c r="EE32" s="11">
        <v>9.8999999999999991E-3</v>
      </c>
      <c r="EF32">
        <v>1.8309999999999996E-2</v>
      </c>
      <c r="EG32">
        <v>25.198817431192662</v>
      </c>
      <c r="EH32">
        <v>-1</v>
      </c>
      <c r="EI32">
        <v>0</v>
      </c>
      <c r="EJ32">
        <v>1</v>
      </c>
      <c r="EK32" s="13">
        <v>45470</v>
      </c>
      <c r="EL32" s="14">
        <v>0.34</v>
      </c>
      <c r="EM32" s="14">
        <v>-3.87</v>
      </c>
      <c r="EN32" s="14">
        <v>-1.69</v>
      </c>
      <c r="EO32" s="14">
        <v>3.65</v>
      </c>
      <c r="EP32" s="14">
        <v>-2.82</v>
      </c>
    </row>
    <row r="33" spans="1:146" ht="192" x14ac:dyDescent="0.25">
      <c r="A33" s="7" t="s">
        <v>878</v>
      </c>
      <c r="B33" s="7" t="s">
        <v>879</v>
      </c>
      <c r="C33" s="7" t="str">
        <f>"公司的全血树脂灌流是中国原研原创的技术，全血灌流操作简便，且更具有经济性。但和透析对比貌似还有待市场进一步认可；我们预计公司未来能形成慢病和危重症“两翼齐飞”的发展局面。慢病方面,经过20多年发展,公司产品在尿毒症领域已经发展到一定体量,下一个非常重要的方向是危重症领域。危重症是血液灌流治疗可以大展身手的领域。国际上对危重症采用血液净化方式也是一直以来被认可的。除了手术、药物以外的第三种疗法就是血液净化"&amp;CHAR(10)&amp;Basic_Fundamental_Information_Constructure(F33)&amp;CHAR(10)&amp;Basic_Fundamental_Information_Concatenate("一次性使用血液灌流器 13.36亿 85.96% 90.06% 87.79%
其他业务 2.18亿 14.04% 9.94% 59.30%")</f>
        <v>公司的全血树脂灌流是中国原研原创的技术，全血灌流操作简便，且更具有经济性。但和透析对比貌似还有待市场进一步认可；我们预计公司未来能形成慢病和危重症“两翼齐飞”的发展局面。慢病方面,经过20多年发展,公司产品在尿毒症领域已经发展到一定体量,下一个非常重要的方向是危重症领域。危重症是血液灌流治疗可以大展身手的领域。国际上对危重症采用血液净化方式也是一直以来被认可的。除了手术、药物以外的第三种疗法就是血液净化
市值223.93509亿, 利润4.36亿; PE42.68; 平均PE30.74; 平均PEG1.82, PB7.2; ROIC20.1033%; ROE25.1633%; 股利率1.4425%; 毛利82.4467%; 净利34.07%; 上一年度营收增-22.84%, 利润增-51.01%; 当季营收增29.84%, 利润增44.55%; 过往5年营收增16.89%, 利润增11.08%
Income profile:
一次性使用血液灌流器 13.36亿 85.96% 90.06% 87.79%
其他业务 2.18亿 14.04% 9.94% 59.30%</v>
      </c>
      <c r="D33" t="s">
        <v>452</v>
      </c>
      <c r="E33" t="s">
        <v>453</v>
      </c>
      <c r="F33">
        <v>27.73</v>
      </c>
      <c r="G33">
        <v>4.17</v>
      </c>
      <c r="H33" t="s">
        <v>2889</v>
      </c>
      <c r="I33">
        <v>22393509000</v>
      </c>
      <c r="J33">
        <v>42.68</v>
      </c>
      <c r="K33">
        <v>7.2</v>
      </c>
      <c r="L33" t="s">
        <v>40</v>
      </c>
      <c r="M33" t="s">
        <v>1876</v>
      </c>
      <c r="N33" t="s">
        <v>2890</v>
      </c>
      <c r="O33" t="s">
        <v>1877</v>
      </c>
      <c r="P33">
        <v>30</v>
      </c>
      <c r="Q33" t="s">
        <v>1709</v>
      </c>
      <c r="R33">
        <v>284766140</v>
      </c>
      <c r="S33" s="3">
        <v>0.44900000000000001</v>
      </c>
      <c r="T33" t="s">
        <v>725</v>
      </c>
      <c r="U33">
        <v>521334240</v>
      </c>
      <c r="V33">
        <v>807555310</v>
      </c>
      <c r="W33">
        <v>1.81</v>
      </c>
      <c r="X33">
        <v>0.13</v>
      </c>
      <c r="Y33">
        <v>38.15</v>
      </c>
      <c r="Z33" t="s">
        <v>1506</v>
      </c>
      <c r="AA33" t="s">
        <v>362</v>
      </c>
      <c r="AB33" t="s">
        <v>1080</v>
      </c>
      <c r="AC33" t="s">
        <v>2891</v>
      </c>
      <c r="AD33" t="s">
        <v>47</v>
      </c>
      <c r="AE33">
        <v>476362</v>
      </c>
      <c r="AF33" t="s">
        <v>1878</v>
      </c>
      <c r="AG33" t="s">
        <v>2892</v>
      </c>
      <c r="AH33" t="s">
        <v>1879</v>
      </c>
      <c r="AI33" t="s">
        <v>2893</v>
      </c>
      <c r="AJ33" t="s">
        <v>1880</v>
      </c>
      <c r="AK33" t="s">
        <v>47</v>
      </c>
      <c r="AL33" t="s">
        <v>1881</v>
      </c>
      <c r="AM33" t="s">
        <v>47</v>
      </c>
      <c r="AN33" t="s">
        <v>278</v>
      </c>
      <c r="AO33" t="s">
        <v>435</v>
      </c>
      <c r="AP33" t="s">
        <v>2894</v>
      </c>
      <c r="AQ33" t="s">
        <v>2895</v>
      </c>
      <c r="AR33" t="s">
        <v>47</v>
      </c>
      <c r="AS33" t="s">
        <v>1432</v>
      </c>
      <c r="AT33" t="s">
        <v>139</v>
      </c>
      <c r="AU33" t="s">
        <v>1086</v>
      </c>
      <c r="AV33" t="s">
        <v>2896</v>
      </c>
      <c r="AW33" t="s">
        <v>2897</v>
      </c>
      <c r="AX33" t="s">
        <v>1359</v>
      </c>
      <c r="AY33" t="s">
        <v>939</v>
      </c>
      <c r="AZ33" t="s">
        <v>454</v>
      </c>
      <c r="BA33" t="s">
        <v>458</v>
      </c>
      <c r="BB33" t="s">
        <v>459</v>
      </c>
      <c r="BC33" t="s">
        <v>1360</v>
      </c>
      <c r="BD33" t="s">
        <v>940</v>
      </c>
      <c r="BE33" t="s">
        <v>455</v>
      </c>
      <c r="BF33" t="s">
        <v>460</v>
      </c>
      <c r="BG33" t="s">
        <v>244</v>
      </c>
      <c r="BH33" t="s">
        <v>1709</v>
      </c>
      <c r="BI33" t="s">
        <v>1063</v>
      </c>
      <c r="BJ33" t="s">
        <v>1359</v>
      </c>
      <c r="BK33" t="s">
        <v>725</v>
      </c>
      <c r="BL33" t="s">
        <v>690</v>
      </c>
      <c r="BM33" t="s">
        <v>1360</v>
      </c>
      <c r="BN33">
        <v>8.1999999999999993</v>
      </c>
      <c r="BO33">
        <v>18.96</v>
      </c>
      <c r="BP33">
        <v>33.15</v>
      </c>
      <c r="BQ33">
        <v>11.17</v>
      </c>
      <c r="BR33">
        <v>26.25</v>
      </c>
      <c r="BS33">
        <v>38.07</v>
      </c>
      <c r="BT33" t="s">
        <v>1324</v>
      </c>
      <c r="BU33" t="s">
        <v>1079</v>
      </c>
      <c r="BV33">
        <v>80.03</v>
      </c>
      <c r="BW33">
        <v>82.34</v>
      </c>
      <c r="BX33">
        <v>84.97</v>
      </c>
      <c r="BY33">
        <v>22.15</v>
      </c>
      <c r="BZ33">
        <v>35.36</v>
      </c>
      <c r="CA33">
        <v>44.7</v>
      </c>
      <c r="CB33">
        <v>1.91</v>
      </c>
      <c r="CC33">
        <v>7.0000000000000007E-2</v>
      </c>
      <c r="CD33" t="s">
        <v>2898</v>
      </c>
      <c r="CE33" t="s">
        <v>467</v>
      </c>
      <c r="CF33" s="8">
        <v>0.29842931937172773</v>
      </c>
      <c r="CG33" s="9">
        <v>0.44551340101522841</v>
      </c>
      <c r="CH33" s="8">
        <v>-0.22842234373092651</v>
      </c>
      <c r="CI33" s="8">
        <v>-6.8785041570663452E-2</v>
      </c>
      <c r="CJ33" s="8">
        <v>0.37109172344207764</v>
      </c>
      <c r="CK33" s="8">
        <v>0.36243021488189697</v>
      </c>
      <c r="CL33" s="8">
        <v>0.40806293487548828</v>
      </c>
      <c r="CM33" s="9">
        <v>-0.51011234521865845</v>
      </c>
      <c r="CN33" s="9">
        <v>-0.25647446513175964</v>
      </c>
      <c r="CO33" s="9">
        <v>0.36799994111061096</v>
      </c>
      <c r="CP33" s="9">
        <v>0.53239929676055908</v>
      </c>
      <c r="CQ33" s="9">
        <v>0.42039799690246582</v>
      </c>
      <c r="CR33">
        <v>30.739202470830474</v>
      </c>
      <c r="CS33">
        <v>1.8202286839359914</v>
      </c>
      <c r="CT33">
        <v>1.4424810674359898</v>
      </c>
      <c r="CU33" s="8">
        <v>0.1688754975795746</v>
      </c>
      <c r="CV33" s="9">
        <v>0.11084208488464356</v>
      </c>
      <c r="CW33">
        <v>0.06</v>
      </c>
      <c r="CX33">
        <v>44.821718162245404</v>
      </c>
      <c r="CY33">
        <v>480782751.8346175</v>
      </c>
      <c r="CZ33">
        <v>0.1688754975795746</v>
      </c>
      <c r="DA33">
        <v>13.709345501791947</v>
      </c>
      <c r="DB33">
        <v>1571884594.8687532</v>
      </c>
      <c r="DC33">
        <v>0.16043172270059586</v>
      </c>
      <c r="DD33">
        <v>6.1615695057099682</v>
      </c>
      <c r="DE33">
        <v>3497405811.9493618</v>
      </c>
      <c r="DF33">
        <v>0.14861043787002565</v>
      </c>
      <c r="DG33">
        <v>3.3272330445108</v>
      </c>
      <c r="DH33">
        <v>6476705632.493021</v>
      </c>
      <c r="DI33">
        <v>0.13510039806365967</v>
      </c>
      <c r="DJ33">
        <v>1.3448749815049443</v>
      </c>
      <c r="DK33">
        <v>16023429163.56852</v>
      </c>
      <c r="DL33">
        <v>0.11821284830570221</v>
      </c>
      <c r="DM33">
        <v>436000000.00000006</v>
      </c>
      <c r="DN33">
        <v>0.1688754975795746</v>
      </c>
      <c r="DO33">
        <v>21549509000</v>
      </c>
      <c r="DP33">
        <v>2397004300</v>
      </c>
      <c r="DQ33">
        <v>1998</v>
      </c>
      <c r="DR33">
        <v>0.12955382179215313</v>
      </c>
      <c r="DS33">
        <v>0.33467131613058487</v>
      </c>
      <c r="DT33" s="10">
        <v>-0.25666666666666677</v>
      </c>
      <c r="DU33">
        <v>0.2533333333333333</v>
      </c>
      <c r="DV33">
        <v>-3.3333333333334658E-3</v>
      </c>
      <c r="DW33">
        <v>7.000000000000001E-4</v>
      </c>
      <c r="DX33">
        <v>0.51042133333333317</v>
      </c>
      <c r="DY33">
        <v>1.3329493333333336E-4</v>
      </c>
      <c r="DZ33">
        <v>1717</v>
      </c>
      <c r="EA33">
        <v>8.850679232876714E-5</v>
      </c>
      <c r="EB33">
        <v>0</v>
      </c>
      <c r="EC33">
        <v>3.5369961222841813E-2</v>
      </c>
      <c r="ED33">
        <v>0.18574579120778736</v>
      </c>
      <c r="EE33" s="11">
        <v>2.0583999999999998</v>
      </c>
      <c r="EF33">
        <v>2.0419</v>
      </c>
      <c r="EG33">
        <v>32.190421333333333</v>
      </c>
      <c r="EH33" t="s">
        <v>1231</v>
      </c>
      <c r="EI33">
        <v>0</v>
      </c>
      <c r="EJ33">
        <v>0</v>
      </c>
      <c r="EK33" s="13">
        <v>45470</v>
      </c>
      <c r="EL33" s="14">
        <v>0.81</v>
      </c>
      <c r="EM33" s="14">
        <v>-1.79</v>
      </c>
      <c r="EN33" s="14">
        <v>0.7</v>
      </c>
      <c r="EO33" s="14">
        <v>2.76</v>
      </c>
      <c r="EP33" s="14">
        <v>-1.65</v>
      </c>
    </row>
    <row r="34" spans="1:146" ht="96" x14ac:dyDescent="0.25">
      <c r="A34" s="7"/>
      <c r="B34" s="7"/>
      <c r="C34" s="7" t="str">
        <f>""&amp;CHAR(10)&amp;Basic_Fundamental_Information_Constructure(F34)&amp;CHAR(10)&amp;Basic_Fundamental_Information_Concatenate("")</f>
        <v xml:space="preserve">
市值18.913784亿, 利润3436.73万; PE31.45; 平均PE83.37; 平均PEG9.69, PB1.81; ROIC.22%; ROE-.2433%; 股利率1.7325%; 毛利24.3933%; 净利-.0233%; 上一年度营收增-17%, 利润增206.21%; 当季营收增52.76%, 利润增212.96%; 过往5年营收增8.6%, 利润增-38.16%
Income profile:
</v>
      </c>
      <c r="D34" t="s">
        <v>463</v>
      </c>
      <c r="E34" t="s">
        <v>464</v>
      </c>
      <c r="F34">
        <v>8.7200000000000006</v>
      </c>
      <c r="G34">
        <v>3.93</v>
      </c>
      <c r="H34" t="s">
        <v>2899</v>
      </c>
      <c r="I34">
        <v>1891378400</v>
      </c>
      <c r="J34">
        <v>31.45</v>
      </c>
      <c r="K34">
        <v>1.81</v>
      </c>
      <c r="L34" t="s">
        <v>40</v>
      </c>
      <c r="M34" t="s">
        <v>1882</v>
      </c>
      <c r="N34" t="s">
        <v>2328</v>
      </c>
      <c r="O34" t="s">
        <v>1500</v>
      </c>
      <c r="P34">
        <v>52.93</v>
      </c>
      <c r="Q34" t="s">
        <v>470</v>
      </c>
      <c r="R34">
        <v>13665579</v>
      </c>
      <c r="S34" s="3">
        <v>2.13</v>
      </c>
      <c r="T34" t="s">
        <v>1883</v>
      </c>
      <c r="U34">
        <v>159927340</v>
      </c>
      <c r="V34">
        <v>216901190</v>
      </c>
      <c r="W34">
        <v>1.5</v>
      </c>
      <c r="X34">
        <v>0.16</v>
      </c>
      <c r="Y34">
        <v>5.12</v>
      </c>
      <c r="Z34" t="s">
        <v>53</v>
      </c>
      <c r="AA34" t="s">
        <v>1080</v>
      </c>
      <c r="AB34" t="s">
        <v>2900</v>
      </c>
      <c r="AC34" t="s">
        <v>2901</v>
      </c>
      <c r="AD34" t="s">
        <v>47</v>
      </c>
      <c r="AE34">
        <v>-1921137</v>
      </c>
      <c r="AF34" t="s">
        <v>1885</v>
      </c>
      <c r="AG34">
        <v>1780.75</v>
      </c>
      <c r="AH34" t="s">
        <v>1886</v>
      </c>
      <c r="AI34" t="s">
        <v>635</v>
      </c>
      <c r="AJ34" t="s">
        <v>1887</v>
      </c>
      <c r="AK34" t="s">
        <v>47</v>
      </c>
      <c r="AL34" t="s">
        <v>1888</v>
      </c>
      <c r="AM34" t="s">
        <v>47</v>
      </c>
      <c r="AN34" t="s">
        <v>2902</v>
      </c>
      <c r="AO34" t="s">
        <v>941</v>
      </c>
      <c r="AP34" t="s">
        <v>217</v>
      </c>
      <c r="AQ34" t="s">
        <v>2903</v>
      </c>
      <c r="AR34" t="s">
        <v>47</v>
      </c>
      <c r="AS34" t="s">
        <v>946</v>
      </c>
      <c r="AT34" t="s">
        <v>47</v>
      </c>
      <c r="AU34" t="s">
        <v>2904</v>
      </c>
      <c r="AV34" t="s">
        <v>2905</v>
      </c>
      <c r="AW34" t="s">
        <v>2906</v>
      </c>
      <c r="AX34" t="s">
        <v>1361</v>
      </c>
      <c r="AY34" t="s">
        <v>942</v>
      </c>
      <c r="AZ34" t="s">
        <v>465</v>
      </c>
      <c r="BA34" t="s">
        <v>470</v>
      </c>
      <c r="BB34" t="s">
        <v>471</v>
      </c>
      <c r="BC34" t="s">
        <v>1889</v>
      </c>
      <c r="BD34" t="s">
        <v>943</v>
      </c>
      <c r="BE34" t="s">
        <v>466</v>
      </c>
      <c r="BF34" t="s">
        <v>473</v>
      </c>
      <c r="BG34" t="s">
        <v>474</v>
      </c>
      <c r="BH34" t="s">
        <v>470</v>
      </c>
      <c r="BI34" t="s">
        <v>235</v>
      </c>
      <c r="BJ34" t="s">
        <v>1361</v>
      </c>
      <c r="BK34" t="s">
        <v>1883</v>
      </c>
      <c r="BL34" t="s">
        <v>1890</v>
      </c>
      <c r="BM34" t="s">
        <v>1889</v>
      </c>
      <c r="BN34">
        <v>0.22</v>
      </c>
      <c r="BO34" t="s">
        <v>47</v>
      </c>
      <c r="BP34" t="s">
        <v>47</v>
      </c>
      <c r="BQ34">
        <v>1.49</v>
      </c>
      <c r="BR34">
        <v>-3.12</v>
      </c>
      <c r="BS34">
        <v>0.9</v>
      </c>
      <c r="BT34" t="s">
        <v>1891</v>
      </c>
      <c r="BU34" t="s">
        <v>1032</v>
      </c>
      <c r="BV34">
        <v>30.94</v>
      </c>
      <c r="BW34">
        <v>23.7</v>
      </c>
      <c r="BX34">
        <v>18.54</v>
      </c>
      <c r="BY34">
        <v>3.53</v>
      </c>
      <c r="BZ34">
        <v>-3.58</v>
      </c>
      <c r="CA34">
        <v>-0.02</v>
      </c>
      <c r="CB34">
        <v>-2.13</v>
      </c>
      <c r="CC34">
        <v>-6.44</v>
      </c>
      <c r="CD34" t="s">
        <v>2907</v>
      </c>
      <c r="CE34" t="s">
        <v>1510</v>
      </c>
      <c r="CF34" s="8">
        <v>0.52760736196319036</v>
      </c>
      <c r="CG34" s="9">
        <v>2.1295547271494932</v>
      </c>
      <c r="CH34" s="8">
        <v>-0.16995304822921753</v>
      </c>
      <c r="CI34" s="8">
        <v>-0.41515648365020752</v>
      </c>
      <c r="CJ34" s="8">
        <v>0.36200451850891113</v>
      </c>
      <c r="CK34" s="8">
        <v>0.51244336366653442</v>
      </c>
      <c r="CL34" s="8">
        <v>0.14064516127109528</v>
      </c>
      <c r="CM34" s="9">
        <v>2.0620696544647217</v>
      </c>
      <c r="CN34" s="9">
        <v>-4.6486110687255859</v>
      </c>
      <c r="CO34" s="9">
        <v>-0.87359482049942017</v>
      </c>
      <c r="CP34" s="9">
        <v>1.2586102485656738</v>
      </c>
      <c r="CQ34" s="9">
        <v>0.29348057508468628</v>
      </c>
      <c r="CR34">
        <v>83.370215767086151</v>
      </c>
      <c r="CS34">
        <v>9.6945828763567548</v>
      </c>
      <c r="CT34">
        <v>1.7325114678899081</v>
      </c>
      <c r="CU34" s="8">
        <v>8.5996702313423157E-2</v>
      </c>
      <c r="CV34" s="9">
        <v>-0.38160908222198486</v>
      </c>
      <c r="CW34">
        <v>0.06</v>
      </c>
      <c r="CX34">
        <v>39.601587103080291</v>
      </c>
      <c r="CY34">
        <v>35210164.591901988</v>
      </c>
      <c r="CZ34">
        <v>8.5996702313423157E-2</v>
      </c>
      <c r="DA34">
        <v>12.985394053121427</v>
      </c>
      <c r="DB34">
        <v>107380522.63148838</v>
      </c>
      <c r="DC34">
        <v>8.1696867197752002E-2</v>
      </c>
      <c r="DD34">
        <v>6.4214229798307478</v>
      </c>
      <c r="DE34">
        <v>217144767.50397032</v>
      </c>
      <c r="DF34">
        <v>7.5677098035812379E-2</v>
      </c>
      <c r="DG34">
        <v>3.8758821780286912</v>
      </c>
      <c r="DH34">
        <v>359757685.07730889</v>
      </c>
      <c r="DI34">
        <v>6.8797361850738523E-2</v>
      </c>
      <c r="DJ34">
        <v>2.0246716464159209</v>
      </c>
      <c r="DK34">
        <v>688693597.53633749</v>
      </c>
      <c r="DL34">
        <v>6.0197691619396206E-2</v>
      </c>
      <c r="DM34">
        <v>34367300</v>
      </c>
      <c r="DN34">
        <v>8.5996702313423157E-2</v>
      </c>
      <c r="DO34">
        <v>1394378400</v>
      </c>
      <c r="DP34">
        <v>520852870</v>
      </c>
      <c r="DQ34">
        <v>2030</v>
      </c>
      <c r="DR34">
        <v>0.4416106596497672</v>
      </c>
      <c r="DS34">
        <v>2.5111638093714781</v>
      </c>
      <c r="DT34" s="10">
        <v>-0.50666666666666671</v>
      </c>
      <c r="DU34">
        <v>-0.13000000000000009</v>
      </c>
      <c r="DV34">
        <v>-0.63666666666666683</v>
      </c>
      <c r="DW34">
        <v>-2.0644</v>
      </c>
      <c r="DX34">
        <v>0.35849746376811464</v>
      </c>
      <c r="DY34">
        <v>-2.0089192366666668</v>
      </c>
      <c r="DZ34">
        <v>3090</v>
      </c>
      <c r="EA34">
        <v>-2.0035258039269408</v>
      </c>
      <c r="EB34">
        <v>2</v>
      </c>
      <c r="EC34">
        <v>0.1762337034665416</v>
      </c>
      <c r="ED34">
        <v>1.2724688140254095</v>
      </c>
      <c r="EE34" s="11">
        <v>3.0238</v>
      </c>
      <c r="EF34">
        <v>3.0024000000000002</v>
      </c>
      <c r="EG34">
        <v>22.138497463768115</v>
      </c>
      <c r="EH34" t="s">
        <v>1598</v>
      </c>
      <c r="EI34">
        <v>0</v>
      </c>
      <c r="EJ34">
        <v>0</v>
      </c>
      <c r="EK34" s="13">
        <v>45470</v>
      </c>
      <c r="EL34" s="14">
        <v>-3.6</v>
      </c>
      <c r="EM34" s="14">
        <v>-6.48</v>
      </c>
      <c r="EN34" s="14">
        <v>0.82</v>
      </c>
      <c r="EO34" s="14">
        <v>3.38</v>
      </c>
      <c r="EP34" s="14">
        <v>-2.14</v>
      </c>
    </row>
    <row r="35" spans="1:146" ht="96" x14ac:dyDescent="0.25">
      <c r="A35" s="7"/>
      <c r="B35" s="7"/>
      <c r="C35" s="7" t="str">
        <f>""&amp;CHAR(10)&amp;Basic_Fundamental_Information_Constructure(F35)&amp;CHAR(10)&amp;Basic_Fundamental_Information_Concatenate("")</f>
        <v xml:space="preserve">
市值138.42952亿, 利润6.67亿; PE20.17; 平均PE29.64; 平均PEG.95, PB3.05; ROIC19.05%; ROE22.25%; 股利率1.4452%; 毛利76.12%; 净利44.4367%; 上一年度营收增13.9%, 利润增6.89%; 当季营收增15.96%, 利润增11.53%; 过往5年营收增31.25%, 利润增26.13%
Income profile:
</v>
      </c>
      <c r="D35" t="s">
        <v>476</v>
      </c>
      <c r="E35" t="s">
        <v>477</v>
      </c>
      <c r="F35">
        <v>15.43</v>
      </c>
      <c r="G35">
        <v>2.46</v>
      </c>
      <c r="H35" t="s">
        <v>2908</v>
      </c>
      <c r="I35">
        <v>13842952000</v>
      </c>
      <c r="J35">
        <v>20.170000000000002</v>
      </c>
      <c r="K35">
        <v>3.05</v>
      </c>
      <c r="L35" t="s">
        <v>40</v>
      </c>
      <c r="M35" t="s">
        <v>249</v>
      </c>
      <c r="N35" t="s">
        <v>2909</v>
      </c>
      <c r="O35" t="s">
        <v>184</v>
      </c>
      <c r="P35">
        <v>15.71</v>
      </c>
      <c r="Q35" t="s">
        <v>1892</v>
      </c>
      <c r="R35">
        <v>192953170</v>
      </c>
      <c r="S35" s="3">
        <v>0.1139</v>
      </c>
      <c r="T35" t="s">
        <v>1893</v>
      </c>
      <c r="U35">
        <v>668494760</v>
      </c>
      <c r="V35">
        <v>897145270</v>
      </c>
      <c r="W35">
        <v>1.1599999999999999</v>
      </c>
      <c r="X35">
        <v>0.08</v>
      </c>
      <c r="Y35">
        <v>45.61</v>
      </c>
      <c r="Z35" t="s">
        <v>534</v>
      </c>
      <c r="AA35" t="s">
        <v>396</v>
      </c>
      <c r="AB35" t="s">
        <v>271</v>
      </c>
      <c r="AC35" t="s">
        <v>2910</v>
      </c>
      <c r="AD35" t="s">
        <v>47</v>
      </c>
      <c r="AE35">
        <v>745892</v>
      </c>
      <c r="AF35" t="s">
        <v>1895</v>
      </c>
      <c r="AG35" t="s">
        <v>2911</v>
      </c>
      <c r="AH35" t="s">
        <v>1896</v>
      </c>
      <c r="AI35" t="s">
        <v>2912</v>
      </c>
      <c r="AJ35" t="s">
        <v>1897</v>
      </c>
      <c r="AK35" t="s">
        <v>47</v>
      </c>
      <c r="AL35" t="s">
        <v>1898</v>
      </c>
      <c r="AM35" t="s">
        <v>47</v>
      </c>
      <c r="AN35" t="s">
        <v>201</v>
      </c>
      <c r="AO35" t="s">
        <v>2913</v>
      </c>
      <c r="AP35" t="s">
        <v>47</v>
      </c>
      <c r="AQ35" t="s">
        <v>2914</v>
      </c>
      <c r="AR35" t="s">
        <v>47</v>
      </c>
      <c r="AS35" t="s">
        <v>1352</v>
      </c>
      <c r="AT35" t="s">
        <v>47</v>
      </c>
      <c r="AU35" t="s">
        <v>765</v>
      </c>
      <c r="AV35" t="s">
        <v>2915</v>
      </c>
      <c r="AW35" t="s">
        <v>2916</v>
      </c>
      <c r="AX35" t="s">
        <v>1362</v>
      </c>
      <c r="AY35" t="s">
        <v>944</v>
      </c>
      <c r="AZ35" t="s">
        <v>335</v>
      </c>
      <c r="BA35" t="s">
        <v>368</v>
      </c>
      <c r="BB35" t="s">
        <v>296</v>
      </c>
      <c r="BC35" t="s">
        <v>1186</v>
      </c>
      <c r="BD35" t="s">
        <v>131</v>
      </c>
      <c r="BE35" t="s">
        <v>77</v>
      </c>
      <c r="BF35" t="s">
        <v>479</v>
      </c>
      <c r="BG35" t="s">
        <v>397</v>
      </c>
      <c r="BH35" t="s">
        <v>1892</v>
      </c>
      <c r="BI35" t="s">
        <v>1182</v>
      </c>
      <c r="BJ35" t="s">
        <v>1362</v>
      </c>
      <c r="BK35" t="s">
        <v>1893</v>
      </c>
      <c r="BL35" t="s">
        <v>391</v>
      </c>
      <c r="BM35" t="s">
        <v>1186</v>
      </c>
      <c r="BN35">
        <v>12.76</v>
      </c>
      <c r="BO35">
        <v>18.75</v>
      </c>
      <c r="BP35">
        <v>25.64</v>
      </c>
      <c r="BQ35">
        <v>12.71</v>
      </c>
      <c r="BR35">
        <v>25.74</v>
      </c>
      <c r="BS35">
        <v>28.3</v>
      </c>
      <c r="BT35" t="s">
        <v>1900</v>
      </c>
      <c r="BU35" t="s">
        <v>1079</v>
      </c>
      <c r="BV35">
        <v>74.78</v>
      </c>
      <c r="BW35">
        <v>76.89</v>
      </c>
      <c r="BX35">
        <v>76.69</v>
      </c>
      <c r="BY35">
        <v>41.96</v>
      </c>
      <c r="BZ35">
        <v>45.67</v>
      </c>
      <c r="CA35">
        <v>45.68</v>
      </c>
      <c r="CB35">
        <v>-1.59</v>
      </c>
      <c r="CC35">
        <v>-15.96</v>
      </c>
      <c r="CD35" t="s">
        <v>2917</v>
      </c>
      <c r="CE35" t="s">
        <v>372</v>
      </c>
      <c r="CF35" s="8">
        <v>0.15960099750623455</v>
      </c>
      <c r="CG35" s="9">
        <v>0.11533624277456647</v>
      </c>
      <c r="CH35" s="8">
        <v>0.13901640474796295</v>
      </c>
      <c r="CI35" s="8">
        <v>0.17760607600212097</v>
      </c>
      <c r="CJ35" s="8">
        <v>0.48679685592651367</v>
      </c>
      <c r="CK35" s="8">
        <v>0.34621328115463257</v>
      </c>
      <c r="CL35" s="8">
        <v>0.41266375780105591</v>
      </c>
      <c r="CM35" s="9">
        <v>6.8910256028175354E-2</v>
      </c>
      <c r="CN35" s="9">
        <v>0.12432432174682617</v>
      </c>
      <c r="CO35" s="9">
        <v>0.28175520896911621</v>
      </c>
      <c r="CP35" s="9">
        <v>0.41042345762252808</v>
      </c>
      <c r="CQ35" s="9">
        <v>0.42129629850387573</v>
      </c>
      <c r="CR35">
        <v>29.64229550321199</v>
      </c>
      <c r="CS35">
        <v>0.94867708731690825</v>
      </c>
      <c r="CT35">
        <v>1.4452365521710953</v>
      </c>
      <c r="CU35" s="8">
        <v>0.31245927512645721</v>
      </c>
      <c r="CV35" s="9">
        <v>0.26134190857410433</v>
      </c>
      <c r="CW35">
        <v>0.06</v>
      </c>
      <c r="CX35">
        <v>11.762243019722511</v>
      </c>
      <c r="CY35">
        <v>825858808.02768576</v>
      </c>
      <c r="CZ35">
        <v>0.31245927512645721</v>
      </c>
      <c r="DA35">
        <v>3.1998016622424608</v>
      </c>
      <c r="DB35">
        <v>3035798160.4373384</v>
      </c>
      <c r="DC35">
        <v>0.29683631137013433</v>
      </c>
      <c r="DD35">
        <v>1.2108072940606738</v>
      </c>
      <c r="DE35">
        <v>8022706873.0502977</v>
      </c>
      <c r="DF35">
        <v>0.27496416211128233</v>
      </c>
      <c r="DG35">
        <v>0.52710143156590761</v>
      </c>
      <c r="DH35">
        <v>18428999464.376125</v>
      </c>
      <c r="DI35">
        <v>0.24996742010116579</v>
      </c>
      <c r="DJ35">
        <v>0.12403365832207262</v>
      </c>
      <c r="DK35">
        <v>78317064346.971191</v>
      </c>
      <c r="DL35">
        <v>0.21872149258852003</v>
      </c>
      <c r="DM35">
        <v>667000000</v>
      </c>
      <c r="DN35">
        <v>0.31245927512645721</v>
      </c>
      <c r="DO35">
        <v>9713952000</v>
      </c>
      <c r="DP35">
        <v>3246795600</v>
      </c>
      <c r="DQ35">
        <v>2062</v>
      </c>
      <c r="DR35">
        <v>-0.15285827762022267</v>
      </c>
      <c r="DS35">
        <v>-0.14600566579953786</v>
      </c>
      <c r="DT35" s="10">
        <v>5.9999999999999908E-2</v>
      </c>
      <c r="DU35">
        <v>0.34999999999999992</v>
      </c>
      <c r="DV35">
        <v>0.40999999999999981</v>
      </c>
      <c r="DW35">
        <v>-2.1596000000000002</v>
      </c>
      <c r="DX35">
        <v>0.47018974358974391</v>
      </c>
      <c r="DY35">
        <v>-2.0223742830769229</v>
      </c>
      <c r="DZ35">
        <v>860</v>
      </c>
      <c r="EA35">
        <v>-2.0186087481559536</v>
      </c>
      <c r="EB35">
        <v>2</v>
      </c>
      <c r="EC35">
        <v>3.0471096392226425E-2</v>
      </c>
      <c r="ED35">
        <v>0.21735610332092595</v>
      </c>
      <c r="EE35" s="11">
        <v>5.7000000000000037E-3</v>
      </c>
      <c r="EF35">
        <v>1.9910000000000001E-2</v>
      </c>
      <c r="EG35">
        <v>33.140189743589744</v>
      </c>
      <c r="EH35">
        <v>-1</v>
      </c>
      <c r="EI35">
        <v>0</v>
      </c>
      <c r="EJ35">
        <v>1</v>
      </c>
      <c r="EK35" s="13">
        <v>45470</v>
      </c>
      <c r="EL35" s="14">
        <v>-1.0900000000000001</v>
      </c>
      <c r="EM35" s="14">
        <v>-3.3</v>
      </c>
      <c r="EN35" s="14">
        <v>-0.89</v>
      </c>
      <c r="EO35" s="14">
        <v>4.7300000000000004</v>
      </c>
      <c r="EP35" s="14">
        <v>-2.56</v>
      </c>
    </row>
    <row r="36" spans="1:146" ht="156" x14ac:dyDescent="0.25">
      <c r="A36" s="7" t="s">
        <v>1174</v>
      </c>
      <c r="B36" s="7" t="s">
        <v>1173</v>
      </c>
      <c r="C36" s="7" t="str">
        <f>"公司主营业务为医疗诊断及治疗设备的自主研发、生产与销售。主要产品包括医用超声诊断设备(主要为彩色多普勒超声诊断设备与B型超声诊断设备)、医用电子内窥镜设备及耗材、血液分析仪等。"&amp;CHAR(10)&amp;Basic_Fundamental_Information_Constructure(F36)&amp;CHAR(10)&amp;Basic_Fundamental_Information_Concatenate("彩超 5.43亿 64.98% 63.29% 63.52%
内窥镜及镜下治疗器具 2.72亿 32.56% 34.83% 69.76%
其他业务 2056.13万 2.46% 1.89% 49.98%")</f>
        <v>公司主营业务为医疗诊断及治疗设备的自主研发、生产与销售。主要产品包括医用超声诊断设备(主要为彩色多普勒超声诊断设备与B型超声诊断设备)、医用电子内窥镜设备及耗材、血液分析仪等。
市值154.47833亿, 利润4.54亿; PE37.12; 平均PE67.18; 平均PEG5.47, PB4.72; ROIC11.47%; ROE14.1367%; 股利率.8964%; 毛利67.8867%; 净利19.8433%; 上一年度营收增20.25%, 利润增22.7%; 当季营收增1.27%, 利润增-27.4%; 过往5年营收增12.29%, 利润增100.27%
Income profile:
彩超 5.43亿 64.98% 63.29% 63.52%
内窥镜及镜下治疗器具 2.72亿 32.56% 34.83% 69.76%
其他业务 2056.13万 2.46% 1.89% 49.98%</v>
      </c>
      <c r="D36" t="s">
        <v>480</v>
      </c>
      <c r="E36" t="s">
        <v>481</v>
      </c>
      <c r="F36">
        <v>35.700000000000003</v>
      </c>
      <c r="G36">
        <v>3.15</v>
      </c>
      <c r="H36" t="s">
        <v>2918</v>
      </c>
      <c r="I36">
        <v>15447833000</v>
      </c>
      <c r="J36">
        <v>37.119999999999997</v>
      </c>
      <c r="K36">
        <v>4.72</v>
      </c>
      <c r="L36" t="s">
        <v>40</v>
      </c>
      <c r="M36" t="s">
        <v>1901</v>
      </c>
      <c r="N36" t="s">
        <v>2919</v>
      </c>
      <c r="O36" t="s">
        <v>498</v>
      </c>
      <c r="P36">
        <v>1.33</v>
      </c>
      <c r="Q36" t="s">
        <v>1902</v>
      </c>
      <c r="R36">
        <v>100190828</v>
      </c>
      <c r="S36" s="3">
        <v>-0.27650000000000002</v>
      </c>
      <c r="T36" t="s">
        <v>1554</v>
      </c>
      <c r="U36">
        <v>432712410</v>
      </c>
      <c r="V36">
        <v>432712410</v>
      </c>
      <c r="W36">
        <v>1.24</v>
      </c>
      <c r="X36">
        <v>0.12</v>
      </c>
      <c r="Y36">
        <v>20.9</v>
      </c>
      <c r="Z36" t="s">
        <v>1393</v>
      </c>
      <c r="AA36" t="s">
        <v>231</v>
      </c>
      <c r="AB36" t="s">
        <v>268</v>
      </c>
      <c r="AC36" t="s">
        <v>2920</v>
      </c>
      <c r="AD36" t="s">
        <v>47</v>
      </c>
      <c r="AE36">
        <v>-16115836</v>
      </c>
      <c r="AF36" t="s">
        <v>1903</v>
      </c>
      <c r="AG36" t="s">
        <v>2921</v>
      </c>
      <c r="AH36" t="s">
        <v>1904</v>
      </c>
      <c r="AI36" t="s">
        <v>2922</v>
      </c>
      <c r="AJ36" t="s">
        <v>1905</v>
      </c>
      <c r="AK36" t="s">
        <v>2923</v>
      </c>
      <c r="AL36" t="s">
        <v>1906</v>
      </c>
      <c r="AM36" t="s">
        <v>47</v>
      </c>
      <c r="AN36" t="s">
        <v>194</v>
      </c>
      <c r="AO36" t="s">
        <v>597</v>
      </c>
      <c r="AP36" t="s">
        <v>47</v>
      </c>
      <c r="AQ36" t="s">
        <v>1350</v>
      </c>
      <c r="AR36" t="s">
        <v>47</v>
      </c>
      <c r="AS36" t="s">
        <v>1819</v>
      </c>
      <c r="AT36" t="s">
        <v>47</v>
      </c>
      <c r="AU36" t="s">
        <v>2924</v>
      </c>
      <c r="AV36" t="s">
        <v>2925</v>
      </c>
      <c r="AW36" t="s">
        <v>1350</v>
      </c>
      <c r="AX36" t="s">
        <v>1363</v>
      </c>
      <c r="AY36" t="s">
        <v>945</v>
      </c>
      <c r="AZ36" t="s">
        <v>482</v>
      </c>
      <c r="BA36" t="s">
        <v>486</v>
      </c>
      <c r="BB36" t="s">
        <v>487</v>
      </c>
      <c r="BC36" t="s">
        <v>42</v>
      </c>
      <c r="BD36" t="s">
        <v>534</v>
      </c>
      <c r="BE36" t="s">
        <v>483</v>
      </c>
      <c r="BF36" t="s">
        <v>86</v>
      </c>
      <c r="BG36" t="s">
        <v>489</v>
      </c>
      <c r="BH36" t="s">
        <v>1902</v>
      </c>
      <c r="BI36" t="s">
        <v>1478</v>
      </c>
      <c r="BJ36" t="s">
        <v>1363</v>
      </c>
      <c r="BK36" t="s">
        <v>1554</v>
      </c>
      <c r="BL36" t="s">
        <v>301</v>
      </c>
      <c r="BM36" t="s">
        <v>42</v>
      </c>
      <c r="BN36">
        <v>9.49</v>
      </c>
      <c r="BO36">
        <v>13.25</v>
      </c>
      <c r="BP36">
        <v>11.67</v>
      </c>
      <c r="BQ36">
        <v>11.01</v>
      </c>
      <c r="BR36">
        <v>14.57</v>
      </c>
      <c r="BS36">
        <v>16.829999999999998</v>
      </c>
      <c r="BT36" t="s">
        <v>1908</v>
      </c>
      <c r="BU36" t="s">
        <v>1032</v>
      </c>
      <c r="BV36">
        <v>69.41</v>
      </c>
      <c r="BW36">
        <v>66.87</v>
      </c>
      <c r="BX36">
        <v>67.38</v>
      </c>
      <c r="BY36">
        <v>21.43</v>
      </c>
      <c r="BZ36">
        <v>20.98</v>
      </c>
      <c r="CA36">
        <v>17.12</v>
      </c>
      <c r="CB36">
        <v>-9.8000000000000007</v>
      </c>
      <c r="CC36">
        <v>-11.48</v>
      </c>
      <c r="CD36" t="s">
        <v>2926</v>
      </c>
      <c r="CE36" t="s">
        <v>345</v>
      </c>
      <c r="CF36" s="8">
        <v>1.2684989429175349E-2</v>
      </c>
      <c r="CG36" s="9">
        <v>-0.27397950724637682</v>
      </c>
      <c r="CH36" s="8">
        <v>0.20249570906162262</v>
      </c>
      <c r="CI36" s="8">
        <v>0.22006930410861969</v>
      </c>
      <c r="CJ36" s="8">
        <v>0.24247622489929199</v>
      </c>
      <c r="CK36" s="8">
        <v>-7.2567731142044067E-2</v>
      </c>
      <c r="CL36" s="8">
        <v>2.2004837170243263E-2</v>
      </c>
      <c r="CM36" s="9">
        <v>0.22702702879905701</v>
      </c>
      <c r="CN36" s="9">
        <v>0.49797570705413818</v>
      </c>
      <c r="CO36" s="9">
        <v>6.3390283584594727</v>
      </c>
      <c r="CP36" s="9">
        <v>-1.4535598754882812</v>
      </c>
      <c r="CQ36" s="9">
        <v>-0.59683793783187866</v>
      </c>
      <c r="CR36">
        <v>67.177298802402106</v>
      </c>
      <c r="CS36">
        <v>5.4662055585572826</v>
      </c>
      <c r="CT36">
        <v>0.89635854341736687</v>
      </c>
      <c r="CU36" s="8">
        <v>0.12289566881954669</v>
      </c>
      <c r="CV36" s="9">
        <v>1.0027266561985015</v>
      </c>
      <c r="CW36">
        <v>0.06</v>
      </c>
      <c r="CX36">
        <v>26.649639057372458</v>
      </c>
      <c r="CY36">
        <v>480938333.62648499</v>
      </c>
      <c r="CZ36">
        <v>0.12289566881954669</v>
      </c>
      <c r="DA36">
        <v>8.4705001062454937</v>
      </c>
      <c r="DB36">
        <v>1513114082.9040136</v>
      </c>
      <c r="DC36">
        <v>0.11675088537856936</v>
      </c>
      <c r="DD36">
        <v>4.0160832736310512</v>
      </c>
      <c r="DE36">
        <v>3191376305.405129</v>
      </c>
      <c r="DF36">
        <v>0.10814818856120109</v>
      </c>
      <c r="DG36">
        <v>2.3101981372470859</v>
      </c>
      <c r="DH36">
        <v>5547936687.0553331</v>
      </c>
      <c r="DI36">
        <v>9.8316535055637366E-2</v>
      </c>
      <c r="DJ36">
        <v>1.0835276108295031</v>
      </c>
      <c r="DK36">
        <v>11828801473.907963</v>
      </c>
      <c r="DL36">
        <v>8.6026968173682675E-2</v>
      </c>
      <c r="DM36">
        <v>454000000</v>
      </c>
      <c r="DN36">
        <v>0.12289566881954669</v>
      </c>
      <c r="DO36">
        <v>12816833000</v>
      </c>
      <c r="DP36">
        <v>2141808400</v>
      </c>
      <c r="DQ36">
        <v>2100</v>
      </c>
      <c r="DR36">
        <v>-0.11021067939037135</v>
      </c>
      <c r="DS36">
        <v>-1.2767061634448784</v>
      </c>
      <c r="DT36" s="10">
        <v>1.0000000000000011E-2</v>
      </c>
      <c r="DU36">
        <v>-0.22166666666666657</v>
      </c>
      <c r="DV36">
        <v>-0.21166666666666656</v>
      </c>
      <c r="DW36">
        <v>-9.8536585365853657</v>
      </c>
      <c r="DX36">
        <v>0.56510599999999989</v>
      </c>
      <c r="DY36">
        <v>-9.209236829268292</v>
      </c>
      <c r="DZ36">
        <v>2236</v>
      </c>
      <c r="EA36">
        <v>-9.1176803615101907</v>
      </c>
      <c r="EB36">
        <v>9</v>
      </c>
      <c r="EC36">
        <v>5.66440883911788E-2</v>
      </c>
      <c r="ED36">
        <v>0.23110037449584586</v>
      </c>
      <c r="EE36" s="11">
        <v>-1.0603</v>
      </c>
      <c r="EF36">
        <v>-1.0348999999999999</v>
      </c>
      <c r="EG36">
        <v>32.245106</v>
      </c>
      <c r="EH36" t="s">
        <v>1040</v>
      </c>
      <c r="EI36">
        <v>0</v>
      </c>
      <c r="EJ36">
        <v>0</v>
      </c>
      <c r="EK36" s="13">
        <v>45470</v>
      </c>
      <c r="EL36" s="14">
        <v>0.31</v>
      </c>
      <c r="EM36" s="14">
        <v>0.92</v>
      </c>
      <c r="EN36" s="14">
        <v>-0.02</v>
      </c>
      <c r="EO36" s="14">
        <v>0.79</v>
      </c>
      <c r="EP36" s="14">
        <v>-2.54</v>
      </c>
    </row>
    <row r="37" spans="1:146" ht="96" x14ac:dyDescent="0.25">
      <c r="A37" s="7"/>
      <c r="B37" s="7"/>
      <c r="C37" s="7" t="str">
        <f>""&amp;CHAR(10)&amp;Basic_Fundamental_Information_Constructure(F37)&amp;CHAR(10)&amp;Basic_Fundamental_Information_Concatenate("")</f>
        <v xml:space="preserve">
市值30.450182亿, 利润1.40亿; PE50.11; 平均PE5.47; 平均PEG.11, PB.632; ROIC23.5833%; ROE25.4467%; 股利率1.38%; 毛利66.0067%; 净利23.8333%; 上一年度营收增-80.28%, 利润增-91.89%; 当季营收增-39.4%, 利润增-121.96%; 过往5年营收增47.59%, 利润增64.26%
Income profile:
</v>
      </c>
      <c r="D37" t="s">
        <v>493</v>
      </c>
      <c r="E37" t="s">
        <v>494</v>
      </c>
      <c r="F37">
        <v>4.71</v>
      </c>
      <c r="G37">
        <v>3.06</v>
      </c>
      <c r="H37" t="s">
        <v>2927</v>
      </c>
      <c r="I37">
        <v>3045018200</v>
      </c>
      <c r="J37">
        <v>50.11</v>
      </c>
      <c r="K37">
        <v>0.63200000000000001</v>
      </c>
      <c r="L37" t="s">
        <v>40</v>
      </c>
      <c r="M37" t="s">
        <v>1909</v>
      </c>
      <c r="N37" t="s">
        <v>2928</v>
      </c>
      <c r="O37" t="s">
        <v>128</v>
      </c>
      <c r="P37">
        <v>-39.39</v>
      </c>
      <c r="Q37" t="s">
        <v>1570</v>
      </c>
      <c r="R37">
        <v>-14354782</v>
      </c>
      <c r="S37" s="3">
        <v>-1.22</v>
      </c>
      <c r="T37" t="s">
        <v>357</v>
      </c>
      <c r="U37">
        <v>635164370</v>
      </c>
      <c r="V37">
        <v>646500670</v>
      </c>
      <c r="W37">
        <v>1.1000000000000001</v>
      </c>
      <c r="X37">
        <v>0.03</v>
      </c>
      <c r="Y37">
        <v>-15.18</v>
      </c>
      <c r="Z37" t="s">
        <v>1076</v>
      </c>
      <c r="AA37" t="s">
        <v>2929</v>
      </c>
      <c r="AB37" t="s">
        <v>2930</v>
      </c>
      <c r="AC37" t="s">
        <v>2931</v>
      </c>
      <c r="AD37" t="s">
        <v>47</v>
      </c>
      <c r="AE37">
        <v>2666095</v>
      </c>
      <c r="AF37" t="s">
        <v>1910</v>
      </c>
      <c r="AG37" t="s">
        <v>2932</v>
      </c>
      <c r="AH37" t="s">
        <v>1911</v>
      </c>
      <c r="AI37" t="s">
        <v>1502</v>
      </c>
      <c r="AJ37" t="s">
        <v>1912</v>
      </c>
      <c r="AK37" t="s">
        <v>2933</v>
      </c>
      <c r="AL37" t="s">
        <v>1913</v>
      </c>
      <c r="AM37" t="s">
        <v>47</v>
      </c>
      <c r="AN37" t="s">
        <v>256</v>
      </c>
      <c r="AO37" t="s">
        <v>2934</v>
      </c>
      <c r="AP37" t="s">
        <v>47</v>
      </c>
      <c r="AQ37" t="s">
        <v>154</v>
      </c>
      <c r="AR37" t="s">
        <v>47</v>
      </c>
      <c r="AS37" t="s">
        <v>623</v>
      </c>
      <c r="AT37" t="s">
        <v>1914</v>
      </c>
      <c r="AU37" t="s">
        <v>2935</v>
      </c>
      <c r="AV37" t="s">
        <v>2936</v>
      </c>
      <c r="AW37" t="s">
        <v>2937</v>
      </c>
      <c r="AX37" t="s">
        <v>1365</v>
      </c>
      <c r="AY37" t="s">
        <v>948</v>
      </c>
      <c r="AZ37" t="s">
        <v>495</v>
      </c>
      <c r="BA37" t="s">
        <v>497</v>
      </c>
      <c r="BB37" t="s">
        <v>440</v>
      </c>
      <c r="BC37" t="s">
        <v>1916</v>
      </c>
      <c r="BD37" t="s">
        <v>518</v>
      </c>
      <c r="BE37" t="s">
        <v>441</v>
      </c>
      <c r="BF37" t="s">
        <v>231</v>
      </c>
      <c r="BG37" t="s">
        <v>154</v>
      </c>
      <c r="BH37" t="s">
        <v>1570</v>
      </c>
      <c r="BI37" t="s">
        <v>274</v>
      </c>
      <c r="BJ37" t="s">
        <v>1365</v>
      </c>
      <c r="BK37" t="s">
        <v>357</v>
      </c>
      <c r="BL37" t="s">
        <v>1917</v>
      </c>
      <c r="BM37" t="s">
        <v>1916</v>
      </c>
      <c r="BN37">
        <v>2.27</v>
      </c>
      <c r="BO37">
        <v>40.04</v>
      </c>
      <c r="BP37">
        <v>28.44</v>
      </c>
      <c r="BQ37">
        <v>3.67</v>
      </c>
      <c r="BR37">
        <v>42.35</v>
      </c>
      <c r="BS37">
        <v>30.32</v>
      </c>
      <c r="BT37" t="s">
        <v>1918</v>
      </c>
      <c r="BU37" t="s">
        <v>1075</v>
      </c>
      <c r="BV37">
        <v>61.03</v>
      </c>
      <c r="BW37">
        <v>69.36</v>
      </c>
      <c r="BX37">
        <v>67.63</v>
      </c>
      <c r="BY37">
        <v>6.2</v>
      </c>
      <c r="BZ37">
        <v>32.19</v>
      </c>
      <c r="CA37">
        <v>33.11</v>
      </c>
      <c r="CB37">
        <v>2.39</v>
      </c>
      <c r="CC37">
        <v>-18.79</v>
      </c>
      <c r="CD37" t="s">
        <v>2938</v>
      </c>
      <c r="CE37" t="s">
        <v>1061</v>
      </c>
      <c r="CF37" s="8">
        <v>-0.39403973509933776</v>
      </c>
      <c r="CG37" s="9">
        <v>-1.2196469070705804</v>
      </c>
      <c r="CH37" s="8">
        <v>-0.80275148153305054</v>
      </c>
      <c r="CI37" s="8">
        <v>1.0939021110534668</v>
      </c>
      <c r="CJ37" s="8">
        <v>0.97415059804916382</v>
      </c>
      <c r="CK37" s="8">
        <v>0.85733884572982788</v>
      </c>
      <c r="CL37" s="8">
        <v>0.25689655542373657</v>
      </c>
      <c r="CM37" s="9">
        <v>-0.91888761520385742</v>
      </c>
      <c r="CN37" s="9">
        <v>1.0258215665817261</v>
      </c>
      <c r="CO37" s="9">
        <v>1.3471074104309082</v>
      </c>
      <c r="CP37" s="9">
        <v>1.4693877696990967</v>
      </c>
      <c r="CQ37" s="9">
        <v>0.28947368264198303</v>
      </c>
      <c r="CR37">
        <v>5.4668190305206465</v>
      </c>
      <c r="CS37">
        <v>0.1148715040678767</v>
      </c>
      <c r="CT37">
        <v>1.3800424628450108</v>
      </c>
      <c r="CU37" s="8">
        <v>0.47590732574462891</v>
      </c>
      <c r="CV37" s="9">
        <v>0.64258056282997134</v>
      </c>
      <c r="CW37">
        <v>0.06</v>
      </c>
      <c r="CX37" t="s">
        <v>1584</v>
      </c>
      <c r="CY37">
        <v>194931156.23042268</v>
      </c>
      <c r="CZ37">
        <v>0.47590732574462891</v>
      </c>
      <c r="DA37" t="s">
        <v>1584</v>
      </c>
      <c r="DB37">
        <v>814446462.47117162</v>
      </c>
      <c r="DC37">
        <v>0.45211195945739746</v>
      </c>
      <c r="DD37" t="s">
        <v>1584</v>
      </c>
      <c r="DE37">
        <v>2629768057.646472</v>
      </c>
      <c r="DF37">
        <v>0.41879844665527344</v>
      </c>
      <c r="DG37" t="s">
        <v>1584</v>
      </c>
      <c r="DH37">
        <v>7871865317.2350864</v>
      </c>
      <c r="DI37">
        <v>0.38072586059570313</v>
      </c>
      <c r="DJ37" t="s">
        <v>1584</v>
      </c>
      <c r="DK37">
        <v>66303719246.126732</v>
      </c>
      <c r="DL37">
        <v>0.33313512802124023</v>
      </c>
      <c r="DM37">
        <v>140000000</v>
      </c>
      <c r="DN37">
        <v>0.47590732574462891</v>
      </c>
      <c r="DO37">
        <v>-1371981800</v>
      </c>
      <c r="DP37">
        <v>2610276700</v>
      </c>
      <c r="DQ37">
        <v>2106</v>
      </c>
      <c r="DR37">
        <v>-0.86994706084396667</v>
      </c>
      <c r="DS37">
        <v>-1.8622274699005517</v>
      </c>
      <c r="DT37" s="10">
        <v>0.12666666666666671</v>
      </c>
      <c r="DU37">
        <v>-0.33166666666666667</v>
      </c>
      <c r="DV37">
        <v>-0.20499999999999996</v>
      </c>
      <c r="DW37">
        <v>-3.0315535714285713</v>
      </c>
      <c r="DX37">
        <v>0.37459466019417431</v>
      </c>
      <c r="DY37">
        <v>-3.0048780136529127</v>
      </c>
      <c r="DZ37">
        <v>2208</v>
      </c>
      <c r="EA37">
        <v>-3.0027702535461356</v>
      </c>
      <c r="EB37">
        <v>3</v>
      </c>
      <c r="EC37">
        <v>4.9259809738480237E-2</v>
      </c>
      <c r="ED37">
        <v>0.31863849421842055</v>
      </c>
      <c r="EE37" s="11">
        <v>-3.1154000000000002</v>
      </c>
      <c r="EF37">
        <v>-3.0880000000000001</v>
      </c>
      <c r="EG37">
        <v>22.154594660194174</v>
      </c>
      <c r="EH37" t="s">
        <v>1486</v>
      </c>
      <c r="EI37">
        <v>0</v>
      </c>
      <c r="EJ37">
        <v>0</v>
      </c>
      <c r="EK37" s="13">
        <v>45470</v>
      </c>
      <c r="EL37" s="14">
        <v>0.21</v>
      </c>
      <c r="EM37" s="14">
        <v>-5.29</v>
      </c>
      <c r="EN37" s="14">
        <v>1.1200000000000001</v>
      </c>
      <c r="EO37" s="14">
        <v>4.6399999999999997</v>
      </c>
      <c r="EP37" s="14">
        <v>-2.74</v>
      </c>
    </row>
    <row r="38" spans="1:146" ht="96" x14ac:dyDescent="0.25">
      <c r="A38" s="7"/>
      <c r="B38" s="7"/>
      <c r="C38" s="7" t="str">
        <f>""&amp;CHAR(10)&amp;Basic_Fundamental_Information_Constructure(F38)&amp;CHAR(10)&amp;Basic_Fundamental_Information_Concatenate("")</f>
        <v xml:space="preserve">
市值18.962068亿, 利润8940.35万; PE25.7; 平均PE14.3; 平均PEG1.41, PB1.25; ROIC7.4533%; ROE7.9267%; 股利率1.2898%; 毛利63.05%; 净利19.16%; 上一年度营收增-24.16%, 利润增-28.48%; 当季营收增-23.71%, 利润增-140.33%; 过往5年营收增10.15%, 利润增-6.03%
Income profile:
</v>
      </c>
      <c r="D38" t="s">
        <v>499</v>
      </c>
      <c r="E38" t="s">
        <v>500</v>
      </c>
      <c r="F38">
        <v>11.63</v>
      </c>
      <c r="G38">
        <v>3.84</v>
      </c>
      <c r="H38" t="s">
        <v>2939</v>
      </c>
      <c r="I38">
        <v>1896206800</v>
      </c>
      <c r="J38">
        <v>25.7</v>
      </c>
      <c r="K38">
        <v>1.25</v>
      </c>
      <c r="L38" t="s">
        <v>40</v>
      </c>
      <c r="M38" t="s">
        <v>111</v>
      </c>
      <c r="N38" t="s">
        <v>2940</v>
      </c>
      <c r="O38" t="s">
        <v>1919</v>
      </c>
      <c r="P38">
        <v>-23.61</v>
      </c>
      <c r="Q38" t="s">
        <v>1657</v>
      </c>
      <c r="R38">
        <v>-4487874</v>
      </c>
      <c r="S38" s="3">
        <v>-1.403</v>
      </c>
      <c r="T38" t="s">
        <v>1920</v>
      </c>
      <c r="U38">
        <v>137706970</v>
      </c>
      <c r="V38">
        <v>163044440</v>
      </c>
      <c r="W38">
        <v>1.0900000000000001</v>
      </c>
      <c r="X38">
        <v>0.06</v>
      </c>
      <c r="Y38">
        <v>-6.49</v>
      </c>
      <c r="Z38" t="s">
        <v>2941</v>
      </c>
      <c r="AA38" t="s">
        <v>2942</v>
      </c>
      <c r="AB38" t="s">
        <v>2943</v>
      </c>
      <c r="AC38" t="s">
        <v>2944</v>
      </c>
      <c r="AD38" t="s">
        <v>47</v>
      </c>
      <c r="AE38">
        <v>-1634575</v>
      </c>
      <c r="AF38" t="s">
        <v>1921</v>
      </c>
      <c r="AG38" t="s">
        <v>2945</v>
      </c>
      <c r="AH38" t="s">
        <v>1922</v>
      </c>
      <c r="AI38" t="s">
        <v>404</v>
      </c>
      <c r="AJ38" t="s">
        <v>1923</v>
      </c>
      <c r="AK38" t="s">
        <v>47</v>
      </c>
      <c r="AL38" t="s">
        <v>1924</v>
      </c>
      <c r="AM38" t="s">
        <v>47</v>
      </c>
      <c r="AN38" t="s">
        <v>2946</v>
      </c>
      <c r="AO38" t="s">
        <v>2947</v>
      </c>
      <c r="AP38" t="s">
        <v>47</v>
      </c>
      <c r="AQ38" t="s">
        <v>2948</v>
      </c>
      <c r="AR38" t="s">
        <v>47</v>
      </c>
      <c r="AS38" t="s">
        <v>468</v>
      </c>
      <c r="AT38" t="s">
        <v>47</v>
      </c>
      <c r="AU38" t="s">
        <v>2949</v>
      </c>
      <c r="AV38" t="s">
        <v>2950</v>
      </c>
      <c r="AW38" t="s">
        <v>2951</v>
      </c>
      <c r="AX38" t="s">
        <v>1366</v>
      </c>
      <c r="AY38" t="s">
        <v>328</v>
      </c>
      <c r="AZ38" t="s">
        <v>117</v>
      </c>
      <c r="BA38" t="s">
        <v>418</v>
      </c>
      <c r="BB38" t="s">
        <v>501</v>
      </c>
      <c r="BC38" t="s">
        <v>286</v>
      </c>
      <c r="BD38" t="s">
        <v>112</v>
      </c>
      <c r="BE38" t="s">
        <v>180</v>
      </c>
      <c r="BF38" t="s">
        <v>217</v>
      </c>
      <c r="BG38" t="s">
        <v>212</v>
      </c>
      <c r="BH38" t="s">
        <v>1657</v>
      </c>
      <c r="BI38" t="s">
        <v>442</v>
      </c>
      <c r="BJ38" t="s">
        <v>1366</v>
      </c>
      <c r="BK38" t="s">
        <v>1920</v>
      </c>
      <c r="BL38" t="s">
        <v>1925</v>
      </c>
      <c r="BM38" t="s">
        <v>286</v>
      </c>
      <c r="BN38">
        <v>2.35</v>
      </c>
      <c r="BO38">
        <v>8.23</v>
      </c>
      <c r="BP38">
        <v>11.78</v>
      </c>
      <c r="BQ38">
        <v>2.89</v>
      </c>
      <c r="BR38">
        <v>8.77</v>
      </c>
      <c r="BS38">
        <v>12.12</v>
      </c>
      <c r="BT38" t="s">
        <v>1215</v>
      </c>
      <c r="BU38" t="s">
        <v>1075</v>
      </c>
      <c r="BV38">
        <v>65.260000000000005</v>
      </c>
      <c r="BW38">
        <v>57.04</v>
      </c>
      <c r="BX38">
        <v>66.849999999999994</v>
      </c>
      <c r="BY38">
        <v>15.6</v>
      </c>
      <c r="BZ38">
        <v>17.28</v>
      </c>
      <c r="CA38">
        <v>24.6</v>
      </c>
      <c r="CB38">
        <v>-0.09</v>
      </c>
      <c r="CC38">
        <v>-12.42</v>
      </c>
      <c r="CD38" t="s">
        <v>2952</v>
      </c>
      <c r="CE38" t="s">
        <v>2953</v>
      </c>
      <c r="CF38" s="8">
        <v>-0.23711393442622963</v>
      </c>
      <c r="CG38" s="9">
        <v>-1.4032521654746073</v>
      </c>
      <c r="CH38" s="8">
        <v>-0.24162010848522186</v>
      </c>
      <c r="CI38" s="8">
        <v>9.3129768967628479E-2</v>
      </c>
      <c r="CJ38" s="8">
        <v>0.33673468232154846</v>
      </c>
      <c r="CK38" s="8">
        <v>0.1111111119389534</v>
      </c>
      <c r="CL38" s="8">
        <v>0.20821918547153473</v>
      </c>
      <c r="CM38" s="9">
        <v>-0.28477197885513306</v>
      </c>
      <c r="CN38" s="9">
        <v>-0.22360248863697052</v>
      </c>
      <c r="CO38" s="9">
        <v>0.3305785059928894</v>
      </c>
      <c r="CP38" s="9">
        <v>-0.22929936647415161</v>
      </c>
      <c r="CQ38" s="9">
        <v>0.10563380271196365</v>
      </c>
      <c r="CR38">
        <v>14.303734896816522</v>
      </c>
      <c r="CS38">
        <v>1.4090277334160541</v>
      </c>
      <c r="CT38">
        <v>1.2897678417884779</v>
      </c>
      <c r="CU38" s="8">
        <v>0.10151492804288864</v>
      </c>
      <c r="CV38" s="9">
        <v>-6.0292305052280427E-2</v>
      </c>
      <c r="CW38">
        <v>0.06</v>
      </c>
      <c r="CX38">
        <v>5.5132323630752875</v>
      </c>
      <c r="CY38">
        <v>92904990.442719236</v>
      </c>
      <c r="CZ38">
        <v>0.10151492804288864</v>
      </c>
      <c r="DA38">
        <v>1.7842135868135032</v>
      </c>
      <c r="DB38">
        <v>287077065.09217328</v>
      </c>
      <c r="DC38">
        <v>9.6439181640744207E-2</v>
      </c>
      <c r="DD38">
        <v>0.86691354329380299</v>
      </c>
      <c r="DE38">
        <v>590839540.99262416</v>
      </c>
      <c r="DF38">
        <v>8.9333136677742009E-2</v>
      </c>
      <c r="DG38">
        <v>0.51293274731118788</v>
      </c>
      <c r="DH38">
        <v>998584712.48912597</v>
      </c>
      <c r="DI38">
        <v>8.1211942434310916E-2</v>
      </c>
      <c r="DJ38">
        <v>0.25641763557556663</v>
      </c>
      <c r="DK38">
        <v>1997549033.0463324</v>
      </c>
      <c r="DL38">
        <v>7.1060449630022046E-2</v>
      </c>
      <c r="DM38">
        <v>89403500</v>
      </c>
      <c r="DN38">
        <v>0.10151492804288864</v>
      </c>
      <c r="DO38">
        <v>512206800</v>
      </c>
      <c r="DP38">
        <v>762206890</v>
      </c>
      <c r="DQ38">
        <v>2109</v>
      </c>
      <c r="DR38">
        <v>-0.33862886246911827</v>
      </c>
      <c r="DS38">
        <v>-1.342959860422327</v>
      </c>
      <c r="DT38" s="10">
        <v>-0.37333333333333335</v>
      </c>
      <c r="DU38">
        <v>-1.1983333333333333</v>
      </c>
      <c r="DV38">
        <v>-1.5716666666666665</v>
      </c>
      <c r="DW38">
        <v>-2.1242000000000001</v>
      </c>
      <c r="DX38">
        <v>0.38166626810690873</v>
      </c>
      <c r="DY38">
        <v>-2.0138689504988783</v>
      </c>
      <c r="DZ38">
        <v>4071</v>
      </c>
      <c r="EA38">
        <v>-2.0028199294654274</v>
      </c>
      <c r="EB38">
        <v>2</v>
      </c>
      <c r="EC38">
        <v>2.6921494532410918E-2</v>
      </c>
      <c r="ED38">
        <v>0.2410888712304449</v>
      </c>
      <c r="EE38" s="11">
        <v>-1.0036099999999999</v>
      </c>
      <c r="EF38">
        <v>-1.02281</v>
      </c>
      <c r="EG38">
        <v>27.111666268106909</v>
      </c>
      <c r="EH38" t="s">
        <v>1039</v>
      </c>
      <c r="EI38">
        <v>0</v>
      </c>
      <c r="EJ38">
        <v>0</v>
      </c>
      <c r="EK38" s="13">
        <v>45470</v>
      </c>
      <c r="EL38" s="14">
        <v>0.42</v>
      </c>
      <c r="EM38" s="14">
        <v>-5.24</v>
      </c>
      <c r="EN38" s="14">
        <v>0.36</v>
      </c>
      <c r="EO38" s="14">
        <v>6.66</v>
      </c>
      <c r="EP38" s="14">
        <v>-1.92</v>
      </c>
    </row>
    <row r="39" spans="1:146" ht="96" x14ac:dyDescent="0.25">
      <c r="A39" s="7"/>
      <c r="B39" s="7"/>
      <c r="C39" s="7" t="str">
        <f>""&amp;CHAR(10)&amp;Basic_Fundamental_Information_Constructure(F39)&amp;CHAR(10)&amp;Basic_Fundamental_Information_Concatenate("")</f>
        <v xml:space="preserve">
市值37.458亿, 利润1.91亿; PE21.05; 平均PE26.26; 平均PEG1.76, PB3.79; ROIC20.8033%; ROE19.9467%; 股利率3.853%; 毛利89.2433%; 净利43.6933%; 上一年度营收增-4.39%, 利润增3.24%; 当季营收增-17.77%, 利润增-24.38%; 过往5年营收增14.93%, 利润增18.18%
Income profile:
</v>
      </c>
      <c r="D39" t="s">
        <v>504</v>
      </c>
      <c r="E39" t="s">
        <v>505</v>
      </c>
      <c r="F39">
        <v>20.81</v>
      </c>
      <c r="G39">
        <v>3.17</v>
      </c>
      <c r="H39" t="s">
        <v>2954</v>
      </c>
      <c r="I39">
        <v>3745800000</v>
      </c>
      <c r="J39">
        <v>21.05</v>
      </c>
      <c r="K39">
        <v>3.79</v>
      </c>
      <c r="L39" t="s">
        <v>40</v>
      </c>
      <c r="M39" t="s">
        <v>292</v>
      </c>
      <c r="N39" t="s">
        <v>2955</v>
      </c>
      <c r="O39" t="s">
        <v>1926</v>
      </c>
      <c r="P39">
        <v>-17.829999999999998</v>
      </c>
      <c r="Q39" t="s">
        <v>1862</v>
      </c>
      <c r="R39">
        <v>40381481</v>
      </c>
      <c r="S39" s="3">
        <v>-0.24379999999999999</v>
      </c>
      <c r="T39" t="s">
        <v>451</v>
      </c>
      <c r="U39">
        <v>180000000</v>
      </c>
      <c r="V39">
        <v>180000000</v>
      </c>
      <c r="W39">
        <v>1.0900000000000001</v>
      </c>
      <c r="X39">
        <v>0.08</v>
      </c>
      <c r="Y39">
        <v>45.05</v>
      </c>
      <c r="Z39" t="s">
        <v>2956</v>
      </c>
      <c r="AA39" t="s">
        <v>2957</v>
      </c>
      <c r="AB39" t="s">
        <v>2958</v>
      </c>
      <c r="AC39" t="s">
        <v>2959</v>
      </c>
      <c r="AD39" t="s">
        <v>47</v>
      </c>
      <c r="AE39">
        <v>-256773</v>
      </c>
      <c r="AF39" t="s">
        <v>1927</v>
      </c>
      <c r="AG39">
        <v>1100.58</v>
      </c>
      <c r="AH39" t="s">
        <v>1928</v>
      </c>
      <c r="AI39" t="s">
        <v>522</v>
      </c>
      <c r="AJ39" t="s">
        <v>1929</v>
      </c>
      <c r="AK39" t="s">
        <v>47</v>
      </c>
      <c r="AL39" t="s">
        <v>1930</v>
      </c>
      <c r="AM39" t="s">
        <v>47</v>
      </c>
      <c r="AN39" t="s">
        <v>2960</v>
      </c>
      <c r="AO39" t="s">
        <v>47</v>
      </c>
      <c r="AP39" t="s">
        <v>2961</v>
      </c>
      <c r="AQ39" t="s">
        <v>2962</v>
      </c>
      <c r="AR39" t="s">
        <v>47</v>
      </c>
      <c r="AS39" t="s">
        <v>2963</v>
      </c>
      <c r="AT39" t="s">
        <v>47</v>
      </c>
      <c r="AU39" t="s">
        <v>2964</v>
      </c>
      <c r="AV39" t="s">
        <v>2965</v>
      </c>
      <c r="AW39" t="s">
        <v>47</v>
      </c>
      <c r="AX39" t="s">
        <v>77</v>
      </c>
      <c r="AY39" t="s">
        <v>760</v>
      </c>
      <c r="AZ39" t="s">
        <v>506</v>
      </c>
      <c r="BA39" t="s">
        <v>508</v>
      </c>
      <c r="BB39" t="s">
        <v>397</v>
      </c>
      <c r="BC39" t="s">
        <v>918</v>
      </c>
      <c r="BD39" t="s">
        <v>130</v>
      </c>
      <c r="BE39" t="s">
        <v>503</v>
      </c>
      <c r="BF39" t="s">
        <v>87</v>
      </c>
      <c r="BG39" t="s">
        <v>509</v>
      </c>
      <c r="BH39" t="s">
        <v>1862</v>
      </c>
      <c r="BI39" t="s">
        <v>369</v>
      </c>
      <c r="BJ39" t="s">
        <v>77</v>
      </c>
      <c r="BK39" t="s">
        <v>451</v>
      </c>
      <c r="BL39" t="s">
        <v>1931</v>
      </c>
      <c r="BM39" t="s">
        <v>918</v>
      </c>
      <c r="BN39">
        <v>16.7</v>
      </c>
      <c r="BO39">
        <v>22.38</v>
      </c>
      <c r="BP39">
        <v>23.33</v>
      </c>
      <c r="BQ39">
        <v>16.64</v>
      </c>
      <c r="BR39">
        <v>19.579999999999998</v>
      </c>
      <c r="BS39">
        <v>23.62</v>
      </c>
      <c r="BT39" t="s">
        <v>2966</v>
      </c>
      <c r="BU39" t="s">
        <v>1079</v>
      </c>
      <c r="BV39">
        <v>89.9</v>
      </c>
      <c r="BW39">
        <v>88.72</v>
      </c>
      <c r="BX39">
        <v>89.11</v>
      </c>
      <c r="BY39">
        <v>46.16</v>
      </c>
      <c r="BZ39">
        <v>42.8</v>
      </c>
      <c r="CA39">
        <v>42.12</v>
      </c>
      <c r="CB39">
        <v>2.2599999999999998</v>
      </c>
      <c r="CC39">
        <v>-8.6</v>
      </c>
      <c r="CD39" t="s">
        <v>2967</v>
      </c>
      <c r="CE39" t="s">
        <v>2968</v>
      </c>
      <c r="CF39" s="8">
        <v>-0.17766605504587168</v>
      </c>
      <c r="CG39" s="9">
        <v>-0.24377549682764407</v>
      </c>
      <c r="CH39" s="8">
        <v>-4.3879907578229904E-2</v>
      </c>
      <c r="CI39" s="8">
        <v>8.2500003278255463E-2</v>
      </c>
      <c r="CJ39" s="8">
        <v>0.36518770456314087</v>
      </c>
      <c r="CK39" s="8">
        <v>4.642857238650322E-2</v>
      </c>
      <c r="CL39" s="8">
        <v>0.29629629850387573</v>
      </c>
      <c r="CM39" s="9">
        <v>3.2432433217763901E-2</v>
      </c>
      <c r="CN39" s="9">
        <v>9.4674557447433472E-2</v>
      </c>
      <c r="CO39" s="9">
        <v>0.43220338225364685</v>
      </c>
      <c r="CP39" s="9">
        <v>0.10280373692512512</v>
      </c>
      <c r="CQ39" s="9">
        <v>0.24686674773693085</v>
      </c>
      <c r="CR39">
        <v>26.261280035839516</v>
      </c>
      <c r="CS39">
        <v>1.7588835057453331</v>
      </c>
      <c r="CT39">
        <v>3.8529745314752519</v>
      </c>
      <c r="CU39" s="8">
        <v>0.14930653423070908</v>
      </c>
      <c r="CV39" s="9">
        <v>0.18179617151618005</v>
      </c>
      <c r="CW39">
        <v>0.06</v>
      </c>
      <c r="CX39">
        <v>13.828634781733289</v>
      </c>
      <c r="CY39">
        <v>207092026.45100513</v>
      </c>
      <c r="CZ39">
        <v>0.14930653423070908</v>
      </c>
      <c r="DA39">
        <v>4.299203383974687</v>
      </c>
      <c r="DB39">
        <v>666123405.71623945</v>
      </c>
      <c r="DC39">
        <v>0.14184120751917362</v>
      </c>
      <c r="DD39">
        <v>1.976963822432926</v>
      </c>
      <c r="DE39">
        <v>1448584929.8323021</v>
      </c>
      <c r="DF39">
        <v>0.13138975012302398</v>
      </c>
      <c r="DG39">
        <v>1.0971235649124391</v>
      </c>
      <c r="DH39">
        <v>2610280274.3358798</v>
      </c>
      <c r="DI39">
        <v>0.11944522738456727</v>
      </c>
      <c r="DJ39">
        <v>0.47330457852614105</v>
      </c>
      <c r="DK39">
        <v>6050649264.6189976</v>
      </c>
      <c r="DL39">
        <v>0.10451457396149635</v>
      </c>
      <c r="DM39">
        <v>191000000</v>
      </c>
      <c r="DN39">
        <v>0.14930653423070908</v>
      </c>
      <c r="DO39">
        <v>2863800000</v>
      </c>
      <c r="DP39">
        <v>725645140</v>
      </c>
      <c r="DQ39">
        <v>2119</v>
      </c>
      <c r="DR39">
        <v>-0.32697258927658079</v>
      </c>
      <c r="DS39">
        <v>-0.42557166834382409</v>
      </c>
      <c r="DT39" s="10">
        <v>-0.20666666666666669</v>
      </c>
      <c r="DU39">
        <v>1.3333333333333308E-2</v>
      </c>
      <c r="DV39">
        <v>-0.19333333333333338</v>
      </c>
      <c r="DW39">
        <v>-2.0859999999999999</v>
      </c>
      <c r="DX39">
        <v>0.42352554242184137</v>
      </c>
      <c r="DY39">
        <v>-2.0183631966482785</v>
      </c>
      <c r="DZ39">
        <v>2192</v>
      </c>
      <c r="EA39">
        <v>-2.0104860680664731</v>
      </c>
      <c r="EB39">
        <v>2</v>
      </c>
      <c r="EC39">
        <v>5.4985555555555558E-2</v>
      </c>
      <c r="ED39">
        <v>0.25751277777777776</v>
      </c>
      <c r="EE39" s="11">
        <v>-1.08731</v>
      </c>
      <c r="EF39">
        <v>-1.1002099999999999</v>
      </c>
      <c r="EG39">
        <v>21.213525542421841</v>
      </c>
      <c r="EH39" t="s">
        <v>1039</v>
      </c>
      <c r="EI39">
        <v>0</v>
      </c>
      <c r="EJ39">
        <v>0</v>
      </c>
      <c r="EK39" s="13">
        <v>45470</v>
      </c>
      <c r="EL39" s="14">
        <v>1.5</v>
      </c>
      <c r="EM39" s="14">
        <v>-2.52</v>
      </c>
      <c r="EN39" s="14">
        <v>-0.68</v>
      </c>
      <c r="EO39" s="14">
        <v>2.65</v>
      </c>
      <c r="EP39" s="14">
        <v>-1.29</v>
      </c>
    </row>
    <row r="40" spans="1:146" ht="96" x14ac:dyDescent="0.25">
      <c r="A40" s="7"/>
      <c r="B40" s="7"/>
      <c r="C40" s="7" t="str">
        <f>""&amp;CHAR(10)&amp;Basic_Fundamental_Information_Constructure(F40)&amp;CHAR(10)&amp;Basic_Fundamental_Information_Concatenate("")</f>
        <v xml:space="preserve">
市值178.7546亿, 利润3.83亿; PE23.09; 平均PE6.79; 平均PEG.06, PB1.1; ROIC19.9067%; ROE21.8767%; 股利率.29%; 毛利29.4467%; 净利20.4133%; 上一年度营收增4.61%, 利润增-39.11%; 当季营收增40.05%, 利润增255.68%; 过往5年营收增107.4%, 利润增742.27%
Income profile:
</v>
      </c>
      <c r="D40" t="s">
        <v>513</v>
      </c>
      <c r="E40" t="s">
        <v>514</v>
      </c>
      <c r="F40">
        <v>27.59</v>
      </c>
      <c r="G40">
        <v>2.83</v>
      </c>
      <c r="H40" t="s">
        <v>2969</v>
      </c>
      <c r="I40">
        <v>17875460000</v>
      </c>
      <c r="J40">
        <v>23.09</v>
      </c>
      <c r="K40">
        <v>1.1000000000000001</v>
      </c>
      <c r="L40" t="s">
        <v>40</v>
      </c>
      <c r="M40" t="s">
        <v>1932</v>
      </c>
      <c r="N40" t="s">
        <v>2970</v>
      </c>
      <c r="O40" t="s">
        <v>1340</v>
      </c>
      <c r="P40">
        <v>40.06</v>
      </c>
      <c r="Q40" t="s">
        <v>1933</v>
      </c>
      <c r="R40">
        <v>238197780</v>
      </c>
      <c r="S40" s="3">
        <v>2.556</v>
      </c>
      <c r="T40" t="s">
        <v>1505</v>
      </c>
      <c r="U40">
        <v>468925780</v>
      </c>
      <c r="V40">
        <v>647896330</v>
      </c>
      <c r="W40">
        <v>1.78</v>
      </c>
      <c r="X40">
        <v>0.08</v>
      </c>
      <c r="Y40">
        <v>10.92</v>
      </c>
      <c r="Z40" t="s">
        <v>2971</v>
      </c>
      <c r="AA40" t="s">
        <v>2972</v>
      </c>
      <c r="AB40" t="s">
        <v>2973</v>
      </c>
      <c r="AC40" t="s">
        <v>503</v>
      </c>
      <c r="AD40" t="s">
        <v>47</v>
      </c>
      <c r="AE40">
        <v>-46769703</v>
      </c>
      <c r="AF40" t="s">
        <v>1934</v>
      </c>
      <c r="AG40" t="s">
        <v>2974</v>
      </c>
      <c r="AH40" t="s">
        <v>1935</v>
      </c>
      <c r="AI40" t="s">
        <v>2975</v>
      </c>
      <c r="AJ40" t="s">
        <v>1936</v>
      </c>
      <c r="AK40" t="s">
        <v>47</v>
      </c>
      <c r="AL40" t="s">
        <v>1937</v>
      </c>
      <c r="AM40" t="s">
        <v>47</v>
      </c>
      <c r="AN40" t="s">
        <v>2976</v>
      </c>
      <c r="AO40" t="s">
        <v>2977</v>
      </c>
      <c r="AP40" t="s">
        <v>351</v>
      </c>
      <c r="AQ40" t="s">
        <v>2978</v>
      </c>
      <c r="AR40" t="s">
        <v>47</v>
      </c>
      <c r="AS40" t="s">
        <v>2979</v>
      </c>
      <c r="AT40" t="s">
        <v>154</v>
      </c>
      <c r="AU40" t="s">
        <v>143</v>
      </c>
      <c r="AV40" t="s">
        <v>2980</v>
      </c>
      <c r="AW40" t="s">
        <v>2981</v>
      </c>
      <c r="AX40" t="s">
        <v>1367</v>
      </c>
      <c r="AY40" t="s">
        <v>949</v>
      </c>
      <c r="AZ40" t="s">
        <v>515</v>
      </c>
      <c r="BA40" t="s">
        <v>519</v>
      </c>
      <c r="BB40" t="s">
        <v>520</v>
      </c>
      <c r="BC40" t="s">
        <v>1317</v>
      </c>
      <c r="BD40" t="s">
        <v>950</v>
      </c>
      <c r="BE40" t="s">
        <v>516</v>
      </c>
      <c r="BF40" t="s">
        <v>522</v>
      </c>
      <c r="BG40" t="s">
        <v>517</v>
      </c>
      <c r="BH40" t="s">
        <v>1933</v>
      </c>
      <c r="BI40" t="s">
        <v>1379</v>
      </c>
      <c r="BJ40" t="s">
        <v>1367</v>
      </c>
      <c r="BK40" t="s">
        <v>1505</v>
      </c>
      <c r="BL40" t="s">
        <v>1388</v>
      </c>
      <c r="BM40" t="s">
        <v>1317</v>
      </c>
      <c r="BN40">
        <v>0.12</v>
      </c>
      <c r="BO40">
        <v>3.32</v>
      </c>
      <c r="BP40">
        <v>56.28</v>
      </c>
      <c r="BQ40">
        <v>2.08</v>
      </c>
      <c r="BR40">
        <v>3.94</v>
      </c>
      <c r="BS40">
        <v>59.61</v>
      </c>
      <c r="BT40" t="s">
        <v>1939</v>
      </c>
      <c r="BU40" t="s">
        <v>1079</v>
      </c>
      <c r="BV40">
        <v>13.7</v>
      </c>
      <c r="BW40">
        <v>13.13</v>
      </c>
      <c r="BX40">
        <v>61.51</v>
      </c>
      <c r="BY40">
        <v>5.61</v>
      </c>
      <c r="BZ40">
        <v>9.67</v>
      </c>
      <c r="CA40">
        <v>45.96</v>
      </c>
      <c r="CB40">
        <v>2.91</v>
      </c>
      <c r="CC40">
        <v>14.91</v>
      </c>
      <c r="CD40" t="s">
        <v>2982</v>
      </c>
      <c r="CE40" t="s">
        <v>449</v>
      </c>
      <c r="CF40" s="8">
        <v>0.40050858232676412</v>
      </c>
      <c r="CG40" s="9">
        <v>2.5568482352941175</v>
      </c>
      <c r="CH40" s="8">
        <v>4.6114291995763779E-2</v>
      </c>
      <c r="CI40" s="8">
        <v>-0.59273397922515869</v>
      </c>
      <c r="CJ40" s="8">
        <v>0.17366483807563782</v>
      </c>
      <c r="CK40" s="8">
        <v>5.6428227424621582</v>
      </c>
      <c r="CL40" s="8">
        <v>0.10036978870630264</v>
      </c>
      <c r="CM40" s="9">
        <v>-0.39109697937965393</v>
      </c>
      <c r="CN40" s="9">
        <v>-0.91534316539764404</v>
      </c>
      <c r="CO40" s="9">
        <v>6.0368210077285767E-2</v>
      </c>
      <c r="CP40" s="9">
        <v>38.365169525146484</v>
      </c>
      <c r="CQ40" s="9">
        <v>-5.5865920148789883E-3</v>
      </c>
      <c r="CR40">
        <v>6.785572567379476</v>
      </c>
      <c r="CS40">
        <v>6.3177581414178619E-2</v>
      </c>
      <c r="CT40">
        <v>0.28996013048205871</v>
      </c>
      <c r="CU40" s="8">
        <v>1.0740475364029407</v>
      </c>
      <c r="CV40" s="9">
        <v>7.4227021996863183</v>
      </c>
      <c r="CW40">
        <v>0.06</v>
      </c>
      <c r="CX40">
        <v>16.16295415590179</v>
      </c>
      <c r="CY40">
        <v>749396421.17200601</v>
      </c>
      <c r="CZ40">
        <v>1.0740475364029407</v>
      </c>
      <c r="DA40">
        <v>2.5375692634929123</v>
      </c>
      <c r="DB40">
        <v>4773252960.7201529</v>
      </c>
      <c r="DC40">
        <v>1.0203451595827937</v>
      </c>
      <c r="DD40">
        <v>0.38701349893899217</v>
      </c>
      <c r="DE40">
        <v>31297254574.340778</v>
      </c>
      <c r="DF40">
        <v>0.94516183203458781</v>
      </c>
      <c r="DG40">
        <v>4.9506483377573282E-2</v>
      </c>
      <c r="DH40">
        <v>244664116164.77319</v>
      </c>
      <c r="DI40">
        <v>0.85923802912235259</v>
      </c>
      <c r="DJ40">
        <v>5.4053389324850039E-4</v>
      </c>
      <c r="DK40">
        <v>22408326566178.016</v>
      </c>
      <c r="DL40">
        <v>0.75183327548205847</v>
      </c>
      <c r="DM40">
        <v>383000000</v>
      </c>
      <c r="DN40">
        <v>1.0740475364029407</v>
      </c>
      <c r="DO40">
        <v>12112460000.000002</v>
      </c>
      <c r="DP40">
        <v>7153558000</v>
      </c>
      <c r="DQ40">
        <v>2143</v>
      </c>
      <c r="DR40">
        <v>-0.67353895407617659</v>
      </c>
      <c r="DS40">
        <v>-4.8658539643922012</v>
      </c>
      <c r="DT40" s="10">
        <v>-8.333333333333302E-3</v>
      </c>
      <c r="DU40">
        <v>0.53666666666666663</v>
      </c>
      <c r="DV40">
        <v>0.52833333333333332</v>
      </c>
      <c r="DW40">
        <v>8.1951710261569417</v>
      </c>
      <c r="DX40">
        <v>0.37219253246753237</v>
      </c>
      <c r="DY40">
        <v>8.031655282996681</v>
      </c>
      <c r="DZ40">
        <v>673</v>
      </c>
      <c r="EA40">
        <v>8.0274862016939874</v>
      </c>
      <c r="EB40">
        <v>8</v>
      </c>
      <c r="EC40">
        <v>7.7103847771448256E-2</v>
      </c>
      <c r="ED40">
        <v>0.47538469619051554</v>
      </c>
      <c r="EE40" s="11">
        <v>2.1082000000000001</v>
      </c>
      <c r="EF40">
        <v>2.1032999999999999</v>
      </c>
      <c r="EG40">
        <v>21.162192532467532</v>
      </c>
      <c r="EH40" t="s">
        <v>1231</v>
      </c>
      <c r="EI40">
        <v>0</v>
      </c>
      <c r="EJ40">
        <v>1</v>
      </c>
      <c r="EK40" s="13">
        <v>45470</v>
      </c>
      <c r="EL40" s="14">
        <v>3.58</v>
      </c>
      <c r="EM40" s="14">
        <v>-0.92</v>
      </c>
      <c r="EN40" s="14">
        <v>-1.36</v>
      </c>
      <c r="EO40" s="14">
        <v>4.01</v>
      </c>
      <c r="EP40" s="14">
        <v>-0.49</v>
      </c>
    </row>
    <row r="41" spans="1:146" ht="96" x14ac:dyDescent="0.25">
      <c r="A41" s="7"/>
      <c r="B41" s="7"/>
      <c r="C41" s="7" t="str">
        <f>""&amp;CHAR(10)&amp;Basic_Fundamental_Information_Constructure(F41)&amp;CHAR(10)&amp;Basic_Fundamental_Information_Concatenate("")</f>
        <v xml:space="preserve">
市值72.095942亿, 利润2.61亿; PE26.86; 平均PE35.84; 平均PEG1.8, PB4.07; ROIC15.4067%; ROE16.1867%; 股利率.8292%; 毛利83.6%; 净利27.5033%; 上一年度营收增23.99%, 利润增-1.14%; 当季营收增19.49%, 利润增12.01%; 过往5年营收增19.88%, 利润增16.37%
Income profile:
</v>
      </c>
      <c r="D41" t="s">
        <v>524</v>
      </c>
      <c r="E41" t="s">
        <v>525</v>
      </c>
      <c r="F41">
        <v>18.09</v>
      </c>
      <c r="G41">
        <v>3.31</v>
      </c>
      <c r="H41" t="s">
        <v>2983</v>
      </c>
      <c r="I41">
        <v>7209594200</v>
      </c>
      <c r="J41">
        <v>26.86</v>
      </c>
      <c r="K41">
        <v>4.07</v>
      </c>
      <c r="L41" t="s">
        <v>40</v>
      </c>
      <c r="M41" t="s">
        <v>69</v>
      </c>
      <c r="N41" t="s">
        <v>1824</v>
      </c>
      <c r="O41" t="s">
        <v>53</v>
      </c>
      <c r="P41">
        <v>19.53</v>
      </c>
      <c r="Q41" t="s">
        <v>1940</v>
      </c>
      <c r="R41">
        <v>64199068</v>
      </c>
      <c r="S41" s="3">
        <v>0.1201</v>
      </c>
      <c r="T41" t="s">
        <v>696</v>
      </c>
      <c r="U41">
        <v>393642380</v>
      </c>
      <c r="V41">
        <v>398540310</v>
      </c>
      <c r="W41">
        <v>1.1100000000000001</v>
      </c>
      <c r="X41">
        <v>0.12</v>
      </c>
      <c r="Y41">
        <v>27.52</v>
      </c>
      <c r="Z41" t="s">
        <v>1497</v>
      </c>
      <c r="AA41" t="s">
        <v>2984</v>
      </c>
      <c r="AB41" t="s">
        <v>2985</v>
      </c>
      <c r="AC41" t="s">
        <v>2986</v>
      </c>
      <c r="AD41" t="s">
        <v>47</v>
      </c>
      <c r="AE41">
        <v>-3263353</v>
      </c>
      <c r="AF41" t="s">
        <v>1941</v>
      </c>
      <c r="AG41" t="s">
        <v>2987</v>
      </c>
      <c r="AH41" t="s">
        <v>1942</v>
      </c>
      <c r="AI41" t="s">
        <v>132</v>
      </c>
      <c r="AJ41" t="s">
        <v>1943</v>
      </c>
      <c r="AK41" t="s">
        <v>2988</v>
      </c>
      <c r="AL41" t="s">
        <v>1944</v>
      </c>
      <c r="AM41" t="s">
        <v>47</v>
      </c>
      <c r="AN41">
        <v>0</v>
      </c>
      <c r="AO41" t="s">
        <v>1945</v>
      </c>
      <c r="AP41" t="s">
        <v>47</v>
      </c>
      <c r="AQ41" t="s">
        <v>2989</v>
      </c>
      <c r="AR41" t="s">
        <v>1946</v>
      </c>
      <c r="AS41" t="s">
        <v>231</v>
      </c>
      <c r="AT41" t="s">
        <v>2990</v>
      </c>
      <c r="AU41" t="s">
        <v>2991</v>
      </c>
      <c r="AV41" t="s">
        <v>2992</v>
      </c>
      <c r="AW41" t="s">
        <v>2993</v>
      </c>
      <c r="AX41" t="s">
        <v>732</v>
      </c>
      <c r="AY41" t="s">
        <v>951</v>
      </c>
      <c r="AZ41" t="s">
        <v>526</v>
      </c>
      <c r="BA41" t="s">
        <v>527</v>
      </c>
      <c r="BB41" t="s">
        <v>309</v>
      </c>
      <c r="BC41" t="s">
        <v>191</v>
      </c>
      <c r="BD41" t="s">
        <v>317</v>
      </c>
      <c r="BE41" t="s">
        <v>351</v>
      </c>
      <c r="BF41" t="s">
        <v>148</v>
      </c>
      <c r="BG41" t="s">
        <v>60</v>
      </c>
      <c r="BH41" t="s">
        <v>1940</v>
      </c>
      <c r="BI41" t="s">
        <v>372</v>
      </c>
      <c r="BJ41" t="s">
        <v>732</v>
      </c>
      <c r="BK41" t="s">
        <v>696</v>
      </c>
      <c r="BL41" t="s">
        <v>1948</v>
      </c>
      <c r="BM41" t="s">
        <v>191</v>
      </c>
      <c r="BN41">
        <v>9.57</v>
      </c>
      <c r="BO41">
        <v>17.75</v>
      </c>
      <c r="BP41">
        <v>18.899999999999999</v>
      </c>
      <c r="BQ41">
        <v>10.95</v>
      </c>
      <c r="BR41">
        <v>18.420000000000002</v>
      </c>
      <c r="BS41">
        <v>19.190000000000001</v>
      </c>
      <c r="BT41" t="s">
        <v>1215</v>
      </c>
      <c r="BU41" t="s">
        <v>1075</v>
      </c>
      <c r="BV41">
        <v>83.97</v>
      </c>
      <c r="BW41">
        <v>82.45</v>
      </c>
      <c r="BX41">
        <v>84.38</v>
      </c>
      <c r="BY41">
        <v>25.06</v>
      </c>
      <c r="BZ41">
        <v>31.38</v>
      </c>
      <c r="CA41">
        <v>26.07</v>
      </c>
      <c r="CB41">
        <v>2.5499999999999998</v>
      </c>
      <c r="CC41">
        <v>-3</v>
      </c>
      <c r="CD41" t="s">
        <v>2994</v>
      </c>
      <c r="CE41" t="s">
        <v>111</v>
      </c>
      <c r="CF41" s="8">
        <v>0.19487179487179487</v>
      </c>
      <c r="CG41" s="9">
        <v>0.12006441336210896</v>
      </c>
      <c r="CH41" s="8">
        <v>0.23990498483181</v>
      </c>
      <c r="CI41" s="8">
        <v>-8.1788443028926849E-2</v>
      </c>
      <c r="CJ41" s="8">
        <v>0.25961539149284363</v>
      </c>
      <c r="CK41" s="8">
        <v>0.25951558351516724</v>
      </c>
      <c r="CL41" s="8">
        <v>0.31662869453430176</v>
      </c>
      <c r="CM41" s="9">
        <v>-1.1363636702299118E-2</v>
      </c>
      <c r="CN41" s="9">
        <v>0.10000000149011612</v>
      </c>
      <c r="CO41" s="9">
        <v>0.3333333432674408</v>
      </c>
      <c r="CP41" s="9">
        <v>0.3333333432674408</v>
      </c>
      <c r="CQ41" s="9">
        <v>6.2992125749588013E-2</v>
      </c>
      <c r="CR41">
        <v>35.838910687655343</v>
      </c>
      <c r="CS41">
        <v>1.8029866435352115</v>
      </c>
      <c r="CT41">
        <v>0.82918739635157546</v>
      </c>
      <c r="CU41" s="8">
        <v>0.19877524226903914</v>
      </c>
      <c r="CV41" s="9">
        <v>0.16365903541445731</v>
      </c>
      <c r="CW41">
        <v>0.06</v>
      </c>
      <c r="CX41">
        <v>19.207885947564911</v>
      </c>
      <c r="CY41">
        <v>295170130.407754</v>
      </c>
      <c r="CZ41">
        <v>0.19877524226903914</v>
      </c>
      <c r="DA41">
        <v>5.7313250227500463</v>
      </c>
      <c r="DB41">
        <v>989229223.17177784</v>
      </c>
      <c r="DC41">
        <v>0.18883648015558718</v>
      </c>
      <c r="DD41">
        <v>2.4866244515213278</v>
      </c>
      <c r="DE41">
        <v>2280036374.8258476</v>
      </c>
      <c r="DF41">
        <v>0.17492221319675444</v>
      </c>
      <c r="DG41">
        <v>1.2864708917636596</v>
      </c>
      <c r="DH41">
        <v>4407090930.9322901</v>
      </c>
      <c r="DI41">
        <v>0.15902019381523133</v>
      </c>
      <c r="DJ41">
        <v>0.46850512711138281</v>
      </c>
      <c r="DK41">
        <v>12101456039.459961</v>
      </c>
      <c r="DL41">
        <v>0.13914266958832738</v>
      </c>
      <c r="DM41">
        <v>261000000</v>
      </c>
      <c r="DN41">
        <v>0.19877524226903914</v>
      </c>
      <c r="DO41">
        <v>5669594200</v>
      </c>
      <c r="DP41">
        <v>1520794400</v>
      </c>
      <c r="DQ41">
        <v>2151</v>
      </c>
      <c r="DR41">
        <v>-3.9034473972442696E-3</v>
      </c>
      <c r="DS41">
        <v>-4.3594622052348347E-2</v>
      </c>
      <c r="DT41" s="10">
        <v>7.6666666666666591E-2</v>
      </c>
      <c r="DU41">
        <v>0.25</v>
      </c>
      <c r="DV41">
        <v>0.32666666666666661</v>
      </c>
      <c r="DW41">
        <v>6.4594594594594597</v>
      </c>
      <c r="DX41">
        <v>0.39555277777777631</v>
      </c>
      <c r="DY41">
        <v>6.0760647897897897</v>
      </c>
      <c r="DZ41">
        <v>1000</v>
      </c>
      <c r="EA41">
        <v>6.0611793123358195</v>
      </c>
      <c r="EB41">
        <v>6</v>
      </c>
      <c r="EC41">
        <v>5.9817286738197195E-2</v>
      </c>
      <c r="ED41">
        <v>0.36131853262220825</v>
      </c>
      <c r="EE41" s="11">
        <v>-1.0219</v>
      </c>
      <c r="EF41">
        <v>-1.0334099999999999</v>
      </c>
      <c r="EG41">
        <v>23.165552777777776</v>
      </c>
      <c r="EH41" t="s">
        <v>1039</v>
      </c>
      <c r="EI41">
        <v>0</v>
      </c>
      <c r="EJ41">
        <v>1</v>
      </c>
      <c r="EK41" s="13">
        <v>45470</v>
      </c>
      <c r="EL41" s="14">
        <v>1.21</v>
      </c>
      <c r="EM41" s="14">
        <v>-2.78</v>
      </c>
      <c r="EN41" s="14">
        <v>0</v>
      </c>
      <c r="EO41" s="14">
        <v>6.44</v>
      </c>
      <c r="EP41" s="14">
        <v>-5.53</v>
      </c>
    </row>
    <row r="42" spans="1:146" ht="192" x14ac:dyDescent="0.25">
      <c r="A42" s="7"/>
      <c r="B42" s="7"/>
      <c r="C42" s="7" t="str">
        <f>"公司的主营业务是疼痛管理、鼻腔及上气道管理细分领域用医疗器械研发、生产、销售以及相关医疗器械CXO服务，主要产品包括微电脑注药泵、无线镇痛管理系统、麻醉深度监测仪、高渗缓冲海水鼻腔护理喷雾器、弱酸性缓冲生理海水鼻腔护理喷雾器、“敏伴”复合益生菌粉固体饮料、安波澜便携多导睡眠记录系统、医疗器械设备CXO"&amp;CHAR(10)&amp;Basic_Fundamental_Information_Constructure(F42)&amp;CHAR(10)&amp;Basic_Fundamental_Information_Concatenate("鼻腔护理产品 1.26亿 38.94% 65.35% 82.95%
疼痛管理产品 1.17亿 36.25% 31.15% 42.47%
代理产品 7217.52万 22.29% 2.85% 6.33%
医疗器械设备CXO 770.76万 2.38% 0.63% 13.15%")</f>
        <v>公司的主营业务是疼痛管理、鼻腔及上气道管理细分领域用医疗器械研发、生产、销售以及相关医疗器械CXO服务，主要产品包括微电脑注药泵、无线镇痛管理系统、麻醉深度监测仪、高渗缓冲海水鼻腔护理喷雾器、弱酸性缓冲生理海水鼻腔护理喷雾器、“敏伴”复合益生菌粉固体饮料、安波澜便携多导睡眠记录系统、医疗器械设备CXO
市值13.777046亿, 利润827.74万; PE163.6; 平均PE32.36; 平均PEG3.32, PB1.98; ROIC3.895%; ROE-.78%; 股利率.5947%; 毛利59.64%; 净利-3.36%; 上一年度营收增30.25%, 利润增110.89%; 当季营收增-6.71%, 利润增11.63%; 过往5年营收增9.74%, 利润增-26.66%
Income profile:
鼻腔护理产品 1.26亿 38.94% 65.35% 82.95%
疼痛管理产品 1.17亿 36.25% 31.15% 42.47%
代理产品 7217.52万 22.29% 2.85% 6.33%
医疗器械设备CXO 770.76万 2.38% 0.63% 13.15%</v>
      </c>
      <c r="D42" t="s">
        <v>528</v>
      </c>
      <c r="E42" t="s">
        <v>529</v>
      </c>
      <c r="F42">
        <v>10.93</v>
      </c>
      <c r="G42">
        <v>4</v>
      </c>
      <c r="H42" t="s">
        <v>2995</v>
      </c>
      <c r="I42">
        <v>1377704600</v>
      </c>
      <c r="J42">
        <v>163.6</v>
      </c>
      <c r="K42">
        <v>1.98</v>
      </c>
      <c r="L42" t="s">
        <v>40</v>
      </c>
      <c r="M42" t="s">
        <v>143</v>
      </c>
      <c r="N42" t="s">
        <v>282</v>
      </c>
      <c r="O42" t="s">
        <v>1949</v>
      </c>
      <c r="P42">
        <v>-6.71</v>
      </c>
      <c r="Q42" t="s">
        <v>1506</v>
      </c>
      <c r="R42">
        <v>1356954</v>
      </c>
      <c r="S42" s="3">
        <v>0.1163</v>
      </c>
      <c r="T42" t="s">
        <v>1950</v>
      </c>
      <c r="U42">
        <v>80994937</v>
      </c>
      <c r="V42">
        <v>126048000</v>
      </c>
      <c r="W42">
        <v>1.21</v>
      </c>
      <c r="X42">
        <v>0.1</v>
      </c>
      <c r="Y42">
        <v>1.28</v>
      </c>
      <c r="Z42" t="s">
        <v>2996</v>
      </c>
      <c r="AA42" t="s">
        <v>2997</v>
      </c>
      <c r="AB42" t="s">
        <v>2998</v>
      </c>
      <c r="AC42" t="s">
        <v>2999</v>
      </c>
      <c r="AD42" t="s">
        <v>47</v>
      </c>
      <c r="AE42">
        <v>598884</v>
      </c>
      <c r="AF42" t="s">
        <v>1951</v>
      </c>
      <c r="AG42">
        <v>838.32</v>
      </c>
      <c r="AH42" t="s">
        <v>1952</v>
      </c>
      <c r="AI42" t="s">
        <v>3000</v>
      </c>
      <c r="AJ42" t="s">
        <v>1953</v>
      </c>
      <c r="AK42" t="s">
        <v>3001</v>
      </c>
      <c r="AL42" t="s">
        <v>1954</v>
      </c>
      <c r="AM42" t="s">
        <v>47</v>
      </c>
      <c r="AN42" t="s">
        <v>3002</v>
      </c>
      <c r="AO42" t="s">
        <v>3003</v>
      </c>
      <c r="AP42" t="s">
        <v>3004</v>
      </c>
      <c r="AQ42" t="s">
        <v>3005</v>
      </c>
      <c r="AR42" t="s">
        <v>47</v>
      </c>
      <c r="AS42" t="s">
        <v>396</v>
      </c>
      <c r="AT42" t="s">
        <v>47</v>
      </c>
      <c r="AU42" t="s">
        <v>3006</v>
      </c>
      <c r="AV42" t="s">
        <v>3007</v>
      </c>
      <c r="AW42" t="s">
        <v>3008</v>
      </c>
      <c r="AX42" t="s">
        <v>262</v>
      </c>
      <c r="AY42" t="s">
        <v>297</v>
      </c>
      <c r="AZ42" t="s">
        <v>530</v>
      </c>
      <c r="BA42" t="s">
        <v>532</v>
      </c>
      <c r="BB42" t="s">
        <v>533</v>
      </c>
      <c r="BC42" t="s">
        <v>1955</v>
      </c>
      <c r="BD42" t="s">
        <v>952</v>
      </c>
      <c r="BE42" t="s">
        <v>531</v>
      </c>
      <c r="BF42" t="s">
        <v>86</v>
      </c>
      <c r="BG42" t="s">
        <v>536</v>
      </c>
      <c r="BH42" t="s">
        <v>1506</v>
      </c>
      <c r="BI42" t="s">
        <v>1956</v>
      </c>
      <c r="BJ42" t="s">
        <v>262</v>
      </c>
      <c r="BK42" t="s">
        <v>1950</v>
      </c>
      <c r="BL42" t="s">
        <v>1957</v>
      </c>
      <c r="BM42" t="s">
        <v>1955</v>
      </c>
      <c r="BN42">
        <v>1.0900000000000001</v>
      </c>
      <c r="BO42" t="s">
        <v>47</v>
      </c>
      <c r="BP42">
        <v>6.7</v>
      </c>
      <c r="BQ42">
        <v>0.99</v>
      </c>
      <c r="BR42">
        <v>-10.43</v>
      </c>
      <c r="BS42">
        <v>7.1</v>
      </c>
      <c r="BT42" t="s">
        <v>1918</v>
      </c>
      <c r="BU42" t="s">
        <v>1032</v>
      </c>
      <c r="BV42">
        <v>65.55</v>
      </c>
      <c r="BW42">
        <v>49.43</v>
      </c>
      <c r="BX42">
        <v>63.94</v>
      </c>
      <c r="BY42">
        <v>2</v>
      </c>
      <c r="BZ42">
        <v>-23.64</v>
      </c>
      <c r="CA42">
        <v>11.56</v>
      </c>
      <c r="CB42">
        <v>-0.18</v>
      </c>
      <c r="CC42">
        <v>-9.7799999999999994</v>
      </c>
      <c r="CD42" t="s">
        <v>3009</v>
      </c>
      <c r="CE42" t="s">
        <v>87</v>
      </c>
      <c r="CF42" s="8">
        <v>-6.7134270667451909E-2</v>
      </c>
      <c r="CG42" s="9">
        <v>0.11628331688055281</v>
      </c>
      <c r="CH42" s="8">
        <v>0.30246913433074951</v>
      </c>
      <c r="CI42" s="8">
        <v>-0.29718005657196045</v>
      </c>
      <c r="CJ42" s="8">
        <v>4.0632054209709167E-2</v>
      </c>
      <c r="CK42" s="8">
        <v>0.16578947007656097</v>
      </c>
      <c r="CL42" s="8">
        <v>0.2751677930355072</v>
      </c>
      <c r="CM42" s="9">
        <v>1.1089400053024292</v>
      </c>
      <c r="CN42" s="9">
        <v>-2.4054031372070312</v>
      </c>
      <c r="CO42" s="9">
        <v>-0.44240427017211914</v>
      </c>
      <c r="CP42" s="9">
        <v>-4.9425490200519562E-2</v>
      </c>
      <c r="CQ42" s="9">
        <v>0.45527595281600952</v>
      </c>
      <c r="CR42">
        <v>32.364769807703901</v>
      </c>
      <c r="CS42">
        <v>3.3237015787431199</v>
      </c>
      <c r="CT42">
        <v>0.59469350411710886</v>
      </c>
      <c r="CU42" s="8">
        <v>9.7375679016113284E-2</v>
      </c>
      <c r="CV42" s="9">
        <v>-0.26660338789224625</v>
      </c>
      <c r="CW42">
        <v>0.06</v>
      </c>
      <c r="CX42">
        <v>98.223700645090105</v>
      </c>
      <c r="CY42">
        <v>8569261.7410263922</v>
      </c>
      <c r="CZ42">
        <v>9.7375679016113284E-2</v>
      </c>
      <c r="DA42">
        <v>31.898905822097696</v>
      </c>
      <c r="DB42">
        <v>26386629.20584932</v>
      </c>
      <c r="DC42">
        <v>9.2506895065307612E-2</v>
      </c>
      <c r="DD42">
        <v>15.572223293916979</v>
      </c>
      <c r="DE42">
        <v>54051665.206264891</v>
      </c>
      <c r="DF42">
        <v>8.5690597534179694E-2</v>
      </c>
      <c r="DG42">
        <v>9.2632405127102064</v>
      </c>
      <c r="DH42">
        <v>90865027.076117337</v>
      </c>
      <c r="DI42">
        <v>7.7900543212890638E-2</v>
      </c>
      <c r="DJ42">
        <v>4.6862834865544931</v>
      </c>
      <c r="DK42">
        <v>179610260.97011653</v>
      </c>
      <c r="DL42">
        <v>6.8162975311279295E-2</v>
      </c>
      <c r="DM42">
        <v>8277400</v>
      </c>
      <c r="DN42">
        <v>9.7375679016113284E-2</v>
      </c>
      <c r="DO42">
        <v>841704600</v>
      </c>
      <c r="DP42">
        <v>318139420</v>
      </c>
      <c r="DQ42">
        <v>2213</v>
      </c>
      <c r="DR42">
        <v>-0.16450994968356519</v>
      </c>
      <c r="DS42">
        <v>0.38288670477279907</v>
      </c>
      <c r="DT42" s="10">
        <v>-0.20666666666666669</v>
      </c>
      <c r="DU42">
        <v>-0.6366666666666666</v>
      </c>
      <c r="DV42">
        <v>-0.84333333333333327</v>
      </c>
      <c r="DW42">
        <v>-2.0977999999999999</v>
      </c>
      <c r="DX42">
        <v>0.45735700934579493</v>
      </c>
      <c r="DY42">
        <v>-2.0300595155140186</v>
      </c>
      <c r="DZ42">
        <v>4007</v>
      </c>
      <c r="EA42">
        <v>-2.0064883846598751</v>
      </c>
      <c r="EB42">
        <v>2</v>
      </c>
      <c r="EC42">
        <v>0.26091012947448589</v>
      </c>
      <c r="ED42">
        <v>0.84888296521959883</v>
      </c>
      <c r="EE42" s="11">
        <v>5.0248999999999997</v>
      </c>
      <c r="EF42">
        <v>5.0210999999999997</v>
      </c>
      <c r="EG42">
        <v>15.307357009345795</v>
      </c>
      <c r="EH42" t="s">
        <v>2240</v>
      </c>
      <c r="EI42">
        <v>0</v>
      </c>
      <c r="EJ42">
        <v>0</v>
      </c>
      <c r="EK42" s="13">
        <v>45470</v>
      </c>
      <c r="EL42" s="14">
        <v>-7.0000000000000007E-2</v>
      </c>
      <c r="EM42" s="14">
        <v>-4.6100000000000003</v>
      </c>
      <c r="EN42" s="14">
        <v>-2.38</v>
      </c>
      <c r="EO42" s="14">
        <v>4.32</v>
      </c>
      <c r="EP42" s="14">
        <v>-0.38</v>
      </c>
    </row>
    <row r="43" spans="1:146" ht="264" x14ac:dyDescent="0.25">
      <c r="A43" s="7" t="s">
        <v>1586</v>
      </c>
      <c r="B43" s="7" t="s">
        <v>1487</v>
      </c>
      <c r="C43" s="7" t="str">
        <f>"公司主要从事医疗器械的研发、制造、营销及服务，主要产品涵盖三大领域:生命信息与支持、体外诊断以及医学影像。"&amp;CHAR(10)&amp;Basic_Fundamental_Information_Constructure(F43)&amp;CHAR(10)&amp;Basic_Fundamental_Information_Concatenate("生命信息与支持类产品（包括内窥镜） 134.01亿 44.13% 45.63% 66.33%
体外诊断类产品 102.56亿 33.77% 31.77% 60.35%
医学影像类产品 64.64亿 21.29% 22.03% 66.40%")</f>
        <v>公司主要从事医疗器械的研发、制造、营销及服务，主要产品涵盖三大领域:生命信息与支持、体外诊断以及医学影像。
市值3466.7337亿, 利润115.82亿; PE28.48; 平均PE47.01; 平均PEG2.29, PB9.58; ROIC29.6067%; ROE31.2133%; 股利率.5246%; 毛利65.1067%; 净利32.1567%; 上一年度营收增15.04%, 利润增20.56%; 当季营收增12.06%, 利润增22.91%; 过往5年营收增20.55%, 利润增25.78%
Income profile:
生命信息与支持类产品（包括内窥镜） 134.01亿 44.13% 45.63% 66.33%
体外诊断类产品 102.56亿 33.77% 31.77% 60.35%
医学影像类产品 64.64亿 21.29% 22.03% 66.40%</v>
      </c>
      <c r="D43" t="s">
        <v>537</v>
      </c>
      <c r="E43" t="s">
        <v>538</v>
      </c>
      <c r="F43">
        <v>285.93</v>
      </c>
      <c r="G43">
        <v>0.68</v>
      </c>
      <c r="H43" t="s">
        <v>3010</v>
      </c>
      <c r="I43">
        <v>346673370000</v>
      </c>
      <c r="J43">
        <v>28.48</v>
      </c>
      <c r="K43">
        <v>9.58</v>
      </c>
      <c r="L43" t="s">
        <v>40</v>
      </c>
      <c r="M43" t="s">
        <v>1958</v>
      </c>
      <c r="N43" t="s">
        <v>3011</v>
      </c>
      <c r="O43" t="s">
        <v>1959</v>
      </c>
      <c r="P43">
        <v>12.06</v>
      </c>
      <c r="Q43" t="s">
        <v>1960</v>
      </c>
      <c r="R43">
        <v>3159898700</v>
      </c>
      <c r="S43" s="3">
        <v>0.22900000000000001</v>
      </c>
      <c r="T43" t="s">
        <v>1961</v>
      </c>
      <c r="U43">
        <v>1212440420</v>
      </c>
      <c r="V43">
        <v>1212441390</v>
      </c>
      <c r="W43">
        <v>1.4</v>
      </c>
      <c r="X43">
        <v>0.19</v>
      </c>
      <c r="Y43">
        <v>33.729999999999997</v>
      </c>
      <c r="Z43" t="s">
        <v>3012</v>
      </c>
      <c r="AA43" t="s">
        <v>3013</v>
      </c>
      <c r="AB43" t="s">
        <v>3014</v>
      </c>
      <c r="AC43" t="s">
        <v>1478</v>
      </c>
      <c r="AD43" t="s">
        <v>47</v>
      </c>
      <c r="AE43">
        <v>-123736173</v>
      </c>
      <c r="AF43" t="s">
        <v>1962</v>
      </c>
      <c r="AG43" t="s">
        <v>3015</v>
      </c>
      <c r="AH43" t="s">
        <v>1963</v>
      </c>
      <c r="AI43" t="s">
        <v>3016</v>
      </c>
      <c r="AJ43" t="s">
        <v>1964</v>
      </c>
      <c r="AK43" t="s">
        <v>3017</v>
      </c>
      <c r="AL43" t="s">
        <v>1965</v>
      </c>
      <c r="AM43" t="s">
        <v>47</v>
      </c>
      <c r="AN43" t="s">
        <v>3018</v>
      </c>
      <c r="AO43" t="s">
        <v>3019</v>
      </c>
      <c r="AP43" t="s">
        <v>47</v>
      </c>
      <c r="AQ43" t="s">
        <v>3020</v>
      </c>
      <c r="AR43" t="s">
        <v>3021</v>
      </c>
      <c r="AS43" t="s">
        <v>3022</v>
      </c>
      <c r="AT43" t="s">
        <v>3023</v>
      </c>
      <c r="AU43" t="s">
        <v>3024</v>
      </c>
      <c r="AV43" t="s">
        <v>3025</v>
      </c>
      <c r="AW43" t="s">
        <v>3026</v>
      </c>
      <c r="AX43" t="s">
        <v>1368</v>
      </c>
      <c r="AY43" t="s">
        <v>953</v>
      </c>
      <c r="AZ43" t="s">
        <v>539</v>
      </c>
      <c r="BA43" t="s">
        <v>541</v>
      </c>
      <c r="BB43" t="s">
        <v>542</v>
      </c>
      <c r="BC43" t="s">
        <v>1369</v>
      </c>
      <c r="BD43" t="s">
        <v>954</v>
      </c>
      <c r="BE43" t="s">
        <v>540</v>
      </c>
      <c r="BF43" t="s">
        <v>543</v>
      </c>
      <c r="BG43" t="s">
        <v>544</v>
      </c>
      <c r="BH43" t="s">
        <v>1960</v>
      </c>
      <c r="BI43" t="s">
        <v>1966</v>
      </c>
      <c r="BJ43" t="s">
        <v>1368</v>
      </c>
      <c r="BK43" t="s">
        <v>1961</v>
      </c>
      <c r="BL43" t="s">
        <v>1967</v>
      </c>
      <c r="BM43" t="s">
        <v>1369</v>
      </c>
      <c r="BN43">
        <v>26.96</v>
      </c>
      <c r="BO43">
        <v>31.47</v>
      </c>
      <c r="BP43">
        <v>30.39</v>
      </c>
      <c r="BQ43">
        <v>28.34</v>
      </c>
      <c r="BR43">
        <v>33.380000000000003</v>
      </c>
      <c r="BS43">
        <v>31.92</v>
      </c>
      <c r="BT43" t="s">
        <v>1968</v>
      </c>
      <c r="BU43" t="s">
        <v>1032</v>
      </c>
      <c r="BV43">
        <v>66.16</v>
      </c>
      <c r="BW43">
        <v>64.150000000000006</v>
      </c>
      <c r="BX43">
        <v>65.010000000000005</v>
      </c>
      <c r="BY43">
        <v>33.15</v>
      </c>
      <c r="BZ43">
        <v>31.65</v>
      </c>
      <c r="CA43">
        <v>31.67</v>
      </c>
      <c r="CB43">
        <v>-1.71</v>
      </c>
      <c r="CC43">
        <v>-7.32</v>
      </c>
      <c r="CD43" t="s">
        <v>3027</v>
      </c>
      <c r="CE43" t="s">
        <v>3028</v>
      </c>
      <c r="CF43" s="8">
        <v>0.12063605930176949</v>
      </c>
      <c r="CG43" s="9">
        <v>0.22905433683391677</v>
      </c>
      <c r="CH43" s="8">
        <v>0.15036553144454956</v>
      </c>
      <c r="CI43" s="8">
        <v>0.20166203379631042</v>
      </c>
      <c r="CJ43" s="8">
        <v>0.20184525847434998</v>
      </c>
      <c r="CK43" s="8">
        <v>0.26999279856681824</v>
      </c>
      <c r="CL43" s="8">
        <v>0.20381009578704834</v>
      </c>
      <c r="CM43" s="9">
        <v>0.20557926595211029</v>
      </c>
      <c r="CN43" s="9">
        <v>0.20057488977909088</v>
      </c>
      <c r="CO43" s="9">
        <v>0.20186242461204529</v>
      </c>
      <c r="CP43" s="9">
        <v>0.42234563827514648</v>
      </c>
      <c r="CQ43" s="9">
        <v>0.25867164134979248</v>
      </c>
      <c r="CR43">
        <v>47.007620963185609</v>
      </c>
      <c r="CS43">
        <v>2.2870843465830499</v>
      </c>
      <c r="CT43">
        <v>0.52460392403735179</v>
      </c>
      <c r="CU43" s="8">
        <v>0.20553514361381531</v>
      </c>
      <c r="CV43" s="9">
        <v>0.25780677199363711</v>
      </c>
      <c r="CW43">
        <v>0.06</v>
      </c>
      <c r="CX43">
        <v>24.660795279610742</v>
      </c>
      <c r="CY43">
        <v>13172177389.938877</v>
      </c>
      <c r="CZ43">
        <v>0.20553514361381531</v>
      </c>
      <c r="DA43">
        <v>7.317497898254933</v>
      </c>
      <c r="DB43">
        <v>44391727133.596657</v>
      </c>
      <c r="DC43">
        <v>0.19525838643312454</v>
      </c>
      <c r="DD43">
        <v>3.149438754337611</v>
      </c>
      <c r="DE43">
        <v>103141034113.65416</v>
      </c>
      <c r="DF43">
        <v>0.18087092638015748</v>
      </c>
      <c r="DG43">
        <v>1.6134042322433024</v>
      </c>
      <c r="DH43">
        <v>201336009605.19513</v>
      </c>
      <c r="DI43">
        <v>0.16442811489105225</v>
      </c>
      <c r="DJ43">
        <v>0.57345736961343163</v>
      </c>
      <c r="DK43">
        <v>566452516285.51331</v>
      </c>
      <c r="DL43">
        <v>0.14387460052967072</v>
      </c>
      <c r="DM43">
        <v>11582000000</v>
      </c>
      <c r="DN43">
        <v>0.20553514361381531</v>
      </c>
      <c r="DO43">
        <v>324836370000</v>
      </c>
      <c r="DP43">
        <v>18676715000</v>
      </c>
      <c r="DQ43">
        <v>2219</v>
      </c>
      <c r="DR43">
        <v>-8.4899084312045819E-2</v>
      </c>
      <c r="DS43">
        <v>-2.8752435159720341E-2</v>
      </c>
      <c r="DT43" s="10">
        <v>0.22666666666666657</v>
      </c>
      <c r="DU43">
        <v>0.8866666666666666</v>
      </c>
      <c r="DV43">
        <v>1.1133333333333333</v>
      </c>
      <c r="DW43">
        <v>-2.0731999999999999</v>
      </c>
      <c r="DX43">
        <v>0.40110342441281377</v>
      </c>
      <c r="DY43">
        <v>-2.0095967706670179</v>
      </c>
      <c r="DZ43">
        <v>835</v>
      </c>
      <c r="EA43">
        <v>-2.0080286095110571</v>
      </c>
      <c r="EB43">
        <v>2</v>
      </c>
      <c r="EC43">
        <v>9.9702139004014048E-3</v>
      </c>
      <c r="ED43">
        <v>7.6048459546568262E-2</v>
      </c>
      <c r="EE43" s="11">
        <v>4.3610000000000003E-2</v>
      </c>
      <c r="EF43">
        <v>7.8209999999999988E-2</v>
      </c>
      <c r="EG43">
        <v>27.131103424412814</v>
      </c>
      <c r="EH43">
        <v>-1</v>
      </c>
      <c r="EI43">
        <v>0</v>
      </c>
      <c r="EJ43">
        <v>1</v>
      </c>
      <c r="EK43" s="13">
        <v>45470</v>
      </c>
      <c r="EL43" s="14">
        <v>1.28</v>
      </c>
      <c r="EM43" s="14">
        <v>-2.64</v>
      </c>
      <c r="EN43" s="14">
        <v>-2.29</v>
      </c>
      <c r="EO43" s="14">
        <v>2.82</v>
      </c>
      <c r="EP43" s="14">
        <v>-3.46</v>
      </c>
    </row>
    <row r="44" spans="1:146" ht="96" x14ac:dyDescent="0.25">
      <c r="A44" s="7"/>
      <c r="B44" s="7"/>
      <c r="C44" s="7" t="str">
        <f>""&amp;CHAR(10)&amp;Basic_Fundamental_Information_Constructure(F44)&amp;CHAR(10)&amp;Basic_Fundamental_Information_Concatenate("")</f>
        <v xml:space="preserve">
市值495.39569亿, 利润3.66亿; PE28.72; 平均PE58.58; 平均PEG9.59, PB6.22; ROIC19.3033%; ROE19.3733%; 股利率1.586%; 毛利71.4567%; 净利41.3033%; 上一年度营收增-57.17%, 利润增-72.44%; 当季营收增209.39%, 利润增327.69%; 过往5年营收增6.11%, 利润增.1%
Income profile:
</v>
      </c>
      <c r="D44" t="s">
        <v>545</v>
      </c>
      <c r="E44" t="s">
        <v>546</v>
      </c>
      <c r="F44">
        <v>63.05</v>
      </c>
      <c r="G44">
        <v>3.29</v>
      </c>
      <c r="H44" t="s">
        <v>3029</v>
      </c>
      <c r="I44">
        <v>49539569000</v>
      </c>
      <c r="J44">
        <v>28.72</v>
      </c>
      <c r="K44">
        <v>6.22</v>
      </c>
      <c r="L44" t="s">
        <v>40</v>
      </c>
      <c r="M44" t="s">
        <v>1338</v>
      </c>
      <c r="N44" t="s">
        <v>3030</v>
      </c>
      <c r="O44" t="s">
        <v>1969</v>
      </c>
      <c r="P44">
        <v>16.62</v>
      </c>
      <c r="Q44" t="s">
        <v>3031</v>
      </c>
      <c r="R44">
        <v>426221040</v>
      </c>
      <c r="S44" s="3">
        <v>0.20039999999999999</v>
      </c>
      <c r="T44" t="s">
        <v>475</v>
      </c>
      <c r="U44">
        <v>698373140</v>
      </c>
      <c r="V44">
        <v>785718790</v>
      </c>
      <c r="W44">
        <v>1.08</v>
      </c>
      <c r="X44">
        <v>0.12</v>
      </c>
      <c r="Y44">
        <v>41.73</v>
      </c>
      <c r="Z44" t="s">
        <v>3032</v>
      </c>
      <c r="AA44" t="s">
        <v>279</v>
      </c>
      <c r="AB44" t="s">
        <v>362</v>
      </c>
      <c r="AC44" t="s">
        <v>3033</v>
      </c>
      <c r="AD44" t="s">
        <v>47</v>
      </c>
      <c r="AE44">
        <v>-2969930</v>
      </c>
      <c r="AF44" t="s">
        <v>1972</v>
      </c>
      <c r="AG44" t="s">
        <v>3034</v>
      </c>
      <c r="AH44" t="s">
        <v>1973</v>
      </c>
      <c r="AI44" t="s">
        <v>3035</v>
      </c>
      <c r="AJ44" t="s">
        <v>1975</v>
      </c>
      <c r="AK44" t="s">
        <v>3036</v>
      </c>
      <c r="AL44" t="s">
        <v>1976</v>
      </c>
      <c r="AM44" t="s">
        <v>47</v>
      </c>
      <c r="AN44" t="s">
        <v>316</v>
      </c>
      <c r="AO44" t="s">
        <v>47</v>
      </c>
      <c r="AP44" t="s">
        <v>47</v>
      </c>
      <c r="AQ44" t="s">
        <v>549</v>
      </c>
      <c r="AR44" t="s">
        <v>47</v>
      </c>
      <c r="AS44" t="s">
        <v>1545</v>
      </c>
      <c r="AT44" t="s">
        <v>47</v>
      </c>
      <c r="AU44" t="s">
        <v>512</v>
      </c>
      <c r="AV44" t="s">
        <v>2011</v>
      </c>
      <c r="AW44" t="s">
        <v>3037</v>
      </c>
      <c r="AX44" t="s">
        <v>1370</v>
      </c>
      <c r="AY44" t="s">
        <v>955</v>
      </c>
      <c r="AZ44" t="s">
        <v>547</v>
      </c>
      <c r="BA44" t="s">
        <v>551</v>
      </c>
      <c r="BB44" t="s">
        <v>382</v>
      </c>
      <c r="BC44" t="s">
        <v>266</v>
      </c>
      <c r="BD44" t="s">
        <v>956</v>
      </c>
      <c r="BE44" t="s">
        <v>548</v>
      </c>
      <c r="BF44" t="s">
        <v>523</v>
      </c>
      <c r="BG44" t="s">
        <v>401</v>
      </c>
      <c r="BH44" t="s">
        <v>1970</v>
      </c>
      <c r="BI44" t="s">
        <v>325</v>
      </c>
      <c r="BJ44" t="s">
        <v>1370</v>
      </c>
      <c r="BK44" t="s">
        <v>1971</v>
      </c>
      <c r="BL44" t="s">
        <v>3038</v>
      </c>
      <c r="BM44" t="s">
        <v>266</v>
      </c>
      <c r="BN44">
        <v>17.239999999999998</v>
      </c>
      <c r="BO44">
        <v>22.03</v>
      </c>
      <c r="BP44">
        <v>18.64</v>
      </c>
      <c r="BQ44">
        <v>17.38</v>
      </c>
      <c r="BR44">
        <v>21.89</v>
      </c>
      <c r="BS44">
        <v>18.850000000000001</v>
      </c>
      <c r="BT44" t="s">
        <v>1977</v>
      </c>
      <c r="BU44" t="s">
        <v>1075</v>
      </c>
      <c r="BV44">
        <v>72.959999999999994</v>
      </c>
      <c r="BW44">
        <v>70.260000000000005</v>
      </c>
      <c r="BX44">
        <v>71.150000000000006</v>
      </c>
      <c r="BY44">
        <v>42.08</v>
      </c>
      <c r="BZ44">
        <v>43.58</v>
      </c>
      <c r="CA44">
        <v>38.25</v>
      </c>
      <c r="CB44">
        <v>-6.51</v>
      </c>
      <c r="CC44">
        <v>-15.24</v>
      </c>
      <c r="CD44" t="s">
        <v>3039</v>
      </c>
      <c r="CE44" t="s">
        <v>180</v>
      </c>
      <c r="CF44" s="8">
        <v>2.0939393939393942</v>
      </c>
      <c r="CG44" s="9">
        <v>3.2769487654457254</v>
      </c>
      <c r="CH44" s="8">
        <v>-0.57170993089675903</v>
      </c>
      <c r="CI44" s="8">
        <v>0.19724956154823303</v>
      </c>
      <c r="CJ44" s="8">
        <v>0.15945324301719666</v>
      </c>
      <c r="CK44" s="8">
        <v>0.30499410629272461</v>
      </c>
      <c r="CL44" s="8">
        <v>0.21531791985034943</v>
      </c>
      <c r="CM44" s="9">
        <v>-0.72439759969711304</v>
      </c>
      <c r="CN44" s="9">
        <v>0.36344969272613525</v>
      </c>
      <c r="CO44" s="9">
        <v>3.7273693829774857E-2</v>
      </c>
      <c r="CP44" s="9">
        <v>0.21474774181842804</v>
      </c>
      <c r="CQ44" s="9">
        <v>0.11383285373449326</v>
      </c>
      <c r="CR44">
        <v>58.580491525423732</v>
      </c>
      <c r="CS44">
        <v>9.5937686492331586</v>
      </c>
      <c r="CT44">
        <v>1.5860428231562254</v>
      </c>
      <c r="CU44" s="8">
        <v>6.1060979962348938E-2</v>
      </c>
      <c r="CV44" s="9">
        <v>9.8127648234367379E-4</v>
      </c>
      <c r="CW44">
        <v>0.06</v>
      </c>
      <c r="CX44">
        <v>115.32874223280587</v>
      </c>
      <c r="CY44">
        <v>366366338.36435819</v>
      </c>
      <c r="CZ44">
        <v>6.1060979962348938E-2</v>
      </c>
      <c r="DA44">
        <v>38.626392686522728</v>
      </c>
      <c r="DB44">
        <v>1093878202.4743018</v>
      </c>
      <c r="DC44">
        <v>5.8007930964231486E-2</v>
      </c>
      <c r="DD44">
        <v>19.643146586474934</v>
      </c>
      <c r="DE44">
        <v>2151008180.5881615</v>
      </c>
      <c r="DF44">
        <v>5.3733662366867066E-2</v>
      </c>
      <c r="DG44">
        <v>12.230187316986807</v>
      </c>
      <c r="DH44">
        <v>3454776930.6292119</v>
      </c>
      <c r="DI44">
        <v>4.8848783969879156E-2</v>
      </c>
      <c r="DJ44">
        <v>6.8273145939109581</v>
      </c>
      <c r="DK44">
        <v>6188753779.9537725</v>
      </c>
      <c r="DL44">
        <v>4.2742685973644251E-2</v>
      </c>
      <c r="DM44">
        <v>366000000</v>
      </c>
      <c r="DN44">
        <v>6.1060979962348938E-2</v>
      </c>
      <c r="DO44">
        <v>42252569000</v>
      </c>
      <c r="DP44">
        <v>4589510600</v>
      </c>
      <c r="DQ44">
        <v>2289</v>
      </c>
      <c r="DR44">
        <v>2.0328784139770453</v>
      </c>
      <c r="DS44">
        <v>3.2759674889633819</v>
      </c>
      <c r="DT44" s="10">
        <v>-0.10666666666666676</v>
      </c>
      <c r="DU44">
        <v>-6.6666666666666652E-2</v>
      </c>
      <c r="DV44">
        <v>-0.17333333333333339</v>
      </c>
      <c r="DW44">
        <v>-9.4271653543307092</v>
      </c>
      <c r="DX44">
        <v>0.36800661157024878</v>
      </c>
      <c r="DY44">
        <v>-9.0717666037613061</v>
      </c>
      <c r="DZ44">
        <v>3042</v>
      </c>
      <c r="EA44">
        <v>-9.0290437057883324</v>
      </c>
      <c r="EB44">
        <v>9</v>
      </c>
      <c r="EC44">
        <v>2.5872869859711514E-2</v>
      </c>
      <c r="ED44">
        <v>0.15399911716506104</v>
      </c>
      <c r="EE44" s="11">
        <v>-1.0418000000000001</v>
      </c>
      <c r="EF44">
        <v>-1.0155000000000001</v>
      </c>
      <c r="EG44">
        <v>20.168006611570249</v>
      </c>
      <c r="EH44" t="s">
        <v>1040</v>
      </c>
      <c r="EI44">
        <v>0</v>
      </c>
      <c r="EJ44">
        <v>0</v>
      </c>
      <c r="EK44" s="13">
        <v>45470</v>
      </c>
      <c r="EL44" s="14">
        <v>-6.61</v>
      </c>
      <c r="EM44" s="14">
        <v>-4.0199999999999996</v>
      </c>
      <c r="EN44" s="14">
        <v>-4.46</v>
      </c>
      <c r="EO44" s="14">
        <v>5.05</v>
      </c>
      <c r="EP44" s="14">
        <v>-2.63</v>
      </c>
    </row>
    <row r="45" spans="1:146" ht="96" x14ac:dyDescent="0.25">
      <c r="A45" s="7"/>
      <c r="B45" s="7"/>
      <c r="C45" s="7" t="str">
        <f>""&amp;CHAR(10)&amp;Basic_Fundamental_Information_Constructure(F45)&amp;CHAR(10)&amp;Basic_Fundamental_Information_Concatenate("")</f>
        <v xml:space="preserve">
市值52.595982亿, 利润1.96亿; PE79850; 平均PE21.14; 平均PEG.21, PB2.6; ROIC7.5767%; ROE13.7167%; 股利率2.2918%; 毛利51.38%; 净利29.5033%; 上一年度营收增303.09%, 利润增0%; 当季营收增-80.89%, 利润增151.79%; 过往5年营收增102.99%, 利润增132.58%
Income profile:
</v>
      </c>
      <c r="D45" t="s">
        <v>552</v>
      </c>
      <c r="E45" t="s">
        <v>553</v>
      </c>
      <c r="F45">
        <v>13.09</v>
      </c>
      <c r="G45">
        <v>4.97</v>
      </c>
      <c r="H45" t="s">
        <v>3040</v>
      </c>
      <c r="I45">
        <v>5259598200</v>
      </c>
      <c r="J45">
        <v>79850</v>
      </c>
      <c r="K45">
        <v>2.6</v>
      </c>
      <c r="L45" t="s">
        <v>40</v>
      </c>
      <c r="M45" t="s">
        <v>1179</v>
      </c>
      <c r="N45" t="s">
        <v>3041</v>
      </c>
      <c r="O45" t="s">
        <v>1978</v>
      </c>
      <c r="P45">
        <v>-73.099999999999994</v>
      </c>
      <c r="Q45" t="s">
        <v>3042</v>
      </c>
      <c r="R45">
        <v>4351935</v>
      </c>
      <c r="S45" s="3">
        <v>-0.97440000000000004</v>
      </c>
      <c r="T45" t="s">
        <v>765</v>
      </c>
      <c r="U45">
        <v>251569030</v>
      </c>
      <c r="V45">
        <v>401802770</v>
      </c>
      <c r="W45">
        <v>1.51</v>
      </c>
      <c r="X45">
        <v>0.03</v>
      </c>
      <c r="Y45">
        <v>4.3899999999999997</v>
      </c>
      <c r="Z45" t="s">
        <v>86</v>
      </c>
      <c r="AA45" t="s">
        <v>3043</v>
      </c>
      <c r="AB45" t="s">
        <v>3044</v>
      </c>
      <c r="AC45" t="s">
        <v>3045</v>
      </c>
      <c r="AD45" t="s">
        <v>47</v>
      </c>
      <c r="AE45">
        <v>-4926415</v>
      </c>
      <c r="AF45" t="s">
        <v>1980</v>
      </c>
      <c r="AG45" t="s">
        <v>3046</v>
      </c>
      <c r="AH45" t="s">
        <v>1981</v>
      </c>
      <c r="AI45" t="s">
        <v>101</v>
      </c>
      <c r="AJ45" t="s">
        <v>1982</v>
      </c>
      <c r="AK45" t="s">
        <v>47</v>
      </c>
      <c r="AL45" t="s">
        <v>1983</v>
      </c>
      <c r="AM45" t="s">
        <v>47</v>
      </c>
      <c r="AN45" t="s">
        <v>3047</v>
      </c>
      <c r="AO45" t="s">
        <v>914</v>
      </c>
      <c r="AP45" t="s">
        <v>47</v>
      </c>
      <c r="AQ45" t="s">
        <v>3048</v>
      </c>
      <c r="AR45" t="s">
        <v>47</v>
      </c>
      <c r="AS45" t="s">
        <v>691</v>
      </c>
      <c r="AT45" t="s">
        <v>47</v>
      </c>
      <c r="AU45" t="s">
        <v>3049</v>
      </c>
      <c r="AV45" t="s">
        <v>508</v>
      </c>
      <c r="AW45" t="s">
        <v>3050</v>
      </c>
      <c r="AX45" t="s">
        <v>1146</v>
      </c>
      <c r="AY45" t="s">
        <v>902</v>
      </c>
      <c r="AZ45" t="s">
        <v>554</v>
      </c>
      <c r="BA45" t="s">
        <v>269</v>
      </c>
      <c r="BB45" t="s">
        <v>441</v>
      </c>
      <c r="BC45" t="s">
        <v>765</v>
      </c>
      <c r="BD45" t="s">
        <v>957</v>
      </c>
      <c r="BE45" t="s">
        <v>555</v>
      </c>
      <c r="BF45" t="s">
        <v>556</v>
      </c>
      <c r="BG45" t="s">
        <v>557</v>
      </c>
      <c r="BH45" t="s">
        <v>1979</v>
      </c>
      <c r="BI45" t="s">
        <v>3051</v>
      </c>
      <c r="BJ45" t="s">
        <v>1146</v>
      </c>
      <c r="BK45" t="s">
        <v>1509</v>
      </c>
      <c r="BL45" t="s">
        <v>3052</v>
      </c>
      <c r="BM45" t="s">
        <v>765</v>
      </c>
      <c r="BN45">
        <v>4.9000000000000004</v>
      </c>
      <c r="BO45">
        <v>4.51</v>
      </c>
      <c r="BP45">
        <v>13.32</v>
      </c>
      <c r="BQ45">
        <v>9.7100000000000009</v>
      </c>
      <c r="BR45">
        <v>10.54</v>
      </c>
      <c r="BS45">
        <v>20.9</v>
      </c>
      <c r="BT45" t="s">
        <v>1209</v>
      </c>
      <c r="BU45" t="s">
        <v>1032</v>
      </c>
      <c r="BV45">
        <v>57.58</v>
      </c>
      <c r="BW45">
        <v>47.48</v>
      </c>
      <c r="BX45">
        <v>49.08</v>
      </c>
      <c r="BY45">
        <v>22.19</v>
      </c>
      <c r="BZ45">
        <v>27.55</v>
      </c>
      <c r="CA45">
        <v>38.770000000000003</v>
      </c>
      <c r="CB45">
        <v>0.15</v>
      </c>
      <c r="CC45">
        <v>-13.82</v>
      </c>
      <c r="CD45" t="s">
        <v>3053</v>
      </c>
      <c r="CE45" t="s">
        <v>3054</v>
      </c>
      <c r="CF45" s="8">
        <v>-0.80891098265895955</v>
      </c>
      <c r="CG45" s="9">
        <v>1.5178980560055542</v>
      </c>
      <c r="CH45" s="8">
        <v>3.0308990478515625</v>
      </c>
      <c r="CI45" s="8">
        <v>-0.21672166883945465</v>
      </c>
      <c r="CJ45" s="8">
        <v>-0.35117769241333008</v>
      </c>
      <c r="CK45" s="8">
        <v>2.620154857635498</v>
      </c>
      <c r="CL45" s="8">
        <v>6.6115699708461761E-2</v>
      </c>
      <c r="CM45" s="9">
        <v>0</v>
      </c>
      <c r="CN45" s="9">
        <v>-0.44318181276321411</v>
      </c>
      <c r="CO45" s="9">
        <v>-0.42577487230300903</v>
      </c>
      <c r="CP45" s="9">
        <v>7.308349609375</v>
      </c>
      <c r="CQ45" s="9">
        <v>0.18942464888095856</v>
      </c>
      <c r="CR45">
        <v>21.139691382479324</v>
      </c>
      <c r="CS45">
        <v>0.20526880879233969</v>
      </c>
      <c r="CT45">
        <v>2.2918258212375862</v>
      </c>
      <c r="CU45" s="8">
        <v>1.0298540487885475</v>
      </c>
      <c r="CV45" s="9">
        <v>1.3257635146379472</v>
      </c>
      <c r="CW45">
        <v>0.06</v>
      </c>
      <c r="CX45">
        <v>11.663284751748392</v>
      </c>
      <c r="CY45">
        <v>375331503.36090124</v>
      </c>
      <c r="CZ45">
        <v>1.0298540487885475</v>
      </c>
      <c r="DA45">
        <v>1.8846191323955308</v>
      </c>
      <c r="DB45">
        <v>2322802588.996141</v>
      </c>
      <c r="DC45">
        <v>0.97836134634912009</v>
      </c>
      <c r="DD45">
        <v>0.30203923770619112</v>
      </c>
      <c r="DE45">
        <v>14493475196.286623</v>
      </c>
      <c r="DF45">
        <v>0.90627156293392175</v>
      </c>
      <c r="DG45">
        <v>4.1305854078101584E-2</v>
      </c>
      <c r="DH45">
        <v>105980091628.72621</v>
      </c>
      <c r="DI45">
        <v>0.82388323903083804</v>
      </c>
      <c r="DJ45">
        <v>5.3015328105250202E-4</v>
      </c>
      <c r="DK45">
        <v>8257231175310.7461</v>
      </c>
      <c r="DL45">
        <v>0.72089783415198316</v>
      </c>
      <c r="DM45">
        <v>196000000</v>
      </c>
      <c r="DN45">
        <v>1.0298540487885475</v>
      </c>
      <c r="DO45">
        <v>4377598200</v>
      </c>
      <c r="DP45">
        <v>1816686400</v>
      </c>
      <c r="DQ45">
        <v>2326</v>
      </c>
      <c r="DR45">
        <v>-1.838765031447507</v>
      </c>
      <c r="DS45">
        <v>0.19213454136760699</v>
      </c>
      <c r="DT45" s="10">
        <v>-1.6666666666667036E-3</v>
      </c>
      <c r="DU45">
        <v>0.67833333333333323</v>
      </c>
      <c r="DV45">
        <v>0.67666666666666653</v>
      </c>
      <c r="DW45">
        <v>-2.1381999999999999</v>
      </c>
      <c r="DX45">
        <v>0.52921913026548317</v>
      </c>
      <c r="DY45">
        <v>-2.0275320838026896</v>
      </c>
      <c r="DZ45">
        <v>3746</v>
      </c>
      <c r="EA45">
        <v>-2.0073490728584868</v>
      </c>
      <c r="EB45">
        <v>2</v>
      </c>
      <c r="EC45">
        <v>2.8521953693848353E-2</v>
      </c>
      <c r="ED45">
        <v>0.14316874918507905</v>
      </c>
      <c r="EE45" s="11">
        <v>-2.0053100000000001</v>
      </c>
      <c r="EF45">
        <v>-2.0352999999999999</v>
      </c>
      <c r="EG45">
        <v>33.199219130265483</v>
      </c>
      <c r="EH45" t="s">
        <v>1336</v>
      </c>
      <c r="EI45">
        <v>0</v>
      </c>
      <c r="EJ45">
        <v>0</v>
      </c>
      <c r="EK45" s="13">
        <v>45470</v>
      </c>
      <c r="EL45" s="14">
        <v>-20.010000000000002</v>
      </c>
      <c r="EM45" s="14">
        <v>-8.7799999999999994</v>
      </c>
      <c r="EN45" s="14">
        <v>-2.66</v>
      </c>
      <c r="EO45" s="14">
        <v>2.21</v>
      </c>
      <c r="EP45" s="14">
        <v>4.0599999999999996</v>
      </c>
    </row>
    <row r="46" spans="1:146" ht="96" x14ac:dyDescent="0.25">
      <c r="C46" s="7" t="str">
        <f>""&amp;CHAR(10)&amp;Basic_Fundamental_Information_Constructure(F46)&amp;CHAR(10)&amp;Basic_Fundamental_Information_Concatenate("")</f>
        <v xml:space="preserve">
市值24.252347亿, 利润7645.53万; PE; 平均PE23.17; 平均PEG.83, PB3.14; ROIC19.825%; ROE9.1167%; 股利率0%; 毛利59.3567%; 净利-7.0667%; 上一年度营收增-32.02%, 利润增-7.85%; 当季营收增-63.89%, 利润增-119.7%; 过往5年营收增27.84%, 利润增37.01%
Income profile:
</v>
      </c>
      <c r="D46" t="s">
        <v>1372</v>
      </c>
      <c r="E46" t="s">
        <v>1373</v>
      </c>
      <c r="F46">
        <v>6.05</v>
      </c>
      <c r="G46">
        <v>4.67</v>
      </c>
      <c r="H46" t="s">
        <v>3055</v>
      </c>
      <c r="I46">
        <v>2425234700</v>
      </c>
      <c r="K46">
        <v>3.14</v>
      </c>
      <c r="L46" t="s">
        <v>40</v>
      </c>
      <c r="M46" t="s">
        <v>1556</v>
      </c>
      <c r="N46" t="s">
        <v>3056</v>
      </c>
      <c r="O46" t="s">
        <v>1985</v>
      </c>
      <c r="P46" s="3">
        <v>-39.92</v>
      </c>
      <c r="Q46" t="s">
        <v>1577</v>
      </c>
      <c r="R46">
        <v>-7111078</v>
      </c>
      <c r="S46">
        <v>0.74660000000000004</v>
      </c>
      <c r="T46" t="s">
        <v>3057</v>
      </c>
      <c r="U46">
        <v>329531600</v>
      </c>
      <c r="V46">
        <v>400865230</v>
      </c>
      <c r="W46">
        <v>1.66</v>
      </c>
      <c r="X46">
        <v>0.03</v>
      </c>
      <c r="Y46">
        <v>-19.940000000000001</v>
      </c>
      <c r="Z46" t="s">
        <v>3058</v>
      </c>
      <c r="AA46" t="s">
        <v>3059</v>
      </c>
      <c r="AB46" t="s">
        <v>3060</v>
      </c>
      <c r="AC46" t="s">
        <v>3061</v>
      </c>
      <c r="AD46" t="s">
        <v>47</v>
      </c>
      <c r="AE46">
        <v>2245666</v>
      </c>
      <c r="AF46" t="s">
        <v>1987</v>
      </c>
      <c r="AG46" t="s">
        <v>3062</v>
      </c>
      <c r="AH46" t="s">
        <v>1988</v>
      </c>
      <c r="AI46" t="s">
        <v>2093</v>
      </c>
      <c r="AJ46" t="s">
        <v>1989</v>
      </c>
      <c r="AK46" t="s">
        <v>47</v>
      </c>
      <c r="AL46" t="s">
        <v>1990</v>
      </c>
      <c r="AM46" t="s">
        <v>47</v>
      </c>
      <c r="AN46" t="s">
        <v>3063</v>
      </c>
      <c r="AO46" t="s">
        <v>47</v>
      </c>
      <c r="AP46" t="s">
        <v>47</v>
      </c>
      <c r="AQ46" t="s">
        <v>3064</v>
      </c>
      <c r="AR46" t="s">
        <v>47</v>
      </c>
      <c r="AS46" t="s">
        <v>190</v>
      </c>
      <c r="AT46" t="s">
        <v>62</v>
      </c>
      <c r="AU46" t="s">
        <v>3065</v>
      </c>
      <c r="AV46" t="s">
        <v>3066</v>
      </c>
      <c r="AW46" t="s">
        <v>3067</v>
      </c>
      <c r="AX46" t="s">
        <v>1374</v>
      </c>
      <c r="AY46" t="s">
        <v>134</v>
      </c>
      <c r="AZ46" t="s">
        <v>139</v>
      </c>
      <c r="BA46" t="s">
        <v>1118</v>
      </c>
      <c r="BB46" t="s">
        <v>237</v>
      </c>
      <c r="BC46" t="s">
        <v>1375</v>
      </c>
      <c r="BD46" t="s">
        <v>914</v>
      </c>
      <c r="BE46" t="s">
        <v>1376</v>
      </c>
      <c r="BF46" t="s">
        <v>1377</v>
      </c>
      <c r="BG46" t="s">
        <v>1378</v>
      </c>
      <c r="BH46" t="s">
        <v>1223</v>
      </c>
      <c r="BI46" t="s">
        <v>88</v>
      </c>
      <c r="BJ46" t="s">
        <v>1374</v>
      </c>
      <c r="BK46" t="s">
        <v>1986</v>
      </c>
      <c r="BL46" t="s">
        <v>3068</v>
      </c>
      <c r="BM46" t="s">
        <v>1375</v>
      </c>
      <c r="BN46" t="s">
        <v>47</v>
      </c>
      <c r="BO46">
        <v>8.2899999999999991</v>
      </c>
      <c r="BP46">
        <v>31.36</v>
      </c>
      <c r="BQ46">
        <v>-10.83</v>
      </c>
      <c r="BR46">
        <v>8.77</v>
      </c>
      <c r="BS46">
        <v>29.41</v>
      </c>
      <c r="BT46" t="s">
        <v>1208</v>
      </c>
      <c r="BU46" t="s">
        <v>1075</v>
      </c>
      <c r="BV46">
        <v>49.93</v>
      </c>
      <c r="BW46">
        <v>56.51</v>
      </c>
      <c r="BX46">
        <v>71.63</v>
      </c>
      <c r="BY46">
        <v>-72.8</v>
      </c>
      <c r="BZ46">
        <v>12.03</v>
      </c>
      <c r="CA46">
        <v>39.57</v>
      </c>
      <c r="CB46">
        <v>1</v>
      </c>
      <c r="CC46" s="8">
        <v>-18.239999999999998</v>
      </c>
      <c r="CD46" s="9" t="s">
        <v>3069</v>
      </c>
      <c r="CE46" s="8" t="s">
        <v>3070</v>
      </c>
      <c r="CF46" s="8">
        <v>-0.63886039603960398</v>
      </c>
      <c r="CG46" s="8">
        <v>-1.1969942295812221</v>
      </c>
      <c r="CH46" s="8">
        <v>-0.32023289799690247</v>
      </c>
      <c r="CI46" s="8">
        <v>0.14882943034172058</v>
      </c>
      <c r="CJ46" s="9">
        <v>1.3178294897079468</v>
      </c>
      <c r="CK46" s="9">
        <v>7.9497911036014557E-2</v>
      </c>
      <c r="CL46" s="9">
        <v>0.16585366427898407</v>
      </c>
      <c r="CM46" s="9">
        <v>-7.8468851745128632E-2</v>
      </c>
      <c r="CN46" s="9">
        <v>-0.64993458986282349</v>
      </c>
      <c r="CO46">
        <v>2.6213557720184326</v>
      </c>
      <c r="CP46">
        <v>-0.2910168468952179</v>
      </c>
      <c r="CQ46">
        <v>0.24847869575023651</v>
      </c>
      <c r="CR46" s="8">
        <v>23.16693737253447</v>
      </c>
      <c r="CS46" s="9">
        <v>0.83227871379556462</v>
      </c>
      <c r="CT46">
        <v>0</v>
      </c>
      <c r="CU46">
        <v>0.27835551947355269</v>
      </c>
      <c r="CV46">
        <v>0.37008283585309981</v>
      </c>
      <c r="CW46">
        <v>0.06</v>
      </c>
      <c r="CX46">
        <v>22.66948587424255</v>
      </c>
      <c r="CY46">
        <v>92204768.630194634</v>
      </c>
      <c r="CZ46">
        <v>0.27835551947355269</v>
      </c>
      <c r="DA46">
        <v>6.3385820801694521</v>
      </c>
      <c r="DB46">
        <v>329763766.338121</v>
      </c>
      <c r="DC46">
        <v>0.26443774349987503</v>
      </c>
      <c r="DD46">
        <v>2.4998747800426346</v>
      </c>
      <c r="DE46">
        <v>836135760.35370529</v>
      </c>
      <c r="DF46">
        <v>0.24495285713672638</v>
      </c>
      <c r="DG46">
        <v>1.1476957688854716</v>
      </c>
      <c r="DH46">
        <v>1821244581.2445827</v>
      </c>
      <c r="DI46">
        <v>0.22268441557884217</v>
      </c>
      <c r="DJ46">
        <v>0.30952626924150639</v>
      </c>
      <c r="DK46">
        <v>6753012289.1414566</v>
      </c>
      <c r="DL46">
        <v>0.19484886363148687</v>
      </c>
      <c r="DM46">
        <v>76455300</v>
      </c>
      <c r="DN46">
        <v>0.27835551947355269</v>
      </c>
      <c r="DO46">
        <v>2090234700</v>
      </c>
      <c r="DP46">
        <v>618654790</v>
      </c>
      <c r="DQ46" s="10">
        <v>2395</v>
      </c>
      <c r="DR46">
        <v>-0.91721591551315673</v>
      </c>
      <c r="DS46">
        <v>-1.567077065434322</v>
      </c>
      <c r="DT46">
        <v>-0.24</v>
      </c>
      <c r="DU46">
        <v>-0.84500000000000008</v>
      </c>
      <c r="DV46">
        <v>-1.085</v>
      </c>
      <c r="DW46">
        <v>-3.0253333333333332</v>
      </c>
      <c r="DX46">
        <v>0.46246249104379927</v>
      </c>
      <c r="DY46">
        <v>-3.0038623831064428</v>
      </c>
      <c r="DZ46">
        <v>3235</v>
      </c>
      <c r="EA46">
        <v>-3.0014172149363172</v>
      </c>
      <c r="EB46" s="11">
        <v>3</v>
      </c>
      <c r="EC46" s="11">
        <v>3.6367833648231346E-2</v>
      </c>
      <c r="ED46">
        <v>0.23853627814016196</v>
      </c>
      <c r="EE46">
        <v>-1.0146999999999999</v>
      </c>
      <c r="EF46">
        <v>-1.0032000000000001</v>
      </c>
      <c r="EG46">
        <v>31.152462491043799</v>
      </c>
      <c r="EH46" s="13" t="s">
        <v>1040</v>
      </c>
      <c r="EI46" s="14">
        <v>0</v>
      </c>
      <c r="EJ46" s="14">
        <v>0</v>
      </c>
      <c r="EK46" s="14">
        <v>45470</v>
      </c>
      <c r="EL46" s="14">
        <v>1.1499999999999999</v>
      </c>
      <c r="EM46" s="14">
        <v>5.0599999999999996</v>
      </c>
      <c r="EN46" s="14">
        <v>3.19</v>
      </c>
      <c r="EO46" s="14">
        <v>0.26</v>
      </c>
      <c r="EP46" s="14">
        <v>-1.1499999999999999</v>
      </c>
    </row>
    <row r="47" spans="1:146" ht="96" x14ac:dyDescent="0.25">
      <c r="A47" s="7"/>
      <c r="B47" s="7"/>
      <c r="C47" s="7" t="str">
        <f>""&amp;CHAR(10)&amp;Basic_Fundamental_Information_Constructure(F47)&amp;CHAR(10)&amp;Basic_Fundamental_Information_Concatenate("")</f>
        <v xml:space="preserve">
市值37.128743亿, 利润7840.33万; PE; 平均PE4.21; 平均PEG.06, PB.644; ROIC16.7867%; ROE16.0433%; 股利率5.2521%; 毛利27.8333%; 净利15.3%; 上一年度营收增71.27%, 利润增17.17%; 当季营收增-6.2%, 利润增-98.66%; 过往5年营收增67.01%, 利润增569.96%
Income profile:
</v>
      </c>
      <c r="D47" t="s">
        <v>559</v>
      </c>
      <c r="E47" t="s">
        <v>560</v>
      </c>
      <c r="F47">
        <v>9.52</v>
      </c>
      <c r="G47">
        <v>3.03</v>
      </c>
      <c r="H47" t="s">
        <v>3071</v>
      </c>
      <c r="I47">
        <v>3712874300</v>
      </c>
      <c r="K47">
        <v>0.64400000000000002</v>
      </c>
      <c r="L47" t="s">
        <v>40</v>
      </c>
      <c r="M47" t="s">
        <v>1991</v>
      </c>
      <c r="N47" t="s">
        <v>3072</v>
      </c>
      <c r="O47" t="s">
        <v>1082</v>
      </c>
      <c r="P47">
        <v>26.22</v>
      </c>
      <c r="Q47" t="s">
        <v>3073</v>
      </c>
      <c r="R47">
        <v>1287195</v>
      </c>
      <c r="S47" s="3">
        <v>1.208</v>
      </c>
      <c r="T47" t="s">
        <v>3074</v>
      </c>
      <c r="U47">
        <v>357431100</v>
      </c>
      <c r="V47">
        <v>390007800</v>
      </c>
      <c r="W47">
        <v>1.28</v>
      </c>
      <c r="X47">
        <v>7.0000000000000007E-2</v>
      </c>
      <c r="Y47">
        <v>0.25</v>
      </c>
      <c r="Z47" t="s">
        <v>2202</v>
      </c>
      <c r="AA47" t="s">
        <v>681</v>
      </c>
      <c r="AB47" t="s">
        <v>3075</v>
      </c>
      <c r="AC47" t="s">
        <v>3076</v>
      </c>
      <c r="AD47" t="s">
        <v>47</v>
      </c>
      <c r="AE47">
        <v>-14856107</v>
      </c>
      <c r="AF47" t="s">
        <v>1993</v>
      </c>
      <c r="AG47" t="s">
        <v>3077</v>
      </c>
      <c r="AH47" t="s">
        <v>1994</v>
      </c>
      <c r="AI47" t="s">
        <v>304</v>
      </c>
      <c r="AJ47" t="s">
        <v>1996</v>
      </c>
      <c r="AK47" t="s">
        <v>3078</v>
      </c>
      <c r="AL47" t="s">
        <v>1997</v>
      </c>
      <c r="AM47" t="s">
        <v>47</v>
      </c>
      <c r="AN47" t="s">
        <v>271</v>
      </c>
      <c r="AO47" t="s">
        <v>3079</v>
      </c>
      <c r="AP47" t="s">
        <v>412</v>
      </c>
      <c r="AQ47" t="s">
        <v>1050</v>
      </c>
      <c r="AR47" t="s">
        <v>47</v>
      </c>
      <c r="AS47" t="s">
        <v>3080</v>
      </c>
      <c r="AT47" t="s">
        <v>363</v>
      </c>
      <c r="AU47" t="s">
        <v>3081</v>
      </c>
      <c r="AV47" t="s">
        <v>765</v>
      </c>
      <c r="AW47" t="s">
        <v>1602</v>
      </c>
      <c r="AX47" t="s">
        <v>1379</v>
      </c>
      <c r="AY47" t="s">
        <v>958</v>
      </c>
      <c r="AZ47" t="s">
        <v>561</v>
      </c>
      <c r="BA47" t="s">
        <v>49</v>
      </c>
      <c r="BB47" t="s">
        <v>565</v>
      </c>
      <c r="BC47" t="s">
        <v>1380</v>
      </c>
      <c r="BD47" t="s">
        <v>959</v>
      </c>
      <c r="BE47" t="s">
        <v>562</v>
      </c>
      <c r="BF47" t="s">
        <v>567</v>
      </c>
      <c r="BG47" t="s">
        <v>568</v>
      </c>
      <c r="BH47" t="s">
        <v>1992</v>
      </c>
      <c r="BI47" t="s">
        <v>3082</v>
      </c>
      <c r="BJ47" t="s">
        <v>1379</v>
      </c>
      <c r="BK47" t="s">
        <v>995</v>
      </c>
      <c r="BL47" t="s">
        <v>3083</v>
      </c>
      <c r="BM47" t="s">
        <v>1380</v>
      </c>
      <c r="BN47">
        <v>-0.63</v>
      </c>
      <c r="BO47">
        <v>0.5</v>
      </c>
      <c r="BP47">
        <v>50.49</v>
      </c>
      <c r="BQ47">
        <v>0.15</v>
      </c>
      <c r="BR47">
        <v>1.06</v>
      </c>
      <c r="BS47">
        <v>46.92</v>
      </c>
      <c r="BT47" t="s">
        <v>1211</v>
      </c>
      <c r="BU47" t="s">
        <v>1079</v>
      </c>
      <c r="BV47">
        <v>12.1</v>
      </c>
      <c r="BW47">
        <v>9.6999999999999993</v>
      </c>
      <c r="BX47">
        <v>61.7</v>
      </c>
      <c r="BY47">
        <v>-6.06</v>
      </c>
      <c r="BZ47">
        <v>4.26</v>
      </c>
      <c r="CA47">
        <v>47.7</v>
      </c>
      <c r="CB47">
        <v>-0.52</v>
      </c>
      <c r="CC47">
        <v>-14.31</v>
      </c>
      <c r="CD47" t="s">
        <v>3084</v>
      </c>
      <c r="CE47" t="s">
        <v>3085</v>
      </c>
      <c r="CF47" s="8">
        <v>-6.1962134251290879E-2</v>
      </c>
      <c r="CG47" s="9">
        <v>-0.986603677758501</v>
      </c>
      <c r="CH47" s="8">
        <v>0.71265113353729248</v>
      </c>
      <c r="CI47" s="8">
        <v>-0.67956817150115967</v>
      </c>
      <c r="CJ47" s="8">
        <v>2.7417397126555443E-2</v>
      </c>
      <c r="CK47" s="8">
        <v>3.080272912979126</v>
      </c>
      <c r="CL47" s="8">
        <v>0.20971080660820007</v>
      </c>
      <c r="CM47" s="9">
        <v>0.17166739702224731</v>
      </c>
      <c r="CN47" s="9">
        <v>-0.9714277982711792</v>
      </c>
      <c r="CO47" s="9">
        <v>-0.12087082117795944</v>
      </c>
      <c r="CP47" s="9">
        <v>28.843389511108398</v>
      </c>
      <c r="CQ47" s="9">
        <v>0.57520639896392822</v>
      </c>
      <c r="CR47">
        <v>4.205432259090732</v>
      </c>
      <c r="CS47">
        <v>6.2758576973445557E-2</v>
      </c>
      <c r="CT47">
        <v>5.2521008403361344</v>
      </c>
      <c r="CU47" s="8">
        <v>0.67009681575000291</v>
      </c>
      <c r="CV47" s="9">
        <v>5.6995929375290872</v>
      </c>
      <c r="CW47">
        <v>0.06</v>
      </c>
      <c r="CX47" t="s">
        <v>1584</v>
      </c>
      <c r="CY47">
        <v>123529341.20216244</v>
      </c>
      <c r="CZ47">
        <v>0.67009681575000291</v>
      </c>
      <c r="DA47" t="s">
        <v>1584</v>
      </c>
      <c r="DB47">
        <v>596509865.41768444</v>
      </c>
      <c r="DC47">
        <v>0.63659197496250275</v>
      </c>
      <c r="DD47" t="s">
        <v>1584</v>
      </c>
      <c r="DE47">
        <v>2441763822.7044125</v>
      </c>
      <c r="DF47">
        <v>0.58968519786000251</v>
      </c>
      <c r="DG47" t="s">
        <v>1584</v>
      </c>
      <c r="DH47">
        <v>10078028882.543159</v>
      </c>
      <c r="DI47">
        <v>0.53607745260000239</v>
      </c>
      <c r="DJ47" t="s">
        <v>1584</v>
      </c>
      <c r="DK47">
        <v>192160595159.33704</v>
      </c>
      <c r="DL47">
        <v>0.46906777102500202</v>
      </c>
      <c r="DM47">
        <v>78403300</v>
      </c>
      <c r="DN47">
        <v>0.67009681575000291</v>
      </c>
      <c r="DO47">
        <v>-1056125700</v>
      </c>
      <c r="DP47">
        <v>3207692700</v>
      </c>
      <c r="DQ47">
        <v>2431</v>
      </c>
      <c r="DR47">
        <v>-0.73205895000129373</v>
      </c>
      <c r="DS47">
        <v>-6.6861966152875887</v>
      </c>
      <c r="DT47" s="10">
        <v>0.14666666666666658</v>
      </c>
      <c r="DU47">
        <v>-3.6666666666666702E-2</v>
      </c>
      <c r="DV47">
        <v>0.10999999999999988</v>
      </c>
      <c r="DW47">
        <v>-2.1431</v>
      </c>
      <c r="DX47">
        <v>0.41081713163754996</v>
      </c>
      <c r="DY47">
        <v>-2.025874931537333</v>
      </c>
      <c r="DZ47">
        <v>2517</v>
      </c>
      <c r="EA47">
        <v>-2.0131298820892964</v>
      </c>
      <c r="EB47">
        <v>2</v>
      </c>
      <c r="EC47">
        <v>3.0626054145583757E-2</v>
      </c>
      <c r="ED47">
        <v>0.16937584325236571</v>
      </c>
      <c r="EE47" s="11">
        <v>-2.1158999999999999</v>
      </c>
      <c r="EF47">
        <v>-2.0954999999999999</v>
      </c>
      <c r="EG47">
        <v>23.18081713163755</v>
      </c>
      <c r="EH47" t="s">
        <v>1336</v>
      </c>
      <c r="EI47">
        <v>0</v>
      </c>
      <c r="EJ47">
        <v>0</v>
      </c>
      <c r="EK47" s="13">
        <v>45470</v>
      </c>
      <c r="EL47" s="14">
        <v>0.32</v>
      </c>
      <c r="EM47" s="14">
        <v>-5.0999999999999996</v>
      </c>
      <c r="EN47" s="14">
        <v>1.36</v>
      </c>
      <c r="EO47" s="14">
        <v>5.37</v>
      </c>
      <c r="EP47" s="14">
        <v>-2.04</v>
      </c>
    </row>
    <row r="48" spans="1:146" ht="96" x14ac:dyDescent="0.25">
      <c r="A48" s="7"/>
      <c r="B48" s="7"/>
      <c r="C48" s="7" t="str">
        <f>""&amp;CHAR(10)&amp;Basic_Fundamental_Information_Constructure(F48)&amp;CHAR(10)&amp;Basic_Fundamental_Information_Concatenate("")</f>
        <v xml:space="preserve">
市值25.255866亿, 利润7.71亿; PE52.61; 平均PE16.88; 平均PEG.01, PB3.92; ROIC5.8467%; ROE6.8267%; 股利率1.0463%; 毛利82.8033%; 净利21.6933%; 上一年度营收增5789.74%, 利润增2048.12%; 当季营收增-97.44%, 利润增-91.83%; 过往5年营收增1176.41%, 利润增466.36%
Income profile:
</v>
      </c>
      <c r="D48" t="s">
        <v>569</v>
      </c>
      <c r="E48" t="s">
        <v>570</v>
      </c>
      <c r="F48">
        <v>38.229999999999997</v>
      </c>
      <c r="G48">
        <v>3.74</v>
      </c>
      <c r="H48" t="s">
        <v>3086</v>
      </c>
      <c r="I48">
        <v>2525586600</v>
      </c>
      <c r="J48">
        <v>52.61</v>
      </c>
      <c r="K48">
        <v>3.92</v>
      </c>
      <c r="L48" t="s">
        <v>40</v>
      </c>
      <c r="M48" t="s">
        <v>54</v>
      </c>
      <c r="N48" t="s">
        <v>1719</v>
      </c>
      <c r="O48" t="s">
        <v>1998</v>
      </c>
      <c r="P48">
        <v>28.59</v>
      </c>
      <c r="Q48" t="s">
        <v>3087</v>
      </c>
      <c r="R48">
        <v>14944755</v>
      </c>
      <c r="S48" s="3">
        <v>0.91190000000000004</v>
      </c>
      <c r="T48" t="s">
        <v>472</v>
      </c>
      <c r="U48">
        <v>38201542</v>
      </c>
      <c r="V48">
        <v>66062951</v>
      </c>
      <c r="W48">
        <v>1.21</v>
      </c>
      <c r="X48">
        <v>7.0000000000000007E-2</v>
      </c>
      <c r="Y48">
        <v>26.12</v>
      </c>
      <c r="Z48" t="s">
        <v>3088</v>
      </c>
      <c r="AA48" t="s">
        <v>3089</v>
      </c>
      <c r="AB48" t="s">
        <v>3090</v>
      </c>
      <c r="AC48" t="s">
        <v>3091</v>
      </c>
      <c r="AD48" t="s">
        <v>47</v>
      </c>
      <c r="AE48">
        <v>158090</v>
      </c>
      <c r="AF48" t="s">
        <v>2000</v>
      </c>
      <c r="AG48" t="s">
        <v>3092</v>
      </c>
      <c r="AH48" t="s">
        <v>2001</v>
      </c>
      <c r="AI48" t="s">
        <v>3093</v>
      </c>
      <c r="AJ48" t="s">
        <v>2002</v>
      </c>
      <c r="AK48" t="s">
        <v>47</v>
      </c>
      <c r="AL48" t="s">
        <v>2003</v>
      </c>
      <c r="AM48" t="s">
        <v>47</v>
      </c>
      <c r="AN48" t="s">
        <v>3094</v>
      </c>
      <c r="AO48" t="s">
        <v>47</v>
      </c>
      <c r="AP48" t="s">
        <v>47</v>
      </c>
      <c r="AQ48" t="s">
        <v>3095</v>
      </c>
      <c r="AR48" t="s">
        <v>3096</v>
      </c>
      <c r="AS48" t="s">
        <v>3097</v>
      </c>
      <c r="AT48" t="s">
        <v>2004</v>
      </c>
      <c r="AU48" t="s">
        <v>3098</v>
      </c>
      <c r="AV48" t="s">
        <v>3099</v>
      </c>
      <c r="AW48" t="s">
        <v>3100</v>
      </c>
      <c r="AX48" t="s">
        <v>372</v>
      </c>
      <c r="AY48" t="s">
        <v>535</v>
      </c>
      <c r="AZ48" t="s">
        <v>468</v>
      </c>
      <c r="BA48" t="s">
        <v>405</v>
      </c>
      <c r="BB48" t="s">
        <v>572</v>
      </c>
      <c r="BC48" t="s">
        <v>1382</v>
      </c>
      <c r="BD48" t="s">
        <v>1383</v>
      </c>
      <c r="BE48" t="s">
        <v>571</v>
      </c>
      <c r="BF48" t="s">
        <v>573</v>
      </c>
      <c r="BG48" t="s">
        <v>574</v>
      </c>
      <c r="BH48" t="s">
        <v>243</v>
      </c>
      <c r="BI48" t="s">
        <v>3101</v>
      </c>
      <c r="BJ48" t="s">
        <v>372</v>
      </c>
      <c r="BK48" t="s">
        <v>1999</v>
      </c>
      <c r="BL48" t="s">
        <v>128</v>
      </c>
      <c r="BM48" t="s">
        <v>1382</v>
      </c>
      <c r="BN48">
        <v>3.8</v>
      </c>
      <c r="BO48">
        <v>5.35</v>
      </c>
      <c r="BP48">
        <v>8.39</v>
      </c>
      <c r="BQ48">
        <v>4.17</v>
      </c>
      <c r="BR48">
        <v>6.08</v>
      </c>
      <c r="BS48">
        <v>10.23</v>
      </c>
      <c r="BT48" t="s">
        <v>1324</v>
      </c>
      <c r="BU48" t="s">
        <v>1079</v>
      </c>
      <c r="BV48">
        <v>82.01</v>
      </c>
      <c r="BW48">
        <v>84.01</v>
      </c>
      <c r="BX48">
        <v>82.39</v>
      </c>
      <c r="BY48">
        <v>17.71</v>
      </c>
      <c r="BZ48">
        <v>18.3</v>
      </c>
      <c r="CA48">
        <v>29.07</v>
      </c>
      <c r="CB48">
        <v>-2.25</v>
      </c>
      <c r="CC48">
        <v>-6.6</v>
      </c>
      <c r="CD48" t="s">
        <v>3102</v>
      </c>
      <c r="CE48" t="s">
        <v>3103</v>
      </c>
      <c r="CF48" s="8">
        <v>-0.97438150470219431</v>
      </c>
      <c r="CG48" s="9">
        <v>-0.9183346721311475</v>
      </c>
      <c r="CH48" s="8">
        <v>57.897434234619141</v>
      </c>
      <c r="CI48" s="8">
        <v>0.26623377203941345</v>
      </c>
      <c r="CJ48" s="8">
        <v>0.24193547666072845</v>
      </c>
      <c r="CK48" s="8">
        <v>9.7345136106014252E-2</v>
      </c>
      <c r="CL48" s="8">
        <v>0.31771516799926758</v>
      </c>
      <c r="CM48" s="9">
        <v>20.481229782104492</v>
      </c>
      <c r="CN48" s="9">
        <v>-0.19731004536151886</v>
      </c>
      <c r="CO48" s="9">
        <v>0.20954993367195129</v>
      </c>
      <c r="CP48" s="9">
        <v>0.33552262187004089</v>
      </c>
      <c r="CQ48" s="9">
        <v>2.4887778759002686</v>
      </c>
      <c r="CR48">
        <v>16.881102981223325</v>
      </c>
      <c r="CS48">
        <v>1.4349636585393639E-2</v>
      </c>
      <c r="CT48">
        <v>1.0462987182840702</v>
      </c>
      <c r="CU48" s="8">
        <v>11.764132757484912</v>
      </c>
      <c r="CV48" s="9">
        <v>4.6635540336370465</v>
      </c>
      <c r="CW48">
        <v>0.06</v>
      </c>
      <c r="CX48">
        <v>0.21882428307577076</v>
      </c>
      <c r="CY48">
        <v>9284100335.868742</v>
      </c>
      <c r="CZ48">
        <v>11.764132757484912</v>
      </c>
      <c r="DA48">
        <v>1.5882645172590058E-3</v>
      </c>
      <c r="DB48">
        <v>1279123582957.1199</v>
      </c>
      <c r="DC48">
        <v>11.175926119610667</v>
      </c>
      <c r="DD48">
        <v>1.5831096424525407E-6</v>
      </c>
      <c r="DE48">
        <v>1283288627345281.2</v>
      </c>
      <c r="DF48">
        <v>10.352436826586723</v>
      </c>
      <c r="DG48">
        <v>2.832399285085126E-10</v>
      </c>
      <c r="DH48">
        <v>7.1726702188421919E+18</v>
      </c>
      <c r="DI48">
        <v>9.4113062059879304</v>
      </c>
      <c r="DJ48">
        <v>3.6754556274962986E-19</v>
      </c>
      <c r="DK48">
        <v>5.5274415090243009E+27</v>
      </c>
      <c r="DL48">
        <v>8.2348929302394378</v>
      </c>
      <c r="DM48">
        <v>771000000</v>
      </c>
      <c r="DN48">
        <v>11.764132757484912</v>
      </c>
      <c r="DO48">
        <v>2031586600</v>
      </c>
      <c r="DP48">
        <v>218503890</v>
      </c>
      <c r="DQ48">
        <v>2482</v>
      </c>
      <c r="DR48">
        <v>-12.738514262187106</v>
      </c>
      <c r="DS48">
        <v>-5.5818887057681943</v>
      </c>
      <c r="DT48" s="10">
        <v>0.24333333333333326</v>
      </c>
      <c r="DU48">
        <v>0.47</v>
      </c>
      <c r="DV48">
        <v>0.71333333333333326</v>
      </c>
      <c r="DW48">
        <v>-2.0659999999999998</v>
      </c>
      <c r="DX48">
        <v>0.38066654572783648</v>
      </c>
      <c r="DY48">
        <v>-2.0125839920180373</v>
      </c>
      <c r="DZ48">
        <v>3050</v>
      </c>
      <c r="EA48">
        <v>-2.0050729987391698</v>
      </c>
      <c r="EB48">
        <v>2</v>
      </c>
      <c r="EC48">
        <v>4.4546904966446324E-2</v>
      </c>
      <c r="ED48">
        <v>0.23363776165554578</v>
      </c>
      <c r="EE48" s="11">
        <v>-1.0302</v>
      </c>
      <c r="EF48">
        <v>-1.0154000000000001</v>
      </c>
      <c r="EG48">
        <v>19.190666545727836</v>
      </c>
      <c r="EH48" t="s">
        <v>1040</v>
      </c>
      <c r="EI48">
        <v>0</v>
      </c>
      <c r="EJ48">
        <v>0</v>
      </c>
      <c r="EK48" s="13">
        <v>45470</v>
      </c>
      <c r="EL48" s="14">
        <v>-0.74</v>
      </c>
      <c r="EM48" s="14">
        <v>-5.25</v>
      </c>
      <c r="EN48" s="14">
        <v>3.16</v>
      </c>
      <c r="EO48" s="14">
        <v>3.68</v>
      </c>
      <c r="EP48" s="14">
        <v>-1.48</v>
      </c>
    </row>
    <row r="49" spans="1:146" ht="96" x14ac:dyDescent="0.25">
      <c r="A49" s="7"/>
      <c r="B49" s="7"/>
      <c r="C49" s="7" t="str">
        <f>""&amp;CHAR(10)&amp;Basic_Fundamental_Information_Constructure(F49)&amp;CHAR(10)&amp;Basic_Fundamental_Information_Concatenate("")</f>
        <v xml:space="preserve">
市值70.429595亿, 利润8471.94万; PE31.87; 平均PE29.55; 平均PEG2.99, PB1.42; ROIC7.5467%; ROE11.5933%; 股利率3.5651%; 毛利42.2067%; 净利12.63%; 上一年度营收增-74.24%, 利润增-71.95%; 当季营收增289.86%, 利润增178.51%; 过往5年营收增9.87%, 利润增45.76%
Income profile:
</v>
      </c>
      <c r="D49" t="s">
        <v>575</v>
      </c>
      <c r="E49" t="s">
        <v>576</v>
      </c>
      <c r="F49">
        <v>33.659999999999997</v>
      </c>
      <c r="G49">
        <v>4.7</v>
      </c>
      <c r="H49" t="s">
        <v>2024</v>
      </c>
      <c r="I49">
        <v>7042959500</v>
      </c>
      <c r="J49">
        <v>31.87</v>
      </c>
      <c r="K49">
        <v>1.42</v>
      </c>
      <c r="L49" t="s">
        <v>40</v>
      </c>
      <c r="M49" t="s">
        <v>1354</v>
      </c>
      <c r="N49" t="s">
        <v>2071</v>
      </c>
      <c r="O49" t="s">
        <v>1540</v>
      </c>
      <c r="P49">
        <v>-5.64</v>
      </c>
      <c r="Q49" t="s">
        <v>1938</v>
      </c>
      <c r="R49">
        <v>101221565</v>
      </c>
      <c r="S49" s="3">
        <v>-0.2475</v>
      </c>
      <c r="T49" t="s">
        <v>3104</v>
      </c>
      <c r="U49">
        <v>90574318</v>
      </c>
      <c r="V49">
        <v>209238250</v>
      </c>
      <c r="W49">
        <v>1.3</v>
      </c>
      <c r="X49">
        <v>0.13</v>
      </c>
      <c r="Y49">
        <v>12.52</v>
      </c>
      <c r="Z49" t="s">
        <v>2300</v>
      </c>
      <c r="AA49" t="s">
        <v>1602</v>
      </c>
      <c r="AB49" t="s">
        <v>187</v>
      </c>
      <c r="AC49" t="s">
        <v>3105</v>
      </c>
      <c r="AD49" t="s">
        <v>47</v>
      </c>
      <c r="AE49">
        <v>-5458230</v>
      </c>
      <c r="AF49" t="s">
        <v>2006</v>
      </c>
      <c r="AG49" t="s">
        <v>3106</v>
      </c>
      <c r="AH49" t="s">
        <v>2007</v>
      </c>
      <c r="AI49" t="s">
        <v>3107</v>
      </c>
      <c r="AJ49" t="s">
        <v>2008</v>
      </c>
      <c r="AK49" t="s">
        <v>47</v>
      </c>
      <c r="AL49" t="s">
        <v>2009</v>
      </c>
      <c r="AM49" t="s">
        <v>47</v>
      </c>
      <c r="AN49" t="s">
        <v>3108</v>
      </c>
      <c r="AO49" t="s">
        <v>635</v>
      </c>
      <c r="AP49" t="s">
        <v>3109</v>
      </c>
      <c r="AQ49" t="s">
        <v>550</v>
      </c>
      <c r="AR49" t="s">
        <v>3110</v>
      </c>
      <c r="AS49" t="s">
        <v>66</v>
      </c>
      <c r="AT49" t="s">
        <v>78</v>
      </c>
      <c r="AU49" t="s">
        <v>113</v>
      </c>
      <c r="AV49" t="s">
        <v>3111</v>
      </c>
      <c r="AW49" t="s">
        <v>3112</v>
      </c>
      <c r="AX49" t="s">
        <v>1384</v>
      </c>
      <c r="AY49" t="s">
        <v>960</v>
      </c>
      <c r="AZ49" t="s">
        <v>578</v>
      </c>
      <c r="BA49" t="s">
        <v>582</v>
      </c>
      <c r="BB49" t="s">
        <v>583</v>
      </c>
      <c r="BC49" t="s">
        <v>274</v>
      </c>
      <c r="BD49" t="s">
        <v>307</v>
      </c>
      <c r="BE49" t="s">
        <v>579</v>
      </c>
      <c r="BF49" t="s">
        <v>468</v>
      </c>
      <c r="BG49" t="s">
        <v>584</v>
      </c>
      <c r="BH49" t="s">
        <v>2005</v>
      </c>
      <c r="BI49" t="s">
        <v>1043</v>
      </c>
      <c r="BJ49" t="s">
        <v>1384</v>
      </c>
      <c r="BK49" t="s">
        <v>1223</v>
      </c>
      <c r="BL49" t="s">
        <v>3113</v>
      </c>
      <c r="BM49" t="s">
        <v>274</v>
      </c>
      <c r="BN49">
        <v>4.29</v>
      </c>
      <c r="BO49">
        <v>5.14</v>
      </c>
      <c r="BP49">
        <v>13.21</v>
      </c>
      <c r="BQ49">
        <v>4.8</v>
      </c>
      <c r="BR49">
        <v>6.07</v>
      </c>
      <c r="BS49">
        <v>23.91</v>
      </c>
      <c r="BT49" t="s">
        <v>1385</v>
      </c>
      <c r="BU49" t="s">
        <v>1032</v>
      </c>
      <c r="BV49">
        <v>43.28</v>
      </c>
      <c r="BW49">
        <v>39.51</v>
      </c>
      <c r="BX49">
        <v>43.83</v>
      </c>
      <c r="BY49">
        <v>8.86</v>
      </c>
      <c r="BZ49">
        <v>10.15</v>
      </c>
      <c r="CA49">
        <v>18.88</v>
      </c>
      <c r="CB49">
        <v>-0.71</v>
      </c>
      <c r="CC49">
        <v>-6.53</v>
      </c>
      <c r="CD49" t="s">
        <v>3114</v>
      </c>
      <c r="CE49" t="s">
        <v>3115</v>
      </c>
      <c r="CF49" s="8">
        <v>2.8985507246376816</v>
      </c>
      <c r="CG49" s="9">
        <v>1.7851123162685245</v>
      </c>
      <c r="CH49" s="8">
        <v>-0.74235802888870239</v>
      </c>
      <c r="CI49" s="8">
        <v>0.30799645185470581</v>
      </c>
      <c r="CJ49" s="8">
        <v>-4.1684236377477646E-2</v>
      </c>
      <c r="CK49" s="8">
        <v>0.62448704242706299</v>
      </c>
      <c r="CL49" s="8">
        <v>0.34498611092567444</v>
      </c>
      <c r="CM49" s="9">
        <v>-0.71947222948074341</v>
      </c>
      <c r="CN49" s="9">
        <v>-0.29603728652000427</v>
      </c>
      <c r="CO49" s="9">
        <v>1.179245300590992E-2</v>
      </c>
      <c r="CP49" s="9">
        <v>2.4193549156188965</v>
      </c>
      <c r="CQ49" s="9">
        <v>0.8723481297492981</v>
      </c>
      <c r="CR49" s="1">
        <v>29.55198670383729</v>
      </c>
      <c r="CS49" s="1">
        <v>2.9945631617570188</v>
      </c>
      <c r="CT49" s="1">
        <v>3.5650623885918007</v>
      </c>
      <c r="CU49" s="8">
        <v>9.8685467988252645E-2</v>
      </c>
      <c r="CV49" s="9">
        <v>0.45759719647467134</v>
      </c>
      <c r="CW49">
        <v>0.06</v>
      </c>
      <c r="CX49">
        <v>38.684766758258824</v>
      </c>
      <c r="CY49">
        <v>87811295.883664131</v>
      </c>
      <c r="CZ49">
        <v>9.8685467988252645E-2</v>
      </c>
      <c r="DA49">
        <v>12.5492761928089</v>
      </c>
      <c r="DB49">
        <v>270689675.46881759</v>
      </c>
      <c r="DC49">
        <v>9.3751194588840014E-2</v>
      </c>
      <c r="DD49">
        <v>6.1171144042237202</v>
      </c>
      <c r="DE49">
        <v>555320576.91359854</v>
      </c>
      <c r="DF49">
        <v>8.6843211829662328E-2</v>
      </c>
      <c r="DG49">
        <v>3.6326525556548313</v>
      </c>
      <c r="DH49">
        <v>935118194.75057268</v>
      </c>
      <c r="DI49">
        <v>7.8948374390602122E-2</v>
      </c>
      <c r="DJ49">
        <v>1.8308700825270521</v>
      </c>
      <c r="DK49">
        <v>1855379872.3453705</v>
      </c>
      <c r="DL49">
        <v>6.9079827591776846E-2</v>
      </c>
      <c r="DM49">
        <v>84719400</v>
      </c>
      <c r="DN49">
        <v>9.8685467988252645E-2</v>
      </c>
      <c r="DO49">
        <v>3396959500</v>
      </c>
      <c r="DP49">
        <v>2819602000</v>
      </c>
      <c r="DQ49">
        <v>2530</v>
      </c>
      <c r="DR49">
        <v>2.7998652566494289</v>
      </c>
      <c r="DS49">
        <v>1.3275151197938531</v>
      </c>
      <c r="DT49" s="10">
        <v>-0.29000000000000004</v>
      </c>
      <c r="DU49">
        <v>0.33833333333333321</v>
      </c>
      <c r="DV49">
        <v>4.8333333333333173E-2</v>
      </c>
      <c r="DW49">
        <v>-2.0653000000000001</v>
      </c>
      <c r="DX49">
        <v>0.48619293045672973</v>
      </c>
      <c r="DY49">
        <v>-2.0088933983588246</v>
      </c>
      <c r="DZ49">
        <v>2057</v>
      </c>
      <c r="EA49">
        <v>-2.0053134139314075</v>
      </c>
      <c r="EB49">
        <v>2</v>
      </c>
      <c r="EC49">
        <v>1.4801309034079573E-2</v>
      </c>
      <c r="ED49">
        <v>0.10867898197389818</v>
      </c>
      <c r="EE49" s="11">
        <v>3.0500000000000003E-2</v>
      </c>
      <c r="EF49">
        <v>5.6399999999999999E-2</v>
      </c>
      <c r="EG49">
        <v>35.13619293045673</v>
      </c>
      <c r="EH49" t="s">
        <v>888</v>
      </c>
      <c r="EI49">
        <v>0</v>
      </c>
      <c r="EJ49">
        <v>0</v>
      </c>
      <c r="EK49" s="13">
        <v>45470</v>
      </c>
      <c r="EL49" s="14">
        <v>0</v>
      </c>
      <c r="EM49" s="14">
        <v>-3.44</v>
      </c>
      <c r="EN49" s="14">
        <v>-1.59</v>
      </c>
      <c r="EO49" s="14">
        <v>4.1500000000000004</v>
      </c>
      <c r="EP49" s="14">
        <v>2.59</v>
      </c>
    </row>
    <row r="50" spans="1:146" ht="96" x14ac:dyDescent="0.25">
      <c r="A50" s="7"/>
      <c r="B50" s="7"/>
      <c r="C50" s="7" t="str">
        <f>""&amp;CHAR(10)&amp;Basic_Fundamental_Information_Constructure(F50)&amp;CHAR(10)&amp;Basic_Fundamental_Information_Concatenate("")</f>
        <v xml:space="preserve">
市值24.189206亿, 利润1.29亿; PE25.37; 平均PE20.69; 平均PEG2.59, PB1.04; ROIC7.2767%; ROE11.46%; 股利率3.2086%; 毛利46.79%; 净利20.4333%; 上一年度营收增-18.15%, 利润增37.6%; 当季营收增480.4%, 利润增164.87%; 过往5年营收增8%, 利润增28.51%
Income profile:
</v>
      </c>
      <c r="D50" t="s">
        <v>585</v>
      </c>
      <c r="E50" t="s">
        <v>586</v>
      </c>
      <c r="F50">
        <v>18.7</v>
      </c>
      <c r="G50">
        <v>3.14</v>
      </c>
      <c r="H50" t="s">
        <v>3116</v>
      </c>
      <c r="I50">
        <v>2418920600</v>
      </c>
      <c r="J50">
        <v>25.37</v>
      </c>
      <c r="K50">
        <v>1.04</v>
      </c>
      <c r="L50" t="s">
        <v>40</v>
      </c>
      <c r="M50" t="s">
        <v>344</v>
      </c>
      <c r="N50" t="s">
        <v>3117</v>
      </c>
      <c r="O50" t="s">
        <v>60</v>
      </c>
      <c r="P50">
        <v>-19.05</v>
      </c>
      <c r="Q50" t="s">
        <v>1083</v>
      </c>
      <c r="R50">
        <v>10679390</v>
      </c>
      <c r="S50" s="3">
        <v>-0.67879999999999996</v>
      </c>
      <c r="T50" t="s">
        <v>410</v>
      </c>
      <c r="U50">
        <v>90566196</v>
      </c>
      <c r="V50">
        <v>129354042</v>
      </c>
      <c r="W50">
        <v>1.1000000000000001</v>
      </c>
      <c r="X50">
        <v>0.05</v>
      </c>
      <c r="Y50">
        <v>8.44</v>
      </c>
      <c r="Z50" t="s">
        <v>468</v>
      </c>
      <c r="AA50" t="s">
        <v>3118</v>
      </c>
      <c r="AB50" t="s">
        <v>3119</v>
      </c>
      <c r="AC50" t="s">
        <v>3120</v>
      </c>
      <c r="AD50" t="s">
        <v>47</v>
      </c>
      <c r="AE50">
        <v>-948744</v>
      </c>
      <c r="AF50" t="s">
        <v>2012</v>
      </c>
      <c r="AG50" t="s">
        <v>3121</v>
      </c>
      <c r="AH50" t="s">
        <v>2013</v>
      </c>
      <c r="AI50" t="s">
        <v>1478</v>
      </c>
      <c r="AJ50" t="s">
        <v>2014</v>
      </c>
      <c r="AK50" t="s">
        <v>47</v>
      </c>
      <c r="AL50" t="s">
        <v>2015</v>
      </c>
      <c r="AM50" t="s">
        <v>47</v>
      </c>
      <c r="AN50" t="s">
        <v>535</v>
      </c>
      <c r="AO50" t="s">
        <v>47</v>
      </c>
      <c r="AP50" t="s">
        <v>3122</v>
      </c>
      <c r="AQ50" t="s">
        <v>3123</v>
      </c>
      <c r="AR50" t="s">
        <v>47</v>
      </c>
      <c r="AS50" t="s">
        <v>535</v>
      </c>
      <c r="AT50" t="s">
        <v>47</v>
      </c>
      <c r="AU50" t="s">
        <v>3124</v>
      </c>
      <c r="AV50" t="s">
        <v>112</v>
      </c>
      <c r="AW50" t="s">
        <v>3125</v>
      </c>
      <c r="AX50" t="s">
        <v>1191</v>
      </c>
      <c r="AY50" t="s">
        <v>218</v>
      </c>
      <c r="AZ50" t="s">
        <v>223</v>
      </c>
      <c r="BA50" t="s">
        <v>343</v>
      </c>
      <c r="BB50" t="s">
        <v>44</v>
      </c>
      <c r="BC50" t="s">
        <v>1386</v>
      </c>
      <c r="BD50" t="s">
        <v>397</v>
      </c>
      <c r="BE50" t="s">
        <v>587</v>
      </c>
      <c r="BF50" t="s">
        <v>589</v>
      </c>
      <c r="BG50" t="s">
        <v>590</v>
      </c>
      <c r="BH50" t="s">
        <v>1525</v>
      </c>
      <c r="BI50" t="s">
        <v>3126</v>
      </c>
      <c r="BJ50" t="s">
        <v>1191</v>
      </c>
      <c r="BK50" t="s">
        <v>503</v>
      </c>
      <c r="BL50" t="s">
        <v>3127</v>
      </c>
      <c r="BM50" t="s">
        <v>1386</v>
      </c>
      <c r="BN50">
        <v>3.6</v>
      </c>
      <c r="BO50">
        <v>3.66</v>
      </c>
      <c r="BP50">
        <v>14.57</v>
      </c>
      <c r="BQ50">
        <v>3.66</v>
      </c>
      <c r="BR50">
        <v>3.89</v>
      </c>
      <c r="BS50">
        <v>26.83</v>
      </c>
      <c r="BT50" t="s">
        <v>1218</v>
      </c>
      <c r="BU50" t="s">
        <v>1079</v>
      </c>
      <c r="BV50">
        <v>41.62</v>
      </c>
      <c r="BW50">
        <v>43.63</v>
      </c>
      <c r="BX50">
        <v>55.12</v>
      </c>
      <c r="BY50">
        <v>18.93</v>
      </c>
      <c r="BZ50">
        <v>16.05</v>
      </c>
      <c r="CA50">
        <v>26.32</v>
      </c>
      <c r="CB50">
        <v>-2.91</v>
      </c>
      <c r="CC50">
        <v>-16.14</v>
      </c>
      <c r="CD50" t="s">
        <v>3128</v>
      </c>
      <c r="CE50" t="s">
        <v>3129</v>
      </c>
      <c r="CF50" s="8">
        <v>4.8039631471190409</v>
      </c>
      <c r="CG50" s="9">
        <v>1.6486582341269842</v>
      </c>
      <c r="CH50" s="8">
        <v>-0.18150684237480164</v>
      </c>
      <c r="CI50" s="8">
        <v>-0.28867235779762268</v>
      </c>
      <c r="CJ50" s="8">
        <v>0.84080719947814941</v>
      </c>
      <c r="CK50" s="8">
        <v>-3.0434781685471535E-2</v>
      </c>
      <c r="CL50" s="8">
        <v>5.9907834976911545E-2</v>
      </c>
      <c r="CM50" s="9">
        <v>0.37597793340682983</v>
      </c>
      <c r="CN50" s="9">
        <v>-0.56596523523330688</v>
      </c>
      <c r="CO50" s="9">
        <v>1.6549293994903564</v>
      </c>
      <c r="CP50" s="9">
        <v>-0.14516468346118927</v>
      </c>
      <c r="CQ50" s="9">
        <v>0.1058848649263382</v>
      </c>
      <c r="CR50">
        <v>20.693843400893996</v>
      </c>
      <c r="CS50">
        <v>2.5860771005930392</v>
      </c>
      <c r="CT50">
        <v>3.2085561497326203</v>
      </c>
      <c r="CU50" s="8">
        <v>8.0020210519433019E-2</v>
      </c>
      <c r="CV50" s="9">
        <v>0.28513245582580565</v>
      </c>
      <c r="CW50">
        <v>0.06</v>
      </c>
      <c r="CX50">
        <v>2.3959918839575898</v>
      </c>
      <c r="CY50">
        <v>131436421.84623286</v>
      </c>
      <c r="CZ50">
        <v>8.0020210519433019E-2</v>
      </c>
      <c r="DA50">
        <v>0.78964015549180677</v>
      </c>
      <c r="DB50">
        <v>398815331.02107745</v>
      </c>
      <c r="DC50">
        <v>7.6019199993461364E-2</v>
      </c>
      <c r="DD50">
        <v>0.39312752513508159</v>
      </c>
      <c r="DE50">
        <v>801064743.28346992</v>
      </c>
      <c r="DF50">
        <v>7.0417785257101059E-2</v>
      </c>
      <c r="DG50">
        <v>0.2390852306152785</v>
      </c>
      <c r="DH50">
        <v>1317189686.663461</v>
      </c>
      <c r="DI50">
        <v>6.4016168415546415E-2</v>
      </c>
      <c r="DJ50">
        <v>0.12695746668912788</v>
      </c>
      <c r="DK50">
        <v>2480520509.8422818</v>
      </c>
      <c r="DL50">
        <v>5.6014147363603106E-2</v>
      </c>
      <c r="DM50">
        <v>129000000</v>
      </c>
      <c r="DN50">
        <v>8.0020210519433019E-2</v>
      </c>
      <c r="DO50">
        <v>314920600</v>
      </c>
      <c r="DP50">
        <v>1658165200</v>
      </c>
      <c r="DQ50">
        <v>2536</v>
      </c>
      <c r="DR50">
        <v>4.7239429365996077</v>
      </c>
      <c r="DS50">
        <v>1.3635257783011785</v>
      </c>
      <c r="DT50" s="10">
        <v>-0.49</v>
      </c>
      <c r="DU50">
        <v>0.5033333333333333</v>
      </c>
      <c r="DV50">
        <v>1.3333333333333308E-2</v>
      </c>
      <c r="DW50">
        <v>-8.1802973977695164</v>
      </c>
      <c r="DX50">
        <v>0.44484418648409857</v>
      </c>
      <c r="DY50">
        <v>-8.0243120559274299</v>
      </c>
      <c r="DZ50">
        <v>1485</v>
      </c>
      <c r="EA50">
        <v>-8.017246810711729</v>
      </c>
      <c r="EB50">
        <v>8</v>
      </c>
      <c r="EC50">
        <v>2.8808531549404541E-2</v>
      </c>
      <c r="ED50">
        <v>0.21364311136098862</v>
      </c>
      <c r="EE50" s="11">
        <v>3.0566</v>
      </c>
      <c r="EF50">
        <v>3.0211100000000002</v>
      </c>
      <c r="EG50">
        <v>31.134844186484099</v>
      </c>
      <c r="EH50" t="s">
        <v>1601</v>
      </c>
      <c r="EI50">
        <v>0</v>
      </c>
      <c r="EJ50">
        <v>1</v>
      </c>
      <c r="EK50" s="13">
        <v>45470</v>
      </c>
      <c r="EL50" s="14">
        <v>-2.31</v>
      </c>
      <c r="EM50" s="14">
        <v>-4.9000000000000004</v>
      </c>
      <c r="EN50" s="14">
        <v>0.14000000000000001</v>
      </c>
      <c r="EO50" s="14">
        <v>12.74</v>
      </c>
      <c r="EP50" s="14">
        <v>-7.77</v>
      </c>
    </row>
    <row r="51" spans="1:146" ht="96" x14ac:dyDescent="0.25">
      <c r="A51" s="7"/>
      <c r="B51" s="7"/>
      <c r="C51" s="7" t="str">
        <f>""&amp;CHAR(10)&amp;Basic_Fundamental_Information_Constructure(F51)&amp;CHAR(10)&amp;Basic_Fundamental_Information_Concatenate("")</f>
        <v xml:space="preserve">
市值20.949895亿, 利润2121.81万; PE37.98; 平均PE33.07; 平均PEG.83, PB1.65; ROIC8.0933%; ROE10.52%; 股利率1.4114%; 毛利36.7767%; 净利18.67%; 上一年度营收增150.38%, 利润增-75.21%; 当季营收增-40.18%, 利润增-75.28%; 过往5年营收增39.69%, 利润增.73%
Income profile:
</v>
      </c>
      <c r="D51" t="s">
        <v>961</v>
      </c>
      <c r="E51" t="s">
        <v>962</v>
      </c>
      <c r="F51">
        <v>35.54</v>
      </c>
      <c r="G51">
        <v>2.66</v>
      </c>
      <c r="H51" t="s">
        <v>3130</v>
      </c>
      <c r="I51">
        <v>2094989500</v>
      </c>
      <c r="J51">
        <v>37.979999999999997</v>
      </c>
      <c r="K51">
        <v>1.65</v>
      </c>
      <c r="L51" t="s">
        <v>40</v>
      </c>
      <c r="M51" t="s">
        <v>1099</v>
      </c>
      <c r="N51" t="s">
        <v>3131</v>
      </c>
      <c r="O51" t="s">
        <v>2016</v>
      </c>
      <c r="P51">
        <v>9.39</v>
      </c>
      <c r="Q51" t="s">
        <v>749</v>
      </c>
      <c r="R51">
        <v>5406483</v>
      </c>
      <c r="S51" s="3">
        <v>-0.60880000000000001</v>
      </c>
      <c r="T51" t="s">
        <v>3132</v>
      </c>
      <c r="U51">
        <v>18347368</v>
      </c>
      <c r="V51">
        <v>58947368</v>
      </c>
      <c r="W51">
        <v>1.38</v>
      </c>
      <c r="X51">
        <v>0.05</v>
      </c>
      <c r="Y51">
        <v>4.3099999999999996</v>
      </c>
      <c r="Z51" t="s">
        <v>3133</v>
      </c>
      <c r="AA51" t="s">
        <v>3134</v>
      </c>
      <c r="AB51" t="s">
        <v>2068</v>
      </c>
      <c r="AC51" t="s">
        <v>3135</v>
      </c>
      <c r="AD51" t="s">
        <v>47</v>
      </c>
      <c r="AE51">
        <v>-1578462</v>
      </c>
      <c r="AF51" t="s">
        <v>2018</v>
      </c>
      <c r="AG51" t="s">
        <v>3136</v>
      </c>
      <c r="AH51" t="s">
        <v>2019</v>
      </c>
      <c r="AI51" t="s">
        <v>1539</v>
      </c>
      <c r="AJ51" t="s">
        <v>2020</v>
      </c>
      <c r="AK51" t="s">
        <v>47</v>
      </c>
      <c r="AL51" t="s">
        <v>2021</v>
      </c>
      <c r="AM51" t="s">
        <v>47</v>
      </c>
      <c r="AN51" t="s">
        <v>1118</v>
      </c>
      <c r="AO51" t="s">
        <v>43</v>
      </c>
      <c r="AP51" t="s">
        <v>47</v>
      </c>
      <c r="AQ51" t="s">
        <v>3137</v>
      </c>
      <c r="AR51" t="s">
        <v>47</v>
      </c>
      <c r="AS51" t="s">
        <v>1180</v>
      </c>
      <c r="AT51" t="s">
        <v>68</v>
      </c>
      <c r="AU51" t="s">
        <v>3138</v>
      </c>
      <c r="AV51" t="s">
        <v>609</v>
      </c>
      <c r="AW51" t="s">
        <v>3139</v>
      </c>
      <c r="AX51" t="s">
        <v>977</v>
      </c>
      <c r="AY51" t="s">
        <v>377</v>
      </c>
      <c r="AZ51" t="s">
        <v>462</v>
      </c>
      <c r="BA51" t="s">
        <v>788</v>
      </c>
      <c r="BB51" t="s">
        <v>139</v>
      </c>
      <c r="BC51" t="s">
        <v>2022</v>
      </c>
      <c r="BD51" t="s">
        <v>963</v>
      </c>
      <c r="BE51" t="s">
        <v>964</v>
      </c>
      <c r="BF51" t="s">
        <v>1048</v>
      </c>
      <c r="BG51" t="s">
        <v>1064</v>
      </c>
      <c r="BH51" t="s">
        <v>313</v>
      </c>
      <c r="BI51" t="s">
        <v>143</v>
      </c>
      <c r="BJ51" t="s">
        <v>977</v>
      </c>
      <c r="BK51" t="s">
        <v>2017</v>
      </c>
      <c r="BL51" t="s">
        <v>3140</v>
      </c>
      <c r="BM51" t="s">
        <v>2022</v>
      </c>
      <c r="BN51">
        <v>3.35</v>
      </c>
      <c r="BO51">
        <v>7.83</v>
      </c>
      <c r="BP51">
        <v>13.1</v>
      </c>
      <c r="BQ51">
        <v>5</v>
      </c>
      <c r="BR51">
        <v>8.36</v>
      </c>
      <c r="BS51">
        <v>18.2</v>
      </c>
      <c r="BT51" t="s">
        <v>3141</v>
      </c>
      <c r="BU51" t="s">
        <v>1079</v>
      </c>
      <c r="BV51">
        <v>37.46</v>
      </c>
      <c r="BW51">
        <v>34.840000000000003</v>
      </c>
      <c r="BX51">
        <v>38.03</v>
      </c>
      <c r="BY51">
        <v>15.79</v>
      </c>
      <c r="BZ51">
        <v>21.34</v>
      </c>
      <c r="CA51">
        <v>18.88</v>
      </c>
      <c r="CB51">
        <v>-5.58</v>
      </c>
      <c r="CC51">
        <v>-12</v>
      </c>
      <c r="CD51" t="s">
        <v>3142</v>
      </c>
      <c r="CE51" t="s">
        <v>3143</v>
      </c>
      <c r="CF51" s="8">
        <v>-0.4017617283950618</v>
      </c>
      <c r="CG51" s="9">
        <v>-0.75280694053905772</v>
      </c>
      <c r="CH51" s="8">
        <v>1.5037593841552734</v>
      </c>
      <c r="CI51" s="8">
        <v>-3.8554217666387558E-2</v>
      </c>
      <c r="CJ51" s="8">
        <v>9.4986803829669952E-2</v>
      </c>
      <c r="CK51" s="8">
        <v>0.19936709105968475</v>
      </c>
      <c r="CL51" s="8">
        <v>0.22480620443820953</v>
      </c>
      <c r="CM51" s="9">
        <v>-0.75213134288787842</v>
      </c>
      <c r="CN51" s="9">
        <v>9.3370966613292694E-2</v>
      </c>
      <c r="CO51" s="9">
        <v>-0.10163573920726776</v>
      </c>
      <c r="CP51" s="9">
        <v>0.37886494398117065</v>
      </c>
      <c r="CQ51" s="9">
        <v>0.41782811284065247</v>
      </c>
      <c r="CR51">
        <v>33.074995362372988</v>
      </c>
      <c r="CS51">
        <v>0.83338979804115254</v>
      </c>
      <c r="CT51">
        <v>1.4113626899268432</v>
      </c>
      <c r="CU51" s="8">
        <v>0.39687305316329002</v>
      </c>
      <c r="CV51" s="9">
        <v>7.2593882679939268E-3</v>
      </c>
      <c r="CW51">
        <v>0.06</v>
      </c>
      <c r="CX51">
        <v>46.56396087890446</v>
      </c>
      <c r="CY51">
        <v>27961313.329550944</v>
      </c>
      <c r="CZ51">
        <v>0.39687305316329002</v>
      </c>
      <c r="DA51">
        <v>11.848124253974403</v>
      </c>
      <c r="DB51">
        <v>109889926.21032424</v>
      </c>
      <c r="DC51">
        <v>0.37702940050512551</v>
      </c>
      <c r="DD51">
        <v>4.0436058206973655</v>
      </c>
      <c r="DE51">
        <v>321987245.47672582</v>
      </c>
      <c r="DF51">
        <v>0.34924828678369524</v>
      </c>
      <c r="DG51">
        <v>1.5377164486077399</v>
      </c>
      <c r="DH51">
        <v>846703240.49588668</v>
      </c>
      <c r="DI51">
        <v>0.31749844253063203</v>
      </c>
      <c r="DJ51">
        <v>0.25513178722730451</v>
      </c>
      <c r="DK51">
        <v>5103203776.1724253</v>
      </c>
      <c r="DL51">
        <v>0.27781113721430301</v>
      </c>
      <c r="DM51">
        <v>21218100</v>
      </c>
      <c r="DN51">
        <v>0.39687305316329002</v>
      </c>
      <c r="DO51">
        <v>1301989500</v>
      </c>
      <c r="DP51">
        <v>801492750</v>
      </c>
      <c r="DQ51">
        <v>2539</v>
      </c>
      <c r="DR51">
        <v>-0.79863478155835188</v>
      </c>
      <c r="DS51">
        <v>-0.76006632880705161</v>
      </c>
      <c r="DT51" s="10">
        <v>0.10999999999999995</v>
      </c>
      <c r="DU51">
        <v>-0.55666666666666675</v>
      </c>
      <c r="DV51">
        <v>-0.44666666666666682</v>
      </c>
      <c r="DW51">
        <v>-8.4649999999999999</v>
      </c>
      <c r="DX51">
        <v>0.41308708450748782</v>
      </c>
      <c r="DY51">
        <v>-8.0432854942959811</v>
      </c>
      <c r="DZ51">
        <v>2</v>
      </c>
      <c r="EA51">
        <v>-8.0432685528109342</v>
      </c>
      <c r="EB51">
        <v>8</v>
      </c>
      <c r="EC51">
        <v>1.5074464393389031E-2</v>
      </c>
      <c r="ED51">
        <v>0.16193937615670984</v>
      </c>
      <c r="EE51" s="11">
        <v>3.95E-2</v>
      </c>
      <c r="EF51">
        <v>6.8000000000000005E-3</v>
      </c>
      <c r="EG51">
        <v>32.093087084507488</v>
      </c>
      <c r="EH51" t="s">
        <v>888</v>
      </c>
      <c r="EI51">
        <v>0</v>
      </c>
      <c r="EJ51">
        <v>1</v>
      </c>
      <c r="EK51" s="13">
        <v>45470</v>
      </c>
      <c r="EL51" s="14">
        <v>5.03</v>
      </c>
      <c r="EM51" s="14">
        <v>-0.82</v>
      </c>
      <c r="EN51" s="14">
        <v>-3.51</v>
      </c>
      <c r="EO51" s="14">
        <v>-1.69</v>
      </c>
      <c r="EP51" s="14">
        <v>-3.27</v>
      </c>
    </row>
    <row r="52" spans="1:146" ht="96" x14ac:dyDescent="0.25">
      <c r="A52" s="7"/>
      <c r="B52" s="7"/>
      <c r="C52" s="7" t="str">
        <f>""&amp;CHAR(10)&amp;Basic_Fundamental_Information_Constructure(F52)&amp;CHAR(10)&amp;Basic_Fundamental_Information_Concatenate("")</f>
        <v xml:space="preserve">
市值23.07998亿, 利润214.24万; PE18.96; 平均PE28.55; 平均PEG.34, PB1.26; ROIC15.7033%; ROE14.9733%; 股利率2.1186%; 毛利41.1767%; 净利30.5833%; 上一年度营收增216.13%, 利润增-98.68%; 当季营收增-67.83%, 利润增19.73%; 过往5年营收增82.89%, 利润增60.41%
Income profile:
</v>
      </c>
      <c r="D52" t="s">
        <v>965</v>
      </c>
      <c r="E52" t="s">
        <v>966</v>
      </c>
      <c r="F52">
        <v>18.88</v>
      </c>
      <c r="G52">
        <v>3.23</v>
      </c>
      <c r="H52" t="s">
        <v>3144</v>
      </c>
      <c r="I52">
        <v>2307998000</v>
      </c>
      <c r="J52">
        <v>18.96</v>
      </c>
      <c r="K52">
        <v>1.26</v>
      </c>
      <c r="L52" t="s">
        <v>40</v>
      </c>
      <c r="M52" t="s">
        <v>268</v>
      </c>
      <c r="N52" t="s">
        <v>3145</v>
      </c>
      <c r="O52" t="s">
        <v>277</v>
      </c>
      <c r="P52">
        <v>65.52</v>
      </c>
      <c r="Q52" t="s">
        <v>2143</v>
      </c>
      <c r="R52">
        <v>25045442</v>
      </c>
      <c r="S52" s="3">
        <v>0.57730000000000004</v>
      </c>
      <c r="T52" t="s">
        <v>3146</v>
      </c>
      <c r="U52">
        <v>44245658</v>
      </c>
      <c r="V52">
        <v>122245658</v>
      </c>
      <c r="W52">
        <v>1.06</v>
      </c>
      <c r="X52">
        <v>0.06</v>
      </c>
      <c r="Y52">
        <v>22.64</v>
      </c>
      <c r="Z52" t="s">
        <v>3147</v>
      </c>
      <c r="AA52" t="s">
        <v>3148</v>
      </c>
      <c r="AB52" t="s">
        <v>3149</v>
      </c>
      <c r="AC52" t="s">
        <v>3150</v>
      </c>
      <c r="AD52" t="s">
        <v>47</v>
      </c>
      <c r="AE52">
        <v>-2178765</v>
      </c>
      <c r="AF52" t="s">
        <v>2023</v>
      </c>
      <c r="AG52" t="s">
        <v>47</v>
      </c>
      <c r="AH52" t="s">
        <v>2025</v>
      </c>
      <c r="AI52" t="s">
        <v>1549</v>
      </c>
      <c r="AJ52" t="s">
        <v>2026</v>
      </c>
      <c r="AK52" t="s">
        <v>47</v>
      </c>
      <c r="AL52" t="s">
        <v>2027</v>
      </c>
      <c r="AM52" t="s">
        <v>47</v>
      </c>
      <c r="AN52" t="s">
        <v>533</v>
      </c>
      <c r="AO52" t="s">
        <v>47</v>
      </c>
      <c r="AP52" t="s">
        <v>47</v>
      </c>
      <c r="AQ52" t="s">
        <v>3151</v>
      </c>
      <c r="AR52" t="s">
        <v>47</v>
      </c>
      <c r="AS52" t="s">
        <v>88</v>
      </c>
      <c r="AT52" t="s">
        <v>47</v>
      </c>
      <c r="AU52" t="s">
        <v>3152</v>
      </c>
      <c r="AV52" t="s">
        <v>3153</v>
      </c>
      <c r="AW52" t="s">
        <v>3154</v>
      </c>
      <c r="AX52" t="s">
        <v>184</v>
      </c>
      <c r="AY52" t="s">
        <v>80</v>
      </c>
      <c r="AZ52" t="s">
        <v>967</v>
      </c>
      <c r="BA52" t="s">
        <v>120</v>
      </c>
      <c r="BB52" t="s">
        <v>175</v>
      </c>
      <c r="BC52" t="s">
        <v>143</v>
      </c>
      <c r="BD52" t="s">
        <v>190</v>
      </c>
      <c r="BE52" t="s">
        <v>165</v>
      </c>
      <c r="BF52" t="s">
        <v>968</v>
      </c>
      <c r="BG52" t="s">
        <v>969</v>
      </c>
      <c r="BH52" t="s">
        <v>1504</v>
      </c>
      <c r="BI52" t="s">
        <v>1050</v>
      </c>
      <c r="BJ52" t="s">
        <v>184</v>
      </c>
      <c r="BK52" t="s">
        <v>405</v>
      </c>
      <c r="BL52" t="s">
        <v>3155</v>
      </c>
      <c r="BM52" t="s">
        <v>143</v>
      </c>
      <c r="BN52">
        <v>4.8499999999999996</v>
      </c>
      <c r="BO52">
        <v>13.62</v>
      </c>
      <c r="BP52">
        <v>28.64</v>
      </c>
      <c r="BQ52">
        <v>5.26</v>
      </c>
      <c r="BR52">
        <v>10.28</v>
      </c>
      <c r="BS52">
        <v>29.38</v>
      </c>
      <c r="BT52" t="s">
        <v>1324</v>
      </c>
      <c r="BU52" t="s">
        <v>1079</v>
      </c>
      <c r="BV52">
        <v>38.880000000000003</v>
      </c>
      <c r="BW52">
        <v>40.79</v>
      </c>
      <c r="BX52">
        <v>43.86</v>
      </c>
      <c r="BY52">
        <v>27.42</v>
      </c>
      <c r="BZ52">
        <v>34.770000000000003</v>
      </c>
      <c r="CA52">
        <v>29.56</v>
      </c>
      <c r="CB52">
        <v>0.27</v>
      </c>
      <c r="CC52">
        <v>-13.2</v>
      </c>
      <c r="CD52" t="s">
        <v>3156</v>
      </c>
      <c r="CE52" t="s">
        <v>3157</v>
      </c>
      <c r="CF52" s="8">
        <v>-0.67826086956521736</v>
      </c>
      <c r="CG52" s="9">
        <v>0.19726953744956691</v>
      </c>
      <c r="CH52" s="8">
        <v>2.1612904071807861</v>
      </c>
      <c r="CI52" s="8">
        <v>5.203619971871376E-2</v>
      </c>
      <c r="CJ52" s="8">
        <v>-0.124752476811409</v>
      </c>
      <c r="CK52" s="8">
        <v>1.7900552749633789</v>
      </c>
      <c r="CL52" s="8">
        <v>0.26573425531387329</v>
      </c>
      <c r="CM52" s="9">
        <v>-0.98677527904510498</v>
      </c>
      <c r="CN52" s="9">
        <v>0.23664122819900513</v>
      </c>
      <c r="CO52" s="9">
        <v>-4.3795619159936905E-2</v>
      </c>
      <c r="CP52" s="9">
        <v>3.2371437549591064</v>
      </c>
      <c r="CQ52" s="9">
        <v>0.57735520601272583</v>
      </c>
      <c r="CR52">
        <v>28.554095087198522</v>
      </c>
      <c r="CS52">
        <v>0.34449311676332667</v>
      </c>
      <c r="CT52">
        <v>2.1186440677966103</v>
      </c>
      <c r="CU52" s="8">
        <v>0.82887273207306866</v>
      </c>
      <c r="CV52" s="9">
        <v>0.6041138581931591</v>
      </c>
      <c r="CW52">
        <v>0.06</v>
      </c>
      <c r="CX52">
        <v>162.04931260879192</v>
      </c>
      <c r="CY52">
        <v>3696393.3407484358</v>
      </c>
      <c r="CZ52">
        <v>0.82887273207306866</v>
      </c>
      <c r="DA52">
        <v>29.984707502712677</v>
      </c>
      <c r="DB52">
        <v>19976783.163411196</v>
      </c>
      <c r="DC52">
        <v>0.7874290954694152</v>
      </c>
      <c r="DD52">
        <v>6.0593835485496035</v>
      </c>
      <c r="DE52">
        <v>98854610.40725477</v>
      </c>
      <c r="DF52">
        <v>0.72940800422430041</v>
      </c>
      <c r="DG52">
        <v>1.134243111840471</v>
      </c>
      <c r="DH52">
        <v>528103714.05124992</v>
      </c>
      <c r="DI52">
        <v>0.66309818565845502</v>
      </c>
      <c r="DJ52">
        <v>3.1329480099632601E-2</v>
      </c>
      <c r="DK52">
        <v>19119308654.184288</v>
      </c>
      <c r="DL52">
        <v>0.58021091245114798</v>
      </c>
      <c r="DM52">
        <v>2142400</v>
      </c>
      <c r="DN52">
        <v>0.82887273207306866</v>
      </c>
      <c r="DO52">
        <v>598998000</v>
      </c>
      <c r="DP52">
        <v>1226982110</v>
      </c>
      <c r="DQ52">
        <v>2562</v>
      </c>
      <c r="DR52">
        <v>-1.5071336016382859</v>
      </c>
      <c r="DS52">
        <v>-0.40684432074359222</v>
      </c>
      <c r="DT52" s="10">
        <v>0.19333333333333327</v>
      </c>
      <c r="DU52">
        <v>0.56833333333333325</v>
      </c>
      <c r="DV52">
        <v>0.76166666666666649</v>
      </c>
      <c r="DW52">
        <v>-2.1320000000000001</v>
      </c>
      <c r="DX52">
        <v>0.39532185198567238</v>
      </c>
      <c r="DY52">
        <v>-2.0297424844621088</v>
      </c>
      <c r="DZ52">
        <v>1302</v>
      </c>
      <c r="EA52">
        <v>-2.0221642623936811</v>
      </c>
      <c r="EB52">
        <v>2</v>
      </c>
      <c r="EC52">
        <v>7.6009243616652622E-2</v>
      </c>
      <c r="ED52">
        <v>0.3373363166812845</v>
      </c>
      <c r="EE52" s="11">
        <v>1.03091</v>
      </c>
      <c r="EF52">
        <v>1.0616099999999999</v>
      </c>
      <c r="EG52">
        <v>17.225321851985672</v>
      </c>
      <c r="EH52" t="s">
        <v>1228</v>
      </c>
      <c r="EI52">
        <v>0</v>
      </c>
      <c r="EJ52">
        <v>1</v>
      </c>
      <c r="EK52" s="13">
        <v>45470</v>
      </c>
      <c r="EL52" s="14">
        <v>1.62</v>
      </c>
      <c r="EM52" s="14">
        <v>-5.61</v>
      </c>
      <c r="EN52" s="14">
        <v>0.9</v>
      </c>
      <c r="EO52" s="14">
        <v>2.71</v>
      </c>
      <c r="EP52" s="14">
        <v>-3.07</v>
      </c>
    </row>
    <row r="53" spans="1:146" ht="96" x14ac:dyDescent="0.25">
      <c r="A53" s="7"/>
      <c r="B53" s="7"/>
      <c r="C53" s="7" t="str">
        <f>""&amp;CHAR(10)&amp;Basic_Fundamental_Information_Constructure(F53)&amp;CHAR(10)&amp;Basic_Fundamental_Information_Concatenate("")</f>
        <v xml:space="preserve">
市值14.688亿, 利润1.07亿; PE25.69; 平均PE22.61; 平均PEG.52, PB1.93; ROIC15.9733%; ROE17.1667%; 股利率1.8519%; 毛利22.0967%; 净利12.5267%; 上一年度营收增192.87%, 利润增50.85%; 当季营收增-62.48%, 利润增157.11%; 过往5年营收增43.37%, 利润增27.78%
Income profile:
</v>
      </c>
      <c r="D53" t="s">
        <v>1094</v>
      </c>
      <c r="E53" t="s">
        <v>1095</v>
      </c>
      <c r="F53">
        <v>21.6</v>
      </c>
      <c r="G53">
        <v>3.4</v>
      </c>
      <c r="H53" t="s">
        <v>3158</v>
      </c>
      <c r="I53">
        <v>1468800000</v>
      </c>
      <c r="J53">
        <v>25.69</v>
      </c>
      <c r="K53">
        <v>1.93</v>
      </c>
      <c r="L53" t="s">
        <v>40</v>
      </c>
      <c r="M53" t="s">
        <v>2028</v>
      </c>
      <c r="N53" t="s">
        <v>1442</v>
      </c>
      <c r="O53" t="s">
        <v>2029</v>
      </c>
      <c r="P53">
        <v>-23.28</v>
      </c>
      <c r="Q53" t="s">
        <v>3159</v>
      </c>
      <c r="R53">
        <v>9884676</v>
      </c>
      <c r="S53" s="3">
        <v>-0.23769999999999999</v>
      </c>
      <c r="T53" t="s">
        <v>87</v>
      </c>
      <c r="U53">
        <v>18428000</v>
      </c>
      <c r="V53">
        <v>68000000</v>
      </c>
      <c r="W53">
        <v>1.1000000000000001</v>
      </c>
      <c r="X53">
        <v>0.11</v>
      </c>
      <c r="Y53">
        <v>10.98</v>
      </c>
      <c r="Z53" t="s">
        <v>3160</v>
      </c>
      <c r="AA53" t="s">
        <v>3161</v>
      </c>
      <c r="AB53" t="s">
        <v>3162</v>
      </c>
      <c r="AC53" t="s">
        <v>3163</v>
      </c>
      <c r="AD53" t="s">
        <v>47</v>
      </c>
      <c r="AE53">
        <v>-2895153</v>
      </c>
      <c r="AF53" t="s">
        <v>2031</v>
      </c>
      <c r="AG53">
        <v>50</v>
      </c>
      <c r="AH53" t="s">
        <v>2032</v>
      </c>
      <c r="AI53" t="s">
        <v>2817</v>
      </c>
      <c r="AJ53" t="s">
        <v>2033</v>
      </c>
      <c r="AK53" t="s">
        <v>3164</v>
      </c>
      <c r="AL53" t="s">
        <v>2034</v>
      </c>
      <c r="AM53" t="s">
        <v>47</v>
      </c>
      <c r="AN53" t="s">
        <v>3165</v>
      </c>
      <c r="AO53" t="s">
        <v>47</v>
      </c>
      <c r="AP53" t="s">
        <v>47</v>
      </c>
      <c r="AQ53" t="s">
        <v>3166</v>
      </c>
      <c r="AR53" t="s">
        <v>47</v>
      </c>
      <c r="AS53" t="s">
        <v>3167</v>
      </c>
      <c r="AT53" t="s">
        <v>47</v>
      </c>
      <c r="AU53" t="s">
        <v>3168</v>
      </c>
      <c r="AV53" t="s">
        <v>3169</v>
      </c>
      <c r="AW53" t="s">
        <v>3170</v>
      </c>
      <c r="AX53" t="s">
        <v>448</v>
      </c>
      <c r="AY53" t="s">
        <v>1096</v>
      </c>
      <c r="AZ53" t="s">
        <v>946</v>
      </c>
      <c r="BA53" t="s">
        <v>1099</v>
      </c>
      <c r="BB53" t="s">
        <v>725</v>
      </c>
      <c r="BC53" t="s">
        <v>2035</v>
      </c>
      <c r="BD53" t="s">
        <v>1097</v>
      </c>
      <c r="BE53" t="s">
        <v>1100</v>
      </c>
      <c r="BF53" t="s">
        <v>1101</v>
      </c>
      <c r="BG53" t="s">
        <v>1102</v>
      </c>
      <c r="BH53" t="s">
        <v>1522</v>
      </c>
      <c r="BI53" t="s">
        <v>317</v>
      </c>
      <c r="BJ53" t="s">
        <v>448</v>
      </c>
      <c r="BK53" t="s">
        <v>2030</v>
      </c>
      <c r="BL53" t="s">
        <v>3171</v>
      </c>
      <c r="BM53" t="s">
        <v>2035</v>
      </c>
      <c r="BN53">
        <v>6.51</v>
      </c>
      <c r="BO53">
        <v>13.9</v>
      </c>
      <c r="BP53">
        <v>27.51</v>
      </c>
      <c r="BQ53">
        <v>7.2</v>
      </c>
      <c r="BR53">
        <v>14.38</v>
      </c>
      <c r="BS53">
        <v>29.92</v>
      </c>
      <c r="BT53" t="s">
        <v>1324</v>
      </c>
      <c r="BU53" t="s">
        <v>1079</v>
      </c>
      <c r="BV53">
        <v>21.31</v>
      </c>
      <c r="BW53">
        <v>22.42</v>
      </c>
      <c r="BX53">
        <v>22.56</v>
      </c>
      <c r="BY53">
        <v>11.29</v>
      </c>
      <c r="BZ53">
        <v>12.96</v>
      </c>
      <c r="CA53">
        <v>13.33</v>
      </c>
      <c r="CB53">
        <v>-0.23</v>
      </c>
      <c r="CC53">
        <v>-7.65</v>
      </c>
      <c r="CD53" t="s">
        <v>3172</v>
      </c>
      <c r="CE53" t="s">
        <v>3173</v>
      </c>
      <c r="CF53" s="8">
        <v>-0.62483250000000001</v>
      </c>
      <c r="CG53" s="9">
        <v>1.5710549698142637</v>
      </c>
      <c r="CH53" s="8">
        <v>1.9287019968032837</v>
      </c>
      <c r="CI53" s="8">
        <v>6.6276803612709045E-2</v>
      </c>
      <c r="CJ53" s="8">
        <v>8.917197585105896E-2</v>
      </c>
      <c r="CK53" s="8">
        <v>-3.2854210585355759E-2</v>
      </c>
      <c r="CL53" s="8">
        <v>0.11697247624397278</v>
      </c>
      <c r="CM53" s="9">
        <v>0.50851899385452271</v>
      </c>
      <c r="CN53" s="9">
        <v>3.7112247198820114E-2</v>
      </c>
      <c r="CO53" s="9">
        <v>0.20526966452598572</v>
      </c>
      <c r="CP53" s="9">
        <v>7.268107682466507E-2</v>
      </c>
      <c r="CQ53" s="9">
        <v>0.56561887264251709</v>
      </c>
      <c r="CR53">
        <v>22.611121701807107</v>
      </c>
      <c r="CS53">
        <v>0.52140950372389827</v>
      </c>
      <c r="CT53">
        <v>1.8518518518518516</v>
      </c>
      <c r="CU53" s="8">
        <v>0.43365380838513373</v>
      </c>
      <c r="CV53" s="9">
        <v>0.27784017100930214</v>
      </c>
      <c r="CW53">
        <v>0.06</v>
      </c>
      <c r="CX53">
        <v>5.5782366026989569</v>
      </c>
      <c r="CY53">
        <v>144717884.43132955</v>
      </c>
      <c r="CZ53">
        <v>0.43365380838513373</v>
      </c>
      <c r="DA53">
        <v>1.3792852298159293</v>
      </c>
      <c r="DB53">
        <v>585281842.03620684</v>
      </c>
      <c r="DC53">
        <v>0.41197111796587704</v>
      </c>
      <c r="DD53">
        <v>0.44993937170850984</v>
      </c>
      <c r="DE53">
        <v>1794176395.2210538</v>
      </c>
      <c r="DF53">
        <v>0.38161535137891767</v>
      </c>
      <c r="DG53">
        <v>0.16113281274738819</v>
      </c>
      <c r="DH53">
        <v>5009970261.3990707</v>
      </c>
      <c r="DI53">
        <v>0.34692304670810703</v>
      </c>
      <c r="DJ53">
        <v>2.288833960400043E-2</v>
      </c>
      <c r="DK53">
        <v>35269950287.652367</v>
      </c>
      <c r="DL53">
        <v>0.3035576658695936</v>
      </c>
      <c r="DM53">
        <v>107000000</v>
      </c>
      <c r="DN53">
        <v>0.43365380838513373</v>
      </c>
      <c r="DO53">
        <v>807270600</v>
      </c>
      <c r="DP53">
        <v>431037010</v>
      </c>
      <c r="DQ53">
        <v>2656</v>
      </c>
      <c r="DR53">
        <v>-1.0584863083851337</v>
      </c>
      <c r="DS53">
        <v>1.2932147988049616</v>
      </c>
      <c r="DT53" s="10">
        <v>-0.14000000000000004</v>
      </c>
      <c r="DU53">
        <v>0.62</v>
      </c>
      <c r="DV53">
        <v>0.48</v>
      </c>
      <c r="DW53">
        <v>-2.0764999999999998</v>
      </c>
      <c r="DX53">
        <v>0.44415591831250967</v>
      </c>
      <c r="DY53">
        <v>-2.0125579277509069</v>
      </c>
      <c r="DZ53">
        <v>1639</v>
      </c>
      <c r="EA53">
        <v>-2.0085300522942071</v>
      </c>
      <c r="EB53">
        <v>2</v>
      </c>
      <c r="EC53">
        <v>5.7497058823529415E-2</v>
      </c>
      <c r="ED53">
        <v>0.35025882352941184</v>
      </c>
      <c r="EE53" s="11">
        <v>5.0731999999999999</v>
      </c>
      <c r="EF53">
        <v>5.0670000000000002</v>
      </c>
      <c r="EG53">
        <v>28.16415591831251</v>
      </c>
      <c r="EH53" t="s">
        <v>2240</v>
      </c>
      <c r="EI53">
        <v>0</v>
      </c>
      <c r="EJ53">
        <v>0</v>
      </c>
      <c r="EK53" s="13">
        <v>45470</v>
      </c>
      <c r="EL53" s="14">
        <v>0.48</v>
      </c>
      <c r="EM53" s="14">
        <v>-4.24</v>
      </c>
      <c r="EN53" s="14">
        <v>1.71</v>
      </c>
      <c r="EO53" s="14">
        <v>2.48</v>
      </c>
      <c r="EP53" s="14">
        <v>-0.62</v>
      </c>
    </row>
    <row r="54" spans="1:146" ht="96" x14ac:dyDescent="0.25">
      <c r="C54" s="7" t="str">
        <f>""&amp;CHAR(10)&amp;Basic_Fundamental_Information_Constructure(F54)&amp;CHAR(10)&amp;Basic_Fundamental_Information_Concatenate("")</f>
        <v xml:space="preserve">
市值19.824303亿, 利润4.98亿; PE20; 平均PE13.39; 平均PEG.06, PB.888; ROIC6.5867%; ROE7.4433%; 股利率3.0318%; 毛利52.6467%; 净利23.79%; 上一年度营收增1019.46%, 利润增383.5%; 当季营收增-87.01%, 利润增-54.75%; 过往5年营收增215.69%, 利润增95.45%
Income profile:
</v>
      </c>
      <c r="D54" t="s">
        <v>1192</v>
      </c>
      <c r="E54" t="s">
        <v>1219</v>
      </c>
      <c r="F54">
        <v>19.79</v>
      </c>
      <c r="G54">
        <v>2.7</v>
      </c>
      <c r="H54" t="s">
        <v>3174</v>
      </c>
      <c r="I54">
        <v>1982430300</v>
      </c>
      <c r="J54">
        <v>20</v>
      </c>
      <c r="K54">
        <v>0.88800000000000001</v>
      </c>
      <c r="L54" t="s">
        <v>40</v>
      </c>
      <c r="M54" t="s">
        <v>231</v>
      </c>
      <c r="N54" t="s">
        <v>3175</v>
      </c>
      <c r="O54" t="s">
        <v>2036</v>
      </c>
      <c r="P54">
        <v>9.27</v>
      </c>
      <c r="Q54" t="s">
        <v>3176</v>
      </c>
      <c r="R54">
        <v>19890651</v>
      </c>
      <c r="S54">
        <v>0.1056</v>
      </c>
      <c r="T54" t="s">
        <v>866</v>
      </c>
      <c r="U54">
        <v>68179150</v>
      </c>
      <c r="V54">
        <v>100173334</v>
      </c>
      <c r="W54">
        <v>1.05</v>
      </c>
      <c r="X54">
        <v>0.04</v>
      </c>
      <c r="Y54">
        <v>21.34</v>
      </c>
      <c r="Z54" t="s">
        <v>3177</v>
      </c>
      <c r="AA54" t="s">
        <v>3178</v>
      </c>
      <c r="AB54" t="s">
        <v>3179</v>
      </c>
      <c r="AC54" t="s">
        <v>3180</v>
      </c>
      <c r="AD54" t="s">
        <v>47</v>
      </c>
      <c r="AE54">
        <v>-1724610</v>
      </c>
      <c r="AF54" t="s">
        <v>2038</v>
      </c>
      <c r="AG54" t="s">
        <v>3181</v>
      </c>
      <c r="AH54" t="s">
        <v>2039</v>
      </c>
      <c r="AI54" t="s">
        <v>317</v>
      </c>
      <c r="AJ54" t="s">
        <v>2040</v>
      </c>
      <c r="AK54" t="s">
        <v>3182</v>
      </c>
      <c r="AL54" t="s">
        <v>2041</v>
      </c>
      <c r="AM54" t="s">
        <v>47</v>
      </c>
      <c r="AN54" t="s">
        <v>3183</v>
      </c>
      <c r="AO54" t="s">
        <v>3184</v>
      </c>
      <c r="AP54" t="s">
        <v>3185</v>
      </c>
      <c r="AQ54" t="s">
        <v>3186</v>
      </c>
      <c r="AR54" t="s">
        <v>47</v>
      </c>
      <c r="AS54" t="s">
        <v>3187</v>
      </c>
      <c r="AT54" t="s">
        <v>47</v>
      </c>
      <c r="AU54" t="s">
        <v>3188</v>
      </c>
      <c r="AV54" t="s">
        <v>3189</v>
      </c>
      <c r="AW54" t="s">
        <v>3190</v>
      </c>
      <c r="AX54" t="s">
        <v>80</v>
      </c>
      <c r="AY54" t="s">
        <v>223</v>
      </c>
      <c r="AZ54" t="s">
        <v>404</v>
      </c>
      <c r="BA54" t="s">
        <v>186</v>
      </c>
      <c r="BB54" t="s">
        <v>785</v>
      </c>
      <c r="BC54" t="s">
        <v>246</v>
      </c>
      <c r="BD54" t="s">
        <v>271</v>
      </c>
      <c r="BE54" t="s">
        <v>1193</v>
      </c>
      <c r="BF54" t="s">
        <v>1194</v>
      </c>
      <c r="BG54" t="s">
        <v>1195</v>
      </c>
      <c r="BH54" t="s">
        <v>44</v>
      </c>
      <c r="BI54" t="s">
        <v>2631</v>
      </c>
      <c r="BJ54" t="s">
        <v>80</v>
      </c>
      <c r="BK54" t="s">
        <v>2037</v>
      </c>
      <c r="BL54" t="s">
        <v>3191</v>
      </c>
      <c r="BM54" t="s">
        <v>246</v>
      </c>
      <c r="BN54">
        <v>2.98</v>
      </c>
      <c r="BO54">
        <v>6.13</v>
      </c>
      <c r="BP54">
        <v>10.65</v>
      </c>
      <c r="BQ54">
        <v>3.24</v>
      </c>
      <c r="BR54">
        <v>8.4</v>
      </c>
      <c r="BS54">
        <v>10.69</v>
      </c>
      <c r="BT54" t="s">
        <v>1218</v>
      </c>
      <c r="BU54" t="s">
        <v>1079</v>
      </c>
      <c r="BV54">
        <v>48.28</v>
      </c>
      <c r="BW54">
        <v>52.28</v>
      </c>
      <c r="BX54">
        <v>57.38</v>
      </c>
      <c r="BY54">
        <v>23.03</v>
      </c>
      <c r="BZ54">
        <v>23.46</v>
      </c>
      <c r="CA54">
        <v>24.88</v>
      </c>
      <c r="CB54">
        <v>-0.6</v>
      </c>
      <c r="CC54" s="8">
        <v>-8.2100000000000009</v>
      </c>
      <c r="CD54" s="9" t="s">
        <v>3192</v>
      </c>
      <c r="CE54" s="8" t="s">
        <v>3193</v>
      </c>
      <c r="CF54" s="8">
        <v>-0.87013479490806223</v>
      </c>
      <c r="CG54" s="8">
        <v>-0.54748311932950533</v>
      </c>
      <c r="CH54" s="8">
        <v>10.19456958770752</v>
      </c>
      <c r="CI54" s="8">
        <v>-8.9686103165149689E-3</v>
      </c>
      <c r="CJ54" s="9">
        <v>0.1925133615732193</v>
      </c>
      <c r="CK54" s="9">
        <v>0.26351350545883179</v>
      </c>
      <c r="CL54" s="9">
        <v>0.1428571492433548</v>
      </c>
      <c r="CM54" s="9">
        <v>3.8349514007568359</v>
      </c>
      <c r="CN54" s="9">
        <v>-6.3636362552642822E-2</v>
      </c>
      <c r="CO54">
        <v>0.38012552261352539</v>
      </c>
      <c r="CP54">
        <v>0.68224102258682251</v>
      </c>
      <c r="CQ54">
        <v>-6.1337295919656754E-2</v>
      </c>
      <c r="CR54" s="8">
        <v>13.386404179631041</v>
      </c>
      <c r="CS54" s="9">
        <v>6.206325191927433E-2</v>
      </c>
      <c r="CT54">
        <v>3.0318342597271348</v>
      </c>
      <c r="CU54">
        <v>2.156896998733282</v>
      </c>
      <c r="CV54">
        <v>0.95446885749697685</v>
      </c>
      <c r="CW54">
        <v>0.06</v>
      </c>
      <c r="CX54" t="s">
        <v>1584</v>
      </c>
      <c r="CY54">
        <v>1483145948.4614856</v>
      </c>
      <c r="CZ54">
        <v>2.156896998733282</v>
      </c>
      <c r="DA54" t="s">
        <v>1584</v>
      </c>
      <c r="DB54">
        <v>17405354642.705112</v>
      </c>
      <c r="DC54">
        <v>2.0490521487966178</v>
      </c>
      <c r="DD54" t="s">
        <v>1584</v>
      </c>
      <c r="DE54">
        <v>327154270851.19135</v>
      </c>
      <c r="DF54">
        <v>1.8980693588852882</v>
      </c>
      <c r="DG54" t="s">
        <v>1584</v>
      </c>
      <c r="DH54">
        <v>10292620880215.555</v>
      </c>
      <c r="DI54">
        <v>1.7255175989866256</v>
      </c>
      <c r="DJ54" t="s">
        <v>1584</v>
      </c>
      <c r="DK54">
        <v>2.6443465179715884E+16</v>
      </c>
      <c r="DL54">
        <v>1.5098278991132974</v>
      </c>
      <c r="DM54">
        <v>498000000.00000006</v>
      </c>
      <c r="DN54">
        <v>2.156896998733282</v>
      </c>
      <c r="DO54">
        <v>-111569700</v>
      </c>
      <c r="DP54">
        <v>1280161200</v>
      </c>
      <c r="DQ54" s="10">
        <v>2696</v>
      </c>
      <c r="DR54">
        <v>-3.0270317936413442</v>
      </c>
      <c r="DS54">
        <v>-1.5019519768264822</v>
      </c>
      <c r="DT54">
        <v>0.10999999999999995</v>
      </c>
      <c r="DU54">
        <v>0.44666666666666671</v>
      </c>
      <c r="DV54">
        <v>0.55666666666666664</v>
      </c>
      <c r="DW54">
        <v>-2.0821000000000001</v>
      </c>
      <c r="DX54">
        <v>0.35205473718320857</v>
      </c>
      <c r="DY54">
        <v>-2.0116626939227413</v>
      </c>
      <c r="DZ54">
        <v>1727</v>
      </c>
      <c r="EA54">
        <v>-2.0077211141958187</v>
      </c>
      <c r="EB54" s="11">
        <v>2</v>
      </c>
      <c r="EC54">
        <v>3.1508385255501231E-2</v>
      </c>
      <c r="ED54">
        <v>0.22180453732327607</v>
      </c>
      <c r="EE54">
        <v>6.1460999999999997</v>
      </c>
      <c r="EF54">
        <v>6.1203000000000003</v>
      </c>
      <c r="EG54">
        <v>21.142054737183209</v>
      </c>
      <c r="EH54" s="13" t="s">
        <v>3194</v>
      </c>
      <c r="EI54" s="14">
        <v>0</v>
      </c>
      <c r="EJ54" s="14">
        <v>0</v>
      </c>
      <c r="EK54" s="14">
        <v>45470</v>
      </c>
      <c r="EL54" s="14">
        <v>-4.09</v>
      </c>
      <c r="EM54" s="14">
        <v>0.67</v>
      </c>
      <c r="EN54" s="14">
        <v>-0.52</v>
      </c>
      <c r="EO54" s="14">
        <v>13.12</v>
      </c>
      <c r="EP54" s="14">
        <v>-2.58</v>
      </c>
    </row>
    <row r="55" spans="1:146" ht="96" x14ac:dyDescent="0.25">
      <c r="C55" s="7" t="str">
        <f>""&amp;CHAR(10)&amp;Basic_Fundamental_Information_Constructure(F55)&amp;CHAR(10)&amp;Basic_Fundamental_Information_Concatenate("")</f>
        <v xml:space="preserve">
市值115.125446亿, 利润3395.43万; PE43.78; 平均PE50.53; 平均PEG6.82, PB3.57; ROIC16.3367%; ROE18.4733%; 股利率.5652%; 毛利43.0467%; 净利26.3633%; 上一年度营收增-62.61%, 利润增-91.55%; 当季营收增166.04%, 利润增268.57%; 过往5年营收增7.41%, 利润增9.32%
Income profile:
</v>
      </c>
      <c r="D55" t="s">
        <v>1148</v>
      </c>
      <c r="E55" t="s">
        <v>1185</v>
      </c>
      <c r="F55">
        <v>28.31</v>
      </c>
      <c r="G55">
        <v>2.87</v>
      </c>
      <c r="H55" t="s">
        <v>3195</v>
      </c>
      <c r="I55">
        <v>11512544600</v>
      </c>
      <c r="J55">
        <v>43.78</v>
      </c>
      <c r="K55">
        <v>3.57</v>
      </c>
      <c r="L55" t="s">
        <v>40</v>
      </c>
      <c r="M55" t="s">
        <v>1488</v>
      </c>
      <c r="N55" t="s">
        <v>3196</v>
      </c>
      <c r="O55" t="s">
        <v>492</v>
      </c>
      <c r="P55">
        <v>-23.34</v>
      </c>
      <c r="Q55" t="s">
        <v>3197</v>
      </c>
      <c r="R55">
        <v>58039870</v>
      </c>
      <c r="S55">
        <v>-0.46460000000000001</v>
      </c>
      <c r="T55" t="s">
        <v>3198</v>
      </c>
      <c r="U55">
        <v>112160000</v>
      </c>
      <c r="V55">
        <v>406660000</v>
      </c>
      <c r="W55">
        <v>1.1000000000000001</v>
      </c>
      <c r="X55">
        <v>0.08</v>
      </c>
      <c r="Y55">
        <v>20.61</v>
      </c>
      <c r="Z55" t="s">
        <v>1494</v>
      </c>
      <c r="AA55" t="s">
        <v>293</v>
      </c>
      <c r="AB55" t="s">
        <v>3199</v>
      </c>
      <c r="AC55" t="s">
        <v>3200</v>
      </c>
      <c r="AD55" t="s">
        <v>47</v>
      </c>
      <c r="AE55">
        <v>-13052943</v>
      </c>
      <c r="AF55" t="s">
        <v>2043</v>
      </c>
      <c r="AG55">
        <v>3111.85</v>
      </c>
      <c r="AH55" t="s">
        <v>2044</v>
      </c>
      <c r="AI55" t="s">
        <v>3201</v>
      </c>
      <c r="AJ55" t="s">
        <v>2046</v>
      </c>
      <c r="AK55" t="s">
        <v>3202</v>
      </c>
      <c r="AL55" t="s">
        <v>2047</v>
      </c>
      <c r="AM55" t="s">
        <v>47</v>
      </c>
      <c r="AN55" t="s">
        <v>120</v>
      </c>
      <c r="AO55" t="s">
        <v>47</v>
      </c>
      <c r="AP55" t="s">
        <v>3203</v>
      </c>
      <c r="AQ55" t="s">
        <v>190</v>
      </c>
      <c r="AR55" t="s">
        <v>47</v>
      </c>
      <c r="AS55" t="s">
        <v>1180</v>
      </c>
      <c r="AT55" t="s">
        <v>47</v>
      </c>
      <c r="AU55" t="s">
        <v>3204</v>
      </c>
      <c r="AV55" t="s">
        <v>1947</v>
      </c>
      <c r="AW55" t="s">
        <v>3205</v>
      </c>
      <c r="AX55" t="s">
        <v>1387</v>
      </c>
      <c r="AY55" t="s">
        <v>1149</v>
      </c>
      <c r="AZ55" t="s">
        <v>1084</v>
      </c>
      <c r="BA55" t="s">
        <v>1150</v>
      </c>
      <c r="BB55" t="s">
        <v>1046</v>
      </c>
      <c r="BC55" t="s">
        <v>244</v>
      </c>
      <c r="BD55" t="s">
        <v>339</v>
      </c>
      <c r="BE55" t="s">
        <v>139</v>
      </c>
      <c r="BF55" t="s">
        <v>69</v>
      </c>
      <c r="BG55" t="s">
        <v>190</v>
      </c>
      <c r="BH55" t="s">
        <v>2042</v>
      </c>
      <c r="BI55" t="s">
        <v>292</v>
      </c>
      <c r="BJ55" t="s">
        <v>1387</v>
      </c>
      <c r="BK55" t="s">
        <v>1569</v>
      </c>
      <c r="BL55" t="s">
        <v>3206</v>
      </c>
      <c r="BM55" t="s">
        <v>244</v>
      </c>
      <c r="BN55">
        <v>8.42</v>
      </c>
      <c r="BO55">
        <v>17.46</v>
      </c>
      <c r="BP55">
        <v>23.13</v>
      </c>
      <c r="BQ55">
        <v>9.68</v>
      </c>
      <c r="BR55">
        <v>21.16</v>
      </c>
      <c r="BS55">
        <v>24.58</v>
      </c>
      <c r="BT55" t="s">
        <v>2048</v>
      </c>
      <c r="BU55" t="s">
        <v>1032</v>
      </c>
      <c r="BV55">
        <v>41.19</v>
      </c>
      <c r="BW55">
        <v>43.04</v>
      </c>
      <c r="BX55">
        <v>44.91</v>
      </c>
      <c r="BY55">
        <v>23.42</v>
      </c>
      <c r="BZ55">
        <v>28.41</v>
      </c>
      <c r="CA55">
        <v>27.26</v>
      </c>
      <c r="CB55">
        <v>-2.38</v>
      </c>
      <c r="CC55" s="1">
        <v>7.89</v>
      </c>
      <c r="CD55" s="1" t="s">
        <v>3207</v>
      </c>
      <c r="CE55" s="1" t="s">
        <v>3208</v>
      </c>
      <c r="CF55" s="8">
        <v>1.6603773584905661</v>
      </c>
      <c r="CG55" s="9">
        <v>2.6857029459018373</v>
      </c>
      <c r="CH55" s="8">
        <v>-0.62614840269088745</v>
      </c>
      <c r="CI55" s="8">
        <v>0.2445032000541687</v>
      </c>
      <c r="CJ55" s="8">
        <v>0.28040534257888794</v>
      </c>
      <c r="CK55" s="8">
        <v>0.19676549732685089</v>
      </c>
      <c r="CL55" s="8">
        <v>0.27491408586502075</v>
      </c>
      <c r="CM55" s="9">
        <v>-0.91553658246994019</v>
      </c>
      <c r="CN55" s="9">
        <v>0.29677417874336243</v>
      </c>
      <c r="CO55" s="9">
        <v>0.20155039429664612</v>
      </c>
      <c r="CP55" s="9">
        <v>0.11206896603107452</v>
      </c>
      <c r="CQ55" s="9">
        <v>0.77099233865737915</v>
      </c>
      <c r="CR55" s="1">
        <v>50.532243543182098</v>
      </c>
      <c r="CS55" s="1">
        <v>6.8205757087364773</v>
      </c>
      <c r="CT55" s="1">
        <v>0.5651713175556341</v>
      </c>
      <c r="CU55" s="8">
        <v>7.4087944626808164E-2</v>
      </c>
      <c r="CV55" s="9">
        <v>9.3169859051704412E-2</v>
      </c>
      <c r="CW55">
        <v>0.06</v>
      </c>
      <c r="CX55">
        <v>250.67291652971727</v>
      </c>
      <c r="CY55">
        <v>34405570.092681155</v>
      </c>
      <c r="CZ55">
        <v>7.4087944626808164E-2</v>
      </c>
      <c r="DA55">
        <v>83.030807251916343</v>
      </c>
      <c r="DB55">
        <v>103871621.69618611</v>
      </c>
      <c r="DC55">
        <v>7.0383547395467747E-2</v>
      </c>
      <c r="DD55">
        <v>41.614069419507267</v>
      </c>
      <c r="DE55">
        <v>207250689.97835395</v>
      </c>
      <c r="DF55">
        <v>6.5197391271591187E-2</v>
      </c>
      <c r="DG55">
        <v>25.496777781278329</v>
      </c>
      <c r="DH55">
        <v>338260178.36390275</v>
      </c>
      <c r="DI55">
        <v>5.9270355701446537E-2</v>
      </c>
      <c r="DJ55">
        <v>13.757167353888301</v>
      </c>
      <c r="DK55">
        <v>626912821.37833226</v>
      </c>
      <c r="DL55">
        <v>5.1861561238765709E-2</v>
      </c>
      <c r="DM55">
        <v>33954300</v>
      </c>
      <c r="DN55">
        <v>7.4087944626808164E-2</v>
      </c>
      <c r="DO55">
        <v>8624544600</v>
      </c>
      <c r="DP55">
        <v>2100563900</v>
      </c>
      <c r="DQ55" s="10">
        <v>2754</v>
      </c>
      <c r="DR55">
        <v>1.586289413863758</v>
      </c>
      <c r="DS55">
        <v>2.5925330868501328</v>
      </c>
      <c r="DT55">
        <v>-0.27333333333333343</v>
      </c>
      <c r="DU55">
        <v>0.15</v>
      </c>
      <c r="DV55">
        <v>-0.12333333333333343</v>
      </c>
      <c r="DW55">
        <v>2.0789</v>
      </c>
      <c r="DX55">
        <v>0.35030909038694702</v>
      </c>
      <c r="DY55">
        <v>2.0079143872315304</v>
      </c>
      <c r="DZ55">
        <v>1377</v>
      </c>
      <c r="EA55">
        <v>2.0057816844491785</v>
      </c>
      <c r="EB55" s="11">
        <v>2</v>
      </c>
      <c r="EC55">
        <v>1.7453400875424189E-2</v>
      </c>
      <c r="ED55">
        <v>0.17399621305267299</v>
      </c>
      <c r="EE55">
        <v>-1.02721</v>
      </c>
      <c r="EF55">
        <v>-1.0257099999999999</v>
      </c>
      <c r="EG55">
        <v>25.100309090386947</v>
      </c>
      <c r="EH55" s="13" t="s">
        <v>1039</v>
      </c>
      <c r="EI55" s="14">
        <v>1</v>
      </c>
      <c r="EJ55" s="14">
        <v>1</v>
      </c>
      <c r="EK55" s="14">
        <v>45470</v>
      </c>
      <c r="EL55" s="14">
        <v>-0.91</v>
      </c>
      <c r="EM55" s="14">
        <v>-5.64</v>
      </c>
      <c r="EN55" s="14">
        <v>2.23</v>
      </c>
      <c r="EO55" s="14">
        <v>3.78</v>
      </c>
      <c r="EP55" s="14">
        <v>0.15</v>
      </c>
    </row>
    <row r="56" spans="1:146" ht="96" x14ac:dyDescent="0.25">
      <c r="C56" s="7" t="str">
        <f>""&amp;CHAR(10)&amp;Basic_Fundamental_Information_Constructure(F56)&amp;CHAR(10)&amp;Basic_Fundamental_Information_Concatenate("")</f>
        <v xml:space="preserve">
市值56亿, 利润2409.07万; PE29.2; 平均PE39.91; 平均PEG.93, PB1.98; ROIC22.3833%; ROE27.75%; 股利率1.6%; 毛利43.67%; 净利25.2067%; 上一年度营收增-69.68%, 利润增-93.66%; 当季营收增129.68%, 利润增522.66%; 过往5年营收增43.14%, 利润增114.73%
Income profile:
</v>
      </c>
      <c r="D56" t="s">
        <v>1152</v>
      </c>
      <c r="E56" t="s">
        <v>1153</v>
      </c>
      <c r="F56">
        <v>62.5</v>
      </c>
      <c r="G56">
        <v>5.08</v>
      </c>
      <c r="H56" t="s">
        <v>3209</v>
      </c>
      <c r="I56">
        <v>5600000000</v>
      </c>
      <c r="J56">
        <v>29.2</v>
      </c>
      <c r="K56">
        <v>1.98</v>
      </c>
      <c r="L56" t="s">
        <v>40</v>
      </c>
      <c r="M56" t="s">
        <v>283</v>
      </c>
      <c r="N56" t="s">
        <v>3210</v>
      </c>
      <c r="O56" t="s">
        <v>1348</v>
      </c>
      <c r="P56">
        <v>-60.02</v>
      </c>
      <c r="Q56" t="s">
        <v>307</v>
      </c>
      <c r="R56">
        <v>49913781</v>
      </c>
      <c r="S56">
        <v>-0.67889999999999995</v>
      </c>
      <c r="T56" t="s">
        <v>3211</v>
      </c>
      <c r="U56">
        <v>56524786</v>
      </c>
      <c r="V56">
        <v>89600000</v>
      </c>
      <c r="W56">
        <v>1.05</v>
      </c>
      <c r="X56">
        <v>7.0000000000000007E-2</v>
      </c>
      <c r="Y56">
        <v>26.32</v>
      </c>
      <c r="Z56" t="s">
        <v>757</v>
      </c>
      <c r="AA56" t="s">
        <v>3212</v>
      </c>
      <c r="AB56" t="s">
        <v>3213</v>
      </c>
      <c r="AC56" t="s">
        <v>3214</v>
      </c>
      <c r="AD56" t="s">
        <v>47</v>
      </c>
      <c r="AE56">
        <v>-1597290</v>
      </c>
      <c r="AF56" t="s">
        <v>2049</v>
      </c>
      <c r="AG56" t="s">
        <v>3215</v>
      </c>
      <c r="AH56" t="s">
        <v>2050</v>
      </c>
      <c r="AI56" t="s">
        <v>1496</v>
      </c>
      <c r="AJ56" t="s">
        <v>2051</v>
      </c>
      <c r="AK56" t="s">
        <v>47</v>
      </c>
      <c r="AL56" t="s">
        <v>2052</v>
      </c>
      <c r="AM56" t="s">
        <v>47</v>
      </c>
      <c r="AN56">
        <v>0</v>
      </c>
      <c r="AO56" t="s">
        <v>47</v>
      </c>
      <c r="AP56" t="s">
        <v>47</v>
      </c>
      <c r="AQ56" t="s">
        <v>3216</v>
      </c>
      <c r="AR56" t="s">
        <v>47</v>
      </c>
      <c r="AS56" t="s">
        <v>410</v>
      </c>
      <c r="AT56" t="s">
        <v>47</v>
      </c>
      <c r="AU56" t="s">
        <v>3217</v>
      </c>
      <c r="AV56" t="s">
        <v>3218</v>
      </c>
      <c r="AW56" t="s">
        <v>3219</v>
      </c>
      <c r="AX56" t="s">
        <v>1387</v>
      </c>
      <c r="AY56" t="s">
        <v>1151</v>
      </c>
      <c r="AZ56" t="s">
        <v>1120</v>
      </c>
      <c r="BA56" t="s">
        <v>139</v>
      </c>
      <c r="BB56" t="s">
        <v>1154</v>
      </c>
      <c r="BC56" t="s">
        <v>532</v>
      </c>
      <c r="BD56" t="s">
        <v>79</v>
      </c>
      <c r="BE56" t="s">
        <v>113</v>
      </c>
      <c r="BF56" t="s">
        <v>1155</v>
      </c>
      <c r="BG56" t="s">
        <v>1156</v>
      </c>
      <c r="BH56" t="s">
        <v>1430</v>
      </c>
      <c r="BI56" t="s">
        <v>3220</v>
      </c>
      <c r="BJ56" t="s">
        <v>1387</v>
      </c>
      <c r="BK56" t="s">
        <v>1092</v>
      </c>
      <c r="BL56" t="s">
        <v>3221</v>
      </c>
      <c r="BM56" t="s">
        <v>532</v>
      </c>
      <c r="BN56">
        <v>9.9499999999999993</v>
      </c>
      <c r="BO56">
        <v>24.2</v>
      </c>
      <c r="BP56">
        <v>33</v>
      </c>
      <c r="BQ56">
        <v>10.06</v>
      </c>
      <c r="BR56">
        <v>39.159999999999997</v>
      </c>
      <c r="BS56">
        <v>34.03</v>
      </c>
      <c r="BT56" t="s">
        <v>2053</v>
      </c>
      <c r="BU56" t="s">
        <v>1032</v>
      </c>
      <c r="BV56">
        <v>46.14</v>
      </c>
      <c r="BW56">
        <v>41.63</v>
      </c>
      <c r="BX56">
        <v>43.24</v>
      </c>
      <c r="BY56">
        <v>26.71</v>
      </c>
      <c r="BZ56">
        <v>26.92</v>
      </c>
      <c r="CA56">
        <v>21.99</v>
      </c>
      <c r="CB56">
        <v>0.48</v>
      </c>
      <c r="CC56" s="1">
        <v>2.09</v>
      </c>
      <c r="CD56" s="1" t="s">
        <v>3222</v>
      </c>
      <c r="CE56" s="1" t="s">
        <v>3223</v>
      </c>
      <c r="CF56" s="8">
        <v>1.2967935804619426</v>
      </c>
      <c r="CG56" s="9">
        <v>5.2266137321923107</v>
      </c>
      <c r="CH56" s="8">
        <v>-0.69681978225708008</v>
      </c>
      <c r="CI56" s="8">
        <v>1.1342383623123169</v>
      </c>
      <c r="CJ56" s="8">
        <v>0.18392856419086456</v>
      </c>
      <c r="CK56" s="8">
        <v>1.1705425977706909</v>
      </c>
      <c r="CL56" s="8">
        <v>0.3650793731212616</v>
      </c>
      <c r="CM56" s="9">
        <v>-0.93660342693328857</v>
      </c>
      <c r="CN56" s="9">
        <v>1.602739691734314</v>
      </c>
      <c r="CO56" s="9">
        <v>-0.35964912176132202</v>
      </c>
      <c r="CP56" s="9">
        <v>4.8759250640869141</v>
      </c>
      <c r="CQ56" s="9">
        <v>0.5538673996925354</v>
      </c>
      <c r="CR56" s="1">
        <v>39.911406180993957</v>
      </c>
      <c r="CS56" s="1">
        <v>0.9251733346779859</v>
      </c>
      <c r="CT56" s="1">
        <v>1.6</v>
      </c>
      <c r="CU56" s="8">
        <v>0.43139382302761076</v>
      </c>
      <c r="CV56" s="9">
        <v>1.1472559213638305</v>
      </c>
      <c r="CW56">
        <v>0.06</v>
      </c>
      <c r="CX56">
        <v>88.990956592525805</v>
      </c>
      <c r="CY56">
        <v>32531395.445671003</v>
      </c>
      <c r="CZ56">
        <v>0.43139382302761076</v>
      </c>
      <c r="DA56">
        <v>22.042655965546039</v>
      </c>
      <c r="DB56">
        <v>131336260.22767194</v>
      </c>
      <c r="DC56">
        <v>0.40982413187623018</v>
      </c>
      <c r="DD56">
        <v>7.2105766075955042</v>
      </c>
      <c r="DE56">
        <v>401493550.03737897</v>
      </c>
      <c r="DF56">
        <v>0.37962656426429747</v>
      </c>
      <c r="DG56">
        <v>2.5918421757852874</v>
      </c>
      <c r="DH56">
        <v>1116966159.069026</v>
      </c>
      <c r="DI56">
        <v>0.34511505842208862</v>
      </c>
      <c r="DJ56">
        <v>0.37170320177987026</v>
      </c>
      <c r="DK56">
        <v>7788472055.4935503</v>
      </c>
      <c r="DL56">
        <v>0.30197567611932752</v>
      </c>
      <c r="DM56">
        <v>24090700</v>
      </c>
      <c r="DN56">
        <v>0.43139382302761076</v>
      </c>
      <c r="DO56">
        <v>2895000000</v>
      </c>
      <c r="DP56">
        <v>2731172000</v>
      </c>
      <c r="DQ56" s="10">
        <v>2757</v>
      </c>
      <c r="DR56">
        <v>0.86539975743433184</v>
      </c>
      <c r="DS56">
        <v>4.0793578108284798</v>
      </c>
      <c r="DT56">
        <v>-6.6666666666667452E-3</v>
      </c>
      <c r="DU56">
        <v>0.80666666666666653</v>
      </c>
      <c r="DV56">
        <v>0.79999999999999982</v>
      </c>
      <c r="DW56">
        <v>2.0899999999999998E-2</v>
      </c>
      <c r="DX56">
        <v>0.46430732154739529</v>
      </c>
      <c r="DY56">
        <v>2.180023020340629E-3</v>
      </c>
      <c r="DZ56">
        <v>1781</v>
      </c>
      <c r="EA56">
        <v>1.4202146056191691E-3</v>
      </c>
      <c r="EB56" s="11">
        <v>0</v>
      </c>
      <c r="EC56">
        <v>3.2364955357142858E-2</v>
      </c>
      <c r="ED56">
        <v>0.31028459821428572</v>
      </c>
      <c r="EE56">
        <v>5.0579999999999998</v>
      </c>
      <c r="EF56">
        <v>5.0483000000000002</v>
      </c>
      <c r="EG56">
        <v>36.104307321547395</v>
      </c>
      <c r="EH56" s="13" t="s">
        <v>2240</v>
      </c>
      <c r="EI56" s="14">
        <v>0</v>
      </c>
      <c r="EJ56" s="14">
        <v>0</v>
      </c>
      <c r="EK56" s="14">
        <v>45470</v>
      </c>
      <c r="EL56" s="14">
        <v>1.5</v>
      </c>
      <c r="EM56" s="14">
        <v>-1.95</v>
      </c>
      <c r="EN56" s="14">
        <v>1.76</v>
      </c>
      <c r="EO56" s="14">
        <v>2.23</v>
      </c>
      <c r="EP56" s="14">
        <v>-0.97</v>
      </c>
    </row>
    <row r="57" spans="1:146" ht="96" x14ac:dyDescent="0.25">
      <c r="C57" s="7" t="str">
        <f>""&amp;CHAR(10)&amp;Basic_Fundamental_Information_Constructure(F57)&amp;CHAR(10)&amp;Basic_Fundamental_Information_Concatenate("")</f>
        <v xml:space="preserve">
市值19.19亿, 利润6601.04万; PE21.88; 平均PE34.33; 平均PEG1.35, PB1.45; ROIC10.33%; ROE9.695%; 股利率1.3445%; 毛利27.9667%; 净利10%; 上一年度营收增53.97%, 利润增-10.71%; 当季营收增-72.91%, 利润增-26.51%; 过往5年营收增25.41%, 利润增27.16%
Income profile:
</v>
      </c>
      <c r="D57" t="s">
        <v>1482</v>
      </c>
      <c r="E57" t="s">
        <v>1483</v>
      </c>
      <c r="F57">
        <v>19.190000000000001</v>
      </c>
      <c r="G57">
        <v>4.63</v>
      </c>
      <c r="H57" t="s">
        <v>3224</v>
      </c>
      <c r="I57">
        <v>1919000000</v>
      </c>
      <c r="J57">
        <v>21.88</v>
      </c>
      <c r="K57">
        <v>1.45</v>
      </c>
      <c r="L57" t="s">
        <v>40</v>
      </c>
      <c r="M57" t="s">
        <v>1562</v>
      </c>
      <c r="N57" t="s">
        <v>695</v>
      </c>
      <c r="O57" t="s">
        <v>2054</v>
      </c>
      <c r="P57" s="3">
        <v>7.4</v>
      </c>
      <c r="Q57" t="s">
        <v>651</v>
      </c>
      <c r="R57">
        <v>10707388</v>
      </c>
      <c r="S57">
        <v>0.75580000000000003</v>
      </c>
      <c r="T57" t="s">
        <v>3225</v>
      </c>
      <c r="U57">
        <v>25000000</v>
      </c>
      <c r="V57">
        <v>100000000</v>
      </c>
      <c r="W57">
        <v>1.55</v>
      </c>
      <c r="X57">
        <v>0.04</v>
      </c>
      <c r="Y57">
        <v>14.07</v>
      </c>
      <c r="Z57" t="s">
        <v>3226</v>
      </c>
      <c r="AA57" t="s">
        <v>3227</v>
      </c>
      <c r="AB57" t="s">
        <v>3228</v>
      </c>
      <c r="AC57" t="s">
        <v>3229</v>
      </c>
      <c r="AD57" t="s">
        <v>47</v>
      </c>
      <c r="AE57">
        <v>-386725</v>
      </c>
      <c r="AF57" t="s">
        <v>2056</v>
      </c>
      <c r="AG57" t="s">
        <v>3230</v>
      </c>
      <c r="AH57" t="s">
        <v>2057</v>
      </c>
      <c r="AI57" t="s">
        <v>2873</v>
      </c>
      <c r="AJ57" t="s">
        <v>2059</v>
      </c>
      <c r="AK57" t="s">
        <v>3231</v>
      </c>
      <c r="AL57" t="s">
        <v>2060</v>
      </c>
      <c r="AM57" t="s">
        <v>47</v>
      </c>
      <c r="AN57" t="s">
        <v>3232</v>
      </c>
      <c r="AO57" t="s">
        <v>535</v>
      </c>
      <c r="AP57" t="s">
        <v>86</v>
      </c>
      <c r="AQ57" t="s">
        <v>442</v>
      </c>
      <c r="AR57" t="s">
        <v>47</v>
      </c>
      <c r="AS57" t="s">
        <v>3233</v>
      </c>
      <c r="AT57" t="s">
        <v>47</v>
      </c>
      <c r="AU57" t="s">
        <v>3234</v>
      </c>
      <c r="AV57" t="s">
        <v>3235</v>
      </c>
      <c r="AW57" t="s">
        <v>3236</v>
      </c>
      <c r="AX57" t="s">
        <v>1484</v>
      </c>
      <c r="AY57" t="s">
        <v>1405</v>
      </c>
      <c r="AZ57" t="s">
        <v>1341</v>
      </c>
      <c r="BA57" t="s">
        <v>1047</v>
      </c>
      <c r="BB57" t="s">
        <v>1393</v>
      </c>
      <c r="BC57" t="s">
        <v>2061</v>
      </c>
      <c r="BD57" t="s">
        <v>1518</v>
      </c>
      <c r="BE57" t="s">
        <v>1519</v>
      </c>
      <c r="BF57" t="s">
        <v>1520</v>
      </c>
      <c r="BG57" t="s">
        <v>1521</v>
      </c>
      <c r="BH57" t="s">
        <v>732</v>
      </c>
      <c r="BI57" t="s">
        <v>2586</v>
      </c>
      <c r="BJ57" t="s">
        <v>1484</v>
      </c>
      <c r="BK57" t="s">
        <v>2055</v>
      </c>
      <c r="BL57" t="s">
        <v>3237</v>
      </c>
      <c r="BM57" t="s">
        <v>2061</v>
      </c>
      <c r="BN57">
        <v>3.85</v>
      </c>
      <c r="BO57">
        <v>12.9</v>
      </c>
      <c r="BP57">
        <v>14.24</v>
      </c>
      <c r="BQ57">
        <v>5.2</v>
      </c>
      <c r="BR57">
        <v>14.19</v>
      </c>
      <c r="BS57" t="s">
        <v>47</v>
      </c>
      <c r="BT57" t="s">
        <v>2062</v>
      </c>
      <c r="BU57" t="s">
        <v>1032</v>
      </c>
      <c r="BV57">
        <v>27.26</v>
      </c>
      <c r="BW57">
        <v>29.24</v>
      </c>
      <c r="BX57">
        <v>27.4</v>
      </c>
      <c r="BY57">
        <v>9.86</v>
      </c>
      <c r="BZ57">
        <v>9.6199999999999992</v>
      </c>
      <c r="CA57">
        <v>10.52</v>
      </c>
      <c r="CB57">
        <v>0.26</v>
      </c>
      <c r="CC57" s="8">
        <v>-9.06</v>
      </c>
      <c r="CD57" s="9" t="s">
        <v>3238</v>
      </c>
      <c r="CE57" s="8" t="s">
        <v>3239</v>
      </c>
      <c r="CF57" s="8">
        <v>-0.72911032028469747</v>
      </c>
      <c r="CG57" s="8">
        <v>-0.265092074648071</v>
      </c>
      <c r="CH57" s="8">
        <v>0.53966188430786133</v>
      </c>
      <c r="CI57" s="8">
        <v>0.12922173738479614</v>
      </c>
      <c r="CJ57" s="9">
        <v>0.21174377202987671</v>
      </c>
      <c r="CK57" s="9">
        <v>0.22975930571556091</v>
      </c>
      <c r="CL57" s="9">
        <v>0.15989847481250763</v>
      </c>
      <c r="CM57" s="9">
        <v>-0.10709638148546219</v>
      </c>
      <c r="CN57" s="9">
        <v>3.1381838023662567E-2</v>
      </c>
      <c r="CO57">
        <v>9.7880162298679352E-2</v>
      </c>
      <c r="CP57">
        <v>0.88427340984344482</v>
      </c>
      <c r="CQ57">
        <v>0.45144522190093994</v>
      </c>
      <c r="CR57" s="8">
        <v>34.32654941261174</v>
      </c>
      <c r="CS57" s="9">
        <v>1.3511355602832444</v>
      </c>
      <c r="CT57">
        <v>1.3444502344971339</v>
      </c>
      <c r="CU57">
        <v>0.25405703485012054</v>
      </c>
      <c r="CV57">
        <v>0.27157685011625288</v>
      </c>
      <c r="CW57">
        <v>0.06</v>
      </c>
      <c r="CX57">
        <v>16.146979675882509</v>
      </c>
      <c r="CY57">
        <v>78095100.465349436</v>
      </c>
      <c r="CZ57">
        <v>0.25405703485012054</v>
      </c>
      <c r="DA57">
        <v>4.6046684357432248</v>
      </c>
      <c r="DB57">
        <v>273852508.07889408</v>
      </c>
      <c r="DC57">
        <v>0.2413541831076145</v>
      </c>
      <c r="DD57">
        <v>1.8700791458347061</v>
      </c>
      <c r="DE57">
        <v>674303011.61780787</v>
      </c>
      <c r="DF57">
        <v>0.22357019066810607</v>
      </c>
      <c r="DG57">
        <v>0.89111425067615058</v>
      </c>
      <c r="DH57">
        <v>1415082296.1737974</v>
      </c>
      <c r="DI57">
        <v>0.20324562788009645</v>
      </c>
      <c r="DJ57">
        <v>0.26420043293609563</v>
      </c>
      <c r="DK57">
        <v>4772891497.5132103</v>
      </c>
      <c r="DL57">
        <v>0.17783992439508436</v>
      </c>
      <c r="DM57">
        <v>66010400</v>
      </c>
      <c r="DN57">
        <v>0.25405703485012054</v>
      </c>
      <c r="DO57">
        <v>1261000000</v>
      </c>
      <c r="DP57">
        <v>1185653200</v>
      </c>
      <c r="DQ57" s="10">
        <v>2815</v>
      </c>
      <c r="DR57">
        <v>-0.98316735513481801</v>
      </c>
      <c r="DS57">
        <v>-0.53666892476432393</v>
      </c>
      <c r="DT57">
        <v>7.6666666666666591E-2</v>
      </c>
      <c r="DU57">
        <v>0.11333333333333333</v>
      </c>
      <c r="DV57">
        <v>0.18999999999999992</v>
      </c>
      <c r="DW57">
        <v>-2.0905999999999998</v>
      </c>
      <c r="DX57">
        <v>0.44986913063090411</v>
      </c>
      <c r="DY57">
        <v>-2.0135781432351596</v>
      </c>
      <c r="DZ57">
        <v>1221</v>
      </c>
      <c r="EA57">
        <v>-2.0103337375815138</v>
      </c>
      <c r="EB57" s="11">
        <v>2</v>
      </c>
      <c r="EC57" s="11">
        <v>5.2163000000000001E-2</v>
      </c>
      <c r="ED57">
        <v>0.34805700000000001</v>
      </c>
      <c r="EE57">
        <v>2.0268000000000002</v>
      </c>
      <c r="EF57">
        <v>2.0716999999999999</v>
      </c>
      <c r="EG57">
        <v>30.149869130630904</v>
      </c>
      <c r="EH57" s="13" t="s">
        <v>1231</v>
      </c>
      <c r="EI57" s="14">
        <v>0</v>
      </c>
      <c r="EJ57" s="14">
        <v>1</v>
      </c>
      <c r="EK57" s="14">
        <v>45470</v>
      </c>
      <c r="EL57" s="14">
        <v>-6.82</v>
      </c>
      <c r="EM57" s="14">
        <v>-2.68</v>
      </c>
      <c r="EN57" s="14">
        <v>3.68</v>
      </c>
      <c r="EO57" s="14">
        <v>2.9</v>
      </c>
      <c r="EP57" s="14">
        <v>4.49</v>
      </c>
    </row>
    <row r="58" spans="1:146" x14ac:dyDescent="0.25">
      <c r="D58" t="s">
        <v>3240</v>
      </c>
      <c r="E58" t="s">
        <v>3241</v>
      </c>
      <c r="F58">
        <v>66.81</v>
      </c>
      <c r="G58">
        <v>-7.0000000000000007E-2</v>
      </c>
      <c r="H58" t="s">
        <v>3242</v>
      </c>
      <c r="I58">
        <v>5085412000</v>
      </c>
      <c r="J58">
        <v>33.090000000000003</v>
      </c>
      <c r="K58">
        <v>2.73</v>
      </c>
      <c r="L58" t="s">
        <v>40</v>
      </c>
      <c r="M58" t="s">
        <v>1093</v>
      </c>
      <c r="N58" t="s">
        <v>3243</v>
      </c>
      <c r="O58" t="s">
        <v>293</v>
      </c>
      <c r="P58" s="3">
        <v>18.89</v>
      </c>
      <c r="Q58" t="s">
        <v>1374</v>
      </c>
      <c r="R58">
        <v>85594300</v>
      </c>
      <c r="S58">
        <v>0.40749999999999997</v>
      </c>
      <c r="T58" t="s">
        <v>280</v>
      </c>
      <c r="U58">
        <v>18047627</v>
      </c>
      <c r="V58">
        <v>76117527</v>
      </c>
      <c r="W58">
        <v>1.18</v>
      </c>
      <c r="X58">
        <v>0.13</v>
      </c>
      <c r="Y58">
        <v>13.46</v>
      </c>
      <c r="Z58" t="s">
        <v>231</v>
      </c>
      <c r="AA58" t="s">
        <v>3244</v>
      </c>
      <c r="AB58" t="s">
        <v>3245</v>
      </c>
      <c r="AC58" t="s">
        <v>3246</v>
      </c>
      <c r="AD58" t="s">
        <v>47</v>
      </c>
      <c r="AE58">
        <v>-2121142</v>
      </c>
      <c r="AF58" t="s">
        <v>3247</v>
      </c>
      <c r="AG58" t="s">
        <v>3248</v>
      </c>
      <c r="AH58" t="s">
        <v>3249</v>
      </c>
      <c r="AI58" t="s">
        <v>2732</v>
      </c>
      <c r="AJ58" t="s">
        <v>3250</v>
      </c>
      <c r="AK58" t="s">
        <v>3251</v>
      </c>
      <c r="AL58" t="s">
        <v>3252</v>
      </c>
      <c r="AM58" t="s">
        <v>268</v>
      </c>
      <c r="AN58">
        <v>0</v>
      </c>
      <c r="AO58" t="s">
        <v>47</v>
      </c>
      <c r="AP58" t="s">
        <v>47</v>
      </c>
      <c r="AQ58" t="s">
        <v>3253</v>
      </c>
      <c r="AR58" t="s">
        <v>47</v>
      </c>
      <c r="AS58" t="s">
        <v>1509</v>
      </c>
      <c r="AT58" t="s">
        <v>47</v>
      </c>
      <c r="AU58" t="s">
        <v>3254</v>
      </c>
      <c r="AV58" t="s">
        <v>71</v>
      </c>
      <c r="AW58" t="s">
        <v>3255</v>
      </c>
      <c r="AX58" t="s">
        <v>628</v>
      </c>
      <c r="AY58" t="s">
        <v>1082</v>
      </c>
      <c r="AZ58" t="s">
        <v>2129</v>
      </c>
      <c r="BA58" t="s">
        <v>409</v>
      </c>
      <c r="BB58" t="s">
        <v>774</v>
      </c>
      <c r="BC58" t="s">
        <v>167</v>
      </c>
      <c r="BD58" t="s">
        <v>3256</v>
      </c>
      <c r="BE58" t="s">
        <v>3257</v>
      </c>
      <c r="BF58" t="s">
        <v>3258</v>
      </c>
      <c r="BG58" t="s">
        <v>3259</v>
      </c>
      <c r="BH58" t="s">
        <v>1512</v>
      </c>
      <c r="BI58" t="s">
        <v>153</v>
      </c>
      <c r="BJ58" t="s">
        <v>628</v>
      </c>
      <c r="BK58" t="s">
        <v>231</v>
      </c>
      <c r="BL58" t="s">
        <v>3260</v>
      </c>
      <c r="BM58" t="s">
        <v>167</v>
      </c>
      <c r="BN58" t="s">
        <v>47</v>
      </c>
      <c r="BO58">
        <v>13.58</v>
      </c>
      <c r="BP58">
        <v>10.47</v>
      </c>
      <c r="BQ58" t="s">
        <v>47</v>
      </c>
      <c r="BR58" t="s">
        <v>47</v>
      </c>
      <c r="BS58" t="s">
        <v>47</v>
      </c>
      <c r="BT58" t="s">
        <v>47</v>
      </c>
      <c r="BU58" t="s">
        <v>1079</v>
      </c>
      <c r="BV58">
        <v>49.14</v>
      </c>
      <c r="BW58">
        <v>45.4</v>
      </c>
      <c r="BX58">
        <v>38.14</v>
      </c>
      <c r="BY58">
        <v>18.87</v>
      </c>
      <c r="BZ58">
        <v>19.3</v>
      </c>
      <c r="CA58">
        <v>10.17</v>
      </c>
      <c r="CB58">
        <v>-13.46</v>
      </c>
      <c r="CC58" s="8">
        <v>-33.18</v>
      </c>
      <c r="CD58" s="9" t="s">
        <v>3261</v>
      </c>
      <c r="CE58" s="8" t="s">
        <v>3262</v>
      </c>
      <c r="CF58" s="8">
        <v>-5.7142857142857143E-3</v>
      </c>
      <c r="CG58" s="8">
        <v>1.5629414706155362</v>
      </c>
      <c r="CH58" s="8">
        <v>0.13930347561836243</v>
      </c>
      <c r="CI58" s="8">
        <v>0.10642202198505402</v>
      </c>
      <c r="CJ58" s="9">
        <v>0.50552487373352051</v>
      </c>
      <c r="CK58" s="9">
        <v>0.21070234477519989</v>
      </c>
      <c r="CL58" s="9">
        <v>0.40375587344169617</v>
      </c>
      <c r="CM58" s="9">
        <v>0.17241379618644714</v>
      </c>
      <c r="CN58" s="9">
        <v>1.0959928035736084</v>
      </c>
      <c r="CO58">
        <v>0.24028944969177246</v>
      </c>
      <c r="CP58">
        <v>-8.1544481217861176E-2</v>
      </c>
      <c r="CQ58">
        <v>2.5608927011489868E-2</v>
      </c>
      <c r="CR58" s="8">
        <v>68.120543277040397</v>
      </c>
      <c r="CS58" s="9">
        <v>2.4939633461372197</v>
      </c>
      <c r="CT58">
        <v>0</v>
      </c>
      <c r="CU58">
        <v>0.27314171791076658</v>
      </c>
      <c r="CV58">
        <v>0.29055209904909135</v>
      </c>
      <c r="CW58">
        <v>0.06</v>
      </c>
      <c r="CX58">
        <v>25.653518110492239</v>
      </c>
      <c r="CY58">
        <v>163346484.56213611</v>
      </c>
      <c r="CZ58">
        <v>0.27314171791076658</v>
      </c>
      <c r="DA58">
        <v>7.203255481380987</v>
      </c>
      <c r="DB58">
        <v>581738633.43198073</v>
      </c>
      <c r="DC58">
        <v>0.25948463201522826</v>
      </c>
      <c r="DD58">
        <v>2.8588612520269336</v>
      </c>
      <c r="DE58">
        <v>1465762634.3457544</v>
      </c>
      <c r="DF58">
        <v>0.24036471176147459</v>
      </c>
      <c r="DG58">
        <v>1.3230965206559622</v>
      </c>
      <c r="DH58">
        <v>3167124948.618628</v>
      </c>
      <c r="DI58">
        <v>0.21851337432861329</v>
      </c>
      <c r="DJ58">
        <v>0.36422482052140698</v>
      </c>
      <c r="DK58">
        <v>11505014935.558771</v>
      </c>
      <c r="DL58">
        <v>0.19119920253753658</v>
      </c>
      <c r="DM58">
        <v>136000000</v>
      </c>
      <c r="DN58">
        <v>0.27314171791076658</v>
      </c>
      <c r="DO58">
        <v>4190412000</v>
      </c>
      <c r="DP58">
        <v>893156030</v>
      </c>
      <c r="DQ58" s="10">
        <v>2840</v>
      </c>
      <c r="DR58">
        <v>-0.27885600362505231</v>
      </c>
      <c r="DS58">
        <v>1.2723893715664449</v>
      </c>
      <c r="DT58">
        <v>-9.000000000000008E-2</v>
      </c>
      <c r="DU58">
        <v>1.04</v>
      </c>
      <c r="DV58">
        <v>0.95</v>
      </c>
      <c r="DW58">
        <v>-9.4056660638939125</v>
      </c>
      <c r="DX58">
        <v>0.61743442292171147</v>
      </c>
      <c r="DY58">
        <v>-9.1774523005583557</v>
      </c>
      <c r="DZ58">
        <v>290</v>
      </c>
      <c r="EA58">
        <v>-9.167381622053087</v>
      </c>
      <c r="EB58" s="11">
        <v>9</v>
      </c>
      <c r="EC58" s="11">
        <v>0.34177542315582593</v>
      </c>
      <c r="ED58">
        <v>0.78131807934327657</v>
      </c>
      <c r="EE58">
        <v>24.017209999999999</v>
      </c>
      <c r="EF58">
        <v>24.018999999999998</v>
      </c>
      <c r="EG58">
        <v>18.437434422921712</v>
      </c>
      <c r="EH58" s="13" t="s">
        <v>3263</v>
      </c>
      <c r="EI58">
        <v>0</v>
      </c>
      <c r="EJ58">
        <v>1</v>
      </c>
      <c r="EK58">
        <v>45470</v>
      </c>
      <c r="EL58">
        <v>0.1</v>
      </c>
      <c r="EM58">
        <v>-7.65</v>
      </c>
      <c r="EN58" s="14">
        <v>-2.63</v>
      </c>
      <c r="EO58" s="14">
        <v>2.02</v>
      </c>
      <c r="EP58" s="14">
        <v>3.62</v>
      </c>
    </row>
    <row r="59" spans="1:146" ht="96" x14ac:dyDescent="0.25">
      <c r="A59" s="7"/>
      <c r="B59" s="7"/>
      <c r="C59" s="7" t="str">
        <f>""&amp;CHAR(10)&amp;Basic_Fundamental_Information_Constructure(F59)&amp;CHAR(10)&amp;Basic_Fundamental_Information_Concatenate("")</f>
        <v xml:space="preserve">
市值86.265592亿, 利润10.48亿; PE45.08; 平均PE14.11; 平均PEG.01, PB1.82; ROIC3.7967%; ROE4.9267%; 股利率1.0595%; 毛利44.1033%; 净利15.4533%; 上一年度营收增3363.34%, 利润增498.86%; 当季营收增-97.54%, 利润增-87.64%; 过往5年营收增1127.15%, 利润增498.86%
Income profile:
</v>
      </c>
      <c r="D59" t="s">
        <v>591</v>
      </c>
      <c r="E59" t="s">
        <v>592</v>
      </c>
      <c r="F59">
        <v>12.27</v>
      </c>
      <c r="G59">
        <v>2.68</v>
      </c>
      <c r="H59" t="s">
        <v>3264</v>
      </c>
      <c r="I59">
        <v>8626559200</v>
      </c>
      <c r="J59">
        <v>45.08</v>
      </c>
      <c r="K59">
        <v>1.82</v>
      </c>
      <c r="L59" t="s">
        <v>40</v>
      </c>
      <c r="M59" t="s">
        <v>329</v>
      </c>
      <c r="N59" t="s">
        <v>3265</v>
      </c>
      <c r="O59" t="s">
        <v>449</v>
      </c>
      <c r="P59">
        <v>20.94</v>
      </c>
      <c r="Q59" t="s">
        <v>3266</v>
      </c>
      <c r="R59">
        <v>33257420</v>
      </c>
      <c r="S59" s="3">
        <v>9.2600000000000002E-2</v>
      </c>
      <c r="T59" t="s">
        <v>1974</v>
      </c>
      <c r="U59">
        <v>540816200</v>
      </c>
      <c r="V59">
        <v>703061060</v>
      </c>
      <c r="W59">
        <v>1.0900000000000001</v>
      </c>
      <c r="X59" t="s">
        <v>47</v>
      </c>
      <c r="Y59">
        <v>11.08</v>
      </c>
      <c r="Z59" t="s">
        <v>47</v>
      </c>
      <c r="AA59" t="s">
        <v>47</v>
      </c>
      <c r="AB59" t="s">
        <v>47</v>
      </c>
      <c r="AC59" t="s">
        <v>47</v>
      </c>
      <c r="AD59" t="s">
        <v>47</v>
      </c>
      <c r="AE59">
        <v>-18659267</v>
      </c>
      <c r="AF59" t="s">
        <v>2064</v>
      </c>
      <c r="AG59" t="s">
        <v>47</v>
      </c>
      <c r="AH59" t="s">
        <v>2065</v>
      </c>
      <c r="AI59" t="s">
        <v>3267</v>
      </c>
      <c r="AJ59" t="s">
        <v>2066</v>
      </c>
      <c r="AK59" t="s">
        <v>47</v>
      </c>
      <c r="AL59" t="s">
        <v>2067</v>
      </c>
      <c r="AM59" t="s">
        <v>47</v>
      </c>
      <c r="AN59" t="s">
        <v>3268</v>
      </c>
      <c r="AO59" t="s">
        <v>47</v>
      </c>
      <c r="AP59" t="s">
        <v>3269</v>
      </c>
      <c r="AQ59" t="s">
        <v>357</v>
      </c>
      <c r="AR59" t="s">
        <v>47</v>
      </c>
      <c r="AS59" t="s">
        <v>47</v>
      </c>
      <c r="AT59" t="s">
        <v>47</v>
      </c>
      <c r="AU59" t="s">
        <v>3270</v>
      </c>
      <c r="AV59" t="s">
        <v>927</v>
      </c>
      <c r="AW59" t="s">
        <v>3271</v>
      </c>
      <c r="AX59" t="s">
        <v>1088</v>
      </c>
      <c r="AY59" t="s">
        <v>47</v>
      </c>
      <c r="AZ59" t="s">
        <v>593</v>
      </c>
      <c r="BA59" t="s">
        <v>595</v>
      </c>
      <c r="BB59" t="s">
        <v>596</v>
      </c>
      <c r="BC59" t="s">
        <v>153</v>
      </c>
      <c r="BD59" t="s">
        <v>47</v>
      </c>
      <c r="BE59" t="s">
        <v>47</v>
      </c>
      <c r="BF59" t="s">
        <v>47</v>
      </c>
      <c r="BG59" t="s">
        <v>47</v>
      </c>
      <c r="BH59" t="s">
        <v>2063</v>
      </c>
      <c r="BI59" t="s">
        <v>3272</v>
      </c>
      <c r="BJ59" t="s">
        <v>1088</v>
      </c>
      <c r="BK59" t="s">
        <v>1154</v>
      </c>
      <c r="BL59" t="s">
        <v>2572</v>
      </c>
      <c r="BM59" t="s">
        <v>153</v>
      </c>
      <c r="BN59">
        <v>1.62</v>
      </c>
      <c r="BO59">
        <v>3.27</v>
      </c>
      <c r="BP59">
        <v>6.5</v>
      </c>
      <c r="BQ59">
        <v>2.6</v>
      </c>
      <c r="BR59">
        <v>4.37</v>
      </c>
      <c r="BS59">
        <v>7.81</v>
      </c>
      <c r="BT59" t="s">
        <v>2069</v>
      </c>
      <c r="BU59" t="s">
        <v>1032</v>
      </c>
      <c r="BV59">
        <v>42.38</v>
      </c>
      <c r="BW59">
        <v>44.11</v>
      </c>
      <c r="BX59">
        <v>45.82</v>
      </c>
      <c r="BY59">
        <v>15.43</v>
      </c>
      <c r="BZ59">
        <v>15.34</v>
      </c>
      <c r="CA59">
        <v>15.59</v>
      </c>
      <c r="CB59">
        <v>-0.65</v>
      </c>
      <c r="CC59">
        <v>-14.49</v>
      </c>
      <c r="CD59" t="s">
        <v>3273</v>
      </c>
      <c r="CE59" t="s">
        <v>3274</v>
      </c>
      <c r="CF59" s="8">
        <v>-0.97542095602904799</v>
      </c>
      <c r="CG59" s="9">
        <v>-0.87636646840148702</v>
      </c>
      <c r="CH59" s="8">
        <v>33.633365631103516</v>
      </c>
      <c r="CI59" s="8" t="s">
        <v>47</v>
      </c>
      <c r="CJ59" s="8" t="s">
        <v>47</v>
      </c>
      <c r="CK59" s="8">
        <v>0.15274949371814728</v>
      </c>
      <c r="CL59" s="8">
        <v>2.8272250667214394E-2</v>
      </c>
      <c r="CM59" s="9">
        <v>4.9885716438293457</v>
      </c>
      <c r="CN59" s="9" t="s">
        <v>47</v>
      </c>
      <c r="CO59" s="9" t="s">
        <v>47</v>
      </c>
      <c r="CP59" s="9" t="s">
        <v>47</v>
      </c>
      <c r="CQ59" s="9" t="s">
        <v>47</v>
      </c>
      <c r="CR59" s="1">
        <v>14.107210466067048</v>
      </c>
      <c r="CS59" s="1">
        <v>1.2515865193192567E-2</v>
      </c>
      <c r="CT59" s="1">
        <v>1.0594947025264874</v>
      </c>
      <c r="CU59" s="8">
        <v>11.271462458496293</v>
      </c>
      <c r="CV59" s="9">
        <v>4.9885716438293457</v>
      </c>
      <c r="CW59">
        <v>0.06</v>
      </c>
      <c r="CX59">
        <v>0.35833874137545763</v>
      </c>
      <c r="CY59">
        <v>12132540241.985014</v>
      </c>
      <c r="CZ59">
        <v>11.271462458496293</v>
      </c>
      <c r="DA59">
        <v>2.8020335775159433E-3</v>
      </c>
      <c r="DB59">
        <v>1551572841555.3804</v>
      </c>
      <c r="DC59">
        <v>10.707889335571478</v>
      </c>
      <c r="DD59">
        <v>3.1354441834893953E-6</v>
      </c>
      <c r="DE59">
        <v>1386584785305174</v>
      </c>
      <c r="DF59">
        <v>9.9188869634767372</v>
      </c>
      <c r="DG59">
        <v>6.5300757549590424E-10</v>
      </c>
      <c r="DH59">
        <v>6.6577469590584689E+18</v>
      </c>
      <c r="DI59">
        <v>9.0171699667970344</v>
      </c>
      <c r="DJ59">
        <v>1.232546433470329E-18</v>
      </c>
      <c r="DK59">
        <v>3.5272985113908557E+27</v>
      </c>
      <c r="DL59">
        <v>7.8900237209474042</v>
      </c>
      <c r="DM59">
        <v>1048000000</v>
      </c>
      <c r="DN59">
        <v>11.271462458496293</v>
      </c>
      <c r="DO59">
        <v>4347559200</v>
      </c>
      <c r="DP59">
        <v>4273756100</v>
      </c>
      <c r="DQ59">
        <v>2884</v>
      </c>
      <c r="DR59">
        <v>-12.246883414525341</v>
      </c>
      <c r="DS59">
        <v>-5.8649381122308331</v>
      </c>
      <c r="DT59" s="10">
        <v>-0.21000000000000008</v>
      </c>
      <c r="DU59">
        <v>-0.42000000000000015</v>
      </c>
      <c r="DV59">
        <v>-0.63000000000000023</v>
      </c>
      <c r="DW59">
        <v>-2.1448999999999998</v>
      </c>
      <c r="DX59">
        <v>0.42281437710284453</v>
      </c>
      <c r="DY59">
        <v>-2.0206938032422022</v>
      </c>
      <c r="DZ59">
        <v>3915</v>
      </c>
      <c r="EA59">
        <v>-2.0048393532043898</v>
      </c>
      <c r="EB59">
        <v>2</v>
      </c>
      <c r="EC59">
        <v>1.8728103075428468E-2</v>
      </c>
      <c r="ED59">
        <v>0.13113597843123326</v>
      </c>
      <c r="EE59" s="11">
        <v>2.02861</v>
      </c>
      <c r="EF59">
        <v>2.0331100000000002</v>
      </c>
      <c r="EG59">
        <v>28.142814377102845</v>
      </c>
      <c r="EH59" t="s">
        <v>1045</v>
      </c>
      <c r="EI59">
        <v>0</v>
      </c>
      <c r="EJ59">
        <v>0</v>
      </c>
      <c r="EK59" s="13">
        <v>45470</v>
      </c>
      <c r="EL59" s="14">
        <v>-0.43</v>
      </c>
      <c r="EM59" s="14">
        <v>-4.9400000000000004</v>
      </c>
      <c r="EN59" s="14">
        <v>2.64</v>
      </c>
      <c r="EO59" s="14">
        <v>-0.44</v>
      </c>
      <c r="EP59" s="14">
        <v>-0.45</v>
      </c>
    </row>
    <row r="60" spans="1:146" ht="96" x14ac:dyDescent="0.25">
      <c r="A60" s="7"/>
      <c r="B60" s="7"/>
      <c r="C60" s="7" t="str">
        <f>""&amp;CHAR(10)&amp;Basic_Fundamental_Information_Constructure(F60)&amp;CHAR(10)&amp;Basic_Fundamental_Information_Concatenate("")</f>
        <v xml:space="preserve">
市值164.11177亿, 利润-3508.44万; PE19.77; 平均PE38.54; 平均PEG4.64, PB2.12; ROIC10.5367%; ROE11.3767%; 股利率1.6175%; 毛利28.1633%; 净利15.1967%; 上一年度营收增-92.93%, 利润增-105.68%; 当季营收增1287.16%, 利润增15092.28%; 过往5年营收增-8.3%, 利润增-9.05%
Income profile:
</v>
      </c>
      <c r="D60" t="s">
        <v>598</v>
      </c>
      <c r="E60" t="s">
        <v>3275</v>
      </c>
      <c r="F60">
        <v>24.73</v>
      </c>
      <c r="G60">
        <v>2.36</v>
      </c>
      <c r="H60" t="s">
        <v>3276</v>
      </c>
      <c r="I60">
        <v>16411177000</v>
      </c>
      <c r="J60">
        <v>19.77</v>
      </c>
      <c r="K60">
        <v>2.12</v>
      </c>
      <c r="L60" t="s">
        <v>40</v>
      </c>
      <c r="M60" t="s">
        <v>2070</v>
      </c>
      <c r="N60" t="s">
        <v>3277</v>
      </c>
      <c r="O60" t="s">
        <v>1573</v>
      </c>
      <c r="P60">
        <v>2.5</v>
      </c>
      <c r="Q60" t="s">
        <v>186</v>
      </c>
      <c r="R60">
        <v>220789400</v>
      </c>
      <c r="S60" s="3">
        <v>0.32590000000000002</v>
      </c>
      <c r="T60" t="s">
        <v>3278</v>
      </c>
      <c r="U60">
        <v>663614110</v>
      </c>
      <c r="V60">
        <v>663614110</v>
      </c>
      <c r="W60">
        <v>1.24</v>
      </c>
      <c r="X60">
        <v>0.13</v>
      </c>
      <c r="Y60">
        <v>17.420000000000002</v>
      </c>
      <c r="Z60" t="s">
        <v>3279</v>
      </c>
      <c r="AA60" t="s">
        <v>3280</v>
      </c>
      <c r="AB60" t="s">
        <v>3281</v>
      </c>
      <c r="AC60" t="s">
        <v>3282</v>
      </c>
      <c r="AD60" t="s">
        <v>47</v>
      </c>
      <c r="AE60">
        <v>-11177358</v>
      </c>
      <c r="AF60" t="s">
        <v>2072</v>
      </c>
      <c r="AG60" t="s">
        <v>3283</v>
      </c>
      <c r="AH60" t="s">
        <v>2073</v>
      </c>
      <c r="AI60" t="s">
        <v>3284</v>
      </c>
      <c r="AJ60" t="s">
        <v>2074</v>
      </c>
      <c r="AK60" t="s">
        <v>2887</v>
      </c>
      <c r="AL60" t="s">
        <v>2075</v>
      </c>
      <c r="AM60" t="s">
        <v>47</v>
      </c>
      <c r="AN60" t="s">
        <v>3285</v>
      </c>
      <c r="AO60" t="s">
        <v>2076</v>
      </c>
      <c r="AP60" t="s">
        <v>2163</v>
      </c>
      <c r="AQ60" t="s">
        <v>2375</v>
      </c>
      <c r="AR60" t="s">
        <v>47</v>
      </c>
      <c r="AS60" t="s">
        <v>3286</v>
      </c>
      <c r="AT60" t="s">
        <v>47</v>
      </c>
      <c r="AU60" t="s">
        <v>186</v>
      </c>
      <c r="AV60" t="s">
        <v>3287</v>
      </c>
      <c r="AW60" t="s">
        <v>47</v>
      </c>
      <c r="AX60" t="s">
        <v>1389</v>
      </c>
      <c r="AY60" t="s">
        <v>970</v>
      </c>
      <c r="AZ60" t="s">
        <v>599</v>
      </c>
      <c r="BA60" t="s">
        <v>600</v>
      </c>
      <c r="BB60" t="s">
        <v>601</v>
      </c>
      <c r="BC60" t="s">
        <v>1390</v>
      </c>
      <c r="BD60" t="s">
        <v>971</v>
      </c>
      <c r="BE60" t="s">
        <v>133</v>
      </c>
      <c r="BF60" t="s">
        <v>104</v>
      </c>
      <c r="BG60" t="s">
        <v>602</v>
      </c>
      <c r="BH60" t="s">
        <v>2071</v>
      </c>
      <c r="BI60" t="s">
        <v>3288</v>
      </c>
      <c r="BJ60" t="s">
        <v>1389</v>
      </c>
      <c r="BK60" t="s">
        <v>1995</v>
      </c>
      <c r="BL60" t="s">
        <v>2191</v>
      </c>
      <c r="BM60" t="s">
        <v>1390</v>
      </c>
      <c r="BN60">
        <v>8.23</v>
      </c>
      <c r="BO60">
        <v>10.4</v>
      </c>
      <c r="BP60">
        <v>12.98</v>
      </c>
      <c r="BQ60">
        <v>8.56</v>
      </c>
      <c r="BR60">
        <v>12.28</v>
      </c>
      <c r="BS60">
        <v>13.29</v>
      </c>
      <c r="BT60" t="s">
        <v>1324</v>
      </c>
      <c r="BU60" t="s">
        <v>1079</v>
      </c>
      <c r="BV60">
        <v>28.03</v>
      </c>
      <c r="BW60">
        <v>26.84</v>
      </c>
      <c r="BX60">
        <v>29.62</v>
      </c>
      <c r="BY60">
        <v>15.57</v>
      </c>
      <c r="BZ60">
        <v>14.77</v>
      </c>
      <c r="CA60">
        <v>15.25</v>
      </c>
      <c r="CB60">
        <v>-0.84</v>
      </c>
      <c r="CC60">
        <v>-7.27</v>
      </c>
      <c r="CD60" t="s">
        <v>3289</v>
      </c>
      <c r="CE60" t="s">
        <v>153</v>
      </c>
      <c r="CF60" s="8">
        <v>12.871569195262863</v>
      </c>
      <c r="CG60" s="9">
        <v>150.9227963944127</v>
      </c>
      <c r="CH60" s="8">
        <v>-0.92930501699447632</v>
      </c>
      <c r="CI60" s="8">
        <v>8.0516129732131958E-2</v>
      </c>
      <c r="CJ60" s="8">
        <v>0.13072657585144043</v>
      </c>
      <c r="CK60" s="8">
        <v>0.14538772404193878</v>
      </c>
      <c r="CL60" s="8">
        <v>0.15744683146476746</v>
      </c>
      <c r="CM60" s="9">
        <v>-1.056770920753479</v>
      </c>
      <c r="CN60" s="9">
        <v>4.5685280114412308E-2</v>
      </c>
      <c r="CO60" s="9">
        <v>4.7872342169284821E-2</v>
      </c>
      <c r="CP60" s="9">
        <v>0.22875817120075226</v>
      </c>
      <c r="CQ60" s="9">
        <v>0.2821229100227356</v>
      </c>
      <c r="CR60">
        <v>38.540240624778363</v>
      </c>
      <c r="CS60">
        <v>4.6408555397330495</v>
      </c>
      <c r="CT60">
        <v>1.6174686615446825</v>
      </c>
      <c r="CU60" s="8">
        <v>-8.3045551180839533E-2</v>
      </c>
      <c r="CV60" s="9">
        <v>-9.0466443449258804E-2</v>
      </c>
      <c r="CW60">
        <v>0.06</v>
      </c>
      <c r="CX60" t="e">
        <v>#VALUE!</v>
      </c>
      <c r="CY60" t="s">
        <v>1038</v>
      </c>
      <c r="CZ60">
        <v>-8.3045551180839533E-2</v>
      </c>
      <c r="DA60" t="e">
        <v>#VALUE!</v>
      </c>
      <c r="DB60" t="s">
        <v>1038</v>
      </c>
      <c r="DC60">
        <v>-7.8893273621797558E-2</v>
      </c>
      <c r="DD60" t="e">
        <v>#VALUE!</v>
      </c>
      <c r="DE60" t="s">
        <v>1038</v>
      </c>
      <c r="DF60">
        <v>-7.3080085039138792E-2</v>
      </c>
      <c r="DG60" t="e">
        <v>#VALUE!</v>
      </c>
      <c r="DH60" t="s">
        <v>1038</v>
      </c>
      <c r="DI60">
        <v>-6.6436440944671632E-2</v>
      </c>
      <c r="DJ60" t="e">
        <v>#VALUE!</v>
      </c>
      <c r="DK60" t="s">
        <v>1038</v>
      </c>
      <c r="DL60">
        <v>-5.8131885826587668E-2</v>
      </c>
      <c r="DM60">
        <v>-35084400</v>
      </c>
      <c r="DN60">
        <v>-8.3045551180839533E-2</v>
      </c>
      <c r="DO60">
        <v>10441177000</v>
      </c>
      <c r="DP60">
        <v>3974693100</v>
      </c>
      <c r="DQ60">
        <v>3247</v>
      </c>
      <c r="DR60">
        <v>12.954614746443703</v>
      </c>
      <c r="DS60">
        <v>151.01326283786196</v>
      </c>
      <c r="DT60" s="10">
        <v>-0.67333333333333334</v>
      </c>
      <c r="DU60">
        <v>-0.53333333333333333</v>
      </c>
      <c r="DV60">
        <v>-1.2066666666666666</v>
      </c>
      <c r="DW60">
        <v>-2.0727000000000002</v>
      </c>
      <c r="DX60">
        <v>0.35826799999999964</v>
      </c>
      <c r="DY60">
        <v>-2.0115060836</v>
      </c>
      <c r="DZ60">
        <v>2512</v>
      </c>
      <c r="EA60">
        <v>-2.0058498640299023</v>
      </c>
      <c r="EB60">
        <v>2</v>
      </c>
      <c r="EC60">
        <v>4.1736454337898271E-2</v>
      </c>
      <c r="ED60">
        <v>0.26370747300716679</v>
      </c>
      <c r="EE60" s="11">
        <v>-1.0187999999999999</v>
      </c>
      <c r="EF60">
        <v>-1.0012000000000001</v>
      </c>
      <c r="EG60">
        <v>20.158268</v>
      </c>
      <c r="EH60" t="s">
        <v>1040</v>
      </c>
      <c r="EI60">
        <v>0</v>
      </c>
      <c r="EJ60">
        <v>0</v>
      </c>
      <c r="EK60" s="13">
        <v>45470</v>
      </c>
      <c r="EL60" s="14">
        <v>0.4</v>
      </c>
      <c r="EM60" s="14">
        <v>-2.67</v>
      </c>
      <c r="EN60" s="14">
        <v>0</v>
      </c>
      <c r="EO60" s="14">
        <v>1.1000000000000001</v>
      </c>
      <c r="EP60" s="14">
        <v>-1.76</v>
      </c>
    </row>
    <row r="61" spans="1:146" ht="96" x14ac:dyDescent="0.25">
      <c r="A61" s="7"/>
      <c r="B61" s="7"/>
      <c r="C61" s="7" t="str">
        <f>""&amp;CHAR(10)&amp;Basic_Fundamental_Information_Constructure(F61)&amp;CHAR(10)&amp;Basic_Fundamental_Information_Concatenate("")</f>
        <v xml:space="preserve">
市值21.544552亿, 利润-7759.22万; PE; 平均PE-287.89; 平均PEG-16.99, PB2.51; ROIC2.175%; ROE1.0867%; 股利率0%; 毛利26.1733%; 净利-3.8867%; 上一年度营收增-.43%, 利润增-322.7%; 当季营收增3.65%, 利润增-177.76%; 过往5年营收增16.94%, 利润增43.87%
Income profile:
</v>
      </c>
      <c r="D61" t="s">
        <v>603</v>
      </c>
      <c r="E61" t="s">
        <v>604</v>
      </c>
      <c r="F61">
        <v>4.1100000000000003</v>
      </c>
      <c r="G61">
        <v>0.49</v>
      </c>
      <c r="H61" t="s">
        <v>3290</v>
      </c>
      <c r="I61">
        <v>2154455200</v>
      </c>
      <c r="K61">
        <v>2.5099999999999998</v>
      </c>
      <c r="L61" t="s">
        <v>40</v>
      </c>
      <c r="M61" t="s">
        <v>199</v>
      </c>
      <c r="N61" t="s">
        <v>389</v>
      </c>
      <c r="O61" t="s">
        <v>2077</v>
      </c>
      <c r="P61">
        <v>-13.79</v>
      </c>
      <c r="Q61" t="s">
        <v>296</v>
      </c>
      <c r="R61">
        <v>-12357991</v>
      </c>
      <c r="S61" s="3">
        <v>-3.669</v>
      </c>
      <c r="T61" t="s">
        <v>3291</v>
      </c>
      <c r="U61">
        <v>524198350</v>
      </c>
      <c r="V61">
        <v>524198350</v>
      </c>
      <c r="W61">
        <v>1.2</v>
      </c>
      <c r="X61">
        <v>0.08</v>
      </c>
      <c r="Y61">
        <v>-13.33</v>
      </c>
      <c r="Z61" t="s">
        <v>3292</v>
      </c>
      <c r="AA61" t="s">
        <v>3293</v>
      </c>
      <c r="AB61" t="s">
        <v>3294</v>
      </c>
      <c r="AC61" t="s">
        <v>3295</v>
      </c>
      <c r="AD61" t="s">
        <v>47</v>
      </c>
      <c r="AE61">
        <v>-479676</v>
      </c>
      <c r="AF61" t="s">
        <v>2079</v>
      </c>
      <c r="AG61" t="s">
        <v>3296</v>
      </c>
      <c r="AH61" t="s">
        <v>2080</v>
      </c>
      <c r="AI61" t="s">
        <v>478</v>
      </c>
      <c r="AJ61" t="s">
        <v>2081</v>
      </c>
      <c r="AK61" t="s">
        <v>3297</v>
      </c>
      <c r="AL61" t="s">
        <v>2082</v>
      </c>
      <c r="AM61" t="s">
        <v>47</v>
      </c>
      <c r="AN61" t="s">
        <v>3298</v>
      </c>
      <c r="AO61" t="s">
        <v>2083</v>
      </c>
      <c r="AP61" t="s">
        <v>3299</v>
      </c>
      <c r="AQ61" t="s">
        <v>3300</v>
      </c>
      <c r="AR61" t="s">
        <v>3301</v>
      </c>
      <c r="AS61" t="s">
        <v>278</v>
      </c>
      <c r="AT61" t="s">
        <v>47</v>
      </c>
      <c r="AU61" t="s">
        <v>3302</v>
      </c>
      <c r="AV61" t="s">
        <v>3303</v>
      </c>
      <c r="AW61" t="s">
        <v>3304</v>
      </c>
      <c r="AX61" t="s">
        <v>343</v>
      </c>
      <c r="AY61" t="s">
        <v>972</v>
      </c>
      <c r="AZ61" t="s">
        <v>52</v>
      </c>
      <c r="BA61" t="s">
        <v>338</v>
      </c>
      <c r="BB61" t="s">
        <v>344</v>
      </c>
      <c r="BC61" t="s">
        <v>2084</v>
      </c>
      <c r="BD61" t="s">
        <v>973</v>
      </c>
      <c r="BE61" t="s">
        <v>605</v>
      </c>
      <c r="BF61" t="s">
        <v>607</v>
      </c>
      <c r="BG61" t="s">
        <v>608</v>
      </c>
      <c r="BH61" t="s">
        <v>1984</v>
      </c>
      <c r="BI61" t="s">
        <v>3305</v>
      </c>
      <c r="BJ61" t="s">
        <v>343</v>
      </c>
      <c r="BK61" t="s">
        <v>2078</v>
      </c>
      <c r="BL61" t="s">
        <v>3306</v>
      </c>
      <c r="BM61" t="s">
        <v>2084</v>
      </c>
      <c r="BN61" t="s">
        <v>47</v>
      </c>
      <c r="BO61">
        <v>3.48</v>
      </c>
      <c r="BP61">
        <v>0.87</v>
      </c>
      <c r="BQ61">
        <v>-1.67</v>
      </c>
      <c r="BR61">
        <v>3.73</v>
      </c>
      <c r="BS61">
        <v>1.2</v>
      </c>
      <c r="BT61" t="s">
        <v>1208</v>
      </c>
      <c r="BU61" t="s">
        <v>1075</v>
      </c>
      <c r="BV61">
        <v>24.84</v>
      </c>
      <c r="BW61">
        <v>27.89</v>
      </c>
      <c r="BX61">
        <v>25.79</v>
      </c>
      <c r="BY61">
        <v>-21.98</v>
      </c>
      <c r="BZ61">
        <v>7.98</v>
      </c>
      <c r="CA61">
        <v>2.34</v>
      </c>
      <c r="CB61">
        <v>0.49</v>
      </c>
      <c r="CC61">
        <v>-9.4700000000000006</v>
      </c>
      <c r="CD61" t="s">
        <v>3307</v>
      </c>
      <c r="CE61" t="s">
        <v>43</v>
      </c>
      <c r="CF61" s="8">
        <v>3.6547056539812703E-2</v>
      </c>
      <c r="CG61" s="9">
        <v>-1.7775759687134767</v>
      </c>
      <c r="CH61" s="8">
        <v>-4.3478258885443211E-3</v>
      </c>
      <c r="CI61" s="8">
        <v>8.235294371843338E-2</v>
      </c>
      <c r="CJ61" s="8">
        <v>0.58582091331481934</v>
      </c>
      <c r="CK61" s="8">
        <v>6.7729085683822632E-2</v>
      </c>
      <c r="CL61" s="8">
        <v>0.11555555462837219</v>
      </c>
      <c r="CM61" s="9">
        <v>-3.226973295211792</v>
      </c>
      <c r="CN61" s="9">
        <v>2.3225576877593994</v>
      </c>
      <c r="CO61" s="9">
        <v>2.2764170169830322</v>
      </c>
      <c r="CP61" s="9">
        <v>-0.44558194279670715</v>
      </c>
      <c r="CQ61" s="9">
        <v>1.2671265602111816</v>
      </c>
      <c r="CR61">
        <v>-287.89213675327886</v>
      </c>
      <c r="CS61">
        <v>-16.992592966521578</v>
      </c>
      <c r="CT61">
        <v>0</v>
      </c>
      <c r="CU61" s="8">
        <v>0.16942213429138064</v>
      </c>
      <c r="CV61" s="9">
        <v>0.4387092053890228</v>
      </c>
      <c r="CW61">
        <v>0.06</v>
      </c>
      <c r="CX61" t="e">
        <v>#VALUE!</v>
      </c>
      <c r="CY61" t="s">
        <v>1037</v>
      </c>
      <c r="CZ61">
        <v>0.16942213429138064</v>
      </c>
      <c r="DA61" t="e">
        <v>#VALUE!</v>
      </c>
      <c r="DB61" t="s">
        <v>1038</v>
      </c>
      <c r="DC61">
        <v>0.16095102757681159</v>
      </c>
      <c r="DD61" t="e">
        <v>#VALUE!</v>
      </c>
      <c r="DE61" t="s">
        <v>1038</v>
      </c>
      <c r="DF61">
        <v>0.14909147817641497</v>
      </c>
      <c r="DG61" t="e">
        <v>#VALUE!</v>
      </c>
      <c r="DH61" t="s">
        <v>1038</v>
      </c>
      <c r="DI61">
        <v>0.13553770743310453</v>
      </c>
      <c r="DJ61" t="e">
        <v>#VALUE!</v>
      </c>
      <c r="DK61" t="s">
        <v>1038</v>
      </c>
      <c r="DL61">
        <v>0.11859549400396645</v>
      </c>
      <c r="DM61">
        <v>-77592200</v>
      </c>
      <c r="DN61">
        <v>0.16942213429138064</v>
      </c>
      <c r="DO61">
        <v>1462455200</v>
      </c>
      <c r="DP61">
        <v>348217120</v>
      </c>
      <c r="DQ61">
        <v>3254</v>
      </c>
      <c r="DR61">
        <v>-0.13287507775156793</v>
      </c>
      <c r="DS61">
        <v>-2.2162851741024996</v>
      </c>
      <c r="DT61" s="10">
        <v>-0.3066666666666667</v>
      </c>
      <c r="DU61">
        <v>-0.97250000000000014</v>
      </c>
      <c r="DV61">
        <v>-1.2791666666666668</v>
      </c>
      <c r="DW61">
        <v>-2.0947</v>
      </c>
      <c r="DX61">
        <v>0.57773669064748334</v>
      </c>
      <c r="DY61">
        <v>-2.0177786646043168</v>
      </c>
      <c r="DZ61">
        <v>4761</v>
      </c>
      <c r="EA61">
        <v>-2.0012142375629955</v>
      </c>
      <c r="EB61">
        <v>2</v>
      </c>
      <c r="EC61">
        <v>4.9781537847267167E-2</v>
      </c>
      <c r="ED61">
        <v>0.26516680184132591</v>
      </c>
      <c r="EE61" s="11">
        <v>-3.0106999999999999</v>
      </c>
      <c r="EF61">
        <v>-3.00861</v>
      </c>
      <c r="EG61">
        <v>39.187736690647483</v>
      </c>
      <c r="EH61" t="s">
        <v>1538</v>
      </c>
      <c r="EI61">
        <v>0</v>
      </c>
      <c r="EJ61">
        <v>0</v>
      </c>
      <c r="EK61" s="13">
        <v>45470</v>
      </c>
      <c r="EL61" s="14">
        <v>-3.72</v>
      </c>
      <c r="EM61" s="14">
        <v>-4.25</v>
      </c>
      <c r="EN61" s="14">
        <v>0.81</v>
      </c>
      <c r="EO61" s="14">
        <v>3.6</v>
      </c>
      <c r="EP61" s="14">
        <v>-1.93</v>
      </c>
    </row>
    <row r="62" spans="1:146" ht="192" x14ac:dyDescent="0.25">
      <c r="A62" s="7" t="s">
        <v>1170</v>
      </c>
      <c r="B62" s="7" t="s">
        <v>1171</v>
      </c>
      <c r="C62" s="7" t="str">
        <f>"公司主要从事消毒灭菌设备等医疗器械、制药装备的生产与销售，以及医疗医药服务.主要产品有医用灭菌设备、清洗消毒设备、灭菌耗材、消毒供应中心工程、非PVC大输液全自动生产线、制药灭菌设备、自动输送系统、过程控制管理系统、医用电子直线加速器、放射治疗模拟机、治疗计划系统、多叶光栅和后装治疗机等。"&amp;CHAR(10)&amp;Basic_Fundamental_Information_Constructure(F62)&amp;CHAR(10)&amp;Basic_Fundamental_Information_Concatenate("医疗器械产品 19.00亿 42.83% 60.67% 37.08%
医疗商贸产品 15.67亿 35.34% 13.06% 9.68%
制药装备产品 7.41亿 16.71% 19.18% 30.05%
医疗服务 3.37亿 7.60% 3.89% 13.40%")</f>
        <v>公司主要从事消毒灭菌设备等医疗器械、制药装备的生产与销售，以及医疗医药服务.主要产品有医用灭菌设备、清洗消毒设备、灭菌耗材、消毒供应中心工程、非PVC大输液全自动生产线、制药灭菌设备、自动输送系统、过程控制管理系统、医用电子直线加速器、放射治疗模拟机、治疗计划系统、多叶光栅和后装治疗机等。
市值99.253925亿, 利润-9.67亿; PE14.85; 平均PE49.35; 平均PEG74.19, PB1.32; ROIC8.4967%; ROE10.05%; 股利率3.0562%; 毛利26.02%; 净利6.1067%; 上一年度营收增5.54%, 利润增-293.4%; 当季营收增71.46%, 利润增153.16%; 过往5年营收增-.67%, 利润增688.05%
Income profile:
医疗器械产品 19.00亿 42.83% 60.67% 37.08%
医疗商贸产品 15.67亿 35.34% 13.06% 9.68%
制药装备产品 7.41亿 16.71% 19.18% 30.05%
医疗服务 3.37亿 7.60% 3.89% 13.40%</v>
      </c>
      <c r="D62" t="s">
        <v>610</v>
      </c>
      <c r="E62" t="s">
        <v>611</v>
      </c>
      <c r="F62">
        <v>16.36</v>
      </c>
      <c r="G62">
        <v>5.89</v>
      </c>
      <c r="H62" t="s">
        <v>3308</v>
      </c>
      <c r="I62">
        <v>9925392500</v>
      </c>
      <c r="J62">
        <v>14.85</v>
      </c>
      <c r="K62">
        <v>1.32</v>
      </c>
      <c r="L62" t="s">
        <v>40</v>
      </c>
      <c r="M62" t="s">
        <v>2085</v>
      </c>
      <c r="N62" t="s">
        <v>3309</v>
      </c>
      <c r="O62" t="s">
        <v>2086</v>
      </c>
      <c r="P62">
        <v>3.68</v>
      </c>
      <c r="Q62" t="s">
        <v>3310</v>
      </c>
      <c r="R62">
        <v>211036820</v>
      </c>
      <c r="S62" s="3">
        <v>7.3899999999999993E-2</v>
      </c>
      <c r="T62" t="s">
        <v>3311</v>
      </c>
      <c r="U62">
        <v>578693200</v>
      </c>
      <c r="V62">
        <v>606686590</v>
      </c>
      <c r="W62">
        <v>1.96</v>
      </c>
      <c r="X62">
        <v>0.16</v>
      </c>
      <c r="Y62">
        <v>8.5</v>
      </c>
      <c r="Z62" t="s">
        <v>3312</v>
      </c>
      <c r="AA62" t="s">
        <v>3313</v>
      </c>
      <c r="AB62" t="s">
        <v>300</v>
      </c>
      <c r="AC62" t="s">
        <v>3314</v>
      </c>
      <c r="AD62" t="s">
        <v>47</v>
      </c>
      <c r="AE62">
        <v>4405363</v>
      </c>
      <c r="AF62" t="s">
        <v>2088</v>
      </c>
      <c r="AG62" t="s">
        <v>3315</v>
      </c>
      <c r="AH62" t="s">
        <v>2089</v>
      </c>
      <c r="AI62" t="s">
        <v>3316</v>
      </c>
      <c r="AJ62" t="s">
        <v>2090</v>
      </c>
      <c r="AK62" t="s">
        <v>62</v>
      </c>
      <c r="AL62" t="s">
        <v>2091</v>
      </c>
      <c r="AM62" t="s">
        <v>47</v>
      </c>
      <c r="AN62" t="s">
        <v>2123</v>
      </c>
      <c r="AO62" t="s">
        <v>1190</v>
      </c>
      <c r="AP62" t="s">
        <v>329</v>
      </c>
      <c r="AQ62" t="s">
        <v>3317</v>
      </c>
      <c r="AR62" t="s">
        <v>47</v>
      </c>
      <c r="AS62" t="s">
        <v>3318</v>
      </c>
      <c r="AT62" t="s">
        <v>522</v>
      </c>
      <c r="AU62" t="s">
        <v>3319</v>
      </c>
      <c r="AV62" t="s">
        <v>3320</v>
      </c>
      <c r="AW62" t="s">
        <v>3321</v>
      </c>
      <c r="AX62" t="s">
        <v>1391</v>
      </c>
      <c r="AY62" t="s">
        <v>974</v>
      </c>
      <c r="AZ62" t="s">
        <v>612</v>
      </c>
      <c r="BA62" t="s">
        <v>614</v>
      </c>
      <c r="BB62" t="s">
        <v>615</v>
      </c>
      <c r="BC62" t="s">
        <v>2093</v>
      </c>
      <c r="BD62" t="s">
        <v>394</v>
      </c>
      <c r="BE62" t="s">
        <v>216</v>
      </c>
      <c r="BF62" t="s">
        <v>197</v>
      </c>
      <c r="BG62" t="s">
        <v>616</v>
      </c>
      <c r="BH62" t="s">
        <v>2087</v>
      </c>
      <c r="BI62" t="s">
        <v>3322</v>
      </c>
      <c r="BJ62" t="s">
        <v>1391</v>
      </c>
      <c r="BK62" t="s">
        <v>1550</v>
      </c>
      <c r="BL62" t="s">
        <v>2169</v>
      </c>
      <c r="BM62" t="s">
        <v>2093</v>
      </c>
      <c r="BN62">
        <v>7.97</v>
      </c>
      <c r="BO62">
        <v>8.57</v>
      </c>
      <c r="BP62">
        <v>8.9499999999999993</v>
      </c>
      <c r="BQ62">
        <v>8.5</v>
      </c>
      <c r="BR62">
        <v>9.68</v>
      </c>
      <c r="BS62">
        <v>11.97</v>
      </c>
      <c r="BT62" t="s">
        <v>2094</v>
      </c>
      <c r="BU62" t="s">
        <v>1032</v>
      </c>
      <c r="BV62">
        <v>27.37</v>
      </c>
      <c r="BW62">
        <v>26.44</v>
      </c>
      <c r="BX62">
        <v>24.25</v>
      </c>
      <c r="BY62">
        <v>6.76</v>
      </c>
      <c r="BZ62">
        <v>5.7</v>
      </c>
      <c r="CA62">
        <v>5.86</v>
      </c>
      <c r="CB62">
        <v>3.94</v>
      </c>
      <c r="CC62">
        <v>-2.44</v>
      </c>
      <c r="CD62" t="s">
        <v>3323</v>
      </c>
      <c r="CE62" t="s">
        <v>1427</v>
      </c>
      <c r="CF62" s="8">
        <v>0.71457627118644063</v>
      </c>
      <c r="CG62" s="9">
        <v>1.5315788916876574</v>
      </c>
      <c r="CH62" s="8">
        <v>5.5375982075929642E-2</v>
      </c>
      <c r="CI62" s="8">
        <v>-2.1092649549245834E-2</v>
      </c>
      <c r="CJ62" s="8">
        <v>3.6171004176139832E-2</v>
      </c>
      <c r="CK62" s="8">
        <v>4.3800618499517441E-2</v>
      </c>
      <c r="CL62" s="8">
        <v>-0.14751076698303223</v>
      </c>
      <c r="CM62" s="9">
        <v>-2.9340000152587891</v>
      </c>
      <c r="CN62" s="9">
        <v>-0.10071942210197449</v>
      </c>
      <c r="CO62" s="9">
        <v>1.3760683536529541</v>
      </c>
      <c r="CP62" s="9">
        <v>-0.72822302579879761</v>
      </c>
      <c r="CQ62" s="9">
        <v>36.789508819580078</v>
      </c>
      <c r="CR62">
        <v>49.347977819727653</v>
      </c>
      <c r="CS62">
        <v>74.194516954146152</v>
      </c>
      <c r="CT62">
        <v>3.0562347188264058</v>
      </c>
      <c r="CU62" s="8">
        <v>-6.6511623561382295E-3</v>
      </c>
      <c r="CV62" s="9">
        <v>6.8805269420146944</v>
      </c>
      <c r="CW62">
        <v>0.06</v>
      </c>
      <c r="CX62" t="e">
        <v>#VALUE!</v>
      </c>
      <c r="CY62" t="s">
        <v>1038</v>
      </c>
      <c r="CZ62">
        <v>-6.6511623561382295E-3</v>
      </c>
      <c r="DA62" t="e">
        <v>#VALUE!</v>
      </c>
      <c r="DB62" t="s">
        <v>1038</v>
      </c>
      <c r="DC62">
        <v>-6.3186042383313176E-3</v>
      </c>
      <c r="DD62" t="e">
        <v>#VALUE!</v>
      </c>
      <c r="DE62" t="s">
        <v>1038</v>
      </c>
      <c r="DF62">
        <v>-5.8530228734016421E-3</v>
      </c>
      <c r="DG62" t="e">
        <v>#VALUE!</v>
      </c>
      <c r="DH62" t="s">
        <v>1038</v>
      </c>
      <c r="DI62">
        <v>-5.3209298849105843E-3</v>
      </c>
      <c r="DJ62" t="e">
        <v>#VALUE!</v>
      </c>
      <c r="DK62" t="s">
        <v>1038</v>
      </c>
      <c r="DL62">
        <v>-4.6558136492967604E-3</v>
      </c>
      <c r="DM62">
        <v>-967000000</v>
      </c>
      <c r="DN62">
        <v>-6.6511623561382295E-3</v>
      </c>
      <c r="DO62">
        <v>9930392500</v>
      </c>
      <c r="DP62">
        <v>2129526700</v>
      </c>
      <c r="DQ62">
        <v>3295</v>
      </c>
      <c r="DR62">
        <v>0.7212274335425789</v>
      </c>
      <c r="DS62">
        <v>-5.3489480503270368</v>
      </c>
      <c r="DT62" s="10">
        <v>-0.44</v>
      </c>
      <c r="DU62">
        <v>0.15166666666666664</v>
      </c>
      <c r="DV62">
        <v>-0.28833333333333333</v>
      </c>
      <c r="DW62">
        <v>4.6192893401015231</v>
      </c>
      <c r="DX62">
        <v>0.7462631147540989</v>
      </c>
      <c r="DY62">
        <v>4.0905791878172586</v>
      </c>
      <c r="DZ62">
        <v>257</v>
      </c>
      <c r="EA62">
        <v>4.0860236396237095</v>
      </c>
      <c r="EB62">
        <v>4</v>
      </c>
      <c r="EC62">
        <v>5.8824771452423236E-2</v>
      </c>
      <c r="ED62">
        <v>0.4021845941905523</v>
      </c>
      <c r="EE62" s="11">
        <v>-1.02921</v>
      </c>
      <c r="EF62">
        <v>-1.0578099999999999</v>
      </c>
      <c r="EG62">
        <v>60.146263114754099</v>
      </c>
      <c r="EH62" t="s">
        <v>1039</v>
      </c>
      <c r="EI62">
        <v>0</v>
      </c>
      <c r="EJ62">
        <v>1</v>
      </c>
      <c r="EK62" s="13">
        <v>45470</v>
      </c>
      <c r="EL62" s="14">
        <v>0.5</v>
      </c>
      <c r="EM62" s="14">
        <v>-3.15</v>
      </c>
      <c r="EN62" s="14">
        <v>0</v>
      </c>
      <c r="EO62" s="14">
        <v>1.71</v>
      </c>
      <c r="EP62" s="14">
        <v>-2.86</v>
      </c>
    </row>
    <row r="63" spans="1:146" ht="96" x14ac:dyDescent="0.25">
      <c r="A63" s="7"/>
      <c r="B63" s="7"/>
      <c r="C63" s="7" t="str">
        <f>""&amp;CHAR(10)&amp;Basic_Fundamental_Information_Constructure(F63)&amp;CHAR(10)&amp;Basic_Fundamental_Information_Concatenate("")</f>
        <v xml:space="preserve">
市值75.854515亿, 利润9.28亿; PE69.45; 平均PE38.64; 平均PEG.48, PB2.07; ROIC3.2767%; ROE3.8%; 股利率0%; 毛利68.7733%; 净利7.6367%; 上一年度营收增386.75%, 利润增721.24%; 当季营收增-72.53%, 利润增25.06%; 过往5年营收增80.9%, 利润增108.9%
Income profile:
</v>
      </c>
      <c r="D63" t="s">
        <v>617</v>
      </c>
      <c r="E63" t="s">
        <v>618</v>
      </c>
      <c r="F63">
        <v>16.21</v>
      </c>
      <c r="G63">
        <v>3.12</v>
      </c>
      <c r="H63" t="s">
        <v>3324</v>
      </c>
      <c r="I63">
        <v>7585451500</v>
      </c>
      <c r="J63">
        <v>69.45</v>
      </c>
      <c r="K63">
        <v>2.0699999999999998</v>
      </c>
      <c r="L63" t="s">
        <v>40</v>
      </c>
      <c r="M63" t="s">
        <v>2095</v>
      </c>
      <c r="N63" t="s">
        <v>3325</v>
      </c>
      <c r="O63" t="s">
        <v>135</v>
      </c>
      <c r="P63">
        <v>5.36</v>
      </c>
      <c r="Q63" t="s">
        <v>3326</v>
      </c>
      <c r="R63">
        <v>40149489</v>
      </c>
      <c r="S63" s="3">
        <v>7.4300000000000005E-2</v>
      </c>
      <c r="T63" t="s">
        <v>3327</v>
      </c>
      <c r="U63">
        <v>467770170</v>
      </c>
      <c r="V63">
        <v>467948890</v>
      </c>
      <c r="W63">
        <v>1.42</v>
      </c>
      <c r="X63">
        <v>7.0000000000000007E-2</v>
      </c>
      <c r="Y63">
        <v>10.43</v>
      </c>
      <c r="Z63" t="s">
        <v>146</v>
      </c>
      <c r="AA63" t="s">
        <v>268</v>
      </c>
      <c r="AB63" t="s">
        <v>3328</v>
      </c>
      <c r="AC63" t="s">
        <v>3329</v>
      </c>
      <c r="AD63" t="s">
        <v>47</v>
      </c>
      <c r="AE63">
        <v>-4288314</v>
      </c>
      <c r="AF63" t="s">
        <v>2096</v>
      </c>
      <c r="AG63" t="s">
        <v>3330</v>
      </c>
      <c r="AH63" t="s">
        <v>2097</v>
      </c>
      <c r="AI63" t="s">
        <v>3331</v>
      </c>
      <c r="AJ63" t="s">
        <v>2098</v>
      </c>
      <c r="AK63" t="s">
        <v>3332</v>
      </c>
      <c r="AL63" t="s">
        <v>2099</v>
      </c>
      <c r="AM63" t="s">
        <v>47</v>
      </c>
      <c r="AN63" t="s">
        <v>3333</v>
      </c>
      <c r="AO63" t="s">
        <v>47</v>
      </c>
      <c r="AP63" t="s">
        <v>47</v>
      </c>
      <c r="AQ63" t="s">
        <v>369</v>
      </c>
      <c r="AR63" t="s">
        <v>3334</v>
      </c>
      <c r="AS63" t="s">
        <v>3335</v>
      </c>
      <c r="AT63" t="s">
        <v>3336</v>
      </c>
      <c r="AU63" t="s">
        <v>3337</v>
      </c>
      <c r="AV63" t="s">
        <v>3338</v>
      </c>
      <c r="AW63" t="s">
        <v>3339</v>
      </c>
      <c r="AX63" t="s">
        <v>1392</v>
      </c>
      <c r="AY63" t="s">
        <v>975</v>
      </c>
      <c r="AZ63" t="s">
        <v>511</v>
      </c>
      <c r="BA63" t="s">
        <v>619</v>
      </c>
      <c r="BB63" t="s">
        <v>620</v>
      </c>
      <c r="BC63" t="s">
        <v>405</v>
      </c>
      <c r="BD63" t="s">
        <v>450</v>
      </c>
      <c r="BE63" t="s">
        <v>367</v>
      </c>
      <c r="BF63" t="s">
        <v>621</v>
      </c>
      <c r="BG63" t="s">
        <v>622</v>
      </c>
      <c r="BH63" t="s">
        <v>1559</v>
      </c>
      <c r="BI63" t="s">
        <v>3340</v>
      </c>
      <c r="BJ63" t="s">
        <v>1392</v>
      </c>
      <c r="BK63" t="s">
        <v>292</v>
      </c>
      <c r="BL63" t="s">
        <v>3341</v>
      </c>
      <c r="BM63" t="s">
        <v>405</v>
      </c>
      <c r="BN63">
        <v>3.15</v>
      </c>
      <c r="BO63">
        <v>2.6</v>
      </c>
      <c r="BP63">
        <v>4.08</v>
      </c>
      <c r="BQ63">
        <v>3.65</v>
      </c>
      <c r="BR63">
        <v>3.23</v>
      </c>
      <c r="BS63">
        <v>4.5199999999999996</v>
      </c>
      <c r="BT63" t="s">
        <v>1208</v>
      </c>
      <c r="BU63" t="s">
        <v>1075</v>
      </c>
      <c r="BV63">
        <v>69.09</v>
      </c>
      <c r="BW63">
        <v>67.650000000000006</v>
      </c>
      <c r="BX63">
        <v>69.58</v>
      </c>
      <c r="BY63">
        <v>6.2</v>
      </c>
      <c r="BZ63">
        <v>6.86</v>
      </c>
      <c r="CA63">
        <v>9.85</v>
      </c>
      <c r="CB63">
        <v>0.68</v>
      </c>
      <c r="CC63">
        <v>-8.3699999999999992</v>
      </c>
      <c r="CD63" t="s">
        <v>3342</v>
      </c>
      <c r="CE63" t="s">
        <v>148</v>
      </c>
      <c r="CF63" s="8">
        <v>-0.72532781228433407</v>
      </c>
      <c r="CG63" s="9">
        <v>0.2505914765577304</v>
      </c>
      <c r="CH63" s="8">
        <v>3.8675241470336914</v>
      </c>
      <c r="CI63" s="8">
        <v>1.3029315508902073E-2</v>
      </c>
      <c r="CJ63" s="8">
        <v>0.16376042366027832</v>
      </c>
      <c r="CK63" s="8">
        <v>-4.9026675522327423E-2</v>
      </c>
      <c r="CL63" s="8">
        <v>4.9962248653173447E-2</v>
      </c>
      <c r="CM63" s="9">
        <v>7.2123894691467285</v>
      </c>
      <c r="CN63" s="9">
        <v>-0.2709677517414093</v>
      </c>
      <c r="CO63" s="9">
        <v>2.2204723358154297</v>
      </c>
      <c r="CP63" s="9">
        <v>-3.5555994510650635</v>
      </c>
      <c r="CQ63" s="9">
        <v>-0.16131025552749634</v>
      </c>
      <c r="CR63">
        <v>38.637291791477672</v>
      </c>
      <c r="CS63">
        <v>0.47756377177591314</v>
      </c>
      <c r="CT63">
        <v>0</v>
      </c>
      <c r="CU63" s="8">
        <v>0.80904989186674359</v>
      </c>
      <c r="CV63" s="9">
        <v>1.0889968693256378</v>
      </c>
      <c r="CW63">
        <v>0.06</v>
      </c>
      <c r="CX63">
        <v>3.4237576909568657</v>
      </c>
      <c r="CY63">
        <v>1583771980.8040922</v>
      </c>
      <c r="CZ63">
        <v>0.80904989186674359</v>
      </c>
      <c r="DA63">
        <v>0.64230543827359732</v>
      </c>
      <c r="DB63">
        <v>8442169685.7722149</v>
      </c>
      <c r="DC63">
        <v>0.76859739727340637</v>
      </c>
      <c r="DD63">
        <v>0.13287145779557252</v>
      </c>
      <c r="DE63">
        <v>40809753952.896606</v>
      </c>
      <c r="DF63">
        <v>0.71196390484273431</v>
      </c>
      <c r="DG63">
        <v>2.5675371704679581E-2</v>
      </c>
      <c r="DH63">
        <v>211192716598.98526</v>
      </c>
      <c r="DI63">
        <v>0.64723991349339494</v>
      </c>
      <c r="DJ63">
        <v>7.670116267640666E-4</v>
      </c>
      <c r="DK63">
        <v>7069581882189.5781</v>
      </c>
      <c r="DL63">
        <v>0.5663349243067205</v>
      </c>
      <c r="DM63">
        <v>927999999.99999988</v>
      </c>
      <c r="DN63">
        <v>0.80904989186674359</v>
      </c>
      <c r="DO63">
        <v>5422451500</v>
      </c>
      <c r="DP63">
        <v>1023118500</v>
      </c>
      <c r="DQ63">
        <v>3345</v>
      </c>
      <c r="DR63">
        <v>-1.5343777041510775</v>
      </c>
      <c r="DS63">
        <v>-0.83840539276790738</v>
      </c>
      <c r="DT63" s="10">
        <v>-6.6666666666666714E-3</v>
      </c>
      <c r="DU63">
        <v>5.0000000000000036E-3</v>
      </c>
      <c r="DV63">
        <v>-1.6666666666666679E-3</v>
      </c>
      <c r="DW63">
        <v>-2.0836999999999999</v>
      </c>
      <c r="DX63">
        <v>0.45572222222222208</v>
      </c>
      <c r="DY63">
        <v>-2.0121969499999999</v>
      </c>
      <c r="DZ63">
        <v>3828</v>
      </c>
      <c r="EA63">
        <v>-2.0030599784540115</v>
      </c>
      <c r="EB63">
        <v>2</v>
      </c>
      <c r="EC63">
        <v>4.2039847556856046E-2</v>
      </c>
      <c r="ED63">
        <v>0.28849304461433811</v>
      </c>
      <c r="EE63" s="11">
        <v>-1.0226999999999999</v>
      </c>
      <c r="EF63">
        <v>-1.0119</v>
      </c>
      <c r="EG63">
        <v>31.145722222222222</v>
      </c>
      <c r="EH63" t="s">
        <v>1040</v>
      </c>
      <c r="EI63">
        <v>0</v>
      </c>
      <c r="EJ63">
        <v>0</v>
      </c>
      <c r="EK63" s="13">
        <v>45470</v>
      </c>
      <c r="EL63" s="14">
        <v>-0.32</v>
      </c>
      <c r="EM63" s="14">
        <v>7.94</v>
      </c>
      <c r="EN63" s="14">
        <v>-5.88</v>
      </c>
      <c r="EO63" s="14">
        <v>1.0900000000000001</v>
      </c>
      <c r="EP63" s="14">
        <v>-1.08</v>
      </c>
    </row>
    <row r="64" spans="1:146" ht="96" x14ac:dyDescent="0.25">
      <c r="C64" s="7" t="str">
        <f>""&amp;CHAR(10)&amp;Basic_Fundamental_Information_Constructure(F64)&amp;CHAR(10)&amp;Basic_Fundamental_Information_Concatenate("")</f>
        <v xml:space="preserve">
市值25.742871亿, 利润-13.27亿; PE; 平均PE-7.65; 平均PEG-.01, PB13.22; ROIC5.595%; ROE-3.35%; 股利率0%; 毛利31.4467%; 净利-1.6733%; 上一年度营收增5662.26%, 利润增-7323.46%; 当季营收增-99.76%, 利润增96.52%; 过往5年营收增1138.5%, 利润增-1705.52%
Income profile:
</v>
      </c>
      <c r="D64" t="s">
        <v>1394</v>
      </c>
      <c r="E64" t="s">
        <v>1395</v>
      </c>
      <c r="F64">
        <v>2.91</v>
      </c>
      <c r="G64">
        <v>1.04</v>
      </c>
      <c r="H64" t="s">
        <v>3343</v>
      </c>
      <c r="I64">
        <v>2574287100</v>
      </c>
      <c r="K64">
        <v>13.22</v>
      </c>
      <c r="L64" t="s">
        <v>40</v>
      </c>
      <c r="M64" t="s">
        <v>2100</v>
      </c>
      <c r="N64" t="s">
        <v>805</v>
      </c>
      <c r="O64" t="s">
        <v>2101</v>
      </c>
      <c r="P64" s="3">
        <v>-71.36</v>
      </c>
      <c r="Q64" t="s">
        <v>3344</v>
      </c>
      <c r="R64">
        <v>-17721944</v>
      </c>
      <c r="S64">
        <v>-3.5649999999999999</v>
      </c>
      <c r="T64" t="s">
        <v>3345</v>
      </c>
      <c r="U64">
        <v>787018460</v>
      </c>
      <c r="V64">
        <v>884634730</v>
      </c>
      <c r="W64">
        <v>3.88</v>
      </c>
      <c r="X64">
        <v>0.03</v>
      </c>
      <c r="Y64">
        <v>-41.56</v>
      </c>
      <c r="Z64" t="s">
        <v>3346</v>
      </c>
      <c r="AA64" t="s">
        <v>3347</v>
      </c>
      <c r="AB64" t="s">
        <v>3348</v>
      </c>
      <c r="AC64" t="s">
        <v>3349</v>
      </c>
      <c r="AD64" t="s">
        <v>47</v>
      </c>
      <c r="AE64">
        <v>7001538</v>
      </c>
      <c r="AF64" t="s">
        <v>2103</v>
      </c>
      <c r="AG64">
        <v>1803.85</v>
      </c>
      <c r="AH64" t="s">
        <v>2104</v>
      </c>
      <c r="AI64" t="s">
        <v>148</v>
      </c>
      <c r="AJ64" t="s">
        <v>2105</v>
      </c>
      <c r="AK64" t="s">
        <v>3350</v>
      </c>
      <c r="AL64" t="s">
        <v>2106</v>
      </c>
      <c r="AM64" t="s">
        <v>47</v>
      </c>
      <c r="AN64" t="s">
        <v>3351</v>
      </c>
      <c r="AO64" t="s">
        <v>3352</v>
      </c>
      <c r="AP64" t="s">
        <v>3353</v>
      </c>
      <c r="AQ64" t="s">
        <v>286</v>
      </c>
      <c r="AR64" t="s">
        <v>47</v>
      </c>
      <c r="AS64" t="s">
        <v>772</v>
      </c>
      <c r="AT64" t="s">
        <v>3354</v>
      </c>
      <c r="AU64" t="s">
        <v>3355</v>
      </c>
      <c r="AV64" t="s">
        <v>3356</v>
      </c>
      <c r="AW64" t="s">
        <v>3357</v>
      </c>
      <c r="AX64" t="s">
        <v>1396</v>
      </c>
      <c r="AY64" t="s">
        <v>1397</v>
      </c>
      <c r="AZ64" t="s">
        <v>1398</v>
      </c>
      <c r="BA64" t="s">
        <v>1399</v>
      </c>
      <c r="BB64" t="s">
        <v>894</v>
      </c>
      <c r="BC64" t="s">
        <v>2107</v>
      </c>
      <c r="BD64" t="s">
        <v>1400</v>
      </c>
      <c r="BE64" t="s">
        <v>1401</v>
      </c>
      <c r="BF64" t="s">
        <v>1402</v>
      </c>
      <c r="BG64" t="s">
        <v>1403</v>
      </c>
      <c r="BH64" t="s">
        <v>1366</v>
      </c>
      <c r="BI64" t="s">
        <v>3358</v>
      </c>
      <c r="BJ64" t="s">
        <v>1396</v>
      </c>
      <c r="BK64" t="s">
        <v>2102</v>
      </c>
      <c r="BL64" t="s">
        <v>3359</v>
      </c>
      <c r="BM64" t="s">
        <v>2107</v>
      </c>
      <c r="BN64" t="s">
        <v>47</v>
      </c>
      <c r="BO64">
        <v>6.38</v>
      </c>
      <c r="BP64">
        <v>4.8099999999999996</v>
      </c>
      <c r="BQ64">
        <v>-17.68</v>
      </c>
      <c r="BR64">
        <v>4.62</v>
      </c>
      <c r="BS64">
        <v>3.01</v>
      </c>
      <c r="BT64" t="s">
        <v>1208</v>
      </c>
      <c r="BU64" t="s">
        <v>1075</v>
      </c>
      <c r="BV64">
        <v>22.96</v>
      </c>
      <c r="BW64">
        <v>38.31</v>
      </c>
      <c r="BX64">
        <v>33.07</v>
      </c>
      <c r="BY64">
        <v>-12.91</v>
      </c>
      <c r="BZ64">
        <v>4.7</v>
      </c>
      <c r="CA64">
        <v>3.19</v>
      </c>
      <c r="CB64">
        <v>-2.02</v>
      </c>
      <c r="CC64" s="8">
        <v>-7.62</v>
      </c>
      <c r="CD64" s="9" t="s">
        <v>3360</v>
      </c>
      <c r="CE64" s="8" t="s">
        <v>469</v>
      </c>
      <c r="CF64" s="8">
        <v>-0.9975560188239434</v>
      </c>
      <c r="CG64" s="8">
        <v>0.96518282121807464</v>
      </c>
      <c r="CH64" s="8">
        <v>56.622596740722656</v>
      </c>
      <c r="CI64" s="8">
        <v>0.33931362628936768</v>
      </c>
      <c r="CJ64" s="9">
        <v>0.17722688615322113</v>
      </c>
      <c r="CK64" s="9">
        <v>-0.28449413180351257</v>
      </c>
      <c r="CL64" s="9">
        <v>7.0323489606380463E-2</v>
      </c>
      <c r="CM64" s="9">
        <v>-73.234596252441406</v>
      </c>
      <c r="CN64" s="9">
        <v>0.25098398327827454</v>
      </c>
      <c r="CO64">
        <v>1.017799973487854</v>
      </c>
      <c r="CP64">
        <v>-14.06941032409668</v>
      </c>
      <c r="CQ64">
        <v>0.75917565822601318</v>
      </c>
      <c r="CR64" s="8">
        <v>-7.6466365680351984</v>
      </c>
      <c r="CS64" s="9">
        <v>-6.7164172623000451E-3</v>
      </c>
      <c r="CT64">
        <v>0</v>
      </c>
      <c r="CU64">
        <v>11.384993322193623</v>
      </c>
      <c r="CV64">
        <v>-17.055209392309187</v>
      </c>
      <c r="CW64">
        <v>0.06</v>
      </c>
      <c r="CX64" t="e">
        <v>#VALUE!</v>
      </c>
      <c r="CY64" t="s">
        <v>1037</v>
      </c>
      <c r="CZ64">
        <v>11.384993322193623</v>
      </c>
      <c r="DA64" t="e">
        <v>#VALUE!</v>
      </c>
      <c r="DB64" t="s">
        <v>1038</v>
      </c>
      <c r="DC64">
        <v>10.81574365608394</v>
      </c>
      <c r="DD64" t="e">
        <v>#VALUE!</v>
      </c>
      <c r="DE64" t="s">
        <v>1038</v>
      </c>
      <c r="DF64">
        <v>10.018794123530387</v>
      </c>
      <c r="DG64" t="e">
        <v>#VALUE!</v>
      </c>
      <c r="DH64" t="s">
        <v>1038</v>
      </c>
      <c r="DI64">
        <v>9.1079946577548991</v>
      </c>
      <c r="DJ64" t="e">
        <v>#VALUE!</v>
      </c>
      <c r="DK64" t="s">
        <v>1038</v>
      </c>
      <c r="DL64">
        <v>7.9694953255355356</v>
      </c>
      <c r="DM64">
        <v>-1327000000</v>
      </c>
      <c r="DN64">
        <v>11.384993322193623</v>
      </c>
      <c r="DO64">
        <v>3680287100</v>
      </c>
      <c r="DP64">
        <v>54225600</v>
      </c>
      <c r="DQ64" s="10">
        <v>3480</v>
      </c>
      <c r="DR64">
        <v>-12.382549341017565</v>
      </c>
      <c r="DS64">
        <v>18.020392213527263</v>
      </c>
      <c r="DT64">
        <v>2.6666666666666616E-2</v>
      </c>
      <c r="DU64">
        <v>-1.6816666666666666</v>
      </c>
      <c r="DV64">
        <v>-1.655</v>
      </c>
      <c r="DW64">
        <v>-2.0762</v>
      </c>
      <c r="DX64">
        <v>0.41392912912912666</v>
      </c>
      <c r="DY64">
        <v>-2.0056333996396396</v>
      </c>
      <c r="DZ64">
        <v>4092</v>
      </c>
      <c r="EA64">
        <v>-2.0011222702217522</v>
      </c>
      <c r="EB64" s="11">
        <v>2</v>
      </c>
      <c r="EC64" s="11">
        <v>2.7828887070712224E-2</v>
      </c>
      <c r="ED64">
        <v>0.37642655065102409</v>
      </c>
      <c r="EE64">
        <v>-1.0610999999999999</v>
      </c>
      <c r="EF64">
        <v>-1.0511999999999999</v>
      </c>
      <c r="EG64">
        <v>34.073929129129127</v>
      </c>
      <c r="EH64" s="13" t="s">
        <v>1040</v>
      </c>
      <c r="EI64" s="14">
        <v>0</v>
      </c>
      <c r="EJ64" s="14">
        <v>0</v>
      </c>
      <c r="EK64" s="14">
        <v>45470</v>
      </c>
      <c r="EL64" s="14">
        <v>-1.23</v>
      </c>
      <c r="EM64" s="14">
        <v>-4.71</v>
      </c>
      <c r="EN64" s="14">
        <v>2.08</v>
      </c>
      <c r="EO64" s="14">
        <v>3.32</v>
      </c>
      <c r="EP64" s="14">
        <v>-0.99</v>
      </c>
    </row>
    <row r="65" spans="1:146" ht="96" x14ac:dyDescent="0.25">
      <c r="A65" s="7"/>
      <c r="B65" s="7"/>
      <c r="C65" s="7" t="str">
        <f>""&amp;CHAR(10)&amp;Basic_Fundamental_Information_Constructure(F65)&amp;CHAR(10)&amp;Basic_Fundamental_Information_Concatenate("")</f>
        <v xml:space="preserve">
市值30.461361亿, 利润1.17亿; PE; 平均PE44.89; 平均PEG.6, PB1.93; ROIC4.5033%; ROE6.2367%; 股利率0%; 毛利45.5867%; 净利3.3967%; 上一年度营收增348.75%, 利润增239.57%; 当季营收增-73.53%, 利润增-47.84%; 过往5年营收增74.87%, 利润增480.29%
Income profile:
</v>
      </c>
      <c r="D65" t="s">
        <v>624</v>
      </c>
      <c r="E65" t="s">
        <v>625</v>
      </c>
      <c r="F65">
        <v>5.67</v>
      </c>
      <c r="G65">
        <v>2.35</v>
      </c>
      <c r="H65" t="s">
        <v>3361</v>
      </c>
      <c r="I65">
        <v>3046136100</v>
      </c>
      <c r="K65">
        <v>1.93</v>
      </c>
      <c r="L65" t="s">
        <v>40</v>
      </c>
      <c r="M65" t="s">
        <v>817</v>
      </c>
      <c r="N65" t="s">
        <v>3362</v>
      </c>
      <c r="O65" t="s">
        <v>216</v>
      </c>
      <c r="P65">
        <v>4.92</v>
      </c>
      <c r="Q65" t="s">
        <v>3363</v>
      </c>
      <c r="R65">
        <v>14866868</v>
      </c>
      <c r="S65" s="3">
        <v>-0.55920000000000003</v>
      </c>
      <c r="T65" t="s">
        <v>55</v>
      </c>
      <c r="U65">
        <v>537237420</v>
      </c>
      <c r="V65">
        <v>537237420</v>
      </c>
      <c r="W65">
        <v>1.51</v>
      </c>
      <c r="X65">
        <v>0.09</v>
      </c>
      <c r="Y65">
        <v>7.93</v>
      </c>
      <c r="Z65" t="s">
        <v>1494</v>
      </c>
      <c r="AA65" t="s">
        <v>190</v>
      </c>
      <c r="AB65" t="s">
        <v>3364</v>
      </c>
      <c r="AC65" t="s">
        <v>3365</v>
      </c>
      <c r="AD65" t="s">
        <v>47</v>
      </c>
      <c r="AE65">
        <v>4904754</v>
      </c>
      <c r="AF65" t="s">
        <v>2110</v>
      </c>
      <c r="AG65">
        <v>2400</v>
      </c>
      <c r="AH65" t="s">
        <v>2111</v>
      </c>
      <c r="AI65" t="s">
        <v>188</v>
      </c>
      <c r="AJ65" t="s">
        <v>2112</v>
      </c>
      <c r="AK65" t="s">
        <v>47</v>
      </c>
      <c r="AL65" t="s">
        <v>2113</v>
      </c>
      <c r="AM65" t="s">
        <v>47</v>
      </c>
      <c r="AN65" t="s">
        <v>322</v>
      </c>
      <c r="AO65" t="s">
        <v>3366</v>
      </c>
      <c r="AP65" t="s">
        <v>3367</v>
      </c>
      <c r="AQ65" t="s">
        <v>175</v>
      </c>
      <c r="AR65">
        <v>8562.7199999999993</v>
      </c>
      <c r="AS65" t="s">
        <v>3368</v>
      </c>
      <c r="AT65" t="s">
        <v>194</v>
      </c>
      <c r="AU65" t="s">
        <v>3369</v>
      </c>
      <c r="AV65" t="s">
        <v>3370</v>
      </c>
      <c r="AW65" t="s">
        <v>3371</v>
      </c>
      <c r="AX65" t="s">
        <v>1091</v>
      </c>
      <c r="AY65" t="s">
        <v>82</v>
      </c>
      <c r="AZ65" t="s">
        <v>45</v>
      </c>
      <c r="BA65" t="s">
        <v>472</v>
      </c>
      <c r="BB65" t="s">
        <v>282</v>
      </c>
      <c r="BC65" t="s">
        <v>2114</v>
      </c>
      <c r="BD65" t="s">
        <v>62</v>
      </c>
      <c r="BE65" t="s">
        <v>626</v>
      </c>
      <c r="BF65" t="s">
        <v>629</v>
      </c>
      <c r="BG65" t="s">
        <v>630</v>
      </c>
      <c r="BH65" t="s">
        <v>2108</v>
      </c>
      <c r="BI65" t="s">
        <v>470</v>
      </c>
      <c r="BJ65" t="s">
        <v>1091</v>
      </c>
      <c r="BK65" t="s">
        <v>2109</v>
      </c>
      <c r="BL65" t="s">
        <v>3372</v>
      </c>
      <c r="BM65" t="s">
        <v>2114</v>
      </c>
      <c r="BN65">
        <v>3.27</v>
      </c>
      <c r="BO65">
        <v>1.87</v>
      </c>
      <c r="BP65">
        <v>8.3699999999999992</v>
      </c>
      <c r="BQ65">
        <v>2.62</v>
      </c>
      <c r="BR65">
        <v>2.8</v>
      </c>
      <c r="BS65">
        <v>13.29</v>
      </c>
      <c r="BT65" t="s">
        <v>1208</v>
      </c>
      <c r="BU65" t="s">
        <v>1079</v>
      </c>
      <c r="BV65">
        <v>42.43</v>
      </c>
      <c r="BW65">
        <v>46.28</v>
      </c>
      <c r="BX65">
        <v>48.05</v>
      </c>
      <c r="BY65">
        <v>-5.5</v>
      </c>
      <c r="BZ65">
        <v>3.12</v>
      </c>
      <c r="CA65">
        <v>12.57</v>
      </c>
      <c r="CB65">
        <v>3.09</v>
      </c>
      <c r="CC65">
        <v>-11.54</v>
      </c>
      <c r="CD65" t="s">
        <v>3373</v>
      </c>
      <c r="CE65" t="s">
        <v>1093</v>
      </c>
      <c r="CF65" s="8">
        <v>-0.73529411764705888</v>
      </c>
      <c r="CG65" s="9">
        <v>-0.47841224287884476</v>
      </c>
      <c r="CH65" s="8">
        <v>3.4874553680419922</v>
      </c>
      <c r="CI65" s="8">
        <v>-0.23770491778850555</v>
      </c>
      <c r="CJ65" s="8">
        <v>0.25056946277618408</v>
      </c>
      <c r="CK65" s="8">
        <v>0.13878080248832703</v>
      </c>
      <c r="CL65" s="8">
        <v>0.10458452999591827</v>
      </c>
      <c r="CM65" s="9">
        <v>2.3957138061523437</v>
      </c>
      <c r="CN65" s="9">
        <v>-0.76719456911087036</v>
      </c>
      <c r="CO65" s="9">
        <v>22.135122299194336</v>
      </c>
      <c r="CP65" s="9">
        <v>-0.90755319595336914</v>
      </c>
      <c r="CQ65" s="9">
        <v>1.1582239866256714</v>
      </c>
      <c r="CR65">
        <v>44.893619697092134</v>
      </c>
      <c r="CS65">
        <v>0.59959126840175025</v>
      </c>
      <c r="CT65">
        <v>0</v>
      </c>
      <c r="CU65" s="8">
        <v>0.74873704910278316</v>
      </c>
      <c r="CV65" s="9">
        <v>4.8028624653816223</v>
      </c>
      <c r="CW65">
        <v>0.06</v>
      </c>
      <c r="CX65">
        <v>11.398430075342567</v>
      </c>
      <c r="CY65">
        <v>193020976.17455247</v>
      </c>
      <c r="CZ65">
        <v>0.74873704910278316</v>
      </c>
      <c r="DA65">
        <v>2.2310209652960031</v>
      </c>
      <c r="DB65">
        <v>986156622.56140852</v>
      </c>
      <c r="DC65">
        <v>0.71130019664764399</v>
      </c>
      <c r="DD65">
        <v>0.49583744712657396</v>
      </c>
      <c r="DE65">
        <v>4437212462.9755211</v>
      </c>
      <c r="DF65">
        <v>0.65888860321044918</v>
      </c>
      <c r="DG65">
        <v>0.10562775737484489</v>
      </c>
      <c r="DH65">
        <v>20829147135.93985</v>
      </c>
      <c r="DI65">
        <v>0.59898963928222659</v>
      </c>
      <c r="DJ65">
        <v>4.0172972667727666E-3</v>
      </c>
      <c r="DK65">
        <v>547665744877.13855</v>
      </c>
      <c r="DL65">
        <v>0.52411593437194814</v>
      </c>
      <c r="DM65">
        <v>117000000</v>
      </c>
      <c r="DN65">
        <v>0.74873704910278316</v>
      </c>
      <c r="DO65">
        <v>2200136100</v>
      </c>
      <c r="DP65">
        <v>263885770</v>
      </c>
      <c r="DQ65">
        <v>4022</v>
      </c>
      <c r="DR65">
        <v>-1.484031166749842</v>
      </c>
      <c r="DS65">
        <v>-5.281274708260467</v>
      </c>
      <c r="DT65" s="10">
        <v>-0.1566666666666667</v>
      </c>
      <c r="DU65">
        <v>0.11666666666666665</v>
      </c>
      <c r="DV65">
        <v>-4.0000000000000049E-2</v>
      </c>
      <c r="DW65">
        <v>6.2112098427887901</v>
      </c>
      <c r="DX65">
        <v>0.34503113207547198</v>
      </c>
      <c r="DY65">
        <v>6.0285199041772524</v>
      </c>
      <c r="DZ65">
        <v>4301</v>
      </c>
      <c r="EA65">
        <v>6.0045151863951851</v>
      </c>
      <c r="EB65">
        <v>6</v>
      </c>
      <c r="EC65">
        <v>5.3284821448215579E-2</v>
      </c>
      <c r="ED65">
        <v>0.39461138056987916</v>
      </c>
      <c r="EE65" s="11">
        <v>-1.1265000000000001</v>
      </c>
      <c r="EF65">
        <v>-1.1174999999999999</v>
      </c>
      <c r="EG65">
        <v>21.135031132075472</v>
      </c>
      <c r="EH65" t="s">
        <v>1040</v>
      </c>
      <c r="EI65">
        <v>0</v>
      </c>
      <c r="EJ65">
        <v>0</v>
      </c>
      <c r="EK65" s="13">
        <v>45470</v>
      </c>
      <c r="EL65" s="14">
        <v>0.22</v>
      </c>
      <c r="EM65" s="14">
        <v>-4.57</v>
      </c>
      <c r="EN65" s="14">
        <v>1.87</v>
      </c>
      <c r="EO65" s="14">
        <v>2.1800000000000002</v>
      </c>
      <c r="EP65" s="14">
        <v>-0.9</v>
      </c>
    </row>
    <row r="66" spans="1:146" ht="96" x14ac:dyDescent="0.25">
      <c r="A66" s="7"/>
      <c r="B66" s="7"/>
      <c r="C66" s="7" t="str">
        <f>""&amp;CHAR(10)&amp;Basic_Fundamental_Information_Constructure(F66)&amp;CHAR(10)&amp;Basic_Fundamental_Information_Concatenate("")</f>
        <v xml:space="preserve">
市值57.393589亿, 利润3.76亿; PE45.79; 平均PE7.67; 平均PEG.09, PB1.05; ROIC10.43%; ROE11.4667%; 股利率2.3213%; 毛利34.83%; 净利10.26%; 上一年度营收增-23.48%, 利润增-44.71%; 当季营收增-12.84%, 利润增11.24%; 过往5年营收增86.69%, 利润增287.42%
Income profile:
</v>
      </c>
      <c r="D66" t="s">
        <v>631</v>
      </c>
      <c r="E66" t="s">
        <v>632</v>
      </c>
      <c r="F66">
        <v>21.54</v>
      </c>
      <c r="G66">
        <v>6.37</v>
      </c>
      <c r="H66" t="s">
        <v>3374</v>
      </c>
      <c r="I66">
        <v>5739358900</v>
      </c>
      <c r="J66">
        <v>45.79</v>
      </c>
      <c r="K66">
        <v>1.05</v>
      </c>
      <c r="L66" t="s">
        <v>40</v>
      </c>
      <c r="M66" t="s">
        <v>1536</v>
      </c>
      <c r="N66" t="s">
        <v>3375</v>
      </c>
      <c r="O66" t="s">
        <v>2115</v>
      </c>
      <c r="P66">
        <v>-25.88</v>
      </c>
      <c r="Q66" t="s">
        <v>3376</v>
      </c>
      <c r="R66">
        <v>73397631</v>
      </c>
      <c r="S66" s="3">
        <v>-0.49890000000000001</v>
      </c>
      <c r="T66" t="s">
        <v>1074</v>
      </c>
      <c r="U66">
        <v>266451200</v>
      </c>
      <c r="V66">
        <v>266451200</v>
      </c>
      <c r="W66">
        <v>1.4</v>
      </c>
      <c r="X66">
        <v>0.13</v>
      </c>
      <c r="Y66">
        <v>7.8</v>
      </c>
      <c r="Z66" t="s">
        <v>3377</v>
      </c>
      <c r="AA66" t="s">
        <v>358</v>
      </c>
      <c r="AB66" t="s">
        <v>3378</v>
      </c>
      <c r="AC66" t="s">
        <v>941</v>
      </c>
      <c r="AD66" t="s">
        <v>47</v>
      </c>
      <c r="AE66">
        <v>-10442808</v>
      </c>
      <c r="AF66" t="s">
        <v>2117</v>
      </c>
      <c r="AG66" t="s">
        <v>3379</v>
      </c>
      <c r="AH66" t="s">
        <v>2118</v>
      </c>
      <c r="AI66" t="s">
        <v>3380</v>
      </c>
      <c r="AJ66" t="s">
        <v>2119</v>
      </c>
      <c r="AK66" t="s">
        <v>47</v>
      </c>
      <c r="AL66" t="s">
        <v>2120</v>
      </c>
      <c r="AM66" t="s">
        <v>47</v>
      </c>
      <c r="AN66" t="s">
        <v>1047</v>
      </c>
      <c r="AO66" t="s">
        <v>1514</v>
      </c>
      <c r="AP66" t="s">
        <v>3381</v>
      </c>
      <c r="AQ66" t="s">
        <v>609</v>
      </c>
      <c r="AR66" t="s">
        <v>47</v>
      </c>
      <c r="AS66" t="s">
        <v>465</v>
      </c>
      <c r="AT66" t="s">
        <v>3382</v>
      </c>
      <c r="AU66" t="s">
        <v>3383</v>
      </c>
      <c r="AV66" t="s">
        <v>3384</v>
      </c>
      <c r="AW66" t="s">
        <v>282</v>
      </c>
      <c r="AX66" t="s">
        <v>1404</v>
      </c>
      <c r="AY66" t="s">
        <v>976</v>
      </c>
      <c r="AZ66" t="s">
        <v>633</v>
      </c>
      <c r="BA66" t="s">
        <v>636</v>
      </c>
      <c r="BB66" t="s">
        <v>637</v>
      </c>
      <c r="BC66" t="s">
        <v>2122</v>
      </c>
      <c r="BD66" t="s">
        <v>263</v>
      </c>
      <c r="BE66" t="s">
        <v>634</v>
      </c>
      <c r="BF66" t="s">
        <v>217</v>
      </c>
      <c r="BG66" t="s">
        <v>491</v>
      </c>
      <c r="BH66" t="s">
        <v>2116</v>
      </c>
      <c r="BI66" t="s">
        <v>1558</v>
      </c>
      <c r="BJ66" t="s">
        <v>1404</v>
      </c>
      <c r="BK66" t="s">
        <v>209</v>
      </c>
      <c r="BL66" t="s">
        <v>3385</v>
      </c>
      <c r="BM66" t="s">
        <v>2122</v>
      </c>
      <c r="BN66">
        <v>4.4400000000000004</v>
      </c>
      <c r="BO66">
        <v>12.52</v>
      </c>
      <c r="BP66">
        <v>14.33</v>
      </c>
      <c r="BQ66">
        <v>5.34</v>
      </c>
      <c r="BR66">
        <v>14.84</v>
      </c>
      <c r="BS66">
        <v>14.22</v>
      </c>
      <c r="BT66" t="s">
        <v>1211</v>
      </c>
      <c r="BU66" t="s">
        <v>1079</v>
      </c>
      <c r="BV66">
        <v>34.71</v>
      </c>
      <c r="BW66">
        <v>34.97</v>
      </c>
      <c r="BX66">
        <v>34.81</v>
      </c>
      <c r="BY66">
        <v>5.17</v>
      </c>
      <c r="BZ66">
        <v>11.45</v>
      </c>
      <c r="CA66">
        <v>14.16</v>
      </c>
      <c r="CB66">
        <v>5.8</v>
      </c>
      <c r="CC66">
        <v>1.41</v>
      </c>
      <c r="CD66" t="s">
        <v>3386</v>
      </c>
      <c r="CE66" t="s">
        <v>3387</v>
      </c>
      <c r="CF66" s="8">
        <v>-0.12839059674502712</v>
      </c>
      <c r="CG66" s="9">
        <v>0.11244264824458766</v>
      </c>
      <c r="CH66" s="8">
        <v>-0.23476701974868774</v>
      </c>
      <c r="CI66" s="8">
        <v>0.20542030036449432</v>
      </c>
      <c r="CJ66" s="8">
        <v>-0.51033753156661987</v>
      </c>
      <c r="CK66" s="8">
        <v>4.5669159889221191</v>
      </c>
      <c r="CL66" s="8">
        <v>0.30720788240432739</v>
      </c>
      <c r="CM66" s="9">
        <v>-0.44705882668495178</v>
      </c>
      <c r="CN66" s="9">
        <v>0.14093959331512451</v>
      </c>
      <c r="CO66" s="9">
        <v>-0.76618283987045288</v>
      </c>
      <c r="CP66" s="9">
        <v>15.235669136047363</v>
      </c>
      <c r="CQ66" s="9">
        <v>0.20769231021404266</v>
      </c>
      <c r="CR66">
        <v>7.672939705882353</v>
      </c>
      <c r="CS66">
        <v>8.8511323007164161E-2</v>
      </c>
      <c r="CT66">
        <v>2.3212627669452184</v>
      </c>
      <c r="CU66" s="8">
        <v>0.8668879240751266</v>
      </c>
      <c r="CV66" s="9">
        <v>2.8742118746042253</v>
      </c>
      <c r="CW66">
        <v>0.06</v>
      </c>
      <c r="CX66">
        <v>2.5571063371971627</v>
      </c>
      <c r="CY66">
        <v>662216848.5398562</v>
      </c>
      <c r="CZ66">
        <v>0.8668879240751266</v>
      </c>
      <c r="DA66">
        <v>0.46090866483002235</v>
      </c>
      <c r="DB66">
        <v>3673957617.2309337</v>
      </c>
      <c r="DC66">
        <v>0.8235435278713702</v>
      </c>
      <c r="DD66">
        <v>8.9077109964554146E-2</v>
      </c>
      <c r="DE66">
        <v>19010034122.95063</v>
      </c>
      <c r="DF66">
        <v>0.76286137318611147</v>
      </c>
      <c r="DG66">
        <v>1.5694016459571497E-2</v>
      </c>
      <c r="DH66">
        <v>107898376706.95515</v>
      </c>
      <c r="DI66">
        <v>0.69351033926010131</v>
      </c>
      <c r="DJ66">
        <v>3.7351611104549442E-4</v>
      </c>
      <c r="DK66">
        <v>4533563211664.9131</v>
      </c>
      <c r="DL66">
        <v>0.6068215468525886</v>
      </c>
      <c r="DM66">
        <v>376000000</v>
      </c>
      <c r="DN66">
        <v>0.8668879240751266</v>
      </c>
      <c r="DO66">
        <v>1693358900</v>
      </c>
      <c r="DP66">
        <v>1953568300</v>
      </c>
      <c r="DQ66">
        <v>4071</v>
      </c>
      <c r="DR66">
        <v>-0.99527852082015378</v>
      </c>
      <c r="DS66">
        <v>-2.7617692263596378</v>
      </c>
      <c r="DT66" s="10">
        <v>-5.5000000000000084E-2</v>
      </c>
      <c r="DU66">
        <v>7.333333333333325E-2</v>
      </c>
      <c r="DV66">
        <v>1.8333333333333167E-2</v>
      </c>
      <c r="DW66">
        <v>4.2431034482758623</v>
      </c>
      <c r="DX66">
        <v>0.62424278012063916</v>
      </c>
      <c r="DY66">
        <v>4.0472210896500185</v>
      </c>
      <c r="DZ66" t="s">
        <v>3388</v>
      </c>
      <c r="EA66" t="e">
        <v>#VALUE!</v>
      </c>
      <c r="EB66" t="e">
        <v>#VALUE!</v>
      </c>
      <c r="EC66">
        <v>2.1850154925179544E-2</v>
      </c>
      <c r="ED66">
        <v>0.11248889102394737</v>
      </c>
      <c r="EE66" s="11">
        <v>2.1339000000000001</v>
      </c>
      <c r="EF66">
        <v>2.1238000000000001</v>
      </c>
      <c r="EG66">
        <v>43.194242780120639</v>
      </c>
      <c r="EH66" t="s">
        <v>1231</v>
      </c>
      <c r="EI66" t="e">
        <v>#VALUE!</v>
      </c>
      <c r="EJ66">
        <v>0</v>
      </c>
      <c r="EK66" s="13">
        <v>45470</v>
      </c>
      <c r="EL66" s="14">
        <v>2.35</v>
      </c>
      <c r="EM66" s="14">
        <v>-3.39</v>
      </c>
      <c r="EN66" s="14">
        <v>2.06</v>
      </c>
      <c r="EO66" s="14">
        <v>5</v>
      </c>
      <c r="EP66" s="14">
        <v>-1.01</v>
      </c>
    </row>
    <row r="67" spans="1:146" ht="96" x14ac:dyDescent="0.25">
      <c r="A67" s="7"/>
      <c r="B67" s="7"/>
      <c r="C67" s="7" t="str">
        <f>""&amp;CHAR(10)&amp;Basic_Fundamental_Information_Constructure(F67)&amp;CHAR(10)&amp;Basic_Fundamental_Information_Concatenate("")</f>
        <v xml:space="preserve">
市值32.86326亿, 利润4919.84万; PE17.24; 平均PE29.8; 平均PEG7.11, PB1.76; ROIC8.38%; ROE9.1667%; 股利率4.4603%; 毛利43.8133%; 净利12.6767%; 上一年度营收增-46.81%, 利润增-70.54%; 当季营收增50%, 利润增149.94%; 过往5年营收增4.19%, 利润增13.55%
Income profile:
</v>
      </c>
      <c r="D67" t="s">
        <v>638</v>
      </c>
      <c r="E67" t="s">
        <v>639</v>
      </c>
      <c r="F67">
        <v>11.21</v>
      </c>
      <c r="G67">
        <v>5.36</v>
      </c>
      <c r="H67" t="s">
        <v>3389</v>
      </c>
      <c r="I67">
        <v>3286326000</v>
      </c>
      <c r="J67">
        <v>17.239999999999998</v>
      </c>
      <c r="K67">
        <v>1.76</v>
      </c>
      <c r="L67" t="s">
        <v>40</v>
      </c>
      <c r="M67" t="s">
        <v>2123</v>
      </c>
      <c r="N67" t="s">
        <v>3390</v>
      </c>
      <c r="O67" t="s">
        <v>1177</v>
      </c>
      <c r="P67">
        <v>-14.49</v>
      </c>
      <c r="Q67" t="s">
        <v>924</v>
      </c>
      <c r="R67">
        <v>50255960</v>
      </c>
      <c r="S67" s="3">
        <v>-3.5400000000000001E-2</v>
      </c>
      <c r="T67" t="s">
        <v>3391</v>
      </c>
      <c r="U67">
        <v>291845020</v>
      </c>
      <c r="V67">
        <v>293160220</v>
      </c>
      <c r="W67">
        <v>1.5</v>
      </c>
      <c r="X67">
        <v>0.11</v>
      </c>
      <c r="Y67">
        <v>17</v>
      </c>
      <c r="Z67" t="s">
        <v>2837</v>
      </c>
      <c r="AA67" t="s">
        <v>97</v>
      </c>
      <c r="AB67" t="s">
        <v>3392</v>
      </c>
      <c r="AC67" t="s">
        <v>3393</v>
      </c>
      <c r="AD67" t="s">
        <v>47</v>
      </c>
      <c r="AE67">
        <v>259150</v>
      </c>
      <c r="AF67" t="s">
        <v>2125</v>
      </c>
      <c r="AG67" t="s">
        <v>3394</v>
      </c>
      <c r="AH67" t="s">
        <v>2126</v>
      </c>
      <c r="AI67" t="s">
        <v>1478</v>
      </c>
      <c r="AJ67" t="s">
        <v>2127</v>
      </c>
      <c r="AK67" t="s">
        <v>3395</v>
      </c>
      <c r="AL67" t="s">
        <v>2128</v>
      </c>
      <c r="AM67" t="s">
        <v>47</v>
      </c>
      <c r="AN67" t="s">
        <v>1814</v>
      </c>
      <c r="AO67" t="s">
        <v>1116</v>
      </c>
      <c r="AP67" t="s">
        <v>3396</v>
      </c>
      <c r="AQ67" t="s">
        <v>3397</v>
      </c>
      <c r="AR67" t="s">
        <v>3398</v>
      </c>
      <c r="AS67" t="s">
        <v>240</v>
      </c>
      <c r="AT67" t="s">
        <v>261</v>
      </c>
      <c r="AU67" t="s">
        <v>3399</v>
      </c>
      <c r="AV67" t="s">
        <v>1560</v>
      </c>
      <c r="AW67" t="s">
        <v>238</v>
      </c>
      <c r="AX67" t="s">
        <v>1406</v>
      </c>
      <c r="AY67" t="s">
        <v>105</v>
      </c>
      <c r="AZ67" t="s">
        <v>640</v>
      </c>
      <c r="BA67" t="s">
        <v>641</v>
      </c>
      <c r="BB67" t="s">
        <v>642</v>
      </c>
      <c r="BC67" t="s">
        <v>278</v>
      </c>
      <c r="BD67" t="s">
        <v>292</v>
      </c>
      <c r="BE67" t="s">
        <v>352</v>
      </c>
      <c r="BF67" t="s">
        <v>180</v>
      </c>
      <c r="BG67" t="s">
        <v>643</v>
      </c>
      <c r="BH67" t="s">
        <v>2124</v>
      </c>
      <c r="BI67" t="s">
        <v>1061</v>
      </c>
      <c r="BJ67" t="s">
        <v>1406</v>
      </c>
      <c r="BK67" t="s">
        <v>1348</v>
      </c>
      <c r="BL67" t="s">
        <v>3400</v>
      </c>
      <c r="BM67" t="s">
        <v>278</v>
      </c>
      <c r="BN67">
        <v>7.65</v>
      </c>
      <c r="BO67">
        <v>9.65</v>
      </c>
      <c r="BP67">
        <v>7.84</v>
      </c>
      <c r="BQ67">
        <v>8.2200000000000006</v>
      </c>
      <c r="BR67">
        <v>10.14</v>
      </c>
      <c r="BS67">
        <v>9.14</v>
      </c>
      <c r="BT67" t="s">
        <v>1211</v>
      </c>
      <c r="BU67" t="s">
        <v>1079</v>
      </c>
      <c r="BV67">
        <v>45.89</v>
      </c>
      <c r="BW67">
        <v>43.19</v>
      </c>
      <c r="BX67">
        <v>42.36</v>
      </c>
      <c r="BY67">
        <v>14.74</v>
      </c>
      <c r="BZ67">
        <v>13.04</v>
      </c>
      <c r="CA67">
        <v>10.25</v>
      </c>
      <c r="CB67">
        <v>1.82</v>
      </c>
      <c r="CC67">
        <v>-5.08</v>
      </c>
      <c r="CD67" t="s">
        <v>3401</v>
      </c>
      <c r="CE67" t="s">
        <v>3402</v>
      </c>
      <c r="CF67" s="8">
        <v>0.5</v>
      </c>
      <c r="CG67" s="9">
        <v>1.499438501211027</v>
      </c>
      <c r="CH67" s="8">
        <v>-0.46808513998985291</v>
      </c>
      <c r="CI67" s="8">
        <v>0.21805182099342346</v>
      </c>
      <c r="CJ67" s="8">
        <v>-1.0610079392790794E-2</v>
      </c>
      <c r="CK67" s="8">
        <v>0.13782702386379242</v>
      </c>
      <c r="CL67" s="8">
        <v>0.33243969082832336</v>
      </c>
      <c r="CM67" s="9">
        <v>-0.7053987979888916</v>
      </c>
      <c r="CN67" s="9">
        <v>0.57547169923782349</v>
      </c>
      <c r="CO67" s="9">
        <v>-0.30718955397605896</v>
      </c>
      <c r="CP67" s="9">
        <v>0.26446279883384705</v>
      </c>
      <c r="CQ67" s="9">
        <v>0.85006803274154663</v>
      </c>
      <c r="CR67">
        <v>29.803377078706301</v>
      </c>
      <c r="CS67">
        <v>7.1087934310804108</v>
      </c>
      <c r="CT67">
        <v>4.4603033006244424</v>
      </c>
      <c r="CU67" s="8">
        <v>4.1924663260579108E-2</v>
      </c>
      <c r="CV67" s="9">
        <v>0.13548283576965331</v>
      </c>
      <c r="CW67">
        <v>0.06</v>
      </c>
      <c r="CX67">
        <v>44.775645813176276</v>
      </c>
      <c r="CY67">
        <v>48359458.823546492</v>
      </c>
      <c r="CZ67">
        <v>4.1924663260579108E-2</v>
      </c>
      <c r="DA67">
        <v>15.24354491930508</v>
      </c>
      <c r="DB67">
        <v>142048717.110266</v>
      </c>
      <c r="DC67">
        <v>3.9828430097550153E-2</v>
      </c>
      <c r="DD67">
        <v>7.9179756913881221</v>
      </c>
      <c r="DE67">
        <v>273469644.81781465</v>
      </c>
      <c r="DF67">
        <v>3.6893703669309615E-2</v>
      </c>
      <c r="DG67">
        <v>5.0444159236192707</v>
      </c>
      <c r="DH67">
        <v>429252074.52886254</v>
      </c>
      <c r="DI67">
        <v>3.353973060846329E-2</v>
      </c>
      <c r="DJ67">
        <v>2.9522594615898923</v>
      </c>
      <c r="DK67">
        <v>733447052.39216959</v>
      </c>
      <c r="DL67">
        <v>2.9347264282405375E-2</v>
      </c>
      <c r="DM67">
        <v>49198400</v>
      </c>
      <c r="DN67">
        <v>4.1924663260579108E-2</v>
      </c>
      <c r="DO67">
        <v>2165326000</v>
      </c>
      <c r="DP67">
        <v>442595590</v>
      </c>
      <c r="DQ67">
        <v>4077</v>
      </c>
      <c r="DR67">
        <v>0.45807533673942091</v>
      </c>
      <c r="DS67">
        <v>1.3639556654413736</v>
      </c>
      <c r="DT67" s="10">
        <v>-0.35666666666666669</v>
      </c>
      <c r="DU67">
        <v>0</v>
      </c>
      <c r="DV67">
        <v>-0.35666666666666669</v>
      </c>
      <c r="DW67">
        <v>-1.0508</v>
      </c>
      <c r="DX67">
        <v>0.42999218698258246</v>
      </c>
      <c r="DY67">
        <v>-1.0096516030987153</v>
      </c>
      <c r="DZ67">
        <v>1385</v>
      </c>
      <c r="EA67">
        <v>-1.0070356597930947</v>
      </c>
      <c r="EB67">
        <v>1</v>
      </c>
      <c r="EC67">
        <v>6.0904579755056809E-2</v>
      </c>
      <c r="ED67">
        <v>0.32056361534999528</v>
      </c>
      <c r="EE67" s="11">
        <v>-3.0461100000000001</v>
      </c>
      <c r="EF67">
        <v>-3.0880100000000001</v>
      </c>
      <c r="EG67">
        <v>24.189992186982582</v>
      </c>
      <c r="EH67" t="s">
        <v>1538</v>
      </c>
      <c r="EI67">
        <v>0</v>
      </c>
      <c r="EJ67">
        <v>1</v>
      </c>
      <c r="EK67" s="13">
        <v>45470</v>
      </c>
      <c r="EL67" s="14">
        <v>-1.83</v>
      </c>
      <c r="EM67" s="14">
        <v>-3.55</v>
      </c>
      <c r="EN67" s="14">
        <v>-1.2</v>
      </c>
      <c r="EO67" s="14">
        <v>4.66</v>
      </c>
      <c r="EP67" s="14">
        <v>-4.1900000000000004</v>
      </c>
    </row>
    <row r="68" spans="1:146" ht="156" x14ac:dyDescent="0.25">
      <c r="A68" s="7" t="s">
        <v>880</v>
      </c>
      <c r="B68" s="7" t="s">
        <v>881</v>
      </c>
      <c r="C68" s="7" t="str">
        <f>"公司主要从事体外诊断试剂与仪器的研发、生产、销售及服务，是国家火炬计划重点高新技术企业，是国内体外诊断领域（尤其是POCT领域）主要的供应商之一。"&amp;CHAR(10)&amp;Basic_Fundamental_Information_Constructure(F68)&amp;CHAR(10)&amp;Basic_Fundamental_Information_Concatenate("试剂类 9.84亿 70.21% 88.72% 82.87%
代理业务及其他 2.73亿 19.48% 7.23% 24.33%
仪器类 8617.41万 6.15% 2.33% 24.87%
检测类 5469.37万 3.90% 1.71% 28.79%")</f>
        <v>公司主要从事体外诊断试剂与仪器的研发、生产、销售及服务，是国家火炬计划重点高新技术企业，是国内体外诊断领域（尤其是POCT领域）主要的供应商之一。
市值39.405828亿, 利润-1.62亿; PE16.13; 平均PE14.5; 平均PEG2.69, PB1.49; ROIC12.6133%; ROE17.1233%; 股利率1.287%; 毛利66.0233%; 净利25.9333%; 上一年度营收增-84.96%, 利润增-132.46%; 当季营收增258.84%, 利润增2136.21%; 过往5年营收增5.39%, 利润增-10.18%
Income profile:
试剂类 9.84亿 70.21% 88.72% 82.87%
代理业务及其他 2.73亿 19.48% 7.23% 24.33%
仪器类 8617.41万 6.15% 2.33% 24.87%
检测类 5469.37万 3.90% 1.71% 28.79%</v>
      </c>
      <c r="D68" t="s">
        <v>645</v>
      </c>
      <c r="E68" t="s">
        <v>1533</v>
      </c>
      <c r="F68">
        <v>7.77</v>
      </c>
      <c r="G68">
        <v>3.32</v>
      </c>
      <c r="H68" t="s">
        <v>3403</v>
      </c>
      <c r="I68">
        <v>3940582800</v>
      </c>
      <c r="J68">
        <v>16.13</v>
      </c>
      <c r="K68">
        <v>1.49</v>
      </c>
      <c r="L68" t="s">
        <v>40</v>
      </c>
      <c r="M68" t="s">
        <v>2092</v>
      </c>
      <c r="N68" t="s">
        <v>3404</v>
      </c>
      <c r="O68" t="s">
        <v>106</v>
      </c>
      <c r="P68">
        <v>-16.32</v>
      </c>
      <c r="Q68" t="s">
        <v>1184</v>
      </c>
      <c r="R68">
        <v>86013454</v>
      </c>
      <c r="S68" s="3">
        <v>-0.29220000000000002</v>
      </c>
      <c r="T68" t="s">
        <v>1187</v>
      </c>
      <c r="U68">
        <v>507153520</v>
      </c>
      <c r="V68">
        <v>507153520</v>
      </c>
      <c r="W68">
        <v>1.34</v>
      </c>
      <c r="X68">
        <v>0.09</v>
      </c>
      <c r="Y68">
        <v>27.19</v>
      </c>
      <c r="Z68" t="s">
        <v>484</v>
      </c>
      <c r="AA68" t="s">
        <v>3405</v>
      </c>
      <c r="AB68" t="s">
        <v>3406</v>
      </c>
      <c r="AC68" t="s">
        <v>3407</v>
      </c>
      <c r="AD68" t="s">
        <v>47</v>
      </c>
      <c r="AE68">
        <v>-7500130</v>
      </c>
      <c r="AF68" t="s">
        <v>2132</v>
      </c>
      <c r="AG68" t="s">
        <v>3408</v>
      </c>
      <c r="AH68" t="s">
        <v>2133</v>
      </c>
      <c r="AI68" t="s">
        <v>485</v>
      </c>
      <c r="AJ68" t="s">
        <v>2134</v>
      </c>
      <c r="AK68" t="s">
        <v>47</v>
      </c>
      <c r="AL68" t="s">
        <v>2135</v>
      </c>
      <c r="AM68" t="s">
        <v>47</v>
      </c>
      <c r="AN68" t="s">
        <v>236</v>
      </c>
      <c r="AO68" t="s">
        <v>1669</v>
      </c>
      <c r="AP68" t="s">
        <v>47</v>
      </c>
      <c r="AQ68" t="s">
        <v>283</v>
      </c>
      <c r="AR68" t="s">
        <v>47</v>
      </c>
      <c r="AS68" t="s">
        <v>2295</v>
      </c>
      <c r="AT68" t="s">
        <v>47</v>
      </c>
      <c r="AU68" t="s">
        <v>3409</v>
      </c>
      <c r="AV68" t="s">
        <v>3410</v>
      </c>
      <c r="AW68" t="s">
        <v>3411</v>
      </c>
      <c r="AX68" t="s">
        <v>1199</v>
      </c>
      <c r="AY68" t="s">
        <v>260</v>
      </c>
      <c r="AZ68" t="s">
        <v>646</v>
      </c>
      <c r="BA68" t="s">
        <v>565</v>
      </c>
      <c r="BB68" t="s">
        <v>488</v>
      </c>
      <c r="BC68" t="s">
        <v>922</v>
      </c>
      <c r="BD68" t="s">
        <v>977</v>
      </c>
      <c r="BE68" t="s">
        <v>647</v>
      </c>
      <c r="BF68" t="s">
        <v>649</v>
      </c>
      <c r="BG68" t="s">
        <v>597</v>
      </c>
      <c r="BH68" t="s">
        <v>2130</v>
      </c>
      <c r="BI68" t="s">
        <v>3412</v>
      </c>
      <c r="BJ68" t="s">
        <v>1199</v>
      </c>
      <c r="BK68" t="s">
        <v>508</v>
      </c>
      <c r="BL68" t="s">
        <v>3413</v>
      </c>
      <c r="BM68" t="s">
        <v>922</v>
      </c>
      <c r="BN68">
        <v>5.71</v>
      </c>
      <c r="BO68">
        <v>16.36</v>
      </c>
      <c r="BP68">
        <v>15.77</v>
      </c>
      <c r="BQ68">
        <v>9.18</v>
      </c>
      <c r="BR68">
        <v>21.76</v>
      </c>
      <c r="BS68">
        <v>20.43</v>
      </c>
      <c r="BT68" t="s">
        <v>1210</v>
      </c>
      <c r="BU68" t="s">
        <v>1075</v>
      </c>
      <c r="BV68">
        <v>67.42</v>
      </c>
      <c r="BW68">
        <v>65.069999999999993</v>
      </c>
      <c r="BX68">
        <v>65.58</v>
      </c>
      <c r="BY68">
        <v>20.75</v>
      </c>
      <c r="BZ68">
        <v>27.66</v>
      </c>
      <c r="CA68">
        <v>29.39</v>
      </c>
      <c r="CB68">
        <v>0.13</v>
      </c>
      <c r="CC68">
        <v>-12.79</v>
      </c>
      <c r="CD68" t="s">
        <v>3414</v>
      </c>
      <c r="CE68" t="s">
        <v>3415</v>
      </c>
      <c r="CF68" s="8">
        <v>2.5883994401205346</v>
      </c>
      <c r="CG68" s="9">
        <v>21.362066867720465</v>
      </c>
      <c r="CH68" s="8">
        <v>-0.84961581230163574</v>
      </c>
      <c r="CI68" s="8">
        <v>0.29957205057144165</v>
      </c>
      <c r="CJ68" s="8">
        <v>0.24844160676002502</v>
      </c>
      <c r="CK68" s="8">
        <v>0.1601240336894989</v>
      </c>
      <c r="CL68" s="8">
        <v>0.41107872128486633</v>
      </c>
      <c r="CM68" s="9">
        <v>-1.3246493339538574</v>
      </c>
      <c r="CN68" s="9">
        <v>0.25062656402587891</v>
      </c>
      <c r="CO68" s="9">
        <v>0.30819672346115112</v>
      </c>
      <c r="CP68" s="9">
        <v>-0.10294117778539658</v>
      </c>
      <c r="CQ68" s="9">
        <v>0.36000001430511475</v>
      </c>
      <c r="CR68">
        <v>14.496319313304722</v>
      </c>
      <c r="CS68">
        <v>2.6884805362226745</v>
      </c>
      <c r="CT68">
        <v>1.287001287001287</v>
      </c>
      <c r="CU68" s="8">
        <v>5.3920120000839233E-2</v>
      </c>
      <c r="CV68" s="9">
        <v>-0.10175344198942185</v>
      </c>
      <c r="CW68">
        <v>0.06</v>
      </c>
      <c r="CX68" t="e">
        <v>#VALUE!</v>
      </c>
      <c r="CY68" t="s">
        <v>1038</v>
      </c>
      <c r="CZ68">
        <v>5.3920120000839233E-2</v>
      </c>
      <c r="DA68" t="e">
        <v>#VALUE!</v>
      </c>
      <c r="DB68" t="s">
        <v>1038</v>
      </c>
      <c r="DC68">
        <v>5.1224114000797266E-2</v>
      </c>
      <c r="DD68" t="e">
        <v>#VALUE!</v>
      </c>
      <c r="DE68" t="s">
        <v>1038</v>
      </c>
      <c r="DF68">
        <v>4.7449705600738523E-2</v>
      </c>
      <c r="DG68" t="e">
        <v>#VALUE!</v>
      </c>
      <c r="DH68" t="s">
        <v>1038</v>
      </c>
      <c r="DI68">
        <v>4.3136096000671392E-2</v>
      </c>
      <c r="DJ68" t="e">
        <v>#VALUE!</v>
      </c>
      <c r="DK68" t="s">
        <v>1038</v>
      </c>
      <c r="DL68">
        <v>3.7744084000587458E-2</v>
      </c>
      <c r="DM68">
        <v>-162000000</v>
      </c>
      <c r="DN68">
        <v>5.3920120000839233E-2</v>
      </c>
      <c r="DO68">
        <v>2145582800</v>
      </c>
      <c r="DP68">
        <v>1109269100</v>
      </c>
      <c r="DQ68">
        <v>4134</v>
      </c>
      <c r="DR68">
        <v>2.5344793201196953</v>
      </c>
      <c r="DS68">
        <v>21.463820309709888</v>
      </c>
      <c r="DT68" s="10">
        <v>-0.27333333333333343</v>
      </c>
      <c r="DU68">
        <v>-0.3666666666666667</v>
      </c>
      <c r="DV68">
        <v>-0.64000000000000012</v>
      </c>
      <c r="DW68">
        <v>-2.1278999999999999</v>
      </c>
      <c r="DX68">
        <v>0.49076809397086069</v>
      </c>
      <c r="DY68">
        <v>-2.0192832392188729</v>
      </c>
      <c r="DZ68">
        <v>5015</v>
      </c>
      <c r="EA68">
        <v>-2.0003584946625819</v>
      </c>
      <c r="EB68">
        <v>2</v>
      </c>
      <c r="EC68">
        <v>2.1805823215029645E-2</v>
      </c>
      <c r="ED68">
        <v>0.1446315506200174</v>
      </c>
      <c r="EE68" s="11">
        <v>-8.0044000000000004</v>
      </c>
      <c r="EF68">
        <v>-8.0445100000000007</v>
      </c>
      <c r="EG68">
        <v>34.150768093970861</v>
      </c>
      <c r="EH68" t="s">
        <v>3416</v>
      </c>
      <c r="EI68">
        <v>0</v>
      </c>
      <c r="EJ68">
        <v>0</v>
      </c>
      <c r="EK68" s="13">
        <v>45470</v>
      </c>
      <c r="EL68" s="14">
        <v>-4.78</v>
      </c>
      <c r="EM68" s="14">
        <v>-5.03</v>
      </c>
      <c r="EN68" s="14">
        <v>-4.76</v>
      </c>
      <c r="EO68" s="14">
        <v>2.2200000000000002</v>
      </c>
      <c r="EP68" s="14">
        <v>-4.8899999999999997</v>
      </c>
    </row>
    <row r="69" spans="1:146" ht="168" x14ac:dyDescent="0.25">
      <c r="A69" s="7" t="s">
        <v>1176</v>
      </c>
      <c r="B69" s="7" t="s">
        <v>1175</v>
      </c>
      <c r="C69" s="7" t="str">
        <f>"公司专业从事体外诊断试剂及仪器的研发、制造、整合及服务,产品涵盖免疫、微生物、生化等检测领域,同时也在分子检测等领域积极布局,能够为医学实验室提供全面的产品解决方案和整体服务。"&amp;CHAR(10)&amp;Basic_Fundamental_Information_Constructure(F69)&amp;CHAR(10)&amp;Basic_Fundamental_Information_Concatenate("试剂类 30.46亿 80.88% 89.65% 65.94%
仪器类 5.45亿 14.46% 8.61% 35.41%
其他 9559.33万 2.54% 1.27% 29.81%
其他业务 7982.39万 2.12% 0.47% 13.20%")</f>
        <v>公司专业从事体外诊断试剂及仪器的研发、制造、整合及服务,产品涵盖免疫、微生物、生化等检测领域,同时也在分子检测等领域积极布局,能够为医学实验室提供全面的产品解决方案和整体服务。
市值261.0484亿, 利润19.12亿; PE20.09; 平均PE25.52; 平均PEG.38, PB3; ROIC13.23%; ROE13.65%; 股利率2.3416%; 毛利61.4667%; 净利26.7767%; 上一年度营收增245.34%, 利润增63.84%; 当季营收增-70.56%, 利润增-53.82%; 过往5年营收增67.94%, 利润增29.6%
Income profile:
试剂类 30.46亿 80.88% 89.65% 65.94%
仪器类 5.45亿 14.46% 8.61% 35.41%
其他 9559.33万 2.54% 1.27% 29.81%
其他业务 7982.39万 2.12% 0.47% 13.20%</v>
      </c>
      <c r="D69" t="s">
        <v>652</v>
      </c>
      <c r="E69" t="s">
        <v>653</v>
      </c>
      <c r="F69">
        <v>44.93</v>
      </c>
      <c r="G69">
        <v>3.15</v>
      </c>
      <c r="H69" t="s">
        <v>3417</v>
      </c>
      <c r="I69">
        <v>26104840000</v>
      </c>
      <c r="J69">
        <v>20.09</v>
      </c>
      <c r="K69">
        <v>3</v>
      </c>
      <c r="L69" t="s">
        <v>40</v>
      </c>
      <c r="M69" t="s">
        <v>2136</v>
      </c>
      <c r="N69" t="s">
        <v>3418</v>
      </c>
      <c r="O69" t="s">
        <v>1398</v>
      </c>
      <c r="P69">
        <v>5.09</v>
      </c>
      <c r="Q69" t="s">
        <v>3419</v>
      </c>
      <c r="R69">
        <v>324212000</v>
      </c>
      <c r="S69" s="3">
        <v>0.33929999999999999</v>
      </c>
      <c r="T69" t="s">
        <v>3420</v>
      </c>
      <c r="U69">
        <v>581011350</v>
      </c>
      <c r="V69">
        <v>581011350</v>
      </c>
      <c r="W69">
        <v>1.31</v>
      </c>
      <c r="X69">
        <v>0.09</v>
      </c>
      <c r="Y69">
        <v>30.18</v>
      </c>
      <c r="Z69" t="s">
        <v>89</v>
      </c>
      <c r="AA69" t="s">
        <v>3421</v>
      </c>
      <c r="AB69" t="s">
        <v>120</v>
      </c>
      <c r="AC69" t="s">
        <v>3422</v>
      </c>
      <c r="AD69" t="s">
        <v>47</v>
      </c>
      <c r="AE69">
        <v>2053580</v>
      </c>
      <c r="AF69" t="s">
        <v>2139</v>
      </c>
      <c r="AG69" t="s">
        <v>3423</v>
      </c>
      <c r="AH69" t="s">
        <v>2140</v>
      </c>
      <c r="AI69" t="s">
        <v>3424</v>
      </c>
      <c r="AJ69" t="s">
        <v>2141</v>
      </c>
      <c r="AK69" t="s">
        <v>3425</v>
      </c>
      <c r="AL69" t="s">
        <v>2142</v>
      </c>
      <c r="AM69" t="s">
        <v>47</v>
      </c>
      <c r="AN69" t="s">
        <v>1578</v>
      </c>
      <c r="AO69" t="s">
        <v>1427</v>
      </c>
      <c r="AP69" t="s">
        <v>279</v>
      </c>
      <c r="AQ69" t="s">
        <v>588</v>
      </c>
      <c r="AR69" t="s">
        <v>47</v>
      </c>
      <c r="AS69" t="s">
        <v>3426</v>
      </c>
      <c r="AT69" t="s">
        <v>317</v>
      </c>
      <c r="AU69" t="s">
        <v>3427</v>
      </c>
      <c r="AV69" t="s">
        <v>2224</v>
      </c>
      <c r="AW69" t="s">
        <v>1875</v>
      </c>
      <c r="AX69" t="s">
        <v>1407</v>
      </c>
      <c r="AY69" t="s">
        <v>978</v>
      </c>
      <c r="AZ69" t="s">
        <v>654</v>
      </c>
      <c r="BA69" t="s">
        <v>656</v>
      </c>
      <c r="BB69" t="s">
        <v>657</v>
      </c>
      <c r="BC69" t="s">
        <v>1179</v>
      </c>
      <c r="BD69" t="s">
        <v>956</v>
      </c>
      <c r="BE69" t="s">
        <v>655</v>
      </c>
      <c r="BF69" t="s">
        <v>400</v>
      </c>
      <c r="BG69" t="s">
        <v>326</v>
      </c>
      <c r="BH69" t="s">
        <v>2137</v>
      </c>
      <c r="BI69" t="s">
        <v>3428</v>
      </c>
      <c r="BJ69" t="s">
        <v>1407</v>
      </c>
      <c r="BK69" t="s">
        <v>2138</v>
      </c>
      <c r="BL69" t="s">
        <v>3429</v>
      </c>
      <c r="BM69" t="s">
        <v>1179</v>
      </c>
      <c r="BN69">
        <v>10.77</v>
      </c>
      <c r="BO69">
        <v>15.25</v>
      </c>
      <c r="BP69">
        <v>13.67</v>
      </c>
      <c r="BQ69">
        <v>11.15</v>
      </c>
      <c r="BR69">
        <v>15.57</v>
      </c>
      <c r="BS69">
        <v>14.23</v>
      </c>
      <c r="BT69" t="s">
        <v>3430</v>
      </c>
      <c r="BU69" t="s">
        <v>1075</v>
      </c>
      <c r="BV69">
        <v>65.069999999999993</v>
      </c>
      <c r="BW69">
        <v>59.84</v>
      </c>
      <c r="BX69">
        <v>59.49</v>
      </c>
      <c r="BY69">
        <v>27.55</v>
      </c>
      <c r="BZ69">
        <v>26.76</v>
      </c>
      <c r="CA69">
        <v>26.02</v>
      </c>
      <c r="CB69">
        <v>-2.4700000000000002</v>
      </c>
      <c r="CC69">
        <v>-10.71</v>
      </c>
      <c r="CD69" t="s">
        <v>3431</v>
      </c>
      <c r="CE69" t="s">
        <v>88</v>
      </c>
      <c r="CF69" s="8">
        <v>-0.7055961070559611</v>
      </c>
      <c r="CG69" s="9">
        <v>-0.53815954415954415</v>
      </c>
      <c r="CH69" s="8">
        <v>2.4533994197845459</v>
      </c>
      <c r="CI69" s="8">
        <v>0.17950080335140228</v>
      </c>
      <c r="CJ69" s="8">
        <v>0.26460713148117065</v>
      </c>
      <c r="CK69" s="8">
        <v>0.11160873621702194</v>
      </c>
      <c r="CL69" s="8">
        <v>0.38808292150497437</v>
      </c>
      <c r="CM69" s="9">
        <v>0.63838893175125122</v>
      </c>
      <c r="CN69" s="9">
        <v>0.19815202057361603</v>
      </c>
      <c r="CO69" s="9">
        <v>0.3021390438079834</v>
      </c>
      <c r="CP69" s="9">
        <v>-3.3591732382774353E-2</v>
      </c>
      <c r="CQ69" s="9">
        <v>0.37477797269821167</v>
      </c>
      <c r="CR69">
        <v>25.517927663734117</v>
      </c>
      <c r="CS69">
        <v>0.37557304666357982</v>
      </c>
      <c r="CT69">
        <v>2.3415980413977295</v>
      </c>
      <c r="CU69" s="8">
        <v>0.67943980246782298</v>
      </c>
      <c r="CV69" s="9">
        <v>0.29597324728965757</v>
      </c>
      <c r="CW69">
        <v>0.06</v>
      </c>
      <c r="CX69">
        <v>6.6479537158210942</v>
      </c>
      <c r="CY69">
        <v>3029329153.1306391</v>
      </c>
      <c r="CZ69">
        <v>0.67943980246782298</v>
      </c>
      <c r="DA69">
        <v>1.3674197157004058</v>
      </c>
      <c r="DB69">
        <v>14727621496.728741</v>
      </c>
      <c r="DC69">
        <v>0.64546781234443185</v>
      </c>
      <c r="DD69">
        <v>0.33030133884745516</v>
      </c>
      <c r="DE69">
        <v>60971112228.221481</v>
      </c>
      <c r="DF69">
        <v>0.59790702617168423</v>
      </c>
      <c r="DG69">
        <v>7.8807101647774866E-2</v>
      </c>
      <c r="DH69">
        <v>255546005105.09479</v>
      </c>
      <c r="DI69">
        <v>0.54355184197425843</v>
      </c>
      <c r="DJ69">
        <v>3.9768504011289223E-3</v>
      </c>
      <c r="DK69">
        <v>5064017493412.1533</v>
      </c>
      <c r="DL69">
        <v>0.47560786172747604</v>
      </c>
      <c r="DM69">
        <v>1912000000</v>
      </c>
      <c r="DN69">
        <v>0.67943980246782298</v>
      </c>
      <c r="DO69">
        <v>20138840000</v>
      </c>
      <c r="DP69">
        <v>4561533400</v>
      </c>
      <c r="DQ69">
        <v>4235</v>
      </c>
      <c r="DR69">
        <v>-1.3850359095237841</v>
      </c>
      <c r="DS69">
        <v>-0.83413279144920172</v>
      </c>
      <c r="DT69" s="10">
        <v>0.24333333333333326</v>
      </c>
      <c r="DU69">
        <v>0.49666666666666665</v>
      </c>
      <c r="DV69">
        <v>0.73999999999999988</v>
      </c>
      <c r="DW69">
        <v>-2.1071</v>
      </c>
      <c r="DX69">
        <v>0.46407623762375921</v>
      </c>
      <c r="DY69">
        <v>-2.0143595650495048</v>
      </c>
      <c r="DZ69">
        <v>861</v>
      </c>
      <c r="EA69">
        <v>-2.0119400766918485</v>
      </c>
      <c r="EB69">
        <v>2</v>
      </c>
      <c r="EC69">
        <v>2.3307117838575787E-2</v>
      </c>
      <c r="ED69">
        <v>0.17383481407032755</v>
      </c>
      <c r="EE69" s="11">
        <v>-1.0420100000000001</v>
      </c>
      <c r="EF69">
        <v>-1.0684100000000001</v>
      </c>
      <c r="EG69">
        <v>33.134076237623759</v>
      </c>
      <c r="EH69" t="s">
        <v>1039</v>
      </c>
      <c r="EI69">
        <v>0</v>
      </c>
      <c r="EJ69">
        <v>1</v>
      </c>
      <c r="EK69" s="13">
        <v>45470</v>
      </c>
      <c r="EL69" s="14">
        <v>-0.6</v>
      </c>
      <c r="EM69" s="14">
        <v>-4.5</v>
      </c>
      <c r="EN69" s="14">
        <v>-2.5299999999999998</v>
      </c>
      <c r="EO69" s="14">
        <v>6.49</v>
      </c>
      <c r="EP69" s="14">
        <v>-2.64</v>
      </c>
    </row>
    <row r="70" spans="1:146" ht="96" x14ac:dyDescent="0.25">
      <c r="A70" s="7"/>
      <c r="B70" s="7"/>
      <c r="C70" s="7" t="str">
        <f>""&amp;CHAR(10)&amp;Basic_Fundamental_Information_Constructure(F70)&amp;CHAR(10)&amp;Basic_Fundamental_Information_Concatenate("")</f>
        <v xml:space="preserve">
市值10.1196004亿, 利润1.23亿; PE; 平均PE24.19; 平均PEG.47, PB2.15; ROIC.89%; ROE-1.5167%; 股利率0%; 毛利14.41%; 净利-10.55%; 上一年度营收增182.94%, 利润增939.66%; 当季营收增-62.63%, 利润增-95.03%; 过往5年营收增51.18%, 利润增214.63%
Income profile:
</v>
      </c>
      <c r="D70" t="s">
        <v>659</v>
      </c>
      <c r="E70" t="s">
        <v>3432</v>
      </c>
      <c r="F70">
        <v>3.46</v>
      </c>
      <c r="G70">
        <v>1.47</v>
      </c>
      <c r="H70" t="s">
        <v>3433</v>
      </c>
      <c r="I70">
        <v>1011960040</v>
      </c>
      <c r="K70">
        <v>2.15</v>
      </c>
      <c r="L70" t="s">
        <v>40</v>
      </c>
      <c r="M70" t="s">
        <v>1551</v>
      </c>
      <c r="N70" t="s">
        <v>1515</v>
      </c>
      <c r="O70" t="s">
        <v>43</v>
      </c>
      <c r="P70">
        <v>-38.450000000000003</v>
      </c>
      <c r="Q70" t="s">
        <v>84</v>
      </c>
      <c r="R70">
        <v>1745086</v>
      </c>
      <c r="S70" s="3">
        <v>-0.74819999999999998</v>
      </c>
      <c r="T70" t="s">
        <v>268</v>
      </c>
      <c r="U70">
        <v>289042000</v>
      </c>
      <c r="V70">
        <v>292474000</v>
      </c>
      <c r="W70">
        <v>2.65</v>
      </c>
      <c r="X70">
        <v>0.11</v>
      </c>
      <c r="Y70">
        <v>1.26</v>
      </c>
      <c r="Z70" t="s">
        <v>111</v>
      </c>
      <c r="AA70" t="s">
        <v>442</v>
      </c>
      <c r="AB70" t="s">
        <v>3434</v>
      </c>
      <c r="AC70" t="s">
        <v>3435</v>
      </c>
      <c r="AD70" t="s">
        <v>47</v>
      </c>
      <c r="AE70">
        <v>1318802</v>
      </c>
      <c r="AF70" t="s">
        <v>2145</v>
      </c>
      <c r="AG70" t="s">
        <v>3436</v>
      </c>
      <c r="AH70" t="s">
        <v>2146</v>
      </c>
      <c r="AI70" t="s">
        <v>3437</v>
      </c>
      <c r="AJ70" t="s">
        <v>3438</v>
      </c>
      <c r="AK70" t="s">
        <v>47</v>
      </c>
      <c r="AL70" t="s">
        <v>2147</v>
      </c>
      <c r="AM70" t="s">
        <v>47</v>
      </c>
      <c r="AN70" t="s">
        <v>3439</v>
      </c>
      <c r="AO70" t="s">
        <v>1554</v>
      </c>
      <c r="AP70" t="s">
        <v>3440</v>
      </c>
      <c r="AQ70" t="s">
        <v>209</v>
      </c>
      <c r="AR70" t="s">
        <v>47</v>
      </c>
      <c r="AS70" t="s">
        <v>400</v>
      </c>
      <c r="AT70" t="s">
        <v>47</v>
      </c>
      <c r="AU70" t="s">
        <v>3441</v>
      </c>
      <c r="AV70" t="s">
        <v>3442</v>
      </c>
      <c r="AW70" t="s">
        <v>3443</v>
      </c>
      <c r="AX70" t="s">
        <v>1082</v>
      </c>
      <c r="AY70" t="s">
        <v>979</v>
      </c>
      <c r="AZ70" t="s">
        <v>661</v>
      </c>
      <c r="BA70" t="s">
        <v>457</v>
      </c>
      <c r="BB70" t="s">
        <v>147</v>
      </c>
      <c r="BC70" t="s">
        <v>1409</v>
      </c>
      <c r="BD70" t="s">
        <v>980</v>
      </c>
      <c r="BE70" t="s">
        <v>662</v>
      </c>
      <c r="BF70" t="s">
        <v>664</v>
      </c>
      <c r="BG70" t="s">
        <v>665</v>
      </c>
      <c r="BH70" t="s">
        <v>1492</v>
      </c>
      <c r="BI70" t="s">
        <v>801</v>
      </c>
      <c r="BJ70" t="s">
        <v>1082</v>
      </c>
      <c r="BK70" t="s">
        <v>2144</v>
      </c>
      <c r="BL70" t="s">
        <v>3444</v>
      </c>
      <c r="BM70" t="s">
        <v>1409</v>
      </c>
      <c r="BN70">
        <v>0.89</v>
      </c>
      <c r="BO70" t="s">
        <v>47</v>
      </c>
      <c r="BP70" t="s">
        <v>47</v>
      </c>
      <c r="BQ70">
        <v>1.17</v>
      </c>
      <c r="BR70">
        <v>-2.2999999999999998</v>
      </c>
      <c r="BS70">
        <v>-3.42</v>
      </c>
      <c r="BT70" t="s">
        <v>1208</v>
      </c>
      <c r="BU70" t="s">
        <v>1079</v>
      </c>
      <c r="BV70">
        <v>9.2799999999999994</v>
      </c>
      <c r="BW70">
        <v>13.24</v>
      </c>
      <c r="BX70">
        <v>20.71</v>
      </c>
      <c r="BY70">
        <v>-24.54</v>
      </c>
      <c r="BZ70">
        <v>-2.74</v>
      </c>
      <c r="CA70">
        <v>-4.37</v>
      </c>
      <c r="CB70">
        <v>-2.54</v>
      </c>
      <c r="CC70">
        <v>-13.07</v>
      </c>
      <c r="CD70" t="s">
        <v>3445</v>
      </c>
      <c r="CE70" t="s">
        <v>97</v>
      </c>
      <c r="CF70" s="8">
        <v>-0.62634408602150538</v>
      </c>
      <c r="CG70" s="9">
        <v>-0.95025793339737252</v>
      </c>
      <c r="CH70" s="8">
        <v>1.8293577432632446</v>
      </c>
      <c r="CI70" s="8">
        <v>3.4155596047639847E-2</v>
      </c>
      <c r="CJ70" s="8">
        <v>-0.5083954930305481</v>
      </c>
      <c r="CK70" s="8">
        <v>1.1788617372512817</v>
      </c>
      <c r="CL70" s="8">
        <v>2.500000037252903E-2</v>
      </c>
      <c r="CM70" s="9">
        <v>9.3966493606567383</v>
      </c>
      <c r="CN70" s="9">
        <v>0.35644054412841797</v>
      </c>
      <c r="CO70" s="9">
        <v>-1.2321052551269531</v>
      </c>
      <c r="CP70" s="9">
        <v>2.4959716796875</v>
      </c>
      <c r="CQ70" s="9">
        <v>-0.28531137108802795</v>
      </c>
      <c r="CR70">
        <v>24.194270449388863</v>
      </c>
      <c r="CS70">
        <v>0.47273277601684677</v>
      </c>
      <c r="CT70">
        <v>0</v>
      </c>
      <c r="CU70" s="8">
        <v>0.51179591678082947</v>
      </c>
      <c r="CV70" s="9">
        <v>2.1463289916515351</v>
      </c>
      <c r="CW70">
        <v>0.06</v>
      </c>
      <c r="CX70">
        <v>7.6383478621454639</v>
      </c>
      <c r="CY70">
        <v>175425375.24909624</v>
      </c>
      <c r="CZ70">
        <v>0.51179591678082947</v>
      </c>
      <c r="DA70">
        <v>1.7788509872603899</v>
      </c>
      <c r="DB70">
        <v>753272786.53265595</v>
      </c>
      <c r="DC70">
        <v>0.486206120941788</v>
      </c>
      <c r="DD70">
        <v>0.52715471188970231</v>
      </c>
      <c r="DE70">
        <v>2541872451.8208666</v>
      </c>
      <c r="DF70">
        <v>0.45038040676712993</v>
      </c>
      <c r="DG70">
        <v>0.16596283231647127</v>
      </c>
      <c r="DH70">
        <v>8073856183.9247017</v>
      </c>
      <c r="DI70">
        <v>0.40943673342466358</v>
      </c>
      <c r="DJ70">
        <v>1.6917393100359363E-2</v>
      </c>
      <c r="DK70">
        <v>79206059234.477219</v>
      </c>
      <c r="DL70">
        <v>0.35825714174658063</v>
      </c>
      <c r="DM70">
        <v>123000000</v>
      </c>
      <c r="DN70">
        <v>0.51179591678082947</v>
      </c>
      <c r="DO70">
        <v>1339960040</v>
      </c>
      <c r="DP70">
        <v>-226547220</v>
      </c>
      <c r="DQ70">
        <v>4353</v>
      </c>
      <c r="DR70">
        <v>-1.1381400028023347</v>
      </c>
      <c r="DS70">
        <v>-3.0965869250489075</v>
      </c>
      <c r="DT70" s="10">
        <v>-4.0000000000000036E-2</v>
      </c>
      <c r="DU70">
        <v>-0.83500000000000008</v>
      </c>
      <c r="DV70">
        <v>-0.87500000000000011</v>
      </c>
      <c r="DW70">
        <v>-8.1943381790359595</v>
      </c>
      <c r="DX70">
        <v>0.28071280487804862</v>
      </c>
      <c r="DY70">
        <v>-8.0331760156381211</v>
      </c>
      <c r="DZ70">
        <v>1484</v>
      </c>
      <c r="EA70">
        <v>-8.0235413371240369</v>
      </c>
      <c r="EB70">
        <v>8</v>
      </c>
      <c r="EC70">
        <v>9.5724406272010509E-2</v>
      </c>
      <c r="ED70">
        <v>0.56073360367075364</v>
      </c>
      <c r="EE70" s="11">
        <v>-2.02311</v>
      </c>
      <c r="EF70">
        <v>-2.04311</v>
      </c>
      <c r="EG70">
        <v>11.170712804878049</v>
      </c>
      <c r="EH70" t="s">
        <v>1532</v>
      </c>
      <c r="EI70">
        <v>0</v>
      </c>
      <c r="EJ70">
        <v>1</v>
      </c>
      <c r="EK70" s="13">
        <v>45470</v>
      </c>
      <c r="EL70" s="14">
        <v>-0.47</v>
      </c>
      <c r="EM70" s="14">
        <v>-4.3</v>
      </c>
      <c r="EN70" s="14">
        <v>-0.82</v>
      </c>
      <c r="EO70" s="14">
        <v>6.83</v>
      </c>
      <c r="EP70" s="14">
        <v>-2</v>
      </c>
    </row>
    <row r="71" spans="1:146" ht="96" x14ac:dyDescent="0.25">
      <c r="A71" s="7"/>
      <c r="B71" s="7"/>
      <c r="C71" s="7" t="str">
        <f>""&amp;CHAR(10)&amp;Basic_Fundamental_Information_Constructure(F71)&amp;CHAR(10)&amp;Basic_Fundamental_Information_Concatenate("")</f>
        <v xml:space="preserve">
市值21.153165亿, 利润3.05亿; PE43.78; 平均PE18.84; 平均PEG.36, PB1.75; ROIC5.39%; ROE6.05%; 股利率1.4296%; 毛利20.8667%; 净利8.66%; 上一年度营收增219.22%, 利润增370.89%; 当季营收增-47.1%, 利润增-46.92%; 过往5年营收增52.33%, 利润增78.76%
Income profile:
</v>
      </c>
      <c r="D71" t="s">
        <v>666</v>
      </c>
      <c r="E71" t="s">
        <v>667</v>
      </c>
      <c r="F71">
        <v>13.99</v>
      </c>
      <c r="G71">
        <v>2.12</v>
      </c>
      <c r="H71" t="s">
        <v>3446</v>
      </c>
      <c r="I71">
        <v>2115316500</v>
      </c>
      <c r="J71">
        <v>43.78</v>
      </c>
      <c r="K71">
        <v>1.75</v>
      </c>
      <c r="L71" t="s">
        <v>40</v>
      </c>
      <c r="M71" t="s">
        <v>2149</v>
      </c>
      <c r="N71" t="s">
        <v>2063</v>
      </c>
      <c r="O71" t="s">
        <v>427</v>
      </c>
      <c r="P71">
        <v>8.94</v>
      </c>
      <c r="Q71" t="s">
        <v>3447</v>
      </c>
      <c r="R71">
        <v>21047590</v>
      </c>
      <c r="S71" s="3">
        <v>0.61970000000000003</v>
      </c>
      <c r="T71" t="s">
        <v>647</v>
      </c>
      <c r="U71">
        <v>151202040</v>
      </c>
      <c r="V71">
        <v>151202040</v>
      </c>
      <c r="W71">
        <v>1.67</v>
      </c>
      <c r="X71">
        <v>0.12</v>
      </c>
      <c r="Y71">
        <v>8.57</v>
      </c>
      <c r="Z71" t="s">
        <v>644</v>
      </c>
      <c r="AA71" t="s">
        <v>580</v>
      </c>
      <c r="AB71" t="s">
        <v>3448</v>
      </c>
      <c r="AC71" t="s">
        <v>3449</v>
      </c>
      <c r="AD71" t="s">
        <v>47</v>
      </c>
      <c r="AE71">
        <v>3716211</v>
      </c>
      <c r="AF71" t="s">
        <v>2152</v>
      </c>
      <c r="AG71" t="s">
        <v>3450</v>
      </c>
      <c r="AH71" t="s">
        <v>2153</v>
      </c>
      <c r="AI71" t="s">
        <v>68</v>
      </c>
      <c r="AJ71" t="s">
        <v>2154</v>
      </c>
      <c r="AK71" t="s">
        <v>3451</v>
      </c>
      <c r="AL71" t="s">
        <v>2155</v>
      </c>
      <c r="AM71" t="s">
        <v>47</v>
      </c>
      <c r="AN71" t="s">
        <v>3452</v>
      </c>
      <c r="AO71" t="s">
        <v>2156</v>
      </c>
      <c r="AP71" t="s">
        <v>43</v>
      </c>
      <c r="AQ71" t="s">
        <v>78</v>
      </c>
      <c r="AR71" t="s">
        <v>47</v>
      </c>
      <c r="AS71" t="s">
        <v>801</v>
      </c>
      <c r="AT71" t="s">
        <v>47</v>
      </c>
      <c r="AU71" t="s">
        <v>3453</v>
      </c>
      <c r="AV71" t="s">
        <v>3454</v>
      </c>
      <c r="AW71" t="s">
        <v>3455</v>
      </c>
      <c r="AX71" t="s">
        <v>337</v>
      </c>
      <c r="AY71" t="s">
        <v>510</v>
      </c>
      <c r="AZ71" t="s">
        <v>444</v>
      </c>
      <c r="BA71" t="s">
        <v>230</v>
      </c>
      <c r="BB71" t="s">
        <v>263</v>
      </c>
      <c r="BC71" t="s">
        <v>2157</v>
      </c>
      <c r="BD71" t="s">
        <v>87</v>
      </c>
      <c r="BE71" t="s">
        <v>668</v>
      </c>
      <c r="BF71" t="s">
        <v>670</v>
      </c>
      <c r="BG71" t="s">
        <v>671</v>
      </c>
      <c r="BH71" t="s">
        <v>1675</v>
      </c>
      <c r="BI71" t="s">
        <v>184</v>
      </c>
      <c r="BJ71" t="s">
        <v>337</v>
      </c>
      <c r="BK71" t="s">
        <v>2150</v>
      </c>
      <c r="BL71" t="s">
        <v>3456</v>
      </c>
      <c r="BM71" t="s">
        <v>2157</v>
      </c>
      <c r="BN71">
        <v>2.91</v>
      </c>
      <c r="BO71">
        <v>5</v>
      </c>
      <c r="BP71">
        <v>8.26</v>
      </c>
      <c r="BQ71">
        <v>2.98</v>
      </c>
      <c r="BR71">
        <v>5.51</v>
      </c>
      <c r="BS71">
        <v>9.66</v>
      </c>
      <c r="BT71" t="s">
        <v>1213</v>
      </c>
      <c r="BU71" t="s">
        <v>1079</v>
      </c>
      <c r="BV71">
        <v>15.96</v>
      </c>
      <c r="BW71">
        <v>20.95</v>
      </c>
      <c r="BX71">
        <v>25.69</v>
      </c>
      <c r="BY71">
        <v>4.47</v>
      </c>
      <c r="BZ71">
        <v>8.1300000000000008</v>
      </c>
      <c r="CA71">
        <v>13.38</v>
      </c>
      <c r="CB71">
        <v>-0.85</v>
      </c>
      <c r="CC71">
        <v>-9.6300000000000008</v>
      </c>
      <c r="CD71" t="s">
        <v>3457</v>
      </c>
      <c r="CE71" t="s">
        <v>3458</v>
      </c>
      <c r="CF71" s="8">
        <v>-0.47096774193548396</v>
      </c>
      <c r="CG71" s="9">
        <v>-0.46915339818558305</v>
      </c>
      <c r="CH71" s="8">
        <v>2.1922109127044678</v>
      </c>
      <c r="CI71" s="8">
        <v>-1.254705130122602E-3</v>
      </c>
      <c r="CJ71" s="8">
        <v>0.58764940500259399</v>
      </c>
      <c r="CK71" s="8">
        <v>-3.6468330770730972E-2</v>
      </c>
      <c r="CL71" s="8">
        <v>-0.12583892047405243</v>
      </c>
      <c r="CM71" s="9">
        <v>3.7089266777038574</v>
      </c>
      <c r="CN71" s="9">
        <v>-0.39466729760169983</v>
      </c>
      <c r="CO71" s="9">
        <v>1.0169460773468018</v>
      </c>
      <c r="CP71" s="9">
        <v>-0.13112729787826538</v>
      </c>
      <c r="CQ71" s="9">
        <v>-0.26230266690254211</v>
      </c>
      <c r="CR71">
        <v>18.840650942841652</v>
      </c>
      <c r="CS71">
        <v>0.36006311858958723</v>
      </c>
      <c r="CT71">
        <v>1.4295925661186561</v>
      </c>
      <c r="CU71" s="8">
        <v>0.52325967226643111</v>
      </c>
      <c r="CV71" s="9">
        <v>0.78755509853363037</v>
      </c>
      <c r="CW71">
        <v>0.06</v>
      </c>
      <c r="CX71">
        <v>3.8907835910122439</v>
      </c>
      <c r="CY71">
        <v>438296415.1332655</v>
      </c>
      <c r="CZ71">
        <v>0.52325967226643111</v>
      </c>
      <c r="DA71">
        <v>0.89827221165549598</v>
      </c>
      <c r="DB71">
        <v>1898440670.7373693</v>
      </c>
      <c r="DC71">
        <v>0.49709668865310952</v>
      </c>
      <c r="DD71">
        <v>0.26247986417403513</v>
      </c>
      <c r="DE71">
        <v>6496942176.3693991</v>
      </c>
      <c r="DF71">
        <v>0.4604685115944594</v>
      </c>
      <c r="DG71">
        <v>8.1081839229252162E-2</v>
      </c>
      <c r="DH71">
        <v>21032040173.36557</v>
      </c>
      <c r="DI71">
        <v>0.41860773781314492</v>
      </c>
      <c r="DJ71">
        <v>7.8725811349420541E-3</v>
      </c>
      <c r="DK71">
        <v>216614661795.10541</v>
      </c>
      <c r="DL71">
        <v>0.36628177058650174</v>
      </c>
      <c r="DM71">
        <v>305000000</v>
      </c>
      <c r="DN71">
        <v>0.52325967226643111</v>
      </c>
      <c r="DO71">
        <v>1705316500</v>
      </c>
      <c r="DP71">
        <v>710702770</v>
      </c>
      <c r="DQ71">
        <v>4407</v>
      </c>
      <c r="DR71">
        <v>-0.99422741420191507</v>
      </c>
      <c r="DS71">
        <v>-1.2567084967192135</v>
      </c>
      <c r="DT71" s="10">
        <v>-6.6666666666666714E-3</v>
      </c>
      <c r="DU71">
        <v>9.6666666666666637E-2</v>
      </c>
      <c r="DV71">
        <v>8.9999999999999969E-2</v>
      </c>
      <c r="DW71">
        <v>-2.0962999999999998</v>
      </c>
      <c r="DX71">
        <v>0.38891793832956667</v>
      </c>
      <c r="DY71">
        <v>-2.0114517974611372</v>
      </c>
      <c r="DZ71">
        <v>275</v>
      </c>
      <c r="EA71">
        <v>-2.010835506991115</v>
      </c>
      <c r="EB71">
        <v>2</v>
      </c>
      <c r="EC71">
        <v>1.8208749035396612E-2</v>
      </c>
      <c r="ED71">
        <v>0.15312028858869894</v>
      </c>
      <c r="EE71" s="11">
        <v>1.0102</v>
      </c>
      <c r="EF71">
        <v>1.01061</v>
      </c>
      <c r="EG71">
        <v>27.118917938329567</v>
      </c>
      <c r="EH71" t="s">
        <v>1228</v>
      </c>
      <c r="EI71">
        <v>0</v>
      </c>
      <c r="EJ71">
        <v>1</v>
      </c>
      <c r="EK71" s="13">
        <v>45470</v>
      </c>
      <c r="EL71" s="14">
        <v>2.96</v>
      </c>
      <c r="EM71" s="14">
        <v>-4.8899999999999997</v>
      </c>
      <c r="EN71" s="14">
        <v>1.21</v>
      </c>
      <c r="EO71" s="14">
        <v>0.7</v>
      </c>
      <c r="EP71" s="14">
        <v>-2.08</v>
      </c>
    </row>
    <row r="72" spans="1:146" ht="96" x14ac:dyDescent="0.25">
      <c r="A72" s="7"/>
      <c r="B72" s="7"/>
      <c r="C72" s="7" t="str">
        <f>""&amp;CHAR(10)&amp;Basic_Fundamental_Information_Constructure(F72)&amp;CHAR(10)&amp;Basic_Fundamental_Information_Concatenate("")</f>
        <v xml:space="preserve">
市值27.121609亿, 利润4320.70万; PE13.15; 平均PE13.95; 平均PEG5.39, PB1.09; ROIC9.5833%; ROE12.3933%; 股利率2.6016%; 毛利34.8467%; 净利12.27%; 上一年度营收增-75.73%, 利润增-86.15%; 当季营收增214.92%, 利润增1593.5%; 过往5年营收增2.59%, 利润增-.11%
Income profile:
</v>
      </c>
      <c r="D72" t="s">
        <v>672</v>
      </c>
      <c r="E72" t="s">
        <v>673</v>
      </c>
      <c r="F72">
        <v>6.15</v>
      </c>
      <c r="G72">
        <v>3.02</v>
      </c>
      <c r="H72" t="s">
        <v>3459</v>
      </c>
      <c r="I72">
        <v>2712160900</v>
      </c>
      <c r="J72">
        <v>13.15</v>
      </c>
      <c r="K72">
        <v>1.0900000000000001</v>
      </c>
      <c r="L72" t="s">
        <v>40</v>
      </c>
      <c r="M72" t="s">
        <v>1437</v>
      </c>
      <c r="N72" t="s">
        <v>3460</v>
      </c>
      <c r="O72" t="s">
        <v>1514</v>
      </c>
      <c r="P72">
        <v>-17.03</v>
      </c>
      <c r="Q72" t="s">
        <v>2151</v>
      </c>
      <c r="R72">
        <v>60535926</v>
      </c>
      <c r="S72" s="3">
        <v>-0.2888</v>
      </c>
      <c r="T72" t="s">
        <v>3461</v>
      </c>
      <c r="U72">
        <v>441001780</v>
      </c>
      <c r="V72">
        <v>441001780</v>
      </c>
      <c r="W72">
        <v>1.46</v>
      </c>
      <c r="X72">
        <v>0.14000000000000001</v>
      </c>
      <c r="Y72">
        <v>11.71</v>
      </c>
      <c r="Z72" t="s">
        <v>1130</v>
      </c>
      <c r="AA72" t="s">
        <v>1393</v>
      </c>
      <c r="AB72" t="s">
        <v>3462</v>
      </c>
      <c r="AC72" t="s">
        <v>3463</v>
      </c>
      <c r="AD72" t="s">
        <v>47</v>
      </c>
      <c r="AE72">
        <v>3010620</v>
      </c>
      <c r="AF72" t="s">
        <v>2159</v>
      </c>
      <c r="AG72" t="s">
        <v>3464</v>
      </c>
      <c r="AH72" t="s">
        <v>2160</v>
      </c>
      <c r="AI72" t="s">
        <v>1579</v>
      </c>
      <c r="AJ72" t="s">
        <v>2161</v>
      </c>
      <c r="AK72" t="s">
        <v>47</v>
      </c>
      <c r="AL72" t="s">
        <v>2162</v>
      </c>
      <c r="AM72" t="s">
        <v>47</v>
      </c>
      <c r="AN72" t="s">
        <v>198</v>
      </c>
      <c r="AO72" t="s">
        <v>3465</v>
      </c>
      <c r="AP72" t="s">
        <v>3466</v>
      </c>
      <c r="AQ72" t="s">
        <v>416</v>
      </c>
      <c r="AR72" t="s">
        <v>47</v>
      </c>
      <c r="AS72" t="s">
        <v>3467</v>
      </c>
      <c r="AT72" t="s">
        <v>3468</v>
      </c>
      <c r="AU72" t="s">
        <v>3469</v>
      </c>
      <c r="AV72" t="s">
        <v>3470</v>
      </c>
      <c r="AW72" t="s">
        <v>3471</v>
      </c>
      <c r="AX72" t="s">
        <v>1410</v>
      </c>
      <c r="AY72" t="s">
        <v>981</v>
      </c>
      <c r="AZ72" t="s">
        <v>674</v>
      </c>
      <c r="BA72" t="s">
        <v>676</v>
      </c>
      <c r="BB72" t="s">
        <v>677</v>
      </c>
      <c r="BC72" t="s">
        <v>424</v>
      </c>
      <c r="BD72" t="s">
        <v>59</v>
      </c>
      <c r="BE72" t="s">
        <v>322</v>
      </c>
      <c r="BF72" t="s">
        <v>121</v>
      </c>
      <c r="BG72" t="s">
        <v>231</v>
      </c>
      <c r="BH72" t="s">
        <v>2158</v>
      </c>
      <c r="BI72" t="s">
        <v>120</v>
      </c>
      <c r="BJ72" t="s">
        <v>1410</v>
      </c>
      <c r="BK72" t="s">
        <v>243</v>
      </c>
      <c r="BL72" t="s">
        <v>3472</v>
      </c>
      <c r="BM72" t="s">
        <v>424</v>
      </c>
      <c r="BN72">
        <v>7.12</v>
      </c>
      <c r="BO72">
        <v>10.57</v>
      </c>
      <c r="BP72">
        <v>11.06</v>
      </c>
      <c r="BQ72">
        <v>8.0299999999999994</v>
      </c>
      <c r="BR72">
        <v>14.14</v>
      </c>
      <c r="BS72">
        <v>15.01</v>
      </c>
      <c r="BT72" t="s">
        <v>2048</v>
      </c>
      <c r="BU72" t="s">
        <v>1079</v>
      </c>
      <c r="BV72">
        <v>32.479999999999997</v>
      </c>
      <c r="BW72">
        <v>33.68</v>
      </c>
      <c r="BX72">
        <v>38.380000000000003</v>
      </c>
      <c r="BY72">
        <v>11.27</v>
      </c>
      <c r="BZ72">
        <v>12</v>
      </c>
      <c r="CA72">
        <v>13.54</v>
      </c>
      <c r="CB72">
        <v>0.65</v>
      </c>
      <c r="CC72">
        <v>-13.99</v>
      </c>
      <c r="CD72" t="s">
        <v>3473</v>
      </c>
      <c r="CE72" t="s">
        <v>283</v>
      </c>
      <c r="CF72" s="8">
        <v>2.1491712707182322</v>
      </c>
      <c r="CG72" s="9">
        <v>15.935020981368545</v>
      </c>
      <c r="CH72" s="8">
        <v>-0.75729405879974365</v>
      </c>
      <c r="CI72" s="8">
        <v>7.1036899462342262E-3</v>
      </c>
      <c r="CJ72" s="8">
        <v>0.17088846862316132</v>
      </c>
      <c r="CK72" s="8">
        <v>0.45569610595703125</v>
      </c>
      <c r="CL72" s="8">
        <v>0.25310349464416504</v>
      </c>
      <c r="CM72" s="9">
        <v>-0.86151599884033203</v>
      </c>
      <c r="CN72" s="9">
        <v>7.2164945304393768E-2</v>
      </c>
      <c r="CO72" s="9">
        <v>0.43349754810333252</v>
      </c>
      <c r="CP72" s="9">
        <v>0.19411765038967133</v>
      </c>
      <c r="CQ72" s="9">
        <v>0.15646257996559143</v>
      </c>
      <c r="CR72">
        <v>13.953753836154302</v>
      </c>
      <c r="CS72">
        <v>5.3876454161712264</v>
      </c>
      <c r="CT72">
        <v>2.6016260162601625</v>
      </c>
      <c r="CU72" s="8">
        <v>2.5899540074169634E-2</v>
      </c>
      <c r="CV72" s="9">
        <v>-1.0546550154685974E-3</v>
      </c>
      <c r="CW72">
        <v>0.06</v>
      </c>
      <c r="CX72">
        <v>30.900358116239641</v>
      </c>
      <c r="CY72">
        <v>41817020.215079859</v>
      </c>
      <c r="CZ72">
        <v>2.5899540074169634E-2</v>
      </c>
      <c r="DA72">
        <v>10.665308622178882</v>
      </c>
      <c r="DB72">
        <v>121155509.49110898</v>
      </c>
      <c r="DC72">
        <v>2.460456307046115E-2</v>
      </c>
      <c r="DD72">
        <v>5.6379128472183169</v>
      </c>
      <c r="DE72">
        <v>229191357.69144386</v>
      </c>
      <c r="DF72">
        <v>2.279159526526928E-2</v>
      </c>
      <c r="DG72">
        <v>3.659382345907221</v>
      </c>
      <c r="DH72">
        <v>353109016.1827985</v>
      </c>
      <c r="DI72">
        <v>2.0719632059335708E-2</v>
      </c>
      <c r="DJ72">
        <v>2.222529062124833</v>
      </c>
      <c r="DK72">
        <v>581392127.56328988</v>
      </c>
      <c r="DL72">
        <v>1.8129678051918743E-2</v>
      </c>
      <c r="DM72">
        <v>43207000</v>
      </c>
      <c r="DN72">
        <v>2.5899540074169634E-2</v>
      </c>
      <c r="DO72">
        <v>1292160900</v>
      </c>
      <c r="DP72">
        <v>724528700</v>
      </c>
      <c r="DQ72">
        <v>4416</v>
      </c>
      <c r="DR72">
        <v>2.1232717306440625</v>
      </c>
      <c r="DS72">
        <v>15.936075636384015</v>
      </c>
      <c r="DT72" s="10">
        <v>-0.42333333333333339</v>
      </c>
      <c r="DU72">
        <v>1.6666666666666607E-2</v>
      </c>
      <c r="DV72">
        <v>-0.40666666666666679</v>
      </c>
      <c r="DW72">
        <v>-2.1398999999999999</v>
      </c>
      <c r="DX72">
        <v>0.43607121212121042</v>
      </c>
      <c r="DY72">
        <v>-2.0204353625757574</v>
      </c>
      <c r="DZ72">
        <v>3654</v>
      </c>
      <c r="EA72">
        <v>-2.0058226786517226</v>
      </c>
      <c r="EB72">
        <v>2</v>
      </c>
      <c r="EC72">
        <v>4.3721818991297498E-2</v>
      </c>
      <c r="ED72">
        <v>0.29931851975744861</v>
      </c>
      <c r="EE72" s="11">
        <v>-3.0613000000000001</v>
      </c>
      <c r="EF72">
        <v>-3.0472999999999999</v>
      </c>
      <c r="EG72">
        <v>29.14607121212121</v>
      </c>
      <c r="EH72" t="s">
        <v>1486</v>
      </c>
      <c r="EI72">
        <v>0</v>
      </c>
      <c r="EJ72">
        <v>0</v>
      </c>
      <c r="EK72" s="13">
        <v>45470</v>
      </c>
      <c r="EL72" s="14">
        <v>-1.27</v>
      </c>
      <c r="EM72" s="14">
        <v>-3.87</v>
      </c>
      <c r="EN72" s="14">
        <v>2.5499999999999998</v>
      </c>
      <c r="EO72" s="14">
        <v>3.01</v>
      </c>
      <c r="EP72" s="14">
        <v>-1.4</v>
      </c>
    </row>
    <row r="73" spans="1:146" ht="96" x14ac:dyDescent="0.25">
      <c r="A73" s="7"/>
      <c r="B73" s="7"/>
      <c r="C73" s="7" t="str">
        <f>""&amp;CHAR(10)&amp;Basic_Fundamental_Information_Constructure(F73)&amp;CHAR(10)&amp;Basic_Fundamental_Information_Concatenate("")</f>
        <v xml:space="preserve">
市值44.57218亿, 利润-3231.11万; PE35.57; 平均PE25.97; 平均PEG1.66, PB2.65; ROIC16.2133%; ROE17.3867%; 股利率.7576%; 毛利38.8367%; 净利19.81%; 上一年度营收增-53.1%, 利润增-109.91%; 当季营收增117.6%, 利润增2404.39%; 过往5年营收增15.67%, 利润增13%
Income profile:
</v>
      </c>
      <c r="D73" t="s">
        <v>678</v>
      </c>
      <c r="E73" t="s">
        <v>1563</v>
      </c>
      <c r="F73">
        <v>39.6</v>
      </c>
      <c r="G73">
        <v>3.04</v>
      </c>
      <c r="H73" t="s">
        <v>3474</v>
      </c>
      <c r="I73">
        <v>4457218000</v>
      </c>
      <c r="J73">
        <v>35.57</v>
      </c>
      <c r="K73">
        <v>2.65</v>
      </c>
      <c r="L73" t="s">
        <v>40</v>
      </c>
      <c r="M73" t="s">
        <v>1118</v>
      </c>
      <c r="N73" t="s">
        <v>3475</v>
      </c>
      <c r="O73" t="s">
        <v>238</v>
      </c>
      <c r="P73">
        <v>20.22</v>
      </c>
      <c r="Q73" t="s">
        <v>2375</v>
      </c>
      <c r="R73">
        <v>45108984</v>
      </c>
      <c r="S73" s="3">
        <v>0.56020000000000003</v>
      </c>
      <c r="T73" t="s">
        <v>3476</v>
      </c>
      <c r="U73">
        <v>112426384</v>
      </c>
      <c r="V73">
        <v>112556011</v>
      </c>
      <c r="W73">
        <v>1.1499999999999999</v>
      </c>
      <c r="X73">
        <v>0.14000000000000001</v>
      </c>
      <c r="Y73">
        <v>16.59</v>
      </c>
      <c r="Z73" t="s">
        <v>316</v>
      </c>
      <c r="AA73" t="s">
        <v>239</v>
      </c>
      <c r="AB73" t="s">
        <v>3477</v>
      </c>
      <c r="AC73" t="s">
        <v>3478</v>
      </c>
      <c r="AD73" t="s">
        <v>47</v>
      </c>
      <c r="AE73">
        <v>-8203221</v>
      </c>
      <c r="AF73" t="s">
        <v>2165</v>
      </c>
      <c r="AG73">
        <v>35.54</v>
      </c>
      <c r="AH73" t="s">
        <v>2166</v>
      </c>
      <c r="AI73" t="s">
        <v>183</v>
      </c>
      <c r="AJ73" t="s">
        <v>2167</v>
      </c>
      <c r="AK73" t="s">
        <v>3479</v>
      </c>
      <c r="AL73" t="s">
        <v>2168</v>
      </c>
      <c r="AM73" t="s">
        <v>47</v>
      </c>
      <c r="AN73" t="s">
        <v>3480</v>
      </c>
      <c r="AO73" t="s">
        <v>47</v>
      </c>
      <c r="AP73" t="s">
        <v>47</v>
      </c>
      <c r="AQ73" t="s">
        <v>3481</v>
      </c>
      <c r="AR73" t="s">
        <v>47</v>
      </c>
      <c r="AS73" t="s">
        <v>67</v>
      </c>
      <c r="AT73" t="s">
        <v>47</v>
      </c>
      <c r="AU73" t="s">
        <v>3482</v>
      </c>
      <c r="AV73" t="s">
        <v>3483</v>
      </c>
      <c r="AW73" t="s">
        <v>3484</v>
      </c>
      <c r="AX73" t="s">
        <v>1411</v>
      </c>
      <c r="AY73" t="s">
        <v>982</v>
      </c>
      <c r="AZ73" t="s">
        <v>679</v>
      </c>
      <c r="BA73" t="s">
        <v>680</v>
      </c>
      <c r="BB73" t="s">
        <v>681</v>
      </c>
      <c r="BC73" t="s">
        <v>168</v>
      </c>
      <c r="BD73" t="s">
        <v>210</v>
      </c>
      <c r="BE73" t="s">
        <v>291</v>
      </c>
      <c r="BF73" t="s">
        <v>154</v>
      </c>
      <c r="BG73" t="s">
        <v>682</v>
      </c>
      <c r="BH73" t="s">
        <v>2164</v>
      </c>
      <c r="BI73" t="s">
        <v>286</v>
      </c>
      <c r="BJ73" t="s">
        <v>1411</v>
      </c>
      <c r="BK73" t="s">
        <v>369</v>
      </c>
      <c r="BL73" t="s">
        <v>3485</v>
      </c>
      <c r="BM73" t="s">
        <v>168</v>
      </c>
      <c r="BN73">
        <v>4.7699999999999996</v>
      </c>
      <c r="BO73">
        <v>20.98</v>
      </c>
      <c r="BP73">
        <v>22.89</v>
      </c>
      <c r="BQ73">
        <v>5.41</v>
      </c>
      <c r="BR73">
        <v>22.09</v>
      </c>
      <c r="BS73">
        <v>24.66</v>
      </c>
      <c r="BT73" t="s">
        <v>2170</v>
      </c>
      <c r="BU73" t="s">
        <v>1079</v>
      </c>
      <c r="BV73">
        <v>32.65</v>
      </c>
      <c r="BW73">
        <v>39.5</v>
      </c>
      <c r="BX73">
        <v>44.36</v>
      </c>
      <c r="BY73">
        <v>11.19</v>
      </c>
      <c r="BZ73">
        <v>22.2</v>
      </c>
      <c r="CA73">
        <v>26.04</v>
      </c>
      <c r="CB73">
        <v>-0.75</v>
      </c>
      <c r="CC73">
        <v>-17.55</v>
      </c>
      <c r="CD73" t="s">
        <v>3486</v>
      </c>
      <c r="CE73" t="s">
        <v>3487</v>
      </c>
      <c r="CF73" s="8">
        <v>1.1759999999999999</v>
      </c>
      <c r="CG73" s="9">
        <v>24.043850766155895</v>
      </c>
      <c r="CH73" s="8">
        <v>-0.53097343444824219</v>
      </c>
      <c r="CI73" s="8">
        <v>0.23031820356845856</v>
      </c>
      <c r="CJ73" s="8">
        <v>0.43855422735214233</v>
      </c>
      <c r="CK73" s="8">
        <v>0.5009041428565979</v>
      </c>
      <c r="CL73" s="8">
        <v>0.14492753148078918</v>
      </c>
      <c r="CM73" s="9">
        <v>-1.0991138219833374</v>
      </c>
      <c r="CN73" s="9">
        <v>4.8231512308120728E-2</v>
      </c>
      <c r="CO73" s="9">
        <v>0.37610620260238647</v>
      </c>
      <c r="CP73" s="9">
        <v>0.98245614767074585</v>
      </c>
      <c r="CQ73" s="9">
        <v>0.34233725070953369</v>
      </c>
      <c r="CR73">
        <v>25.974075368336567</v>
      </c>
      <c r="CS73">
        <v>1.6570791686320194</v>
      </c>
      <c r="CT73">
        <v>0.75757575757575757</v>
      </c>
      <c r="CU73" s="8">
        <v>0.15674613416194916</v>
      </c>
      <c r="CV73" s="9">
        <v>0.13000345826148987</v>
      </c>
      <c r="CW73">
        <v>0.06</v>
      </c>
      <c r="CX73" t="e">
        <v>#VALUE!</v>
      </c>
      <c r="CY73" t="s">
        <v>1038</v>
      </c>
      <c r="CZ73">
        <v>0.15674613416194916</v>
      </c>
      <c r="DA73" t="e">
        <v>#VALUE!</v>
      </c>
      <c r="DB73" t="s">
        <v>1038</v>
      </c>
      <c r="DC73">
        <v>0.1489088274538517</v>
      </c>
      <c r="DD73" t="e">
        <v>#VALUE!</v>
      </c>
      <c r="DE73" t="s">
        <v>1038</v>
      </c>
      <c r="DF73">
        <v>0.13793659806251526</v>
      </c>
      <c r="DG73" t="e">
        <v>#VALUE!</v>
      </c>
      <c r="DH73" t="s">
        <v>1038</v>
      </c>
      <c r="DI73">
        <v>0.12539690732955933</v>
      </c>
      <c r="DJ73" t="e">
        <v>#VALUE!</v>
      </c>
      <c r="DK73" t="s">
        <v>1038</v>
      </c>
      <c r="DL73">
        <v>0.1097222939133644</v>
      </c>
      <c r="DM73">
        <v>-32311100</v>
      </c>
      <c r="DN73">
        <v>0.15674613416194916</v>
      </c>
      <c r="DO73">
        <v>3012218000</v>
      </c>
      <c r="DP73">
        <v>688131880</v>
      </c>
      <c r="DQ73">
        <v>4519</v>
      </c>
      <c r="DR73">
        <v>1.0192538658380508</v>
      </c>
      <c r="DS73">
        <v>23.913847307894404</v>
      </c>
      <c r="DT73" s="10">
        <v>-0.20666666666666669</v>
      </c>
      <c r="DU73">
        <v>-0.28333333333333338</v>
      </c>
      <c r="DV73">
        <v>-0.4900000000000001</v>
      </c>
      <c r="DW73">
        <v>-3.0175297619047621</v>
      </c>
      <c r="DX73">
        <v>0.40376068985176716</v>
      </c>
      <c r="DY73">
        <v>-3.0025200906643659</v>
      </c>
      <c r="DZ73">
        <v>3285</v>
      </c>
      <c r="EA73">
        <v>-3.0009000323801307</v>
      </c>
      <c r="EB73">
        <v>3</v>
      </c>
      <c r="EC73">
        <v>2.1506625710109788E-2</v>
      </c>
      <c r="ED73">
        <v>0.14960018439175141</v>
      </c>
      <c r="EE73" s="11">
        <v>-6.0103099999999996</v>
      </c>
      <c r="EF73">
        <v>-6.0324099999999996</v>
      </c>
      <c r="EG73">
        <v>26.143760689851767</v>
      </c>
      <c r="EH73" t="s">
        <v>3488</v>
      </c>
      <c r="EI73">
        <v>0</v>
      </c>
      <c r="EJ73">
        <v>0</v>
      </c>
      <c r="EK73" s="13">
        <v>45470</v>
      </c>
      <c r="EL73" s="14">
        <v>-1.02</v>
      </c>
      <c r="EM73" s="14">
        <v>-3.51</v>
      </c>
      <c r="EN73" s="14">
        <v>1.73</v>
      </c>
      <c r="EO73" s="14">
        <v>0.96</v>
      </c>
      <c r="EP73" s="14">
        <v>-2.21</v>
      </c>
    </row>
    <row r="74" spans="1:146" ht="96" x14ac:dyDescent="0.25">
      <c r="A74" s="7"/>
      <c r="B74" s="7"/>
      <c r="C74" s="7" t="str">
        <f>""&amp;CHAR(10)&amp;Basic_Fundamental_Information_Constructure(F74)&amp;CHAR(10)&amp;Basic_Fundamental_Information_Concatenate("")</f>
        <v xml:space="preserve">
市值11.8081398亿, 利润8898.79万; PE25.14; 平均PE25.89; 平均PEG.15, PB2.14; ROIC7.3133%; ROE7.7167%; 股利率0%; 毛利56.9467%; 净利18.8833%; 上一年度营收增759.91%, 利润增106.01%; 当季营收增-79.59%, 利润增12.15%; 过往5年营收增167.84%, 利润增38.72%
Income profile:
</v>
      </c>
      <c r="D74" t="s">
        <v>683</v>
      </c>
      <c r="E74" t="s">
        <v>684</v>
      </c>
      <c r="F74">
        <v>14.55</v>
      </c>
      <c r="G74">
        <v>1.96</v>
      </c>
      <c r="H74" t="s">
        <v>3489</v>
      </c>
      <c r="I74">
        <v>1180813980</v>
      </c>
      <c r="J74">
        <v>25.14</v>
      </c>
      <c r="K74">
        <v>2.14</v>
      </c>
      <c r="L74" t="s">
        <v>40</v>
      </c>
      <c r="M74" t="s">
        <v>2171</v>
      </c>
      <c r="N74" t="s">
        <v>680</v>
      </c>
      <c r="O74" t="s">
        <v>2172</v>
      </c>
      <c r="P74">
        <v>1.26</v>
      </c>
      <c r="Q74" t="s">
        <v>3490</v>
      </c>
      <c r="R74">
        <v>11352005</v>
      </c>
      <c r="S74" s="3">
        <v>-2.9700000000000001E-2</v>
      </c>
      <c r="T74" t="s">
        <v>3491</v>
      </c>
      <c r="U74">
        <v>81155600</v>
      </c>
      <c r="V74">
        <v>81155600</v>
      </c>
      <c r="W74">
        <v>1.0900000000000001</v>
      </c>
      <c r="X74">
        <v>0.1</v>
      </c>
      <c r="Y74">
        <v>18.850000000000001</v>
      </c>
      <c r="Z74" t="s">
        <v>3492</v>
      </c>
      <c r="AA74" t="s">
        <v>3493</v>
      </c>
      <c r="AB74" t="s">
        <v>3494</v>
      </c>
      <c r="AC74" t="s">
        <v>3495</v>
      </c>
      <c r="AD74" t="s">
        <v>47</v>
      </c>
      <c r="AE74">
        <v>-718092</v>
      </c>
      <c r="AF74" t="s">
        <v>2174</v>
      </c>
      <c r="AG74" t="s">
        <v>3496</v>
      </c>
      <c r="AH74" t="s">
        <v>2175</v>
      </c>
      <c r="AI74" t="s">
        <v>209</v>
      </c>
      <c r="AJ74" t="s">
        <v>2176</v>
      </c>
      <c r="AK74" t="s">
        <v>47</v>
      </c>
      <c r="AL74" t="s">
        <v>2177</v>
      </c>
      <c r="AM74" t="s">
        <v>47</v>
      </c>
      <c r="AN74" t="s">
        <v>3497</v>
      </c>
      <c r="AO74" t="s">
        <v>47</v>
      </c>
      <c r="AP74" t="s">
        <v>47</v>
      </c>
      <c r="AQ74" t="s">
        <v>3498</v>
      </c>
      <c r="AR74" t="s">
        <v>3499</v>
      </c>
      <c r="AS74" t="s">
        <v>3500</v>
      </c>
      <c r="AT74" t="s">
        <v>47</v>
      </c>
      <c r="AU74" t="s">
        <v>3501</v>
      </c>
      <c r="AV74" t="s">
        <v>3502</v>
      </c>
      <c r="AW74" t="s">
        <v>3503</v>
      </c>
      <c r="AX74" t="s">
        <v>69</v>
      </c>
      <c r="AY74" t="s">
        <v>443</v>
      </c>
      <c r="AZ74" t="s">
        <v>235</v>
      </c>
      <c r="BA74" t="s">
        <v>391</v>
      </c>
      <c r="BB74" t="s">
        <v>155</v>
      </c>
      <c r="BC74" t="s">
        <v>1413</v>
      </c>
      <c r="BD74" t="s">
        <v>983</v>
      </c>
      <c r="BE74" t="s">
        <v>685</v>
      </c>
      <c r="BF74" t="s">
        <v>686</v>
      </c>
      <c r="BG74" t="s">
        <v>687</v>
      </c>
      <c r="BH74" t="s">
        <v>1223</v>
      </c>
      <c r="BI74" t="s">
        <v>169</v>
      </c>
      <c r="BJ74" t="s">
        <v>69</v>
      </c>
      <c r="BK74" t="s">
        <v>2173</v>
      </c>
      <c r="BL74" t="s">
        <v>3504</v>
      </c>
      <c r="BM74" t="s">
        <v>1413</v>
      </c>
      <c r="BN74">
        <v>5.88</v>
      </c>
      <c r="BO74">
        <v>8.44</v>
      </c>
      <c r="BP74">
        <v>7.62</v>
      </c>
      <c r="BQ74">
        <v>6.21</v>
      </c>
      <c r="BR74">
        <v>8.3699999999999992</v>
      </c>
      <c r="BS74">
        <v>8.57</v>
      </c>
      <c r="BT74" t="s">
        <v>1208</v>
      </c>
      <c r="BU74" t="s">
        <v>1079</v>
      </c>
      <c r="BV74">
        <v>56.09</v>
      </c>
      <c r="BW74">
        <v>57.28</v>
      </c>
      <c r="BX74">
        <v>57.47</v>
      </c>
      <c r="BY74">
        <v>18.649999999999999</v>
      </c>
      <c r="BZ74">
        <v>18.62</v>
      </c>
      <c r="CA74">
        <v>19.38</v>
      </c>
      <c r="CB74">
        <v>-1.95</v>
      </c>
      <c r="CC74">
        <v>-13.13</v>
      </c>
      <c r="CD74" t="s">
        <v>3505</v>
      </c>
      <c r="CE74" t="s">
        <v>3506</v>
      </c>
      <c r="CF74" s="8">
        <v>-0.79586576271186438</v>
      </c>
      <c r="CG74" s="9">
        <v>0.12149582106656656</v>
      </c>
      <c r="CH74" s="8">
        <v>7.5991382598876953</v>
      </c>
      <c r="CI74" s="8">
        <v>8.4112152457237244E-2</v>
      </c>
      <c r="CJ74" s="8">
        <v>0.31288343667984009</v>
      </c>
      <c r="CK74" s="8">
        <v>-5.780346691608429E-2</v>
      </c>
      <c r="CL74" s="8">
        <v>0.45378151535987854</v>
      </c>
      <c r="CM74" s="9">
        <v>1.0601388216018677</v>
      </c>
      <c r="CN74" s="9">
        <v>4.287121444940567E-2</v>
      </c>
      <c r="CO74" s="9">
        <v>0.18516886234283447</v>
      </c>
      <c r="CP74" s="9">
        <v>-0.16802123188972473</v>
      </c>
      <c r="CQ74" s="9">
        <v>0.81602805852890015</v>
      </c>
      <c r="CR74">
        <v>25.886792951953908</v>
      </c>
      <c r="CS74">
        <v>0.15423288719352343</v>
      </c>
      <c r="CT74">
        <v>0</v>
      </c>
      <c r="CU74" s="8">
        <v>1.6784223794937134</v>
      </c>
      <c r="CV74" s="9">
        <v>0.38723714500665662</v>
      </c>
      <c r="CW74">
        <v>0.06</v>
      </c>
      <c r="CX74">
        <v>3.0370480997570137</v>
      </c>
      <c r="CY74">
        <v>224855832.89070624</v>
      </c>
      <c r="CZ74">
        <v>1.6784223794937134</v>
      </c>
      <c r="DA74">
        <v>0.33217686635587046</v>
      </c>
      <c r="DB74">
        <v>2055826426.1196084</v>
      </c>
      <c r="DC74">
        <v>1.5945012605190276</v>
      </c>
      <c r="DD74">
        <v>2.7127670031415922E-2</v>
      </c>
      <c r="DE74">
        <v>25173484461.037449</v>
      </c>
      <c r="DF74">
        <v>1.4770116939544677</v>
      </c>
      <c r="DG74">
        <v>1.5115304693498423E-3</v>
      </c>
      <c r="DH74">
        <v>451792401044.84052</v>
      </c>
      <c r="DI74">
        <v>1.3427379035949709</v>
      </c>
      <c r="DJ74">
        <v>2.2499334253579098E-6</v>
      </c>
      <c r="DK74">
        <v>303519194080761.5</v>
      </c>
      <c r="DL74">
        <v>1.1748956656455993</v>
      </c>
      <c r="DM74">
        <v>88987900.000000015</v>
      </c>
      <c r="DN74">
        <v>1.6784223794937134</v>
      </c>
      <c r="DO74">
        <v>682897980</v>
      </c>
      <c r="DP74">
        <v>401871730</v>
      </c>
      <c r="DQ74">
        <v>4552</v>
      </c>
      <c r="DR74">
        <v>-2.4742881422055776</v>
      </c>
      <c r="DS74">
        <v>-0.26574132394009009</v>
      </c>
      <c r="DT74" s="10">
        <v>9.3333333333333268E-2</v>
      </c>
      <c r="DU74">
        <v>0.54999999999999993</v>
      </c>
      <c r="DV74">
        <v>0.6433333333333332</v>
      </c>
      <c r="DW74">
        <v>-2.1313</v>
      </c>
      <c r="DX74">
        <v>0.51208753172832788</v>
      </c>
      <c r="DY74">
        <v>-2.0147170929159297</v>
      </c>
      <c r="DZ74">
        <v>1598</v>
      </c>
      <c r="EA74">
        <v>-2.0101147613152142</v>
      </c>
      <c r="EB74">
        <v>2</v>
      </c>
      <c r="EC74">
        <v>2.15474964142955E-2</v>
      </c>
      <c r="ED74">
        <v>0.19223812035152224</v>
      </c>
      <c r="EE74" s="11">
        <v>3.07701</v>
      </c>
      <c r="EF74">
        <v>3.10731</v>
      </c>
      <c r="EG74">
        <v>40.112087531728328</v>
      </c>
      <c r="EH74" t="s">
        <v>1601</v>
      </c>
      <c r="EI74">
        <v>0</v>
      </c>
      <c r="EJ74">
        <v>0</v>
      </c>
      <c r="EK74" s="13">
        <v>45470</v>
      </c>
      <c r="EL74" s="14">
        <v>-3.05</v>
      </c>
      <c r="EM74" s="14">
        <v>-7.59</v>
      </c>
      <c r="EN74" s="14">
        <v>-2.46</v>
      </c>
      <c r="EO74" s="14">
        <v>2.12</v>
      </c>
      <c r="EP74" s="14">
        <v>-3.03</v>
      </c>
    </row>
    <row r="75" spans="1:146" ht="96" x14ac:dyDescent="0.25">
      <c r="A75" s="7"/>
      <c r="B75" s="7"/>
      <c r="C75" s="7" t="str">
        <f>""&amp;CHAR(10)&amp;Basic_Fundamental_Information_Constructure(F75)&amp;CHAR(10)&amp;Basic_Fundamental_Information_Concatenate("")</f>
        <v xml:space="preserve">
市值127.120221亿, 利润8415.53万; PE23.03; 平均PE63.31; 平均PEG3.11, PB3.14; ROIC21.0667%; ROE22.25%; 股利率.0277%; 毛利76.56%; 净利42.0333%; 上一年度营收增-60.31%, 利润增-76.43%; 当季营收增304.41%, 利润增1544.28%; 过往5年营收增20.34%, 利润增18.32%
Income profile:
</v>
      </c>
      <c r="D75" t="s">
        <v>688</v>
      </c>
      <c r="E75" t="s">
        <v>689</v>
      </c>
      <c r="F75">
        <v>103.13</v>
      </c>
      <c r="G75">
        <v>3.19</v>
      </c>
      <c r="H75" t="s">
        <v>3507</v>
      </c>
      <c r="I75">
        <v>12712022100</v>
      </c>
      <c r="J75">
        <v>23.03</v>
      </c>
      <c r="K75">
        <v>3.14</v>
      </c>
      <c r="L75" t="s">
        <v>40</v>
      </c>
      <c r="M75" t="s">
        <v>1505</v>
      </c>
      <c r="N75" t="s">
        <v>3508</v>
      </c>
      <c r="O75" t="s">
        <v>602</v>
      </c>
      <c r="P75">
        <v>25.38</v>
      </c>
      <c r="Q75" t="s">
        <v>346</v>
      </c>
      <c r="R75">
        <v>405313100</v>
      </c>
      <c r="S75" s="3">
        <v>0.4763</v>
      </c>
      <c r="T75" t="s">
        <v>3509</v>
      </c>
      <c r="U75">
        <v>123262117</v>
      </c>
      <c r="V75">
        <v>123262117</v>
      </c>
      <c r="W75">
        <v>1.1100000000000001</v>
      </c>
      <c r="X75">
        <v>0.08</v>
      </c>
      <c r="Y75">
        <v>51.07</v>
      </c>
      <c r="Z75" t="s">
        <v>79</v>
      </c>
      <c r="AA75" t="s">
        <v>3510</v>
      </c>
      <c r="AB75" t="s">
        <v>3511</v>
      </c>
      <c r="AC75" t="s">
        <v>3512</v>
      </c>
      <c r="AD75" t="s">
        <v>47</v>
      </c>
      <c r="AE75">
        <v>-4356392</v>
      </c>
      <c r="AF75" t="s">
        <v>2178</v>
      </c>
      <c r="AG75" t="s">
        <v>3513</v>
      </c>
      <c r="AH75" t="s">
        <v>2179</v>
      </c>
      <c r="AI75" t="s">
        <v>3514</v>
      </c>
      <c r="AJ75" t="s">
        <v>2181</v>
      </c>
      <c r="AK75" t="s">
        <v>47</v>
      </c>
      <c r="AL75" t="s">
        <v>2182</v>
      </c>
      <c r="AM75" t="s">
        <v>47</v>
      </c>
      <c r="AN75" t="s">
        <v>1043</v>
      </c>
      <c r="AO75" t="s">
        <v>47</v>
      </c>
      <c r="AP75" t="s">
        <v>47</v>
      </c>
      <c r="AQ75" t="s">
        <v>3515</v>
      </c>
      <c r="AR75" t="s">
        <v>47</v>
      </c>
      <c r="AS75" t="s">
        <v>2424</v>
      </c>
      <c r="AT75" t="s">
        <v>47</v>
      </c>
      <c r="AU75" t="s">
        <v>1093</v>
      </c>
      <c r="AV75" t="s">
        <v>3516</v>
      </c>
      <c r="AW75" t="s">
        <v>3517</v>
      </c>
      <c r="AX75" t="s">
        <v>1371</v>
      </c>
      <c r="AY75" t="s">
        <v>91</v>
      </c>
      <c r="AZ75" t="s">
        <v>669</v>
      </c>
      <c r="BA75" t="s">
        <v>691</v>
      </c>
      <c r="BB75" t="s">
        <v>243</v>
      </c>
      <c r="BC75" t="s">
        <v>947</v>
      </c>
      <c r="BD75" t="s">
        <v>788</v>
      </c>
      <c r="BE75" t="s">
        <v>581</v>
      </c>
      <c r="BF75" t="s">
        <v>212</v>
      </c>
      <c r="BG75" t="s">
        <v>692</v>
      </c>
      <c r="BH75" t="s">
        <v>563</v>
      </c>
      <c r="BI75" t="s">
        <v>3518</v>
      </c>
      <c r="BJ75" t="s">
        <v>1371</v>
      </c>
      <c r="BK75" t="s">
        <v>457</v>
      </c>
      <c r="BL75" t="s">
        <v>3519</v>
      </c>
      <c r="BM75" t="s">
        <v>947</v>
      </c>
      <c r="BN75">
        <v>20.27</v>
      </c>
      <c r="BO75">
        <v>20.97</v>
      </c>
      <c r="BP75">
        <v>21.96</v>
      </c>
      <c r="BQ75">
        <v>21.26</v>
      </c>
      <c r="BR75">
        <v>22.22</v>
      </c>
      <c r="BS75">
        <v>23.27</v>
      </c>
      <c r="BT75" t="s">
        <v>2183</v>
      </c>
      <c r="BU75" t="s">
        <v>1079</v>
      </c>
      <c r="BV75">
        <v>76.45</v>
      </c>
      <c r="BW75">
        <v>75.180000000000007</v>
      </c>
      <c r="BX75">
        <v>78.05</v>
      </c>
      <c r="BY75">
        <v>41.04</v>
      </c>
      <c r="BZ75">
        <v>39.270000000000003</v>
      </c>
      <c r="CA75">
        <v>45.79</v>
      </c>
      <c r="CB75">
        <v>5.18</v>
      </c>
      <c r="CC75">
        <v>-10.32</v>
      </c>
      <c r="CD75" t="s">
        <v>3520</v>
      </c>
      <c r="CE75" t="s">
        <v>3521</v>
      </c>
      <c r="CF75" s="8">
        <v>3.0440690564328374</v>
      </c>
      <c r="CG75" s="9">
        <v>15.442788814559087</v>
      </c>
      <c r="CH75" s="8">
        <v>-0.60312151908874512</v>
      </c>
      <c r="CI75" s="8">
        <v>0.30948904156684875</v>
      </c>
      <c r="CJ75" s="8">
        <v>0.45744681358337402</v>
      </c>
      <c r="CK75" s="8">
        <v>0.40718561410903931</v>
      </c>
      <c r="CL75" s="8">
        <v>0.44588744640350342</v>
      </c>
      <c r="CM75" s="9">
        <v>-0.76427090167999268</v>
      </c>
      <c r="CN75" s="9">
        <v>0.12974683940410614</v>
      </c>
      <c r="CO75" s="9">
        <v>0.46976745128631592</v>
      </c>
      <c r="CP75" s="9">
        <v>0.51408451795578003</v>
      </c>
      <c r="CQ75" s="9">
        <v>0.56650066375732422</v>
      </c>
      <c r="CR75">
        <v>63.30671482280259</v>
      </c>
      <c r="CS75">
        <v>3.1127691736611283</v>
      </c>
      <c r="CT75">
        <v>2.7730694652976701E-2</v>
      </c>
      <c r="CU75" s="8">
        <v>0.20337747931480407</v>
      </c>
      <c r="CV75" s="9">
        <v>0.18316571414470673</v>
      </c>
      <c r="CW75">
        <v>0.06</v>
      </c>
      <c r="CX75">
        <v>94.297497065863368</v>
      </c>
      <c r="CY75">
        <v>95538295.080170855</v>
      </c>
      <c r="CZ75">
        <v>0.20337747931480407</v>
      </c>
      <c r="DA75">
        <v>28.030294287724431</v>
      </c>
      <c r="DB75">
        <v>321403050.83937007</v>
      </c>
      <c r="DC75">
        <v>0.19320860534906387</v>
      </c>
      <c r="DD75">
        <v>12.095149758789821</v>
      </c>
      <c r="DE75">
        <v>744845849.75501752</v>
      </c>
      <c r="DF75">
        <v>0.17897218179702759</v>
      </c>
      <c r="DG75">
        <v>6.2157014504676775</v>
      </c>
      <c r="DH75">
        <v>1449397493.0733118</v>
      </c>
      <c r="DI75">
        <v>0.16270198345184328</v>
      </c>
      <c r="DJ75">
        <v>2.2265354898845504</v>
      </c>
      <c r="DK75">
        <v>4046206377.9936123</v>
      </c>
      <c r="DL75">
        <v>0.14236423552036284</v>
      </c>
      <c r="DM75">
        <v>84155300</v>
      </c>
      <c r="DN75">
        <v>0.20337747931480407</v>
      </c>
      <c r="DO75">
        <v>9009022100</v>
      </c>
      <c r="DP75">
        <v>3264400100</v>
      </c>
      <c r="DQ75">
        <v>4554</v>
      </c>
      <c r="DR75">
        <v>2.8406915771180334</v>
      </c>
      <c r="DS75">
        <v>15.25962310041438</v>
      </c>
      <c r="DT75" s="10">
        <v>-0.27333333333333343</v>
      </c>
      <c r="DU75">
        <v>0.23666666666666661</v>
      </c>
      <c r="DV75">
        <v>-3.666666666666682E-2</v>
      </c>
      <c r="DW75">
        <v>6.3341935483870966</v>
      </c>
      <c r="DX75">
        <v>0.51491071120168663</v>
      </c>
      <c r="DY75">
        <v>6.1119249989693376</v>
      </c>
      <c r="DZ75">
        <v>2845</v>
      </c>
      <c r="EA75">
        <v>6.0496105915196772</v>
      </c>
      <c r="EB75">
        <v>6</v>
      </c>
      <c r="EC75">
        <v>0.13372478423358575</v>
      </c>
      <c r="ED75">
        <v>0.39928488328656564</v>
      </c>
      <c r="EE75" s="11">
        <v>-3.0005999999999999</v>
      </c>
      <c r="EF75">
        <v>-3.0174099999999999</v>
      </c>
      <c r="EG75">
        <v>18.334910711201687</v>
      </c>
      <c r="EH75" t="s">
        <v>1538</v>
      </c>
      <c r="EI75">
        <v>0</v>
      </c>
      <c r="EJ75">
        <v>0</v>
      </c>
      <c r="EK75" s="13">
        <v>45470</v>
      </c>
      <c r="EL75" s="14">
        <v>-5.47</v>
      </c>
      <c r="EM75" s="14">
        <v>-5.53</v>
      </c>
      <c r="EN75" s="14">
        <v>0.27</v>
      </c>
      <c r="EO75" s="14">
        <v>1.88</v>
      </c>
      <c r="EP75" s="14">
        <v>-1.8</v>
      </c>
    </row>
    <row r="76" spans="1:146" ht="96" x14ac:dyDescent="0.25">
      <c r="A76" s="7"/>
      <c r="B76" s="7"/>
      <c r="C76" s="7" t="str">
        <f>""&amp;CHAR(10)&amp;Basic_Fundamental_Information_Constructure(F76)&amp;CHAR(10)&amp;Basic_Fundamental_Information_Concatenate("")</f>
        <v xml:space="preserve">
市值13.909995亿, 利润-1.24亿; PE26.87; 平均PE22.39; 平均PEG1.24, PB1.37; ROIC9.1%; ROE9.6667%; 股利率.7296%; 毛利34.79%; 净利13.9867%; 上一年度营收增-74.43%, 利润增-241.37%; 当季营收增222.06%, 利润增150.41%; 过往5年营收增18.01%, 利润增-28.26%
Income profile:
</v>
      </c>
      <c r="D76" t="s">
        <v>1103</v>
      </c>
      <c r="E76" t="s">
        <v>1104</v>
      </c>
      <c r="F76">
        <v>9.91</v>
      </c>
      <c r="G76">
        <v>5.43</v>
      </c>
      <c r="H76" t="s">
        <v>3522</v>
      </c>
      <c r="I76">
        <v>1390999500</v>
      </c>
      <c r="J76">
        <v>26.87</v>
      </c>
      <c r="K76">
        <v>1.37</v>
      </c>
      <c r="L76" t="s">
        <v>40</v>
      </c>
      <c r="M76" t="s">
        <v>1346</v>
      </c>
      <c r="N76" t="s">
        <v>1508</v>
      </c>
      <c r="O76" t="s">
        <v>2184</v>
      </c>
      <c r="P76">
        <v>32.299999999999997</v>
      </c>
      <c r="Q76" t="s">
        <v>549</v>
      </c>
      <c r="R76">
        <v>8178548</v>
      </c>
      <c r="S76" s="3">
        <v>1.93</v>
      </c>
      <c r="T76" t="s">
        <v>3523</v>
      </c>
      <c r="U76">
        <v>140200720</v>
      </c>
      <c r="V76">
        <v>140363220</v>
      </c>
      <c r="W76">
        <v>1.41</v>
      </c>
      <c r="X76">
        <v>0.06</v>
      </c>
      <c r="Y76">
        <v>8.36</v>
      </c>
      <c r="Z76" t="s">
        <v>3524</v>
      </c>
      <c r="AA76" t="s">
        <v>3525</v>
      </c>
      <c r="AB76" t="s">
        <v>3526</v>
      </c>
      <c r="AC76" t="s">
        <v>3527</v>
      </c>
      <c r="AD76" t="s">
        <v>47</v>
      </c>
      <c r="AE76">
        <v>4379293</v>
      </c>
      <c r="AF76" t="s">
        <v>2186</v>
      </c>
      <c r="AG76" t="s">
        <v>3528</v>
      </c>
      <c r="AH76" t="s">
        <v>2187</v>
      </c>
      <c r="AI76" t="s">
        <v>1358</v>
      </c>
      <c r="AJ76" t="s">
        <v>2189</v>
      </c>
      <c r="AK76" t="s">
        <v>47</v>
      </c>
      <c r="AL76" t="s">
        <v>2190</v>
      </c>
      <c r="AM76" t="s">
        <v>47</v>
      </c>
      <c r="AN76" t="s">
        <v>79</v>
      </c>
      <c r="AO76" t="s">
        <v>47</v>
      </c>
      <c r="AP76" t="s">
        <v>47</v>
      </c>
      <c r="AQ76" t="s">
        <v>3529</v>
      </c>
      <c r="AR76" t="s">
        <v>3530</v>
      </c>
      <c r="AS76" t="s">
        <v>3531</v>
      </c>
      <c r="AT76" t="s">
        <v>47</v>
      </c>
      <c r="AU76" t="s">
        <v>3532</v>
      </c>
      <c r="AV76" t="s">
        <v>3533</v>
      </c>
      <c r="AW76" t="s">
        <v>3534</v>
      </c>
      <c r="AX76" t="s">
        <v>1381</v>
      </c>
      <c r="AY76" t="s">
        <v>1105</v>
      </c>
      <c r="AZ76" t="s">
        <v>1085</v>
      </c>
      <c r="BA76" t="s">
        <v>534</v>
      </c>
      <c r="BB76" t="s">
        <v>1043</v>
      </c>
      <c r="BC76" t="s">
        <v>1415</v>
      </c>
      <c r="BD76" t="s">
        <v>46</v>
      </c>
      <c r="BE76" t="s">
        <v>155</v>
      </c>
      <c r="BF76" t="s">
        <v>1106</v>
      </c>
      <c r="BG76" t="s">
        <v>1107</v>
      </c>
      <c r="BH76" t="s">
        <v>183</v>
      </c>
      <c r="BI76" t="s">
        <v>3535</v>
      </c>
      <c r="BJ76" t="s">
        <v>1381</v>
      </c>
      <c r="BK76" t="s">
        <v>2185</v>
      </c>
      <c r="BL76" t="s">
        <v>3536</v>
      </c>
      <c r="BM76" t="s">
        <v>1415</v>
      </c>
      <c r="BN76">
        <v>1.1399999999999999</v>
      </c>
      <c r="BO76">
        <v>7.47</v>
      </c>
      <c r="BP76">
        <v>18.690000000000001</v>
      </c>
      <c r="BQ76">
        <v>1.22</v>
      </c>
      <c r="BR76">
        <v>8.39</v>
      </c>
      <c r="BS76">
        <v>19.39</v>
      </c>
      <c r="BT76" t="s">
        <v>3537</v>
      </c>
      <c r="BU76" t="s">
        <v>1079</v>
      </c>
      <c r="BV76">
        <v>30.62</v>
      </c>
      <c r="BW76">
        <v>31.84</v>
      </c>
      <c r="BX76">
        <v>41.91</v>
      </c>
      <c r="BY76">
        <v>7.58</v>
      </c>
      <c r="BZ76">
        <v>14.38</v>
      </c>
      <c r="CA76">
        <v>20</v>
      </c>
      <c r="CB76">
        <v>0.23</v>
      </c>
      <c r="CC76">
        <v>-13.2</v>
      </c>
      <c r="CD76" t="s">
        <v>3538</v>
      </c>
      <c r="CE76" t="s">
        <v>3539</v>
      </c>
      <c r="CF76" s="8">
        <v>2.2205993196699283</v>
      </c>
      <c r="CG76" s="9">
        <v>1.5040614349195391</v>
      </c>
      <c r="CH76" s="8">
        <v>-0.74426227807998657</v>
      </c>
      <c r="CI76" s="8">
        <v>-0.28738316893577576</v>
      </c>
      <c r="CJ76" s="8">
        <v>0.69841271638870239</v>
      </c>
      <c r="CK76" s="8">
        <v>1.0404858589172363</v>
      </c>
      <c r="CL76" s="8">
        <v>0.19323670864105225</v>
      </c>
      <c r="CM76" s="9">
        <v>-2.4137144088745117</v>
      </c>
      <c r="CN76" s="9">
        <v>-0.48706316947937012</v>
      </c>
      <c r="CO76" s="9">
        <v>0.43697479367256165</v>
      </c>
      <c r="CP76" s="9">
        <v>0.7988547682762146</v>
      </c>
      <c r="CQ76" s="9">
        <v>0.25207391381263733</v>
      </c>
      <c r="CR76">
        <v>22.393319779994812</v>
      </c>
      <c r="CS76">
        <v>1.2433965860352632</v>
      </c>
      <c r="CT76">
        <v>0.72956609485368307</v>
      </c>
      <c r="CU76" s="8">
        <v>0.18009796738624573</v>
      </c>
      <c r="CV76" s="9">
        <v>-0.28257482051849364</v>
      </c>
      <c r="CW76">
        <v>0.06</v>
      </c>
      <c r="CX76" t="e">
        <v>#VALUE!</v>
      </c>
      <c r="CY76" t="s">
        <v>1038</v>
      </c>
      <c r="CZ76">
        <v>0.18009796738624573</v>
      </c>
      <c r="DA76" t="e">
        <v>#VALUE!</v>
      </c>
      <c r="DB76" t="s">
        <v>1038</v>
      </c>
      <c r="DC76">
        <v>0.17109306901693344</v>
      </c>
      <c r="DD76" t="e">
        <v>#VALUE!</v>
      </c>
      <c r="DE76" t="s">
        <v>1038</v>
      </c>
      <c r="DF76">
        <v>0.15848621129989623</v>
      </c>
      <c r="DG76" t="e">
        <v>#VALUE!</v>
      </c>
      <c r="DH76" t="s">
        <v>1038</v>
      </c>
      <c r="DI76">
        <v>0.14407837390899658</v>
      </c>
      <c r="DJ76" t="e">
        <v>#VALUE!</v>
      </c>
      <c r="DK76" t="s">
        <v>1038</v>
      </c>
      <c r="DL76">
        <v>0.12606857717037201</v>
      </c>
      <c r="DM76">
        <v>-124000000</v>
      </c>
      <c r="DN76">
        <v>0.18009796738624573</v>
      </c>
      <c r="DO76">
        <v>712999500</v>
      </c>
      <c r="DP76">
        <v>649323450</v>
      </c>
      <c r="DQ76">
        <v>4563</v>
      </c>
      <c r="DR76">
        <v>2.0405013522836826</v>
      </c>
      <c r="DS76">
        <v>1.7866362554380328</v>
      </c>
      <c r="DT76" s="10">
        <v>-0.32333333333333331</v>
      </c>
      <c r="DU76">
        <v>-0.65333333333333332</v>
      </c>
      <c r="DV76">
        <v>-0.97666666666666657</v>
      </c>
      <c r="DW76">
        <v>-2.1320000000000001</v>
      </c>
      <c r="DX76">
        <v>0.72135782928207992</v>
      </c>
      <c r="DY76">
        <v>-2.0226192334652344</v>
      </c>
      <c r="DZ76">
        <v>5032</v>
      </c>
      <c r="EA76">
        <v>-2.0003452642290194</v>
      </c>
      <c r="EB76">
        <v>2</v>
      </c>
      <c r="EC76">
        <v>5.3990639428192086E-2</v>
      </c>
      <c r="ED76">
        <v>0.31507541648018617</v>
      </c>
      <c r="EE76" s="11">
        <v>2.2710000000000001E-2</v>
      </c>
      <c r="EF76">
        <v>5.0310000000000001E-2</v>
      </c>
      <c r="EG76">
        <v>55.17135782928208</v>
      </c>
      <c r="EH76">
        <v>-1</v>
      </c>
      <c r="EI76">
        <v>0</v>
      </c>
      <c r="EJ76">
        <v>0</v>
      </c>
      <c r="EK76" s="13">
        <v>45470</v>
      </c>
      <c r="EL76" s="14">
        <v>-1.27</v>
      </c>
      <c r="EM76" s="14">
        <v>-5.7</v>
      </c>
      <c r="EN76" s="14">
        <v>-7.98</v>
      </c>
      <c r="EO76" s="14">
        <v>2.85</v>
      </c>
      <c r="EP76" s="14">
        <v>-2.76</v>
      </c>
    </row>
    <row r="77" spans="1:146" ht="228" x14ac:dyDescent="0.25">
      <c r="A77" s="7" t="s">
        <v>1470</v>
      </c>
      <c r="B77" s="7" t="s">
        <v>1172</v>
      </c>
      <c r="C77" s="7" t="str">
        <f>"公司的主营业务为微创医疗器械的研发、制造和销售。公司主要产品包括配合内镜使用的检查及微创手术器械、微波消融所需的设备和耗材。公司内镜诊疗器械主要包括活检类、止血和闭合类、EMR/ESD 类、扩张类、ERCP 类、EUS/EBUS类等六大类60多种上百个规格系列产品，微波消融主要包括微波消融仪和微波消融针系列产品。"&amp;CHAR(10)&amp;Basic_Fundamental_Information_Constructure(F77)&amp;CHAR(10)&amp;Basic_Fundamental_Information_Concatenate("自产产品 18.98亿 97.49% 98.99% 65.17%
代理 3443.85万 1.77% 0.72% 26.12%
可视化产品类 975.30万 0.50% 0.27% 34.78%
其他业务 474.23万 0.24% 0.02% 5.77%")</f>
        <v>公司的主营业务为微创医疗器械的研发、制造和销售。公司主要产品包括配合内镜使用的检查及微创手术器械、微波消融所需的设备和耗材。公司内镜诊疗器械主要包括活检类、止血和闭合类、EMR/ESD 类、扩张类、ERCP 类、EUS/EBUS类等六大类60多种上百个规格系列产品，微波消融主要包括微波消融仪和微波消融针系列产品。
市值112.407897亿, 利润-2.40亿; PE21.29; 平均PE57.45; 平均PEG7.71, PB3.02; ROIC10.3933%; ROE11.3567%; 股利率1.6711%; 毛利63.21%; 净利18.08%; 上一年度营收增-54.49%, 利润增-172.51%; 当季营收增327.59%, 利润增264.04%; 过往5年营收增7.45%, 利润增-20.55%
Income profile:
自产产品 18.98亿 97.49% 98.99% 65.17%
代理 3443.85万 1.77% 0.72% 26.12%
可视化产品类 975.30万 0.50% 0.27% 34.78%
其他业务 474.23万 0.24% 0.02% 5.77%</v>
      </c>
      <c r="D77" t="s">
        <v>693</v>
      </c>
      <c r="E77" t="s">
        <v>694</v>
      </c>
      <c r="F77">
        <v>59.84</v>
      </c>
      <c r="G77">
        <v>2.73</v>
      </c>
      <c r="H77" t="s">
        <v>3540</v>
      </c>
      <c r="I77">
        <v>11240789700</v>
      </c>
      <c r="J77">
        <v>21.29</v>
      </c>
      <c r="K77">
        <v>3.02</v>
      </c>
      <c r="L77" t="s">
        <v>40</v>
      </c>
      <c r="M77" t="s">
        <v>1899</v>
      </c>
      <c r="N77" t="s">
        <v>3541</v>
      </c>
      <c r="O77" t="s">
        <v>1056</v>
      </c>
      <c r="P77">
        <v>12.72</v>
      </c>
      <c r="Q77" t="s">
        <v>1675</v>
      </c>
      <c r="R77">
        <v>143464440</v>
      </c>
      <c r="S77" s="3">
        <v>0.41360000000000002</v>
      </c>
      <c r="T77" t="s">
        <v>3542</v>
      </c>
      <c r="U77">
        <v>187847420</v>
      </c>
      <c r="V77">
        <v>187847420</v>
      </c>
      <c r="W77">
        <v>1.1599999999999999</v>
      </c>
      <c r="X77">
        <v>0.14000000000000001</v>
      </c>
      <c r="Y77">
        <v>23.78</v>
      </c>
      <c r="Z77" t="s">
        <v>658</v>
      </c>
      <c r="AA77" t="s">
        <v>765</v>
      </c>
      <c r="AB77" t="s">
        <v>478</v>
      </c>
      <c r="AC77" t="s">
        <v>3543</v>
      </c>
      <c r="AD77" t="s">
        <v>47</v>
      </c>
      <c r="AE77">
        <v>-2991374</v>
      </c>
      <c r="AF77" t="s">
        <v>2194</v>
      </c>
      <c r="AG77" t="s">
        <v>3544</v>
      </c>
      <c r="AH77" t="s">
        <v>2195</v>
      </c>
      <c r="AI77" t="s">
        <v>2295</v>
      </c>
      <c r="AJ77" t="s">
        <v>2197</v>
      </c>
      <c r="AK77" t="s">
        <v>47</v>
      </c>
      <c r="AL77" t="s">
        <v>2198</v>
      </c>
      <c r="AM77" t="s">
        <v>47</v>
      </c>
      <c r="AN77" t="s">
        <v>1501</v>
      </c>
      <c r="AO77" t="s">
        <v>47</v>
      </c>
      <c r="AP77" t="s">
        <v>3545</v>
      </c>
      <c r="AQ77" t="s">
        <v>63</v>
      </c>
      <c r="AR77" t="s">
        <v>3546</v>
      </c>
      <c r="AS77" t="s">
        <v>3547</v>
      </c>
      <c r="AT77" t="s">
        <v>47</v>
      </c>
      <c r="AU77" t="s">
        <v>3548</v>
      </c>
      <c r="AV77" t="s">
        <v>3549</v>
      </c>
      <c r="AW77" t="s">
        <v>3550</v>
      </c>
      <c r="AX77" t="s">
        <v>1416</v>
      </c>
      <c r="AY77" t="s">
        <v>984</v>
      </c>
      <c r="AZ77" t="s">
        <v>695</v>
      </c>
      <c r="BA77" t="s">
        <v>697</v>
      </c>
      <c r="BB77" t="s">
        <v>50</v>
      </c>
      <c r="BC77" t="s">
        <v>934</v>
      </c>
      <c r="BD77" t="s">
        <v>306</v>
      </c>
      <c r="BE77" t="s">
        <v>696</v>
      </c>
      <c r="BF77" t="s">
        <v>348</v>
      </c>
      <c r="BG77" t="s">
        <v>71</v>
      </c>
      <c r="BH77" t="s">
        <v>2193</v>
      </c>
      <c r="BI77" t="s">
        <v>122</v>
      </c>
      <c r="BJ77" t="s">
        <v>1416</v>
      </c>
      <c r="BK77" t="s">
        <v>1581</v>
      </c>
      <c r="BL77" t="s">
        <v>3551</v>
      </c>
      <c r="BM77" t="s">
        <v>934</v>
      </c>
      <c r="BN77">
        <v>9.75</v>
      </c>
      <c r="BO77">
        <v>10.130000000000001</v>
      </c>
      <c r="BP77">
        <v>11.3</v>
      </c>
      <c r="BQ77">
        <v>11.45</v>
      </c>
      <c r="BR77">
        <v>10.81</v>
      </c>
      <c r="BS77">
        <v>11.81</v>
      </c>
      <c r="BT77" t="s">
        <v>1977</v>
      </c>
      <c r="BU77" t="s">
        <v>1079</v>
      </c>
      <c r="BV77">
        <v>64.5</v>
      </c>
      <c r="BW77">
        <v>60.95</v>
      </c>
      <c r="BX77">
        <v>64.180000000000007</v>
      </c>
      <c r="BY77">
        <v>20.51</v>
      </c>
      <c r="BZ77">
        <v>16.809999999999999</v>
      </c>
      <c r="CA77">
        <v>16.920000000000002</v>
      </c>
      <c r="CB77">
        <v>-2.79</v>
      </c>
      <c r="CC77">
        <v>-10.41</v>
      </c>
      <c r="CD77" t="s">
        <v>3552</v>
      </c>
      <c r="CE77" t="s">
        <v>3553</v>
      </c>
      <c r="CF77" s="8">
        <v>3.2758620689655173</v>
      </c>
      <c r="CG77" s="9">
        <v>2.6404109933635502</v>
      </c>
      <c r="CH77" s="8">
        <v>-0.54494953155517578</v>
      </c>
      <c r="CI77" s="8">
        <v>1.6949119046330452E-2</v>
      </c>
      <c r="CJ77" s="8">
        <v>0.46832585334777832</v>
      </c>
      <c r="CK77" s="8">
        <v>1.4537057839334011E-2</v>
      </c>
      <c r="CL77" s="8">
        <v>0.417570561170578</v>
      </c>
      <c r="CM77" s="9">
        <v>-1.7250754833221436</v>
      </c>
      <c r="CN77" s="9">
        <v>1.8461538478732109E-2</v>
      </c>
      <c r="CO77" s="9">
        <v>0.24521072208881378</v>
      </c>
      <c r="CP77" s="9">
        <v>-0.14144736528396606</v>
      </c>
      <c r="CQ77" s="9">
        <v>0.57512950897216797</v>
      </c>
      <c r="CR77">
        <v>57.448669676320279</v>
      </c>
      <c r="CS77">
        <v>7.7126168256432841</v>
      </c>
      <c r="CT77">
        <v>1.6711229946524062</v>
      </c>
      <c r="CU77" s="8">
        <v>7.4486611969768995E-2</v>
      </c>
      <c r="CV77" s="9">
        <v>-0.20554421581327914</v>
      </c>
      <c r="CW77">
        <v>0.06</v>
      </c>
      <c r="CX77" t="e">
        <v>#VALUE!</v>
      </c>
      <c r="CY77" t="s">
        <v>1038</v>
      </c>
      <c r="CZ77">
        <v>7.4486611969768995E-2</v>
      </c>
      <c r="DA77" t="e">
        <v>#VALUE!</v>
      </c>
      <c r="DB77" t="s">
        <v>1038</v>
      </c>
      <c r="DC77">
        <v>7.0762281371280544E-2</v>
      </c>
      <c r="DD77" t="e">
        <v>#VALUE!</v>
      </c>
      <c r="DE77" t="s">
        <v>1038</v>
      </c>
      <c r="DF77">
        <v>6.5548218533396721E-2</v>
      </c>
      <c r="DG77" t="e">
        <v>#VALUE!</v>
      </c>
      <c r="DH77" t="s">
        <v>1038</v>
      </c>
      <c r="DI77">
        <v>5.9589289575815198E-2</v>
      </c>
      <c r="DJ77" t="e">
        <v>#VALUE!</v>
      </c>
      <c r="DK77" t="s">
        <v>1038</v>
      </c>
      <c r="DL77">
        <v>5.2140628378838295E-2</v>
      </c>
      <c r="DM77">
        <v>-240000000</v>
      </c>
      <c r="DN77">
        <v>7.4486611969768995E-2</v>
      </c>
      <c r="DO77">
        <v>8179789700</v>
      </c>
      <c r="DP77">
        <v>2690432800</v>
      </c>
      <c r="DQ77">
        <v>4566</v>
      </c>
      <c r="DR77">
        <v>3.2013754569957484</v>
      </c>
      <c r="DS77">
        <v>2.8459552091768292</v>
      </c>
      <c r="DT77" s="10">
        <v>-0.37333333333333335</v>
      </c>
      <c r="DU77">
        <v>-7.6666666666666661E-2</v>
      </c>
      <c r="DV77">
        <v>-0.45</v>
      </c>
      <c r="DW77">
        <v>-8.2680115273775208</v>
      </c>
      <c r="DX77">
        <v>0.39530416049276496</v>
      </c>
      <c r="DY77">
        <v>-8.0416233052617496</v>
      </c>
      <c r="DZ77">
        <v>4646</v>
      </c>
      <c r="EA77">
        <v>-8.0037794938632985</v>
      </c>
      <c r="EB77">
        <v>8</v>
      </c>
      <c r="EC77">
        <v>3.2696749308561174E-2</v>
      </c>
      <c r="ED77">
        <v>0.21053363415904247</v>
      </c>
      <c r="EE77" s="11">
        <v>-2.0341100000000001</v>
      </c>
      <c r="EF77">
        <v>-2.0543100000000001</v>
      </c>
      <c r="EG77">
        <v>24.155304160492765</v>
      </c>
      <c r="EH77" t="s">
        <v>1532</v>
      </c>
      <c r="EI77">
        <v>0</v>
      </c>
      <c r="EJ77">
        <v>0</v>
      </c>
      <c r="EK77" s="13">
        <v>45470</v>
      </c>
      <c r="EL77" s="14">
        <v>-2.81</v>
      </c>
      <c r="EM77" s="14">
        <v>-7.01</v>
      </c>
      <c r="EN77" s="14">
        <v>-2.4500000000000002</v>
      </c>
      <c r="EO77" s="14">
        <v>5.31</v>
      </c>
      <c r="EP77" s="14">
        <v>-2.02</v>
      </c>
    </row>
    <row r="78" spans="1:146" ht="96" x14ac:dyDescent="0.25">
      <c r="A78" s="7"/>
      <c r="B78" s="7"/>
      <c r="C78" s="7" t="str">
        <f>""&amp;CHAR(10)&amp;Basic_Fundamental_Information_Constructure(F78)&amp;CHAR(10)&amp;Basic_Fundamental_Information_Concatenate("")</f>
        <v xml:space="preserve">
市值135.08839亿, 利润-2.08亿; PE41.12; 平均PE213.55; 平均PEG7.55, PB6.09; ROIC10.68%; ROE12.22%; 股利率.6875%; 毛利81.6833%; 净利36.0067%; 上一年度营收增-44.39%, 利润增-189.27%; 当季营收增396.89%, 利润增451.33%; 过往5年营收增28.3%, 利润增39.44%
Income profile:
</v>
      </c>
      <c r="D78" t="s">
        <v>699</v>
      </c>
      <c r="E78" t="s">
        <v>700</v>
      </c>
      <c r="F78">
        <v>71.27</v>
      </c>
      <c r="G78">
        <v>4.62</v>
      </c>
      <c r="H78" t="s">
        <v>3554</v>
      </c>
      <c r="I78">
        <v>13508839000</v>
      </c>
      <c r="J78">
        <v>41.12</v>
      </c>
      <c r="K78">
        <v>6.09</v>
      </c>
      <c r="L78" t="s">
        <v>40</v>
      </c>
      <c r="M78" t="s">
        <v>132</v>
      </c>
      <c r="N78" t="s">
        <v>1716</v>
      </c>
      <c r="O78" t="s">
        <v>339</v>
      </c>
      <c r="P78">
        <v>63.55</v>
      </c>
      <c r="Q78" t="s">
        <v>106</v>
      </c>
      <c r="R78">
        <v>102903400</v>
      </c>
      <c r="S78" s="3">
        <v>0.31259999999999999</v>
      </c>
      <c r="T78" t="s">
        <v>1682</v>
      </c>
      <c r="U78">
        <v>189544530</v>
      </c>
      <c r="V78">
        <v>189544530</v>
      </c>
      <c r="W78">
        <v>1.25</v>
      </c>
      <c r="X78">
        <v>0.1</v>
      </c>
      <c r="Y78">
        <v>31.72</v>
      </c>
      <c r="Z78" t="s">
        <v>690</v>
      </c>
      <c r="AA78" t="s">
        <v>3555</v>
      </c>
      <c r="AB78" t="s">
        <v>3556</v>
      </c>
      <c r="AC78" t="s">
        <v>3557</v>
      </c>
      <c r="AD78" t="s">
        <v>47</v>
      </c>
      <c r="AE78">
        <v>3163400</v>
      </c>
      <c r="AF78" t="s">
        <v>2200</v>
      </c>
      <c r="AG78" t="s">
        <v>3558</v>
      </c>
      <c r="AH78" t="s">
        <v>2201</v>
      </c>
      <c r="AI78" t="s">
        <v>2531</v>
      </c>
      <c r="AJ78" t="s">
        <v>2203</v>
      </c>
      <c r="AK78" t="s">
        <v>47</v>
      </c>
      <c r="AL78" t="s">
        <v>2204</v>
      </c>
      <c r="AM78" t="s">
        <v>47</v>
      </c>
      <c r="AN78" t="s">
        <v>3559</v>
      </c>
      <c r="AO78" t="s">
        <v>3560</v>
      </c>
      <c r="AP78" t="s">
        <v>47</v>
      </c>
      <c r="AQ78" t="s">
        <v>3561</v>
      </c>
      <c r="AR78" t="s">
        <v>47</v>
      </c>
      <c r="AS78" t="s">
        <v>506</v>
      </c>
      <c r="AT78" t="s">
        <v>236</v>
      </c>
      <c r="AU78" t="s">
        <v>3562</v>
      </c>
      <c r="AV78" t="s">
        <v>1986</v>
      </c>
      <c r="AW78" t="s">
        <v>3563</v>
      </c>
      <c r="AX78" t="s">
        <v>1418</v>
      </c>
      <c r="AY78" t="s">
        <v>77</v>
      </c>
      <c r="AZ78" t="s">
        <v>403</v>
      </c>
      <c r="BA78" t="s">
        <v>372</v>
      </c>
      <c r="BB78" t="s">
        <v>60</v>
      </c>
      <c r="BC78" t="s">
        <v>53</v>
      </c>
      <c r="BD78" t="s">
        <v>46</v>
      </c>
      <c r="BE78" t="s">
        <v>701</v>
      </c>
      <c r="BF78" t="s">
        <v>702</v>
      </c>
      <c r="BG78" t="s">
        <v>703</v>
      </c>
      <c r="BH78" t="s">
        <v>566</v>
      </c>
      <c r="BI78" t="s">
        <v>3564</v>
      </c>
      <c r="BJ78" t="s">
        <v>1418</v>
      </c>
      <c r="BK78" t="s">
        <v>348</v>
      </c>
      <c r="BL78" t="s">
        <v>3565</v>
      </c>
      <c r="BM78" t="s">
        <v>53</v>
      </c>
      <c r="BN78">
        <v>11.17</v>
      </c>
      <c r="BO78">
        <v>11.37</v>
      </c>
      <c r="BP78">
        <v>9.5</v>
      </c>
      <c r="BQ78">
        <v>12.77</v>
      </c>
      <c r="BR78">
        <v>13.11</v>
      </c>
      <c r="BS78">
        <v>10.78</v>
      </c>
      <c r="BT78" t="s">
        <v>2205</v>
      </c>
      <c r="BU78" t="s">
        <v>1079</v>
      </c>
      <c r="BV78">
        <v>76.010000000000005</v>
      </c>
      <c r="BW78">
        <v>84.75</v>
      </c>
      <c r="BX78">
        <v>84.29</v>
      </c>
      <c r="BY78">
        <v>30.07</v>
      </c>
      <c r="BZ78">
        <v>39.21</v>
      </c>
      <c r="CA78">
        <v>38.74</v>
      </c>
      <c r="CB78">
        <v>-2.8</v>
      </c>
      <c r="CC78">
        <v>-11.5</v>
      </c>
      <c r="CD78" t="s">
        <v>3566</v>
      </c>
      <c r="CE78" t="s">
        <v>3567</v>
      </c>
      <c r="CF78" s="8">
        <v>3.9688644541862681</v>
      </c>
      <c r="CG78" s="9">
        <v>4.5132964830640132</v>
      </c>
      <c r="CH78" s="8">
        <v>-0.4438687264919281</v>
      </c>
      <c r="CI78" s="8">
        <v>0.33718246221542358</v>
      </c>
      <c r="CJ78" s="8">
        <v>0.58608061075210571</v>
      </c>
      <c r="CK78" s="8">
        <v>0.40000000596046448</v>
      </c>
      <c r="CL78" s="8">
        <v>0.53543305397033691</v>
      </c>
      <c r="CM78" s="9">
        <v>-1.8927038908004761</v>
      </c>
      <c r="CN78" s="9">
        <v>0.36257308721542358</v>
      </c>
      <c r="CO78" s="9">
        <v>0.77095073461532593</v>
      </c>
      <c r="CP78" s="9">
        <v>0.44797420501708984</v>
      </c>
      <c r="CQ78" s="9">
        <v>2.283233642578125</v>
      </c>
      <c r="CR78">
        <v>213.54798339736459</v>
      </c>
      <c r="CS78">
        <v>7.546785651394992</v>
      </c>
      <c r="CT78">
        <v>0.68752630840465845</v>
      </c>
      <c r="CU78" s="8">
        <v>0.28296548128128052</v>
      </c>
      <c r="CV78" s="9">
        <v>0.39440555572509767</v>
      </c>
      <c r="CW78">
        <v>0.06</v>
      </c>
      <c r="CX78" t="e">
        <v>#VALUE!</v>
      </c>
      <c r="CY78" t="s">
        <v>1038</v>
      </c>
      <c r="CZ78">
        <v>0.28296548128128052</v>
      </c>
      <c r="DA78" t="e">
        <v>#VALUE!</v>
      </c>
      <c r="DB78" t="s">
        <v>1038</v>
      </c>
      <c r="DC78">
        <v>0.26881720721721647</v>
      </c>
      <c r="DD78" t="e">
        <v>#VALUE!</v>
      </c>
      <c r="DE78" t="s">
        <v>1038</v>
      </c>
      <c r="DF78">
        <v>0.24900962352752687</v>
      </c>
      <c r="DG78" t="e">
        <v>#VALUE!</v>
      </c>
      <c r="DH78" t="s">
        <v>1038</v>
      </c>
      <c r="DI78">
        <v>0.22637238502502444</v>
      </c>
      <c r="DJ78" t="e">
        <v>#VALUE!</v>
      </c>
      <c r="DK78" t="s">
        <v>1038</v>
      </c>
      <c r="DL78">
        <v>0.19807583689689634</v>
      </c>
      <c r="DM78">
        <v>-208000000</v>
      </c>
      <c r="DN78">
        <v>0.28296548128128052</v>
      </c>
      <c r="DO78">
        <v>11777839000</v>
      </c>
      <c r="DP78">
        <v>645659000</v>
      </c>
      <c r="DQ78">
        <v>4582</v>
      </c>
      <c r="DR78">
        <v>3.6858989729049876</v>
      </c>
      <c r="DS78">
        <v>4.1188909273389154</v>
      </c>
      <c r="DT78" s="10">
        <v>-0.10666666666666676</v>
      </c>
      <c r="DU78">
        <v>0.48166666666666669</v>
      </c>
      <c r="DV78">
        <v>0.37499999999999994</v>
      </c>
      <c r="DW78">
        <v>-8.2434782608695656</v>
      </c>
      <c r="DX78">
        <v>0.54486017329746972</v>
      </c>
      <c r="DY78">
        <v>-8.0401398682811234</v>
      </c>
      <c r="DZ78">
        <v>4172</v>
      </c>
      <c r="EA78">
        <v>-8.0073681402050276</v>
      </c>
      <c r="EB78">
        <v>8</v>
      </c>
      <c r="EC78">
        <v>3.5925594898465286E-2</v>
      </c>
      <c r="ED78">
        <v>0.21791554733866494</v>
      </c>
      <c r="EE78" s="11">
        <v>-2.0247999999999999</v>
      </c>
      <c r="EF78">
        <v>-2.0038</v>
      </c>
      <c r="EG78">
        <v>38.16486017329747</v>
      </c>
      <c r="EH78" t="s">
        <v>1336</v>
      </c>
      <c r="EI78">
        <v>0</v>
      </c>
      <c r="EJ78">
        <v>0</v>
      </c>
      <c r="EK78" s="13">
        <v>45470</v>
      </c>
      <c r="EL78" s="14">
        <v>-3.29</v>
      </c>
      <c r="EM78" s="14">
        <v>-6.23</v>
      </c>
      <c r="EN78" s="14">
        <v>-0.98</v>
      </c>
      <c r="EO78" s="14">
        <v>6.65</v>
      </c>
      <c r="EP78" s="14">
        <v>-2.1</v>
      </c>
    </row>
    <row r="79" spans="1:146" ht="96" x14ac:dyDescent="0.25">
      <c r="A79" s="7"/>
      <c r="B79" s="7"/>
      <c r="C79" s="7" t="str">
        <f>""&amp;CHAR(10)&amp;Basic_Fundamental_Information_Constructure(F79)&amp;CHAR(10)&amp;Basic_Fundamental_Information_Concatenate("")</f>
        <v xml:space="preserve">
市值9.4044亿, 利润2738.29万; PE38.45; 平均PE30.58; 平均PEG.74, PB1.9; ROIC5.7433%; ROE5.84%; 股利率.7231%; 毛利56.49%; 净利11.5767%; 上一年度营收增174.62%, 利润增52.36%; 当季营收增-76.94%, 利润增-91.39%; 过往5年营收增41.15%, 利润增11.7%
Income profile:
</v>
      </c>
      <c r="D79" t="s">
        <v>704</v>
      </c>
      <c r="E79" t="s">
        <v>705</v>
      </c>
      <c r="F79">
        <v>13.83</v>
      </c>
      <c r="G79">
        <v>2.0699999999999998</v>
      </c>
      <c r="H79" t="s">
        <v>3568</v>
      </c>
      <c r="I79">
        <v>940440000</v>
      </c>
      <c r="J79">
        <v>38.450000000000003</v>
      </c>
      <c r="K79">
        <v>1.9</v>
      </c>
      <c r="L79" t="s">
        <v>40</v>
      </c>
      <c r="M79" t="s">
        <v>2206</v>
      </c>
      <c r="N79" t="s">
        <v>3079</v>
      </c>
      <c r="O79" t="s">
        <v>2207</v>
      </c>
      <c r="P79">
        <v>14.46</v>
      </c>
      <c r="Q79" t="s">
        <v>1507</v>
      </c>
      <c r="R79">
        <v>5071818</v>
      </c>
      <c r="S79" s="3">
        <v>1.3640000000000001</v>
      </c>
      <c r="T79" t="s">
        <v>2213</v>
      </c>
      <c r="U79">
        <v>68000000</v>
      </c>
      <c r="V79">
        <v>68000000</v>
      </c>
      <c r="W79">
        <v>1.1100000000000001</v>
      </c>
      <c r="X79">
        <v>0.08</v>
      </c>
      <c r="Y79">
        <v>10.83</v>
      </c>
      <c r="Z79" t="s">
        <v>3569</v>
      </c>
      <c r="AA79" t="s">
        <v>3570</v>
      </c>
      <c r="AB79" t="s">
        <v>3571</v>
      </c>
      <c r="AC79" t="s">
        <v>3572</v>
      </c>
      <c r="AD79" t="s">
        <v>47</v>
      </c>
      <c r="AE79">
        <v>-74814</v>
      </c>
      <c r="AF79" t="s">
        <v>2209</v>
      </c>
      <c r="AG79" t="s">
        <v>47</v>
      </c>
      <c r="AH79" t="s">
        <v>2210</v>
      </c>
      <c r="AI79" t="s">
        <v>3573</v>
      </c>
      <c r="AJ79" t="s">
        <v>2211</v>
      </c>
      <c r="AK79" t="s">
        <v>3574</v>
      </c>
      <c r="AL79" t="s">
        <v>2212</v>
      </c>
      <c r="AM79" t="s">
        <v>47</v>
      </c>
      <c r="AN79" t="s">
        <v>3575</v>
      </c>
      <c r="AO79" t="s">
        <v>47</v>
      </c>
      <c r="AP79" t="s">
        <v>47</v>
      </c>
      <c r="AQ79" t="s">
        <v>3576</v>
      </c>
      <c r="AR79" t="s">
        <v>3577</v>
      </c>
      <c r="AS79" t="s">
        <v>3578</v>
      </c>
      <c r="AT79" t="s">
        <v>47</v>
      </c>
      <c r="AU79" t="s">
        <v>3579</v>
      </c>
      <c r="AV79" t="s">
        <v>3580</v>
      </c>
      <c r="AW79" t="s">
        <v>47</v>
      </c>
      <c r="AX79" t="s">
        <v>690</v>
      </c>
      <c r="AY79" t="s">
        <v>41</v>
      </c>
      <c r="AZ79" t="s">
        <v>351</v>
      </c>
      <c r="BA79" t="s">
        <v>490</v>
      </c>
      <c r="BB79" t="s">
        <v>54</v>
      </c>
      <c r="BC79" t="s">
        <v>1419</v>
      </c>
      <c r="BD79" t="s">
        <v>985</v>
      </c>
      <c r="BE79" t="s">
        <v>706</v>
      </c>
      <c r="BF79" t="s">
        <v>707</v>
      </c>
      <c r="BG79" t="s">
        <v>708</v>
      </c>
      <c r="BH79" t="s">
        <v>204</v>
      </c>
      <c r="BI79" t="s">
        <v>322</v>
      </c>
      <c r="BJ79" t="s">
        <v>690</v>
      </c>
      <c r="BK79" t="s">
        <v>2208</v>
      </c>
      <c r="BL79" t="s">
        <v>2218</v>
      </c>
      <c r="BM79" t="s">
        <v>1419</v>
      </c>
      <c r="BN79">
        <v>4.9400000000000004</v>
      </c>
      <c r="BO79">
        <v>3.69</v>
      </c>
      <c r="BP79">
        <v>8.6</v>
      </c>
      <c r="BQ79">
        <v>4.97</v>
      </c>
      <c r="BR79">
        <v>3.79</v>
      </c>
      <c r="BS79">
        <v>8.76</v>
      </c>
      <c r="BT79" t="s">
        <v>1210</v>
      </c>
      <c r="BU79" t="s">
        <v>1075</v>
      </c>
      <c r="BV79">
        <v>56.73</v>
      </c>
      <c r="BW79">
        <v>53.85</v>
      </c>
      <c r="BX79">
        <v>58.89</v>
      </c>
      <c r="BY79">
        <v>10.75</v>
      </c>
      <c r="BZ79">
        <v>9.1300000000000008</v>
      </c>
      <c r="CA79">
        <v>14.85</v>
      </c>
      <c r="CB79">
        <v>-2.95</v>
      </c>
      <c r="CC79">
        <v>-14.37</v>
      </c>
      <c r="CD79" t="s">
        <v>2785</v>
      </c>
      <c r="CE79" t="s">
        <v>3581</v>
      </c>
      <c r="CF79" s="8">
        <v>-0.76939014778325121</v>
      </c>
      <c r="CG79" s="9">
        <v>-0.91386778434246252</v>
      </c>
      <c r="CH79" s="8">
        <v>1.7461929321289062</v>
      </c>
      <c r="CI79" s="8">
        <v>-6.635071337223053E-2</v>
      </c>
      <c r="CJ79" s="8">
        <v>0.17222222685813904</v>
      </c>
      <c r="CK79" s="8">
        <v>-5.2631579339504242E-2</v>
      </c>
      <c r="CL79" s="8">
        <v>0.25827813148498535</v>
      </c>
      <c r="CM79" s="9">
        <v>0.52355754375457764</v>
      </c>
      <c r="CN79" s="9">
        <v>-0.42532375454902649</v>
      </c>
      <c r="CO79" s="9">
        <v>3.9026189595460892E-2</v>
      </c>
      <c r="CP79" s="9">
        <v>-0.40419632196426392</v>
      </c>
      <c r="CQ79" s="9">
        <v>0.85170727968215942</v>
      </c>
      <c r="CR79">
        <v>30.577630572861825</v>
      </c>
      <c r="CS79">
        <v>0.7430010969991383</v>
      </c>
      <c r="CT79">
        <v>0.72306579898770784</v>
      </c>
      <c r="CU79" s="8">
        <v>0.41154219955205917</v>
      </c>
      <c r="CV79" s="9">
        <v>0.11695418730378151</v>
      </c>
      <c r="CW79">
        <v>0.06</v>
      </c>
      <c r="CX79">
        <v>14.049001853158259</v>
      </c>
      <c r="CY79">
        <v>36464263.10954158</v>
      </c>
      <c r="CZ79">
        <v>0.41154219955205917</v>
      </c>
      <c r="DA79">
        <v>3.5340087508399565</v>
      </c>
      <c r="DB79">
        <v>144959035.50839841</v>
      </c>
      <c r="DC79">
        <v>0.39096508957445619</v>
      </c>
      <c r="DD79">
        <v>1.1845827451271607</v>
      </c>
      <c r="DE79">
        <v>432461558.39034098</v>
      </c>
      <c r="DF79">
        <v>0.36215713560581209</v>
      </c>
      <c r="DG79">
        <v>0.43984533913617063</v>
      </c>
      <c r="DH79">
        <v>1164696893.244565</v>
      </c>
      <c r="DI79">
        <v>0.32923375964164736</v>
      </c>
      <c r="DJ79">
        <v>6.8602961603601464E-2</v>
      </c>
      <c r="DK79">
        <v>7467410852.6111565</v>
      </c>
      <c r="DL79">
        <v>0.2880795396864414</v>
      </c>
      <c r="DM79">
        <v>27382900</v>
      </c>
      <c r="DN79">
        <v>0.41154219955205917</v>
      </c>
      <c r="DO79">
        <v>512286500</v>
      </c>
      <c r="DP79">
        <v>243780510</v>
      </c>
      <c r="DQ79">
        <v>4597</v>
      </c>
      <c r="DR79">
        <v>-1.1809323473353104</v>
      </c>
      <c r="DS79">
        <v>-1.0308219716462441</v>
      </c>
      <c r="DT79" s="10">
        <v>0.12666666666666662</v>
      </c>
      <c r="DU79">
        <v>-0.34</v>
      </c>
      <c r="DV79">
        <v>-0.2133333333333334</v>
      </c>
      <c r="DW79">
        <v>-8.2052887961029928</v>
      </c>
      <c r="DX79">
        <v>0.45159360882671623</v>
      </c>
      <c r="DY79">
        <v>-8.0229089176088255</v>
      </c>
      <c r="DZ79">
        <v>3059</v>
      </c>
      <c r="EA79">
        <v>-8.0091949491224472</v>
      </c>
      <c r="EB79">
        <v>8</v>
      </c>
      <c r="EC79">
        <v>3.8433823529411763E-2</v>
      </c>
      <c r="ED79">
        <v>0.34440882352941177</v>
      </c>
      <c r="EE79" s="11">
        <v>-5.0008100000000004</v>
      </c>
      <c r="EF79">
        <v>-5.0299100000000001</v>
      </c>
      <c r="EG79">
        <v>34.111593608826716</v>
      </c>
      <c r="EH79" t="s">
        <v>1599</v>
      </c>
      <c r="EI79">
        <v>0</v>
      </c>
      <c r="EJ79">
        <v>0</v>
      </c>
      <c r="EK79" s="13">
        <v>45470</v>
      </c>
      <c r="EL79" s="14">
        <v>-1.42</v>
      </c>
      <c r="EM79" s="14">
        <v>-4.5</v>
      </c>
      <c r="EN79" s="14">
        <v>0.42</v>
      </c>
      <c r="EO79" s="14">
        <v>1.88</v>
      </c>
      <c r="EP79" s="14">
        <v>-2.91</v>
      </c>
    </row>
    <row r="80" spans="1:146" ht="108" x14ac:dyDescent="0.25">
      <c r="A80" s="7" t="s">
        <v>1535</v>
      </c>
      <c r="B80" s="7" t="s">
        <v>882</v>
      </c>
      <c r="C80" s="7" t="str">
        <f>""&amp;CHAR(10)&amp;Basic_Fundamental_Information_Constructure(F80)&amp;CHAR(10)&amp;Basic_Fundamental_Information_Concatenate("诊断试剂91.23%（毛利75.25%） 诊断仪器6.29%（毛利36.69%） 生物原料2.47%（毛利81.59%）")</f>
        <v xml:space="preserve">
市值23.876965亿, 利润-1344.11万; PE; 平均PE4.33; 平均PEG.02, PB.727; ROIC49.9533%; ROE51.4867%; 股利率.7746%; 毛利56.7333%; 净利23.27%; 上一年度营收增-91.28%, 利润增-101.42%; 当季营收增273.53%, 利润增133.1%; 过往5年营收增195.32%, 利润增378.91%
Income profile:
诊断试剂91.23%（毛利75.25%） 诊断仪器6.29%（毛利36.69%） 生物原料2.47%（毛利81.59%）</v>
      </c>
      <c r="D80" t="s">
        <v>709</v>
      </c>
      <c r="E80" t="s">
        <v>710</v>
      </c>
      <c r="F80">
        <v>25.82</v>
      </c>
      <c r="G80">
        <v>3.03</v>
      </c>
      <c r="H80" t="s">
        <v>3582</v>
      </c>
      <c r="I80">
        <v>2387696500</v>
      </c>
      <c r="K80">
        <v>0.72699999999999998</v>
      </c>
      <c r="L80" t="s">
        <v>40</v>
      </c>
      <c r="M80" t="s">
        <v>322</v>
      </c>
      <c r="N80" t="s">
        <v>3583</v>
      </c>
      <c r="O80" t="s">
        <v>167</v>
      </c>
      <c r="P80">
        <v>-42.78</v>
      </c>
      <c r="Q80" t="s">
        <v>339</v>
      </c>
      <c r="R80">
        <v>5054820</v>
      </c>
      <c r="S80" s="3">
        <v>-0.91420000000000001</v>
      </c>
      <c r="T80" t="s">
        <v>3584</v>
      </c>
      <c r="U80">
        <v>92474692</v>
      </c>
      <c r="V80">
        <v>92474692</v>
      </c>
      <c r="W80">
        <v>1.06</v>
      </c>
      <c r="X80">
        <v>0.03</v>
      </c>
      <c r="Y80">
        <v>3.04</v>
      </c>
      <c r="Z80" t="s">
        <v>468</v>
      </c>
      <c r="AA80" t="s">
        <v>3585</v>
      </c>
      <c r="AB80" t="s">
        <v>3586</v>
      </c>
      <c r="AC80" t="s">
        <v>3587</v>
      </c>
      <c r="AD80" t="s">
        <v>47</v>
      </c>
      <c r="AE80">
        <v>-7800878</v>
      </c>
      <c r="AF80" t="s">
        <v>2214</v>
      </c>
      <c r="AG80" t="s">
        <v>3588</v>
      </c>
      <c r="AH80" t="s">
        <v>2215</v>
      </c>
      <c r="AI80" t="s">
        <v>236</v>
      </c>
      <c r="AJ80" t="s">
        <v>2216</v>
      </c>
      <c r="AK80" t="s">
        <v>47</v>
      </c>
      <c r="AL80" t="s">
        <v>2217</v>
      </c>
      <c r="AM80" t="s">
        <v>47</v>
      </c>
      <c r="AN80" t="s">
        <v>3589</v>
      </c>
      <c r="AO80" t="s">
        <v>47</v>
      </c>
      <c r="AP80" t="s">
        <v>47</v>
      </c>
      <c r="AQ80" t="s">
        <v>340</v>
      </c>
      <c r="AR80" t="s">
        <v>47</v>
      </c>
      <c r="AS80" t="s">
        <v>199</v>
      </c>
      <c r="AT80" t="s">
        <v>47</v>
      </c>
      <c r="AU80" t="s">
        <v>3590</v>
      </c>
      <c r="AV80" t="s">
        <v>3591</v>
      </c>
      <c r="AW80" t="s">
        <v>3592</v>
      </c>
      <c r="AX80" t="s">
        <v>1420</v>
      </c>
      <c r="AY80" t="s">
        <v>986</v>
      </c>
      <c r="AZ80" t="s">
        <v>663</v>
      </c>
      <c r="BA80" t="s">
        <v>158</v>
      </c>
      <c r="BB80" t="s">
        <v>129</v>
      </c>
      <c r="BC80" t="s">
        <v>1421</v>
      </c>
      <c r="BD80" t="s">
        <v>987</v>
      </c>
      <c r="BE80" t="s">
        <v>396</v>
      </c>
      <c r="BF80" t="s">
        <v>713</v>
      </c>
      <c r="BG80" t="s">
        <v>714</v>
      </c>
      <c r="BH80" t="s">
        <v>1507</v>
      </c>
      <c r="BI80" t="s">
        <v>3593</v>
      </c>
      <c r="BJ80" t="s">
        <v>1420</v>
      </c>
      <c r="BK80" t="s">
        <v>2213</v>
      </c>
      <c r="BL80" t="s">
        <v>3594</v>
      </c>
      <c r="BM80" t="s">
        <v>1421</v>
      </c>
      <c r="BN80">
        <v>0.43</v>
      </c>
      <c r="BO80">
        <v>28.73</v>
      </c>
      <c r="BP80">
        <v>120.7</v>
      </c>
      <c r="BQ80">
        <v>1.62</v>
      </c>
      <c r="BR80">
        <v>30.41</v>
      </c>
      <c r="BS80">
        <v>122.43</v>
      </c>
      <c r="BT80" t="s">
        <v>1213</v>
      </c>
      <c r="BU80" t="s">
        <v>1075</v>
      </c>
      <c r="BV80">
        <v>56.95</v>
      </c>
      <c r="BW80">
        <v>53.71</v>
      </c>
      <c r="BX80">
        <v>59.54</v>
      </c>
      <c r="BY80">
        <v>2.78</v>
      </c>
      <c r="BZ80">
        <v>26.01</v>
      </c>
      <c r="CA80">
        <v>41.02</v>
      </c>
      <c r="CB80">
        <v>0.74</v>
      </c>
      <c r="CC80">
        <v>-9.56</v>
      </c>
      <c r="CD80" t="s">
        <v>3595</v>
      </c>
      <c r="CE80" t="s">
        <v>3596</v>
      </c>
      <c r="CF80" s="8">
        <v>2.735284268013086</v>
      </c>
      <c r="CG80" s="9">
        <v>1.3309557793287676</v>
      </c>
      <c r="CH80" s="8">
        <v>-0.91284793615341187</v>
      </c>
      <c r="CI80" s="8">
        <v>-0.33749303221702576</v>
      </c>
      <c r="CJ80" s="8">
        <v>9.4455251693725586</v>
      </c>
      <c r="CK80" s="8">
        <v>1.4476190805435181</v>
      </c>
      <c r="CL80" s="8">
        <v>0.12299465388059616</v>
      </c>
      <c r="CM80" s="9">
        <v>-1.0142233371734619</v>
      </c>
      <c r="CN80" s="9">
        <v>-0.56770354509353638</v>
      </c>
      <c r="CO80" s="9">
        <v>18.517856597900391</v>
      </c>
      <c r="CP80" s="9">
        <v>2.305999755859375</v>
      </c>
      <c r="CQ80" s="9">
        <v>-0.2962767481803894</v>
      </c>
      <c r="CR80">
        <v>4.3260890013898203</v>
      </c>
      <c r="CS80">
        <v>2.2149183456359346E-2</v>
      </c>
      <c r="CT80">
        <v>0.77459333849728895</v>
      </c>
      <c r="CU80" s="8">
        <v>1.953159587085247</v>
      </c>
      <c r="CV80" s="9">
        <v>3.7891305446624757</v>
      </c>
      <c r="CW80">
        <v>0.06</v>
      </c>
      <c r="CX80" t="s">
        <v>1584</v>
      </c>
      <c r="CY80" t="s">
        <v>1038</v>
      </c>
      <c r="CZ80">
        <v>1.953159587085247</v>
      </c>
      <c r="DA80" t="s">
        <v>1584</v>
      </c>
      <c r="DB80" t="s">
        <v>1038</v>
      </c>
      <c r="DC80">
        <v>1.8555016077309845</v>
      </c>
      <c r="DD80" t="s">
        <v>1584</v>
      </c>
      <c r="DE80" t="s">
        <v>1038</v>
      </c>
      <c r="DF80">
        <v>1.7187804366350172</v>
      </c>
      <c r="DG80" t="s">
        <v>1584</v>
      </c>
      <c r="DH80" t="s">
        <v>1038</v>
      </c>
      <c r="DI80">
        <v>1.5625276696681976</v>
      </c>
      <c r="DJ80" t="s">
        <v>1584</v>
      </c>
      <c r="DK80" t="s">
        <v>1038</v>
      </c>
      <c r="DL80">
        <v>1.3672117109596729</v>
      </c>
      <c r="DM80">
        <v>-13441099.999999998</v>
      </c>
      <c r="DN80">
        <v>1.953159587085247</v>
      </c>
      <c r="DO80">
        <v>-689303499.99999952</v>
      </c>
      <c r="DP80">
        <v>914874770</v>
      </c>
      <c r="DQ80">
        <v>4598</v>
      </c>
      <c r="DR80">
        <v>0.78212468092783904</v>
      </c>
      <c r="DS80">
        <v>-2.458174765333708</v>
      </c>
      <c r="DT80" s="10">
        <v>-0.33833333333333343</v>
      </c>
      <c r="DU80">
        <v>0.10099999999999983</v>
      </c>
      <c r="DV80">
        <v>-0.23733333333333362</v>
      </c>
      <c r="DW80">
        <v>-2.0956000000000001</v>
      </c>
      <c r="DX80">
        <v>0.40841135544073864</v>
      </c>
      <c r="DY80">
        <v>-2.0094081255801344</v>
      </c>
      <c r="DZ80">
        <v>4138</v>
      </c>
      <c r="EA80">
        <v>-2.0017895690927379</v>
      </c>
      <c r="EB80">
        <v>2</v>
      </c>
      <c r="EC80">
        <v>2.591087299863621E-2</v>
      </c>
      <c r="ED80">
        <v>0.26329149601276858</v>
      </c>
      <c r="EE80" s="11">
        <v>-3.0179100000000001</v>
      </c>
      <c r="EF80">
        <v>-3.04271</v>
      </c>
      <c r="EG80">
        <v>31.098411355440739</v>
      </c>
      <c r="EH80" t="s">
        <v>1538</v>
      </c>
      <c r="EI80">
        <v>0</v>
      </c>
      <c r="EJ80">
        <v>0</v>
      </c>
      <c r="EK80" s="13">
        <v>45470</v>
      </c>
      <c r="EL80" s="14">
        <v>-2.81</v>
      </c>
      <c r="EM80" s="14">
        <v>-5.29</v>
      </c>
      <c r="EN80" s="14">
        <v>-0.3</v>
      </c>
      <c r="EO80" s="14">
        <v>2.54</v>
      </c>
      <c r="EP80" s="14">
        <v>-2.48</v>
      </c>
    </row>
    <row r="81" spans="1:146" ht="96" x14ac:dyDescent="0.25">
      <c r="A81" s="7"/>
      <c r="B81" s="7"/>
      <c r="C81" s="7" t="str">
        <f>""&amp;CHAR(10)&amp;Basic_Fundamental_Information_Constructure(F81)&amp;CHAR(10)&amp;Basic_Fundamental_Information_Concatenate("")</f>
        <v xml:space="preserve">
市值42.826905亿, 利润1.63亿; PE26.61; 平均PE5.49; 平均PEG.04, PB.827; ROIC40.0567%; ROE45.7233%; 股利率1.1869%; 毛利60.84%; 净利41.28%; 上一年度营收增-83.23%, 利润增-94.65%; 当季营收增-37.98%, 利润增234.04%; 过往5年营收增147.34%, 利润增277.18%
Income profile:
</v>
      </c>
      <c r="D81" t="s">
        <v>988</v>
      </c>
      <c r="E81" t="s">
        <v>989</v>
      </c>
      <c r="F81">
        <v>33.700000000000003</v>
      </c>
      <c r="G81">
        <v>2.5299999999999998</v>
      </c>
      <c r="H81" t="s">
        <v>3597</v>
      </c>
      <c r="I81">
        <v>4282690500</v>
      </c>
      <c r="J81">
        <v>26.61</v>
      </c>
      <c r="K81">
        <v>0.82699999999999996</v>
      </c>
      <c r="L81" t="s">
        <v>40</v>
      </c>
      <c r="M81" t="s">
        <v>1513</v>
      </c>
      <c r="N81" t="s">
        <v>3598</v>
      </c>
      <c r="O81" t="s">
        <v>410</v>
      </c>
      <c r="P81">
        <v>6.53</v>
      </c>
      <c r="Q81" t="s">
        <v>1870</v>
      </c>
      <c r="R81">
        <v>70190798</v>
      </c>
      <c r="S81" s="4">
        <v>0.38090000000000002</v>
      </c>
      <c r="T81" t="s">
        <v>235</v>
      </c>
      <c r="U81">
        <v>31770805</v>
      </c>
      <c r="V81">
        <v>127082805</v>
      </c>
      <c r="W81">
        <v>1.1299999999999999</v>
      </c>
      <c r="X81">
        <v>0.02</v>
      </c>
      <c r="Y81">
        <v>54.35</v>
      </c>
      <c r="Z81" t="s">
        <v>405</v>
      </c>
      <c r="AA81" t="s">
        <v>3599</v>
      </c>
      <c r="AB81" t="s">
        <v>3600</v>
      </c>
      <c r="AC81" t="s">
        <v>3601</v>
      </c>
      <c r="AD81" t="s">
        <v>47</v>
      </c>
      <c r="AE81">
        <v>-3243496</v>
      </c>
      <c r="AF81" t="s">
        <v>2219</v>
      </c>
      <c r="AG81" t="s">
        <v>3602</v>
      </c>
      <c r="AH81" t="s">
        <v>2220</v>
      </c>
      <c r="AI81" t="s">
        <v>58</v>
      </c>
      <c r="AJ81" t="s">
        <v>2221</v>
      </c>
      <c r="AK81" t="s">
        <v>3603</v>
      </c>
      <c r="AL81" t="s">
        <v>2222</v>
      </c>
      <c r="AM81" t="s">
        <v>47</v>
      </c>
      <c r="AN81" t="s">
        <v>3604</v>
      </c>
      <c r="AO81" t="s">
        <v>1183</v>
      </c>
      <c r="AP81" t="s">
        <v>3605</v>
      </c>
      <c r="AQ81" t="s">
        <v>2235</v>
      </c>
      <c r="AR81" t="s">
        <v>47</v>
      </c>
      <c r="AS81" t="s">
        <v>1907</v>
      </c>
      <c r="AT81" t="s">
        <v>47</v>
      </c>
      <c r="AU81" t="s">
        <v>3606</v>
      </c>
      <c r="AV81" t="s">
        <v>806</v>
      </c>
      <c r="AW81" t="s">
        <v>3607</v>
      </c>
      <c r="AX81" t="s">
        <v>1422</v>
      </c>
      <c r="AY81" t="s">
        <v>990</v>
      </c>
      <c r="AZ81" t="s">
        <v>991</v>
      </c>
      <c r="BA81" t="s">
        <v>158</v>
      </c>
      <c r="BB81" t="s">
        <v>97</v>
      </c>
      <c r="BC81" t="s">
        <v>1423</v>
      </c>
      <c r="BD81" t="s">
        <v>355</v>
      </c>
      <c r="BE81" t="s">
        <v>992</v>
      </c>
      <c r="BF81" t="s">
        <v>993</v>
      </c>
      <c r="BG81" t="s">
        <v>994</v>
      </c>
      <c r="BH81" t="s">
        <v>270</v>
      </c>
      <c r="BI81" t="s">
        <v>68</v>
      </c>
      <c r="BJ81" t="s">
        <v>1422</v>
      </c>
      <c r="BK81" t="s">
        <v>212</v>
      </c>
      <c r="BL81" t="s">
        <v>3608</v>
      </c>
      <c r="BM81" t="s">
        <v>1423</v>
      </c>
      <c r="BN81">
        <v>1.96</v>
      </c>
      <c r="BO81">
        <v>75.11</v>
      </c>
      <c r="BP81">
        <v>43.1</v>
      </c>
      <c r="BQ81">
        <v>2.66</v>
      </c>
      <c r="BR81">
        <v>76.31</v>
      </c>
      <c r="BS81">
        <v>58.2</v>
      </c>
      <c r="BT81" t="s">
        <v>1324</v>
      </c>
      <c r="BU81" t="s">
        <v>1075</v>
      </c>
      <c r="BV81">
        <v>42.3</v>
      </c>
      <c r="BW81">
        <v>74.78</v>
      </c>
      <c r="BX81">
        <v>65.44</v>
      </c>
      <c r="BY81">
        <v>28</v>
      </c>
      <c r="BZ81">
        <v>49.37</v>
      </c>
      <c r="CA81">
        <v>46.47</v>
      </c>
      <c r="CB81">
        <v>0.03</v>
      </c>
      <c r="CC81">
        <v>-2.12</v>
      </c>
      <c r="CD81" t="s">
        <v>3609</v>
      </c>
      <c r="CE81" t="s">
        <v>3610</v>
      </c>
      <c r="CF81" s="8">
        <v>-0.37980769230769229</v>
      </c>
      <c r="CG81" s="9">
        <v>2.3403670126446134</v>
      </c>
      <c r="CH81" s="8">
        <v>-0.83230620622634888</v>
      </c>
      <c r="CI81" s="8">
        <v>2.8804283142089844</v>
      </c>
      <c r="CJ81" s="8">
        <v>0.32416662573814392</v>
      </c>
      <c r="CK81" s="8">
        <v>4.7142858505249023</v>
      </c>
      <c r="CL81" s="8">
        <v>0.28048780560493469</v>
      </c>
      <c r="CM81" s="9">
        <v>-0.94646960496902466</v>
      </c>
      <c r="CN81" s="9">
        <v>3.1204328536987305</v>
      </c>
      <c r="CO81" s="9">
        <v>0.13867488503456116</v>
      </c>
      <c r="CP81" s="9">
        <v>10.9139404296875</v>
      </c>
      <c r="CQ81" s="9">
        <v>0.63239985704421997</v>
      </c>
      <c r="CR81">
        <v>5.4861221374876985</v>
      </c>
      <c r="CS81">
        <v>3.7234122959551468E-2</v>
      </c>
      <c r="CT81">
        <v>1.1869436201780414</v>
      </c>
      <c r="CU81" s="8">
        <v>1.4734124779701232</v>
      </c>
      <c r="CV81" s="9">
        <v>2.7717956840991973</v>
      </c>
      <c r="CW81">
        <v>0.06</v>
      </c>
      <c r="CX81" t="s">
        <v>1584</v>
      </c>
      <c r="CY81">
        <v>380345503.68785858</v>
      </c>
      <c r="CZ81">
        <v>1.4734124779701232</v>
      </c>
      <c r="DA81" t="s">
        <v>1584</v>
      </c>
      <c r="DB81">
        <v>3095750800.3198752</v>
      </c>
      <c r="DC81">
        <v>1.3997418540716169</v>
      </c>
      <c r="DD81" t="s">
        <v>1584</v>
      </c>
      <c r="DE81">
        <v>31010200274.272301</v>
      </c>
      <c r="DF81">
        <v>1.2966029806137085</v>
      </c>
      <c r="DG81" t="s">
        <v>1584</v>
      </c>
      <c r="DH81">
        <v>426892334425.81464</v>
      </c>
      <c r="DI81">
        <v>1.1787299823760986</v>
      </c>
      <c r="DJ81" t="s">
        <v>1584</v>
      </c>
      <c r="DK81">
        <v>152170370042142.84</v>
      </c>
      <c r="DL81">
        <v>1.0313887345790862</v>
      </c>
      <c r="DM81">
        <v>163000000</v>
      </c>
      <c r="DN81">
        <v>1.4734124779701232</v>
      </c>
      <c r="DO81">
        <v>-208309500</v>
      </c>
      <c r="DP81">
        <v>4309654000</v>
      </c>
      <c r="DQ81">
        <v>4604</v>
      </c>
      <c r="DR81">
        <v>-1.8532201702778155</v>
      </c>
      <c r="DS81">
        <v>-0.43142867145458386</v>
      </c>
      <c r="DT81" s="10">
        <v>0.20333333333333314</v>
      </c>
      <c r="DU81">
        <v>1.1966666666666665</v>
      </c>
      <c r="DV81">
        <v>1.3999999999999997</v>
      </c>
      <c r="DW81">
        <v>-2.12E-2</v>
      </c>
      <c r="DX81">
        <v>0.33209757091205533</v>
      </c>
      <c r="DY81">
        <v>-2.8004685033355399E-3</v>
      </c>
      <c r="DZ81">
        <v>369</v>
      </c>
      <c r="EA81">
        <v>-2.5982428912551458E-3</v>
      </c>
      <c r="EB81">
        <v>0</v>
      </c>
      <c r="EC81">
        <v>1.0205944069301901E-2</v>
      </c>
      <c r="ED81">
        <v>7.7260649070501716E-2</v>
      </c>
      <c r="EE81" s="11">
        <v>3.0026000000000002</v>
      </c>
      <c r="EF81">
        <v>3.0110100000000002</v>
      </c>
      <c r="EG81">
        <v>20.132097570912055</v>
      </c>
      <c r="EH81" t="s">
        <v>1601</v>
      </c>
      <c r="EI81">
        <v>0</v>
      </c>
      <c r="EJ81">
        <v>1</v>
      </c>
      <c r="EK81" s="13">
        <v>45470</v>
      </c>
      <c r="EL81" s="14">
        <v>5.63</v>
      </c>
      <c r="EM81" s="14">
        <v>0.46</v>
      </c>
      <c r="EN81" s="14">
        <v>0.32</v>
      </c>
      <c r="EO81" s="14">
        <v>2.5499999999999998</v>
      </c>
      <c r="EP81" s="14">
        <v>-1.36</v>
      </c>
    </row>
    <row r="82" spans="1:146" ht="192" x14ac:dyDescent="0.25">
      <c r="A82" s="7" t="s">
        <v>1167</v>
      </c>
      <c r="B82" s="7" t="s">
        <v>883</v>
      </c>
      <c r="C82" s="7" t="str">
        <f>"公司的主营业务为医用骨科植入耗材的研发、生产与销售；公司的主要产品为脊柱类植入物和创伤类植入物。"&amp;CHAR(10)&amp;Basic_Fundamental_Information_Constructure(F82)&amp;CHAR(10)&amp;Basic_Fundamental_Information_Concatenate("脊柱类植入耗材 5.16亿 87.00% 87.57% 91.10%
有源设备 4653.75万 7.84% 7.66% 88.37%
创伤类植入耗材 2895.39万 4.88% 4.62% 85.77%")</f>
        <v>公司的主营业务为医用骨科植入耗材的研发、生产与销售；公司的主要产品为脊柱类植入物和创伤类植入物。
市值42.013493亿, 利润1.96亿; PE71.41; 平均PE29.59; 平均PEG.36, PB2.19; ROIC8.5267%; ROE8.6633%; 股利率.4613%; 毛利86.8767%; 净利29.6433%; 上一年度营收增278.27%, 利润增2.62%; 当季营收增-83.28%, 利润增-117.95%; 过往5年营收增81.88%, 利润增28.14%
Income profile:
脊柱类植入耗材 5.16亿 87.00% 87.57% 91.10%
有源设备 4653.75万 7.84% 7.66% 88.37%
创伤类植入耗材 2895.39万 4.88% 4.62% 85.77%</v>
      </c>
      <c r="D82" t="s">
        <v>715</v>
      </c>
      <c r="E82" t="s">
        <v>716</v>
      </c>
      <c r="F82">
        <v>16.91</v>
      </c>
      <c r="G82">
        <v>3.62</v>
      </c>
      <c r="H82" t="s">
        <v>3611</v>
      </c>
      <c r="I82">
        <v>4201349300</v>
      </c>
      <c r="J82">
        <v>71.41</v>
      </c>
      <c r="K82">
        <v>2.19</v>
      </c>
      <c r="L82" t="s">
        <v>40</v>
      </c>
      <c r="M82" t="s">
        <v>187</v>
      </c>
      <c r="N82" t="s">
        <v>3612</v>
      </c>
      <c r="O82" t="s">
        <v>2226</v>
      </c>
      <c r="P82">
        <v>-46.26</v>
      </c>
      <c r="Q82" t="s">
        <v>3613</v>
      </c>
      <c r="R82">
        <v>-2095834</v>
      </c>
      <c r="S82" s="3">
        <v>-1.06</v>
      </c>
      <c r="T82" t="s">
        <v>765</v>
      </c>
      <c r="U82">
        <v>248453540</v>
      </c>
      <c r="V82">
        <v>248453540</v>
      </c>
      <c r="W82">
        <v>1.1299999999999999</v>
      </c>
      <c r="X82">
        <v>0.04</v>
      </c>
      <c r="Y82">
        <v>-4.47</v>
      </c>
      <c r="Z82" t="s">
        <v>3614</v>
      </c>
      <c r="AA82" t="s">
        <v>3615</v>
      </c>
      <c r="AB82" t="s">
        <v>3616</v>
      </c>
      <c r="AC82" t="s">
        <v>3617</v>
      </c>
      <c r="AD82" t="s">
        <v>47</v>
      </c>
      <c r="AE82">
        <v>-3914764</v>
      </c>
      <c r="AF82" t="s">
        <v>2228</v>
      </c>
      <c r="AG82" t="s">
        <v>3618</v>
      </c>
      <c r="AH82" t="s">
        <v>2229</v>
      </c>
      <c r="AI82" t="s">
        <v>1381</v>
      </c>
      <c r="AJ82" t="s">
        <v>2230</v>
      </c>
      <c r="AK82" t="s">
        <v>47</v>
      </c>
      <c r="AL82" t="s">
        <v>2231</v>
      </c>
      <c r="AM82" t="s">
        <v>47</v>
      </c>
      <c r="AN82" t="s">
        <v>3619</v>
      </c>
      <c r="AO82" t="s">
        <v>3620</v>
      </c>
      <c r="AP82" t="s">
        <v>47</v>
      </c>
      <c r="AQ82" t="s">
        <v>3621</v>
      </c>
      <c r="AR82" t="s">
        <v>47</v>
      </c>
      <c r="AS82" t="s">
        <v>1511</v>
      </c>
      <c r="AT82" t="s">
        <v>3622</v>
      </c>
      <c r="AU82" t="s">
        <v>3623</v>
      </c>
      <c r="AV82" t="s">
        <v>3624</v>
      </c>
      <c r="AW82" t="s">
        <v>3625</v>
      </c>
      <c r="AX82" t="s">
        <v>992</v>
      </c>
      <c r="AY82" t="s">
        <v>144</v>
      </c>
      <c r="AZ82" t="s">
        <v>717</v>
      </c>
      <c r="BA82" t="s">
        <v>718</v>
      </c>
      <c r="BB82" t="s">
        <v>316</v>
      </c>
      <c r="BC82" t="s">
        <v>451</v>
      </c>
      <c r="BD82" t="s">
        <v>90</v>
      </c>
      <c r="BE82" t="s">
        <v>155</v>
      </c>
      <c r="BF82" t="s">
        <v>719</v>
      </c>
      <c r="BG82" t="s">
        <v>720</v>
      </c>
      <c r="BH82" t="s">
        <v>343</v>
      </c>
      <c r="BI82" t="s">
        <v>3626</v>
      </c>
      <c r="BJ82" t="s">
        <v>992</v>
      </c>
      <c r="BK82" t="s">
        <v>2227</v>
      </c>
      <c r="BL82" t="s">
        <v>3627</v>
      </c>
      <c r="BM82" t="s">
        <v>451</v>
      </c>
      <c r="BN82">
        <v>3.36</v>
      </c>
      <c r="BO82">
        <v>10.72</v>
      </c>
      <c r="BP82">
        <v>11.5</v>
      </c>
      <c r="BQ82">
        <v>3.55</v>
      </c>
      <c r="BR82">
        <v>10.84</v>
      </c>
      <c r="BS82">
        <v>11.6</v>
      </c>
      <c r="BT82" t="s">
        <v>2232</v>
      </c>
      <c r="BU82" t="s">
        <v>1079</v>
      </c>
      <c r="BV82">
        <v>79.95</v>
      </c>
      <c r="BW82">
        <v>90.18</v>
      </c>
      <c r="BX82">
        <v>90.5</v>
      </c>
      <c r="BY82">
        <v>24.68</v>
      </c>
      <c r="BZ82">
        <v>31.36</v>
      </c>
      <c r="CA82">
        <v>32.89</v>
      </c>
      <c r="CB82">
        <v>0.06</v>
      </c>
      <c r="CC82">
        <v>-2.6</v>
      </c>
      <c r="CD82" t="s">
        <v>3628</v>
      </c>
      <c r="CE82" t="s">
        <v>3629</v>
      </c>
      <c r="CF82" s="8">
        <v>-0.83282533849129592</v>
      </c>
      <c r="CG82" s="9">
        <v>-1.1795131519216109</v>
      </c>
      <c r="CH82" s="8">
        <v>2.782742977142334</v>
      </c>
      <c r="CI82" s="8">
        <v>9.4435073435306549E-2</v>
      </c>
      <c r="CJ82" s="8">
        <v>0.52051281929016113</v>
      </c>
      <c r="CK82" s="8">
        <v>0.10169491171836853</v>
      </c>
      <c r="CL82" s="8">
        <v>0.59459459781646729</v>
      </c>
      <c r="CM82" s="9">
        <v>2.6178009808063507E-2</v>
      </c>
      <c r="CN82" s="9">
        <v>2.6881720870733261E-2</v>
      </c>
      <c r="CO82" s="9">
        <v>0.56302523612976074</v>
      </c>
      <c r="CP82" s="9">
        <v>0.21654003858566284</v>
      </c>
      <c r="CQ82" s="9">
        <v>0.57422745227813721</v>
      </c>
      <c r="CR82">
        <v>29.588501891764807</v>
      </c>
      <c r="CS82">
        <v>0.36136594645920284</v>
      </c>
      <c r="CT82">
        <v>0.46126552335895921</v>
      </c>
      <c r="CU82" s="8">
        <v>0.8187960758805275</v>
      </c>
      <c r="CV82" s="9">
        <v>0.28137049153447152</v>
      </c>
      <c r="CW82">
        <v>0.06</v>
      </c>
      <c r="CX82">
        <v>7.048198629963478</v>
      </c>
      <c r="CY82">
        <v>336305689.50243711</v>
      </c>
      <c r="CZ82">
        <v>0.8187960758805275</v>
      </c>
      <c r="DA82">
        <v>1.313316664510414</v>
      </c>
      <c r="DB82">
        <v>1804857399.6307533</v>
      </c>
      <c r="DC82">
        <v>0.7778562720865011</v>
      </c>
      <c r="DD82">
        <v>0.26857075380552098</v>
      </c>
      <c r="DE82">
        <v>8825790844.3613758</v>
      </c>
      <c r="DF82">
        <v>0.72054054677486423</v>
      </c>
      <c r="DG82">
        <v>5.1091404120455056E-2</v>
      </c>
      <c r="DH82">
        <v>46394287665.525368</v>
      </c>
      <c r="DI82">
        <v>0.65503686070442202</v>
      </c>
      <c r="DJ82">
        <v>1.4684893983065773E-3</v>
      </c>
      <c r="DK82">
        <v>1614141241151.229</v>
      </c>
      <c r="DL82">
        <v>0.57315725311636923</v>
      </c>
      <c r="DM82">
        <v>196000000</v>
      </c>
      <c r="DN82">
        <v>0.8187960758805275</v>
      </c>
      <c r="DO82">
        <v>2370349300</v>
      </c>
      <c r="DP82">
        <v>733516970</v>
      </c>
      <c r="DQ82">
        <v>4614</v>
      </c>
      <c r="DR82">
        <v>-1.6516214143718235</v>
      </c>
      <c r="DS82">
        <v>-1.4608836434560823</v>
      </c>
      <c r="DT82" s="10">
        <v>9.3333333333333268E-2</v>
      </c>
      <c r="DU82">
        <v>-0.54833333333333345</v>
      </c>
      <c r="DV82">
        <v>-0.45500000000000018</v>
      </c>
      <c r="DW82">
        <v>-1.026</v>
      </c>
      <c r="DX82">
        <v>0.40444086321772715</v>
      </c>
      <c r="DY82">
        <v>-1.002455462443661</v>
      </c>
      <c r="DZ82">
        <v>1120</v>
      </c>
      <c r="EA82">
        <v>-1.0019172788943655</v>
      </c>
      <c r="EB82">
        <v>1</v>
      </c>
      <c r="EC82">
        <v>1.4564896116996361E-2</v>
      </c>
      <c r="ED82">
        <v>0.15422239506025956</v>
      </c>
      <c r="EE82" s="11">
        <v>1.0375099999999999</v>
      </c>
      <c r="EF82">
        <v>1.0724100000000001</v>
      </c>
      <c r="EG82">
        <v>31.094440863217727</v>
      </c>
      <c r="EH82" t="s">
        <v>1228</v>
      </c>
      <c r="EI82">
        <v>0</v>
      </c>
      <c r="EJ82">
        <v>1</v>
      </c>
      <c r="EK82" s="13">
        <v>45470</v>
      </c>
      <c r="EL82" s="14">
        <v>1.1299999999999999</v>
      </c>
      <c r="EM82" s="14">
        <v>-3.34</v>
      </c>
      <c r="EN82" s="14">
        <v>-0.15</v>
      </c>
      <c r="EO82" s="14">
        <v>2.38</v>
      </c>
      <c r="EP82" s="14">
        <v>-3.49</v>
      </c>
    </row>
    <row r="83" spans="1:146" ht="96" x14ac:dyDescent="0.25">
      <c r="A83" s="7"/>
      <c r="B83" s="7"/>
      <c r="C83" s="7" t="str">
        <f>""&amp;CHAR(10)&amp;Basic_Fundamental_Information_Constructure(F83)&amp;CHAR(10)&amp;Basic_Fundamental_Information_Concatenate("")</f>
        <v xml:space="preserve">
市值37.293731亿, 利润1242.93万; PE; 平均PE-283.78; 平均PEG-19.06, PB4.5; ROIC0%; ROE-12.37%; 股利率0%; 毛利65.29%; 净利-56.69%; 上一年度营收增125.91%, 利润增107.67%; 当季营收增53.31%, 利润增118.2%; 过往5年营收增14.89%, 利润增-134.49%
Income profile:
</v>
      </c>
      <c r="D83" t="s">
        <v>721</v>
      </c>
      <c r="E83" t="s">
        <v>722</v>
      </c>
      <c r="F83">
        <v>9.02</v>
      </c>
      <c r="G83">
        <v>5.25</v>
      </c>
      <c r="H83" t="s">
        <v>3630</v>
      </c>
      <c r="I83">
        <v>3729373100</v>
      </c>
      <c r="K83">
        <v>4.5</v>
      </c>
      <c r="L83" t="s">
        <v>40</v>
      </c>
      <c r="M83" t="s">
        <v>262</v>
      </c>
      <c r="N83" t="s">
        <v>3631</v>
      </c>
      <c r="O83" t="s">
        <v>2233</v>
      </c>
      <c r="P83">
        <v>24.46</v>
      </c>
      <c r="Q83" t="s">
        <v>725</v>
      </c>
      <c r="R83">
        <v>2498600</v>
      </c>
      <c r="S83" s="3">
        <v>1.1539999999999999</v>
      </c>
      <c r="T83" t="s">
        <v>3632</v>
      </c>
      <c r="U83">
        <v>413456000</v>
      </c>
      <c r="V83">
        <v>413456000</v>
      </c>
      <c r="W83">
        <v>1.44</v>
      </c>
      <c r="X83">
        <v>7.0000000000000007E-2</v>
      </c>
      <c r="Y83">
        <v>6.48</v>
      </c>
      <c r="Z83" t="s">
        <v>340</v>
      </c>
      <c r="AA83" t="s">
        <v>3633</v>
      </c>
      <c r="AB83" t="s">
        <v>3634</v>
      </c>
      <c r="AC83" t="s">
        <v>3635</v>
      </c>
      <c r="AD83" t="s">
        <v>47</v>
      </c>
      <c r="AE83">
        <v>1014005</v>
      </c>
      <c r="AF83" t="s">
        <v>2236</v>
      </c>
      <c r="AG83" t="s">
        <v>3636</v>
      </c>
      <c r="AH83" t="s">
        <v>2237</v>
      </c>
      <c r="AI83" t="s">
        <v>204</v>
      </c>
      <c r="AJ83" t="s">
        <v>2238</v>
      </c>
      <c r="AK83" t="s">
        <v>47</v>
      </c>
      <c r="AL83" t="s">
        <v>2239</v>
      </c>
      <c r="AM83" t="s">
        <v>47</v>
      </c>
      <c r="AN83" t="s">
        <v>3637</v>
      </c>
      <c r="AO83" t="s">
        <v>3638</v>
      </c>
      <c r="AP83" t="s">
        <v>47</v>
      </c>
      <c r="AQ83" t="s">
        <v>3639</v>
      </c>
      <c r="AR83" t="s">
        <v>47</v>
      </c>
      <c r="AS83" t="s">
        <v>78</v>
      </c>
      <c r="AT83" t="s">
        <v>3640</v>
      </c>
      <c r="AU83" t="s">
        <v>3641</v>
      </c>
      <c r="AV83" t="s">
        <v>3642</v>
      </c>
      <c r="AW83" t="s">
        <v>3643</v>
      </c>
      <c r="AX83" t="s">
        <v>71</v>
      </c>
      <c r="AY83" t="s">
        <v>580</v>
      </c>
      <c r="AZ83" t="s">
        <v>723</v>
      </c>
      <c r="BA83" t="s">
        <v>725</v>
      </c>
      <c r="BB83" t="s">
        <v>532</v>
      </c>
      <c r="BC83" t="s">
        <v>1187</v>
      </c>
      <c r="BD83" t="s">
        <v>995</v>
      </c>
      <c r="BE83" t="s">
        <v>724</v>
      </c>
      <c r="BF83" t="s">
        <v>727</v>
      </c>
      <c r="BG83" t="s">
        <v>728</v>
      </c>
      <c r="BH83" t="s">
        <v>1526</v>
      </c>
      <c r="BI83" t="s">
        <v>3644</v>
      </c>
      <c r="BJ83" t="s">
        <v>71</v>
      </c>
      <c r="BK83" t="s">
        <v>2234</v>
      </c>
      <c r="BL83" t="s">
        <v>3645</v>
      </c>
      <c r="BM83" t="s">
        <v>1187</v>
      </c>
      <c r="BN83" t="s">
        <v>47</v>
      </c>
      <c r="BO83" t="s">
        <v>47</v>
      </c>
      <c r="BP83" t="s">
        <v>47</v>
      </c>
      <c r="BQ83">
        <v>-5.0199999999999996</v>
      </c>
      <c r="BR83">
        <v>-19.010000000000002</v>
      </c>
      <c r="BS83">
        <v>-13.08</v>
      </c>
      <c r="BT83" t="s">
        <v>1208</v>
      </c>
      <c r="BU83" t="s">
        <v>1079</v>
      </c>
      <c r="BV83">
        <v>58.92</v>
      </c>
      <c r="BW83">
        <v>63.12</v>
      </c>
      <c r="BX83">
        <v>73.83</v>
      </c>
      <c r="BY83">
        <v>-12.64</v>
      </c>
      <c r="BZ83">
        <v>-89.87</v>
      </c>
      <c r="CA83">
        <v>-67.56</v>
      </c>
      <c r="CB83">
        <v>0.89</v>
      </c>
      <c r="CC83">
        <v>-22.31</v>
      </c>
      <c r="CD83" t="s">
        <v>3646</v>
      </c>
      <c r="CE83" t="s">
        <v>143</v>
      </c>
      <c r="CF83" s="8">
        <v>0.53311525310158236</v>
      </c>
      <c r="CG83" s="9">
        <v>1.1820314435167782</v>
      </c>
      <c r="CH83" s="8">
        <v>1.2590674161911011</v>
      </c>
      <c r="CI83" s="8">
        <v>-5.1546390168368816E-3</v>
      </c>
      <c r="CJ83" s="8">
        <v>-0.40672782063484192</v>
      </c>
      <c r="CK83" s="8">
        <v>-0.25</v>
      </c>
      <c r="CL83" s="8">
        <v>0.1473684161901474</v>
      </c>
      <c r="CM83" s="9">
        <v>1.0767240524291992</v>
      </c>
      <c r="CN83" s="9">
        <v>-0.23664122819900513</v>
      </c>
      <c r="CO83" s="9">
        <v>-6.8239822387695313</v>
      </c>
      <c r="CP83" s="9">
        <v>-0.75018048286437988</v>
      </c>
      <c r="CQ83" s="9">
        <v>9.5010222867131233E-3</v>
      </c>
      <c r="CR83">
        <v>-283.78487316945115</v>
      </c>
      <c r="CS83">
        <v>-19.057389541402632</v>
      </c>
      <c r="CT83">
        <v>0</v>
      </c>
      <c r="CU83" s="8">
        <v>0.14891067454591395</v>
      </c>
      <c r="CV83" s="9">
        <v>-1.3449157750234009</v>
      </c>
      <c r="CW83">
        <v>0.06</v>
      </c>
      <c r="CX83">
        <v>234.59096775255682</v>
      </c>
      <c r="CY83">
        <v>13471844.761446724</v>
      </c>
      <c r="CZ83">
        <v>0.14891067454591395</v>
      </c>
      <c r="DA83">
        <v>72.9564256290234</v>
      </c>
      <c r="DB83">
        <v>43318639.485851482</v>
      </c>
      <c r="DC83">
        <v>0.14146514081861825</v>
      </c>
      <c r="DD83">
        <v>33.564059370596055</v>
      </c>
      <c r="DE83">
        <v>94159441.952622056</v>
      </c>
      <c r="DF83">
        <v>0.13104139360040426</v>
      </c>
      <c r="DG83">
        <v>18.636683876172803</v>
      </c>
      <c r="DH83">
        <v>169578081.64791432</v>
      </c>
      <c r="DI83">
        <v>0.11912853963673116</v>
      </c>
      <c r="DJ83">
        <v>8.0503397539720023</v>
      </c>
      <c r="DK83">
        <v>392576362.81011438</v>
      </c>
      <c r="DL83">
        <v>0.10423747218213976</v>
      </c>
      <c r="DM83">
        <v>12429300</v>
      </c>
      <c r="DN83">
        <v>0.14891067454591395</v>
      </c>
      <c r="DO83">
        <v>3160373100</v>
      </c>
      <c r="DP83">
        <v>209529370</v>
      </c>
      <c r="DQ83">
        <v>4634</v>
      </c>
      <c r="DR83">
        <v>0.38420457855566842</v>
      </c>
      <c r="DS83">
        <v>2.5269472185401791</v>
      </c>
      <c r="DT83" s="10">
        <v>-0.35666666666666669</v>
      </c>
      <c r="DU83">
        <v>-1.59</v>
      </c>
      <c r="DV83">
        <v>-1.9466666666666668</v>
      </c>
      <c r="DW83">
        <v>-3.071363095238095</v>
      </c>
      <c r="DX83">
        <v>0.43351172839506064</v>
      </c>
      <c r="DY83">
        <v>-3.0081005482840975</v>
      </c>
      <c r="DZ83">
        <v>3405</v>
      </c>
      <c r="EA83">
        <v>-3.0027028248188623</v>
      </c>
      <c r="EB83">
        <v>3</v>
      </c>
      <c r="EC83">
        <v>4.4476074842304862E-2</v>
      </c>
      <c r="ED83">
        <v>0.39181920204326459</v>
      </c>
      <c r="EE83" s="11">
        <v>-1.1068</v>
      </c>
      <c r="EF83">
        <v>-1.1112</v>
      </c>
      <c r="EG83">
        <v>32.113511728395061</v>
      </c>
      <c r="EH83" t="s">
        <v>1040</v>
      </c>
      <c r="EI83">
        <v>0</v>
      </c>
      <c r="EJ83">
        <v>0</v>
      </c>
      <c r="EK83" s="13">
        <v>45470</v>
      </c>
      <c r="EL83" s="14">
        <v>-0.98</v>
      </c>
      <c r="EM83" s="14">
        <v>-3.4</v>
      </c>
      <c r="EN83" s="14">
        <v>0.36</v>
      </c>
      <c r="EO83" s="14">
        <v>8.2100000000000009</v>
      </c>
      <c r="EP83" s="14">
        <v>0.44</v>
      </c>
    </row>
    <row r="84" spans="1:146" ht="180" x14ac:dyDescent="0.25">
      <c r="A84" s="7" t="s">
        <v>1471</v>
      </c>
      <c r="B84" s="7"/>
      <c r="C84" s="7" t="str">
        <f>"公司主营业务为基因测序仪及实验室自动化业务相关仪器设备、试剂耗材等生命科学与生物技术领域产品的研发、生产和销售。主要产品有基因测序仪及配套设备、测序配套试剂、数据处理系统、售后维保服务和产品技术支持服务、自动化样本处理系统、实验室自动化流水线、样本处理试剂耗材、细胞组学解决方案、远程超声机器人、BIT产品。"&amp;CHAR(10)&amp;Basic_Fundamental_Information_Constructure(F84)&amp;CHAR(10)&amp;Basic_Fundamental_Information_Concatenate("基因测序仪业务 17.58亿 41.56% 47.07% 60.69%
实验室自动化 12.48亿 29.51% 35.75% 64.91%
新业务及其他 12.00亿 28.37% 16.62% 31.39%")</f>
        <v>公司主营业务为基因测序仪及实验室自动化业务相关仪器设备、试剂耗材等生命科学与生物技术领域产品的研发、生产和销售。主要产品有基因测序仪及配套设备、测序配套试剂、数据处理系统、售后维保服务和产品技术支持服务、自动化样本处理系统、实验室自动化流水线、样本处理试剂耗材、细胞组学解决方案、远程超声机器人、BIT产品。
市值189.11512亿, 利润898.44万; PE; 平均PE42.64; 平均PEG1.99, PB2.28; ROIC20.11%; ROE14.6633%; 股利率0%; 毛利59.83%; 净利13.0233%; 上一年度营收增-96.03%, 利润增-99.56%; 当季营收增1600.38%, 利润增-1865.51%; 过往5年营收增21.45%, 利润增43.25%
Income profile:
基因测序仪业务 17.58亿 41.56% 47.07% 60.69%
实验室自动化 12.48亿 29.51% 35.75% 64.91%
新业务及其他 12.00亿 28.37% 16.62% 31.39%</v>
      </c>
      <c r="D84" t="s">
        <v>1108</v>
      </c>
      <c r="E84" t="s">
        <v>1157</v>
      </c>
      <c r="F84">
        <v>45.5</v>
      </c>
      <c r="G84">
        <v>4.07</v>
      </c>
      <c r="H84" t="s">
        <v>3647</v>
      </c>
      <c r="I84">
        <v>18911512000</v>
      </c>
      <c r="K84">
        <v>2.2799999999999998</v>
      </c>
      <c r="L84" t="s">
        <v>40</v>
      </c>
      <c r="M84" t="s">
        <v>1572</v>
      </c>
      <c r="N84" t="s">
        <v>3648</v>
      </c>
      <c r="O84" t="s">
        <v>417</v>
      </c>
      <c r="P84">
        <v>-14.26</v>
      </c>
      <c r="Q84" t="s">
        <v>1497</v>
      </c>
      <c r="R84">
        <v>-200985600</v>
      </c>
      <c r="S84">
        <v>-0.34150000000000003</v>
      </c>
      <c r="T84" t="s">
        <v>3649</v>
      </c>
      <c r="U84">
        <v>211785440</v>
      </c>
      <c r="V84">
        <v>415637620</v>
      </c>
      <c r="W84">
        <v>1.2</v>
      </c>
      <c r="X84">
        <v>0.05</v>
      </c>
      <c r="Y84">
        <v>-38.11</v>
      </c>
      <c r="Z84" t="s">
        <v>102</v>
      </c>
      <c r="AA84" t="s">
        <v>129</v>
      </c>
      <c r="AB84" t="s">
        <v>119</v>
      </c>
      <c r="AC84" t="s">
        <v>941</v>
      </c>
      <c r="AD84" t="s">
        <v>47</v>
      </c>
      <c r="AE84">
        <v>7703403</v>
      </c>
      <c r="AF84" t="s">
        <v>2243</v>
      </c>
      <c r="AG84" t="s">
        <v>3650</v>
      </c>
      <c r="AH84" t="s">
        <v>2244</v>
      </c>
      <c r="AI84" t="s">
        <v>3651</v>
      </c>
      <c r="AJ84" t="s">
        <v>2245</v>
      </c>
      <c r="AK84" t="s">
        <v>3652</v>
      </c>
      <c r="AL84" t="s">
        <v>2246</v>
      </c>
      <c r="AM84" t="s">
        <v>47</v>
      </c>
      <c r="AN84" t="s">
        <v>441</v>
      </c>
      <c r="AO84" t="s">
        <v>345</v>
      </c>
      <c r="AP84" t="s">
        <v>3653</v>
      </c>
      <c r="AQ84" t="s">
        <v>895</v>
      </c>
      <c r="AR84" t="s">
        <v>47</v>
      </c>
      <c r="AS84" t="s">
        <v>2385</v>
      </c>
      <c r="AT84" t="s">
        <v>161</v>
      </c>
      <c r="AU84" t="s">
        <v>3654</v>
      </c>
      <c r="AV84" t="s">
        <v>3655</v>
      </c>
      <c r="AW84" t="s">
        <v>3656</v>
      </c>
      <c r="AX84" t="s">
        <v>1424</v>
      </c>
      <c r="AY84" t="s">
        <v>1109</v>
      </c>
      <c r="AZ84" t="s">
        <v>1110</v>
      </c>
      <c r="BA84" t="s">
        <v>919</v>
      </c>
      <c r="BB84" t="s">
        <v>1111</v>
      </c>
      <c r="BC84" t="s">
        <v>1425</v>
      </c>
      <c r="BD84" t="s">
        <v>711</v>
      </c>
      <c r="BE84" t="s">
        <v>696</v>
      </c>
      <c r="BF84" t="s">
        <v>1112</v>
      </c>
      <c r="BG84" t="s">
        <v>286</v>
      </c>
      <c r="BH84" t="s">
        <v>2241</v>
      </c>
      <c r="BI84" t="s">
        <v>3657</v>
      </c>
      <c r="BJ84" t="s">
        <v>1424</v>
      </c>
      <c r="BK84" t="s">
        <v>2242</v>
      </c>
      <c r="BL84" t="s">
        <v>3658</v>
      </c>
      <c r="BM84" t="s">
        <v>1425</v>
      </c>
      <c r="BN84" t="s">
        <v>47</v>
      </c>
      <c r="BO84">
        <v>28.96</v>
      </c>
      <c r="BP84">
        <v>11.26</v>
      </c>
      <c r="BQ84">
        <v>-2.12</v>
      </c>
      <c r="BR84">
        <v>33.33</v>
      </c>
      <c r="BS84">
        <v>12.78</v>
      </c>
      <c r="BT84" t="s">
        <v>1208</v>
      </c>
      <c r="BU84" t="s">
        <v>1032</v>
      </c>
      <c r="BV84">
        <v>59.47</v>
      </c>
      <c r="BW84">
        <v>53.58</v>
      </c>
      <c r="BX84">
        <v>66.44</v>
      </c>
      <c r="BY84">
        <v>-20.86</v>
      </c>
      <c r="BZ84">
        <v>47.82</v>
      </c>
      <c r="CA84">
        <v>12.11</v>
      </c>
      <c r="CB84">
        <v>-4.03</v>
      </c>
      <c r="CC84">
        <v>-14.7</v>
      </c>
      <c r="CD84" t="s">
        <v>3659</v>
      </c>
      <c r="CE84" t="s">
        <v>3660</v>
      </c>
      <c r="CF84" s="8">
        <v>16.003807443889034</v>
      </c>
      <c r="CG84" s="9">
        <v>-18.655140040682209</v>
      </c>
      <c r="CH84" s="8">
        <v>-0.96029305458068848</v>
      </c>
      <c r="CI84" s="8">
        <v>7.6864376664161682E-2</v>
      </c>
      <c r="CJ84" s="8">
        <v>0.41330933570861816</v>
      </c>
      <c r="CK84" s="8">
        <v>1.5481208562850952</v>
      </c>
      <c r="CL84" s="8">
        <v>-5.4693459533154964E-3</v>
      </c>
      <c r="CM84" s="9">
        <v>-0.99556541442871094</v>
      </c>
      <c r="CN84" s="9">
        <v>3.1859505176544189</v>
      </c>
      <c r="CO84" s="9">
        <v>0.85440611839294434</v>
      </c>
      <c r="CP84" s="9">
        <v>2.0696721076965332</v>
      </c>
      <c r="CQ84" s="9">
        <v>-2.9519999027252197</v>
      </c>
      <c r="CR84">
        <v>42.641765205387898</v>
      </c>
      <c r="CS84">
        <v>1.98790145753759</v>
      </c>
      <c r="CT84">
        <v>0</v>
      </c>
      <c r="CU84" s="8">
        <v>0.21450643362477423</v>
      </c>
      <c r="CV84" s="9">
        <v>0.43249268531799318</v>
      </c>
      <c r="CW84">
        <v>0.06</v>
      </c>
      <c r="CX84">
        <v>1210.0781443931833</v>
      </c>
      <c r="CY84">
        <v>10293973.209677756</v>
      </c>
      <c r="CZ84">
        <v>0.21450643362477423</v>
      </c>
      <c r="DA84">
        <v>356.42136379154681</v>
      </c>
      <c r="DB84">
        <v>34948836.589058101</v>
      </c>
      <c r="DC84">
        <v>0.20378111194353551</v>
      </c>
      <c r="DD84">
        <v>151.77444459719183</v>
      </c>
      <c r="DE84">
        <v>82072525.668332919</v>
      </c>
      <c r="DF84">
        <v>0.18876566158980132</v>
      </c>
      <c r="DG84">
        <v>76.734225625167369</v>
      </c>
      <c r="DH84">
        <v>162333194.84903356</v>
      </c>
      <c r="DI84">
        <v>0.1716051468998194</v>
      </c>
      <c r="DJ84">
        <v>26.397875595024676</v>
      </c>
      <c r="DK84">
        <v>471875547.52882212</v>
      </c>
      <c r="DL84">
        <v>0.15015450353734194</v>
      </c>
      <c r="DM84">
        <v>8984400</v>
      </c>
      <c r="DN84">
        <v>0.21450643362477423</v>
      </c>
      <c r="DO84">
        <v>12456512000</v>
      </c>
      <c r="DP84">
        <v>5142425000</v>
      </c>
      <c r="DQ84">
        <v>4640</v>
      </c>
      <c r="DR84">
        <v>15.789301010264261</v>
      </c>
      <c r="DS84">
        <v>-19.087632726000201</v>
      </c>
      <c r="DT84" s="10">
        <v>-0.40666666666666668</v>
      </c>
      <c r="DU84">
        <v>-0.82500000000000007</v>
      </c>
      <c r="DV84">
        <v>-1.2316666666666667</v>
      </c>
      <c r="DW84">
        <v>-8.2741496598639461</v>
      </c>
      <c r="DX84">
        <v>0.41865524554985756</v>
      </c>
      <c r="DY84">
        <v>-8.040753785004485</v>
      </c>
      <c r="DZ84">
        <v>3211</v>
      </c>
      <c r="EA84">
        <v>-8.0151450954449146</v>
      </c>
      <c r="EB84">
        <v>8</v>
      </c>
      <c r="EC84">
        <v>1.7217161430190076E-2</v>
      </c>
      <c r="ED84">
        <v>0.11581940056340424</v>
      </c>
      <c r="EE84" s="11">
        <v>-4.0550100000000002</v>
      </c>
      <c r="EF84">
        <v>-4.10311</v>
      </c>
      <c r="EG84">
        <v>27.148655245549858</v>
      </c>
      <c r="EH84" t="s">
        <v>1585</v>
      </c>
      <c r="EI84">
        <v>0</v>
      </c>
      <c r="EJ84">
        <v>0</v>
      </c>
      <c r="EK84" s="13">
        <v>45470</v>
      </c>
      <c r="EL84" s="14">
        <v>-0.71</v>
      </c>
      <c r="EM84" s="14">
        <v>-5.48</v>
      </c>
      <c r="EN84" s="14">
        <v>2.56</v>
      </c>
      <c r="EO84" s="14">
        <v>-0.82</v>
      </c>
      <c r="EP84" s="14">
        <v>-4.8099999999999996</v>
      </c>
    </row>
    <row r="85" spans="1:146" ht="132" x14ac:dyDescent="0.25">
      <c r="A85" s="7" t="s">
        <v>1605</v>
      </c>
      <c r="B85" s="7" t="s">
        <v>1604</v>
      </c>
      <c r="C85" s="7" t="str">
        <f>"公司主要从事生物医疗低温存储设备的研发、生产和销售，是基于物联网转型的生命科学与医疗创新数字化场景方案服务商。公司主要业务涵盖生命科学和医疗创新两大领域"&amp;CHAR(10)&amp;Basic_Fundamental_Information_Constructure(F85)&amp;CHAR(10)&amp;Basic_Fundamental_Information_Concatenate("医疗创新 12.41亿 54.41% 6.08亿 52.67% 49.01%
生命科学 10.31亿 45.18% 5.41亿 46.87% 52.53%")</f>
        <v>公司主要从事生物医疗低温存储设备的研发、生产和销售，是基于物联网转型的生命科学与医疗创新数字化场景方案服务商。公司主要业务涵盖生命科学和医疗创新两大领域
市值112.428007亿, 利润-5.31亿; PE27.68; 平均PE42.37; 平均PEG2.34, PB2.59; ROIC16.2733%; ROE17.11%; 股利率1.4564%; 毛利49.6433%; 净利26.46%; 上一年度营收增-54.71%, 利润增-188.35%; 当季营收增127.48%, 利润增340.86%; 过往5年营收增18.07%, 利润增14.71%
Income profile:
医疗创新 12.41亿 54.41% 6.08亿 52.67% 49.01%
生命科学 10.31亿 45.18% 5.41亿 46.87% 52.53%</v>
      </c>
      <c r="D85" t="s">
        <v>729</v>
      </c>
      <c r="E85" t="s">
        <v>730</v>
      </c>
      <c r="F85">
        <v>35.36</v>
      </c>
      <c r="G85">
        <v>2.2000000000000002</v>
      </c>
      <c r="H85" t="s">
        <v>3661</v>
      </c>
      <c r="I85">
        <v>11242800700</v>
      </c>
      <c r="J85">
        <v>27.68</v>
      </c>
      <c r="K85">
        <v>2.59</v>
      </c>
      <c r="L85" t="s">
        <v>40</v>
      </c>
      <c r="M85" t="s">
        <v>2010</v>
      </c>
      <c r="N85" t="s">
        <v>3662</v>
      </c>
      <c r="O85" t="s">
        <v>1374</v>
      </c>
      <c r="P85">
        <v>0.04</v>
      </c>
      <c r="Q85" t="s">
        <v>3663</v>
      </c>
      <c r="R85">
        <v>137614700</v>
      </c>
      <c r="S85" s="3">
        <v>5.8E-4</v>
      </c>
      <c r="T85" t="s">
        <v>3664</v>
      </c>
      <c r="U85">
        <v>317952510</v>
      </c>
      <c r="V85">
        <v>317952510</v>
      </c>
      <c r="W85">
        <v>1.25</v>
      </c>
      <c r="X85">
        <v>0.12</v>
      </c>
      <c r="Y85">
        <v>20.65</v>
      </c>
      <c r="Z85" t="s">
        <v>2188</v>
      </c>
      <c r="AA85" t="s">
        <v>305</v>
      </c>
      <c r="AB85" t="s">
        <v>3665</v>
      </c>
      <c r="AC85" t="s">
        <v>3666</v>
      </c>
      <c r="AD85" t="s">
        <v>47</v>
      </c>
      <c r="AE85">
        <v>-12003967</v>
      </c>
      <c r="AF85" t="s">
        <v>2248</v>
      </c>
      <c r="AG85" t="s">
        <v>3667</v>
      </c>
      <c r="AH85" t="s">
        <v>2249</v>
      </c>
      <c r="AI85" t="s">
        <v>3668</v>
      </c>
      <c r="AJ85" t="s">
        <v>2250</v>
      </c>
      <c r="AK85" t="s">
        <v>3669</v>
      </c>
      <c r="AL85" t="s">
        <v>2251</v>
      </c>
      <c r="AM85" t="s">
        <v>47</v>
      </c>
      <c r="AN85" t="s">
        <v>3670</v>
      </c>
      <c r="AO85" t="s">
        <v>3671</v>
      </c>
      <c r="AP85" t="s">
        <v>174</v>
      </c>
      <c r="AQ85" t="s">
        <v>3063</v>
      </c>
      <c r="AR85" t="s">
        <v>47</v>
      </c>
      <c r="AS85" t="s">
        <v>2955</v>
      </c>
      <c r="AT85" t="s">
        <v>47</v>
      </c>
      <c r="AU85" t="s">
        <v>3672</v>
      </c>
      <c r="AV85" t="s">
        <v>3673</v>
      </c>
      <c r="AW85" t="s">
        <v>3674</v>
      </c>
      <c r="AX85" t="s">
        <v>1426</v>
      </c>
      <c r="AY85" t="s">
        <v>114</v>
      </c>
      <c r="AZ85" t="s">
        <v>260</v>
      </c>
      <c r="BA85" t="s">
        <v>731</v>
      </c>
      <c r="BB85" t="s">
        <v>732</v>
      </c>
      <c r="BC85" t="s">
        <v>411</v>
      </c>
      <c r="BD85" t="s">
        <v>224</v>
      </c>
      <c r="BE85" t="s">
        <v>313</v>
      </c>
      <c r="BF85" t="s">
        <v>239</v>
      </c>
      <c r="BG85" t="s">
        <v>154</v>
      </c>
      <c r="BH85" t="s">
        <v>2247</v>
      </c>
      <c r="BI85" t="s">
        <v>274</v>
      </c>
      <c r="BJ85" t="s">
        <v>1426</v>
      </c>
      <c r="BK85" t="s">
        <v>931</v>
      </c>
      <c r="BL85" t="s">
        <v>3675</v>
      </c>
      <c r="BM85" t="s">
        <v>411</v>
      </c>
      <c r="BN85">
        <v>8.08</v>
      </c>
      <c r="BO85">
        <v>15.05</v>
      </c>
      <c r="BP85">
        <v>25.69</v>
      </c>
      <c r="BQ85">
        <v>8.7100000000000009</v>
      </c>
      <c r="BR85">
        <v>15.9</v>
      </c>
      <c r="BS85">
        <v>26.72</v>
      </c>
      <c r="BT85" t="s">
        <v>2252</v>
      </c>
      <c r="BU85" t="s">
        <v>1032</v>
      </c>
      <c r="BV85">
        <v>50.63</v>
      </c>
      <c r="BW85">
        <v>48.15</v>
      </c>
      <c r="BX85">
        <v>50.15</v>
      </c>
      <c r="BY85">
        <v>18.07</v>
      </c>
      <c r="BZ85">
        <v>21.37</v>
      </c>
      <c r="CA85">
        <v>39.94</v>
      </c>
      <c r="CB85">
        <v>-4.95</v>
      </c>
      <c r="CC85">
        <v>-7.28</v>
      </c>
      <c r="CD85" t="s">
        <v>3676</v>
      </c>
      <c r="CE85" t="s">
        <v>3677</v>
      </c>
      <c r="CF85" s="8">
        <v>1.2748344370860927</v>
      </c>
      <c r="CG85" s="9">
        <v>3.408609509140712</v>
      </c>
      <c r="CH85" s="8">
        <v>-0.54713690280914307</v>
      </c>
      <c r="CI85" s="8">
        <v>0.34713077545166016</v>
      </c>
      <c r="CJ85" s="8">
        <v>0.51640516519546509</v>
      </c>
      <c r="CK85" s="8">
        <v>0.38400790095329285</v>
      </c>
      <c r="CL85" s="8">
        <v>0.20308788120746613</v>
      </c>
      <c r="CM85" s="9">
        <v>-1.883527398109436</v>
      </c>
      <c r="CN85" s="9">
        <v>-0.28875738382339478</v>
      </c>
      <c r="CO85" s="9">
        <v>1.2178478240966797</v>
      </c>
      <c r="CP85" s="9">
        <v>1.0934065580368042</v>
      </c>
      <c r="CQ85" s="9">
        <v>0.59649121761322021</v>
      </c>
      <c r="CR85">
        <v>42.37236444723618</v>
      </c>
      <c r="CS85">
        <v>2.344914630904869</v>
      </c>
      <c r="CT85">
        <v>1.4564479638009051</v>
      </c>
      <c r="CU85" s="8">
        <v>0.18069896399974822</v>
      </c>
      <c r="CV85" s="9">
        <v>0.14709216356277466</v>
      </c>
      <c r="CW85">
        <v>0.06</v>
      </c>
      <c r="CX85" t="e">
        <v>#VALUE!</v>
      </c>
      <c r="CY85" t="s">
        <v>1038</v>
      </c>
      <c r="CZ85">
        <v>0.18069896399974822</v>
      </c>
      <c r="DA85" t="e">
        <v>#VALUE!</v>
      </c>
      <c r="DB85" t="s">
        <v>1038</v>
      </c>
      <c r="DC85">
        <v>0.17166401579976079</v>
      </c>
      <c r="DD85" t="e">
        <v>#VALUE!</v>
      </c>
      <c r="DE85" t="s">
        <v>1038</v>
      </c>
      <c r="DF85">
        <v>0.15901508831977842</v>
      </c>
      <c r="DG85" t="e">
        <v>#VALUE!</v>
      </c>
      <c r="DH85" t="s">
        <v>1038</v>
      </c>
      <c r="DI85">
        <v>0.14455917119979858</v>
      </c>
      <c r="DJ85" t="e">
        <v>#VALUE!</v>
      </c>
      <c r="DK85" t="s">
        <v>1038</v>
      </c>
      <c r="DL85">
        <v>0.12648927479982375</v>
      </c>
      <c r="DM85">
        <v>-530999999.99999994</v>
      </c>
      <c r="DN85">
        <v>0.18069896399974822</v>
      </c>
      <c r="DO85">
        <v>7772800700</v>
      </c>
      <c r="DP85">
        <v>1760960800</v>
      </c>
      <c r="DQ85">
        <v>4663</v>
      </c>
      <c r="DR85">
        <v>1.0941354730863444</v>
      </c>
      <c r="DS85">
        <v>3.2615173455779374</v>
      </c>
      <c r="DT85" s="10">
        <v>-0.10666666666666676</v>
      </c>
      <c r="DU85">
        <v>-0.3</v>
      </c>
      <c r="DV85">
        <v>-0.40666666666666673</v>
      </c>
      <c r="DW85">
        <v>-8.6799450549450547</v>
      </c>
      <c r="DX85">
        <v>0.38941944969986819</v>
      </c>
      <c r="DY85">
        <v>-8.1083964664854893</v>
      </c>
      <c r="DZ85">
        <v>4655</v>
      </c>
      <c r="EA85">
        <v>-8.0096517401665164</v>
      </c>
      <c r="EB85">
        <v>8</v>
      </c>
      <c r="EC85">
        <v>3.8055997733749611E-2</v>
      </c>
      <c r="ED85">
        <v>0.23871615292485032</v>
      </c>
      <c r="EE85" s="11">
        <v>-2.0907100000000001</v>
      </c>
      <c r="EF85">
        <v>-2.1293099999999998</v>
      </c>
      <c r="EG85">
        <v>23.159419449699868</v>
      </c>
      <c r="EH85" t="s">
        <v>1532</v>
      </c>
      <c r="EI85">
        <v>0</v>
      </c>
      <c r="EJ85">
        <v>0</v>
      </c>
      <c r="EK85" s="13">
        <v>45470</v>
      </c>
      <c r="EL85" s="14">
        <v>-5.05</v>
      </c>
      <c r="EM85" s="14">
        <v>-6.28</v>
      </c>
      <c r="EN85" s="14">
        <v>-3.44</v>
      </c>
      <c r="EO85" s="14">
        <v>1.48</v>
      </c>
      <c r="EP85" s="14">
        <v>-3.86</v>
      </c>
    </row>
    <row r="86" spans="1:146" ht="96" x14ac:dyDescent="0.25">
      <c r="A86" s="7"/>
      <c r="B86" s="7"/>
      <c r="C86" s="7" t="str">
        <f>""&amp;CHAR(10)&amp;Basic_Fundamental_Information_Constructure(F86)&amp;CHAR(10)&amp;Basic_Fundamental_Information_Concatenate("")</f>
        <v xml:space="preserve">
市值41.09885亿, 利润-3011.83万; PE830.6; 平均PE32.19; 平均PEG152.16, PB.982; ROIC3.8767%; ROE8.9%; 股利率.0696%; 毛利26.78%; 净利12.68%; 上一年度营收增-72.18%, 利润增-144.24%; 当季营收增255.86%, 利润增1169.03%; 过往5年营收增-.21%, 利润增-16.01%
Income profile:
</v>
      </c>
      <c r="D86" t="s">
        <v>1113</v>
      </c>
      <c r="E86" t="s">
        <v>1114</v>
      </c>
      <c r="F86">
        <v>11.93</v>
      </c>
      <c r="G86">
        <v>-0.57999999999999996</v>
      </c>
      <c r="H86" t="s">
        <v>3678</v>
      </c>
      <c r="I86">
        <v>4109885000</v>
      </c>
      <c r="J86">
        <v>830.6</v>
      </c>
      <c r="K86">
        <v>0.98199999999999998</v>
      </c>
      <c r="L86" t="s">
        <v>40</v>
      </c>
      <c r="M86" t="s">
        <v>2253</v>
      </c>
      <c r="N86" t="s">
        <v>3679</v>
      </c>
      <c r="O86" t="s">
        <v>180</v>
      </c>
      <c r="P86">
        <v>-36.75</v>
      </c>
      <c r="Q86" t="s">
        <v>235</v>
      </c>
      <c r="R86">
        <v>14146460</v>
      </c>
      <c r="S86" s="3">
        <v>-0.17380000000000001</v>
      </c>
      <c r="T86" t="s">
        <v>3680</v>
      </c>
      <c r="U86">
        <v>102153200</v>
      </c>
      <c r="V86">
        <v>344500000</v>
      </c>
      <c r="W86">
        <v>1.19</v>
      </c>
      <c r="X86">
        <v>0.02</v>
      </c>
      <c r="Y86">
        <v>11.66</v>
      </c>
      <c r="Z86" t="s">
        <v>478</v>
      </c>
      <c r="AA86" t="s">
        <v>3681</v>
      </c>
      <c r="AB86" t="s">
        <v>3682</v>
      </c>
      <c r="AC86" t="s">
        <v>3683</v>
      </c>
      <c r="AD86" t="s">
        <v>47</v>
      </c>
      <c r="AE86">
        <v>-4758772</v>
      </c>
      <c r="AF86" t="s">
        <v>2255</v>
      </c>
      <c r="AG86">
        <v>2200.0100000000002</v>
      </c>
      <c r="AH86" t="s">
        <v>2256</v>
      </c>
      <c r="AI86" t="s">
        <v>3684</v>
      </c>
      <c r="AJ86" t="s">
        <v>2257</v>
      </c>
      <c r="AK86" t="s">
        <v>3685</v>
      </c>
      <c r="AL86" t="s">
        <v>2258</v>
      </c>
      <c r="AM86" t="s">
        <v>47</v>
      </c>
      <c r="AN86" t="s">
        <v>3686</v>
      </c>
      <c r="AO86" t="s">
        <v>47</v>
      </c>
      <c r="AP86" t="s">
        <v>2259</v>
      </c>
      <c r="AQ86" t="s">
        <v>427</v>
      </c>
      <c r="AR86" t="s">
        <v>47</v>
      </c>
      <c r="AS86" t="s">
        <v>1465</v>
      </c>
      <c r="AT86" t="s">
        <v>47</v>
      </c>
      <c r="AU86" t="s">
        <v>3687</v>
      </c>
      <c r="AV86" t="s">
        <v>3688</v>
      </c>
      <c r="AW86" t="s">
        <v>47</v>
      </c>
      <c r="AX86" t="s">
        <v>1044</v>
      </c>
      <c r="AY86" t="s">
        <v>1115</v>
      </c>
      <c r="AZ86" t="s">
        <v>1053</v>
      </c>
      <c r="BA86" t="s">
        <v>1117</v>
      </c>
      <c r="BB86" t="s">
        <v>1062</v>
      </c>
      <c r="BC86" t="s">
        <v>2260</v>
      </c>
      <c r="BD86" t="s">
        <v>162</v>
      </c>
      <c r="BE86" t="s">
        <v>199</v>
      </c>
      <c r="BF86" t="s">
        <v>491</v>
      </c>
      <c r="BG86" t="s">
        <v>246</v>
      </c>
      <c r="BH86" t="s">
        <v>1063</v>
      </c>
      <c r="BI86" t="s">
        <v>3689</v>
      </c>
      <c r="BJ86" t="s">
        <v>1044</v>
      </c>
      <c r="BK86" t="s">
        <v>2254</v>
      </c>
      <c r="BL86" t="s">
        <v>3690</v>
      </c>
      <c r="BM86" t="s">
        <v>2260</v>
      </c>
      <c r="BN86">
        <v>0.04</v>
      </c>
      <c r="BO86">
        <v>0.46</v>
      </c>
      <c r="BP86">
        <v>11.13</v>
      </c>
      <c r="BQ86">
        <v>0.71</v>
      </c>
      <c r="BR86">
        <v>1.7</v>
      </c>
      <c r="BS86">
        <v>24.29</v>
      </c>
      <c r="BT86" t="s">
        <v>2261</v>
      </c>
      <c r="BU86" t="s">
        <v>1079</v>
      </c>
      <c r="BV86">
        <v>14.5</v>
      </c>
      <c r="BW86">
        <v>23.12</v>
      </c>
      <c r="BX86">
        <v>42.72</v>
      </c>
      <c r="BY86">
        <v>1.38</v>
      </c>
      <c r="BZ86">
        <v>11.62</v>
      </c>
      <c r="CA86">
        <v>25.04</v>
      </c>
      <c r="CB86">
        <v>-4.18</v>
      </c>
      <c r="CC86">
        <v>-16.920000000000002</v>
      </c>
      <c r="CD86" t="s">
        <v>3691</v>
      </c>
      <c r="CE86" t="s">
        <v>3692</v>
      </c>
      <c r="CF86" s="8">
        <v>2.5585723360703949</v>
      </c>
      <c r="CG86" s="9">
        <v>11.690289427945286</v>
      </c>
      <c r="CH86" s="8">
        <v>-0.72184300422668457</v>
      </c>
      <c r="CI86" s="8">
        <v>-0.54039216041564941</v>
      </c>
      <c r="CJ86" s="8">
        <v>0.52694618701934814</v>
      </c>
      <c r="CK86" s="8">
        <v>-0.49332523345947266</v>
      </c>
      <c r="CL86" s="8">
        <v>1.2180349826812744</v>
      </c>
      <c r="CM86" s="9">
        <v>-1.4424437284469604</v>
      </c>
      <c r="CN86" s="9">
        <v>-0.78660625219345093</v>
      </c>
      <c r="CO86" s="9">
        <v>0.8125</v>
      </c>
      <c r="CP86" s="9">
        <v>0.35384616255760193</v>
      </c>
      <c r="CQ86" s="9">
        <v>0.26213592290878296</v>
      </c>
      <c r="CR86">
        <v>32.1942314313008</v>
      </c>
      <c r="CS86">
        <v>152.15774823283641</v>
      </c>
      <c r="CT86">
        <v>6.9572506286672262E-2</v>
      </c>
      <c r="CU86" s="8">
        <v>-2.1158456802368164E-3</v>
      </c>
      <c r="CV86" s="9">
        <v>-0.1601135790348053</v>
      </c>
      <c r="CW86">
        <v>0.06</v>
      </c>
      <c r="CX86" t="e">
        <v>#VALUE!</v>
      </c>
      <c r="CY86" t="s">
        <v>1038</v>
      </c>
      <c r="CZ86">
        <v>-2.1158456802368164E-3</v>
      </c>
      <c r="DA86" t="e">
        <v>#VALUE!</v>
      </c>
      <c r="DB86" t="s">
        <v>1038</v>
      </c>
      <c r="DC86">
        <v>-2.0100533962249755E-3</v>
      </c>
      <c r="DD86" t="e">
        <v>#VALUE!</v>
      </c>
      <c r="DE86" t="s">
        <v>1038</v>
      </c>
      <c r="DF86">
        <v>-1.8619441986083985E-3</v>
      </c>
      <c r="DG86" t="e">
        <v>#VALUE!</v>
      </c>
      <c r="DH86" t="s">
        <v>1038</v>
      </c>
      <c r="DI86">
        <v>-1.6926765441894532E-3</v>
      </c>
      <c r="DJ86" t="e">
        <v>#VALUE!</v>
      </c>
      <c r="DK86" t="s">
        <v>1038</v>
      </c>
      <c r="DL86">
        <v>-1.4810919761657714E-3</v>
      </c>
      <c r="DM86">
        <v>-30118300</v>
      </c>
      <c r="DN86">
        <v>-2.1158456802368164E-3</v>
      </c>
      <c r="DO86">
        <v>806884999.99999952</v>
      </c>
      <c r="DP86">
        <v>3199738400</v>
      </c>
      <c r="DQ86">
        <v>4670</v>
      </c>
      <c r="DR86">
        <v>2.5606881817506317</v>
      </c>
      <c r="DS86">
        <v>11.850403006980091</v>
      </c>
      <c r="DT86" s="10">
        <v>-0.70666666666666667</v>
      </c>
      <c r="DU86">
        <v>-0.78666666666666674</v>
      </c>
      <c r="DV86">
        <v>-1.4933333333333334</v>
      </c>
      <c r="DW86">
        <v>-8.2470449172576838</v>
      </c>
      <c r="DX86">
        <v>0.64648440546554098</v>
      </c>
      <c r="DY86">
        <v>-8.0386586770003525</v>
      </c>
      <c r="DZ86">
        <v>3340</v>
      </c>
      <c r="EA86">
        <v>-8.0133905789218449</v>
      </c>
      <c r="EB86">
        <v>8</v>
      </c>
      <c r="EC86">
        <v>1.1881277213352685E-2</v>
      </c>
      <c r="ED86">
        <v>7.5926269956458639E-2</v>
      </c>
      <c r="EE86" s="11">
        <v>-6.0052000000000003</v>
      </c>
      <c r="EF86">
        <v>-6.0375100000000002</v>
      </c>
      <c r="EG86">
        <v>49.156484405465541</v>
      </c>
      <c r="EH86" t="s">
        <v>3488</v>
      </c>
      <c r="EI86">
        <v>0</v>
      </c>
      <c r="EJ86">
        <v>0</v>
      </c>
      <c r="EK86" s="13">
        <v>45470</v>
      </c>
      <c r="EL86" s="14">
        <v>-2.42</v>
      </c>
      <c r="EM86" s="14">
        <v>-0.12</v>
      </c>
      <c r="EN86" s="14">
        <v>-5.53</v>
      </c>
      <c r="EO86" s="14">
        <v>4.88</v>
      </c>
      <c r="EP86" s="14">
        <v>-4.2699999999999996</v>
      </c>
    </row>
    <row r="87" spans="1:146" ht="168" x14ac:dyDescent="0.25">
      <c r="A87" s="7" t="s">
        <v>1169</v>
      </c>
      <c r="B87" s="7" t="s">
        <v>1163</v>
      </c>
      <c r="C87" s="7" t="str">
        <f>"公司的主营业务为骨科医疗器械的研发、生产和销售，主要产品包括骨科植入医疗器械以及骨科手术器械。在骨科植入医疗器械领域，公司是国内产品种类齐全、规模领先、具有市场竞争力的企业之一。"&amp;CHAR(10)&amp;Basic_Fundamental_Information_Constructure(F87)&amp;CHAR(10)&amp;Basic_Fundamental_Information_Concatenate("脊柱 10.20亿 47.37% 52.44% 89.86%
创伤 6.09亿 28.28% 29.54% 84.77%
关节 4.69亿 21.76% 17.12% 63.87%
其他业务 5568.63万 2.59% 0.90% 28.36%")</f>
        <v>公司的主营业务为骨科医疗器械的研发、生产和销售，主要产品包括骨科植入医疗器械以及骨科手术器械。在骨科植入医疗器械领域，公司是国内产品种类齐全、规模领先、具有市场竞争力的企业之一。
市值78.28亿, 利润-2.04亿; PE147.5; 平均PE19.48; 平均PEG.7, PB2.02; ROIC10.8%; ROE11.29%; 股利率.6156%; 毛利74.1533%; 净利23.4467%; 上一年度营收增79.35%, 利润增-133.94%; 当季营收增-47.9%, 利润增59.41%; 过往5年营收增27.77%, 利润增-12.1%
Income profile:
脊柱 10.20亿 47.37% 52.44% 89.86%
创伤 6.09亿 28.28% 29.54% 84.77%
关节 4.69亿 21.76% 17.12% 63.87%
其他业务 5568.63万 2.59% 0.90% 28.36%</v>
      </c>
      <c r="D87" t="s">
        <v>733</v>
      </c>
      <c r="E87" t="s">
        <v>3693</v>
      </c>
      <c r="F87">
        <v>19.57</v>
      </c>
      <c r="G87">
        <v>4.21</v>
      </c>
      <c r="H87" t="s">
        <v>3694</v>
      </c>
      <c r="I87">
        <v>7828000000</v>
      </c>
      <c r="J87">
        <v>147.5</v>
      </c>
      <c r="K87">
        <v>2.02</v>
      </c>
      <c r="L87" t="s">
        <v>40</v>
      </c>
      <c r="M87" t="s">
        <v>370</v>
      </c>
      <c r="N87" t="s">
        <v>3695</v>
      </c>
      <c r="O87" t="s">
        <v>1065</v>
      </c>
      <c r="P87">
        <v>-10.74</v>
      </c>
      <c r="Q87" t="s">
        <v>3696</v>
      </c>
      <c r="R87">
        <v>34905666</v>
      </c>
      <c r="S87" s="3">
        <v>-0.62919999999999998</v>
      </c>
      <c r="T87" t="s">
        <v>3697</v>
      </c>
      <c r="U87">
        <v>400000000</v>
      </c>
      <c r="V87">
        <v>400000000</v>
      </c>
      <c r="W87">
        <v>1.3</v>
      </c>
      <c r="X87">
        <v>7.0000000000000007E-2</v>
      </c>
      <c r="Y87">
        <v>10.3</v>
      </c>
      <c r="Z87" t="s">
        <v>1055</v>
      </c>
      <c r="AA87" t="s">
        <v>201</v>
      </c>
      <c r="AB87" t="s">
        <v>895</v>
      </c>
      <c r="AC87" t="s">
        <v>3698</v>
      </c>
      <c r="AD87" t="s">
        <v>47</v>
      </c>
      <c r="AE87">
        <v>-6137954</v>
      </c>
      <c r="AF87" t="s">
        <v>2263</v>
      </c>
      <c r="AG87" t="s">
        <v>3699</v>
      </c>
      <c r="AH87" t="s">
        <v>2264</v>
      </c>
      <c r="AI87" t="s">
        <v>676</v>
      </c>
      <c r="AJ87" t="s">
        <v>2265</v>
      </c>
      <c r="AK87" t="s">
        <v>3700</v>
      </c>
      <c r="AL87" t="s">
        <v>2266</v>
      </c>
      <c r="AM87" t="s">
        <v>47</v>
      </c>
      <c r="AN87">
        <v>0</v>
      </c>
      <c r="AO87" t="s">
        <v>47</v>
      </c>
      <c r="AP87" t="s">
        <v>3701</v>
      </c>
      <c r="AQ87" t="s">
        <v>456</v>
      </c>
      <c r="AR87" t="s">
        <v>47</v>
      </c>
      <c r="AS87" t="s">
        <v>3702</v>
      </c>
      <c r="AT87" t="s">
        <v>47</v>
      </c>
      <c r="AU87" t="s">
        <v>3703</v>
      </c>
      <c r="AV87" t="s">
        <v>3704</v>
      </c>
      <c r="AW87" t="s">
        <v>3705</v>
      </c>
      <c r="AX87" t="s">
        <v>1428</v>
      </c>
      <c r="AY87" t="s">
        <v>996</v>
      </c>
      <c r="AZ87" t="s">
        <v>734</v>
      </c>
      <c r="BA87" t="s">
        <v>736</v>
      </c>
      <c r="BB87" t="s">
        <v>577</v>
      </c>
      <c r="BC87" t="s">
        <v>411</v>
      </c>
      <c r="BD87" t="s">
        <v>660</v>
      </c>
      <c r="BE87" t="s">
        <v>735</v>
      </c>
      <c r="BF87" t="s">
        <v>80</v>
      </c>
      <c r="BG87" t="s">
        <v>262</v>
      </c>
      <c r="BH87" t="s">
        <v>1557</v>
      </c>
      <c r="BI87" t="s">
        <v>1562</v>
      </c>
      <c r="BJ87" t="s">
        <v>1428</v>
      </c>
      <c r="BK87" t="s">
        <v>396</v>
      </c>
      <c r="BL87" t="s">
        <v>3706</v>
      </c>
      <c r="BM87" t="s">
        <v>411</v>
      </c>
      <c r="BN87">
        <v>2.38</v>
      </c>
      <c r="BO87">
        <v>10.76</v>
      </c>
      <c r="BP87">
        <v>19.260000000000002</v>
      </c>
      <c r="BQ87">
        <v>2.4500000000000002</v>
      </c>
      <c r="BR87">
        <v>11.66</v>
      </c>
      <c r="BS87">
        <v>19.760000000000002</v>
      </c>
      <c r="BT87" t="s">
        <v>3707</v>
      </c>
      <c r="BU87" t="s">
        <v>1079</v>
      </c>
      <c r="BV87">
        <v>66.52</v>
      </c>
      <c r="BW87">
        <v>74.77</v>
      </c>
      <c r="BX87">
        <v>81.17</v>
      </c>
      <c r="BY87">
        <v>8.81</v>
      </c>
      <c r="BZ87">
        <v>29.43</v>
      </c>
      <c r="CA87">
        <v>32.1</v>
      </c>
      <c r="CB87">
        <v>-0.66</v>
      </c>
      <c r="CC87">
        <v>-18.829999999999998</v>
      </c>
      <c r="CD87" t="s">
        <v>3708</v>
      </c>
      <c r="CE87" t="s">
        <v>3709</v>
      </c>
      <c r="CF87" s="8">
        <v>-0.47904191616766467</v>
      </c>
      <c r="CG87" s="9">
        <v>0.59405527596883678</v>
      </c>
      <c r="CH87" s="8">
        <v>0.79348886013031006</v>
      </c>
      <c r="CI87" s="8">
        <v>-4.4568188488483429E-2</v>
      </c>
      <c r="CJ87" s="8">
        <v>0.18092098832130432</v>
      </c>
      <c r="CK87" s="8">
        <v>0.15883100032806396</v>
      </c>
      <c r="CL87" s="8">
        <v>0.29975220561027527</v>
      </c>
      <c r="CM87" s="9">
        <v>-1.3394342660903931</v>
      </c>
      <c r="CN87" s="9">
        <v>-0.12898550927639008</v>
      </c>
      <c r="CO87" s="9">
        <v>0.23655913770198822</v>
      </c>
      <c r="CP87" s="9">
        <v>0.26244345307350159</v>
      </c>
      <c r="CQ87" s="9">
        <v>0.36419752240180969</v>
      </c>
      <c r="CR87">
        <v>19.480713396930735</v>
      </c>
      <c r="CS87">
        <v>0.70154006440537142</v>
      </c>
      <c r="CT87">
        <v>0.61563617782319879</v>
      </c>
      <c r="CU87" s="8">
        <v>0.27768497318029406</v>
      </c>
      <c r="CV87" s="9">
        <v>-0.12104393243789673</v>
      </c>
      <c r="CW87">
        <v>0.06</v>
      </c>
      <c r="CX87" t="e">
        <v>#VALUE!</v>
      </c>
      <c r="CY87" t="s">
        <v>1038</v>
      </c>
      <c r="CZ87">
        <v>0.27768497318029406</v>
      </c>
      <c r="DA87" t="e">
        <v>#VALUE!</v>
      </c>
      <c r="DB87" t="s">
        <v>1038</v>
      </c>
      <c r="DC87">
        <v>0.26380072452127934</v>
      </c>
      <c r="DD87" t="e">
        <v>#VALUE!</v>
      </c>
      <c r="DE87" t="s">
        <v>1038</v>
      </c>
      <c r="DF87">
        <v>0.24436277639865878</v>
      </c>
      <c r="DG87" t="e">
        <v>#VALUE!</v>
      </c>
      <c r="DH87" t="s">
        <v>1038</v>
      </c>
      <c r="DI87">
        <v>0.22214797854423526</v>
      </c>
      <c r="DJ87" t="e">
        <v>#VALUE!</v>
      </c>
      <c r="DK87" t="s">
        <v>1038</v>
      </c>
      <c r="DL87">
        <v>0.19437948122620582</v>
      </c>
      <c r="DM87">
        <v>-204000000</v>
      </c>
      <c r="DN87">
        <v>0.27768497318029406</v>
      </c>
      <c r="DO87">
        <v>5161000000</v>
      </c>
      <c r="DP87">
        <v>3204508400</v>
      </c>
      <c r="DQ87">
        <v>4679</v>
      </c>
      <c r="DR87">
        <v>-0.75672688934795873</v>
      </c>
      <c r="DS87">
        <v>0.71509920840673347</v>
      </c>
      <c r="DT87" s="10">
        <v>0.24333333333333326</v>
      </c>
      <c r="DU87">
        <v>-0.40000000000000008</v>
      </c>
      <c r="DV87">
        <v>-0.15666666666666682</v>
      </c>
      <c r="DW87">
        <v>-3.0320059523809522</v>
      </c>
      <c r="DX87">
        <v>0.47269718811663991</v>
      </c>
      <c r="DY87">
        <v>-3.0055273379791858</v>
      </c>
      <c r="DZ87">
        <v>2307</v>
      </c>
      <c r="EA87">
        <v>-3.0030319233572715</v>
      </c>
      <c r="EB87">
        <v>3</v>
      </c>
      <c r="EC87">
        <v>1.2602749999999999E-2</v>
      </c>
      <c r="ED87">
        <v>7.2975999999999999E-2</v>
      </c>
      <c r="EE87" s="11">
        <v>-1.0098</v>
      </c>
      <c r="EF87">
        <v>-1.0138100000000001</v>
      </c>
      <c r="EG87">
        <v>30.17269718811664</v>
      </c>
      <c r="EH87" t="s">
        <v>1039</v>
      </c>
      <c r="EI87">
        <v>0</v>
      </c>
      <c r="EJ87">
        <v>0</v>
      </c>
      <c r="EK87" s="13">
        <v>45470</v>
      </c>
      <c r="EL87" s="14">
        <v>-2.21</v>
      </c>
      <c r="EM87" s="14">
        <v>-6.15</v>
      </c>
      <c r="EN87" s="14">
        <v>-0.72</v>
      </c>
      <c r="EO87" s="14">
        <v>4.74</v>
      </c>
      <c r="EP87" s="14">
        <v>-2.36</v>
      </c>
    </row>
    <row r="88" spans="1:146" ht="96" x14ac:dyDescent="0.25">
      <c r="A88" s="7"/>
      <c r="B88" s="7"/>
      <c r="C88" s="7" t="str">
        <f>""&amp;CHAR(10)&amp;Basic_Fundamental_Information_Constructure(F88)&amp;CHAR(10)&amp;Basic_Fundamental_Information_Concatenate("")</f>
        <v xml:space="preserve">
市值10.292亿, 利润4165.59万; PE56.07; 平均PE37.96; 平均PEG.83, PB1.08; ROIC13.995%; ROE9.28%; 股利率.7773%; 毛利73.8433%; 净利11.6033%; 上一年度营收增11.84%, 利润增78.54%; 当季营收增-42.42%, 利润增-43.37%; 过往5年营收增45.57%, 利润增334.61%
Income profile:
</v>
      </c>
      <c r="D88" t="s">
        <v>997</v>
      </c>
      <c r="E88" t="s">
        <v>998</v>
      </c>
      <c r="F88">
        <v>25.73</v>
      </c>
      <c r="G88">
        <v>3.62</v>
      </c>
      <c r="H88" t="s">
        <v>3710</v>
      </c>
      <c r="I88">
        <v>1029200000</v>
      </c>
      <c r="J88">
        <v>56.07</v>
      </c>
      <c r="K88">
        <v>1.08</v>
      </c>
      <c r="L88" t="s">
        <v>40</v>
      </c>
      <c r="M88" t="s">
        <v>2267</v>
      </c>
      <c r="N88" t="s">
        <v>1802</v>
      </c>
      <c r="O88" t="s">
        <v>2268</v>
      </c>
      <c r="P88">
        <v>15.6</v>
      </c>
      <c r="Q88" t="s">
        <v>649</v>
      </c>
      <c r="R88">
        <v>3703908</v>
      </c>
      <c r="S88" s="3">
        <v>1.579</v>
      </c>
      <c r="T88" t="s">
        <v>3711</v>
      </c>
      <c r="U88">
        <v>30257570</v>
      </c>
      <c r="V88">
        <v>40000000</v>
      </c>
      <c r="W88">
        <v>1.0900000000000001</v>
      </c>
      <c r="X88">
        <v>0.04</v>
      </c>
      <c r="Y88">
        <v>8.26</v>
      </c>
      <c r="Z88" t="s">
        <v>3712</v>
      </c>
      <c r="AA88" t="s">
        <v>3713</v>
      </c>
      <c r="AB88" t="s">
        <v>3714</v>
      </c>
      <c r="AC88" t="s">
        <v>3715</v>
      </c>
      <c r="AD88" t="s">
        <v>47</v>
      </c>
      <c r="AE88">
        <v>-2874846</v>
      </c>
      <c r="AF88" t="s">
        <v>2270</v>
      </c>
      <c r="AG88" t="s">
        <v>3716</v>
      </c>
      <c r="AH88" t="s">
        <v>2271</v>
      </c>
      <c r="AI88" t="s">
        <v>3717</v>
      </c>
      <c r="AJ88" t="s">
        <v>2272</v>
      </c>
      <c r="AK88" t="s">
        <v>3718</v>
      </c>
      <c r="AL88" t="s">
        <v>2273</v>
      </c>
      <c r="AM88" t="s">
        <v>47</v>
      </c>
      <c r="AN88">
        <v>0</v>
      </c>
      <c r="AO88" t="s">
        <v>47</v>
      </c>
      <c r="AP88" t="s">
        <v>47</v>
      </c>
      <c r="AQ88" t="s">
        <v>3719</v>
      </c>
      <c r="AR88" t="s">
        <v>47</v>
      </c>
      <c r="AS88" t="s">
        <v>3720</v>
      </c>
      <c r="AT88" t="s">
        <v>47</v>
      </c>
      <c r="AU88" t="s">
        <v>3721</v>
      </c>
      <c r="AV88" t="s">
        <v>3722</v>
      </c>
      <c r="AW88" t="s">
        <v>3723</v>
      </c>
      <c r="AX88" t="s">
        <v>348</v>
      </c>
      <c r="AY88" t="s">
        <v>294</v>
      </c>
      <c r="AZ88" t="s">
        <v>597</v>
      </c>
      <c r="BA88" t="s">
        <v>1066</v>
      </c>
      <c r="BB88" t="s">
        <v>1067</v>
      </c>
      <c r="BC88" t="s">
        <v>1429</v>
      </c>
      <c r="BD88" t="s">
        <v>999</v>
      </c>
      <c r="BE88" t="s">
        <v>1000</v>
      </c>
      <c r="BF88" t="s">
        <v>1051</v>
      </c>
      <c r="BG88" t="s">
        <v>1068</v>
      </c>
      <c r="BH88" t="s">
        <v>97</v>
      </c>
      <c r="BI88" t="s">
        <v>3724</v>
      </c>
      <c r="BJ88" t="s">
        <v>348</v>
      </c>
      <c r="BK88" t="s">
        <v>2269</v>
      </c>
      <c r="BL88" t="s">
        <v>3725</v>
      </c>
      <c r="BM88" t="s">
        <v>1429</v>
      </c>
      <c r="BN88" t="s">
        <v>47</v>
      </c>
      <c r="BO88">
        <v>3.18</v>
      </c>
      <c r="BP88">
        <v>24.81</v>
      </c>
      <c r="BQ88">
        <v>-0.87</v>
      </c>
      <c r="BR88">
        <v>2.97</v>
      </c>
      <c r="BS88">
        <v>25.74</v>
      </c>
      <c r="BT88" t="s">
        <v>1213</v>
      </c>
      <c r="BU88" t="s">
        <v>1075</v>
      </c>
      <c r="BV88">
        <v>81.38</v>
      </c>
      <c r="BW88">
        <v>65.53</v>
      </c>
      <c r="BX88">
        <v>74.62</v>
      </c>
      <c r="BY88">
        <v>5.0199999999999996</v>
      </c>
      <c r="BZ88">
        <v>7.68</v>
      </c>
      <c r="CA88">
        <v>22.11</v>
      </c>
      <c r="CB88">
        <v>-2.13</v>
      </c>
      <c r="CC88">
        <v>-19.920000000000002</v>
      </c>
      <c r="CD88" t="s">
        <v>3726</v>
      </c>
      <c r="CE88" t="s">
        <v>3727</v>
      </c>
      <c r="CF88" s="8">
        <v>-0.42416879532500373</v>
      </c>
      <c r="CG88" s="9">
        <v>-0.43373113791680046</v>
      </c>
      <c r="CH88" s="8">
        <v>0.11842105537652969</v>
      </c>
      <c r="CI88" s="8">
        <v>4.109589010477066E-2</v>
      </c>
      <c r="CJ88" s="8">
        <v>0.1679999977350235</v>
      </c>
      <c r="CK88" s="8">
        <v>1.5209720134735107</v>
      </c>
      <c r="CL88" s="8">
        <v>0.4301014244556427</v>
      </c>
      <c r="CM88" s="9">
        <v>0.78540080785751343</v>
      </c>
      <c r="CN88" s="9">
        <v>-0.63893842697143555</v>
      </c>
      <c r="CO88" s="9">
        <v>5.2828036248683929E-2</v>
      </c>
      <c r="CP88" s="9">
        <v>15.414340019226074</v>
      </c>
      <c r="CQ88" s="9">
        <v>1.1166633367538452</v>
      </c>
      <c r="CR88">
        <v>37.961353827087486</v>
      </c>
      <c r="CS88">
        <v>0.83300083554297755</v>
      </c>
      <c r="CT88">
        <v>0.77730275942479599</v>
      </c>
      <c r="CU88" s="8">
        <v>0.45571807622909544</v>
      </c>
      <c r="CV88" s="9">
        <v>3.3460587546229363</v>
      </c>
      <c r="CW88">
        <v>0.06</v>
      </c>
      <c r="CX88">
        <v>2.8873140050940456</v>
      </c>
      <c r="CY88">
        <v>57206836.426029786</v>
      </c>
      <c r="CZ88">
        <v>0.45571807622909544</v>
      </c>
      <c r="DA88">
        <v>0.70185524008486067</v>
      </c>
      <c r="DB88">
        <v>235339270.21764338</v>
      </c>
      <c r="DC88">
        <v>0.43293217241764065</v>
      </c>
      <c r="DD88">
        <v>0.22282798096296813</v>
      </c>
      <c r="DE88">
        <v>741262831.02412689</v>
      </c>
      <c r="DF88">
        <v>0.40103190708160397</v>
      </c>
      <c r="DG88">
        <v>7.6959065445576819E-2</v>
      </c>
      <c r="DH88">
        <v>2146259170.9459655</v>
      </c>
      <c r="DI88">
        <v>0.36457446098327639</v>
      </c>
      <c r="DJ88">
        <v>9.9550951312208161E-3</v>
      </c>
      <c r="DK88">
        <v>16591915780.090021</v>
      </c>
      <c r="DL88">
        <v>0.31900265336036676</v>
      </c>
      <c r="DM88">
        <v>41655900</v>
      </c>
      <c r="DN88">
        <v>0.45571807622909544</v>
      </c>
      <c r="DO88">
        <v>165174100</v>
      </c>
      <c r="DP88">
        <v>814657800</v>
      </c>
      <c r="DQ88">
        <v>4709</v>
      </c>
      <c r="DR88">
        <v>-0.87988687155409917</v>
      </c>
      <c r="DS88">
        <v>-3.7797898925397369</v>
      </c>
      <c r="DT88" s="10">
        <v>2.6666666666666616E-2</v>
      </c>
      <c r="DU88">
        <v>0.46666666666666673</v>
      </c>
      <c r="DV88">
        <v>0.49333333333333335</v>
      </c>
      <c r="DW88">
        <v>-3.0443333333333333</v>
      </c>
      <c r="DX88">
        <v>0.40365926437405097</v>
      </c>
      <c r="DY88">
        <v>-3.0103588940539163</v>
      </c>
      <c r="DZ88">
        <v>2473</v>
      </c>
      <c r="EA88">
        <v>-3.0053456758552208</v>
      </c>
      <c r="EB88">
        <v>3</v>
      </c>
      <c r="EC88">
        <v>4.7375E-2</v>
      </c>
      <c r="ED88">
        <v>0.2027525</v>
      </c>
      <c r="EE88" s="11">
        <v>-2.02521</v>
      </c>
      <c r="EF88">
        <v>-2.0899100000000002</v>
      </c>
      <c r="EG88">
        <v>17.233659264374051</v>
      </c>
      <c r="EH88" t="s">
        <v>1532</v>
      </c>
      <c r="EI88">
        <v>0</v>
      </c>
      <c r="EJ88">
        <v>0</v>
      </c>
      <c r="EK88" s="13">
        <v>45470</v>
      </c>
      <c r="EL88" s="14">
        <v>-1.39</v>
      </c>
      <c r="EM88" s="14">
        <v>-7.26</v>
      </c>
      <c r="EN88" s="14">
        <v>-3.01</v>
      </c>
      <c r="EO88" s="14">
        <v>6.74</v>
      </c>
      <c r="EP88" s="14">
        <v>-6.47</v>
      </c>
    </row>
    <row r="89" spans="1:146" ht="96" x14ac:dyDescent="0.25">
      <c r="A89" s="7"/>
      <c r="B89" s="7"/>
      <c r="C89" s="7" t="str">
        <f>""&amp;CHAR(10)&amp;Basic_Fundamental_Information_Constructure(F89)&amp;CHAR(10)&amp;Basic_Fundamental_Information_Concatenate("")</f>
        <v xml:space="preserve">
市值140.92246亿, 利润-9613.77万; PE126; 平均PE416.11; 平均PEG4.83, PB11.67; ROIC6.8%; ROE7.04%; 股利率.7753%; 毛利89.1533%; 净利27.2867%; 上一年度营收增318.64%, 利润增-201.06%; 当季营收增-71.33%, 利润增146.61%; 过往5年营收增86.07%, 利润增-9.24%
Income profile:
</v>
      </c>
      <c r="D89" t="s">
        <v>737</v>
      </c>
      <c r="E89" t="s">
        <v>738</v>
      </c>
      <c r="F89">
        <v>103.18</v>
      </c>
      <c r="G89">
        <v>3.12</v>
      </c>
      <c r="H89" t="s">
        <v>3728</v>
      </c>
      <c r="I89">
        <v>14092246000</v>
      </c>
      <c r="J89">
        <v>126</v>
      </c>
      <c r="K89">
        <v>11.67</v>
      </c>
      <c r="L89" t="s">
        <v>40</v>
      </c>
      <c r="M89" t="s">
        <v>301</v>
      </c>
      <c r="N89" t="s">
        <v>940</v>
      </c>
      <c r="O89" t="s">
        <v>2274</v>
      </c>
      <c r="P89">
        <v>17.53</v>
      </c>
      <c r="Q89" t="s">
        <v>1537</v>
      </c>
      <c r="R89">
        <v>8319806</v>
      </c>
      <c r="S89" s="3">
        <v>-0.2888</v>
      </c>
      <c r="T89" t="s">
        <v>3729</v>
      </c>
      <c r="U89">
        <v>136579240</v>
      </c>
      <c r="V89">
        <v>136579240</v>
      </c>
      <c r="W89">
        <v>1.0900000000000001</v>
      </c>
      <c r="X89">
        <v>0.06</v>
      </c>
      <c r="Y89">
        <v>5.1100000000000003</v>
      </c>
      <c r="Z89" t="s">
        <v>3730</v>
      </c>
      <c r="AA89" t="s">
        <v>3731</v>
      </c>
      <c r="AB89" t="s">
        <v>3732</v>
      </c>
      <c r="AC89" t="s">
        <v>3733</v>
      </c>
      <c r="AD89" t="s">
        <v>47</v>
      </c>
      <c r="AE89">
        <v>-4230203</v>
      </c>
      <c r="AF89" t="s">
        <v>2275</v>
      </c>
      <c r="AG89" t="s">
        <v>3734</v>
      </c>
      <c r="AH89" t="s">
        <v>2276</v>
      </c>
      <c r="AI89" t="s">
        <v>558</v>
      </c>
      <c r="AJ89" t="s">
        <v>2277</v>
      </c>
      <c r="AK89" t="s">
        <v>3735</v>
      </c>
      <c r="AL89" t="s">
        <v>2278</v>
      </c>
      <c r="AM89" t="s">
        <v>47</v>
      </c>
      <c r="AN89" t="s">
        <v>68</v>
      </c>
      <c r="AO89" t="s">
        <v>47</v>
      </c>
      <c r="AP89" t="s">
        <v>47</v>
      </c>
      <c r="AQ89" t="s">
        <v>3736</v>
      </c>
      <c r="AR89" t="s">
        <v>47</v>
      </c>
      <c r="AS89" t="s">
        <v>3737</v>
      </c>
      <c r="AT89" t="s">
        <v>47</v>
      </c>
      <c r="AU89" t="s">
        <v>3738</v>
      </c>
      <c r="AV89" t="s">
        <v>3739</v>
      </c>
      <c r="AW89" t="s">
        <v>3740</v>
      </c>
      <c r="AX89" t="s">
        <v>169</v>
      </c>
      <c r="AY89" t="s">
        <v>194</v>
      </c>
      <c r="AZ89" t="s">
        <v>239</v>
      </c>
      <c r="BA89" t="s">
        <v>79</v>
      </c>
      <c r="BB89" t="s">
        <v>277</v>
      </c>
      <c r="BC89" t="s">
        <v>2279</v>
      </c>
      <c r="BD89" t="s">
        <v>1001</v>
      </c>
      <c r="BE89" t="s">
        <v>739</v>
      </c>
      <c r="BF89" t="s">
        <v>740</v>
      </c>
      <c r="BG89" t="s">
        <v>741</v>
      </c>
      <c r="BH89" t="s">
        <v>185</v>
      </c>
      <c r="BI89" t="s">
        <v>726</v>
      </c>
      <c r="BJ89" t="s">
        <v>169</v>
      </c>
      <c r="BK89" t="s">
        <v>340</v>
      </c>
      <c r="BL89" t="s">
        <v>3741</v>
      </c>
      <c r="BM89" t="s">
        <v>2279</v>
      </c>
      <c r="BN89">
        <v>6.03</v>
      </c>
      <c r="BO89">
        <v>8.93</v>
      </c>
      <c r="BP89">
        <v>5.44</v>
      </c>
      <c r="BQ89">
        <v>6.29</v>
      </c>
      <c r="BR89">
        <v>9.18</v>
      </c>
      <c r="BS89">
        <v>5.65</v>
      </c>
      <c r="BT89" t="s">
        <v>1408</v>
      </c>
      <c r="BU89" t="s">
        <v>1079</v>
      </c>
      <c r="BV89">
        <v>89.84</v>
      </c>
      <c r="BW89">
        <v>89.38</v>
      </c>
      <c r="BX89">
        <v>88.24</v>
      </c>
      <c r="BY89">
        <v>29.52</v>
      </c>
      <c r="BZ89">
        <v>31.98</v>
      </c>
      <c r="CA89">
        <v>20.36</v>
      </c>
      <c r="CB89">
        <v>1.67</v>
      </c>
      <c r="CC89">
        <v>-4.99</v>
      </c>
      <c r="CD89" t="s">
        <v>3742</v>
      </c>
      <c r="CE89" t="s">
        <v>3743</v>
      </c>
      <c r="CF89" s="8">
        <v>-0.71328872180451131</v>
      </c>
      <c r="CG89" s="9">
        <v>1.4661216874894951</v>
      </c>
      <c r="CH89" s="8">
        <v>3.1864409446716309</v>
      </c>
      <c r="CI89" s="8">
        <v>0.170634925365448</v>
      </c>
      <c r="CJ89" s="8">
        <v>0.38461539149284363</v>
      </c>
      <c r="CK89" s="8">
        <v>0.24657534062862396</v>
      </c>
      <c r="CL89" s="8">
        <v>0.31531530618667603</v>
      </c>
      <c r="CM89" s="9">
        <v>-2.0106215476989746</v>
      </c>
      <c r="CN89" s="9">
        <v>0.85802030563354492</v>
      </c>
      <c r="CO89" s="9">
        <v>-9.424436092376709E-2</v>
      </c>
      <c r="CP89" s="9">
        <v>-0.10397892445325851</v>
      </c>
      <c r="CQ89" s="9">
        <v>0.8887864351272583</v>
      </c>
      <c r="CR89">
        <v>416.11413115693182</v>
      </c>
      <c r="CS89">
        <v>4.8345092532110368</v>
      </c>
      <c r="CT89">
        <v>0.77534405892614844</v>
      </c>
      <c r="CU89" s="8">
        <v>0.86071638166904452</v>
      </c>
      <c r="CV89" s="9">
        <v>-9.2407618463039395E-2</v>
      </c>
      <c r="CW89">
        <v>0.06</v>
      </c>
      <c r="CX89" t="e">
        <v>#VALUE!</v>
      </c>
      <c r="CY89" t="s">
        <v>1038</v>
      </c>
      <c r="CZ89">
        <v>0.86071638166904452</v>
      </c>
      <c r="DA89" t="e">
        <v>#VALUE!</v>
      </c>
      <c r="DB89" t="s">
        <v>1038</v>
      </c>
      <c r="DC89">
        <v>0.8176805625855923</v>
      </c>
      <c r="DD89" t="e">
        <v>#VALUE!</v>
      </c>
      <c r="DE89" t="s">
        <v>1038</v>
      </c>
      <c r="DF89">
        <v>0.75743041586875914</v>
      </c>
      <c r="DG89" t="e">
        <v>#VALUE!</v>
      </c>
      <c r="DH89" t="s">
        <v>1038</v>
      </c>
      <c r="DI89">
        <v>0.68857310533523564</v>
      </c>
      <c r="DJ89" t="e">
        <v>#VALUE!</v>
      </c>
      <c r="DK89" t="s">
        <v>1038</v>
      </c>
      <c r="DL89">
        <v>0.60250146716833108</v>
      </c>
      <c r="DM89">
        <v>-96137700</v>
      </c>
      <c r="DN89">
        <v>0.86071638166904452</v>
      </c>
      <c r="DO89">
        <v>13033246000</v>
      </c>
      <c r="DP89">
        <v>547372060</v>
      </c>
      <c r="DQ89">
        <v>4713</v>
      </c>
      <c r="DR89">
        <v>-1.5740051034735558</v>
      </c>
      <c r="DS89">
        <v>1.5585293059525345</v>
      </c>
      <c r="DT89" s="10">
        <v>0.35999999999999993</v>
      </c>
      <c r="DU89">
        <v>-0.25</v>
      </c>
      <c r="DV89">
        <v>0.10999999999999993</v>
      </c>
      <c r="DW89">
        <v>-1.0499000000000001</v>
      </c>
      <c r="DX89">
        <v>0.572081421381049</v>
      </c>
      <c r="DY89">
        <v>-1.0055928629269144</v>
      </c>
      <c r="DZ89">
        <v>4505</v>
      </c>
      <c r="EA89">
        <v>-1.0006621687026973</v>
      </c>
      <c r="EB89">
        <v>1</v>
      </c>
      <c r="EC89">
        <v>5.1684282325776595E-3</v>
      </c>
      <c r="ED89">
        <v>4.61131574608264E-2</v>
      </c>
      <c r="EE89" s="11">
        <v>1.07921</v>
      </c>
      <c r="EF89">
        <v>1.1109100000000001</v>
      </c>
      <c r="EG89">
        <v>46.112081421381049</v>
      </c>
      <c r="EH89" t="s">
        <v>1228</v>
      </c>
      <c r="EI89">
        <v>0</v>
      </c>
      <c r="EJ89">
        <v>0</v>
      </c>
      <c r="EK89" s="13">
        <v>45470</v>
      </c>
      <c r="EL89" s="14">
        <v>-1.64</v>
      </c>
      <c r="EM89" s="14">
        <v>-6.81</v>
      </c>
      <c r="EN89" s="14">
        <v>7.0000000000000007E-2</v>
      </c>
      <c r="EO89" s="14">
        <v>3.43</v>
      </c>
      <c r="EP89" s="14">
        <v>-3.17</v>
      </c>
    </row>
    <row r="90" spans="1:146" ht="144" x14ac:dyDescent="0.25">
      <c r="A90" s="7"/>
      <c r="B90" s="7"/>
      <c r="C90" s="7" t="str">
        <f>"公司主营业务为从事电子内窥镜设备及内窥镜诊疗手术耗材研发、生产和销售。公司的主要产品按照用途可分为内窥镜设备和内窥镜诊疗手术耗材。"&amp;CHAR(10)&amp;Basic_Fundamental_Information_Constructure(F90)&amp;CHAR(10)&amp;Basic_Fundamental_Information_Concatenate("内窥镜设备 3.04亿 87.53% 90.43% 71.58%
内窥镜诊疗耗材 3993.92万 11.51% 8.68% 52.25%
内窥镜维修服务收入 334.28万 0.96% 0.90% 64.39%")</f>
        <v>公司主营业务为从事电子内窥镜设备及内窥镜诊疗手术耗材研发、生产和销售。公司的主要产品按照用途可分为内窥镜设备和内窥镜诊疗手术耗材。
市值55.382653亿, 利润1421.55万; PE125.7; 平均PE209.6; 平均PEG1.54, PB3.93; ROIC3.6933%; ROE4.8033%; 股利率.729%; 毛利70.9333%; 净利10.6067%; 上一年度营收增542.02%, 利润增-34.38%; 当季营收增-62.78%, 利润增122.68%; 过往5年营收增136.3%, 利润增211.82%
Income profile:
内窥镜设备 3.04亿 87.53% 90.43% 71.58%
内窥镜诊疗耗材 3993.92万 11.51% 8.68% 52.25%
内窥镜维修服务收入 334.28万 0.96% 0.90% 64.39%</v>
      </c>
      <c r="D90" t="s">
        <v>1002</v>
      </c>
      <c r="E90" t="s">
        <v>1003</v>
      </c>
      <c r="F90">
        <v>41.15</v>
      </c>
      <c r="G90">
        <v>6.19</v>
      </c>
      <c r="H90" t="s">
        <v>3744</v>
      </c>
      <c r="I90">
        <v>5538265300</v>
      </c>
      <c r="J90">
        <v>125.7</v>
      </c>
      <c r="K90">
        <v>3.93</v>
      </c>
      <c r="L90" t="s">
        <v>40</v>
      </c>
      <c r="M90" t="s">
        <v>204</v>
      </c>
      <c r="N90" t="s">
        <v>3745</v>
      </c>
      <c r="O90" t="s">
        <v>130</v>
      </c>
      <c r="P90">
        <v>34.909999999999997</v>
      </c>
      <c r="Q90" t="s">
        <v>3746</v>
      </c>
      <c r="R90">
        <v>5825000</v>
      </c>
      <c r="S90" s="3">
        <v>-0.83320000000000005</v>
      </c>
      <c r="T90" t="s">
        <v>3747</v>
      </c>
      <c r="U90">
        <v>92764450</v>
      </c>
      <c r="V90">
        <v>134587250</v>
      </c>
      <c r="W90">
        <v>1.1200000000000001</v>
      </c>
      <c r="X90">
        <v>0.11</v>
      </c>
      <c r="Y90">
        <v>1.51</v>
      </c>
      <c r="Z90" t="s">
        <v>256</v>
      </c>
      <c r="AA90" t="s">
        <v>3748</v>
      </c>
      <c r="AB90" t="s">
        <v>3749</v>
      </c>
      <c r="AC90" t="s">
        <v>3750</v>
      </c>
      <c r="AD90" t="s">
        <v>47</v>
      </c>
      <c r="AE90">
        <v>-355846</v>
      </c>
      <c r="AF90" t="s">
        <v>2282</v>
      </c>
      <c r="AG90">
        <v>643.07000000000005</v>
      </c>
      <c r="AH90" t="s">
        <v>2283</v>
      </c>
      <c r="AI90" t="s">
        <v>363</v>
      </c>
      <c r="AJ90" t="s">
        <v>2284</v>
      </c>
      <c r="AK90" t="s">
        <v>3751</v>
      </c>
      <c r="AL90" t="s">
        <v>2285</v>
      </c>
      <c r="AM90" t="s">
        <v>47</v>
      </c>
      <c r="AN90" t="s">
        <v>3752</v>
      </c>
      <c r="AO90" t="s">
        <v>47</v>
      </c>
      <c r="AP90" t="s">
        <v>47</v>
      </c>
      <c r="AQ90" t="s">
        <v>3753</v>
      </c>
      <c r="AR90" t="s">
        <v>47</v>
      </c>
      <c r="AS90" t="s">
        <v>87</v>
      </c>
      <c r="AT90" t="s">
        <v>47</v>
      </c>
      <c r="AU90" t="s">
        <v>2761</v>
      </c>
      <c r="AV90" t="s">
        <v>3754</v>
      </c>
      <c r="AW90" t="s">
        <v>3755</v>
      </c>
      <c r="AX90" t="s">
        <v>435</v>
      </c>
      <c r="AY90" t="s">
        <v>118</v>
      </c>
      <c r="AZ90" t="s">
        <v>166</v>
      </c>
      <c r="BA90" t="s">
        <v>533</v>
      </c>
      <c r="BB90" t="s">
        <v>549</v>
      </c>
      <c r="BC90" t="s">
        <v>2286</v>
      </c>
      <c r="BD90" t="s">
        <v>1004</v>
      </c>
      <c r="BE90" t="s">
        <v>1005</v>
      </c>
      <c r="BF90" t="s">
        <v>1006</v>
      </c>
      <c r="BG90" t="s">
        <v>1007</v>
      </c>
      <c r="BH90" t="s">
        <v>1338</v>
      </c>
      <c r="BI90" t="s">
        <v>1554</v>
      </c>
      <c r="BJ90" t="s">
        <v>435</v>
      </c>
      <c r="BK90" t="s">
        <v>2281</v>
      </c>
      <c r="BL90" t="s">
        <v>3756</v>
      </c>
      <c r="BM90" t="s">
        <v>2286</v>
      </c>
      <c r="BN90">
        <v>3.24</v>
      </c>
      <c r="BO90">
        <v>1.31</v>
      </c>
      <c r="BP90">
        <v>6.53</v>
      </c>
      <c r="BQ90">
        <v>3.43</v>
      </c>
      <c r="BR90">
        <v>1.73</v>
      </c>
      <c r="BS90">
        <v>9.25</v>
      </c>
      <c r="BT90" t="s">
        <v>1209</v>
      </c>
      <c r="BU90" t="s">
        <v>1032</v>
      </c>
      <c r="BV90">
        <v>73.78</v>
      </c>
      <c r="BW90">
        <v>69.73</v>
      </c>
      <c r="BX90">
        <v>69.290000000000006</v>
      </c>
      <c r="BY90">
        <v>8.9600000000000009</v>
      </c>
      <c r="BZ90">
        <v>5.64</v>
      </c>
      <c r="CA90">
        <v>17.22</v>
      </c>
      <c r="CB90">
        <v>2.85</v>
      </c>
      <c r="CC90">
        <v>-17.829999999999998</v>
      </c>
      <c r="CD90" t="s">
        <v>3757</v>
      </c>
      <c r="CE90" t="s">
        <v>3758</v>
      </c>
      <c r="CF90" s="8">
        <v>-0.6277533039647577</v>
      </c>
      <c r="CG90" s="9">
        <v>1.2268222686899601</v>
      </c>
      <c r="CH90" s="8">
        <v>5.420224666595459</v>
      </c>
      <c r="CI90" s="8">
        <v>0.28242075443267822</v>
      </c>
      <c r="CJ90" s="8">
        <v>0.3193916380405426</v>
      </c>
      <c r="CK90" s="8">
        <v>-0.11744966357946396</v>
      </c>
      <c r="CL90" s="8">
        <v>0.91025638580322266</v>
      </c>
      <c r="CM90" s="9">
        <v>-0.3438495397567749</v>
      </c>
      <c r="CN90" s="9">
        <v>-0.62015950679779053</v>
      </c>
      <c r="CO90" s="9">
        <v>2.08160400390625</v>
      </c>
      <c r="CP90" s="9">
        <v>-0.65017217397689819</v>
      </c>
      <c r="CQ90" s="9">
        <v>10.123588562011719</v>
      </c>
      <c r="CR90">
        <v>209.60281450269969</v>
      </c>
      <c r="CS90">
        <v>1.5378402002264857</v>
      </c>
      <c r="CT90">
        <v>0.72904009720534635</v>
      </c>
      <c r="CU90" s="8">
        <v>1.3629687562584878</v>
      </c>
      <c r="CV90" s="9">
        <v>2.118202269077301</v>
      </c>
      <c r="CW90">
        <v>0.06</v>
      </c>
      <c r="CX90">
        <v>136.26837177176324</v>
      </c>
      <c r="CY90">
        <v>31689417.315653332</v>
      </c>
      <c r="CZ90">
        <v>1.3629687562584878</v>
      </c>
      <c r="DA90">
        <v>17.870379867551403</v>
      </c>
      <c r="DB90">
        <v>241643732.92595756</v>
      </c>
      <c r="DC90">
        <v>1.2948203184455633</v>
      </c>
      <c r="DD90">
        <v>1.9970694651063741</v>
      </c>
      <c r="DE90">
        <v>2162300999.2644334</v>
      </c>
      <c r="DF90">
        <v>1.1994125055074694</v>
      </c>
      <c r="DG90">
        <v>0.16850910990579129</v>
      </c>
      <c r="DH90">
        <v>25626301761.45504</v>
      </c>
      <c r="DI90">
        <v>1.0903750050067902</v>
      </c>
      <c r="DJ90">
        <v>6.7649044541999621E-4</v>
      </c>
      <c r="DK90">
        <v>6383335240335.9121</v>
      </c>
      <c r="DL90">
        <v>0.95407812938094139</v>
      </c>
      <c r="DM90">
        <v>14215500</v>
      </c>
      <c r="DN90">
        <v>1.3629687562584878</v>
      </c>
      <c r="DO90">
        <v>4318265300</v>
      </c>
      <c r="DP90">
        <v>870540680</v>
      </c>
      <c r="DQ90">
        <v>4726</v>
      </c>
      <c r="DR90">
        <v>-1.9907220602232454</v>
      </c>
      <c r="DS90">
        <v>-0.89138000038734089</v>
      </c>
      <c r="DT90" s="10">
        <v>0.34333333333333332</v>
      </c>
      <c r="DU90">
        <v>0.51866666666666661</v>
      </c>
      <c r="DV90">
        <v>0.86199999999999988</v>
      </c>
      <c r="DW90">
        <v>6.1378143133462286</v>
      </c>
      <c r="DX90">
        <v>0.48142212680034363</v>
      </c>
      <c r="DY90">
        <v>6.0387839971654245</v>
      </c>
      <c r="DZ90">
        <v>440</v>
      </c>
      <c r="EA90">
        <v>6.0354444749046054</v>
      </c>
      <c r="EB90">
        <v>6</v>
      </c>
      <c r="EC90">
        <v>6.5447507100412555E-2</v>
      </c>
      <c r="ED90">
        <v>0.23255991930884984</v>
      </c>
      <c r="EE90" s="11">
        <v>-1.01831</v>
      </c>
      <c r="EF90">
        <v>-1.02291</v>
      </c>
      <c r="EG90">
        <v>20.281422126800344</v>
      </c>
      <c r="EH90" t="s">
        <v>1039</v>
      </c>
      <c r="EI90">
        <v>0</v>
      </c>
      <c r="EJ90">
        <v>1</v>
      </c>
      <c r="EK90" s="13">
        <v>45470</v>
      </c>
      <c r="EL90" s="14">
        <v>1.1100000000000001</v>
      </c>
      <c r="EM90" s="14">
        <v>-2.34</v>
      </c>
      <c r="EN90" s="14">
        <v>-3.67</v>
      </c>
      <c r="EO90" s="14">
        <v>2.04</v>
      </c>
      <c r="EP90" s="14">
        <v>-0.46</v>
      </c>
    </row>
    <row r="91" spans="1:146" ht="96" x14ac:dyDescent="0.25">
      <c r="A91" s="7"/>
      <c r="B91" s="7"/>
      <c r="C91" s="7" t="str">
        <f>""&amp;CHAR(10)&amp;Basic_Fundamental_Information_Constructure(F91)&amp;CHAR(10)&amp;Basic_Fundamental_Information_Concatenate("")</f>
        <v xml:space="preserve">
市值10.7466744亿, 利润8180.59万; PE149.8; 平均PE24.91; 平均PEG.71, PB1.15; ROIC4.1367%; ROE4.15%; 股利率0%; 毛利69.04%; 净利9.1533%; 上一年度营收增101.42%, 利润增102.12%; 当季营收增-42.69%, 利润增-11.9%; 过往5年营收增34.97%, 利润增52.84%
Income profile:
</v>
      </c>
      <c r="D91" t="s">
        <v>742</v>
      </c>
      <c r="E91" t="s">
        <v>743</v>
      </c>
      <c r="F91">
        <v>19.239999999999998</v>
      </c>
      <c r="G91">
        <v>5.6</v>
      </c>
      <c r="H91" t="s">
        <v>3759</v>
      </c>
      <c r="I91">
        <v>1074667440</v>
      </c>
      <c r="J91">
        <v>149.80000000000001</v>
      </c>
      <c r="K91">
        <v>1.1499999999999999</v>
      </c>
      <c r="L91" t="s">
        <v>40</v>
      </c>
      <c r="M91" t="s">
        <v>2287</v>
      </c>
      <c r="N91" t="s">
        <v>566</v>
      </c>
      <c r="O91" t="s">
        <v>2288</v>
      </c>
      <c r="P91">
        <v>12.84</v>
      </c>
      <c r="Q91" t="s">
        <v>3760</v>
      </c>
      <c r="R91">
        <v>533165</v>
      </c>
      <c r="S91" s="3">
        <v>-0.58699999999999997</v>
      </c>
      <c r="T91" t="s">
        <v>3761</v>
      </c>
      <c r="U91">
        <v>55855896</v>
      </c>
      <c r="V91">
        <v>55855896</v>
      </c>
      <c r="W91">
        <v>1.08</v>
      </c>
      <c r="X91">
        <v>0.06</v>
      </c>
      <c r="Y91">
        <v>-2.2400000000000002</v>
      </c>
      <c r="Z91" t="s">
        <v>3762</v>
      </c>
      <c r="AA91" t="s">
        <v>3763</v>
      </c>
      <c r="AB91" t="s">
        <v>3764</v>
      </c>
      <c r="AC91" t="s">
        <v>3765</v>
      </c>
      <c r="AD91" t="s">
        <v>47</v>
      </c>
      <c r="AE91">
        <v>-722300</v>
      </c>
      <c r="AF91" t="s">
        <v>2290</v>
      </c>
      <c r="AG91" t="s">
        <v>3766</v>
      </c>
      <c r="AH91" t="s">
        <v>2291</v>
      </c>
      <c r="AI91" t="s">
        <v>122</v>
      </c>
      <c r="AJ91" t="s">
        <v>2292</v>
      </c>
      <c r="AK91" t="s">
        <v>3767</v>
      </c>
      <c r="AL91" t="s">
        <v>2293</v>
      </c>
      <c r="AM91" t="s">
        <v>47</v>
      </c>
      <c r="AN91" t="s">
        <v>3768</v>
      </c>
      <c r="AO91" t="s">
        <v>47</v>
      </c>
      <c r="AP91" t="s">
        <v>47</v>
      </c>
      <c r="AQ91" t="s">
        <v>3769</v>
      </c>
      <c r="AR91" t="s">
        <v>3770</v>
      </c>
      <c r="AS91" t="s">
        <v>3771</v>
      </c>
      <c r="AT91" t="s">
        <v>2294</v>
      </c>
      <c r="AU91" t="s">
        <v>3772</v>
      </c>
      <c r="AV91" t="s">
        <v>3773</v>
      </c>
      <c r="AW91" t="s">
        <v>3774</v>
      </c>
      <c r="AX91" t="s">
        <v>579</v>
      </c>
      <c r="AY91" t="s">
        <v>59</v>
      </c>
      <c r="AZ91" t="s">
        <v>398</v>
      </c>
      <c r="BA91" t="s">
        <v>712</v>
      </c>
      <c r="BB91" t="s">
        <v>675</v>
      </c>
      <c r="BC91" t="s">
        <v>1431</v>
      </c>
      <c r="BD91" t="s">
        <v>1008</v>
      </c>
      <c r="BE91" t="s">
        <v>744</v>
      </c>
      <c r="BF91" t="s">
        <v>745</v>
      </c>
      <c r="BG91" t="s">
        <v>746</v>
      </c>
      <c r="BH91" t="s">
        <v>139</v>
      </c>
      <c r="BI91" t="s">
        <v>396</v>
      </c>
      <c r="BJ91" t="s">
        <v>579</v>
      </c>
      <c r="BK91" t="s">
        <v>2289</v>
      </c>
      <c r="BL91" t="s">
        <v>3775</v>
      </c>
      <c r="BM91" t="s">
        <v>1431</v>
      </c>
      <c r="BN91">
        <v>0.68</v>
      </c>
      <c r="BO91">
        <v>6.86</v>
      </c>
      <c r="BP91">
        <v>4.87</v>
      </c>
      <c r="BQ91">
        <v>1.98</v>
      </c>
      <c r="BR91">
        <v>4.43</v>
      </c>
      <c r="BS91">
        <v>6.04</v>
      </c>
      <c r="BT91" t="s">
        <v>1208</v>
      </c>
      <c r="BU91" t="s">
        <v>1075</v>
      </c>
      <c r="BV91">
        <v>73.209999999999994</v>
      </c>
      <c r="BW91">
        <v>60.8</v>
      </c>
      <c r="BX91">
        <v>73.11</v>
      </c>
      <c r="BY91">
        <v>-1.86</v>
      </c>
      <c r="BZ91">
        <v>15.54</v>
      </c>
      <c r="CA91">
        <v>13.78</v>
      </c>
      <c r="CB91">
        <v>-2.5299999999999998</v>
      </c>
      <c r="CC91">
        <v>-22.2</v>
      </c>
      <c r="CD91" t="s">
        <v>3776</v>
      </c>
      <c r="CE91" t="s">
        <v>3777</v>
      </c>
      <c r="CF91" s="8">
        <v>-0.42689107142857152</v>
      </c>
      <c r="CG91" s="9">
        <v>-0.11902676801057502</v>
      </c>
      <c r="CH91" s="8">
        <v>1.0141509771347046</v>
      </c>
      <c r="CI91" s="8">
        <v>0.45704466104507446</v>
      </c>
      <c r="CJ91" s="8">
        <v>2.1052632480859756E-2</v>
      </c>
      <c r="CK91" s="8">
        <v>0.11764705926179886</v>
      </c>
      <c r="CL91" s="8">
        <v>0.1383928507566452</v>
      </c>
      <c r="CM91" s="9">
        <v>1.0212163925170898</v>
      </c>
      <c r="CN91" s="9">
        <v>-0.14491069316864014</v>
      </c>
      <c r="CO91" s="9">
        <v>0.22263810038566589</v>
      </c>
      <c r="CP91" s="9">
        <v>7.6939553022384644E-2</v>
      </c>
      <c r="CQ91" s="9">
        <v>1.4660899639129639</v>
      </c>
      <c r="CR91">
        <v>24.910187942751421</v>
      </c>
      <c r="CS91">
        <v>0.71241652886641449</v>
      </c>
      <c r="CT91">
        <v>0</v>
      </c>
      <c r="CU91" s="8">
        <v>0.34965763613581657</v>
      </c>
      <c r="CV91" s="9">
        <v>0.52839466333389284</v>
      </c>
      <c r="CW91">
        <v>0.06</v>
      </c>
      <c r="CX91">
        <v>1.921575381252804</v>
      </c>
      <c r="CY91">
        <v>104160337.37354998</v>
      </c>
      <c r="CZ91">
        <v>0.34965763613581657</v>
      </c>
      <c r="DA91">
        <v>0.50747484764188755</v>
      </c>
      <c r="DB91">
        <v>394407606.46573418</v>
      </c>
      <c r="DC91">
        <v>0.33217475432902571</v>
      </c>
      <c r="DD91">
        <v>0.18350902811302644</v>
      </c>
      <c r="DE91">
        <v>1090692605.4707396</v>
      </c>
      <c r="DF91">
        <v>0.30769871979951857</v>
      </c>
      <c r="DG91">
        <v>7.5307864119935855E-2</v>
      </c>
      <c r="DH91">
        <v>2657782720.8223109</v>
      </c>
      <c r="DI91">
        <v>0.27972610890865329</v>
      </c>
      <c r="DJ91">
        <v>1.5216937521905021E-2</v>
      </c>
      <c r="DK91">
        <v>13153234000.723085</v>
      </c>
      <c r="DL91">
        <v>0.2447603452950716</v>
      </c>
      <c r="DM91">
        <v>81805900</v>
      </c>
      <c r="DN91">
        <v>0.34965763613581657</v>
      </c>
      <c r="DO91">
        <v>200151940</v>
      </c>
      <c r="DP91">
        <v>455624180</v>
      </c>
      <c r="DQ91">
        <v>4730</v>
      </c>
      <c r="DR91">
        <v>-0.7765487075643881</v>
      </c>
      <c r="DS91">
        <v>-0.64742143134446783</v>
      </c>
      <c r="DT91" s="10">
        <v>4.33333333333333E-2</v>
      </c>
      <c r="DU91">
        <v>0.66666666666666663</v>
      </c>
      <c r="DV91">
        <v>0.71</v>
      </c>
      <c r="DW91">
        <v>-8.1139639639639647</v>
      </c>
      <c r="DX91">
        <v>0.45339120322641735</v>
      </c>
      <c r="DY91">
        <v>-8.0208999884758043</v>
      </c>
      <c r="DZ91">
        <v>757</v>
      </c>
      <c r="EA91">
        <v>-8.0178038453689187</v>
      </c>
      <c r="EB91">
        <v>8</v>
      </c>
      <c r="EC91">
        <v>3.9809584291692325E-2</v>
      </c>
      <c r="ED91">
        <v>0.21707466656698157</v>
      </c>
      <c r="EE91" s="11">
        <v>4.0010000000000003</v>
      </c>
      <c r="EF91">
        <v>4.0175099999999997</v>
      </c>
      <c r="EG91">
        <v>27.183391203226417</v>
      </c>
      <c r="EH91" t="s">
        <v>1638</v>
      </c>
      <c r="EI91">
        <v>0</v>
      </c>
      <c r="EJ91">
        <v>1</v>
      </c>
      <c r="EK91" s="13">
        <v>45470</v>
      </c>
      <c r="EL91" s="14">
        <v>-1.27</v>
      </c>
      <c r="EM91" s="14">
        <v>-3.14</v>
      </c>
      <c r="EN91" s="14">
        <v>0</v>
      </c>
      <c r="EO91" s="14">
        <v>3.24</v>
      </c>
      <c r="EP91" s="14">
        <v>-1.85</v>
      </c>
    </row>
    <row r="92" spans="1:146" ht="144" x14ac:dyDescent="0.25">
      <c r="A92" s="7" t="s">
        <v>1166</v>
      </c>
      <c r="B92" s="7"/>
      <c r="C92" s="7" t="str">
        <f>"公司是国内领先的骨科医疗器械厂商，主营业务系植入性骨科医疗器械的研发、生产与销售。公司主要产品为关节假体产品及脊柱类植入产品，其中关节假体产品涵盖髋、膝、肩、肘四大人体关节"&amp;CHAR(10)&amp;Basic_Fundamental_Information_Constructure(F92)&amp;CHAR(10)&amp;Basic_Fundamental_Information_Concatenate("关节假体产品 10.39亿 93.77% 95.05% 78.08%
脊椎类产品 6809.98万 6.15% 4.95% 62.02%")</f>
        <v>公司是国内领先的骨科医疗器械厂商，主营业务系植入性骨科医疗器械的研发、生产与销售。公司主要产品为关节假体产品及脊柱类植入产品，其中关节假体产品涵盖髋、膝、肩、肘四大人体关节
市值54.198229亿, 利润-3500.16万; PE19.55; 平均PE26.63; 平均PEG4.37, PB1.85; ROIC11.7%; ROE14.7833%; 股利率2.5619%; 毛利75.2067%; 净利25.8967%; 上一年度营收增-77.54%, 利润增-111.36%; 当季营收增269.69%, 利润增156.88%; 过往5年营收增6.09%, 利润增8.21%
Income profile:
关节假体产品 10.39亿 93.77% 95.05% 78.08%
脊椎类产品 6809.98万 6.15% 4.95% 62.02%</v>
      </c>
      <c r="D92" t="s">
        <v>1009</v>
      </c>
      <c r="E92" t="s">
        <v>1010</v>
      </c>
      <c r="F92">
        <v>14.13</v>
      </c>
      <c r="G92">
        <v>5.13</v>
      </c>
      <c r="H92" t="s">
        <v>3778</v>
      </c>
      <c r="I92">
        <v>5419822900</v>
      </c>
      <c r="J92">
        <v>19.55</v>
      </c>
      <c r="K92">
        <v>1.85</v>
      </c>
      <c r="L92" t="s">
        <v>40</v>
      </c>
      <c r="M92" t="s">
        <v>1547</v>
      </c>
      <c r="N92" t="s">
        <v>3779</v>
      </c>
      <c r="O92" t="s">
        <v>316</v>
      </c>
      <c r="P92">
        <v>-9.9499999999999993</v>
      </c>
      <c r="Q92" t="s">
        <v>1180</v>
      </c>
      <c r="R92">
        <v>55199616</v>
      </c>
      <c r="S92" s="3">
        <v>-1.18E-2</v>
      </c>
      <c r="T92" t="s">
        <v>3780</v>
      </c>
      <c r="U92">
        <v>79294665</v>
      </c>
      <c r="V92">
        <v>383568500</v>
      </c>
      <c r="W92">
        <v>1.21</v>
      </c>
      <c r="X92">
        <v>0.06</v>
      </c>
      <c r="Y92">
        <v>24.84</v>
      </c>
      <c r="Z92" t="s">
        <v>97</v>
      </c>
      <c r="AA92" t="s">
        <v>3781</v>
      </c>
      <c r="AB92" t="s">
        <v>3782</v>
      </c>
      <c r="AC92" t="s">
        <v>3783</v>
      </c>
      <c r="AD92" t="s">
        <v>47</v>
      </c>
      <c r="AE92">
        <v>-1084147</v>
      </c>
      <c r="AF92" t="s">
        <v>2296</v>
      </c>
      <c r="AG92" t="s">
        <v>3784</v>
      </c>
      <c r="AH92" t="s">
        <v>2297</v>
      </c>
      <c r="AI92" t="s">
        <v>1328</v>
      </c>
      <c r="AJ92" t="s">
        <v>2298</v>
      </c>
      <c r="AK92" t="s">
        <v>3785</v>
      </c>
      <c r="AL92" t="s">
        <v>2299</v>
      </c>
      <c r="AM92" t="s">
        <v>47</v>
      </c>
      <c r="AN92" t="s">
        <v>412</v>
      </c>
      <c r="AO92" t="s">
        <v>47</v>
      </c>
      <c r="AP92" t="s">
        <v>47</v>
      </c>
      <c r="AQ92" t="s">
        <v>1061</v>
      </c>
      <c r="AR92" t="s">
        <v>47</v>
      </c>
      <c r="AS92" t="s">
        <v>327</v>
      </c>
      <c r="AT92" t="s">
        <v>47</v>
      </c>
      <c r="AU92" t="s">
        <v>3786</v>
      </c>
      <c r="AV92" t="s">
        <v>3787</v>
      </c>
      <c r="AW92" t="s">
        <v>47</v>
      </c>
      <c r="AX92" t="s">
        <v>1432</v>
      </c>
      <c r="AY92" t="s">
        <v>613</v>
      </c>
      <c r="AZ92" t="s">
        <v>1011</v>
      </c>
      <c r="BA92" t="s">
        <v>1012</v>
      </c>
      <c r="BB92" t="s">
        <v>866</v>
      </c>
      <c r="BC92" t="s">
        <v>449</v>
      </c>
      <c r="BD92" t="s">
        <v>106</v>
      </c>
      <c r="BE92" t="s">
        <v>171</v>
      </c>
      <c r="BF92" t="s">
        <v>914</v>
      </c>
      <c r="BG92" t="s">
        <v>292</v>
      </c>
      <c r="BH92" t="s">
        <v>2196</v>
      </c>
      <c r="BI92" t="s">
        <v>3788</v>
      </c>
      <c r="BJ92" t="s">
        <v>1432</v>
      </c>
      <c r="BK92" t="s">
        <v>1087</v>
      </c>
      <c r="BL92" t="s">
        <v>3789</v>
      </c>
      <c r="BM92" t="s">
        <v>449</v>
      </c>
      <c r="BN92">
        <v>6.27</v>
      </c>
      <c r="BO92">
        <v>11.15</v>
      </c>
      <c r="BP92">
        <v>17.68</v>
      </c>
      <c r="BQ92">
        <v>6.52</v>
      </c>
      <c r="BR92">
        <v>11.85</v>
      </c>
      <c r="BS92">
        <v>25.98</v>
      </c>
      <c r="BT92" t="s">
        <v>2302</v>
      </c>
      <c r="BU92" t="s">
        <v>1079</v>
      </c>
      <c r="BV92">
        <v>72.48</v>
      </c>
      <c r="BW92">
        <v>76.03</v>
      </c>
      <c r="BX92">
        <v>77.11</v>
      </c>
      <c r="BY92">
        <v>22.99</v>
      </c>
      <c r="BZ92">
        <v>25.61</v>
      </c>
      <c r="CA92">
        <v>29.09</v>
      </c>
      <c r="CB92">
        <v>-0.35</v>
      </c>
      <c r="CC92">
        <v>-26.02</v>
      </c>
      <c r="CD92" t="s">
        <v>3790</v>
      </c>
      <c r="CE92" t="s">
        <v>3791</v>
      </c>
      <c r="CF92" s="8">
        <v>2.6969130775802208</v>
      </c>
      <c r="CG92" s="9">
        <v>1.5687740998757487</v>
      </c>
      <c r="CH92" s="8">
        <v>-0.77537435293197632</v>
      </c>
      <c r="CI92" s="8">
        <v>8.4837548434734344E-2</v>
      </c>
      <c r="CJ92" s="8">
        <v>0.18123666942119598</v>
      </c>
      <c r="CK92" s="8">
        <v>9.7076021134853363E-2</v>
      </c>
      <c r="CL92" s="8">
        <v>0.71686744689941406</v>
      </c>
      <c r="CM92" s="9">
        <v>-1.1136415004730225</v>
      </c>
      <c r="CN92" s="9">
        <v>-4.3478261679410934E-2</v>
      </c>
      <c r="CO92" s="9">
        <v>0.13780918717384338</v>
      </c>
      <c r="CP92" s="9">
        <v>0.19409282505512238</v>
      </c>
      <c r="CQ92" s="9">
        <v>1.2358490228652954</v>
      </c>
      <c r="CR92">
        <v>26.633071263647846</v>
      </c>
      <c r="CS92">
        <v>4.3711889252636764</v>
      </c>
      <c r="CT92">
        <v>2.5619249823071479</v>
      </c>
      <c r="CU92" s="8">
        <v>6.0928666591644288E-2</v>
      </c>
      <c r="CV92" s="9">
        <v>8.212625458836556E-2</v>
      </c>
      <c r="CW92">
        <v>0.06</v>
      </c>
      <c r="CX92" t="e">
        <v>#VALUE!</v>
      </c>
      <c r="CY92" t="s">
        <v>1038</v>
      </c>
      <c r="CZ92">
        <v>6.0928666591644288E-2</v>
      </c>
      <c r="DA92" t="e">
        <v>#VALUE!</v>
      </c>
      <c r="DB92" t="s">
        <v>1038</v>
      </c>
      <c r="DC92">
        <v>5.7882233262062072E-2</v>
      </c>
      <c r="DD92" t="e">
        <v>#VALUE!</v>
      </c>
      <c r="DE92" t="s">
        <v>1038</v>
      </c>
      <c r="DF92">
        <v>5.3617226600646974E-2</v>
      </c>
      <c r="DG92" t="e">
        <v>#VALUE!</v>
      </c>
      <c r="DH92" t="s">
        <v>1038</v>
      </c>
      <c r="DI92">
        <v>4.8742933273315435E-2</v>
      </c>
      <c r="DJ92" t="e">
        <v>#VALUE!</v>
      </c>
      <c r="DK92" t="s">
        <v>1038</v>
      </c>
      <c r="DL92">
        <v>4.2650066614151001E-2</v>
      </c>
      <c r="DM92">
        <v>-35001600</v>
      </c>
      <c r="DN92">
        <v>6.0928666591644288E-2</v>
      </c>
      <c r="DO92">
        <v>3255822900</v>
      </c>
      <c r="DP92">
        <v>2384501400</v>
      </c>
      <c r="DQ92">
        <v>4748</v>
      </c>
      <c r="DR92">
        <v>2.6359844109885766</v>
      </c>
      <c r="DS92">
        <v>1.486647845287383</v>
      </c>
      <c r="DT92" s="10">
        <v>-0.44</v>
      </c>
      <c r="DU92">
        <v>-0.43333333333333335</v>
      </c>
      <c r="DV92">
        <v>-0.87333333333333329</v>
      </c>
      <c r="DW92">
        <v>-3.1133214285714286</v>
      </c>
      <c r="DX92">
        <v>0.58668903468786904</v>
      </c>
      <c r="DY92">
        <v>-3.0154897966808787</v>
      </c>
      <c r="DZ92">
        <v>2447</v>
      </c>
      <c r="EA92">
        <v>-3.0080722756479803</v>
      </c>
      <c r="EB92">
        <v>3</v>
      </c>
      <c r="EC92">
        <v>2.3844502350949048E-2</v>
      </c>
      <c r="ED92">
        <v>0.17444341753819723</v>
      </c>
      <c r="EE92" s="11">
        <v>-7.0304000000000002</v>
      </c>
      <c r="EF92">
        <v>-7.0038999999999998</v>
      </c>
      <c r="EG92">
        <v>45.136689034687869</v>
      </c>
      <c r="EH92" t="s">
        <v>3792</v>
      </c>
      <c r="EI92">
        <v>0</v>
      </c>
      <c r="EJ92">
        <v>0</v>
      </c>
      <c r="EK92" s="13">
        <v>45470</v>
      </c>
      <c r="EL92" s="14">
        <v>-2.76</v>
      </c>
      <c r="EM92" s="14">
        <v>-6.3</v>
      </c>
      <c r="EN92" s="14">
        <v>0.87</v>
      </c>
      <c r="EO92" s="14">
        <v>3.46</v>
      </c>
      <c r="EP92" s="14">
        <v>-2.65</v>
      </c>
    </row>
    <row r="93" spans="1:146" ht="96" x14ac:dyDescent="0.25">
      <c r="A93" s="7"/>
      <c r="B93" s="7"/>
      <c r="C93" s="7" t="str">
        <f>""&amp;CHAR(10)&amp;Basic_Fundamental_Information_Constructure(F93)&amp;CHAR(10)&amp;Basic_Fundamental_Information_Concatenate("")</f>
        <v xml:space="preserve">
市值49.730228亿, 利润2487.05万; PE18.68; 平均PE32.97; 平均PEG.23, PB2.5; ROIC11.04%; ROE11.1067%; 股利率1.0944%; 毛利71.2833%; 净利35.63%; 上一年度营收增7.83%, 利润增-83.53%; 当季营收增110.45%, 利润增1719.2%; 过往5年营收增140.52%, 利润增494.2%
Income profile:
</v>
      </c>
      <c r="D93" t="s">
        <v>1121</v>
      </c>
      <c r="E93" t="s">
        <v>1122</v>
      </c>
      <c r="F93">
        <v>36.549999999999997</v>
      </c>
      <c r="G93">
        <v>2.73</v>
      </c>
      <c r="H93" t="s">
        <v>3793</v>
      </c>
      <c r="I93">
        <v>4973022800</v>
      </c>
      <c r="J93">
        <v>18.68</v>
      </c>
      <c r="K93">
        <v>2.5</v>
      </c>
      <c r="L93" t="s">
        <v>40</v>
      </c>
      <c r="M93" t="s">
        <v>675</v>
      </c>
      <c r="N93" t="s">
        <v>65</v>
      </c>
      <c r="O93" t="s">
        <v>492</v>
      </c>
      <c r="P93">
        <v>109.36</v>
      </c>
      <c r="Q93" t="s">
        <v>1493</v>
      </c>
      <c r="R93">
        <v>146085280</v>
      </c>
      <c r="S93" s="3">
        <v>1.714</v>
      </c>
      <c r="T93" t="s">
        <v>3794</v>
      </c>
      <c r="U93">
        <v>66878381</v>
      </c>
      <c r="V93">
        <v>136060820</v>
      </c>
      <c r="W93">
        <v>1.0900000000000001</v>
      </c>
      <c r="X93">
        <v>0.13</v>
      </c>
      <c r="Y93">
        <v>51.87</v>
      </c>
      <c r="Z93" t="s">
        <v>3795</v>
      </c>
      <c r="AA93" t="s">
        <v>3796</v>
      </c>
      <c r="AB93" t="s">
        <v>3797</v>
      </c>
      <c r="AC93" t="s">
        <v>3798</v>
      </c>
      <c r="AD93" t="s">
        <v>47</v>
      </c>
      <c r="AE93">
        <v>-1412989</v>
      </c>
      <c r="AF93" t="s">
        <v>2303</v>
      </c>
      <c r="AG93" t="s">
        <v>3799</v>
      </c>
      <c r="AH93" t="s">
        <v>2304</v>
      </c>
      <c r="AI93" t="s">
        <v>216</v>
      </c>
      <c r="AJ93" t="s">
        <v>2305</v>
      </c>
      <c r="AK93" t="s">
        <v>47</v>
      </c>
      <c r="AL93" t="s">
        <v>2306</v>
      </c>
      <c r="AM93" t="s">
        <v>47</v>
      </c>
      <c r="AN93">
        <v>0</v>
      </c>
      <c r="AO93" t="s">
        <v>47</v>
      </c>
      <c r="AP93" t="s">
        <v>47</v>
      </c>
      <c r="AQ93" t="s">
        <v>3800</v>
      </c>
      <c r="AR93" t="s">
        <v>47</v>
      </c>
      <c r="AS93" t="s">
        <v>517</v>
      </c>
      <c r="AT93" t="s">
        <v>47</v>
      </c>
      <c r="AU93" t="s">
        <v>468</v>
      </c>
      <c r="AV93" t="s">
        <v>3801</v>
      </c>
      <c r="AW93" t="s">
        <v>3802</v>
      </c>
      <c r="AX93" t="s">
        <v>658</v>
      </c>
      <c r="AY93" t="s">
        <v>723</v>
      </c>
      <c r="AZ93" t="s">
        <v>1060</v>
      </c>
      <c r="BA93" t="s">
        <v>301</v>
      </c>
      <c r="BB93" t="s">
        <v>1123</v>
      </c>
      <c r="BC93" t="s">
        <v>54</v>
      </c>
      <c r="BD93" t="s">
        <v>198</v>
      </c>
      <c r="BE93" t="s">
        <v>460</v>
      </c>
      <c r="BF93" t="s">
        <v>1124</v>
      </c>
      <c r="BG93" t="s">
        <v>1125</v>
      </c>
      <c r="BH93" t="s">
        <v>1083</v>
      </c>
      <c r="BI93" t="s">
        <v>478</v>
      </c>
      <c r="BJ93" t="s">
        <v>658</v>
      </c>
      <c r="BK93" t="s">
        <v>293</v>
      </c>
      <c r="BL93" t="s">
        <v>3803</v>
      </c>
      <c r="BM93" t="s">
        <v>54</v>
      </c>
      <c r="BN93">
        <v>4.58</v>
      </c>
      <c r="BO93">
        <v>11.79</v>
      </c>
      <c r="BP93">
        <v>16.75</v>
      </c>
      <c r="BQ93">
        <v>5.03</v>
      </c>
      <c r="BR93">
        <v>11.77</v>
      </c>
      <c r="BS93">
        <v>16.52</v>
      </c>
      <c r="BT93" t="s">
        <v>1324</v>
      </c>
      <c r="BU93" t="s">
        <v>1075</v>
      </c>
      <c r="BV93">
        <v>75.98</v>
      </c>
      <c r="BW93">
        <v>61.2</v>
      </c>
      <c r="BX93">
        <v>76.67</v>
      </c>
      <c r="BY93">
        <v>36.39</v>
      </c>
      <c r="BZ93">
        <v>33.74</v>
      </c>
      <c r="CA93">
        <v>36.76</v>
      </c>
      <c r="CB93">
        <v>-4.09</v>
      </c>
      <c r="CC93">
        <v>-7.82</v>
      </c>
      <c r="CD93" t="s">
        <v>3804</v>
      </c>
      <c r="CE93" t="s">
        <v>3805</v>
      </c>
      <c r="CF93" s="8">
        <v>1.1044776119402984</v>
      </c>
      <c r="CG93" s="9">
        <v>17.191985255659883</v>
      </c>
      <c r="CH93" s="8">
        <v>7.8299775719642639E-2</v>
      </c>
      <c r="CI93" s="8">
        <v>0.36697247624397278</v>
      </c>
      <c r="CJ93" s="8">
        <v>-0.68466728925704956</v>
      </c>
      <c r="CK93" s="8">
        <v>6.5144929885864258</v>
      </c>
      <c r="CL93" s="8">
        <v>0.75069814920425415</v>
      </c>
      <c r="CM93" s="9">
        <v>-0.83529472351074219</v>
      </c>
      <c r="CN93" s="9">
        <v>0.25833332538604736</v>
      </c>
      <c r="CO93" s="9">
        <v>-0.78984236717224121</v>
      </c>
      <c r="CP93" s="9">
        <v>25.822244644165039</v>
      </c>
      <c r="CQ93" s="9">
        <v>0.25467371940612793</v>
      </c>
      <c r="CR93">
        <v>32.965727202621508</v>
      </c>
      <c r="CS93">
        <v>0.23460492399066621</v>
      </c>
      <c r="CT93">
        <v>1.094391244870041</v>
      </c>
      <c r="CU93" s="8">
        <v>1.4051592200994492</v>
      </c>
      <c r="CV93" s="9">
        <v>4.9420229196548462</v>
      </c>
      <c r="CW93">
        <v>0.06</v>
      </c>
      <c r="CX93">
        <v>56.830249747039723</v>
      </c>
      <c r="CY93">
        <v>56431615.456116363</v>
      </c>
      <c r="CZ93">
        <v>1.4051592200994492</v>
      </c>
      <c r="DA93">
        <v>7.267763558889401</v>
      </c>
      <c r="DB93">
        <v>441266804.29461724</v>
      </c>
      <c r="DC93">
        <v>1.3349012590944767</v>
      </c>
      <c r="DD93">
        <v>0.77762985420668462</v>
      </c>
      <c r="DE93">
        <v>4124099380.5101676</v>
      </c>
      <c r="DF93">
        <v>1.2365401136875154</v>
      </c>
      <c r="DG93">
        <v>6.1929821330625447E-2</v>
      </c>
      <c r="DH93">
        <v>51784790123.624458</v>
      </c>
      <c r="DI93">
        <v>1.1241273760795594</v>
      </c>
      <c r="DJ93">
        <v>2.1648955966473865E-4</v>
      </c>
      <c r="DK93">
        <v>14813752704594.525</v>
      </c>
      <c r="DL93">
        <v>0.98361145406961437</v>
      </c>
      <c r="DM93">
        <v>24870500</v>
      </c>
      <c r="DN93">
        <v>1.4051592200994492</v>
      </c>
      <c r="DO93">
        <v>3207022800</v>
      </c>
      <c r="DP93">
        <v>1797775900</v>
      </c>
      <c r="DQ93">
        <v>4759</v>
      </c>
      <c r="DR93">
        <v>-0.30068160815915079</v>
      </c>
      <c r="DS93">
        <v>12.249962336005037</v>
      </c>
      <c r="DT93" s="10">
        <v>8.1666666666666624E-2</v>
      </c>
      <c r="DU93">
        <v>0.65499999999999992</v>
      </c>
      <c r="DV93">
        <v>0.73666666666666658</v>
      </c>
      <c r="DW93">
        <v>-8.5230179028132991</v>
      </c>
      <c r="DX93">
        <v>0.39386034821105526</v>
      </c>
      <c r="DY93">
        <v>-8.1066226117881346</v>
      </c>
      <c r="DZ93">
        <v>2278</v>
      </c>
      <c r="EA93">
        <v>-8.0590910443412902</v>
      </c>
      <c r="EB93">
        <v>8</v>
      </c>
      <c r="EC93">
        <v>7.9938515731420703E-2</v>
      </c>
      <c r="ED93">
        <v>0.39212390458913893</v>
      </c>
      <c r="EE93" s="11">
        <v>-3.0701100000000001</v>
      </c>
      <c r="EF93">
        <v>-3.0968100000000001</v>
      </c>
      <c r="EG93">
        <v>19.203860348211055</v>
      </c>
      <c r="EH93" t="s">
        <v>1538</v>
      </c>
      <c r="EI93">
        <v>0</v>
      </c>
      <c r="EJ93">
        <v>0</v>
      </c>
      <c r="EK93" s="13">
        <v>45470</v>
      </c>
      <c r="EL93" s="14">
        <v>0.33</v>
      </c>
      <c r="EM93" s="14">
        <v>-4.75</v>
      </c>
      <c r="EN93" s="14">
        <v>0.6</v>
      </c>
      <c r="EO93" s="14">
        <v>2.0299999999999998</v>
      </c>
      <c r="EP93" s="14">
        <v>-2.67</v>
      </c>
    </row>
    <row r="94" spans="1:146" ht="216" x14ac:dyDescent="0.25">
      <c r="A94" s="7" t="s">
        <v>1583</v>
      </c>
      <c r="B94" s="7" t="s">
        <v>1582</v>
      </c>
      <c r="C94" s="7" t="str">
        <f>"公司致力于为全球客户提供高性能医学影像设备、放射治疗产品、生命科学仪器及医疗数字化、智能化解决方案。自设立以来，公司持续进行高强度研发投入，致力于攻克医学影像设备、放射治疗产品等大型医疗装备领域的核心技术；经过多年努力，公司已经构建包括医学影像设备、放射治疗产品、生命科学仪器在内的完整产品线布局。"&amp;CHAR(10)&amp;Basic_Fundamental_Information_Constructure(F94)&amp;CHAR(10)&amp;Basic_Fundamental_Information_Concatenate("（境外销售占比13.6%）
销售医学影像诊断设备及放射治疗设备 66.24亿 91.32% 92.11% 49.85%
提供维修收入 4.39亿 6.06% 5.91% 48.21%
其他业务 1.06亿 1.47% 0.89% 30.02%
软件收入 8415.76万 1.16% 1.09% 46.60%")</f>
        <v>公司致力于为全球客户提供高性能医学影像设备、放射治疗产品、生命科学仪器及医疗数字化、智能化解决方案。自设立以来，公司持续进行高强度研发投入，致力于攻克医学影像设备、放射治疗产品等大型医疗装备领域的核心技术；经过多年努力，公司已经构建包括医学影像设备、放射治疗产品、生命科学仪器在内的完整产品线布局。
市值890.25546亿, 利润-9631.87万; PE44.34; 平均PE145.14; 平均PEG7.61, PB4.63; ROIC16.35%; ROE18.7433%; 股利率.2314%; 毛利48.7567%; 净利18.18%; 上一年度营收增-97.74%, 利润增-105.82%; 当季营收增7503.6%, 利润增1999.09%; 过往5年营收增19.06%, 利润增267.57%
Income profile:
（境外销售占比13.6%）
销售医学影像诊断设备及放射治疗设备 66.24亿 91.32% 92.11% 49.85%
提供维修收入 4.39亿 6.06% 5.91% 48.21%
其他业务 1.06亿 1.47% 0.89% 30.02%
软件收入 8415.76万 1.16% 1.09% 46.60%</v>
      </c>
      <c r="D94" t="s">
        <v>1126</v>
      </c>
      <c r="E94" t="s">
        <v>1127</v>
      </c>
      <c r="F94">
        <v>108.02</v>
      </c>
      <c r="G94">
        <v>4.29</v>
      </c>
      <c r="H94" t="s">
        <v>3806</v>
      </c>
      <c r="I94">
        <v>89025546000</v>
      </c>
      <c r="J94">
        <v>44.34</v>
      </c>
      <c r="K94">
        <v>4.63</v>
      </c>
      <c r="L94" t="s">
        <v>40</v>
      </c>
      <c r="M94" t="s">
        <v>2307</v>
      </c>
      <c r="N94" t="s">
        <v>3807</v>
      </c>
      <c r="O94" t="s">
        <v>2308</v>
      </c>
      <c r="P94">
        <v>6.22</v>
      </c>
      <c r="Q94" t="s">
        <v>48</v>
      </c>
      <c r="R94">
        <v>363297720</v>
      </c>
      <c r="S94" s="3">
        <v>0.10199999999999999</v>
      </c>
      <c r="T94" t="s">
        <v>3808</v>
      </c>
      <c r="U94">
        <v>589298980</v>
      </c>
      <c r="V94">
        <v>824157990</v>
      </c>
      <c r="W94">
        <v>1.32</v>
      </c>
      <c r="X94">
        <v>0.09</v>
      </c>
      <c r="Y94">
        <v>15.4</v>
      </c>
      <c r="Z94" t="s">
        <v>3809</v>
      </c>
      <c r="AA94" t="s">
        <v>2447</v>
      </c>
      <c r="AB94" t="s">
        <v>602</v>
      </c>
      <c r="AC94" t="s">
        <v>180</v>
      </c>
      <c r="AD94" t="s">
        <v>47</v>
      </c>
      <c r="AE94">
        <v>-40690793</v>
      </c>
      <c r="AF94" t="s">
        <v>2311</v>
      </c>
      <c r="AG94" t="s">
        <v>3810</v>
      </c>
      <c r="AH94" t="s">
        <v>2312</v>
      </c>
      <c r="AI94" t="s">
        <v>3811</v>
      </c>
      <c r="AJ94" t="s">
        <v>2313</v>
      </c>
      <c r="AK94" t="s">
        <v>3812</v>
      </c>
      <c r="AL94" t="s">
        <v>2314</v>
      </c>
      <c r="AM94" t="s">
        <v>47</v>
      </c>
      <c r="AN94" t="s">
        <v>3243</v>
      </c>
      <c r="AO94" t="s">
        <v>3813</v>
      </c>
      <c r="AP94" t="s">
        <v>594</v>
      </c>
      <c r="AQ94" t="s">
        <v>3814</v>
      </c>
      <c r="AR94" t="s">
        <v>47</v>
      </c>
      <c r="AS94" t="s">
        <v>3815</v>
      </c>
      <c r="AT94" t="s">
        <v>47</v>
      </c>
      <c r="AU94" t="s">
        <v>1825</v>
      </c>
      <c r="AV94" t="s">
        <v>3816</v>
      </c>
      <c r="AW94" t="s">
        <v>3817</v>
      </c>
      <c r="AX94" t="s">
        <v>1433</v>
      </c>
      <c r="AY94" t="s">
        <v>1128</v>
      </c>
      <c r="AZ94" t="s">
        <v>1131</v>
      </c>
      <c r="BA94" t="s">
        <v>1132</v>
      </c>
      <c r="BB94" t="s">
        <v>1054</v>
      </c>
      <c r="BC94" t="s">
        <v>1434</v>
      </c>
      <c r="BD94" t="s">
        <v>1129</v>
      </c>
      <c r="BE94" t="s">
        <v>1119</v>
      </c>
      <c r="BF94" t="s">
        <v>1133</v>
      </c>
      <c r="BG94" t="s">
        <v>1134</v>
      </c>
      <c r="BH94" t="s">
        <v>2309</v>
      </c>
      <c r="BI94" t="s">
        <v>3818</v>
      </c>
      <c r="BJ94" t="s">
        <v>1433</v>
      </c>
      <c r="BK94" t="s">
        <v>2310</v>
      </c>
      <c r="BL94" t="s">
        <v>3819</v>
      </c>
      <c r="BM94" t="s">
        <v>1434</v>
      </c>
      <c r="BN94">
        <v>5.3</v>
      </c>
      <c r="BO94">
        <v>13.93</v>
      </c>
      <c r="BP94">
        <v>29.82</v>
      </c>
      <c r="BQ94">
        <v>5.92</v>
      </c>
      <c r="BR94">
        <v>17.48</v>
      </c>
      <c r="BS94">
        <v>32.83</v>
      </c>
      <c r="BT94" t="s">
        <v>2315</v>
      </c>
      <c r="BU94" t="s">
        <v>1032</v>
      </c>
      <c r="BV94">
        <v>48.48</v>
      </c>
      <c r="BW94">
        <v>48.37</v>
      </c>
      <c r="BX94">
        <v>49.42</v>
      </c>
      <c r="BY94">
        <v>17.329999999999998</v>
      </c>
      <c r="BZ94">
        <v>17.86</v>
      </c>
      <c r="CA94">
        <v>19.350000000000001</v>
      </c>
      <c r="CB94">
        <v>-1.53</v>
      </c>
      <c r="CC94">
        <v>-15.03</v>
      </c>
      <c r="CD94" t="s">
        <v>3820</v>
      </c>
      <c r="CE94" t="s">
        <v>3821</v>
      </c>
      <c r="CF94" s="8">
        <v>75.036031372142986</v>
      </c>
      <c r="CG94" s="9">
        <v>19.990894977025736</v>
      </c>
      <c r="CH94" s="8">
        <v>-0.97737598419189453</v>
      </c>
      <c r="CI94" s="8">
        <v>0.27350419759750366</v>
      </c>
      <c r="CJ94" s="8">
        <v>0.25915643572807312</v>
      </c>
      <c r="CK94" s="8">
        <v>0.93387037515640259</v>
      </c>
      <c r="CL94" s="8">
        <v>0.46388205885887146</v>
      </c>
      <c r="CM94" s="9">
        <v>-1.0581635236740112</v>
      </c>
      <c r="CN94" s="9">
        <v>0.16866624355316162</v>
      </c>
      <c r="CO94" s="9">
        <v>0.56921368837356567</v>
      </c>
      <c r="CP94" s="9">
        <v>13.282405853271484</v>
      </c>
      <c r="CQ94" s="9">
        <v>0.41650950908660889</v>
      </c>
      <c r="CR94">
        <v>145.14397696948899</v>
      </c>
      <c r="CS94">
        <v>7.614812662373784</v>
      </c>
      <c r="CT94">
        <v>0.23143862247731903</v>
      </c>
      <c r="CU94" s="8">
        <v>0.19060741662979125</v>
      </c>
      <c r="CV94" s="9">
        <v>2.6757263541221619</v>
      </c>
      <c r="CW94">
        <v>0.06</v>
      </c>
      <c r="CX94" t="e">
        <v>#VALUE!</v>
      </c>
      <c r="CY94" t="s">
        <v>1038</v>
      </c>
      <c r="CZ94">
        <v>0.19060741662979125</v>
      </c>
      <c r="DA94" t="e">
        <v>#VALUE!</v>
      </c>
      <c r="DB94" t="s">
        <v>1038</v>
      </c>
      <c r="DC94">
        <v>0.18107704579830167</v>
      </c>
      <c r="DD94" t="e">
        <v>#VALUE!</v>
      </c>
      <c r="DE94" t="s">
        <v>1038</v>
      </c>
      <c r="DF94">
        <v>0.16773452663421631</v>
      </c>
      <c r="DG94" t="e">
        <v>#VALUE!</v>
      </c>
      <c r="DH94" t="s">
        <v>1038</v>
      </c>
      <c r="DI94">
        <v>0.152485933303833</v>
      </c>
      <c r="DJ94" t="e">
        <v>#VALUE!</v>
      </c>
      <c r="DK94" t="s">
        <v>1038</v>
      </c>
      <c r="DL94">
        <v>0.13342519164085387</v>
      </c>
      <c r="DM94">
        <v>-96318700.000000015</v>
      </c>
      <c r="DN94">
        <v>0.19060741662979125</v>
      </c>
      <c r="DO94">
        <v>76211546000</v>
      </c>
      <c r="DP94">
        <v>14322733000</v>
      </c>
      <c r="DQ94">
        <v>4774</v>
      </c>
      <c r="DR94">
        <v>74.845423955513198</v>
      </c>
      <c r="DS94">
        <v>17.315168622903574</v>
      </c>
      <c r="DT94" s="10">
        <v>-0.15666666666666673</v>
      </c>
      <c r="DU94">
        <v>0.21999999999999995</v>
      </c>
      <c r="DV94">
        <v>6.3333333333333214E-2</v>
      </c>
      <c r="DW94">
        <v>-2.1503000000000001</v>
      </c>
      <c r="DX94">
        <v>0.52964785047638629</v>
      </c>
      <c r="DY94">
        <v>-2.0209890719266008</v>
      </c>
      <c r="DZ94">
        <v>1600</v>
      </c>
      <c r="EA94">
        <v>-2.0144171511668043</v>
      </c>
      <c r="EB94">
        <v>2</v>
      </c>
      <c r="EC94">
        <v>1.3924999986956387E-2</v>
      </c>
      <c r="ED94">
        <v>9.971510438186737E-2</v>
      </c>
      <c r="EE94" s="11">
        <v>-7.0737100000000002</v>
      </c>
      <c r="EF94">
        <v>-7.0866100000000003</v>
      </c>
      <c r="EG94">
        <v>39.139647850476386</v>
      </c>
      <c r="EH94" t="s">
        <v>3822</v>
      </c>
      <c r="EI94">
        <v>0</v>
      </c>
      <c r="EJ94">
        <v>0</v>
      </c>
      <c r="EK94" s="13">
        <v>45470</v>
      </c>
      <c r="EL94" s="14">
        <v>-1.62</v>
      </c>
      <c r="EM94" s="14">
        <v>-5.94</v>
      </c>
      <c r="EN94" s="14">
        <v>-2.56</v>
      </c>
      <c r="EO94" s="14">
        <v>4.17</v>
      </c>
      <c r="EP94" s="14">
        <v>-1.29</v>
      </c>
    </row>
    <row r="95" spans="1:146" ht="96" x14ac:dyDescent="0.25">
      <c r="A95" s="7"/>
      <c r="B95" s="7"/>
      <c r="C95" s="7" t="str">
        <f>""&amp;CHAR(10)&amp;Basic_Fundamental_Information_Constructure(F95)&amp;CHAR(10)&amp;Basic_Fundamental_Information_Concatenate("")</f>
        <v xml:space="preserve">
市值19.65亿, 利润-15.04亿; PE20.97; 平均PE-12.03; 平均PEG-.02, PB1.44; ROIC19.1%; ROE20.73%; 股利率3.0534%; 毛利70.8633%; 净利32.1833%; 上一年度营收增3129.18%, 利润增-1332.79%; 当季营收增-96.64%, 利润增207.4%; 过往5年营收增650.31%, 利润增-245.65%
Income profile:
</v>
      </c>
      <c r="D95" t="s">
        <v>1135</v>
      </c>
      <c r="E95" t="s">
        <v>1136</v>
      </c>
      <c r="F95">
        <v>19.649999999999999</v>
      </c>
      <c r="G95">
        <v>5.0199999999999996</v>
      </c>
      <c r="H95" t="s">
        <v>3823</v>
      </c>
      <c r="I95">
        <v>1965000000</v>
      </c>
      <c r="J95">
        <v>20.97</v>
      </c>
      <c r="K95">
        <v>1.44</v>
      </c>
      <c r="L95" t="s">
        <v>40</v>
      </c>
      <c r="M95" t="s">
        <v>362</v>
      </c>
      <c r="N95" t="s">
        <v>3824</v>
      </c>
      <c r="O95" t="s">
        <v>174</v>
      </c>
      <c r="P95">
        <v>-4.3899999999999997</v>
      </c>
      <c r="Q95" t="s">
        <v>3825</v>
      </c>
      <c r="R95">
        <v>36286016</v>
      </c>
      <c r="S95" s="3">
        <v>0.12039999999999999</v>
      </c>
      <c r="T95" t="s">
        <v>3826</v>
      </c>
      <c r="U95">
        <v>35826790</v>
      </c>
      <c r="V95">
        <v>100000000</v>
      </c>
      <c r="W95">
        <v>1.1100000000000001</v>
      </c>
      <c r="X95">
        <v>7.0000000000000007E-2</v>
      </c>
      <c r="Y95">
        <v>36.6</v>
      </c>
      <c r="Z95" t="s">
        <v>3827</v>
      </c>
      <c r="AA95" t="s">
        <v>3828</v>
      </c>
      <c r="AB95" t="s">
        <v>3829</v>
      </c>
      <c r="AC95" t="s">
        <v>3830</v>
      </c>
      <c r="AD95" t="s">
        <v>47</v>
      </c>
      <c r="AE95">
        <v>-3799380</v>
      </c>
      <c r="AF95" t="s">
        <v>2317</v>
      </c>
      <c r="AG95" t="s">
        <v>3831</v>
      </c>
      <c r="AH95" t="s">
        <v>2318</v>
      </c>
      <c r="AI95" t="s">
        <v>1894</v>
      </c>
      <c r="AJ95" t="s">
        <v>2320</v>
      </c>
      <c r="AK95" t="s">
        <v>47</v>
      </c>
      <c r="AL95" t="s">
        <v>2321</v>
      </c>
      <c r="AM95" t="s">
        <v>47</v>
      </c>
      <c r="AN95" t="s">
        <v>198</v>
      </c>
      <c r="AO95" t="s">
        <v>3832</v>
      </c>
      <c r="AP95" t="s">
        <v>47</v>
      </c>
      <c r="AQ95" t="s">
        <v>3833</v>
      </c>
      <c r="AR95" t="s">
        <v>47</v>
      </c>
      <c r="AS95" t="s">
        <v>442</v>
      </c>
      <c r="AT95" t="s">
        <v>47</v>
      </c>
      <c r="AU95" t="s">
        <v>3834</v>
      </c>
      <c r="AV95" t="s">
        <v>3835</v>
      </c>
      <c r="AW95" t="s">
        <v>3836</v>
      </c>
      <c r="AX95" t="s">
        <v>1345</v>
      </c>
      <c r="AY95" t="s">
        <v>70</v>
      </c>
      <c r="AZ95" t="s">
        <v>146</v>
      </c>
      <c r="BA95" t="s">
        <v>594</v>
      </c>
      <c r="BB95" t="s">
        <v>175</v>
      </c>
      <c r="BC95" t="s">
        <v>442</v>
      </c>
      <c r="BD95" t="s">
        <v>503</v>
      </c>
      <c r="BE95" t="s">
        <v>442</v>
      </c>
      <c r="BF95" t="s">
        <v>292</v>
      </c>
      <c r="BG95" t="s">
        <v>1137</v>
      </c>
      <c r="BH95" t="s">
        <v>1488</v>
      </c>
      <c r="BI95" t="s">
        <v>3837</v>
      </c>
      <c r="BJ95" t="s">
        <v>1345</v>
      </c>
      <c r="BK95" t="s">
        <v>2316</v>
      </c>
      <c r="BL95" t="s">
        <v>3838</v>
      </c>
      <c r="BM95" t="s">
        <v>442</v>
      </c>
      <c r="BN95">
        <v>5.55</v>
      </c>
      <c r="BO95">
        <v>13.92</v>
      </c>
      <c r="BP95">
        <v>37.83</v>
      </c>
      <c r="BQ95">
        <v>6.18</v>
      </c>
      <c r="BR95">
        <v>16.79</v>
      </c>
      <c r="BS95">
        <v>39.22</v>
      </c>
      <c r="BT95" t="s">
        <v>1218</v>
      </c>
      <c r="BU95" t="s">
        <v>1032</v>
      </c>
      <c r="BV95">
        <v>71.11</v>
      </c>
      <c r="BW95">
        <v>68.55</v>
      </c>
      <c r="BX95">
        <v>72.930000000000007</v>
      </c>
      <c r="BY95">
        <v>27.14</v>
      </c>
      <c r="BZ95">
        <v>34.369999999999997</v>
      </c>
      <c r="CA95">
        <v>35.04</v>
      </c>
      <c r="CB95">
        <v>-0.76</v>
      </c>
      <c r="CC95">
        <v>-15.59</v>
      </c>
      <c r="CD95" t="s">
        <v>3839</v>
      </c>
      <c r="CE95" t="s">
        <v>3840</v>
      </c>
      <c r="CF95" s="8">
        <v>-0.96642995480955451</v>
      </c>
      <c r="CG95" s="9">
        <v>2.073982904363886</v>
      </c>
      <c r="CH95" s="8">
        <v>31.291778564453125</v>
      </c>
      <c r="CI95" s="8">
        <v>0.10233917832374573</v>
      </c>
      <c r="CJ95" s="8">
        <v>1.4836795628070831E-2</v>
      </c>
      <c r="CK95" s="8">
        <v>0.31640625</v>
      </c>
      <c r="CL95" s="8">
        <v>0.79020977020263672</v>
      </c>
      <c r="CM95" s="9">
        <v>-13.327868461608887</v>
      </c>
      <c r="CN95" s="9">
        <v>3.3898305147886276E-2</v>
      </c>
      <c r="CO95" s="9">
        <v>-3.2786883413791656E-2</v>
      </c>
      <c r="CP95" s="9">
        <v>0.15094339847564697</v>
      </c>
      <c r="CQ95" s="9">
        <v>0.89318168163299561</v>
      </c>
      <c r="CR95">
        <v>-12.030494395156945</v>
      </c>
      <c r="CS95">
        <v>-1.8499589871062882E-2</v>
      </c>
      <c r="CT95">
        <v>3.053435114503817</v>
      </c>
      <c r="CU95" s="8">
        <v>6.5031141117215157</v>
      </c>
      <c r="CV95" s="9">
        <v>-2.4565263919532301</v>
      </c>
      <c r="CW95">
        <v>0.06</v>
      </c>
      <c r="CX95" t="e">
        <v>#VALUE!</v>
      </c>
      <c r="CY95" t="s">
        <v>1038</v>
      </c>
      <c r="CZ95">
        <v>6.5031141117215157</v>
      </c>
      <c r="DA95" t="e">
        <v>#VALUE!</v>
      </c>
      <c r="DB95" t="s">
        <v>1038</v>
      </c>
      <c r="DC95">
        <v>6.1779584061354393</v>
      </c>
      <c r="DD95" t="e">
        <v>#VALUE!</v>
      </c>
      <c r="DE95" t="s">
        <v>1038</v>
      </c>
      <c r="DF95">
        <v>5.7227404183149337</v>
      </c>
      <c r="DG95" t="e">
        <v>#VALUE!</v>
      </c>
      <c r="DH95" t="s">
        <v>1038</v>
      </c>
      <c r="DI95">
        <v>5.2024912893772131</v>
      </c>
      <c r="DJ95" t="e">
        <v>#VALUE!</v>
      </c>
      <c r="DK95" t="s">
        <v>1038</v>
      </c>
      <c r="DL95">
        <v>4.5521798782050604</v>
      </c>
      <c r="DM95">
        <v>-1504000000</v>
      </c>
      <c r="DN95">
        <v>6.5031141117215157</v>
      </c>
      <c r="DO95">
        <v>718000000</v>
      </c>
      <c r="DP95">
        <v>985348230</v>
      </c>
      <c r="DQ95">
        <v>4776</v>
      </c>
      <c r="DR95">
        <v>-7.4695440665310704</v>
      </c>
      <c r="DS95">
        <v>4.5305092963171161</v>
      </c>
      <c r="DT95" s="10">
        <v>0.17666666666666661</v>
      </c>
      <c r="DU95">
        <v>-0.87333333333333341</v>
      </c>
      <c r="DV95">
        <v>-0.69666666666666677</v>
      </c>
      <c r="DW95">
        <v>-2.1558999999999999</v>
      </c>
      <c r="DX95">
        <v>0.56096689173303638</v>
      </c>
      <c r="DY95">
        <v>-2.0219767384211806</v>
      </c>
      <c r="DZ95">
        <v>4181</v>
      </c>
      <c r="EA95">
        <v>-2.003995379646434</v>
      </c>
      <c r="EB95">
        <v>2</v>
      </c>
      <c r="EC95">
        <v>3.4176999999999999E-2</v>
      </c>
      <c r="ED95">
        <v>0.24244699999999997</v>
      </c>
      <c r="EE95" s="11">
        <v>-5.02121</v>
      </c>
      <c r="EF95">
        <v>-5.0805100000000003</v>
      </c>
      <c r="EG95">
        <v>42.140966891733036</v>
      </c>
      <c r="EH95" t="s">
        <v>1599</v>
      </c>
      <c r="EI95">
        <v>0</v>
      </c>
      <c r="EJ95">
        <v>0</v>
      </c>
      <c r="EK95" s="13">
        <v>45470</v>
      </c>
      <c r="EL95" s="14">
        <v>-2.42</v>
      </c>
      <c r="EM95" s="14">
        <v>-5.96</v>
      </c>
      <c r="EN95" s="14">
        <v>-1.0900000000000001</v>
      </c>
      <c r="EO95" s="14">
        <v>4.26</v>
      </c>
      <c r="EP95" s="14">
        <v>-5.93</v>
      </c>
    </row>
    <row r="96" spans="1:146" ht="156" x14ac:dyDescent="0.25">
      <c r="A96" s="7" t="s">
        <v>1474</v>
      </c>
      <c r="B96" s="7"/>
      <c r="C96" s="7" t="str">
        <f>"公司是国内骨科手术机器人行业的领军企业,始终专注于骨科手术导航定位机器人的研发、生产、销售和服务。主要产品是骨科手术导航定位机器人、配套设备及耗材、技术服务、手术中心专业工程。"&amp;CHAR(10)&amp;Basic_Fundamental_Information_Constructure(F96)&amp;CHAR(10)&amp;Basic_Fundamental_Information_Concatenate("骨科手术导航定位机器人 9920.35万 63.52% 78.24% 80.88%
技术服务 2144.16万 13.73% 11.09% 53.04%
配套设备及耗材 1676.01万 10.73% 9.06% 55.45%")</f>
        <v>公司是国内骨科手术机器人行业的领军企业,始终专注于骨科手术导航定位机器人的研发、生产、销售和服务。主要产品是骨科手术导航定位机器人、配套设备及耗材、技术服务、手术中心专业工程。
市值33.479699亿, 利润5.55亿; PE; 平均PE72.32; 平均PEG.28, PB2.71; ROIC0%; ROE-8.1267%; 股利率0%; 毛利68.26%; 净利-67.23%; 上一年度营收增1246.15%, 利润增600%; 当季营收增-93.09%, 利润增-111.96%; 过往5年营收增260.22%, 利润增-615.63%
Income profile:
骨科手术导航定位机器人 9920.35万 63.52% 78.24% 80.88%
技术服务 2144.16万 13.73% 11.09% 53.04%
配套设备及耗材 1676.01万 10.73% 9.06% 55.45%</v>
      </c>
      <c r="D96" t="s">
        <v>747</v>
      </c>
      <c r="E96" t="s">
        <v>748</v>
      </c>
      <c r="F96">
        <v>7.45</v>
      </c>
      <c r="G96">
        <v>4.2</v>
      </c>
      <c r="H96" t="s">
        <v>3841</v>
      </c>
      <c r="I96">
        <v>3347969900</v>
      </c>
      <c r="K96">
        <v>2.71</v>
      </c>
      <c r="L96" t="s">
        <v>40</v>
      </c>
      <c r="M96" t="s">
        <v>1449</v>
      </c>
      <c r="N96" t="s">
        <v>3842</v>
      </c>
      <c r="O96" t="s">
        <v>2322</v>
      </c>
      <c r="P96">
        <v>-26.73</v>
      </c>
      <c r="Q96" t="s">
        <v>3843</v>
      </c>
      <c r="R96">
        <v>-10063240</v>
      </c>
      <c r="S96" s="3">
        <v>-2.165</v>
      </c>
      <c r="T96" t="s">
        <v>131</v>
      </c>
      <c r="U96">
        <v>449391940</v>
      </c>
      <c r="V96">
        <v>449391940</v>
      </c>
      <c r="W96">
        <v>1.28</v>
      </c>
      <c r="X96">
        <v>0.02</v>
      </c>
      <c r="Y96">
        <v>-34.770000000000003</v>
      </c>
      <c r="Z96" t="s">
        <v>3844</v>
      </c>
      <c r="AA96" t="s">
        <v>3845</v>
      </c>
      <c r="AB96" t="s">
        <v>1764</v>
      </c>
      <c r="AC96" t="s">
        <v>3846</v>
      </c>
      <c r="AD96" t="s">
        <v>47</v>
      </c>
      <c r="AE96">
        <v>1985982</v>
      </c>
      <c r="AF96" t="s">
        <v>2324</v>
      </c>
      <c r="AG96" t="s">
        <v>47</v>
      </c>
      <c r="AH96" t="s">
        <v>2325</v>
      </c>
      <c r="AI96" t="s">
        <v>1555</v>
      </c>
      <c r="AJ96" t="s">
        <v>2326</v>
      </c>
      <c r="AK96" t="s">
        <v>47</v>
      </c>
      <c r="AL96" t="s">
        <v>2327</v>
      </c>
      <c r="AM96" t="s">
        <v>47</v>
      </c>
      <c r="AN96" t="s">
        <v>3847</v>
      </c>
      <c r="AO96" t="s">
        <v>3848</v>
      </c>
      <c r="AP96" t="s">
        <v>47</v>
      </c>
      <c r="AQ96" t="s">
        <v>3849</v>
      </c>
      <c r="AR96" t="s">
        <v>47</v>
      </c>
      <c r="AS96" t="s">
        <v>201</v>
      </c>
      <c r="AT96" t="s">
        <v>535</v>
      </c>
      <c r="AU96" t="s">
        <v>3850</v>
      </c>
      <c r="AV96" t="s">
        <v>3851</v>
      </c>
      <c r="AW96" t="s">
        <v>3852</v>
      </c>
      <c r="AX96" t="s">
        <v>549</v>
      </c>
      <c r="AY96" t="s">
        <v>549</v>
      </c>
      <c r="AZ96" t="s">
        <v>280</v>
      </c>
      <c r="BA96" t="s">
        <v>51</v>
      </c>
      <c r="BB96" t="s">
        <v>60</v>
      </c>
      <c r="BC96" t="s">
        <v>1189</v>
      </c>
      <c r="BD96" t="s">
        <v>1013</v>
      </c>
      <c r="BE96" t="s">
        <v>750</v>
      </c>
      <c r="BF96" t="s">
        <v>751</v>
      </c>
      <c r="BG96" t="s">
        <v>752</v>
      </c>
      <c r="BH96" t="s">
        <v>158</v>
      </c>
      <c r="BI96" t="s">
        <v>3853</v>
      </c>
      <c r="BJ96" t="s">
        <v>549</v>
      </c>
      <c r="BK96" t="s">
        <v>2323</v>
      </c>
      <c r="BL96" t="s">
        <v>3854</v>
      </c>
      <c r="BM96" t="s">
        <v>1189</v>
      </c>
      <c r="BN96" t="s">
        <v>47</v>
      </c>
      <c r="BO96" t="s">
        <v>47</v>
      </c>
      <c r="BP96" t="s">
        <v>47</v>
      </c>
      <c r="BQ96">
        <v>-5.62</v>
      </c>
      <c r="BR96">
        <v>-10.77</v>
      </c>
      <c r="BS96">
        <v>-7.99</v>
      </c>
      <c r="BT96" t="s">
        <v>1208</v>
      </c>
      <c r="BU96" t="s">
        <v>1032</v>
      </c>
      <c r="BV96">
        <v>71.14</v>
      </c>
      <c r="BW96">
        <v>65.66</v>
      </c>
      <c r="BX96">
        <v>67.98</v>
      </c>
      <c r="BY96">
        <v>-76.8</v>
      </c>
      <c r="BZ96">
        <v>-71.92</v>
      </c>
      <c r="CA96">
        <v>-52.97</v>
      </c>
      <c r="CB96">
        <v>-3.75</v>
      </c>
      <c r="CC96">
        <v>-11.1</v>
      </c>
      <c r="CD96" t="s">
        <v>3855</v>
      </c>
      <c r="CE96" t="s">
        <v>174</v>
      </c>
      <c r="CF96" s="8">
        <v>-0.93091957040572793</v>
      </c>
      <c r="CG96" s="9">
        <v>-1.1195541093294652</v>
      </c>
      <c r="CH96" s="8">
        <v>12.461538314819336</v>
      </c>
      <c r="CI96" s="8">
        <v>0</v>
      </c>
      <c r="CJ96" s="8">
        <v>0.14705882966518402</v>
      </c>
      <c r="CK96" s="8">
        <v>-0.40869563817977905</v>
      </c>
      <c r="CL96" s="8">
        <v>0.81102359294891357</v>
      </c>
      <c r="CM96" s="9">
        <v>6</v>
      </c>
      <c r="CN96" s="9">
        <v>-0.38865953683853149</v>
      </c>
      <c r="CO96" s="9">
        <v>-0.46744775772094727</v>
      </c>
      <c r="CP96" s="9">
        <v>-0.7595210075378418</v>
      </c>
      <c r="CQ96" s="9">
        <v>-35.165653228759766</v>
      </c>
      <c r="CR96">
        <v>72.315024618216938</v>
      </c>
      <c r="CS96">
        <v>0.27790116408542365</v>
      </c>
      <c r="CT96">
        <v>0</v>
      </c>
      <c r="CU96" s="8">
        <v>2.6021850198507308</v>
      </c>
      <c r="CV96" s="9">
        <v>-6.1562563061714171</v>
      </c>
      <c r="CW96">
        <v>0.06</v>
      </c>
      <c r="CX96">
        <v>1.3233850067602546</v>
      </c>
      <c r="CY96">
        <v>1886049703.7897694</v>
      </c>
      <c r="CZ96">
        <v>2.6021850198507308</v>
      </c>
      <c r="DA96">
        <v>9.1502920207332999E-2</v>
      </c>
      <c r="DB96">
        <v>27277489006.301399</v>
      </c>
      <c r="DC96">
        <v>2.4720757688581942</v>
      </c>
      <c r="DD96">
        <v>3.4139530416694248E-3</v>
      </c>
      <c r="DE96">
        <v>731108445117.76575</v>
      </c>
      <c r="DF96">
        <v>2.2899228174686432</v>
      </c>
      <c r="DG96">
        <v>6.8387027912435907E-5</v>
      </c>
      <c r="DH96">
        <v>36497709817070.703</v>
      </c>
      <c r="DI96">
        <v>2.0817480158805846</v>
      </c>
      <c r="DJ96">
        <v>8.8059668185140315E-9</v>
      </c>
      <c r="DK96">
        <v>2.8344075686866877E+17</v>
      </c>
      <c r="DL96">
        <v>1.8215295138955114</v>
      </c>
      <c r="DM96">
        <v>555000000</v>
      </c>
      <c r="DN96">
        <v>2.6021850198507308</v>
      </c>
      <c r="DO96">
        <v>2495969900</v>
      </c>
      <c r="DP96">
        <v>312173540</v>
      </c>
      <c r="DQ96">
        <v>4779</v>
      </c>
      <c r="DR96">
        <v>-3.5331045902564586</v>
      </c>
      <c r="DS96">
        <v>5.0367021968419516</v>
      </c>
      <c r="DT96" s="10">
        <v>-5.6666666666666719E-2</v>
      </c>
      <c r="DU96">
        <v>-2.9816666666666669</v>
      </c>
      <c r="DV96">
        <v>-3.0383333333333336</v>
      </c>
      <c r="DW96">
        <v>-8.3378378378378386</v>
      </c>
      <c r="DX96">
        <v>0.40919134615384478</v>
      </c>
      <c r="DY96">
        <v>-8.0571592385654878</v>
      </c>
      <c r="DZ96">
        <v>18</v>
      </c>
      <c r="EA96">
        <v>-8.0569578948679972</v>
      </c>
      <c r="EB96">
        <v>8</v>
      </c>
      <c r="EC96">
        <v>3.9154907851707353E-2</v>
      </c>
      <c r="ED96">
        <v>0.23142382126390607</v>
      </c>
      <c r="EE96" s="11">
        <v>4.0525000000000002</v>
      </c>
      <c r="EF96">
        <v>4.0171999999999999</v>
      </c>
      <c r="EG96">
        <v>24.169191346153845</v>
      </c>
      <c r="EH96" t="s">
        <v>1600</v>
      </c>
      <c r="EI96">
        <v>0</v>
      </c>
      <c r="EJ96">
        <v>1</v>
      </c>
      <c r="EK96" s="13">
        <v>45470</v>
      </c>
      <c r="EL96" s="14">
        <v>-0.26</v>
      </c>
      <c r="EM96" s="14">
        <v>-2.92</v>
      </c>
      <c r="EN96" s="14">
        <v>-0.91</v>
      </c>
      <c r="EO96" s="14">
        <v>3.32</v>
      </c>
      <c r="EP96" s="14">
        <v>-3.53</v>
      </c>
    </row>
    <row r="97" spans="1:146" ht="156" x14ac:dyDescent="0.25">
      <c r="A97" s="7"/>
      <c r="B97" s="7"/>
      <c r="C97" s="7" t="str">
        <f>"公司的主营业务为以自主创新基因技术为核心，集诊断试剂和仪器的研发、生产、销售，以及第三方医学检验服务于一体的体外诊断整体解决方案；"&amp;CHAR(10)&amp;Basic_Fundamental_Information_Constructure(F97)&amp;CHAR(10)&amp;Basic_Fundamental_Information_Concatenate("试剂 38.80亿 81.46% 利润占比89.41% 毛利87.41%
仪器 6.52亿 13.70% 利润占比6.52% 毛利37.90%
其他业务 1.65亿 3.46% 利润占比3.03% 毛利69.75%
检测服务 6577.86万 1.38% 利润占比1.04% 毛利59.96%")</f>
        <v>公司的主营业务为以自主创新基因技术为核心，集诊断试剂和仪器的研发、生产、销售，以及第三方医学检验服务于一体的体外诊断整体解决方案；
市值105.098921亿, 利润3468.68万; PE27.32; 平均PE9.17; 平均PEG.04, PB1.44; ROIC23.4633%; ROE23.4267%; 股利率1.1198%; 毛利67.3467%; 净利38.0867%; 上一年度营收增-96.05%, 利润增-98.21%; 当季营收增652.12%, 利润增2606.93%; 过往5年营收增233.4%, 利润增1377.32%
Income profile:
试剂 38.80亿 81.46% 利润占比89.41% 毛利87.41%
仪器 6.52亿 13.70% 利润占比6.52% 毛利37.90%
其他业务 1.65亿 3.46% 利润占比3.03% 毛利69.75%
检测服务 6577.86万 1.38% 利润占比1.04% 毛利59.96%</v>
      </c>
      <c r="D97" t="s">
        <v>753</v>
      </c>
      <c r="E97" t="s">
        <v>754</v>
      </c>
      <c r="F97">
        <v>17.86</v>
      </c>
      <c r="G97">
        <v>3.96</v>
      </c>
      <c r="H97" t="s">
        <v>3856</v>
      </c>
      <c r="I97">
        <v>10509892100</v>
      </c>
      <c r="J97">
        <v>27.32</v>
      </c>
      <c r="K97">
        <v>1.44</v>
      </c>
      <c r="L97" t="s">
        <v>40</v>
      </c>
      <c r="M97" t="s">
        <v>2328</v>
      </c>
      <c r="N97" t="s">
        <v>3857</v>
      </c>
      <c r="O97" t="s">
        <v>1691</v>
      </c>
      <c r="P97">
        <v>100.31</v>
      </c>
      <c r="Q97" t="s">
        <v>712</v>
      </c>
      <c r="R97">
        <v>157500000</v>
      </c>
      <c r="S97" s="3">
        <v>0.35010000000000002</v>
      </c>
      <c r="T97" t="s">
        <v>3858</v>
      </c>
      <c r="U97">
        <v>588459800</v>
      </c>
      <c r="V97">
        <v>588459800</v>
      </c>
      <c r="W97">
        <v>1.1599999999999999</v>
      </c>
      <c r="X97">
        <v>0.05</v>
      </c>
      <c r="Y97">
        <v>18.78</v>
      </c>
      <c r="Z97" t="s">
        <v>186</v>
      </c>
      <c r="AA97" t="s">
        <v>3859</v>
      </c>
      <c r="AB97" t="s">
        <v>198</v>
      </c>
      <c r="AC97" t="s">
        <v>3860</v>
      </c>
      <c r="AD97" t="s">
        <v>47</v>
      </c>
      <c r="AE97">
        <v>-17031015</v>
      </c>
      <c r="AF97" t="s">
        <v>2330</v>
      </c>
      <c r="AG97" t="s">
        <v>3861</v>
      </c>
      <c r="AH97" t="s">
        <v>2331</v>
      </c>
      <c r="AI97" t="s">
        <v>3862</v>
      </c>
      <c r="AJ97" t="s">
        <v>2332</v>
      </c>
      <c r="AK97" t="s">
        <v>3863</v>
      </c>
      <c r="AL97" t="s">
        <v>2333</v>
      </c>
      <c r="AM97" t="s">
        <v>47</v>
      </c>
      <c r="AN97" t="s">
        <v>3864</v>
      </c>
      <c r="AO97" t="s">
        <v>2334</v>
      </c>
      <c r="AP97" t="s">
        <v>3865</v>
      </c>
      <c r="AQ97" t="s">
        <v>501</v>
      </c>
      <c r="AR97" t="s">
        <v>47</v>
      </c>
      <c r="AS97" t="s">
        <v>3866</v>
      </c>
      <c r="AT97" t="s">
        <v>717</v>
      </c>
      <c r="AU97" t="s">
        <v>1134</v>
      </c>
      <c r="AV97" t="s">
        <v>1682</v>
      </c>
      <c r="AW97" t="s">
        <v>2812</v>
      </c>
      <c r="AX97" t="s">
        <v>1435</v>
      </c>
      <c r="AY97" t="s">
        <v>1014</v>
      </c>
      <c r="AZ97" t="s">
        <v>755</v>
      </c>
      <c r="BA97" t="s">
        <v>501</v>
      </c>
      <c r="BB97" t="s">
        <v>502</v>
      </c>
      <c r="BC97" t="s">
        <v>1436</v>
      </c>
      <c r="BD97" t="s">
        <v>1015</v>
      </c>
      <c r="BE97" t="s">
        <v>756</v>
      </c>
      <c r="BF97" t="s">
        <v>758</v>
      </c>
      <c r="BG97" t="s">
        <v>759</v>
      </c>
      <c r="BH97" t="s">
        <v>2329</v>
      </c>
      <c r="BI97" t="s">
        <v>3867</v>
      </c>
      <c r="BJ97" t="s">
        <v>1435</v>
      </c>
      <c r="BK97" t="s">
        <v>1579</v>
      </c>
      <c r="BL97" t="s">
        <v>3868</v>
      </c>
      <c r="BM97" t="s">
        <v>1436</v>
      </c>
      <c r="BN97">
        <v>3.52</v>
      </c>
      <c r="BO97">
        <v>27.28</v>
      </c>
      <c r="BP97">
        <v>39.590000000000003</v>
      </c>
      <c r="BQ97">
        <v>3.97</v>
      </c>
      <c r="BR97">
        <v>27.29</v>
      </c>
      <c r="BS97">
        <v>39.020000000000003</v>
      </c>
      <c r="BT97" t="s">
        <v>1213</v>
      </c>
      <c r="BU97" t="s">
        <v>1075</v>
      </c>
      <c r="BV97">
        <v>71.540000000000006</v>
      </c>
      <c r="BW97">
        <v>58.83</v>
      </c>
      <c r="BX97">
        <v>71.67</v>
      </c>
      <c r="BY97">
        <v>34.57</v>
      </c>
      <c r="BZ97">
        <v>30.02</v>
      </c>
      <c r="CA97">
        <v>49.67</v>
      </c>
      <c r="CB97">
        <v>1.59</v>
      </c>
      <c r="CC97">
        <v>-9.06</v>
      </c>
      <c r="CD97" t="s">
        <v>3869</v>
      </c>
      <c r="CE97" t="s">
        <v>3870</v>
      </c>
      <c r="CF97" s="8">
        <v>6.5212267871088869</v>
      </c>
      <c r="CG97" s="9">
        <v>26.069297401347448</v>
      </c>
      <c r="CH97" s="8">
        <v>-0.96046513319015503</v>
      </c>
      <c r="CI97" s="8">
        <v>0.42857146263122559</v>
      </c>
      <c r="CJ97" s="8">
        <v>-5.2068024873733521E-2</v>
      </c>
      <c r="CK97" s="8">
        <v>12.049313545227051</v>
      </c>
      <c r="CL97" s="8">
        <v>0.20462046563625336</v>
      </c>
      <c r="CM97" s="9">
        <v>-0.98209249973297119</v>
      </c>
      <c r="CN97" s="9">
        <v>-0.1364244818687439</v>
      </c>
      <c r="CO97" s="9">
        <v>-0.14291168749332428</v>
      </c>
      <c r="CP97" s="9">
        <v>65.28924560546875</v>
      </c>
      <c r="CQ97" s="9">
        <v>4.8382010459899902</v>
      </c>
      <c r="CR97">
        <v>9.1683655457020379</v>
      </c>
      <c r="CS97">
        <v>3.9281865020275801E-2</v>
      </c>
      <c r="CT97">
        <v>1.1198208286674132</v>
      </c>
      <c r="CU97" s="8">
        <v>2.3339944630861282</v>
      </c>
      <c r="CV97" s="9">
        <v>13.77320359647274</v>
      </c>
      <c r="CW97">
        <v>0.06</v>
      </c>
      <c r="CX97">
        <v>36.754408793147476</v>
      </c>
      <c r="CY97">
        <v>109099621.83224143</v>
      </c>
      <c r="CZ97">
        <v>2.3339944630861282</v>
      </c>
      <c r="DA97">
        <v>2.875072194944853</v>
      </c>
      <c r="DB97">
        <v>1394710055.2989464</v>
      </c>
      <c r="DC97">
        <v>2.2172947399318219</v>
      </c>
      <c r="DD97">
        <v>0.13221223433269969</v>
      </c>
      <c r="DE97">
        <v>30329206069.609882</v>
      </c>
      <c r="DF97">
        <v>2.053915127515793</v>
      </c>
      <c r="DG97">
        <v>3.4755415411670911E-3</v>
      </c>
      <c r="DH97">
        <v>1153745985338.8696</v>
      </c>
      <c r="DI97">
        <v>1.8671955704689027</v>
      </c>
      <c r="DJ97">
        <v>8.5863580308468221E-7</v>
      </c>
      <c r="DK97">
        <v>4670073255266444</v>
      </c>
      <c r="DL97">
        <v>1.6337961241602896</v>
      </c>
      <c r="DM97">
        <v>34686800</v>
      </c>
      <c r="DN97">
        <v>2.3339944630861282</v>
      </c>
      <c r="DO97">
        <v>4009892099.999999</v>
      </c>
      <c r="DP97">
        <v>5389526500</v>
      </c>
      <c r="DQ97">
        <v>4790</v>
      </c>
      <c r="DR97">
        <v>4.1872323240227587</v>
      </c>
      <c r="DS97">
        <v>12.296093804874708</v>
      </c>
      <c r="DT97" s="10">
        <v>-9.1666666666666716E-2</v>
      </c>
      <c r="DU97">
        <v>1.1466666666666667</v>
      </c>
      <c r="DV97">
        <v>1.0549999999999999</v>
      </c>
      <c r="DW97">
        <v>-2.0905999999999998</v>
      </c>
      <c r="DX97">
        <v>0.54768183015550087</v>
      </c>
      <c r="DY97">
        <v>-2.0188159738120888</v>
      </c>
      <c r="DZ97">
        <v>2830</v>
      </c>
      <c r="EA97">
        <v>-2.008395385575648</v>
      </c>
      <c r="EB97">
        <v>2</v>
      </c>
      <c r="EC97">
        <v>3.2958411092822312E-2</v>
      </c>
      <c r="ED97">
        <v>0.15869665183586032</v>
      </c>
      <c r="EE97" s="11">
        <v>-2.0905999999999998</v>
      </c>
      <c r="EF97">
        <v>-2.0779000000000001</v>
      </c>
      <c r="EG97">
        <v>34.207681830155501</v>
      </c>
      <c r="EH97" t="s">
        <v>1336</v>
      </c>
      <c r="EI97">
        <v>0</v>
      </c>
      <c r="EJ97">
        <v>0</v>
      </c>
      <c r="EK97" s="13">
        <v>45470</v>
      </c>
      <c r="EL97" s="14">
        <v>3.9</v>
      </c>
      <c r="EM97" s="14">
        <v>-3.24</v>
      </c>
      <c r="EN97" s="14">
        <v>0.97</v>
      </c>
      <c r="EO97" s="14">
        <v>-0.06</v>
      </c>
      <c r="EP97" s="14">
        <v>-1.27</v>
      </c>
    </row>
    <row r="98" spans="1:146" ht="144" x14ac:dyDescent="0.25">
      <c r="A98" s="7" t="s">
        <v>1227</v>
      </c>
      <c r="B98" s="7" t="s">
        <v>884</v>
      </c>
      <c r="C98" s="7" t="str">
        <f>"公司的主营业务为从事体外诊断产品研发、生产与销售；公司的主要产品为POCT即时诊断试剂、生化诊断试剂。"&amp;CHAR(10)&amp;Basic_Fundamental_Information_Constructure(F98)&amp;CHAR(10)&amp;Basic_Fundamental_Information_Concatenate("体外诊断试剂 101.52亿 99.83% 100.27% 74.11%")</f>
        <v>公司的主营业务为从事体外诊断产品研发、生产与销售；公司的主要产品为POCT即时诊断试剂、生化诊断试剂。
市值53.0208亿, 利润9542.03万; PE; 平均PE3.57; 平均PEG.02, PB.72; ROIC65.66%; ROE42.9867%; 股利率0%; 毛利55.8633%; 净利7.1667%; 上一年度营收增-85.71%, 利润增-95.39%; 当季营收增-27.09%, 利润增-370.2%; 过往5年营收增185.99%, 利润增401.63%
Income profile:
体外诊断试剂 101.52亿 99.83% 100.27% 74.11%</v>
      </c>
      <c r="D98" t="s">
        <v>761</v>
      </c>
      <c r="E98" t="s">
        <v>762</v>
      </c>
      <c r="F98">
        <v>26.3</v>
      </c>
      <c r="G98">
        <v>4.32</v>
      </c>
      <c r="H98" t="s">
        <v>3871</v>
      </c>
      <c r="I98">
        <v>5302080000</v>
      </c>
      <c r="K98">
        <v>0.72</v>
      </c>
      <c r="L98" t="s">
        <v>40</v>
      </c>
      <c r="M98" t="s">
        <v>2335</v>
      </c>
      <c r="N98" t="s">
        <v>3872</v>
      </c>
      <c r="O98" t="s">
        <v>128</v>
      </c>
      <c r="P98">
        <v>-51.36</v>
      </c>
      <c r="Q98" t="s">
        <v>3873</v>
      </c>
      <c r="R98">
        <v>-67353495</v>
      </c>
      <c r="S98" s="3">
        <v>-0.3382</v>
      </c>
      <c r="T98" t="s">
        <v>3874</v>
      </c>
      <c r="U98">
        <v>201600000</v>
      </c>
      <c r="V98">
        <v>201600000</v>
      </c>
      <c r="W98">
        <v>1.1599999999999999</v>
      </c>
      <c r="X98">
        <v>0.02</v>
      </c>
      <c r="Y98">
        <v>-38.24</v>
      </c>
      <c r="Z98" t="s">
        <v>1549</v>
      </c>
      <c r="AA98" t="s">
        <v>468</v>
      </c>
      <c r="AB98" t="s">
        <v>3875</v>
      </c>
      <c r="AC98" t="s">
        <v>3876</v>
      </c>
      <c r="AD98" t="s">
        <v>47</v>
      </c>
      <c r="AE98">
        <v>-35093553</v>
      </c>
      <c r="AF98" t="s">
        <v>2337</v>
      </c>
      <c r="AG98" t="s">
        <v>3877</v>
      </c>
      <c r="AH98" t="s">
        <v>2338</v>
      </c>
      <c r="AI98" t="s">
        <v>3878</v>
      </c>
      <c r="AJ98" t="s">
        <v>2339</v>
      </c>
      <c r="AK98" t="s">
        <v>3879</v>
      </c>
      <c r="AL98" t="s">
        <v>2340</v>
      </c>
      <c r="AM98" t="s">
        <v>47</v>
      </c>
      <c r="AN98" t="s">
        <v>679</v>
      </c>
      <c r="AO98" t="s">
        <v>256</v>
      </c>
      <c r="AP98" t="s">
        <v>3880</v>
      </c>
      <c r="AQ98" t="s">
        <v>609</v>
      </c>
      <c r="AR98" t="s">
        <v>47</v>
      </c>
      <c r="AS98" t="s">
        <v>447</v>
      </c>
      <c r="AT98" t="s">
        <v>47</v>
      </c>
      <c r="AU98" t="s">
        <v>3881</v>
      </c>
      <c r="AV98" t="s">
        <v>2364</v>
      </c>
      <c r="AW98" t="s">
        <v>3882</v>
      </c>
      <c r="AX98" t="s">
        <v>1438</v>
      </c>
      <c r="AY98" t="s">
        <v>1016</v>
      </c>
      <c r="AZ98" t="s">
        <v>763</v>
      </c>
      <c r="BA98" t="s">
        <v>623</v>
      </c>
      <c r="BB98" t="s">
        <v>170</v>
      </c>
      <c r="BC98" t="s">
        <v>1439</v>
      </c>
      <c r="BD98" t="s">
        <v>1017</v>
      </c>
      <c r="BE98" t="s">
        <v>764</v>
      </c>
      <c r="BF98" t="s">
        <v>766</v>
      </c>
      <c r="BG98" t="s">
        <v>767</v>
      </c>
      <c r="BH98" t="s">
        <v>817</v>
      </c>
      <c r="BI98" t="s">
        <v>338</v>
      </c>
      <c r="BJ98" t="s">
        <v>1438</v>
      </c>
      <c r="BK98" t="s">
        <v>1576</v>
      </c>
      <c r="BL98" t="s">
        <v>3883</v>
      </c>
      <c r="BM98" t="s">
        <v>1439</v>
      </c>
      <c r="BN98" t="s">
        <v>47</v>
      </c>
      <c r="BO98">
        <v>26.24</v>
      </c>
      <c r="BP98">
        <v>105.08</v>
      </c>
      <c r="BQ98">
        <v>-0.9</v>
      </c>
      <c r="BR98">
        <v>25.03</v>
      </c>
      <c r="BS98">
        <v>104.83</v>
      </c>
      <c r="BT98" t="s">
        <v>1208</v>
      </c>
      <c r="BU98" t="s">
        <v>1075</v>
      </c>
      <c r="BV98">
        <v>43.01</v>
      </c>
      <c r="BW98">
        <v>50.79</v>
      </c>
      <c r="BX98">
        <v>73.790000000000006</v>
      </c>
      <c r="BY98">
        <v>-51</v>
      </c>
      <c r="BZ98">
        <v>23.92</v>
      </c>
      <c r="CA98">
        <v>48.58</v>
      </c>
      <c r="CB98">
        <v>-3.13</v>
      </c>
      <c r="CC98">
        <v>-7.95</v>
      </c>
      <c r="CD98" t="s">
        <v>3884</v>
      </c>
      <c r="CE98" t="s">
        <v>3885</v>
      </c>
      <c r="CF98" s="8">
        <v>-0.27091633466135451</v>
      </c>
      <c r="CG98" s="9">
        <v>-3.7020297268022624</v>
      </c>
      <c r="CH98" s="8">
        <v>-0.8570939302444458</v>
      </c>
      <c r="CI98" s="8">
        <v>-0.13777165114879608</v>
      </c>
      <c r="CJ98" s="8">
        <v>2.1145482063293457</v>
      </c>
      <c r="CK98" s="8">
        <v>7.8964571952819824</v>
      </c>
      <c r="CL98" s="8">
        <v>0.28321677446365356</v>
      </c>
      <c r="CM98" s="9">
        <v>-0.95385867357254028</v>
      </c>
      <c r="CN98" s="9">
        <v>-0.57967478036880493</v>
      </c>
      <c r="CO98" s="9">
        <v>1.9338104724884033</v>
      </c>
      <c r="CP98" s="9">
        <v>19.425014495849609</v>
      </c>
      <c r="CQ98" s="9">
        <v>0.25601503252983093</v>
      </c>
      <c r="CR98">
        <v>3.5712679193988266</v>
      </c>
      <c r="CS98">
        <v>1.9201693595883928E-2</v>
      </c>
      <c r="CT98">
        <v>0</v>
      </c>
      <c r="CU98" s="8">
        <v>1.8598713189363481</v>
      </c>
      <c r="CV98" s="9">
        <v>4.0162613093852997</v>
      </c>
      <c r="CW98">
        <v>0.06</v>
      </c>
      <c r="CX98" t="s">
        <v>1584</v>
      </c>
      <c r="CY98">
        <v>257443187.93802074</v>
      </c>
      <c r="CZ98">
        <v>1.8598713189363481</v>
      </c>
      <c r="DA98" t="s">
        <v>1584</v>
      </c>
      <c r="DB98">
        <v>2596259109.1989036</v>
      </c>
      <c r="DC98">
        <v>1.7668777529895305</v>
      </c>
      <c r="DD98" t="s">
        <v>1584</v>
      </c>
      <c r="DE98">
        <v>37638525989.19455</v>
      </c>
      <c r="DF98">
        <v>1.6366867606639863</v>
      </c>
      <c r="DG98" t="s">
        <v>1584</v>
      </c>
      <c r="DH98">
        <v>843249468608.82336</v>
      </c>
      <c r="DI98">
        <v>1.4878970551490784</v>
      </c>
      <c r="DJ98" t="s">
        <v>1584</v>
      </c>
      <c r="DK98">
        <v>962250449625264.5</v>
      </c>
      <c r="DL98">
        <v>1.3019099232554436</v>
      </c>
      <c r="DM98">
        <v>95420300</v>
      </c>
      <c r="DN98">
        <v>1.8598713189363481</v>
      </c>
      <c r="DO98">
        <v>-788920000</v>
      </c>
      <c r="DP98">
        <v>4126199500</v>
      </c>
      <c r="DQ98">
        <v>4798</v>
      </c>
      <c r="DR98">
        <v>-2.1307876535977024</v>
      </c>
      <c r="DS98">
        <v>-7.7182910361875621</v>
      </c>
      <c r="DT98" s="10">
        <v>0.10666666666666662</v>
      </c>
      <c r="DU98">
        <v>-0.53316666666666679</v>
      </c>
      <c r="DV98">
        <v>-0.42650000000000016</v>
      </c>
      <c r="DW98">
        <v>-8.3937106918238999</v>
      </c>
      <c r="DX98">
        <v>0.45641032472516829</v>
      </c>
      <c r="DY98">
        <v>-8.0694546309924249</v>
      </c>
      <c r="DZ98">
        <v>3113</v>
      </c>
      <c r="EA98">
        <v>-8.027143032894692</v>
      </c>
      <c r="EB98">
        <v>8</v>
      </c>
      <c r="EC98">
        <v>2.7588789682539687E-2</v>
      </c>
      <c r="ED98">
        <v>0.15638988095238096</v>
      </c>
      <c r="EE98" s="11">
        <v>-2.0804100000000001</v>
      </c>
      <c r="EF98">
        <v>-2.0954100000000002</v>
      </c>
      <c r="EG98">
        <v>28.176410324725168</v>
      </c>
      <c r="EH98" t="s">
        <v>1532</v>
      </c>
      <c r="EI98">
        <v>0</v>
      </c>
      <c r="EJ98">
        <v>0</v>
      </c>
      <c r="EK98" s="13">
        <v>45470</v>
      </c>
      <c r="EL98" s="14">
        <v>-1.46</v>
      </c>
      <c r="EM98" s="14">
        <v>-7.23</v>
      </c>
      <c r="EN98" s="14">
        <v>0.67</v>
      </c>
      <c r="EO98" s="14">
        <v>0.17</v>
      </c>
      <c r="EP98" s="14">
        <v>-1.5</v>
      </c>
    </row>
    <row r="99" spans="1:146" x14ac:dyDescent="0.25">
      <c r="A99" s="7"/>
      <c r="B99" s="7"/>
      <c r="C99" s="7" t="e">
        <f>""&amp;CHAR(10)&amp;Basic_Fundamental_Information_Constructure(F99)&amp;CHAR(10)&amp;Basic_Fundamental_Information_Concatenate("")</f>
        <v>#VALUE!</v>
      </c>
      <c r="D99" t="s">
        <v>769</v>
      </c>
      <c r="E99" t="s">
        <v>770</v>
      </c>
      <c r="F99">
        <v>107.63</v>
      </c>
      <c r="G99">
        <v>2.52</v>
      </c>
      <c r="H99" t="s">
        <v>3886</v>
      </c>
      <c r="I99">
        <v>15368339000</v>
      </c>
      <c r="J99">
        <v>25.19</v>
      </c>
      <c r="K99">
        <v>3.64</v>
      </c>
      <c r="L99" t="s">
        <v>40</v>
      </c>
      <c r="M99" t="s">
        <v>2341</v>
      </c>
      <c r="N99" t="s">
        <v>3887</v>
      </c>
      <c r="O99" t="s">
        <v>1181</v>
      </c>
      <c r="P99">
        <v>11.48</v>
      </c>
      <c r="Q99" t="s">
        <v>47</v>
      </c>
      <c r="R99">
        <v>139287790</v>
      </c>
      <c r="S99" s="3">
        <v>1.8800000000000001E-2</v>
      </c>
      <c r="T99" t="s">
        <v>1915</v>
      </c>
      <c r="U99">
        <v>142788610</v>
      </c>
      <c r="V99">
        <v>142788610</v>
      </c>
      <c r="W99">
        <v>1.8</v>
      </c>
      <c r="X99">
        <v>0.06</v>
      </c>
      <c r="Y99">
        <v>27.94</v>
      </c>
      <c r="Z99" t="s">
        <v>649</v>
      </c>
      <c r="AA99" t="s">
        <v>1076</v>
      </c>
      <c r="AB99" t="s">
        <v>3888</v>
      </c>
      <c r="AC99" t="s">
        <v>3889</v>
      </c>
      <c r="AD99" t="s">
        <v>47</v>
      </c>
      <c r="AE99">
        <v>-4092094</v>
      </c>
      <c r="AF99" t="s">
        <v>2342</v>
      </c>
      <c r="AG99" t="s">
        <v>3890</v>
      </c>
      <c r="AH99" t="s">
        <v>2343</v>
      </c>
      <c r="AI99" t="s">
        <v>3891</v>
      </c>
      <c r="AJ99" t="s">
        <v>2344</v>
      </c>
      <c r="AK99" t="s">
        <v>3892</v>
      </c>
      <c r="AL99" t="s">
        <v>2345</v>
      </c>
      <c r="AM99" t="s">
        <v>47</v>
      </c>
      <c r="AN99" t="s">
        <v>3893</v>
      </c>
      <c r="AO99" t="s">
        <v>3894</v>
      </c>
      <c r="AP99" t="s">
        <v>3895</v>
      </c>
      <c r="AQ99" t="s">
        <v>806</v>
      </c>
      <c r="AR99" t="s">
        <v>47</v>
      </c>
      <c r="AS99" t="s">
        <v>3896</v>
      </c>
      <c r="AT99" t="s">
        <v>3897</v>
      </c>
      <c r="AU99" t="s">
        <v>3898</v>
      </c>
      <c r="AV99" t="s">
        <v>3899</v>
      </c>
      <c r="AW99" t="s">
        <v>3280</v>
      </c>
      <c r="AX99" t="s">
        <v>1440</v>
      </c>
      <c r="AY99" t="s">
        <v>563</v>
      </c>
      <c r="AZ99" t="s">
        <v>771</v>
      </c>
      <c r="BA99" t="s">
        <v>773</v>
      </c>
      <c r="BB99" t="s">
        <v>309</v>
      </c>
      <c r="BC99" t="s">
        <v>698</v>
      </c>
      <c r="BD99" t="s">
        <v>711</v>
      </c>
      <c r="BE99" t="s">
        <v>316</v>
      </c>
      <c r="BF99" t="s">
        <v>775</v>
      </c>
      <c r="BG99" t="s">
        <v>776</v>
      </c>
      <c r="BH99" t="s">
        <v>1523</v>
      </c>
      <c r="BI99" t="s">
        <v>47</v>
      </c>
      <c r="BJ99" t="s">
        <v>1440</v>
      </c>
      <c r="BK99" t="s">
        <v>1327</v>
      </c>
      <c r="BL99" t="s">
        <v>3900</v>
      </c>
      <c r="BM99" t="s">
        <v>698</v>
      </c>
      <c r="BN99">
        <v>7.48</v>
      </c>
      <c r="BO99">
        <v>14.79</v>
      </c>
      <c r="BP99">
        <v>15.82</v>
      </c>
      <c r="BQ99">
        <v>10.87</v>
      </c>
      <c r="BR99">
        <v>19.25</v>
      </c>
      <c r="BS99">
        <v>17.11</v>
      </c>
      <c r="BT99" t="s">
        <v>2346</v>
      </c>
      <c r="BU99" t="s">
        <v>1032</v>
      </c>
      <c r="BV99">
        <v>57.84</v>
      </c>
      <c r="BW99">
        <v>57.34</v>
      </c>
      <c r="BX99">
        <v>55.25</v>
      </c>
      <c r="BY99">
        <v>32.450000000000003</v>
      </c>
      <c r="BZ99">
        <v>41.23</v>
      </c>
      <c r="CA99">
        <v>40.81</v>
      </c>
      <c r="CB99">
        <v>-6.6</v>
      </c>
      <c r="CC99">
        <v>-19.91</v>
      </c>
      <c r="CD99" t="s">
        <v>3901</v>
      </c>
      <c r="CE99" t="s">
        <v>3902</v>
      </c>
      <c r="CF99" s="8" t="s">
        <v>47</v>
      </c>
      <c r="CG99" s="9">
        <v>2.8480706335338128</v>
      </c>
      <c r="CH99" s="8" t="s">
        <v>47</v>
      </c>
      <c r="CI99" s="8">
        <v>0.304970383644104</v>
      </c>
      <c r="CJ99" s="8">
        <v>0.51403069496154785</v>
      </c>
      <c r="CK99" s="8">
        <v>0.43589743971824646</v>
      </c>
      <c r="CL99" s="8">
        <v>0.24373576045036316</v>
      </c>
      <c r="CM99" s="9">
        <v>-1.4586583375930786</v>
      </c>
      <c r="CN99" s="9">
        <v>0.32438015937805176</v>
      </c>
      <c r="CO99" s="9">
        <v>1.1801801919937134</v>
      </c>
      <c r="CP99" s="9">
        <v>1.3028854131698608</v>
      </c>
      <c r="CQ99" s="9">
        <v>0.59143930673599243</v>
      </c>
      <c r="CR99">
        <v>76.208189025991771</v>
      </c>
      <c r="CS99">
        <v>2.0340703560663975</v>
      </c>
      <c r="CT99">
        <v>1.85821796896776</v>
      </c>
      <c r="CU99" s="8">
        <v>0.37465856969356537</v>
      </c>
      <c r="CV99" s="9">
        <v>0.38804534673690794</v>
      </c>
      <c r="CW99">
        <v>0.06</v>
      </c>
      <c r="CX99" t="e">
        <v>#VALUE!</v>
      </c>
      <c r="CY99" t="s">
        <v>1038</v>
      </c>
      <c r="CZ99">
        <v>0.37465856969356537</v>
      </c>
      <c r="DA99" t="e">
        <v>#VALUE!</v>
      </c>
      <c r="DB99" t="s">
        <v>1038</v>
      </c>
      <c r="DC99">
        <v>0.35592564120888709</v>
      </c>
      <c r="DD99" t="e">
        <v>#VALUE!</v>
      </c>
      <c r="DE99" t="s">
        <v>1038</v>
      </c>
      <c r="DF99">
        <v>0.32969954133033752</v>
      </c>
      <c r="DG99" t="e">
        <v>#VALUE!</v>
      </c>
      <c r="DH99" t="s">
        <v>1038</v>
      </c>
      <c r="DI99">
        <v>0.29972685575485231</v>
      </c>
      <c r="DJ99" t="e">
        <v>#VALUE!</v>
      </c>
      <c r="DK99" t="s">
        <v>1038</v>
      </c>
      <c r="DL99">
        <v>0.26226099878549575</v>
      </c>
      <c r="DM99">
        <v>-294000000</v>
      </c>
      <c r="DN99">
        <v>0.37465856969356537</v>
      </c>
      <c r="DO99">
        <v>14028339000</v>
      </c>
      <c r="DP99">
        <v>3399240900</v>
      </c>
      <c r="DQ99">
        <v>4801</v>
      </c>
      <c r="DR99" t="e">
        <v>#VALUE!</v>
      </c>
      <c r="DS99">
        <v>2.4600252867969048</v>
      </c>
      <c r="DT99" s="10" t="e">
        <v>#VALUE!</v>
      </c>
      <c r="DU99">
        <v>0.22</v>
      </c>
      <c r="DV99" t="e">
        <v>#VALUE!</v>
      </c>
      <c r="DW99">
        <v>-9.3314917127071819</v>
      </c>
      <c r="DX99">
        <v>0.41011035460835726</v>
      </c>
      <c r="DY99">
        <v>-9.0398155871629911</v>
      </c>
      <c r="DZ99" t="s">
        <v>3388</v>
      </c>
      <c r="EA99" t="e">
        <v>#VALUE!</v>
      </c>
      <c r="EB99" t="e">
        <v>#VALUE!</v>
      </c>
      <c r="EC99">
        <v>3.0367968425492761E-2</v>
      </c>
      <c r="ED99">
        <v>0.2528338920030106</v>
      </c>
      <c r="EE99" s="11">
        <v>-1.1227100000000001</v>
      </c>
      <c r="EF99">
        <v>-2.0293100000000002</v>
      </c>
      <c r="EG99">
        <v>29.120110354608357</v>
      </c>
      <c r="EH99" t="s">
        <v>1532</v>
      </c>
      <c r="EI99" t="e">
        <v>#VALUE!</v>
      </c>
      <c r="EJ99">
        <v>0</v>
      </c>
      <c r="EK99" s="13">
        <v>45470</v>
      </c>
      <c r="EL99" s="14">
        <v>0.04</v>
      </c>
      <c r="EM99" s="14">
        <v>-6.4</v>
      </c>
      <c r="EN99" s="14">
        <v>-0.47</v>
      </c>
      <c r="EO99" s="14">
        <v>1.63</v>
      </c>
      <c r="EP99" s="14">
        <v>-5.66</v>
      </c>
    </row>
    <row r="100" spans="1:146" ht="96" x14ac:dyDescent="0.25">
      <c r="A100" s="7"/>
      <c r="B100" s="7"/>
      <c r="C100" s="7" t="str">
        <f>""&amp;CHAR(10)&amp;Basic_Fundamental_Information_Constructure(F100)&amp;CHAR(10)&amp;Basic_Fundamental_Information_Concatenate("")</f>
        <v xml:space="preserve">
市值14.964255亿, 利润1.78亿; PE19.68; 平均PE19.44; 平均PEG.12, PB2.47; ROIC14.54%; ROE15.6667%; 股利率1.7372%; 毛利81.7567%; 净利32.06%; 上一年度营收增734.17%, 利润增135.18%; 当季营收增-84.15%, 利润增-11.4%; 过往5年营收增164.42%, 利润增63.81%
Income profile:
</v>
      </c>
      <c r="D100" t="s">
        <v>777</v>
      </c>
      <c r="E100" t="s">
        <v>1069</v>
      </c>
      <c r="F100">
        <v>18.420000000000002</v>
      </c>
      <c r="G100">
        <v>1.77</v>
      </c>
      <c r="H100" t="s">
        <v>3903</v>
      </c>
      <c r="I100">
        <v>1496425500</v>
      </c>
      <c r="J100">
        <v>19.68</v>
      </c>
      <c r="K100">
        <v>2.4700000000000002</v>
      </c>
      <c r="L100" t="s">
        <v>40</v>
      </c>
      <c r="M100" t="s">
        <v>2347</v>
      </c>
      <c r="N100" t="s">
        <v>1580</v>
      </c>
      <c r="O100" t="s">
        <v>2348</v>
      </c>
      <c r="P100">
        <v>8.16</v>
      </c>
      <c r="Q100" t="s">
        <v>3904</v>
      </c>
      <c r="R100">
        <v>19935123</v>
      </c>
      <c r="S100" s="3">
        <v>2.6499999999999999E-2</v>
      </c>
      <c r="T100" t="s">
        <v>522</v>
      </c>
      <c r="U100">
        <v>81239172</v>
      </c>
      <c r="V100">
        <v>81239172</v>
      </c>
      <c r="W100">
        <v>1.1499999999999999</v>
      </c>
      <c r="X100">
        <v>0.1</v>
      </c>
      <c r="Y100">
        <v>28.06</v>
      </c>
      <c r="Z100" t="s">
        <v>3905</v>
      </c>
      <c r="AA100" t="s">
        <v>3906</v>
      </c>
      <c r="AB100" t="s">
        <v>3907</v>
      </c>
      <c r="AC100" t="s">
        <v>3908</v>
      </c>
      <c r="AD100" t="s">
        <v>47</v>
      </c>
      <c r="AE100">
        <v>-648700</v>
      </c>
      <c r="AF100" t="s">
        <v>2350</v>
      </c>
      <c r="AG100">
        <v>0.99</v>
      </c>
      <c r="AH100" t="s">
        <v>2351</v>
      </c>
      <c r="AI100" t="s">
        <v>1177</v>
      </c>
      <c r="AJ100" t="s">
        <v>2352</v>
      </c>
      <c r="AK100" t="s">
        <v>47</v>
      </c>
      <c r="AL100" t="s">
        <v>2353</v>
      </c>
      <c r="AM100" t="s">
        <v>47</v>
      </c>
      <c r="AN100" t="s">
        <v>3909</v>
      </c>
      <c r="AO100" t="s">
        <v>47</v>
      </c>
      <c r="AP100" t="s">
        <v>47</v>
      </c>
      <c r="AQ100" t="s">
        <v>3910</v>
      </c>
      <c r="AR100" t="s">
        <v>47</v>
      </c>
      <c r="AS100" t="s">
        <v>3911</v>
      </c>
      <c r="AT100" t="s">
        <v>47</v>
      </c>
      <c r="AU100" t="s">
        <v>3912</v>
      </c>
      <c r="AV100" t="s">
        <v>3913</v>
      </c>
      <c r="AW100" t="s">
        <v>3914</v>
      </c>
      <c r="AX100" t="s">
        <v>317</v>
      </c>
      <c r="AY100" t="s">
        <v>774</v>
      </c>
      <c r="AZ100" t="s">
        <v>97</v>
      </c>
      <c r="BA100" t="s">
        <v>62</v>
      </c>
      <c r="BB100" t="s">
        <v>271</v>
      </c>
      <c r="BC100" t="s">
        <v>2354</v>
      </c>
      <c r="BD100" t="s">
        <v>1018</v>
      </c>
      <c r="BE100" t="s">
        <v>778</v>
      </c>
      <c r="BF100" t="s">
        <v>779</v>
      </c>
      <c r="BG100" t="s">
        <v>780</v>
      </c>
      <c r="BH100" t="s">
        <v>859</v>
      </c>
      <c r="BI100" t="s">
        <v>418</v>
      </c>
      <c r="BJ100" t="s">
        <v>317</v>
      </c>
      <c r="BK100" t="s">
        <v>2349</v>
      </c>
      <c r="BL100" t="s">
        <v>3915</v>
      </c>
      <c r="BM100" t="s">
        <v>2354</v>
      </c>
      <c r="BN100">
        <v>10.220000000000001</v>
      </c>
      <c r="BO100">
        <v>12.96</v>
      </c>
      <c r="BP100">
        <v>20.440000000000001</v>
      </c>
      <c r="BQ100">
        <v>11.52</v>
      </c>
      <c r="BR100">
        <v>14.64</v>
      </c>
      <c r="BS100">
        <v>20.84</v>
      </c>
      <c r="BT100" t="s">
        <v>1908</v>
      </c>
      <c r="BU100" t="s">
        <v>1079</v>
      </c>
      <c r="BV100">
        <v>81.180000000000007</v>
      </c>
      <c r="BW100">
        <v>81.47</v>
      </c>
      <c r="BX100">
        <v>82.62</v>
      </c>
      <c r="BY100">
        <v>27.08</v>
      </c>
      <c r="BZ100">
        <v>30.91</v>
      </c>
      <c r="CA100">
        <v>38.19</v>
      </c>
      <c r="CB100">
        <v>-2.13</v>
      </c>
      <c r="CC100">
        <v>-11.4</v>
      </c>
      <c r="CD100" t="s">
        <v>3916</v>
      </c>
      <c r="CE100" t="s">
        <v>3917</v>
      </c>
      <c r="CF100" s="8">
        <v>-0.84145600907029483</v>
      </c>
      <c r="CG100" s="9">
        <v>-0.11403784703858923</v>
      </c>
      <c r="CH100" s="8">
        <v>7.3416666984558105</v>
      </c>
      <c r="CI100" s="8">
        <v>0.12676055729389191</v>
      </c>
      <c r="CJ100" s="8">
        <v>0.29878050088882446</v>
      </c>
      <c r="CK100" s="8">
        <v>0.10810811072587967</v>
      </c>
      <c r="CL100" s="8">
        <v>0.34545454382896423</v>
      </c>
      <c r="CM100" s="9">
        <v>1.3517752885818481</v>
      </c>
      <c r="CN100" s="9">
        <v>-7.2758138179779053E-2</v>
      </c>
      <c r="CO100" s="9">
        <v>0.55831068754196167</v>
      </c>
      <c r="CP100" s="9">
        <v>8.6400285363197327E-3</v>
      </c>
      <c r="CQ100" s="9">
        <v>1.3443374633789063</v>
      </c>
      <c r="CR100">
        <v>19.443335091022682</v>
      </c>
      <c r="CS100">
        <v>0.11825737807096953</v>
      </c>
      <c r="CT100">
        <v>1.7372421281216068</v>
      </c>
      <c r="CU100" s="8">
        <v>1.6441540822386742</v>
      </c>
      <c r="CV100" s="9">
        <v>0.6380610659718513</v>
      </c>
      <c r="CW100">
        <v>0.06</v>
      </c>
      <c r="CX100">
        <v>2.2109506303361348</v>
      </c>
      <c r="CY100">
        <v>444018327.0174377</v>
      </c>
      <c r="CZ100">
        <v>1.6441540822386742</v>
      </c>
      <c r="DA100">
        <v>0.24646536461240209</v>
      </c>
      <c r="DB100">
        <v>3983125992.3431892</v>
      </c>
      <c r="DC100">
        <v>1.5619463781267404</v>
      </c>
      <c r="DD100">
        <v>2.079927067679346E-2</v>
      </c>
      <c r="DE100">
        <v>47198895348.543304</v>
      </c>
      <c r="DF100">
        <v>1.4468555923700332</v>
      </c>
      <c r="DG100">
        <v>1.210101759641377E-3</v>
      </c>
      <c r="DH100">
        <v>811256237071.28162</v>
      </c>
      <c r="DI100">
        <v>1.3153232657909395</v>
      </c>
      <c r="DJ100">
        <v>1.9971362559577395E-6</v>
      </c>
      <c r="DK100">
        <v>491555144057618.75</v>
      </c>
      <c r="DL100">
        <v>1.1509078575670719</v>
      </c>
      <c r="DM100">
        <v>178000000</v>
      </c>
      <c r="DN100">
        <v>1.6441540822386742</v>
      </c>
      <c r="DO100">
        <v>981702600</v>
      </c>
      <c r="DP100">
        <v>358551830</v>
      </c>
      <c r="DQ100">
        <v>4813</v>
      </c>
      <c r="DR100">
        <v>-2.4856100913089691</v>
      </c>
      <c r="DS100">
        <v>-0.75209891301044052</v>
      </c>
      <c r="DT100" s="10">
        <v>9.3333333333333268E-2</v>
      </c>
      <c r="DU100">
        <v>0.66666666666666663</v>
      </c>
      <c r="DV100">
        <v>0.7599999999999999</v>
      </c>
      <c r="DW100">
        <v>-2.1139999999999999</v>
      </c>
      <c r="DX100">
        <v>0.44295980404379648</v>
      </c>
      <c r="DY100">
        <v>-2.0151574176609928</v>
      </c>
      <c r="DZ100">
        <v>1445</v>
      </c>
      <c r="EA100">
        <v>-2.0108712202989314</v>
      </c>
      <c r="EB100">
        <v>2</v>
      </c>
      <c r="EC100">
        <v>2.2316820264982513E-2</v>
      </c>
      <c r="ED100">
        <v>0.16784636849819198</v>
      </c>
      <c r="EE100" s="11">
        <v>1.0809</v>
      </c>
      <c r="EF100">
        <v>1.0442</v>
      </c>
      <c r="EG100">
        <v>31.132959804043796</v>
      </c>
      <c r="EH100" t="s">
        <v>1229</v>
      </c>
      <c r="EI100">
        <v>0</v>
      </c>
      <c r="EJ100">
        <v>1</v>
      </c>
      <c r="EK100" s="13">
        <v>45470</v>
      </c>
      <c r="EL100" s="14">
        <v>0</v>
      </c>
      <c r="EM100" s="14">
        <v>-5.2</v>
      </c>
      <c r="EN100" s="14">
        <v>-1.19</v>
      </c>
      <c r="EO100" s="14">
        <v>5.74</v>
      </c>
      <c r="EP100" s="14">
        <v>-3.67</v>
      </c>
    </row>
    <row r="101" spans="1:146" ht="96" x14ac:dyDescent="0.25">
      <c r="A101" s="7"/>
      <c r="B101" s="7"/>
      <c r="C101" s="7" t="str">
        <f>""&amp;CHAR(10)&amp;Basic_Fundamental_Information_Constructure(F101)&amp;CHAR(10)&amp;Basic_Fundamental_Information_Concatenate("")</f>
        <v xml:space="preserve">
市值27.670752亿, 利润3.11亿; PE; 平均PE5.77; 平均PEG.05, PB.73; ROIC15.3033%; ROE13.9933%; 股利率0%; 毛利59.75%; 净利6.7867%; 上一年度营收增-81.3%, 利润增-59.08%; 当季营收增-21.29%, 利润增-52.09%; 过往5年营收增128.04%, 利润增322.82%
Income profile:
</v>
      </c>
      <c r="D101" t="s">
        <v>781</v>
      </c>
      <c r="E101" t="s">
        <v>782</v>
      </c>
      <c r="F101">
        <v>14.4</v>
      </c>
      <c r="G101">
        <v>2.93</v>
      </c>
      <c r="H101" t="s">
        <v>3918</v>
      </c>
      <c r="I101">
        <v>2767075200</v>
      </c>
      <c r="K101">
        <v>0.73</v>
      </c>
      <c r="L101" t="s">
        <v>40</v>
      </c>
      <c r="M101" t="s">
        <v>1500</v>
      </c>
      <c r="N101" t="s">
        <v>3919</v>
      </c>
      <c r="O101" t="s">
        <v>2355</v>
      </c>
      <c r="P101">
        <v>-39.270000000000003</v>
      </c>
      <c r="Q101" t="s">
        <v>318</v>
      </c>
      <c r="R101">
        <v>26906914</v>
      </c>
      <c r="S101" s="3">
        <v>3.4649999999999999</v>
      </c>
      <c r="T101" t="s">
        <v>210</v>
      </c>
      <c r="U101">
        <v>192158000</v>
      </c>
      <c r="V101">
        <v>192158000</v>
      </c>
      <c r="W101">
        <v>1.05</v>
      </c>
      <c r="X101">
        <v>0.01</v>
      </c>
      <c r="Y101">
        <v>52.52</v>
      </c>
      <c r="Z101" t="s">
        <v>3920</v>
      </c>
      <c r="AA101" t="s">
        <v>3921</v>
      </c>
      <c r="AB101" t="s">
        <v>3922</v>
      </c>
      <c r="AC101" t="s">
        <v>3923</v>
      </c>
      <c r="AD101" t="s">
        <v>47</v>
      </c>
      <c r="AE101">
        <v>-45381576</v>
      </c>
      <c r="AF101" t="s">
        <v>507</v>
      </c>
      <c r="AG101" t="s">
        <v>3924</v>
      </c>
      <c r="AH101" t="s">
        <v>2356</v>
      </c>
      <c r="AI101" t="s">
        <v>3925</v>
      </c>
      <c r="AJ101" t="s">
        <v>2357</v>
      </c>
      <c r="AK101" t="s">
        <v>47</v>
      </c>
      <c r="AL101" t="s">
        <v>2358</v>
      </c>
      <c r="AM101" t="s">
        <v>47</v>
      </c>
      <c r="AN101" t="s">
        <v>3926</v>
      </c>
      <c r="AO101" t="s">
        <v>47</v>
      </c>
      <c r="AP101" t="s">
        <v>47</v>
      </c>
      <c r="AQ101" t="s">
        <v>3927</v>
      </c>
      <c r="AR101" t="s">
        <v>47</v>
      </c>
      <c r="AS101" t="s">
        <v>580</v>
      </c>
      <c r="AT101" t="s">
        <v>47</v>
      </c>
      <c r="AU101" t="s">
        <v>3928</v>
      </c>
      <c r="AV101" t="s">
        <v>3929</v>
      </c>
      <c r="AW101" t="s">
        <v>3930</v>
      </c>
      <c r="AX101" t="s">
        <v>1441</v>
      </c>
      <c r="AY101" t="s">
        <v>1019</v>
      </c>
      <c r="AZ101" t="s">
        <v>783</v>
      </c>
      <c r="BA101" t="s">
        <v>785</v>
      </c>
      <c r="BB101" t="s">
        <v>675</v>
      </c>
      <c r="BC101" t="s">
        <v>1442</v>
      </c>
      <c r="BD101" t="s">
        <v>390</v>
      </c>
      <c r="BE101" t="s">
        <v>784</v>
      </c>
      <c r="BF101" t="s">
        <v>786</v>
      </c>
      <c r="BG101" t="s">
        <v>787</v>
      </c>
      <c r="BH101" t="s">
        <v>1184</v>
      </c>
      <c r="BI101" t="s">
        <v>3931</v>
      </c>
      <c r="BJ101" t="s">
        <v>1441</v>
      </c>
      <c r="BK101" t="s">
        <v>242</v>
      </c>
      <c r="BL101" t="s">
        <v>3932</v>
      </c>
      <c r="BM101" t="s">
        <v>1442</v>
      </c>
      <c r="BN101">
        <v>-0.74</v>
      </c>
      <c r="BO101">
        <v>18.05</v>
      </c>
      <c r="BP101">
        <v>28.6</v>
      </c>
      <c r="BQ101">
        <v>0.85</v>
      </c>
      <c r="BR101">
        <v>19</v>
      </c>
      <c r="BS101">
        <v>22.13</v>
      </c>
      <c r="BT101" t="s">
        <v>1208</v>
      </c>
      <c r="BU101" t="s">
        <v>1075</v>
      </c>
      <c r="BV101">
        <v>65.12</v>
      </c>
      <c r="BW101">
        <v>51.65</v>
      </c>
      <c r="BX101">
        <v>62.48</v>
      </c>
      <c r="BY101">
        <v>-49.89</v>
      </c>
      <c r="BZ101">
        <v>32.68</v>
      </c>
      <c r="CA101">
        <v>37.57</v>
      </c>
      <c r="CB101">
        <v>-7.0000000000000007E-2</v>
      </c>
      <c r="CC101">
        <v>-8.0500000000000007</v>
      </c>
      <c r="CD101" t="s">
        <v>3933</v>
      </c>
      <c r="CE101" t="s">
        <v>3934</v>
      </c>
      <c r="CF101" s="8">
        <v>-0.21290486140987044</v>
      </c>
      <c r="CG101" s="9">
        <v>-0.52094458272354027</v>
      </c>
      <c r="CH101" s="8">
        <v>-0.81298363208770752</v>
      </c>
      <c r="CI101" s="8">
        <v>0.15205550193786621</v>
      </c>
      <c r="CJ101" s="8">
        <v>-1.6081839799880981E-2</v>
      </c>
      <c r="CK101" s="8">
        <v>6.9227795600891113</v>
      </c>
      <c r="CL101" s="8">
        <v>0.15625</v>
      </c>
      <c r="CM101" s="9">
        <v>-0.59078949689865112</v>
      </c>
      <c r="CN101" s="9">
        <v>1.3175230706110597E-3</v>
      </c>
      <c r="CO101" s="9">
        <v>-0.18562231957912445</v>
      </c>
      <c r="CP101" s="9">
        <v>17.08942985534668</v>
      </c>
      <c r="CQ101" s="9">
        <v>-0.17325031757354736</v>
      </c>
      <c r="CR101">
        <v>5.7730782895002895</v>
      </c>
      <c r="CS101">
        <v>4.5087946141184755E-2</v>
      </c>
      <c r="CT101">
        <v>0</v>
      </c>
      <c r="CU101" s="8">
        <v>1.2804039180278779</v>
      </c>
      <c r="CV101" s="9">
        <v>3.2282170488731934</v>
      </c>
      <c r="CW101">
        <v>0.06</v>
      </c>
      <c r="CX101" t="s">
        <v>1584</v>
      </c>
      <c r="CY101">
        <v>669061904.25157547</v>
      </c>
      <c r="CZ101">
        <v>1.2804039180278779</v>
      </c>
      <c r="DA101" t="s">
        <v>1584</v>
      </c>
      <c r="DB101">
        <v>4852969587.7703419</v>
      </c>
      <c r="DC101">
        <v>1.2163837221264839</v>
      </c>
      <c r="DD101" t="s">
        <v>1584</v>
      </c>
      <c r="DE101">
        <v>39826679893.002182</v>
      </c>
      <c r="DF101">
        <v>1.1267554478645325</v>
      </c>
      <c r="DG101" t="s">
        <v>1584</v>
      </c>
      <c r="DH101">
        <v>420614078222.98401</v>
      </c>
      <c r="DI101">
        <v>1.0243231344223023</v>
      </c>
      <c r="DJ101" t="s">
        <v>1584</v>
      </c>
      <c r="DK101">
        <v>79478752608348.031</v>
      </c>
      <c r="DL101">
        <v>0.89628274261951446</v>
      </c>
      <c r="DM101">
        <v>311000000</v>
      </c>
      <c r="DN101">
        <v>1.2804039180278779</v>
      </c>
      <c r="DO101">
        <v>-822924800</v>
      </c>
      <c r="DP101">
        <v>2954172000</v>
      </c>
      <c r="DQ101">
        <v>4816</v>
      </c>
      <c r="DR101">
        <v>-1.4933087794377484</v>
      </c>
      <c r="DS101">
        <v>-3.7491616315967335</v>
      </c>
      <c r="DT101" s="10">
        <v>-9.1666666666666716E-2</v>
      </c>
      <c r="DU101">
        <v>-0.20000000000000004</v>
      </c>
      <c r="DV101">
        <v>-0.29166666666666674</v>
      </c>
      <c r="DW101">
        <v>-2.0804999999999998</v>
      </c>
      <c r="DX101">
        <v>0.56858069949470114</v>
      </c>
      <c r="DY101">
        <v>-2.0119607463093234</v>
      </c>
      <c r="DZ101">
        <v>571</v>
      </c>
      <c r="EA101">
        <v>-2.0106242323870878</v>
      </c>
      <c r="EB101">
        <v>2</v>
      </c>
      <c r="EC101">
        <v>3.1216498922761477E-2</v>
      </c>
      <c r="ED101">
        <v>0.21009794023668024</v>
      </c>
      <c r="EE101" s="11">
        <v>8.0762099999999997</v>
      </c>
      <c r="EF101">
        <v>8.1097099999999998</v>
      </c>
      <c r="EG101">
        <v>42.148580699494701</v>
      </c>
      <c r="EH101" t="s">
        <v>3935</v>
      </c>
      <c r="EI101">
        <v>0</v>
      </c>
      <c r="EJ101">
        <v>1</v>
      </c>
      <c r="EK101" s="13">
        <v>45470</v>
      </c>
      <c r="EL101" s="14">
        <v>-0.02</v>
      </c>
      <c r="EM101" s="14">
        <v>-2.82</v>
      </c>
      <c r="EN101" s="14">
        <v>-0.84</v>
      </c>
      <c r="EO101" s="14">
        <v>3.28</v>
      </c>
      <c r="EP101" s="14">
        <v>-3.35</v>
      </c>
    </row>
    <row r="102" spans="1:146" ht="96" x14ac:dyDescent="0.25">
      <c r="A102" s="7"/>
      <c r="B102" s="7"/>
      <c r="C102" s="7" t="str">
        <f>""&amp;CHAR(10)&amp;Basic_Fundamental_Information_Constructure(F102)&amp;CHAR(10)&amp;Basic_Fundamental_Information_Concatenate("")</f>
        <v xml:space="preserve">
市值23.064744亿, 利润-2.43亿; PE19.1; 平均PE89.1; 平均PEG1.68, PB1.41; ROIC4.99%; ROE6.6233%; 股利率1.1965%; 毛利61.7633%; 净利42.8367%; 上一年度营收增249.78%, 利润增-333.65%; 当季营收增56.74%, 利润增178.76%; 过往5年营收增52.97%, 利润增-52.69%
Income profile:
</v>
      </c>
      <c r="D102" t="s">
        <v>789</v>
      </c>
      <c r="E102" t="s">
        <v>790</v>
      </c>
      <c r="F102">
        <v>21.73</v>
      </c>
      <c r="G102">
        <v>2.02</v>
      </c>
      <c r="H102" t="s">
        <v>3936</v>
      </c>
      <c r="I102">
        <v>2306474400</v>
      </c>
      <c r="J102">
        <v>19.100000000000001</v>
      </c>
      <c r="K102">
        <v>1.41</v>
      </c>
      <c r="L102" t="s">
        <v>40</v>
      </c>
      <c r="M102" t="s">
        <v>292</v>
      </c>
      <c r="N102" t="s">
        <v>1610</v>
      </c>
      <c r="O102" t="s">
        <v>2359</v>
      </c>
      <c r="P102">
        <v>13.56</v>
      </c>
      <c r="Q102" t="s">
        <v>3937</v>
      </c>
      <c r="R102">
        <v>30429781</v>
      </c>
      <c r="S102" s="3">
        <v>0.14480000000000001</v>
      </c>
      <c r="T102" t="s">
        <v>3938</v>
      </c>
      <c r="U102">
        <v>106142400</v>
      </c>
      <c r="V102">
        <v>106142400</v>
      </c>
      <c r="W102">
        <v>1.06</v>
      </c>
      <c r="X102">
        <v>0.04</v>
      </c>
      <c r="Y102">
        <v>40.119999999999997</v>
      </c>
      <c r="Z102" t="s">
        <v>3939</v>
      </c>
      <c r="AA102" t="s">
        <v>3940</v>
      </c>
      <c r="AB102" t="s">
        <v>3941</v>
      </c>
      <c r="AC102" t="s">
        <v>3942</v>
      </c>
      <c r="AD102" t="s">
        <v>47</v>
      </c>
      <c r="AE102">
        <v>-7226049</v>
      </c>
      <c r="AF102" t="s">
        <v>2360</v>
      </c>
      <c r="AG102" t="s">
        <v>3943</v>
      </c>
      <c r="AH102" t="s">
        <v>2361</v>
      </c>
      <c r="AI102" t="s">
        <v>3944</v>
      </c>
      <c r="AJ102" t="s">
        <v>2362</v>
      </c>
      <c r="AK102" t="s">
        <v>3945</v>
      </c>
      <c r="AL102" t="s">
        <v>2363</v>
      </c>
      <c r="AM102" t="s">
        <v>47</v>
      </c>
      <c r="AN102" t="s">
        <v>3946</v>
      </c>
      <c r="AO102" t="s">
        <v>47</v>
      </c>
      <c r="AP102" t="s">
        <v>47</v>
      </c>
      <c r="AQ102" t="s">
        <v>3947</v>
      </c>
      <c r="AR102" t="s">
        <v>47</v>
      </c>
      <c r="AS102" t="s">
        <v>3948</v>
      </c>
      <c r="AT102" t="s">
        <v>47</v>
      </c>
      <c r="AU102" t="s">
        <v>3949</v>
      </c>
      <c r="AV102" t="s">
        <v>3950</v>
      </c>
      <c r="AW102" t="s">
        <v>3951</v>
      </c>
      <c r="AX102" t="s">
        <v>1076</v>
      </c>
      <c r="AY102" t="s">
        <v>317</v>
      </c>
      <c r="AZ102" t="s">
        <v>316</v>
      </c>
      <c r="BA102" t="s">
        <v>51</v>
      </c>
      <c r="BB102" t="s">
        <v>204</v>
      </c>
      <c r="BC102" t="s">
        <v>174</v>
      </c>
      <c r="BD102" t="s">
        <v>1020</v>
      </c>
      <c r="BE102" t="s">
        <v>791</v>
      </c>
      <c r="BF102" t="s">
        <v>792</v>
      </c>
      <c r="BG102" t="s">
        <v>793</v>
      </c>
      <c r="BH102" t="s">
        <v>859</v>
      </c>
      <c r="BI102" t="s">
        <v>3952</v>
      </c>
      <c r="BJ102" t="s">
        <v>1076</v>
      </c>
      <c r="BK102" t="s">
        <v>55</v>
      </c>
      <c r="BL102" t="s">
        <v>3953</v>
      </c>
      <c r="BM102" t="s">
        <v>174</v>
      </c>
      <c r="BN102">
        <v>4.29</v>
      </c>
      <c r="BO102">
        <v>5.43</v>
      </c>
      <c r="BP102">
        <v>5.25</v>
      </c>
      <c r="BQ102">
        <v>5.7</v>
      </c>
      <c r="BR102">
        <v>7.13</v>
      </c>
      <c r="BS102">
        <v>7.04</v>
      </c>
      <c r="BT102" t="s">
        <v>2365</v>
      </c>
      <c r="BU102" t="s">
        <v>1075</v>
      </c>
      <c r="BV102">
        <v>62.9</v>
      </c>
      <c r="BW102">
        <v>62.34</v>
      </c>
      <c r="BX102">
        <v>60.05</v>
      </c>
      <c r="BY102">
        <v>42.43</v>
      </c>
      <c r="BZ102">
        <v>45.5</v>
      </c>
      <c r="CA102">
        <v>40.58</v>
      </c>
      <c r="CB102">
        <v>0.37</v>
      </c>
      <c r="CC102">
        <v>-8.6199999999999992</v>
      </c>
      <c r="CD102" t="s">
        <v>3954</v>
      </c>
      <c r="CE102" t="s">
        <v>3955</v>
      </c>
      <c r="CF102" s="8">
        <v>0.56736464123803831</v>
      </c>
      <c r="CG102" s="9">
        <v>1.7876486331881234</v>
      </c>
      <c r="CH102" s="8">
        <v>2.4978165626525879</v>
      </c>
      <c r="CI102" s="8">
        <v>-4.583333432674408E-2</v>
      </c>
      <c r="CJ102" s="8">
        <v>8.1081077456474304E-2</v>
      </c>
      <c r="CK102" s="8">
        <v>-3.4782607108354568E-2</v>
      </c>
      <c r="CL102" s="8">
        <v>0.15000000596046448</v>
      </c>
      <c r="CM102" s="9">
        <v>-3.336538553237915</v>
      </c>
      <c r="CN102" s="9">
        <v>6.8103954195976257E-2</v>
      </c>
      <c r="CO102" s="9">
        <v>0.40729948878288269</v>
      </c>
      <c r="CP102" s="9">
        <v>-2.6065506041049957E-2</v>
      </c>
      <c r="CQ102" s="9">
        <v>0.25262895226478577</v>
      </c>
      <c r="CR102">
        <v>89.104613286579578</v>
      </c>
      <c r="CS102">
        <v>1.6823099508380979</v>
      </c>
      <c r="CT102">
        <v>1.1965025310630466</v>
      </c>
      <c r="CU102" s="8">
        <v>0.52965634092688563</v>
      </c>
      <c r="CV102" s="9">
        <v>-0.52691433280706401</v>
      </c>
      <c r="CW102">
        <v>0.06</v>
      </c>
      <c r="CX102" t="e">
        <v>#VALUE!</v>
      </c>
      <c r="CY102" t="s">
        <v>1038</v>
      </c>
      <c r="CZ102">
        <v>0.52965634092688563</v>
      </c>
      <c r="DA102" t="e">
        <v>#VALUE!</v>
      </c>
      <c r="DB102" t="s">
        <v>1038</v>
      </c>
      <c r="DC102">
        <v>0.50317352388054137</v>
      </c>
      <c r="DD102" t="e">
        <v>#VALUE!</v>
      </c>
      <c r="DE102" t="s">
        <v>1038</v>
      </c>
      <c r="DF102">
        <v>0.46609758001565937</v>
      </c>
      <c r="DG102" t="e">
        <v>#VALUE!</v>
      </c>
      <c r="DH102" t="s">
        <v>1038</v>
      </c>
      <c r="DI102">
        <v>0.4237250727415085</v>
      </c>
      <c r="DJ102" t="e">
        <v>#VALUE!</v>
      </c>
      <c r="DK102" t="s">
        <v>1038</v>
      </c>
      <c r="DL102">
        <v>0.37075943864881994</v>
      </c>
      <c r="DM102">
        <v>-243000000.00000003</v>
      </c>
      <c r="DN102">
        <v>0.52965634092688563</v>
      </c>
      <c r="DO102">
        <v>781474400.00000024</v>
      </c>
      <c r="DP102">
        <v>1279440100</v>
      </c>
      <c r="DQ102">
        <v>4836</v>
      </c>
      <c r="DR102">
        <v>3.7708300311152687E-2</v>
      </c>
      <c r="DS102">
        <v>2.3145629659951874</v>
      </c>
      <c r="DT102" s="10">
        <v>-4.0000000000000036E-2</v>
      </c>
      <c r="DU102">
        <v>-0.73666666666666669</v>
      </c>
      <c r="DV102">
        <v>-0.77666666666666673</v>
      </c>
      <c r="DW102">
        <v>-2.0861999999999998</v>
      </c>
      <c r="DX102">
        <v>0.37680430596331732</v>
      </c>
      <c r="DY102">
        <v>-2.0161025311740381</v>
      </c>
      <c r="DZ102">
        <v>4970</v>
      </c>
      <c r="EA102">
        <v>-2.0004411652376448</v>
      </c>
      <c r="EB102">
        <v>2</v>
      </c>
      <c r="EC102">
        <v>2.7874817226669079E-2</v>
      </c>
      <c r="ED102">
        <v>0.14921935060823949</v>
      </c>
      <c r="EE102" s="11">
        <v>-4.0095099999999997</v>
      </c>
      <c r="EF102">
        <v>-4.0318100000000001</v>
      </c>
      <c r="EG102">
        <v>19.186804305963317</v>
      </c>
      <c r="EH102" t="s">
        <v>1585</v>
      </c>
      <c r="EI102">
        <v>0</v>
      </c>
      <c r="EJ102">
        <v>0</v>
      </c>
      <c r="EK102" s="13">
        <v>45470</v>
      </c>
      <c r="EL102" s="14">
        <v>-1.84</v>
      </c>
      <c r="EM102" s="14">
        <v>-5.63</v>
      </c>
      <c r="EN102" s="14">
        <v>-1.65</v>
      </c>
      <c r="EO102" s="14">
        <v>4.49</v>
      </c>
      <c r="EP102" s="14">
        <v>-2.23</v>
      </c>
    </row>
    <row r="103" spans="1:146" ht="96" x14ac:dyDescent="0.25">
      <c r="A103" s="7"/>
      <c r="B103" s="7"/>
      <c r="C103" s="7" t="str">
        <f>""&amp;CHAR(10)&amp;Basic_Fundamental_Information_Constructure(F103)&amp;CHAR(10)&amp;Basic_Fundamental_Information_Concatenate("")</f>
        <v xml:space="preserve">
市值98.77894亿, 利润3.72亿; PE514.9; 平均PE168.35; 平均PEG1.28, PB5.84; ROIC0%; ROE-.3533%; 股利率0%; 毛利68.35%; 净利-1.1433%; 上一年度营收增526.54%, 利润增12008.98%; 当季营收增-71.05%, 利润增-42.83%; 过往5年营收增131.51%, 利润增2231.87%
Income profile:
</v>
      </c>
      <c r="D103" t="s">
        <v>1138</v>
      </c>
      <c r="E103" t="s">
        <v>1147</v>
      </c>
      <c r="F103">
        <v>20.99</v>
      </c>
      <c r="G103">
        <v>10.65</v>
      </c>
      <c r="H103" t="s">
        <v>3956</v>
      </c>
      <c r="I103">
        <v>9877894000</v>
      </c>
      <c r="J103">
        <v>514.9</v>
      </c>
      <c r="K103">
        <v>5.84</v>
      </c>
      <c r="L103" t="s">
        <v>40</v>
      </c>
      <c r="M103" t="s">
        <v>301</v>
      </c>
      <c r="N103" t="s">
        <v>3957</v>
      </c>
      <c r="O103" t="s">
        <v>2366</v>
      </c>
      <c r="P103">
        <v>71.010000000000005</v>
      </c>
      <c r="Q103" t="s">
        <v>3958</v>
      </c>
      <c r="R103">
        <v>17500000</v>
      </c>
      <c r="S103" s="3">
        <v>1.4470000000000001</v>
      </c>
      <c r="T103" t="s">
        <v>801</v>
      </c>
      <c r="U103">
        <v>122035881</v>
      </c>
      <c r="V103">
        <v>470600000</v>
      </c>
      <c r="W103">
        <v>1.0900000000000001</v>
      </c>
      <c r="X103">
        <v>0.05</v>
      </c>
      <c r="Y103">
        <v>4.68</v>
      </c>
      <c r="Z103" t="s">
        <v>3959</v>
      </c>
      <c r="AA103" t="s">
        <v>3960</v>
      </c>
      <c r="AB103" t="s">
        <v>3961</v>
      </c>
      <c r="AC103" t="s">
        <v>3962</v>
      </c>
      <c r="AD103" t="s">
        <v>47</v>
      </c>
      <c r="AE103">
        <v>-1045507</v>
      </c>
      <c r="AF103" t="s">
        <v>2368</v>
      </c>
      <c r="AG103" t="s">
        <v>47</v>
      </c>
      <c r="AH103" t="s">
        <v>2369</v>
      </c>
      <c r="AI103" t="s">
        <v>760</v>
      </c>
      <c r="AJ103" t="s">
        <v>2370</v>
      </c>
      <c r="AK103" t="s">
        <v>47</v>
      </c>
      <c r="AL103" t="s">
        <v>2371</v>
      </c>
      <c r="AM103" t="s">
        <v>47</v>
      </c>
      <c r="AN103">
        <v>0</v>
      </c>
      <c r="AO103" t="s">
        <v>47</v>
      </c>
      <c r="AP103" t="s">
        <v>47</v>
      </c>
      <c r="AQ103" t="s">
        <v>3963</v>
      </c>
      <c r="AR103" t="s">
        <v>47</v>
      </c>
      <c r="AS103" t="s">
        <v>154</v>
      </c>
      <c r="AT103" t="s">
        <v>47</v>
      </c>
      <c r="AU103" t="s">
        <v>3964</v>
      </c>
      <c r="AV103" t="s">
        <v>491</v>
      </c>
      <c r="AW103" t="s">
        <v>3965</v>
      </c>
      <c r="AX103" t="s">
        <v>558</v>
      </c>
      <c r="AY103" t="s">
        <v>490</v>
      </c>
      <c r="AZ103" t="s">
        <v>201</v>
      </c>
      <c r="BA103" t="s">
        <v>55</v>
      </c>
      <c r="BB103" t="s">
        <v>1140</v>
      </c>
      <c r="BC103" t="s">
        <v>2372</v>
      </c>
      <c r="BD103" t="s">
        <v>1139</v>
      </c>
      <c r="BE103" t="s">
        <v>1141</v>
      </c>
      <c r="BF103" t="s">
        <v>1142</v>
      </c>
      <c r="BG103" t="s">
        <v>1143</v>
      </c>
      <c r="BH103" t="s">
        <v>1807</v>
      </c>
      <c r="BI103" t="s">
        <v>449</v>
      </c>
      <c r="BJ103" t="s">
        <v>558</v>
      </c>
      <c r="BK103" t="s">
        <v>2367</v>
      </c>
      <c r="BL103" t="s">
        <v>3966</v>
      </c>
      <c r="BM103" t="s">
        <v>2372</v>
      </c>
      <c r="BN103" t="s">
        <v>47</v>
      </c>
      <c r="BO103" t="s">
        <v>47</v>
      </c>
      <c r="BP103" t="s">
        <v>47</v>
      </c>
      <c r="BQ103">
        <v>0.68</v>
      </c>
      <c r="BR103">
        <v>0.31</v>
      </c>
      <c r="BS103">
        <v>-2.0499999999999998</v>
      </c>
      <c r="BT103" t="s">
        <v>1208</v>
      </c>
      <c r="BU103" t="s">
        <v>1079</v>
      </c>
      <c r="BV103">
        <v>63.51</v>
      </c>
      <c r="BW103">
        <v>69.11</v>
      </c>
      <c r="BX103">
        <v>72.430000000000007</v>
      </c>
      <c r="BY103">
        <v>1.73</v>
      </c>
      <c r="BZ103">
        <v>1.1399999999999999</v>
      </c>
      <c r="CA103">
        <v>-6.3</v>
      </c>
      <c r="CB103">
        <v>-4.76</v>
      </c>
      <c r="CC103">
        <v>-11.77</v>
      </c>
      <c r="CD103" t="s">
        <v>3967</v>
      </c>
      <c r="CE103" t="s">
        <v>3968</v>
      </c>
      <c r="CF103" s="8">
        <v>-0.71054383116883113</v>
      </c>
      <c r="CG103" s="9">
        <v>-0.42833996458974416</v>
      </c>
      <c r="CH103" s="8">
        <v>5.2653841972351074</v>
      </c>
      <c r="CI103" s="8">
        <v>0.3684210479259491</v>
      </c>
      <c r="CJ103" s="8">
        <v>0.34751772880554199</v>
      </c>
      <c r="CK103" s="8">
        <v>0.20512820780277252</v>
      </c>
      <c r="CL103" s="8">
        <v>0.38925501704216003</v>
      </c>
      <c r="CM103" s="9">
        <v>120.08981323242187</v>
      </c>
      <c r="CN103" s="9">
        <v>1.256557822227478</v>
      </c>
      <c r="CO103" s="9">
        <v>-3.0854246616363525</v>
      </c>
      <c r="CP103" s="9">
        <v>1.3795318603515625</v>
      </c>
      <c r="CQ103" s="9">
        <v>-8.0467615127563477</v>
      </c>
      <c r="CR103">
        <v>168.35477937782372</v>
      </c>
      <c r="CS103">
        <v>1.2801269877922126</v>
      </c>
      <c r="CT103">
        <v>0</v>
      </c>
      <c r="CU103" s="8">
        <v>1.3151412397623061</v>
      </c>
      <c r="CV103" s="9">
        <v>22.318743348121643</v>
      </c>
      <c r="CW103">
        <v>0.06</v>
      </c>
      <c r="CX103">
        <v>10.246231090839668</v>
      </c>
      <c r="CY103">
        <v>812483529.42601681</v>
      </c>
      <c r="CZ103">
        <v>1.3151412397623061</v>
      </c>
      <c r="DA103">
        <v>1.383014320455962</v>
      </c>
      <c r="DB103">
        <v>6019383803.0942373</v>
      </c>
      <c r="DC103">
        <v>1.2493841777741908</v>
      </c>
      <c r="DD103">
        <v>0.16246227585451409</v>
      </c>
      <c r="DE103">
        <v>51242012683.947571</v>
      </c>
      <c r="DF103">
        <v>1.1573242909908295</v>
      </c>
      <c r="DG103">
        <v>1.4649717518139198E-2</v>
      </c>
      <c r="DH103">
        <v>568263107441.63928</v>
      </c>
      <c r="DI103">
        <v>1.0521129918098449</v>
      </c>
      <c r="DJ103">
        <v>6.8958339604564481E-5</v>
      </c>
      <c r="DK103">
        <v>120723527389701.81</v>
      </c>
      <c r="DL103">
        <v>0.92059886783361422</v>
      </c>
      <c r="DM103">
        <v>372000000</v>
      </c>
      <c r="DN103">
        <v>1.3151412397623061</v>
      </c>
      <c r="DO103">
        <v>8324894000</v>
      </c>
      <c r="DP103">
        <v>1430532000</v>
      </c>
      <c r="DQ103">
        <v>4844</v>
      </c>
      <c r="DR103">
        <v>-2.0256850709311371</v>
      </c>
      <c r="DS103">
        <v>-22.747083312711386</v>
      </c>
      <c r="DT103" s="10">
        <v>0.35999999999999993</v>
      </c>
      <c r="DU103">
        <v>-0.68666666666666687</v>
      </c>
      <c r="DV103">
        <v>-0.32666666666666694</v>
      </c>
      <c r="DW103">
        <v>-8.4044180118946468</v>
      </c>
      <c r="DX103">
        <v>0.78604357041103556</v>
      </c>
      <c r="DY103">
        <v>-8.1075928118229843</v>
      </c>
      <c r="DZ103">
        <v>82</v>
      </c>
      <c r="EA103">
        <v>-8.1058662735510687</v>
      </c>
      <c r="EB103">
        <v>8</v>
      </c>
      <c r="EC103">
        <v>3.25414364640884E-2</v>
      </c>
      <c r="ED103">
        <v>0.12231619209519762</v>
      </c>
      <c r="EE103" s="11">
        <v>3.0004</v>
      </c>
      <c r="EF103">
        <v>3.0236100000000001</v>
      </c>
      <c r="EG103">
        <v>52.266043570411036</v>
      </c>
      <c r="EH103" t="s">
        <v>1601</v>
      </c>
      <c r="EI103">
        <v>0</v>
      </c>
      <c r="EJ103">
        <v>1</v>
      </c>
      <c r="EK103" s="13">
        <v>45470</v>
      </c>
      <c r="EL103" s="14">
        <v>-1.06</v>
      </c>
      <c r="EM103" s="14">
        <v>-3.72</v>
      </c>
      <c r="EN103" s="14">
        <v>-3.78</v>
      </c>
      <c r="EO103" s="14">
        <v>3.93</v>
      </c>
      <c r="EP103" s="14">
        <v>-2.4</v>
      </c>
    </row>
    <row r="104" spans="1:146" ht="96" x14ac:dyDescent="0.25">
      <c r="A104" s="7"/>
      <c r="B104" s="7"/>
      <c r="C104" s="7" t="str">
        <f>""&amp;CHAR(10)&amp;Basic_Fundamental_Information_Constructure(F104)&amp;CHAR(10)&amp;Basic_Fundamental_Information_Concatenate("")</f>
        <v xml:space="preserve">
市值28.098409亿, 利润-3679.34万; PE20.14; 平均PE35.06; 平均PEG3.59, PB1.99; ROIC8.1667%; ROE9.3467%; 股利率3.1923%; 毛利58.1267%; 净利28.7767%; 上一年度营收增30.45%, 利润增-134.71%; 当季营收增68.27%, 利润增471.52%; 过往5年营收增9.77%, 利润增-24.46%
Income profile:
</v>
      </c>
      <c r="D104" t="s">
        <v>794</v>
      </c>
      <c r="E104" t="s">
        <v>795</v>
      </c>
      <c r="F104">
        <v>25.06</v>
      </c>
      <c r="G104">
        <v>1.25</v>
      </c>
      <c r="H104" t="s">
        <v>3969</v>
      </c>
      <c r="I104">
        <v>2809840900</v>
      </c>
      <c r="J104">
        <v>20.14</v>
      </c>
      <c r="K104">
        <v>1.99</v>
      </c>
      <c r="L104" t="s">
        <v>40</v>
      </c>
      <c r="M104" t="s">
        <v>352</v>
      </c>
      <c r="N104" t="s">
        <v>1387</v>
      </c>
      <c r="O104" t="s">
        <v>201</v>
      </c>
      <c r="P104">
        <v>-14.87</v>
      </c>
      <c r="Q104" t="s">
        <v>1564</v>
      </c>
      <c r="R104">
        <v>45539473</v>
      </c>
      <c r="S104" s="3">
        <v>-0.1328</v>
      </c>
      <c r="T104" t="s">
        <v>3970</v>
      </c>
      <c r="U104">
        <v>112124537</v>
      </c>
      <c r="V104">
        <v>112124537</v>
      </c>
      <c r="W104">
        <v>1.0900000000000001</v>
      </c>
      <c r="X104">
        <v>0.09</v>
      </c>
      <c r="Y104">
        <v>32.39</v>
      </c>
      <c r="Z104" t="s">
        <v>3971</v>
      </c>
      <c r="AA104" t="s">
        <v>3972</v>
      </c>
      <c r="AB104" t="s">
        <v>3973</v>
      </c>
      <c r="AC104" t="s">
        <v>3974</v>
      </c>
      <c r="AD104" t="s">
        <v>47</v>
      </c>
      <c r="AE104">
        <v>-7451682</v>
      </c>
      <c r="AF104" t="s">
        <v>2373</v>
      </c>
      <c r="AG104">
        <v>7000.6</v>
      </c>
      <c r="AH104" t="s">
        <v>2374</v>
      </c>
      <c r="AI104" t="s">
        <v>1979</v>
      </c>
      <c r="AJ104" t="s">
        <v>2376</v>
      </c>
      <c r="AK104" t="s">
        <v>47</v>
      </c>
      <c r="AL104" t="s">
        <v>2377</v>
      </c>
      <c r="AM104" t="s">
        <v>47</v>
      </c>
      <c r="AN104" t="s">
        <v>3975</v>
      </c>
      <c r="AO104" t="s">
        <v>47</v>
      </c>
      <c r="AP104" t="s">
        <v>47</v>
      </c>
      <c r="AQ104" t="s">
        <v>3976</v>
      </c>
      <c r="AR104" t="s">
        <v>47</v>
      </c>
      <c r="AS104" t="s">
        <v>363</v>
      </c>
      <c r="AT104" t="s">
        <v>47</v>
      </c>
      <c r="AU104" t="s">
        <v>3977</v>
      </c>
      <c r="AV104" t="s">
        <v>3978</v>
      </c>
      <c r="AW104" t="s">
        <v>3979</v>
      </c>
      <c r="AX104" t="s">
        <v>313</v>
      </c>
      <c r="AY104" t="s">
        <v>135</v>
      </c>
      <c r="AZ104" t="s">
        <v>469</v>
      </c>
      <c r="BA104" t="s">
        <v>42</v>
      </c>
      <c r="BB104" t="s">
        <v>723</v>
      </c>
      <c r="BC104" t="s">
        <v>292</v>
      </c>
      <c r="BD104" t="s">
        <v>396</v>
      </c>
      <c r="BE104" t="s">
        <v>796</v>
      </c>
      <c r="BF104" t="s">
        <v>245</v>
      </c>
      <c r="BG104" t="s">
        <v>797</v>
      </c>
      <c r="BH104" t="s">
        <v>711</v>
      </c>
      <c r="BI104" t="s">
        <v>3980</v>
      </c>
      <c r="BJ104" t="s">
        <v>313</v>
      </c>
      <c r="BK104" t="s">
        <v>79</v>
      </c>
      <c r="BL104" t="s">
        <v>3981</v>
      </c>
      <c r="BM104" t="s">
        <v>292</v>
      </c>
      <c r="BN104">
        <v>8.83</v>
      </c>
      <c r="BO104">
        <v>6.23</v>
      </c>
      <c r="BP104">
        <v>9.44</v>
      </c>
      <c r="BQ104">
        <v>10.47</v>
      </c>
      <c r="BR104">
        <v>8.3000000000000007</v>
      </c>
      <c r="BS104">
        <v>9.27</v>
      </c>
      <c r="BT104" t="s">
        <v>1408</v>
      </c>
      <c r="BU104" t="s">
        <v>1032</v>
      </c>
      <c r="BV104">
        <v>58.81</v>
      </c>
      <c r="BW104">
        <v>59.28</v>
      </c>
      <c r="BX104">
        <v>56.29</v>
      </c>
      <c r="BY104">
        <v>30.27</v>
      </c>
      <c r="BZ104">
        <v>27.79</v>
      </c>
      <c r="CA104">
        <v>28.27</v>
      </c>
      <c r="CB104">
        <v>-3.5</v>
      </c>
      <c r="CC104">
        <v>-12.44</v>
      </c>
      <c r="CD104" t="s">
        <v>3982</v>
      </c>
      <c r="CE104" t="s">
        <v>3983</v>
      </c>
      <c r="CF104" s="8">
        <v>0.68269202081764513</v>
      </c>
      <c r="CG104" s="9">
        <v>4.7152333673261273</v>
      </c>
      <c r="CH104" s="8">
        <v>0.30446195602416992</v>
      </c>
      <c r="CI104" s="8">
        <v>-4.2713567614555359E-2</v>
      </c>
      <c r="CJ104" s="8">
        <v>0.19519519805908203</v>
      </c>
      <c r="CK104" s="8">
        <v>-0.10000000149011612</v>
      </c>
      <c r="CL104" s="8">
        <v>0.13149847090244293</v>
      </c>
      <c r="CM104" s="9">
        <v>-1.3471076488494873</v>
      </c>
      <c r="CN104" s="9">
        <v>-5.35714291036129E-2</v>
      </c>
      <c r="CO104" s="9">
        <v>0.12409061193466187</v>
      </c>
      <c r="CP104" s="9">
        <v>-5.1084801554679871E-2</v>
      </c>
      <c r="CQ104" s="9">
        <v>0.10452947020530701</v>
      </c>
      <c r="CR104" s="1">
        <v>35.056856041245496</v>
      </c>
      <c r="CS104" s="1">
        <v>3.5886402101485686</v>
      </c>
      <c r="CT104" s="1">
        <v>3.1923383878691145</v>
      </c>
      <c r="CU104" s="8">
        <v>9.7688411176204679E-2</v>
      </c>
      <c r="CV104" s="9">
        <v>-0.24462875947356225</v>
      </c>
      <c r="CW104">
        <v>0.06</v>
      </c>
      <c r="CX104" t="e">
        <v>#VALUE!</v>
      </c>
      <c r="CY104" t="s">
        <v>1038</v>
      </c>
      <c r="CZ104">
        <v>9.7688411176204679E-2</v>
      </c>
      <c r="DA104" t="e">
        <v>#VALUE!</v>
      </c>
      <c r="DB104" t="s">
        <v>1038</v>
      </c>
      <c r="DC104">
        <v>9.2803990617394444E-2</v>
      </c>
      <c r="DD104" t="e">
        <v>#VALUE!</v>
      </c>
      <c r="DE104" t="s">
        <v>1038</v>
      </c>
      <c r="DF104">
        <v>8.5965801835060113E-2</v>
      </c>
      <c r="DG104" t="e">
        <v>#VALUE!</v>
      </c>
      <c r="DH104" t="s">
        <v>1038</v>
      </c>
      <c r="DI104">
        <v>7.8150728940963754E-2</v>
      </c>
      <c r="DJ104" t="e">
        <v>#VALUE!</v>
      </c>
      <c r="DK104" t="s">
        <v>1038</v>
      </c>
      <c r="DL104">
        <v>6.8381887823343271E-2</v>
      </c>
      <c r="DM104">
        <v>-36793400</v>
      </c>
      <c r="DN104">
        <v>9.7688411176204679E-2</v>
      </c>
      <c r="DO104">
        <v>1547840900</v>
      </c>
      <c r="DP104">
        <v>1252337500</v>
      </c>
      <c r="DQ104">
        <v>4850</v>
      </c>
      <c r="DR104">
        <v>0.58500360964144049</v>
      </c>
      <c r="DS104">
        <v>4.9598621267996892</v>
      </c>
      <c r="DT104" s="10">
        <v>-0.14000000000000001</v>
      </c>
      <c r="DU104">
        <v>-0.97000000000000008</v>
      </c>
      <c r="DV104">
        <v>-1.1100000000000001</v>
      </c>
      <c r="DW104">
        <v>-8.2813504823151121</v>
      </c>
      <c r="DX104">
        <v>0.47803840571619788</v>
      </c>
      <c r="DY104">
        <v>-8.0444641816725646</v>
      </c>
      <c r="DZ104">
        <v>2558</v>
      </c>
      <c r="EA104">
        <v>-8.0222059866200368</v>
      </c>
      <c r="EB104">
        <v>8</v>
      </c>
      <c r="EC104">
        <v>2.5249602591447044E-2</v>
      </c>
      <c r="ED104">
        <v>0.15976877567842265</v>
      </c>
      <c r="EE104" s="11">
        <v>-3.04461</v>
      </c>
      <c r="EF104">
        <v>-3.0501100000000001</v>
      </c>
      <c r="EG104">
        <v>32.158038405716198</v>
      </c>
      <c r="EH104" t="s">
        <v>1538</v>
      </c>
      <c r="EI104">
        <v>0</v>
      </c>
      <c r="EJ104">
        <v>0</v>
      </c>
      <c r="EK104" s="13">
        <v>45470</v>
      </c>
      <c r="EL104" s="14">
        <v>-3.2</v>
      </c>
      <c r="EM104" s="14">
        <v>-8.64</v>
      </c>
      <c r="EN104" s="14">
        <v>0.5</v>
      </c>
      <c r="EO104" s="14">
        <v>0.1</v>
      </c>
      <c r="EP104" s="14">
        <v>-0.55000000000000004</v>
      </c>
    </row>
    <row r="105" spans="1:146" ht="72" x14ac:dyDescent="0.25">
      <c r="A105" s="7"/>
      <c r="B105" s="7"/>
      <c r="C105" s="7" t="s">
        <v>885</v>
      </c>
      <c r="D105" t="s">
        <v>798</v>
      </c>
      <c r="E105" t="s">
        <v>799</v>
      </c>
      <c r="F105">
        <v>59.68</v>
      </c>
      <c r="G105">
        <v>3.07</v>
      </c>
      <c r="H105" t="s">
        <v>3984</v>
      </c>
      <c r="I105">
        <v>14054037000</v>
      </c>
      <c r="J105">
        <v>32.5</v>
      </c>
      <c r="K105">
        <v>2.44</v>
      </c>
      <c r="L105" t="s">
        <v>40</v>
      </c>
      <c r="M105" t="s">
        <v>1561</v>
      </c>
      <c r="N105" t="s">
        <v>3985</v>
      </c>
      <c r="O105" t="s">
        <v>2378</v>
      </c>
      <c r="P105">
        <v>5.68</v>
      </c>
      <c r="Q105" t="s">
        <v>51</v>
      </c>
      <c r="R105">
        <v>97541533</v>
      </c>
      <c r="S105" s="3">
        <v>0.2016</v>
      </c>
      <c r="T105" t="s">
        <v>3986</v>
      </c>
      <c r="U105">
        <v>194051860</v>
      </c>
      <c r="V105">
        <v>235489900</v>
      </c>
      <c r="W105">
        <v>1.17</v>
      </c>
      <c r="X105">
        <v>0.09</v>
      </c>
      <c r="Y105">
        <v>14.32</v>
      </c>
      <c r="Z105" t="s">
        <v>2801</v>
      </c>
      <c r="AA105" t="s">
        <v>161</v>
      </c>
      <c r="AB105" t="s">
        <v>161</v>
      </c>
      <c r="AC105" t="s">
        <v>3987</v>
      </c>
      <c r="AD105" t="s">
        <v>47</v>
      </c>
      <c r="AE105">
        <v>-13764811</v>
      </c>
      <c r="AF105" t="s">
        <v>2379</v>
      </c>
      <c r="AG105" t="s">
        <v>3988</v>
      </c>
      <c r="AH105" t="s">
        <v>2381</v>
      </c>
      <c r="AI105" t="s">
        <v>3989</v>
      </c>
      <c r="AJ105" t="s">
        <v>2382</v>
      </c>
      <c r="AK105" t="s">
        <v>47</v>
      </c>
      <c r="AL105" t="s">
        <v>2383</v>
      </c>
      <c r="AM105" t="s">
        <v>47</v>
      </c>
      <c r="AN105" t="s">
        <v>1899</v>
      </c>
      <c r="AO105" t="s">
        <v>1528</v>
      </c>
      <c r="AP105" t="s">
        <v>47</v>
      </c>
      <c r="AQ105" t="s">
        <v>3990</v>
      </c>
      <c r="AR105" t="s">
        <v>47</v>
      </c>
      <c r="AS105" t="s">
        <v>660</v>
      </c>
      <c r="AT105" t="s">
        <v>391</v>
      </c>
      <c r="AU105" t="s">
        <v>3991</v>
      </c>
      <c r="AV105" t="s">
        <v>362</v>
      </c>
      <c r="AW105" t="s">
        <v>3992</v>
      </c>
      <c r="AX105" t="s">
        <v>1443</v>
      </c>
      <c r="AY105" t="s">
        <v>1021</v>
      </c>
      <c r="AZ105" t="s">
        <v>211</v>
      </c>
      <c r="BA105" t="s">
        <v>800</v>
      </c>
      <c r="BB105" t="s">
        <v>215</v>
      </c>
      <c r="BC105" t="s">
        <v>351</v>
      </c>
      <c r="BD105" t="s">
        <v>957</v>
      </c>
      <c r="BE105" t="s">
        <v>51</v>
      </c>
      <c r="BF105" t="s">
        <v>185</v>
      </c>
      <c r="BG105" t="s">
        <v>377</v>
      </c>
      <c r="BH105" t="s">
        <v>1574</v>
      </c>
      <c r="BI105" t="s">
        <v>3993</v>
      </c>
      <c r="BJ105" t="s">
        <v>1443</v>
      </c>
      <c r="BK105" t="s">
        <v>1768</v>
      </c>
      <c r="BL105" t="s">
        <v>3994</v>
      </c>
      <c r="BM105" t="s">
        <v>351</v>
      </c>
      <c r="BN105">
        <v>4.6399999999999997</v>
      </c>
      <c r="BO105">
        <v>2.09</v>
      </c>
      <c r="BP105">
        <v>4.43</v>
      </c>
      <c r="BQ105">
        <v>5.83</v>
      </c>
      <c r="BR105">
        <v>3.21</v>
      </c>
      <c r="BS105">
        <v>6.25</v>
      </c>
      <c r="BT105" t="s">
        <v>2053</v>
      </c>
      <c r="BU105" t="s">
        <v>1079</v>
      </c>
      <c r="BV105">
        <v>70.5</v>
      </c>
      <c r="BW105">
        <v>68.98</v>
      </c>
      <c r="BX105">
        <v>72.099999999999994</v>
      </c>
      <c r="BY105">
        <v>15.53</v>
      </c>
      <c r="BZ105">
        <v>8.93</v>
      </c>
      <c r="CA105">
        <v>19.649999999999999</v>
      </c>
      <c r="CB105">
        <v>-3.24</v>
      </c>
      <c r="CC105">
        <v>-4.83</v>
      </c>
      <c r="CD105" t="s">
        <v>3995</v>
      </c>
      <c r="CE105" t="s">
        <v>3996</v>
      </c>
      <c r="CF105" s="8">
        <v>34.850250285803078</v>
      </c>
      <c r="CG105" s="9">
        <v>636.10994774657092</v>
      </c>
      <c r="CH105" s="8">
        <v>-0.89201879501342773</v>
      </c>
      <c r="CI105" s="8">
        <v>0.20543289184570313</v>
      </c>
      <c r="CJ105" s="8">
        <v>0.32657662034034729</v>
      </c>
      <c r="CK105" s="8">
        <v>-0.16957606375217438</v>
      </c>
      <c r="CL105" s="8">
        <v>2.9525032266974449E-2</v>
      </c>
      <c r="CM105" s="9">
        <v>-0.8886600136756897</v>
      </c>
      <c r="CN105" s="9">
        <v>-0.48863637447357178</v>
      </c>
      <c r="CO105" s="9">
        <v>0.53043478727340698</v>
      </c>
      <c r="CP105" s="9">
        <v>-0.38005390763282776</v>
      </c>
      <c r="CQ105" s="9">
        <v>-0.10602409392595291</v>
      </c>
      <c r="CR105">
        <v>53.776789793533489</v>
      </c>
      <c r="CS105">
        <v>5.3770303555741421</v>
      </c>
      <c r="CT105">
        <v>1.6756032171581769</v>
      </c>
      <c r="CU105" s="8">
        <v>-0.10001206286251545</v>
      </c>
      <c r="CV105" s="9">
        <v>-0.26658792048692703</v>
      </c>
      <c r="CW105">
        <v>0.06</v>
      </c>
      <c r="CX105">
        <v>450.07469612598049</v>
      </c>
      <c r="CY105" t="s">
        <v>3997</v>
      </c>
      <c r="CZ105">
        <v>-0.10001206286251545</v>
      </c>
      <c r="DA105">
        <v>150.02489870866015</v>
      </c>
      <c r="DB105" t="s">
        <v>3998</v>
      </c>
      <c r="DC105">
        <v>-9.5011459719389665E-2</v>
      </c>
      <c r="DD105">
        <v>75.012449354330073</v>
      </c>
      <c r="DE105" t="s">
        <v>3999</v>
      </c>
      <c r="DF105">
        <v>-8.8010615319013594E-2</v>
      </c>
      <c r="DG105">
        <v>45.007469612598051</v>
      </c>
      <c r="DH105" t="s">
        <v>4000</v>
      </c>
      <c r="DI105">
        <v>-8.0009650290012363E-2</v>
      </c>
      <c r="DJ105">
        <v>22.503734806299025</v>
      </c>
      <c r="DK105" t="s">
        <v>4001</v>
      </c>
      <c r="DL105">
        <v>-7.0008444003760814E-2</v>
      </c>
      <c r="DM105">
        <v>20041200</v>
      </c>
      <c r="DN105">
        <v>-0.10001206286251545</v>
      </c>
      <c r="DO105">
        <v>9020037000</v>
      </c>
      <c r="DP105">
        <v>3055333900</v>
      </c>
      <c r="DQ105">
        <v>4857</v>
      </c>
      <c r="DR105">
        <v>34.950262348665596</v>
      </c>
      <c r="DS105">
        <v>636.37653566705785</v>
      </c>
      <c r="DT105" s="10">
        <v>-0.60666666666666669</v>
      </c>
      <c r="DU105">
        <v>-0.68666666666666665</v>
      </c>
      <c r="DV105">
        <v>-1.2933333333333334</v>
      </c>
      <c r="DW105">
        <v>-8.670807453416149</v>
      </c>
      <c r="DX105">
        <v>0.45213740859592777</v>
      </c>
      <c r="DY105">
        <v>-8.1221791312320519</v>
      </c>
      <c r="DZ105">
        <v>1694</v>
      </c>
      <c r="EA105">
        <v>-8.0816759123852613</v>
      </c>
      <c r="EB105">
        <v>8</v>
      </c>
      <c r="EC105">
        <v>1.1761863247638222E-2</v>
      </c>
      <c r="ED105">
        <v>6.457686720322188E-2</v>
      </c>
      <c r="EE105" s="11">
        <v>-1.05751</v>
      </c>
      <c r="EF105">
        <v>-1.0745100000000001</v>
      </c>
      <c r="EG105">
        <v>27.182137408595928</v>
      </c>
      <c r="EH105" t="s">
        <v>1039</v>
      </c>
      <c r="EI105">
        <v>0</v>
      </c>
      <c r="EJ105">
        <v>0</v>
      </c>
      <c r="EK105" s="13">
        <v>45470</v>
      </c>
      <c r="EL105" s="14">
        <v>-3.53</v>
      </c>
      <c r="EM105" s="14">
        <v>-5.2</v>
      </c>
      <c r="EN105" s="14">
        <v>0.77</v>
      </c>
      <c r="EO105" s="14">
        <v>5.0199999999999996</v>
      </c>
      <c r="EP105" s="14">
        <v>-1.7</v>
      </c>
    </row>
    <row r="106" spans="1:146" ht="96" x14ac:dyDescent="0.25">
      <c r="A106" s="7"/>
      <c r="B106" s="7"/>
      <c r="C106" s="7" t="str">
        <f>""&amp;CHAR(10)&amp;Basic_Fundamental_Information_Constructure(F106)&amp;CHAR(10)&amp;Basic_Fundamental_Information_Concatenate("")</f>
        <v xml:space="preserve">
市值70.647969亿, 利润8.52亿; PE20.32; 平均PE26.18; 平均PEG.17, PB3.7; ROIC13.8167%; ROE16.0067%; 股利率1.7041%; 毛利61.9767%; 净利26.19%; 上一年度营收增648.02%, 利润增239.44%; 当季营收增-82.2%, 利润增-68.09%; 过往5年营收增155.35%, 利润增74.11%
Income profile:
</v>
      </c>
      <c r="D106" t="s">
        <v>803</v>
      </c>
      <c r="E106" t="s">
        <v>804</v>
      </c>
      <c r="F106">
        <v>16.489999999999998</v>
      </c>
      <c r="G106">
        <v>5.23</v>
      </c>
      <c r="H106" t="s">
        <v>4002</v>
      </c>
      <c r="I106">
        <v>7064796900</v>
      </c>
      <c r="J106">
        <v>20.32</v>
      </c>
      <c r="K106">
        <v>3.7</v>
      </c>
      <c r="L106" t="s">
        <v>40</v>
      </c>
      <c r="M106" t="s">
        <v>1522</v>
      </c>
      <c r="N106" t="s">
        <v>4003</v>
      </c>
      <c r="O106" t="s">
        <v>261</v>
      </c>
      <c r="P106">
        <v>10.06</v>
      </c>
      <c r="Q106" t="s">
        <v>4004</v>
      </c>
      <c r="R106">
        <v>107218856</v>
      </c>
      <c r="S106" s="3">
        <v>0.21690000000000001</v>
      </c>
      <c r="T106" t="s">
        <v>518</v>
      </c>
      <c r="U106">
        <v>428429160</v>
      </c>
      <c r="V106">
        <v>428429160</v>
      </c>
      <c r="W106">
        <v>1.23</v>
      </c>
      <c r="X106">
        <v>0.13</v>
      </c>
      <c r="Y106">
        <v>34.96</v>
      </c>
      <c r="Z106" t="s">
        <v>256</v>
      </c>
      <c r="AA106" t="s">
        <v>4005</v>
      </c>
      <c r="AB106" t="s">
        <v>4006</v>
      </c>
      <c r="AC106" t="s">
        <v>4007</v>
      </c>
      <c r="AD106" t="s">
        <v>47</v>
      </c>
      <c r="AE106">
        <v>-9511265</v>
      </c>
      <c r="AF106" t="s">
        <v>507</v>
      </c>
      <c r="AG106" t="s">
        <v>4008</v>
      </c>
      <c r="AH106" t="s">
        <v>2384</v>
      </c>
      <c r="AI106" t="s">
        <v>3663</v>
      </c>
      <c r="AJ106" t="s">
        <v>2386</v>
      </c>
      <c r="AK106" t="s">
        <v>47</v>
      </c>
      <c r="AL106" t="s">
        <v>2387</v>
      </c>
      <c r="AM106" t="s">
        <v>47</v>
      </c>
      <c r="AN106" t="s">
        <v>1509</v>
      </c>
      <c r="AO106" t="s">
        <v>774</v>
      </c>
      <c r="AP106" t="s">
        <v>47</v>
      </c>
      <c r="AQ106" t="s">
        <v>86</v>
      </c>
      <c r="AR106" t="s">
        <v>47</v>
      </c>
      <c r="AS106" t="s">
        <v>309</v>
      </c>
      <c r="AT106" t="s">
        <v>47</v>
      </c>
      <c r="AU106" t="s">
        <v>4009</v>
      </c>
      <c r="AV106" t="s">
        <v>4010</v>
      </c>
      <c r="AW106" t="s">
        <v>4011</v>
      </c>
      <c r="AX106" t="s">
        <v>1445</v>
      </c>
      <c r="AY106" t="s">
        <v>89</v>
      </c>
      <c r="AZ106" t="s">
        <v>805</v>
      </c>
      <c r="BA106" t="s">
        <v>319</v>
      </c>
      <c r="BB106" t="s">
        <v>806</v>
      </c>
      <c r="BC106" t="s">
        <v>338</v>
      </c>
      <c r="BD106" t="s">
        <v>490</v>
      </c>
      <c r="BE106" t="s">
        <v>111</v>
      </c>
      <c r="BF106" t="s">
        <v>88</v>
      </c>
      <c r="BG106" t="s">
        <v>807</v>
      </c>
      <c r="BH106" t="s">
        <v>1508</v>
      </c>
      <c r="BI106" t="s">
        <v>909</v>
      </c>
      <c r="BJ106" t="s">
        <v>1445</v>
      </c>
      <c r="BK106" t="s">
        <v>1807</v>
      </c>
      <c r="BL106" t="s">
        <v>4012</v>
      </c>
      <c r="BM106" t="s">
        <v>338</v>
      </c>
      <c r="BN106">
        <v>10.27</v>
      </c>
      <c r="BO106">
        <v>16.510000000000002</v>
      </c>
      <c r="BP106">
        <v>14.67</v>
      </c>
      <c r="BQ106">
        <v>13.19</v>
      </c>
      <c r="BR106">
        <v>18.75</v>
      </c>
      <c r="BS106">
        <v>16.079999999999998</v>
      </c>
      <c r="BT106" t="s">
        <v>2388</v>
      </c>
      <c r="BU106" t="s">
        <v>1075</v>
      </c>
      <c r="BV106">
        <v>65.81</v>
      </c>
      <c r="BW106">
        <v>58.52</v>
      </c>
      <c r="BX106">
        <v>61.6</v>
      </c>
      <c r="BY106">
        <v>28.58</v>
      </c>
      <c r="BZ106">
        <v>25.55</v>
      </c>
      <c r="CA106">
        <v>24.44</v>
      </c>
      <c r="CB106">
        <v>1.41</v>
      </c>
      <c r="CC106">
        <v>-15.35</v>
      </c>
      <c r="CD106" t="s">
        <v>4013</v>
      </c>
      <c r="CE106" t="s">
        <v>4014</v>
      </c>
      <c r="CF106" s="8">
        <v>-0.82198952879581155</v>
      </c>
      <c r="CG106" s="9">
        <v>-0.68089626190476193</v>
      </c>
      <c r="CH106" s="8">
        <v>6.4801626205444336</v>
      </c>
      <c r="CI106" s="8">
        <v>0.26349613070487976</v>
      </c>
      <c r="CJ106" s="8">
        <v>0.40433213114738464</v>
      </c>
      <c r="CK106" s="8">
        <v>0.30969268083572388</v>
      </c>
      <c r="CL106" s="8">
        <v>0.30959752202033997</v>
      </c>
      <c r="CM106" s="9">
        <v>2.3944222927093506</v>
      </c>
      <c r="CN106" s="9">
        <v>0.32105264067649841</v>
      </c>
      <c r="CO106" s="9">
        <v>0.3194444477558136</v>
      </c>
      <c r="CP106" s="9">
        <v>0.42574256658554077</v>
      </c>
      <c r="CQ106" s="9">
        <v>0.24470077455043793</v>
      </c>
      <c r="CR106">
        <v>26.179747693843169</v>
      </c>
      <c r="CS106">
        <v>0.16852581621868284</v>
      </c>
      <c r="CT106">
        <v>1.7040630685263798</v>
      </c>
      <c r="CU106" s="8">
        <v>1.5534562170505524</v>
      </c>
      <c r="CV106" s="9">
        <v>0.74107254445552828</v>
      </c>
      <c r="CW106">
        <v>0.06</v>
      </c>
      <c r="CX106">
        <v>2.7727514504852371</v>
      </c>
      <c r="CY106">
        <v>2052400657.4783683</v>
      </c>
      <c r="CZ106">
        <v>1.5534562170505524</v>
      </c>
      <c r="DA106">
        <v>0.32530767378971376</v>
      </c>
      <c r="DB106">
        <v>17493583332.063232</v>
      </c>
      <c r="DC106">
        <v>1.4757834061980246</v>
      </c>
      <c r="DD106">
        <v>2.9987049193581826E-2</v>
      </c>
      <c r="DE106">
        <v>189775154709.72083</v>
      </c>
      <c r="DF106">
        <v>1.367041471004486</v>
      </c>
      <c r="DG106">
        <v>1.9602470161623189E-3</v>
      </c>
      <c r="DH106">
        <v>2903101932092.8135</v>
      </c>
      <c r="DI106">
        <v>1.242764973640442</v>
      </c>
      <c r="DJ106">
        <v>4.2736139655929906E-6</v>
      </c>
      <c r="DK106">
        <v>1331612294843848</v>
      </c>
      <c r="DL106">
        <v>1.0874193519353865</v>
      </c>
      <c r="DM106">
        <v>852000000</v>
      </c>
      <c r="DN106">
        <v>1.5534562170505524</v>
      </c>
      <c r="DO106">
        <v>5690796900</v>
      </c>
      <c r="DP106">
        <v>1241494700</v>
      </c>
      <c r="DQ106">
        <v>4878</v>
      </c>
      <c r="DR106">
        <v>-2.3754457458463638</v>
      </c>
      <c r="DS106">
        <v>-1.4219688063602902</v>
      </c>
      <c r="DT106" s="10">
        <v>0.35999999999999993</v>
      </c>
      <c r="DU106">
        <v>0.35999999999999993</v>
      </c>
      <c r="DV106">
        <v>0.71999999999999986</v>
      </c>
      <c r="DW106">
        <v>-2.1535000000000002</v>
      </c>
      <c r="DX106">
        <v>0.35753452378818223</v>
      </c>
      <c r="DY106">
        <v>-2.0272515494014858</v>
      </c>
      <c r="DZ106">
        <v>674</v>
      </c>
      <c r="EA106">
        <v>-2.023657118032288</v>
      </c>
      <c r="EB106">
        <v>2</v>
      </c>
      <c r="EC106">
        <v>3.7353433179011436E-2</v>
      </c>
      <c r="ED106">
        <v>0.21040094469760182</v>
      </c>
      <c r="EE106" s="11">
        <v>7.6809999999999989E-2</v>
      </c>
      <c r="EF106">
        <v>0.12070999999999998</v>
      </c>
      <c r="EG106">
        <v>18.177534523788182</v>
      </c>
      <c r="EH106">
        <v>-1</v>
      </c>
      <c r="EI106">
        <v>0</v>
      </c>
      <c r="EJ106">
        <v>1</v>
      </c>
      <c r="EK106" s="13">
        <v>45470</v>
      </c>
      <c r="EL106" s="14">
        <v>0.7</v>
      </c>
      <c r="EM106" s="14">
        <v>-1.65</v>
      </c>
      <c r="EN106" s="14">
        <v>2.23</v>
      </c>
      <c r="EO106" s="14">
        <v>0.88</v>
      </c>
      <c r="EP106" s="14">
        <v>-4.3899999999999997</v>
      </c>
    </row>
    <row r="107" spans="1:146" ht="96" x14ac:dyDescent="0.25">
      <c r="A107" s="7"/>
      <c r="B107" s="7"/>
      <c r="C107" s="7" t="str">
        <f>""&amp;CHAR(10)&amp;Basic_Fundamental_Information_Constructure(F107)&amp;CHAR(10)&amp;Basic_Fundamental_Information_Concatenate("")</f>
        <v xml:space="preserve">
市值13.660884亿, 利润5112.40万; PE33.96; 平均PE20.81; 平均PEG3.75, PB1.07; ROIC2.7833%; ROE4.44%; 股利率1.0274%; 毛利72.4967%; 净利9.0533%; 上一年度营收增-26.43%, 利润增19.74%; 当季营收增2.31%, 利润增-52.91%; 过往5年营收增5.55%, 利润增.46%
Income profile:
</v>
      </c>
      <c r="D107" t="s">
        <v>808</v>
      </c>
      <c r="E107" t="s">
        <v>809</v>
      </c>
      <c r="F107">
        <v>14.6</v>
      </c>
      <c r="G107">
        <v>2.38</v>
      </c>
      <c r="H107" t="s">
        <v>4015</v>
      </c>
      <c r="I107">
        <v>1366088400</v>
      </c>
      <c r="J107">
        <v>33.96</v>
      </c>
      <c r="K107">
        <v>1.07</v>
      </c>
      <c r="L107" t="s">
        <v>40</v>
      </c>
      <c r="M107" t="s">
        <v>143</v>
      </c>
      <c r="N107" t="s">
        <v>4016</v>
      </c>
      <c r="O107" t="s">
        <v>88</v>
      </c>
      <c r="P107">
        <v>11.82</v>
      </c>
      <c r="Q107" t="s">
        <v>1057</v>
      </c>
      <c r="R107">
        <v>7989314</v>
      </c>
      <c r="S107" s="3">
        <v>2.1700000000000001E-2</v>
      </c>
      <c r="T107" t="s">
        <v>4017</v>
      </c>
      <c r="U107">
        <v>93567699</v>
      </c>
      <c r="V107">
        <v>93567699</v>
      </c>
      <c r="W107">
        <v>1.0900000000000001</v>
      </c>
      <c r="X107">
        <v>7.0000000000000007E-2</v>
      </c>
      <c r="Y107">
        <v>3.73</v>
      </c>
      <c r="Z107" t="s">
        <v>88</v>
      </c>
      <c r="AA107" t="s">
        <v>4018</v>
      </c>
      <c r="AB107" t="s">
        <v>4019</v>
      </c>
      <c r="AC107" t="s">
        <v>4020</v>
      </c>
      <c r="AD107" t="s">
        <v>47</v>
      </c>
      <c r="AE107">
        <v>-2171073</v>
      </c>
      <c r="AF107" t="s">
        <v>2390</v>
      </c>
      <c r="AG107" t="s">
        <v>4021</v>
      </c>
      <c r="AH107" t="s">
        <v>2391</v>
      </c>
      <c r="AI107" t="s">
        <v>4022</v>
      </c>
      <c r="AJ107" t="s">
        <v>2392</v>
      </c>
      <c r="AK107" t="s">
        <v>4023</v>
      </c>
      <c r="AL107" t="s">
        <v>2393</v>
      </c>
      <c r="AM107" t="s">
        <v>47</v>
      </c>
      <c r="AN107" t="s">
        <v>4024</v>
      </c>
      <c r="AO107" t="s">
        <v>2280</v>
      </c>
      <c r="AP107" t="s">
        <v>47</v>
      </c>
      <c r="AQ107" t="s">
        <v>4025</v>
      </c>
      <c r="AR107" t="s">
        <v>47</v>
      </c>
      <c r="AS107" t="s">
        <v>4026</v>
      </c>
      <c r="AT107" t="s">
        <v>47</v>
      </c>
      <c r="AU107" t="s">
        <v>4027</v>
      </c>
      <c r="AV107" t="s">
        <v>4028</v>
      </c>
      <c r="AW107" t="s">
        <v>4029</v>
      </c>
      <c r="AX107" t="s">
        <v>1086</v>
      </c>
      <c r="AY107" t="s">
        <v>309</v>
      </c>
      <c r="AZ107" t="s">
        <v>188</v>
      </c>
      <c r="BA107" t="s">
        <v>811</v>
      </c>
      <c r="BB107" t="s">
        <v>261</v>
      </c>
      <c r="BC107" t="s">
        <v>1446</v>
      </c>
      <c r="BD107" t="s">
        <v>1022</v>
      </c>
      <c r="BE107" t="s">
        <v>810</v>
      </c>
      <c r="BF107" t="s">
        <v>812</v>
      </c>
      <c r="BG107" t="s">
        <v>813</v>
      </c>
      <c r="BH107" t="s">
        <v>1564</v>
      </c>
      <c r="BI107" t="s">
        <v>4030</v>
      </c>
      <c r="BJ107" t="s">
        <v>1086</v>
      </c>
      <c r="BK107" t="s">
        <v>2389</v>
      </c>
      <c r="BL107" t="s">
        <v>4031</v>
      </c>
      <c r="BM107" t="s">
        <v>1446</v>
      </c>
      <c r="BN107">
        <v>1.03</v>
      </c>
      <c r="BO107">
        <v>1.86</v>
      </c>
      <c r="BP107">
        <v>5.46</v>
      </c>
      <c r="BQ107">
        <v>3.02</v>
      </c>
      <c r="BR107">
        <v>3.53</v>
      </c>
      <c r="BS107">
        <v>6.77</v>
      </c>
      <c r="BT107" t="s">
        <v>1215</v>
      </c>
      <c r="BU107" t="s">
        <v>1075</v>
      </c>
      <c r="BV107">
        <v>68.489999999999995</v>
      </c>
      <c r="BW107">
        <v>71.08</v>
      </c>
      <c r="BX107">
        <v>77.92</v>
      </c>
      <c r="BY107">
        <v>4.2300000000000004</v>
      </c>
      <c r="BZ107">
        <v>5.78</v>
      </c>
      <c r="CA107">
        <v>17.149999999999999</v>
      </c>
      <c r="CB107">
        <v>-4.76</v>
      </c>
      <c r="CC107">
        <v>-15.02</v>
      </c>
      <c r="CD107" t="s">
        <v>4032</v>
      </c>
      <c r="CE107" t="s">
        <v>4033</v>
      </c>
      <c r="CF107" s="8">
        <v>2.310080581850597E-2</v>
      </c>
      <c r="CG107" s="9">
        <v>-0.52908189609440393</v>
      </c>
      <c r="CH107" s="8">
        <v>-0.26429980993270874</v>
      </c>
      <c r="CI107" s="8">
        <v>0.15489749610424042</v>
      </c>
      <c r="CJ107" s="8">
        <v>0.17066666483879089</v>
      </c>
      <c r="CK107" s="8">
        <v>5.6338027119636536E-2</v>
      </c>
      <c r="CL107" s="8">
        <v>0.16013072431087494</v>
      </c>
      <c r="CM107" s="9">
        <v>0.19744321703910828</v>
      </c>
      <c r="CN107" s="9">
        <v>-0.46482139825820923</v>
      </c>
      <c r="CO107" s="9">
        <v>-5.8644820004701614E-2</v>
      </c>
      <c r="CP107" s="9">
        <v>0.14538398385047913</v>
      </c>
      <c r="CQ107" s="9">
        <v>0.20362338423728943</v>
      </c>
      <c r="CR107">
        <v>20.813915675576848</v>
      </c>
      <c r="CS107">
        <v>3.7471074734440184</v>
      </c>
      <c r="CT107">
        <v>1.0273972602739727</v>
      </c>
      <c r="CU107" s="8">
        <v>5.554662048816681E-2</v>
      </c>
      <c r="CV107" s="9">
        <v>4.5968733727931978E-3</v>
      </c>
      <c r="CW107">
        <v>0.06</v>
      </c>
      <c r="CX107">
        <v>5.5802945110242756</v>
      </c>
      <c r="CY107">
        <v>50909212.665883996</v>
      </c>
      <c r="CZ107">
        <v>5.554662048816681E-2</v>
      </c>
      <c r="DA107">
        <v>1.8777853778841578</v>
      </c>
      <c r="DB107">
        <v>151289068.14691666</v>
      </c>
      <c r="DC107">
        <v>5.2769289463758466E-2</v>
      </c>
      <c r="DD107">
        <v>0.96080604458905172</v>
      </c>
      <c r="DE107">
        <v>295677157.32003748</v>
      </c>
      <c r="DF107">
        <v>4.8881026029586792E-2</v>
      </c>
      <c r="DG107">
        <v>0.60223508644333401</v>
      </c>
      <c r="DH107">
        <v>471723428.93165302</v>
      </c>
      <c r="DI107">
        <v>4.4437296390533454E-2</v>
      </c>
      <c r="DJ107">
        <v>0.34091205708816907</v>
      </c>
      <c r="DK107">
        <v>833318722.80048764</v>
      </c>
      <c r="DL107">
        <v>3.8882634341716765E-2</v>
      </c>
      <c r="DM107">
        <v>51124000</v>
      </c>
      <c r="DN107">
        <v>5.554662048816681E-2</v>
      </c>
      <c r="DO107">
        <v>284088400</v>
      </c>
      <c r="DP107">
        <v>459521660</v>
      </c>
      <c r="DQ107">
        <v>4882</v>
      </c>
      <c r="DR107">
        <v>-3.2445814669660844E-2</v>
      </c>
      <c r="DS107">
        <v>-0.53367876946719717</v>
      </c>
      <c r="DT107" s="10">
        <v>-0.22333333333333338</v>
      </c>
      <c r="DU107">
        <v>-0.10333333333333335</v>
      </c>
      <c r="DV107">
        <v>-0.32666666666666672</v>
      </c>
      <c r="DW107">
        <v>-8.3169107856191751</v>
      </c>
      <c r="DX107">
        <v>0.35697662295034416</v>
      </c>
      <c r="DY107">
        <v>-8.0465784770468467</v>
      </c>
      <c r="DZ107">
        <v>2925</v>
      </c>
      <c r="EA107">
        <v>-8.0199166286394057</v>
      </c>
      <c r="EB107">
        <v>8</v>
      </c>
      <c r="EC107">
        <v>3.2542213098560861E-2</v>
      </c>
      <c r="ED107">
        <v>0.22141080972825888</v>
      </c>
      <c r="EE107" s="11">
        <v>-2.0444</v>
      </c>
      <c r="EF107">
        <v>-2.0409000000000002</v>
      </c>
      <c r="EG107">
        <v>21.146976622950344</v>
      </c>
      <c r="EH107" t="s">
        <v>1336</v>
      </c>
      <c r="EI107">
        <v>0</v>
      </c>
      <c r="EJ107">
        <v>0</v>
      </c>
      <c r="EK107" s="13">
        <v>45470</v>
      </c>
      <c r="EL107" s="14">
        <v>-3.22</v>
      </c>
      <c r="EM107" s="14">
        <v>-4.93</v>
      </c>
      <c r="EN107" s="14">
        <v>1.0900000000000001</v>
      </c>
      <c r="EO107" s="14">
        <v>3.32</v>
      </c>
      <c r="EP107" s="14">
        <v>-0.35</v>
      </c>
    </row>
    <row r="108" spans="1:146" ht="168" x14ac:dyDescent="0.25">
      <c r="A108" s="7"/>
      <c r="B108" s="7"/>
      <c r="C108" s="7" t="str">
        <f>"公司的主营业务为专注于体外诊断试剂、配套检测仪器等体外诊断产品的研发、生产和销售；公司主要产品为核酸分子诊断试剂、核酸纯化试剂、干化学诊断试剂及免疫类诊断试剂。"&amp;CHAR(10)&amp;Basic_Fundamental_Information_Constructure(F108)&amp;CHAR(10)&amp;Basic_Fundamental_Information_Concatenate("新冠核酸检测试剂 13.42亿 41.08%
诊断仪器业务 9.45亿 28.93%
核酸提取试剂 7.45亿 22.81%
非新冠常规诊断试剂业务(不含核酸提取试剂和仪器) 1.22亿 3.74%")</f>
        <v>公司的主营业务为专注于体外诊断试剂、配套检测仪器等体外诊断产品的研发、生产和销售；公司主要产品为核酸分子诊断试剂、核酸纯化试剂、干化学诊断试剂及免疫类诊断试剂。
市值40.529868亿, 利润1.64亿; PE; 平均PE5.86; 平均PEG.05, PB1.18; ROIC54.025%; ROE36.9467%; 股利率0%; 毛利64.5533%; 净利-5.8867%; 上一年度营收增-52.29%, 利润增-91.03%; 当季营收增-83.46%, 利润增293.91%; 过往5年营收增126.6%, 利润增183.59%
Income profile:
新冠核酸检测试剂 13.42亿 41.08%
诊断仪器业务 9.45亿 28.93%
核酸提取试剂 7.45亿 22.81%
非新冠常规诊断试剂业务(不含核酸提取试剂和仪器) 1.22亿 3.74%</v>
      </c>
      <c r="D108" t="s">
        <v>814</v>
      </c>
      <c r="E108" t="s">
        <v>815</v>
      </c>
      <c r="F108">
        <v>69.14</v>
      </c>
      <c r="G108">
        <v>0.2</v>
      </c>
      <c r="H108" t="s">
        <v>4034</v>
      </c>
      <c r="I108">
        <v>4052986800</v>
      </c>
      <c r="K108">
        <v>1.18</v>
      </c>
      <c r="L108" t="s">
        <v>40</v>
      </c>
      <c r="M108" t="s">
        <v>2394</v>
      </c>
      <c r="N108" t="s">
        <v>4035</v>
      </c>
      <c r="O108" t="s">
        <v>2395</v>
      </c>
      <c r="P108">
        <v>-3.12</v>
      </c>
      <c r="Q108" t="s">
        <v>4036</v>
      </c>
      <c r="R108">
        <v>40067958</v>
      </c>
      <c r="S108" s="3">
        <v>3.0630000000000002</v>
      </c>
      <c r="T108" t="s">
        <v>97</v>
      </c>
      <c r="U108">
        <v>58620000</v>
      </c>
      <c r="V108">
        <v>58620000</v>
      </c>
      <c r="W108">
        <v>1.17</v>
      </c>
      <c r="X108">
        <v>0.02</v>
      </c>
      <c r="Y108">
        <v>43.97</v>
      </c>
      <c r="Z108" t="s">
        <v>4037</v>
      </c>
      <c r="AA108" t="s">
        <v>4038</v>
      </c>
      <c r="AB108" t="s">
        <v>4039</v>
      </c>
      <c r="AC108" t="s">
        <v>4040</v>
      </c>
      <c r="AD108" t="s">
        <v>47</v>
      </c>
      <c r="AE108">
        <v>-4625001</v>
      </c>
      <c r="AF108" t="s">
        <v>2397</v>
      </c>
      <c r="AG108" t="s">
        <v>4041</v>
      </c>
      <c r="AH108" t="s">
        <v>2398</v>
      </c>
      <c r="AI108" t="s">
        <v>4042</v>
      </c>
      <c r="AJ108" t="s">
        <v>2399</v>
      </c>
      <c r="AK108" t="s">
        <v>4043</v>
      </c>
      <c r="AL108" t="s">
        <v>2400</v>
      </c>
      <c r="AM108" t="s">
        <v>47</v>
      </c>
      <c r="AN108" t="s">
        <v>4044</v>
      </c>
      <c r="AO108" t="s">
        <v>339</v>
      </c>
      <c r="AP108" t="s">
        <v>47</v>
      </c>
      <c r="AQ108" t="s">
        <v>4045</v>
      </c>
      <c r="AR108" t="s">
        <v>47</v>
      </c>
      <c r="AS108" t="s">
        <v>606</v>
      </c>
      <c r="AT108" t="s">
        <v>47</v>
      </c>
      <c r="AU108" t="s">
        <v>4046</v>
      </c>
      <c r="AV108" t="s">
        <v>1058</v>
      </c>
      <c r="AW108" t="s">
        <v>467</v>
      </c>
      <c r="AX108" t="s">
        <v>1447</v>
      </c>
      <c r="AY108" t="s">
        <v>1023</v>
      </c>
      <c r="AZ108" t="s">
        <v>816</v>
      </c>
      <c r="BA108" t="s">
        <v>496</v>
      </c>
      <c r="BB108" t="s">
        <v>243</v>
      </c>
      <c r="BC108" t="s">
        <v>1448</v>
      </c>
      <c r="BD108" t="s">
        <v>1024</v>
      </c>
      <c r="BE108" t="s">
        <v>817</v>
      </c>
      <c r="BF108" t="s">
        <v>818</v>
      </c>
      <c r="BG108" t="s">
        <v>819</v>
      </c>
      <c r="BH108" t="s">
        <v>1501</v>
      </c>
      <c r="BI108" t="s">
        <v>4047</v>
      </c>
      <c r="BJ108" t="s">
        <v>1447</v>
      </c>
      <c r="BK108" t="s">
        <v>2396</v>
      </c>
      <c r="BL108" t="s">
        <v>4048</v>
      </c>
      <c r="BM108" t="s">
        <v>1448</v>
      </c>
      <c r="BN108" t="s">
        <v>47</v>
      </c>
      <c r="BO108">
        <v>54.8</v>
      </c>
      <c r="BP108">
        <v>53.25</v>
      </c>
      <c r="BQ108">
        <v>-4.7699999999999996</v>
      </c>
      <c r="BR108">
        <v>58.8</v>
      </c>
      <c r="BS108">
        <v>56.81</v>
      </c>
      <c r="BT108" t="s">
        <v>1208</v>
      </c>
      <c r="BU108" t="s">
        <v>1075</v>
      </c>
      <c r="BV108">
        <v>63.91</v>
      </c>
      <c r="BW108">
        <v>60.62</v>
      </c>
      <c r="BX108">
        <v>69.13</v>
      </c>
      <c r="BY108">
        <v>-92.72</v>
      </c>
      <c r="BZ108">
        <v>33.03</v>
      </c>
      <c r="CA108">
        <v>42.03</v>
      </c>
      <c r="CB108">
        <v>2.25</v>
      </c>
      <c r="CC108">
        <v>-5.83</v>
      </c>
      <c r="CD108" t="s">
        <v>4049</v>
      </c>
      <c r="CE108" t="s">
        <v>4050</v>
      </c>
      <c r="CF108" s="8">
        <v>-0.83462903811252265</v>
      </c>
      <c r="CG108" s="9">
        <v>2.9391216893765115</v>
      </c>
      <c r="CH108" s="8">
        <v>-0.52285456657409668</v>
      </c>
      <c r="CI108" s="8">
        <v>0.94963014125823975</v>
      </c>
      <c r="CJ108" s="8">
        <v>0.63160926103591919</v>
      </c>
      <c r="CK108" s="8">
        <v>5.0207614898681641</v>
      </c>
      <c r="CL108" s="8">
        <v>0.25108224153518677</v>
      </c>
      <c r="CM108" s="9">
        <v>-0.91028445959091187</v>
      </c>
      <c r="CN108" s="9">
        <v>0.53227168321609497</v>
      </c>
      <c r="CO108" s="9">
        <v>0.45487797260284424</v>
      </c>
      <c r="CP108" s="9">
        <v>8.7903194427490234</v>
      </c>
      <c r="CQ108" s="9">
        <v>0.31228712201118469</v>
      </c>
      <c r="CR108">
        <v>5.8560981643030283</v>
      </c>
      <c r="CS108">
        <v>4.6255029358001215E-2</v>
      </c>
      <c r="CT108">
        <v>0</v>
      </c>
      <c r="CU108" s="8">
        <v>1.2660457134246825</v>
      </c>
      <c r="CV108" s="9">
        <v>1.8358943521976472</v>
      </c>
      <c r="CW108">
        <v>0.06</v>
      </c>
      <c r="CX108">
        <v>3.1631495647818757</v>
      </c>
      <c r="CY108">
        <v>350595751.88834709</v>
      </c>
      <c r="CZ108">
        <v>1.2660457134246825</v>
      </c>
      <c r="DA108">
        <v>0.43995122258995256</v>
      </c>
      <c r="DB108">
        <v>2520703985.0270123</v>
      </c>
      <c r="DC108">
        <v>1.2027434277534483</v>
      </c>
      <c r="DD108">
        <v>5.4432135554233076E-2</v>
      </c>
      <c r="DE108">
        <v>20373751437.60561</v>
      </c>
      <c r="DF108">
        <v>1.1141202278137206</v>
      </c>
      <c r="DG108">
        <v>5.2599180860721231E-3</v>
      </c>
      <c r="DH108">
        <v>210837275762.24335</v>
      </c>
      <c r="DI108">
        <v>1.012836570739746</v>
      </c>
      <c r="DJ108">
        <v>2.9228656740405224E-5</v>
      </c>
      <c r="DK108">
        <v>37941764134064.844</v>
      </c>
      <c r="DL108">
        <v>0.8862319993972777</v>
      </c>
      <c r="DM108">
        <v>164000000</v>
      </c>
      <c r="DN108">
        <v>1.2660457134246825</v>
      </c>
      <c r="DO108">
        <v>1108986799.9999995</v>
      </c>
      <c r="DP108">
        <v>2399816000</v>
      </c>
      <c r="DQ108">
        <v>4886</v>
      </c>
      <c r="DR108">
        <v>-2.1006747515372051</v>
      </c>
      <c r="DS108">
        <v>1.1032273371788643</v>
      </c>
      <c r="DT108" s="10">
        <v>0.55000000000000016</v>
      </c>
      <c r="DU108">
        <v>1.095</v>
      </c>
      <c r="DV108">
        <v>1.645</v>
      </c>
      <c r="DW108">
        <v>-1.0583</v>
      </c>
      <c r="DX108">
        <v>0.26493666657121373</v>
      </c>
      <c r="DY108">
        <v>-1.0084498076611017</v>
      </c>
      <c r="DZ108">
        <v>3025</v>
      </c>
      <c r="EA108">
        <v>-1.0034477199556551</v>
      </c>
      <c r="EB108">
        <v>1</v>
      </c>
      <c r="EC108">
        <v>5.1804844762879561E-2</v>
      </c>
      <c r="ED108">
        <v>0.35743091095189361</v>
      </c>
      <c r="EE108" s="11">
        <v>-6.0560999999999998</v>
      </c>
      <c r="EF108">
        <v>-6.0290999999999997</v>
      </c>
      <c r="EG108">
        <v>12.144936666571214</v>
      </c>
      <c r="EH108" t="s">
        <v>2148</v>
      </c>
      <c r="EI108">
        <v>0</v>
      </c>
      <c r="EJ108">
        <v>0</v>
      </c>
      <c r="EK108" s="13">
        <v>45470</v>
      </c>
      <c r="EL108" s="14">
        <v>-0.81</v>
      </c>
      <c r="EM108" s="14">
        <v>-4.4800000000000004</v>
      </c>
      <c r="EN108" s="14">
        <v>-2.4300000000000002</v>
      </c>
      <c r="EO108" s="14">
        <v>6.36</v>
      </c>
      <c r="EP108" s="14">
        <v>-2.7</v>
      </c>
    </row>
    <row r="109" spans="1:146" ht="180" x14ac:dyDescent="0.25">
      <c r="C109" s="7" t="str">
        <f>"公司主营业务为专业从事血液净化设备与耗材的研发、生产和销售，并提供连锁血液透析医疗服务。公司主营产品或服务包括血液净化设备、血液净化耗材、连锁血液透析中心医疗服务等，主要用于治疗急慢性肾衰、尿毒症、多脏器衰竭和中毒等多种危重症。"&amp;CHAR(10)&amp;Basic_Fundamental_Information_Constructure(F109)&amp;CHAR(10)&amp;Basic_Fundamental_Information_Concatenate("血液净化设备 2.42亿 63.25% 80.81% 55.70%
血液净化耗材 7678.44万 20.10% 11.23% 24.36%
医疗服务 5862.51万 15.35% 6.17% 17.53%
其他主营业务 486.35万 1.27% 1.74% 59.67%")</f>
        <v>公司主营业务为专业从事血液净化设备与耗材的研发、生产和销售，并提供连锁血液透析医疗服务。公司主营产品或服务包括血液净化设备、血液净化耗材、连锁血液透析中心医疗服务等，主要用于治疗急慢性肾衰、尿毒症、多脏器衰竭和中毒等多种危重症。
市值40.153673亿, 利润-1.73亿; PE26.05; 平均PE-178.82; 平均PEG-6.88, PB2.35; ROIC6.82%; ROE10.2067%; 股利率1.0741%; 毛利46.0567%; 净利16.3833%; 上一年度营收增-19.9%, 利润增-392.04%; 当季营收增125.82%, 利润增283.32%; 过往5年营收增25.99%, 利润增-11.67%
Income profile:
血液净化设备 2.42亿 63.25% 80.81% 55.70%
血液净化耗材 7678.44万 20.10% 11.23% 24.36%
医疗服务 5862.51万 15.35% 6.17% 17.53%
其他主营业务 486.35万 1.27% 1.74% 59.67%</v>
      </c>
      <c r="D109" t="s">
        <v>1220</v>
      </c>
      <c r="E109" t="s">
        <v>1221</v>
      </c>
      <c r="F109">
        <v>18.62</v>
      </c>
      <c r="G109">
        <v>4.9000000000000004</v>
      </c>
      <c r="H109" t="s">
        <v>4051</v>
      </c>
      <c r="I109">
        <v>4015367300</v>
      </c>
      <c r="J109">
        <v>26.05</v>
      </c>
      <c r="K109">
        <v>2.35</v>
      </c>
      <c r="L109" t="s">
        <v>40</v>
      </c>
      <c r="M109" t="s">
        <v>317</v>
      </c>
      <c r="N109" t="s">
        <v>2045</v>
      </c>
      <c r="O109" t="s">
        <v>143</v>
      </c>
      <c r="P109">
        <v>-16.03</v>
      </c>
      <c r="Q109" t="s">
        <v>261</v>
      </c>
      <c r="R109">
        <v>34232483</v>
      </c>
      <c r="S109">
        <v>-0.54100000000000004</v>
      </c>
      <c r="T109" t="s">
        <v>3125</v>
      </c>
      <c r="U109">
        <v>155261580</v>
      </c>
      <c r="V109">
        <v>215648090</v>
      </c>
      <c r="W109">
        <v>1.1100000000000001</v>
      </c>
      <c r="X109">
        <v>0.08</v>
      </c>
      <c r="Y109">
        <v>20.71</v>
      </c>
      <c r="Z109" t="s">
        <v>148</v>
      </c>
      <c r="AA109" t="s">
        <v>4052</v>
      </c>
      <c r="AB109" t="s">
        <v>4053</v>
      </c>
      <c r="AC109" t="s">
        <v>4054</v>
      </c>
      <c r="AD109" t="s">
        <v>47</v>
      </c>
      <c r="AE109">
        <v>-5654174</v>
      </c>
      <c r="AF109" t="s">
        <v>2401</v>
      </c>
      <c r="AG109" t="s">
        <v>4055</v>
      </c>
      <c r="AH109" t="s">
        <v>2402</v>
      </c>
      <c r="AI109" t="s">
        <v>4056</v>
      </c>
      <c r="AJ109" t="s">
        <v>2403</v>
      </c>
      <c r="AK109" t="s">
        <v>47</v>
      </c>
      <c r="AL109" t="s">
        <v>2404</v>
      </c>
      <c r="AM109" t="s">
        <v>47</v>
      </c>
      <c r="AN109" t="s">
        <v>4057</v>
      </c>
      <c r="AO109" t="s">
        <v>47</v>
      </c>
      <c r="AP109" t="s">
        <v>4058</v>
      </c>
      <c r="AQ109" t="s">
        <v>4059</v>
      </c>
      <c r="AR109" t="s">
        <v>47</v>
      </c>
      <c r="AS109" t="s">
        <v>4060</v>
      </c>
      <c r="AT109" t="s">
        <v>47</v>
      </c>
      <c r="AU109" t="s">
        <v>4061</v>
      </c>
      <c r="AV109" t="s">
        <v>4062</v>
      </c>
      <c r="AW109" t="s">
        <v>4063</v>
      </c>
      <c r="AX109" t="s">
        <v>1449</v>
      </c>
      <c r="AY109" t="s">
        <v>171</v>
      </c>
      <c r="AZ109" t="s">
        <v>1223</v>
      </c>
      <c r="BA109" t="s">
        <v>212</v>
      </c>
      <c r="BB109" t="s">
        <v>154</v>
      </c>
      <c r="BC109" t="s">
        <v>2405</v>
      </c>
      <c r="BD109" t="s">
        <v>1222</v>
      </c>
      <c r="BE109" t="s">
        <v>1224</v>
      </c>
      <c r="BF109" t="s">
        <v>1225</v>
      </c>
      <c r="BG109" t="s">
        <v>1226</v>
      </c>
      <c r="BH109" t="s">
        <v>660</v>
      </c>
      <c r="BI109" t="s">
        <v>4064</v>
      </c>
      <c r="BJ109" t="s">
        <v>1449</v>
      </c>
      <c r="BK109" t="s">
        <v>580</v>
      </c>
      <c r="BL109" t="s">
        <v>4065</v>
      </c>
      <c r="BM109" t="s">
        <v>2405</v>
      </c>
      <c r="BN109">
        <v>10.43</v>
      </c>
      <c r="BO109">
        <v>5.78</v>
      </c>
      <c r="BP109">
        <v>4.25</v>
      </c>
      <c r="BQ109">
        <v>11.31</v>
      </c>
      <c r="BR109">
        <v>14.11</v>
      </c>
      <c r="BS109">
        <v>5.2</v>
      </c>
      <c r="BT109" t="s">
        <v>2406</v>
      </c>
      <c r="BU109" t="s">
        <v>1032</v>
      </c>
      <c r="BV109">
        <v>54.07</v>
      </c>
      <c r="BW109">
        <v>43.6</v>
      </c>
      <c r="BX109">
        <v>40.5</v>
      </c>
      <c r="BY109">
        <v>27.85</v>
      </c>
      <c r="BZ109">
        <v>14.9</v>
      </c>
      <c r="CA109">
        <v>6.4</v>
      </c>
      <c r="CB109">
        <v>-12.58</v>
      </c>
      <c r="CC109" s="1">
        <v>-20.09</v>
      </c>
      <c r="CD109" s="1" t="s">
        <v>4066</v>
      </c>
      <c r="CE109" s="1" t="s">
        <v>4067</v>
      </c>
      <c r="CF109" s="8">
        <v>1.2582457333792416</v>
      </c>
      <c r="CG109" s="9">
        <v>2.8331530301326437</v>
      </c>
      <c r="CH109" s="8">
        <v>-0.19895288348197937</v>
      </c>
      <c r="CI109" s="8">
        <v>0.34982332587242126</v>
      </c>
      <c r="CJ109" s="8">
        <v>0.11417322605848312</v>
      </c>
      <c r="CK109" s="8">
        <v>0.78873240947723389</v>
      </c>
      <c r="CL109" s="8">
        <v>0.24561403691768646</v>
      </c>
      <c r="CM109" s="9">
        <v>-3.9204473495483398</v>
      </c>
      <c r="CN109" s="9">
        <v>2.0419857501983643</v>
      </c>
      <c r="CO109" s="9">
        <v>-5.5459894239902496E-2</v>
      </c>
      <c r="CP109" s="9">
        <v>1.6065019369125366</v>
      </c>
      <c r="CQ109" s="9">
        <v>-0.25602465867996216</v>
      </c>
      <c r="CR109" s="1">
        <v>-178.81960021999703</v>
      </c>
      <c r="CS109" s="1">
        <v>-6.8809050560418781</v>
      </c>
      <c r="CT109" s="1">
        <v>1.0741138560687433</v>
      </c>
      <c r="CU109" s="8">
        <v>0.25987802296876905</v>
      </c>
      <c r="CV109" s="9">
        <v>-0.11668884307146073</v>
      </c>
      <c r="CW109">
        <v>0.06</v>
      </c>
      <c r="CX109" t="e">
        <v>#VALUE!</v>
      </c>
      <c r="CY109" t="s">
        <v>1038</v>
      </c>
      <c r="CZ109">
        <v>0.25987802296876905</v>
      </c>
      <c r="DA109" t="e">
        <v>#VALUE!</v>
      </c>
      <c r="DB109" t="s">
        <v>1038</v>
      </c>
      <c r="DC109">
        <v>0.24688412182033059</v>
      </c>
      <c r="DD109" t="e">
        <v>#VALUE!</v>
      </c>
      <c r="DE109" t="s">
        <v>1038</v>
      </c>
      <c r="DF109">
        <v>0.22869266021251677</v>
      </c>
      <c r="DG109" t="e">
        <v>#VALUE!</v>
      </c>
      <c r="DH109" t="s">
        <v>1038</v>
      </c>
      <c r="DI109">
        <v>0.20790241837501525</v>
      </c>
      <c r="DJ109" t="e">
        <v>#VALUE!</v>
      </c>
      <c r="DK109" t="s">
        <v>1038</v>
      </c>
      <c r="DL109">
        <v>0.18191461607813833</v>
      </c>
      <c r="DM109">
        <v>-173000000</v>
      </c>
      <c r="DN109">
        <v>0.25987802296876905</v>
      </c>
      <c r="DO109">
        <v>2547367300</v>
      </c>
      <c r="DP109">
        <v>1547855400</v>
      </c>
      <c r="DQ109" s="10">
        <v>4892</v>
      </c>
      <c r="DR109">
        <v>0.99836771041047256</v>
      </c>
      <c r="DS109">
        <v>2.9498418732041043</v>
      </c>
      <c r="DT109">
        <v>-0.12333333333333336</v>
      </c>
      <c r="DU109">
        <v>-0.31833333333333341</v>
      </c>
      <c r="DV109">
        <v>-0.44166666666666676</v>
      </c>
      <c r="DW109">
        <v>-9.626182180189149</v>
      </c>
      <c r="DX109">
        <v>0.69077001551358619</v>
      </c>
      <c r="DY109">
        <v>-9.2071222894554943</v>
      </c>
      <c r="DZ109">
        <v>4247</v>
      </c>
      <c r="EA109">
        <v>-9.0349797526027569</v>
      </c>
      <c r="EB109" s="11">
        <v>9</v>
      </c>
      <c r="EC109">
        <v>4.3602055552636708E-2</v>
      </c>
      <c r="ED109">
        <v>0.13181985520947578</v>
      </c>
      <c r="EE109">
        <v>1.05091</v>
      </c>
      <c r="EF109">
        <v>1.07311</v>
      </c>
      <c r="EG109">
        <v>36.330770015513586</v>
      </c>
      <c r="EH109" s="13" t="s">
        <v>1228</v>
      </c>
      <c r="EI109" s="14">
        <v>0</v>
      </c>
      <c r="EJ109" s="14">
        <v>0</v>
      </c>
      <c r="EK109" s="14">
        <v>45470</v>
      </c>
      <c r="EL109" s="14">
        <v>-1.88</v>
      </c>
      <c r="EM109" s="14">
        <v>-6.27</v>
      </c>
      <c r="EN109" s="14">
        <v>-6.74</v>
      </c>
      <c r="EO109" s="14">
        <v>3.36</v>
      </c>
      <c r="EP109" s="14">
        <v>-2.2200000000000002</v>
      </c>
    </row>
    <row r="110" spans="1:146" ht="96" x14ac:dyDescent="0.25">
      <c r="C110" s="7" t="str">
        <f>""&amp;CHAR(10)&amp;Basic_Fundamental_Information_Constructure(F110)&amp;CHAR(10)&amp;Basic_Fundamental_Information_Concatenate("")</f>
        <v xml:space="preserve">
市值18.066491亿, 利润-6.31亿; PE; 平均PE-48.73; 平均PEG-.63, PB1.11; ROIC20.355%; ROE14.7267%; 股利率0%; 毛利68.9567%; 净利7%; 上一年度营收增41.57%, 利润增-496.86%; 当季营收增-84.76%, 利润增-133.48%; 过往5年营收增77.73%, 利润增137.25%
Income profile:
</v>
      </c>
      <c r="D110" t="s">
        <v>1158</v>
      </c>
      <c r="E110" t="s">
        <v>1196</v>
      </c>
      <c r="F110">
        <v>16.059999999999999</v>
      </c>
      <c r="G110">
        <v>4.6900000000000004</v>
      </c>
      <c r="H110" t="s">
        <v>4068</v>
      </c>
      <c r="I110">
        <v>1806649100</v>
      </c>
      <c r="K110">
        <v>1.1100000000000001</v>
      </c>
      <c r="L110" t="s">
        <v>40</v>
      </c>
      <c r="M110" t="s">
        <v>175</v>
      </c>
      <c r="N110" t="s">
        <v>4069</v>
      </c>
      <c r="O110" t="s">
        <v>2407</v>
      </c>
      <c r="P110">
        <v>-62.57</v>
      </c>
      <c r="Q110" t="s">
        <v>355</v>
      </c>
      <c r="R110">
        <v>-28966870</v>
      </c>
      <c r="S110">
        <v>-8.2609999999999992</v>
      </c>
      <c r="T110" t="s">
        <v>4070</v>
      </c>
      <c r="U110">
        <v>36875401</v>
      </c>
      <c r="V110">
        <v>112493718</v>
      </c>
      <c r="W110">
        <v>1.08</v>
      </c>
      <c r="X110">
        <v>0.02</v>
      </c>
      <c r="Y110">
        <v>-103.22</v>
      </c>
      <c r="Z110" t="s">
        <v>4071</v>
      </c>
      <c r="AA110" t="s">
        <v>4072</v>
      </c>
      <c r="AB110" t="s">
        <v>4073</v>
      </c>
      <c r="AC110" t="s">
        <v>4074</v>
      </c>
      <c r="AD110" t="s">
        <v>47</v>
      </c>
      <c r="AE110">
        <v>-1621583</v>
      </c>
      <c r="AF110" t="s">
        <v>2409</v>
      </c>
      <c r="AG110" t="s">
        <v>4075</v>
      </c>
      <c r="AH110" t="s">
        <v>2410</v>
      </c>
      <c r="AI110" t="s">
        <v>2202</v>
      </c>
      <c r="AJ110" t="s">
        <v>2411</v>
      </c>
      <c r="AK110" t="s">
        <v>1698</v>
      </c>
      <c r="AL110" t="s">
        <v>2412</v>
      </c>
      <c r="AM110" t="s">
        <v>47</v>
      </c>
      <c r="AN110" t="s">
        <v>4076</v>
      </c>
      <c r="AO110" t="s">
        <v>47</v>
      </c>
      <c r="AP110" t="s">
        <v>47</v>
      </c>
      <c r="AQ110" t="s">
        <v>4077</v>
      </c>
      <c r="AR110" t="s">
        <v>47</v>
      </c>
      <c r="AS110" t="s">
        <v>4078</v>
      </c>
      <c r="AT110" t="s">
        <v>47</v>
      </c>
      <c r="AU110" t="s">
        <v>4079</v>
      </c>
      <c r="AV110" t="s">
        <v>113</v>
      </c>
      <c r="AW110" t="s">
        <v>4080</v>
      </c>
      <c r="AX110" t="s">
        <v>1450</v>
      </c>
      <c r="AY110" t="s">
        <v>1089</v>
      </c>
      <c r="AZ110" t="s">
        <v>53</v>
      </c>
      <c r="BA110" t="s">
        <v>1159</v>
      </c>
      <c r="BB110" t="s">
        <v>1160</v>
      </c>
      <c r="BC110" t="s">
        <v>362</v>
      </c>
      <c r="BD110" t="s">
        <v>941</v>
      </c>
      <c r="BE110" t="s">
        <v>363</v>
      </c>
      <c r="BF110" t="s">
        <v>1161</v>
      </c>
      <c r="BG110" t="s">
        <v>1162</v>
      </c>
      <c r="BH110" t="s">
        <v>46</v>
      </c>
      <c r="BI110" t="s">
        <v>1154</v>
      </c>
      <c r="BJ110" t="s">
        <v>1450</v>
      </c>
      <c r="BK110" t="s">
        <v>2408</v>
      </c>
      <c r="BL110" t="s">
        <v>4081</v>
      </c>
      <c r="BM110" t="s">
        <v>362</v>
      </c>
      <c r="BN110" t="s">
        <v>47</v>
      </c>
      <c r="BO110">
        <v>14.43</v>
      </c>
      <c r="BP110">
        <v>26.28</v>
      </c>
      <c r="BQ110">
        <v>-2.0299999999999998</v>
      </c>
      <c r="BR110">
        <v>19.82</v>
      </c>
      <c r="BS110">
        <v>26.39</v>
      </c>
      <c r="BT110" t="s">
        <v>1208</v>
      </c>
      <c r="BU110" t="s">
        <v>1075</v>
      </c>
      <c r="BV110">
        <v>64.62</v>
      </c>
      <c r="BW110">
        <v>69.91</v>
      </c>
      <c r="BX110">
        <v>72.34</v>
      </c>
      <c r="BY110">
        <v>-48.88</v>
      </c>
      <c r="BZ110">
        <v>32.700000000000003</v>
      </c>
      <c r="CA110">
        <v>37.18</v>
      </c>
      <c r="CB110">
        <v>-13.66</v>
      </c>
      <c r="CC110" s="8">
        <v>-15.74</v>
      </c>
      <c r="CD110" s="9" t="s">
        <v>4082</v>
      </c>
      <c r="CE110" s="8" t="s">
        <v>4083</v>
      </c>
      <c r="CF110" s="8">
        <v>-0.84760317460317458</v>
      </c>
      <c r="CG110" s="8">
        <v>-1.3348140087857172</v>
      </c>
      <c r="CH110" s="8">
        <v>0.41570881009101868</v>
      </c>
      <c r="CI110" s="8">
        <v>0.54437869787216187</v>
      </c>
      <c r="CJ110" s="9">
        <v>0.45064377784729004</v>
      </c>
      <c r="CK110" s="9">
        <v>2.1512677669525146</v>
      </c>
      <c r="CL110" s="9">
        <v>0.32437911629676819</v>
      </c>
      <c r="CM110" s="9">
        <v>-4.9685535430908203</v>
      </c>
      <c r="CN110" s="9">
        <v>0.26190477609634399</v>
      </c>
      <c r="CO110">
        <v>0.1666666716337204</v>
      </c>
      <c r="CP110">
        <v>11.037986755371094</v>
      </c>
      <c r="CQ110">
        <v>0.36443963646888733</v>
      </c>
      <c r="CR110" s="8">
        <v>-48.728898810580752</v>
      </c>
      <c r="CS110" s="9">
        <v>-0.62691916085934996</v>
      </c>
      <c r="CT110">
        <v>0</v>
      </c>
      <c r="CU110">
        <v>0.77727563381195064</v>
      </c>
      <c r="CV110">
        <v>1.3724888592958451</v>
      </c>
      <c r="CW110">
        <v>0.06</v>
      </c>
      <c r="CX110" t="e">
        <v>#VALUE!</v>
      </c>
      <c r="CY110" t="s">
        <v>1037</v>
      </c>
      <c r="CZ110">
        <v>0.77727563381195064</v>
      </c>
      <c r="DA110" t="e">
        <v>#VALUE!</v>
      </c>
      <c r="DB110" t="s">
        <v>1038</v>
      </c>
      <c r="DC110">
        <v>0.73841185212135307</v>
      </c>
      <c r="DD110" t="e">
        <v>#VALUE!</v>
      </c>
      <c r="DE110" t="s">
        <v>1038</v>
      </c>
      <c r="DF110">
        <v>0.68400255775451657</v>
      </c>
      <c r="DG110" t="e">
        <v>#VALUE!</v>
      </c>
      <c r="DH110" t="s">
        <v>1038</v>
      </c>
      <c r="DI110">
        <v>0.6218205070495606</v>
      </c>
      <c r="DJ110" t="e">
        <v>#VALUE!</v>
      </c>
      <c r="DK110" t="s">
        <v>1038</v>
      </c>
      <c r="DL110">
        <v>0.54409294366836536</v>
      </c>
      <c r="DM110">
        <v>-631000000</v>
      </c>
      <c r="DN110">
        <v>0.77727563381195064</v>
      </c>
      <c r="DO110">
        <v>304649100</v>
      </c>
      <c r="DP110">
        <v>977431660</v>
      </c>
      <c r="DQ110" s="10">
        <v>4898</v>
      </c>
      <c r="DR110">
        <v>-1.6248788084151253</v>
      </c>
      <c r="DS110">
        <v>-2.7073028680815625</v>
      </c>
      <c r="DT110">
        <v>0.60499999999999987</v>
      </c>
      <c r="DU110">
        <v>-0.86166666666666669</v>
      </c>
      <c r="DV110">
        <v>-0.25666666666666682</v>
      </c>
      <c r="DW110">
        <v>-9.867852604828462</v>
      </c>
      <c r="DX110">
        <v>0.39033472360845745</v>
      </c>
      <c r="DY110">
        <v>-9.2085751159143285</v>
      </c>
      <c r="DZ110" t="s">
        <v>3388</v>
      </c>
      <c r="EA110" t="e">
        <v>#VALUE!</v>
      </c>
      <c r="EB110" s="11" t="e">
        <v>#VALUE!</v>
      </c>
      <c r="EC110">
        <v>3.2321804849582803E-2</v>
      </c>
      <c r="ED110">
        <v>0.13448662084401905</v>
      </c>
      <c r="EE110">
        <v>-3.1162999999999998</v>
      </c>
      <c r="EF110">
        <v>-3.1187999999999998</v>
      </c>
      <c r="EG110">
        <v>15.240334723608457</v>
      </c>
      <c r="EH110" s="13" t="s">
        <v>1486</v>
      </c>
      <c r="EI110" s="14" t="e">
        <v>#VALUE!</v>
      </c>
      <c r="EJ110" s="14">
        <v>0</v>
      </c>
      <c r="EK110" s="14">
        <v>45470</v>
      </c>
      <c r="EL110" s="14">
        <v>7.97</v>
      </c>
      <c r="EM110" s="14">
        <v>-2.25</v>
      </c>
      <c r="EN110" s="14">
        <v>-1.02</v>
      </c>
      <c r="EO110" s="14">
        <v>1.55</v>
      </c>
      <c r="EP110" s="14">
        <v>0.25</v>
      </c>
    </row>
    <row r="111" spans="1:146" ht="96" x14ac:dyDescent="0.25">
      <c r="A111" s="7"/>
      <c r="B111" s="7"/>
      <c r="C111" s="7" t="str">
        <f>""&amp;CHAR(10)&amp;Basic_Fundamental_Information_Constructure(F111)&amp;CHAR(10)&amp;Basic_Fundamental_Information_Concatenate("")</f>
        <v xml:space="preserve">
市值24.828585亿, 利润-19.58亿; PE16.45; 平均PE-8.15; 平均PEG-.04, PB1.79; ROIC10.58%; ROE10.9667%; 股利率2.0194%; 毛利74.86%; 净利32.07%; 上一年度营收增1044.95%, 利润增-1379.74%; 当季营收增-90.39%, 利润增107.68%; 过往5年营收增214.51%, 利润增-246.86%
Income profile:
</v>
      </c>
      <c r="D111" t="s">
        <v>820</v>
      </c>
      <c r="E111" t="s">
        <v>821</v>
      </c>
      <c r="F111">
        <v>6.19</v>
      </c>
      <c r="G111">
        <v>3.86</v>
      </c>
      <c r="H111" t="s">
        <v>4084</v>
      </c>
      <c r="I111">
        <v>2482858500</v>
      </c>
      <c r="J111">
        <v>16.45</v>
      </c>
      <c r="K111">
        <v>1.79</v>
      </c>
      <c r="L111" t="s">
        <v>40</v>
      </c>
      <c r="M111" t="s">
        <v>1465</v>
      </c>
      <c r="N111" t="s">
        <v>4085</v>
      </c>
      <c r="O111" t="s">
        <v>277</v>
      </c>
      <c r="P111">
        <v>10.36</v>
      </c>
      <c r="Q111" t="s">
        <v>4086</v>
      </c>
      <c r="R111">
        <v>38392507</v>
      </c>
      <c r="S111" s="3">
        <v>0.1021</v>
      </c>
      <c r="T111" t="s">
        <v>4087</v>
      </c>
      <c r="U111">
        <v>401108000</v>
      </c>
      <c r="V111">
        <v>401108000</v>
      </c>
      <c r="W111">
        <v>1.32</v>
      </c>
      <c r="X111">
        <v>0.06</v>
      </c>
      <c r="Y111">
        <v>34.47</v>
      </c>
      <c r="Z111" t="s">
        <v>4088</v>
      </c>
      <c r="AA111" t="s">
        <v>4089</v>
      </c>
      <c r="AB111" t="s">
        <v>4090</v>
      </c>
      <c r="AC111" t="s">
        <v>4091</v>
      </c>
      <c r="AD111" t="s">
        <v>47</v>
      </c>
      <c r="AE111">
        <v>-1669267</v>
      </c>
      <c r="AF111" t="s">
        <v>2413</v>
      </c>
      <c r="AG111" t="s">
        <v>4092</v>
      </c>
      <c r="AH111" t="s">
        <v>2414</v>
      </c>
      <c r="AI111" t="s">
        <v>967</v>
      </c>
      <c r="AJ111" t="s">
        <v>2415</v>
      </c>
      <c r="AK111" t="s">
        <v>47</v>
      </c>
      <c r="AL111" t="s">
        <v>2416</v>
      </c>
      <c r="AM111" t="s">
        <v>47</v>
      </c>
      <c r="AN111" t="s">
        <v>42</v>
      </c>
      <c r="AO111" t="s">
        <v>47</v>
      </c>
      <c r="AP111" t="s">
        <v>47</v>
      </c>
      <c r="AQ111" t="s">
        <v>4093</v>
      </c>
      <c r="AR111" t="s">
        <v>47</v>
      </c>
      <c r="AS111" t="s">
        <v>98</v>
      </c>
      <c r="AT111" t="s">
        <v>3366</v>
      </c>
      <c r="AU111" t="s">
        <v>4094</v>
      </c>
      <c r="AV111" t="s">
        <v>4095</v>
      </c>
      <c r="AW111" t="s">
        <v>4096</v>
      </c>
      <c r="AX111" t="s">
        <v>184</v>
      </c>
      <c r="AY111" t="s">
        <v>946</v>
      </c>
      <c r="AZ111" t="s">
        <v>485</v>
      </c>
      <c r="BA111" t="s">
        <v>606</v>
      </c>
      <c r="BB111" t="s">
        <v>475</v>
      </c>
      <c r="BC111" t="s">
        <v>352</v>
      </c>
      <c r="BD111" t="s">
        <v>175</v>
      </c>
      <c r="BE111" t="s">
        <v>55</v>
      </c>
      <c r="BF111" t="s">
        <v>201</v>
      </c>
      <c r="BG111" t="s">
        <v>822</v>
      </c>
      <c r="BH111" t="s">
        <v>435</v>
      </c>
      <c r="BI111" t="s">
        <v>2434</v>
      </c>
      <c r="BJ111" t="s">
        <v>184</v>
      </c>
      <c r="BK111" t="s">
        <v>231</v>
      </c>
      <c r="BL111" t="s">
        <v>4097</v>
      </c>
      <c r="BM111" t="s">
        <v>352</v>
      </c>
      <c r="BN111">
        <v>7.96</v>
      </c>
      <c r="BO111">
        <v>11.07</v>
      </c>
      <c r="BP111">
        <v>12.71</v>
      </c>
      <c r="BQ111">
        <v>8.7200000000000006</v>
      </c>
      <c r="BR111">
        <v>11.48</v>
      </c>
      <c r="BS111">
        <v>12.7</v>
      </c>
      <c r="BT111" t="s">
        <v>1217</v>
      </c>
      <c r="BU111" t="s">
        <v>1075</v>
      </c>
      <c r="BV111">
        <v>75.36</v>
      </c>
      <c r="BW111">
        <v>74.37</v>
      </c>
      <c r="BX111">
        <v>74.849999999999994</v>
      </c>
      <c r="BY111">
        <v>33.090000000000003</v>
      </c>
      <c r="BZ111">
        <v>32.799999999999997</v>
      </c>
      <c r="CA111">
        <v>30.32</v>
      </c>
      <c r="CB111">
        <v>-2.21</v>
      </c>
      <c r="CC111">
        <v>-13.73</v>
      </c>
      <c r="CD111" t="s">
        <v>4098</v>
      </c>
      <c r="CE111" t="s">
        <v>4099</v>
      </c>
      <c r="CF111" s="8">
        <v>-0.90389610389610386</v>
      </c>
      <c r="CG111" s="9">
        <v>1.0767850139999999</v>
      </c>
      <c r="CH111" s="8">
        <v>10.449462890625</v>
      </c>
      <c r="CI111" s="8">
        <v>-1.2738853693008423E-2</v>
      </c>
      <c r="CJ111" s="8">
        <v>0.12679426372051239</v>
      </c>
      <c r="CK111" s="8">
        <v>-8.1318683922290802E-2</v>
      </c>
      <c r="CL111" s="8">
        <v>0.2431693971157074</v>
      </c>
      <c r="CM111" s="9">
        <v>-13.797386169433594</v>
      </c>
      <c r="CN111" s="9">
        <v>6.9930069148540497E-2</v>
      </c>
      <c r="CO111" s="9">
        <v>0.2222222238779068</v>
      </c>
      <c r="CP111" s="9">
        <v>-0.1702127605676651</v>
      </c>
      <c r="CQ111" s="9">
        <v>1.3325471878051758</v>
      </c>
      <c r="CR111">
        <v>-8.1494261487965005</v>
      </c>
      <c r="CS111">
        <v>-3.7991355534135914E-2</v>
      </c>
      <c r="CT111">
        <v>2.0193861066235863</v>
      </c>
      <c r="CU111" s="8">
        <v>2.145073802769184</v>
      </c>
      <c r="CV111" s="9">
        <v>-2.4685798898339271</v>
      </c>
      <c r="CW111">
        <v>0.06</v>
      </c>
      <c r="CX111" t="e">
        <v>#VALUE!</v>
      </c>
      <c r="CY111" t="s">
        <v>1038</v>
      </c>
      <c r="CZ111">
        <v>2.145073802769184</v>
      </c>
      <c r="DA111" t="e">
        <v>#VALUE!</v>
      </c>
      <c r="DB111" t="s">
        <v>1038</v>
      </c>
      <c r="DC111">
        <v>2.0378201126307247</v>
      </c>
      <c r="DD111" t="e">
        <v>#VALUE!</v>
      </c>
      <c r="DE111" t="s">
        <v>1038</v>
      </c>
      <c r="DF111">
        <v>1.887664946436882</v>
      </c>
      <c r="DG111" t="e">
        <v>#VALUE!</v>
      </c>
      <c r="DH111" t="s">
        <v>1038</v>
      </c>
      <c r="DI111">
        <v>1.7160590422153472</v>
      </c>
      <c r="DJ111" t="e">
        <v>#VALUE!</v>
      </c>
      <c r="DK111" t="s">
        <v>1038</v>
      </c>
      <c r="DL111">
        <v>1.5015516619384288</v>
      </c>
      <c r="DM111">
        <v>-1957999999.9999998</v>
      </c>
      <c r="DN111">
        <v>2.145073802769184</v>
      </c>
      <c r="DO111">
        <v>1531858500</v>
      </c>
      <c r="DP111">
        <v>864954560</v>
      </c>
      <c r="DQ111">
        <v>4913</v>
      </c>
      <c r="DR111">
        <v>-3.0489699066652878</v>
      </c>
      <c r="DS111">
        <v>3.545364903833927</v>
      </c>
      <c r="DT111" s="10">
        <v>-4.0000000000000036E-2</v>
      </c>
      <c r="DU111">
        <v>-0.97333333333333327</v>
      </c>
      <c r="DV111">
        <v>-1.0133333333333332</v>
      </c>
      <c r="DW111">
        <v>-2.1373000000000002</v>
      </c>
      <c r="DX111">
        <v>0.42320532907119812</v>
      </c>
      <c r="DY111">
        <v>-2.0237810916814754</v>
      </c>
      <c r="DZ111">
        <v>4857</v>
      </c>
      <c r="EA111">
        <v>-2.0011774199991024</v>
      </c>
      <c r="EB111">
        <v>2</v>
      </c>
      <c r="EC111">
        <v>4.1066246497202745E-2</v>
      </c>
      <c r="ED111">
        <v>0.23709574478694018</v>
      </c>
      <c r="EE111" s="11">
        <v>-4.0373000000000001</v>
      </c>
      <c r="EF111">
        <v>-4.0248999999999997</v>
      </c>
      <c r="EG111">
        <v>25.173205329071198</v>
      </c>
      <c r="EH111" t="s">
        <v>1718</v>
      </c>
      <c r="EI111">
        <v>0</v>
      </c>
      <c r="EJ111">
        <v>0</v>
      </c>
      <c r="EK111" s="13">
        <v>45470</v>
      </c>
      <c r="EL111" s="14">
        <v>-0.5</v>
      </c>
      <c r="EM111" s="14">
        <v>3.28</v>
      </c>
      <c r="EN111" s="14">
        <v>-4.16</v>
      </c>
      <c r="EO111" s="14">
        <v>2.5499999999999998</v>
      </c>
      <c r="EP111" s="14">
        <v>-1.24</v>
      </c>
    </row>
    <row r="112" spans="1:146" ht="96" x14ac:dyDescent="0.25">
      <c r="C112" s="7" t="str">
        <f>""&amp;CHAR(10)&amp;Basic_Fundamental_Information_Constructure(F112)&amp;CHAR(10)&amp;Basic_Fundamental_Information_Concatenate("")</f>
        <v xml:space="preserve">
市值124.842205亿, 利润1.17亿; PE36.74; 平均PE44.3; 平均PEG1.11, PB4.75; ROIC22.13%; ROE26.8267%; 股利率1.2449%; 毛利55.8733%; 净利18.8567%; 上一年度营收增-90.93%, 利润增-88.44%; 当季营收增538.96%, 利润增175.72%; 过往5年营收增39.83%, 利润增116.34%
Income profile:
</v>
      </c>
      <c r="D112" t="s">
        <v>823</v>
      </c>
      <c r="E112" t="s">
        <v>4100</v>
      </c>
      <c r="F112">
        <v>21.93</v>
      </c>
      <c r="G112">
        <v>4.38</v>
      </c>
      <c r="H112" t="s">
        <v>4101</v>
      </c>
      <c r="I112">
        <v>12484220500</v>
      </c>
      <c r="J112">
        <v>36.74</v>
      </c>
      <c r="K112">
        <v>4.75</v>
      </c>
      <c r="L112" t="s">
        <v>40</v>
      </c>
      <c r="M112" t="s">
        <v>1553</v>
      </c>
      <c r="N112" t="s">
        <v>4102</v>
      </c>
      <c r="O112" t="s">
        <v>385</v>
      </c>
      <c r="P112">
        <v>-34.65</v>
      </c>
      <c r="Q112" t="s">
        <v>2424</v>
      </c>
      <c r="R112">
        <v>66034592</v>
      </c>
      <c r="S112" s="3">
        <v>-0.18720000000000001</v>
      </c>
      <c r="T112" t="s">
        <v>55</v>
      </c>
      <c r="U112">
        <v>569275900</v>
      </c>
      <c r="V112">
        <v>569275900</v>
      </c>
      <c r="W112">
        <v>1.49</v>
      </c>
      <c r="X112">
        <v>0.11</v>
      </c>
      <c r="Y112">
        <v>12.97</v>
      </c>
      <c r="Z112" t="s">
        <v>188</v>
      </c>
      <c r="AA112" t="s">
        <v>143</v>
      </c>
      <c r="AB112" t="s">
        <v>4103</v>
      </c>
      <c r="AC112" t="s">
        <v>4104</v>
      </c>
      <c r="AD112" t="s">
        <v>47</v>
      </c>
      <c r="AE112">
        <v>-118072</v>
      </c>
      <c r="AF112" t="s">
        <v>2418</v>
      </c>
      <c r="AG112" t="s">
        <v>4105</v>
      </c>
      <c r="AH112" t="s">
        <v>2419</v>
      </c>
      <c r="AI112" t="s">
        <v>802</v>
      </c>
      <c r="AJ112" t="s">
        <v>2420</v>
      </c>
      <c r="AK112" t="s">
        <v>47</v>
      </c>
      <c r="AL112" t="s">
        <v>2421</v>
      </c>
      <c r="AM112" t="s">
        <v>47</v>
      </c>
      <c r="AN112" t="s">
        <v>1085</v>
      </c>
      <c r="AO112" t="s">
        <v>112</v>
      </c>
      <c r="AP112" t="s">
        <v>4106</v>
      </c>
      <c r="AQ112" t="s">
        <v>484</v>
      </c>
      <c r="AR112" t="s">
        <v>47</v>
      </c>
      <c r="AS112" t="s">
        <v>1568</v>
      </c>
      <c r="AT112" t="s">
        <v>3853</v>
      </c>
      <c r="AU112" t="s">
        <v>4107</v>
      </c>
      <c r="AV112" t="s">
        <v>4108</v>
      </c>
      <c r="AW112" t="s">
        <v>4109</v>
      </c>
      <c r="AX112" t="s">
        <v>936</v>
      </c>
      <c r="AY112" t="s">
        <v>1025</v>
      </c>
      <c r="AZ112" t="s">
        <v>749</v>
      </c>
      <c r="BA112" t="s">
        <v>824</v>
      </c>
      <c r="BB112" t="s">
        <v>497</v>
      </c>
      <c r="BC112" t="s">
        <v>1451</v>
      </c>
      <c r="BD112" t="s">
        <v>237</v>
      </c>
      <c r="BE112" t="s">
        <v>41</v>
      </c>
      <c r="BF112" t="s">
        <v>363</v>
      </c>
      <c r="BG112" t="s">
        <v>825</v>
      </c>
      <c r="BH112" t="s">
        <v>2417</v>
      </c>
      <c r="BI112" t="s">
        <v>2429</v>
      </c>
      <c r="BJ112" t="s">
        <v>936</v>
      </c>
      <c r="BK112" t="s">
        <v>811</v>
      </c>
      <c r="BL112" t="s">
        <v>2430</v>
      </c>
      <c r="BM112" t="s">
        <v>1451</v>
      </c>
      <c r="BN112">
        <v>7.72</v>
      </c>
      <c r="BO112">
        <v>43.85</v>
      </c>
      <c r="BP112">
        <v>14.82</v>
      </c>
      <c r="BQ112">
        <v>11.61</v>
      </c>
      <c r="BR112">
        <v>51.66</v>
      </c>
      <c r="BS112">
        <v>17.21</v>
      </c>
      <c r="BT112" t="s">
        <v>2422</v>
      </c>
      <c r="BU112" t="s">
        <v>1075</v>
      </c>
      <c r="BV112">
        <v>56.81</v>
      </c>
      <c r="BW112">
        <v>53.97</v>
      </c>
      <c r="BX112">
        <v>56.84</v>
      </c>
      <c r="BY112">
        <v>13.6</v>
      </c>
      <c r="BZ112">
        <v>25.66</v>
      </c>
      <c r="CA112">
        <v>17.309999999999999</v>
      </c>
      <c r="CB112">
        <v>-4.8499999999999996</v>
      </c>
      <c r="CC112">
        <v>-4.0999999999999996</v>
      </c>
      <c r="CD112" t="s">
        <v>4110</v>
      </c>
      <c r="CE112" t="s">
        <v>363</v>
      </c>
      <c r="CF112" s="8">
        <v>5.3895679555013283</v>
      </c>
      <c r="CG112" s="9">
        <v>1.7572315195243344</v>
      </c>
      <c r="CH112" s="8">
        <v>-0.90931928157806396</v>
      </c>
      <c r="CI112" s="8">
        <v>2.3794565200805664</v>
      </c>
      <c r="CJ112" s="8">
        <v>0.17917917668819427</v>
      </c>
      <c r="CK112" s="8">
        <v>0.13911060988903046</v>
      </c>
      <c r="CL112" s="8">
        <v>0.20301783084869385</v>
      </c>
      <c r="CM112" s="9">
        <v>-0.88438737392425537</v>
      </c>
      <c r="CN112" s="9">
        <v>3.9365854263305664</v>
      </c>
      <c r="CO112" s="9">
        <v>-2.8436018154025078E-2</v>
      </c>
      <c r="CP112" s="9">
        <v>0.95370370149612427</v>
      </c>
      <c r="CQ112" s="9">
        <v>1.8396093845367432</v>
      </c>
      <c r="CR112">
        <v>44.295590495137482</v>
      </c>
      <c r="CS112">
        <v>1.1121470515056433</v>
      </c>
      <c r="CT112">
        <v>1.2448700410396716</v>
      </c>
      <c r="CU112" s="8">
        <v>0.39828897118568418</v>
      </c>
      <c r="CV112" s="9">
        <v>1.1634150240570307</v>
      </c>
      <c r="CW112">
        <v>0.06</v>
      </c>
      <c r="CX112">
        <v>72.354935845362988</v>
      </c>
      <c r="CY112">
        <v>154339443.04596704</v>
      </c>
      <c r="CZ112">
        <v>0.39828897118568418</v>
      </c>
      <c r="DA112">
        <v>18.390202982914335</v>
      </c>
      <c r="DB112">
        <v>607237479.12815619</v>
      </c>
      <c r="DC112">
        <v>0.37837452262639998</v>
      </c>
      <c r="DD112">
        <v>6.265432120034589</v>
      </c>
      <c r="DE112">
        <v>1782354398.8755798</v>
      </c>
      <c r="DF112">
        <v>0.35049429464340209</v>
      </c>
      <c r="DG112">
        <v>2.3771632641153073</v>
      </c>
      <c r="DH112">
        <v>4697708680.1633835</v>
      </c>
      <c r="DI112">
        <v>0.31863117694854737</v>
      </c>
      <c r="DJ112">
        <v>0.39206692611038435</v>
      </c>
      <c r="DK112">
        <v>28482944508.448357</v>
      </c>
      <c r="DL112">
        <v>0.27880227982997891</v>
      </c>
      <c r="DM112">
        <v>117000000</v>
      </c>
      <c r="DN112">
        <v>0.39828897118568418</v>
      </c>
      <c r="DO112">
        <v>11167220500</v>
      </c>
      <c r="DP112">
        <v>1053597800</v>
      </c>
      <c r="DQ112">
        <v>4984</v>
      </c>
      <c r="DR112">
        <v>4.9912789843156444</v>
      </c>
      <c r="DS112">
        <v>0.59381649546730375</v>
      </c>
      <c r="DT112" s="10">
        <v>-0.22333333333333338</v>
      </c>
      <c r="DU112">
        <v>1.1433333333333331</v>
      </c>
      <c r="DV112">
        <v>0.91999999999999971</v>
      </c>
      <c r="DW112">
        <v>-4.8453608247422677</v>
      </c>
      <c r="DX112">
        <v>0.53972222222222543</v>
      </c>
      <c r="DY112">
        <v>-4.1181156930126006</v>
      </c>
      <c r="DZ112">
        <v>56</v>
      </c>
      <c r="EA112">
        <v>-4.1168212744590376</v>
      </c>
      <c r="EB112">
        <v>4</v>
      </c>
      <c r="EC112">
        <v>2.6507357855830537E-2</v>
      </c>
      <c r="ED112">
        <v>0.18971468843139153</v>
      </c>
      <c r="EE112" s="11">
        <v>7.2209999999999996E-2</v>
      </c>
      <c r="EF112">
        <v>9.2409999999999992E-2</v>
      </c>
      <c r="EG112">
        <v>40.139722222222225</v>
      </c>
      <c r="EH112">
        <v>-1</v>
      </c>
      <c r="EI112">
        <v>0</v>
      </c>
      <c r="EJ112">
        <v>1</v>
      </c>
      <c r="EK112" s="13">
        <v>45470</v>
      </c>
      <c r="EL112" s="14">
        <v>-1.59</v>
      </c>
      <c r="EM112" s="14">
        <v>-6.77</v>
      </c>
      <c r="EN112" s="14">
        <v>-1.25</v>
      </c>
      <c r="EO112" s="14">
        <v>3.29</v>
      </c>
      <c r="EP112" s="14">
        <v>-2.02</v>
      </c>
    </row>
    <row r="113" spans="1:146" ht="96" x14ac:dyDescent="0.25">
      <c r="C113" s="7" t="str">
        <f>""&amp;CHAR(10)&amp;Basic_Fundamental_Information_Constructure(F113)&amp;CHAR(10)&amp;Basic_Fundamental_Information_Concatenate("")</f>
        <v xml:space="preserve">
市值31.986385亿, 利润2944.11万; PE26.82; 平均PE126.71; 平均PEG1.7, PB1.5; ROIC17.4033%; ROE13.59%; 股利率1.657%; 毛利69.3067%; 净利30.2233%; 上一年度营收增153.44%, 利润增-60.93%; 当季营收增-50.87%, 利润增174.62%; 过往5年营收增74.33%, 利润增105.2%
Income profile:
</v>
      </c>
      <c r="D113" t="s">
        <v>1463</v>
      </c>
      <c r="E113" t="s">
        <v>1464</v>
      </c>
      <c r="F113">
        <v>60.35</v>
      </c>
      <c r="G113">
        <v>1.82</v>
      </c>
      <c r="H113" t="s">
        <v>4111</v>
      </c>
      <c r="I113">
        <v>3198638500</v>
      </c>
      <c r="J113">
        <v>26.82</v>
      </c>
      <c r="K113">
        <v>1.5</v>
      </c>
      <c r="L113" t="s">
        <v>40</v>
      </c>
      <c r="M113" t="s">
        <v>217</v>
      </c>
      <c r="N113" t="s">
        <v>4112</v>
      </c>
      <c r="O113" t="s">
        <v>2423</v>
      </c>
      <c r="P113" s="3">
        <v>9.98</v>
      </c>
      <c r="Q113" t="s">
        <v>1517</v>
      </c>
      <c r="R113">
        <v>25882629</v>
      </c>
      <c r="S113">
        <v>8.0699999999999994E-2</v>
      </c>
      <c r="T113" t="s">
        <v>4113</v>
      </c>
      <c r="U113">
        <v>23857715</v>
      </c>
      <c r="V113">
        <v>53001466</v>
      </c>
      <c r="W113">
        <v>1.05</v>
      </c>
      <c r="X113">
        <v>0.03</v>
      </c>
      <c r="Y113">
        <v>34.89</v>
      </c>
      <c r="Z113" t="s">
        <v>4114</v>
      </c>
      <c r="AA113" t="s">
        <v>4115</v>
      </c>
      <c r="AB113" t="s">
        <v>4116</v>
      </c>
      <c r="AC113" t="s">
        <v>4117</v>
      </c>
      <c r="AD113" t="s">
        <v>47</v>
      </c>
      <c r="AE113">
        <v>-3383258</v>
      </c>
      <c r="AF113" t="s">
        <v>2425</v>
      </c>
      <c r="AG113" t="s">
        <v>4118</v>
      </c>
      <c r="AH113" t="s">
        <v>2426</v>
      </c>
      <c r="AI113" t="s">
        <v>416</v>
      </c>
      <c r="AJ113" t="s">
        <v>2427</v>
      </c>
      <c r="AK113" t="s">
        <v>4119</v>
      </c>
      <c r="AL113" t="s">
        <v>2428</v>
      </c>
      <c r="AM113" t="s">
        <v>47</v>
      </c>
      <c r="AN113" t="s">
        <v>48</v>
      </c>
      <c r="AO113" t="s">
        <v>47</v>
      </c>
      <c r="AP113" t="s">
        <v>47</v>
      </c>
      <c r="AQ113" t="s">
        <v>4120</v>
      </c>
      <c r="AR113" t="s">
        <v>47</v>
      </c>
      <c r="AS113" t="s">
        <v>292</v>
      </c>
      <c r="AT113" t="s">
        <v>47</v>
      </c>
      <c r="AU113" t="s">
        <v>4121</v>
      </c>
      <c r="AV113" t="s">
        <v>4122</v>
      </c>
      <c r="AW113" t="s">
        <v>4123</v>
      </c>
      <c r="AX113" t="s">
        <v>512</v>
      </c>
      <c r="AY113" t="s">
        <v>48</v>
      </c>
      <c r="AZ113" t="s">
        <v>60</v>
      </c>
      <c r="BA113" t="s">
        <v>1529</v>
      </c>
      <c r="BB113" t="s">
        <v>47</v>
      </c>
      <c r="BC113" t="s">
        <v>1466</v>
      </c>
      <c r="BD113" t="s">
        <v>1467</v>
      </c>
      <c r="BE113" t="s">
        <v>1530</v>
      </c>
      <c r="BF113" t="s">
        <v>1531</v>
      </c>
      <c r="BG113" t="s">
        <v>47</v>
      </c>
      <c r="BH113" t="s">
        <v>2424</v>
      </c>
      <c r="BI113" t="s">
        <v>54</v>
      </c>
      <c r="BJ113" t="s">
        <v>512</v>
      </c>
      <c r="BK113" t="s">
        <v>55</v>
      </c>
      <c r="BL113" t="s">
        <v>4124</v>
      </c>
      <c r="BM113" t="s">
        <v>1466</v>
      </c>
      <c r="BN113">
        <v>4.8099999999999996</v>
      </c>
      <c r="BO113">
        <v>19.690000000000001</v>
      </c>
      <c r="BP113">
        <v>27.71</v>
      </c>
      <c r="BQ113">
        <v>6.59</v>
      </c>
      <c r="BR113">
        <v>20.59</v>
      </c>
      <c r="BS113" t="s">
        <v>47</v>
      </c>
      <c r="BT113" t="s">
        <v>1977</v>
      </c>
      <c r="BU113" t="s">
        <v>1032</v>
      </c>
      <c r="BV113">
        <v>69.69</v>
      </c>
      <c r="BW113">
        <v>68.56</v>
      </c>
      <c r="BX113">
        <v>69.67</v>
      </c>
      <c r="BY113">
        <v>32.53</v>
      </c>
      <c r="BZ113">
        <v>28.73</v>
      </c>
      <c r="CA113">
        <v>29.41</v>
      </c>
      <c r="CB113">
        <v>5.21</v>
      </c>
      <c r="CC113" s="1">
        <v>-9.7899999999999991</v>
      </c>
      <c r="CD113" s="1" t="s">
        <v>4125</v>
      </c>
      <c r="CE113" s="1" t="s">
        <v>4126</v>
      </c>
      <c r="CF113" s="8">
        <v>-0.50868807947019867</v>
      </c>
      <c r="CG113" s="9">
        <v>1.7461675331564988</v>
      </c>
      <c r="CH113" s="8">
        <v>1.534351110458374</v>
      </c>
      <c r="CI113" s="8">
        <v>0.25358852744102478</v>
      </c>
      <c r="CJ113" s="8">
        <v>0.64566928148269653</v>
      </c>
      <c r="CK113" s="8">
        <v>0.53946858644485474</v>
      </c>
      <c r="CL113" s="8" t="s">
        <v>47</v>
      </c>
      <c r="CM113" s="9">
        <v>-0.6092836856842041</v>
      </c>
      <c r="CN113" s="9">
        <v>0.22663740813732147</v>
      </c>
      <c r="CO113" s="9">
        <v>3.3288490772247314</v>
      </c>
      <c r="CP113" s="9">
        <v>1.2618268728256226</v>
      </c>
      <c r="CQ113" s="9" t="s">
        <v>47</v>
      </c>
      <c r="CR113" s="1">
        <v>126.71488503652526</v>
      </c>
      <c r="CS113" s="1">
        <v>1.7048312368335652</v>
      </c>
      <c r="CT113" s="1">
        <v>1.6570008285004143</v>
      </c>
      <c r="CU113" s="8">
        <v>0.74326937645673752</v>
      </c>
      <c r="CV113" s="9">
        <v>1.0520074181258678</v>
      </c>
      <c r="CW113">
        <v>0.06</v>
      </c>
      <c r="CX113">
        <v>25.354662366295589</v>
      </c>
      <c r="CY113">
        <v>48418649.093585327</v>
      </c>
      <c r="CZ113">
        <v>0.74326937645673752</v>
      </c>
      <c r="DA113">
        <v>4.9819788597827754</v>
      </c>
      <c r="DB113">
        <v>246415838.87682888</v>
      </c>
      <c r="DC113">
        <v>0.70610590763390058</v>
      </c>
      <c r="DD113">
        <v>1.1144927905438815</v>
      </c>
      <c r="DE113">
        <v>1101522154.6663415</v>
      </c>
      <c r="DF113">
        <v>0.65407705128192906</v>
      </c>
      <c r="DG113">
        <v>0.23954072228928133</v>
      </c>
      <c r="DH113">
        <v>5124967847.9195805</v>
      </c>
      <c r="DI113">
        <v>0.59461550116539008</v>
      </c>
      <c r="DJ113">
        <v>9.3140303120828483E-3</v>
      </c>
      <c r="DK113">
        <v>131805293612.52095</v>
      </c>
      <c r="DL113">
        <v>0.5202885635197162</v>
      </c>
      <c r="DM113">
        <v>29441100</v>
      </c>
      <c r="DN113">
        <v>0.74326937645673752</v>
      </c>
      <c r="DO113">
        <v>1227638500</v>
      </c>
      <c r="DP113">
        <v>1504912600</v>
      </c>
      <c r="DQ113" s="10">
        <v>4985</v>
      </c>
      <c r="DR113">
        <v>-1.2519574559269362</v>
      </c>
      <c r="DS113">
        <v>0.69416011503063091</v>
      </c>
      <c r="DT113">
        <v>0.51199999999999979</v>
      </c>
      <c r="DU113">
        <v>1.0459999999999998</v>
      </c>
      <c r="DV113">
        <v>1.5579999999999996</v>
      </c>
      <c r="DW113">
        <v>6.3473333333333333</v>
      </c>
      <c r="DX113">
        <v>0.37581115707803048</v>
      </c>
      <c r="DY113">
        <v>6.0541184085584359</v>
      </c>
      <c r="DZ113">
        <v>3295</v>
      </c>
      <c r="EA113">
        <v>6.0192220961905205</v>
      </c>
      <c r="EB113" s="11">
        <v>6</v>
      </c>
      <c r="EC113" s="11">
        <v>4.1072448826226807E-2</v>
      </c>
      <c r="ED113">
        <v>0.26360402936779148</v>
      </c>
      <c r="EE113">
        <v>1.5100000000000014E-3</v>
      </c>
      <c r="EF113">
        <v>3.8410000000000007E-2</v>
      </c>
      <c r="EG113">
        <v>22.155811157078031</v>
      </c>
      <c r="EH113" s="13">
        <v>-1</v>
      </c>
      <c r="EI113" s="14">
        <v>0</v>
      </c>
      <c r="EJ113" s="14">
        <v>0</v>
      </c>
      <c r="EK113" s="14">
        <v>45470</v>
      </c>
      <c r="EL113" s="14">
        <v>-0.26</v>
      </c>
      <c r="EM113" s="14">
        <v>-7.46</v>
      </c>
      <c r="EN113" s="14">
        <v>-0.64</v>
      </c>
      <c r="EO113" s="14">
        <v>5.57</v>
      </c>
      <c r="EP113" s="14">
        <v>-3.69</v>
      </c>
    </row>
    <row r="114" spans="1:146" ht="96" x14ac:dyDescent="0.25">
      <c r="C114" s="7" t="str">
        <f>""&amp;CHAR(10)&amp;Basic_Fundamental_Information_Constructure(F114)&amp;CHAR(10)&amp;Basic_Fundamental_Information_Concatenate("")</f>
        <v xml:space="preserve">
市值24.670684亿, 利润2.17亿; PE19.28; 平均PE18.6; 平均PEG.78, PB1.5; ROIC7.1933%; ROE8.2633%; 股利率5.8455%; 毛利73.0067%; 净利33.31%; 上一年度营收增58.07%, 利润增131.28%; 当季营收增-3.07%, 利润增-36.44%; 过往5年营收增23.72%, 利润增41.88%
Income profile:
</v>
      </c>
      <c r="D114" t="s">
        <v>826</v>
      </c>
      <c r="E114" t="s">
        <v>827</v>
      </c>
      <c r="F114">
        <v>25.76</v>
      </c>
      <c r="G114">
        <v>3.37</v>
      </c>
      <c r="H114" t="s">
        <v>4127</v>
      </c>
      <c r="I114">
        <v>2467068400</v>
      </c>
      <c r="J114">
        <v>19.28</v>
      </c>
      <c r="K114">
        <v>1.5</v>
      </c>
      <c r="L114" t="s">
        <v>40</v>
      </c>
      <c r="M114" t="s">
        <v>517</v>
      </c>
      <c r="N114" t="s">
        <v>4128</v>
      </c>
      <c r="O114" t="s">
        <v>2431</v>
      </c>
      <c r="P114">
        <v>-8.24</v>
      </c>
      <c r="Q114" t="s">
        <v>285</v>
      </c>
      <c r="R114">
        <v>21753153</v>
      </c>
      <c r="S114" s="3">
        <v>-0.27689999999999998</v>
      </c>
      <c r="T114" t="s">
        <v>1494</v>
      </c>
      <c r="U114">
        <v>95771288</v>
      </c>
      <c r="V114">
        <v>95771288</v>
      </c>
      <c r="W114">
        <v>1.0900000000000001</v>
      </c>
      <c r="X114">
        <v>0.05</v>
      </c>
      <c r="Y114">
        <v>24.81</v>
      </c>
      <c r="Z114" t="s">
        <v>4129</v>
      </c>
      <c r="AA114" t="s">
        <v>4130</v>
      </c>
      <c r="AB114" t="s">
        <v>4131</v>
      </c>
      <c r="AC114" t="s">
        <v>4132</v>
      </c>
      <c r="AD114" t="s">
        <v>47</v>
      </c>
      <c r="AE114">
        <v>-5408126</v>
      </c>
      <c r="AF114" t="s">
        <v>2432</v>
      </c>
      <c r="AG114" t="s">
        <v>4133</v>
      </c>
      <c r="AH114" t="s">
        <v>2433</v>
      </c>
      <c r="AI114" t="s">
        <v>4134</v>
      </c>
      <c r="AJ114" t="s">
        <v>2435</v>
      </c>
      <c r="AK114" t="s">
        <v>47</v>
      </c>
      <c r="AL114" t="s">
        <v>2436</v>
      </c>
      <c r="AM114" t="s">
        <v>47</v>
      </c>
      <c r="AN114" t="s">
        <v>126</v>
      </c>
      <c r="AO114" t="s">
        <v>47</v>
      </c>
      <c r="AP114" t="s">
        <v>47</v>
      </c>
      <c r="AQ114" t="s">
        <v>4135</v>
      </c>
      <c r="AR114" t="s">
        <v>4136</v>
      </c>
      <c r="AS114" t="s">
        <v>167</v>
      </c>
      <c r="AT114" t="s">
        <v>47</v>
      </c>
      <c r="AU114" t="s">
        <v>4137</v>
      </c>
      <c r="AV114" t="s">
        <v>4138</v>
      </c>
      <c r="AW114" t="s">
        <v>4139</v>
      </c>
      <c r="AX114" t="s">
        <v>106</v>
      </c>
      <c r="AY114" t="s">
        <v>61</v>
      </c>
      <c r="AZ114" t="s">
        <v>828</v>
      </c>
      <c r="BA114" t="s">
        <v>162</v>
      </c>
      <c r="BB114" t="s">
        <v>68</v>
      </c>
      <c r="BC114" t="s">
        <v>1452</v>
      </c>
      <c r="BD114" t="s">
        <v>522</v>
      </c>
      <c r="BE114" t="s">
        <v>111</v>
      </c>
      <c r="BF114" t="s">
        <v>829</v>
      </c>
      <c r="BG114" t="s">
        <v>830</v>
      </c>
      <c r="BH114" t="s">
        <v>1049</v>
      </c>
      <c r="BI114" t="s">
        <v>2440</v>
      </c>
      <c r="BJ114" t="s">
        <v>106</v>
      </c>
      <c r="BK114" t="s">
        <v>280</v>
      </c>
      <c r="BL114" t="s">
        <v>2441</v>
      </c>
      <c r="BM114" t="s">
        <v>1452</v>
      </c>
      <c r="BN114">
        <v>5.55</v>
      </c>
      <c r="BO114">
        <v>4.99</v>
      </c>
      <c r="BP114">
        <v>11.04</v>
      </c>
      <c r="BQ114">
        <v>6.51</v>
      </c>
      <c r="BR114">
        <v>6.13</v>
      </c>
      <c r="BS114">
        <v>12.15</v>
      </c>
      <c r="BT114" t="s">
        <v>4140</v>
      </c>
      <c r="BU114" t="s">
        <v>1032</v>
      </c>
      <c r="BV114">
        <v>71.760000000000005</v>
      </c>
      <c r="BW114">
        <v>72.48</v>
      </c>
      <c r="BX114">
        <v>74.78</v>
      </c>
      <c r="BY114">
        <v>29.48</v>
      </c>
      <c r="BZ114">
        <v>29.17</v>
      </c>
      <c r="CA114">
        <v>41.28</v>
      </c>
      <c r="CB114">
        <v>-3.74</v>
      </c>
      <c r="CC114" s="1">
        <v>-15.49</v>
      </c>
      <c r="CD114" s="1" t="s">
        <v>4141</v>
      </c>
      <c r="CE114" s="1" t="s">
        <v>4142</v>
      </c>
      <c r="CF114" s="8">
        <v>-3.0692245011680806E-2</v>
      </c>
      <c r="CG114" s="9">
        <v>-0.36440750913075237</v>
      </c>
      <c r="CH114" s="8">
        <v>0.58074533939361572</v>
      </c>
      <c r="CI114" s="8">
        <v>-0.25116279721260071</v>
      </c>
      <c r="CJ114" s="8">
        <v>0.13756613433361053</v>
      </c>
      <c r="CK114" s="8">
        <v>0.18495297431945801</v>
      </c>
      <c r="CL114" s="8">
        <v>0.5336538553237915</v>
      </c>
      <c r="CM114" s="9">
        <v>1.3127940893173218</v>
      </c>
      <c r="CN114" s="9">
        <v>-0.47288817167282104</v>
      </c>
      <c r="CO114" s="9">
        <v>0.2361111044883728</v>
      </c>
      <c r="CP114" s="9">
        <v>0.44406789541244507</v>
      </c>
      <c r="CQ114" s="9">
        <v>0.57372510433197021</v>
      </c>
      <c r="CR114" s="1">
        <v>18.598126141855214</v>
      </c>
      <c r="CS114" s="1">
        <v>0.78423106809419296</v>
      </c>
      <c r="CT114" s="1">
        <v>5.845496894409937</v>
      </c>
      <c r="CU114" s="8">
        <v>0.23715110123157501</v>
      </c>
      <c r="CV114" s="9">
        <v>0.41876200437545774</v>
      </c>
      <c r="CW114">
        <v>0.06</v>
      </c>
      <c r="CX114">
        <v>3.9368451952353078</v>
      </c>
      <c r="CY114">
        <v>253265838.64835072</v>
      </c>
      <c r="CZ114">
        <v>0.23715110123157501</v>
      </c>
      <c r="DA114">
        <v>1.1382580705997127</v>
      </c>
      <c r="DB114">
        <v>875959877.42452455</v>
      </c>
      <c r="DC114">
        <v>0.22529354616999625</v>
      </c>
      <c r="DD114">
        <v>0.47176109106146413</v>
      </c>
      <c r="DE114">
        <v>2113502827.7906361</v>
      </c>
      <c r="DF114">
        <v>0.20869296908378601</v>
      </c>
      <c r="DG114">
        <v>0.23061312920508242</v>
      </c>
      <c r="DH114">
        <v>4323554358.9251385</v>
      </c>
      <c r="DI114">
        <v>0.18972088098526002</v>
      </c>
      <c r="DJ114">
        <v>7.2925336061575433E-2</v>
      </c>
      <c r="DK114">
        <v>13672455333.7418</v>
      </c>
      <c r="DL114">
        <v>0.1660057708621025</v>
      </c>
      <c r="DM114">
        <v>217000000</v>
      </c>
      <c r="DN114">
        <v>0.23715110123157501</v>
      </c>
      <c r="DO114">
        <v>997068400.00000024</v>
      </c>
      <c r="DP114">
        <v>1106232050</v>
      </c>
      <c r="DQ114">
        <v>4989</v>
      </c>
      <c r="DR114">
        <v>-0.26784334624325584</v>
      </c>
      <c r="DS114">
        <v>-0.78316951350621011</v>
      </c>
      <c r="DT114" s="10">
        <v>-0.20666666666666669</v>
      </c>
      <c r="DU114">
        <v>0.3133333333333333</v>
      </c>
      <c r="DV114">
        <v>0.1066666666666666</v>
      </c>
      <c r="DW114">
        <v>-8.241446094254357</v>
      </c>
      <c r="DX114">
        <v>0.61229423056890875</v>
      </c>
      <c r="DY114">
        <v>-8.0415997690334216</v>
      </c>
      <c r="DZ114">
        <v>195</v>
      </c>
      <c r="EA114">
        <v>-8.0400123023090551</v>
      </c>
      <c r="EB114">
        <v>8</v>
      </c>
      <c r="EC114">
        <v>2.4178436443289767E-2</v>
      </c>
      <c r="ED114">
        <v>0.14033224654971749</v>
      </c>
      <c r="EE114" s="11">
        <v>-3.0874100000000002</v>
      </c>
      <c r="EF114">
        <v>-3.1222099999999999</v>
      </c>
      <c r="EG114">
        <v>44.172294230568909</v>
      </c>
      <c r="EH114" t="s">
        <v>1538</v>
      </c>
      <c r="EI114">
        <v>0</v>
      </c>
      <c r="EJ114">
        <v>1</v>
      </c>
      <c r="EK114" s="13">
        <v>45470</v>
      </c>
      <c r="EL114" s="14">
        <v>0.39</v>
      </c>
      <c r="EM114" s="14">
        <v>-7.09</v>
      </c>
      <c r="EN114" s="14">
        <v>-1.01</v>
      </c>
      <c r="EO114" s="14">
        <v>2.75</v>
      </c>
      <c r="EP114" s="14">
        <v>-3.48</v>
      </c>
    </row>
    <row r="115" spans="1:146" ht="96" x14ac:dyDescent="0.25">
      <c r="C115" s="7" t="str">
        <f>""&amp;CHAR(10)&amp;Basic_Fundamental_Information_Constructure(F115)&amp;CHAR(10)&amp;Basic_Fundamental_Information_Concatenate("")</f>
        <v xml:space="preserve">
市值39.620812亿, 利润1.65亿; PE16.8; 平均PE43.04; 平均PEG1.68, PB1.77; ROIC31.47%; ROE28.305%; 股利率.2845%; 毛利67.89%; 净利38.69%; 上一年度营收增-14.56%, 利润增13.79%; 当季营收增899.51%, 利润增1006.94%; 过往5年营收增25.68%, 利润增42.67%
Income profile:
</v>
      </c>
      <c r="D115" t="s">
        <v>1453</v>
      </c>
      <c r="E115" t="s">
        <v>1454</v>
      </c>
      <c r="F115">
        <v>49</v>
      </c>
      <c r="G115">
        <v>2</v>
      </c>
      <c r="H115" t="s">
        <v>4143</v>
      </c>
      <c r="I115">
        <v>3962081200</v>
      </c>
      <c r="J115">
        <v>16.8</v>
      </c>
      <c r="K115">
        <v>1.77</v>
      </c>
      <c r="L115" t="s">
        <v>40</v>
      </c>
      <c r="M115" t="s">
        <v>268</v>
      </c>
      <c r="N115" t="s">
        <v>4144</v>
      </c>
      <c r="O115" t="s">
        <v>396</v>
      </c>
      <c r="P115">
        <v>23.35</v>
      </c>
      <c r="Q115" t="s">
        <v>1055</v>
      </c>
      <c r="R115">
        <v>52781143</v>
      </c>
      <c r="S115">
        <v>0.54220000000000002</v>
      </c>
      <c r="T115" t="s">
        <v>200</v>
      </c>
      <c r="U115">
        <v>40628696</v>
      </c>
      <c r="V115">
        <v>80858800</v>
      </c>
      <c r="W115">
        <v>1.04</v>
      </c>
      <c r="X115">
        <v>0.05</v>
      </c>
      <c r="Y115">
        <v>47.31</v>
      </c>
      <c r="Z115" t="s">
        <v>4145</v>
      </c>
      <c r="AA115" t="s">
        <v>4146</v>
      </c>
      <c r="AB115" t="s">
        <v>4147</v>
      </c>
      <c r="AC115" t="s">
        <v>4148</v>
      </c>
      <c r="AD115" t="s">
        <v>47</v>
      </c>
      <c r="AE115">
        <v>-12758264</v>
      </c>
      <c r="AF115" t="s">
        <v>507</v>
      </c>
      <c r="AG115" t="s">
        <v>4149</v>
      </c>
      <c r="AH115" t="s">
        <v>2437</v>
      </c>
      <c r="AI115" t="s">
        <v>4150</v>
      </c>
      <c r="AJ115" t="s">
        <v>2438</v>
      </c>
      <c r="AK115" t="s">
        <v>47</v>
      </c>
      <c r="AL115" t="s">
        <v>2439</v>
      </c>
      <c r="AM115" t="s">
        <v>47</v>
      </c>
      <c r="AN115" t="s">
        <v>4151</v>
      </c>
      <c r="AO115" t="s">
        <v>47</v>
      </c>
      <c r="AP115" t="s">
        <v>4152</v>
      </c>
      <c r="AQ115" t="s">
        <v>4153</v>
      </c>
      <c r="AR115" t="s">
        <v>47</v>
      </c>
      <c r="AS115" t="s">
        <v>4154</v>
      </c>
      <c r="AT115" t="s">
        <v>47</v>
      </c>
      <c r="AU115" t="s">
        <v>4155</v>
      </c>
      <c r="AV115" t="s">
        <v>4156</v>
      </c>
      <c r="AW115" t="s">
        <v>4157</v>
      </c>
      <c r="AX115" t="s">
        <v>185</v>
      </c>
      <c r="AY115" t="s">
        <v>647</v>
      </c>
      <c r="AZ115" t="s">
        <v>164</v>
      </c>
      <c r="BA115" t="s">
        <v>128</v>
      </c>
      <c r="BB115" t="s">
        <v>442</v>
      </c>
      <c r="BC115" t="s">
        <v>122</v>
      </c>
      <c r="BD115" t="s">
        <v>245</v>
      </c>
      <c r="BE115" t="s">
        <v>1455</v>
      </c>
      <c r="BF115" t="s">
        <v>1456</v>
      </c>
      <c r="BG115" t="s">
        <v>1457</v>
      </c>
      <c r="BH115" t="s">
        <v>285</v>
      </c>
      <c r="BI115" t="s">
        <v>4158</v>
      </c>
      <c r="BJ115" t="s">
        <v>185</v>
      </c>
      <c r="BK115" t="s">
        <v>1494</v>
      </c>
      <c r="BL115" t="s">
        <v>4159</v>
      </c>
      <c r="BM115" t="s">
        <v>122</v>
      </c>
      <c r="BN115">
        <v>10</v>
      </c>
      <c r="BO115">
        <v>40.659999999999997</v>
      </c>
      <c r="BP115">
        <v>43.75</v>
      </c>
      <c r="BQ115">
        <v>12.21</v>
      </c>
      <c r="BR115">
        <v>44.4</v>
      </c>
      <c r="BS115" t="s">
        <v>47</v>
      </c>
      <c r="BT115" t="s">
        <v>2442</v>
      </c>
      <c r="BU115" t="s">
        <v>1079</v>
      </c>
      <c r="BV115">
        <v>70.87</v>
      </c>
      <c r="BW115">
        <v>68.12</v>
      </c>
      <c r="BX115">
        <v>64.680000000000007</v>
      </c>
      <c r="BY115">
        <v>42.7</v>
      </c>
      <c r="BZ115">
        <v>39.06</v>
      </c>
      <c r="CA115">
        <v>34.31</v>
      </c>
      <c r="CB115">
        <v>0.14000000000000001</v>
      </c>
      <c r="CC115" s="1">
        <v>-10.36</v>
      </c>
      <c r="CD115" s="1" t="s">
        <v>4160</v>
      </c>
      <c r="CE115" s="1" t="s">
        <v>4161</v>
      </c>
      <c r="CF115" s="8">
        <v>8.9950916960421239</v>
      </c>
      <c r="CG115" s="9">
        <v>10.069392408543395</v>
      </c>
      <c r="CH115" s="8">
        <v>-0.14555256068706512</v>
      </c>
      <c r="CI115" s="8">
        <v>0.21639344096183777</v>
      </c>
      <c r="CJ115" s="8">
        <v>0.77325582504272461</v>
      </c>
      <c r="CK115" s="8">
        <v>-6.0109291225671768E-2</v>
      </c>
      <c r="CL115" s="8">
        <v>0.5</v>
      </c>
      <c r="CM115" s="9">
        <v>0.13793103396892548</v>
      </c>
      <c r="CN115" s="9">
        <v>0.380952388048172</v>
      </c>
      <c r="CO115" s="9">
        <v>1.3212422132492065</v>
      </c>
      <c r="CP115" s="9">
        <v>-0.17364242672920227</v>
      </c>
      <c r="CQ115" s="9">
        <v>0.46693733334541321</v>
      </c>
      <c r="CR115" s="1">
        <v>43.04353333596481</v>
      </c>
      <c r="CS115" s="1">
        <v>1.6761664819903954</v>
      </c>
      <c r="CT115" s="1">
        <v>0.28453689167974883</v>
      </c>
      <c r="CU115" s="8">
        <v>0.25679748281836512</v>
      </c>
      <c r="CV115" s="9">
        <v>0.426684108376503</v>
      </c>
      <c r="CW115">
        <v>0.06</v>
      </c>
      <c r="CX115">
        <v>9.4210885987864739</v>
      </c>
      <c r="CY115">
        <v>195633570.43870774</v>
      </c>
      <c r="CZ115">
        <v>0.25679748281836512</v>
      </c>
      <c r="DA115">
        <v>2.6806517557577312</v>
      </c>
      <c r="DB115">
        <v>687549658.78774583</v>
      </c>
      <c r="DC115">
        <v>0.24395760867744684</v>
      </c>
      <c r="DD115">
        <v>1.0850981448642931</v>
      </c>
      <c r="DE115">
        <v>1698538707.0498617</v>
      </c>
      <c r="DF115">
        <v>0.2259817848801613</v>
      </c>
      <c r="DG115">
        <v>0.51491119027104837</v>
      </c>
      <c r="DH115">
        <v>3579415702.7929516</v>
      </c>
      <c r="DI115">
        <v>0.20543798625469212</v>
      </c>
      <c r="DJ115">
        <v>0.15105819777613141</v>
      </c>
      <c r="DK115">
        <v>12201133252.837099</v>
      </c>
      <c r="DL115">
        <v>0.17975823797285556</v>
      </c>
      <c r="DM115">
        <v>165000000</v>
      </c>
      <c r="DN115">
        <v>0.25679748281836512</v>
      </c>
      <c r="DO115">
        <v>1843081200</v>
      </c>
      <c r="DP115">
        <v>2050251900</v>
      </c>
      <c r="DQ115" s="10">
        <v>4990</v>
      </c>
      <c r="DR115">
        <v>8.7382942132237584</v>
      </c>
      <c r="DS115">
        <v>9.642708300166893</v>
      </c>
      <c r="DT115">
        <v>7.6666666666666661E-2</v>
      </c>
      <c r="DU115">
        <v>0.62</v>
      </c>
      <c r="DV115">
        <v>0.69666666666666666</v>
      </c>
      <c r="DW115">
        <v>-2.1036000000000001</v>
      </c>
      <c r="DX115">
        <v>0.34145844377311235</v>
      </c>
      <c r="DY115">
        <v>-2.0156910947748945</v>
      </c>
      <c r="DZ115">
        <v>348</v>
      </c>
      <c r="EA115">
        <v>-2.0146225035847452</v>
      </c>
      <c r="EB115" s="11">
        <v>2</v>
      </c>
      <c r="EC115" s="11">
        <v>2.9327667489500216E-2</v>
      </c>
      <c r="ED115">
        <v>0.1936350774436425</v>
      </c>
      <c r="EE115">
        <v>3.0226099999999998</v>
      </c>
      <c r="EF115">
        <v>3.0752100000000002</v>
      </c>
      <c r="EG115">
        <v>19.151458443773112</v>
      </c>
      <c r="EH115" s="13" t="s">
        <v>1601</v>
      </c>
      <c r="EI115" s="14">
        <v>0</v>
      </c>
      <c r="EJ115" s="14">
        <v>1</v>
      </c>
      <c r="EK115" s="14">
        <v>45470</v>
      </c>
      <c r="EL115" s="14">
        <v>1.64</v>
      </c>
      <c r="EM115" s="14">
        <v>-8.23</v>
      </c>
      <c r="EN115">
        <v>-1.65</v>
      </c>
      <c r="EO115">
        <v>1.93</v>
      </c>
      <c r="EP115">
        <v>-5.26</v>
      </c>
    </row>
    <row r="116" spans="1:146" ht="96" x14ac:dyDescent="0.25">
      <c r="A116" s="7"/>
      <c r="B116" s="7"/>
      <c r="C116" s="7" t="str">
        <f>""&amp;CHAR(10)&amp;Basic_Fundamental_Information_Constructure(F116)&amp;CHAR(10)&amp;Basic_Fundamental_Information_Concatenate("")</f>
        <v xml:space="preserve">
市值36.960735亿, 利润1541.22万; PE20; 平均PE7.98; 平均PEG.09, PB.963; ROIC22.22%; ROE21.4567%; 股利率3.2175%; 毛利54.6267%; 净利33.2433%; 上一年度营收增-91.92%, 利润增-98.7%; 当季营收增299.05%, 利润增768.81%; 过往5年营收增91.25%, 利润增154.73%
Income profile:
</v>
      </c>
      <c r="D116" t="s">
        <v>831</v>
      </c>
      <c r="E116" t="s">
        <v>832</v>
      </c>
      <c r="F116">
        <v>46.62</v>
      </c>
      <c r="G116">
        <v>1.97</v>
      </c>
      <c r="H116" t="s">
        <v>4162</v>
      </c>
      <c r="I116">
        <v>3696073500</v>
      </c>
      <c r="J116">
        <v>20</v>
      </c>
      <c r="K116">
        <v>0.96299999999999997</v>
      </c>
      <c r="L116" t="s">
        <v>40</v>
      </c>
      <c r="M116" t="s">
        <v>461</v>
      </c>
      <c r="N116" t="s">
        <v>4163</v>
      </c>
      <c r="O116" t="s">
        <v>204</v>
      </c>
      <c r="P116">
        <v>-15.34</v>
      </c>
      <c r="Q116" t="s">
        <v>1184</v>
      </c>
      <c r="R116">
        <v>44788914</v>
      </c>
      <c r="S116" s="3">
        <v>0.105</v>
      </c>
      <c r="T116" t="s">
        <v>2450</v>
      </c>
      <c r="U116">
        <v>39550255</v>
      </c>
      <c r="V116">
        <v>79280855</v>
      </c>
      <c r="W116">
        <v>1.08</v>
      </c>
      <c r="X116">
        <v>0.05</v>
      </c>
      <c r="Y116">
        <v>22.33</v>
      </c>
      <c r="Z116" t="s">
        <v>111</v>
      </c>
      <c r="AA116" t="s">
        <v>4164</v>
      </c>
      <c r="AB116" t="s">
        <v>4165</v>
      </c>
      <c r="AC116" t="s">
        <v>4166</v>
      </c>
      <c r="AD116" t="s">
        <v>47</v>
      </c>
      <c r="AE116">
        <v>-5077052</v>
      </c>
      <c r="AF116" t="s">
        <v>2443</v>
      </c>
      <c r="AG116" t="s">
        <v>3718</v>
      </c>
      <c r="AH116" t="s">
        <v>2444</v>
      </c>
      <c r="AI116" t="s">
        <v>4167</v>
      </c>
      <c r="AJ116" t="s">
        <v>2445</v>
      </c>
      <c r="AK116" t="s">
        <v>47</v>
      </c>
      <c r="AL116" t="s">
        <v>2446</v>
      </c>
      <c r="AM116" t="s">
        <v>47</v>
      </c>
      <c r="AN116" t="s">
        <v>263</v>
      </c>
      <c r="AO116" t="s">
        <v>47</v>
      </c>
      <c r="AP116" t="s">
        <v>47</v>
      </c>
      <c r="AQ116" t="s">
        <v>292</v>
      </c>
      <c r="AR116" t="s">
        <v>47</v>
      </c>
      <c r="AS116" t="s">
        <v>170</v>
      </c>
      <c r="AT116" t="s">
        <v>47</v>
      </c>
      <c r="AU116" t="s">
        <v>4168</v>
      </c>
      <c r="AV116" t="s">
        <v>4169</v>
      </c>
      <c r="AW116" t="s">
        <v>4170</v>
      </c>
      <c r="AX116" t="s">
        <v>1458</v>
      </c>
      <c r="AY116" t="s">
        <v>1026</v>
      </c>
      <c r="AZ116" t="s">
        <v>281</v>
      </c>
      <c r="BA116" t="s">
        <v>416</v>
      </c>
      <c r="BB116" t="s">
        <v>98</v>
      </c>
      <c r="BC116" t="s">
        <v>2447</v>
      </c>
      <c r="BD116" t="s">
        <v>932</v>
      </c>
      <c r="BE116" t="s">
        <v>229</v>
      </c>
      <c r="BF116" t="s">
        <v>833</v>
      </c>
      <c r="BG116" t="s">
        <v>834</v>
      </c>
      <c r="BH116" t="s">
        <v>2058</v>
      </c>
      <c r="BI116" t="s">
        <v>2456</v>
      </c>
      <c r="BJ116" t="s">
        <v>1458</v>
      </c>
      <c r="BK116" t="s">
        <v>120</v>
      </c>
      <c r="BL116" t="s">
        <v>2457</v>
      </c>
      <c r="BM116" t="s">
        <v>2447</v>
      </c>
      <c r="BN116">
        <v>1.58</v>
      </c>
      <c r="BO116">
        <v>30.68</v>
      </c>
      <c r="BP116">
        <v>34.4</v>
      </c>
      <c r="BQ116">
        <v>2.5099999999999998</v>
      </c>
      <c r="BR116">
        <v>31.64</v>
      </c>
      <c r="BS116">
        <v>30.22</v>
      </c>
      <c r="BT116" t="s">
        <v>1968</v>
      </c>
      <c r="BU116" t="s">
        <v>1075</v>
      </c>
      <c r="BV116">
        <v>48.78</v>
      </c>
      <c r="BW116">
        <v>59.93</v>
      </c>
      <c r="BX116">
        <v>55.17</v>
      </c>
      <c r="BY116">
        <v>23.89</v>
      </c>
      <c r="BZ116">
        <v>34.97</v>
      </c>
      <c r="CA116">
        <v>40.869999999999997</v>
      </c>
      <c r="CB116">
        <v>-1.08</v>
      </c>
      <c r="CC116">
        <v>-15.07</v>
      </c>
      <c r="CD116" t="s">
        <v>4171</v>
      </c>
      <c r="CE116" t="s">
        <v>4172</v>
      </c>
      <c r="CF116" s="8">
        <v>2.9905026038029492</v>
      </c>
      <c r="CG116" s="9">
        <v>7.6881068570063329</v>
      </c>
      <c r="CH116" s="8">
        <v>-0.91915017366409302</v>
      </c>
      <c r="CI116" s="8">
        <v>0.80939674377441406</v>
      </c>
      <c r="CJ116" s="8">
        <v>0.64876753091812134</v>
      </c>
      <c r="CK116" s="8">
        <v>3.7136929035186768</v>
      </c>
      <c r="CL116" s="8">
        <v>0.30978259444236755</v>
      </c>
      <c r="CM116" s="9">
        <v>-0.98699390888214111</v>
      </c>
      <c r="CN116" s="9">
        <v>0.5469973087310791</v>
      </c>
      <c r="CO116" s="9">
        <v>0.12812960147857666</v>
      </c>
      <c r="CP116" s="9">
        <v>7.658571720123291</v>
      </c>
      <c r="CQ116" s="9">
        <v>0.38979145884513855</v>
      </c>
      <c r="CR116">
        <v>7.9763999506664298</v>
      </c>
      <c r="CS116">
        <v>8.7412801471734483E-2</v>
      </c>
      <c r="CT116">
        <v>3.2175032175032179</v>
      </c>
      <c r="CU116" s="8">
        <v>0.91249791979789729</v>
      </c>
      <c r="CV116" s="9">
        <v>1.5472992360591888</v>
      </c>
      <c r="CW116">
        <v>0.06</v>
      </c>
      <c r="CX116">
        <v>4.9293965840956</v>
      </c>
      <c r="CY116">
        <v>27807358.905197315</v>
      </c>
      <c r="CZ116">
        <v>0.91249791979789729</v>
      </c>
      <c r="DA116">
        <v>0.8613067462104852</v>
      </c>
      <c r="DB116">
        <v>159145972.79434535</v>
      </c>
      <c r="DC116">
        <v>0.86687302380800235</v>
      </c>
      <c r="DD116">
        <v>0.15785500062336855</v>
      </c>
      <c r="DE116">
        <v>868350698.1641221</v>
      </c>
      <c r="DF116">
        <v>0.80299816942214963</v>
      </c>
      <c r="DG116">
        <v>2.5880320824675049E-2</v>
      </c>
      <c r="DH116">
        <v>5296437433.2373095</v>
      </c>
      <c r="DI116">
        <v>0.72999833583831786</v>
      </c>
      <c r="DJ116">
        <v>5.1642681753756776E-4</v>
      </c>
      <c r="DK116">
        <v>265426765894.14047</v>
      </c>
      <c r="DL116">
        <v>0.63874854385852808</v>
      </c>
      <c r="DM116">
        <v>15412200</v>
      </c>
      <c r="DN116">
        <v>0.91249791979789729</v>
      </c>
      <c r="DO116">
        <v>137073500</v>
      </c>
      <c r="DP116">
        <v>2779860400</v>
      </c>
      <c r="DQ116">
        <v>5010</v>
      </c>
      <c r="DR116">
        <v>2.0780046840050517</v>
      </c>
      <c r="DS116">
        <v>6.1408076209471441</v>
      </c>
      <c r="DT116" s="10">
        <v>0.36666666666666675</v>
      </c>
      <c r="DU116">
        <v>0.78833333333333322</v>
      </c>
      <c r="DV116">
        <v>1.155</v>
      </c>
      <c r="DW116">
        <v>-2.1507000000000001</v>
      </c>
      <c r="DX116">
        <v>0.47901951622043643</v>
      </c>
      <c r="DY116">
        <v>-2.0209502410944196</v>
      </c>
      <c r="DZ116">
        <v>2114</v>
      </c>
      <c r="EA116">
        <v>-2.0122831550526188</v>
      </c>
      <c r="EB116">
        <v>2</v>
      </c>
      <c r="EC116">
        <v>1.7637297175970165E-2</v>
      </c>
      <c r="ED116">
        <v>0.12686921703859022</v>
      </c>
      <c r="EE116" s="11">
        <v>-4.0029000000000003</v>
      </c>
      <c r="EF116">
        <v>-4.0234100000000002</v>
      </c>
      <c r="EG116">
        <v>34.139019516220436</v>
      </c>
      <c r="EH116" t="s">
        <v>1585</v>
      </c>
      <c r="EI116">
        <v>0</v>
      </c>
      <c r="EJ116">
        <v>0</v>
      </c>
      <c r="EK116" s="13">
        <v>45470</v>
      </c>
      <c r="EL116" s="14">
        <v>-1.77</v>
      </c>
      <c r="EM116" s="14">
        <v>-6.54</v>
      </c>
      <c r="EN116">
        <v>0.56000000000000005</v>
      </c>
      <c r="EO116">
        <v>3.28</v>
      </c>
      <c r="EP116">
        <v>-2.63</v>
      </c>
    </row>
    <row r="117" spans="1:146" ht="96" x14ac:dyDescent="0.25">
      <c r="A117" s="7"/>
      <c r="B117" s="7"/>
      <c r="C117" s="7" t="str">
        <f>""&amp;CHAR(10)&amp;Basic_Fundamental_Information_Constructure(F117)&amp;CHAR(10)&amp;Basic_Fundamental_Information_Concatenate("")</f>
        <v xml:space="preserve">
市值10.4961671亿, 利润1.24亿; PE45.09; 平均PE16.75; 平均PEG.09, PB1.23; ROIC6.365%; ROE3.4467%; 股利率.4534%; 毛利40.78%; 净利9.2433%; 上一年度营收增961.46%, 利润增2302.41%; 当季营收增-86.21%, 利润增253.45%; 过往5年营收增195.37%, 利润增452.55%
Income profile:
</v>
      </c>
      <c r="D117" t="s">
        <v>835</v>
      </c>
      <c r="E117" t="s">
        <v>836</v>
      </c>
      <c r="F117">
        <v>11.91</v>
      </c>
      <c r="G117">
        <v>3.3</v>
      </c>
      <c r="H117" t="s">
        <v>4173</v>
      </c>
      <c r="I117">
        <v>1049616710</v>
      </c>
      <c r="J117">
        <v>45.09</v>
      </c>
      <c r="K117">
        <v>1.23</v>
      </c>
      <c r="L117" t="s">
        <v>40</v>
      </c>
      <c r="M117" t="s">
        <v>2448</v>
      </c>
      <c r="N117" t="s">
        <v>1012</v>
      </c>
      <c r="O117" t="s">
        <v>2449</v>
      </c>
      <c r="P117">
        <v>5.69</v>
      </c>
      <c r="Q117" t="s">
        <v>4174</v>
      </c>
      <c r="R117">
        <v>1168820</v>
      </c>
      <c r="S117" s="3">
        <v>1.175</v>
      </c>
      <c r="T117" t="s">
        <v>468</v>
      </c>
      <c r="U117">
        <v>88129027</v>
      </c>
      <c r="V117">
        <v>88129027</v>
      </c>
      <c r="W117">
        <v>1.08</v>
      </c>
      <c r="X117">
        <v>0.06</v>
      </c>
      <c r="Y117">
        <v>2.25</v>
      </c>
      <c r="Z117" t="s">
        <v>4175</v>
      </c>
      <c r="AA117" t="s">
        <v>4176</v>
      </c>
      <c r="AB117" t="s">
        <v>4177</v>
      </c>
      <c r="AC117" t="s">
        <v>4178</v>
      </c>
      <c r="AD117" t="s">
        <v>47</v>
      </c>
      <c r="AE117">
        <v>-741654</v>
      </c>
      <c r="AF117" t="s">
        <v>2451</v>
      </c>
      <c r="AG117">
        <v>5538.09</v>
      </c>
      <c r="AH117" t="s">
        <v>2452</v>
      </c>
      <c r="AI117" t="s">
        <v>2572</v>
      </c>
      <c r="AJ117" t="s">
        <v>2453</v>
      </c>
      <c r="AK117" t="s">
        <v>4179</v>
      </c>
      <c r="AL117" t="s">
        <v>2454</v>
      </c>
      <c r="AM117" t="s">
        <v>47</v>
      </c>
      <c r="AN117" t="s">
        <v>345</v>
      </c>
      <c r="AO117" t="s">
        <v>47</v>
      </c>
      <c r="AP117" t="s">
        <v>47</v>
      </c>
      <c r="AQ117" t="s">
        <v>4180</v>
      </c>
      <c r="AR117" t="s">
        <v>47</v>
      </c>
      <c r="AS117" t="s">
        <v>4181</v>
      </c>
      <c r="AT117" t="s">
        <v>47</v>
      </c>
      <c r="AU117" t="s">
        <v>4182</v>
      </c>
      <c r="AV117" t="s">
        <v>4183</v>
      </c>
      <c r="AW117" t="s">
        <v>4184</v>
      </c>
      <c r="AX117" t="s">
        <v>237</v>
      </c>
      <c r="AY117" t="s">
        <v>70</v>
      </c>
      <c r="AZ117" t="s">
        <v>635</v>
      </c>
      <c r="BA117" t="s">
        <v>236</v>
      </c>
      <c r="BB117" t="s">
        <v>774</v>
      </c>
      <c r="BC117" t="s">
        <v>2455</v>
      </c>
      <c r="BD117" t="s">
        <v>1027</v>
      </c>
      <c r="BE117" t="s">
        <v>837</v>
      </c>
      <c r="BF117" t="s">
        <v>838</v>
      </c>
      <c r="BG117" t="s">
        <v>839</v>
      </c>
      <c r="BH117" t="s">
        <v>1184</v>
      </c>
      <c r="BI117" t="s">
        <v>1444</v>
      </c>
      <c r="BJ117" t="s">
        <v>237</v>
      </c>
      <c r="BK117" t="s">
        <v>2450</v>
      </c>
      <c r="BL117" t="s">
        <v>4185</v>
      </c>
      <c r="BM117" t="s">
        <v>2455</v>
      </c>
      <c r="BN117">
        <v>-0.25</v>
      </c>
      <c r="BO117" t="s">
        <v>47</v>
      </c>
      <c r="BP117">
        <v>12.98</v>
      </c>
      <c r="BQ117">
        <v>0.39</v>
      </c>
      <c r="BR117">
        <v>-0.64</v>
      </c>
      <c r="BS117">
        <v>10.59</v>
      </c>
      <c r="BT117" t="s">
        <v>2458</v>
      </c>
      <c r="BU117" t="s">
        <v>1032</v>
      </c>
      <c r="BV117">
        <v>39.65</v>
      </c>
      <c r="BW117">
        <v>36.590000000000003</v>
      </c>
      <c r="BX117">
        <v>46.1</v>
      </c>
      <c r="BY117">
        <v>5.63</v>
      </c>
      <c r="BZ117">
        <v>-2.77</v>
      </c>
      <c r="CA117">
        <v>24.87</v>
      </c>
      <c r="CB117">
        <v>-4.1100000000000003</v>
      </c>
      <c r="CC117" s="1">
        <v>-13.1</v>
      </c>
      <c r="CD117" s="1" t="s">
        <v>4186</v>
      </c>
      <c r="CE117" s="1" t="s">
        <v>4187</v>
      </c>
      <c r="CF117" s="8">
        <v>-0.86205781250000002</v>
      </c>
      <c r="CG117" s="9">
        <v>2.5344886438230274</v>
      </c>
      <c r="CH117" s="8">
        <v>9.6146345138549805</v>
      </c>
      <c r="CI117" s="8">
        <v>-0.40058478713035583</v>
      </c>
      <c r="CJ117" s="8">
        <v>8.849557489156723E-3</v>
      </c>
      <c r="CK117" s="8">
        <v>0.44255319237709045</v>
      </c>
      <c r="CL117" s="8">
        <v>0.10328638553619385</v>
      </c>
      <c r="CM117" s="9">
        <v>23.024084091186523</v>
      </c>
      <c r="CN117" s="9">
        <v>-1.0661675930023193</v>
      </c>
      <c r="CO117" s="9">
        <v>0.13235317170619965</v>
      </c>
      <c r="CP117" s="9">
        <v>0.55962401628494263</v>
      </c>
      <c r="CQ117" s="9">
        <v>-2.2402262315154076E-2</v>
      </c>
      <c r="CR117" s="1">
        <v>16.746062932349123</v>
      </c>
      <c r="CS117" s="1">
        <v>8.5712511966477112E-2</v>
      </c>
      <c r="CT117" s="1">
        <v>0.45340050377833757</v>
      </c>
      <c r="CU117" s="8">
        <v>1.9537477724254131</v>
      </c>
      <c r="CV117" s="9">
        <v>4.5254982847720386</v>
      </c>
      <c r="CW117">
        <v>0.06</v>
      </c>
      <c r="CX117">
        <v>0.82149319621649186</v>
      </c>
      <c r="CY117">
        <v>345532758.28372759</v>
      </c>
      <c r="CZ117">
        <v>1.9537477724254131</v>
      </c>
      <c r="DA117">
        <v>7.7558702223385637E-2</v>
      </c>
      <c r="DB117">
        <v>3659844760.9714141</v>
      </c>
      <c r="DC117">
        <v>1.8560603838041423</v>
      </c>
      <c r="DD117">
        <v>4.9176740866793238E-3</v>
      </c>
      <c r="DE117">
        <v>57720947951.569611</v>
      </c>
      <c r="DF117">
        <v>1.7192980397343636</v>
      </c>
      <c r="DG117">
        <v>1.9657164635547501E-4</v>
      </c>
      <c r="DH117">
        <v>1444017055677.948</v>
      </c>
      <c r="DI117">
        <v>1.5629982179403306</v>
      </c>
      <c r="DJ117">
        <v>1.323446252139943E-7</v>
      </c>
      <c r="DK117">
        <v>2144800437048537.5</v>
      </c>
      <c r="DL117">
        <v>1.3676234406977892</v>
      </c>
      <c r="DM117">
        <v>124000000</v>
      </c>
      <c r="DN117">
        <v>1.9537477724254131</v>
      </c>
      <c r="DO117">
        <v>283852809.99999988</v>
      </c>
      <c r="DP117">
        <v>703357710</v>
      </c>
      <c r="DQ117">
        <v>5011</v>
      </c>
      <c r="DR117">
        <v>-2.8158055849254131</v>
      </c>
      <c r="DS117">
        <v>-1.9910096409490112</v>
      </c>
      <c r="DT117" s="10">
        <v>-0.17333333333333337</v>
      </c>
      <c r="DU117">
        <v>0.29999999999999993</v>
      </c>
      <c r="DV117">
        <v>0.12666666666666657</v>
      </c>
      <c r="DW117">
        <v>-8.3137404580152676</v>
      </c>
      <c r="DX117">
        <v>0.39439511307222602</v>
      </c>
      <c r="DY117">
        <v>-8.0264781614295302</v>
      </c>
      <c r="DZ117">
        <v>24</v>
      </c>
      <c r="EA117">
        <v>-8.0263538021586278</v>
      </c>
      <c r="EB117">
        <v>8</v>
      </c>
      <c r="EC117">
        <v>3.4355309516806536E-2</v>
      </c>
      <c r="ED117">
        <v>0.40707700086147552</v>
      </c>
      <c r="EE117" s="11">
        <v>3.0491100000000002</v>
      </c>
      <c r="EF117">
        <v>3.0321099999999999</v>
      </c>
      <c r="EG117">
        <v>31.084395113072226</v>
      </c>
      <c r="EH117" t="s">
        <v>1601</v>
      </c>
      <c r="EI117">
        <v>0</v>
      </c>
      <c r="EJ117">
        <v>1</v>
      </c>
      <c r="EK117" s="13">
        <v>45470</v>
      </c>
      <c r="EL117" s="14">
        <v>-0.2</v>
      </c>
      <c r="EM117" s="14">
        <v>0.64</v>
      </c>
      <c r="EN117">
        <v>-3.39</v>
      </c>
      <c r="EO117">
        <v>2.42</v>
      </c>
      <c r="EP117">
        <v>1.7</v>
      </c>
    </row>
    <row r="118" spans="1:146" ht="96" x14ac:dyDescent="0.25">
      <c r="A118" s="7"/>
      <c r="B118" s="7"/>
      <c r="C118" s="7" t="str">
        <f>""&amp;CHAR(10)&amp;Basic_Fundamental_Information_Constructure(F118)&amp;CHAR(10)&amp;Basic_Fundamental_Information_Concatenate("")</f>
        <v xml:space="preserve">
市值16.65929亿, 利润7445.68万; PE39.05; 平均PE20.81; 平均PEG.5, PB1.17; ROIC7.14%; ROE9.54%; 股利率.4883%; 毛利83.8%; 净利36.93%; 上一年度营收增130.61%, 利润增-21.8%; 当季营收增-11.52%, 利润增151.14%; 过往5年营收增41.57%, 利润增25.93%
Income profile:
</v>
      </c>
      <c r="D118" t="s">
        <v>840</v>
      </c>
      <c r="E118" t="s">
        <v>841</v>
      </c>
      <c r="F118">
        <v>12.29</v>
      </c>
      <c r="G118">
        <v>2.42</v>
      </c>
      <c r="H118" t="s">
        <v>4188</v>
      </c>
      <c r="I118">
        <v>1665929000</v>
      </c>
      <c r="J118">
        <v>39.049999999999997</v>
      </c>
      <c r="K118">
        <v>1.17</v>
      </c>
      <c r="L118" t="s">
        <v>40</v>
      </c>
      <c r="M118" t="s">
        <v>268</v>
      </c>
      <c r="N118" t="s">
        <v>4189</v>
      </c>
      <c r="O118" t="s">
        <v>2459</v>
      </c>
      <c r="P118">
        <v>-0.94</v>
      </c>
      <c r="Q118" t="s">
        <v>1539</v>
      </c>
      <c r="R118">
        <v>6938108</v>
      </c>
      <c r="S118" s="3">
        <v>-0.62519999999999998</v>
      </c>
      <c r="T118" t="s">
        <v>4190</v>
      </c>
      <c r="U118">
        <v>135551580</v>
      </c>
      <c r="V118">
        <v>135551580</v>
      </c>
      <c r="W118">
        <v>1.07</v>
      </c>
      <c r="X118">
        <v>0.03</v>
      </c>
      <c r="Y118">
        <v>11.38</v>
      </c>
      <c r="Z118" t="s">
        <v>4191</v>
      </c>
      <c r="AA118" t="s">
        <v>4192</v>
      </c>
      <c r="AB118" t="s">
        <v>4193</v>
      </c>
      <c r="AC118" t="s">
        <v>4194</v>
      </c>
      <c r="AD118" t="s">
        <v>47</v>
      </c>
      <c r="AE118">
        <v>476954</v>
      </c>
      <c r="AF118" t="s">
        <v>507</v>
      </c>
      <c r="AG118" t="s">
        <v>47</v>
      </c>
      <c r="AH118" t="s">
        <v>2461</v>
      </c>
      <c r="AI118" t="s">
        <v>522</v>
      </c>
      <c r="AJ118" t="s">
        <v>2462</v>
      </c>
      <c r="AK118" t="s">
        <v>47</v>
      </c>
      <c r="AL118" t="s">
        <v>2463</v>
      </c>
      <c r="AM118" t="s">
        <v>47</v>
      </c>
      <c r="AN118" t="s">
        <v>2464</v>
      </c>
      <c r="AO118" t="s">
        <v>47</v>
      </c>
      <c r="AP118" t="s">
        <v>47</v>
      </c>
      <c r="AQ118" t="s">
        <v>4195</v>
      </c>
      <c r="AR118" t="s">
        <v>47</v>
      </c>
      <c r="AS118" t="s">
        <v>4196</v>
      </c>
      <c r="AT118" t="s">
        <v>4197</v>
      </c>
      <c r="AU118" t="s">
        <v>4198</v>
      </c>
      <c r="AV118" t="s">
        <v>4199</v>
      </c>
      <c r="AW118" t="s">
        <v>4200</v>
      </c>
      <c r="AX118" t="s">
        <v>1077</v>
      </c>
      <c r="AY118" t="s">
        <v>251</v>
      </c>
      <c r="AZ118" t="s">
        <v>98</v>
      </c>
      <c r="BA118" t="s">
        <v>130</v>
      </c>
      <c r="BB118" t="s">
        <v>468</v>
      </c>
      <c r="BC118" t="s">
        <v>1459</v>
      </c>
      <c r="BD118" t="s">
        <v>180</v>
      </c>
      <c r="BE118" t="s">
        <v>842</v>
      </c>
      <c r="BF118" t="s">
        <v>843</v>
      </c>
      <c r="BG118" t="s">
        <v>844</v>
      </c>
      <c r="BH118" t="s">
        <v>291</v>
      </c>
      <c r="BI118" t="s">
        <v>4201</v>
      </c>
      <c r="BJ118" t="s">
        <v>1077</v>
      </c>
      <c r="BK118" t="s">
        <v>2460</v>
      </c>
      <c r="BL118" t="s">
        <v>4202</v>
      </c>
      <c r="BM118" t="s">
        <v>1459</v>
      </c>
      <c r="BN118">
        <v>3.53</v>
      </c>
      <c r="BO118">
        <v>6.45</v>
      </c>
      <c r="BP118">
        <v>11.44</v>
      </c>
      <c r="BQ118">
        <v>4.0599999999999996</v>
      </c>
      <c r="BR118">
        <v>7.37</v>
      </c>
      <c r="BS118">
        <v>17.190000000000001</v>
      </c>
      <c r="BT118" t="s">
        <v>4203</v>
      </c>
      <c r="BU118" t="s">
        <v>1079</v>
      </c>
      <c r="BV118">
        <v>82.67</v>
      </c>
      <c r="BW118">
        <v>83.38</v>
      </c>
      <c r="BX118">
        <v>85.35</v>
      </c>
      <c r="BY118">
        <v>23.39</v>
      </c>
      <c r="BZ118">
        <v>37.380000000000003</v>
      </c>
      <c r="CA118">
        <v>50.02</v>
      </c>
      <c r="CB118">
        <v>-3.46</v>
      </c>
      <c r="CC118">
        <v>-10.62</v>
      </c>
      <c r="CD118" t="s">
        <v>4204</v>
      </c>
      <c r="CE118" t="s">
        <v>4205</v>
      </c>
      <c r="CF118" s="8">
        <v>-0.11521590488751723</v>
      </c>
      <c r="CG118" s="9">
        <v>1.511350490462229</v>
      </c>
      <c r="CH118" s="8">
        <v>1.3061224222183228</v>
      </c>
      <c r="CI118" s="8">
        <v>3.8135591894388199E-2</v>
      </c>
      <c r="CJ118" s="8">
        <v>0.28260868787765503</v>
      </c>
      <c r="CK118" s="8">
        <v>8.875739574432373E-2</v>
      </c>
      <c r="CL118" s="8">
        <v>0.36290323734283447</v>
      </c>
      <c r="CM118" s="9">
        <v>-0.21803282201290131</v>
      </c>
      <c r="CN118" s="9">
        <v>-0.21308019757270813</v>
      </c>
      <c r="CO118" s="9">
        <v>0.36039894819259644</v>
      </c>
      <c r="CP118" s="9">
        <v>0.31215804815292358</v>
      </c>
      <c r="CQ118" s="9">
        <v>1.0550218820571899</v>
      </c>
      <c r="CR118">
        <v>20.807271614536983</v>
      </c>
      <c r="CS118">
        <v>0.50052917908248051</v>
      </c>
      <c r="CT118">
        <v>0.48828315703824249</v>
      </c>
      <c r="CU118" s="8">
        <v>0.41570546701550481</v>
      </c>
      <c r="CV118" s="9">
        <v>0.25929317176342009</v>
      </c>
      <c r="CW118">
        <v>0.06</v>
      </c>
      <c r="CX118">
        <v>3.750202728976773</v>
      </c>
      <c r="CY118">
        <v>99442357.374037772</v>
      </c>
      <c r="CZ118">
        <v>0.41570546701550481</v>
      </c>
      <c r="DA118">
        <v>0.94030311025412161</v>
      </c>
      <c r="DB118">
        <v>396605090.35135925</v>
      </c>
      <c r="DC118">
        <v>0.39492019366472958</v>
      </c>
      <c r="DD118">
        <v>0.31357753088775053</v>
      </c>
      <c r="DE118">
        <v>1189272072.3459461</v>
      </c>
      <c r="DF118">
        <v>0.36582081097364422</v>
      </c>
      <c r="DG118">
        <v>0.11564546149559619</v>
      </c>
      <c r="DH118">
        <v>3224761224.3235435</v>
      </c>
      <c r="DI118">
        <v>0.33256437361240387</v>
      </c>
      <c r="DJ118">
        <v>1.7722981486542749E-2</v>
      </c>
      <c r="DK118">
        <v>21042114177.186779</v>
      </c>
      <c r="DL118">
        <v>0.29099382691085335</v>
      </c>
      <c r="DM118">
        <v>74456800</v>
      </c>
      <c r="DN118">
        <v>0.41570546701550481</v>
      </c>
      <c r="DO118">
        <v>372929000</v>
      </c>
      <c r="DP118">
        <v>1167715980</v>
      </c>
      <c r="DQ118">
        <v>5017</v>
      </c>
      <c r="DR118">
        <v>-0.53092137190302202</v>
      </c>
      <c r="DS118">
        <v>1.2520573186988089</v>
      </c>
      <c r="DT118" s="10">
        <v>0.12666666666666662</v>
      </c>
      <c r="DU118">
        <v>0.35333333333333333</v>
      </c>
      <c r="DV118">
        <v>0.48</v>
      </c>
      <c r="DW118">
        <v>-8.3258003766478339</v>
      </c>
      <c r="DX118">
        <v>0.4238396858763353</v>
      </c>
      <c r="DY118">
        <v>-8.043605020068938</v>
      </c>
      <c r="DZ118">
        <v>699</v>
      </c>
      <c r="EA118">
        <v>-8.037640262920565</v>
      </c>
      <c r="EB118">
        <v>8</v>
      </c>
      <c r="EC118">
        <v>3.485241558969656E-2</v>
      </c>
      <c r="ED118">
        <v>0.26040419447711344</v>
      </c>
      <c r="EE118" s="11">
        <v>-1.0435099999999999</v>
      </c>
      <c r="EF118">
        <v>-1.06531</v>
      </c>
      <c r="EG118">
        <v>29.133839685876335</v>
      </c>
      <c r="EH118" t="s">
        <v>1039</v>
      </c>
      <c r="EI118">
        <v>0</v>
      </c>
      <c r="EJ118">
        <v>1</v>
      </c>
      <c r="EK118" s="13">
        <v>45470</v>
      </c>
      <c r="EL118" s="14">
        <v>-2.1</v>
      </c>
      <c r="EM118" s="14">
        <v>-3.96</v>
      </c>
      <c r="EN118">
        <v>-0.54</v>
      </c>
      <c r="EO118">
        <v>3.06</v>
      </c>
      <c r="EP118">
        <v>-2.1800000000000002</v>
      </c>
    </row>
    <row r="119" spans="1:146" ht="156" x14ac:dyDescent="0.25">
      <c r="A119" s="7" t="s">
        <v>1596</v>
      </c>
      <c r="B119" s="7" t="s">
        <v>1597</v>
      </c>
      <c r="C119" s="7" t="str">
        <f>"公司的主营业务为电生理和血管介入医疗器械的研发、生产和销售；主要产品是电生理、冠脉通路和外周血管介入医疗器械。"&amp;CHAR(10)&amp;Basic_Fundamental_Information_Constructure(F119)&amp;CHAR(10)&amp;Basic_Fundamental_Information_Concatenate("冠脉通路类 5.69亿 46.81% 45.61% 69.38%
电生理 2.93亿 24.08% 26.37% 77.98%
外周介入类 1.83亿 15.01% 15.11% 71.66%
OEM 1.60亿 13.14% 12.06% 65.35%")</f>
        <v>公司的主营业务为电生理和血管介入医疗器械的研发、生产和销售；主要产品是电生理、冠脉通路和外周血管介入医疗器械。
市值301.81789亿, 利润1.09亿; PE52.82; 平均PE203.45; 平均PEG7.2, PB14.64; ROIC18.7033%; ROE18.5467%; 股利率.4454%; 毛利70.6533%; 净利27.7067%; 上一年度营收增-63.9%, 利润增-69.55%; 当季营收增534.52%, 利润增1105.11%; 过往5年营收增28.27%, 利润增81.65%
Income profile:
冠脉通路类 5.69亿 46.81% 45.61% 69.38%
电生理 2.93亿 24.08% 26.37% 77.98%
外周介入类 1.83亿 15.01% 15.11% 71.66%
OEM 1.60亿 13.14% 12.06% 65.35%</v>
      </c>
      <c r="D119" t="s">
        <v>845</v>
      </c>
      <c r="E119" t="s">
        <v>846</v>
      </c>
      <c r="F119">
        <v>449</v>
      </c>
      <c r="G119">
        <v>2.0699999999999998</v>
      </c>
      <c r="H119" t="s">
        <v>4206</v>
      </c>
      <c r="I119">
        <v>30181789000</v>
      </c>
      <c r="J119">
        <v>52.82</v>
      </c>
      <c r="K119">
        <v>14.64</v>
      </c>
      <c r="L119" t="s">
        <v>40</v>
      </c>
      <c r="M119" t="s">
        <v>1884</v>
      </c>
      <c r="N119" t="s">
        <v>4207</v>
      </c>
      <c r="O119" t="s">
        <v>606</v>
      </c>
      <c r="P119">
        <v>30.2</v>
      </c>
      <c r="Q119" t="s">
        <v>309</v>
      </c>
      <c r="R119">
        <v>140143830</v>
      </c>
      <c r="S119" s="3">
        <v>0.36480000000000001</v>
      </c>
      <c r="T119" t="s">
        <v>369</v>
      </c>
      <c r="U119">
        <v>66861357</v>
      </c>
      <c r="V119">
        <v>67220020</v>
      </c>
      <c r="W119">
        <v>1.24</v>
      </c>
      <c r="X119">
        <v>0.18</v>
      </c>
      <c r="Y119">
        <v>30.28</v>
      </c>
      <c r="Z119" t="s">
        <v>1177</v>
      </c>
      <c r="AA119" t="s">
        <v>60</v>
      </c>
      <c r="AB119" t="s">
        <v>4208</v>
      </c>
      <c r="AC119" t="s">
        <v>4209</v>
      </c>
      <c r="AD119" t="s">
        <v>47</v>
      </c>
      <c r="AE119">
        <v>-2462772</v>
      </c>
      <c r="AF119" t="s">
        <v>2465</v>
      </c>
      <c r="AG119" t="s">
        <v>4210</v>
      </c>
      <c r="AH119" t="s">
        <v>2466</v>
      </c>
      <c r="AI119" t="s">
        <v>1550</v>
      </c>
      <c r="AJ119" t="s">
        <v>2467</v>
      </c>
      <c r="AK119" t="s">
        <v>4211</v>
      </c>
      <c r="AL119" t="s">
        <v>2468</v>
      </c>
      <c r="AM119" t="s">
        <v>47</v>
      </c>
      <c r="AN119" t="s">
        <v>4212</v>
      </c>
      <c r="AO119" t="s">
        <v>47</v>
      </c>
      <c r="AP119" t="s">
        <v>47</v>
      </c>
      <c r="AQ119" t="s">
        <v>4213</v>
      </c>
      <c r="AR119" t="s">
        <v>47</v>
      </c>
      <c r="AS119" t="s">
        <v>1581</v>
      </c>
      <c r="AT119" t="s">
        <v>4214</v>
      </c>
      <c r="AU119" t="s">
        <v>340</v>
      </c>
      <c r="AV119" t="s">
        <v>4215</v>
      </c>
      <c r="AW119" t="s">
        <v>4216</v>
      </c>
      <c r="AX119" t="s">
        <v>1460</v>
      </c>
      <c r="AY119" t="s">
        <v>1028</v>
      </c>
      <c r="AZ119" t="s">
        <v>498</v>
      </c>
      <c r="BA119" t="s">
        <v>96</v>
      </c>
      <c r="BB119" t="s">
        <v>126</v>
      </c>
      <c r="BC119" t="s">
        <v>602</v>
      </c>
      <c r="BD119" t="s">
        <v>68</v>
      </c>
      <c r="BE119" t="s">
        <v>277</v>
      </c>
      <c r="BF119" t="s">
        <v>847</v>
      </c>
      <c r="BG119" t="s">
        <v>848</v>
      </c>
      <c r="BH119" t="s">
        <v>446</v>
      </c>
      <c r="BI119" t="s">
        <v>4217</v>
      </c>
      <c r="BJ119" t="s">
        <v>1460</v>
      </c>
      <c r="BK119" t="s">
        <v>1522</v>
      </c>
      <c r="BL119" t="s">
        <v>4218</v>
      </c>
      <c r="BM119" t="s">
        <v>602</v>
      </c>
      <c r="BN119">
        <v>20.88</v>
      </c>
      <c r="BO119">
        <v>18.47</v>
      </c>
      <c r="BP119">
        <v>16.760000000000002</v>
      </c>
      <c r="BQ119">
        <v>22.53</v>
      </c>
      <c r="BR119">
        <v>20.059999999999999</v>
      </c>
      <c r="BS119">
        <v>13.05</v>
      </c>
      <c r="BT119" t="s">
        <v>2469</v>
      </c>
      <c r="BU119" t="s">
        <v>1079</v>
      </c>
      <c r="BV119">
        <v>71.27</v>
      </c>
      <c r="BW119">
        <v>71.2</v>
      </c>
      <c r="BX119">
        <v>69.489999999999995</v>
      </c>
      <c r="BY119">
        <v>31.64</v>
      </c>
      <c r="BZ119">
        <v>27.97</v>
      </c>
      <c r="CA119">
        <v>23.51</v>
      </c>
      <c r="CB119">
        <v>-1.56</v>
      </c>
      <c r="CC119">
        <v>-14.28</v>
      </c>
      <c r="CD119" t="s">
        <v>2380</v>
      </c>
      <c r="CE119" t="s">
        <v>4219</v>
      </c>
      <c r="CF119" s="8">
        <v>5.3451865136198382</v>
      </c>
      <c r="CG119" s="9">
        <v>11.051132933760996</v>
      </c>
      <c r="CH119" s="8">
        <v>-0.63898026943206787</v>
      </c>
      <c r="CI119" s="8">
        <v>0.46682751178741455</v>
      </c>
      <c r="CJ119" s="8">
        <v>0.73068892955780029</v>
      </c>
      <c r="CK119" s="8">
        <v>0.18564356863498688</v>
      </c>
      <c r="CL119" s="8">
        <v>0.6694214940071106</v>
      </c>
      <c r="CM119" s="9">
        <v>-0.69553071260452271</v>
      </c>
      <c r="CN119" s="9">
        <v>0.7211538553237915</v>
      </c>
      <c r="CO119" s="9">
        <v>0.87387388944625854</v>
      </c>
      <c r="CP119" s="9">
        <v>0.34423419833183289</v>
      </c>
      <c r="CQ119" s="9">
        <v>2.838550329208374</v>
      </c>
      <c r="CR119">
        <v>203.45286960183327</v>
      </c>
      <c r="CS119">
        <v>7.1962610327602317</v>
      </c>
      <c r="CT119">
        <v>0.44543429844097998</v>
      </c>
      <c r="CU119" s="8">
        <v>0.28272024691104891</v>
      </c>
      <c r="CV119" s="9">
        <v>0.81645631194114687</v>
      </c>
      <c r="CW119">
        <v>0.06</v>
      </c>
      <c r="CX119">
        <v>217.50776794085539</v>
      </c>
      <c r="CY119">
        <v>131902365.01255125</v>
      </c>
      <c r="CZ119">
        <v>0.28272024691104891</v>
      </c>
      <c r="DA119">
        <v>60.602977566072987</v>
      </c>
      <c r="DB119">
        <v>473405600.71855676</v>
      </c>
      <c r="DC119">
        <v>0.26858423456549646</v>
      </c>
      <c r="DD119">
        <v>23.775285711391394</v>
      </c>
      <c r="DE119">
        <v>1206706381.9238956</v>
      </c>
      <c r="DF119">
        <v>0.24879381728172303</v>
      </c>
      <c r="DG119">
        <v>10.841867959466242</v>
      </c>
      <c r="DH119">
        <v>2646203505.4531722</v>
      </c>
      <c r="DI119">
        <v>0.22617619752883913</v>
      </c>
      <c r="DJ119">
        <v>2.8739942747162015</v>
      </c>
      <c r="DK119">
        <v>9982549113.7532043</v>
      </c>
      <c r="DL119">
        <v>0.19790417283773423</v>
      </c>
      <c r="DM119">
        <v>109000000.00000001</v>
      </c>
      <c r="DN119">
        <v>0.28272024691104891</v>
      </c>
      <c r="DO119">
        <v>28689789000</v>
      </c>
      <c r="DP119">
        <v>1180720700</v>
      </c>
      <c r="DQ119">
        <v>5019</v>
      </c>
      <c r="DR119">
        <v>5.062466266708789</v>
      </c>
      <c r="DS119">
        <v>10.234676621819849</v>
      </c>
      <c r="DT119" s="10">
        <v>-3.9999999999999959E-2</v>
      </c>
      <c r="DU119">
        <v>1.325</v>
      </c>
      <c r="DV119">
        <v>1.2849999999999999</v>
      </c>
      <c r="DW119">
        <v>-2.1427999999999998</v>
      </c>
      <c r="DX119">
        <v>0.38229083665338481</v>
      </c>
      <c r="DY119">
        <v>-2.0146071314741034</v>
      </c>
      <c r="DZ119">
        <v>584</v>
      </c>
      <c r="EA119">
        <v>-2.01293774501992</v>
      </c>
      <c r="EB119">
        <v>2</v>
      </c>
      <c r="EC119">
        <v>3.2084191584590423E-2</v>
      </c>
      <c r="ED119">
        <v>0.31365655648421409</v>
      </c>
      <c r="EE119" s="11">
        <v>1.08531</v>
      </c>
      <c r="EF119">
        <v>1.1227100000000001</v>
      </c>
      <c r="EG119">
        <v>28.102290836653385</v>
      </c>
      <c r="EH119" t="s">
        <v>1228</v>
      </c>
      <c r="EI119">
        <v>0</v>
      </c>
      <c r="EJ119">
        <v>1</v>
      </c>
      <c r="EK119" s="13">
        <v>45470</v>
      </c>
      <c r="EL119" s="14">
        <v>-1.93</v>
      </c>
      <c r="EM119" s="14">
        <v>-10.18</v>
      </c>
      <c r="EN119">
        <v>-4.2699999999999996</v>
      </c>
      <c r="EO119">
        <v>6.27</v>
      </c>
      <c r="EP119">
        <v>-3.74</v>
      </c>
    </row>
    <row r="120" spans="1:146" ht="96" x14ac:dyDescent="0.25">
      <c r="A120" s="7"/>
      <c r="B120" s="7"/>
      <c r="C120" s="7" t="str">
        <f>""&amp;CHAR(10)&amp;Basic_Fundamental_Information_Constructure(F120)&amp;CHAR(10)&amp;Basic_Fundamental_Information_Concatenate("")</f>
        <v xml:space="preserve">
市值48.768亿, 利润1.16亿; PE21.35; 平均PE34.49; 平均PEG2.58, PB2.35; ROIC8.6167%; ROE9.37%; 股利率1.7394%; 毛利67.7067%; 净利31.3367%; 上一年度营收增32.72%, 利润增-7.2%; 当季营收增230.18%, 利润增1242.01%; 过往5年营收增13.35%, 利润增14.05%
Income profile:
</v>
      </c>
      <c r="D120" t="s">
        <v>849</v>
      </c>
      <c r="E120" t="s">
        <v>850</v>
      </c>
      <c r="F120">
        <v>30.48</v>
      </c>
      <c r="G120">
        <v>1.1599999999999999</v>
      </c>
      <c r="H120" t="s">
        <v>4220</v>
      </c>
      <c r="I120">
        <v>4876800000</v>
      </c>
      <c r="J120">
        <v>21.35</v>
      </c>
      <c r="K120">
        <v>2.35</v>
      </c>
      <c r="L120" t="s">
        <v>40</v>
      </c>
      <c r="M120" t="s">
        <v>1567</v>
      </c>
      <c r="N120" t="s">
        <v>4221</v>
      </c>
      <c r="O120" t="s">
        <v>130</v>
      </c>
      <c r="P120">
        <v>18.12</v>
      </c>
      <c r="Q120" t="s">
        <v>992</v>
      </c>
      <c r="R120">
        <v>39073829</v>
      </c>
      <c r="S120" s="3">
        <v>3.3399999999999999E-2</v>
      </c>
      <c r="T120" t="s">
        <v>167</v>
      </c>
      <c r="U120">
        <v>160000000</v>
      </c>
      <c r="V120">
        <v>160000000</v>
      </c>
      <c r="W120">
        <v>1.32</v>
      </c>
      <c r="X120">
        <v>0.06</v>
      </c>
      <c r="Y120">
        <v>22.9</v>
      </c>
      <c r="Z120" t="s">
        <v>283</v>
      </c>
      <c r="AA120" t="s">
        <v>4222</v>
      </c>
      <c r="AB120" t="s">
        <v>4223</v>
      </c>
      <c r="AC120" t="s">
        <v>4224</v>
      </c>
      <c r="AD120" t="s">
        <v>47</v>
      </c>
      <c r="AE120">
        <v>-4836902</v>
      </c>
      <c r="AF120" t="s">
        <v>2470</v>
      </c>
      <c r="AG120" t="s">
        <v>4225</v>
      </c>
      <c r="AH120" t="s">
        <v>2471</v>
      </c>
      <c r="AI120" t="s">
        <v>390</v>
      </c>
      <c r="AJ120" t="s">
        <v>2472</v>
      </c>
      <c r="AK120" t="s">
        <v>4226</v>
      </c>
      <c r="AL120" t="s">
        <v>2473</v>
      </c>
      <c r="AM120" t="s">
        <v>47</v>
      </c>
      <c r="AN120" t="s">
        <v>946</v>
      </c>
      <c r="AO120" t="s">
        <v>1549</v>
      </c>
      <c r="AP120" t="s">
        <v>4227</v>
      </c>
      <c r="AQ120" t="s">
        <v>4228</v>
      </c>
      <c r="AR120" t="s">
        <v>47</v>
      </c>
      <c r="AS120" t="s">
        <v>1120</v>
      </c>
      <c r="AT120" t="s">
        <v>47</v>
      </c>
      <c r="AU120" t="s">
        <v>4229</v>
      </c>
      <c r="AV120" t="s">
        <v>3786</v>
      </c>
      <c r="AW120" t="s">
        <v>237</v>
      </c>
      <c r="AX120" t="s">
        <v>648</v>
      </c>
      <c r="AY120" t="s">
        <v>1029</v>
      </c>
      <c r="AZ120" t="s">
        <v>802</v>
      </c>
      <c r="BA120" t="s">
        <v>550</v>
      </c>
      <c r="BB120" t="s">
        <v>157</v>
      </c>
      <c r="BC120" t="s">
        <v>286</v>
      </c>
      <c r="BD120" t="s">
        <v>67</v>
      </c>
      <c r="BE120" t="s">
        <v>765</v>
      </c>
      <c r="BF120" t="s">
        <v>410</v>
      </c>
      <c r="BG120" t="s">
        <v>851</v>
      </c>
      <c r="BH120" t="s">
        <v>1527</v>
      </c>
      <c r="BI120" t="s">
        <v>4230</v>
      </c>
      <c r="BJ120" t="s">
        <v>648</v>
      </c>
      <c r="BK120" t="s">
        <v>1350</v>
      </c>
      <c r="BL120" t="s">
        <v>4231</v>
      </c>
      <c r="BM120" t="s">
        <v>286</v>
      </c>
      <c r="BN120">
        <v>7.5</v>
      </c>
      <c r="BO120">
        <v>5.19</v>
      </c>
      <c r="BP120">
        <v>13.16</v>
      </c>
      <c r="BQ120">
        <v>8.98</v>
      </c>
      <c r="BR120">
        <v>6.53</v>
      </c>
      <c r="BS120">
        <v>12.6</v>
      </c>
      <c r="BT120" t="s">
        <v>4232</v>
      </c>
      <c r="BU120" t="s">
        <v>1032</v>
      </c>
      <c r="BV120">
        <v>68.62</v>
      </c>
      <c r="BW120">
        <v>66.27</v>
      </c>
      <c r="BX120">
        <v>68.23</v>
      </c>
      <c r="BY120">
        <v>30.65</v>
      </c>
      <c r="BZ120">
        <v>25.24</v>
      </c>
      <c r="CA120">
        <v>38.119999999999997</v>
      </c>
      <c r="CB120">
        <v>-3.97</v>
      </c>
      <c r="CC120">
        <v>-14.45</v>
      </c>
      <c r="CD120" t="s">
        <v>4233</v>
      </c>
      <c r="CE120" t="s">
        <v>4234</v>
      </c>
      <c r="CF120" s="8">
        <v>2.3017743618197661</v>
      </c>
      <c r="CG120" s="9">
        <v>12.420087388572263</v>
      </c>
      <c r="CH120" s="8">
        <v>0.32719835638999939</v>
      </c>
      <c r="CI120" s="8">
        <v>-6.5009556710720062E-2</v>
      </c>
      <c r="CJ120" s="8">
        <v>5.4435484111309052E-2</v>
      </c>
      <c r="CK120" s="8">
        <v>0.16159249842166901</v>
      </c>
      <c r="CL120" s="8">
        <v>0.18941503763198853</v>
      </c>
      <c r="CM120" s="9">
        <v>-7.1999996900558472E-2</v>
      </c>
      <c r="CN120" s="9">
        <v>-0.38118812441825867</v>
      </c>
      <c r="CO120" s="9">
        <v>3.0612245202064514E-2</v>
      </c>
      <c r="CP120" s="9">
        <v>0.51937985420227051</v>
      </c>
      <c r="CQ120" s="9">
        <v>0.60592979192733765</v>
      </c>
      <c r="CR120">
        <v>34.492347470133282</v>
      </c>
      <c r="CS120">
        <v>2.5831863045548156</v>
      </c>
      <c r="CT120">
        <v>1.7394028871391076</v>
      </c>
      <c r="CU120" s="8">
        <v>0.13352636396884918</v>
      </c>
      <c r="CV120" s="9">
        <v>0.14054675400257111</v>
      </c>
      <c r="CW120">
        <v>0.06</v>
      </c>
      <c r="CX120">
        <v>26.343393487496677</v>
      </c>
      <c r="CY120">
        <v>124046281.33998723</v>
      </c>
      <c r="CZ120">
        <v>0.13352636396884918</v>
      </c>
      <c r="DA120">
        <v>8.2987832058448543</v>
      </c>
      <c r="DB120">
        <v>393768570.51748019</v>
      </c>
      <c r="DC120">
        <v>0.12685004577040671</v>
      </c>
      <c r="DD120">
        <v>3.8866910510386048</v>
      </c>
      <c r="DE120">
        <v>840766594.79450417</v>
      </c>
      <c r="DF120">
        <v>0.11750320029258728</v>
      </c>
      <c r="DG120">
        <v>2.2040033918348154</v>
      </c>
      <c r="DH120">
        <v>1482665594.847194</v>
      </c>
      <c r="DI120">
        <v>0.10682109117507935</v>
      </c>
      <c r="DJ120">
        <v>1.000135220458146</v>
      </c>
      <c r="DK120">
        <v>3267358186.3291173</v>
      </c>
      <c r="DL120">
        <v>9.3468454778194418E-2</v>
      </c>
      <c r="DM120">
        <v>115999999.99999999</v>
      </c>
      <c r="DN120">
        <v>0.13352636396884918</v>
      </c>
      <c r="DO120">
        <v>3267800000</v>
      </c>
      <c r="DP120">
        <v>742979410</v>
      </c>
      <c r="DQ120">
        <v>5027</v>
      </c>
      <c r="DR120">
        <v>2.168247997850917</v>
      </c>
      <c r="DS120">
        <v>12.279540634569692</v>
      </c>
      <c r="DT120" s="10">
        <v>-5.6666666666666719E-2</v>
      </c>
      <c r="DU120">
        <v>0.16666666666666666</v>
      </c>
      <c r="DV120">
        <v>0.10999999999999993</v>
      </c>
      <c r="DW120">
        <v>-8.2747404844290653</v>
      </c>
      <c r="DX120">
        <v>0.36603523897086387</v>
      </c>
      <c r="DY120">
        <v>-8.040121792298569</v>
      </c>
      <c r="DZ120">
        <v>682</v>
      </c>
      <c r="EA120">
        <v>-8.0347669855769208</v>
      </c>
      <c r="EB120">
        <v>8</v>
      </c>
      <c r="EC120">
        <v>1.8166874999999999E-2</v>
      </c>
      <c r="ED120">
        <v>0.124400625</v>
      </c>
      <c r="EE120" s="11">
        <v>1.10941</v>
      </c>
      <c r="EF120">
        <v>1.13581</v>
      </c>
      <c r="EG120">
        <v>22.146035238970864</v>
      </c>
      <c r="EH120" t="s">
        <v>1228</v>
      </c>
      <c r="EI120">
        <v>0</v>
      </c>
      <c r="EJ120">
        <v>1</v>
      </c>
      <c r="EK120" s="13">
        <v>45470</v>
      </c>
      <c r="EL120" s="14">
        <v>-4</v>
      </c>
      <c r="EM120" s="14">
        <v>-7.03</v>
      </c>
      <c r="EN120">
        <v>-3.35</v>
      </c>
      <c r="EO120">
        <v>2.62</v>
      </c>
      <c r="EP120">
        <v>-2.64</v>
      </c>
    </row>
    <row r="121" spans="1:146" ht="96" x14ac:dyDescent="0.25">
      <c r="A121" s="7"/>
      <c r="B121" s="7"/>
      <c r="C121" s="7" t="str">
        <f>""&amp;CHAR(10)&amp;Basic_Fundamental_Information_Constructure(F121)&amp;CHAR(10)&amp;Basic_Fundamental_Information_Concatenate("")</f>
        <v xml:space="preserve">
市值14.69259亿, 利润5413.86万; PE32.24; 平均PE25.73; 平均PEG2.84, PB1.8; ROIC8.8167%; ROE7.5633%; 股利率1.7167%; 毛利64.7433%; 净利17.3767%; 上一年度营收增-13.12%, 利润增29.98%; 当季营收增59.46%, 利润增-53.89%; 过往5年营收增9.06%, 利润增15.64%
Income profile:
</v>
      </c>
      <c r="D121" t="s">
        <v>852</v>
      </c>
      <c r="E121" t="s">
        <v>853</v>
      </c>
      <c r="F121">
        <v>23.3</v>
      </c>
      <c r="G121">
        <v>12.56</v>
      </c>
      <c r="H121" t="s">
        <v>4235</v>
      </c>
      <c r="I121">
        <v>1469259000</v>
      </c>
      <c r="J121">
        <v>32.24</v>
      </c>
      <c r="K121">
        <v>1.8</v>
      </c>
      <c r="L121" t="s">
        <v>40</v>
      </c>
      <c r="M121" t="s">
        <v>43</v>
      </c>
      <c r="N121" t="s">
        <v>4236</v>
      </c>
      <c r="O121" t="s">
        <v>2474</v>
      </c>
      <c r="P121">
        <v>5.97</v>
      </c>
      <c r="Q121" t="s">
        <v>1087</v>
      </c>
      <c r="R121">
        <v>3809569</v>
      </c>
      <c r="S121" s="3">
        <v>-0.315</v>
      </c>
      <c r="T121" t="s">
        <v>4237</v>
      </c>
      <c r="U121">
        <v>63058328</v>
      </c>
      <c r="V121">
        <v>63058328</v>
      </c>
      <c r="W121">
        <v>1.2</v>
      </c>
      <c r="X121">
        <v>0.09</v>
      </c>
      <c r="Y121">
        <v>4.45</v>
      </c>
      <c r="Z121" t="s">
        <v>4238</v>
      </c>
      <c r="AA121" t="s">
        <v>4239</v>
      </c>
      <c r="AB121" t="s">
        <v>4240</v>
      </c>
      <c r="AC121" t="s">
        <v>4241</v>
      </c>
      <c r="AD121" t="s">
        <v>47</v>
      </c>
      <c r="AE121">
        <v>466821</v>
      </c>
      <c r="AF121" t="s">
        <v>2476</v>
      </c>
      <c r="AG121" t="s">
        <v>4242</v>
      </c>
      <c r="AH121" t="s">
        <v>2477</v>
      </c>
      <c r="AI121" t="s">
        <v>503</v>
      </c>
      <c r="AJ121" t="s">
        <v>2478</v>
      </c>
      <c r="AK121" t="s">
        <v>47</v>
      </c>
      <c r="AL121" t="s">
        <v>2479</v>
      </c>
      <c r="AM121" t="s">
        <v>47</v>
      </c>
      <c r="AN121" t="s">
        <v>2394</v>
      </c>
      <c r="AO121" t="s">
        <v>4243</v>
      </c>
      <c r="AP121" t="s">
        <v>47</v>
      </c>
      <c r="AQ121" t="s">
        <v>4244</v>
      </c>
      <c r="AR121" t="s">
        <v>4245</v>
      </c>
      <c r="AS121" t="s">
        <v>1080</v>
      </c>
      <c r="AT121" t="s">
        <v>47</v>
      </c>
      <c r="AU121" t="s">
        <v>4246</v>
      </c>
      <c r="AV121" t="s">
        <v>4247</v>
      </c>
      <c r="AW121" t="s">
        <v>4248</v>
      </c>
      <c r="AX121" t="s">
        <v>1116</v>
      </c>
      <c r="AY121" t="s">
        <v>423</v>
      </c>
      <c r="AZ121" t="s">
        <v>316</v>
      </c>
      <c r="BA121" t="s">
        <v>785</v>
      </c>
      <c r="BB121" t="s">
        <v>119</v>
      </c>
      <c r="BC121" t="s">
        <v>1461</v>
      </c>
      <c r="BD121" t="s">
        <v>1030</v>
      </c>
      <c r="BE121" t="s">
        <v>854</v>
      </c>
      <c r="BF121" t="s">
        <v>855</v>
      </c>
      <c r="BG121" t="s">
        <v>856</v>
      </c>
      <c r="BH121" t="s">
        <v>1393</v>
      </c>
      <c r="BI121" t="s">
        <v>4249</v>
      </c>
      <c r="BJ121" t="s">
        <v>1116</v>
      </c>
      <c r="BK121" t="s">
        <v>2475</v>
      </c>
      <c r="BL121" t="s">
        <v>4250</v>
      </c>
      <c r="BM121" t="s">
        <v>1461</v>
      </c>
      <c r="BN121">
        <v>4.72</v>
      </c>
      <c r="BO121">
        <v>5.2</v>
      </c>
      <c r="BP121">
        <v>16.53</v>
      </c>
      <c r="BQ121">
        <v>4.8899999999999997</v>
      </c>
      <c r="BR121">
        <v>5.4</v>
      </c>
      <c r="BS121">
        <v>12.4</v>
      </c>
      <c r="BT121" t="s">
        <v>1324</v>
      </c>
      <c r="BU121" t="s">
        <v>1075</v>
      </c>
      <c r="BV121">
        <v>62.12</v>
      </c>
      <c r="BW121">
        <v>63.13</v>
      </c>
      <c r="BX121">
        <v>68.98</v>
      </c>
      <c r="BY121">
        <v>12</v>
      </c>
      <c r="BZ121">
        <v>13</v>
      </c>
      <c r="CA121">
        <v>27.13</v>
      </c>
      <c r="CB121">
        <v>1.61</v>
      </c>
      <c r="CC121">
        <v>-2.75</v>
      </c>
      <c r="CD121" t="s">
        <v>4251</v>
      </c>
      <c r="CE121" t="s">
        <v>4252</v>
      </c>
      <c r="CF121" s="8">
        <v>0.59458064852640657</v>
      </c>
      <c r="CG121" s="9">
        <v>-0.53893264750378211</v>
      </c>
      <c r="CH121" s="8">
        <v>-0.13124999403953552</v>
      </c>
      <c r="CI121" s="8">
        <v>6.2893079593777657E-3</v>
      </c>
      <c r="CJ121" s="8">
        <v>0.43243244290351868</v>
      </c>
      <c r="CK121" s="8">
        <v>-0.1428571492433548</v>
      </c>
      <c r="CL121" s="8">
        <v>0.28855720162391663</v>
      </c>
      <c r="CM121" s="9">
        <v>0.29981201887130737</v>
      </c>
      <c r="CN121" s="9">
        <v>-0.51676768064498901</v>
      </c>
      <c r="CO121" s="9">
        <v>0.52236592769622803</v>
      </c>
      <c r="CP121" s="9">
        <v>-0.11311199516057968</v>
      </c>
      <c r="CQ121" s="9">
        <v>0.58982574939727783</v>
      </c>
      <c r="CR121">
        <v>25.731864262219094</v>
      </c>
      <c r="CS121">
        <v>2.8390848393042929</v>
      </c>
      <c r="CT121">
        <v>1.7167381974248928</v>
      </c>
      <c r="CU121" s="8">
        <v>9.063436184078455E-2</v>
      </c>
      <c r="CV121" s="9">
        <v>0.15642480403184891</v>
      </c>
      <c r="CW121">
        <v>0.06</v>
      </c>
      <c r="CX121">
        <v>14.186952620662968</v>
      </c>
      <c r="CY121">
        <v>55703224.020710841</v>
      </c>
      <c r="CZ121">
        <v>9.063436184078455E-2</v>
      </c>
      <c r="DA121">
        <v>4.6336742247161649</v>
      </c>
      <c r="DB121">
        <v>170546948.63629675</v>
      </c>
      <c r="DC121">
        <v>8.6102643748745322E-2</v>
      </c>
      <c r="DD121">
        <v>2.2794122019704579</v>
      </c>
      <c r="DE121">
        <v>346694204.46062964</v>
      </c>
      <c r="DF121">
        <v>7.9758238419890409E-2</v>
      </c>
      <c r="DG121">
        <v>1.3677173958678321</v>
      </c>
      <c r="DH121">
        <v>577794069.43827879</v>
      </c>
      <c r="DI121">
        <v>7.250748947262764E-2</v>
      </c>
      <c r="DJ121">
        <v>0.7052843611360573</v>
      </c>
      <c r="DK121">
        <v>1120482806.0090079</v>
      </c>
      <c r="DL121">
        <v>6.3444053288549185E-2</v>
      </c>
      <c r="DM121">
        <v>54138600</v>
      </c>
      <c r="DN121">
        <v>9.063436184078455E-2</v>
      </c>
      <c r="DO121">
        <v>790259000</v>
      </c>
      <c r="DP121">
        <v>127415490</v>
      </c>
      <c r="DQ121">
        <v>5043</v>
      </c>
      <c r="DR121">
        <v>0.50394628668562202</v>
      </c>
      <c r="DS121">
        <v>-0.695357451535631</v>
      </c>
      <c r="DT121" s="10">
        <v>-0.20666666666666669</v>
      </c>
      <c r="DU121">
        <v>2.9999999999999988E-2</v>
      </c>
      <c r="DV121">
        <v>-0.17666666666666669</v>
      </c>
      <c r="DW121">
        <v>-1.0275000000000001</v>
      </c>
      <c r="DX121">
        <v>0.88893850658857843</v>
      </c>
      <c r="DY121">
        <v>-1.004095808931186</v>
      </c>
      <c r="DZ121">
        <v>1440</v>
      </c>
      <c r="EA121">
        <v>-1.0029416083713214</v>
      </c>
      <c r="EB121">
        <v>1</v>
      </c>
      <c r="EC121">
        <v>1.935826779295512E-2</v>
      </c>
      <c r="ED121">
        <v>0.12997490196695352</v>
      </c>
      <c r="EE121" s="11">
        <v>1.5009999999999999E-2</v>
      </c>
      <c r="EF121">
        <v>5.5109999999999999E-2</v>
      </c>
      <c r="EG121">
        <v>74.148938506588578</v>
      </c>
      <c r="EH121">
        <v>-1</v>
      </c>
      <c r="EI121">
        <v>0</v>
      </c>
      <c r="EJ121">
        <v>1</v>
      </c>
      <c r="EK121" s="13">
        <v>45470</v>
      </c>
      <c r="EL121" s="14">
        <v>1.07</v>
      </c>
      <c r="EM121" s="14">
        <v>-3.66</v>
      </c>
      <c r="EN121">
        <v>-1.02</v>
      </c>
      <c r="EO121">
        <v>3.1</v>
      </c>
      <c r="EP121">
        <v>-4.01</v>
      </c>
    </row>
    <row r="122" spans="1:146" ht="312" x14ac:dyDescent="0.25">
      <c r="A122" s="7" t="s">
        <v>1473</v>
      </c>
      <c r="B122" s="7" t="s">
        <v>1472</v>
      </c>
      <c r="C122" s="7" t="str">
        <f>"公司主要从事医用光学成像器械的研发、制造、销售和服务，致力于光学技术和数字图像技术的创新应用，为临床医学、精密光学等领域提供优质的、有开创性的产品和服务。"&amp;CHAR(10)&amp;Basic_Fundamental_Information_Constructure(F122)&amp;CHAR(10)&amp;Basic_Fundamental_Information_Concatenate("海外占比80%
医疗内窥镜行业 2.28亿 73.53% 79.57% 68.70%
光学行业 8190.05万 26.45% 20.40% 48.98%")</f>
        <v>公司主要从事医用光学成像器械的研发、制造、销售和服务，致力于光学技术和数字图像技术的创新应用，为临床医学、精密光学等领域提供优质的、有开创性的产品和服务。
市值42.731212亿, 利润8849.30万; PE31.49; 平均PE41.87; 平均PEG1, PB3.23; ROIC13.0933%; ROE12.7133%; 股利率1.5656%; 毛利63.8533%; 净利35.3833%; 上一年度营收增107.97%, 利润增-51.64%; 当季营收增-24.84%, 利润增426.21%; 过往5年营收增41.83%, 利润增18.34%
Income profile:
海外占比80%
医疗内窥镜行业 2.28亿 73.53% 79.57% 68.70%
光学行业 8190.05万 26.45% 20.40% 48.98%</v>
      </c>
      <c r="D122" t="s">
        <v>857</v>
      </c>
      <c r="E122" t="s">
        <v>858</v>
      </c>
      <c r="F122">
        <v>35.130000000000003</v>
      </c>
      <c r="G122">
        <v>1.83</v>
      </c>
      <c r="H122" t="s">
        <v>4253</v>
      </c>
      <c r="I122">
        <v>4273121200</v>
      </c>
      <c r="J122">
        <v>31.49</v>
      </c>
      <c r="K122">
        <v>3.23</v>
      </c>
      <c r="L122" t="s">
        <v>40</v>
      </c>
      <c r="M122" t="s">
        <v>86</v>
      </c>
      <c r="N122" t="s">
        <v>1707</v>
      </c>
      <c r="O122" t="s">
        <v>503</v>
      </c>
      <c r="P122">
        <v>-20.74</v>
      </c>
      <c r="Q122" t="s">
        <v>2319</v>
      </c>
      <c r="R122">
        <v>38442678</v>
      </c>
      <c r="S122" s="3">
        <v>-0.20680000000000001</v>
      </c>
      <c r="T122" t="s">
        <v>4254</v>
      </c>
      <c r="U122">
        <v>121637381</v>
      </c>
      <c r="V122">
        <v>121637381</v>
      </c>
      <c r="W122">
        <v>1.06</v>
      </c>
      <c r="X122">
        <v>0.08</v>
      </c>
      <c r="Y122">
        <v>32.28</v>
      </c>
      <c r="Z122" t="s">
        <v>4255</v>
      </c>
      <c r="AA122" t="s">
        <v>4256</v>
      </c>
      <c r="AB122" t="s">
        <v>4257</v>
      </c>
      <c r="AC122" t="s">
        <v>4258</v>
      </c>
      <c r="AD122" t="s">
        <v>47</v>
      </c>
      <c r="AE122">
        <v>-2082083</v>
      </c>
      <c r="AF122" t="s">
        <v>2480</v>
      </c>
      <c r="AG122">
        <v>0.38</v>
      </c>
      <c r="AH122" t="s">
        <v>2481</v>
      </c>
      <c r="AI122" t="s">
        <v>1465</v>
      </c>
      <c r="AJ122" t="s">
        <v>2482</v>
      </c>
      <c r="AK122" t="s">
        <v>4259</v>
      </c>
      <c r="AL122" t="s">
        <v>2483</v>
      </c>
      <c r="AM122" t="s">
        <v>47</v>
      </c>
      <c r="AN122" t="s">
        <v>4260</v>
      </c>
      <c r="AO122" t="s">
        <v>47</v>
      </c>
      <c r="AP122" t="s">
        <v>47</v>
      </c>
      <c r="AQ122" t="s">
        <v>4261</v>
      </c>
      <c r="AR122" t="s">
        <v>47</v>
      </c>
      <c r="AS122" t="s">
        <v>4262</v>
      </c>
      <c r="AT122" t="s">
        <v>47</v>
      </c>
      <c r="AU122" t="s">
        <v>4263</v>
      </c>
      <c r="AV122" t="s">
        <v>1763</v>
      </c>
      <c r="AW122" t="s">
        <v>4264</v>
      </c>
      <c r="AX122" t="s">
        <v>1098</v>
      </c>
      <c r="AY122" t="s">
        <v>339</v>
      </c>
      <c r="AZ122" t="s">
        <v>859</v>
      </c>
      <c r="BA122" t="s">
        <v>489</v>
      </c>
      <c r="BB122" t="s">
        <v>119</v>
      </c>
      <c r="BC122" t="s">
        <v>128</v>
      </c>
      <c r="BD122" t="s">
        <v>503</v>
      </c>
      <c r="BE122" t="s">
        <v>860</v>
      </c>
      <c r="BF122" t="s">
        <v>861</v>
      </c>
      <c r="BG122" t="s">
        <v>862</v>
      </c>
      <c r="BH122" t="s">
        <v>946</v>
      </c>
      <c r="BI122" t="s">
        <v>217</v>
      </c>
      <c r="BJ122" t="s">
        <v>1098</v>
      </c>
      <c r="BK122" t="s">
        <v>79</v>
      </c>
      <c r="BL122" t="s">
        <v>4265</v>
      </c>
      <c r="BM122" t="s">
        <v>128</v>
      </c>
      <c r="BN122">
        <v>8.85</v>
      </c>
      <c r="BO122">
        <v>15.07</v>
      </c>
      <c r="BP122">
        <v>15.36</v>
      </c>
      <c r="BQ122">
        <v>9.6199999999999992</v>
      </c>
      <c r="BR122">
        <v>15.86</v>
      </c>
      <c r="BS122">
        <v>12.66</v>
      </c>
      <c r="BT122" t="s">
        <v>1417</v>
      </c>
      <c r="BU122" t="s">
        <v>1032</v>
      </c>
      <c r="BV122">
        <v>63.72</v>
      </c>
      <c r="BW122">
        <v>64.349999999999994</v>
      </c>
      <c r="BX122">
        <v>63.49</v>
      </c>
      <c r="BY122">
        <v>30.21</v>
      </c>
      <c r="BZ122">
        <v>38.11</v>
      </c>
      <c r="CA122">
        <v>37.83</v>
      </c>
      <c r="CB122">
        <v>-10.45</v>
      </c>
      <c r="CC122">
        <v>-22.21</v>
      </c>
      <c r="CD122" t="s">
        <v>4266</v>
      </c>
      <c r="CE122" t="s">
        <v>4267</v>
      </c>
      <c r="CF122" s="8">
        <v>-0.24840764331210191</v>
      </c>
      <c r="CG122" s="9">
        <v>4.2620836070959269</v>
      </c>
      <c r="CH122" s="8">
        <v>1.0796645879745483</v>
      </c>
      <c r="CI122" s="8">
        <v>0.53870970010757446</v>
      </c>
      <c r="CJ122" s="8">
        <v>0.12727272510528564</v>
      </c>
      <c r="CK122" s="8">
        <v>8.6956523358821869E-2</v>
      </c>
      <c r="CL122" s="8">
        <v>0.2587064802646637</v>
      </c>
      <c r="CM122" s="9">
        <v>-0.51643168926239014</v>
      </c>
      <c r="CN122" s="9">
        <v>0.55084747076034546</v>
      </c>
      <c r="CO122" s="9">
        <v>0.22467872500419617</v>
      </c>
      <c r="CP122" s="9">
        <v>0.33950686454772949</v>
      </c>
      <c r="CQ122" s="9">
        <v>0.3185126781463623</v>
      </c>
      <c r="CR122">
        <v>41.870760885345987</v>
      </c>
      <c r="CS122">
        <v>1.001065374066253</v>
      </c>
      <c r="CT122">
        <v>1.565613435809849</v>
      </c>
      <c r="CU122" s="8">
        <v>0.41826200336217878</v>
      </c>
      <c r="CV122" s="9">
        <v>0.18342280983924866</v>
      </c>
      <c r="CW122">
        <v>0.06</v>
      </c>
      <c r="CX122">
        <v>25.760695010909085</v>
      </c>
      <c r="CY122">
        <v>118402131.56936724</v>
      </c>
      <c r="CZ122">
        <v>0.41826200336217878</v>
      </c>
      <c r="DA122">
        <v>6.4462369491398146</v>
      </c>
      <c r="DB122">
        <v>473163059.94724691</v>
      </c>
      <c r="DC122">
        <v>0.39734890319406985</v>
      </c>
      <c r="DD122">
        <v>2.1429867461738454</v>
      </c>
      <c r="DE122">
        <v>1423303809.71594</v>
      </c>
      <c r="DF122">
        <v>0.36807056295871732</v>
      </c>
      <c r="DG122">
        <v>0.78702697976419489</v>
      </c>
      <c r="DH122">
        <v>3875497636.5789418</v>
      </c>
      <c r="DI122">
        <v>0.33460960268974305</v>
      </c>
      <c r="DJ122">
        <v>0.11931816081498416</v>
      </c>
      <c r="DK122">
        <v>25562925033.093212</v>
      </c>
      <c r="DL122">
        <v>0.29278340235352512</v>
      </c>
      <c r="DM122">
        <v>88493000</v>
      </c>
      <c r="DN122">
        <v>0.41826200336217878</v>
      </c>
      <c r="DO122">
        <v>3050121200</v>
      </c>
      <c r="DP122">
        <v>798652270</v>
      </c>
      <c r="DQ122">
        <v>5058</v>
      </c>
      <c r="DR122">
        <v>-0.66666964667428075</v>
      </c>
      <c r="DS122">
        <v>4.0786607972566786</v>
      </c>
      <c r="DT122" s="10">
        <v>0.14333333333333331</v>
      </c>
      <c r="DU122">
        <v>0.55333333333333323</v>
      </c>
      <c r="DV122">
        <v>0.69666666666666655</v>
      </c>
      <c r="DW122">
        <v>-9.470508779828906</v>
      </c>
      <c r="DX122">
        <v>0.38353782880644449</v>
      </c>
      <c r="DY122">
        <v>-9.1004714232790338</v>
      </c>
      <c r="DZ122">
        <v>765</v>
      </c>
      <c r="EA122">
        <v>-9.0854302023771822</v>
      </c>
      <c r="EB122">
        <v>9</v>
      </c>
      <c r="EC122">
        <v>4.0977534693878354E-2</v>
      </c>
      <c r="ED122">
        <v>0.19189824549083312</v>
      </c>
      <c r="EE122" s="11">
        <v>-3.0839099999999999</v>
      </c>
      <c r="EF122">
        <v>-3.11361</v>
      </c>
      <c r="EG122">
        <v>17.213537828806444</v>
      </c>
      <c r="EH122" t="s">
        <v>1538</v>
      </c>
      <c r="EI122">
        <v>0</v>
      </c>
      <c r="EJ122">
        <v>1</v>
      </c>
      <c r="EK122" s="13">
        <v>45470</v>
      </c>
      <c r="EL122" s="14">
        <v>-0.87</v>
      </c>
      <c r="EM122" s="14">
        <v>-6.7</v>
      </c>
      <c r="EN122">
        <v>-1.89</v>
      </c>
      <c r="EO122">
        <v>3.66</v>
      </c>
      <c r="EP122">
        <v>-2.97</v>
      </c>
    </row>
    <row r="123" spans="1:146" ht="96" x14ac:dyDescent="0.25">
      <c r="C123" s="7" t="str">
        <f>""&amp;CHAR(10)&amp;Basic_Fundamental_Information_Constructure(F123)&amp;CHAR(10)&amp;Basic_Fundamental_Information_Concatenate("")</f>
        <v xml:space="preserve">
市值28.554667亿, 利润6269.78万; PE21.26; 平均PE7.96; 平均PEG.11, PB1.18; ROIC32.34%; ROE38.2767%; 股利率2.9884%; 毛利55.2067%; 净利36.8267%; 上一年度营收增-73.8%, 利润增-91.9%; 当季营收增137.91%, 利润增300.63%; 过往5年营收增74.18%, 利润增296.59%
Income profile:
</v>
      </c>
      <c r="D123" t="s">
        <v>863</v>
      </c>
      <c r="E123" t="s">
        <v>864</v>
      </c>
      <c r="F123">
        <v>26.77</v>
      </c>
      <c r="G123">
        <v>10.62</v>
      </c>
      <c r="H123" t="s">
        <v>4268</v>
      </c>
      <c r="I123">
        <v>2855466700</v>
      </c>
      <c r="J123">
        <v>21.26</v>
      </c>
      <c r="K123">
        <v>1.18</v>
      </c>
      <c r="L123" t="s">
        <v>40</v>
      </c>
      <c r="M123" t="s">
        <v>362</v>
      </c>
      <c r="N123" t="s">
        <v>2484</v>
      </c>
      <c r="O123" t="s">
        <v>280</v>
      </c>
      <c r="P123">
        <v>30.81</v>
      </c>
      <c r="Q123" t="s">
        <v>866</v>
      </c>
      <c r="R123">
        <v>39631349</v>
      </c>
      <c r="S123" s="3">
        <v>2.331</v>
      </c>
      <c r="T123" t="s">
        <v>4269</v>
      </c>
      <c r="U123">
        <v>40266667</v>
      </c>
      <c r="V123">
        <v>106666667</v>
      </c>
      <c r="W123">
        <v>1.06</v>
      </c>
      <c r="X123">
        <v>0.05</v>
      </c>
      <c r="Y123">
        <v>29.15</v>
      </c>
      <c r="Z123" t="s">
        <v>4270</v>
      </c>
      <c r="AA123" t="s">
        <v>4271</v>
      </c>
      <c r="AB123" t="s">
        <v>4272</v>
      </c>
      <c r="AC123" t="s">
        <v>4273</v>
      </c>
      <c r="AD123" t="s">
        <v>47</v>
      </c>
      <c r="AE123">
        <v>-17167600</v>
      </c>
      <c r="AF123" t="s">
        <v>2485</v>
      </c>
      <c r="AG123">
        <v>2691.48</v>
      </c>
      <c r="AH123" t="s">
        <v>2486</v>
      </c>
      <c r="AI123" t="s">
        <v>4274</v>
      </c>
      <c r="AJ123" t="s">
        <v>2487</v>
      </c>
      <c r="AK123" t="s">
        <v>47</v>
      </c>
      <c r="AL123" t="s">
        <v>2488</v>
      </c>
      <c r="AM123" t="s">
        <v>47</v>
      </c>
      <c r="AN123" t="s">
        <v>4275</v>
      </c>
      <c r="AO123" t="s">
        <v>4276</v>
      </c>
      <c r="AP123" t="s">
        <v>47</v>
      </c>
      <c r="AQ123" t="s">
        <v>4277</v>
      </c>
      <c r="AR123" t="s">
        <v>47</v>
      </c>
      <c r="AS123" t="s">
        <v>201</v>
      </c>
      <c r="AT123" t="s">
        <v>47</v>
      </c>
      <c r="AU123" t="s">
        <v>4278</v>
      </c>
      <c r="AV123" t="s">
        <v>4279</v>
      </c>
      <c r="AW123" t="s">
        <v>4280</v>
      </c>
      <c r="AX123" t="s">
        <v>1462</v>
      </c>
      <c r="AY123" t="s">
        <v>1031</v>
      </c>
      <c r="AZ123" t="s">
        <v>865</v>
      </c>
      <c r="BA123" t="s">
        <v>48</v>
      </c>
      <c r="BB123" t="s">
        <v>351</v>
      </c>
      <c r="BC123" t="s">
        <v>400</v>
      </c>
      <c r="BD123" t="s">
        <v>564</v>
      </c>
      <c r="BE123" t="s">
        <v>318</v>
      </c>
      <c r="BF123" t="s">
        <v>867</v>
      </c>
      <c r="BG123" t="s">
        <v>868</v>
      </c>
      <c r="BH123" t="s">
        <v>80</v>
      </c>
      <c r="BI123" t="s">
        <v>4281</v>
      </c>
      <c r="BJ123" t="s">
        <v>1462</v>
      </c>
      <c r="BK123" t="s">
        <v>87</v>
      </c>
      <c r="BL123" t="s">
        <v>4282</v>
      </c>
      <c r="BM123" t="s">
        <v>400</v>
      </c>
      <c r="BN123">
        <v>1.28</v>
      </c>
      <c r="BO123">
        <v>31.68</v>
      </c>
      <c r="BP123">
        <v>64.06</v>
      </c>
      <c r="BQ123">
        <v>3.66</v>
      </c>
      <c r="BR123">
        <v>33.14</v>
      </c>
      <c r="BS123">
        <v>78.03</v>
      </c>
      <c r="BT123" t="s">
        <v>1408</v>
      </c>
      <c r="BU123" t="s">
        <v>1075</v>
      </c>
      <c r="BV123">
        <v>50.33</v>
      </c>
      <c r="BW123">
        <v>53.46</v>
      </c>
      <c r="BX123">
        <v>61.83</v>
      </c>
      <c r="BY123">
        <v>23.82</v>
      </c>
      <c r="BZ123">
        <v>40.69</v>
      </c>
      <c r="CA123">
        <v>45.97</v>
      </c>
      <c r="CB123">
        <v>6.78</v>
      </c>
      <c r="CC123">
        <v>-4.97</v>
      </c>
      <c r="CD123" t="s">
        <v>4283</v>
      </c>
      <c r="CE123" t="s">
        <v>4284</v>
      </c>
      <c r="CF123" s="8">
        <v>1.3790697837145673</v>
      </c>
      <c r="CG123" s="9">
        <v>3.0062544105214668</v>
      </c>
      <c r="CH123" s="8">
        <v>-0.73803263902664185</v>
      </c>
      <c r="CI123" s="8">
        <v>4.5654602348804474E-2</v>
      </c>
      <c r="CJ123" s="8">
        <v>1.1017341613769531</v>
      </c>
      <c r="CK123" s="8">
        <v>3.1387560367584229</v>
      </c>
      <c r="CL123" s="8">
        <v>0.16111111640930176</v>
      </c>
      <c r="CM123" s="9">
        <v>-0.91899508237838745</v>
      </c>
      <c r="CN123" s="9">
        <v>-7.1942448616027832E-2</v>
      </c>
      <c r="CO123" s="9">
        <v>0.91724139451980591</v>
      </c>
      <c r="CP123" s="9">
        <v>14.410012245178223</v>
      </c>
      <c r="CQ123" s="9">
        <v>0.49303686618804932</v>
      </c>
      <c r="CR123">
        <v>7.9582582559008648</v>
      </c>
      <c r="CS123">
        <v>0.10727661372379864</v>
      </c>
      <c r="CT123">
        <v>2.9884198729921554</v>
      </c>
      <c r="CU123" s="8">
        <v>0.74184465557336809</v>
      </c>
      <c r="CV123" s="9">
        <v>2.9658705949783326</v>
      </c>
      <c r="CW123">
        <v>0.06</v>
      </c>
      <c r="CX123">
        <v>5.760238930931008</v>
      </c>
      <c r="CY123">
        <v>103028139.47755462</v>
      </c>
      <c r="CZ123">
        <v>0.74184465557336809</v>
      </c>
      <c r="DA123">
        <v>1.1329849784316912</v>
      </c>
      <c r="DB123">
        <v>523808092.16155082</v>
      </c>
      <c r="DC123">
        <v>0.70475242279469963</v>
      </c>
      <c r="DD123">
        <v>0.2538866747780264</v>
      </c>
      <c r="DE123">
        <v>2337525986.8162403</v>
      </c>
      <c r="DF123">
        <v>0.65282329690456398</v>
      </c>
      <c r="DG123">
        <v>5.4695208992053559E-2</v>
      </c>
      <c r="DH123">
        <v>10850432989.22621</v>
      </c>
      <c r="DI123">
        <v>0.59347572445869445</v>
      </c>
      <c r="DJ123">
        <v>2.1390071540279124E-3</v>
      </c>
      <c r="DK123">
        <v>277449609685.71667</v>
      </c>
      <c r="DL123">
        <v>0.51929125890135763</v>
      </c>
      <c r="DM123">
        <v>62697800</v>
      </c>
      <c r="DN123">
        <v>0.74184465557336809</v>
      </c>
      <c r="DO123">
        <v>593466700</v>
      </c>
      <c r="DP123">
        <v>1778199200</v>
      </c>
      <c r="DQ123">
        <v>5095</v>
      </c>
      <c r="DR123">
        <v>0.63722512814119925</v>
      </c>
      <c r="DS123">
        <v>4.0383815543134194E-2</v>
      </c>
      <c r="DT123" s="10">
        <v>3.6666666666666702E-2</v>
      </c>
      <c r="DU123">
        <v>1.0766666666666667</v>
      </c>
      <c r="DV123">
        <v>1.1133333333333333</v>
      </c>
      <c r="DW123">
        <v>5.7330383480825962</v>
      </c>
      <c r="DX123">
        <v>1.54570555886467</v>
      </c>
      <c r="DY123">
        <v>5.1581204465423971</v>
      </c>
      <c r="DZ123">
        <v>1674</v>
      </c>
      <c r="EA123">
        <v>5.1063213022152008</v>
      </c>
      <c r="EB123">
        <v>5</v>
      </c>
      <c r="EC123">
        <v>2.9197499908757814E-2</v>
      </c>
      <c r="ED123">
        <v>0.13535812457700586</v>
      </c>
      <c r="EE123" s="11">
        <v>1.0822000000000001</v>
      </c>
      <c r="EF123">
        <v>1.0538000000000001</v>
      </c>
      <c r="EG123">
        <v>133.21570555886467</v>
      </c>
      <c r="EH123" t="s">
        <v>1229</v>
      </c>
      <c r="EI123">
        <v>1</v>
      </c>
      <c r="EJ123">
        <v>0</v>
      </c>
      <c r="EK123" s="13">
        <v>45470</v>
      </c>
      <c r="EL123" s="14">
        <v>-0.98</v>
      </c>
      <c r="EM123" s="14">
        <v>-8.1999999999999993</v>
      </c>
      <c r="EN123">
        <v>-2.5299999999999998</v>
      </c>
      <c r="EO123">
        <v>5.33</v>
      </c>
      <c r="EP123">
        <v>-2.84</v>
      </c>
    </row>
    <row r="124" spans="1:146" x14ac:dyDescent="0.25">
      <c r="S124" s="3"/>
    </row>
    <row r="125" spans="1:146" x14ac:dyDescent="0.25">
      <c r="S125" s="3"/>
    </row>
    <row r="126" spans="1:146" x14ac:dyDescent="0.25">
      <c r="A126" s="7"/>
      <c r="B126" s="7"/>
      <c r="C126" s="7"/>
      <c r="Q126" s="3"/>
    </row>
    <row r="127" spans="1:146" x14ac:dyDescent="0.25">
      <c r="A127" s="7"/>
      <c r="B127" s="7"/>
      <c r="C127" s="7"/>
      <c r="Q127" s="3"/>
    </row>
    <row r="128" spans="1:146" x14ac:dyDescent="0.25">
      <c r="A128" s="7"/>
      <c r="B128" s="7"/>
      <c r="C128" s="7"/>
      <c r="Q128" s="4"/>
    </row>
    <row r="129" spans="1:17" x14ac:dyDescent="0.25">
      <c r="A129" s="7"/>
      <c r="B129" s="7"/>
      <c r="C129" s="7"/>
      <c r="Q129" s="3"/>
    </row>
    <row r="130" spans="1:17" x14ac:dyDescent="0.25">
      <c r="A130" s="7"/>
      <c r="B130" s="7"/>
      <c r="C130" s="7"/>
      <c r="Q130" s="3"/>
    </row>
    <row r="131" spans="1:17" x14ac:dyDescent="0.25">
      <c r="A131" s="7"/>
      <c r="B131" s="7"/>
      <c r="C131" s="7"/>
      <c r="Q131" s="3"/>
    </row>
    <row r="132" spans="1:17" x14ac:dyDescent="0.25">
      <c r="A132" s="7"/>
      <c r="B132" s="7"/>
      <c r="C132" s="7"/>
      <c r="Q132" s="3"/>
    </row>
    <row r="133" spans="1:17" x14ac:dyDescent="0.25">
      <c r="Q133" s="3"/>
    </row>
    <row r="134" spans="1:17" x14ac:dyDescent="0.25">
      <c r="Q134" s="3"/>
    </row>
    <row r="135" spans="1:17" x14ac:dyDescent="0.25">
      <c r="Q135" s="3"/>
    </row>
    <row r="136" spans="1:17" x14ac:dyDescent="0.25">
      <c r="Q136" s="3"/>
    </row>
    <row r="137" spans="1:17" x14ac:dyDescent="0.25">
      <c r="Q137" s="3"/>
    </row>
    <row r="138" spans="1:17" x14ac:dyDescent="0.25">
      <c r="Q138" s="3"/>
    </row>
    <row r="139" spans="1:17" x14ac:dyDescent="0.25">
      <c r="Q139" s="3"/>
    </row>
    <row r="140" spans="1:17" x14ac:dyDescent="0.25">
      <c r="Q140" s="3"/>
    </row>
    <row r="141" spans="1:17" x14ac:dyDescent="0.25">
      <c r="Q141" s="4"/>
    </row>
    <row r="142" spans="1:17" x14ac:dyDescent="0.25">
      <c r="Q142" s="3"/>
    </row>
    <row r="143" spans="1:17" x14ac:dyDescent="0.25">
      <c r="Q143" s="3"/>
    </row>
    <row r="144" spans="1:17" x14ac:dyDescent="0.25">
      <c r="Q144" s="3"/>
    </row>
    <row r="145" spans="17:17" x14ac:dyDescent="0.25">
      <c r="Q145" s="4"/>
    </row>
    <row r="146" spans="17:17" x14ac:dyDescent="0.25">
      <c r="Q146" s="3"/>
    </row>
    <row r="147" spans="17:17" x14ac:dyDescent="0.25">
      <c r="Q147" s="3"/>
    </row>
    <row r="148" spans="17:17" x14ac:dyDescent="0.25">
      <c r="Q148" s="3"/>
    </row>
    <row r="149" spans="17:17" x14ac:dyDescent="0.25">
      <c r="Q149" s="3"/>
    </row>
    <row r="150" spans="17:17" x14ac:dyDescent="0.25">
      <c r="Q150" s="3"/>
    </row>
  </sheetData>
  <autoFilter ref="BU1:BU150"/>
  <phoneticPr fontId="1"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医疗器械&quot;,&quot;&quot;'" altText="更新基本面按钮_x000a_">
                <anchor moveWithCells="1" sizeWithCells="1">
                  <from>
                    <xdr:col>147</xdr:col>
                    <xdr:colOff>520700</xdr:colOff>
                    <xdr:row>0</xdr:row>
                    <xdr:rowOff>107950</xdr:rowOff>
                  </from>
                  <to>
                    <xdr:col>147</xdr:col>
                    <xdr:colOff>1968500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4"/>
  <sheetViews>
    <sheetView zoomScale="115" zoomScaleNormal="115" workbookViewId="0">
      <selection activeCell="A15" sqref="A15:XFD34"/>
    </sheetView>
  </sheetViews>
  <sheetFormatPr defaultRowHeight="14" x14ac:dyDescent="0.25"/>
  <sheetData>
    <row r="1" spans="1:30" x14ac:dyDescent="0.25">
      <c r="A1">
        <f>A6</f>
        <v>27</v>
      </c>
      <c r="B1">
        <f>A1+A1*$A$2</f>
        <v>27.675000000000001</v>
      </c>
      <c r="C1">
        <f t="shared" ref="C1:AD1" si="0">B1+B1*$A$2</f>
        <v>28.366875</v>
      </c>
      <c r="D1">
        <f t="shared" si="0"/>
        <v>29.076046874999999</v>
      </c>
      <c r="E1">
        <f t="shared" si="0"/>
        <v>29.802948046874999</v>
      </c>
      <c r="F1">
        <f t="shared" si="0"/>
        <v>30.548021748046875</v>
      </c>
      <c r="G1">
        <f t="shared" si="0"/>
        <v>31.311722291748048</v>
      </c>
      <c r="H1">
        <f t="shared" si="0"/>
        <v>32.09451534904175</v>
      </c>
      <c r="I1">
        <f t="shared" si="0"/>
        <v>32.89687823276779</v>
      </c>
      <c r="J1">
        <f t="shared" si="0"/>
        <v>33.719300188586985</v>
      </c>
      <c r="K1">
        <f t="shared" si="0"/>
        <v>34.562282693301661</v>
      </c>
      <c r="L1">
        <f t="shared" si="0"/>
        <v>35.4263397606342</v>
      </c>
      <c r="M1">
        <f t="shared" si="0"/>
        <v>36.311998254650057</v>
      </c>
      <c r="N1">
        <f t="shared" si="0"/>
        <v>37.219798211016311</v>
      </c>
      <c r="O1">
        <f t="shared" si="0"/>
        <v>38.150293166291718</v>
      </c>
      <c r="P1">
        <f t="shared" si="0"/>
        <v>39.104050495449009</v>
      </c>
      <c r="Q1">
        <f t="shared" si="0"/>
        <v>40.081651757835232</v>
      </c>
      <c r="R1">
        <f t="shared" si="0"/>
        <v>41.083693051781111</v>
      </c>
      <c r="S1">
        <f t="shared" si="0"/>
        <v>42.11078537807564</v>
      </c>
      <c r="T1">
        <f t="shared" si="0"/>
        <v>43.163555012527532</v>
      </c>
      <c r="U1">
        <f t="shared" si="0"/>
        <v>44.242643887840721</v>
      </c>
      <c r="V1">
        <f t="shared" si="0"/>
        <v>45.348709985036741</v>
      </c>
      <c r="W1">
        <f t="shared" si="0"/>
        <v>46.482427734662657</v>
      </c>
      <c r="X1">
        <f t="shared" si="0"/>
        <v>47.644488428029227</v>
      </c>
      <c r="Y1">
        <f t="shared" si="0"/>
        <v>48.835600638729957</v>
      </c>
      <c r="Z1">
        <f t="shared" si="0"/>
        <v>50.056490654698209</v>
      </c>
      <c r="AA1">
        <f t="shared" si="0"/>
        <v>51.307902921065661</v>
      </c>
      <c r="AB1">
        <f t="shared" si="0"/>
        <v>52.5906004940923</v>
      </c>
      <c r="AC1">
        <f t="shared" si="0"/>
        <v>53.90536550644461</v>
      </c>
      <c r="AD1">
        <f t="shared" si="0"/>
        <v>55.252999644105728</v>
      </c>
    </row>
    <row r="2" spans="1:30" x14ac:dyDescent="0.25">
      <c r="A2">
        <v>2.5000000000000001E-2</v>
      </c>
      <c r="B2" t="s">
        <v>1587</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0.2</v>
      </c>
      <c r="B4" t="s">
        <v>1588</v>
      </c>
    </row>
    <row r="5" spans="1:30" x14ac:dyDescent="0.25">
      <c r="A5" s="1">
        <v>1</v>
      </c>
      <c r="B5" s="1">
        <f>A5*$A$4+A5</f>
        <v>1.2</v>
      </c>
      <c r="C5" s="1">
        <f t="shared" ref="C5:AD5" si="1">B5*$A$4+B5</f>
        <v>1.44</v>
      </c>
      <c r="D5" s="1">
        <f t="shared" si="1"/>
        <v>1.728</v>
      </c>
      <c r="E5" s="1">
        <f t="shared" si="1"/>
        <v>2.0735999999999999</v>
      </c>
      <c r="F5" s="1">
        <f t="shared" si="1"/>
        <v>2.4883199999999999</v>
      </c>
      <c r="G5" s="1">
        <f t="shared" si="1"/>
        <v>2.9859839999999997</v>
      </c>
      <c r="H5" s="1">
        <f t="shared" si="1"/>
        <v>3.5831807999999996</v>
      </c>
      <c r="I5" s="1">
        <f t="shared" si="1"/>
        <v>4.2998169599999994</v>
      </c>
      <c r="J5" s="1">
        <f t="shared" si="1"/>
        <v>5.1597803519999994</v>
      </c>
      <c r="K5" s="1">
        <f t="shared" si="1"/>
        <v>6.1917364223999991</v>
      </c>
      <c r="L5" s="1">
        <f t="shared" si="1"/>
        <v>7.4300837068799988</v>
      </c>
      <c r="M5" s="1">
        <f t="shared" si="1"/>
        <v>8.9161004482559996</v>
      </c>
      <c r="N5" s="1">
        <f t="shared" si="1"/>
        <v>10.6993205379072</v>
      </c>
      <c r="O5" s="1">
        <f t="shared" si="1"/>
        <v>12.83918464548864</v>
      </c>
      <c r="P5">
        <f t="shared" si="1"/>
        <v>15.407021574586368</v>
      </c>
      <c r="Q5">
        <f t="shared" si="1"/>
        <v>18.488425889503642</v>
      </c>
      <c r="R5">
        <f t="shared" si="1"/>
        <v>22.186111067404369</v>
      </c>
      <c r="S5" s="1">
        <f t="shared" si="1"/>
        <v>26.623333280885241</v>
      </c>
      <c r="T5">
        <f t="shared" si="1"/>
        <v>31.947999937062288</v>
      </c>
      <c r="U5">
        <f t="shared" si="1"/>
        <v>38.337599924474745</v>
      </c>
      <c r="V5">
        <f t="shared" si="1"/>
        <v>46.005119909369697</v>
      </c>
      <c r="W5">
        <f t="shared" si="1"/>
        <v>55.206143891243634</v>
      </c>
      <c r="X5">
        <f t="shared" si="1"/>
        <v>66.247372669492364</v>
      </c>
      <c r="Y5">
        <f t="shared" si="1"/>
        <v>79.496847203390843</v>
      </c>
      <c r="Z5">
        <f t="shared" si="1"/>
        <v>95.396216644069014</v>
      </c>
      <c r="AA5">
        <f t="shared" si="1"/>
        <v>114.47545997288282</v>
      </c>
      <c r="AB5">
        <f t="shared" si="1"/>
        <v>137.37055196745939</v>
      </c>
      <c r="AC5">
        <f t="shared" si="1"/>
        <v>164.84466236095128</v>
      </c>
      <c r="AD5">
        <f t="shared" si="1"/>
        <v>197.81359483314154</v>
      </c>
    </row>
    <row r="6" spans="1:30" x14ac:dyDescent="0.25">
      <c r="A6">
        <v>27</v>
      </c>
      <c r="B6" t="s">
        <v>1589</v>
      </c>
    </row>
    <row r="7" spans="1:30" x14ac:dyDescent="0.25">
      <c r="A7" s="12">
        <f>SUM($A$5:A5)</f>
        <v>1</v>
      </c>
      <c r="B7" s="12">
        <f>SUM($A$5:B5)</f>
        <v>2.2000000000000002</v>
      </c>
      <c r="C7" s="12">
        <f>SUM($A$5:C5)</f>
        <v>3.64</v>
      </c>
      <c r="D7" s="12">
        <f>SUM($A$5:D5)</f>
        <v>5.3680000000000003</v>
      </c>
      <c r="E7" s="12">
        <f>SUM($A$5:E5)</f>
        <v>7.4416000000000002</v>
      </c>
      <c r="F7" s="12">
        <f>SUM($A$5:F5)</f>
        <v>9.9299199999999992</v>
      </c>
      <c r="G7" s="12">
        <f>SUM($A$5:G5)</f>
        <v>12.915903999999999</v>
      </c>
      <c r="H7" s="12">
        <f>SUM($A$5:H5)</f>
        <v>16.499084799999999</v>
      </c>
      <c r="I7" s="12">
        <f>SUM($A$5:I5)</f>
        <v>20.79890176</v>
      </c>
      <c r="J7" s="12">
        <f>SUM($A$5:J5)</f>
        <v>25.958682111999998</v>
      </c>
      <c r="K7" s="12">
        <f>SUM($A$5:K5)</f>
        <v>32.150418534399996</v>
      </c>
      <c r="L7" s="12">
        <f>SUM($A$5:L5)</f>
        <v>39.580502241279994</v>
      </c>
      <c r="M7" s="12">
        <f>SUM($A$5:M5)</f>
        <v>48.49660268953599</v>
      </c>
      <c r="N7" s="12">
        <f>SUM($A$5:N5)</f>
        <v>59.195923227443188</v>
      </c>
      <c r="O7" s="12">
        <f>SUM($A$5:O5)</f>
        <v>72.035107872931832</v>
      </c>
      <c r="P7" s="12">
        <f>SUM($A$5:P5)</f>
        <v>87.442129447518198</v>
      </c>
      <c r="Q7" s="12">
        <f>SUM($A$5:Q5)</f>
        <v>105.93055533702184</v>
      </c>
      <c r="R7" s="12">
        <f>SUM($A$5:R5)</f>
        <v>128.11666640442621</v>
      </c>
      <c r="S7" s="12">
        <f>SUM($A$5:S5)</f>
        <v>154.73999968531146</v>
      </c>
      <c r="T7" s="12">
        <f>SUM($A$5:T5)</f>
        <v>186.68799962237375</v>
      </c>
      <c r="U7" s="12">
        <f>SUM($A$5:U5)</f>
        <v>225.0255995468485</v>
      </c>
      <c r="V7" s="12">
        <f>SUM($A$5:V5)</f>
        <v>271.03071945621821</v>
      </c>
      <c r="W7" s="12">
        <f>SUM($A$5:W5)</f>
        <v>326.23686334746185</v>
      </c>
      <c r="X7" s="12">
        <f>SUM($A$5:X5)</f>
        <v>392.48423601695424</v>
      </c>
      <c r="Y7" s="12">
        <f>SUM($A$5:Y5)</f>
        <v>471.98108322034511</v>
      </c>
      <c r="Z7" s="12">
        <f>SUM($A$5:Z5)</f>
        <v>567.37729986441411</v>
      </c>
      <c r="AA7" s="12">
        <f>SUM($A$5:AA5)</f>
        <v>681.85275983729696</v>
      </c>
      <c r="AB7" s="12">
        <f>SUM($A$5:AB5)</f>
        <v>819.22331180475635</v>
      </c>
      <c r="AC7" s="12">
        <f>SUM($A$5:AC5)</f>
        <v>984.0679741657076</v>
      </c>
      <c r="AD7" s="12">
        <f>SUM($A$5:AD5)</f>
        <v>1181.8815689988492</v>
      </c>
    </row>
    <row r="8" spans="1:30" x14ac:dyDescent="0.25">
      <c r="A8" s="2" t="s">
        <v>1590</v>
      </c>
      <c r="B8" s="2">
        <v>1</v>
      </c>
      <c r="C8" s="2">
        <v>2</v>
      </c>
      <c r="D8" s="2">
        <v>3</v>
      </c>
      <c r="E8" s="2">
        <v>4</v>
      </c>
      <c r="F8" s="2">
        <v>5</v>
      </c>
      <c r="G8" s="2">
        <v>6</v>
      </c>
      <c r="H8" s="2">
        <v>7</v>
      </c>
      <c r="I8" s="2">
        <v>8</v>
      </c>
      <c r="J8" s="2">
        <v>9</v>
      </c>
      <c r="K8" s="2">
        <v>10</v>
      </c>
      <c r="L8" s="2">
        <v>11</v>
      </c>
      <c r="M8" s="2">
        <v>12</v>
      </c>
      <c r="N8" s="2">
        <v>13</v>
      </c>
      <c r="O8" s="2">
        <v>14</v>
      </c>
      <c r="P8" s="2">
        <v>15</v>
      </c>
      <c r="Q8" s="2">
        <v>16</v>
      </c>
      <c r="R8" s="2">
        <v>17</v>
      </c>
      <c r="S8" s="2">
        <v>18</v>
      </c>
      <c r="T8" s="2">
        <v>19</v>
      </c>
      <c r="U8" s="2">
        <v>20</v>
      </c>
      <c r="V8" s="2">
        <v>21</v>
      </c>
      <c r="W8" s="2">
        <v>22</v>
      </c>
      <c r="X8" s="2">
        <v>23</v>
      </c>
      <c r="Y8" s="2">
        <v>24</v>
      </c>
      <c r="Z8" s="2">
        <v>25</v>
      </c>
      <c r="AA8" s="2">
        <v>26</v>
      </c>
      <c r="AB8" s="2">
        <v>27</v>
      </c>
      <c r="AC8" s="2">
        <v>28</v>
      </c>
      <c r="AD8" s="2">
        <v>29</v>
      </c>
    </row>
    <row r="9" spans="1:30" x14ac:dyDescent="0.25">
      <c r="A9">
        <f>IF(A7&gt;A1,(A7-A1)/$A$6,0)</f>
        <v>0</v>
      </c>
      <c r="B9">
        <f t="shared" ref="B9:AD9" si="2">IF(B7&gt;B1,(B7-B1)/$A$6,0)</f>
        <v>0</v>
      </c>
      <c r="C9">
        <f t="shared" si="2"/>
        <v>0</v>
      </c>
      <c r="D9">
        <f t="shared" si="2"/>
        <v>0</v>
      </c>
      <c r="E9">
        <f t="shared" si="2"/>
        <v>0</v>
      </c>
      <c r="F9">
        <f t="shared" si="2"/>
        <v>0</v>
      </c>
      <c r="G9">
        <f t="shared" si="2"/>
        <v>0</v>
      </c>
      <c r="H9">
        <f t="shared" si="2"/>
        <v>0</v>
      </c>
      <c r="I9">
        <f t="shared" si="2"/>
        <v>0</v>
      </c>
      <c r="J9">
        <f t="shared" si="2"/>
        <v>0</v>
      </c>
      <c r="K9">
        <f t="shared" si="2"/>
        <v>0</v>
      </c>
      <c r="L9">
        <f t="shared" si="2"/>
        <v>0.15385786965354795</v>
      </c>
      <c r="M9">
        <f t="shared" si="2"/>
        <v>0.45128164573651608</v>
      </c>
      <c r="N9">
        <f t="shared" si="2"/>
        <v>0.81393055616395837</v>
      </c>
      <c r="O9">
        <f t="shared" si="2"/>
        <v>1.2549931372829672</v>
      </c>
      <c r="P9">
        <f t="shared" si="2"/>
        <v>1.790299220447007</v>
      </c>
      <c r="Q9">
        <f t="shared" si="2"/>
        <v>2.4388482807106153</v>
      </c>
      <c r="R9">
        <f t="shared" si="2"/>
        <v>3.2234434575053741</v>
      </c>
      <c r="S9">
        <f t="shared" si="2"/>
        <v>4.1714523817494751</v>
      </c>
      <c r="T9">
        <f t="shared" si="2"/>
        <v>5.3157201707350454</v>
      </c>
      <c r="U9">
        <f t="shared" si="2"/>
        <v>6.6956650244076954</v>
      </c>
      <c r="V9">
        <f t="shared" si="2"/>
        <v>8.3585929433770918</v>
      </c>
      <c r="W9">
        <f t="shared" si="2"/>
        <v>10.361275393066636</v>
      </c>
      <c r="X9">
        <f t="shared" si="2"/>
        <v>12.77184250329352</v>
      </c>
      <c r="Y9">
        <f t="shared" si="2"/>
        <v>15.672054910430191</v>
      </c>
      <c r="Z9">
        <f t="shared" si="2"/>
        <v>19.160029970730218</v>
      </c>
      <c r="AA9">
        <f t="shared" si="2"/>
        <v>23.353513219119677</v>
      </c>
      <c r="AB9">
        <f t="shared" si="2"/>
        <v>28.393804122617187</v>
      </c>
      <c r="AC9">
        <f t="shared" si="2"/>
        <v>34.450466987380111</v>
      </c>
      <c r="AD9">
        <f t="shared" si="2"/>
        <v>41.72698405017568</v>
      </c>
    </row>
    <row r="11" spans="1:30" x14ac:dyDescent="0.25">
      <c r="A11" t="s">
        <v>1591</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1592</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1593</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1594</v>
      </c>
      <c r="B14">
        <v>0.3</v>
      </c>
      <c r="C14" t="s">
        <v>1595</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医疗器械</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2024-07-10T15:53:22Z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08512ac4-c6c8-4658-b644-9b6349c5eb42</vt:lpwstr>
  </property>
  <property fmtid="{D5CDD505-2E9C-101B-9397-08002B2CF9AE}" pid="3" name="CTP_TimeStamp">
    <vt:lpwstr>2019-07-29 05:22:13Z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