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SW1L医药生物\"/>
    </mc:Choice>
  </mc:AlternateContent>
  <bookViews>
    <workbookView xWindow="0" yWindow="0" windowWidth="3800" windowHeight="2950"/>
  </bookViews>
  <sheets>
    <sheet name="医药商业" sheetId="7" r:id="rId1"/>
    <sheet name="估值-增速与年化收益" sheetId="14" r:id="rId2"/>
  </sheets>
  <functionGroups builtInGroupCount="18"/>
  <definedNames>
    <definedName name="_xlnm._FilterDatabase" localSheetId="0" hidden="1">医药商业!$BU$1:$BU$32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 i="7"/>
</calcChain>
</file>

<file path=xl/sharedStrings.xml><?xml version="1.0" encoding="utf-8"?>
<sst xmlns="http://schemas.openxmlformats.org/spreadsheetml/2006/main" count="1860" uniqueCount="1494">
  <si>
    <t>&lt;-增速</t>
    <phoneticPr fontId="1" type="noConversion"/>
  </si>
  <si>
    <t>&lt;-估值</t>
    <phoneticPr fontId="1" type="noConversion"/>
  </si>
  <si>
    <t>&lt;-折合年化收益</t>
    <phoneticPr fontId="1" type="noConversion"/>
  </si>
  <si>
    <t>现价</t>
  </si>
  <si>
    <t>市净率</t>
  </si>
  <si>
    <t>第一医药</t>
  </si>
  <si>
    <t>开开实业</t>
  </si>
  <si>
    <t>益丰药房</t>
  </si>
  <si>
    <t>老百姓</t>
  </si>
  <si>
    <t>大参林</t>
  </si>
  <si>
    <t>浙江震元</t>
  </si>
  <si>
    <t>九州通</t>
  </si>
  <si>
    <t>英特集团</t>
  </si>
  <si>
    <t>一心堂</t>
  </si>
  <si>
    <t>南京医药</t>
  </si>
  <si>
    <t>海王生物</t>
  </si>
  <si>
    <t>重药控股</t>
  </si>
  <si>
    <t>国药一致</t>
  </si>
  <si>
    <t>国药股份</t>
  </si>
  <si>
    <t>鹭燕医药</t>
  </si>
  <si>
    <t>人民同泰</t>
  </si>
  <si>
    <t>上海医药</t>
  </si>
  <si>
    <t>嘉事堂</t>
  </si>
  <si>
    <t>瑞康医药</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</si>
  <si>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</si>
  <si>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</si>
  <si>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</si>
  <si>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</si>
  <si>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</si>
  <si>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</si>
  <si>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</si>
  <si>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</si>
  <si>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</si>
  <si>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</si>
  <si>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</si>
  <si>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</si>
  <si>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</si>
  <si>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</si>
  <si>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</si>
  <si>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SZ000028</t>
  </si>
  <si>
    <t>医药商业</t>
  </si>
  <si>
    <t>--</t>
  </si>
  <si>
    <t>SZ000078</t>
  </si>
  <si>
    <t>414.93亿</t>
  </si>
  <si>
    <t>SZ000411</t>
  </si>
  <si>
    <t>246.01亿</t>
  </si>
  <si>
    <t>1.51亿</t>
  </si>
  <si>
    <t>1.31亿</t>
  </si>
  <si>
    <t>SZ000705</t>
  </si>
  <si>
    <t>32.43亿</t>
  </si>
  <si>
    <t>2.12亿</t>
  </si>
  <si>
    <t>SZ000950</t>
  </si>
  <si>
    <t>338.44亿</t>
  </si>
  <si>
    <t>7.88亿</t>
  </si>
  <si>
    <t>SZ002462</t>
  </si>
  <si>
    <t>221.87亿</t>
  </si>
  <si>
    <t>3.76亿</t>
  </si>
  <si>
    <t>SZ002589</t>
  </si>
  <si>
    <t>352.59亿</t>
  </si>
  <si>
    <t>-9.28亿</t>
  </si>
  <si>
    <t>2.06亿</t>
  </si>
  <si>
    <t>SZ002727</t>
  </si>
  <si>
    <t>104.79亿</t>
  </si>
  <si>
    <t>6.04亿</t>
  </si>
  <si>
    <t>1.10亿</t>
  </si>
  <si>
    <t>SZ002788</t>
  </si>
  <si>
    <t>150.09亿</t>
  </si>
  <si>
    <t>2.56亿</t>
  </si>
  <si>
    <t>SH600056</t>
  </si>
  <si>
    <t>352.85亿</t>
  </si>
  <si>
    <t>7.62亿</t>
  </si>
  <si>
    <t>SH600272</t>
  </si>
  <si>
    <t>8.70亿</t>
  </si>
  <si>
    <t>2197.63万</t>
  </si>
  <si>
    <t>3.01亿</t>
  </si>
  <si>
    <t>SH600511</t>
  </si>
  <si>
    <t>446.44亿</t>
  </si>
  <si>
    <t>16.04亿</t>
  </si>
  <si>
    <t>2.51亿</t>
  </si>
  <si>
    <t>SH600713</t>
  </si>
  <si>
    <t>371.56亿</t>
  </si>
  <si>
    <t>3.47亿</t>
  </si>
  <si>
    <t>SH600829</t>
  </si>
  <si>
    <t>83.54亿</t>
  </si>
  <si>
    <t>2.67亿</t>
  </si>
  <si>
    <t>0亿</t>
  </si>
  <si>
    <t>SH600833</t>
  </si>
  <si>
    <t>12.43亿</t>
  </si>
  <si>
    <t>5308.94万</t>
  </si>
  <si>
    <t>1.80亿</t>
  </si>
  <si>
    <t>SH600998</t>
  </si>
  <si>
    <t>994.97亿</t>
  </si>
  <si>
    <t>17.27亿</t>
  </si>
  <si>
    <t>SH601607</t>
  </si>
  <si>
    <t>1865.66亿</t>
  </si>
  <si>
    <t>40.81亿</t>
  </si>
  <si>
    <t>SH603233</t>
  </si>
  <si>
    <t>111.41亿</t>
  </si>
  <si>
    <t>7.03亿</t>
  </si>
  <si>
    <t>SH603368</t>
  </si>
  <si>
    <t>148.57亿</t>
  </si>
  <si>
    <t>6.85亿</t>
  </si>
  <si>
    <t>SH603716</t>
  </si>
  <si>
    <t>18.31亿</t>
  </si>
  <si>
    <t>SH603883</t>
  </si>
  <si>
    <t>116.63亿</t>
  </si>
  <si>
    <t>5.09亿</t>
  </si>
  <si>
    <t>SH603939</t>
  </si>
  <si>
    <t>102.76亿</t>
  </si>
  <si>
    <t>5.44亿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</si>
  <si>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</si>
  <si>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</si>
  <si>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</si>
  <si>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</si>
  <si>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</si>
  <si>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</si>
  <si>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</si>
  <si>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</si>
  <si>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</si>
  <si>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</si>
  <si>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</si>
  <si>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</si>
  <si>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</si>
  <si>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596.49亿</t>
  </si>
  <si>
    <t>14.02亿</t>
  </si>
  <si>
    <t>527.87亿</t>
  </si>
  <si>
    <t>431.22亿</t>
  </si>
  <si>
    <t>12.68亿</t>
  </si>
  <si>
    <t>12.11亿</t>
  </si>
  <si>
    <t>400.22亿</t>
  </si>
  <si>
    <t>-2.89亿</t>
  </si>
  <si>
    <t>383.81亿</t>
  </si>
  <si>
    <t>4.48亿</t>
  </si>
  <si>
    <t>4.18亿</t>
  </si>
  <si>
    <t>250.08亿</t>
  </si>
  <si>
    <t>1.57亿</t>
  </si>
  <si>
    <t>204.92亿</t>
  </si>
  <si>
    <t>9385.14万</t>
  </si>
  <si>
    <t>34.40亿</t>
  </si>
  <si>
    <t>8939.29万</t>
  </si>
  <si>
    <t>1.45亿</t>
  </si>
  <si>
    <t>28.58亿</t>
  </si>
  <si>
    <t>7088.41万</t>
  </si>
  <si>
    <t>452.20亿</t>
  </si>
  <si>
    <t>8.84亿</t>
  </si>
  <si>
    <t>4.35亿</t>
  </si>
  <si>
    <t>258.03亿</t>
  </si>
  <si>
    <t>6.91亿</t>
  </si>
  <si>
    <t>2.64亿</t>
  </si>
  <si>
    <t>30.75亿</t>
  </si>
  <si>
    <t>232.56亿</t>
  </si>
  <si>
    <t>3.18亿</t>
  </si>
  <si>
    <t>2.16亿</t>
  </si>
  <si>
    <t>179.60亿</t>
  </si>
  <si>
    <t>3.28亿</t>
  </si>
  <si>
    <t>2.61亿</t>
  </si>
  <si>
    <t>339.19亿</t>
  </si>
  <si>
    <t>7.71亿</t>
  </si>
  <si>
    <t>126.56亿</t>
  </si>
  <si>
    <t>7.90亿</t>
  </si>
  <si>
    <t>91.76亿</t>
  </si>
  <si>
    <t>5.21亿</t>
  </si>
  <si>
    <t>4.23亿</t>
  </si>
  <si>
    <t>115.01亿</t>
  </si>
  <si>
    <t>1.16亿</t>
  </si>
  <si>
    <t>1.13亿</t>
  </si>
  <si>
    <t>SZ300937</t>
  </si>
  <si>
    <t>药易购</t>
  </si>
  <si>
    <t>27.90亿</t>
  </si>
  <si>
    <t>5401.77万</t>
  </si>
  <si>
    <t>22.89亿</t>
  </si>
  <si>
    <t>20.24亿</t>
  </si>
  <si>
    <t>15.87亿</t>
  </si>
  <si>
    <t>6466.35万</t>
  </si>
  <si>
    <t>5655.78万</t>
  </si>
  <si>
    <t>393.12亿</t>
  </si>
  <si>
    <t>310.06亿</t>
  </si>
  <si>
    <t>5.32亿</t>
  </si>
  <si>
    <t>1367.48万</t>
  </si>
  <si>
    <t>8.78亿</t>
  </si>
  <si>
    <t>3523.43万</t>
  </si>
  <si>
    <t>2.10亿</t>
  </si>
  <si>
    <t>403.79亿</t>
  </si>
  <si>
    <t>13.83亿</t>
  </si>
  <si>
    <t>387.40亿</t>
  </si>
  <si>
    <t>14.04亿</t>
  </si>
  <si>
    <t>398.17亿</t>
  </si>
  <si>
    <t>313.03亿</t>
  </si>
  <si>
    <t>80.05亿</t>
  </si>
  <si>
    <t>70.55亿</t>
  </si>
  <si>
    <t>2.58亿</t>
  </si>
  <si>
    <t>6854.09万</t>
  </si>
  <si>
    <t>2.73亿</t>
  </si>
  <si>
    <t>11.77亿</t>
  </si>
  <si>
    <t>4718.63万</t>
  </si>
  <si>
    <t>1108.60亿</t>
  </si>
  <si>
    <t>871.36亿</t>
  </si>
  <si>
    <t>13.41亿</t>
  </si>
  <si>
    <t>1919.09亿</t>
  </si>
  <si>
    <t>44.96亿</t>
  </si>
  <si>
    <t>1590.84亿</t>
  </si>
  <si>
    <t>38.81亿</t>
  </si>
  <si>
    <t>145.83亿</t>
  </si>
  <si>
    <t>10.62亿</t>
  </si>
  <si>
    <t>88.59亿</t>
  </si>
  <si>
    <t>156.69亿</t>
  </si>
  <si>
    <t>7.12亿</t>
  </si>
  <si>
    <t>117.15亿</t>
  </si>
  <si>
    <t>5.28亿</t>
  </si>
  <si>
    <t>塞力医疗</t>
  </si>
  <si>
    <t>21.25亿</t>
  </si>
  <si>
    <t>5756.16万</t>
  </si>
  <si>
    <t>13.17亿</t>
  </si>
  <si>
    <t>9415.91万</t>
  </si>
  <si>
    <t>139.67亿</t>
  </si>
  <si>
    <t>6.21亿</t>
  </si>
  <si>
    <t>94.71亿</t>
  </si>
  <si>
    <t>2.97亿</t>
  </si>
  <si>
    <t>131.45亿</t>
  </si>
  <si>
    <t>69.13亿</t>
  </si>
  <si>
    <t>4.16亿</t>
  </si>
  <si>
    <t>SH605266</t>
  </si>
  <si>
    <t>健之佳</t>
  </si>
  <si>
    <t>44.66亿</t>
  </si>
  <si>
    <t>35.29亿</t>
  </si>
  <si>
    <t>27.66亿</t>
  </si>
  <si>
    <t>1.68亿</t>
  </si>
  <si>
    <t>1.34亿</t>
  </si>
  <si>
    <t>SZ301015</t>
  </si>
  <si>
    <t>百洋医药</t>
  </si>
  <si>
    <t>58.79亿</t>
  </si>
  <si>
    <t>48.49亿</t>
  </si>
  <si>
    <t>36.52亿</t>
  </si>
  <si>
    <t>SZ301017</t>
  </si>
  <si>
    <t>漱玉平民</t>
  </si>
  <si>
    <t>46.40亿</t>
  </si>
  <si>
    <t>34.67亿</t>
  </si>
  <si>
    <t>28.88亿</t>
  </si>
  <si>
    <t>1.11亿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</si>
  <si>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</si>
  <si>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</si>
  <si>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</si>
  <si>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</si>
  <si>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</si>
  <si>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</si>
  <si>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</si>
  <si>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</si>
  <si>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</si>
  <si>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</si>
  <si>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</si>
  <si>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</si>
  <si>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</si>
  <si>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</si>
  <si>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</si>
  <si>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3.29亿</t>
  </si>
  <si>
    <t>24.48亿</t>
  </si>
  <si>
    <t>1.12亿</t>
  </si>
  <si>
    <t>中国医药</t>
  </si>
  <si>
    <t>1.02亿</t>
  </si>
  <si>
    <t>3.30亿</t>
  </si>
  <si>
    <t>流通股本</t>
  </si>
  <si>
    <t>净利润[20201231]</t>
  </si>
  <si>
    <t>投入资本回报率roic%[20201231]</t>
  </si>
  <si>
    <t>净资产收益率%[20201231]</t>
  </si>
  <si>
    <t>683.58亿</t>
  </si>
  <si>
    <t>13.36亿</t>
  </si>
  <si>
    <t>410.54亿</t>
  </si>
  <si>
    <t>9329.53万</t>
  </si>
  <si>
    <t>267.31亿</t>
  </si>
  <si>
    <t>36.12亿</t>
  </si>
  <si>
    <t>7729.51万</t>
  </si>
  <si>
    <t>625.21亿</t>
  </si>
  <si>
    <t>10.05亿</t>
  </si>
  <si>
    <t>256.26亿</t>
  </si>
  <si>
    <t>3.54亿</t>
  </si>
  <si>
    <t>2.77亿</t>
  </si>
  <si>
    <t>210.60亿</t>
  </si>
  <si>
    <t>272.34亿</t>
  </si>
  <si>
    <t>145.87亿</t>
  </si>
  <si>
    <t>9.22亿</t>
  </si>
  <si>
    <t>175.45亿</t>
  </si>
  <si>
    <t>3.06亿</t>
  </si>
  <si>
    <t>155.35亿</t>
  </si>
  <si>
    <t>34.01亿</t>
  </si>
  <si>
    <t>640.00万</t>
  </si>
  <si>
    <t>70.52亿</t>
  </si>
  <si>
    <t>53.22亿</t>
  </si>
  <si>
    <t>1.15亿</t>
  </si>
  <si>
    <t>SZ301126</t>
  </si>
  <si>
    <t>达嘉维康</t>
  </si>
  <si>
    <t>25.92亿</t>
  </si>
  <si>
    <t>6825.89万</t>
  </si>
  <si>
    <t>1.06亿</t>
  </si>
  <si>
    <t>23.40亿</t>
  </si>
  <si>
    <t>24.57亿</t>
  </si>
  <si>
    <t>21.89亿</t>
  </si>
  <si>
    <t>6485.40万</t>
  </si>
  <si>
    <t>8765.25万</t>
  </si>
  <si>
    <t>7798.74万</t>
  </si>
  <si>
    <t>6.70亿</t>
  </si>
  <si>
    <t>2171.72万</t>
  </si>
  <si>
    <t>464.69亿</t>
  </si>
  <si>
    <t>17.54亿</t>
  </si>
  <si>
    <t>451.23亿</t>
  </si>
  <si>
    <t>5.05亿</t>
  </si>
  <si>
    <t>93.15亿</t>
  </si>
  <si>
    <t>13.98亿</t>
  </si>
  <si>
    <t>4941.91万</t>
  </si>
  <si>
    <t>2.62亿</t>
  </si>
  <si>
    <t>1224.07亿</t>
  </si>
  <si>
    <t>2158.24亿</t>
  </si>
  <si>
    <t>50.93亿</t>
  </si>
  <si>
    <t>SH603122</t>
  </si>
  <si>
    <t>合富中国</t>
  </si>
  <si>
    <t>11.91亿</t>
  </si>
  <si>
    <t>8023.05万</t>
  </si>
  <si>
    <t>10.89亿</t>
  </si>
  <si>
    <t>10.47亿</t>
  </si>
  <si>
    <t>9.04亿</t>
  </si>
  <si>
    <t>7255.39万</t>
  </si>
  <si>
    <t>6714.49万</t>
  </si>
  <si>
    <t>6691.26万</t>
  </si>
  <si>
    <t>167.59亿</t>
  </si>
  <si>
    <t>7.91亿</t>
  </si>
  <si>
    <t>171.35亿</t>
  </si>
  <si>
    <t>5.64亿</t>
  </si>
  <si>
    <t>26.00亿</t>
  </si>
  <si>
    <t>-4950.57万</t>
  </si>
  <si>
    <t>156.96亿</t>
  </si>
  <si>
    <t>6.69亿</t>
  </si>
  <si>
    <t>153.26亿</t>
  </si>
  <si>
    <t>8.88亿</t>
  </si>
  <si>
    <t>7.44亿</t>
  </si>
  <si>
    <t>52.35亿</t>
  </si>
  <si>
    <t xml:space="preserve">    名称</t>
  </si>
  <si>
    <t>LY营业总收入[20211231]</t>
  </si>
  <si>
    <t>净利润?</t>
  </si>
  <si>
    <t>权益乘数[20220630]</t>
  </si>
  <si>
    <t>总资产周转率[20220630]</t>
  </si>
  <si>
    <t>净利润／营业总收入%[20220630]</t>
  </si>
  <si>
    <t>营业总成本[20220630]</t>
  </si>
  <si>
    <t>营业成本[20220630]</t>
  </si>
  <si>
    <t>管理费用[20220630]</t>
  </si>
  <si>
    <t>研发费用总额[20220630]</t>
  </si>
  <si>
    <t>扣非净利润</t>
  </si>
  <si>
    <t>营业总收入[20201231]</t>
  </si>
  <si>
    <t>投入资本回报率roic%[20211231]</t>
  </si>
  <si>
    <t>净资产收益率%[20211231]</t>
  </si>
  <si>
    <t>细分行业</t>
  </si>
  <si>
    <t>单季营收增速</t>
  </si>
  <si>
    <t>单季利润增速</t>
  </si>
  <si>
    <t>过往利润增速均值</t>
    <phoneticPr fontId="1" type="noConversion"/>
  </si>
  <si>
    <t>1年自由现金流折现</t>
    <phoneticPr fontId="1" type="noConversion"/>
  </si>
  <si>
    <t>3年自由现金流折现</t>
    <phoneticPr fontId="1" type="noConversion"/>
  </si>
  <si>
    <t>3增速</t>
    <phoneticPr fontId="1" type="noConversion"/>
  </si>
  <si>
    <t>6增速</t>
    <phoneticPr fontId="1" type="noConversion"/>
  </si>
  <si>
    <t>20年自由现金流折现</t>
    <phoneticPr fontId="1" type="noConversion"/>
  </si>
  <si>
    <t>承担负债现期溢价</t>
    <phoneticPr fontId="1" type="noConversion"/>
  </si>
  <si>
    <t>清算价格</t>
    <phoneticPr fontId="1" type="noConversion"/>
  </si>
  <si>
    <t>策略1利润单季最佳增速</t>
    <phoneticPr fontId="1" type="noConversion"/>
  </si>
  <si>
    <t>基本面排序</t>
    <phoneticPr fontId="1" type="noConversion"/>
  </si>
  <si>
    <t>综合策略</t>
    <phoneticPr fontId="1" type="noConversion"/>
  </si>
  <si>
    <t>5日成交换手率</t>
    <phoneticPr fontId="1" type="noConversion"/>
  </si>
  <si>
    <t>昨日价格累计指数</t>
    <phoneticPr fontId="1" type="noConversion"/>
  </si>
  <si>
    <t>今日价格累积指数</t>
    <phoneticPr fontId="1" type="noConversion"/>
  </si>
  <si>
    <t>成交量异动策略</t>
    <phoneticPr fontId="1" type="noConversion"/>
  </si>
  <si>
    <t>2.52亿</t>
  </si>
  <si>
    <t/>
  </si>
  <si>
    <t>7.85亿</t>
  </si>
  <si>
    <t>1-0</t>
  </si>
  <si>
    <t>SH603108</t>
  </si>
  <si>
    <t>润达医疗</t>
  </si>
  <si>
    <t>88.60亿</t>
  </si>
  <si>
    <t>3.80亿</t>
  </si>
  <si>
    <t>70.69亿</t>
  </si>
  <si>
    <t>59.64亿</t>
  </si>
  <si>
    <t>3.10亿</t>
  </si>
  <si>
    <t>-1-0</t>
  </si>
  <si>
    <t>柳药集团</t>
  </si>
  <si>
    <t>扭亏</t>
  </si>
  <si>
    <t>14.87亿</t>
  </si>
  <si>
    <t>19.31亿</t>
  </si>
  <si>
    <t>1.54亿</t>
  </si>
  <si>
    <t>3.45亿</t>
  </si>
  <si>
    <t>1.17亿</t>
  </si>
  <si>
    <t>3.73亿</t>
  </si>
  <si>
    <t>2.91亿</t>
  </si>
  <si>
    <t>4.98亿</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</si>
  <si>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</si>
  <si>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</si>
  <si>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</si>
  <si>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</si>
  <si>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</si>
  <si>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</si>
  <si>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</si>
  <si>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</si>
  <si>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</si>
  <si>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</si>
  <si>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</si>
  <si>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</si>
  <si>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</si>
  <si>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</si>
  <si>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</si>
  <si>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</si>
  <si>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</si>
  <si>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</si>
  <si>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</si>
  <si>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</si>
  <si>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</si>
  <si>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</si>
  <si>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</si>
  <si>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</si>
  <si>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</si>
  <si>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</si>
  <si>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</si>
  <si>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</si>
  <si>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</si>
  <si>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</si>
  <si>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</si>
  <si>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</si>
  <si>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股利率</t>
    <phoneticPr fontId="1" type="noConversion"/>
  </si>
  <si>
    <t>过往营收增速均值</t>
    <phoneticPr fontId="1" type="noConversion"/>
  </si>
  <si>
    <t>折现率</t>
    <phoneticPr fontId="1" type="noConversion"/>
  </si>
  <si>
    <t>10年自由现金流折现</t>
    <phoneticPr fontId="1" type="noConversion"/>
  </si>
  <si>
    <t>10增速</t>
    <phoneticPr fontId="1" type="noConversion"/>
  </si>
  <si>
    <t>营收成长策略</t>
    <phoneticPr fontId="1" type="noConversion"/>
  </si>
  <si>
    <t>价格变动策略</t>
    <phoneticPr fontId="1" type="noConversion"/>
  </si>
  <si>
    <t>量价齐升策略</t>
    <phoneticPr fontId="1" type="noConversion"/>
  </si>
  <si>
    <t>N-4</t>
    <phoneticPr fontId="1" type="noConversion"/>
  </si>
  <si>
    <t>N-1</t>
    <phoneticPr fontId="1" type="noConversion"/>
  </si>
  <si>
    <t>市销率</t>
    <phoneticPr fontId="1" type="noConversion"/>
  </si>
  <si>
    <t>扣非对比净利润</t>
    <phoneticPr fontId="1" type="noConversion"/>
  </si>
  <si>
    <t>1增速</t>
    <phoneticPr fontId="1" type="noConversion"/>
  </si>
  <si>
    <t>6年自由现金流折现</t>
    <phoneticPr fontId="1" type="noConversion"/>
  </si>
  <si>
    <t>原始顺序</t>
    <phoneticPr fontId="1" type="noConversion"/>
  </si>
  <si>
    <t>策略1营收单季最佳增速</t>
    <phoneticPr fontId="1" type="noConversion"/>
  </si>
  <si>
    <t>利润成长策略</t>
    <phoneticPr fontId="1" type="noConversion"/>
  </si>
  <si>
    <t>营收和利润加权</t>
    <phoneticPr fontId="1" type="noConversion"/>
  </si>
  <si>
    <t>成交量综合策略</t>
    <phoneticPr fontId="1" type="noConversion"/>
  </si>
  <si>
    <t>机会区域号</t>
    <phoneticPr fontId="1" type="noConversion"/>
  </si>
  <si>
    <t>30日成交换手率</t>
    <phoneticPr fontId="1" type="noConversion"/>
  </si>
  <si>
    <t>价格箱体形态过滤</t>
    <phoneticPr fontId="1" type="noConversion"/>
  </si>
  <si>
    <t>价格右侧初期策略</t>
    <phoneticPr fontId="1" type="noConversion"/>
  </si>
  <si>
    <t>N日期</t>
    <phoneticPr fontId="1" type="noConversion"/>
  </si>
  <si>
    <t>N-3</t>
    <phoneticPr fontId="1" type="noConversion"/>
  </si>
  <si>
    <t>N-2</t>
    <phoneticPr fontId="1" type="noConversion"/>
  </si>
  <si>
    <t>N</t>
    <phoneticPr fontId="1" type="noConversion"/>
  </si>
  <si>
    <t>不分配不转增</t>
  </si>
  <si>
    <t>10派0.6元(含税)</t>
  </si>
  <si>
    <t>-1-1</t>
  </si>
  <si>
    <t>10派3元(含税)</t>
  </si>
  <si>
    <t>2.37亿</t>
  </si>
  <si>
    <t>1.09亿</t>
  </si>
  <si>
    <t>1.52亿</t>
  </si>
  <si>
    <t>SZ301408</t>
  </si>
  <si>
    <t>华人健康</t>
  </si>
  <si>
    <t>8891.99万</t>
  </si>
  <si>
    <t>1.44亿</t>
  </si>
  <si>
    <t>734.43亿</t>
  </si>
  <si>
    <t>378.35亿</t>
  </si>
  <si>
    <t>-10.27亿</t>
  </si>
  <si>
    <t>306.19亿</t>
  </si>
  <si>
    <t>678.29亿</t>
  </si>
  <si>
    <t>9.52亿</t>
  </si>
  <si>
    <t>1.49亿</t>
  </si>
  <si>
    <t>1-1</t>
  </si>
  <si>
    <t>262.20亿</t>
  </si>
  <si>
    <t>7.02亿</t>
  </si>
  <si>
    <t>10派3.1元(含税)</t>
  </si>
  <si>
    <t>123.11亿</t>
  </si>
  <si>
    <t>174.32亿</t>
  </si>
  <si>
    <t>10.10亿</t>
  </si>
  <si>
    <t>2.41亿</t>
  </si>
  <si>
    <t>1.79亿</t>
  </si>
  <si>
    <t>10派4元(含税)</t>
  </si>
  <si>
    <t>194.63亿</t>
  </si>
  <si>
    <t>39.69亿</t>
  </si>
  <si>
    <t>4201.52万</t>
  </si>
  <si>
    <t>2.05亿</t>
  </si>
  <si>
    <t>75.10亿</t>
  </si>
  <si>
    <t>4.22亿</t>
  </si>
  <si>
    <t>10派7.62元(含税)</t>
  </si>
  <si>
    <t>78.23亿</t>
  </si>
  <si>
    <t>2.29亿</t>
  </si>
  <si>
    <t>32.92亿</t>
  </si>
  <si>
    <t>3.62亿</t>
  </si>
  <si>
    <t>SZ301370</t>
  </si>
  <si>
    <t>国科恒泰</t>
  </si>
  <si>
    <t>63.60亿</t>
  </si>
  <si>
    <t>1.24亿</t>
  </si>
  <si>
    <t>32.62亿</t>
  </si>
  <si>
    <t>1.61亿</t>
  </si>
  <si>
    <t>1.86亿</t>
  </si>
  <si>
    <t>23.39亿</t>
  </si>
  <si>
    <t>15.22亿</t>
  </si>
  <si>
    <t>11.05亿</t>
  </si>
  <si>
    <t>6972.66万</t>
  </si>
  <si>
    <t>5194.81万</t>
  </si>
  <si>
    <t>1950.10万</t>
  </si>
  <si>
    <t>375.93亿</t>
  </si>
  <si>
    <t>7.36亿</t>
  </si>
  <si>
    <t>8.94亿</t>
  </si>
  <si>
    <t>10派0.5元(含税)</t>
  </si>
  <si>
    <t>2-0</t>
  </si>
  <si>
    <t>454.99亿</t>
  </si>
  <si>
    <t>19.64亿</t>
  </si>
  <si>
    <t>1.62亿</t>
  </si>
  <si>
    <t>3.74亿</t>
  </si>
  <si>
    <t>502.22亿</t>
  </si>
  <si>
    <t>5.96亿</t>
  </si>
  <si>
    <t>1.33亿</t>
  </si>
  <si>
    <t>26.56亿</t>
  </si>
  <si>
    <t>1404.24亿</t>
  </si>
  <si>
    <t>20.85亿</t>
  </si>
  <si>
    <t>4.52亿</t>
  </si>
  <si>
    <t>2319.81亿</t>
  </si>
  <si>
    <t>56.17亿</t>
  </si>
  <si>
    <t>104.94亿</t>
  </si>
  <si>
    <t>1.46亿</t>
  </si>
  <si>
    <t>12.80亿</t>
  </si>
  <si>
    <t>8271.97万</t>
  </si>
  <si>
    <t>212.48亿</t>
  </si>
  <si>
    <t>10.36亿</t>
  </si>
  <si>
    <t>10.98亿</t>
  </si>
  <si>
    <t>3.84亿</t>
  </si>
  <si>
    <t>190.53亿</t>
  </si>
  <si>
    <t>1.66亿</t>
  </si>
  <si>
    <t>23.09亿</t>
  </si>
  <si>
    <t>-1.54亿</t>
  </si>
  <si>
    <t>4-0</t>
  </si>
  <si>
    <t>201.76亿</t>
  </si>
  <si>
    <t>198.86亿</t>
  </si>
  <si>
    <t>75.14亿</t>
  </si>
  <si>
    <r>
      <t>1.重庆市国资委控股；2.围绕“一千两双三百城、三化四能五路军”的总战略指导思想，逐步向“供应链综合服务商”转型。3.</t>
    </r>
    <r>
      <rPr>
        <sz val="9"/>
        <color rgb="FFFF0000"/>
        <rFont val="宋体"/>
        <family val="3"/>
        <charset val="134"/>
        <scheme val="minor"/>
      </rPr>
      <t>器械：医药=1:4，国际上1:1；4</t>
    </r>
    <r>
      <rPr>
        <sz val="9"/>
        <color theme="1"/>
        <rFont val="宋体"/>
        <family val="2"/>
        <charset val="134"/>
        <scheme val="minor"/>
      </rPr>
      <t>.公司是国内仅有三家经营麻醉药品和第一类精神药品的全国性批发企业之一，是全国第二大麻精药品批发商。</t>
    </r>
    <phoneticPr fontId="1" type="noConversion"/>
  </si>
  <si>
    <t>1.负债率高78.41%，流通零售业的特点毛利和净利低；</t>
    <phoneticPr fontId="1" type="noConversion"/>
  </si>
  <si>
    <t>186.87亿</t>
  </si>
  <si>
    <t>99.58亿</t>
  </si>
  <si>
    <t>7453.07万</t>
  </si>
  <si>
    <t>1.14亿</t>
  </si>
  <si>
    <t>79.02亿</t>
  </si>
  <si>
    <t>6831.21万</t>
  </si>
  <si>
    <t>41.45亿</t>
  </si>
  <si>
    <t>20.57亿</t>
  </si>
  <si>
    <t>1856.43万</t>
  </si>
  <si>
    <t>1.69亿</t>
  </si>
  <si>
    <t>31.36亿</t>
  </si>
  <si>
    <t>196.20亿</t>
  </si>
  <si>
    <t>67.56亿</t>
  </si>
  <si>
    <t>6773.42万</t>
  </si>
  <si>
    <t>40.80亿</t>
  </si>
  <si>
    <t>2.24亿</t>
  </si>
  <si>
    <t>20.73亿</t>
  </si>
  <si>
    <t>2115.96万</t>
  </si>
  <si>
    <t>20.27亿</t>
  </si>
  <si>
    <t>6.82亿</t>
  </si>
  <si>
    <t>44.36亿</t>
  </si>
  <si>
    <t>2.39亿</t>
  </si>
  <si>
    <t>7.32亿</t>
  </si>
  <si>
    <t>48.42亿</t>
  </si>
  <si>
    <t>7986.17万</t>
  </si>
  <si>
    <t>1.25亿</t>
  </si>
  <si>
    <t>2.98亿</t>
  </si>
  <si>
    <t>1.22亿</t>
  </si>
  <si>
    <t>11.12亿</t>
  </si>
  <si>
    <t>20.72亿</t>
  </si>
  <si>
    <t>15.19亿</t>
  </si>
  <si>
    <t>6.43亿</t>
  </si>
  <si>
    <t>13.95亿</t>
  </si>
  <si>
    <t>3.95亿</t>
  </si>
  <si>
    <t>58.47亿</t>
  </si>
  <si>
    <t>48.62亿</t>
  </si>
  <si>
    <t>42.46亿</t>
  </si>
  <si>
    <t>36.37亿</t>
  </si>
  <si>
    <t>9348.61万</t>
  </si>
  <si>
    <t>16.61亿</t>
  </si>
  <si>
    <t>3.81亿</t>
  </si>
  <si>
    <t>15.34亿</t>
  </si>
  <si>
    <t>2.69亿</t>
  </si>
  <si>
    <t>2.31亿</t>
  </si>
  <si>
    <t>4.14亿</t>
  </si>
  <si>
    <t>29.11亿</t>
  </si>
  <si>
    <t>48.02亿</t>
  </si>
  <si>
    <t>96.41亿</t>
  </si>
  <si>
    <t>2.63亿</t>
  </si>
  <si>
    <t>47.81亿</t>
  </si>
  <si>
    <t>10.48亿</t>
  </si>
  <si>
    <t>8.74亿</t>
  </si>
  <si>
    <t>16.38亿</t>
  </si>
  <si>
    <t>2.20亿</t>
  </si>
  <si>
    <t>4.42亿</t>
  </si>
  <si>
    <t>1.82亿</t>
  </si>
  <si>
    <t>2.50亿</t>
  </si>
  <si>
    <t>-2-1</t>
  </si>
  <si>
    <t>1.04亿</t>
  </si>
  <si>
    <t>1.59亿</t>
  </si>
  <si>
    <t>1.65亿</t>
  </si>
  <si>
    <t>1.64亿</t>
  </si>
  <si>
    <t>207.10万</t>
  </si>
  <si>
    <t>265.93亿</t>
  </si>
  <si>
    <t>214.19亿</t>
  </si>
  <si>
    <t>190.90亿</t>
  </si>
  <si>
    <t>754.77亿</t>
  </si>
  <si>
    <t>15.99亿</t>
  </si>
  <si>
    <t>186.28亿</t>
  </si>
  <si>
    <t>170.17亿</t>
  </si>
  <si>
    <t>12.62亿</t>
  </si>
  <si>
    <t>102737216亿</t>
  </si>
  <si>
    <t>815.07万</t>
  </si>
  <si>
    <t>369722430亿</t>
  </si>
  <si>
    <t>57.23亿</t>
  </si>
  <si>
    <t>22990158000亿</t>
  </si>
  <si>
    <t>40058309000亿</t>
  </si>
  <si>
    <t>2155.17万</t>
  </si>
  <si>
    <t>38.05亿</t>
  </si>
  <si>
    <t>77.59亿</t>
  </si>
  <si>
    <t>122.91亿</t>
  </si>
  <si>
    <t>1722.88万</t>
  </si>
  <si>
    <t>277.22亿</t>
  </si>
  <si>
    <t>-6.34亿</t>
  </si>
  <si>
    <t>-5198.70万</t>
  </si>
  <si>
    <t>1.19亿</t>
  </si>
  <si>
    <t>10派6.8元(含税)</t>
  </si>
  <si>
    <t>医药流通</t>
  </si>
  <si>
    <t>1326.20万</t>
  </si>
  <si>
    <t>3-1</t>
  </si>
  <si>
    <t>969.78万</t>
  </si>
  <si>
    <t>280.87亿</t>
  </si>
  <si>
    <t>42.56亿</t>
  </si>
  <si>
    <t>80.88亿</t>
  </si>
  <si>
    <t>364.19亿</t>
  </si>
  <si>
    <t>-16.90亿</t>
  </si>
  <si>
    <t>79.81亿</t>
  </si>
  <si>
    <t>72.45亿</t>
  </si>
  <si>
    <t>2.82亿</t>
  </si>
  <si>
    <t>-8007571亿</t>
  </si>
  <si>
    <t>179.44万</t>
  </si>
  <si>
    <t>47372296亿</t>
  </si>
  <si>
    <t>37.69亿</t>
  </si>
  <si>
    <t>17364050000亿</t>
  </si>
  <si>
    <t>13.29亿</t>
  </si>
  <si>
    <t>29072115000亿</t>
  </si>
  <si>
    <t>6833.49万</t>
  </si>
  <si>
    <t>107.78亿</t>
  </si>
  <si>
    <t>27.88亿</t>
  </si>
  <si>
    <t>76.24亿</t>
  </si>
  <si>
    <t>248.20万</t>
  </si>
  <si>
    <t>280.14亿</t>
  </si>
  <si>
    <t>2.09亿</t>
  </si>
  <si>
    <t>5675.55万</t>
  </si>
  <si>
    <t>-3318.39万</t>
  </si>
  <si>
    <t>-5785.14万</t>
  </si>
  <si>
    <t>5047.30万</t>
  </si>
  <si>
    <t>3.75亿</t>
  </si>
  <si>
    <t>204.37万</t>
  </si>
  <si>
    <t>91.28亿</t>
  </si>
  <si>
    <t>49.11亿</t>
  </si>
  <si>
    <t>85.98亿</t>
  </si>
  <si>
    <t>320.52亿</t>
  </si>
  <si>
    <t>4.89亿</t>
  </si>
  <si>
    <t>84.18亿</t>
  </si>
  <si>
    <t>80.47亿</t>
  </si>
  <si>
    <t>2.25亿</t>
  </si>
  <si>
    <t>9178.70万</t>
  </si>
  <si>
    <t>-1206248亿</t>
  </si>
  <si>
    <t>24.05万</t>
  </si>
  <si>
    <t>103375561亿</t>
  </si>
  <si>
    <t>15.86亿</t>
  </si>
  <si>
    <t>7968539400亿</t>
  </si>
  <si>
    <t>259.02万</t>
  </si>
  <si>
    <t>14092971000亿</t>
  </si>
  <si>
    <t>1.58亿</t>
  </si>
  <si>
    <t>38.13亿</t>
  </si>
  <si>
    <t>11.85亿</t>
  </si>
  <si>
    <t>79.94万</t>
  </si>
  <si>
    <t>101.54亿</t>
  </si>
  <si>
    <t>1.50亿</t>
  </si>
  <si>
    <t>-19.14亿</t>
  </si>
  <si>
    <t>-1841.36万</t>
  </si>
  <si>
    <t>19.46亿</t>
  </si>
  <si>
    <t>10派3.045元(含税)</t>
  </si>
  <si>
    <t>1647.23万</t>
  </si>
  <si>
    <t>535.59万</t>
  </si>
  <si>
    <t>9.40亿</t>
  </si>
  <si>
    <t>19.97亿</t>
  </si>
  <si>
    <t>10.45亿</t>
  </si>
  <si>
    <t>41.06亿</t>
  </si>
  <si>
    <t>8164.26万</t>
  </si>
  <si>
    <t>10.20亿</t>
  </si>
  <si>
    <t>8.55亿</t>
  </si>
  <si>
    <t>1.08亿</t>
  </si>
  <si>
    <t>3835.03万</t>
  </si>
  <si>
    <t>510985亿</t>
  </si>
  <si>
    <t>2.18万</t>
  </si>
  <si>
    <t>18533742亿</t>
  </si>
  <si>
    <t>5.01亿</t>
  </si>
  <si>
    <t>681850960亿</t>
  </si>
  <si>
    <t>1998628800亿</t>
  </si>
  <si>
    <t>8300.00万</t>
  </si>
  <si>
    <t>5.23亿</t>
  </si>
  <si>
    <t>203.54万</t>
  </si>
  <si>
    <t>4392.63万</t>
  </si>
  <si>
    <t>-8074.18万</t>
  </si>
  <si>
    <t>6980.43万</t>
  </si>
  <si>
    <t>7790.93万</t>
  </si>
  <si>
    <t>2695.95万</t>
  </si>
  <si>
    <t>1355.93万</t>
  </si>
  <si>
    <t>480.16亿</t>
  </si>
  <si>
    <t>156.38亿</t>
  </si>
  <si>
    <t>196.24亿</t>
  </si>
  <si>
    <t>801.19亿</t>
  </si>
  <si>
    <t>6.55亿</t>
  </si>
  <si>
    <t>193.85亿</t>
  </si>
  <si>
    <t>181.03亿</t>
  </si>
  <si>
    <t>5.57亿</t>
  </si>
  <si>
    <t>86719317亿</t>
  </si>
  <si>
    <t>308.74万</t>
  </si>
  <si>
    <t>92480996亿</t>
  </si>
  <si>
    <t>63.83亿</t>
  </si>
  <si>
    <t>35463920000亿</t>
  </si>
  <si>
    <t>4.25亿</t>
  </si>
  <si>
    <t>55807192000亿</t>
  </si>
  <si>
    <t>1186.77万</t>
  </si>
  <si>
    <t>139.01亿</t>
  </si>
  <si>
    <t>39.47亿</t>
  </si>
  <si>
    <t>140.49亿</t>
  </si>
  <si>
    <t>422.65亿</t>
  </si>
  <si>
    <t>35.96亿</t>
  </si>
  <si>
    <t>-31.51亿</t>
  </si>
  <si>
    <t>-4563.13万</t>
  </si>
  <si>
    <t>-4.17亿</t>
  </si>
  <si>
    <t>5681.48万</t>
  </si>
  <si>
    <t>179.66万</t>
  </si>
  <si>
    <t>110.29亿</t>
  </si>
  <si>
    <t>61.99亿</t>
  </si>
  <si>
    <t>74.43亿</t>
  </si>
  <si>
    <t>299.96亿</t>
  </si>
  <si>
    <t>72.90亿</t>
  </si>
  <si>
    <t>70.23亿</t>
  </si>
  <si>
    <t>7439.71万</t>
  </si>
  <si>
    <t>239799亿</t>
  </si>
  <si>
    <t>1156.90万</t>
  </si>
  <si>
    <t>69608562亿</t>
  </si>
  <si>
    <t>28.54亿</t>
  </si>
  <si>
    <t>7942072900亿</t>
  </si>
  <si>
    <t>2.83亿</t>
  </si>
  <si>
    <t>14632900000亿</t>
  </si>
  <si>
    <t>102.52万</t>
  </si>
  <si>
    <t>30.84亿</t>
  </si>
  <si>
    <t>8.27亿</t>
  </si>
  <si>
    <t>48.31亿</t>
  </si>
  <si>
    <t>96.95亿</t>
  </si>
  <si>
    <t>2.75亿</t>
  </si>
  <si>
    <t>881.80万</t>
  </si>
  <si>
    <t>-2.27亿</t>
  </si>
  <si>
    <t>10派2.6元(含税)</t>
  </si>
  <si>
    <t>962.80万</t>
  </si>
  <si>
    <t>6684.89万</t>
  </si>
  <si>
    <t>1893.36万</t>
  </si>
  <si>
    <t>110.72亿</t>
  </si>
  <si>
    <t>56.56亿</t>
  </si>
  <si>
    <t>20.19亿</t>
  </si>
  <si>
    <t>80.34亿</t>
  </si>
  <si>
    <t>2031.77万</t>
  </si>
  <si>
    <t>20.23亿</t>
  </si>
  <si>
    <t>17.76亿</t>
  </si>
  <si>
    <t>8988.28万</t>
  </si>
  <si>
    <t>9161.62万</t>
  </si>
  <si>
    <t>5003522亿</t>
  </si>
  <si>
    <t>26.21万</t>
  </si>
  <si>
    <t>18162175亿</t>
  </si>
  <si>
    <t>40.23亿</t>
  </si>
  <si>
    <t>3950732900亿</t>
  </si>
  <si>
    <t>2.23亿</t>
  </si>
  <si>
    <t>10484058800亿</t>
  </si>
  <si>
    <t>4.21亿</t>
  </si>
  <si>
    <t>15.07亿</t>
  </si>
  <si>
    <t>27.28亿</t>
  </si>
  <si>
    <t>95.82亿</t>
  </si>
  <si>
    <t>-5408.45万</t>
  </si>
  <si>
    <t>7428.70万</t>
  </si>
  <si>
    <t>-18.31亿</t>
  </si>
  <si>
    <t>10派0.13元(含税)</t>
  </si>
  <si>
    <t>7390.00万</t>
  </si>
  <si>
    <t>020317700</t>
  </si>
  <si>
    <t>060953100</t>
  </si>
  <si>
    <t>0121906200</t>
  </si>
  <si>
    <t>0203177000</t>
  </si>
  <si>
    <t>0406354000</t>
  </si>
  <si>
    <t>-3-1</t>
  </si>
  <si>
    <t>702.24万</t>
  </si>
  <si>
    <t>87.70亿</t>
  </si>
  <si>
    <t>81.27亿</t>
  </si>
  <si>
    <t>51.00亿</t>
  </si>
  <si>
    <t>173.80亿</t>
  </si>
  <si>
    <t>5.49亿</t>
  </si>
  <si>
    <t>35.51亿</t>
  </si>
  <si>
    <t>10.92亿</t>
  </si>
  <si>
    <t>-637173亿</t>
  </si>
  <si>
    <t>108.37万</t>
  </si>
  <si>
    <t>246017800亿</t>
  </si>
  <si>
    <t>39.06亿</t>
  </si>
  <si>
    <t>1963864600亿</t>
  </si>
  <si>
    <t>4862.67万</t>
  </si>
  <si>
    <t>10545612100亿</t>
  </si>
  <si>
    <t>1181.21万</t>
  </si>
  <si>
    <t>35.59亿</t>
  </si>
  <si>
    <t>976.85万</t>
  </si>
  <si>
    <t>77.69亿</t>
  </si>
  <si>
    <t>2975.95万</t>
  </si>
  <si>
    <t>-2.58亿</t>
  </si>
  <si>
    <t>药店</t>
  </si>
  <si>
    <t>4433.71万</t>
  </si>
  <si>
    <t>2.85亿</t>
  </si>
  <si>
    <t>301.61万</t>
  </si>
  <si>
    <t>88.17亿</t>
  </si>
  <si>
    <t>30.43亿</t>
  </si>
  <si>
    <t>51.36亿</t>
  </si>
  <si>
    <t>198.46亿</t>
  </si>
  <si>
    <t>3.64亿</t>
  </si>
  <si>
    <t>50.15亿</t>
  </si>
  <si>
    <t>47.58亿</t>
  </si>
  <si>
    <t>7801.15万</t>
  </si>
  <si>
    <t>-3551143亿</t>
  </si>
  <si>
    <t>24.66万</t>
  </si>
  <si>
    <t>82745968亿</t>
  </si>
  <si>
    <t>4.58亿</t>
  </si>
  <si>
    <t>5866750900亿</t>
  </si>
  <si>
    <t>9481554400亿</t>
  </si>
  <si>
    <t>5.89亿</t>
  </si>
  <si>
    <t>41.56亿</t>
  </si>
  <si>
    <t>11.82亿</t>
  </si>
  <si>
    <t>22.66亿</t>
  </si>
  <si>
    <t>3.32万</t>
  </si>
  <si>
    <t>81.80亿</t>
  </si>
  <si>
    <t>5.66亿</t>
  </si>
  <si>
    <t>-1.06亿</t>
  </si>
  <si>
    <t>-1.44亿</t>
  </si>
  <si>
    <t>9719.00万</t>
  </si>
  <si>
    <t>1801.02万</t>
  </si>
  <si>
    <t>1.03亿</t>
  </si>
  <si>
    <t>147.54万</t>
  </si>
  <si>
    <t>8.31亿</t>
  </si>
  <si>
    <t>8.63亿</t>
  </si>
  <si>
    <t>12.37亿</t>
  </si>
  <si>
    <t>6.79亿</t>
  </si>
  <si>
    <t>12.15亿</t>
  </si>
  <si>
    <t>11.37亿</t>
  </si>
  <si>
    <t>5385.80万</t>
  </si>
  <si>
    <t>1603.59万</t>
  </si>
  <si>
    <t>-20452亿</t>
  </si>
  <si>
    <t>6.59万</t>
  </si>
  <si>
    <t>6091071亿</t>
  </si>
  <si>
    <t>3.78亿</t>
  </si>
  <si>
    <t>457924110亿</t>
  </si>
  <si>
    <t>665.00万</t>
  </si>
  <si>
    <t>1625252300亿</t>
  </si>
  <si>
    <t>606.40万</t>
  </si>
  <si>
    <t>4.09亿</t>
  </si>
  <si>
    <t>1.53亿</t>
  </si>
  <si>
    <t>3.57亿</t>
  </si>
  <si>
    <t>-7203.92万</t>
  </si>
  <si>
    <t>-934.48万</t>
  </si>
  <si>
    <t>8275.08万</t>
  </si>
  <si>
    <t>44.30亿</t>
  </si>
  <si>
    <t>5953.20万</t>
  </si>
  <si>
    <t>3148.13万</t>
  </si>
  <si>
    <t>10派2.2元(含税)</t>
  </si>
  <si>
    <t>496.85万</t>
  </si>
  <si>
    <t>3812.67万</t>
  </si>
  <si>
    <t>0164000000</t>
  </si>
  <si>
    <t>0492000000</t>
  </si>
  <si>
    <t>0984000000</t>
  </si>
  <si>
    <t>01640000000</t>
  </si>
  <si>
    <t>03280000000</t>
  </si>
  <si>
    <t>242.01万</t>
  </si>
  <si>
    <t>28.07亿</t>
  </si>
  <si>
    <t>3.48亿</t>
  </si>
  <si>
    <t>5422.88万</t>
  </si>
  <si>
    <t>14.42亿</t>
  </si>
  <si>
    <t>11.67亿</t>
  </si>
  <si>
    <t>4657.71万</t>
  </si>
  <si>
    <t>8423801亿</t>
  </si>
  <si>
    <t>4.62万</t>
  </si>
  <si>
    <t>165120060亿</t>
  </si>
  <si>
    <t>15.12亿</t>
  </si>
  <si>
    <t>1953026800亿</t>
  </si>
  <si>
    <t>4792158100亿</t>
  </si>
  <si>
    <t>9326.40万</t>
  </si>
  <si>
    <t>7.64亿</t>
  </si>
  <si>
    <t>2.80亿</t>
  </si>
  <si>
    <t>5.63亿</t>
  </si>
  <si>
    <t>19.96亿</t>
  </si>
  <si>
    <t>1.36亿</t>
  </si>
  <si>
    <t>-2187.05万</t>
  </si>
  <si>
    <t>2.04亿</t>
  </si>
  <si>
    <t>5.07亿</t>
  </si>
  <si>
    <t>75.64亿</t>
  </si>
  <si>
    <t>4736.82万</t>
  </si>
  <si>
    <t>6.56亿</t>
  </si>
  <si>
    <t>480.61万</t>
  </si>
  <si>
    <t>1294.98万</t>
  </si>
  <si>
    <t>6778.03万</t>
  </si>
  <si>
    <t>054228800</t>
  </si>
  <si>
    <t>0162686400</t>
  </si>
  <si>
    <t>0325372800</t>
  </si>
  <si>
    <t>0542288000</t>
  </si>
  <si>
    <t>01084576000</t>
  </si>
  <si>
    <t>-5-0</t>
  </si>
  <si>
    <t>279.19万</t>
  </si>
  <si>
    <t>69.67亿</t>
  </si>
  <si>
    <t>23.65亿</t>
  </si>
  <si>
    <t>24.39亿</t>
  </si>
  <si>
    <t>25.11亿</t>
  </si>
  <si>
    <t>1.05亿</t>
  </si>
  <si>
    <t>24.17亿</t>
  </si>
  <si>
    <t>17.74亿</t>
  </si>
  <si>
    <t>5.24亿</t>
  </si>
  <si>
    <t>7372.45万</t>
  </si>
  <si>
    <t>484965亿</t>
  </si>
  <si>
    <t>81.57万</t>
  </si>
  <si>
    <t>9508484亿</t>
  </si>
  <si>
    <t>15.05亿</t>
  </si>
  <si>
    <t>1232039420亿</t>
  </si>
  <si>
    <t>5710494200亿</t>
  </si>
  <si>
    <t>15.46亿</t>
  </si>
  <si>
    <t>6.84亿</t>
  </si>
  <si>
    <t>14.37亿</t>
  </si>
  <si>
    <t>635.96万</t>
  </si>
  <si>
    <t>53.45亿</t>
  </si>
  <si>
    <t>7.50亿</t>
  </si>
  <si>
    <t>7518.41万</t>
  </si>
  <si>
    <t>1911.40万</t>
  </si>
  <si>
    <t>2230.46万</t>
  </si>
  <si>
    <t>91.91亿</t>
  </si>
  <si>
    <t>4.63亿</t>
  </si>
  <si>
    <t>4136.70万</t>
  </si>
  <si>
    <t>1088.42万</t>
  </si>
  <si>
    <t>1.38亿</t>
  </si>
  <si>
    <t>456.06万</t>
  </si>
  <si>
    <t>34.96亿</t>
  </si>
  <si>
    <t>18.33亿</t>
  </si>
  <si>
    <t>19.47亿</t>
  </si>
  <si>
    <t>12.48亿</t>
  </si>
  <si>
    <t>10.34亿</t>
  </si>
  <si>
    <t>1.47亿</t>
  </si>
  <si>
    <t>3770.96万</t>
  </si>
  <si>
    <t>56.96万</t>
  </si>
  <si>
    <t>19381197亿</t>
  </si>
  <si>
    <t>3.93亿</t>
  </si>
  <si>
    <t>1711137700亿</t>
  </si>
  <si>
    <t>2.65亿</t>
  </si>
  <si>
    <t>3747439700亿</t>
  </si>
  <si>
    <t>16.72亿</t>
  </si>
  <si>
    <t>1.88亿</t>
  </si>
  <si>
    <t>76.89万</t>
  </si>
  <si>
    <t>28.64亿</t>
  </si>
  <si>
    <t>11.34亿</t>
  </si>
  <si>
    <t>-1.75亿</t>
  </si>
  <si>
    <t>-4.26亿</t>
  </si>
  <si>
    <t>3.39亿</t>
  </si>
  <si>
    <t>5107.77万</t>
  </si>
  <si>
    <t>39.04亿</t>
  </si>
  <si>
    <t>3429.98万</t>
  </si>
  <si>
    <t>2530.81万</t>
  </si>
  <si>
    <t>10派0.4元(含税)</t>
  </si>
  <si>
    <t>3760.25万</t>
  </si>
  <si>
    <t>460.67万</t>
  </si>
  <si>
    <t>44.86亿</t>
  </si>
  <si>
    <t>25.61亿</t>
  </si>
  <si>
    <t>17.14亿</t>
  </si>
  <si>
    <t>19.34亿</t>
  </si>
  <si>
    <t>7.49亿</t>
  </si>
  <si>
    <t>16.82亿</t>
  </si>
  <si>
    <t>8525.64万</t>
  </si>
  <si>
    <t>3629.86万</t>
  </si>
  <si>
    <t>1.58万</t>
  </si>
  <si>
    <t>27557367亿</t>
  </si>
  <si>
    <t>1714026600亿</t>
  </si>
  <si>
    <t>1.74亿</t>
  </si>
  <si>
    <t>6282956300亿</t>
  </si>
  <si>
    <t>12.17亿</t>
  </si>
  <si>
    <t>1.07亿</t>
  </si>
  <si>
    <t>22.24亿</t>
  </si>
  <si>
    <t>43.65亿</t>
  </si>
  <si>
    <t>1.37亿</t>
  </si>
  <si>
    <t>2.38亿</t>
  </si>
  <si>
    <t>-1331.88万</t>
  </si>
  <si>
    <t>7187.55万</t>
  </si>
  <si>
    <t>74.83亿</t>
  </si>
  <si>
    <t>10派1.18元(含税)</t>
  </si>
  <si>
    <t>2756.31万</t>
  </si>
  <si>
    <t>6987.88万</t>
  </si>
  <si>
    <t>0749000000</t>
  </si>
  <si>
    <t>02247000000</t>
  </si>
  <si>
    <t>04494000000</t>
  </si>
  <si>
    <t>07490000000</t>
  </si>
  <si>
    <t>014980000000</t>
  </si>
  <si>
    <t>666.69万</t>
  </si>
  <si>
    <t>26.35亿</t>
  </si>
  <si>
    <t>20.35亿</t>
  </si>
  <si>
    <t>11.04亿</t>
  </si>
  <si>
    <t>7.47亿</t>
  </si>
  <si>
    <t>7989.15万</t>
  </si>
  <si>
    <t>10.33亿</t>
  </si>
  <si>
    <t>7.42亿</t>
  </si>
  <si>
    <t>4554.30万</t>
  </si>
  <si>
    <t>246761亿</t>
  </si>
  <si>
    <t>15.84万</t>
  </si>
  <si>
    <t>45535965亿</t>
  </si>
  <si>
    <t>12.67亿</t>
  </si>
  <si>
    <t>565537470亿</t>
  </si>
  <si>
    <t>2963808800亿</t>
  </si>
  <si>
    <t>3.13亿</t>
  </si>
  <si>
    <t>8.35亿</t>
  </si>
  <si>
    <t>5.14亿</t>
  </si>
  <si>
    <t>495.50万</t>
  </si>
  <si>
    <t>21.46亿</t>
  </si>
  <si>
    <t>4.31亿</t>
  </si>
  <si>
    <t>-1.31亿</t>
  </si>
  <si>
    <t>-4792.40万</t>
  </si>
  <si>
    <t>37.97亿</t>
  </si>
  <si>
    <t>1919.19万</t>
  </si>
  <si>
    <t>10派1元(含税)</t>
  </si>
  <si>
    <t>1450.61万</t>
  </si>
  <si>
    <t>6091.44万</t>
  </si>
  <si>
    <t>531.16万</t>
  </si>
  <si>
    <t>235.22亿</t>
  </si>
  <si>
    <t>140.92亿</t>
  </si>
  <si>
    <t>87.75亿</t>
  </si>
  <si>
    <t>4590.35亿</t>
  </si>
  <si>
    <t>15.74亿</t>
  </si>
  <si>
    <t>3651674亿</t>
  </si>
  <si>
    <t>92.33万</t>
  </si>
  <si>
    <t>140701000亿</t>
  </si>
  <si>
    <t>26.31亿</t>
  </si>
  <si>
    <t>15218022000亿</t>
  </si>
  <si>
    <t>28522113000亿</t>
  </si>
  <si>
    <t>13.22亿</t>
  </si>
  <si>
    <t>84.21亿</t>
  </si>
  <si>
    <t>552.49万</t>
  </si>
  <si>
    <t>-12.07亿</t>
  </si>
  <si>
    <t>-8827.20万</t>
  </si>
  <si>
    <t>388.24亿</t>
  </si>
  <si>
    <t>1291.50亿</t>
  </si>
  <si>
    <t>5.46亿</t>
  </si>
  <si>
    <t>10派2.1019元(含税)</t>
  </si>
  <si>
    <t>2456.16万</t>
  </si>
  <si>
    <t>275.59万</t>
  </si>
  <si>
    <t>7.20亿</t>
  </si>
  <si>
    <t>6.30亿</t>
  </si>
  <si>
    <t>2.34亿</t>
  </si>
  <si>
    <t>87.74亿</t>
  </si>
  <si>
    <t>11.80亿</t>
  </si>
  <si>
    <t>1.92亿</t>
  </si>
  <si>
    <t>1798.09万</t>
  </si>
  <si>
    <t>2034.52万</t>
  </si>
  <si>
    <t>1054256亿</t>
  </si>
  <si>
    <t>13.14万</t>
  </si>
  <si>
    <t>234984亿</t>
  </si>
  <si>
    <t>397786880亿</t>
  </si>
  <si>
    <t>85.00万</t>
  </si>
  <si>
    <t>717635120亿</t>
  </si>
  <si>
    <t>293.62万</t>
  </si>
  <si>
    <t>1000.92万</t>
  </si>
  <si>
    <t>231.26万</t>
  </si>
  <si>
    <t>-6989.68万</t>
  </si>
  <si>
    <t>4002.52万</t>
  </si>
  <si>
    <t>-362.93万</t>
  </si>
  <si>
    <t>3992.82万</t>
  </si>
  <si>
    <t>9.25亿</t>
  </si>
  <si>
    <t>23.26亿</t>
  </si>
  <si>
    <t>3930.01万</t>
  </si>
  <si>
    <t>3.85亿</t>
  </si>
  <si>
    <t>10派0.49元(含税)</t>
  </si>
  <si>
    <t>1482.31万</t>
  </si>
  <si>
    <t>9453.81万</t>
  </si>
  <si>
    <t>327.18万</t>
  </si>
  <si>
    <t>149.20亿</t>
  </si>
  <si>
    <t>180.21亿</t>
  </si>
  <si>
    <t>121.22亿</t>
  </si>
  <si>
    <t>40.64亿</t>
  </si>
  <si>
    <t>4707.23万</t>
  </si>
  <si>
    <t>115.84亿</t>
  </si>
  <si>
    <t>112.70亿</t>
  </si>
  <si>
    <t>2.01亿</t>
  </si>
  <si>
    <t>1.01亿</t>
  </si>
  <si>
    <t>104978672亿</t>
  </si>
  <si>
    <t>62.99万</t>
  </si>
  <si>
    <t>457982150亿</t>
  </si>
  <si>
    <t>92.95亿</t>
  </si>
  <si>
    <t>9629511100亿</t>
  </si>
  <si>
    <t>5898.25万</t>
  </si>
  <si>
    <t>28551197000亿</t>
  </si>
  <si>
    <t>190.90万</t>
  </si>
  <si>
    <t>1.84亿</t>
  </si>
  <si>
    <t>20.78亿</t>
  </si>
  <si>
    <t>85.27亿</t>
  </si>
  <si>
    <t>137.33亿</t>
  </si>
  <si>
    <t>-17.20亿</t>
  </si>
  <si>
    <t>-232.97万</t>
  </si>
  <si>
    <t>496.96亿</t>
  </si>
  <si>
    <t>8.17亿</t>
  </si>
  <si>
    <t>10派8.54元(含税)</t>
  </si>
  <si>
    <t>1788.85万</t>
  </si>
  <si>
    <t>1.30亿</t>
  </si>
  <si>
    <t>047072300</t>
  </si>
  <si>
    <t>0141216900</t>
  </si>
  <si>
    <t>0282433800</t>
  </si>
  <si>
    <t>0470723000</t>
  </si>
  <si>
    <t>0941446000</t>
  </si>
  <si>
    <t>478.28万</t>
  </si>
  <si>
    <t>211.55亿</t>
  </si>
  <si>
    <t>74.57亿</t>
  </si>
  <si>
    <t>139.53亿</t>
  </si>
  <si>
    <t>766.93万</t>
  </si>
  <si>
    <t>136.63亿</t>
  </si>
  <si>
    <t>131.12亿</t>
  </si>
  <si>
    <t>2.81亿</t>
  </si>
  <si>
    <t>105359亿</t>
  </si>
  <si>
    <t>362.04万</t>
  </si>
  <si>
    <t>154339570亿</t>
  </si>
  <si>
    <t>15899595000亿</t>
  </si>
  <si>
    <t>20.62亿</t>
  </si>
  <si>
    <t>29863791000亿</t>
  </si>
  <si>
    <t>1.39亿</t>
  </si>
  <si>
    <t>44.92亿</t>
  </si>
  <si>
    <t>25.69亿</t>
  </si>
  <si>
    <t>68.95亿</t>
  </si>
  <si>
    <t>211.60亿</t>
  </si>
  <si>
    <t>-38.93亿</t>
  </si>
  <si>
    <t>-3.64亿</t>
  </si>
  <si>
    <t>34.14亿</t>
  </si>
  <si>
    <t>535.90亿</t>
  </si>
  <si>
    <t>5730.14万</t>
  </si>
  <si>
    <t>5.78亿</t>
  </si>
  <si>
    <t>319.17万</t>
  </si>
  <si>
    <t>10派1.6元(含税)</t>
  </si>
  <si>
    <t>3262.87万</t>
  </si>
  <si>
    <t>1.94亿</t>
  </si>
  <si>
    <t>07669300</t>
  </si>
  <si>
    <t>023007900</t>
  </si>
  <si>
    <t>046015800</t>
  </si>
  <si>
    <t>076693000</t>
  </si>
  <si>
    <t>0153386000</t>
  </si>
  <si>
    <t>289.28万</t>
  </si>
  <si>
    <t>46.75亿</t>
  </si>
  <si>
    <t>28.30亿</t>
  </si>
  <si>
    <t>25.98亿</t>
  </si>
  <si>
    <t>2219.80万</t>
  </si>
  <si>
    <t>24.93亿</t>
  </si>
  <si>
    <t>23.56亿</t>
  </si>
  <si>
    <t>1.00亿</t>
  </si>
  <si>
    <t>2332.08万</t>
  </si>
  <si>
    <t>77135172亿</t>
  </si>
  <si>
    <t>10.54亿</t>
  </si>
  <si>
    <t>4367694200亿</t>
  </si>
  <si>
    <t>6864269300亿</t>
  </si>
  <si>
    <t>5961.72万</t>
  </si>
  <si>
    <t>12.53亿</t>
  </si>
  <si>
    <t>14.01亿</t>
  </si>
  <si>
    <t>592.93万</t>
  </si>
  <si>
    <t>43.82亿</t>
  </si>
  <si>
    <t>-3.36亿</t>
  </si>
  <si>
    <t>-113.12万</t>
  </si>
  <si>
    <t>103.90亿</t>
  </si>
  <si>
    <t>6260.11万</t>
  </si>
  <si>
    <t>2.92亿</t>
  </si>
  <si>
    <t>1987.29万</t>
  </si>
  <si>
    <t>10派1.44元(含税)</t>
  </si>
  <si>
    <t>1701.42万</t>
  </si>
  <si>
    <t>022198000</t>
  </si>
  <si>
    <t>066594000</t>
  </si>
  <si>
    <t>0133188000</t>
  </si>
  <si>
    <t>0221980000</t>
  </si>
  <si>
    <t>0443960000</t>
  </si>
  <si>
    <t>-2-0</t>
  </si>
  <si>
    <t>86.17万</t>
  </si>
  <si>
    <t>4.62亿</t>
  </si>
  <si>
    <t>4.02亿</t>
  </si>
  <si>
    <t>6903.61万</t>
  </si>
  <si>
    <t>4.56亿</t>
  </si>
  <si>
    <t>6185.12万</t>
  </si>
  <si>
    <t>1392.88万</t>
  </si>
  <si>
    <t>1079042亿</t>
  </si>
  <si>
    <t>4029.98万</t>
  </si>
  <si>
    <t>4445109亿</t>
  </si>
  <si>
    <t>3.92亿</t>
  </si>
  <si>
    <t>232700710亿</t>
  </si>
  <si>
    <t>426.70万</t>
  </si>
  <si>
    <t>1073077540亿</t>
  </si>
  <si>
    <t>180.94万</t>
  </si>
  <si>
    <t>3147.17万</t>
  </si>
  <si>
    <t>3.35亿</t>
  </si>
  <si>
    <t>135.60万</t>
  </si>
  <si>
    <t>6.35亿</t>
  </si>
  <si>
    <t>1036.87万</t>
  </si>
  <si>
    <t>-2332.11万</t>
  </si>
  <si>
    <t>436.27万</t>
  </si>
  <si>
    <t>18.20亿</t>
  </si>
  <si>
    <t>7957.57万</t>
  </si>
  <si>
    <t>8927.52万</t>
  </si>
  <si>
    <t>1716.34万</t>
  </si>
  <si>
    <t>10派1.25元(含税)</t>
  </si>
  <si>
    <t>424.21万</t>
  </si>
  <si>
    <t>2914.11万</t>
  </si>
  <si>
    <t>-4-1</t>
  </si>
  <si>
    <t>2121.91万</t>
  </si>
  <si>
    <t>633.12亿</t>
  </si>
  <si>
    <t>308.60亿</t>
  </si>
  <si>
    <t>404.72亿</t>
  </si>
  <si>
    <t>198.21亿</t>
  </si>
  <si>
    <t>87.64亿</t>
  </si>
  <si>
    <t>396.78亿</t>
  </si>
  <si>
    <t>375.56亿</t>
  </si>
  <si>
    <t>6.53亿</t>
  </si>
  <si>
    <t>25607809亿</t>
  </si>
  <si>
    <t>733.91万</t>
  </si>
  <si>
    <t>521527560亿</t>
  </si>
  <si>
    <t>143.90亿</t>
  </si>
  <si>
    <t>37121596000亿</t>
  </si>
  <si>
    <t>79751283000亿</t>
  </si>
  <si>
    <t>6.00亿</t>
  </si>
  <si>
    <t>121.29亿</t>
  </si>
  <si>
    <t>243.21亿</t>
  </si>
  <si>
    <t>183.60亿</t>
  </si>
  <si>
    <t>634.55亿</t>
  </si>
  <si>
    <t>20.10亿</t>
  </si>
  <si>
    <t>-36.54亿</t>
  </si>
  <si>
    <t>-3.28亿</t>
  </si>
  <si>
    <t>15.03亿</t>
  </si>
  <si>
    <t>1501.40亿</t>
  </si>
  <si>
    <t>21.74亿</t>
  </si>
  <si>
    <t>22.60亿</t>
  </si>
  <si>
    <t>10转2.9股派2.5元(含税)</t>
  </si>
  <si>
    <t>08764000000</t>
  </si>
  <si>
    <t>026292000000</t>
  </si>
  <si>
    <t>052584000000</t>
  </si>
  <si>
    <t>087640000000</t>
  </si>
  <si>
    <t>0175280000000</t>
  </si>
  <si>
    <t>1233.42万</t>
  </si>
  <si>
    <t>1316.46亿</t>
  </si>
  <si>
    <t>820.86亿</t>
  </si>
  <si>
    <t>701.53亿</t>
  </si>
  <si>
    <t>95.57亿</t>
  </si>
  <si>
    <t>678.92亿</t>
  </si>
  <si>
    <t>621.25亿</t>
  </si>
  <si>
    <t>32.91亿</t>
  </si>
  <si>
    <t>13.91亿</t>
  </si>
  <si>
    <t>166442380亿</t>
  </si>
  <si>
    <t>1449.92万</t>
  </si>
  <si>
    <t>1374629800亿</t>
  </si>
  <si>
    <t>300.40亿</t>
  </si>
  <si>
    <t>81246028000亿</t>
  </si>
  <si>
    <t>16.95亿</t>
  </si>
  <si>
    <t>167405500000亿</t>
  </si>
  <si>
    <t>42.04亿</t>
  </si>
  <si>
    <t>374.10亿</t>
  </si>
  <si>
    <t>62.85亿</t>
  </si>
  <si>
    <t>510.67亿</t>
  </si>
  <si>
    <t>1252.73亿</t>
  </si>
  <si>
    <t>66.21亿</t>
  </si>
  <si>
    <t>-54.74亿</t>
  </si>
  <si>
    <t>18.42亿</t>
  </si>
  <si>
    <t>32.50亿</t>
  </si>
  <si>
    <t>2602.95亿</t>
  </si>
  <si>
    <t>21.72亿</t>
  </si>
  <si>
    <t>37.68亿</t>
  </si>
  <si>
    <t>8007.03万</t>
  </si>
  <si>
    <t>10派4.1元(含税)</t>
  </si>
  <si>
    <t>5288.17万</t>
  </si>
  <si>
    <t>3.59亿</t>
  </si>
  <si>
    <t>0384000000</t>
  </si>
  <si>
    <t>01152000000</t>
  </si>
  <si>
    <t>02304000000</t>
  </si>
  <si>
    <t>03840000000</t>
  </si>
  <si>
    <t>07680000000</t>
  </si>
  <si>
    <t>1275.73万</t>
  </si>
  <si>
    <t>88.63亿</t>
  </si>
  <si>
    <t>55.16亿</t>
  </si>
  <si>
    <t>26.61亿</t>
  </si>
  <si>
    <t>2.26亿</t>
  </si>
  <si>
    <t>19.48亿</t>
  </si>
  <si>
    <t>15.17亿</t>
  </si>
  <si>
    <t>26177505亿</t>
  </si>
  <si>
    <t>168.82万</t>
  </si>
  <si>
    <t>18602635亿</t>
  </si>
  <si>
    <t>10.90亿</t>
  </si>
  <si>
    <t>5699356700亿</t>
  </si>
  <si>
    <t>9525768100亿</t>
  </si>
  <si>
    <t>473.67万</t>
  </si>
  <si>
    <t>48.90亿</t>
  </si>
  <si>
    <t>9100.00万</t>
  </si>
  <si>
    <t>1834.49万</t>
  </si>
  <si>
    <t>76.95亿</t>
  </si>
  <si>
    <t>4.11亿</t>
  </si>
  <si>
    <t>-4084.60万</t>
  </si>
  <si>
    <t>-7304.88万</t>
  </si>
  <si>
    <t>91.47亿</t>
  </si>
  <si>
    <t>7.33亿</t>
  </si>
  <si>
    <t>6492.87万</t>
  </si>
  <si>
    <t>6140.38万</t>
  </si>
  <si>
    <t>4.13亿</t>
  </si>
  <si>
    <t>0226000000</t>
  </si>
  <si>
    <t>0678000000</t>
  </si>
  <si>
    <t>01356000000</t>
  </si>
  <si>
    <t>02260000000</t>
  </si>
  <si>
    <t>04520000000</t>
  </si>
  <si>
    <t>10-1</t>
  </si>
  <si>
    <t>443.49万</t>
  </si>
  <si>
    <t>11.75亿</t>
  </si>
  <si>
    <t>36.60亿</t>
  </si>
  <si>
    <t>-5.84亿</t>
  </si>
  <si>
    <t>2033.77万</t>
  </si>
  <si>
    <t>1644.94万</t>
  </si>
  <si>
    <t>59.30万</t>
  </si>
  <si>
    <t>6641379亿</t>
  </si>
  <si>
    <t>1.96亿</t>
  </si>
  <si>
    <t>747664560亿</t>
  </si>
  <si>
    <t>1270798590亿</t>
  </si>
  <si>
    <t>164.08万</t>
  </si>
  <si>
    <t>-5271.22万</t>
  </si>
  <si>
    <t>-678.93万</t>
  </si>
  <si>
    <t>5731.57万</t>
  </si>
  <si>
    <t>10.93亿</t>
  </si>
  <si>
    <t>10.00亿</t>
  </si>
  <si>
    <t>4718.69万</t>
  </si>
  <si>
    <t>1918.78万</t>
  </si>
  <si>
    <t>1839.39万</t>
  </si>
  <si>
    <t>1363.09万</t>
  </si>
  <si>
    <t>161.90亿</t>
  </si>
  <si>
    <t>84.58亿</t>
  </si>
  <si>
    <t>67.52亿</t>
  </si>
  <si>
    <t>18.82亿</t>
  </si>
  <si>
    <t>4.76亿</t>
  </si>
  <si>
    <t>61.95亿</t>
  </si>
  <si>
    <t>43.58亿</t>
  </si>
  <si>
    <t>14.68亿</t>
  </si>
  <si>
    <t>251.22万</t>
  </si>
  <si>
    <t>396279400亿</t>
  </si>
  <si>
    <t>53.61亿</t>
  </si>
  <si>
    <t>1143239820亿</t>
  </si>
  <si>
    <t>441.16万</t>
  </si>
  <si>
    <t>11770360500亿</t>
  </si>
  <si>
    <t>9.43亿</t>
  </si>
  <si>
    <t>8.85亿</t>
  </si>
  <si>
    <t>47.36亿</t>
  </si>
  <si>
    <t>661.13万</t>
  </si>
  <si>
    <t>4.43亿</t>
  </si>
  <si>
    <t>12.26亿</t>
  </si>
  <si>
    <t>-4.59亿</t>
  </si>
  <si>
    <t>-2.16亿</t>
  </si>
  <si>
    <t>245.31亿</t>
  </si>
  <si>
    <t>11.66亿</t>
  </si>
  <si>
    <t>6323.69万</t>
  </si>
  <si>
    <t>-3-0</t>
  </si>
  <si>
    <t>435.88万</t>
  </si>
  <si>
    <t>130.96亿</t>
  </si>
  <si>
    <t>73.77亿</t>
  </si>
  <si>
    <t>57.75亿</t>
  </si>
  <si>
    <t>100.98亿</t>
  </si>
  <si>
    <t>53.77亿</t>
  </si>
  <si>
    <t>50.67亿</t>
  </si>
  <si>
    <t>1.35亿</t>
  </si>
  <si>
    <t>9926.69万</t>
  </si>
  <si>
    <t>-11463亿</t>
  </si>
  <si>
    <t>242.64万</t>
  </si>
  <si>
    <t>296960390亿</t>
  </si>
  <si>
    <t>11554953900亿</t>
  </si>
  <si>
    <t>17891724000亿</t>
  </si>
  <si>
    <t>4991.78万</t>
  </si>
  <si>
    <t>38.58亿</t>
  </si>
  <si>
    <t>36.07亿</t>
  </si>
  <si>
    <t>30.50亿</t>
  </si>
  <si>
    <t>117.11亿</t>
  </si>
  <si>
    <t>3.23亿</t>
  </si>
  <si>
    <t>-5.33亿</t>
  </si>
  <si>
    <t>-4460.44万</t>
  </si>
  <si>
    <t>-4.70亿</t>
  </si>
  <si>
    <t>208.12亿</t>
  </si>
  <si>
    <t>38.02亿</t>
  </si>
  <si>
    <t>8.50亿</t>
  </si>
  <si>
    <t>12.55亿</t>
  </si>
  <si>
    <t>10派6元(含税)</t>
  </si>
  <si>
    <t>2893.57万</t>
  </si>
  <si>
    <t>437.69万</t>
  </si>
  <si>
    <t>4.85亿</t>
  </si>
  <si>
    <t>-4.62亿</t>
  </si>
  <si>
    <t>4.65亿</t>
  </si>
  <si>
    <t>2689.28万</t>
  </si>
  <si>
    <t>4076.10万</t>
  </si>
  <si>
    <t>-3391748亿</t>
  </si>
  <si>
    <t>17.70万</t>
  </si>
  <si>
    <t>909716亿</t>
  </si>
  <si>
    <t>1.75亿</t>
  </si>
  <si>
    <t>1555374700亿</t>
  </si>
  <si>
    <t>3226.23万</t>
  </si>
  <si>
    <t>2365756900亿</t>
  </si>
  <si>
    <t>1229.90万</t>
  </si>
  <si>
    <t>4.66亿</t>
  </si>
  <si>
    <t>53.74万</t>
  </si>
  <si>
    <t>13.49亿</t>
  </si>
  <si>
    <t>2393.65万</t>
  </si>
  <si>
    <t>-2714.90万</t>
  </si>
  <si>
    <t>-364.91万</t>
  </si>
  <si>
    <t>-6339.16万</t>
  </si>
  <si>
    <t>20.06亿</t>
  </si>
  <si>
    <t>1.89亿</t>
  </si>
  <si>
    <t>-1.59亿</t>
  </si>
  <si>
    <t>-4694.60万</t>
  </si>
  <si>
    <t>2610.23万</t>
  </si>
  <si>
    <t>1032.79万</t>
  </si>
  <si>
    <t>139.42亿</t>
  </si>
  <si>
    <t>76.56亿</t>
  </si>
  <si>
    <t>55.39亿</t>
  </si>
  <si>
    <t>200.96亿</t>
  </si>
  <si>
    <t>7.51亿</t>
  </si>
  <si>
    <t>35.89亿</t>
  </si>
  <si>
    <t>11.97亿</t>
  </si>
  <si>
    <t>2.47亿</t>
  </si>
  <si>
    <t>944372亿</t>
  </si>
  <si>
    <t>303.05万</t>
  </si>
  <si>
    <t>310558630亿</t>
  </si>
  <si>
    <t>20.18亿</t>
  </si>
  <si>
    <t>2168665200亿</t>
  </si>
  <si>
    <t>6971.41万</t>
  </si>
  <si>
    <t>9195201200亿</t>
  </si>
  <si>
    <t>6.32亿</t>
  </si>
  <si>
    <t>45.40亿</t>
  </si>
  <si>
    <t>23.79亿</t>
  </si>
  <si>
    <t>1743.93万</t>
  </si>
  <si>
    <t>103.26亿</t>
  </si>
  <si>
    <t>15.53亿</t>
  </si>
  <si>
    <t>4.17亿</t>
  </si>
  <si>
    <t>-9038.19万</t>
  </si>
  <si>
    <t>-2.71亿</t>
  </si>
  <si>
    <t>224.37亿</t>
  </si>
  <si>
    <t>44.42亿</t>
  </si>
  <si>
    <t>9.29亿</t>
  </si>
  <si>
    <t>10转3股派5元(含税)</t>
  </si>
  <si>
    <t>5969.68万</t>
  </si>
  <si>
    <t>2468.83万</t>
  </si>
  <si>
    <t>136.89亿</t>
  </si>
  <si>
    <t>110.68亿</t>
  </si>
  <si>
    <t>59.71亿</t>
  </si>
  <si>
    <t>26.50亿</t>
  </si>
  <si>
    <t>53.95亿</t>
  </si>
  <si>
    <t>36.28亿</t>
  </si>
  <si>
    <t>14.57亿</t>
  </si>
  <si>
    <t>2.49亿</t>
  </si>
  <si>
    <t>14930289亿</t>
  </si>
  <si>
    <t>245.31万</t>
  </si>
  <si>
    <t>399441130亿</t>
  </si>
  <si>
    <t>53.70亿</t>
  </si>
  <si>
    <t>2356242800亿</t>
  </si>
  <si>
    <t>13948585000亿</t>
  </si>
  <si>
    <t>56.65亿</t>
  </si>
  <si>
    <t>1369.62万</t>
  </si>
  <si>
    <t>110.89亿</t>
  </si>
  <si>
    <t>6.50亿</t>
  </si>
  <si>
    <t>-1.62亿</t>
  </si>
  <si>
    <t>13.56亿</t>
  </si>
  <si>
    <t>225.88亿</t>
  </si>
  <si>
    <t>14.12亿</t>
  </si>
  <si>
    <t>9220.99万</t>
  </si>
  <si>
    <t>10转2.0股派5.0元(含税)</t>
  </si>
  <si>
    <t>7753.90万</t>
  </si>
  <si>
    <t>3.50亿</t>
  </si>
  <si>
    <t>172.15万</t>
  </si>
  <si>
    <t>71.04亿</t>
  </si>
  <si>
    <t>28.97亿</t>
  </si>
  <si>
    <t>23.14亿</t>
  </si>
  <si>
    <t>30.44亿</t>
  </si>
  <si>
    <t>5464.29万</t>
  </si>
  <si>
    <t>5311.52万</t>
  </si>
  <si>
    <t>-2373958亿</t>
  </si>
  <si>
    <t>65.09万</t>
  </si>
  <si>
    <t>50432132亿</t>
  </si>
  <si>
    <t>7.80亿</t>
  </si>
  <si>
    <t>530212930亿</t>
  </si>
  <si>
    <t>310.16万</t>
  </si>
  <si>
    <t>4038566800亿</t>
  </si>
  <si>
    <t>7.54亿</t>
  </si>
  <si>
    <t>9.44亿</t>
  </si>
  <si>
    <t>18.23亿</t>
  </si>
  <si>
    <t>482.67万</t>
  </si>
  <si>
    <t>48.79亿</t>
  </si>
  <si>
    <t>10.30亿</t>
  </si>
  <si>
    <t>-1954.52万</t>
  </si>
  <si>
    <t>-1.41亿</t>
  </si>
  <si>
    <t>90.81亿</t>
  </si>
  <si>
    <t>1541.00万</t>
  </si>
  <si>
    <t>10转2股派12.85元(含税)</t>
  </si>
  <si>
    <t>1068.60万</t>
  </si>
  <si>
    <t>4018.00万</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</si>
</sst>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sz val="9"/>
      <color rgb="FFFF0000"/>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4">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3" fillId="0" borderId="0" xfId="0" applyFont="1" applyAlignment="1">
      <alignment vertical="center" wrapText="1"/>
    </xf>
    <xf numFmtId="0" fontId="5" fillId="0" borderId="0" xfId="0" applyFont="1" applyFill="1">
      <alignment vertical="center"/>
    </xf>
    <xf numFmtId="14" fontId="0" fillId="0" borderId="0" xfId="0" applyNumberFormat="1">
      <alignment vertical="center"/>
    </xf>
    <xf numFmtId="0" fontId="0" fillId="4" borderId="0" xfId="0" applyFill="1">
      <alignment vertical="center"/>
    </xf>
    <xf numFmtId="0" fontId="0" fillId="5" borderId="0" xfId="0" applyFill="1">
      <alignment vertical="center"/>
    </xf>
    <xf numFmtId="0" fontId="5" fillId="0" borderId="0" xfId="0" applyFont="1">
      <alignment vertical="center"/>
    </xf>
    <xf numFmtId="0" fontId="4" fillId="0" borderId="0" xfId="0" applyFon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482600</xdr:colOff>
          <xdr:row>0</xdr:row>
          <xdr:rowOff>76200</xdr:rowOff>
        </xdr:from>
        <xdr:to>
          <xdr:col>147</xdr:col>
          <xdr:colOff>1695450</xdr:colOff>
          <xdr:row>0</xdr:row>
          <xdr:rowOff>387350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32"/>
  <sheetViews>
    <sheetView tabSelected="1" zoomScale="85" zoomScaleNormal="85" workbookViewId="0">
      <pane xSplit="5" ySplit="1" topLeftCell="F27" activePane="bottomRight" state="frozen"/>
      <selection pane="topRight" activeCell="F1" sqref="F1"/>
      <selection pane="bottomLeft" activeCell="A2" sqref="A2"/>
      <selection pane="bottomRight" activeCell="D32" sqref="D32:EP32"/>
    </sheetView>
  </sheetViews>
  <sheetFormatPr defaultRowHeight="14" x14ac:dyDescent="0.25"/>
  <cols>
    <col min="1" max="1" width="29.90625" customWidth="1"/>
    <col min="2" max="2" width="29" customWidth="1"/>
    <col min="3" max="3" width="45.26953125" customWidth="1"/>
    <col min="148" max="148" width="29.08984375" customWidth="1"/>
  </cols>
  <sheetData>
    <row r="1" spans="1:146" ht="37" customHeight="1" x14ac:dyDescent="0.25">
      <c r="A1" s="3" t="s">
        <v>24</v>
      </c>
      <c r="B1" s="4" t="s">
        <v>25</v>
      </c>
      <c r="C1" s="3" t="s">
        <v>26</v>
      </c>
      <c r="D1" t="s">
        <v>27</v>
      </c>
      <c r="E1" t="s">
        <v>334</v>
      </c>
      <c r="F1" t="s">
        <v>3</v>
      </c>
      <c r="G1" t="s">
        <v>388</v>
      </c>
      <c r="H1" t="s">
        <v>389</v>
      </c>
      <c r="I1" t="s">
        <v>28</v>
      </c>
      <c r="J1" t="s">
        <v>29</v>
      </c>
      <c r="K1" t="s">
        <v>4</v>
      </c>
      <c r="L1" t="s">
        <v>30</v>
      </c>
      <c r="M1" t="s">
        <v>31</v>
      </c>
      <c r="N1" t="s">
        <v>32</v>
      </c>
      <c r="O1" t="s">
        <v>33</v>
      </c>
      <c r="P1" t="s">
        <v>390</v>
      </c>
      <c r="Q1" t="s">
        <v>335</v>
      </c>
      <c r="R1" t="s">
        <v>336</v>
      </c>
      <c r="S1" t="s">
        <v>34</v>
      </c>
      <c r="T1" t="s">
        <v>391</v>
      </c>
      <c r="U1" t="s">
        <v>260</v>
      </c>
      <c r="V1" t="s">
        <v>35</v>
      </c>
      <c r="W1" t="s">
        <v>337</v>
      </c>
      <c r="X1" t="s">
        <v>338</v>
      </c>
      <c r="Y1" t="s">
        <v>339</v>
      </c>
      <c r="Z1" t="s">
        <v>340</v>
      </c>
      <c r="AA1" t="s">
        <v>341</v>
      </c>
      <c r="AB1" t="s">
        <v>392</v>
      </c>
      <c r="AC1" t="s">
        <v>342</v>
      </c>
      <c r="AD1" t="s">
        <v>343</v>
      </c>
      <c r="AE1" t="s">
        <v>36</v>
      </c>
      <c r="AF1" t="s">
        <v>37</v>
      </c>
      <c r="AG1" t="s">
        <v>393</v>
      </c>
      <c r="AH1" t="s">
        <v>344</v>
      </c>
      <c r="AI1" t="s">
        <v>394</v>
      </c>
      <c r="AJ1" t="s">
        <v>38</v>
      </c>
      <c r="AK1" t="s">
        <v>395</v>
      </c>
      <c r="AL1" t="s">
        <v>110</v>
      </c>
      <c r="AM1" t="s">
        <v>396</v>
      </c>
      <c r="AN1" t="s">
        <v>397</v>
      </c>
      <c r="AO1" t="s">
        <v>398</v>
      </c>
      <c r="AP1" t="s">
        <v>399</v>
      </c>
      <c r="AQ1" t="s">
        <v>400</v>
      </c>
      <c r="AR1" t="s">
        <v>401</v>
      </c>
      <c r="AS1" t="s">
        <v>402</v>
      </c>
      <c r="AT1" t="s">
        <v>403</v>
      </c>
      <c r="AU1" t="s">
        <v>404</v>
      </c>
      <c r="AV1" t="s">
        <v>405</v>
      </c>
      <c r="AW1" t="s">
        <v>406</v>
      </c>
      <c r="AX1" t="s">
        <v>345</v>
      </c>
      <c r="AY1" t="s">
        <v>111</v>
      </c>
      <c r="AZ1" t="s">
        <v>112</v>
      </c>
      <c r="BA1" t="s">
        <v>113</v>
      </c>
      <c r="BB1" t="s">
        <v>114</v>
      </c>
      <c r="BC1" t="s">
        <v>261</v>
      </c>
      <c r="BD1" t="s">
        <v>115</v>
      </c>
      <c r="BE1" t="s">
        <v>116</v>
      </c>
      <c r="BF1" t="s">
        <v>117</v>
      </c>
      <c r="BG1" t="s">
        <v>118</v>
      </c>
      <c r="BH1" t="s">
        <v>407</v>
      </c>
      <c r="BI1" t="s">
        <v>408</v>
      </c>
      <c r="BJ1" t="s">
        <v>409</v>
      </c>
      <c r="BK1" t="s">
        <v>410</v>
      </c>
      <c r="BL1" t="s">
        <v>411</v>
      </c>
      <c r="BM1" t="s">
        <v>412</v>
      </c>
      <c r="BN1" t="s">
        <v>346</v>
      </c>
      <c r="BO1" t="s">
        <v>262</v>
      </c>
      <c r="BP1" t="s">
        <v>119</v>
      </c>
      <c r="BQ1" t="s">
        <v>347</v>
      </c>
      <c r="BR1" t="s">
        <v>263</v>
      </c>
      <c r="BS1" t="s">
        <v>120</v>
      </c>
      <c r="BT1" t="s">
        <v>413</v>
      </c>
      <c r="BU1" t="s">
        <v>348</v>
      </c>
      <c r="BV1" t="s">
        <v>414</v>
      </c>
      <c r="BW1" t="s">
        <v>252</v>
      </c>
      <c r="BX1" t="s">
        <v>121</v>
      </c>
      <c r="BY1" t="s">
        <v>415</v>
      </c>
      <c r="BZ1" t="s">
        <v>253</v>
      </c>
      <c r="CA1" t="s">
        <v>122</v>
      </c>
      <c r="CB1" t="s">
        <v>416</v>
      </c>
      <c r="CC1" t="s">
        <v>417</v>
      </c>
      <c r="CD1" t="s">
        <v>418</v>
      </c>
      <c r="CE1" t="s">
        <v>419</v>
      </c>
      <c r="CF1" s="1" t="s">
        <v>349</v>
      </c>
      <c r="CG1" s="1" t="s">
        <v>350</v>
      </c>
      <c r="CH1" s="1" t="s">
        <v>239</v>
      </c>
      <c r="CI1" s="1" t="s">
        <v>240</v>
      </c>
      <c r="CJ1" s="1" t="s">
        <v>241</v>
      </c>
      <c r="CK1" s="1" t="s">
        <v>242</v>
      </c>
      <c r="CL1" s="1" t="s">
        <v>243</v>
      </c>
      <c r="CM1" s="1" t="s">
        <v>244</v>
      </c>
      <c r="CN1" s="1" t="s">
        <v>245</v>
      </c>
      <c r="CO1" s="1" t="s">
        <v>246</v>
      </c>
      <c r="CP1" s="1" t="s">
        <v>247</v>
      </c>
      <c r="CQ1" s="1" t="s">
        <v>248</v>
      </c>
      <c r="CR1" s="1" t="s">
        <v>430</v>
      </c>
      <c r="CS1" s="1" t="s">
        <v>431</v>
      </c>
      <c r="CT1" s="1" t="s">
        <v>420</v>
      </c>
      <c r="CU1" s="1" t="s">
        <v>421</v>
      </c>
      <c r="CV1" s="1" t="s">
        <v>351</v>
      </c>
      <c r="CW1" s="1" t="s">
        <v>422</v>
      </c>
      <c r="CX1">
        <v>1</v>
      </c>
      <c r="CY1" t="s">
        <v>352</v>
      </c>
      <c r="CZ1" t="s">
        <v>432</v>
      </c>
      <c r="DA1">
        <v>3</v>
      </c>
      <c r="DB1" t="s">
        <v>353</v>
      </c>
      <c r="DC1" t="s">
        <v>354</v>
      </c>
      <c r="DD1">
        <v>6</v>
      </c>
      <c r="DE1" t="s">
        <v>433</v>
      </c>
      <c r="DF1" t="s">
        <v>355</v>
      </c>
      <c r="DG1">
        <v>10</v>
      </c>
      <c r="DH1" t="s">
        <v>423</v>
      </c>
      <c r="DI1" t="s">
        <v>424</v>
      </c>
      <c r="DJ1">
        <v>20</v>
      </c>
      <c r="DK1" t="s">
        <v>356</v>
      </c>
      <c r="DL1" t="s">
        <v>249</v>
      </c>
      <c r="DM1" t="s">
        <v>250</v>
      </c>
      <c r="DN1" s="2" t="s">
        <v>251</v>
      </c>
      <c r="DO1" t="s">
        <v>357</v>
      </c>
      <c r="DP1" t="s">
        <v>358</v>
      </c>
      <c r="DQ1" s="7" t="s">
        <v>434</v>
      </c>
      <c r="DR1" s="1" t="s">
        <v>435</v>
      </c>
      <c r="DS1" s="1" t="s">
        <v>359</v>
      </c>
      <c r="DT1" t="s">
        <v>425</v>
      </c>
      <c r="DU1" t="s">
        <v>436</v>
      </c>
      <c r="DV1" t="s">
        <v>437</v>
      </c>
      <c r="DW1" t="s">
        <v>426</v>
      </c>
      <c r="DX1" t="s">
        <v>438</v>
      </c>
      <c r="DY1" t="s">
        <v>427</v>
      </c>
      <c r="DZ1" t="s">
        <v>360</v>
      </c>
      <c r="EA1" t="s">
        <v>361</v>
      </c>
      <c r="EB1" t="s">
        <v>439</v>
      </c>
      <c r="EC1" t="s">
        <v>362</v>
      </c>
      <c r="ED1" t="s">
        <v>440</v>
      </c>
      <c r="EE1" t="s">
        <v>363</v>
      </c>
      <c r="EF1" t="s">
        <v>364</v>
      </c>
      <c r="EG1" t="s">
        <v>365</v>
      </c>
      <c r="EH1" t="s">
        <v>441</v>
      </c>
      <c r="EI1" t="s">
        <v>442</v>
      </c>
      <c r="EK1" s="8" t="s">
        <v>443</v>
      </c>
      <c r="EL1" t="s">
        <v>428</v>
      </c>
      <c r="EM1" t="s">
        <v>444</v>
      </c>
      <c r="EN1" t="s">
        <v>445</v>
      </c>
      <c r="EO1" t="s">
        <v>429</v>
      </c>
      <c r="EP1" t="s">
        <v>446</v>
      </c>
    </row>
    <row r="2" spans="1:146" ht="96" x14ac:dyDescent="0.25">
      <c r="A2" s="6"/>
      <c r="B2" s="6"/>
      <c r="C2" s="6" t="str">
        <f>""&amp;CHAR(10)&amp;Basic_Fundamental_Information_Constructure(F2)&amp;CHAR(10)&amp;Basic_Fundamental_Information_Concatenate("")</f>
        <v xml:space="preserve">
市值184.39001亿, 利润15.99亿; PE11.34; 平均PE13.32; 平均PEG1.11, PB1.04; ROIC7.9867%; ROE8.6867%; 股利率2.0525%; 毛利11.9567%; 净利2.41%; 上一年度营收增2.77%, 利润增7.53%; 当季营收增2.16%, 利润增7.4%; 过往5年营收增12.04%, 利润增5.88%
Income profile:
</v>
      </c>
      <c r="D2" t="s">
        <v>39</v>
      </c>
      <c r="E2" t="s">
        <v>17</v>
      </c>
      <c r="F2">
        <v>33.130000000000003</v>
      </c>
      <c r="G2">
        <v>2.25</v>
      </c>
      <c r="H2" t="s">
        <v>597</v>
      </c>
      <c r="I2">
        <v>18439001000</v>
      </c>
      <c r="J2">
        <v>11.34</v>
      </c>
      <c r="K2">
        <v>1.04</v>
      </c>
      <c r="L2" t="s">
        <v>40</v>
      </c>
      <c r="M2" t="s">
        <v>598</v>
      </c>
      <c r="N2" t="s">
        <v>599</v>
      </c>
      <c r="O2" t="s">
        <v>600</v>
      </c>
      <c r="P2">
        <v>2.16</v>
      </c>
      <c r="Q2" t="s">
        <v>601</v>
      </c>
      <c r="R2">
        <v>388770710</v>
      </c>
      <c r="S2" s="5">
        <v>7.3300000000000004E-2</v>
      </c>
      <c r="T2" t="s">
        <v>602</v>
      </c>
      <c r="U2">
        <v>478053710</v>
      </c>
      <c r="V2">
        <v>556565080</v>
      </c>
      <c r="W2">
        <v>2.41</v>
      </c>
      <c r="X2">
        <v>0.39</v>
      </c>
      <c r="Y2">
        <v>2.34</v>
      </c>
      <c r="Z2" t="s">
        <v>603</v>
      </c>
      <c r="AA2" t="s">
        <v>604</v>
      </c>
      <c r="AB2" t="s">
        <v>605</v>
      </c>
      <c r="AC2" t="s">
        <v>366</v>
      </c>
      <c r="AD2" t="s">
        <v>41</v>
      </c>
      <c r="AE2">
        <v>45587916</v>
      </c>
      <c r="AF2" t="s">
        <v>606</v>
      </c>
      <c r="AG2" t="s">
        <v>607</v>
      </c>
      <c r="AH2" t="s">
        <v>608</v>
      </c>
      <c r="AI2" t="s">
        <v>609</v>
      </c>
      <c r="AJ2" t="s">
        <v>610</v>
      </c>
      <c r="AK2" t="s">
        <v>586</v>
      </c>
      <c r="AL2" t="s">
        <v>611</v>
      </c>
      <c r="AM2" t="s">
        <v>41</v>
      </c>
      <c r="AN2" t="s">
        <v>612</v>
      </c>
      <c r="AO2" t="s">
        <v>613</v>
      </c>
      <c r="AP2" t="s">
        <v>614</v>
      </c>
      <c r="AQ2" t="s">
        <v>615</v>
      </c>
      <c r="AR2" t="s">
        <v>616</v>
      </c>
      <c r="AS2" t="s">
        <v>617</v>
      </c>
      <c r="AT2" t="s">
        <v>41</v>
      </c>
      <c r="AU2" t="s">
        <v>618</v>
      </c>
      <c r="AV2" t="s">
        <v>619</v>
      </c>
      <c r="AW2" t="s">
        <v>620</v>
      </c>
      <c r="AX2" t="s">
        <v>458</v>
      </c>
      <c r="AY2" t="s">
        <v>264</v>
      </c>
      <c r="AZ2" t="s">
        <v>123</v>
      </c>
      <c r="BA2" t="s">
        <v>125</v>
      </c>
      <c r="BB2" t="s">
        <v>126</v>
      </c>
      <c r="BC2" t="s">
        <v>380</v>
      </c>
      <c r="BD2" t="s">
        <v>265</v>
      </c>
      <c r="BE2" t="s">
        <v>124</v>
      </c>
      <c r="BF2" t="s">
        <v>127</v>
      </c>
      <c r="BG2" t="s">
        <v>128</v>
      </c>
      <c r="BH2" t="s">
        <v>601</v>
      </c>
      <c r="BI2" t="s">
        <v>535</v>
      </c>
      <c r="BJ2" t="s">
        <v>458</v>
      </c>
      <c r="BK2" t="s">
        <v>602</v>
      </c>
      <c r="BL2" t="s">
        <v>485</v>
      </c>
      <c r="BM2" t="s">
        <v>380</v>
      </c>
      <c r="BN2">
        <v>6.52</v>
      </c>
      <c r="BO2">
        <v>9.01</v>
      </c>
      <c r="BP2">
        <v>8.43</v>
      </c>
      <c r="BQ2">
        <v>7.18</v>
      </c>
      <c r="BR2">
        <v>9.59</v>
      </c>
      <c r="BS2">
        <v>9.2899999999999991</v>
      </c>
      <c r="BT2" t="s">
        <v>621</v>
      </c>
      <c r="BU2" t="s">
        <v>622</v>
      </c>
      <c r="BV2">
        <v>11.99</v>
      </c>
      <c r="BW2">
        <v>12.15</v>
      </c>
      <c r="BX2">
        <v>11.73</v>
      </c>
      <c r="BY2">
        <v>2.59</v>
      </c>
      <c r="BZ2">
        <v>2.41</v>
      </c>
      <c r="CA2">
        <v>2.23</v>
      </c>
      <c r="CB2">
        <v>2.79</v>
      </c>
      <c r="CC2">
        <v>-10.41</v>
      </c>
      <c r="CD2" t="s">
        <v>623</v>
      </c>
      <c r="CE2" t="s">
        <v>538</v>
      </c>
      <c r="CF2" s="9">
        <v>2.1565794402525821E-2</v>
      </c>
      <c r="CG2" s="10">
        <v>7.3952237569060775E-2</v>
      </c>
      <c r="CH2" s="9">
        <v>2.7694946154952049E-2</v>
      </c>
      <c r="CI2" s="9">
        <v>7.4387773871421814E-2</v>
      </c>
      <c r="CJ2" s="9">
        <v>0.14600414037704468</v>
      </c>
      <c r="CK2" s="9">
        <v>0.12999412417411804</v>
      </c>
      <c r="CL2" s="9">
        <v>0.22413152456283569</v>
      </c>
      <c r="CM2" s="10">
        <v>7.5319431722164154E-2</v>
      </c>
      <c r="CN2" s="10">
        <v>0.11302399635314941</v>
      </c>
      <c r="CO2" s="10">
        <v>-4.7075606882572174E-2</v>
      </c>
      <c r="CP2" s="10">
        <v>0.10567823052406311</v>
      </c>
      <c r="CQ2" s="10">
        <v>4.7068484127521515E-2</v>
      </c>
      <c r="CR2">
        <v>13.324582199205107</v>
      </c>
      <c r="CS2">
        <v>1.1063023431898875</v>
      </c>
      <c r="CT2">
        <v>2.0525203742831271</v>
      </c>
      <c r="CU2" s="9">
        <v>0.12044250182807445</v>
      </c>
      <c r="CV2" s="10">
        <v>5.8802907168865201E-2</v>
      </c>
      <c r="CW2">
        <v>0.06</v>
      </c>
      <c r="CX2">
        <v>13.970727199115579</v>
      </c>
      <c r="CY2">
        <v>1690176943.7953687</v>
      </c>
      <c r="CZ2">
        <v>0.12044250182807445</v>
      </c>
      <c r="DA2">
        <v>4.449716307780057</v>
      </c>
      <c r="DB2">
        <v>5306630662.8838587</v>
      </c>
      <c r="DC2">
        <v>0.11442037673667073</v>
      </c>
      <c r="DD2">
        <v>2.1156889275468624</v>
      </c>
      <c r="DE2">
        <v>11160903993.281862</v>
      </c>
      <c r="DF2">
        <v>0.10598940160870551</v>
      </c>
      <c r="DG2">
        <v>1.2210132642820588</v>
      </c>
      <c r="DH2">
        <v>19338857071.208118</v>
      </c>
      <c r="DI2">
        <v>9.6354001462459565E-2</v>
      </c>
      <c r="DJ2">
        <v>0.57698984719003876</v>
      </c>
      <c r="DK2">
        <v>40924465335.042137</v>
      </c>
      <c r="DL2">
        <v>8.4309751279652109E-2</v>
      </c>
      <c r="DM2">
        <v>1599000000</v>
      </c>
      <c r="DN2">
        <v>0.12044250182807445</v>
      </c>
      <c r="DO2">
        <v>23613001000</v>
      </c>
      <c r="DP2">
        <v>12336308999.999996</v>
      </c>
      <c r="DQ2">
        <v>21</v>
      </c>
      <c r="DR2">
        <v>-9.8876707425548632E-2</v>
      </c>
      <c r="DS2">
        <v>1.5149330400195574E-2</v>
      </c>
      <c r="DT2" s="11">
        <v>-0.34</v>
      </c>
      <c r="DU2">
        <v>0</v>
      </c>
      <c r="DV2">
        <v>-0.34</v>
      </c>
      <c r="DW2">
        <v>6.211363636363636</v>
      </c>
      <c r="DX2">
        <v>0.29633333333333339</v>
      </c>
      <c r="DY2">
        <v>6.0245886363636361</v>
      </c>
      <c r="DZ2">
        <v>2540</v>
      </c>
      <c r="EA2">
        <v>6.0123664961750576</v>
      </c>
      <c r="EB2">
        <v>6</v>
      </c>
      <c r="EC2">
        <v>2.382830054663149E-2</v>
      </c>
      <c r="ED2">
        <v>0.20482779839511309</v>
      </c>
      <c r="EE2" s="12">
        <v>3.0811099999999998</v>
      </c>
      <c r="EF2">
        <v>3.0959099999999999</v>
      </c>
      <c r="EG2">
        <v>18.116333333333333</v>
      </c>
      <c r="EH2" t="s">
        <v>624</v>
      </c>
      <c r="EI2">
        <v>0</v>
      </c>
      <c r="EJ2">
        <v>0</v>
      </c>
      <c r="EK2" s="8">
        <v>45470</v>
      </c>
      <c r="EL2" s="13">
        <v>0.06</v>
      </c>
      <c r="EM2" s="13">
        <v>-3.3</v>
      </c>
      <c r="EN2" s="13">
        <v>1.1499999999999999</v>
      </c>
      <c r="EO2" s="13">
        <v>1.91</v>
      </c>
      <c r="EP2" s="13">
        <v>-1.48</v>
      </c>
    </row>
    <row r="3" spans="1:146" ht="96" x14ac:dyDescent="0.25">
      <c r="A3" s="6"/>
      <c r="B3" s="6"/>
      <c r="C3" s="6" t="str">
        <f>""&amp;CHAR(10)&amp;Basic_Fundamental_Information_Constructure(F3)&amp;CHAR(10)&amp;Basic_Fundamental_Information_Concatenate("")</f>
        <v xml:space="preserve">
市值60.243248亿, 利润-16.90亿; PE; 平均PE-16; 平均PEG-18.01, PB1.98; ROIC2.79%; ROE-5.3033%; 股利率0%; 毛利10.1633%; 净利-2.2367%; 上一年度营收增-3.74%, 利润增-64.56%; 当季营收增-18.78%, 利润增-42.79%; 过往5年营收增-.89%, 利润增-285.48%
Income profile:
</v>
      </c>
      <c r="D3" t="s">
        <v>42</v>
      </c>
      <c r="E3" t="s">
        <v>15</v>
      </c>
      <c r="F3">
        <v>2.19</v>
      </c>
      <c r="G3">
        <v>2.82</v>
      </c>
      <c r="H3" t="s">
        <v>625</v>
      </c>
      <c r="I3">
        <v>6024324800</v>
      </c>
      <c r="K3">
        <v>1.98</v>
      </c>
      <c r="L3" t="s">
        <v>40</v>
      </c>
      <c r="M3" t="s">
        <v>626</v>
      </c>
      <c r="N3" t="s">
        <v>627</v>
      </c>
      <c r="O3" t="s">
        <v>628</v>
      </c>
      <c r="P3">
        <v>-18.78</v>
      </c>
      <c r="Q3" t="s">
        <v>629</v>
      </c>
      <c r="R3">
        <v>42641427</v>
      </c>
      <c r="S3" s="5">
        <v>-0.4279</v>
      </c>
      <c r="T3" t="s">
        <v>630</v>
      </c>
      <c r="U3">
        <v>2626073600</v>
      </c>
      <c r="V3">
        <v>2750833300</v>
      </c>
      <c r="W3">
        <v>7.67</v>
      </c>
      <c r="X3">
        <v>0.25</v>
      </c>
      <c r="Y3">
        <v>0.86</v>
      </c>
      <c r="Z3" t="s">
        <v>631</v>
      </c>
      <c r="AA3" t="s">
        <v>632</v>
      </c>
      <c r="AB3" t="s">
        <v>633</v>
      </c>
      <c r="AC3" t="s">
        <v>472</v>
      </c>
      <c r="AD3" t="s">
        <v>41</v>
      </c>
      <c r="AE3">
        <v>179369180</v>
      </c>
      <c r="AF3" t="s">
        <v>634</v>
      </c>
      <c r="AG3" t="s">
        <v>635</v>
      </c>
      <c r="AH3" t="s">
        <v>636</v>
      </c>
      <c r="AI3" t="s">
        <v>637</v>
      </c>
      <c r="AJ3" t="s">
        <v>638</v>
      </c>
      <c r="AK3" t="s">
        <v>639</v>
      </c>
      <c r="AL3" t="s">
        <v>640</v>
      </c>
      <c r="AM3" t="s">
        <v>41</v>
      </c>
      <c r="AN3" t="s">
        <v>641</v>
      </c>
      <c r="AO3" t="s">
        <v>642</v>
      </c>
      <c r="AP3" t="s">
        <v>643</v>
      </c>
      <c r="AQ3" t="s">
        <v>644</v>
      </c>
      <c r="AR3" t="s">
        <v>645</v>
      </c>
      <c r="AS3" t="s">
        <v>646</v>
      </c>
      <c r="AT3" t="s">
        <v>647</v>
      </c>
      <c r="AU3" t="s">
        <v>648</v>
      </c>
      <c r="AV3" t="s">
        <v>649</v>
      </c>
      <c r="AW3" t="s">
        <v>650</v>
      </c>
      <c r="AX3" t="s">
        <v>459</v>
      </c>
      <c r="AY3" t="s">
        <v>266</v>
      </c>
      <c r="AZ3" t="s">
        <v>129</v>
      </c>
      <c r="BA3" t="s">
        <v>43</v>
      </c>
      <c r="BB3" t="s">
        <v>131</v>
      </c>
      <c r="BC3" t="s">
        <v>460</v>
      </c>
      <c r="BD3" t="s">
        <v>267</v>
      </c>
      <c r="BE3" t="s">
        <v>130</v>
      </c>
      <c r="BF3" t="s">
        <v>60</v>
      </c>
      <c r="BG3" t="s">
        <v>132</v>
      </c>
      <c r="BH3" t="s">
        <v>629</v>
      </c>
      <c r="BI3" t="s">
        <v>536</v>
      </c>
      <c r="BJ3" t="s">
        <v>459</v>
      </c>
      <c r="BK3" t="s">
        <v>630</v>
      </c>
      <c r="BL3" t="s">
        <v>537</v>
      </c>
      <c r="BM3" t="s">
        <v>460</v>
      </c>
      <c r="BN3">
        <v>2.74</v>
      </c>
      <c r="BO3" t="s">
        <v>41</v>
      </c>
      <c r="BP3">
        <v>2.84</v>
      </c>
      <c r="BQ3">
        <v>1.87</v>
      </c>
      <c r="BR3">
        <v>-19.350000000000001</v>
      </c>
      <c r="BS3">
        <v>1.57</v>
      </c>
      <c r="BT3" t="s">
        <v>447</v>
      </c>
      <c r="BU3" t="s">
        <v>622</v>
      </c>
      <c r="BV3">
        <v>9.76</v>
      </c>
      <c r="BW3">
        <v>10.02</v>
      </c>
      <c r="BX3">
        <v>10.71</v>
      </c>
      <c r="BY3">
        <v>-4.72</v>
      </c>
      <c r="BZ3">
        <v>-2.62</v>
      </c>
      <c r="CA3">
        <v>0.63</v>
      </c>
      <c r="CB3">
        <v>3.3</v>
      </c>
      <c r="CC3">
        <v>-3.52</v>
      </c>
      <c r="CD3" t="s">
        <v>651</v>
      </c>
      <c r="CE3" t="s">
        <v>652</v>
      </c>
      <c r="CF3" s="9">
        <v>-0.18778871259289015</v>
      </c>
      <c r="CG3" s="10">
        <v>-0.42786761696857806</v>
      </c>
      <c r="CH3" s="9">
        <v>-3.7425756454467773E-2</v>
      </c>
      <c r="CI3" s="9">
        <v>-7.8408859670162201E-2</v>
      </c>
      <c r="CJ3" s="9">
        <v>2.5785805657505989E-2</v>
      </c>
      <c r="CK3" s="9">
        <v>-3.5451777279376984E-2</v>
      </c>
      <c r="CL3" s="9">
        <v>8.1081829965114594E-2</v>
      </c>
      <c r="CM3" s="10">
        <v>-0.64556962251663208</v>
      </c>
      <c r="CN3" s="10">
        <v>-12.008057594299316</v>
      </c>
      <c r="CO3" s="10">
        <v>1.3228211402893066</v>
      </c>
      <c r="CP3" s="10">
        <v>-2.4029126167297363</v>
      </c>
      <c r="CQ3" s="10">
        <v>-0.54017859697341919</v>
      </c>
      <c r="CR3">
        <v>-16.002954613766022</v>
      </c>
      <c r="CS3">
        <v>-18.013734977154225</v>
      </c>
      <c r="CT3">
        <v>0</v>
      </c>
      <c r="CU3" s="9">
        <v>-8.8837515562772747E-3</v>
      </c>
      <c r="CV3" s="10">
        <v>-2.8547794580459596</v>
      </c>
      <c r="CW3">
        <v>0.06</v>
      </c>
      <c r="CX3" t="e">
        <v>#VALUE!</v>
      </c>
      <c r="CY3" t="s">
        <v>379</v>
      </c>
      <c r="CZ3">
        <v>-8.8837515562772747E-3</v>
      </c>
      <c r="DA3" t="e">
        <v>#VALUE!</v>
      </c>
      <c r="DB3" t="s">
        <v>379</v>
      </c>
      <c r="DC3">
        <v>-8.4395639784634099E-3</v>
      </c>
      <c r="DD3" t="e">
        <v>#VALUE!</v>
      </c>
      <c r="DE3" t="s">
        <v>379</v>
      </c>
      <c r="DF3">
        <v>-7.8177013695240015E-3</v>
      </c>
      <c r="DG3" t="e">
        <v>#VALUE!</v>
      </c>
      <c r="DH3" t="s">
        <v>379</v>
      </c>
      <c r="DI3">
        <v>-7.1070012450218205E-3</v>
      </c>
      <c r="DJ3" t="e">
        <v>#VALUE!</v>
      </c>
      <c r="DK3" t="s">
        <v>379</v>
      </c>
      <c r="DL3">
        <v>-6.2186260893940916E-3</v>
      </c>
      <c r="DM3">
        <v>-1689999999.9999998</v>
      </c>
      <c r="DN3">
        <v>-8.8837515562772747E-3</v>
      </c>
      <c r="DO3">
        <v>29855324800</v>
      </c>
      <c r="DP3">
        <v>1058115000</v>
      </c>
      <c r="DQ3">
        <v>50</v>
      </c>
      <c r="DR3">
        <v>-0.17890496103661288</v>
      </c>
      <c r="DS3">
        <v>2.4269118410773816</v>
      </c>
      <c r="DT3" s="11">
        <v>-0.44</v>
      </c>
      <c r="DU3">
        <v>-2.39</v>
      </c>
      <c r="DV3">
        <v>-2.83</v>
      </c>
      <c r="DW3">
        <v>6.4838709677419351</v>
      </c>
      <c r="DX3">
        <v>0.3645946666666684</v>
      </c>
      <c r="DY3">
        <v>6.0651264516129029</v>
      </c>
      <c r="DZ3">
        <v>4848</v>
      </c>
      <c r="EA3">
        <v>6.0033391644466887</v>
      </c>
      <c r="EB3">
        <v>6</v>
      </c>
      <c r="EC3">
        <v>1.8348258325940725E-2</v>
      </c>
      <c r="ED3">
        <v>0.13632232821959803</v>
      </c>
      <c r="EE3" s="12">
        <v>-2.08731</v>
      </c>
      <c r="EF3">
        <v>-2.10121</v>
      </c>
      <c r="EG3">
        <v>23.134594666666668</v>
      </c>
      <c r="EH3" t="s">
        <v>592</v>
      </c>
      <c r="EI3">
        <v>0</v>
      </c>
      <c r="EJ3">
        <v>0</v>
      </c>
      <c r="EK3" s="8">
        <v>45470</v>
      </c>
      <c r="EL3" s="13">
        <v>0.46</v>
      </c>
      <c r="EM3" s="13">
        <v>-2.75</v>
      </c>
      <c r="EN3" s="13">
        <v>0</v>
      </c>
      <c r="EO3" s="13">
        <v>1.89</v>
      </c>
      <c r="EP3" s="13">
        <v>-1.39</v>
      </c>
    </row>
    <row r="4" spans="1:146" ht="96" x14ac:dyDescent="0.25">
      <c r="A4" s="6"/>
      <c r="B4" s="6"/>
      <c r="C4" s="6" t="str">
        <f>""&amp;CHAR(10)&amp;Basic_Fundamental_Information_Constructure(F4)&amp;CHAR(10)&amp;Basic_Fundamental_Information_Concatenate("")</f>
        <v xml:space="preserve">
市值49.186169亿, 利润4.89亿; PE9.33; 平均PE23.22; 平均PEG2.43, PB1.15; ROIC8.45%; ROE10.0933%; 股利率3.2325%; 毛利6.6133%; 净利1.61%; 上一年度营收增4.68%, 利润增130.66%; 当季营收增8.81%, 利润增56.48%; 过往5年营收增9.56%, 利润增45.74%
Income profile:
</v>
      </c>
      <c r="D4" t="s">
        <v>44</v>
      </c>
      <c r="E4" t="s">
        <v>12</v>
      </c>
      <c r="F4">
        <v>9.42</v>
      </c>
      <c r="G4">
        <v>1.29</v>
      </c>
      <c r="H4" t="s">
        <v>653</v>
      </c>
      <c r="I4">
        <v>4918616900</v>
      </c>
      <c r="J4">
        <v>9.33</v>
      </c>
      <c r="K4">
        <v>1.1499999999999999</v>
      </c>
      <c r="L4" t="s">
        <v>40</v>
      </c>
      <c r="M4" t="s">
        <v>654</v>
      </c>
      <c r="N4" t="s">
        <v>655</v>
      </c>
      <c r="O4" t="s">
        <v>656</v>
      </c>
      <c r="P4">
        <v>8.81</v>
      </c>
      <c r="Q4" t="s">
        <v>657</v>
      </c>
      <c r="R4">
        <v>106894805</v>
      </c>
      <c r="S4" s="5">
        <v>0.56479999999999997</v>
      </c>
      <c r="T4" t="s">
        <v>658</v>
      </c>
      <c r="U4">
        <v>320495850</v>
      </c>
      <c r="V4">
        <v>522146170</v>
      </c>
      <c r="W4">
        <v>3.24</v>
      </c>
      <c r="X4">
        <v>0.57999999999999996</v>
      </c>
      <c r="Y4">
        <v>1.49</v>
      </c>
      <c r="Z4" t="s">
        <v>659</v>
      </c>
      <c r="AA4" t="s">
        <v>660</v>
      </c>
      <c r="AB4" t="s">
        <v>661</v>
      </c>
      <c r="AC4" t="s">
        <v>662</v>
      </c>
      <c r="AD4" t="s">
        <v>41</v>
      </c>
      <c r="AE4">
        <v>32747753</v>
      </c>
      <c r="AF4" t="s">
        <v>663</v>
      </c>
      <c r="AG4" t="s">
        <v>664</v>
      </c>
      <c r="AH4" t="s">
        <v>665</v>
      </c>
      <c r="AI4" t="s">
        <v>666</v>
      </c>
      <c r="AJ4" t="s">
        <v>667</v>
      </c>
      <c r="AK4" t="s">
        <v>668</v>
      </c>
      <c r="AL4" t="s">
        <v>669</v>
      </c>
      <c r="AM4" t="s">
        <v>41</v>
      </c>
      <c r="AN4" t="s">
        <v>670</v>
      </c>
      <c r="AO4" t="s">
        <v>671</v>
      </c>
      <c r="AP4" t="s">
        <v>672</v>
      </c>
      <c r="AQ4" t="s">
        <v>549</v>
      </c>
      <c r="AR4" t="s">
        <v>673</v>
      </c>
      <c r="AS4" t="s">
        <v>674</v>
      </c>
      <c r="AT4" t="s">
        <v>675</v>
      </c>
      <c r="AU4" t="s">
        <v>676</v>
      </c>
      <c r="AV4" t="s">
        <v>677</v>
      </c>
      <c r="AW4" t="s">
        <v>678</v>
      </c>
      <c r="AX4" t="s">
        <v>461</v>
      </c>
      <c r="AY4" t="s">
        <v>268</v>
      </c>
      <c r="AZ4" t="s">
        <v>134</v>
      </c>
      <c r="BA4" t="s">
        <v>45</v>
      </c>
      <c r="BB4" t="s">
        <v>136</v>
      </c>
      <c r="BC4" t="s">
        <v>50</v>
      </c>
      <c r="BD4" t="s">
        <v>226</v>
      </c>
      <c r="BE4" t="s">
        <v>135</v>
      </c>
      <c r="BF4" t="s">
        <v>46</v>
      </c>
      <c r="BG4" t="s">
        <v>137</v>
      </c>
      <c r="BH4" t="s">
        <v>657</v>
      </c>
      <c r="BI4" t="s">
        <v>539</v>
      </c>
      <c r="BJ4" t="s">
        <v>461</v>
      </c>
      <c r="BK4" t="s">
        <v>658</v>
      </c>
      <c r="BL4" t="s">
        <v>540</v>
      </c>
      <c r="BM4" t="s">
        <v>50</v>
      </c>
      <c r="BN4">
        <v>7.45</v>
      </c>
      <c r="BO4">
        <v>9.5299999999999994</v>
      </c>
      <c r="BP4">
        <v>8.3699999999999992</v>
      </c>
      <c r="BQ4">
        <v>10.46</v>
      </c>
      <c r="BR4">
        <v>10.69</v>
      </c>
      <c r="BS4">
        <v>9.1300000000000008</v>
      </c>
      <c r="BT4" t="s">
        <v>679</v>
      </c>
      <c r="BU4" t="s">
        <v>622</v>
      </c>
      <c r="BV4">
        <v>6.84</v>
      </c>
      <c r="BW4">
        <v>6.47</v>
      </c>
      <c r="BX4">
        <v>6.53</v>
      </c>
      <c r="BY4">
        <v>1.84</v>
      </c>
      <c r="BZ4">
        <v>1.51</v>
      </c>
      <c r="CA4">
        <v>1.48</v>
      </c>
      <c r="CB4">
        <v>-2.1800000000000002</v>
      </c>
      <c r="CC4">
        <v>-9.82</v>
      </c>
      <c r="CD4" t="s">
        <v>680</v>
      </c>
      <c r="CE4" t="s">
        <v>164</v>
      </c>
      <c r="CF4" s="9">
        <v>8.8078967350037965E-2</v>
      </c>
      <c r="CG4" s="10">
        <v>0.56480045262845091</v>
      </c>
      <c r="CH4" s="9">
        <v>4.6801000833511353E-2</v>
      </c>
      <c r="CI4" s="9">
        <v>0.14544914662837982</v>
      </c>
      <c r="CJ4" s="9">
        <v>6.8897902965545654E-2</v>
      </c>
      <c r="CK4" s="9">
        <v>1.654408685863018E-2</v>
      </c>
      <c r="CL4" s="9">
        <v>0.20051731169223785</v>
      </c>
      <c r="CM4" s="10">
        <v>1.3066037893295288</v>
      </c>
      <c r="CN4" s="10">
        <v>0.26190477609634399</v>
      </c>
      <c r="CO4" s="10">
        <v>7.0063695311546326E-2</v>
      </c>
      <c r="CP4" s="10">
        <v>3.9735101163387299E-2</v>
      </c>
      <c r="CQ4" s="10">
        <v>0.60892647504806519</v>
      </c>
      <c r="CR4">
        <v>23.221992280135979</v>
      </c>
      <c r="CS4">
        <v>2.4280147882637824</v>
      </c>
      <c r="CT4">
        <v>3.2324840764331211</v>
      </c>
      <c r="CU4" s="9">
        <v>9.5641889795660975E-2</v>
      </c>
      <c r="CV4" s="10">
        <v>0.4574467673897743</v>
      </c>
      <c r="CW4">
        <v>0.06</v>
      </c>
      <c r="CX4">
        <v>18.07449854069986</v>
      </c>
      <c r="CY4">
        <v>505442343.50007373</v>
      </c>
      <c r="CZ4">
        <v>9.5641889795660975E-2</v>
      </c>
      <c r="DA4">
        <v>5.8784443876465176</v>
      </c>
      <c r="DB4">
        <v>1554087492.8064971</v>
      </c>
      <c r="DC4">
        <v>9.0859795305877927E-2</v>
      </c>
      <c r="DD4">
        <v>2.8753644398622882</v>
      </c>
      <c r="DE4">
        <v>3177203130.618649</v>
      </c>
      <c r="DF4">
        <v>8.4164863020181654E-2</v>
      </c>
      <c r="DG4">
        <v>1.7142576198258506</v>
      </c>
      <c r="DH4">
        <v>5329197195.5347509</v>
      </c>
      <c r="DI4">
        <v>7.6513511836528783E-2</v>
      </c>
      <c r="DJ4">
        <v>0.87155045102195172</v>
      </c>
      <c r="DK4">
        <v>10482028767.569189</v>
      </c>
      <c r="DL4">
        <v>6.6949322856962673E-2</v>
      </c>
      <c r="DM4">
        <v>488999999.99999994</v>
      </c>
      <c r="DN4">
        <v>9.5641889795660975E-2</v>
      </c>
      <c r="DO4">
        <v>9135616900</v>
      </c>
      <c r="DP4">
        <v>3938971000</v>
      </c>
      <c r="DQ4">
        <v>77</v>
      </c>
      <c r="DR4">
        <v>-7.5629224456230104E-3</v>
      </c>
      <c r="DS4">
        <v>0.10735368523867661</v>
      </c>
      <c r="DT4" s="11">
        <v>-0.34</v>
      </c>
      <c r="DU4">
        <v>0.90333333333333332</v>
      </c>
      <c r="DV4">
        <v>0.56333333333333324</v>
      </c>
      <c r="DW4">
        <v>-2.0981999999999998</v>
      </c>
      <c r="DX4">
        <v>0.28200258620689611</v>
      </c>
      <c r="DY4">
        <v>-2.0139446539655173</v>
      </c>
      <c r="DZ4">
        <v>622</v>
      </c>
      <c r="EA4">
        <v>-2.0122472812127672</v>
      </c>
      <c r="EB4">
        <v>2</v>
      </c>
      <c r="EC4">
        <v>3.1547296420847061E-2</v>
      </c>
      <c r="ED4">
        <v>0.22216001316259773</v>
      </c>
      <c r="EE4" s="12">
        <v>3.8799999999999994E-2</v>
      </c>
      <c r="EF4">
        <v>2.3400000000000001E-2</v>
      </c>
      <c r="EG4">
        <v>14.142002586206896</v>
      </c>
      <c r="EH4" t="s">
        <v>367</v>
      </c>
      <c r="EI4">
        <v>0</v>
      </c>
      <c r="EJ4">
        <v>1</v>
      </c>
      <c r="EK4" s="8">
        <v>45470</v>
      </c>
      <c r="EL4" s="13">
        <v>0.83</v>
      </c>
      <c r="EM4" s="13">
        <v>-2.38</v>
      </c>
      <c r="EN4" s="13">
        <v>6.99</v>
      </c>
      <c r="EO4" s="13">
        <v>-3.37</v>
      </c>
      <c r="EP4" s="13">
        <v>-1.54</v>
      </c>
    </row>
    <row r="5" spans="1:146" ht="96" x14ac:dyDescent="0.25">
      <c r="A5" s="6"/>
      <c r="B5" s="6"/>
      <c r="C5" s="6" t="str">
        <f>""&amp;CHAR(10)&amp;Basic_Fundamental_Information_Constructure(F5)&amp;CHAR(10)&amp;Basic_Fundamental_Information_Concatenate("")</f>
        <v xml:space="preserve">
市值23.889815亿, 利润8164.26万; PE29.02; 平均PE23.53; 平均PEG3.07, PB1.21; ROIC3.66%; ROE4.03%; 股利率.8392%; 毛利18.8367%; 净利2.09%; 上一年度营收增-.94%, 利润增4.79%; 当季营收增-4.83%, 利润增3.67%; 过往5年营收增7.67%, 利润增26.66%
Income profile:
</v>
      </c>
      <c r="D5" t="s">
        <v>48</v>
      </c>
      <c r="E5" t="s">
        <v>10</v>
      </c>
      <c r="F5">
        <v>7.15</v>
      </c>
      <c r="G5">
        <v>2.44</v>
      </c>
      <c r="H5" t="s">
        <v>681</v>
      </c>
      <c r="I5">
        <v>2388981500</v>
      </c>
      <c r="J5">
        <v>29.02</v>
      </c>
      <c r="K5">
        <v>1.21</v>
      </c>
      <c r="L5" t="s">
        <v>40</v>
      </c>
      <c r="M5" t="s">
        <v>682</v>
      </c>
      <c r="N5" t="s">
        <v>683</v>
      </c>
      <c r="O5" t="s">
        <v>684</v>
      </c>
      <c r="P5">
        <v>-4.87</v>
      </c>
      <c r="Q5" t="s">
        <v>685</v>
      </c>
      <c r="R5">
        <v>19245988</v>
      </c>
      <c r="S5" s="5">
        <v>3.6700000000000003E-2</v>
      </c>
      <c r="T5" t="s">
        <v>686</v>
      </c>
      <c r="U5">
        <v>281965750</v>
      </c>
      <c r="V5">
        <v>334123290</v>
      </c>
      <c r="W5">
        <v>1.54</v>
      </c>
      <c r="X5">
        <v>0.35</v>
      </c>
      <c r="Y5">
        <v>1.94</v>
      </c>
      <c r="Z5" t="s">
        <v>687</v>
      </c>
      <c r="AA5" t="s">
        <v>688</v>
      </c>
      <c r="AB5" t="s">
        <v>689</v>
      </c>
      <c r="AC5" t="s">
        <v>690</v>
      </c>
      <c r="AD5" t="s">
        <v>41</v>
      </c>
      <c r="AE5">
        <v>-2365058</v>
      </c>
      <c r="AF5" t="s">
        <v>691</v>
      </c>
      <c r="AG5" t="s">
        <v>692</v>
      </c>
      <c r="AH5" t="s">
        <v>693</v>
      </c>
      <c r="AI5" t="s">
        <v>694</v>
      </c>
      <c r="AJ5" t="s">
        <v>695</v>
      </c>
      <c r="AK5" t="s">
        <v>41</v>
      </c>
      <c r="AL5" t="s">
        <v>696</v>
      </c>
      <c r="AM5" t="s">
        <v>41</v>
      </c>
      <c r="AN5" t="s">
        <v>590</v>
      </c>
      <c r="AO5" t="s">
        <v>697</v>
      </c>
      <c r="AP5" t="s">
        <v>518</v>
      </c>
      <c r="AQ5" t="s">
        <v>698</v>
      </c>
      <c r="AR5" t="s">
        <v>699</v>
      </c>
      <c r="AS5" t="s">
        <v>279</v>
      </c>
      <c r="AT5" t="s">
        <v>41</v>
      </c>
      <c r="AU5" t="s">
        <v>700</v>
      </c>
      <c r="AV5" t="s">
        <v>701</v>
      </c>
      <c r="AW5" t="s">
        <v>702</v>
      </c>
      <c r="AX5" t="s">
        <v>541</v>
      </c>
      <c r="AY5" t="s">
        <v>269</v>
      </c>
      <c r="AZ5" t="s">
        <v>138</v>
      </c>
      <c r="BA5" t="s">
        <v>49</v>
      </c>
      <c r="BB5" t="s">
        <v>141</v>
      </c>
      <c r="BC5" t="s">
        <v>703</v>
      </c>
      <c r="BD5" t="s">
        <v>270</v>
      </c>
      <c r="BE5" t="s">
        <v>139</v>
      </c>
      <c r="BF5" t="s">
        <v>50</v>
      </c>
      <c r="BG5" t="s">
        <v>142</v>
      </c>
      <c r="BH5" t="s">
        <v>685</v>
      </c>
      <c r="BI5" t="s">
        <v>523</v>
      </c>
      <c r="BJ5" t="s">
        <v>541</v>
      </c>
      <c r="BK5" t="s">
        <v>686</v>
      </c>
      <c r="BL5" t="s">
        <v>543</v>
      </c>
      <c r="BM5" t="s">
        <v>703</v>
      </c>
      <c r="BN5">
        <v>3.34</v>
      </c>
      <c r="BO5">
        <v>3.99</v>
      </c>
      <c r="BP5">
        <v>3.65</v>
      </c>
      <c r="BQ5">
        <v>3.66</v>
      </c>
      <c r="BR5">
        <v>4.13</v>
      </c>
      <c r="BS5">
        <v>4.3</v>
      </c>
      <c r="BT5" t="s">
        <v>448</v>
      </c>
      <c r="BU5" t="s">
        <v>622</v>
      </c>
      <c r="BV5">
        <v>18.68</v>
      </c>
      <c r="BW5">
        <v>18.2</v>
      </c>
      <c r="BX5">
        <v>19.63</v>
      </c>
      <c r="BY5">
        <v>2.0699999999999998</v>
      </c>
      <c r="BZ5">
        <v>1.97</v>
      </c>
      <c r="CA5">
        <v>2.23</v>
      </c>
      <c r="CB5">
        <v>1.1299999999999999</v>
      </c>
      <c r="CC5">
        <v>-10.18</v>
      </c>
      <c r="CD5" t="s">
        <v>704</v>
      </c>
      <c r="CE5" t="s">
        <v>588</v>
      </c>
      <c r="CF5" s="9">
        <v>-4.8269581056466414E-2</v>
      </c>
      <c r="CG5" s="10">
        <v>3.6720371896597236E-2</v>
      </c>
      <c r="CH5" s="9">
        <v>-9.408942423760891E-3</v>
      </c>
      <c r="CI5" s="9">
        <v>0.14756366610527039</v>
      </c>
      <c r="CJ5" s="9">
        <v>5.000000074505806E-2</v>
      </c>
      <c r="CK5" s="9">
        <v>6.0746200382709503E-2</v>
      </c>
      <c r="CL5" s="9">
        <v>0.13470965623855591</v>
      </c>
      <c r="CM5" s="10">
        <v>4.7918595373630524E-2</v>
      </c>
      <c r="CN5" s="10">
        <v>7.9460656270384789E-3</v>
      </c>
      <c r="CO5" s="10">
        <v>-0.13533288240432739</v>
      </c>
      <c r="CP5" s="10">
        <v>-0.57833534479141235</v>
      </c>
      <c r="CQ5" s="10">
        <v>1.9907978773117065</v>
      </c>
      <c r="CR5">
        <v>23.531972143602943</v>
      </c>
      <c r="CS5">
        <v>3.0671693256381669</v>
      </c>
      <c r="CT5">
        <v>0.83916083916083906</v>
      </c>
      <c r="CU5" s="9">
        <v>7.6722116209566593E-2</v>
      </c>
      <c r="CV5" s="10">
        <v>0.26659886222332718</v>
      </c>
      <c r="CW5">
        <v>0.06</v>
      </c>
      <c r="CX5">
        <v>16.061407380002812</v>
      </c>
      <c r="CY5">
        <v>82930559.476274669</v>
      </c>
      <c r="CZ5">
        <v>7.6722116209566593E-2</v>
      </c>
      <c r="DA5">
        <v>5.3081543236827695</v>
      </c>
      <c r="DB5">
        <v>250931193.55201381</v>
      </c>
      <c r="DC5">
        <v>7.2886010399088264E-2</v>
      </c>
      <c r="DD5">
        <v>2.6525246071178827</v>
      </c>
      <c r="DE5">
        <v>502156133.22708166</v>
      </c>
      <c r="DF5">
        <v>6.7515462264418596E-2</v>
      </c>
      <c r="DG5">
        <v>1.6198538999557572</v>
      </c>
      <c r="DH5">
        <v>822284960.41302252</v>
      </c>
      <c r="DI5">
        <v>6.1377692967653275E-2</v>
      </c>
      <c r="DJ5">
        <v>0.86787035390029299</v>
      </c>
      <c r="DK5">
        <v>1534770134.7487524</v>
      </c>
      <c r="DL5">
        <v>5.3705481346696615E-2</v>
      </c>
      <c r="DM5">
        <v>81642600</v>
      </c>
      <c r="DN5">
        <v>7.6722116209566593E-2</v>
      </c>
      <c r="DO5">
        <v>1331981500</v>
      </c>
      <c r="DP5">
        <v>1076628800</v>
      </c>
      <c r="DQ5">
        <v>231</v>
      </c>
      <c r="DR5">
        <v>-0.12499169726603301</v>
      </c>
      <c r="DS5">
        <v>-0.22987849032672994</v>
      </c>
      <c r="DT5" s="11">
        <v>-0.44</v>
      </c>
      <c r="DU5">
        <v>0.37166666666666665</v>
      </c>
      <c r="DV5">
        <v>-6.8333333333333357E-2</v>
      </c>
      <c r="DW5">
        <v>-2.1017999999999999</v>
      </c>
      <c r="DX5">
        <v>0.36254318181818035</v>
      </c>
      <c r="DY5">
        <v>-2.012474895909091</v>
      </c>
      <c r="DZ5">
        <v>1867</v>
      </c>
      <c r="EA5">
        <v>-2.0079170425505248</v>
      </c>
      <c r="EB5">
        <v>2</v>
      </c>
      <c r="EC5">
        <v>8.0687281631879063E-2</v>
      </c>
      <c r="ED5">
        <v>0.65843958378357892</v>
      </c>
      <c r="EE5" s="12">
        <v>0.13350000000000001</v>
      </c>
      <c r="EF5">
        <v>0.11260000000000001</v>
      </c>
      <c r="EG5">
        <v>24.12254318181818</v>
      </c>
      <c r="EH5" t="s">
        <v>367</v>
      </c>
      <c r="EI5">
        <v>0</v>
      </c>
      <c r="EJ5">
        <v>0</v>
      </c>
      <c r="EK5" s="8">
        <v>45470</v>
      </c>
      <c r="EL5" s="13">
        <v>0.7</v>
      </c>
      <c r="EM5" s="13">
        <v>-3.76</v>
      </c>
      <c r="EN5" s="13">
        <v>1.3</v>
      </c>
      <c r="EO5" s="13">
        <v>2.57</v>
      </c>
      <c r="EP5" s="13">
        <v>-2.09</v>
      </c>
    </row>
    <row r="6" spans="1:146" ht="144" x14ac:dyDescent="0.25">
      <c r="A6" s="6" t="s">
        <v>533</v>
      </c>
      <c r="B6" s="6" t="s">
        <v>534</v>
      </c>
      <c r="C6" s="6" t="str">
        <f>"公司主要从事医药商业、仓储物流、医药工业和研发等业务。公司立足医药商业和医药研发的协同发展，是西部领先的医药健康产业集团。公司的主要产品为药品、医疗器械。"&amp;CHAR(10)&amp;Basic_Fundamental_Information_Constructure(F6)&amp;CHAR(10)&amp;Basic_Fundamental_Information_Concatenate("药品类 571.10亿 84.20% 75.18% 7.66%
医疗器械类 95.14亿 14.03% 19.90% 12.18%
其他 12.06亿 1.78% 4.91% 23.72%")</f>
        <v>公司主要从事医药商业、仓储物流、医药工业和研发等业务。公司立足医药商业和医药研发的协同发展，是西部领先的医药健康产业集团。公司的主要产品为药品、医疗器械。
市值85.372324亿, 利润6.55亿; PE14.42; 平均PE10.3; 平均PEG.4, PB.752; ROIC5.94%; ROE8.2867%; 股利率1.0121%; 毛利8.5433%; 净利1.5767%; 上一年度营收增18.12%, 利润增-31.2%; 当季营收增.02%, 利润增-37.98%; 过往5年营收增25.93%, 利润增.69%
Income profile:
药品类 571.10亿 84.20% 75.18% 7.66%
医疗器械类 95.14亿 14.03% 19.90% 12.18%
其他 12.06亿 1.78% 4.91% 23.72%</v>
      </c>
      <c r="D6" t="s">
        <v>51</v>
      </c>
      <c r="E6" t="s">
        <v>16</v>
      </c>
      <c r="F6">
        <v>4.9400000000000004</v>
      </c>
      <c r="G6">
        <v>1.23</v>
      </c>
      <c r="H6" t="s">
        <v>705</v>
      </c>
      <c r="I6">
        <v>8537232400</v>
      </c>
      <c r="J6">
        <v>14.42</v>
      </c>
      <c r="K6">
        <v>0.752</v>
      </c>
      <c r="L6" t="s">
        <v>40</v>
      </c>
      <c r="M6" t="s">
        <v>706</v>
      </c>
      <c r="N6" t="s">
        <v>707</v>
      </c>
      <c r="O6" t="s">
        <v>708</v>
      </c>
      <c r="P6">
        <v>0.02</v>
      </c>
      <c r="Q6" t="s">
        <v>709</v>
      </c>
      <c r="R6">
        <v>102960760</v>
      </c>
      <c r="S6" s="5">
        <v>-0.37990000000000002</v>
      </c>
      <c r="T6" t="s">
        <v>710</v>
      </c>
      <c r="U6">
        <v>1728184700</v>
      </c>
      <c r="V6">
        <v>1728184700</v>
      </c>
      <c r="W6">
        <v>4.1500000000000004</v>
      </c>
      <c r="X6">
        <v>0.31</v>
      </c>
      <c r="Y6">
        <v>0.69</v>
      </c>
      <c r="Z6" t="s">
        <v>711</v>
      </c>
      <c r="AA6" t="s">
        <v>712</v>
      </c>
      <c r="AB6" t="s">
        <v>713</v>
      </c>
      <c r="AC6" t="s">
        <v>162</v>
      </c>
      <c r="AD6" t="s">
        <v>41</v>
      </c>
      <c r="AE6">
        <v>257833700</v>
      </c>
      <c r="AF6" t="s">
        <v>714</v>
      </c>
      <c r="AG6" t="s">
        <v>715</v>
      </c>
      <c r="AH6" t="s">
        <v>716</v>
      </c>
      <c r="AI6" t="s">
        <v>717</v>
      </c>
      <c r="AJ6" t="s">
        <v>718</v>
      </c>
      <c r="AK6" t="s">
        <v>719</v>
      </c>
      <c r="AL6" t="s">
        <v>720</v>
      </c>
      <c r="AM6" t="s">
        <v>41</v>
      </c>
      <c r="AN6" t="s">
        <v>721</v>
      </c>
      <c r="AO6" t="s">
        <v>722</v>
      </c>
      <c r="AP6" t="s">
        <v>723</v>
      </c>
      <c r="AQ6" t="s">
        <v>724</v>
      </c>
      <c r="AR6" t="s">
        <v>41</v>
      </c>
      <c r="AS6" t="s">
        <v>725</v>
      </c>
      <c r="AT6" t="s">
        <v>726</v>
      </c>
      <c r="AU6" t="s">
        <v>727</v>
      </c>
      <c r="AV6" t="s">
        <v>728</v>
      </c>
      <c r="AW6" t="s">
        <v>729</v>
      </c>
      <c r="AX6" t="s">
        <v>462</v>
      </c>
      <c r="AY6" t="s">
        <v>271</v>
      </c>
      <c r="AZ6" t="s">
        <v>143</v>
      </c>
      <c r="BA6" t="s">
        <v>52</v>
      </c>
      <c r="BB6" t="s">
        <v>146</v>
      </c>
      <c r="BC6" t="s">
        <v>463</v>
      </c>
      <c r="BD6" t="s">
        <v>272</v>
      </c>
      <c r="BE6" t="s">
        <v>144</v>
      </c>
      <c r="BF6" t="s">
        <v>53</v>
      </c>
      <c r="BG6" t="s">
        <v>147</v>
      </c>
      <c r="BH6" t="s">
        <v>709</v>
      </c>
      <c r="BI6" t="s">
        <v>546</v>
      </c>
      <c r="BJ6" t="s">
        <v>462</v>
      </c>
      <c r="BK6" t="s">
        <v>710</v>
      </c>
      <c r="BL6" t="s">
        <v>526</v>
      </c>
      <c r="BM6" t="s">
        <v>463</v>
      </c>
      <c r="BN6">
        <v>3.86</v>
      </c>
      <c r="BO6">
        <v>6.21</v>
      </c>
      <c r="BP6">
        <v>7.75</v>
      </c>
      <c r="BQ6">
        <v>4.78</v>
      </c>
      <c r="BR6">
        <v>9.3000000000000007</v>
      </c>
      <c r="BS6">
        <v>10.78</v>
      </c>
      <c r="BT6" t="s">
        <v>502</v>
      </c>
      <c r="BU6" t="s">
        <v>622</v>
      </c>
      <c r="BV6">
        <v>7.87</v>
      </c>
      <c r="BW6">
        <v>8.58</v>
      </c>
      <c r="BX6">
        <v>9.18</v>
      </c>
      <c r="BY6">
        <v>0.96</v>
      </c>
      <c r="BZ6">
        <v>1.71</v>
      </c>
      <c r="CA6">
        <v>2.06</v>
      </c>
      <c r="CB6">
        <v>1.44</v>
      </c>
      <c r="CC6">
        <v>-13.03</v>
      </c>
      <c r="CD6" t="s">
        <v>730</v>
      </c>
      <c r="CE6" t="s">
        <v>304</v>
      </c>
      <c r="CF6" s="9">
        <v>2.0387359836901122E-4</v>
      </c>
      <c r="CG6" s="10">
        <v>-0.37975445783132528</v>
      </c>
      <c r="CH6" s="9">
        <v>0.18119092285633087</v>
      </c>
      <c r="CI6" s="9">
        <v>8.4899447858333588E-2</v>
      </c>
      <c r="CJ6" s="9">
        <v>0.38259619474411011</v>
      </c>
      <c r="CK6" s="9">
        <v>0.33613044023513794</v>
      </c>
      <c r="CL6" s="9">
        <v>0.31163045763969421</v>
      </c>
      <c r="CM6" s="10">
        <v>-0.31197479367256165</v>
      </c>
      <c r="CN6" s="10">
        <v>-5.2736319601535797E-2</v>
      </c>
      <c r="CO6" s="10">
        <v>0.13687783479690552</v>
      </c>
      <c r="CP6" s="10">
        <v>0.12182740867137909</v>
      </c>
      <c r="CQ6" s="10">
        <v>0.14037626981735229</v>
      </c>
      <c r="CR6">
        <v>10.296159678391961</v>
      </c>
      <c r="CS6">
        <v>0.3970912809654869</v>
      </c>
      <c r="CT6">
        <v>1.0121457489878543</v>
      </c>
      <c r="CU6" s="9">
        <v>0.25928949266672136</v>
      </c>
      <c r="CV6" s="10">
        <v>6.874080002307892E-3</v>
      </c>
      <c r="CW6">
        <v>0.06</v>
      </c>
      <c r="CX6">
        <v>52.580414804980357</v>
      </c>
      <c r="CY6">
        <v>778145865.75160599</v>
      </c>
      <c r="CZ6">
        <v>0.25928949266672136</v>
      </c>
      <c r="DA6">
        <v>14.930828076751055</v>
      </c>
      <c r="DB6">
        <v>2740319035.8684478</v>
      </c>
      <c r="DC6">
        <v>0.24632501803338527</v>
      </c>
      <c r="DD6">
        <v>6.0257159991418758</v>
      </c>
      <c r="DE6">
        <v>6790103019.4298487</v>
      </c>
      <c r="DF6">
        <v>0.22817475354671479</v>
      </c>
      <c r="DG6">
        <v>2.8485445110081677</v>
      </c>
      <c r="DH6">
        <v>14363557333.186668</v>
      </c>
      <c r="DI6">
        <v>0.20743159413337708</v>
      </c>
      <c r="DJ6">
        <v>0.82765841360518166</v>
      </c>
      <c r="DK6">
        <v>49434925963.934944</v>
      </c>
      <c r="DL6">
        <v>0.18150264486670495</v>
      </c>
      <c r="DM6">
        <v>655000000</v>
      </c>
      <c r="DN6">
        <v>0.25928949266672136</v>
      </c>
      <c r="DO6">
        <v>40915232400</v>
      </c>
      <c r="DP6">
        <v>13542192000</v>
      </c>
      <c r="DQ6">
        <v>389</v>
      </c>
      <c r="DR6">
        <v>-0.25908561906835237</v>
      </c>
      <c r="DS6">
        <v>-0.38662853783363316</v>
      </c>
      <c r="DT6" s="11">
        <v>7.6666666666666591E-2</v>
      </c>
      <c r="DU6">
        <v>-0.38666666666666666</v>
      </c>
      <c r="DV6">
        <v>-0.31000000000000005</v>
      </c>
      <c r="DW6">
        <v>-2.1303000000000001</v>
      </c>
      <c r="DX6">
        <v>0.4225045544554446</v>
      </c>
      <c r="DY6">
        <v>-2.0146593434455444</v>
      </c>
      <c r="DZ6">
        <v>2480</v>
      </c>
      <c r="EA6">
        <v>-2.0075448284269632</v>
      </c>
      <c r="EB6">
        <v>2</v>
      </c>
      <c r="EC6">
        <v>3.287542124403716E-2</v>
      </c>
      <c r="ED6">
        <v>0.29221413660241291</v>
      </c>
      <c r="EE6" s="12">
        <v>1.0387</v>
      </c>
      <c r="EF6">
        <v>1.0132000000000001</v>
      </c>
      <c r="EG6">
        <v>31.112504554455445</v>
      </c>
      <c r="EH6" t="s">
        <v>369</v>
      </c>
      <c r="EI6">
        <v>0</v>
      </c>
      <c r="EJ6">
        <v>0</v>
      </c>
      <c r="EK6" s="8">
        <v>45470</v>
      </c>
      <c r="EL6" s="13">
        <v>1.54</v>
      </c>
      <c r="EM6" s="13">
        <v>-5.32</v>
      </c>
      <c r="EN6" s="13">
        <v>0.2</v>
      </c>
      <c r="EO6" s="13">
        <v>2</v>
      </c>
      <c r="EP6" s="13">
        <v>-2.5499999999999998</v>
      </c>
    </row>
    <row r="7" spans="1:146" ht="96" x14ac:dyDescent="0.25">
      <c r="A7" s="6"/>
      <c r="B7" s="6"/>
      <c r="C7" s="6" t="str">
        <f>""&amp;CHAR(10)&amp;Basic_Fundamental_Information_Constructure(F7)&amp;CHAR(10)&amp;Basic_Fundamental_Information_Concatenate("")</f>
        <v xml:space="preserve">
市值32.175295亿, 利润2.50亿; PE12.48; 平均PE10.04; 平均PEG.91, PB.746; ROIC6.1033%; ROE7.54%; 股利率2.3572%; 毛利7.66%; 净利1.8%; 上一年度营收增14.4%, 利润增-15.82%; 当季营收增10.17%, 利润增11.51%; 过往5年营收增11.05%, 利润增-4.28%
Income profile:
</v>
      </c>
      <c r="D7" t="s">
        <v>54</v>
      </c>
      <c r="E7" t="s">
        <v>22</v>
      </c>
      <c r="F7">
        <v>11.03</v>
      </c>
      <c r="G7">
        <v>1.94</v>
      </c>
      <c r="H7" t="s">
        <v>731</v>
      </c>
      <c r="I7">
        <v>3217529500</v>
      </c>
      <c r="J7">
        <v>12.48</v>
      </c>
      <c r="K7">
        <v>0.746</v>
      </c>
      <c r="L7" t="s">
        <v>40</v>
      </c>
      <c r="M7" t="s">
        <v>732</v>
      </c>
      <c r="N7" t="s">
        <v>733</v>
      </c>
      <c r="O7" t="s">
        <v>734</v>
      </c>
      <c r="P7">
        <v>10.17</v>
      </c>
      <c r="Q7" t="s">
        <v>735</v>
      </c>
      <c r="R7">
        <v>75533310</v>
      </c>
      <c r="S7" s="5">
        <v>0.11509999999999999</v>
      </c>
      <c r="T7" t="s">
        <v>591</v>
      </c>
      <c r="U7">
        <v>291500120</v>
      </c>
      <c r="V7">
        <v>291707120</v>
      </c>
      <c r="W7">
        <v>2.59</v>
      </c>
      <c r="X7">
        <v>0.45</v>
      </c>
      <c r="Y7">
        <v>1.58</v>
      </c>
      <c r="Z7" t="s">
        <v>736</v>
      </c>
      <c r="AA7" t="s">
        <v>737</v>
      </c>
      <c r="AB7" t="s">
        <v>464</v>
      </c>
      <c r="AC7" t="s">
        <v>738</v>
      </c>
      <c r="AD7" t="s">
        <v>41</v>
      </c>
      <c r="AE7">
        <v>32010498</v>
      </c>
      <c r="AF7" t="s">
        <v>739</v>
      </c>
      <c r="AG7" t="s">
        <v>740</v>
      </c>
      <c r="AH7" t="s">
        <v>741</v>
      </c>
      <c r="AI7" t="s">
        <v>742</v>
      </c>
      <c r="AJ7" t="s">
        <v>743</v>
      </c>
      <c r="AK7" t="s">
        <v>744</v>
      </c>
      <c r="AL7" t="s">
        <v>745</v>
      </c>
      <c r="AM7" t="s">
        <v>41</v>
      </c>
      <c r="AN7" t="s">
        <v>746</v>
      </c>
      <c r="AO7" t="s">
        <v>747</v>
      </c>
      <c r="AP7" t="s">
        <v>748</v>
      </c>
      <c r="AQ7" t="s">
        <v>749</v>
      </c>
      <c r="AR7" t="s">
        <v>41</v>
      </c>
      <c r="AS7" t="s">
        <v>750</v>
      </c>
      <c r="AT7" t="s">
        <v>41</v>
      </c>
      <c r="AU7" t="s">
        <v>751</v>
      </c>
      <c r="AV7" t="s">
        <v>752</v>
      </c>
      <c r="AW7" t="s">
        <v>753</v>
      </c>
      <c r="AX7" t="s">
        <v>466</v>
      </c>
      <c r="AY7" t="s">
        <v>273</v>
      </c>
      <c r="AZ7" t="s">
        <v>150</v>
      </c>
      <c r="BA7" t="s">
        <v>55</v>
      </c>
      <c r="BB7" t="s">
        <v>153</v>
      </c>
      <c r="BC7" t="s">
        <v>217</v>
      </c>
      <c r="BD7" t="s">
        <v>274</v>
      </c>
      <c r="BE7" t="s">
        <v>151</v>
      </c>
      <c r="BF7" t="s">
        <v>56</v>
      </c>
      <c r="BG7" t="s">
        <v>154</v>
      </c>
      <c r="BH7" t="s">
        <v>735</v>
      </c>
      <c r="BI7" t="s">
        <v>547</v>
      </c>
      <c r="BJ7" t="s">
        <v>466</v>
      </c>
      <c r="BK7" t="s">
        <v>591</v>
      </c>
      <c r="BL7" t="s">
        <v>548</v>
      </c>
      <c r="BM7" t="s">
        <v>217</v>
      </c>
      <c r="BN7">
        <v>4.5999999999999996</v>
      </c>
      <c r="BO7">
        <v>6.07</v>
      </c>
      <c r="BP7">
        <v>7.64</v>
      </c>
      <c r="BQ7">
        <v>5.71</v>
      </c>
      <c r="BR7">
        <v>7.49</v>
      </c>
      <c r="BS7">
        <v>9.42</v>
      </c>
      <c r="BT7" t="s">
        <v>754</v>
      </c>
      <c r="BU7" t="s">
        <v>622</v>
      </c>
      <c r="BV7">
        <v>6.59</v>
      </c>
      <c r="BW7">
        <v>8.0399999999999991</v>
      </c>
      <c r="BX7">
        <v>8.35</v>
      </c>
      <c r="BY7">
        <v>1.26</v>
      </c>
      <c r="BZ7">
        <v>1.79</v>
      </c>
      <c r="CA7">
        <v>2.35</v>
      </c>
      <c r="CB7">
        <v>0.82</v>
      </c>
      <c r="CC7">
        <v>-10.54</v>
      </c>
      <c r="CD7" t="s">
        <v>755</v>
      </c>
      <c r="CE7" t="s">
        <v>756</v>
      </c>
      <c r="CF7" s="9">
        <v>0.10168738898756675</v>
      </c>
      <c r="CG7" s="10">
        <v>0.11514286726646214</v>
      </c>
      <c r="CH7" s="9">
        <v>0.1440122127532959</v>
      </c>
      <c r="CI7" s="9">
        <v>2.3179579526185989E-2</v>
      </c>
      <c r="CJ7" s="9">
        <v>0.10190913081169128</v>
      </c>
      <c r="CK7" s="9">
        <v>4.8181399703025818E-2</v>
      </c>
      <c r="CL7" s="9">
        <v>0.23535637557506561</v>
      </c>
      <c r="CM7" s="10">
        <v>-0.1582491546869278</v>
      </c>
      <c r="CN7" s="10">
        <v>-0.16101695597171783</v>
      </c>
      <c r="CO7" s="10">
        <v>0.11320754885673523</v>
      </c>
      <c r="CP7" s="10">
        <v>-0.15425531566143036</v>
      </c>
      <c r="CQ7" s="10">
        <v>0.14634145796298981</v>
      </c>
      <c r="CR7">
        <v>10.039093603744149</v>
      </c>
      <c r="CS7">
        <v>0.90828724385097104</v>
      </c>
      <c r="CT7">
        <v>2.3572076155938353</v>
      </c>
      <c r="CU7" s="9">
        <v>0.11052773967385292</v>
      </c>
      <c r="CV7" s="10">
        <v>-4.2794483900070193E-2</v>
      </c>
      <c r="CW7">
        <v>0.06</v>
      </c>
      <c r="CX7">
        <v>30.725504515556757</v>
      </c>
      <c r="CY7">
        <v>261916919.73439923</v>
      </c>
      <c r="CZ7">
        <v>0.11052773967385292</v>
      </c>
      <c r="DA7">
        <v>9.8681832604142929</v>
      </c>
      <c r="DB7">
        <v>815502639.91166925</v>
      </c>
      <c r="DC7">
        <v>0.10500135269016027</v>
      </c>
      <c r="DD7">
        <v>4.745658855072528</v>
      </c>
      <c r="DE7">
        <v>1695766540.6981745</v>
      </c>
      <c r="DF7">
        <v>9.7264410912990568E-2</v>
      </c>
      <c r="DG7">
        <v>2.7750170201376374</v>
      </c>
      <c r="DH7">
        <v>2899992843.864018</v>
      </c>
      <c r="DI7">
        <v>8.8422191739082334E-2</v>
      </c>
      <c r="DJ7">
        <v>1.3510446627712831</v>
      </c>
      <c r="DK7">
        <v>5956523660.3598185</v>
      </c>
      <c r="DL7">
        <v>7.7369417771697035E-2</v>
      </c>
      <c r="DM7">
        <v>250000000</v>
      </c>
      <c r="DN7">
        <v>0.11052773967385292</v>
      </c>
      <c r="DO7">
        <v>8047529500</v>
      </c>
      <c r="DP7">
        <v>4937900000</v>
      </c>
      <c r="DQ7">
        <v>963</v>
      </c>
      <c r="DR7">
        <v>-8.8403506862861636E-3</v>
      </c>
      <c r="DS7">
        <v>0.15793735116653235</v>
      </c>
      <c r="DT7" s="11">
        <v>-0.34</v>
      </c>
      <c r="DU7">
        <v>-0.43333333333333335</v>
      </c>
      <c r="DV7">
        <v>-0.77333333333333343</v>
      </c>
      <c r="DW7">
        <v>-2.1053999999999999</v>
      </c>
      <c r="DX7">
        <v>0.36402630409774983</v>
      </c>
      <c r="DY7">
        <v>-2.0151803724519026</v>
      </c>
      <c r="DZ7">
        <v>3306</v>
      </c>
      <c r="EA7">
        <v>-2.0053591764976972</v>
      </c>
      <c r="EB7">
        <v>2</v>
      </c>
      <c r="EC7">
        <v>3.3005707916899663E-2</v>
      </c>
      <c r="ED7">
        <v>0.229164444117785</v>
      </c>
      <c r="EE7" s="12">
        <v>8.6099999999999996E-3</v>
      </c>
      <c r="EF7">
        <v>2.0509999999999997E-2</v>
      </c>
      <c r="EG7">
        <v>22.14402630409775</v>
      </c>
      <c r="EH7">
        <v>-1</v>
      </c>
      <c r="EI7">
        <v>0</v>
      </c>
      <c r="EJ7">
        <v>0</v>
      </c>
      <c r="EK7" s="8">
        <v>45470</v>
      </c>
      <c r="EL7" s="13">
        <v>0.99</v>
      </c>
      <c r="EM7" s="13">
        <v>-3.55</v>
      </c>
      <c r="EN7" s="13">
        <v>1.29</v>
      </c>
      <c r="EO7" s="13">
        <v>1.82</v>
      </c>
      <c r="EP7" s="13">
        <v>-1.19</v>
      </c>
    </row>
    <row r="8" spans="1:146" ht="96" x14ac:dyDescent="0.25">
      <c r="A8" s="6"/>
      <c r="B8" s="6"/>
      <c r="C8" s="6" t="str">
        <f>""&amp;CHAR(10)&amp;Basic_Fundamental_Information_Constructure(F8)&amp;CHAR(10)&amp;Basic_Fundamental_Information_Concatenate("")</f>
        <v xml:space="preserve">
市值34.307399亿, 利润2031.77万; PE239.5; 平均PE-13.06; 平均PEG-.55, PB.628; ROIC2.985%; ROE-8.9033%; 股利率.5702%; 毛利14.0333%; 净利-3.9733%; 上一年度营收增-34.74%, 利润增101.11%; 当季营收增-2.6%, 利润增-28.31%; 过往5年营收增-23.55%, 利润增-307.73%
Income profile:
</v>
      </c>
      <c r="D8" t="s">
        <v>57</v>
      </c>
      <c r="E8" t="s">
        <v>23</v>
      </c>
      <c r="F8">
        <v>2.2799999999999998</v>
      </c>
      <c r="G8">
        <v>4.1100000000000003</v>
      </c>
      <c r="H8" t="s">
        <v>757</v>
      </c>
      <c r="I8">
        <v>3430739900</v>
      </c>
      <c r="J8">
        <v>239.5</v>
      </c>
      <c r="K8">
        <v>0.628</v>
      </c>
      <c r="L8" t="s">
        <v>40</v>
      </c>
      <c r="M8" t="s">
        <v>758</v>
      </c>
      <c r="N8" t="s">
        <v>759</v>
      </c>
      <c r="O8" t="s">
        <v>760</v>
      </c>
      <c r="P8">
        <v>-2.62</v>
      </c>
      <c r="Q8" t="s">
        <v>761</v>
      </c>
      <c r="R8">
        <v>15168973</v>
      </c>
      <c r="S8" s="5">
        <v>-0.28310000000000002</v>
      </c>
      <c r="T8" t="s">
        <v>762</v>
      </c>
      <c r="U8">
        <v>1364091500</v>
      </c>
      <c r="V8">
        <v>1504710500</v>
      </c>
      <c r="W8">
        <v>2.75</v>
      </c>
      <c r="X8">
        <v>0.13</v>
      </c>
      <c r="Y8">
        <v>0.92</v>
      </c>
      <c r="Z8" t="s">
        <v>763</v>
      </c>
      <c r="AA8" t="s">
        <v>764</v>
      </c>
      <c r="AB8" t="s">
        <v>765</v>
      </c>
      <c r="AC8" t="s">
        <v>766</v>
      </c>
      <c r="AD8" t="s">
        <v>41</v>
      </c>
      <c r="AE8">
        <v>55658801</v>
      </c>
      <c r="AF8" t="s">
        <v>767</v>
      </c>
      <c r="AG8" t="s">
        <v>768</v>
      </c>
      <c r="AH8" t="s">
        <v>769</v>
      </c>
      <c r="AI8" t="s">
        <v>770</v>
      </c>
      <c r="AJ8" t="s">
        <v>771</v>
      </c>
      <c r="AK8" t="s">
        <v>772</v>
      </c>
      <c r="AL8" t="s">
        <v>773</v>
      </c>
      <c r="AM8" t="s">
        <v>41</v>
      </c>
      <c r="AN8" t="s">
        <v>774</v>
      </c>
      <c r="AO8" t="s">
        <v>581</v>
      </c>
      <c r="AP8" t="s">
        <v>775</v>
      </c>
      <c r="AQ8" t="s">
        <v>776</v>
      </c>
      <c r="AR8" t="s">
        <v>41</v>
      </c>
      <c r="AS8" t="s">
        <v>777</v>
      </c>
      <c r="AT8" t="s">
        <v>577</v>
      </c>
      <c r="AU8" t="s">
        <v>778</v>
      </c>
      <c r="AV8" t="s">
        <v>779</v>
      </c>
      <c r="AW8" t="s">
        <v>238</v>
      </c>
      <c r="AX8" t="s">
        <v>469</v>
      </c>
      <c r="AY8" t="s">
        <v>276</v>
      </c>
      <c r="AZ8" t="s">
        <v>277</v>
      </c>
      <c r="BA8" t="s">
        <v>58</v>
      </c>
      <c r="BB8" t="s">
        <v>156</v>
      </c>
      <c r="BC8" t="s">
        <v>780</v>
      </c>
      <c r="BD8" t="s">
        <v>47</v>
      </c>
      <c r="BE8" t="s">
        <v>155</v>
      </c>
      <c r="BF8" t="s">
        <v>59</v>
      </c>
      <c r="BG8" t="s">
        <v>157</v>
      </c>
      <c r="BH8" t="s">
        <v>761</v>
      </c>
      <c r="BI8" t="s">
        <v>551</v>
      </c>
      <c r="BJ8" t="s">
        <v>469</v>
      </c>
      <c r="BK8" t="s">
        <v>762</v>
      </c>
      <c r="BL8" t="s">
        <v>552</v>
      </c>
      <c r="BM8" t="s">
        <v>780</v>
      </c>
      <c r="BN8">
        <v>1.73</v>
      </c>
      <c r="BO8" t="s">
        <v>41</v>
      </c>
      <c r="BP8">
        <v>4.24</v>
      </c>
      <c r="BQ8">
        <v>0.35</v>
      </c>
      <c r="BR8">
        <v>-28.81</v>
      </c>
      <c r="BS8">
        <v>1.75</v>
      </c>
      <c r="BT8" t="s">
        <v>781</v>
      </c>
      <c r="BU8" t="s">
        <v>622</v>
      </c>
      <c r="BV8">
        <v>10.29</v>
      </c>
      <c r="BW8">
        <v>13.58</v>
      </c>
      <c r="BX8">
        <v>18.23</v>
      </c>
      <c r="BY8">
        <v>0.4</v>
      </c>
      <c r="BZ8">
        <v>-14.13</v>
      </c>
      <c r="CA8">
        <v>1.81</v>
      </c>
      <c r="CB8">
        <v>3.64</v>
      </c>
      <c r="CC8">
        <v>-13.21</v>
      </c>
      <c r="CD8" t="s">
        <v>782</v>
      </c>
      <c r="CE8" t="s">
        <v>589</v>
      </c>
      <c r="CF8" s="9">
        <v>-2.6049204052098294E-2</v>
      </c>
      <c r="CG8" s="10">
        <v>-0.28311626873853946</v>
      </c>
      <c r="CH8" s="9">
        <v>-0.34741288423538208</v>
      </c>
      <c r="CI8" s="9">
        <v>-0.41543209552764893</v>
      </c>
      <c r="CJ8" s="9">
        <v>-0.22670194506645203</v>
      </c>
      <c r="CK8" s="9">
        <v>-0.22760140895843506</v>
      </c>
      <c r="CL8" s="9">
        <v>3.950582817196846E-2</v>
      </c>
      <c r="CM8" s="10">
        <v>1.0110964775085449</v>
      </c>
      <c r="CN8" s="10">
        <v>-14.97709846496582</v>
      </c>
      <c r="CO8" s="10">
        <v>-0.49808427691459656</v>
      </c>
      <c r="CP8" s="10">
        <v>1.2812498807907104</v>
      </c>
      <c r="CQ8" s="10">
        <v>-2.2036316394805908</v>
      </c>
      <c r="CR8">
        <v>-13.063826000964792</v>
      </c>
      <c r="CS8">
        <v>-0.55466009160954743</v>
      </c>
      <c r="CT8">
        <v>0.57017543859649134</v>
      </c>
      <c r="CU8" s="9">
        <v>-0.23552850112318993</v>
      </c>
      <c r="CV8" s="10">
        <v>-3.0772936046123505</v>
      </c>
      <c r="CW8">
        <v>0.06</v>
      </c>
      <c r="CX8">
        <v>435.42034285376792</v>
      </c>
      <c r="CY8" t="s">
        <v>783</v>
      </c>
      <c r="CZ8">
        <v>-0.23552850112318993</v>
      </c>
      <c r="DA8">
        <v>145.14011428458929</v>
      </c>
      <c r="DB8" t="s">
        <v>784</v>
      </c>
      <c r="DC8">
        <v>-0.22375207606703043</v>
      </c>
      <c r="DD8">
        <v>72.570057142294644</v>
      </c>
      <c r="DE8" t="s">
        <v>785</v>
      </c>
      <c r="DF8">
        <v>-0.20726508098840715</v>
      </c>
      <c r="DG8">
        <v>43.542034285376786</v>
      </c>
      <c r="DH8" t="s">
        <v>786</v>
      </c>
      <c r="DI8">
        <v>-0.18842280089855196</v>
      </c>
      <c r="DJ8">
        <v>21.771017142688393</v>
      </c>
      <c r="DK8" t="s">
        <v>787</v>
      </c>
      <c r="DL8">
        <v>-0.16486995078623295</v>
      </c>
      <c r="DM8">
        <v>20317700</v>
      </c>
      <c r="DN8">
        <v>-0.23552850112318993</v>
      </c>
      <c r="DO8">
        <v>8846739900</v>
      </c>
      <c r="DP8">
        <v>902058800</v>
      </c>
      <c r="DQ8">
        <v>1082</v>
      </c>
      <c r="DR8">
        <v>0.20947929707109164</v>
      </c>
      <c r="DS8">
        <v>2.7941773358738109</v>
      </c>
      <c r="DT8" s="11">
        <v>-1.0066666666666666</v>
      </c>
      <c r="DU8">
        <v>-1.34</v>
      </c>
      <c r="DV8">
        <v>-2.3466666666666667</v>
      </c>
      <c r="DW8">
        <v>6.2160237388724031</v>
      </c>
      <c r="DX8">
        <v>0.50719457013574876</v>
      </c>
      <c r="DY8">
        <v>6.0361179961598879</v>
      </c>
      <c r="DZ8">
        <v>4603</v>
      </c>
      <c r="EA8">
        <v>6.0035835272119495</v>
      </c>
      <c r="EB8">
        <v>6</v>
      </c>
      <c r="EC8">
        <v>4.9112437242911512E-2</v>
      </c>
      <c r="ED8">
        <v>0.2937442119264802</v>
      </c>
      <c r="EE8" s="12">
        <v>-3.0003000000000002</v>
      </c>
      <c r="EF8">
        <v>-3.0174099999999999</v>
      </c>
      <c r="EG8">
        <v>34.167194570135749</v>
      </c>
      <c r="EH8" t="s">
        <v>788</v>
      </c>
      <c r="EI8">
        <v>0</v>
      </c>
      <c r="EJ8">
        <v>0</v>
      </c>
      <c r="EK8" s="8">
        <v>45470</v>
      </c>
      <c r="EL8" s="13">
        <v>2.2400000000000002</v>
      </c>
      <c r="EM8" s="13">
        <v>-5.26</v>
      </c>
      <c r="EN8" s="13">
        <v>0</v>
      </c>
      <c r="EO8" s="13">
        <v>4.63</v>
      </c>
      <c r="EP8" s="13">
        <v>-1.77</v>
      </c>
    </row>
    <row r="9" spans="1:146" ht="96" x14ac:dyDescent="0.25">
      <c r="A9" s="6"/>
      <c r="B9" s="6"/>
      <c r="C9" s="6" t="str">
        <f>""&amp;CHAR(10)&amp;Basic_Fundamental_Information_Constructure(F9)&amp;CHAR(10)&amp;Basic_Fundamental_Information_Concatenate("")</f>
        <v xml:space="preserve">
市值88.447205亿, 利润5.49亿; PE16.03; 平均PE12.07; 平均PEG.87, PB1.11; ROIC11.87%; ROE12.8267%; 股利率2.6954%; 毛利35.0033%; 净利5.1067%; 上一年度营收增-.3%, 利润增-45.64%; 当季营收增14.97%, 利润增1.22%; 过往5年营收增13.89%, 利润增5.47%
Income profile:
</v>
      </c>
      <c r="D9" t="s">
        <v>61</v>
      </c>
      <c r="E9" t="s">
        <v>13</v>
      </c>
      <c r="F9">
        <v>14.84</v>
      </c>
      <c r="G9">
        <v>1.1599999999999999</v>
      </c>
      <c r="H9" t="s">
        <v>789</v>
      </c>
      <c r="I9">
        <v>8844720500</v>
      </c>
      <c r="J9">
        <v>16.03</v>
      </c>
      <c r="K9">
        <v>1.1100000000000001</v>
      </c>
      <c r="L9" t="s">
        <v>40</v>
      </c>
      <c r="M9" t="s">
        <v>790</v>
      </c>
      <c r="N9" t="s">
        <v>791</v>
      </c>
      <c r="O9" t="s">
        <v>792</v>
      </c>
      <c r="P9">
        <v>14.96</v>
      </c>
      <c r="Q9" t="s">
        <v>793</v>
      </c>
      <c r="R9">
        <v>241918450</v>
      </c>
      <c r="S9" s="5">
        <v>1.03E-2</v>
      </c>
      <c r="T9" t="s">
        <v>794</v>
      </c>
      <c r="U9">
        <v>407713730</v>
      </c>
      <c r="V9">
        <v>596005430</v>
      </c>
      <c r="W9">
        <v>2.16</v>
      </c>
      <c r="X9">
        <v>0.3</v>
      </c>
      <c r="Y9">
        <v>4.83</v>
      </c>
      <c r="Z9" t="s">
        <v>584</v>
      </c>
      <c r="AA9" t="s">
        <v>795</v>
      </c>
      <c r="AB9" t="s">
        <v>796</v>
      </c>
      <c r="AC9" t="s">
        <v>292</v>
      </c>
      <c r="AD9" t="s">
        <v>41</v>
      </c>
      <c r="AE9">
        <v>18531704</v>
      </c>
      <c r="AF9" t="s">
        <v>797</v>
      </c>
      <c r="AG9" t="s">
        <v>798</v>
      </c>
      <c r="AH9" t="s">
        <v>799</v>
      </c>
      <c r="AI9" t="s">
        <v>800</v>
      </c>
      <c r="AJ9" t="s">
        <v>801</v>
      </c>
      <c r="AK9" t="s">
        <v>802</v>
      </c>
      <c r="AL9" t="s">
        <v>803</v>
      </c>
      <c r="AM9" t="s">
        <v>41</v>
      </c>
      <c r="AN9" t="s">
        <v>804</v>
      </c>
      <c r="AO9" t="s">
        <v>161</v>
      </c>
      <c r="AP9" t="s">
        <v>565</v>
      </c>
      <c r="AQ9" t="s">
        <v>805</v>
      </c>
      <c r="AR9" t="s">
        <v>806</v>
      </c>
      <c r="AS9" t="s">
        <v>807</v>
      </c>
      <c r="AT9" t="s">
        <v>41</v>
      </c>
      <c r="AU9" t="s">
        <v>161</v>
      </c>
      <c r="AV9" t="s">
        <v>808</v>
      </c>
      <c r="AW9" t="s">
        <v>809</v>
      </c>
      <c r="AX9" t="s">
        <v>470</v>
      </c>
      <c r="AY9" t="s">
        <v>278</v>
      </c>
      <c r="AZ9" t="s">
        <v>158</v>
      </c>
      <c r="BA9" t="s">
        <v>62</v>
      </c>
      <c r="BB9" t="s">
        <v>160</v>
      </c>
      <c r="BC9" t="s">
        <v>471</v>
      </c>
      <c r="BD9" t="s">
        <v>279</v>
      </c>
      <c r="BE9" t="s">
        <v>159</v>
      </c>
      <c r="BF9" t="s">
        <v>63</v>
      </c>
      <c r="BG9" t="s">
        <v>161</v>
      </c>
      <c r="BH9" t="s">
        <v>793</v>
      </c>
      <c r="BI9" t="s">
        <v>555</v>
      </c>
      <c r="BJ9" t="s">
        <v>470</v>
      </c>
      <c r="BK9" t="s">
        <v>794</v>
      </c>
      <c r="BL9" t="s">
        <v>556</v>
      </c>
      <c r="BM9" t="s">
        <v>471</v>
      </c>
      <c r="BN9">
        <v>7.99</v>
      </c>
      <c r="BO9">
        <v>13.04</v>
      </c>
      <c r="BP9">
        <v>14.58</v>
      </c>
      <c r="BQ9">
        <v>8.9700000000000006</v>
      </c>
      <c r="BR9">
        <v>14.47</v>
      </c>
      <c r="BS9">
        <v>15.04</v>
      </c>
      <c r="BT9" t="s">
        <v>474</v>
      </c>
      <c r="BU9" t="s">
        <v>810</v>
      </c>
      <c r="BV9">
        <v>33</v>
      </c>
      <c r="BW9">
        <v>35.049999999999997</v>
      </c>
      <c r="BX9">
        <v>36.96</v>
      </c>
      <c r="BY9">
        <v>3.22</v>
      </c>
      <c r="BZ9">
        <v>5.81</v>
      </c>
      <c r="CA9">
        <v>6.29</v>
      </c>
      <c r="CB9">
        <v>-1.66</v>
      </c>
      <c r="CC9">
        <v>-31.68</v>
      </c>
      <c r="CD9" t="s">
        <v>811</v>
      </c>
      <c r="CE9" t="s">
        <v>812</v>
      </c>
      <c r="CF9" s="9">
        <v>0.14968440036068531</v>
      </c>
      <c r="CG9" s="10">
        <v>1.2211087866108786E-2</v>
      </c>
      <c r="CH9" s="9">
        <v>-2.983063692227006E-3</v>
      </c>
      <c r="CI9" s="9">
        <v>0.19503672420978546</v>
      </c>
      <c r="CJ9" s="9">
        <v>0.15257583558559418</v>
      </c>
      <c r="CK9" s="9">
        <v>0.2077488899230957</v>
      </c>
      <c r="CL9" s="9">
        <v>0.14200076460838318</v>
      </c>
      <c r="CM9" s="10">
        <v>-0.45643565058708191</v>
      </c>
      <c r="CN9" s="10">
        <v>9.5444686710834503E-2</v>
      </c>
      <c r="CO9" s="10">
        <v>0.16708861291408539</v>
      </c>
      <c r="CP9" s="10">
        <v>0.30794700980186462</v>
      </c>
      <c r="CQ9" s="10">
        <v>0.1593090146780014</v>
      </c>
      <c r="CR9">
        <v>12.071957006369427</v>
      </c>
      <c r="CS9">
        <v>0.86926263521421965</v>
      </c>
      <c r="CT9">
        <v>2.6954177897574123</v>
      </c>
      <c r="CU9" s="9">
        <v>0.13887583012692631</v>
      </c>
      <c r="CV9" s="10">
        <v>5.4670734703540801E-2</v>
      </c>
      <c r="CW9">
        <v>0.06</v>
      </c>
      <c r="CX9">
        <v>16.08492450541538</v>
      </c>
      <c r="CY9">
        <v>589851727.11290801</v>
      </c>
      <c r="CZ9">
        <v>0.13887583012692631</v>
      </c>
      <c r="DA9">
        <v>5.0444691888220614</v>
      </c>
      <c r="DB9">
        <v>1880816423.8615334</v>
      </c>
      <c r="DC9">
        <v>0.13193203862057998</v>
      </c>
      <c r="DD9">
        <v>2.347958342464092</v>
      </c>
      <c r="DE9">
        <v>4040838514.2144399</v>
      </c>
      <c r="DF9">
        <v>0.12221073051169515</v>
      </c>
      <c r="DG9">
        <v>1.3217954110439629</v>
      </c>
      <c r="DH9">
        <v>7177903948.4684963</v>
      </c>
      <c r="DI9">
        <v>0.11110066410154106</v>
      </c>
      <c r="DJ9">
        <v>0.58973078253043731</v>
      </c>
      <c r="DK9">
        <v>16088223272.473177</v>
      </c>
      <c r="DL9">
        <v>9.7213081088848408E-2</v>
      </c>
      <c r="DM9">
        <v>549000000</v>
      </c>
      <c r="DN9">
        <v>0.13887583012692631</v>
      </c>
      <c r="DO9">
        <v>9487720500</v>
      </c>
      <c r="DP9">
        <v>2776612100</v>
      </c>
      <c r="DQ9">
        <v>1210</v>
      </c>
      <c r="DR9">
        <v>1.0808570233759002E-2</v>
      </c>
      <c r="DS9">
        <v>-4.2459646837432016E-2</v>
      </c>
      <c r="DT9" s="11">
        <v>-4.0000000000000036E-2</v>
      </c>
      <c r="DU9">
        <v>0.18333333333333326</v>
      </c>
      <c r="DV9">
        <v>0.14333333333333323</v>
      </c>
      <c r="DW9">
        <v>-3.1773333333333333</v>
      </c>
      <c r="DX9">
        <v>0.33556877192982554</v>
      </c>
      <c r="DY9">
        <v>-3.0275875288888887</v>
      </c>
      <c r="DZ9">
        <v>1389</v>
      </c>
      <c r="EA9">
        <v>-3.0200886878660578</v>
      </c>
      <c r="EB9">
        <v>3</v>
      </c>
      <c r="EC9">
        <v>7.4390429630817295E-2</v>
      </c>
      <c r="ED9">
        <v>0.47818356285780816</v>
      </c>
      <c r="EE9" s="12">
        <v>-3.1047099999999999</v>
      </c>
      <c r="EF9">
        <v>-3.1243099999999999</v>
      </c>
      <c r="EG9">
        <v>18.155568771929826</v>
      </c>
      <c r="EH9" t="s">
        <v>788</v>
      </c>
      <c r="EI9">
        <v>0</v>
      </c>
      <c r="EJ9">
        <v>1</v>
      </c>
      <c r="EK9" s="8">
        <v>45470</v>
      </c>
      <c r="EL9" s="13">
        <v>1.6</v>
      </c>
      <c r="EM9" s="13">
        <v>-2.65</v>
      </c>
      <c r="EN9" s="13">
        <v>0.13</v>
      </c>
      <c r="EO9" s="13">
        <v>2.2599999999999998</v>
      </c>
      <c r="EP9" s="13">
        <v>-1.96</v>
      </c>
    </row>
    <row r="10" spans="1:146" ht="96" x14ac:dyDescent="0.25">
      <c r="A10" s="6"/>
      <c r="B10" s="6"/>
      <c r="C10" s="6" t="str">
        <f>""&amp;CHAR(10)&amp;Basic_Fundamental_Information_Constructure(F10)&amp;CHAR(10)&amp;Basic_Fundamental_Information_Concatenate("")</f>
        <v xml:space="preserve">
市值30.110047亿, 利润3.64亿; PE8.19; 平均PE10.52; 平均PEG.88, PB.999; ROIC6.1433%; ROE11.6633%; 股利率3.871%; 毛利7.7367%; 净利1.7933%; 上一年度营收增1.97%, 利润增5.51%; 当季营收增6.07%, 利润增4.9%; 过往5年营收增11.97%, 利润增15.88%
Income profile:
</v>
      </c>
      <c r="D10" t="s">
        <v>65</v>
      </c>
      <c r="E10" t="s">
        <v>19</v>
      </c>
      <c r="F10">
        <v>7.75</v>
      </c>
      <c r="G10">
        <v>2.2400000000000002</v>
      </c>
      <c r="H10" t="s">
        <v>813</v>
      </c>
      <c r="I10">
        <v>3011004700</v>
      </c>
      <c r="J10">
        <v>8.19</v>
      </c>
      <c r="K10">
        <v>0.999</v>
      </c>
      <c r="L10" t="s">
        <v>40</v>
      </c>
      <c r="M10" t="s">
        <v>814</v>
      </c>
      <c r="N10" t="s">
        <v>815</v>
      </c>
      <c r="O10" t="s">
        <v>816</v>
      </c>
      <c r="P10">
        <v>6.08</v>
      </c>
      <c r="Q10" t="s">
        <v>817</v>
      </c>
      <c r="R10">
        <v>83776431</v>
      </c>
      <c r="S10" s="5">
        <v>4.9000000000000002E-2</v>
      </c>
      <c r="T10" t="s">
        <v>818</v>
      </c>
      <c r="U10">
        <v>380462760</v>
      </c>
      <c r="V10">
        <v>388516740</v>
      </c>
      <c r="W10">
        <v>3.95</v>
      </c>
      <c r="X10">
        <v>0.43</v>
      </c>
      <c r="Y10">
        <v>1.63</v>
      </c>
      <c r="Z10" t="s">
        <v>819</v>
      </c>
      <c r="AA10" t="s">
        <v>820</v>
      </c>
      <c r="AB10" t="s">
        <v>287</v>
      </c>
      <c r="AC10" t="s">
        <v>821</v>
      </c>
      <c r="AD10" t="s">
        <v>41</v>
      </c>
      <c r="AE10">
        <v>52731733</v>
      </c>
      <c r="AF10" t="s">
        <v>822</v>
      </c>
      <c r="AG10" t="s">
        <v>823</v>
      </c>
      <c r="AH10" t="s">
        <v>824</v>
      </c>
      <c r="AI10" t="s">
        <v>825</v>
      </c>
      <c r="AJ10" t="s">
        <v>826</v>
      </c>
      <c r="AK10" t="s">
        <v>41</v>
      </c>
      <c r="AL10" t="s">
        <v>827</v>
      </c>
      <c r="AM10" t="s">
        <v>41</v>
      </c>
      <c r="AN10" t="s">
        <v>828</v>
      </c>
      <c r="AO10" t="s">
        <v>829</v>
      </c>
      <c r="AP10" t="s">
        <v>830</v>
      </c>
      <c r="AQ10" t="s">
        <v>831</v>
      </c>
      <c r="AR10" t="s">
        <v>832</v>
      </c>
      <c r="AS10" t="s">
        <v>833</v>
      </c>
      <c r="AT10" t="s">
        <v>834</v>
      </c>
      <c r="AU10" t="s">
        <v>835</v>
      </c>
      <c r="AV10" t="s">
        <v>836</v>
      </c>
      <c r="AW10" t="s">
        <v>837</v>
      </c>
      <c r="AX10" t="s">
        <v>475</v>
      </c>
      <c r="AY10" t="s">
        <v>280</v>
      </c>
      <c r="AZ10" t="s">
        <v>282</v>
      </c>
      <c r="BA10" t="s">
        <v>66</v>
      </c>
      <c r="BB10" t="s">
        <v>163</v>
      </c>
      <c r="BC10" t="s">
        <v>383</v>
      </c>
      <c r="BD10" t="s">
        <v>281</v>
      </c>
      <c r="BE10" t="s">
        <v>84</v>
      </c>
      <c r="BF10" t="s">
        <v>67</v>
      </c>
      <c r="BG10" t="s">
        <v>89</v>
      </c>
      <c r="BH10" t="s">
        <v>817</v>
      </c>
      <c r="BI10" t="s">
        <v>558</v>
      </c>
      <c r="BJ10" t="s">
        <v>475</v>
      </c>
      <c r="BK10" t="s">
        <v>818</v>
      </c>
      <c r="BL10" t="s">
        <v>559</v>
      </c>
      <c r="BM10" t="s">
        <v>383</v>
      </c>
      <c r="BN10">
        <v>4.88</v>
      </c>
      <c r="BO10">
        <v>6.84</v>
      </c>
      <c r="BP10">
        <v>6.71</v>
      </c>
      <c r="BQ10">
        <v>9.34</v>
      </c>
      <c r="BR10">
        <v>13.19</v>
      </c>
      <c r="BS10">
        <v>12.46</v>
      </c>
      <c r="BT10" t="s">
        <v>450</v>
      </c>
      <c r="BU10" t="s">
        <v>622</v>
      </c>
      <c r="BV10">
        <v>7.6</v>
      </c>
      <c r="BW10">
        <v>7.79</v>
      </c>
      <c r="BX10">
        <v>7.82</v>
      </c>
      <c r="BY10">
        <v>1.84</v>
      </c>
      <c r="BZ10">
        <v>1.8</v>
      </c>
      <c r="CA10">
        <v>1.74</v>
      </c>
      <c r="CB10">
        <v>2.2400000000000002</v>
      </c>
      <c r="CC10">
        <v>-8.2799999999999994</v>
      </c>
      <c r="CD10" t="s">
        <v>838</v>
      </c>
      <c r="CE10" t="s">
        <v>839</v>
      </c>
      <c r="CF10" s="9">
        <v>6.0718711276332091E-2</v>
      </c>
      <c r="CG10" s="10">
        <v>4.9018878886875686E-2</v>
      </c>
      <c r="CH10" s="9">
        <v>1.9678393378853798E-2</v>
      </c>
      <c r="CI10" s="9">
        <v>0.10931883752346039</v>
      </c>
      <c r="CJ10" s="9">
        <v>0.12938535213470459</v>
      </c>
      <c r="CK10" s="9">
        <v>3.5045579075813293E-2</v>
      </c>
      <c r="CL10" s="9">
        <v>0.30501702427864075</v>
      </c>
      <c r="CM10" s="10">
        <v>5.5072464048862457E-2</v>
      </c>
      <c r="CN10" s="10">
        <v>0.12745098769664764</v>
      </c>
      <c r="CO10" s="10">
        <v>0.14606741070747375</v>
      </c>
      <c r="CP10" s="10">
        <v>4.296875E-2</v>
      </c>
      <c r="CQ10" s="10">
        <v>0.42222222685813904</v>
      </c>
      <c r="CR10">
        <v>10.51573236321304</v>
      </c>
      <c r="CS10">
        <v>0.87858776395388827</v>
      </c>
      <c r="CT10">
        <v>3.870967741935484</v>
      </c>
      <c r="CU10" s="9">
        <v>0.11968903727829457</v>
      </c>
      <c r="CV10" s="10">
        <v>0.15875636786222458</v>
      </c>
      <c r="CW10">
        <v>0.06</v>
      </c>
      <c r="CX10">
        <v>22.848045432945515</v>
      </c>
      <c r="CY10">
        <v>384496990.15971619</v>
      </c>
      <c r="CZ10">
        <v>0.11968903727829457</v>
      </c>
      <c r="DA10">
        <v>7.281779756749776</v>
      </c>
      <c r="DB10">
        <v>1206436474.7995603</v>
      </c>
      <c r="DC10">
        <v>0.11370458541437983</v>
      </c>
      <c r="DD10">
        <v>3.4652394347964397</v>
      </c>
      <c r="DE10">
        <v>2535179708.4451861</v>
      </c>
      <c r="DF10">
        <v>0.10532635280489921</v>
      </c>
      <c r="DG10">
        <v>2.0018782916410043</v>
      </c>
      <c r="DH10">
        <v>4388381020.3060083</v>
      </c>
      <c r="DI10">
        <v>9.5751229822635661E-2</v>
      </c>
      <c r="DJ10">
        <v>0.94816031154766456</v>
      </c>
      <c r="DK10">
        <v>9265315783.6362076</v>
      </c>
      <c r="DL10">
        <v>8.3782326094806195E-2</v>
      </c>
      <c r="DM10">
        <v>364000000</v>
      </c>
      <c r="DN10">
        <v>0.11968903727829457</v>
      </c>
      <c r="DO10">
        <v>8785004700</v>
      </c>
      <c r="DP10">
        <v>1301554400</v>
      </c>
      <c r="DQ10">
        <v>1262</v>
      </c>
      <c r="DR10">
        <v>-5.8970326001962475E-2</v>
      </c>
      <c r="DS10">
        <v>-0.10973748897534889</v>
      </c>
      <c r="DT10" s="11">
        <v>-0.34</v>
      </c>
      <c r="DU10">
        <v>9.9999999999999992E-2</v>
      </c>
      <c r="DV10">
        <v>-0.24000000000000005</v>
      </c>
      <c r="DW10">
        <v>-2.0828000000000002</v>
      </c>
      <c r="DX10">
        <v>0.37485631067961195</v>
      </c>
      <c r="DY10">
        <v>-2.0144781025242717</v>
      </c>
      <c r="DZ10">
        <v>2296</v>
      </c>
      <c r="EA10">
        <v>-2.0079728728969277</v>
      </c>
      <c r="EB10">
        <v>2</v>
      </c>
      <c r="EC10">
        <v>4.6356303720658215E-2</v>
      </c>
      <c r="ED10">
        <v>0.2651108418134055</v>
      </c>
      <c r="EE10" s="12">
        <v>9.4710000000000003E-2</v>
      </c>
      <c r="EF10">
        <v>0.10471</v>
      </c>
      <c r="EG10">
        <v>20.174856310679612</v>
      </c>
      <c r="EH10">
        <v>-1</v>
      </c>
      <c r="EI10">
        <v>0</v>
      </c>
      <c r="EJ10">
        <v>0</v>
      </c>
      <c r="EK10" s="8">
        <v>45470</v>
      </c>
      <c r="EL10" s="13">
        <v>0.89</v>
      </c>
      <c r="EM10" s="13">
        <v>-3.03</v>
      </c>
      <c r="EN10" s="13">
        <v>0.91</v>
      </c>
      <c r="EO10" s="13">
        <v>2.84</v>
      </c>
      <c r="EP10" s="13">
        <v>-1</v>
      </c>
    </row>
    <row r="11" spans="1:146" ht="96" x14ac:dyDescent="0.25">
      <c r="A11" s="6"/>
      <c r="B11" s="6"/>
      <c r="C11" s="6" t="str">
        <f>""&amp;CHAR(10)&amp;Basic_Fundamental_Information_Constructure(F11)&amp;CHAR(10)&amp;Basic_Fundamental_Information_Concatenate("")</f>
        <v xml:space="preserve">
市值20.18567亿, 利润1.64亿; PE54.37; 平均PE31.24; 平均PEG16.78, PB2.34; ROIC3.2733%; ROE4.06%; 股利率1.0427%; 毛利7.2367%; 净利.7967%; 上一年度营收增-82.89%, 利润增290.33%; 当季营收增724.67%, 利润增-70.7%; 过往5年营收增-1.86%, 利润增151.31%
Income profile:
</v>
      </c>
      <c r="D11" t="s">
        <v>166</v>
      </c>
      <c r="E11" t="s">
        <v>167</v>
      </c>
      <c r="F11">
        <v>21.1</v>
      </c>
      <c r="G11">
        <v>5.71</v>
      </c>
      <c r="H11" t="s">
        <v>840</v>
      </c>
      <c r="I11">
        <v>2018567000</v>
      </c>
      <c r="J11">
        <v>54.37</v>
      </c>
      <c r="K11">
        <v>2.34</v>
      </c>
      <c r="L11" t="s">
        <v>40</v>
      </c>
      <c r="M11" t="s">
        <v>841</v>
      </c>
      <c r="N11" t="s">
        <v>842</v>
      </c>
      <c r="O11" t="s">
        <v>843</v>
      </c>
      <c r="P11">
        <v>10.29</v>
      </c>
      <c r="Q11" t="s">
        <v>844</v>
      </c>
      <c r="R11">
        <v>9225531</v>
      </c>
      <c r="S11" s="5">
        <v>-0.70840000000000003</v>
      </c>
      <c r="T11" t="s">
        <v>596</v>
      </c>
      <c r="U11">
        <v>62647872</v>
      </c>
      <c r="V11">
        <v>95666682</v>
      </c>
      <c r="W11">
        <v>2.25</v>
      </c>
      <c r="X11">
        <v>0.68</v>
      </c>
      <c r="Y11">
        <v>0.57999999999999996</v>
      </c>
      <c r="Z11" t="s">
        <v>845</v>
      </c>
      <c r="AA11" t="s">
        <v>846</v>
      </c>
      <c r="AB11" t="s">
        <v>847</v>
      </c>
      <c r="AC11" t="s">
        <v>848</v>
      </c>
      <c r="AD11" t="s">
        <v>41</v>
      </c>
      <c r="AE11">
        <v>2082578</v>
      </c>
      <c r="AF11" t="s">
        <v>849</v>
      </c>
      <c r="AG11" t="s">
        <v>850</v>
      </c>
      <c r="AH11" t="s">
        <v>851</v>
      </c>
      <c r="AI11" t="s">
        <v>852</v>
      </c>
      <c r="AJ11" t="s">
        <v>853</v>
      </c>
      <c r="AK11" t="s">
        <v>854</v>
      </c>
      <c r="AL11" t="s">
        <v>855</v>
      </c>
      <c r="AM11" t="s">
        <v>41</v>
      </c>
      <c r="AN11" t="s">
        <v>856</v>
      </c>
      <c r="AO11" t="s">
        <v>857</v>
      </c>
      <c r="AP11" t="s">
        <v>858</v>
      </c>
      <c r="AQ11" t="s">
        <v>859</v>
      </c>
      <c r="AR11" t="s">
        <v>41</v>
      </c>
      <c r="AS11" t="s">
        <v>684</v>
      </c>
      <c r="AT11" t="s">
        <v>41</v>
      </c>
      <c r="AU11" t="s">
        <v>860</v>
      </c>
      <c r="AV11" t="s">
        <v>861</v>
      </c>
      <c r="AW11" t="s">
        <v>862</v>
      </c>
      <c r="AX11" t="s">
        <v>476</v>
      </c>
      <c r="AY11" t="s">
        <v>283</v>
      </c>
      <c r="AZ11" t="s">
        <v>168</v>
      </c>
      <c r="BA11" t="s">
        <v>170</v>
      </c>
      <c r="BB11" t="s">
        <v>171</v>
      </c>
      <c r="BC11" t="s">
        <v>477</v>
      </c>
      <c r="BD11" t="s">
        <v>284</v>
      </c>
      <c r="BE11" t="s">
        <v>169</v>
      </c>
      <c r="BF11" t="s">
        <v>173</v>
      </c>
      <c r="BG11" t="s">
        <v>174</v>
      </c>
      <c r="BH11" t="s">
        <v>863</v>
      </c>
      <c r="BI11" t="s">
        <v>675</v>
      </c>
      <c r="BJ11" t="s">
        <v>476</v>
      </c>
      <c r="BK11" t="s">
        <v>864</v>
      </c>
      <c r="BL11" t="s">
        <v>865</v>
      </c>
      <c r="BM11" t="s">
        <v>477</v>
      </c>
      <c r="BN11">
        <v>4.95</v>
      </c>
      <c r="BO11">
        <v>3.99</v>
      </c>
      <c r="BP11">
        <v>0.88</v>
      </c>
      <c r="BQ11">
        <v>6.04</v>
      </c>
      <c r="BR11">
        <v>5.29</v>
      </c>
      <c r="BS11">
        <v>0.85</v>
      </c>
      <c r="BT11" t="s">
        <v>866</v>
      </c>
      <c r="BU11" t="s">
        <v>622</v>
      </c>
      <c r="BV11">
        <v>8.3000000000000007</v>
      </c>
      <c r="BW11">
        <v>7.95</v>
      </c>
      <c r="BX11">
        <v>5.46</v>
      </c>
      <c r="BY11">
        <v>1.28</v>
      </c>
      <c r="BZ11">
        <v>0.91</v>
      </c>
      <c r="CA11">
        <v>0.2</v>
      </c>
      <c r="CB11">
        <v>3.53</v>
      </c>
      <c r="CC11">
        <v>-4.22</v>
      </c>
      <c r="CD11" t="s">
        <v>867</v>
      </c>
      <c r="CE11" t="s">
        <v>868</v>
      </c>
      <c r="CF11" s="9">
        <v>7.246666666666667</v>
      </c>
      <c r="CG11" s="10">
        <v>-0.70695203184112476</v>
      </c>
      <c r="CH11" s="9">
        <v>-0.82892411947250366</v>
      </c>
      <c r="CI11" s="9">
        <v>0.16700971126556396</v>
      </c>
      <c r="CJ11" s="9">
        <v>0.2189963310956955</v>
      </c>
      <c r="CK11" s="9">
        <v>0.21887296438217163</v>
      </c>
      <c r="CL11" s="9">
        <v>0.13092882931232452</v>
      </c>
      <c r="CM11" s="10">
        <v>2.9033491611480713</v>
      </c>
      <c r="CN11" s="10">
        <v>5.5648751258850098</v>
      </c>
      <c r="CO11" s="10">
        <v>-0.88152033090591431</v>
      </c>
      <c r="CP11" s="10">
        <v>-0.16463384032249451</v>
      </c>
      <c r="CQ11" s="10">
        <v>0.14331710338592529</v>
      </c>
      <c r="CR11">
        <v>31.242798349663179</v>
      </c>
      <c r="CS11">
        <v>16.776227101888281</v>
      </c>
      <c r="CT11">
        <v>1.0426540284360191</v>
      </c>
      <c r="CU11" s="9">
        <v>-1.8623256683349611E-2</v>
      </c>
      <c r="CV11" s="10">
        <v>1.5130774438381196</v>
      </c>
      <c r="CW11">
        <v>0.06</v>
      </c>
      <c r="CX11">
        <v>12.113213414634146</v>
      </c>
      <c r="CY11" t="s">
        <v>869</v>
      </c>
      <c r="CZ11">
        <v>-1.8623256683349611E-2</v>
      </c>
      <c r="DA11">
        <v>4.0377378048780486</v>
      </c>
      <c r="DB11" t="s">
        <v>870</v>
      </c>
      <c r="DC11">
        <v>-1.769209384918213E-2</v>
      </c>
      <c r="DD11">
        <v>2.0188689024390243</v>
      </c>
      <c r="DE11" t="s">
        <v>871</v>
      </c>
      <c r="DF11">
        <v>-1.6388465881347656E-2</v>
      </c>
      <c r="DG11">
        <v>1.2113213414634145</v>
      </c>
      <c r="DH11" t="s">
        <v>872</v>
      </c>
      <c r="DI11">
        <v>-1.4898605346679689E-2</v>
      </c>
      <c r="DJ11">
        <v>0.60566067073170726</v>
      </c>
      <c r="DK11" t="s">
        <v>873</v>
      </c>
      <c r="DL11">
        <v>-1.3036279678344727E-2</v>
      </c>
      <c r="DM11">
        <v>164000000</v>
      </c>
      <c r="DN11">
        <v>-1.8623256683349611E-2</v>
      </c>
      <c r="DO11">
        <v>1986567000</v>
      </c>
      <c r="DP11">
        <v>580252300.00000012</v>
      </c>
      <c r="DQ11">
        <v>2390</v>
      </c>
      <c r="DR11">
        <v>7.265289923350017</v>
      </c>
      <c r="DS11">
        <v>-2.2200294756792442</v>
      </c>
      <c r="DT11" s="11">
        <v>-0.37333333333333335</v>
      </c>
      <c r="DU11">
        <v>-0.17333333333333334</v>
      </c>
      <c r="DV11">
        <v>-0.54666666666666663</v>
      </c>
      <c r="DW11">
        <v>6.4554838709677416</v>
      </c>
      <c r="DX11">
        <v>0.55031550068587443</v>
      </c>
      <c r="DY11">
        <v>6.0593566086994999</v>
      </c>
      <c r="DZ11">
        <v>1844</v>
      </c>
      <c r="EA11">
        <v>6.0379371201590146</v>
      </c>
      <c r="EB11">
        <v>6</v>
      </c>
      <c r="EC11">
        <v>5.1935531745524531E-2</v>
      </c>
      <c r="ED11">
        <v>0.3985368699209198</v>
      </c>
      <c r="EE11" s="12">
        <v>4.1204999999999998</v>
      </c>
      <c r="EF11">
        <v>4.0739000000000001</v>
      </c>
      <c r="EG11">
        <v>42.130315500685874</v>
      </c>
      <c r="EH11" t="s">
        <v>529</v>
      </c>
      <c r="EI11">
        <v>0</v>
      </c>
      <c r="EJ11">
        <v>0</v>
      </c>
      <c r="EK11" s="8">
        <v>45470</v>
      </c>
      <c r="EL11" s="13">
        <v>4.21</v>
      </c>
      <c r="EM11" s="13">
        <v>3.88</v>
      </c>
      <c r="EN11" s="13">
        <v>-6.01</v>
      </c>
      <c r="EO11" s="13">
        <v>20.010000000000002</v>
      </c>
      <c r="EP11" s="13">
        <v>-4.66</v>
      </c>
    </row>
    <row r="12" spans="1:146" ht="96" x14ac:dyDescent="0.25">
      <c r="A12" s="6"/>
      <c r="B12" s="6"/>
      <c r="C12" s="6" t="str">
        <f>""&amp;CHAR(10)&amp;Basic_Fundamental_Information_Constructure(F12)&amp;CHAR(10)&amp;Basic_Fundamental_Information_Concatenate("")</f>
        <v xml:space="preserve">
市值123.729416亿, 利润5422.88万; PE17.68; 平均PE43.06; 平均PEG14.45, PB4.52; ROIC14.7033%; ROE21.96%; 股利率3.237%; 毛利27.6233%; 净利6.9467%; 上一年度营收增-95.37%, 利润增-89.3%; 当季营收增3406.57%, 利润增3353.82%; 过往5年营收增-2.98%, 利润增-.64%
Income profile:
</v>
      </c>
      <c r="D12" t="s">
        <v>228</v>
      </c>
      <c r="E12" t="s">
        <v>229</v>
      </c>
      <c r="F12">
        <v>23.54</v>
      </c>
      <c r="G12">
        <v>3.25</v>
      </c>
      <c r="H12" t="s">
        <v>874</v>
      </c>
      <c r="I12">
        <v>12372941600</v>
      </c>
      <c r="J12">
        <v>17.68</v>
      </c>
      <c r="K12">
        <v>4.5199999999999996</v>
      </c>
      <c r="L12" t="s">
        <v>40</v>
      </c>
      <c r="M12" t="s">
        <v>511</v>
      </c>
      <c r="N12" t="s">
        <v>875</v>
      </c>
      <c r="O12" t="s">
        <v>574</v>
      </c>
      <c r="P12">
        <v>-1.5</v>
      </c>
      <c r="Q12" t="s">
        <v>876</v>
      </c>
      <c r="R12">
        <v>165994250</v>
      </c>
      <c r="S12" s="5">
        <v>0.35599999999999998</v>
      </c>
      <c r="T12" t="s">
        <v>877</v>
      </c>
      <c r="U12">
        <v>525613490</v>
      </c>
      <c r="V12">
        <v>525613490</v>
      </c>
      <c r="W12">
        <v>2.0099999999999998</v>
      </c>
      <c r="X12">
        <v>0.3</v>
      </c>
      <c r="Y12">
        <v>9.93</v>
      </c>
      <c r="Z12" t="s">
        <v>878</v>
      </c>
      <c r="AA12" t="s">
        <v>879</v>
      </c>
      <c r="AB12" t="s">
        <v>181</v>
      </c>
      <c r="AC12" t="s">
        <v>880</v>
      </c>
      <c r="AD12" t="s">
        <v>41</v>
      </c>
      <c r="AE12">
        <v>10970897</v>
      </c>
      <c r="AF12" t="s">
        <v>881</v>
      </c>
      <c r="AG12" t="s">
        <v>882</v>
      </c>
      <c r="AH12" t="s">
        <v>883</v>
      </c>
      <c r="AI12" t="s">
        <v>884</v>
      </c>
      <c r="AJ12" t="s">
        <v>885</v>
      </c>
      <c r="AK12" t="s">
        <v>578</v>
      </c>
      <c r="AL12" t="s">
        <v>886</v>
      </c>
      <c r="AM12" t="s">
        <v>41</v>
      </c>
      <c r="AN12" t="s">
        <v>887</v>
      </c>
      <c r="AO12" t="s">
        <v>888</v>
      </c>
      <c r="AP12" t="s">
        <v>889</v>
      </c>
      <c r="AQ12" t="s">
        <v>890</v>
      </c>
      <c r="AR12" t="s">
        <v>41</v>
      </c>
      <c r="AS12" t="s">
        <v>891</v>
      </c>
      <c r="AT12" t="s">
        <v>41</v>
      </c>
      <c r="AU12" t="s">
        <v>892</v>
      </c>
      <c r="AV12" t="s">
        <v>893</v>
      </c>
      <c r="AW12" t="s">
        <v>894</v>
      </c>
      <c r="AX12" t="s">
        <v>479</v>
      </c>
      <c r="AY12" t="s">
        <v>285</v>
      </c>
      <c r="AZ12" t="s">
        <v>230</v>
      </c>
      <c r="BA12" t="s">
        <v>231</v>
      </c>
      <c r="BB12" t="s">
        <v>232</v>
      </c>
      <c r="BC12" t="s">
        <v>895</v>
      </c>
      <c r="BD12" t="s">
        <v>480</v>
      </c>
      <c r="BE12" t="s">
        <v>192</v>
      </c>
      <c r="BF12" t="s">
        <v>181</v>
      </c>
      <c r="BG12" t="s">
        <v>190</v>
      </c>
      <c r="BH12" t="s">
        <v>896</v>
      </c>
      <c r="BI12" t="s">
        <v>897</v>
      </c>
      <c r="BJ12" t="s">
        <v>479</v>
      </c>
      <c r="BK12" t="s">
        <v>898</v>
      </c>
      <c r="BL12" t="s">
        <v>899</v>
      </c>
      <c r="BM12" t="s">
        <v>895</v>
      </c>
      <c r="BN12">
        <v>14.19</v>
      </c>
      <c r="BO12">
        <v>15.24</v>
      </c>
      <c r="BP12">
        <v>14.68</v>
      </c>
      <c r="BQ12">
        <v>20.190000000000001</v>
      </c>
      <c r="BR12">
        <v>22.82</v>
      </c>
      <c r="BS12">
        <v>22.87</v>
      </c>
      <c r="BT12" t="s">
        <v>481</v>
      </c>
      <c r="BU12" t="s">
        <v>622</v>
      </c>
      <c r="BV12">
        <v>29.98</v>
      </c>
      <c r="BW12">
        <v>27.76</v>
      </c>
      <c r="BX12">
        <v>25.13</v>
      </c>
      <c r="BY12">
        <v>8.4600000000000009</v>
      </c>
      <c r="BZ12">
        <v>6.46</v>
      </c>
      <c r="CA12">
        <v>5.92</v>
      </c>
      <c r="CB12">
        <v>0.04</v>
      </c>
      <c r="CC12">
        <v>-25.64</v>
      </c>
      <c r="CD12" t="s">
        <v>900</v>
      </c>
      <c r="CE12" t="s">
        <v>901</v>
      </c>
      <c r="CF12" s="9">
        <v>34.065719195578467</v>
      </c>
      <c r="CG12" s="10">
        <v>33.53824306610349</v>
      </c>
      <c r="CH12" s="9">
        <v>-0.95366179943084717</v>
      </c>
      <c r="CI12" s="9">
        <v>6.4946092665195465E-2</v>
      </c>
      <c r="CJ12" s="9">
        <v>0.19952376186847687</v>
      </c>
      <c r="CK12" s="9">
        <v>0.21241496503353119</v>
      </c>
      <c r="CL12" s="9">
        <v>0.32776558399200439</v>
      </c>
      <c r="CM12" s="10">
        <v>-0.89303982257843018</v>
      </c>
      <c r="CN12" s="10">
        <v>0.20142179727554321</v>
      </c>
      <c r="CO12" s="10">
        <v>0.54578757286071777</v>
      </c>
      <c r="CP12" s="10">
        <v>0.30000001192092896</v>
      </c>
      <c r="CQ12" s="10">
        <v>-0.18604651093482971</v>
      </c>
      <c r="CR12">
        <v>43.055567567366928</v>
      </c>
      <c r="CS12">
        <v>14.44707208986072</v>
      </c>
      <c r="CT12">
        <v>3.2370433305012747</v>
      </c>
      <c r="CU12" s="9">
        <v>-2.9802279174327852E-2</v>
      </c>
      <c r="CV12" s="10">
        <v>-6.3753902912139894E-3</v>
      </c>
      <c r="CW12">
        <v>0.06</v>
      </c>
      <c r="CX12">
        <v>225.37731980054878</v>
      </c>
      <c r="CY12" t="s">
        <v>902</v>
      </c>
      <c r="CZ12">
        <v>-2.9802279174327852E-2</v>
      </c>
      <c r="DA12">
        <v>75.125773266849592</v>
      </c>
      <c r="DB12" t="s">
        <v>903</v>
      </c>
      <c r="DC12">
        <v>-2.8312165215611459E-2</v>
      </c>
      <c r="DD12">
        <v>37.562886633424796</v>
      </c>
      <c r="DE12" t="s">
        <v>904</v>
      </c>
      <c r="DF12">
        <v>-2.622600567340851E-2</v>
      </c>
      <c r="DG12">
        <v>22.537731980054879</v>
      </c>
      <c r="DH12" t="s">
        <v>905</v>
      </c>
      <c r="DI12">
        <v>-2.3841823339462283E-2</v>
      </c>
      <c r="DJ12">
        <v>11.268865990027439</v>
      </c>
      <c r="DK12" t="s">
        <v>906</v>
      </c>
      <c r="DL12">
        <v>-2.0861595422029495E-2</v>
      </c>
      <c r="DM12">
        <v>54228800</v>
      </c>
      <c r="DN12">
        <v>-2.9802279174327852E-2</v>
      </c>
      <c r="DO12">
        <v>12221941600</v>
      </c>
      <c r="DP12">
        <v>2796158100</v>
      </c>
      <c r="DQ12">
        <v>2464</v>
      </c>
      <c r="DR12">
        <v>34.095521474752793</v>
      </c>
      <c r="DS12">
        <v>33.544618456394701</v>
      </c>
      <c r="DT12" s="11">
        <v>-0.42333333333333339</v>
      </c>
      <c r="DU12">
        <v>-3.3333333333333326E-2</v>
      </c>
      <c r="DV12">
        <v>-0.45666666666666672</v>
      </c>
      <c r="DW12">
        <v>-3.1090238095238094</v>
      </c>
      <c r="DX12">
        <v>0.41105550190509743</v>
      </c>
      <c r="DY12">
        <v>-3.0208295986481772</v>
      </c>
      <c r="DZ12">
        <v>3467</v>
      </c>
      <c r="EA12">
        <v>-3.0066972662581124</v>
      </c>
      <c r="EB12">
        <v>3</v>
      </c>
      <c r="EC12">
        <v>2.4637495510246511E-2</v>
      </c>
      <c r="ED12">
        <v>0.12895464307812951</v>
      </c>
      <c r="EE12" s="12">
        <v>-5.1063000000000001</v>
      </c>
      <c r="EF12">
        <v>-5.0815000000000001</v>
      </c>
      <c r="EG12">
        <v>22.191055501905097</v>
      </c>
      <c r="EH12" t="s">
        <v>907</v>
      </c>
      <c r="EI12">
        <v>0</v>
      </c>
      <c r="EJ12">
        <v>0</v>
      </c>
      <c r="EK12" s="8">
        <v>45470</v>
      </c>
      <c r="EL12" s="13">
        <v>0</v>
      </c>
      <c r="EM12" s="13">
        <v>-6.25</v>
      </c>
      <c r="EN12" s="13">
        <v>-1.89</v>
      </c>
      <c r="EO12" s="13">
        <v>6.19</v>
      </c>
      <c r="EP12" s="13">
        <v>-2.48</v>
      </c>
    </row>
    <row r="13" spans="1:146" ht="96" x14ac:dyDescent="0.25">
      <c r="A13" s="6"/>
      <c r="B13" s="6"/>
      <c r="C13" s="6" t="str">
        <f>""&amp;CHAR(10)&amp;Basic_Fundamental_Information_Constructure(F13)&amp;CHAR(10)&amp;Basic_Fundamental_Information_Concatenate("")</f>
        <v xml:space="preserve">
市值40.209765亿, 利润1.05亿; PE50.89; 平均PE27.14; 平均PEG2.85, PB1.89; ROIC5.84%; ROE8.59%; 股利率.504%; 毛利28.4767%; 净利2.2167%; 上一年度营收增-67.9%, 利润增-54.15%; 当季营收增426.78%, 利润增-74.6%; 过往5年营收增9.53%, 利润增18.21%
Income profile:
</v>
      </c>
      <c r="D13" t="s">
        <v>233</v>
      </c>
      <c r="E13" t="s">
        <v>234</v>
      </c>
      <c r="F13">
        <v>9.92</v>
      </c>
      <c r="G13">
        <v>4.3099999999999996</v>
      </c>
      <c r="H13" t="s">
        <v>908</v>
      </c>
      <c r="I13">
        <v>4020976500</v>
      </c>
      <c r="J13">
        <v>50.89</v>
      </c>
      <c r="K13">
        <v>1.89</v>
      </c>
      <c r="L13" t="s">
        <v>40</v>
      </c>
      <c r="M13" t="s">
        <v>909</v>
      </c>
      <c r="N13" t="s">
        <v>910</v>
      </c>
      <c r="O13" t="s">
        <v>911</v>
      </c>
      <c r="P13">
        <v>17.690000000000001</v>
      </c>
      <c r="Q13" t="s">
        <v>912</v>
      </c>
      <c r="R13">
        <v>10508209</v>
      </c>
      <c r="S13" s="5">
        <v>-0.83720000000000006</v>
      </c>
      <c r="T13" t="s">
        <v>913</v>
      </c>
      <c r="U13">
        <v>243340370</v>
      </c>
      <c r="V13">
        <v>405340370</v>
      </c>
      <c r="W13">
        <v>4.04</v>
      </c>
      <c r="X13">
        <v>0.26</v>
      </c>
      <c r="Y13">
        <v>0.47</v>
      </c>
      <c r="Z13" t="s">
        <v>914</v>
      </c>
      <c r="AA13" t="s">
        <v>915</v>
      </c>
      <c r="AB13" t="s">
        <v>916</v>
      </c>
      <c r="AC13" t="s">
        <v>917</v>
      </c>
      <c r="AD13" t="s">
        <v>41</v>
      </c>
      <c r="AE13">
        <v>36789497</v>
      </c>
      <c r="AF13" t="s">
        <v>918</v>
      </c>
      <c r="AG13" t="s">
        <v>919</v>
      </c>
      <c r="AH13" t="s">
        <v>920</v>
      </c>
      <c r="AI13" t="s">
        <v>921</v>
      </c>
      <c r="AJ13" t="s">
        <v>922</v>
      </c>
      <c r="AK13" t="s">
        <v>140</v>
      </c>
      <c r="AL13" t="s">
        <v>923</v>
      </c>
      <c r="AM13" t="s">
        <v>41</v>
      </c>
      <c r="AN13" t="s">
        <v>491</v>
      </c>
      <c r="AO13" t="s">
        <v>924</v>
      </c>
      <c r="AP13" t="s">
        <v>925</v>
      </c>
      <c r="AQ13" t="s">
        <v>926</v>
      </c>
      <c r="AR13" t="s">
        <v>927</v>
      </c>
      <c r="AS13" t="s">
        <v>928</v>
      </c>
      <c r="AT13" t="s">
        <v>929</v>
      </c>
      <c r="AU13" t="s">
        <v>930</v>
      </c>
      <c r="AV13" t="s">
        <v>931</v>
      </c>
      <c r="AW13" t="s">
        <v>932</v>
      </c>
      <c r="AX13" t="s">
        <v>482</v>
      </c>
      <c r="AY13" t="s">
        <v>286</v>
      </c>
      <c r="AZ13" t="s">
        <v>235</v>
      </c>
      <c r="BA13" t="s">
        <v>236</v>
      </c>
      <c r="BB13" t="s">
        <v>237</v>
      </c>
      <c r="BC13" t="s">
        <v>483</v>
      </c>
      <c r="BD13" t="s">
        <v>287</v>
      </c>
      <c r="BE13" t="s">
        <v>152</v>
      </c>
      <c r="BF13" t="s">
        <v>238</v>
      </c>
      <c r="BG13" t="s">
        <v>165</v>
      </c>
      <c r="BH13" t="s">
        <v>933</v>
      </c>
      <c r="BI13" t="s">
        <v>934</v>
      </c>
      <c r="BJ13" t="s">
        <v>482</v>
      </c>
      <c r="BK13" t="s">
        <v>510</v>
      </c>
      <c r="BL13" t="s">
        <v>935</v>
      </c>
      <c r="BM13" t="s">
        <v>483</v>
      </c>
      <c r="BN13">
        <v>4.5199999999999996</v>
      </c>
      <c r="BO13">
        <v>7.22</v>
      </c>
      <c r="BP13">
        <v>5.78</v>
      </c>
      <c r="BQ13">
        <v>7.51</v>
      </c>
      <c r="BR13">
        <v>11.55</v>
      </c>
      <c r="BS13">
        <v>6.71</v>
      </c>
      <c r="BT13" t="s">
        <v>502</v>
      </c>
      <c r="BU13" t="s">
        <v>810</v>
      </c>
      <c r="BV13">
        <v>28.33</v>
      </c>
      <c r="BW13">
        <v>28.59</v>
      </c>
      <c r="BX13">
        <v>28.51</v>
      </c>
      <c r="BY13">
        <v>1.52</v>
      </c>
      <c r="BZ13">
        <v>2.98</v>
      </c>
      <c r="CA13">
        <v>2.15</v>
      </c>
      <c r="CB13">
        <v>0.81</v>
      </c>
      <c r="CC13">
        <v>-32.049999999999997</v>
      </c>
      <c r="CD13" t="s">
        <v>936</v>
      </c>
      <c r="CE13" t="s">
        <v>937</v>
      </c>
      <c r="CF13" s="9">
        <v>4.2678185745140391</v>
      </c>
      <c r="CG13" s="10">
        <v>-0.74597604370633597</v>
      </c>
      <c r="CH13" s="9">
        <v>-0.6790233850479126</v>
      </c>
      <c r="CI13" s="9">
        <v>0.46993616223335266</v>
      </c>
      <c r="CJ13" s="9">
        <v>0.14698272943496704</v>
      </c>
      <c r="CK13" s="9">
        <v>0.33833283185958862</v>
      </c>
      <c r="CL13" s="9">
        <v>0.20048478245735168</v>
      </c>
      <c r="CM13" s="10">
        <v>-0.54148471355438232</v>
      </c>
      <c r="CN13" s="10">
        <v>0.99130433797836304</v>
      </c>
      <c r="CO13" s="10">
        <v>-0.46759259700775146</v>
      </c>
      <c r="CP13" s="10">
        <v>0.94594591856002808</v>
      </c>
      <c r="CQ13" s="10">
        <v>-1.7699114978313446E-2</v>
      </c>
      <c r="CR13">
        <v>27.138199100112487</v>
      </c>
      <c r="CS13">
        <v>2.846386842337318</v>
      </c>
      <c r="CT13">
        <v>0.50403225806451613</v>
      </c>
      <c r="CU13" s="9">
        <v>9.5342624187469485E-2</v>
      </c>
      <c r="CV13" s="10">
        <v>0.18209476619958878</v>
      </c>
      <c r="CW13">
        <v>0.06</v>
      </c>
      <c r="CX13">
        <v>79.473763674373316</v>
      </c>
      <c r="CY13">
        <v>108500920.32045689</v>
      </c>
      <c r="CZ13">
        <v>9.5342624187469485E-2</v>
      </c>
      <c r="DA13">
        <v>25.85412570156647</v>
      </c>
      <c r="DB13">
        <v>333524196.46809191</v>
      </c>
      <c r="DC13">
        <v>9.0575492978096001E-2</v>
      </c>
      <c r="DD13">
        <v>12.650507610963428</v>
      </c>
      <c r="DE13">
        <v>681630869.30416834</v>
      </c>
      <c r="DF13">
        <v>8.3901509284973141E-2</v>
      </c>
      <c r="DG13">
        <v>7.5449866676603738</v>
      </c>
      <c r="DH13">
        <v>1142874981.7359054</v>
      </c>
      <c r="DI13">
        <v>7.6274099349975588E-2</v>
      </c>
      <c r="DJ13">
        <v>3.839238408371676</v>
      </c>
      <c r="DK13">
        <v>2246012251.0748782</v>
      </c>
      <c r="DL13">
        <v>6.6739836931228633E-2</v>
      </c>
      <c r="DM13">
        <v>105000000</v>
      </c>
      <c r="DN13">
        <v>9.5342624187469485E-2</v>
      </c>
      <c r="DO13">
        <v>8622976500</v>
      </c>
      <c r="DP13">
        <v>365494200</v>
      </c>
      <c r="DQ13">
        <v>2466</v>
      </c>
      <c r="DR13">
        <v>4.1724759503265698</v>
      </c>
      <c r="DS13">
        <v>-0.92807080990592472</v>
      </c>
      <c r="DT13" s="11">
        <v>-0.40666666666666673</v>
      </c>
      <c r="DU13">
        <v>-0.20666666666666669</v>
      </c>
      <c r="DV13">
        <v>-0.6133333333333334</v>
      </c>
      <c r="DW13">
        <v>-3.1815178571428571</v>
      </c>
      <c r="DX13">
        <v>0.41887101449275493</v>
      </c>
      <c r="DY13">
        <v>-3.0143164975414081</v>
      </c>
      <c r="DZ13">
        <v>2660</v>
      </c>
      <c r="EA13">
        <v>-3.0068640741636887</v>
      </c>
      <c r="EB13">
        <v>3</v>
      </c>
      <c r="EC13">
        <v>2.6852000949226941E-2</v>
      </c>
      <c r="ED13">
        <v>0.34045461595646148</v>
      </c>
      <c r="EE13" s="12">
        <v>3.0496099999999999</v>
      </c>
      <c r="EF13">
        <v>3.0550100000000002</v>
      </c>
      <c r="EG13">
        <v>34.078871014492755</v>
      </c>
      <c r="EH13" t="s">
        <v>624</v>
      </c>
      <c r="EI13">
        <v>0</v>
      </c>
      <c r="EJ13">
        <v>0</v>
      </c>
      <c r="EK13" s="8">
        <v>45470</v>
      </c>
      <c r="EL13" s="13">
        <v>-0.47</v>
      </c>
      <c r="EM13" s="13">
        <v>-6.91</v>
      </c>
      <c r="EN13" s="13">
        <v>1.32</v>
      </c>
      <c r="EO13" s="13">
        <v>3.66</v>
      </c>
      <c r="EP13" s="13">
        <v>-0.54</v>
      </c>
    </row>
    <row r="14" spans="1:146" ht="96" x14ac:dyDescent="0.25">
      <c r="A14" s="6"/>
      <c r="B14" s="6"/>
      <c r="C14" s="6" t="str">
        <f>""&amp;CHAR(10)&amp;Basic_Fundamental_Information_Constructure(F14)&amp;CHAR(10)&amp;Basic_Fundamental_Information_Concatenate("")</f>
        <v xml:space="preserve">
市值19.411536亿, 利润2.83亿; PE50.49; 平均PE18.4; 平均PEG20.91, PB1.1; ROIC2.98%; ROE3.5733%; 股利率.4255%; 毛利12.8667%; 净利1.7633%; 上一年度营收增-40.86%, 利润增454.06%; 当季营收增386.69%, 利润增-23.2%; 过往5年营收增.88%, 利润增84.1%
Income profile:
</v>
      </c>
      <c r="D14" t="s">
        <v>288</v>
      </c>
      <c r="E14" t="s">
        <v>289</v>
      </c>
      <c r="F14">
        <v>9.4</v>
      </c>
      <c r="G14">
        <v>2.62</v>
      </c>
      <c r="H14" t="s">
        <v>938</v>
      </c>
      <c r="I14">
        <v>1941153600</v>
      </c>
      <c r="J14">
        <v>50.49</v>
      </c>
      <c r="K14">
        <v>1.1000000000000001</v>
      </c>
      <c r="L14" t="s">
        <v>40</v>
      </c>
      <c r="M14" t="s">
        <v>939</v>
      </c>
      <c r="N14" t="s">
        <v>940</v>
      </c>
      <c r="O14" t="s">
        <v>519</v>
      </c>
      <c r="P14">
        <v>46.06</v>
      </c>
      <c r="Q14" t="s">
        <v>941</v>
      </c>
      <c r="R14">
        <v>19436946</v>
      </c>
      <c r="S14" s="5">
        <v>0.27139999999999997</v>
      </c>
      <c r="T14" t="s">
        <v>744</v>
      </c>
      <c r="U14">
        <v>109723714</v>
      </c>
      <c r="V14">
        <v>206505700</v>
      </c>
      <c r="W14">
        <v>3.3</v>
      </c>
      <c r="X14">
        <v>0.23</v>
      </c>
      <c r="Y14">
        <v>1.72</v>
      </c>
      <c r="Z14" t="s">
        <v>942</v>
      </c>
      <c r="AA14" t="s">
        <v>943</v>
      </c>
      <c r="AB14" t="s">
        <v>944</v>
      </c>
      <c r="AC14" t="s">
        <v>945</v>
      </c>
      <c r="AD14" t="s">
        <v>41</v>
      </c>
      <c r="AE14">
        <v>22722183</v>
      </c>
      <c r="AF14" t="s">
        <v>85</v>
      </c>
      <c r="AG14" t="s">
        <v>946</v>
      </c>
      <c r="AH14" t="s">
        <v>947</v>
      </c>
      <c r="AI14" t="s">
        <v>948</v>
      </c>
      <c r="AJ14" t="s">
        <v>949</v>
      </c>
      <c r="AK14" t="s">
        <v>950</v>
      </c>
      <c r="AL14" t="s">
        <v>951</v>
      </c>
      <c r="AM14" t="s">
        <v>41</v>
      </c>
      <c r="AN14" t="s">
        <v>506</v>
      </c>
      <c r="AO14" t="s">
        <v>952</v>
      </c>
      <c r="AP14" t="s">
        <v>953</v>
      </c>
      <c r="AQ14" t="s">
        <v>177</v>
      </c>
      <c r="AR14" t="s">
        <v>954</v>
      </c>
      <c r="AS14" t="s">
        <v>955</v>
      </c>
      <c r="AT14" t="s">
        <v>956</v>
      </c>
      <c r="AU14" t="s">
        <v>957</v>
      </c>
      <c r="AV14" t="s">
        <v>958</v>
      </c>
      <c r="AW14" t="s">
        <v>959</v>
      </c>
      <c r="AX14" t="s">
        <v>484</v>
      </c>
      <c r="AY14" t="s">
        <v>290</v>
      </c>
      <c r="AZ14" t="s">
        <v>293</v>
      </c>
      <c r="BA14" t="s">
        <v>294</v>
      </c>
      <c r="BB14" t="s">
        <v>295</v>
      </c>
      <c r="BC14" t="s">
        <v>960</v>
      </c>
      <c r="BD14" t="s">
        <v>291</v>
      </c>
      <c r="BE14" t="s">
        <v>296</v>
      </c>
      <c r="BF14" t="s">
        <v>297</v>
      </c>
      <c r="BG14" t="s">
        <v>298</v>
      </c>
      <c r="BH14" t="s">
        <v>961</v>
      </c>
      <c r="BI14" t="s">
        <v>583</v>
      </c>
      <c r="BJ14" t="s">
        <v>484</v>
      </c>
      <c r="BK14" t="s">
        <v>962</v>
      </c>
      <c r="BL14" t="s">
        <v>963</v>
      </c>
      <c r="BM14" t="s">
        <v>960</v>
      </c>
      <c r="BN14">
        <v>1.79</v>
      </c>
      <c r="BO14">
        <v>2.71</v>
      </c>
      <c r="BP14">
        <v>4.4400000000000004</v>
      </c>
      <c r="BQ14">
        <v>1.37</v>
      </c>
      <c r="BR14">
        <v>3.01</v>
      </c>
      <c r="BS14">
        <v>6.34</v>
      </c>
      <c r="BT14" t="s">
        <v>964</v>
      </c>
      <c r="BU14" t="s">
        <v>622</v>
      </c>
      <c r="BV14">
        <v>14.78</v>
      </c>
      <c r="BW14">
        <v>12.03</v>
      </c>
      <c r="BX14">
        <v>11.79</v>
      </c>
      <c r="BY14">
        <v>0.97</v>
      </c>
      <c r="BZ14">
        <v>1.69</v>
      </c>
      <c r="CA14">
        <v>2.63</v>
      </c>
      <c r="CB14">
        <v>4.0999999999999996</v>
      </c>
      <c r="CC14">
        <v>-3.79</v>
      </c>
      <c r="CD14" t="s">
        <v>965</v>
      </c>
      <c r="CE14" t="s">
        <v>453</v>
      </c>
      <c r="CF14" s="9">
        <v>3.8669201520912546</v>
      </c>
      <c r="CG14" s="10">
        <v>-0.23198715035897599</v>
      </c>
      <c r="CH14" s="9">
        <v>-0.40856620669364929</v>
      </c>
      <c r="CI14" s="9">
        <v>0.27006173133850098</v>
      </c>
      <c r="CJ14" s="9">
        <v>0.10769230872392654</v>
      </c>
      <c r="CK14" s="9">
        <v>-4.761902242898941E-2</v>
      </c>
      <c r="CL14" s="9">
        <v>0.12243033945560455</v>
      </c>
      <c r="CM14" s="10">
        <v>4.5405783653259277</v>
      </c>
      <c r="CN14" s="10">
        <v>-0.2517063319683075</v>
      </c>
      <c r="CO14" s="10">
        <v>5.250094085931778E-2</v>
      </c>
      <c r="CP14" s="10">
        <v>-0.26010093092918396</v>
      </c>
      <c r="CQ14" s="10">
        <v>0.12393150478601456</v>
      </c>
      <c r="CR14">
        <v>18.404488405663127</v>
      </c>
      <c r="CS14">
        <v>20.914595214081729</v>
      </c>
      <c r="CT14">
        <v>0.42553191489361702</v>
      </c>
      <c r="CU14" s="9">
        <v>8.799830079078674E-3</v>
      </c>
      <c r="CV14" s="10">
        <v>0.84104070961475375</v>
      </c>
      <c r="CW14">
        <v>0.06</v>
      </c>
      <c r="CX14">
        <v>13.3818981636638</v>
      </c>
      <c r="CY14">
        <v>269330520.6720559</v>
      </c>
      <c r="CZ14">
        <v>8.799830079078674E-3</v>
      </c>
      <c r="DA14">
        <v>4.6872188030697011</v>
      </c>
      <c r="DB14">
        <v>768932228.56155288</v>
      </c>
      <c r="DC14">
        <v>8.3598385751247391E-3</v>
      </c>
      <c r="DD14">
        <v>2.5240221124130482</v>
      </c>
      <c r="DE14">
        <v>1427940580.34393</v>
      </c>
      <c r="DF14">
        <v>7.743850469589233E-3</v>
      </c>
      <c r="DG14">
        <v>1.6701164638404535</v>
      </c>
      <c r="DH14">
        <v>2158025310.2302842</v>
      </c>
      <c r="DI14">
        <v>7.0398640632629399E-3</v>
      </c>
      <c r="DJ14">
        <v>1.0525692373007791</v>
      </c>
      <c r="DK14">
        <v>3424148713.7155309</v>
      </c>
      <c r="DL14">
        <v>6.1598810553550711E-3</v>
      </c>
      <c r="DM14">
        <v>283000000</v>
      </c>
      <c r="DN14">
        <v>8.799830079078674E-3</v>
      </c>
      <c r="DO14">
        <v>3604153600</v>
      </c>
      <c r="DP14">
        <v>883439700</v>
      </c>
      <c r="DQ14">
        <v>2565</v>
      </c>
      <c r="DR14">
        <v>3.858120322012176</v>
      </c>
      <c r="DS14">
        <v>-1.0730278599737297</v>
      </c>
      <c r="DT14" s="11">
        <v>-0.45666666666666672</v>
      </c>
      <c r="DU14">
        <v>-0.18666666666666668</v>
      </c>
      <c r="DV14">
        <v>-0.64333333333333342</v>
      </c>
      <c r="DW14">
        <v>4.9243902439024394</v>
      </c>
      <c r="DX14">
        <v>0.37738486842105268</v>
      </c>
      <c r="DY14">
        <v>4.22868015885751</v>
      </c>
      <c r="DZ14">
        <v>3874</v>
      </c>
      <c r="EA14">
        <v>4.0553128525142625</v>
      </c>
      <c r="EB14">
        <v>4</v>
      </c>
      <c r="EC14">
        <v>0.18208940479609037</v>
      </c>
      <c r="ED14">
        <v>0.736057164523788</v>
      </c>
      <c r="EE14" s="12">
        <v>-1.127</v>
      </c>
      <c r="EF14">
        <v>1.0267999999999999</v>
      </c>
      <c r="EG14">
        <v>13.247384868421053</v>
      </c>
      <c r="EH14" t="s">
        <v>369</v>
      </c>
      <c r="EI14">
        <v>0</v>
      </c>
      <c r="EJ14">
        <v>0</v>
      </c>
      <c r="EK14" s="8">
        <v>45470</v>
      </c>
      <c r="EL14" s="13">
        <v>-1.35</v>
      </c>
      <c r="EM14" s="13">
        <v>-5.93</v>
      </c>
      <c r="EN14" s="13">
        <v>2.06</v>
      </c>
      <c r="EO14" s="13">
        <v>4.63</v>
      </c>
      <c r="EP14" s="13">
        <v>19.98</v>
      </c>
    </row>
    <row r="15" spans="1:146" ht="96" x14ac:dyDescent="0.25">
      <c r="C15" s="6" t="str">
        <f>""&amp;CHAR(10)&amp;Basic_Fundamental_Information_Constructure(F15)&amp;CHAR(10)&amp;Basic_Fundamental_Information_Concatenate("")</f>
        <v xml:space="preserve">
市值52.66014亿, 利润7.49亿; PE33.94; 平均PE22.35; 平均PEG12.01, PB2.13; ROIC5.5033%; ROE7.125%; 股利率1.0545%; 毛利13.0367%; 净利2.5233%; 上一年度营收增-69.59%, 利润增499.2%; 当季营收增359.52%, 利润增-82.64%; 过往5年营收增-1.86%, 利润增108.55%
Income profile:
</v>
      </c>
      <c r="D15" t="s">
        <v>486</v>
      </c>
      <c r="E15" t="s">
        <v>487</v>
      </c>
      <c r="F15">
        <v>11.19</v>
      </c>
      <c r="G15">
        <v>3.8</v>
      </c>
      <c r="H15" t="s">
        <v>966</v>
      </c>
      <c r="I15">
        <v>5266014000</v>
      </c>
      <c r="J15">
        <v>33.94</v>
      </c>
      <c r="K15">
        <v>2.13</v>
      </c>
      <c r="L15" t="s">
        <v>40</v>
      </c>
      <c r="M15" t="s">
        <v>967</v>
      </c>
      <c r="N15" t="s">
        <v>968</v>
      </c>
      <c r="O15" t="s">
        <v>969</v>
      </c>
      <c r="P15" s="5">
        <v>-3</v>
      </c>
      <c r="Q15" t="s">
        <v>970</v>
      </c>
      <c r="R15">
        <v>27605498</v>
      </c>
      <c r="S15">
        <v>4.82E-2</v>
      </c>
      <c r="T15" t="s">
        <v>971</v>
      </c>
      <c r="U15">
        <v>70600000</v>
      </c>
      <c r="V15">
        <v>470600000</v>
      </c>
      <c r="W15">
        <v>2.77</v>
      </c>
      <c r="X15">
        <v>0.24</v>
      </c>
      <c r="Y15">
        <v>1.31</v>
      </c>
      <c r="Z15" t="s">
        <v>972</v>
      </c>
      <c r="AA15" t="s">
        <v>576</v>
      </c>
      <c r="AB15" t="s">
        <v>973</v>
      </c>
      <c r="AC15" t="s">
        <v>974</v>
      </c>
      <c r="AD15" t="s">
        <v>41</v>
      </c>
      <c r="AE15">
        <v>19526860</v>
      </c>
      <c r="AF15" t="s">
        <v>85</v>
      </c>
      <c r="AG15" t="s">
        <v>975</v>
      </c>
      <c r="AH15" t="s">
        <v>976</v>
      </c>
      <c r="AI15" t="s">
        <v>53</v>
      </c>
      <c r="AJ15" t="s">
        <v>977</v>
      </c>
      <c r="AK15" t="s">
        <v>978</v>
      </c>
      <c r="AL15" t="s">
        <v>979</v>
      </c>
      <c r="AM15" t="s">
        <v>41</v>
      </c>
      <c r="AN15">
        <v>0</v>
      </c>
      <c r="AO15" t="s">
        <v>980</v>
      </c>
      <c r="AP15" t="s">
        <v>981</v>
      </c>
      <c r="AQ15" t="s">
        <v>982</v>
      </c>
      <c r="AR15" t="s">
        <v>41</v>
      </c>
      <c r="AS15" t="s">
        <v>983</v>
      </c>
      <c r="AT15" t="s">
        <v>984</v>
      </c>
      <c r="AU15" t="s">
        <v>985</v>
      </c>
      <c r="AV15" t="s">
        <v>986</v>
      </c>
      <c r="AW15" t="s">
        <v>987</v>
      </c>
      <c r="AX15" t="s">
        <v>488</v>
      </c>
      <c r="AY15" t="s">
        <v>569</v>
      </c>
      <c r="AZ15" t="s">
        <v>570</v>
      </c>
      <c r="BA15" t="s">
        <v>571</v>
      </c>
      <c r="BB15" t="s">
        <v>572</v>
      </c>
      <c r="BC15" t="s">
        <v>560</v>
      </c>
      <c r="BD15" t="s">
        <v>46</v>
      </c>
      <c r="BE15" t="s">
        <v>518</v>
      </c>
      <c r="BF15" t="s">
        <v>464</v>
      </c>
      <c r="BG15" t="s">
        <v>573</v>
      </c>
      <c r="BH15" t="s">
        <v>988</v>
      </c>
      <c r="BI15" t="s">
        <v>385</v>
      </c>
      <c r="BJ15" t="s">
        <v>488</v>
      </c>
      <c r="BK15" t="s">
        <v>382</v>
      </c>
      <c r="BL15" t="s">
        <v>594</v>
      </c>
      <c r="BM15" t="s">
        <v>560</v>
      </c>
      <c r="BN15">
        <v>3.6</v>
      </c>
      <c r="BO15">
        <v>5.5</v>
      </c>
      <c r="BP15">
        <v>7.41</v>
      </c>
      <c r="BQ15">
        <v>5.39</v>
      </c>
      <c r="BR15">
        <v>8.86</v>
      </c>
      <c r="BS15" t="s">
        <v>41</v>
      </c>
      <c r="BT15" t="s">
        <v>989</v>
      </c>
      <c r="BU15" t="s">
        <v>622</v>
      </c>
      <c r="BV15">
        <v>11.75</v>
      </c>
      <c r="BW15">
        <v>13.22</v>
      </c>
      <c r="BX15">
        <v>14.14</v>
      </c>
      <c r="BY15">
        <v>2.2799999999999998</v>
      </c>
      <c r="BZ15">
        <v>2.21</v>
      </c>
      <c r="CA15">
        <v>3.08</v>
      </c>
      <c r="CB15">
        <v>2.94</v>
      </c>
      <c r="CC15" s="9">
        <v>-14.06</v>
      </c>
      <c r="CD15" s="10" t="s">
        <v>990</v>
      </c>
      <c r="CE15" s="9" t="s">
        <v>991</v>
      </c>
      <c r="CF15" s="9">
        <v>3.5951742627345844</v>
      </c>
      <c r="CG15" s="9">
        <v>-0.82638051572327043</v>
      </c>
      <c r="CH15" s="9">
        <v>-0.6959119439125061</v>
      </c>
      <c r="CI15" s="9">
        <v>8.7737292051315308E-2</v>
      </c>
      <c r="CJ15" s="10">
        <v>0.20259150862693787</v>
      </c>
      <c r="CK15" s="10">
        <v>0.14507772028446198</v>
      </c>
      <c r="CL15" s="10">
        <v>0.16744574904441833</v>
      </c>
      <c r="CM15" s="10">
        <v>4.9920001029968262</v>
      </c>
      <c r="CN15" s="10">
        <v>-0.17218543589115143</v>
      </c>
      <c r="CO15">
        <v>3.4246575087308884E-2</v>
      </c>
      <c r="CP15">
        <v>-2.0134227350354195E-2</v>
      </c>
      <c r="CQ15">
        <v>0.59381991624832153</v>
      </c>
      <c r="CR15" s="9">
        <v>22.35330365116431</v>
      </c>
      <c r="CS15" s="10">
        <v>12.010198785939323</v>
      </c>
      <c r="CT15">
        <v>1.0545129579982127</v>
      </c>
      <c r="CU15">
        <v>-1.8611934781074525E-2</v>
      </c>
      <c r="CV15">
        <v>1.0855493862181902</v>
      </c>
      <c r="CW15">
        <v>0.06</v>
      </c>
      <c r="CX15">
        <v>9.6008197596795721</v>
      </c>
      <c r="CY15" t="s">
        <v>992</v>
      </c>
      <c r="CZ15">
        <v>-1.8611934781074525E-2</v>
      </c>
      <c r="DA15">
        <v>3.2002732532265243</v>
      </c>
      <c r="DB15" t="s">
        <v>993</v>
      </c>
      <c r="DC15">
        <v>-1.7681338042020798E-2</v>
      </c>
      <c r="DD15">
        <v>1.6001366266132622</v>
      </c>
      <c r="DE15" t="s">
        <v>994</v>
      </c>
      <c r="DF15">
        <v>-1.6378502607345583E-2</v>
      </c>
      <c r="DG15">
        <v>0.9600819759679573</v>
      </c>
      <c r="DH15" t="s">
        <v>995</v>
      </c>
      <c r="DI15">
        <v>-1.4889547824859621E-2</v>
      </c>
      <c r="DJ15">
        <v>0.48004098798397865</v>
      </c>
      <c r="DK15" t="s">
        <v>996</v>
      </c>
      <c r="DL15">
        <v>-1.3028354346752166E-2</v>
      </c>
      <c r="DM15">
        <v>749000000</v>
      </c>
      <c r="DN15">
        <v>-1.8611934781074525E-2</v>
      </c>
      <c r="DO15">
        <v>7191014000</v>
      </c>
      <c r="DP15">
        <v>1917956300</v>
      </c>
      <c r="DQ15" s="11">
        <v>2760</v>
      </c>
      <c r="DR15">
        <v>3.6137861975156591</v>
      </c>
      <c r="DS15">
        <v>-1.9119299019414606</v>
      </c>
      <c r="DT15">
        <v>-0.54</v>
      </c>
      <c r="DU15">
        <v>-0.19000000000000003</v>
      </c>
      <c r="DV15">
        <v>-0.73000000000000009</v>
      </c>
      <c r="DW15">
        <v>6.1729411764705882</v>
      </c>
      <c r="DX15">
        <v>0.59444151874388207</v>
      </c>
      <c r="DY15">
        <v>6.0682151803004123</v>
      </c>
      <c r="DZ15">
        <v>3616</v>
      </c>
      <c r="EA15">
        <v>6.0199439294263826</v>
      </c>
      <c r="EB15" s="12">
        <v>6</v>
      </c>
      <c r="EC15" s="12">
        <v>5.8570123246918827E-2</v>
      </c>
      <c r="ED15">
        <v>0.14848873778155547</v>
      </c>
      <c r="EE15">
        <v>1.07481</v>
      </c>
      <c r="EF15">
        <v>1.13961</v>
      </c>
      <c r="EG15">
        <v>20.394441518743882</v>
      </c>
      <c r="EH15" s="8" t="s">
        <v>465</v>
      </c>
      <c r="EI15">
        <v>0</v>
      </c>
      <c r="EJ15">
        <v>0</v>
      </c>
      <c r="EK15">
        <v>45470</v>
      </c>
      <c r="EL15">
        <v>7.77</v>
      </c>
      <c r="EM15">
        <v>-6.26</v>
      </c>
      <c r="EN15" s="13">
        <v>-8.93</v>
      </c>
      <c r="EO15" s="13">
        <v>1.84</v>
      </c>
      <c r="EP15" s="13">
        <v>-6.48</v>
      </c>
    </row>
    <row r="16" spans="1:146" ht="96" x14ac:dyDescent="0.25">
      <c r="C16" s="6" t="str">
        <f>""&amp;CHAR(10)&amp;Basic_Fundamental_Information_Constructure(F16)&amp;CHAR(10)&amp;Basic_Fundamental_Information_Concatenate("")</f>
        <v xml:space="preserve">
市值40.641016亿, 利润7989.15万; PE30.57; 平均PE51.77; 平均PEG5.38, PB2.04; ROIC8.3433%; ROE11.895%; 股利率.9843%; 毛利32.6967%; 净利3.6633%; 上一年度营收增-77.1%, 利润增-50.38%; 当季营收增585.71%, 利润增148.92%; 过往5年营收增9.62%, 利润增59.3%
Income profile:
</v>
      </c>
      <c r="D16" t="s">
        <v>454</v>
      </c>
      <c r="E16" t="s">
        <v>455</v>
      </c>
      <c r="F16">
        <v>10.16</v>
      </c>
      <c r="G16">
        <v>-3.79</v>
      </c>
      <c r="H16" t="s">
        <v>997</v>
      </c>
      <c r="I16">
        <v>4064101600</v>
      </c>
      <c r="J16">
        <v>30.57</v>
      </c>
      <c r="K16">
        <v>2.04</v>
      </c>
      <c r="L16" t="s">
        <v>40</v>
      </c>
      <c r="M16" t="s">
        <v>998</v>
      </c>
      <c r="N16" t="s">
        <v>999</v>
      </c>
      <c r="O16" t="s">
        <v>1000</v>
      </c>
      <c r="P16">
        <v>30.6</v>
      </c>
      <c r="Q16" t="s">
        <v>1001</v>
      </c>
      <c r="R16">
        <v>47772301</v>
      </c>
      <c r="S16">
        <v>0.62029999999999996</v>
      </c>
      <c r="T16" t="s">
        <v>1002</v>
      </c>
      <c r="U16">
        <v>149171300</v>
      </c>
      <c r="V16">
        <v>400010000</v>
      </c>
      <c r="W16">
        <v>2.4300000000000002</v>
      </c>
      <c r="X16">
        <v>0.23</v>
      </c>
      <c r="Y16">
        <v>4.75</v>
      </c>
      <c r="Z16" t="s">
        <v>1003</v>
      </c>
      <c r="AA16" t="s">
        <v>1004</v>
      </c>
      <c r="AB16" t="s">
        <v>483</v>
      </c>
      <c r="AC16" t="s">
        <v>1005</v>
      </c>
      <c r="AD16" t="s">
        <v>41</v>
      </c>
      <c r="AE16">
        <v>4897479</v>
      </c>
      <c r="AF16" t="s">
        <v>1006</v>
      </c>
      <c r="AG16" t="s">
        <v>1007</v>
      </c>
      <c r="AH16" t="s">
        <v>1008</v>
      </c>
      <c r="AI16" t="s">
        <v>1009</v>
      </c>
      <c r="AJ16" t="s">
        <v>1010</v>
      </c>
      <c r="AK16" t="s">
        <v>41</v>
      </c>
      <c r="AL16" t="s">
        <v>1011</v>
      </c>
      <c r="AM16" t="s">
        <v>41</v>
      </c>
      <c r="AN16" t="s">
        <v>839</v>
      </c>
      <c r="AO16" t="s">
        <v>1012</v>
      </c>
      <c r="AP16" t="s">
        <v>1013</v>
      </c>
      <c r="AQ16" t="s">
        <v>1014</v>
      </c>
      <c r="AR16" t="s">
        <v>1015</v>
      </c>
      <c r="AS16" t="s">
        <v>1016</v>
      </c>
      <c r="AT16" t="s">
        <v>1017</v>
      </c>
      <c r="AU16" t="s">
        <v>670</v>
      </c>
      <c r="AV16" t="s">
        <v>1018</v>
      </c>
      <c r="AW16" t="s">
        <v>1019</v>
      </c>
      <c r="AX16" t="s">
        <v>490</v>
      </c>
      <c r="AY16" t="s">
        <v>493</v>
      </c>
      <c r="AZ16" t="s">
        <v>381</v>
      </c>
      <c r="BA16" t="s">
        <v>494</v>
      </c>
      <c r="BB16" t="s">
        <v>495</v>
      </c>
      <c r="BC16" t="s">
        <v>491</v>
      </c>
      <c r="BD16" t="s">
        <v>496</v>
      </c>
      <c r="BE16" t="s">
        <v>456</v>
      </c>
      <c r="BF16" t="s">
        <v>497</v>
      </c>
      <c r="BG16" t="s">
        <v>498</v>
      </c>
      <c r="BH16" t="s">
        <v>1020</v>
      </c>
      <c r="BI16" t="s">
        <v>491</v>
      </c>
      <c r="BJ16" t="s">
        <v>490</v>
      </c>
      <c r="BK16" t="s">
        <v>287</v>
      </c>
      <c r="BL16" t="s">
        <v>1021</v>
      </c>
      <c r="BM16" t="s">
        <v>491</v>
      </c>
      <c r="BN16">
        <v>4.72</v>
      </c>
      <c r="BO16">
        <v>12.77</v>
      </c>
      <c r="BP16">
        <v>7.54</v>
      </c>
      <c r="BQ16">
        <v>5.25</v>
      </c>
      <c r="BR16">
        <v>18.54</v>
      </c>
      <c r="BS16" t="s">
        <v>41</v>
      </c>
      <c r="BT16" t="s">
        <v>1022</v>
      </c>
      <c r="BU16" t="s">
        <v>810</v>
      </c>
      <c r="BV16">
        <v>30.64</v>
      </c>
      <c r="BW16">
        <v>32.58</v>
      </c>
      <c r="BX16">
        <v>34.869999999999997</v>
      </c>
      <c r="BY16">
        <v>3.1</v>
      </c>
      <c r="BZ16">
        <v>4.91</v>
      </c>
      <c r="CA16">
        <v>2.98</v>
      </c>
      <c r="CB16">
        <v>-0.68</v>
      </c>
      <c r="CC16" s="9">
        <v>-18.98</v>
      </c>
      <c r="CD16" s="10" t="s">
        <v>1023</v>
      </c>
      <c r="CE16" s="9" t="s">
        <v>1024</v>
      </c>
      <c r="CF16" s="9">
        <v>5.8571428571428568</v>
      </c>
      <c r="CG16" s="9">
        <v>1.4891908044539623</v>
      </c>
      <c r="CH16" s="9">
        <v>-0.77099937200546265</v>
      </c>
      <c r="CI16" s="9">
        <v>0.39461299777030945</v>
      </c>
      <c r="CJ16" s="10">
        <v>0.21128955483436584</v>
      </c>
      <c r="CK16" s="10">
        <v>0.26872530579566956</v>
      </c>
      <c r="CL16" s="10">
        <v>0.37737563252449036</v>
      </c>
      <c r="CM16" s="10">
        <v>-0.50377947092056274</v>
      </c>
      <c r="CN16" s="10">
        <v>1.3090183734893799</v>
      </c>
      <c r="CO16">
        <v>-0.21584935486316681</v>
      </c>
      <c r="CP16">
        <v>0.71170657873153687</v>
      </c>
      <c r="CQ16">
        <v>1.6638685464859009</v>
      </c>
      <c r="CR16" s="9">
        <v>51.773412902391591</v>
      </c>
      <c r="CS16" s="10">
        <v>5.3818055673521181</v>
      </c>
      <c r="CT16">
        <v>0.98425196850393704</v>
      </c>
      <c r="CU16">
        <v>9.6200823783874512E-2</v>
      </c>
      <c r="CV16">
        <v>0.59299293458461766</v>
      </c>
      <c r="CW16">
        <v>0.06</v>
      </c>
      <c r="CX16">
        <v>56.452498529093937</v>
      </c>
      <c r="CY16">
        <v>82619932.182386234</v>
      </c>
      <c r="CZ16">
        <v>9.6200823783874512E-2</v>
      </c>
      <c r="DA16">
        <v>18.351604958096733</v>
      </c>
      <c r="DB16">
        <v>254152245.02978399</v>
      </c>
      <c r="DC16">
        <v>9.1390782594680781E-2</v>
      </c>
      <c r="DD16">
        <v>8.9707505224961324</v>
      </c>
      <c r="DE16">
        <v>519923231.42904687</v>
      </c>
      <c r="DF16">
        <v>8.4656724929809565E-2</v>
      </c>
      <c r="DG16">
        <v>5.3444036170190756</v>
      </c>
      <c r="DH16">
        <v>872707589.88848138</v>
      </c>
      <c r="DI16">
        <v>7.6960659027099615E-2</v>
      </c>
      <c r="DJ16">
        <v>2.7128356797250954</v>
      </c>
      <c r="DK16">
        <v>1719271695.9814668</v>
      </c>
      <c r="DL16">
        <v>6.7340576648712153E-2</v>
      </c>
      <c r="DM16">
        <v>79891500</v>
      </c>
      <c r="DN16">
        <v>9.6200823783874512E-2</v>
      </c>
      <c r="DO16">
        <v>4664101600</v>
      </c>
      <c r="DP16">
        <v>817808800</v>
      </c>
      <c r="DQ16" s="11">
        <v>2785</v>
      </c>
      <c r="DR16">
        <v>5.7609420333589823</v>
      </c>
      <c r="DS16">
        <v>0.89619786986934469</v>
      </c>
      <c r="DT16">
        <v>-0.27333333333333343</v>
      </c>
      <c r="DU16">
        <v>0.65333333333333321</v>
      </c>
      <c r="DV16">
        <v>0.37999999999999978</v>
      </c>
      <c r="DW16">
        <v>-3.0337023809523811</v>
      </c>
      <c r="DX16">
        <v>1.0881390935476731</v>
      </c>
      <c r="DY16">
        <v>-3.0080258544503979</v>
      </c>
      <c r="DZ16">
        <v>496</v>
      </c>
      <c r="EA16">
        <v>-3.0072468282649973</v>
      </c>
      <c r="EB16" s="12">
        <v>3</v>
      </c>
      <c r="EC16" s="12">
        <v>3.626434339141521E-2</v>
      </c>
      <c r="ED16">
        <v>0.15228219294517636</v>
      </c>
      <c r="EE16">
        <v>2.0989</v>
      </c>
      <c r="EF16">
        <v>2.0625</v>
      </c>
      <c r="EG16">
        <v>85.238139093547673</v>
      </c>
      <c r="EH16" s="8" t="s">
        <v>503</v>
      </c>
      <c r="EI16" s="13">
        <v>0</v>
      </c>
      <c r="EJ16" s="13">
        <v>1</v>
      </c>
      <c r="EK16" s="13">
        <v>45470</v>
      </c>
      <c r="EL16" s="13">
        <v>-2.52</v>
      </c>
      <c r="EM16" s="13">
        <v>-6.68</v>
      </c>
      <c r="EN16" s="13">
        <v>1.25</v>
      </c>
      <c r="EO16" s="13">
        <v>7.61</v>
      </c>
      <c r="EP16" s="13">
        <v>-3.64</v>
      </c>
    </row>
    <row r="17" spans="1:146" ht="96" x14ac:dyDescent="0.25">
      <c r="A17" s="6"/>
      <c r="B17" s="6"/>
      <c r="C17" s="6" t="str">
        <f>""&amp;CHAR(10)&amp;Basic_Fundamental_Information_Constructure(F17)&amp;CHAR(10)&amp;Basic_Fundamental_Information_Concatenate("")</f>
        <v xml:space="preserve">
市值152.87891亿, 利润15.74亿; PE16.53; 平均PE13.24; 平均PEG.03, PB1.31; ROIC4.6%; ROE6.25%; 股利率2.0567%; 毛利12.7733%; 净利2.51%; 上一年度营收增1121.07%, 利润增113.86%; 当季营收增-93.21%, 利润增-73.33%; 过往5年营收增382.09%, 利润增113.86%
Income profile:
</v>
      </c>
      <c r="D17" t="s">
        <v>68</v>
      </c>
      <c r="E17" t="s">
        <v>257</v>
      </c>
      <c r="F17">
        <v>10.220000000000001</v>
      </c>
      <c r="G17">
        <v>1.69</v>
      </c>
      <c r="H17" t="s">
        <v>1025</v>
      </c>
      <c r="I17">
        <v>15287891000</v>
      </c>
      <c r="J17">
        <v>16.53</v>
      </c>
      <c r="K17">
        <v>1.31</v>
      </c>
      <c r="L17" t="s">
        <v>40</v>
      </c>
      <c r="M17" t="s">
        <v>1026</v>
      </c>
      <c r="N17" t="s">
        <v>1027</v>
      </c>
      <c r="O17" t="s">
        <v>1028</v>
      </c>
      <c r="P17">
        <v>-29.97</v>
      </c>
      <c r="Q17" t="s">
        <v>1029</v>
      </c>
      <c r="R17">
        <v>145599950</v>
      </c>
      <c r="S17" s="5">
        <v>-0.45829999999999999</v>
      </c>
      <c r="T17" t="s">
        <v>1030</v>
      </c>
      <c r="U17">
        <v>1495351500</v>
      </c>
      <c r="V17">
        <v>1495879700</v>
      </c>
      <c r="W17">
        <v>2.66</v>
      </c>
      <c r="X17" t="s">
        <v>41</v>
      </c>
      <c r="Y17">
        <v>2.31</v>
      </c>
      <c r="Z17" t="s">
        <v>41</v>
      </c>
      <c r="AA17" t="s">
        <v>41</v>
      </c>
      <c r="AB17" t="s">
        <v>41</v>
      </c>
      <c r="AC17" t="s">
        <v>41</v>
      </c>
      <c r="AD17" t="s">
        <v>41</v>
      </c>
      <c r="AE17">
        <v>43668862</v>
      </c>
      <c r="AF17" t="s">
        <v>1031</v>
      </c>
      <c r="AG17" t="s">
        <v>1032</v>
      </c>
      <c r="AH17" t="s">
        <v>1033</v>
      </c>
      <c r="AI17" t="s">
        <v>1034</v>
      </c>
      <c r="AJ17" t="s">
        <v>1035</v>
      </c>
      <c r="AK17" t="s">
        <v>41</v>
      </c>
      <c r="AL17" t="s">
        <v>1036</v>
      </c>
      <c r="AM17" t="s">
        <v>41</v>
      </c>
      <c r="AN17" t="s">
        <v>473</v>
      </c>
      <c r="AO17" t="s">
        <v>41</v>
      </c>
      <c r="AP17" t="s">
        <v>1037</v>
      </c>
      <c r="AQ17" t="s">
        <v>1038</v>
      </c>
      <c r="AR17" t="s">
        <v>1039</v>
      </c>
      <c r="AS17" t="s">
        <v>41</v>
      </c>
      <c r="AT17" t="s">
        <v>41</v>
      </c>
      <c r="AU17" t="s">
        <v>1040</v>
      </c>
      <c r="AV17" t="s">
        <v>1041</v>
      </c>
      <c r="AW17" t="s">
        <v>451</v>
      </c>
      <c r="AX17" t="s">
        <v>499</v>
      </c>
      <c r="AY17" t="s">
        <v>41</v>
      </c>
      <c r="AZ17" t="s">
        <v>175</v>
      </c>
      <c r="BA17" t="s">
        <v>69</v>
      </c>
      <c r="BB17" t="s">
        <v>176</v>
      </c>
      <c r="BC17" t="s">
        <v>500</v>
      </c>
      <c r="BD17" t="s">
        <v>41</v>
      </c>
      <c r="BE17" t="s">
        <v>41</v>
      </c>
      <c r="BF17" t="s">
        <v>41</v>
      </c>
      <c r="BG17" t="s">
        <v>41</v>
      </c>
      <c r="BH17" t="s">
        <v>1042</v>
      </c>
      <c r="BI17" t="s">
        <v>1043</v>
      </c>
      <c r="BJ17" t="s">
        <v>499</v>
      </c>
      <c r="BK17" t="s">
        <v>585</v>
      </c>
      <c r="BL17" t="s">
        <v>1044</v>
      </c>
      <c r="BM17" t="s">
        <v>500</v>
      </c>
      <c r="BN17">
        <v>4.01</v>
      </c>
      <c r="BO17">
        <v>5.19</v>
      </c>
      <c r="BP17">
        <v>4.5999999999999996</v>
      </c>
      <c r="BQ17">
        <v>5.38</v>
      </c>
      <c r="BR17">
        <v>6.98</v>
      </c>
      <c r="BS17">
        <v>6.39</v>
      </c>
      <c r="BT17" t="s">
        <v>1045</v>
      </c>
      <c r="BU17" t="s">
        <v>622</v>
      </c>
      <c r="BV17">
        <v>11.29</v>
      </c>
      <c r="BW17">
        <v>12.63</v>
      </c>
      <c r="BX17">
        <v>14.4</v>
      </c>
      <c r="BY17">
        <v>3.2</v>
      </c>
      <c r="BZ17">
        <v>2.36</v>
      </c>
      <c r="CA17">
        <v>1.97</v>
      </c>
      <c r="CB17">
        <v>0.99</v>
      </c>
      <c r="CC17">
        <v>-3.95</v>
      </c>
      <c r="CD17" t="s">
        <v>1046</v>
      </c>
      <c r="CE17" t="s">
        <v>978</v>
      </c>
      <c r="CF17" s="9">
        <v>-0.93205574912891986</v>
      </c>
      <c r="CG17" s="10">
        <v>-0.7333334249084249</v>
      </c>
      <c r="CH17" s="9">
        <v>11.210650444030762</v>
      </c>
      <c r="CI17" s="9" t="s">
        <v>41</v>
      </c>
      <c r="CJ17" s="9" t="s">
        <v>41</v>
      </c>
      <c r="CK17" s="9">
        <v>0.11412778496742249</v>
      </c>
      <c r="CL17" s="9">
        <v>0.1380055844783783</v>
      </c>
      <c r="CM17" s="10">
        <v>1.1385869979858398</v>
      </c>
      <c r="CN17" s="10" t="s">
        <v>41</v>
      </c>
      <c r="CO17" s="10" t="s">
        <v>41</v>
      </c>
      <c r="CP17" s="10" t="s">
        <v>41</v>
      </c>
      <c r="CQ17" s="10" t="s">
        <v>41</v>
      </c>
      <c r="CR17">
        <v>13.236269264069264</v>
      </c>
      <c r="CS17">
        <v>3.4641504575461807E-2</v>
      </c>
      <c r="CT17">
        <v>2.0566536203522503</v>
      </c>
      <c r="CU17" s="9">
        <v>3.820927937825521</v>
      </c>
      <c r="CV17" s="10">
        <v>1.1385869979858398</v>
      </c>
      <c r="CW17">
        <v>0.06</v>
      </c>
      <c r="CX17">
        <v>3.4528833782152963</v>
      </c>
      <c r="CY17">
        <v>7158623183.1484623</v>
      </c>
      <c r="CZ17">
        <v>3.820927937825521</v>
      </c>
      <c r="DA17">
        <v>0.14707604675199068</v>
      </c>
      <c r="DB17">
        <v>168061975732.05743</v>
      </c>
      <c r="DC17">
        <v>3.6298815409342446</v>
      </c>
      <c r="DD17">
        <v>2.4472209110591898E-3</v>
      </c>
      <c r="DE17">
        <v>10100392199289.344</v>
      </c>
      <c r="DF17">
        <v>3.3624165852864585</v>
      </c>
      <c r="DG17">
        <v>1.7209319685305782E-5</v>
      </c>
      <c r="DH17">
        <v>1436308433569598.2</v>
      </c>
      <c r="DI17">
        <v>3.056742350260417</v>
      </c>
      <c r="DJ17">
        <v>1.7782916842323625E-10</v>
      </c>
      <c r="DK17">
        <v>1.3899795640482908E+20</v>
      </c>
      <c r="DL17">
        <v>2.6746495564778647</v>
      </c>
      <c r="DM17">
        <v>1574000000</v>
      </c>
      <c r="DN17">
        <v>3.820927937825521</v>
      </c>
      <c r="DO17">
        <v>24717891000</v>
      </c>
      <c r="DP17">
        <v>28522113000</v>
      </c>
      <c r="DQ17">
        <v>2885</v>
      </c>
      <c r="DR17">
        <v>-4.7529836869544404</v>
      </c>
      <c r="DS17">
        <v>-1.8719204228942647</v>
      </c>
      <c r="DT17" s="11">
        <v>-0.21000000000000008</v>
      </c>
      <c r="DU17">
        <v>-0.32000000000000006</v>
      </c>
      <c r="DV17">
        <v>-0.53000000000000014</v>
      </c>
      <c r="DW17">
        <v>-1.0395000000000001</v>
      </c>
      <c r="DX17">
        <v>0.41115862068965514</v>
      </c>
      <c r="DY17">
        <v>-1.0055757655172415</v>
      </c>
      <c r="DZ17">
        <v>2549</v>
      </c>
      <c r="EA17">
        <v>-1.0027944296457252</v>
      </c>
      <c r="EB17">
        <v>1</v>
      </c>
      <c r="EC17">
        <v>1.6419502183230378E-2</v>
      </c>
      <c r="ED17">
        <v>0.11631951419622848</v>
      </c>
      <c r="EE17" s="12">
        <v>-1.01301</v>
      </c>
      <c r="EF17">
        <v>-1.0397099999999999</v>
      </c>
      <c r="EG17">
        <v>27.141158620689655</v>
      </c>
      <c r="EH17" t="s">
        <v>449</v>
      </c>
      <c r="EI17">
        <v>0</v>
      </c>
      <c r="EJ17">
        <v>0</v>
      </c>
      <c r="EK17" s="8">
        <v>45470</v>
      </c>
      <c r="EL17" s="13">
        <v>0.39</v>
      </c>
      <c r="EM17" s="13">
        <v>-4.26</v>
      </c>
      <c r="EN17" s="13">
        <v>-1.05</v>
      </c>
      <c r="EO17" s="13">
        <v>4</v>
      </c>
      <c r="EP17" s="13">
        <v>-2.67</v>
      </c>
    </row>
    <row r="18" spans="1:146" ht="96" x14ac:dyDescent="0.25">
      <c r="A18" s="6"/>
      <c r="B18" s="6"/>
      <c r="C18" s="6" t="str">
        <f>""&amp;CHAR(10)&amp;Basic_Fundamental_Information_Constructure(F18)&amp;CHAR(10)&amp;Basic_Fundamental_Information_Concatenate("")</f>
        <v xml:space="preserve">
市值21.2868亿, 利润11.80亿; PE40.34; 平均PE9.73; 平均PEG.05, PB3.44; ROIC3.96%; ROE4.9533%; 股利率.5594%; 毛利23.6433%; 净利3.7833%; 上一年度营收增881.43%, 利润增2855.3%; 当季营收增-89.94%, 利润增-93.96%; 过往5年营收增177.89%, 利润增584.51%
Income profile:
</v>
      </c>
      <c r="D18" t="s">
        <v>71</v>
      </c>
      <c r="E18" t="s">
        <v>6</v>
      </c>
      <c r="F18">
        <v>8.76</v>
      </c>
      <c r="G18">
        <v>2.7</v>
      </c>
      <c r="H18" t="s">
        <v>1047</v>
      </c>
      <c r="I18">
        <v>2128680000</v>
      </c>
      <c r="J18">
        <v>40.340000000000003</v>
      </c>
      <c r="K18">
        <v>3.44</v>
      </c>
      <c r="L18" t="s">
        <v>40</v>
      </c>
      <c r="M18" t="s">
        <v>1048</v>
      </c>
      <c r="N18" t="s">
        <v>1049</v>
      </c>
      <c r="O18" t="s">
        <v>1050</v>
      </c>
      <c r="P18">
        <v>17.420000000000002</v>
      </c>
      <c r="Q18" t="s">
        <v>1051</v>
      </c>
      <c r="R18">
        <v>23260067</v>
      </c>
      <c r="S18" s="5">
        <v>1.375</v>
      </c>
      <c r="T18" t="s">
        <v>1052</v>
      </c>
      <c r="U18">
        <v>160000000</v>
      </c>
      <c r="V18">
        <v>243000000</v>
      </c>
      <c r="W18">
        <v>2.09</v>
      </c>
      <c r="X18">
        <v>0.18</v>
      </c>
      <c r="Y18">
        <v>9.89</v>
      </c>
      <c r="Z18" t="s">
        <v>578</v>
      </c>
      <c r="AA18" t="s">
        <v>1053</v>
      </c>
      <c r="AB18" t="s">
        <v>1054</v>
      </c>
      <c r="AC18" t="s">
        <v>1055</v>
      </c>
      <c r="AD18" t="s">
        <v>41</v>
      </c>
      <c r="AE18">
        <v>-278390</v>
      </c>
      <c r="AF18" t="s">
        <v>1056</v>
      </c>
      <c r="AG18" t="s">
        <v>1057</v>
      </c>
      <c r="AH18" t="s">
        <v>1058</v>
      </c>
      <c r="AI18" t="s">
        <v>560</v>
      </c>
      <c r="AJ18" t="s">
        <v>1059</v>
      </c>
      <c r="AK18" t="s">
        <v>1060</v>
      </c>
      <c r="AL18" t="s">
        <v>1061</v>
      </c>
      <c r="AM18" t="s">
        <v>41</v>
      </c>
      <c r="AN18" t="s">
        <v>1062</v>
      </c>
      <c r="AO18" t="s">
        <v>1063</v>
      </c>
      <c r="AP18" t="s">
        <v>41</v>
      </c>
      <c r="AQ18" t="s">
        <v>254</v>
      </c>
      <c r="AR18" t="s">
        <v>1064</v>
      </c>
      <c r="AS18" t="s">
        <v>387</v>
      </c>
      <c r="AT18" t="s">
        <v>41</v>
      </c>
      <c r="AU18" t="s">
        <v>1065</v>
      </c>
      <c r="AV18" t="s">
        <v>1066</v>
      </c>
      <c r="AW18" t="s">
        <v>1067</v>
      </c>
      <c r="AX18" t="s">
        <v>501</v>
      </c>
      <c r="AY18" t="s">
        <v>299</v>
      </c>
      <c r="AZ18" t="s">
        <v>70</v>
      </c>
      <c r="BA18" t="s">
        <v>72</v>
      </c>
      <c r="BB18" t="s">
        <v>179</v>
      </c>
      <c r="BC18" t="s">
        <v>1068</v>
      </c>
      <c r="BD18" t="s">
        <v>300</v>
      </c>
      <c r="BE18" t="s">
        <v>178</v>
      </c>
      <c r="BF18" t="s">
        <v>73</v>
      </c>
      <c r="BG18" t="s">
        <v>180</v>
      </c>
      <c r="BH18" t="s">
        <v>1069</v>
      </c>
      <c r="BI18" t="s">
        <v>1070</v>
      </c>
      <c r="BJ18" t="s">
        <v>501</v>
      </c>
      <c r="BK18" t="s">
        <v>1071</v>
      </c>
      <c r="BL18" t="s">
        <v>1072</v>
      </c>
      <c r="BM18" t="s">
        <v>1068</v>
      </c>
      <c r="BN18">
        <v>2.21</v>
      </c>
      <c r="BO18">
        <v>6.79</v>
      </c>
      <c r="BP18">
        <v>2.88</v>
      </c>
      <c r="BQ18">
        <v>3.46</v>
      </c>
      <c r="BR18">
        <v>7.26</v>
      </c>
      <c r="BS18">
        <v>4.1399999999999997</v>
      </c>
      <c r="BT18" t="s">
        <v>1073</v>
      </c>
      <c r="BU18" t="s">
        <v>622</v>
      </c>
      <c r="BV18">
        <v>20.85</v>
      </c>
      <c r="BW18">
        <v>23.66</v>
      </c>
      <c r="BX18">
        <v>26.42</v>
      </c>
      <c r="BY18">
        <v>4.43</v>
      </c>
      <c r="BZ18">
        <v>4.4800000000000004</v>
      </c>
      <c r="CA18">
        <v>2.44</v>
      </c>
      <c r="CB18">
        <v>1.86</v>
      </c>
      <c r="CC18">
        <v>-10.06</v>
      </c>
      <c r="CD18" t="s">
        <v>1074</v>
      </c>
      <c r="CE18" t="s">
        <v>1075</v>
      </c>
      <c r="CF18" s="9">
        <v>-0.89939810834049871</v>
      </c>
      <c r="CG18" s="10">
        <v>-0.93958424155844156</v>
      </c>
      <c r="CH18" s="9">
        <v>8.8143167495727539</v>
      </c>
      <c r="CI18" s="9">
        <v>0.33432835340499878</v>
      </c>
      <c r="CJ18" s="9">
        <v>-0.12073490768671036</v>
      </c>
      <c r="CK18" s="9">
        <v>-0.12413793057203293</v>
      </c>
      <c r="CL18" s="9">
        <v>-9.1116176918148994E-3</v>
      </c>
      <c r="CM18" s="10">
        <v>28.553047180175781</v>
      </c>
      <c r="CN18" s="10">
        <v>0.83855193853378296</v>
      </c>
      <c r="CO18" s="10">
        <v>0.58811831474304199</v>
      </c>
      <c r="CP18" s="10">
        <v>-0.37774783372879028</v>
      </c>
      <c r="CQ18" s="10">
        <v>-0.37628105282783508</v>
      </c>
      <c r="CR18">
        <v>9.7308802201060729</v>
      </c>
      <c r="CS18">
        <v>5.4700682838070738E-2</v>
      </c>
      <c r="CT18">
        <v>0.55936073059360736</v>
      </c>
      <c r="CU18" s="9">
        <v>1.778932129405439</v>
      </c>
      <c r="CV18" s="10">
        <v>5.8451377093791965</v>
      </c>
      <c r="CW18">
        <v>0.06</v>
      </c>
      <c r="CX18">
        <v>0.7172005045874037</v>
      </c>
      <c r="CY18">
        <v>3093528219.5268092</v>
      </c>
      <c r="CZ18">
        <v>1.778932129405439</v>
      </c>
      <c r="DA18">
        <v>7.4256709309975646E-2</v>
      </c>
      <c r="DB18">
        <v>29878512266.661167</v>
      </c>
      <c r="DC18">
        <v>1.689985522935167</v>
      </c>
      <c r="DD18">
        <v>5.5172968836672432E-3</v>
      </c>
      <c r="DE18">
        <v>402131704488.82666</v>
      </c>
      <c r="DF18">
        <v>1.5654602738767862</v>
      </c>
      <c r="DG18">
        <v>2.7148774471152801E-4</v>
      </c>
      <c r="DH18">
        <v>8172302592728.377</v>
      </c>
      <c r="DI18">
        <v>1.4231457035243513</v>
      </c>
      <c r="DJ18">
        <v>3.0031156102805232E-7</v>
      </c>
      <c r="DK18">
        <v>7387927365849067</v>
      </c>
      <c r="DL18">
        <v>1.2452524905838072</v>
      </c>
      <c r="DM18">
        <v>1180000000</v>
      </c>
      <c r="DN18">
        <v>1.778932129405439</v>
      </c>
      <c r="DO18">
        <v>2218680000</v>
      </c>
      <c r="DP18">
        <v>219635119.99999994</v>
      </c>
      <c r="DQ18">
        <v>3057</v>
      </c>
      <c r="DR18">
        <v>-2.6783302377459375</v>
      </c>
      <c r="DS18">
        <v>-6.7847219509376382</v>
      </c>
      <c r="DT18" s="11">
        <v>1.0000000000000011E-2</v>
      </c>
      <c r="DU18">
        <v>7.6666666666666661E-2</v>
      </c>
      <c r="DV18">
        <v>8.666666666666667E-2</v>
      </c>
      <c r="DW18">
        <v>-2.1006</v>
      </c>
      <c r="DX18">
        <v>0.37679499193637267</v>
      </c>
      <c r="DY18">
        <v>-2.0157735761887992</v>
      </c>
      <c r="DZ18">
        <v>4477</v>
      </c>
      <c r="EA18">
        <v>-2.0019539478918804</v>
      </c>
      <c r="EB18">
        <v>2</v>
      </c>
      <c r="EC18">
        <v>6.1000411522633746E-2</v>
      </c>
      <c r="ED18">
        <v>0.38904567901234566</v>
      </c>
      <c r="EE18" s="12">
        <v>8.4800000000000014E-2</v>
      </c>
      <c r="EF18">
        <v>8.8800000000000004E-2</v>
      </c>
      <c r="EG18">
        <v>22.156794991936373</v>
      </c>
      <c r="EH18" t="s">
        <v>367</v>
      </c>
      <c r="EI18">
        <v>0</v>
      </c>
      <c r="EJ18">
        <v>0</v>
      </c>
      <c r="EK18" s="8">
        <v>45470</v>
      </c>
      <c r="EL18" s="13">
        <v>-0.4</v>
      </c>
      <c r="EM18" s="13">
        <v>-3.44</v>
      </c>
      <c r="EN18" s="13">
        <v>-0.96</v>
      </c>
      <c r="EO18" s="13">
        <v>4.45</v>
      </c>
      <c r="EP18" s="13">
        <v>0.4</v>
      </c>
    </row>
    <row r="19" spans="1:146" ht="96" x14ac:dyDescent="0.25">
      <c r="A19" s="6"/>
      <c r="B19" s="6"/>
      <c r="C19" s="6" t="str">
        <f>""&amp;CHAR(10)&amp;Basic_Fundamental_Information_Constructure(F19)&amp;CHAR(10)&amp;Basic_Fundamental_Information_Concatenate("")</f>
        <v xml:space="preserve">
市值231.85877亿, 利润4707.23万; PE10.58; 平均PE17.06; 平均PEG1.18, PB1.43; ROIC12.0833%; ROE12.93%; 股利率2.779%; 毛利8.08%; 净利4.51%; 上一年度营收增-91.07%, 利润增-97.6%; 当季营收增1383.72%, 利润增250.73%; 过往5年营收增-14.48%, 利润增-11.67%
Income profile:
</v>
      </c>
      <c r="D19" t="s">
        <v>75</v>
      </c>
      <c r="E19" t="s">
        <v>18</v>
      </c>
      <c r="F19">
        <v>30.73</v>
      </c>
      <c r="G19">
        <v>2.06</v>
      </c>
      <c r="H19" t="s">
        <v>1076</v>
      </c>
      <c r="I19">
        <v>23185877000</v>
      </c>
      <c r="J19">
        <v>10.58</v>
      </c>
      <c r="K19">
        <v>1.43</v>
      </c>
      <c r="L19" t="s">
        <v>40</v>
      </c>
      <c r="M19" t="s">
        <v>1077</v>
      </c>
      <c r="N19" t="s">
        <v>1078</v>
      </c>
      <c r="O19" t="s">
        <v>1079</v>
      </c>
      <c r="P19">
        <v>7.98</v>
      </c>
      <c r="Q19" t="s">
        <v>1080</v>
      </c>
      <c r="R19">
        <v>459454520</v>
      </c>
      <c r="S19" s="5">
        <v>0.1087</v>
      </c>
      <c r="T19" t="s">
        <v>1081</v>
      </c>
      <c r="U19">
        <v>553346420</v>
      </c>
      <c r="V19">
        <v>754503000</v>
      </c>
      <c r="W19">
        <v>1.83</v>
      </c>
      <c r="X19">
        <v>0.37</v>
      </c>
      <c r="Y19">
        <v>4.08</v>
      </c>
      <c r="Z19" t="s">
        <v>1082</v>
      </c>
      <c r="AA19" t="s">
        <v>1083</v>
      </c>
      <c r="AB19" t="s">
        <v>1084</v>
      </c>
      <c r="AC19" t="s">
        <v>1085</v>
      </c>
      <c r="AD19" t="s">
        <v>41</v>
      </c>
      <c r="AE19">
        <v>-28802813</v>
      </c>
      <c r="AF19" t="s">
        <v>1086</v>
      </c>
      <c r="AG19" t="s">
        <v>1087</v>
      </c>
      <c r="AH19" t="s">
        <v>1088</v>
      </c>
      <c r="AI19" t="s">
        <v>1089</v>
      </c>
      <c r="AJ19" t="s">
        <v>1090</v>
      </c>
      <c r="AK19" t="s">
        <v>1091</v>
      </c>
      <c r="AL19" t="s">
        <v>1092</v>
      </c>
      <c r="AM19" t="s">
        <v>41</v>
      </c>
      <c r="AN19" t="s">
        <v>1093</v>
      </c>
      <c r="AO19" t="s">
        <v>1094</v>
      </c>
      <c r="AP19" t="s">
        <v>1095</v>
      </c>
      <c r="AQ19" t="s">
        <v>1096</v>
      </c>
      <c r="AR19" t="s">
        <v>41</v>
      </c>
      <c r="AS19" t="s">
        <v>1097</v>
      </c>
      <c r="AT19" t="s">
        <v>41</v>
      </c>
      <c r="AU19" t="s">
        <v>1098</v>
      </c>
      <c r="AV19" t="s">
        <v>1099</v>
      </c>
      <c r="AW19" t="s">
        <v>384</v>
      </c>
      <c r="AX19" t="s">
        <v>504</v>
      </c>
      <c r="AY19" t="s">
        <v>301</v>
      </c>
      <c r="AZ19" t="s">
        <v>182</v>
      </c>
      <c r="BA19" t="s">
        <v>76</v>
      </c>
      <c r="BB19" t="s">
        <v>184</v>
      </c>
      <c r="BC19" t="s">
        <v>505</v>
      </c>
      <c r="BD19" t="s">
        <v>302</v>
      </c>
      <c r="BE19" t="s">
        <v>183</v>
      </c>
      <c r="BF19" t="s">
        <v>77</v>
      </c>
      <c r="BG19" t="s">
        <v>185</v>
      </c>
      <c r="BH19" t="s">
        <v>1100</v>
      </c>
      <c r="BI19" t="s">
        <v>1101</v>
      </c>
      <c r="BJ19" t="s">
        <v>504</v>
      </c>
      <c r="BK19" t="s">
        <v>1016</v>
      </c>
      <c r="BL19" t="s">
        <v>47</v>
      </c>
      <c r="BM19" t="s">
        <v>505</v>
      </c>
      <c r="BN19">
        <v>9.39</v>
      </c>
      <c r="BO19">
        <v>13.48</v>
      </c>
      <c r="BP19">
        <v>13.38</v>
      </c>
      <c r="BQ19">
        <v>9.57</v>
      </c>
      <c r="BR19">
        <v>14.65</v>
      </c>
      <c r="BS19">
        <v>14.57</v>
      </c>
      <c r="BT19" t="s">
        <v>1102</v>
      </c>
      <c r="BU19" t="s">
        <v>622</v>
      </c>
      <c r="BV19">
        <v>8.0299999999999994</v>
      </c>
      <c r="BW19">
        <v>8.4</v>
      </c>
      <c r="BX19">
        <v>7.81</v>
      </c>
      <c r="BY19">
        <v>4.7</v>
      </c>
      <c r="BZ19">
        <v>4.68</v>
      </c>
      <c r="CA19">
        <v>4.1500000000000004</v>
      </c>
      <c r="CB19">
        <v>-0.19</v>
      </c>
      <c r="CC19">
        <v>-8.75</v>
      </c>
      <c r="CD19" t="s">
        <v>1103</v>
      </c>
      <c r="CE19" t="s">
        <v>1104</v>
      </c>
      <c r="CF19" s="9">
        <v>13.837209302325581</v>
      </c>
      <c r="CG19" s="10">
        <v>2.5072864122137406</v>
      </c>
      <c r="CH19" s="9">
        <v>-0.91067928075790405</v>
      </c>
      <c r="CI19" s="9">
        <v>-2.0874183624982834E-2</v>
      </c>
      <c r="CJ19" s="9">
        <v>0.1508210301399231</v>
      </c>
      <c r="CK19" s="9">
        <v>-9.5533579587936401E-2</v>
      </c>
      <c r="CL19" s="9">
        <v>0.15240058302879333</v>
      </c>
      <c r="CM19" s="10">
        <v>-0.97603243589401245</v>
      </c>
      <c r="CN19" s="10">
        <v>0.11972633749246597</v>
      </c>
      <c r="CO19" s="10">
        <v>0.26825734972953796</v>
      </c>
      <c r="CP19" s="10">
        <v>-0.13778050243854523</v>
      </c>
      <c r="CQ19" s="10">
        <v>0.14245013892650604</v>
      </c>
      <c r="CR19">
        <v>17.056648946086465</v>
      </c>
      <c r="CS19">
        <v>1.1781643535032604</v>
      </c>
      <c r="CT19">
        <v>2.7790432801822322</v>
      </c>
      <c r="CU19" s="9">
        <v>-0.14477308616042137</v>
      </c>
      <c r="CV19" s="10">
        <v>-0.11667582243680955</v>
      </c>
      <c r="CW19">
        <v>0.06</v>
      </c>
      <c r="CX19">
        <v>426.68144535108758</v>
      </c>
      <c r="CY19" t="s">
        <v>1105</v>
      </c>
      <c r="CZ19">
        <v>-0.14477308616042137</v>
      </c>
      <c r="DA19">
        <v>142.22714845036253</v>
      </c>
      <c r="DB19" t="s">
        <v>1106</v>
      </c>
      <c r="DC19">
        <v>-0.1375344318524003</v>
      </c>
      <c r="DD19">
        <v>71.113574225181267</v>
      </c>
      <c r="DE19" t="s">
        <v>1107</v>
      </c>
      <c r="DF19">
        <v>-0.12740031582117081</v>
      </c>
      <c r="DG19">
        <v>42.668144535108759</v>
      </c>
      <c r="DH19" t="s">
        <v>1108</v>
      </c>
      <c r="DI19">
        <v>-0.1158184689283371</v>
      </c>
      <c r="DJ19">
        <v>21.334072267554379</v>
      </c>
      <c r="DK19" t="s">
        <v>1109</v>
      </c>
      <c r="DL19">
        <v>-0.10134116031229495</v>
      </c>
      <c r="DM19">
        <v>47072299.999999993</v>
      </c>
      <c r="DN19">
        <v>-0.14477308616042137</v>
      </c>
      <c r="DO19">
        <v>20084877000</v>
      </c>
      <c r="DP19">
        <v>14818196999.999998</v>
      </c>
      <c r="DQ19">
        <v>3231</v>
      </c>
      <c r="DR19">
        <v>13.981982388486003</v>
      </c>
      <c r="DS19">
        <v>2.6239622346505502</v>
      </c>
      <c r="DT19" s="11">
        <v>-0.54</v>
      </c>
      <c r="DU19">
        <v>-0.19999999999999998</v>
      </c>
      <c r="DV19">
        <v>-0.74</v>
      </c>
      <c r="DW19">
        <v>-2.0874999999999999</v>
      </c>
      <c r="DX19">
        <v>0.35760384615384777</v>
      </c>
      <c r="DY19">
        <v>-2.0120403365384614</v>
      </c>
      <c r="DZ19">
        <v>3139</v>
      </c>
      <c r="EA19">
        <v>-2.0046441298076925</v>
      </c>
      <c r="EB19">
        <v>2</v>
      </c>
      <c r="EC19">
        <v>2.370898458985584E-2</v>
      </c>
      <c r="ED19">
        <v>0.17229885103173878</v>
      </c>
      <c r="EE19" s="12">
        <v>2.0697000000000001</v>
      </c>
      <c r="EF19">
        <v>2.0487000000000002</v>
      </c>
      <c r="EG19">
        <v>22.137603846153848</v>
      </c>
      <c r="EH19" t="s">
        <v>503</v>
      </c>
      <c r="EI19">
        <v>0</v>
      </c>
      <c r="EJ19">
        <v>0</v>
      </c>
      <c r="EK19" s="8">
        <v>45470</v>
      </c>
      <c r="EL19" s="13">
        <v>0.26</v>
      </c>
      <c r="EM19" s="13">
        <v>-4.43</v>
      </c>
      <c r="EN19" s="13">
        <v>3</v>
      </c>
      <c r="EO19" s="13">
        <v>0.79</v>
      </c>
      <c r="EP19" s="13">
        <v>-2.1</v>
      </c>
    </row>
    <row r="20" spans="1:146" ht="96" x14ac:dyDescent="0.25">
      <c r="A20" s="6"/>
      <c r="B20" s="6"/>
      <c r="C20" s="6" t="str">
        <f>""&amp;CHAR(10)&amp;Basic_Fundamental_Information_Constructure(F20)&amp;CHAR(10)&amp;Basic_Fundamental_Information_Concatenate("")</f>
        <v xml:space="preserve">
市值56.955683亿, 利润766.93万; PE9.69; 平均PE16.31; 平均PEG1.67, PB.864; ROIC7.3%; ROE9.6367%; 股利率3.6782%; 毛利6.3933%; 净利1.37%; 上一年度营收增-99.45%, 利润增-98.71%; 当季营收增24250.19%, 利润增4884.26%; 过往5年营收增-9.79%, 利润增-1.32%
Income profile:
</v>
      </c>
      <c r="D20" t="s">
        <v>79</v>
      </c>
      <c r="E20" t="s">
        <v>14</v>
      </c>
      <c r="F20">
        <v>4.3499999999999996</v>
      </c>
      <c r="G20">
        <v>0.23</v>
      </c>
      <c r="H20" t="s">
        <v>1110</v>
      </c>
      <c r="I20">
        <v>5695568300</v>
      </c>
      <c r="J20">
        <v>9.69</v>
      </c>
      <c r="K20">
        <v>0.86399999999999999</v>
      </c>
      <c r="L20" t="s">
        <v>40</v>
      </c>
      <c r="M20" t="s">
        <v>1111</v>
      </c>
      <c r="N20" t="s">
        <v>1112</v>
      </c>
      <c r="O20" t="s">
        <v>1113</v>
      </c>
      <c r="P20">
        <v>-0.92</v>
      </c>
      <c r="Q20" t="s">
        <v>751</v>
      </c>
      <c r="R20">
        <v>159082710</v>
      </c>
      <c r="S20" s="5">
        <v>6.6500000000000004E-2</v>
      </c>
      <c r="T20" t="s">
        <v>1114</v>
      </c>
      <c r="U20">
        <v>1046859430</v>
      </c>
      <c r="V20">
        <v>1309326040</v>
      </c>
      <c r="W20">
        <v>4.37</v>
      </c>
      <c r="X20">
        <v>0.46</v>
      </c>
      <c r="Y20">
        <v>1.41</v>
      </c>
      <c r="Z20" t="s">
        <v>1115</v>
      </c>
      <c r="AA20" t="s">
        <v>1116</v>
      </c>
      <c r="AB20" t="s">
        <v>1117</v>
      </c>
      <c r="AC20" t="s">
        <v>258</v>
      </c>
      <c r="AD20" t="s">
        <v>41</v>
      </c>
      <c r="AE20">
        <v>131871572</v>
      </c>
      <c r="AF20" t="s">
        <v>1118</v>
      </c>
      <c r="AG20" t="s">
        <v>1119</v>
      </c>
      <c r="AH20" t="s">
        <v>1120</v>
      </c>
      <c r="AI20" t="s">
        <v>587</v>
      </c>
      <c r="AJ20" t="s">
        <v>1121</v>
      </c>
      <c r="AK20" t="s">
        <v>1122</v>
      </c>
      <c r="AL20" t="s">
        <v>1123</v>
      </c>
      <c r="AM20" t="s">
        <v>41</v>
      </c>
      <c r="AN20" t="s">
        <v>1124</v>
      </c>
      <c r="AO20" t="s">
        <v>1125</v>
      </c>
      <c r="AP20" t="s">
        <v>1126</v>
      </c>
      <c r="AQ20" t="s">
        <v>1127</v>
      </c>
      <c r="AR20" t="s">
        <v>41</v>
      </c>
      <c r="AS20" t="s">
        <v>1128</v>
      </c>
      <c r="AT20" t="s">
        <v>514</v>
      </c>
      <c r="AU20" t="s">
        <v>1129</v>
      </c>
      <c r="AV20" t="s">
        <v>1130</v>
      </c>
      <c r="AW20" t="s">
        <v>1131</v>
      </c>
      <c r="AX20" t="s">
        <v>508</v>
      </c>
      <c r="AY20" t="s">
        <v>303</v>
      </c>
      <c r="AZ20" t="s">
        <v>186</v>
      </c>
      <c r="BA20" t="s">
        <v>80</v>
      </c>
      <c r="BB20" t="s">
        <v>187</v>
      </c>
      <c r="BC20" t="s">
        <v>509</v>
      </c>
      <c r="BD20" t="s">
        <v>304</v>
      </c>
      <c r="BE20" t="s">
        <v>56</v>
      </c>
      <c r="BF20" t="s">
        <v>81</v>
      </c>
      <c r="BG20" t="s">
        <v>148</v>
      </c>
      <c r="BH20" t="s">
        <v>1132</v>
      </c>
      <c r="BI20" t="s">
        <v>1133</v>
      </c>
      <c r="BJ20" t="s">
        <v>508</v>
      </c>
      <c r="BK20" t="s">
        <v>1134</v>
      </c>
      <c r="BL20" t="s">
        <v>1135</v>
      </c>
      <c r="BM20" t="s">
        <v>509</v>
      </c>
      <c r="BN20">
        <v>6.03</v>
      </c>
      <c r="BO20">
        <v>8.15</v>
      </c>
      <c r="BP20">
        <v>7.72</v>
      </c>
      <c r="BQ20">
        <v>7.13</v>
      </c>
      <c r="BR20">
        <v>10.58</v>
      </c>
      <c r="BS20">
        <v>11.2</v>
      </c>
      <c r="BT20" t="s">
        <v>1136</v>
      </c>
      <c r="BU20" t="s">
        <v>622</v>
      </c>
      <c r="BV20">
        <v>6.18</v>
      </c>
      <c r="BW20">
        <v>6.49</v>
      </c>
      <c r="BX20">
        <v>6.51</v>
      </c>
      <c r="BY20">
        <v>1.33</v>
      </c>
      <c r="BZ20">
        <v>1.43</v>
      </c>
      <c r="CA20">
        <v>1.35</v>
      </c>
      <c r="CB20">
        <v>3.08</v>
      </c>
      <c r="CC20">
        <v>-5.64</v>
      </c>
      <c r="CD20" t="s">
        <v>1137</v>
      </c>
      <c r="CE20" t="s">
        <v>1138</v>
      </c>
      <c r="CF20" s="9">
        <v>242.50190396744233</v>
      </c>
      <c r="CG20" s="10">
        <v>48.84262618667168</v>
      </c>
      <c r="CH20" s="9">
        <v>-0.99452430009841919</v>
      </c>
      <c r="CI20" s="9">
        <v>0.1130022406578064</v>
      </c>
      <c r="CJ20" s="9">
        <v>0.13325965404510498</v>
      </c>
      <c r="CK20" s="9">
        <v>7.1616947650909424E-2</v>
      </c>
      <c r="CL20" s="9">
        <v>0.18697887659072876</v>
      </c>
      <c r="CM20" s="10">
        <v>-0.98713201284408569</v>
      </c>
      <c r="CN20" s="10">
        <v>0.18019801378250122</v>
      </c>
      <c r="CO20" s="10">
        <v>0.34308511018753052</v>
      </c>
      <c r="CP20" s="10">
        <v>8.3573490381240845E-2</v>
      </c>
      <c r="CQ20" s="10">
        <v>0.31439393758773804</v>
      </c>
      <c r="CR20">
        <v>16.306680543538047</v>
      </c>
      <c r="CS20">
        <v>1.6650799922992847</v>
      </c>
      <c r="CT20">
        <v>3.6781609195402303</v>
      </c>
      <c r="CU20" s="9">
        <v>-9.793331623077392E-2</v>
      </c>
      <c r="CV20" s="10">
        <v>-1.3176292181015015E-2</v>
      </c>
      <c r="CW20">
        <v>0.06</v>
      </c>
      <c r="CX20">
        <v>2528.7273023613629</v>
      </c>
      <c r="CY20" t="s">
        <v>1139</v>
      </c>
      <c r="CZ20">
        <v>-9.793331623077392E-2</v>
      </c>
      <c r="DA20">
        <v>842.90910078712091</v>
      </c>
      <c r="DB20" t="s">
        <v>1140</v>
      </c>
      <c r="DC20">
        <v>-9.3036650419235215E-2</v>
      </c>
      <c r="DD20">
        <v>421.45455039356045</v>
      </c>
      <c r="DE20" t="s">
        <v>1141</v>
      </c>
      <c r="DF20">
        <v>-8.6181318283081051E-2</v>
      </c>
      <c r="DG20">
        <v>252.87273023613628</v>
      </c>
      <c r="DH20" t="s">
        <v>1142</v>
      </c>
      <c r="DI20">
        <v>-7.8346652984619139E-2</v>
      </c>
      <c r="DJ20">
        <v>126.43636511806814</v>
      </c>
      <c r="DK20" t="s">
        <v>1143</v>
      </c>
      <c r="DL20">
        <v>-6.8553321361541741E-2</v>
      </c>
      <c r="DM20">
        <v>7669299.9999999991</v>
      </c>
      <c r="DN20">
        <v>-9.793331623077392E-2</v>
      </c>
      <c r="DO20">
        <v>19393568300</v>
      </c>
      <c r="DP20">
        <v>8703791000</v>
      </c>
      <c r="DQ20">
        <v>3398</v>
      </c>
      <c r="DR20">
        <v>242.59983728367311</v>
      </c>
      <c r="DS20">
        <v>48.855802478852695</v>
      </c>
      <c r="DT20" s="11">
        <v>-0.67333333333333334</v>
      </c>
      <c r="DU20">
        <v>4.9999999999999968E-2</v>
      </c>
      <c r="DV20">
        <v>-0.62333333333333341</v>
      </c>
      <c r="DW20">
        <v>6.3532110091743119</v>
      </c>
      <c r="DX20">
        <v>0.33818917525773362</v>
      </c>
      <c r="DY20">
        <v>6.0594062683249783</v>
      </c>
      <c r="DZ20">
        <v>4194</v>
      </c>
      <c r="EA20">
        <v>6.010648951425769</v>
      </c>
      <c r="EB20">
        <v>6</v>
      </c>
      <c r="EC20">
        <v>2.4920225370298144E-2</v>
      </c>
      <c r="ED20">
        <v>0.14816783144403056</v>
      </c>
      <c r="EE20" s="12">
        <v>2.0718999999999999</v>
      </c>
      <c r="EF20">
        <v>2.0659999999999998</v>
      </c>
      <c r="EG20">
        <v>17.168189175257734</v>
      </c>
      <c r="EH20" t="s">
        <v>503</v>
      </c>
      <c r="EI20">
        <v>0</v>
      </c>
      <c r="EJ20">
        <v>0</v>
      </c>
      <c r="EK20" s="8">
        <v>45470</v>
      </c>
      <c r="EL20" s="13">
        <v>0</v>
      </c>
      <c r="EM20" s="13">
        <v>-3.35</v>
      </c>
      <c r="EN20" s="13">
        <v>3.15</v>
      </c>
      <c r="EO20" s="13">
        <v>3.06</v>
      </c>
      <c r="EP20" s="13">
        <v>-0.59</v>
      </c>
    </row>
    <row r="21" spans="1:146" ht="96" x14ac:dyDescent="0.25">
      <c r="A21" s="6"/>
      <c r="B21" s="6"/>
      <c r="C21" s="6" t="str">
        <f>""&amp;CHAR(10)&amp;Basic_Fundamental_Information_Constructure(F21)&amp;CHAR(10)&amp;Basic_Fundamental_Information_Concatenate("")</f>
        <v xml:space="preserve">
市值32.879683亿, 利润2219.80万; PE11.01; 平均PE16; 平均PEG1.25, PB1.16; ROIC8.3367%; ROE11.29%; 股利率2.5397%; 毛利9.93%; 净利2.8367%; 上一年度营收增-98.07%, 利润增-91.59%; 当季营收增4050.09%, 利润增294.17%; 过往5年营收增-12.79%, 利润增-9.49%
Income profile:
</v>
      </c>
      <c r="D21" t="s">
        <v>82</v>
      </c>
      <c r="E21" t="s">
        <v>20</v>
      </c>
      <c r="F21">
        <v>5.67</v>
      </c>
      <c r="G21">
        <v>2.16</v>
      </c>
      <c r="H21" t="s">
        <v>1144</v>
      </c>
      <c r="I21">
        <v>3287968300</v>
      </c>
      <c r="J21">
        <v>11.01</v>
      </c>
      <c r="K21">
        <v>1.1599999999999999</v>
      </c>
      <c r="L21" t="s">
        <v>40</v>
      </c>
      <c r="M21" t="s">
        <v>1145</v>
      </c>
      <c r="N21" t="s">
        <v>1146</v>
      </c>
      <c r="O21" t="s">
        <v>1147</v>
      </c>
      <c r="P21">
        <v>-2.09</v>
      </c>
      <c r="Q21" t="s">
        <v>492</v>
      </c>
      <c r="R21">
        <v>78333942</v>
      </c>
      <c r="S21" s="5">
        <v>9.1200000000000003E-2</v>
      </c>
      <c r="T21" t="s">
        <v>1148</v>
      </c>
      <c r="U21">
        <v>579888600</v>
      </c>
      <c r="V21">
        <v>579888600</v>
      </c>
      <c r="W21">
        <v>2.6</v>
      </c>
      <c r="X21">
        <v>0.35</v>
      </c>
      <c r="Y21">
        <v>3.02</v>
      </c>
      <c r="Z21" t="s">
        <v>1149</v>
      </c>
      <c r="AA21" t="s">
        <v>1150</v>
      </c>
      <c r="AB21" t="s">
        <v>1151</v>
      </c>
      <c r="AC21" t="s">
        <v>1152</v>
      </c>
      <c r="AD21" t="s">
        <v>41</v>
      </c>
      <c r="AE21">
        <v>4618911</v>
      </c>
      <c r="AF21" t="s">
        <v>85</v>
      </c>
      <c r="AG21" t="s">
        <v>41</v>
      </c>
      <c r="AH21" t="s">
        <v>1153</v>
      </c>
      <c r="AI21" t="s">
        <v>1154</v>
      </c>
      <c r="AJ21" t="s">
        <v>1155</v>
      </c>
      <c r="AK21" t="s">
        <v>41</v>
      </c>
      <c r="AL21" t="s">
        <v>1156</v>
      </c>
      <c r="AM21" t="s">
        <v>41</v>
      </c>
      <c r="AN21" t="s">
        <v>1157</v>
      </c>
      <c r="AO21" t="s">
        <v>563</v>
      </c>
      <c r="AP21" t="s">
        <v>1158</v>
      </c>
      <c r="AQ21" t="s">
        <v>1159</v>
      </c>
      <c r="AR21" t="s">
        <v>1160</v>
      </c>
      <c r="AS21" t="s">
        <v>1161</v>
      </c>
      <c r="AT21" t="s">
        <v>41</v>
      </c>
      <c r="AU21" t="s">
        <v>1162</v>
      </c>
      <c r="AV21" t="s">
        <v>1163</v>
      </c>
      <c r="AW21" t="s">
        <v>47</v>
      </c>
      <c r="AX21" t="s">
        <v>582</v>
      </c>
      <c r="AY21" t="s">
        <v>305</v>
      </c>
      <c r="AZ21" t="s">
        <v>188</v>
      </c>
      <c r="BA21" t="s">
        <v>83</v>
      </c>
      <c r="BB21" t="s">
        <v>189</v>
      </c>
      <c r="BC21" t="s">
        <v>148</v>
      </c>
      <c r="BD21" t="s">
        <v>275</v>
      </c>
      <c r="BE21" t="s">
        <v>140</v>
      </c>
      <c r="BF21" t="s">
        <v>84</v>
      </c>
      <c r="BG21" t="s">
        <v>190</v>
      </c>
      <c r="BH21" t="s">
        <v>1164</v>
      </c>
      <c r="BI21" t="s">
        <v>1165</v>
      </c>
      <c r="BJ21" t="s">
        <v>582</v>
      </c>
      <c r="BK21" t="s">
        <v>1166</v>
      </c>
      <c r="BL21" t="s">
        <v>1167</v>
      </c>
      <c r="BM21" t="s">
        <v>148</v>
      </c>
      <c r="BN21">
        <v>6.75</v>
      </c>
      <c r="BO21">
        <v>8.02</v>
      </c>
      <c r="BP21">
        <v>10.24</v>
      </c>
      <c r="BQ21">
        <v>9.31</v>
      </c>
      <c r="BR21">
        <v>11.3</v>
      </c>
      <c r="BS21">
        <v>13.26</v>
      </c>
      <c r="BT21" t="s">
        <v>1168</v>
      </c>
      <c r="BU21" t="s">
        <v>622</v>
      </c>
      <c r="BV21">
        <v>9.59</v>
      </c>
      <c r="BW21">
        <v>9.52</v>
      </c>
      <c r="BX21">
        <v>10.68</v>
      </c>
      <c r="BY21">
        <v>2.81</v>
      </c>
      <c r="BZ21">
        <v>2.73</v>
      </c>
      <c r="CA21">
        <v>2.97</v>
      </c>
      <c r="CB21">
        <v>1.07</v>
      </c>
      <c r="CC21">
        <v>-13.3</v>
      </c>
      <c r="CD21" t="s">
        <v>1169</v>
      </c>
      <c r="CE21" t="s">
        <v>452</v>
      </c>
      <c r="CF21" s="9">
        <v>40.500868195606785</v>
      </c>
      <c r="CG21" s="10">
        <v>2.94174690155941</v>
      </c>
      <c r="CH21" s="9">
        <v>-0.98070734739303589</v>
      </c>
      <c r="CI21" s="9">
        <v>3.4997273236513138E-2</v>
      </c>
      <c r="CJ21" s="9">
        <v>0.16364772617816925</v>
      </c>
      <c r="CK21" s="9">
        <v>-4.1776355355978012E-2</v>
      </c>
      <c r="CL21" s="9">
        <v>0.18412470817565918</v>
      </c>
      <c r="CM21" s="10">
        <v>-0.91591668128967285</v>
      </c>
      <c r="CN21" s="10">
        <v>-4.693140834569931E-2</v>
      </c>
      <c r="CO21" s="10">
        <v>0.91034483909606934</v>
      </c>
      <c r="CP21" s="10">
        <v>-0.45692884922027588</v>
      </c>
      <c r="CQ21" s="10">
        <v>3.488372266292572E-2</v>
      </c>
      <c r="CR21">
        <v>15.99727683632312</v>
      </c>
      <c r="CS21">
        <v>1.2503460106695974</v>
      </c>
      <c r="CT21">
        <v>2.5396825396825395</v>
      </c>
      <c r="CU21" s="9">
        <v>-0.12794279903173447</v>
      </c>
      <c r="CV21" s="10">
        <v>-9.4909675419330597E-2</v>
      </c>
      <c r="CW21">
        <v>0.06</v>
      </c>
      <c r="CX21">
        <v>231.2356203261555</v>
      </c>
      <c r="CY21" t="s">
        <v>1170</v>
      </c>
      <c r="CZ21">
        <v>-0.12794279903173447</v>
      </c>
      <c r="DA21">
        <v>77.078540108718499</v>
      </c>
      <c r="DB21" t="s">
        <v>1171</v>
      </c>
      <c r="DC21">
        <v>-0.12154565908014774</v>
      </c>
      <c r="DD21">
        <v>38.53927005435925</v>
      </c>
      <c r="DE21" t="s">
        <v>1172</v>
      </c>
      <c r="DF21">
        <v>-0.11258966314792633</v>
      </c>
      <c r="DG21">
        <v>23.123562032615553</v>
      </c>
      <c r="DH21" t="s">
        <v>1173</v>
      </c>
      <c r="DI21">
        <v>-0.10235423922538758</v>
      </c>
      <c r="DJ21">
        <v>11.561781016307776</v>
      </c>
      <c r="DK21" t="s">
        <v>1174</v>
      </c>
      <c r="DL21">
        <v>-8.9559959322214125E-2</v>
      </c>
      <c r="DM21">
        <v>22198000</v>
      </c>
      <c r="DN21">
        <v>-0.12794279903173447</v>
      </c>
      <c r="DO21">
        <v>5132968300</v>
      </c>
      <c r="DP21">
        <v>2482269300</v>
      </c>
      <c r="DQ21">
        <v>3500</v>
      </c>
      <c r="DR21">
        <v>40.628810994638521</v>
      </c>
      <c r="DS21">
        <v>3.0366565769787406</v>
      </c>
      <c r="DT21" s="11">
        <v>-0.54</v>
      </c>
      <c r="DU21">
        <v>-0.18333333333333332</v>
      </c>
      <c r="DV21">
        <v>-0.72333333333333338</v>
      </c>
      <c r="DW21">
        <v>-2.133</v>
      </c>
      <c r="DX21">
        <v>0.35609357798165037</v>
      </c>
      <c r="DY21">
        <v>-2.0207604458715598</v>
      </c>
      <c r="DZ21">
        <v>4012</v>
      </c>
      <c r="EA21">
        <v>-2.0044608551011689</v>
      </c>
      <c r="EB21">
        <v>2</v>
      </c>
      <c r="EC21">
        <v>2.934046297857899E-2</v>
      </c>
      <c r="ED21">
        <v>0.18796713713633967</v>
      </c>
      <c r="EE21" s="12">
        <v>-2.0421</v>
      </c>
      <c r="EF21">
        <v>-2.0137999999999998</v>
      </c>
      <c r="EG21">
        <v>20.15609357798165</v>
      </c>
      <c r="EH21" t="s">
        <v>1175</v>
      </c>
      <c r="EI21">
        <v>0</v>
      </c>
      <c r="EJ21">
        <v>0</v>
      </c>
      <c r="EK21" s="8">
        <v>45470</v>
      </c>
      <c r="EL21" s="13">
        <v>-1.2</v>
      </c>
      <c r="EM21" s="13">
        <v>-4.07</v>
      </c>
      <c r="EN21" s="13">
        <v>2.97</v>
      </c>
      <c r="EO21" s="13">
        <v>1.65</v>
      </c>
      <c r="EP21" s="13">
        <v>-2.83</v>
      </c>
    </row>
    <row r="22" spans="1:146" ht="96" x14ac:dyDescent="0.25">
      <c r="A22" s="6"/>
      <c r="B22" s="6"/>
      <c r="C22" s="6" t="str">
        <f>""&amp;CHAR(10)&amp;Basic_Fundamental_Information_Constructure(F22)&amp;CHAR(10)&amp;Basic_Fundamental_Information_Concatenate("")</f>
        <v xml:space="preserve">
市值23.781005亿, 利润6903.61万; PE24.85; 平均PE33.08; 平均PEG6.24, PB2.29; ROIC7.2867%; ROE9.6067%; 股利率1.1726%; 毛利19.1233%; 净利4.6167%; 上一年度营收增-84.86%, 利润增-52.06%; 当季营收增480.58%, 利润增110.06%; 过往5年营收增5.3%, 利润增30.61%
Income profile:
</v>
      </c>
      <c r="D22" t="s">
        <v>86</v>
      </c>
      <c r="E22" t="s">
        <v>5</v>
      </c>
      <c r="F22">
        <v>10.66</v>
      </c>
      <c r="G22">
        <v>1.91</v>
      </c>
      <c r="H22" t="s">
        <v>1176</v>
      </c>
      <c r="I22">
        <v>2378100500</v>
      </c>
      <c r="J22">
        <v>24.85</v>
      </c>
      <c r="K22">
        <v>2.29</v>
      </c>
      <c r="L22" t="s">
        <v>40</v>
      </c>
      <c r="M22" t="s">
        <v>688</v>
      </c>
      <c r="N22" t="s">
        <v>684</v>
      </c>
      <c r="O22" t="s">
        <v>1177</v>
      </c>
      <c r="P22">
        <v>0.65</v>
      </c>
      <c r="Q22" t="s">
        <v>1178</v>
      </c>
      <c r="R22">
        <v>36053836</v>
      </c>
      <c r="S22" s="5">
        <v>0.2175</v>
      </c>
      <c r="T22" t="s">
        <v>1179</v>
      </c>
      <c r="U22">
        <v>223086350</v>
      </c>
      <c r="V22">
        <v>223086350</v>
      </c>
      <c r="W22">
        <v>1.77</v>
      </c>
      <c r="X22">
        <v>0.25</v>
      </c>
      <c r="Y22">
        <v>7.8</v>
      </c>
      <c r="Z22" t="s">
        <v>1180</v>
      </c>
      <c r="AA22" t="s">
        <v>575</v>
      </c>
      <c r="AB22" t="s">
        <v>1181</v>
      </c>
      <c r="AC22" t="s">
        <v>1182</v>
      </c>
      <c r="AD22" t="s">
        <v>41</v>
      </c>
      <c r="AE22">
        <v>-1449319</v>
      </c>
      <c r="AF22" t="s">
        <v>1183</v>
      </c>
      <c r="AG22" t="s">
        <v>1184</v>
      </c>
      <c r="AH22" t="s">
        <v>1185</v>
      </c>
      <c r="AI22" t="s">
        <v>1186</v>
      </c>
      <c r="AJ22" t="s">
        <v>1187</v>
      </c>
      <c r="AK22" t="s">
        <v>1188</v>
      </c>
      <c r="AL22" t="s">
        <v>1189</v>
      </c>
      <c r="AM22" t="s">
        <v>41</v>
      </c>
      <c r="AN22" t="s">
        <v>1190</v>
      </c>
      <c r="AO22" t="s">
        <v>287</v>
      </c>
      <c r="AP22" t="s">
        <v>1191</v>
      </c>
      <c r="AQ22" t="s">
        <v>1192</v>
      </c>
      <c r="AR22" t="s">
        <v>1193</v>
      </c>
      <c r="AS22" t="s">
        <v>1194</v>
      </c>
      <c r="AT22" t="s">
        <v>41</v>
      </c>
      <c r="AU22" t="s">
        <v>1195</v>
      </c>
      <c r="AV22" t="s">
        <v>1196</v>
      </c>
      <c r="AW22" t="s">
        <v>1197</v>
      </c>
      <c r="AX22" t="s">
        <v>511</v>
      </c>
      <c r="AY22" t="s">
        <v>306</v>
      </c>
      <c r="AZ22" t="s">
        <v>172</v>
      </c>
      <c r="BA22" t="s">
        <v>87</v>
      </c>
      <c r="BB22" t="s">
        <v>193</v>
      </c>
      <c r="BC22" t="s">
        <v>457</v>
      </c>
      <c r="BD22" t="s">
        <v>307</v>
      </c>
      <c r="BE22" t="s">
        <v>191</v>
      </c>
      <c r="BF22" t="s">
        <v>88</v>
      </c>
      <c r="BG22" t="s">
        <v>194</v>
      </c>
      <c r="BH22" t="s">
        <v>1198</v>
      </c>
      <c r="BI22" t="s">
        <v>1199</v>
      </c>
      <c r="BJ22" t="s">
        <v>511</v>
      </c>
      <c r="BK22" t="s">
        <v>1200</v>
      </c>
      <c r="BL22" t="s">
        <v>1201</v>
      </c>
      <c r="BM22" t="s">
        <v>457</v>
      </c>
      <c r="BN22">
        <v>4.46</v>
      </c>
      <c r="BO22">
        <v>13.4</v>
      </c>
      <c r="BP22">
        <v>4</v>
      </c>
      <c r="BQ22">
        <v>5.89</v>
      </c>
      <c r="BR22">
        <v>16.48</v>
      </c>
      <c r="BS22">
        <v>6.45</v>
      </c>
      <c r="BT22" t="s">
        <v>1202</v>
      </c>
      <c r="BU22" t="s">
        <v>810</v>
      </c>
      <c r="BV22">
        <v>19.100000000000001</v>
      </c>
      <c r="BW22">
        <v>20.53</v>
      </c>
      <c r="BX22">
        <v>17.739999999999998</v>
      </c>
      <c r="BY22">
        <v>4.91</v>
      </c>
      <c r="BZ22">
        <v>5.41</v>
      </c>
      <c r="CA22">
        <v>3.53</v>
      </c>
      <c r="CB22">
        <v>2.0099999999999998</v>
      </c>
      <c r="CC22">
        <v>-2.16</v>
      </c>
      <c r="CD22" t="s">
        <v>1203</v>
      </c>
      <c r="CE22" t="s">
        <v>1204</v>
      </c>
      <c r="CF22" s="9">
        <v>4.8057924718224285</v>
      </c>
      <c r="CG22" s="10">
        <v>1.1006231865481197</v>
      </c>
      <c r="CH22" s="9">
        <v>-0.84864461421966553</v>
      </c>
      <c r="CI22" s="9">
        <v>0.89985692501068115</v>
      </c>
      <c r="CJ22" s="9">
        <v>-0.1190926656126976</v>
      </c>
      <c r="CK22" s="9">
        <v>0.27674978971481323</v>
      </c>
      <c r="CL22" s="9">
        <v>5.6074876338243484E-2</v>
      </c>
      <c r="CM22" s="10">
        <v>-0.52058267593383789</v>
      </c>
      <c r="CN22" s="10">
        <v>1.9138530492782593</v>
      </c>
      <c r="CO22" s="10">
        <v>-0.27898374199867249</v>
      </c>
      <c r="CP22" s="10">
        <v>0.29104673862457275</v>
      </c>
      <c r="CQ22" s="10">
        <v>0.12510198354721069</v>
      </c>
      <c r="CR22">
        <v>33.084943184321354</v>
      </c>
      <c r="CS22">
        <v>6.2437542120744789</v>
      </c>
      <c r="CT22">
        <v>1.1726078799249531</v>
      </c>
      <c r="CU22" s="9">
        <v>5.298886224627495E-2</v>
      </c>
      <c r="CV22" s="10">
        <v>0.30608707070350649</v>
      </c>
      <c r="CW22">
        <v>0.06</v>
      </c>
      <c r="CX22">
        <v>31.906054590284636</v>
      </c>
      <c r="CY22">
        <v>68579475.842377409</v>
      </c>
      <c r="CZ22">
        <v>5.298886224627495E-2</v>
      </c>
      <c r="DA22">
        <v>10.759944412828945</v>
      </c>
      <c r="DB22">
        <v>203356115.61256352</v>
      </c>
      <c r="DC22">
        <v>5.03394191339612E-2</v>
      </c>
      <c r="DD22">
        <v>5.5211791677190725</v>
      </c>
      <c r="DE22">
        <v>396310359.35099989</v>
      </c>
      <c r="DF22">
        <v>4.6630198776721955E-2</v>
      </c>
      <c r="DG22">
        <v>3.4713777544278113</v>
      </c>
      <c r="DH22">
        <v>630326243.58125079</v>
      </c>
      <c r="DI22">
        <v>4.2391089797019964E-2</v>
      </c>
      <c r="DJ22">
        <v>1.9776491951110649</v>
      </c>
      <c r="DK22">
        <v>1106414881.5721164</v>
      </c>
      <c r="DL22">
        <v>3.7092203572392464E-2</v>
      </c>
      <c r="DM22">
        <v>69036100</v>
      </c>
      <c r="DN22">
        <v>5.298886224627495E-2</v>
      </c>
      <c r="DO22">
        <v>2188100500</v>
      </c>
      <c r="DP22">
        <v>438077540</v>
      </c>
      <c r="DQ22">
        <v>3503</v>
      </c>
      <c r="DR22">
        <v>4.7528036095761532</v>
      </c>
      <c r="DS22">
        <v>0.79453611584461326</v>
      </c>
      <c r="DT22" s="11">
        <v>-0.35666666666666669</v>
      </c>
      <c r="DU22">
        <v>0.36999999999999994</v>
      </c>
      <c r="DV22">
        <v>1.3333333333333253E-2</v>
      </c>
      <c r="DW22">
        <v>-2.1600000000000001E-2</v>
      </c>
      <c r="DX22">
        <v>0.39557103197888921</v>
      </c>
      <c r="DY22">
        <v>-3.1443342907440013E-3</v>
      </c>
      <c r="DZ22">
        <v>4887</v>
      </c>
      <c r="EA22">
        <v>-1.3721850231622549E-4</v>
      </c>
      <c r="EB22">
        <v>0</v>
      </c>
      <c r="EC22">
        <v>1.901550677573953E-2</v>
      </c>
      <c r="ED22">
        <v>0.130626997124656</v>
      </c>
      <c r="EE22" s="12">
        <v>-4.0073999999999996</v>
      </c>
      <c r="EF22">
        <v>-4.0034099999999997</v>
      </c>
      <c r="EG22">
        <v>25.145571031978889</v>
      </c>
      <c r="EH22" t="s">
        <v>1205</v>
      </c>
      <c r="EI22">
        <v>0</v>
      </c>
      <c r="EJ22">
        <v>0</v>
      </c>
      <c r="EK22" s="8">
        <v>45470</v>
      </c>
      <c r="EL22" s="13">
        <v>-1.05</v>
      </c>
      <c r="EM22" s="13">
        <v>-8.1300000000000008</v>
      </c>
      <c r="EN22" s="13">
        <v>0</v>
      </c>
      <c r="EO22" s="13">
        <v>7.31</v>
      </c>
      <c r="EP22" s="13">
        <v>-1.08</v>
      </c>
    </row>
    <row r="23" spans="1:146" ht="96" x14ac:dyDescent="0.25">
      <c r="A23" s="6"/>
      <c r="B23" s="6"/>
      <c r="C23" s="6" t="str">
        <f>""&amp;CHAR(10)&amp;Basic_Fundamental_Information_Constructure(F23)&amp;CHAR(10)&amp;Basic_Fundamental_Information_Concatenate("")</f>
        <v xml:space="preserve">
市值248.08954亿, 利润87.64亿; PE11.54; 平均PE7.66; 平均PEG1.09, PB1.01; ROIC6.9%; ROE9.3467%; 股利率5.0813%; 毛利7.97%; 净利1.76%; 上一年度营收增-85.88%, 利润增320.34%; 当季营收增750.61%, 利润增-76.21%; 过往5年营收增-7.03%, 利润增78.39%
Income profile:
</v>
      </c>
      <c r="D23" t="s">
        <v>90</v>
      </c>
      <c r="E23" t="s">
        <v>11</v>
      </c>
      <c r="F23">
        <v>4.92</v>
      </c>
      <c r="G23">
        <v>1.86</v>
      </c>
      <c r="H23" t="s">
        <v>1206</v>
      </c>
      <c r="I23">
        <v>24808954000</v>
      </c>
      <c r="J23">
        <v>11.54</v>
      </c>
      <c r="K23">
        <v>1.01</v>
      </c>
      <c r="L23" t="s">
        <v>40</v>
      </c>
      <c r="M23" t="s">
        <v>1207</v>
      </c>
      <c r="N23" t="s">
        <v>1208</v>
      </c>
      <c r="O23" t="s">
        <v>1209</v>
      </c>
      <c r="P23">
        <v>-3.85</v>
      </c>
      <c r="Q23" t="s">
        <v>1210</v>
      </c>
      <c r="R23">
        <v>537675140</v>
      </c>
      <c r="S23" s="5">
        <v>-4.19E-2</v>
      </c>
      <c r="T23" t="s">
        <v>1211</v>
      </c>
      <c r="U23">
        <v>5042470200</v>
      </c>
      <c r="V23">
        <v>5042470200</v>
      </c>
      <c r="W23">
        <v>3.15</v>
      </c>
      <c r="X23">
        <v>0.43</v>
      </c>
      <c r="Y23">
        <v>1.34</v>
      </c>
      <c r="Z23" t="s">
        <v>1212</v>
      </c>
      <c r="AA23" t="s">
        <v>1213</v>
      </c>
      <c r="AB23" t="s">
        <v>943</v>
      </c>
      <c r="AC23" t="s">
        <v>1214</v>
      </c>
      <c r="AD23" t="s">
        <v>41</v>
      </c>
      <c r="AE23">
        <v>285071370</v>
      </c>
      <c r="AF23" t="s">
        <v>1215</v>
      </c>
      <c r="AG23" t="s">
        <v>1216</v>
      </c>
      <c r="AH23" t="s">
        <v>1217</v>
      </c>
      <c r="AI23" t="s">
        <v>1218</v>
      </c>
      <c r="AJ23" t="s">
        <v>1219</v>
      </c>
      <c r="AK23" t="s">
        <v>544</v>
      </c>
      <c r="AL23" t="s">
        <v>1220</v>
      </c>
      <c r="AM23" t="s">
        <v>41</v>
      </c>
      <c r="AN23" t="s">
        <v>1221</v>
      </c>
      <c r="AO23" t="s">
        <v>1222</v>
      </c>
      <c r="AP23" t="s">
        <v>1223</v>
      </c>
      <c r="AQ23" t="s">
        <v>1224</v>
      </c>
      <c r="AR23" t="s">
        <v>41</v>
      </c>
      <c r="AS23" t="s">
        <v>1225</v>
      </c>
      <c r="AT23" t="s">
        <v>1226</v>
      </c>
      <c r="AU23" t="s">
        <v>1227</v>
      </c>
      <c r="AV23" t="s">
        <v>1228</v>
      </c>
      <c r="AW23" t="s">
        <v>1229</v>
      </c>
      <c r="AX23" t="s">
        <v>512</v>
      </c>
      <c r="AY23" t="s">
        <v>309</v>
      </c>
      <c r="AZ23" t="s">
        <v>195</v>
      </c>
      <c r="BA23" t="s">
        <v>91</v>
      </c>
      <c r="BB23" t="s">
        <v>196</v>
      </c>
      <c r="BC23" t="s">
        <v>513</v>
      </c>
      <c r="BD23" t="s">
        <v>255</v>
      </c>
      <c r="BE23" t="s">
        <v>149</v>
      </c>
      <c r="BF23" t="s">
        <v>92</v>
      </c>
      <c r="BG23" t="s">
        <v>197</v>
      </c>
      <c r="BH23" t="s">
        <v>1230</v>
      </c>
      <c r="BI23" t="s">
        <v>820</v>
      </c>
      <c r="BJ23" t="s">
        <v>512</v>
      </c>
      <c r="BK23" t="s">
        <v>1231</v>
      </c>
      <c r="BL23" t="s">
        <v>1232</v>
      </c>
      <c r="BM23" t="s">
        <v>513</v>
      </c>
      <c r="BN23">
        <v>5.9</v>
      </c>
      <c r="BO23">
        <v>7.08</v>
      </c>
      <c r="BP23">
        <v>7.72</v>
      </c>
      <c r="BQ23">
        <v>7.69</v>
      </c>
      <c r="BR23">
        <v>8.98</v>
      </c>
      <c r="BS23">
        <v>11.37</v>
      </c>
      <c r="BT23" t="s">
        <v>1233</v>
      </c>
      <c r="BU23" t="s">
        <v>622</v>
      </c>
      <c r="BV23">
        <v>8.07</v>
      </c>
      <c r="BW23">
        <v>7.8</v>
      </c>
      <c r="BX23">
        <v>8.0399999999999991</v>
      </c>
      <c r="BY23">
        <v>1.52</v>
      </c>
      <c r="BZ23">
        <v>1.63</v>
      </c>
      <c r="CA23">
        <v>2.13</v>
      </c>
      <c r="CB23">
        <v>0.82</v>
      </c>
      <c r="CC23">
        <v>-13.18</v>
      </c>
      <c r="CD23" t="s">
        <v>489</v>
      </c>
      <c r="CE23" t="s">
        <v>554</v>
      </c>
      <c r="CF23" s="9">
        <v>7.5060949978982769</v>
      </c>
      <c r="CG23" s="10">
        <v>-0.76209064601769916</v>
      </c>
      <c r="CH23" s="9">
        <v>-0.85884886980056763</v>
      </c>
      <c r="CI23" s="9">
        <v>0.14718930423259735</v>
      </c>
      <c r="CJ23" s="9">
        <v>0.10415840148925781</v>
      </c>
      <c r="CK23" s="9">
        <v>0.11420445144176483</v>
      </c>
      <c r="CL23" s="9">
        <v>0.14185868203639984</v>
      </c>
      <c r="CM23" s="10">
        <v>3.2033572196960449</v>
      </c>
      <c r="CN23" s="10">
        <v>-0.14828428626060486</v>
      </c>
      <c r="CO23" s="10">
        <v>-0.20390245318412781</v>
      </c>
      <c r="CP23" s="10">
        <v>0.78054428100585938</v>
      </c>
      <c r="CQ23" s="10">
        <v>0.28784501552581787</v>
      </c>
      <c r="CR23">
        <v>7.6570845679012347</v>
      </c>
      <c r="CS23">
        <v>1.0893932786409852</v>
      </c>
      <c r="CT23">
        <v>5.0813008130081299</v>
      </c>
      <c r="CU23" s="9">
        <v>-7.0287606120109564E-2</v>
      </c>
      <c r="CV23" s="10">
        <v>0.78391195535659786</v>
      </c>
      <c r="CW23">
        <v>0.06</v>
      </c>
      <c r="CX23">
        <v>6.5336551802829756</v>
      </c>
      <c r="CY23" t="s">
        <v>1234</v>
      </c>
      <c r="CZ23">
        <v>-7.0287606120109564E-2</v>
      </c>
      <c r="DA23">
        <v>2.1778850600943254</v>
      </c>
      <c r="DB23" t="s">
        <v>1235</v>
      </c>
      <c r="DC23">
        <v>-6.6773225814104081E-2</v>
      </c>
      <c r="DD23">
        <v>1.0889425300471627</v>
      </c>
      <c r="DE23" t="s">
        <v>1236</v>
      </c>
      <c r="DF23">
        <v>-6.1853093385696417E-2</v>
      </c>
      <c r="DG23">
        <v>0.65336551802829756</v>
      </c>
      <c r="DH23" t="s">
        <v>1237</v>
      </c>
      <c r="DI23">
        <v>-5.6230084896087655E-2</v>
      </c>
      <c r="DJ23">
        <v>0.32668275901414878</v>
      </c>
      <c r="DK23" t="s">
        <v>1238</v>
      </c>
      <c r="DL23">
        <v>-4.920132428407669E-2</v>
      </c>
      <c r="DM23">
        <v>8764000000</v>
      </c>
      <c r="DN23">
        <v>-7.0287606120109564E-2</v>
      </c>
      <c r="DO23">
        <v>57260954000</v>
      </c>
      <c r="DP23">
        <v>16296283000.000008</v>
      </c>
      <c r="DQ23">
        <v>3617</v>
      </c>
      <c r="DR23">
        <v>7.5763826040183861</v>
      </c>
      <c r="DS23">
        <v>-1.5460026013742971</v>
      </c>
      <c r="DT23" s="11">
        <v>-0.77333333333333332</v>
      </c>
      <c r="DU23">
        <v>5.9999999999999977E-2</v>
      </c>
      <c r="DV23">
        <v>-0.71333333333333337</v>
      </c>
      <c r="DW23">
        <v>-2.1318000000000001</v>
      </c>
      <c r="DX23">
        <v>0.38181818181818344</v>
      </c>
      <c r="DY23">
        <v>-2.0239636363636362</v>
      </c>
      <c r="DZ23">
        <v>2923</v>
      </c>
      <c r="EA23">
        <v>-2.0102560611990747</v>
      </c>
      <c r="EB23">
        <v>2</v>
      </c>
      <c r="EC23">
        <v>2.4591122025867402E-2</v>
      </c>
      <c r="ED23">
        <v>0.1352511711422707</v>
      </c>
      <c r="EE23" s="12">
        <v>3.0000000000000001E-3</v>
      </c>
      <c r="EF23">
        <v>1.8610000000000002E-2</v>
      </c>
      <c r="EG23">
        <v>20.181818181818183</v>
      </c>
      <c r="EH23">
        <v>-1</v>
      </c>
      <c r="EI23">
        <v>0</v>
      </c>
      <c r="EJ23">
        <v>0</v>
      </c>
      <c r="EK23" s="8">
        <v>45470</v>
      </c>
      <c r="EL23" s="13">
        <v>-0.28000000000000003</v>
      </c>
      <c r="EM23" s="13">
        <v>-2.41</v>
      </c>
      <c r="EN23" s="13">
        <v>1.1599999999999999</v>
      </c>
      <c r="EO23" s="13">
        <v>0</v>
      </c>
      <c r="EP23" s="13">
        <v>-2.16</v>
      </c>
    </row>
    <row r="24" spans="1:146" ht="96" x14ac:dyDescent="0.25">
      <c r="A24" s="6"/>
      <c r="B24" s="6"/>
      <c r="C24" s="6" t="str">
        <f>""&amp;CHAR(10)&amp;Basic_Fundamental_Information_Constructure(F24)&amp;CHAR(10)&amp;Basic_Fundamental_Information_Concatenate("")</f>
        <v xml:space="preserve">
市值712.92827亿, 利润3.84亿; PE18.8; 平均PE18.16; 平均PEG1.63, PB1.02; ROIC6.9467%; ROE8.48%; 股利率2.1299%; 毛利12.8033%; 净利2.6333%; 上一年度营收增-95.88%, 利润增-93.16%; 当季营收增3129.88%, 利润增1826.15%; 过往5年营收增-11.16%, 利润增-10.85%
Income profile:
</v>
      </c>
      <c r="D24" t="s">
        <v>93</v>
      </c>
      <c r="E24" t="s">
        <v>21</v>
      </c>
      <c r="F24">
        <v>19.25</v>
      </c>
      <c r="G24">
        <v>2.89</v>
      </c>
      <c r="H24" t="s">
        <v>1239</v>
      </c>
      <c r="I24">
        <v>71292827000</v>
      </c>
      <c r="J24">
        <v>18.8</v>
      </c>
      <c r="K24">
        <v>1.02</v>
      </c>
      <c r="L24" t="s">
        <v>40</v>
      </c>
      <c r="M24" t="s">
        <v>1240</v>
      </c>
      <c r="N24" t="s">
        <v>1241</v>
      </c>
      <c r="O24" t="s">
        <v>1242</v>
      </c>
      <c r="P24">
        <v>5.93</v>
      </c>
      <c r="Q24" t="s">
        <v>1243</v>
      </c>
      <c r="R24">
        <v>1542277600</v>
      </c>
      <c r="S24" s="5">
        <v>1.6199999999999999E-2</v>
      </c>
      <c r="T24" t="s">
        <v>524</v>
      </c>
      <c r="U24">
        <v>1931742400</v>
      </c>
      <c r="V24">
        <v>3703523500</v>
      </c>
      <c r="W24">
        <v>2.65</v>
      </c>
      <c r="X24">
        <v>0.33</v>
      </c>
      <c r="Y24">
        <v>2.66</v>
      </c>
      <c r="Z24" t="s">
        <v>1244</v>
      </c>
      <c r="AA24" t="s">
        <v>1245</v>
      </c>
      <c r="AB24" t="s">
        <v>1246</v>
      </c>
      <c r="AC24" t="s">
        <v>1247</v>
      </c>
      <c r="AD24" t="s">
        <v>41</v>
      </c>
      <c r="AE24">
        <v>374429150</v>
      </c>
      <c r="AF24" t="s">
        <v>1248</v>
      </c>
      <c r="AG24" t="s">
        <v>1249</v>
      </c>
      <c r="AH24" t="s">
        <v>1250</v>
      </c>
      <c r="AI24" t="s">
        <v>1251</v>
      </c>
      <c r="AJ24" t="s">
        <v>1252</v>
      </c>
      <c r="AK24" t="s">
        <v>1253</v>
      </c>
      <c r="AL24" t="s">
        <v>1254</v>
      </c>
      <c r="AM24" t="s">
        <v>41</v>
      </c>
      <c r="AN24" t="s">
        <v>1255</v>
      </c>
      <c r="AO24" t="s">
        <v>1256</v>
      </c>
      <c r="AP24" t="s">
        <v>1257</v>
      </c>
      <c r="AQ24" t="s">
        <v>1258</v>
      </c>
      <c r="AR24" t="s">
        <v>41</v>
      </c>
      <c r="AS24" t="s">
        <v>1259</v>
      </c>
      <c r="AT24" t="s">
        <v>1260</v>
      </c>
      <c r="AU24" t="s">
        <v>1261</v>
      </c>
      <c r="AV24" t="s">
        <v>1262</v>
      </c>
      <c r="AW24" t="s">
        <v>1263</v>
      </c>
      <c r="AX24" t="s">
        <v>515</v>
      </c>
      <c r="AY24" t="s">
        <v>310</v>
      </c>
      <c r="AZ24" t="s">
        <v>198</v>
      </c>
      <c r="BA24" t="s">
        <v>94</v>
      </c>
      <c r="BB24" t="s">
        <v>200</v>
      </c>
      <c r="BC24" t="s">
        <v>516</v>
      </c>
      <c r="BD24" t="s">
        <v>311</v>
      </c>
      <c r="BE24" t="s">
        <v>199</v>
      </c>
      <c r="BF24" t="s">
        <v>95</v>
      </c>
      <c r="BG24" t="s">
        <v>201</v>
      </c>
      <c r="BH24" t="s">
        <v>1264</v>
      </c>
      <c r="BI24" t="s">
        <v>1265</v>
      </c>
      <c r="BJ24" t="s">
        <v>515</v>
      </c>
      <c r="BK24" t="s">
        <v>1266</v>
      </c>
      <c r="BL24" t="s">
        <v>1267</v>
      </c>
      <c r="BM24" t="s">
        <v>516</v>
      </c>
      <c r="BN24">
        <v>4.84</v>
      </c>
      <c r="BO24">
        <v>7.79</v>
      </c>
      <c r="BP24">
        <v>8.2100000000000009</v>
      </c>
      <c r="BQ24">
        <v>5.57</v>
      </c>
      <c r="BR24">
        <v>9.11</v>
      </c>
      <c r="BS24">
        <v>10.76</v>
      </c>
      <c r="BT24" t="s">
        <v>1268</v>
      </c>
      <c r="BU24" t="s">
        <v>622</v>
      </c>
      <c r="BV24">
        <v>12.04</v>
      </c>
      <c r="BW24">
        <v>13.14</v>
      </c>
      <c r="BX24">
        <v>13.23</v>
      </c>
      <c r="BY24">
        <v>1.98</v>
      </c>
      <c r="BZ24">
        <v>3.01</v>
      </c>
      <c r="CA24">
        <v>2.91</v>
      </c>
      <c r="CB24">
        <v>0.73</v>
      </c>
      <c r="CC24">
        <v>7.42</v>
      </c>
      <c r="CD24" t="s">
        <v>1269</v>
      </c>
      <c r="CE24" t="s">
        <v>1270</v>
      </c>
      <c r="CF24" s="9">
        <v>31.298802946593003</v>
      </c>
      <c r="CG24" s="10">
        <v>18.261543918281809</v>
      </c>
      <c r="CH24" s="9">
        <v>-0.95880264043807983</v>
      </c>
      <c r="CI24" s="9">
        <v>7.4861921370029449E-2</v>
      </c>
      <c r="CJ24" s="9">
        <v>0.12461636960506439</v>
      </c>
      <c r="CK24" s="9">
        <v>2.8638672083616257E-2</v>
      </c>
      <c r="CL24" s="9">
        <v>0.17275148630142212</v>
      </c>
      <c r="CM24" s="10">
        <v>-0.93163609504699707</v>
      </c>
      <c r="CN24" s="10">
        <v>0.10288625955581665</v>
      </c>
      <c r="CO24" s="10">
        <v>0.13278473913669586</v>
      </c>
      <c r="CP24" s="10">
        <v>0.10169077664613724</v>
      </c>
      <c r="CQ24" s="10">
        <v>5.1533110439777374E-2</v>
      </c>
      <c r="CR24">
        <v>18.162235139266304</v>
      </c>
      <c r="CS24">
        <v>1.6276323829676269</v>
      </c>
      <c r="CT24">
        <v>2.1298701298701297</v>
      </c>
      <c r="CU24" s="9">
        <v>-0.11158683821558953</v>
      </c>
      <c r="CV24" s="10">
        <v>-0.10854824185371399</v>
      </c>
      <c r="CW24">
        <v>0.06</v>
      </c>
      <c r="CX24">
        <v>314.72090364583335</v>
      </c>
      <c r="CY24" t="s">
        <v>1271</v>
      </c>
      <c r="CZ24">
        <v>-0.11158683821558953</v>
      </c>
      <c r="DA24">
        <v>104.90696788194444</v>
      </c>
      <c r="DB24" t="s">
        <v>1272</v>
      </c>
      <c r="DC24">
        <v>-0.10600749630481004</v>
      </c>
      <c r="DD24">
        <v>52.45348394097222</v>
      </c>
      <c r="DE24" t="s">
        <v>1273</v>
      </c>
      <c r="DF24">
        <v>-9.8196417629718785E-2</v>
      </c>
      <c r="DG24">
        <v>31.472090364583334</v>
      </c>
      <c r="DH24" t="s">
        <v>1274</v>
      </c>
      <c r="DI24">
        <v>-8.9269470572471629E-2</v>
      </c>
      <c r="DJ24">
        <v>15.736045182291667</v>
      </c>
      <c r="DK24" t="s">
        <v>1275</v>
      </c>
      <c r="DL24">
        <v>-7.8110786750912667E-2</v>
      </c>
      <c r="DM24">
        <v>384000000</v>
      </c>
      <c r="DN24">
        <v>-0.11158683821558953</v>
      </c>
      <c r="DO24">
        <v>120852827000</v>
      </c>
      <c r="DP24">
        <v>42132500000</v>
      </c>
      <c r="DQ24">
        <v>3747</v>
      </c>
      <c r="DR24">
        <v>31.410389784808594</v>
      </c>
      <c r="DS24">
        <v>18.370092160135524</v>
      </c>
      <c r="DT24" s="11">
        <v>-0.67333333333333334</v>
      </c>
      <c r="DU24">
        <v>-0.33333333333333331</v>
      </c>
      <c r="DV24">
        <v>-1.0066666666666666</v>
      </c>
      <c r="DW24">
        <v>2.0741999999999998</v>
      </c>
      <c r="DX24">
        <v>0.44730278551532193</v>
      </c>
      <c r="DY24">
        <v>2.0109298666852369</v>
      </c>
      <c r="DZ24">
        <v>3694</v>
      </c>
      <c r="EA24">
        <v>2.0030287066979051</v>
      </c>
      <c r="EB24">
        <v>2</v>
      </c>
      <c r="EC24">
        <v>1.4278753732762868E-2</v>
      </c>
      <c r="ED24">
        <v>9.6934716358624426E-2</v>
      </c>
      <c r="EE24" s="12">
        <v>-1.018</v>
      </c>
      <c r="EF24">
        <v>-1.0043</v>
      </c>
      <c r="EG24">
        <v>30.147302785515322</v>
      </c>
      <c r="EH24" t="s">
        <v>377</v>
      </c>
      <c r="EI24">
        <v>1</v>
      </c>
      <c r="EJ24">
        <v>0</v>
      </c>
      <c r="EK24" s="8">
        <v>45470</v>
      </c>
      <c r="EL24" s="13">
        <v>0.21</v>
      </c>
      <c r="EM24" s="13">
        <v>-3.79</v>
      </c>
      <c r="EN24" s="13">
        <v>0.11</v>
      </c>
      <c r="EO24" s="13">
        <v>1.06</v>
      </c>
      <c r="EP24" s="13">
        <v>-1.37</v>
      </c>
    </row>
    <row r="25" spans="1:146" ht="96" x14ac:dyDescent="0.25">
      <c r="A25" s="6"/>
      <c r="B25" s="6"/>
      <c r="C25" s="6" t="str">
        <f>""&amp;CHAR(10)&amp;Basic_Fundamental_Information_Constructure(F25)&amp;CHAR(10)&amp;Basic_Fundamental_Information_Concatenate("")</f>
        <v xml:space="preserve">
市值83.48047亿, 利润2.26亿; PE38.85; 平均PE26.01; 平均PEG10.5, PB1.96; ROIC7.3067%; ROE9.95%; 股利率.7174%; 毛利27.19%; 净利5.9433%; 上一年度营收增-74.64%, 利润增-45.93%; 当季营收增182.67%, 利润增-65.19%; 过往5年营收增-2.48%, 利润增.8%
Income profile:
</v>
      </c>
      <c r="D25" t="s">
        <v>370</v>
      </c>
      <c r="E25" t="s">
        <v>371</v>
      </c>
      <c r="F25">
        <v>13.94</v>
      </c>
      <c r="G25">
        <v>3.03</v>
      </c>
      <c r="H25" t="s">
        <v>1276</v>
      </c>
      <c r="I25">
        <v>8348047000</v>
      </c>
      <c r="J25">
        <v>38.85</v>
      </c>
      <c r="K25">
        <v>1.96</v>
      </c>
      <c r="L25" t="s">
        <v>40</v>
      </c>
      <c r="M25" t="s">
        <v>1277</v>
      </c>
      <c r="N25" t="s">
        <v>1278</v>
      </c>
      <c r="O25" t="s">
        <v>564</v>
      </c>
      <c r="P25">
        <v>-4.8499999999999996</v>
      </c>
      <c r="Q25" t="s">
        <v>1279</v>
      </c>
      <c r="R25">
        <v>22603808</v>
      </c>
      <c r="S25" s="5">
        <v>-0.72109999999999996</v>
      </c>
      <c r="T25" t="s">
        <v>1280</v>
      </c>
      <c r="U25">
        <v>598855600</v>
      </c>
      <c r="V25">
        <v>598855600</v>
      </c>
      <c r="W25">
        <v>2.61</v>
      </c>
      <c r="X25">
        <v>0.14000000000000001</v>
      </c>
      <c r="Y25">
        <v>2.29</v>
      </c>
      <c r="Z25" t="s">
        <v>1281</v>
      </c>
      <c r="AA25" t="s">
        <v>1282</v>
      </c>
      <c r="AB25" t="s">
        <v>478</v>
      </c>
      <c r="AC25" t="s">
        <v>913</v>
      </c>
      <c r="AD25" t="s">
        <v>41</v>
      </c>
      <c r="AE25">
        <v>80652587</v>
      </c>
      <c r="AF25" t="s">
        <v>1283</v>
      </c>
      <c r="AG25" t="s">
        <v>1284</v>
      </c>
      <c r="AH25" t="s">
        <v>1285</v>
      </c>
      <c r="AI25" t="s">
        <v>1286</v>
      </c>
      <c r="AJ25" t="s">
        <v>1287</v>
      </c>
      <c r="AK25" t="s">
        <v>839</v>
      </c>
      <c r="AL25" t="s">
        <v>1288</v>
      </c>
      <c r="AM25" t="s">
        <v>41</v>
      </c>
      <c r="AN25" t="s">
        <v>1289</v>
      </c>
      <c r="AO25" t="s">
        <v>1290</v>
      </c>
      <c r="AP25" t="s">
        <v>1291</v>
      </c>
      <c r="AQ25" t="s">
        <v>567</v>
      </c>
      <c r="AR25" t="s">
        <v>1292</v>
      </c>
      <c r="AS25" t="s">
        <v>1293</v>
      </c>
      <c r="AT25" t="s">
        <v>1294</v>
      </c>
      <c r="AU25" t="s">
        <v>1295</v>
      </c>
      <c r="AV25" t="s">
        <v>1296</v>
      </c>
      <c r="AW25" t="s">
        <v>256</v>
      </c>
      <c r="AX25" t="s">
        <v>517</v>
      </c>
      <c r="AY25" t="s">
        <v>372</v>
      </c>
      <c r="AZ25" t="s">
        <v>374</v>
      </c>
      <c r="BA25" t="s">
        <v>285</v>
      </c>
      <c r="BB25" t="s">
        <v>375</v>
      </c>
      <c r="BC25" t="s">
        <v>133</v>
      </c>
      <c r="BD25" t="s">
        <v>373</v>
      </c>
      <c r="BE25" t="s">
        <v>259</v>
      </c>
      <c r="BF25" t="s">
        <v>376</v>
      </c>
      <c r="BG25" t="s">
        <v>308</v>
      </c>
      <c r="BH25" t="s">
        <v>1297</v>
      </c>
      <c r="BI25" t="s">
        <v>1298</v>
      </c>
      <c r="BJ25" t="s">
        <v>517</v>
      </c>
      <c r="BK25" t="s">
        <v>192</v>
      </c>
      <c r="BL25" t="s">
        <v>1299</v>
      </c>
      <c r="BM25" t="s">
        <v>133</v>
      </c>
      <c r="BN25">
        <v>4.9400000000000004</v>
      </c>
      <c r="BO25">
        <v>8.27</v>
      </c>
      <c r="BP25">
        <v>8.7100000000000009</v>
      </c>
      <c r="BQ25">
        <v>7.09</v>
      </c>
      <c r="BR25">
        <v>11.37</v>
      </c>
      <c r="BS25">
        <v>11.39</v>
      </c>
      <c r="BT25" t="s">
        <v>1022</v>
      </c>
      <c r="BU25" t="s">
        <v>622</v>
      </c>
      <c r="BV25">
        <v>26.58</v>
      </c>
      <c r="BW25">
        <v>27.99</v>
      </c>
      <c r="BX25">
        <v>27</v>
      </c>
      <c r="BY25">
        <v>4.84</v>
      </c>
      <c r="BZ25">
        <v>6.24</v>
      </c>
      <c r="CA25">
        <v>6.75</v>
      </c>
      <c r="CB25">
        <v>-7.93</v>
      </c>
      <c r="CC25">
        <v>-19.98</v>
      </c>
      <c r="CD25" t="s">
        <v>1300</v>
      </c>
      <c r="CE25" t="s">
        <v>1301</v>
      </c>
      <c r="CF25" s="9">
        <v>1.8267394270122783</v>
      </c>
      <c r="CG25" s="10">
        <v>-0.65186723282616166</v>
      </c>
      <c r="CH25" s="9">
        <v>-0.74642652273178101</v>
      </c>
      <c r="CI25" s="9">
        <v>0.18442435562610626</v>
      </c>
      <c r="CJ25" s="9">
        <v>0.25335973501205444</v>
      </c>
      <c r="CK25" s="9">
        <v>2.4106544442474842E-3</v>
      </c>
      <c r="CL25" s="9">
        <v>0.18242789804935455</v>
      </c>
      <c r="CM25" s="10">
        <v>-0.45933014154434204</v>
      </c>
      <c r="CN25" s="10">
        <v>0.10000000149011612</v>
      </c>
      <c r="CO25" s="10">
        <v>0.15151515603065491</v>
      </c>
      <c r="CP25" s="10">
        <v>6.4516127109527588E-2</v>
      </c>
      <c r="CQ25" s="10">
        <v>0.18320611119270325</v>
      </c>
      <c r="CR25">
        <v>26.006376947040497</v>
      </c>
      <c r="CS25">
        <v>10.503054117149274</v>
      </c>
      <c r="CT25">
        <v>0.71736011477761841</v>
      </c>
      <c r="CU25" s="9">
        <v>-2.4760775920003652E-2</v>
      </c>
      <c r="CV25" s="10">
        <v>7.9814508557319638E-3</v>
      </c>
      <c r="CW25">
        <v>0.06</v>
      </c>
      <c r="CX25">
        <v>51.747995575221239</v>
      </c>
      <c r="CY25" t="s">
        <v>1302</v>
      </c>
      <c r="CZ25">
        <v>-2.4760775920003652E-2</v>
      </c>
      <c r="DA25">
        <v>17.249331858407078</v>
      </c>
      <c r="DB25" t="s">
        <v>1303</v>
      </c>
      <c r="DC25">
        <v>-2.3522737124003469E-2</v>
      </c>
      <c r="DD25">
        <v>8.6246659292035392</v>
      </c>
      <c r="DE25" t="s">
        <v>1304</v>
      </c>
      <c r="DF25">
        <v>-2.1789482809603213E-2</v>
      </c>
      <c r="DG25">
        <v>5.1747995575221237</v>
      </c>
      <c r="DH25" t="s">
        <v>1305</v>
      </c>
      <c r="DI25">
        <v>-1.9808620736002924E-2</v>
      </c>
      <c r="DJ25">
        <v>2.5873997787610619</v>
      </c>
      <c r="DK25" t="s">
        <v>1306</v>
      </c>
      <c r="DL25">
        <v>-1.7332543144002555E-2</v>
      </c>
      <c r="DM25">
        <v>225999999.99999997</v>
      </c>
      <c r="DN25">
        <v>-2.4760775920003652E-2</v>
      </c>
      <c r="DO25">
        <v>11695047000</v>
      </c>
      <c r="DP25">
        <v>1830768100</v>
      </c>
      <c r="DQ25">
        <v>3936</v>
      </c>
      <c r="DR25">
        <v>1.851500202932282</v>
      </c>
      <c r="DS25">
        <v>-0.65984868368189364</v>
      </c>
      <c r="DT25" s="11">
        <v>-0.39000000000000007</v>
      </c>
      <c r="DU25">
        <v>-0.37333333333333335</v>
      </c>
      <c r="DV25">
        <v>-0.76333333333333342</v>
      </c>
      <c r="DW25">
        <v>-9.3968968968968962</v>
      </c>
      <c r="DX25">
        <v>0.40867748184019548</v>
      </c>
      <c r="DY25">
        <v>-9.0590096311808175</v>
      </c>
      <c r="DZ25">
        <v>1275</v>
      </c>
      <c r="EA25">
        <v>-9.0442860930681874</v>
      </c>
      <c r="EB25">
        <v>9</v>
      </c>
      <c r="EC25">
        <v>0.10253523553925187</v>
      </c>
      <c r="ED25">
        <v>0.68964872333163452</v>
      </c>
      <c r="EE25" s="12">
        <v>10.022410000000001</v>
      </c>
      <c r="EF25">
        <v>10.04701</v>
      </c>
      <c r="EG25">
        <v>26.148677481840195</v>
      </c>
      <c r="EH25" t="s">
        <v>1307</v>
      </c>
      <c r="EI25">
        <v>0</v>
      </c>
      <c r="EJ25">
        <v>1</v>
      </c>
      <c r="EK25" s="8">
        <v>45470</v>
      </c>
      <c r="EL25" s="13">
        <v>0.6</v>
      </c>
      <c r="EM25" s="13">
        <v>-5.34</v>
      </c>
      <c r="EN25" s="13">
        <v>1.65</v>
      </c>
      <c r="EO25" s="13">
        <v>1.5</v>
      </c>
      <c r="EP25" s="13">
        <v>-2.46</v>
      </c>
    </row>
    <row r="26" spans="1:146" ht="96" x14ac:dyDescent="0.25">
      <c r="A26" s="6"/>
      <c r="B26" s="6"/>
      <c r="C26" s="6" t="str">
        <f>""&amp;CHAR(10)&amp;Basic_Fundamental_Information_Constructure(F26)&amp;CHAR(10)&amp;Basic_Fundamental_Information_Concatenate("")</f>
        <v xml:space="preserve">
市值20.34049亿, 利润-5.84亿; PE45.1; 平均PE-56.91; 平均PEG-1.28, PB1.73; ROIC6.5767%; ROE7.3167%; 股利率1.1742%; 毛利20.61%; 净利5.8367%; 上一年度营收增185.94%, 利润增-806%; 当季营收增-76.1%, 利润增-62.82%; 过往5年营收增44.52%, 利润增-156.78%
Income profile:
</v>
      </c>
      <c r="D26" t="s">
        <v>312</v>
      </c>
      <c r="E26" t="s">
        <v>313</v>
      </c>
      <c r="F26">
        <v>5.1100000000000003</v>
      </c>
      <c r="G26">
        <v>3.65</v>
      </c>
      <c r="H26" t="s">
        <v>1308</v>
      </c>
      <c r="I26">
        <v>2034049000</v>
      </c>
      <c r="J26">
        <v>45.1</v>
      </c>
      <c r="K26">
        <v>1.73</v>
      </c>
      <c r="L26" t="s">
        <v>40</v>
      </c>
      <c r="M26" t="s">
        <v>1166</v>
      </c>
      <c r="N26" t="s">
        <v>1309</v>
      </c>
      <c r="O26" t="s">
        <v>556</v>
      </c>
      <c r="P26">
        <v>-10.69</v>
      </c>
      <c r="Q26" t="s">
        <v>1310</v>
      </c>
      <c r="R26">
        <v>7133562</v>
      </c>
      <c r="S26" s="5">
        <v>-0.22650000000000001</v>
      </c>
      <c r="T26" t="s">
        <v>1311</v>
      </c>
      <c r="U26">
        <v>179114750</v>
      </c>
      <c r="V26">
        <v>398052630</v>
      </c>
      <c r="W26">
        <v>1.25</v>
      </c>
      <c r="X26">
        <v>0.16</v>
      </c>
      <c r="Y26">
        <v>2.94</v>
      </c>
      <c r="Z26" t="s">
        <v>550</v>
      </c>
      <c r="AA26" t="s">
        <v>492</v>
      </c>
      <c r="AB26" t="s">
        <v>1312</v>
      </c>
      <c r="AC26" t="s">
        <v>1313</v>
      </c>
      <c r="AD26" t="s">
        <v>41</v>
      </c>
      <c r="AE26">
        <v>-992567</v>
      </c>
      <c r="AF26" t="s">
        <v>85</v>
      </c>
      <c r="AG26" t="s">
        <v>1314</v>
      </c>
      <c r="AH26" t="s">
        <v>1315</v>
      </c>
      <c r="AI26" t="s">
        <v>1316</v>
      </c>
      <c r="AJ26" t="s">
        <v>1317</v>
      </c>
      <c r="AK26" t="s">
        <v>41</v>
      </c>
      <c r="AL26" t="s">
        <v>1318</v>
      </c>
      <c r="AM26" t="s">
        <v>41</v>
      </c>
      <c r="AN26">
        <v>0</v>
      </c>
      <c r="AO26" t="s">
        <v>538</v>
      </c>
      <c r="AP26" t="s">
        <v>41</v>
      </c>
      <c r="AQ26" t="s">
        <v>1104</v>
      </c>
      <c r="AR26" t="s">
        <v>41</v>
      </c>
      <c r="AS26" t="s">
        <v>386</v>
      </c>
      <c r="AT26" t="s">
        <v>1319</v>
      </c>
      <c r="AU26" t="s">
        <v>1320</v>
      </c>
      <c r="AV26" t="s">
        <v>1321</v>
      </c>
      <c r="AW26" t="s">
        <v>1322</v>
      </c>
      <c r="AX26" t="s">
        <v>519</v>
      </c>
      <c r="AY26" t="s">
        <v>314</v>
      </c>
      <c r="AZ26" t="s">
        <v>316</v>
      </c>
      <c r="BA26" t="s">
        <v>317</v>
      </c>
      <c r="BB26" t="s">
        <v>318</v>
      </c>
      <c r="BC26" t="s">
        <v>520</v>
      </c>
      <c r="BD26" t="s">
        <v>315</v>
      </c>
      <c r="BE26" t="s">
        <v>319</v>
      </c>
      <c r="BF26" t="s">
        <v>320</v>
      </c>
      <c r="BG26" t="s">
        <v>321</v>
      </c>
      <c r="BH26" t="s">
        <v>1323</v>
      </c>
      <c r="BI26" t="s">
        <v>1324</v>
      </c>
      <c r="BJ26" t="s">
        <v>519</v>
      </c>
      <c r="BK26" t="s">
        <v>1325</v>
      </c>
      <c r="BL26" t="s">
        <v>1326</v>
      </c>
      <c r="BM26" t="s">
        <v>520</v>
      </c>
      <c r="BN26">
        <v>3.3</v>
      </c>
      <c r="BO26">
        <v>7.29</v>
      </c>
      <c r="BP26">
        <v>9.14</v>
      </c>
      <c r="BQ26">
        <v>3.78</v>
      </c>
      <c r="BR26">
        <v>7.56</v>
      </c>
      <c r="BS26">
        <v>10.61</v>
      </c>
      <c r="BT26" t="s">
        <v>448</v>
      </c>
      <c r="BU26" t="s">
        <v>622</v>
      </c>
      <c r="BV26">
        <v>20.7</v>
      </c>
      <c r="BW26">
        <v>20.13</v>
      </c>
      <c r="BX26">
        <v>21</v>
      </c>
      <c r="BY26">
        <v>4.32</v>
      </c>
      <c r="BZ26">
        <v>6.46</v>
      </c>
      <c r="CA26">
        <v>6.73</v>
      </c>
      <c r="CB26">
        <v>0.39</v>
      </c>
      <c r="CC26">
        <v>-15.4</v>
      </c>
      <c r="CD26" t="s">
        <v>1327</v>
      </c>
      <c r="CE26" t="s">
        <v>593</v>
      </c>
      <c r="CF26" s="9">
        <v>-0.76100000000000001</v>
      </c>
      <c r="CG26" s="10">
        <v>-0.62822407988409301</v>
      </c>
      <c r="CH26" s="9">
        <v>1.859375</v>
      </c>
      <c r="CI26" s="9">
        <v>7.4727065861225128E-2</v>
      </c>
      <c r="CJ26" s="9">
        <v>9.3664035201072693E-2</v>
      </c>
      <c r="CK26" s="9">
        <v>4.0114551782608032E-2</v>
      </c>
      <c r="CL26" s="9">
        <v>0.15818583965301514</v>
      </c>
      <c r="CM26" s="10">
        <v>-8.0599870681762695</v>
      </c>
      <c r="CN26" s="10">
        <v>3.1025609001517296E-2</v>
      </c>
      <c r="CO26" s="10">
        <v>0.10580535978078842</v>
      </c>
      <c r="CP26" s="10">
        <v>8.0557249486446381E-2</v>
      </c>
      <c r="CQ26" s="10">
        <v>3.4716331865638494E-3</v>
      </c>
      <c r="CR26">
        <v>-56.912819718856319</v>
      </c>
      <c r="CS26">
        <v>-1.2783270380884517</v>
      </c>
      <c r="CT26">
        <v>1.1741682974559686</v>
      </c>
      <c r="CU26" s="9">
        <v>0.44521329849958419</v>
      </c>
      <c r="CV26" s="10">
        <v>-1.5678254433441907</v>
      </c>
      <c r="CW26">
        <v>0.06</v>
      </c>
      <c r="CX26" t="e">
        <v>#VALUE!</v>
      </c>
      <c r="CY26" t="s">
        <v>379</v>
      </c>
      <c r="CZ26">
        <v>0.44521329849958419</v>
      </c>
      <c r="DA26" t="e">
        <v>#VALUE!</v>
      </c>
      <c r="DB26" t="s">
        <v>379</v>
      </c>
      <c r="DC26">
        <v>0.42295263357460494</v>
      </c>
      <c r="DD26" t="e">
        <v>#VALUE!</v>
      </c>
      <c r="DE26" t="s">
        <v>379</v>
      </c>
      <c r="DF26">
        <v>0.39178770267963409</v>
      </c>
      <c r="DG26" t="e">
        <v>#VALUE!</v>
      </c>
      <c r="DH26" t="s">
        <v>379</v>
      </c>
      <c r="DI26">
        <v>0.35617063879966737</v>
      </c>
      <c r="DJ26" t="e">
        <v>#VALUE!</v>
      </c>
      <c r="DK26" t="s">
        <v>379</v>
      </c>
      <c r="DL26">
        <v>0.31164930894970894</v>
      </c>
      <c r="DM26">
        <v>-584000000</v>
      </c>
      <c r="DN26">
        <v>0.44521329849958419</v>
      </c>
      <c r="DO26">
        <v>1151049000</v>
      </c>
      <c r="DP26">
        <v>979798590</v>
      </c>
      <c r="DQ26">
        <v>3948</v>
      </c>
      <c r="DR26">
        <v>-1.2062132984995841</v>
      </c>
      <c r="DS26">
        <v>0.9396013634600977</v>
      </c>
      <c r="DT26" s="11">
        <v>-4.0000000000000036E-2</v>
      </c>
      <c r="DU26">
        <v>-1.19</v>
      </c>
      <c r="DV26">
        <v>-1.23</v>
      </c>
      <c r="DW26">
        <v>-2.1539999999999999</v>
      </c>
      <c r="DX26">
        <v>0.48686442307692473</v>
      </c>
      <c r="DY26">
        <v>-2.027237121153846</v>
      </c>
      <c r="DZ26">
        <v>2556</v>
      </c>
      <c r="EA26">
        <v>-2.0136132304162278</v>
      </c>
      <c r="EB26">
        <v>2</v>
      </c>
      <c r="EC26">
        <v>4.620971854902705E-2</v>
      </c>
      <c r="ED26">
        <v>0.26127198305410015</v>
      </c>
      <c r="EE26" s="12">
        <v>1.1348</v>
      </c>
      <c r="EF26">
        <v>1.1059000000000001</v>
      </c>
      <c r="EG26">
        <v>31.176864423076925</v>
      </c>
      <c r="EH26" t="s">
        <v>369</v>
      </c>
      <c r="EI26">
        <v>0</v>
      </c>
      <c r="EJ26">
        <v>0</v>
      </c>
      <c r="EK26" s="8">
        <v>45470</v>
      </c>
      <c r="EL26" s="13">
        <v>0.42</v>
      </c>
      <c r="EM26" s="13">
        <v>-4.5999999999999996</v>
      </c>
      <c r="EN26" s="13">
        <v>1.9</v>
      </c>
      <c r="EO26" s="13">
        <v>4.3</v>
      </c>
      <c r="EP26" s="13">
        <v>-2.89</v>
      </c>
    </row>
    <row r="27" spans="1:146" ht="96" x14ac:dyDescent="0.25">
      <c r="A27" s="6"/>
      <c r="B27" s="6"/>
      <c r="C27" s="6" t="str">
        <f>""&amp;CHAR(10)&amp;Basic_Fundamental_Information_Constructure(F27)&amp;CHAR(10)&amp;Basic_Fundamental_Information_Concatenate("")</f>
        <v xml:space="preserve">
市值161.4886亿, 利润4.76亿; PE15.12; 平均PE21.06; 平均PEG14.59, PB2.27; ROIC12.1967%; ROE16.8567%; 股利率2.1862%; 毛利37.2833%; 净利4.9667%; 上一年度营收增-91.14%, 利润增-54.05%; 当季营收增1068.17%, 利润增265.55%; 过往5年营收增1.44%, 利润增6.92%
Income profile:
</v>
      </c>
      <c r="D27" t="s">
        <v>96</v>
      </c>
      <c r="E27" t="s">
        <v>9</v>
      </c>
      <c r="F27">
        <v>14.18</v>
      </c>
      <c r="G27">
        <v>0.56999999999999995</v>
      </c>
      <c r="H27" t="s">
        <v>1328</v>
      </c>
      <c r="I27">
        <v>16148860000</v>
      </c>
      <c r="J27">
        <v>15.12</v>
      </c>
      <c r="K27">
        <v>2.27</v>
      </c>
      <c r="L27" t="s">
        <v>40</v>
      </c>
      <c r="M27" t="s">
        <v>1329</v>
      </c>
      <c r="N27" t="s">
        <v>1330</v>
      </c>
      <c r="O27" t="s">
        <v>1331</v>
      </c>
      <c r="P27">
        <v>13.54</v>
      </c>
      <c r="Q27" t="s">
        <v>1332</v>
      </c>
      <c r="R27">
        <v>398450100</v>
      </c>
      <c r="S27" s="5">
        <v>-0.19789999999999999</v>
      </c>
      <c r="T27" t="s">
        <v>1333</v>
      </c>
      <c r="U27">
        <v>1138847700</v>
      </c>
      <c r="V27">
        <v>1138847700</v>
      </c>
      <c r="W27">
        <v>3</v>
      </c>
      <c r="X27">
        <v>0.27</v>
      </c>
      <c r="Y27">
        <v>6.72</v>
      </c>
      <c r="Z27" t="s">
        <v>1334</v>
      </c>
      <c r="AA27" t="s">
        <v>1335</v>
      </c>
      <c r="AB27" t="s">
        <v>1336</v>
      </c>
      <c r="AC27" t="s">
        <v>633</v>
      </c>
      <c r="AD27" t="s">
        <v>41</v>
      </c>
      <c r="AE27">
        <v>51205851</v>
      </c>
      <c r="AF27" t="s">
        <v>85</v>
      </c>
      <c r="AG27" t="s">
        <v>1337</v>
      </c>
      <c r="AH27" t="s">
        <v>1338</v>
      </c>
      <c r="AI27" t="s">
        <v>1339</v>
      </c>
      <c r="AJ27" t="s">
        <v>1340</v>
      </c>
      <c r="AK27" t="s">
        <v>1341</v>
      </c>
      <c r="AL27" t="s">
        <v>1342</v>
      </c>
      <c r="AM27" t="s">
        <v>41</v>
      </c>
      <c r="AN27" t="s">
        <v>1343</v>
      </c>
      <c r="AO27" t="s">
        <v>1344</v>
      </c>
      <c r="AP27" t="s">
        <v>1345</v>
      </c>
      <c r="AQ27" t="s">
        <v>580</v>
      </c>
      <c r="AR27" t="s">
        <v>1346</v>
      </c>
      <c r="AS27" t="s">
        <v>1079</v>
      </c>
      <c r="AT27" t="s">
        <v>1347</v>
      </c>
      <c r="AU27" t="s">
        <v>1348</v>
      </c>
      <c r="AV27" t="s">
        <v>1349</v>
      </c>
      <c r="AW27" t="s">
        <v>1350</v>
      </c>
      <c r="AX27" t="s">
        <v>521</v>
      </c>
      <c r="AY27" t="s">
        <v>322</v>
      </c>
      <c r="AZ27" t="s">
        <v>202</v>
      </c>
      <c r="BA27" t="s">
        <v>97</v>
      </c>
      <c r="BB27" t="s">
        <v>204</v>
      </c>
      <c r="BC27" t="s">
        <v>522</v>
      </c>
      <c r="BD27" t="s">
        <v>323</v>
      </c>
      <c r="BE27" t="s">
        <v>203</v>
      </c>
      <c r="BF27" t="s">
        <v>98</v>
      </c>
      <c r="BG27" t="s">
        <v>177</v>
      </c>
      <c r="BH27" t="s">
        <v>1351</v>
      </c>
      <c r="BI27" t="s">
        <v>1134</v>
      </c>
      <c r="BJ27" t="s">
        <v>521</v>
      </c>
      <c r="BK27" t="s">
        <v>1352</v>
      </c>
      <c r="BL27" t="s">
        <v>452</v>
      </c>
      <c r="BM27" t="s">
        <v>522</v>
      </c>
      <c r="BN27">
        <v>12.88</v>
      </c>
      <c r="BO27">
        <v>11.69</v>
      </c>
      <c r="BP27">
        <v>12.02</v>
      </c>
      <c r="BQ27">
        <v>18.09</v>
      </c>
      <c r="BR27">
        <v>17.87</v>
      </c>
      <c r="BS27">
        <v>14.61</v>
      </c>
      <c r="BT27" t="s">
        <v>468</v>
      </c>
      <c r="BU27" t="s">
        <v>810</v>
      </c>
      <c r="BV27">
        <v>35.9</v>
      </c>
      <c r="BW27">
        <v>37.799999999999997</v>
      </c>
      <c r="BX27">
        <v>38.15</v>
      </c>
      <c r="BY27">
        <v>5.0199999999999996</v>
      </c>
      <c r="BZ27">
        <v>5.08</v>
      </c>
      <c r="CA27">
        <v>4.8</v>
      </c>
      <c r="CB27">
        <v>-0.84</v>
      </c>
      <c r="CC27">
        <v>-32.32</v>
      </c>
      <c r="CD27" t="s">
        <v>1353</v>
      </c>
      <c r="CE27" t="s">
        <v>561</v>
      </c>
      <c r="CF27" s="9">
        <v>10.681660899653979</v>
      </c>
      <c r="CG27" s="10">
        <v>2.6555055045871554</v>
      </c>
      <c r="CH27" s="9">
        <v>-0.91142696142196655</v>
      </c>
      <c r="CI27" s="9">
        <v>0.26785606145858765</v>
      </c>
      <c r="CJ27" s="9">
        <v>0.14921483397483826</v>
      </c>
      <c r="CK27" s="9">
        <v>0.30894890427589417</v>
      </c>
      <c r="CL27" s="9">
        <v>0.25759118795394897</v>
      </c>
      <c r="CM27" s="10">
        <v>-0.54054051637649536</v>
      </c>
      <c r="CN27" s="10">
        <v>0.3097345232963562</v>
      </c>
      <c r="CO27" s="10">
        <v>-0.25517889857292175</v>
      </c>
      <c r="CP27" s="10">
        <v>0.51066857576370239</v>
      </c>
      <c r="CQ27" s="10">
        <v>0.3214285671710968</v>
      </c>
      <c r="CR27">
        <v>21.06373043478261</v>
      </c>
      <c r="CS27">
        <v>14.590298942572904</v>
      </c>
      <c r="CT27">
        <v>2.1861777150916786</v>
      </c>
      <c r="CU27" s="9">
        <v>1.4436805248260498E-2</v>
      </c>
      <c r="CV27" s="10">
        <v>6.9222450256347656E-2</v>
      </c>
      <c r="CW27">
        <v>0.06</v>
      </c>
      <c r="CX27">
        <v>52.423242247741598</v>
      </c>
      <c r="CY27">
        <v>455539546.50770938</v>
      </c>
      <c r="CZ27">
        <v>1.4436805248260498E-2</v>
      </c>
      <c r="DA27">
        <v>18.273142814928061</v>
      </c>
      <c r="DB27">
        <v>1306883016.3408327</v>
      </c>
      <c r="DC27">
        <v>1.3714964985847473E-2</v>
      </c>
      <c r="DD27">
        <v>9.7803452035497518</v>
      </c>
      <c r="DE27">
        <v>2441719540.8739257</v>
      </c>
      <c r="DF27">
        <v>1.2704388618469238E-2</v>
      </c>
      <c r="DG27">
        <v>6.4310516786937288</v>
      </c>
      <c r="DH27">
        <v>3713367765.2005224</v>
      </c>
      <c r="DI27">
        <v>1.15494441986084E-2</v>
      </c>
      <c r="DJ27">
        <v>4.0051370653748783</v>
      </c>
      <c r="DK27">
        <v>5962557488.0955458</v>
      </c>
      <c r="DL27">
        <v>1.0105763673782348E-2</v>
      </c>
      <c r="DM27">
        <v>476000000</v>
      </c>
      <c r="DN27">
        <v>1.4436805248260498E-2</v>
      </c>
      <c r="DO27">
        <v>23880860000</v>
      </c>
      <c r="DP27">
        <v>-351639500</v>
      </c>
      <c r="DQ27">
        <v>4032</v>
      </c>
      <c r="DR27">
        <v>10.667224094405718</v>
      </c>
      <c r="DS27">
        <v>2.5862830543308077</v>
      </c>
      <c r="DT27" s="11">
        <v>-0.40666666666666673</v>
      </c>
      <c r="DU27">
        <v>6.6666666666666652E-2</v>
      </c>
      <c r="DV27">
        <v>-0.34000000000000008</v>
      </c>
      <c r="DW27">
        <v>-3.1845714285714286</v>
      </c>
      <c r="DX27">
        <v>0.48220436241610587</v>
      </c>
      <c r="DY27">
        <v>-3.0391668623202301</v>
      </c>
      <c r="DZ27">
        <v>3886</v>
      </c>
      <c r="EA27">
        <v>-3.0093816515616365</v>
      </c>
      <c r="EB27">
        <v>3</v>
      </c>
      <c r="EC27">
        <v>5.5527091111480485E-2</v>
      </c>
      <c r="ED27">
        <v>0.26166800003196211</v>
      </c>
      <c r="EE27" s="12">
        <v>-3.0964</v>
      </c>
      <c r="EF27">
        <v>-3.0720999999999998</v>
      </c>
      <c r="EG27">
        <v>27.212204362416106</v>
      </c>
      <c r="EH27" t="s">
        <v>1354</v>
      </c>
      <c r="EI27">
        <v>0</v>
      </c>
      <c r="EJ27">
        <v>0</v>
      </c>
      <c r="EK27" s="8">
        <v>45470</v>
      </c>
      <c r="EL27" s="13">
        <v>0.37</v>
      </c>
      <c r="EM27" s="13">
        <v>-4.4800000000000004</v>
      </c>
      <c r="EN27" s="13">
        <v>-1.63</v>
      </c>
      <c r="EO27" s="13">
        <v>4.38</v>
      </c>
      <c r="EP27" s="13">
        <v>-2.4300000000000002</v>
      </c>
    </row>
    <row r="28" spans="1:146" ht="96" x14ac:dyDescent="0.25">
      <c r="A28" s="6"/>
      <c r="B28" s="6"/>
      <c r="C28" s="6" t="str">
        <f>""&amp;CHAR(10)&amp;Basic_Fundamental_Information_Constructure(F28)&amp;CHAR(10)&amp;Basic_Fundamental_Information_Concatenate("")</f>
        <v xml:space="preserve">
市值70.42985亿, 利润31.36亿; PE7.92; 平均PE6.68; 平均PEG5.72, PB.945; ROIC8.18%; ROE11.25%; 股利率3.3994%; 毛利11.6067%; 净利4.0267%; 上一年度营收增-47%, 利润增346.72%; 当季营收增51.89%, 利润增-76.07%; 过往5年营收增1.17%, 利润增76.82%
Income profile:
</v>
      </c>
      <c r="D28" t="s">
        <v>99</v>
      </c>
      <c r="E28" t="s">
        <v>378</v>
      </c>
      <c r="F28">
        <v>17.649999999999999</v>
      </c>
      <c r="G28">
        <v>1.61</v>
      </c>
      <c r="H28" t="s">
        <v>1355</v>
      </c>
      <c r="I28">
        <v>7042985000</v>
      </c>
      <c r="J28">
        <v>7.92</v>
      </c>
      <c r="K28">
        <v>0.94499999999999995</v>
      </c>
      <c r="L28" t="s">
        <v>40</v>
      </c>
      <c r="M28" t="s">
        <v>1356</v>
      </c>
      <c r="N28" t="s">
        <v>1357</v>
      </c>
      <c r="O28" t="s">
        <v>1358</v>
      </c>
      <c r="P28">
        <v>8.25</v>
      </c>
      <c r="Q28" t="s">
        <v>1359</v>
      </c>
      <c r="R28">
        <v>300349060</v>
      </c>
      <c r="S28" s="5">
        <v>0.15040000000000001</v>
      </c>
      <c r="T28" t="s">
        <v>545</v>
      </c>
      <c r="U28">
        <v>360233370</v>
      </c>
      <c r="V28">
        <v>399035980</v>
      </c>
      <c r="W28">
        <v>2.8</v>
      </c>
      <c r="X28">
        <v>0.28000000000000003</v>
      </c>
      <c r="Y28">
        <v>5.42</v>
      </c>
      <c r="Z28" t="s">
        <v>1360</v>
      </c>
      <c r="AA28" t="s">
        <v>1361</v>
      </c>
      <c r="AB28" t="s">
        <v>1362</v>
      </c>
      <c r="AC28" t="s">
        <v>1363</v>
      </c>
      <c r="AD28" t="s">
        <v>41</v>
      </c>
      <c r="AE28">
        <v>54531138</v>
      </c>
      <c r="AF28" t="s">
        <v>1364</v>
      </c>
      <c r="AG28" t="s">
        <v>1365</v>
      </c>
      <c r="AH28" t="s">
        <v>1366</v>
      </c>
      <c r="AI28" t="s">
        <v>542</v>
      </c>
      <c r="AJ28" t="s">
        <v>1367</v>
      </c>
      <c r="AK28" t="s">
        <v>155</v>
      </c>
      <c r="AL28" t="s">
        <v>1368</v>
      </c>
      <c r="AM28" t="s">
        <v>41</v>
      </c>
      <c r="AN28" t="s">
        <v>1369</v>
      </c>
      <c r="AO28" t="s">
        <v>1370</v>
      </c>
      <c r="AP28" t="s">
        <v>1371</v>
      </c>
      <c r="AQ28" t="s">
        <v>1372</v>
      </c>
      <c r="AR28" t="s">
        <v>41</v>
      </c>
      <c r="AS28" t="s">
        <v>1373</v>
      </c>
      <c r="AT28" t="s">
        <v>1374</v>
      </c>
      <c r="AU28" t="s">
        <v>1375</v>
      </c>
      <c r="AV28" t="s">
        <v>1376</v>
      </c>
      <c r="AW28" t="s">
        <v>1377</v>
      </c>
      <c r="AX28" t="s">
        <v>525</v>
      </c>
      <c r="AY28" t="s">
        <v>324</v>
      </c>
      <c r="AZ28" t="s">
        <v>205</v>
      </c>
      <c r="BA28" t="s">
        <v>100</v>
      </c>
      <c r="BB28" t="s">
        <v>207</v>
      </c>
      <c r="BC28" t="s">
        <v>467</v>
      </c>
      <c r="BD28" t="s">
        <v>325</v>
      </c>
      <c r="BE28" t="s">
        <v>206</v>
      </c>
      <c r="BF28" t="s">
        <v>101</v>
      </c>
      <c r="BG28" t="s">
        <v>208</v>
      </c>
      <c r="BH28" t="s">
        <v>1378</v>
      </c>
      <c r="BI28" t="s">
        <v>1379</v>
      </c>
      <c r="BJ28" t="s">
        <v>525</v>
      </c>
      <c r="BK28" t="s">
        <v>1380</v>
      </c>
      <c r="BL28" t="s">
        <v>1381</v>
      </c>
      <c r="BM28" t="s">
        <v>467</v>
      </c>
      <c r="BN28">
        <v>7.92</v>
      </c>
      <c r="BO28">
        <v>8.86</v>
      </c>
      <c r="BP28">
        <v>7.76</v>
      </c>
      <c r="BQ28">
        <v>10.8</v>
      </c>
      <c r="BR28">
        <v>12.26</v>
      </c>
      <c r="BS28">
        <v>10.69</v>
      </c>
      <c r="BT28" t="s">
        <v>1382</v>
      </c>
      <c r="BU28" t="s">
        <v>622</v>
      </c>
      <c r="BV28">
        <v>11.89</v>
      </c>
      <c r="BW28">
        <v>11.51</v>
      </c>
      <c r="BX28">
        <v>11.42</v>
      </c>
      <c r="BY28">
        <v>4.3600000000000003</v>
      </c>
      <c r="BZ28">
        <v>3.98</v>
      </c>
      <c r="CA28">
        <v>3.74</v>
      </c>
      <c r="CB28">
        <v>0.86</v>
      </c>
      <c r="CC28">
        <v>-17.29</v>
      </c>
      <c r="CD28" t="s">
        <v>1383</v>
      </c>
      <c r="CE28" t="s">
        <v>506</v>
      </c>
      <c r="CF28" s="9">
        <v>0.51893740136770106</v>
      </c>
      <c r="CG28" s="10">
        <v>-0.76067803984063742</v>
      </c>
      <c r="CH28" s="9">
        <v>-0.47000473737716675</v>
      </c>
      <c r="CI28" s="9">
        <v>0.11193470656871796</v>
      </c>
      <c r="CJ28" s="9">
        <v>9.3560494482517242E-2</v>
      </c>
      <c r="CK28" s="9">
        <v>5.4654389619827271E-2</v>
      </c>
      <c r="CL28" s="9">
        <v>0.26820310950279236</v>
      </c>
      <c r="CM28" s="10">
        <v>3.4672362804412842</v>
      </c>
      <c r="CN28" s="10">
        <v>0.24468085169792175</v>
      </c>
      <c r="CO28" s="10">
        <v>-0.2078651636838913</v>
      </c>
      <c r="CP28" s="10">
        <v>3.9416059851646423E-2</v>
      </c>
      <c r="CQ28" s="10">
        <v>0.2973484992980957</v>
      </c>
      <c r="CR28">
        <v>6.6789805595068756</v>
      </c>
      <c r="CS28">
        <v>5.7234051022309087</v>
      </c>
      <c r="CT28">
        <v>3.3994334277620397</v>
      </c>
      <c r="CU28" s="9">
        <v>1.1669592559337616E-2</v>
      </c>
      <c r="CV28" s="10">
        <v>0.76816330552101131</v>
      </c>
      <c r="CW28">
        <v>0.06</v>
      </c>
      <c r="CX28">
        <v>4.2639229112579304</v>
      </c>
      <c r="CY28">
        <v>2993014945.53404</v>
      </c>
      <c r="CZ28">
        <v>1.1669592559337616E-2</v>
      </c>
      <c r="DA28">
        <v>1.4898183155026716</v>
      </c>
      <c r="DB28">
        <v>8566135123.4590282</v>
      </c>
      <c r="DC28">
        <v>1.1086112931370734E-2</v>
      </c>
      <c r="DD28">
        <v>0.79977926608899286</v>
      </c>
      <c r="DE28">
        <v>15956884031.774776</v>
      </c>
      <c r="DF28">
        <v>1.0269241452217102E-2</v>
      </c>
      <c r="DG28">
        <v>0.52752125143298589</v>
      </c>
      <c r="DH28">
        <v>24192361853.352234</v>
      </c>
      <c r="DI28">
        <v>9.3356740474700925E-3</v>
      </c>
      <c r="DJ28">
        <v>0.3304670962365136</v>
      </c>
      <c r="DK28">
        <v>38618020206.36364</v>
      </c>
      <c r="DL28">
        <v>8.1687147915363301E-3</v>
      </c>
      <c r="DM28">
        <v>3136000000</v>
      </c>
      <c r="DN28">
        <v>1.1669592559337616E-2</v>
      </c>
      <c r="DO28">
        <v>12761985000</v>
      </c>
      <c r="DP28">
        <v>6180724000</v>
      </c>
      <c r="DQ28">
        <v>4122</v>
      </c>
      <c r="DR28">
        <v>0.50726780880836342</v>
      </c>
      <c r="DS28">
        <v>-1.5288413453616487</v>
      </c>
      <c r="DT28" s="11">
        <v>-0.50666666666666671</v>
      </c>
      <c r="DU28">
        <v>-2.3333333333333355E-2</v>
      </c>
      <c r="DV28">
        <v>-0.53</v>
      </c>
      <c r="DW28">
        <v>-3.0145892857142855</v>
      </c>
      <c r="DX28">
        <v>0.34861543209876633</v>
      </c>
      <c r="DY28">
        <v>-3.0026058715718693</v>
      </c>
      <c r="DZ28">
        <v>284</v>
      </c>
      <c r="EA28">
        <v>-3.0024610442672879</v>
      </c>
      <c r="EB28">
        <v>3</v>
      </c>
      <c r="EC28">
        <v>7.2514012395573951E-2</v>
      </c>
      <c r="ED28">
        <v>0.40597842831115127</v>
      </c>
      <c r="EE28" s="12">
        <v>5.8500000000000003E-2</v>
      </c>
      <c r="EF28">
        <v>3.6000000000000004E-2</v>
      </c>
      <c r="EG28">
        <v>17.178615432098766</v>
      </c>
      <c r="EH28" t="s">
        <v>367</v>
      </c>
      <c r="EI28">
        <v>0</v>
      </c>
      <c r="EJ28">
        <v>1</v>
      </c>
      <c r="EK28" s="8">
        <v>45470</v>
      </c>
      <c r="EL28" s="13">
        <v>0.23</v>
      </c>
      <c r="EM28" s="13">
        <v>1.28</v>
      </c>
      <c r="EN28" s="13">
        <v>-0.17</v>
      </c>
      <c r="EO28" s="13">
        <v>0.73</v>
      </c>
      <c r="EP28" s="13">
        <v>-2.25</v>
      </c>
    </row>
    <row r="29" spans="1:146" ht="96" x14ac:dyDescent="0.25">
      <c r="A29" s="6"/>
      <c r="B29" s="6"/>
      <c r="C29" s="6" t="str">
        <f>""&amp;CHAR(10)&amp;Basic_Fundamental_Information_Constructure(F29)&amp;CHAR(10)&amp;Basic_Fundamental_Information_Concatenate("")</f>
        <v xml:space="preserve">
市值11.4552983亿, 利润-4.62亿; PE; 平均PE-17.02; 平均PEG-17.96, PB1.03; ROIC2.72%; ROE-4.7867%; 股利率0%; 毛利20.17%; 净利-5.8567%; 上一年度营收增-70.98%, 利润增-200%; 当季营收增156.61%, 利润增106.72%; 过往5年营收增-.95%, 利润增-125.59%
Income profile:
</v>
      </c>
      <c r="D29" t="s">
        <v>102</v>
      </c>
      <c r="E29" t="s">
        <v>209</v>
      </c>
      <c r="F29">
        <v>5.69</v>
      </c>
      <c r="G29">
        <v>2.52</v>
      </c>
      <c r="H29" t="s">
        <v>1384</v>
      </c>
      <c r="I29">
        <v>1145529830</v>
      </c>
      <c r="K29">
        <v>1.03</v>
      </c>
      <c r="L29" t="s">
        <v>40</v>
      </c>
      <c r="M29" t="s">
        <v>553</v>
      </c>
      <c r="N29" t="s">
        <v>212</v>
      </c>
      <c r="O29" t="s">
        <v>1385</v>
      </c>
      <c r="P29">
        <v>9.24</v>
      </c>
      <c r="Q29" t="s">
        <v>299</v>
      </c>
      <c r="R29">
        <v>3156781</v>
      </c>
      <c r="S29" s="5">
        <v>1.212</v>
      </c>
      <c r="T29" t="s">
        <v>1386</v>
      </c>
      <c r="U29">
        <v>201323350</v>
      </c>
      <c r="V29">
        <v>201323350</v>
      </c>
      <c r="W29">
        <v>2.5099999999999998</v>
      </c>
      <c r="X29">
        <v>0.15</v>
      </c>
      <c r="Y29">
        <v>2.96</v>
      </c>
      <c r="Z29" t="s">
        <v>1387</v>
      </c>
      <c r="AA29" t="s">
        <v>652</v>
      </c>
      <c r="AB29" t="s">
        <v>1388</v>
      </c>
      <c r="AC29" t="s">
        <v>1389</v>
      </c>
      <c r="AD29" t="s">
        <v>41</v>
      </c>
      <c r="AE29">
        <v>10951258</v>
      </c>
      <c r="AF29" t="s">
        <v>1390</v>
      </c>
      <c r="AG29" t="s">
        <v>1391</v>
      </c>
      <c r="AH29" t="s">
        <v>1392</v>
      </c>
      <c r="AI29" t="s">
        <v>1393</v>
      </c>
      <c r="AJ29" t="s">
        <v>1394</v>
      </c>
      <c r="AK29" t="s">
        <v>1395</v>
      </c>
      <c r="AL29" t="s">
        <v>1396</v>
      </c>
      <c r="AM29" t="s">
        <v>41</v>
      </c>
      <c r="AN29" t="s">
        <v>1397</v>
      </c>
      <c r="AO29" t="s">
        <v>1398</v>
      </c>
      <c r="AP29" t="s">
        <v>1399</v>
      </c>
      <c r="AQ29" t="s">
        <v>557</v>
      </c>
      <c r="AR29" t="s">
        <v>41</v>
      </c>
      <c r="AS29" t="s">
        <v>1400</v>
      </c>
      <c r="AT29" t="s">
        <v>1401</v>
      </c>
      <c r="AU29" t="s">
        <v>1402</v>
      </c>
      <c r="AV29" t="s">
        <v>1403</v>
      </c>
      <c r="AW29" t="s">
        <v>1404</v>
      </c>
      <c r="AX29" t="s">
        <v>527</v>
      </c>
      <c r="AY29" t="s">
        <v>326</v>
      </c>
      <c r="AZ29" t="s">
        <v>210</v>
      </c>
      <c r="BA29" t="s">
        <v>103</v>
      </c>
      <c r="BB29" t="s">
        <v>212</v>
      </c>
      <c r="BC29" t="s">
        <v>528</v>
      </c>
      <c r="BD29" t="s">
        <v>327</v>
      </c>
      <c r="BE29" t="s">
        <v>211</v>
      </c>
      <c r="BF29" t="s">
        <v>64</v>
      </c>
      <c r="BG29" t="s">
        <v>213</v>
      </c>
      <c r="BH29" t="s">
        <v>1405</v>
      </c>
      <c r="BI29" t="s">
        <v>1406</v>
      </c>
      <c r="BJ29" t="s">
        <v>527</v>
      </c>
      <c r="BK29" t="s">
        <v>1407</v>
      </c>
      <c r="BL29" t="s">
        <v>1408</v>
      </c>
      <c r="BM29" t="s">
        <v>528</v>
      </c>
      <c r="BN29">
        <v>2.72</v>
      </c>
      <c r="BO29" t="s">
        <v>41</v>
      </c>
      <c r="BP29" t="s">
        <v>41</v>
      </c>
      <c r="BQ29">
        <v>-0.28999999999999998</v>
      </c>
      <c r="BR29">
        <v>-10.98</v>
      </c>
      <c r="BS29">
        <v>-3.09</v>
      </c>
      <c r="BT29" t="s">
        <v>447</v>
      </c>
      <c r="BU29" t="s">
        <v>622</v>
      </c>
      <c r="BV29">
        <v>19.57</v>
      </c>
      <c r="BW29">
        <v>19.86</v>
      </c>
      <c r="BX29">
        <v>21.08</v>
      </c>
      <c r="BY29">
        <v>-7.81</v>
      </c>
      <c r="BZ29">
        <v>-8.2799999999999994</v>
      </c>
      <c r="CA29">
        <v>-1.48</v>
      </c>
      <c r="CB29">
        <v>0.18</v>
      </c>
      <c r="CC29">
        <v>-18.010000000000002</v>
      </c>
      <c r="CD29" t="s">
        <v>1409</v>
      </c>
      <c r="CE29" t="s">
        <v>590</v>
      </c>
      <c r="CF29" s="9">
        <v>1.5661375661375658</v>
      </c>
      <c r="CG29" s="10">
        <v>1.0672428108891066</v>
      </c>
      <c r="CH29" s="9">
        <v>-0.70983105897903442</v>
      </c>
      <c r="CI29" s="9">
        <v>-0.11192309856414795</v>
      </c>
      <c r="CJ29" s="9">
        <v>0.22352944314479828</v>
      </c>
      <c r="CK29" s="9">
        <v>0.1605679988861084</v>
      </c>
      <c r="CL29" s="9">
        <v>0.39028096199035645</v>
      </c>
      <c r="CM29" s="10">
        <v>-2</v>
      </c>
      <c r="CN29" s="10">
        <v>-2.110753059387207</v>
      </c>
      <c r="CO29" s="10">
        <v>-1.8600472211837769</v>
      </c>
      <c r="CP29" s="10">
        <v>-0.47671273350715637</v>
      </c>
      <c r="CQ29" s="10">
        <v>0.1682354211807251</v>
      </c>
      <c r="CR29">
        <v>-17.021877930086557</v>
      </c>
      <c r="CS29">
        <v>-17.964756932268187</v>
      </c>
      <c r="CT29">
        <v>0</v>
      </c>
      <c r="CU29" s="9">
        <v>-9.4751507043838498E-3</v>
      </c>
      <c r="CV29" s="10">
        <v>-1.2558555185794831</v>
      </c>
      <c r="CW29">
        <v>0.06</v>
      </c>
      <c r="CX29" t="e">
        <v>#VALUE!</v>
      </c>
      <c r="CY29" t="s">
        <v>379</v>
      </c>
      <c r="CZ29">
        <v>-9.4751507043838498E-3</v>
      </c>
      <c r="DA29" t="e">
        <v>#VALUE!</v>
      </c>
      <c r="DB29" t="s">
        <v>379</v>
      </c>
      <c r="DC29">
        <v>-9.0013931691646561E-3</v>
      </c>
      <c r="DD29" t="e">
        <v>#VALUE!</v>
      </c>
      <c r="DE29" t="s">
        <v>379</v>
      </c>
      <c r="DF29">
        <v>-8.3381326198577882E-3</v>
      </c>
      <c r="DG29" t="e">
        <v>#VALUE!</v>
      </c>
      <c r="DH29" t="s">
        <v>379</v>
      </c>
      <c r="DI29">
        <v>-7.5801205635070805E-3</v>
      </c>
      <c r="DJ29" t="e">
        <v>#VALUE!</v>
      </c>
      <c r="DK29" t="s">
        <v>379</v>
      </c>
      <c r="DL29">
        <v>-6.6326054930686941E-3</v>
      </c>
      <c r="DM29">
        <v>-462000000</v>
      </c>
      <c r="DN29">
        <v>-9.4751507043838498E-3</v>
      </c>
      <c r="DO29">
        <v>1855529830</v>
      </c>
      <c r="DP29">
        <v>1016756900</v>
      </c>
      <c r="DQ29">
        <v>4275</v>
      </c>
      <c r="DR29">
        <v>1.5756127168419496</v>
      </c>
      <c r="DS29">
        <v>2.3230983294685896</v>
      </c>
      <c r="DT29" s="11">
        <v>-0.42333333333333339</v>
      </c>
      <c r="DU29">
        <v>-1.7266666666666666</v>
      </c>
      <c r="DV29">
        <v>-2.15</v>
      </c>
      <c r="DW29">
        <v>-3.022732142857143</v>
      </c>
      <c r="DX29">
        <v>0.34341923076922926</v>
      </c>
      <c r="DY29">
        <v>-3.0032602264423076</v>
      </c>
      <c r="DZ29">
        <v>4853</v>
      </c>
      <c r="EA29">
        <v>-3.0001639683357482</v>
      </c>
      <c r="EB29">
        <v>3</v>
      </c>
      <c r="EC29">
        <v>0.12965361444661039</v>
      </c>
      <c r="ED29">
        <v>0.90401833667083331</v>
      </c>
      <c r="EE29" s="12">
        <v>0.11921</v>
      </c>
      <c r="EF29">
        <v>0.14501</v>
      </c>
      <c r="EG29">
        <v>20.143419230769229</v>
      </c>
      <c r="EH29">
        <v>-1</v>
      </c>
      <c r="EI29">
        <v>0</v>
      </c>
      <c r="EJ29">
        <v>0</v>
      </c>
      <c r="EK29" s="8">
        <v>45470</v>
      </c>
      <c r="EL29" s="13">
        <v>0.63</v>
      </c>
      <c r="EM29" s="13">
        <v>-3.13</v>
      </c>
      <c r="EN29" s="13">
        <v>-0.49</v>
      </c>
      <c r="EO29" s="13">
        <v>0.65</v>
      </c>
      <c r="EP29" s="13">
        <v>-2.58</v>
      </c>
    </row>
    <row r="30" spans="1:146" ht="96" x14ac:dyDescent="0.25">
      <c r="A30" s="6"/>
      <c r="B30" s="6"/>
      <c r="C30" s="6" t="str">
        <f>""&amp;CHAR(10)&amp;Basic_Fundamental_Information_Constructure(F30)&amp;CHAR(10)&amp;Basic_Fundamental_Information_Concatenate("")</f>
        <v xml:space="preserve">
市值135.70126亿, 利润7.51亿; PE14.15; 平均PE21.6; 平均PEG1.29, PB1.93; ROIC11.3067%; ROE13.0533%; 股利率2.8011%; 毛利32.1867%; 净利4.9533%; 上一年度营收增-.4%, 利润增-4.33%; 当季营收增24.7%, 利润增94.7%; 过往5年营收增16.68%, 利润增11.95%
Income profile:
</v>
      </c>
      <c r="D30" t="s">
        <v>104</v>
      </c>
      <c r="E30" t="s">
        <v>8</v>
      </c>
      <c r="F30">
        <v>17.850000000000001</v>
      </c>
      <c r="G30">
        <v>1.19</v>
      </c>
      <c r="H30" t="s">
        <v>1410</v>
      </c>
      <c r="I30">
        <v>13570126000</v>
      </c>
      <c r="J30">
        <v>14.15</v>
      </c>
      <c r="K30">
        <v>1.93</v>
      </c>
      <c r="L30" t="s">
        <v>40</v>
      </c>
      <c r="M30" t="s">
        <v>1411</v>
      </c>
      <c r="N30" t="s">
        <v>1412</v>
      </c>
      <c r="O30" t="s">
        <v>1413</v>
      </c>
      <c r="P30">
        <v>1.81</v>
      </c>
      <c r="Q30" t="s">
        <v>1414</v>
      </c>
      <c r="R30">
        <v>321257610</v>
      </c>
      <c r="S30" s="5">
        <v>0.1027</v>
      </c>
      <c r="T30" t="s">
        <v>1415</v>
      </c>
      <c r="U30">
        <v>757916730</v>
      </c>
      <c r="V30">
        <v>760231170</v>
      </c>
      <c r="W30">
        <v>2.79</v>
      </c>
      <c r="X30">
        <v>0.26</v>
      </c>
      <c r="Y30">
        <v>6.61</v>
      </c>
      <c r="Z30" t="s">
        <v>311</v>
      </c>
      <c r="AA30" t="s">
        <v>1416</v>
      </c>
      <c r="AB30" t="s">
        <v>1417</v>
      </c>
      <c r="AC30" t="s">
        <v>1418</v>
      </c>
      <c r="AD30" t="s">
        <v>41</v>
      </c>
      <c r="AE30">
        <v>42472461</v>
      </c>
      <c r="AF30" t="s">
        <v>1419</v>
      </c>
      <c r="AG30" t="s">
        <v>1420</v>
      </c>
      <c r="AH30" t="s">
        <v>1421</v>
      </c>
      <c r="AI30" t="s">
        <v>1422</v>
      </c>
      <c r="AJ30" t="s">
        <v>1423</v>
      </c>
      <c r="AK30" t="s">
        <v>1424</v>
      </c>
      <c r="AL30" t="s">
        <v>1425</v>
      </c>
      <c r="AM30" t="s">
        <v>41</v>
      </c>
      <c r="AN30" t="s">
        <v>562</v>
      </c>
      <c r="AO30" t="s">
        <v>1426</v>
      </c>
      <c r="AP30" t="s">
        <v>1427</v>
      </c>
      <c r="AQ30" t="s">
        <v>1428</v>
      </c>
      <c r="AR30" t="s">
        <v>1429</v>
      </c>
      <c r="AS30" t="s">
        <v>1430</v>
      </c>
      <c r="AT30" t="s">
        <v>1431</v>
      </c>
      <c r="AU30" t="s">
        <v>1432</v>
      </c>
      <c r="AV30" t="s">
        <v>1433</v>
      </c>
      <c r="AW30" t="s">
        <v>1434</v>
      </c>
      <c r="AX30" t="s">
        <v>530</v>
      </c>
      <c r="AY30" t="s">
        <v>328</v>
      </c>
      <c r="AZ30" t="s">
        <v>214</v>
      </c>
      <c r="BA30" t="s">
        <v>105</v>
      </c>
      <c r="BB30" t="s">
        <v>216</v>
      </c>
      <c r="BC30" t="s">
        <v>368</v>
      </c>
      <c r="BD30" t="s">
        <v>329</v>
      </c>
      <c r="BE30" t="s">
        <v>215</v>
      </c>
      <c r="BF30" t="s">
        <v>106</v>
      </c>
      <c r="BG30" t="s">
        <v>145</v>
      </c>
      <c r="BH30" t="s">
        <v>1435</v>
      </c>
      <c r="BI30" t="s">
        <v>1436</v>
      </c>
      <c r="BJ30" t="s">
        <v>530</v>
      </c>
      <c r="BK30" t="s">
        <v>1437</v>
      </c>
      <c r="BL30" t="s">
        <v>595</v>
      </c>
      <c r="BM30" t="s">
        <v>368</v>
      </c>
      <c r="BN30">
        <v>8.82</v>
      </c>
      <c r="BO30">
        <v>12.05</v>
      </c>
      <c r="BP30">
        <v>13.05</v>
      </c>
      <c r="BQ30">
        <v>10.72</v>
      </c>
      <c r="BR30">
        <v>12.72</v>
      </c>
      <c r="BS30">
        <v>15.72</v>
      </c>
      <c r="BT30" t="s">
        <v>1438</v>
      </c>
      <c r="BU30" t="s">
        <v>810</v>
      </c>
      <c r="BV30">
        <v>32.549999999999997</v>
      </c>
      <c r="BW30">
        <v>31.88</v>
      </c>
      <c r="BX30">
        <v>32.130000000000003</v>
      </c>
      <c r="BY30">
        <v>5.01</v>
      </c>
      <c r="BZ30">
        <v>4.84</v>
      </c>
      <c r="CA30">
        <v>5.01</v>
      </c>
      <c r="CB30">
        <v>-2.78</v>
      </c>
      <c r="CC30">
        <v>-30.21</v>
      </c>
      <c r="CD30" t="s">
        <v>1439</v>
      </c>
      <c r="CE30" t="s">
        <v>1084</v>
      </c>
      <c r="CF30" s="9">
        <v>0.24696082845565062</v>
      </c>
      <c r="CG30" s="10">
        <v>0.94701581818181824</v>
      </c>
      <c r="CH30" s="9">
        <v>-3.9650565013289452E-3</v>
      </c>
      <c r="CI30" s="9">
        <v>0.28542298078536987</v>
      </c>
      <c r="CJ30" s="9">
        <v>0.12379182875156403</v>
      </c>
      <c r="CK30" s="9">
        <v>0.19754780828952789</v>
      </c>
      <c r="CL30" s="9">
        <v>0.23144336044788361</v>
      </c>
      <c r="CM30" s="10">
        <v>-4.3312102556228638E-2</v>
      </c>
      <c r="CN30" s="10">
        <v>0.1733931303024292</v>
      </c>
      <c r="CO30" s="10">
        <v>7.7294684946537018E-2</v>
      </c>
      <c r="CP30" s="10">
        <v>0.22003929316997528</v>
      </c>
      <c r="CQ30" s="10">
        <v>0.17011494934558868</v>
      </c>
      <c r="CR30">
        <v>21.5970175066313</v>
      </c>
      <c r="CS30">
        <v>1.2944112991203458</v>
      </c>
      <c r="CT30">
        <v>2.8011204481792715</v>
      </c>
      <c r="CU30" s="9">
        <v>0.1668481843546033</v>
      </c>
      <c r="CV30" s="10">
        <v>0.11950599104166031</v>
      </c>
      <c r="CW30">
        <v>0.06</v>
      </c>
      <c r="CX30">
        <v>24.01851173103762</v>
      </c>
      <c r="CY30">
        <v>826700930.61349726</v>
      </c>
      <c r="CZ30">
        <v>0.1668481843546033</v>
      </c>
      <c r="DA30">
        <v>7.3587876607216618</v>
      </c>
      <c r="DB30">
        <v>2698287668.4952135</v>
      </c>
      <c r="DC30">
        <v>0.15850577513687314</v>
      </c>
      <c r="DD30">
        <v>3.3152306579188178</v>
      </c>
      <c r="DE30">
        <v>5989364858.3911686</v>
      </c>
      <c r="DF30">
        <v>0.1468264022320509</v>
      </c>
      <c r="DG30">
        <v>1.7953396456261583</v>
      </c>
      <c r="DH30">
        <v>11059815923.061625</v>
      </c>
      <c r="DI30">
        <v>0.13347854748368265</v>
      </c>
      <c r="DJ30">
        <v>0.73068066831957268</v>
      </c>
      <c r="DK30">
        <v>27174834179.84129</v>
      </c>
      <c r="DL30">
        <v>0.1167937290482223</v>
      </c>
      <c r="DM30">
        <v>751000000</v>
      </c>
      <c r="DN30">
        <v>0.1668481843546033</v>
      </c>
      <c r="DO30">
        <v>19856126000</v>
      </c>
      <c r="DP30">
        <v>-1130798800</v>
      </c>
      <c r="DQ30">
        <v>4356</v>
      </c>
      <c r="DR30">
        <v>8.011264410104732E-2</v>
      </c>
      <c r="DS30">
        <v>0.82750982714015797</v>
      </c>
      <c r="DT30" s="11">
        <v>-7.3333333333333403E-2</v>
      </c>
      <c r="DU30">
        <v>0.80666666666666664</v>
      </c>
      <c r="DV30">
        <v>0.73333333333333328</v>
      </c>
      <c r="DW30">
        <v>-8.0920225091029465</v>
      </c>
      <c r="DX30">
        <v>0.49699900497512389</v>
      </c>
      <c r="DY30">
        <v>-8.0273305936388901</v>
      </c>
      <c r="DZ30">
        <v>3816</v>
      </c>
      <c r="EA30">
        <v>-8.0069208978803772</v>
      </c>
      <c r="EB30">
        <v>8</v>
      </c>
      <c r="EC30">
        <v>7.8524536161809835E-2</v>
      </c>
      <c r="ED30">
        <v>0.26439326343327907</v>
      </c>
      <c r="EE30" s="12">
        <v>-2.0502099999999999</v>
      </c>
      <c r="EF30">
        <v>-2.0687099999999998</v>
      </c>
      <c r="EG30">
        <v>20.296999004975124</v>
      </c>
      <c r="EH30" t="s">
        <v>592</v>
      </c>
      <c r="EI30">
        <v>0</v>
      </c>
      <c r="EJ30">
        <v>0</v>
      </c>
      <c r="EK30" s="8">
        <v>45470</v>
      </c>
      <c r="EL30" s="13">
        <v>0</v>
      </c>
      <c r="EM30" s="13">
        <v>-2.08</v>
      </c>
      <c r="EN30" s="13">
        <v>0.18</v>
      </c>
      <c r="EO30" s="13">
        <v>0.62</v>
      </c>
      <c r="EP30" s="13">
        <v>-1.85</v>
      </c>
    </row>
    <row r="31" spans="1:146" ht="96" x14ac:dyDescent="0.25">
      <c r="C31" s="6" t="str">
        <f>""&amp;CHAR(10)&amp;Basic_Fundamental_Information_Constructure(F31)&amp;CHAR(10)&amp;Basic_Fundamental_Information_Concatenate("")</f>
        <v xml:space="preserve">
市值293.17112亿, 利润3.18亿; PE19.78; 平均PE42.16; 平均PEG5.82, PB2.88; ROIC12.54%; ROE13.34%; 股利率2.0678%; 毛利39.3633%; 净利6.88%; 上一年度营收增-86.67%, 利润增-74.8%; 当季营收增749.36%, 利润增341.12%; 过往5年营收增7.25%, 利润增10.84%
Income profile:
</v>
      </c>
      <c r="D31" t="s">
        <v>107</v>
      </c>
      <c r="E31" t="s">
        <v>7</v>
      </c>
      <c r="F31">
        <v>24.18</v>
      </c>
      <c r="G31">
        <v>1.72</v>
      </c>
      <c r="H31" t="s">
        <v>1440</v>
      </c>
      <c r="I31">
        <v>29317112000</v>
      </c>
      <c r="J31">
        <v>19.78</v>
      </c>
      <c r="K31">
        <v>2.88</v>
      </c>
      <c r="L31" t="s">
        <v>40</v>
      </c>
      <c r="M31" t="s">
        <v>1441</v>
      </c>
      <c r="N31" t="s">
        <v>1442</v>
      </c>
      <c r="O31" t="s">
        <v>1443</v>
      </c>
      <c r="P31">
        <v>13.39</v>
      </c>
      <c r="Q31" t="s">
        <v>1444</v>
      </c>
      <c r="R31">
        <v>406753110</v>
      </c>
      <c r="S31" s="5">
        <v>0.2089</v>
      </c>
      <c r="T31" t="s">
        <v>151</v>
      </c>
      <c r="U31">
        <v>1209739320</v>
      </c>
      <c r="V31">
        <v>1212452940</v>
      </c>
      <c r="W31">
        <v>2.36</v>
      </c>
      <c r="X31">
        <v>0.24</v>
      </c>
      <c r="Y31">
        <v>7.47</v>
      </c>
      <c r="Z31" t="s">
        <v>1445</v>
      </c>
      <c r="AA31" t="s">
        <v>1446</v>
      </c>
      <c r="AB31" t="s">
        <v>1447</v>
      </c>
      <c r="AC31" t="s">
        <v>1448</v>
      </c>
      <c r="AD31" t="s">
        <v>41</v>
      </c>
      <c r="AE31">
        <v>27998347</v>
      </c>
      <c r="AF31" t="s">
        <v>1449</v>
      </c>
      <c r="AG31" t="s">
        <v>1450</v>
      </c>
      <c r="AH31" t="s">
        <v>1451</v>
      </c>
      <c r="AI31" t="s">
        <v>1452</v>
      </c>
      <c r="AJ31" t="s">
        <v>1453</v>
      </c>
      <c r="AK31" t="s">
        <v>41</v>
      </c>
      <c r="AL31" t="s">
        <v>1454</v>
      </c>
      <c r="AM31" t="s">
        <v>41</v>
      </c>
      <c r="AN31" t="s">
        <v>1316</v>
      </c>
      <c r="AO31" t="s">
        <v>41</v>
      </c>
      <c r="AP31" t="s">
        <v>1455</v>
      </c>
      <c r="AQ31" t="s">
        <v>493</v>
      </c>
      <c r="AR31" t="s">
        <v>1456</v>
      </c>
      <c r="AS31" t="s">
        <v>1457</v>
      </c>
      <c r="AT31" t="s">
        <v>227</v>
      </c>
      <c r="AU31" t="s">
        <v>1458</v>
      </c>
      <c r="AV31" t="s">
        <v>1459</v>
      </c>
      <c r="AW31" t="s">
        <v>1460</v>
      </c>
      <c r="AX31" t="s">
        <v>531</v>
      </c>
      <c r="AY31" t="s">
        <v>330</v>
      </c>
      <c r="AZ31" t="s">
        <v>218</v>
      </c>
      <c r="BA31" t="s">
        <v>108</v>
      </c>
      <c r="BB31" t="s">
        <v>219</v>
      </c>
      <c r="BC31" t="s">
        <v>605</v>
      </c>
      <c r="BD31" t="s">
        <v>331</v>
      </c>
      <c r="BE31" t="s">
        <v>332</v>
      </c>
      <c r="BF31" t="s">
        <v>109</v>
      </c>
      <c r="BG31" t="s">
        <v>220</v>
      </c>
      <c r="BH31" t="s">
        <v>1461</v>
      </c>
      <c r="BI31" t="s">
        <v>98</v>
      </c>
      <c r="BJ31" t="s">
        <v>531</v>
      </c>
      <c r="BK31" t="s">
        <v>1462</v>
      </c>
      <c r="BL31" t="s">
        <v>1463</v>
      </c>
      <c r="BM31" t="s">
        <v>605</v>
      </c>
      <c r="BN31">
        <v>10.61</v>
      </c>
      <c r="BO31">
        <v>15.13</v>
      </c>
      <c r="BP31">
        <v>11.88</v>
      </c>
      <c r="BQ31">
        <v>11.17</v>
      </c>
      <c r="BR31">
        <v>15.82</v>
      </c>
      <c r="BS31">
        <v>13.03</v>
      </c>
      <c r="BT31" t="s">
        <v>1464</v>
      </c>
      <c r="BU31" t="s">
        <v>810</v>
      </c>
      <c r="BV31">
        <v>38.21</v>
      </c>
      <c r="BW31">
        <v>39.53</v>
      </c>
      <c r="BX31">
        <v>40.35</v>
      </c>
      <c r="BY31">
        <v>7</v>
      </c>
      <c r="BZ31">
        <v>7.18</v>
      </c>
      <c r="CA31">
        <v>6.46</v>
      </c>
      <c r="CB31">
        <v>-1.51</v>
      </c>
      <c r="CC31">
        <v>-36.700000000000003</v>
      </c>
      <c r="CD31" t="s">
        <v>1465</v>
      </c>
      <c r="CE31" t="s">
        <v>1466</v>
      </c>
      <c r="CF31" s="9">
        <v>7.4935988620199145</v>
      </c>
      <c r="CG31" s="10">
        <v>3.4111652870244953</v>
      </c>
      <c r="CH31" s="9">
        <v>-0.86674046516418457</v>
      </c>
      <c r="CI31" s="9">
        <v>0.29753360152244568</v>
      </c>
      <c r="CJ31" s="9">
        <v>0.16591861844062805</v>
      </c>
      <c r="CK31" s="9">
        <v>0.27919426560401917</v>
      </c>
      <c r="CL31" s="9">
        <v>0.48647472262382507</v>
      </c>
      <c r="CM31" s="10">
        <v>-0.74801903963088989</v>
      </c>
      <c r="CN31" s="10">
        <v>0.4211711585521698</v>
      </c>
      <c r="CO31" s="10">
        <v>0.19354838132858276</v>
      </c>
      <c r="CP31" s="10">
        <v>0.36764705181121826</v>
      </c>
      <c r="CQ31" s="10">
        <v>0.30769231915473938</v>
      </c>
      <c r="CR31">
        <v>42.16267305848514</v>
      </c>
      <c r="CS31">
        <v>5.8174549655049876</v>
      </c>
      <c r="CT31">
        <v>2.0678246484698097</v>
      </c>
      <c r="CU31" s="9">
        <v>7.247614860534668E-2</v>
      </c>
      <c r="CV31" s="10">
        <v>0.10840797424316406</v>
      </c>
      <c r="CW31">
        <v>0.06</v>
      </c>
      <c r="CX31">
        <v>99.265958941627687</v>
      </c>
      <c r="CY31">
        <v>321742844.581604</v>
      </c>
      <c r="CZ31">
        <v>7.247614860534668E-2</v>
      </c>
      <c r="DA31">
        <v>32.925104117946773</v>
      </c>
      <c r="DB31">
        <v>970023113.23265374</v>
      </c>
      <c r="DC31">
        <v>6.8852341175079337E-2</v>
      </c>
      <c r="DD31">
        <v>16.531543972077742</v>
      </c>
      <c r="DE31">
        <v>1931949735.2421768</v>
      </c>
      <c r="DF31">
        <v>6.3779010772705078E-2</v>
      </c>
      <c r="DG31">
        <v>10.149152384081299</v>
      </c>
      <c r="DH31">
        <v>3146874811.9393849</v>
      </c>
      <c r="DI31">
        <v>5.7980918884277345E-2</v>
      </c>
      <c r="DJ31">
        <v>5.4996614895599771</v>
      </c>
      <c r="DK31">
        <v>5807286877.679328</v>
      </c>
      <c r="DL31">
        <v>5.0733304023742674E-2</v>
      </c>
      <c r="DM31">
        <v>318000000</v>
      </c>
      <c r="DN31">
        <v>7.247614860534668E-2</v>
      </c>
      <c r="DO31">
        <v>31938112000</v>
      </c>
      <c r="DP31">
        <v>2859585000</v>
      </c>
      <c r="DQ31">
        <v>4392</v>
      </c>
      <c r="DR31">
        <v>7.4211227134145679</v>
      </c>
      <c r="DS31">
        <v>3.3027573127813312</v>
      </c>
      <c r="DT31" s="11">
        <v>-0.27333333333333343</v>
      </c>
      <c r="DU31">
        <v>0.1666666666666666</v>
      </c>
      <c r="DV31">
        <v>-0.10666666666666683</v>
      </c>
      <c r="DW31">
        <v>-3.2341071428571428</v>
      </c>
      <c r="DX31">
        <v>0.68153999999999737</v>
      </c>
      <c r="DY31">
        <v>-3.0518640964285715</v>
      </c>
      <c r="DZ31">
        <v>2315</v>
      </c>
      <c r="EA31">
        <v>-3.0283679353263908</v>
      </c>
      <c r="EB31">
        <v>3</v>
      </c>
      <c r="EC31">
        <v>6.395217285711724E-2</v>
      </c>
      <c r="ED31">
        <v>0.28867099782033601</v>
      </c>
      <c r="EE31" s="12">
        <v>1.0337099999999999</v>
      </c>
      <c r="EF31">
        <v>1.05531</v>
      </c>
      <c r="EG31">
        <v>46.221539999999997</v>
      </c>
      <c r="EH31" t="s">
        <v>465</v>
      </c>
      <c r="EI31">
        <v>0</v>
      </c>
      <c r="EJ31">
        <v>0</v>
      </c>
      <c r="EK31" s="8">
        <v>45470</v>
      </c>
      <c r="EL31" s="13">
        <v>0.18</v>
      </c>
      <c r="EM31" s="13">
        <v>-3.26</v>
      </c>
      <c r="EN31">
        <v>1.81</v>
      </c>
      <c r="EO31">
        <v>2.4500000000000002</v>
      </c>
      <c r="EP31">
        <v>-2.16</v>
      </c>
    </row>
    <row r="32" spans="1:146" ht="96" x14ac:dyDescent="0.25">
      <c r="C32" s="6" t="str">
        <f>""&amp;CHAR(10)&amp;Basic_Fundamental_Information_Constructure(F32)&amp;CHAR(10)&amp;Basic_Fundamental_Information_Concatenate("")</f>
        <v xml:space="preserve">
市值39.450587亿, 利润5464.29万; PE10.11; 平均PE18.45; 平均PEG1.67, PB1.34; ROIC11.6967%; ROE14.92%; 股利率5.1053%; 毛利35.95%; 净利5.04%; 上一年度营收增-59.49%, 利润增-85.39%; 当季营收增485.82%, 利润增239.13%; 过往5年营收增11.08%, 利润增6.71%
Income profile:
</v>
      </c>
      <c r="D32" t="s">
        <v>221</v>
      </c>
      <c r="E32" t="s">
        <v>222</v>
      </c>
      <c r="F32">
        <v>25.17</v>
      </c>
      <c r="G32">
        <v>0.88</v>
      </c>
      <c r="H32" t="s">
        <v>1467</v>
      </c>
      <c r="I32">
        <v>3945058700</v>
      </c>
      <c r="J32">
        <v>10.11</v>
      </c>
      <c r="K32">
        <v>1.34</v>
      </c>
      <c r="L32" t="s">
        <v>40</v>
      </c>
      <c r="M32" t="s">
        <v>1468</v>
      </c>
      <c r="N32" t="s">
        <v>1469</v>
      </c>
      <c r="O32" t="s">
        <v>1470</v>
      </c>
      <c r="P32">
        <v>6.79</v>
      </c>
      <c r="Q32" t="s">
        <v>1471</v>
      </c>
      <c r="R32">
        <v>52259605</v>
      </c>
      <c r="S32" s="5">
        <v>-0.31509999999999999</v>
      </c>
      <c r="T32" t="s">
        <v>1472</v>
      </c>
      <c r="U32">
        <v>140724630</v>
      </c>
      <c r="V32">
        <v>156736540</v>
      </c>
      <c r="W32">
        <v>3.47</v>
      </c>
      <c r="X32">
        <v>0.23</v>
      </c>
      <c r="Y32">
        <v>2.2400000000000002</v>
      </c>
      <c r="Z32" t="s">
        <v>1232</v>
      </c>
      <c r="AA32" t="s">
        <v>565</v>
      </c>
      <c r="AB32" t="s">
        <v>566</v>
      </c>
      <c r="AC32" t="s">
        <v>1473</v>
      </c>
      <c r="AD32" t="s">
        <v>41</v>
      </c>
      <c r="AE32">
        <v>34189231</v>
      </c>
      <c r="AF32" t="s">
        <v>1474</v>
      </c>
      <c r="AG32" t="s">
        <v>1475</v>
      </c>
      <c r="AH32" t="s">
        <v>1476</v>
      </c>
      <c r="AI32" t="s">
        <v>1477</v>
      </c>
      <c r="AJ32" t="s">
        <v>1478</v>
      </c>
      <c r="AK32" t="s">
        <v>1479</v>
      </c>
      <c r="AL32" t="s">
        <v>1480</v>
      </c>
      <c r="AM32" t="s">
        <v>41</v>
      </c>
      <c r="AN32" t="s">
        <v>181</v>
      </c>
      <c r="AO32" t="s">
        <v>1481</v>
      </c>
      <c r="AP32" t="s">
        <v>1482</v>
      </c>
      <c r="AQ32" t="s">
        <v>1483</v>
      </c>
      <c r="AR32" t="s">
        <v>1484</v>
      </c>
      <c r="AS32" t="s">
        <v>1485</v>
      </c>
      <c r="AT32" t="s">
        <v>1486</v>
      </c>
      <c r="AU32" t="s">
        <v>1085</v>
      </c>
      <c r="AV32" t="s">
        <v>1487</v>
      </c>
      <c r="AW32" t="s">
        <v>1488</v>
      </c>
      <c r="AX32" t="s">
        <v>532</v>
      </c>
      <c r="AY32" t="s">
        <v>333</v>
      </c>
      <c r="AZ32" t="s">
        <v>223</v>
      </c>
      <c r="BA32" t="s">
        <v>224</v>
      </c>
      <c r="BB32" t="s">
        <v>225</v>
      </c>
      <c r="BC32" t="s">
        <v>507</v>
      </c>
      <c r="BD32" t="s">
        <v>74</v>
      </c>
      <c r="BE32" t="s">
        <v>78</v>
      </c>
      <c r="BF32" t="s">
        <v>226</v>
      </c>
      <c r="BG32" t="s">
        <v>227</v>
      </c>
      <c r="BH32" t="s">
        <v>1489</v>
      </c>
      <c r="BI32" t="s">
        <v>568</v>
      </c>
      <c r="BJ32" t="s">
        <v>532</v>
      </c>
      <c r="BK32" t="s">
        <v>579</v>
      </c>
      <c r="BL32" t="s">
        <v>1490</v>
      </c>
      <c r="BM32" t="s">
        <v>507</v>
      </c>
      <c r="BN32">
        <v>6.87</v>
      </c>
      <c r="BO32">
        <v>12.08</v>
      </c>
      <c r="BP32">
        <v>16.14</v>
      </c>
      <c r="BQ32">
        <v>10.220000000000001</v>
      </c>
      <c r="BR32">
        <v>17.87</v>
      </c>
      <c r="BS32">
        <v>16.670000000000002</v>
      </c>
      <c r="BT32" t="s">
        <v>1491</v>
      </c>
      <c r="BU32" t="s">
        <v>810</v>
      </c>
      <c r="BV32">
        <v>35.880000000000003</v>
      </c>
      <c r="BW32">
        <v>36.14</v>
      </c>
      <c r="BX32">
        <v>35.83</v>
      </c>
      <c r="BY32">
        <v>4.5599999999999996</v>
      </c>
      <c r="BZ32">
        <v>4.84</v>
      </c>
      <c r="CA32">
        <v>5.72</v>
      </c>
      <c r="CB32">
        <v>-3.01</v>
      </c>
      <c r="CC32">
        <v>-40.67</v>
      </c>
      <c r="CD32" t="s">
        <v>1492</v>
      </c>
      <c r="CE32" t="s">
        <v>1493</v>
      </c>
      <c r="CF32" s="9">
        <v>4.858227848101266</v>
      </c>
      <c r="CG32" s="10">
        <v>2.3912787151200519</v>
      </c>
      <c r="CH32" s="9">
        <v>-0.59488952159881592</v>
      </c>
      <c r="CI32" s="9">
        <v>0.43533909320831299</v>
      </c>
      <c r="CJ32" s="9">
        <v>0.17218987643718719</v>
      </c>
      <c r="CK32" s="9">
        <v>0.26551428437232971</v>
      </c>
      <c r="CL32" s="9">
        <v>0.27584952116012573</v>
      </c>
      <c r="CM32" s="10">
        <v>-0.85389596223831177</v>
      </c>
      <c r="CN32" s="10">
        <v>0.24252492189407349</v>
      </c>
      <c r="CO32" s="10">
        <v>0.19920319318771362</v>
      </c>
      <c r="CP32" s="10">
        <v>0.494047611951828</v>
      </c>
      <c r="CQ32" s="10">
        <v>0.25373134016990662</v>
      </c>
      <c r="CR32">
        <v>18.454358730711409</v>
      </c>
      <c r="CS32">
        <v>1.6655460605589378</v>
      </c>
      <c r="CT32">
        <v>5.1052840683353198</v>
      </c>
      <c r="CU32" s="9">
        <v>0.11080065071582794</v>
      </c>
      <c r="CV32" s="10">
        <v>6.7122220993041992E-2</v>
      </c>
      <c r="CW32">
        <v>0.06</v>
      </c>
      <c r="CX32">
        <v>142.36502144781448</v>
      </c>
      <c r="CY32">
        <v>57261668.751886711</v>
      </c>
      <c r="CZ32">
        <v>0.11080065071582794</v>
      </c>
      <c r="DA32">
        <v>45.713196653103466</v>
      </c>
      <c r="DB32">
        <v>178330532.46882391</v>
      </c>
      <c r="DC32">
        <v>0.10526061818003654</v>
      </c>
      <c r="DD32">
        <v>21.976839983146629</v>
      </c>
      <c r="DE32">
        <v>370938620.21344131</v>
      </c>
      <c r="DF32">
        <v>9.7504572629928593E-2</v>
      </c>
      <c r="DG32">
        <v>12.846312599400814</v>
      </c>
      <c r="DH32">
        <v>634583553.60122824</v>
      </c>
      <c r="DI32">
        <v>8.8640520572662362E-2</v>
      </c>
      <c r="DJ32">
        <v>6.2492861545300933</v>
      </c>
      <c r="DK32">
        <v>1304478383.3575282</v>
      </c>
      <c r="DL32">
        <v>7.7560455501079553E-2</v>
      </c>
      <c r="DM32">
        <v>54642900</v>
      </c>
      <c r="DN32">
        <v>0.11080065071582794</v>
      </c>
      <c r="DO32">
        <v>8152058700</v>
      </c>
      <c r="DP32">
        <v>-840433200</v>
      </c>
      <c r="DQ32">
        <v>4495</v>
      </c>
      <c r="DR32">
        <v>4.7474271973854378</v>
      </c>
      <c r="DS32">
        <v>2.3241564941270099</v>
      </c>
      <c r="DT32" s="11">
        <v>-0.10666666666666676</v>
      </c>
      <c r="DU32">
        <v>0.1666666666666666</v>
      </c>
      <c r="DV32">
        <v>5.9999999999999845E-2</v>
      </c>
      <c r="DW32">
        <v>-8.0740103270223749</v>
      </c>
      <c r="DX32">
        <v>0.45595321055251375</v>
      </c>
      <c r="DY32">
        <v>-8.0196832840856427</v>
      </c>
      <c r="DZ32">
        <v>3260</v>
      </c>
      <c r="EA32">
        <v>-8.0071260421836481</v>
      </c>
      <c r="EB32">
        <v>8</v>
      </c>
      <c r="EC32">
        <v>6.8178103204268772E-2</v>
      </c>
      <c r="ED32">
        <v>0.2563537513332883</v>
      </c>
      <c r="EE32" s="12">
        <v>1.0624</v>
      </c>
      <c r="EF32">
        <v>1.0429999999999999</v>
      </c>
      <c r="EG32">
        <v>19.265953210552514</v>
      </c>
      <c r="EH32" t="s">
        <v>369</v>
      </c>
      <c r="EI32">
        <v>0</v>
      </c>
      <c r="EJ32">
        <v>0</v>
      </c>
      <c r="EK32" s="8">
        <v>45470</v>
      </c>
      <c r="EL32" s="13">
        <v>0.43</v>
      </c>
      <c r="EM32" s="13">
        <v>-3.43</v>
      </c>
      <c r="EN32">
        <v>2.0699999999999998</v>
      </c>
      <c r="EO32">
        <v>4.79</v>
      </c>
      <c r="EP32">
        <v>-1.94</v>
      </c>
    </row>
  </sheetData>
  <autoFilter ref="BU1:BU32"/>
  <sortState ref="A2:D97">
    <sortCondition ref="C2:C97"/>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医药商业&quot;,&quot;&quot;'" altText="更新基本面按钮_x000a_">
                <anchor moveWithCells="1" sizeWithCells="1">
                  <from>
                    <xdr:col>147</xdr:col>
                    <xdr:colOff>482600</xdr:colOff>
                    <xdr:row>0</xdr:row>
                    <xdr:rowOff>76200</xdr:rowOff>
                  </from>
                  <to>
                    <xdr:col>147</xdr:col>
                    <xdr:colOff>1695450</xdr:colOff>
                    <xdr:row>0</xdr:row>
                    <xdr:rowOff>387350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医药商业</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2024-07-10T15:51:07Z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