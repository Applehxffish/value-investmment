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医药生物\"/>
    </mc:Choice>
  </mc:AlternateContent>
  <bookViews>
    <workbookView xWindow="-110" yWindow="-110" windowWidth="20270" windowHeight="9140"/>
  </bookViews>
  <sheets>
    <sheet name="医疗服务" sheetId="7" r:id="rId1"/>
    <sheet name="估值-增速与年化收益" sheetId="14" r:id="rId2"/>
  </sheets>
  <functionGroups builtInGroupCount="18"/>
  <definedNames>
    <definedName name="_xlnm._FilterDatabase" localSheetId="0" hidden="1">医疗服务!$BU$1:$BU$140</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5" i="14" l="1"/>
  <c r="C5" i="14" s="1"/>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B1" i="14"/>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C3" i="7"/>
  <c r="C2" i="7"/>
</calcChain>
</file>

<file path=xl/sharedStrings.xml><?xml version="1.0" encoding="utf-8"?>
<sst xmlns="http://schemas.openxmlformats.org/spreadsheetml/2006/main" count="2966" uniqueCount="2072">
  <si>
    <t>&lt;-增速</t>
    <phoneticPr fontId="1" type="noConversion"/>
  </si>
  <si>
    <t>&lt;-估值</t>
    <phoneticPr fontId="1" type="noConversion"/>
  </si>
  <si>
    <t>&lt;-折合年化收益</t>
    <phoneticPr fontId="1" type="noConversion"/>
  </si>
  <si>
    <t>市净率</t>
  </si>
  <si>
    <t>创新医疗</t>
  </si>
  <si>
    <t>迪安诊断</t>
  </si>
  <si>
    <t>药明康德</t>
  </si>
  <si>
    <t>金域医学</t>
  </si>
  <si>
    <t>泰格医药</t>
  </si>
  <si>
    <t>爱尔眼科</t>
  </si>
  <si>
    <t>美年健康</t>
  </si>
  <si>
    <t>康龙化成</t>
  </si>
  <si>
    <t>昭衍新药</t>
  </si>
  <si>
    <t>博济医药</t>
  </si>
  <si>
    <t>--</t>
  </si>
  <si>
    <t>代码</t>
  </si>
  <si>
    <t>总市值</t>
  </si>
  <si>
    <t>TTM市盈率</t>
  </si>
  <si>
    <t>SZ300404</t>
  </si>
  <si>
    <t>SZ300143</t>
  </si>
  <si>
    <t>盈康生命</t>
  </si>
  <si>
    <t>SZ002524</t>
  </si>
  <si>
    <t>SZ300015</t>
  </si>
  <si>
    <t>SH600763</t>
  </si>
  <si>
    <t>SZ300759</t>
  </si>
  <si>
    <t>SZ002044</t>
  </si>
  <si>
    <t>SH603127</t>
  </si>
  <si>
    <t>SH603259</t>
  </si>
  <si>
    <t>SZ300347</t>
  </si>
  <si>
    <t>SH603882</t>
  </si>
  <si>
    <t>SZ300149</t>
  </si>
  <si>
    <t>SH688202</t>
  </si>
  <si>
    <t>美迪西</t>
  </si>
  <si>
    <t>SZ300244</t>
  </si>
  <si>
    <t>SH600721</t>
  </si>
  <si>
    <t>SZ000516</t>
  </si>
  <si>
    <t>国际医学</t>
  </si>
  <si>
    <t>SZ002173</t>
  </si>
  <si>
    <t>SZ002219</t>
  </si>
  <si>
    <t>现价</t>
  </si>
  <si>
    <t>所属行业</t>
  </si>
  <si>
    <t>负债合计</t>
  </si>
  <si>
    <t>所有者权益合计</t>
  </si>
  <si>
    <t>净利润增长率</t>
  </si>
  <si>
    <t>总股本</t>
  </si>
  <si>
    <t>财务费用</t>
  </si>
  <si>
    <t>投资收益</t>
  </si>
  <si>
    <t>应收账款</t>
  </si>
  <si>
    <t>1.43亿</t>
  </si>
  <si>
    <t>4.49亿</t>
  </si>
  <si>
    <t>4.93亿</t>
  </si>
  <si>
    <t>1.35亿</t>
  </si>
  <si>
    <t>3.47亿</t>
  </si>
  <si>
    <t>4.02亿</t>
  </si>
  <si>
    <t>1.53亿</t>
  </si>
  <si>
    <t>2.03亿</t>
  </si>
  <si>
    <t>6.39亿</t>
  </si>
  <si>
    <t>4.66亿</t>
  </si>
  <si>
    <t>1.33亿</t>
  </si>
  <si>
    <t>2.25亿</t>
  </si>
  <si>
    <t>1.69亿</t>
  </si>
  <si>
    <t>2.44亿</t>
  </si>
  <si>
    <t>1.25亿</t>
  </si>
  <si>
    <t>1.02亿</t>
  </si>
  <si>
    <t>1.77亿</t>
  </si>
  <si>
    <t>2.60亿</t>
  </si>
  <si>
    <t>1.41亿</t>
  </si>
  <si>
    <t>1.27亿</t>
  </si>
  <si>
    <t>1.56亿</t>
  </si>
  <si>
    <t>1.54亿</t>
  </si>
  <si>
    <t>1.20亿</t>
  </si>
  <si>
    <t>1.39亿</t>
  </si>
  <si>
    <t>1.07亿</t>
  </si>
  <si>
    <t>1.14亿</t>
  </si>
  <si>
    <t>1.06亿</t>
  </si>
  <si>
    <t>3.00亿</t>
  </si>
  <si>
    <t>1.08亿</t>
  </si>
  <si>
    <t>1.28亿</t>
  </si>
  <si>
    <t>2.64亿</t>
  </si>
  <si>
    <t>SH688222</t>
  </si>
  <si>
    <t>成都先导</t>
  </si>
  <si>
    <t>SZ002172</t>
  </si>
  <si>
    <t>澳洋健康</t>
  </si>
  <si>
    <t>1.76亿</t>
  </si>
  <si>
    <t>预期多</t>
    <phoneticPr fontId="1" type="noConversion"/>
  </si>
  <si>
    <t>预期空</t>
    <phoneticPr fontId="1" type="noConversion"/>
  </si>
  <si>
    <t>已知和基本信息</t>
    <phoneticPr fontId="1" type="noConversion"/>
  </si>
  <si>
    <t>主营业务收入</t>
  </si>
  <si>
    <t>4.20亿</t>
  </si>
  <si>
    <t>1.16亿</t>
  </si>
  <si>
    <t>1.87亿</t>
  </si>
  <si>
    <t>1.12亿</t>
  </si>
  <si>
    <t>1.22亿</t>
  </si>
  <si>
    <t>1.55亿</t>
  </si>
  <si>
    <t>1.31亿</t>
  </si>
  <si>
    <t>6.96亿</t>
  </si>
  <si>
    <t>2.56亿</t>
  </si>
  <si>
    <t>1.86亿</t>
  </si>
  <si>
    <t>2.29亿</t>
  </si>
  <si>
    <t>2.55亿</t>
  </si>
  <si>
    <t>3.74亿</t>
  </si>
  <si>
    <t>1.23亿</t>
  </si>
  <si>
    <t>1.57亿</t>
  </si>
  <si>
    <t>1.72亿</t>
  </si>
  <si>
    <t>1.15亿</t>
  </si>
  <si>
    <t>4.09亿</t>
  </si>
  <si>
    <t>2.07亿</t>
  </si>
  <si>
    <t>1.29亿</t>
  </si>
  <si>
    <t>2.24亿</t>
  </si>
  <si>
    <t>3.32亿</t>
  </si>
  <si>
    <t>1.75亿</t>
  </si>
  <si>
    <t>1.11亿</t>
  </si>
  <si>
    <t>5.47亿</t>
  </si>
  <si>
    <t>1.00亿</t>
  </si>
  <si>
    <t>1.21亿</t>
  </si>
  <si>
    <t>1.89亿</t>
  </si>
  <si>
    <t>1.10亿</t>
  </si>
  <si>
    <t>1.61亿</t>
  </si>
  <si>
    <t>10.54亿</t>
  </si>
  <si>
    <t>5.57亿</t>
  </si>
  <si>
    <t>3.72亿</t>
  </si>
  <si>
    <t>20.39亿</t>
  </si>
  <si>
    <t>光正眼科</t>
  </si>
  <si>
    <t>1.96亿</t>
  </si>
  <si>
    <t>睿智医药</t>
  </si>
  <si>
    <t>2.91亿</t>
  </si>
  <si>
    <t>1.51亿</t>
  </si>
  <si>
    <t>11.75亿</t>
  </si>
  <si>
    <t>1.84亿</t>
  </si>
  <si>
    <t>15.10亿</t>
  </si>
  <si>
    <t>10.76亿</t>
  </si>
  <si>
    <t>8.21亿</t>
  </si>
  <si>
    <t>5.54亿</t>
  </si>
  <si>
    <t>3.15亿</t>
  </si>
  <si>
    <t>3.24亿</t>
  </si>
  <si>
    <t>8.03亿</t>
  </si>
  <si>
    <t>13.27亿</t>
  </si>
  <si>
    <t>1.74亿</t>
  </si>
  <si>
    <t>流动资产</t>
  </si>
  <si>
    <t>营业收入[20191231]</t>
  </si>
  <si>
    <t>营业收入[20181231]</t>
  </si>
  <si>
    <t>营业收入[20171231]</t>
  </si>
  <si>
    <t>净利润[20191231]</t>
  </si>
  <si>
    <t>净利润[20181231]</t>
  </si>
  <si>
    <t>净利润[20171231]</t>
  </si>
  <si>
    <t>16.07亿</t>
  </si>
  <si>
    <t>4536.05万</t>
  </si>
  <si>
    <t>1.24亿</t>
  </si>
  <si>
    <t>9.91亿</t>
  </si>
  <si>
    <t>-4.04亿</t>
  </si>
  <si>
    <t>21.84亿</t>
  </si>
  <si>
    <t>2.02亿</t>
  </si>
  <si>
    <t>2.75亿</t>
  </si>
  <si>
    <t>3.01亿</t>
  </si>
  <si>
    <t>1.71亿</t>
  </si>
  <si>
    <t>2.68亿</t>
  </si>
  <si>
    <t>2.33亿</t>
  </si>
  <si>
    <t>3.41亿</t>
  </si>
  <si>
    <t>10.59亿</t>
  </si>
  <si>
    <t>85.25亿</t>
  </si>
  <si>
    <t>84.58亿</t>
  </si>
  <si>
    <t>-8.66亿</t>
  </si>
  <si>
    <t>30.83亿</t>
  </si>
  <si>
    <t>-4.59亿</t>
  </si>
  <si>
    <t>29.82亿</t>
  </si>
  <si>
    <t>47.11亿</t>
  </si>
  <si>
    <t>-4.25亿</t>
  </si>
  <si>
    <t>1035.98万</t>
  </si>
  <si>
    <t>7.24亿</t>
  </si>
  <si>
    <t>-3.15亿</t>
  </si>
  <si>
    <t>8.72亿</t>
  </si>
  <si>
    <t>-11.50亿</t>
  </si>
  <si>
    <t>2967.72万</t>
  </si>
  <si>
    <t>28.06亿</t>
  </si>
  <si>
    <t>-5224.38万</t>
  </si>
  <si>
    <t>7.22亿</t>
  </si>
  <si>
    <t>36.84亿</t>
  </si>
  <si>
    <t>38.38亿</t>
  </si>
  <si>
    <t>-25.20亿</t>
  </si>
  <si>
    <t>-14.18亿</t>
  </si>
  <si>
    <t>7.27亿</t>
  </si>
  <si>
    <t>9.21亿</t>
  </si>
  <si>
    <t>4259.54万</t>
  </si>
  <si>
    <t>12.85亿</t>
  </si>
  <si>
    <t>7266.54万</t>
  </si>
  <si>
    <t>-7482.11万</t>
  </si>
  <si>
    <t>10.53亿</t>
  </si>
  <si>
    <t>2.34亿</t>
  </si>
  <si>
    <t>3.89亿</t>
  </si>
  <si>
    <t>119.12亿</t>
  </si>
  <si>
    <t>17.24亿</t>
  </si>
  <si>
    <t>3.33亿</t>
  </si>
  <si>
    <t>1.64亿</t>
  </si>
  <si>
    <t>99.90亿</t>
  </si>
  <si>
    <t>80.09亿</t>
  </si>
  <si>
    <t>13.79亿</t>
  </si>
  <si>
    <t>10.09亿</t>
  </si>
  <si>
    <t>4.28亿</t>
  </si>
  <si>
    <t>1.52亿</t>
  </si>
  <si>
    <t>2.63亿</t>
  </si>
  <si>
    <t>5.73亿</t>
  </si>
  <si>
    <t>5.04亿</t>
  </si>
  <si>
    <t>-7.03亿</t>
  </si>
  <si>
    <t>5016.66万</t>
  </si>
  <si>
    <t>14.82亿</t>
  </si>
  <si>
    <t>13.28亿</t>
  </si>
  <si>
    <t>9.97亿</t>
  </si>
  <si>
    <t>106.49亿</t>
  </si>
  <si>
    <t>84.53亿</t>
  </si>
  <si>
    <t>69.67亿</t>
  </si>
  <si>
    <t>3.50亿</t>
  </si>
  <si>
    <t>3.81亿</t>
  </si>
  <si>
    <t>4.72亿</t>
  </si>
  <si>
    <t>12.38亿</t>
  </si>
  <si>
    <t>15.51亿</t>
  </si>
  <si>
    <t>3.04亿</t>
  </si>
  <si>
    <t>31.92亿</t>
  </si>
  <si>
    <t>17.50亿</t>
  </si>
  <si>
    <t>28.03亿</t>
  </si>
  <si>
    <t>23.01亿</t>
  </si>
  <si>
    <t>8.42亿</t>
  </si>
  <si>
    <t>2.81亿</t>
  </si>
  <si>
    <t>5.67亿</t>
  </si>
  <si>
    <t>1698.86万</t>
  </si>
  <si>
    <t>659.26万</t>
  </si>
  <si>
    <t>739.99万</t>
  </si>
  <si>
    <t>20.72亿</t>
  </si>
  <si>
    <t>2.62亿</t>
  </si>
  <si>
    <t>1.34亿</t>
  </si>
  <si>
    <t>51.34亿</t>
  </si>
  <si>
    <t>11.72亿</t>
  </si>
  <si>
    <t>37.57亿</t>
  </si>
  <si>
    <t>29.08亿</t>
  </si>
  <si>
    <t>3.25亿</t>
  </si>
  <si>
    <t>2.49亿</t>
  </si>
  <si>
    <t>22.61亿</t>
  </si>
  <si>
    <t>4.55亿</t>
  </si>
  <si>
    <t>8453.04万</t>
  </si>
  <si>
    <t>-3.20亿</t>
  </si>
  <si>
    <t>4.19亿</t>
  </si>
  <si>
    <t>3438.47万</t>
  </si>
  <si>
    <t>-6.75亿</t>
  </si>
  <si>
    <t>20.88亿</t>
  </si>
  <si>
    <t>19.31亿</t>
  </si>
  <si>
    <t>15.46亿</t>
  </si>
  <si>
    <t>165.35亿</t>
  </si>
  <si>
    <t>29.60亿</t>
  </si>
  <si>
    <t>128.72亿</t>
  </si>
  <si>
    <t>96.14亿</t>
  </si>
  <si>
    <t>18.55亿</t>
  </si>
  <si>
    <t>82.44亿</t>
  </si>
  <si>
    <t>1.91亿</t>
  </si>
  <si>
    <t>52.69亿</t>
  </si>
  <si>
    <t>45.25亿</t>
  </si>
  <si>
    <t>4.16亿</t>
  </si>
  <si>
    <t>6.66亿</t>
  </si>
  <si>
    <t>6657.31万</t>
  </si>
  <si>
    <t>6077.26万</t>
  </si>
  <si>
    <t>6402.32万</t>
  </si>
  <si>
    <t>4496.05万</t>
  </si>
  <si>
    <t>SH688315</t>
  </si>
  <si>
    <t>诺禾致源</t>
  </si>
  <si>
    <t>14.90亿</t>
  </si>
  <si>
    <t>3653.91万</t>
  </si>
  <si>
    <t>15.35亿</t>
  </si>
  <si>
    <t>9709.85万</t>
  </si>
  <si>
    <t>10.22亿</t>
  </si>
  <si>
    <t>SH688621</t>
  </si>
  <si>
    <t>阳光诺和</t>
  </si>
  <si>
    <t>7246.49万</t>
  </si>
  <si>
    <t>4740.07万</t>
  </si>
  <si>
    <t>2071.75万</t>
  </si>
  <si>
    <t>1.主营可持续性差；2.未看到明显的经营改善;</t>
    <phoneticPr fontId="1" type="noConversion"/>
  </si>
  <si>
    <t>单季营收增速</t>
  </si>
  <si>
    <t>单季利润增速</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</si>
  <si>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</si>
  <si>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</si>
  <si>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</si>
  <si>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</si>
  <si>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</si>
  <si>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</si>
  <si>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</si>
  <si>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</si>
  <si>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</si>
  <si>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</si>
  <si>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</si>
  <si>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</si>
  <si>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</si>
  <si>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销售毛利率%[20201231]</t>
  </si>
  <si>
    <t>销售净利率%[20201231]</t>
  </si>
  <si>
    <t>医疗服务</t>
  </si>
  <si>
    <t>SZ000504</t>
  </si>
  <si>
    <t>南华生物</t>
  </si>
  <si>
    <t>815.46万</t>
  </si>
  <si>
    <t>9538.17万</t>
  </si>
  <si>
    <t>1880.64万</t>
  </si>
  <si>
    <t>-3518.83万</t>
  </si>
  <si>
    <t>2.82亿</t>
  </si>
  <si>
    <t>3.35亿</t>
  </si>
  <si>
    <t>SZ002821</t>
  </si>
  <si>
    <t>凯莱英</t>
  </si>
  <si>
    <t>31.50亿</t>
  </si>
  <si>
    <t>24.60亿</t>
  </si>
  <si>
    <t>18.35亿</t>
  </si>
  <si>
    <t>4.84亿</t>
  </si>
  <si>
    <t>SZ300363</t>
  </si>
  <si>
    <t>博腾股份</t>
  </si>
  <si>
    <t>1.68亿</t>
  </si>
  <si>
    <t>11.85亿</t>
  </si>
  <si>
    <t>SZ300725</t>
  </si>
  <si>
    <t>药石科技</t>
  </si>
  <si>
    <t>6.62亿</t>
  </si>
  <si>
    <t>4.78亿</t>
  </si>
  <si>
    <t>SZ301060</t>
  </si>
  <si>
    <t>兰卫医学</t>
  </si>
  <si>
    <t>11.53亿</t>
  </si>
  <si>
    <t>9224.18万</t>
  </si>
  <si>
    <t>7338.59万</t>
  </si>
  <si>
    <t>SH600568</t>
  </si>
  <si>
    <t>ST中珠</t>
  </si>
  <si>
    <t>321.89万</t>
  </si>
  <si>
    <t>-3.69亿</t>
  </si>
  <si>
    <t>-18.95亿</t>
  </si>
  <si>
    <t>2.94亿</t>
  </si>
  <si>
    <t>10.29亿</t>
  </si>
  <si>
    <t>31.05亿</t>
  </si>
  <si>
    <t>SH688076</t>
  </si>
  <si>
    <t>诺泰生物</t>
  </si>
  <si>
    <t>4861.05万</t>
  </si>
  <si>
    <t>4390.84万</t>
  </si>
  <si>
    <t>SH688131</t>
  </si>
  <si>
    <t>皓元医药</t>
  </si>
  <si>
    <t>6.35亿</t>
  </si>
  <si>
    <t>7342.96万</t>
  </si>
  <si>
    <t>1841.42万</t>
  </si>
  <si>
    <t>1. 财务数字表面的增加，有概率可以激起市场预期的提高，在第三季度报出来前都是暗牌</t>
    <phoneticPr fontId="1" type="noConversion"/>
  </si>
  <si>
    <t>2.71亿</t>
  </si>
  <si>
    <t>流通股本</t>
  </si>
  <si>
    <t>投入资本回报率roic%[20201231]</t>
  </si>
  <si>
    <t>净资产收益率%[20201231]</t>
  </si>
  <si>
    <r>
      <t>1. 2021年Q2投资收益大概2.3亿，占总利润大概50%（扣非利润涨幅大概在</t>
    </r>
    <r>
      <rPr>
        <sz val="9"/>
        <color rgb="FFFF0000"/>
        <rFont val="宋体"/>
        <family val="3"/>
        <charset val="134"/>
        <scheme val="minor"/>
      </rPr>
      <t>50%</t>
    </r>
    <r>
      <rPr>
        <sz val="9"/>
        <color theme="1"/>
        <rFont val="宋体"/>
        <family val="3"/>
        <charset val="134"/>
        <scheme val="minor"/>
      </rPr>
      <t>）；2.海外占比</t>
    </r>
    <r>
      <rPr>
        <b/>
        <sz val="9"/>
        <color rgb="FFFF0000"/>
        <rFont val="宋体"/>
        <family val="3"/>
        <charset val="134"/>
        <scheme val="minor"/>
      </rPr>
      <t>70%</t>
    </r>
    <r>
      <rPr>
        <sz val="9"/>
        <color theme="1"/>
        <rFont val="宋体"/>
        <family val="3"/>
        <charset val="134"/>
        <scheme val="minor"/>
      </rPr>
      <t>左右；3.随着公司交付规模的大幅上升，相关业务毛利率总体呈下降趋势，并与行业平均毛利率趋同。</t>
    </r>
    <phoneticPr fontId="1" type="noConversion"/>
  </si>
  <si>
    <t>1.公司完善了BAT业务模式：BD（商务拓展）+Account Manager（客户服务经理）+Technical Leader（技术负责人）互相协调配合，跟踪客户需求，提前计划安排，及时解决项目执行过程中的问题，提高CDMO服务的质量和效率，增强客户服务体验；2.2021年利润预告：利润涨幅160%，扣非35%（2.3亿）；</t>
    <phoneticPr fontId="1" type="noConversion"/>
  </si>
  <si>
    <t>净利润[20201231]</t>
  </si>
  <si>
    <t>-1912.60万</t>
  </si>
  <si>
    <t>29.21亿</t>
  </si>
  <si>
    <t>-8.22亿</t>
  </si>
  <si>
    <t>7.12亿</t>
  </si>
  <si>
    <t>78.48亿</t>
  </si>
  <si>
    <t>5.51亿</t>
  </si>
  <si>
    <t>30.29亿</t>
  </si>
  <si>
    <t>-10.39亿</t>
  </si>
  <si>
    <t>1.09亿</t>
  </si>
  <si>
    <t>30.16亿</t>
  </si>
  <si>
    <t>-3.71亿</t>
  </si>
  <si>
    <t>10.44亿</t>
  </si>
  <si>
    <t>SZ002622</t>
  </si>
  <si>
    <t>-7598.15万</t>
  </si>
  <si>
    <t>4.22亿</t>
  </si>
  <si>
    <t>-2.97亿</t>
  </si>
  <si>
    <t>744.09万</t>
  </si>
  <si>
    <t>3684.32万</t>
  </si>
  <si>
    <t>46.39亿</t>
  </si>
  <si>
    <t>10.69亿</t>
  </si>
  <si>
    <t>3.87亿</t>
  </si>
  <si>
    <t>150.01亿</t>
  </si>
  <si>
    <t>23.23亿</t>
  </si>
  <si>
    <t>10.90亿</t>
  </si>
  <si>
    <t>-3.64亿</t>
  </si>
  <si>
    <t>-2.11亿</t>
  </si>
  <si>
    <t>1.49亿</t>
  </si>
  <si>
    <t>16.91亿</t>
  </si>
  <si>
    <t>-4.02亿</t>
  </si>
  <si>
    <t>1.60亿</t>
  </si>
  <si>
    <t>130.83亿</t>
  </si>
  <si>
    <t>11.63亿</t>
  </si>
  <si>
    <t>4.25亿</t>
  </si>
  <si>
    <t>52.14亿</t>
  </si>
  <si>
    <t>28.74亿</t>
  </si>
  <si>
    <t>5.24亿</t>
  </si>
  <si>
    <t>5.03亿</t>
  </si>
  <si>
    <t>3888.22万</t>
  </si>
  <si>
    <t>12.02亿</t>
  </si>
  <si>
    <t>4.87亿</t>
  </si>
  <si>
    <t>74.44亿</t>
  </si>
  <si>
    <t>16.61亿</t>
  </si>
  <si>
    <t>17.78亿</t>
  </si>
  <si>
    <t>2.04亿</t>
  </si>
  <si>
    <t>SZ301096</t>
  </si>
  <si>
    <t>百诚医药</t>
  </si>
  <si>
    <t>8212.21万</t>
  </si>
  <si>
    <t>5740.37万</t>
  </si>
  <si>
    <t>4439.79万</t>
  </si>
  <si>
    <t>1104.17万</t>
  </si>
  <si>
    <t>SZ301103</t>
  </si>
  <si>
    <t>何氏眼科</t>
  </si>
  <si>
    <t>6.14亿</t>
  </si>
  <si>
    <t>SZ301201</t>
  </si>
  <si>
    <t>诚达药业</t>
  </si>
  <si>
    <t>3.73亿</t>
  </si>
  <si>
    <t>5422.39万</t>
  </si>
  <si>
    <t>671.01万</t>
  </si>
  <si>
    <t>SZ301235</t>
  </si>
  <si>
    <t>华康医疗</t>
  </si>
  <si>
    <t>8.61亿</t>
  </si>
  <si>
    <t>8136.15万</t>
  </si>
  <si>
    <t>7.62亿</t>
  </si>
  <si>
    <t>6.02亿</t>
  </si>
  <si>
    <t>4.27亿</t>
  </si>
  <si>
    <t>3.83亿</t>
  </si>
  <si>
    <t>5260.48万</t>
  </si>
  <si>
    <t>5868.70万</t>
  </si>
  <si>
    <t>2978.25万</t>
  </si>
  <si>
    <t>SZ301257</t>
  </si>
  <si>
    <t>普蕊斯</t>
  </si>
  <si>
    <t>5776.90万</t>
  </si>
  <si>
    <t>1.93亿</t>
  </si>
  <si>
    <t>3531.65万</t>
  </si>
  <si>
    <t>5235.59万</t>
  </si>
  <si>
    <t>3027.97万</t>
  </si>
  <si>
    <t>5.81亿</t>
  </si>
  <si>
    <t>5982.71万</t>
  </si>
  <si>
    <t>27.81亿</t>
  </si>
  <si>
    <t>7.03亿</t>
  </si>
  <si>
    <t>15.17亿</t>
  </si>
  <si>
    <t>229.02亿</t>
  </si>
  <si>
    <t>50.97亿</t>
  </si>
  <si>
    <t>119.43亿</t>
  </si>
  <si>
    <t>22.20亿</t>
  </si>
  <si>
    <t>SH688046</t>
  </si>
  <si>
    <t>药康生物</t>
  </si>
  <si>
    <t>3.94亿</t>
  </si>
  <si>
    <t>3.11亿</t>
  </si>
  <si>
    <t>5329.06万</t>
  </si>
  <si>
    <t>7643.35万</t>
  </si>
  <si>
    <t>3474.42万</t>
  </si>
  <si>
    <t>-602.27万</t>
  </si>
  <si>
    <t>6.44亿</t>
  </si>
  <si>
    <t>9.69亿</t>
  </si>
  <si>
    <t>11.67亿</t>
  </si>
  <si>
    <t>6338.38万</t>
  </si>
  <si>
    <t>SH688238</t>
  </si>
  <si>
    <t>和元生物</t>
  </si>
  <si>
    <t>5425.73万</t>
  </si>
  <si>
    <t>6291.45万</t>
  </si>
  <si>
    <t>4420.97万</t>
  </si>
  <si>
    <t>9443.93万</t>
  </si>
  <si>
    <t>-3652.33万</t>
  </si>
  <si>
    <t>-3232.61万</t>
  </si>
  <si>
    <t>SH688265</t>
  </si>
  <si>
    <t>南模生物</t>
  </si>
  <si>
    <t>6086.09万</t>
  </si>
  <si>
    <t>4455.59万</t>
  </si>
  <si>
    <t>2324.99万</t>
  </si>
  <si>
    <t>1511.12万</t>
  </si>
  <si>
    <t>18.66亿</t>
  </si>
  <si>
    <t>4.94亿</t>
  </si>
  <si>
    <t>其他医疗服务</t>
  </si>
  <si>
    <t xml:space="preserve">    名称</t>
  </si>
  <si>
    <t>净利润?</t>
  </si>
  <si>
    <t>投入资本回报率roic%[20211231]</t>
  </si>
  <si>
    <t>净资产收益率%[20211231]</t>
  </si>
  <si>
    <t>3年自由现金流折现</t>
    <phoneticPr fontId="1" type="noConversion"/>
  </si>
  <si>
    <t>机会区域号</t>
    <phoneticPr fontId="1" type="noConversion"/>
  </si>
  <si>
    <t>3.26亿</t>
  </si>
  <si>
    <t>亏损</t>
  </si>
  <si>
    <t>扭亏</t>
  </si>
  <si>
    <t/>
  </si>
  <si>
    <t>1.46亿</t>
  </si>
  <si>
    <t>2.83亿</t>
  </si>
  <si>
    <t>-1-0</t>
  </si>
  <si>
    <t>3.91亿</t>
  </si>
  <si>
    <t>8.06亿</t>
  </si>
  <si>
    <t>4.68亿</t>
  </si>
  <si>
    <t>3.36亿</t>
  </si>
  <si>
    <t>2.13亿</t>
  </si>
  <si>
    <t>SZ301239</t>
  </si>
  <si>
    <t>普瑞眼科</t>
  </si>
  <si>
    <t>17.10亿</t>
  </si>
  <si>
    <t>9388.93万</t>
  </si>
  <si>
    <t>13.62亿</t>
  </si>
  <si>
    <t>11.93亿</t>
  </si>
  <si>
    <t>10.16亿</t>
  </si>
  <si>
    <t>4905.48万</t>
  </si>
  <si>
    <t>3132.53万</t>
  </si>
  <si>
    <t>百花医药</t>
  </si>
  <si>
    <t>1.报告期内，公司获得小分子CDMO行业重量级订单，公司收入强劲的增长，“双轮驱动”战略有效推进，小分子业务同比增长165.9%，新兴业务同比增长157.4%，化学大分子、生物大分子、制剂、临床CRO收入增速均超过100%；2.问：公司连续性反应现有产能有多少，未来占比多少？答：公司内部30%以上小分子合成是通过连续性反应装置、技术进行替代，比例还在不断提升；以公司承接的服务某重磅药物为例，使用连续性反应技术实现1.3t/天的规模生产，对标180立方米传统批次产能效率。未来公司将持续在多个生产基地推广连续性反应技术应用。</t>
    <phoneticPr fontId="1" type="noConversion"/>
  </si>
  <si>
    <t>1.2021年度公司新签订单24.52亿元，新签订单增长率达87.66%。同时公司持续增强研发服务能力，为业绩增长提供保障。2021年度公司持续推进和完善蛋白质降解技术（PROTAC）、激酶抑制剂的小分子药物研发平台，加强高端制剂研发、药品杂质分析检测平台，强化肿瘤免疫药效评价、吸入及眼科药物评价、核酸药物评价、细胞治疗产品及抗体等生物技术药物的临床前安全性评价等技术平台建设，特别是在PROTAC平台、抗体等生物技术药物的临床前安全性评价技术平台等方面加大资源投入，不断增强公司的研发服务能力与竞争优势。2.问：相比于同行，客户选择公司的原因？答：公司是国内少有的，能提供从先导化合物筛选、优化、原料药制备、制剂工艺开发、药效学研究到临床前药代动力学及药物安全性评价等一系列服务的综合性CRO。公司业务范围涵盖化学药、生物药及中药天然药物，所提供的综合服务能以优质、高效的项目管理和成熟的综合技术平台，保障客户研发项目顺利完成。</t>
    <phoneticPr fontId="1" type="noConversion"/>
  </si>
  <si>
    <t>2.00亿</t>
  </si>
  <si>
    <t>1.问:中国医药投资环境变差，全球巨头像ICON等公开说没有观察到市场需求变差，公司对未来全球需求的展望是怎样的？在手订单的趋势是？答:宏观来讲业务延续过去趋势，客户端有非常大的需求，没有看到变化，客户端希望我们提供更多资源加快他们的课题。其他CRO、CDMO公司也有类似的感受，会持续加大研发投入，扩大pipeline。</t>
    <phoneticPr fontId="1" type="noConversion"/>
  </si>
  <si>
    <t>细分行业</t>
  </si>
  <si>
    <t>4.48亿</t>
  </si>
  <si>
    <t>1.78亿</t>
  </si>
  <si>
    <t>SZ000710</t>
  </si>
  <si>
    <t>贝瑞基因</t>
  </si>
  <si>
    <t>14.22亿</t>
  </si>
  <si>
    <t>-1.11亿</t>
  </si>
  <si>
    <t>15.40亿</t>
  </si>
  <si>
    <t>16.18亿</t>
  </si>
  <si>
    <t>14.40亿</t>
  </si>
  <si>
    <t>2.11亿</t>
  </si>
  <si>
    <t>8.34亿</t>
  </si>
  <si>
    <t>医疗研发外包</t>
  </si>
  <si>
    <t>SZ300676</t>
  </si>
  <si>
    <t>华大基因</t>
  </si>
  <si>
    <t>67.66亿</t>
  </si>
  <si>
    <t>14.62亿</t>
  </si>
  <si>
    <t>83.97亿</t>
  </si>
  <si>
    <t>28.00亿</t>
  </si>
  <si>
    <t>25.36亿</t>
  </si>
  <si>
    <t>20.90亿</t>
  </si>
  <si>
    <t>2.76亿</t>
  </si>
  <si>
    <t>3.98亿</t>
  </si>
  <si>
    <t>SZ301333</t>
  </si>
  <si>
    <t>诺思格</t>
  </si>
  <si>
    <t>6.08亿</t>
  </si>
  <si>
    <t>9923.70万</t>
  </si>
  <si>
    <t>8383.79万</t>
  </si>
  <si>
    <t>8263.34万</t>
  </si>
  <si>
    <t>4835.02万</t>
  </si>
  <si>
    <t>2.45亿</t>
  </si>
  <si>
    <t>SH688293</t>
  </si>
  <si>
    <t>6039.37万</t>
  </si>
  <si>
    <t>5852.11万</t>
  </si>
  <si>
    <t>3384.38万</t>
  </si>
  <si>
    <t>1168.46万</t>
  </si>
  <si>
    <t>-1226.54万</t>
  </si>
  <si>
    <t>-4248.03万</t>
  </si>
  <si>
    <t>SH688073</t>
  </si>
  <si>
    <t>毕得医药</t>
  </si>
  <si>
    <t>6.06亿</t>
  </si>
  <si>
    <t>9757.30万</t>
  </si>
  <si>
    <t>1.63亿</t>
  </si>
  <si>
    <t>5900.36万</t>
  </si>
  <si>
    <t>-110.25万</t>
  </si>
  <si>
    <t>-1883.13万</t>
  </si>
  <si>
    <t>1.80亿</t>
  </si>
  <si>
    <t>奥浦迈</t>
  </si>
  <si>
    <t>过往营收增速均值</t>
    <phoneticPr fontId="1" type="noConversion"/>
  </si>
  <si>
    <t>N-4</t>
    <phoneticPr fontId="1" type="noConversion"/>
  </si>
  <si>
    <t>股利率</t>
    <phoneticPr fontId="1" type="noConversion"/>
  </si>
  <si>
    <t>营收和利润加权</t>
    <phoneticPr fontId="1" type="noConversion"/>
  </si>
  <si>
    <t>5日成交换手率</t>
    <phoneticPr fontId="1" type="noConversion"/>
  </si>
  <si>
    <t>昨日价格累计指数</t>
    <phoneticPr fontId="1" type="noConversion"/>
  </si>
  <si>
    <t>N-3</t>
    <phoneticPr fontId="1" type="noConversion"/>
  </si>
  <si>
    <t>1.01亿</t>
  </si>
  <si>
    <t>10.19亿</t>
  </si>
  <si>
    <t>不分配不转增</t>
  </si>
  <si>
    <t>1.18亿</t>
  </si>
  <si>
    <t>1.30亿</t>
  </si>
  <si>
    <t>-5.96亿</t>
  </si>
  <si>
    <t>新里程</t>
  </si>
  <si>
    <t>3692.72万</t>
  </si>
  <si>
    <t>5.86亿</t>
  </si>
  <si>
    <t>14.34亿</t>
  </si>
  <si>
    <t>4.24亿</t>
  </si>
  <si>
    <t>9.87亿</t>
  </si>
  <si>
    <t>4.10亿</t>
  </si>
  <si>
    <t>10派1元(含税)</t>
  </si>
  <si>
    <t>10派3元(含税)</t>
  </si>
  <si>
    <t>4.11亿</t>
  </si>
  <si>
    <t>SZ301230</t>
  </si>
  <si>
    <t>泓博医药</t>
  </si>
  <si>
    <t>7357.66万</t>
  </si>
  <si>
    <t>1.26亿</t>
  </si>
  <si>
    <t>4869.14万</t>
  </si>
  <si>
    <t>4725.47万</t>
  </si>
  <si>
    <t>918.13万</t>
  </si>
  <si>
    <t>15.95亿</t>
  </si>
  <si>
    <t>3.03亿</t>
  </si>
  <si>
    <t>SZ301267</t>
  </si>
  <si>
    <t>华厦眼科</t>
  </si>
  <si>
    <t>30.64亿</t>
  </si>
  <si>
    <t>25.15亿</t>
  </si>
  <si>
    <t>24.56亿</t>
  </si>
  <si>
    <t>21.46亿</t>
  </si>
  <si>
    <t>3.34亿</t>
  </si>
  <si>
    <t>2.18亿</t>
  </si>
  <si>
    <t>3.37亿</t>
  </si>
  <si>
    <t>3.71亿</t>
  </si>
  <si>
    <t>1.65亿</t>
  </si>
  <si>
    <t>3.69亿</t>
  </si>
  <si>
    <t>1.05亿</t>
  </si>
  <si>
    <t xml:space="preserve">
</t>
    <phoneticPr fontId="1" type="noConversion"/>
  </si>
  <si>
    <t>公司主营业务为面向眼病患者提供眼科专科诊疗服务和视光服务。公司的主要服务项目有白内障诊疗服务项目、屈光不正诊疗服务项目、玻璃体视网膜诊疗服务项目青光眼诊疗服务项目、干眼特色诊疗服务项目、中医特色诊疗服务项目。</t>
    <phoneticPr fontId="1" type="noConversion"/>
  </si>
  <si>
    <t>诊疗服务 3.04亿 64.85% 57.53% 36.24%
视光服务 1.63亿 34.75% 41.81% 49.15%</t>
    <phoneticPr fontId="1" type="noConversion"/>
  </si>
  <si>
    <t>皓宸医疗</t>
  </si>
  <si>
    <t>1-1</t>
  </si>
  <si>
    <t>-1-1</t>
  </si>
  <si>
    <t>2-1</t>
  </si>
  <si>
    <t>1.大股东大额减持，大概8%；</t>
    <phoneticPr fontId="1" type="noConversion"/>
  </si>
  <si>
    <r>
      <t>1.2022 年 9 月，公司董事冯宇霞收到了《上海证券交易所的纪律处分决定书》，处分内容主要如下：公司实际控制人兼董事冯宇霞及其一致行动人因公司发行 H 股份，导致持股比例被动稀释，被动稀释后存在减持股份行为，冯宇霞及其一致行动人未按规定及时停止减持并履行权益变动披露义务，违反了相关规定。对此，上海证券交易所作出对公司实际控制人兼时任董事冯宇霞予以通报批评的纪律处分。2.实控人夫妻还另外有一家上市公司“舒泰神”。3.2022年利润里，H股上市的现金利息过高1.31亿，且导致财务费用-1.55亿；另外猴子的价格变动增加了公允价值的3.5亿；这些都是不可以持续项；因此10.74亿的</t>
    </r>
    <r>
      <rPr>
        <sz val="9"/>
        <color rgb="FFFF0000"/>
        <rFont val="宋体"/>
        <family val="3"/>
        <charset val="134"/>
        <scheme val="minor"/>
      </rPr>
      <t>利润需要扣除这些不可持续的利润来源</t>
    </r>
    <r>
      <rPr>
        <sz val="9"/>
        <color theme="1"/>
        <rFont val="宋体"/>
        <family val="3"/>
        <charset val="134"/>
        <scheme val="minor"/>
      </rPr>
      <t>，这么计算10.74-3.5-1.55-1.31=</t>
    </r>
    <r>
      <rPr>
        <b/>
        <sz val="9"/>
        <color rgb="FFFF0000"/>
        <rFont val="宋体"/>
        <family val="3"/>
        <charset val="134"/>
        <scheme val="minor"/>
      </rPr>
      <t>4.38亿</t>
    </r>
    <r>
      <rPr>
        <sz val="9"/>
        <color theme="1"/>
        <rFont val="宋体"/>
        <family val="3"/>
        <charset val="134"/>
        <scheme val="minor"/>
      </rPr>
      <t>；4.我国非临床药物安全评价市占率，</t>
    </r>
    <r>
      <rPr>
        <i/>
        <sz val="9"/>
        <color theme="1"/>
        <rFont val="宋体"/>
        <family val="3"/>
        <charset val="134"/>
        <scheme val="minor"/>
      </rPr>
      <t>2021年昭衍新药占比15.5%，药明康德占比9.9%，科文斯中国占比5.1%，美迪西占比4.3%，方达控股占比3.5%，康龙化成占比3.3%</t>
    </r>
    <r>
      <rPr>
        <sz val="9"/>
        <color theme="1"/>
        <rFont val="宋体"/>
        <family val="3"/>
        <charset val="134"/>
        <scheme val="minor"/>
      </rPr>
      <t xml:space="preserve">，2022年，2022年昭衍新药市占率已经达到20%左右。
</t>
    </r>
    <phoneticPr fontId="1" type="noConversion"/>
  </si>
  <si>
    <r>
      <t>1.2022年年报营收22.68亿，净利润10.74亿元，同比去年增长92.71%，营收增49%。2.公司整体</t>
    </r>
    <r>
      <rPr>
        <b/>
        <sz val="9"/>
        <color rgb="FFFF0000"/>
        <rFont val="宋体"/>
        <family val="3"/>
        <charset val="134"/>
        <scheme val="minor"/>
      </rPr>
      <t>在手订单金额约 44 亿元</t>
    </r>
    <r>
      <rPr>
        <sz val="9"/>
        <color theme="1"/>
        <rFont val="宋体"/>
        <family val="3"/>
        <charset val="134"/>
        <scheme val="minor"/>
      </rPr>
      <t>人民币，为未来业绩提供了保障,2022年新增订单38亿，</t>
    </r>
    <r>
      <rPr>
        <b/>
        <sz val="9"/>
        <color rgb="FFFF0000"/>
        <rFont val="宋体"/>
        <family val="3"/>
        <charset val="134"/>
        <scheme val="minor"/>
      </rPr>
      <t>增速为35%</t>
    </r>
    <r>
      <rPr>
        <sz val="9"/>
        <color theme="1"/>
        <rFont val="宋体"/>
        <family val="3"/>
        <charset val="134"/>
        <scheme val="minor"/>
      </rPr>
      <t>。3.公司总体的发展战略是：药物非临床药理毒理学评价业务为核心业务，稳步提升市场占有率及海外影响力；4.领先的药物非临床评价能力：a.规模化服务能力(在中国和美国拥有</t>
    </r>
    <r>
      <rPr>
        <b/>
        <sz val="9"/>
        <color rgb="FFFF0000"/>
        <rFont val="宋体"/>
        <family val="3"/>
        <charset val="134"/>
        <scheme val="minor"/>
      </rPr>
      <t>超过 10 万平方米</t>
    </r>
    <r>
      <rPr>
        <sz val="9"/>
        <color theme="1"/>
        <rFont val="宋体"/>
        <family val="3"/>
        <charset val="134"/>
        <scheme val="minor"/>
      </rPr>
      <t>的实验设施，这些实验室包括动物饲养管理设施、功能实验室及支持试验的各项设施);b.专业化的药物研究能力;c.丰富的药物评价经验;d.全面的国际化资质(GLP).5.</t>
    </r>
    <r>
      <rPr>
        <sz val="9"/>
        <color rgb="FFFF0000"/>
        <rFont val="宋体"/>
        <family val="3"/>
        <charset val="134"/>
        <scheme val="minor"/>
      </rPr>
      <t>加强美国 BD</t>
    </r>
    <r>
      <rPr>
        <sz val="9"/>
        <color theme="1"/>
        <rFont val="宋体"/>
        <family val="3"/>
        <charset val="134"/>
        <scheme val="minor"/>
      </rPr>
      <t xml:space="preserve"> 团队建设。在 BIOMERE 及昭衍加州两地，加强 BD 团队建设及市场推广力度，借助 BIOMERE 的品牌及声誉，提升昭衍在美国及海外的影响力。</t>
    </r>
    <phoneticPr fontId="1" type="noConversion"/>
  </si>
  <si>
    <t>SZ301293</t>
  </si>
  <si>
    <t>三博脑科</t>
  </si>
  <si>
    <r>
      <t>1.2022年年报每股收益3.01元，净利润88.14亿元，同比去年增长72.91%。营收393.65亿增速71.84%。2.公司独特的 CRDMO（合同研究、开发与生产）和 CTDMO（合同测试、研发与生产）业务模式持续驱动公司高速发展。3.2022 年，公司新增客户超过 1,400 家，活跃客户数量超过 5,950 家，全球各地的客户对公司的服务需求保持十分强劲的增长。公司</t>
    </r>
    <r>
      <rPr>
        <sz val="9"/>
        <color rgb="FFFF0000"/>
        <rFont val="宋体"/>
        <family val="3"/>
        <charset val="134"/>
        <scheme val="minor"/>
      </rPr>
      <t>来自美国客户收入人民币 258.84 亿元，同比增长 113%</t>
    </r>
    <r>
      <rPr>
        <sz val="9"/>
        <color theme="1"/>
        <rFont val="宋体"/>
        <family val="3"/>
        <charset val="134"/>
        <scheme val="minor"/>
      </rPr>
      <t>；来自中国客户收入人民币 75.26 亿元，同比增长 30%；来自欧洲客户收入人民币 44.32 亿元，同比增长19%；来自其他地区客户收入人民币 15.12 亿元，同比增长 23%。，客户渗透率继续提高，来自于</t>
    </r>
    <r>
      <rPr>
        <b/>
        <sz val="9"/>
        <color rgb="FFFF0000"/>
        <rFont val="宋体"/>
        <family val="3"/>
        <charset val="134"/>
        <scheme val="minor"/>
      </rPr>
      <t>全球前 20 大制药企业收入人民币 184.21 亿元，同比增长 174%</t>
    </r>
    <r>
      <rPr>
        <b/>
        <sz val="9"/>
        <rFont val="宋体"/>
        <family val="3"/>
        <charset val="134"/>
        <scheme val="minor"/>
      </rPr>
      <t>.</t>
    </r>
    <phoneticPr fontId="1" type="noConversion"/>
  </si>
  <si>
    <r>
      <t>1.在 2022 年强劲增长基础上，公司</t>
    </r>
    <r>
      <rPr>
        <sz val="9"/>
        <color rgb="FFFF0000"/>
        <rFont val="宋体"/>
        <family val="3"/>
        <charset val="134"/>
        <scheme val="minor"/>
      </rPr>
      <t>预计 2023 年收入将继续增长 5-7%</t>
    </r>
    <r>
      <rPr>
        <sz val="9"/>
        <color theme="1"/>
        <rFont val="宋体"/>
        <family val="3"/>
        <charset val="134"/>
        <scheme val="minor"/>
      </rPr>
      <t>。其中，剔除特定商业化
项目，WuXi Chemistry 收入预计增长 36-38%，且 TIDES（WuXi Chemistry 中新分子业务）预计
增速为 WuXi Chemistry 整体增速的近 2 倍；其他业务板块（WuXi Testing，WuXi Biology，WuXi
ATU）收入预计增长 20-23%；WuXi DDSU 将持续业务迭代升级，预计收入下降超过 20%。2.大股东减持不超过3%；</t>
    </r>
    <phoneticPr fontId="1" type="noConversion"/>
  </si>
  <si>
    <t>1.79亿</t>
  </si>
  <si>
    <t>4.74亿</t>
  </si>
  <si>
    <t>2.05亿</t>
  </si>
  <si>
    <t>27.11亿</t>
  </si>
  <si>
    <t>-11.77亿</t>
  </si>
  <si>
    <t>1.42亿</t>
  </si>
  <si>
    <t>-1.03亿</t>
  </si>
  <si>
    <t>13.68亿</t>
  </si>
  <si>
    <t>5.49亿</t>
  </si>
  <si>
    <t>92.16亿</t>
  </si>
  <si>
    <t>6157.89万</t>
  </si>
  <si>
    <t>20.21亿</t>
  </si>
  <si>
    <t>7.10亿</t>
  </si>
  <si>
    <t>3.14亿</t>
  </si>
  <si>
    <t>5.44亿</t>
  </si>
  <si>
    <t>7.67亿</t>
  </si>
  <si>
    <t>-7821.76万</t>
  </si>
  <si>
    <t>5.01亿</t>
  </si>
  <si>
    <t>-2.57亿</t>
  </si>
  <si>
    <t>102.55亿</t>
  </si>
  <si>
    <t>33.02亿</t>
  </si>
  <si>
    <t>10派18元(含税)</t>
  </si>
  <si>
    <t>161.10亿</t>
  </si>
  <si>
    <t>25.24亿</t>
  </si>
  <si>
    <t>3.79亿</t>
  </si>
  <si>
    <t>1.62亿</t>
  </si>
  <si>
    <t>3.86亿</t>
  </si>
  <si>
    <t>202.82亿</t>
  </si>
  <si>
    <t>10派2元(含税)</t>
  </si>
  <si>
    <t>70.85亿</t>
  </si>
  <si>
    <t>20.07亿</t>
  </si>
  <si>
    <t>70.35亿</t>
  </si>
  <si>
    <t>20.05亿</t>
  </si>
  <si>
    <t>2766.95万</t>
  </si>
  <si>
    <t>10派0.1元(含税)</t>
  </si>
  <si>
    <t>1.40亿</t>
  </si>
  <si>
    <t>3.30亿</t>
  </si>
  <si>
    <t>102.66亿</t>
  </si>
  <si>
    <t>13.75亿</t>
  </si>
  <si>
    <t>41.99亿</t>
  </si>
  <si>
    <t>6.17亿</t>
  </si>
  <si>
    <t>6.07亿</t>
  </si>
  <si>
    <t>1.94亿</t>
  </si>
  <si>
    <t>9.55亿</t>
  </si>
  <si>
    <t>9.62亿</t>
  </si>
  <si>
    <t>8.38亿</t>
  </si>
  <si>
    <t>7.46亿</t>
  </si>
  <si>
    <t>8636.43万</t>
  </si>
  <si>
    <t>8060.12万</t>
  </si>
  <si>
    <t>5610.47万</t>
  </si>
  <si>
    <t>4.79亿</t>
  </si>
  <si>
    <t>6717.59万</t>
  </si>
  <si>
    <t>11.89亿</t>
  </si>
  <si>
    <t>17.26亿</t>
  </si>
  <si>
    <t>2056.82万</t>
  </si>
  <si>
    <t>7241.14万</t>
  </si>
  <si>
    <t>32.33亿</t>
  </si>
  <si>
    <t>11.37亿</t>
  </si>
  <si>
    <t>9.49亿</t>
  </si>
  <si>
    <t>7669.43万</t>
  </si>
  <si>
    <t>6174.14万</t>
  </si>
  <si>
    <t>5085.21万</t>
  </si>
  <si>
    <t>6825.80万</t>
  </si>
  <si>
    <t>6.38亿</t>
  </si>
  <si>
    <t>5.06亿</t>
  </si>
  <si>
    <t>-7.99亿</t>
  </si>
  <si>
    <t>6.77亿</t>
  </si>
  <si>
    <t>27.19亿</t>
  </si>
  <si>
    <t>5.48亿</t>
  </si>
  <si>
    <t>22.68亿</t>
  </si>
  <si>
    <t>10.74亿</t>
  </si>
  <si>
    <t>393.55亿</t>
  </si>
  <si>
    <t>88.14亿</t>
  </si>
  <si>
    <t>154.76亿</t>
  </si>
  <si>
    <t>5.17亿</t>
  </si>
  <si>
    <t>2.21亿</t>
  </si>
  <si>
    <t>6.51亿</t>
  </si>
  <si>
    <t>13.58亿</t>
  </si>
  <si>
    <t>16.59亿</t>
  </si>
  <si>
    <t>3.38亿</t>
  </si>
  <si>
    <t>2526.60万</t>
  </si>
  <si>
    <t>2.97亿</t>
  </si>
  <si>
    <t>-539.96万</t>
  </si>
  <si>
    <t>22.10亿</t>
  </si>
  <si>
    <t>19.26亿</t>
  </si>
  <si>
    <t>1.48亿</t>
  </si>
  <si>
    <t>涨幅%</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</si>
  <si>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</si>
  <si>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</si>
  <si>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</si>
  <si>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</si>
  <si>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</si>
  <si>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</si>
  <si>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</si>
  <si>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</si>
  <si>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</si>
  <si>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</si>
  <si>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</si>
  <si>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</si>
  <si>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</si>
  <si>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</si>
  <si>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</si>
  <si>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</si>
  <si>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</si>
  <si>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</si>
  <si>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</si>
  <si>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</si>
  <si>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</si>
  <si>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</si>
  <si>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</si>
  <si>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</si>
  <si>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</si>
  <si>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</si>
  <si>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</si>
  <si>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</si>
  <si>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</si>
  <si>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</si>
  <si>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</si>
  <si>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</si>
  <si>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</si>
  <si>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</si>
  <si>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</si>
  <si>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</si>
  <si>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投入资本回报率roic%[20230331]</t>
  </si>
  <si>
    <t>净资产收益率%[20230331]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</si>
  <si>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</si>
  <si>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</si>
  <si>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</si>
  <si>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</si>
  <si>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</si>
  <si>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</si>
  <si>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</si>
  <si>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</si>
  <si>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</si>
  <si>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</si>
  <si>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</si>
  <si>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</si>
  <si>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</si>
  <si>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</si>
  <si>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</si>
  <si>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3增速</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</si>
  <si>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</si>
  <si>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</si>
  <si>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</si>
  <si>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</si>
  <si>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</si>
  <si>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</si>
  <si>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</si>
  <si>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</si>
  <si>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</si>
  <si>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</si>
  <si>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</si>
  <si>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</si>
  <si>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</si>
  <si>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</si>
  <si>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</si>
  <si>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</si>
  <si>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</si>
  <si>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30日成交换手率</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</si>
  <si>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</si>
  <si>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</si>
  <si>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</si>
  <si>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</si>
  <si>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</si>
  <si>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N-2</t>
    <phoneticPr fontId="1" type="noConversion"/>
  </si>
  <si>
    <t>N-1</t>
    <phoneticPr fontId="1" type="noConversion"/>
  </si>
  <si>
    <t>N</t>
    <phoneticPr fontId="1" type="noConversion"/>
  </si>
  <si>
    <t>11.56亿</t>
  </si>
  <si>
    <t>6.34亿</t>
  </si>
  <si>
    <t>SZ301509</t>
  </si>
  <si>
    <t>7.17亿</t>
  </si>
  <si>
    <t>SH603456</t>
  </si>
  <si>
    <t>九洲药业</t>
  </si>
  <si>
    <t>54.45亿</t>
  </si>
  <si>
    <t>40.63亿</t>
  </si>
  <si>
    <t>26.47亿</t>
  </si>
  <si>
    <t>20.17亿</t>
  </si>
  <si>
    <t>18.62亿</t>
  </si>
  <si>
    <t>2.38亿</t>
  </si>
  <si>
    <t>10派4元(含税)</t>
  </si>
  <si>
    <t>-2-1</t>
  </si>
  <si>
    <t>2.46亿</t>
  </si>
  <si>
    <t>1.17亿</t>
  </si>
  <si>
    <t>2.69亿</t>
  </si>
  <si>
    <t>金凯生科</t>
  </si>
  <si>
    <t>6.80亿</t>
  </si>
  <si>
    <t>10.64亿</t>
  </si>
  <si>
    <t>2.79亿</t>
  </si>
  <si>
    <t>5.41亿</t>
  </si>
  <si>
    <t>2.52亿</t>
  </si>
  <si>
    <t>22.49亿</t>
  </si>
  <si>
    <t>12.91亿</t>
  </si>
  <si>
    <t>1.81亿</t>
  </si>
  <si>
    <t>26.71亿</t>
  </si>
  <si>
    <t>18.80亿</t>
  </si>
  <si>
    <t>13.78亿</t>
  </si>
  <si>
    <t>2.32亿</t>
  </si>
  <si>
    <t>1.03亿</t>
  </si>
  <si>
    <t>4.64亿</t>
  </si>
  <si>
    <t>31.61亿</t>
  </si>
  <si>
    <t>1.82亿</t>
  </si>
  <si>
    <t>3.48亿</t>
  </si>
  <si>
    <t>6.22亿</t>
  </si>
  <si>
    <t>3.42亿</t>
  </si>
  <si>
    <t>1.67亿</t>
  </si>
  <si>
    <t>1.50亿</t>
  </si>
  <si>
    <t>3.67亿</t>
  </si>
  <si>
    <t>2.90亿</t>
  </si>
  <si>
    <t>2.85亿</t>
  </si>
  <si>
    <t>4.37亿</t>
  </si>
  <si>
    <t>15.79亿</t>
  </si>
  <si>
    <t>4.32亿</t>
  </si>
  <si>
    <t>4.15亿</t>
  </si>
  <si>
    <t>8454.83万</t>
  </si>
  <si>
    <t>5893.63万</t>
  </si>
  <si>
    <t>5816.10万</t>
  </si>
  <si>
    <t>2668.61万</t>
  </si>
  <si>
    <t>SZ301520</t>
  </si>
  <si>
    <t>2.61亿</t>
  </si>
  <si>
    <t>3.19亿</t>
  </si>
  <si>
    <t>2.67亿</t>
  </si>
  <si>
    <t>5.23亿</t>
  </si>
  <si>
    <t>4.40亿</t>
  </si>
  <si>
    <t>1.全球小分子CDMO巨头 合全(药明康德子公司，中美两地）， Lonza;</t>
    <phoneticPr fontId="1" type="noConversion"/>
  </si>
  <si>
    <t>-3-0</t>
  </si>
  <si>
    <r>
      <t xml:space="preserve">1.2019年收购苏州诺华签订5年供货协议；2.随着新适应症获批，诺欣妥在 HFpEF 具有明显先发优势，竞争态势良好，有望为
诺华带来可观销售收入，2026 年诺欣妥销售额有望突破百亿美元。我们预计 2026 年诺欣妥用于治疗 </t>
    </r>
    <r>
      <rPr>
        <sz val="9"/>
        <color rgb="FFFF0000"/>
        <rFont val="宋体"/>
        <family val="3"/>
        <charset val="134"/>
        <scheme val="minor"/>
      </rPr>
      <t>HFpEF（心衰）</t>
    </r>
    <r>
      <rPr>
        <sz val="9"/>
        <color theme="1"/>
        <rFont val="宋体"/>
        <family val="3"/>
        <charset val="134"/>
        <scheme val="minor"/>
      </rPr>
      <t xml:space="preserve"> 的渗透率为 10%。综合来看我们预计在 2025 年诺欣妥销售额将超过百亿美金，</t>
    </r>
    <r>
      <rPr>
        <sz val="9"/>
        <color rgb="FFFF0000"/>
        <rFont val="宋体"/>
        <family val="3"/>
        <charset val="134"/>
        <scheme val="minor"/>
      </rPr>
      <t>2022-2026年复合增长率为 19.13%</t>
    </r>
    <r>
      <rPr>
        <sz val="9"/>
        <color theme="1"/>
        <rFont val="宋体"/>
        <family val="3"/>
        <charset val="134"/>
        <scheme val="minor"/>
      </rPr>
      <t>；</t>
    </r>
    <phoneticPr fontId="1" type="noConversion"/>
  </si>
  <si>
    <r>
      <t>1.</t>
    </r>
    <r>
      <rPr>
        <sz val="9"/>
        <color rgb="FFFF0000"/>
        <rFont val="宋体"/>
        <family val="3"/>
        <charset val="134"/>
        <scheme val="minor"/>
      </rPr>
      <t>临床前研究业务</t>
    </r>
    <r>
      <rPr>
        <sz val="9"/>
        <color theme="1"/>
        <rFont val="宋体"/>
        <family val="3"/>
        <charset val="134"/>
        <scheme val="minor"/>
      </rPr>
      <t xml:space="preserve">：考虑到临床前业务的高需求，预计公司该板块业务收入增速 2023-2025年有望实现 </t>
    </r>
    <r>
      <rPr>
        <sz val="9"/>
        <color rgb="FFFF0000"/>
        <rFont val="宋体"/>
        <family val="3"/>
        <charset val="134"/>
        <scheme val="minor"/>
      </rPr>
      <t>40.0%/30.0%/25.0%的高增长</t>
    </r>
    <r>
      <rPr>
        <sz val="9"/>
        <color theme="1"/>
        <rFont val="宋体"/>
        <family val="3"/>
        <charset val="134"/>
        <scheme val="minor"/>
      </rPr>
      <t>；考虑业务的持续开拓，毛利率略微降低至 45.0%。</t>
    </r>
    <r>
      <rPr>
        <sz val="9"/>
        <color rgb="FFFF0000"/>
        <rFont val="宋体"/>
        <family val="3"/>
        <charset val="134"/>
        <scheme val="minor"/>
      </rPr>
      <t>药物发现与药学研究业务</t>
    </r>
    <r>
      <rPr>
        <sz val="9"/>
        <color theme="1"/>
        <rFont val="宋体"/>
        <family val="3"/>
        <charset val="134"/>
        <scheme val="minor"/>
      </rPr>
      <t>：国内外的新药研发需求持续，预计公司该板块业务收入增速2023-2025 年有望保持 25.0%/22.0%/20.0%的增速；毛利率略有提升至 35.0%。</t>
    </r>
    <phoneticPr fontId="1" type="noConversion"/>
  </si>
  <si>
    <r>
      <t xml:space="preserve">1.我们预测公司 2022-2024 年归母净利润分别为 9.30 亿元、12.41 亿元、16.61亿元，同比增长 </t>
    </r>
    <r>
      <rPr>
        <sz val="9"/>
        <color rgb="FFFF0000"/>
        <rFont val="宋体"/>
        <family val="3"/>
        <charset val="134"/>
        <scheme val="minor"/>
      </rPr>
      <t>46.7%、33.5%、33.9%</t>
    </r>
    <r>
      <rPr>
        <sz val="9"/>
        <color theme="1"/>
        <rFont val="宋体"/>
        <family val="3"/>
        <charset val="134"/>
        <scheme val="minor"/>
      </rPr>
      <t>，EPS 分别为 1.03、1.38、1.85 元。参考可比公司估值，考虑到九洲药业 “CDMO 大客户+原料药”双轮驱动模式，我们给与其 2023 年 35-40 倍 PE，对应合理价值区间为 48.30-55.20 元；</t>
    </r>
    <phoneticPr fontId="1" type="noConversion"/>
  </si>
  <si>
    <t>0.SMO(site management organization);1.</t>
    <phoneticPr fontId="1" type="noConversion"/>
  </si>
  <si>
    <t>1.13亿</t>
  </si>
  <si>
    <t>万邦医药</t>
  </si>
  <si>
    <t>4.38亿</t>
  </si>
  <si>
    <r>
      <t>0.DS是Drugsubstance,也就是我们说的原料药;DP就是DrugProduct（制剂）,就是我们平时看到的那些注射粉针、胶囊和片剂了；1.我们预计 2022/2023/2024 年公司净利润分别为 9.21 亿/8.07 亿/10.53 亿元，对应 EPS预测分别为 1.69/1.48/1.93 元，预测PE按24计算；2.2023年前三季度，公司为全球约300家客户提供小分子原料药CDMO服务，引入国内外新客户77家（北美区28家，中国
区40家，欧洲区5家，其他亚太区4家）。2023年前三季度，公司已签订单项目数（不含J-STAR）592个，</t>
    </r>
    <r>
      <rPr>
        <sz val="9"/>
        <color rgb="FFFF0000"/>
        <rFont val="宋体"/>
        <family val="3"/>
        <charset val="134"/>
        <scheme val="minor"/>
      </rPr>
      <t>同比增长约32%</t>
    </r>
    <r>
      <rPr>
        <sz val="9"/>
        <color theme="1"/>
        <rFont val="宋体"/>
        <family val="3"/>
        <charset val="134"/>
        <scheme val="minor"/>
      </rPr>
      <t>；
实现交付项目数448个，同比增长约35%。</t>
    </r>
    <phoneticPr fontId="1" type="noConversion"/>
  </si>
  <si>
    <r>
      <t>1.DP, CGT(Cell Gene Tech生物）CDMO属于新类型，占比还不太高；2.2023年，受下游客户融资的影响，基因细胞治疗CDMO业务在新签订单方面未达年初预期。前三季度，博腾生物引入新客户44家，新项目64个，新签订单约0.58亿元，</t>
    </r>
    <r>
      <rPr>
        <sz val="9"/>
        <color rgb="FFFF0000"/>
        <rFont val="宋体"/>
        <family val="3"/>
        <charset val="134"/>
        <scheme val="minor"/>
      </rPr>
      <t>同比下降46%</t>
    </r>
    <r>
      <rPr>
        <sz val="9"/>
        <color theme="1"/>
        <rFont val="宋体"/>
        <family val="3"/>
        <charset val="134"/>
        <scheme val="minor"/>
      </rPr>
      <t>。</t>
    </r>
    <phoneticPr fontId="1" type="noConversion"/>
  </si>
  <si>
    <t>2.30亿</t>
  </si>
  <si>
    <t>2-0</t>
  </si>
  <si>
    <t>13.98亿</t>
  </si>
  <si>
    <t>8.24亿</t>
  </si>
  <si>
    <t>11.03亿</t>
  </si>
  <si>
    <t>9.86亿</t>
  </si>
  <si>
    <t>7.75亿</t>
  </si>
  <si>
    <t>3.70亿</t>
  </si>
  <si>
    <t>8.63亿</t>
  </si>
  <si>
    <t>10.32亿</t>
  </si>
  <si>
    <t>4.53亿</t>
  </si>
  <si>
    <t>2.35亿</t>
  </si>
  <si>
    <t>7.57亿</t>
  </si>
  <si>
    <t>10.58亿</t>
  </si>
  <si>
    <t>7.86亿</t>
  </si>
  <si>
    <t>5.56亿</t>
  </si>
  <si>
    <t>4.21亿</t>
  </si>
  <si>
    <t>1.19亿</t>
  </si>
  <si>
    <t>14.13亿</t>
  </si>
  <si>
    <t>1.37亿</t>
  </si>
  <si>
    <t>10.66亿</t>
  </si>
  <si>
    <t>3.18亿</t>
  </si>
  <si>
    <t>4.91亿</t>
  </si>
  <si>
    <t>4.36亿</t>
  </si>
  <si>
    <t>3.55亿</t>
  </si>
  <si>
    <t>8.51亿</t>
  </si>
  <si>
    <t>3.20亿</t>
  </si>
  <si>
    <t>3.08亿</t>
  </si>
  <si>
    <t>4-0</t>
  </si>
  <si>
    <t>9873.38万</t>
  </si>
  <si>
    <t>10.34亿</t>
  </si>
  <si>
    <t>8187.03万</t>
  </si>
  <si>
    <t>5451.56万</t>
  </si>
  <si>
    <t>2660.14万</t>
  </si>
  <si>
    <t>2790.47万</t>
  </si>
  <si>
    <t>4.96亿</t>
  </si>
  <si>
    <t>266.83万</t>
  </si>
  <si>
    <t>4.30亿</t>
  </si>
  <si>
    <t>2.20亿</t>
  </si>
  <si>
    <t>1.38亿</t>
  </si>
  <si>
    <t>6.26亿</t>
  </si>
  <si>
    <t>-1.37亿</t>
  </si>
  <si>
    <t>100.00万</t>
  </si>
  <si>
    <t>2.47亿</t>
  </si>
  <si>
    <t>4.81亿</t>
  </si>
  <si>
    <t>-1.28亿</t>
  </si>
  <si>
    <t>5.76亿</t>
  </si>
  <si>
    <t>2.99亿</t>
  </si>
  <si>
    <t>13.76亿</t>
  </si>
  <si>
    <t>3.39亿</t>
  </si>
  <si>
    <t>-1.94亿</t>
  </si>
  <si>
    <t>3.09亿</t>
  </si>
  <si>
    <t>2.23亿</t>
  </si>
  <si>
    <t>5.99亿</t>
  </si>
  <si>
    <t>7.29亿</t>
  </si>
  <si>
    <t>1.73亿</t>
  </si>
  <si>
    <t>9.53亿</t>
  </si>
  <si>
    <t>-4-1</t>
  </si>
  <si>
    <t>3-0</t>
  </si>
  <si>
    <t>1.04亿</t>
  </si>
  <si>
    <t>-3-1</t>
  </si>
  <si>
    <t>586.21万</t>
  </si>
  <si>
    <t>4.67亿</t>
  </si>
  <si>
    <t>3.02亿</t>
  </si>
  <si>
    <t>2597.39万</t>
  </si>
  <si>
    <t>-2817.26万</t>
  </si>
  <si>
    <t>2998.16万</t>
  </si>
  <si>
    <t>920.90万</t>
  </si>
  <si>
    <t>741.40万</t>
  </si>
  <si>
    <t>1058.55万</t>
  </si>
  <si>
    <t>1356564亿</t>
  </si>
  <si>
    <t>-3831369亿</t>
  </si>
  <si>
    <t>124167490亿</t>
  </si>
  <si>
    <t>497830400亿</t>
  </si>
  <si>
    <t>2811.11万</t>
  </si>
  <si>
    <t>7946.11万</t>
  </si>
  <si>
    <t>-150.47万</t>
  </si>
  <si>
    <t>-1.19亿</t>
  </si>
  <si>
    <t>-1.61亿</t>
  </si>
  <si>
    <t>-1245.74万</t>
  </si>
  <si>
    <t>3473.96万</t>
  </si>
  <si>
    <t>-197.60万</t>
  </si>
  <si>
    <t>4115.58万</t>
  </si>
  <si>
    <t>-8-1</t>
  </si>
  <si>
    <t>781.89万</t>
  </si>
  <si>
    <t>75.05亿</t>
  </si>
  <si>
    <t>36.93亿</t>
  </si>
  <si>
    <t>11.73亿</t>
  </si>
  <si>
    <t>46.18亿</t>
  </si>
  <si>
    <t>-3.68亿</t>
  </si>
  <si>
    <t>12.87亿</t>
  </si>
  <si>
    <t>10.81亿</t>
  </si>
  <si>
    <t>61.18万</t>
  </si>
  <si>
    <t>-327053亿</t>
  </si>
  <si>
    <t>21.91万</t>
  </si>
  <si>
    <t>-89849571亿</t>
  </si>
  <si>
    <t>7.42亿</t>
  </si>
  <si>
    <t>647218040亿</t>
  </si>
  <si>
    <t>1636434300亿</t>
  </si>
  <si>
    <t>2.43亿</t>
  </si>
  <si>
    <t>20.49亿</t>
  </si>
  <si>
    <t>31.04万</t>
  </si>
  <si>
    <t>38.35亿</t>
  </si>
  <si>
    <t>33.73亿</t>
  </si>
  <si>
    <t>2.19亿</t>
  </si>
  <si>
    <t>-2.84亿</t>
  </si>
  <si>
    <t>-7474.05万</t>
  </si>
  <si>
    <t>医院</t>
  </si>
  <si>
    <t>5974.97万</t>
  </si>
  <si>
    <t>472.26万</t>
  </si>
  <si>
    <t>8.47亿</t>
  </si>
  <si>
    <t>19.04亿</t>
  </si>
  <si>
    <t>11.51亿</t>
  </si>
  <si>
    <t>-4.27亿</t>
  </si>
  <si>
    <t>5942.57万</t>
  </si>
  <si>
    <t>3732.79万</t>
  </si>
  <si>
    <t>-2803569亿</t>
  </si>
  <si>
    <t>17.73万</t>
  </si>
  <si>
    <t>9989881亿</t>
  </si>
  <si>
    <t>888590080亿</t>
  </si>
  <si>
    <t>912.67万</t>
  </si>
  <si>
    <t>1442725000亿</t>
  </si>
  <si>
    <t>1550.54万</t>
  </si>
  <si>
    <t>7.13亿</t>
  </si>
  <si>
    <t>4218.31万</t>
  </si>
  <si>
    <t>-4272.15万</t>
  </si>
  <si>
    <t>-780.99万</t>
  </si>
  <si>
    <t>-4084.43万</t>
  </si>
  <si>
    <t>-2.49亿</t>
  </si>
  <si>
    <t>-1.17亿</t>
  </si>
  <si>
    <t>2.80亿</t>
  </si>
  <si>
    <t>-2073.84万</t>
  </si>
  <si>
    <t>2660.30万</t>
  </si>
  <si>
    <t>2984.41万</t>
  </si>
  <si>
    <t>110.47亿</t>
  </si>
  <si>
    <t>81.13亿</t>
  </si>
  <si>
    <t>18.01亿</t>
  </si>
  <si>
    <t>108.94亿</t>
  </si>
  <si>
    <t>21.07亿</t>
  </si>
  <si>
    <t>12.96亿</t>
  </si>
  <si>
    <t>5.13亿</t>
  </si>
  <si>
    <t>2.10亿</t>
  </si>
  <si>
    <t>-8298436亿</t>
  </si>
  <si>
    <t>168.62万</t>
  </si>
  <si>
    <t>-302013520亿</t>
  </si>
  <si>
    <t>2533484600亿</t>
  </si>
  <si>
    <t>510.02万</t>
  </si>
  <si>
    <t>5506801200亿</t>
  </si>
  <si>
    <t>8709.72万</t>
  </si>
  <si>
    <t>40.00万</t>
  </si>
  <si>
    <t>10.21亿</t>
  </si>
  <si>
    <t>74.71亿</t>
  </si>
  <si>
    <t>-5.43亿</t>
  </si>
  <si>
    <t>-6800.60万</t>
  </si>
  <si>
    <t>-1.43亿</t>
  </si>
  <si>
    <t>86.16亿</t>
  </si>
  <si>
    <t>-5.59亿</t>
  </si>
  <si>
    <t>21.17亿</t>
  </si>
  <si>
    <t>-1.72亿</t>
  </si>
  <si>
    <t>10派0.19元(含税)</t>
  </si>
  <si>
    <t>903.26万</t>
  </si>
  <si>
    <t>21.67亿</t>
  </si>
  <si>
    <t>5.82亿</t>
  </si>
  <si>
    <t>21.74亿</t>
  </si>
  <si>
    <t>4968.16万</t>
  </si>
  <si>
    <t>5.02亿</t>
  </si>
  <si>
    <t>1023.99万</t>
  </si>
  <si>
    <t>3009.48万</t>
  </si>
  <si>
    <t>-386951亿</t>
  </si>
  <si>
    <t>427.46万</t>
  </si>
  <si>
    <t>27855342亿</t>
  </si>
  <si>
    <t>5.52亿</t>
  </si>
  <si>
    <t>357015520亿</t>
  </si>
  <si>
    <t>2846.91万</t>
  </si>
  <si>
    <t>1273120790亿</t>
  </si>
  <si>
    <t>8857.86万</t>
  </si>
  <si>
    <t>10.45亿</t>
  </si>
  <si>
    <t>1211.85万</t>
  </si>
  <si>
    <t>19.22亿</t>
  </si>
  <si>
    <t>-2.12亿</t>
  </si>
  <si>
    <t>-1578.79万</t>
  </si>
  <si>
    <t>2.93亿</t>
  </si>
  <si>
    <t>-1536.57万</t>
  </si>
  <si>
    <t>3632.88万</t>
  </si>
  <si>
    <t>3930.79万</t>
  </si>
  <si>
    <t>2.57亿</t>
  </si>
  <si>
    <t>049681600</t>
  </si>
  <si>
    <t>0149044800</t>
  </si>
  <si>
    <t>0298089600</t>
  </si>
  <si>
    <t>0496816000</t>
  </si>
  <si>
    <t>0993632000</t>
  </si>
  <si>
    <t>1007.20万</t>
  </si>
  <si>
    <t>18.68亿</t>
  </si>
  <si>
    <t>2.01亿</t>
  </si>
  <si>
    <t>-3428.77万</t>
  </si>
  <si>
    <t>196.25万</t>
  </si>
  <si>
    <t>2277.12万</t>
  </si>
  <si>
    <t>-327700亿</t>
  </si>
  <si>
    <t>7.80万</t>
  </si>
  <si>
    <t>-2708735亿</t>
  </si>
  <si>
    <t>123869682亿</t>
  </si>
  <si>
    <t>733496500亿</t>
  </si>
  <si>
    <t>661.37万</t>
  </si>
  <si>
    <t>4317.05万</t>
  </si>
  <si>
    <t>10.33万</t>
  </si>
  <si>
    <t>-1766.38万</t>
  </si>
  <si>
    <t>2.88亿</t>
  </si>
  <si>
    <t>1045.30万</t>
  </si>
  <si>
    <t>-7342.37万</t>
  </si>
  <si>
    <t>-215.99万</t>
  </si>
  <si>
    <t>7988.70万</t>
  </si>
  <si>
    <t>2375.55万</t>
  </si>
  <si>
    <t>38.46亿</t>
  </si>
  <si>
    <t>22.86亿</t>
  </si>
  <si>
    <t>35.90亿</t>
  </si>
  <si>
    <t>3077.66万</t>
  </si>
  <si>
    <t>3688.54万</t>
  </si>
  <si>
    <t>336856亿</t>
  </si>
  <si>
    <t>34.00万</t>
  </si>
  <si>
    <t>25164875亿</t>
  </si>
  <si>
    <t>1085859200亿</t>
  </si>
  <si>
    <t>455.90万</t>
  </si>
  <si>
    <t>2027035900亿</t>
  </si>
  <si>
    <t>6.53亿</t>
  </si>
  <si>
    <t>7.69亿</t>
  </si>
  <si>
    <t>4818.80万</t>
  </si>
  <si>
    <t>5609.54万</t>
  </si>
  <si>
    <t>30.07亿</t>
  </si>
  <si>
    <t>6.97亿</t>
  </si>
  <si>
    <t>1095.77万</t>
  </si>
  <si>
    <t>-9236.30万</t>
  </si>
  <si>
    <t>-724.91万</t>
  </si>
  <si>
    <t>7.85亿</t>
  </si>
  <si>
    <t>2175.36万</t>
  </si>
  <si>
    <t>030776600</t>
  </si>
  <si>
    <t>092329800</t>
  </si>
  <si>
    <t>0184659600</t>
  </si>
  <si>
    <t>0307766000</t>
  </si>
  <si>
    <t>0615532000</t>
  </si>
  <si>
    <t>561.97万</t>
  </si>
  <si>
    <t>12.63亿</t>
  </si>
  <si>
    <t>10.75亿</t>
  </si>
  <si>
    <t>925.50万</t>
  </si>
  <si>
    <t>4341.24万</t>
  </si>
  <si>
    <t>3525.13万</t>
  </si>
  <si>
    <t>3567967亿</t>
  </si>
  <si>
    <t>2.72万</t>
  </si>
  <si>
    <t>-21995820亿</t>
  </si>
  <si>
    <t>6505.43万</t>
  </si>
  <si>
    <t>125005391亿</t>
  </si>
  <si>
    <t>167.85万</t>
  </si>
  <si>
    <t>305110540亿</t>
  </si>
  <si>
    <t>3838.27万</t>
  </si>
  <si>
    <t>2610.96万</t>
  </si>
  <si>
    <t>2.27亿</t>
  </si>
  <si>
    <t>591.96万</t>
  </si>
  <si>
    <t>7613.21万</t>
  </si>
  <si>
    <t>-613.58万</t>
  </si>
  <si>
    <t>-224.86万</t>
  </si>
  <si>
    <t>-1762.37万</t>
  </si>
  <si>
    <t>2.16亿</t>
  </si>
  <si>
    <t>-784.94万</t>
  </si>
  <si>
    <t>2560.66万</t>
  </si>
  <si>
    <t>1.97亿</t>
  </si>
  <si>
    <t>-5-0</t>
  </si>
  <si>
    <t>3131.28万</t>
  </si>
  <si>
    <t>10.71亿</t>
  </si>
  <si>
    <t>-9436.51万</t>
  </si>
  <si>
    <t>8807.78万</t>
  </si>
  <si>
    <t>4188.75万</t>
  </si>
  <si>
    <t>3635.34万</t>
  </si>
  <si>
    <t>9359249亿</t>
  </si>
  <si>
    <t>-4699399亿</t>
  </si>
  <si>
    <t>32216271亿</t>
  </si>
  <si>
    <t>258.43万</t>
  </si>
  <si>
    <t>289659550亿</t>
  </si>
  <si>
    <t>7058.91万</t>
  </si>
  <si>
    <t>8.94亿</t>
  </si>
  <si>
    <t>-1194.83万</t>
  </si>
  <si>
    <t>-191.92万</t>
  </si>
  <si>
    <t>-1356.45万</t>
  </si>
  <si>
    <t>-70.71万</t>
  </si>
  <si>
    <t>539.93万</t>
  </si>
  <si>
    <t>22.57亿</t>
  </si>
  <si>
    <t>176.07亿</t>
  </si>
  <si>
    <t>14.00亿</t>
  </si>
  <si>
    <t>78.25亿</t>
  </si>
  <si>
    <t>22.69亿</t>
  </si>
  <si>
    <t>11.40亿</t>
  </si>
  <si>
    <t>7.91亿</t>
  </si>
  <si>
    <t>4462.17万</t>
  </si>
  <si>
    <t>9071122亿</t>
  </si>
  <si>
    <t>28.89万</t>
  </si>
  <si>
    <t>253974230亿</t>
  </si>
  <si>
    <t>75.48亿</t>
  </si>
  <si>
    <t>1712927100亿</t>
  </si>
  <si>
    <t>1696.13万</t>
  </si>
  <si>
    <t>12110137700亿</t>
  </si>
  <si>
    <t>15.15亿</t>
  </si>
  <si>
    <t>1222.80万</t>
  </si>
  <si>
    <t>4.06亿</t>
  </si>
  <si>
    <t>17.68亿</t>
  </si>
  <si>
    <t>-2.85亿</t>
  </si>
  <si>
    <t>-2.19亿</t>
  </si>
  <si>
    <t>6.30亿</t>
  </si>
  <si>
    <t>1881.80万</t>
  </si>
  <si>
    <t>-5-1</t>
  </si>
  <si>
    <t>8055.75万</t>
  </si>
  <si>
    <t>101.62亿</t>
  </si>
  <si>
    <t>209.24亿</t>
  </si>
  <si>
    <t>51.96亿</t>
  </si>
  <si>
    <t>203.67亿</t>
  </si>
  <si>
    <t>33.59亿</t>
  </si>
  <si>
    <t>40.22亿</t>
  </si>
  <si>
    <t>26.87亿</t>
  </si>
  <si>
    <t>4.86亿</t>
  </si>
  <si>
    <t>6.99亿</t>
  </si>
  <si>
    <t>1823265亿</t>
  </si>
  <si>
    <t>287.57万</t>
  </si>
  <si>
    <t>842752220亿</t>
  </si>
  <si>
    <t>66.26亿</t>
  </si>
  <si>
    <t>2105478500亿</t>
  </si>
  <si>
    <t>10812490200亿</t>
  </si>
  <si>
    <t>7.23亿</t>
  </si>
  <si>
    <t>2966.81万</t>
  </si>
  <si>
    <t>18.43亿</t>
  </si>
  <si>
    <t>58.61亿</t>
  </si>
  <si>
    <t>588.34万</t>
  </si>
  <si>
    <t>-4.41亿</t>
  </si>
  <si>
    <t>-3.05亿</t>
  </si>
  <si>
    <t>50.21亿</t>
  </si>
  <si>
    <t>7.81亿</t>
  </si>
  <si>
    <t>10派1.500225元(含税)</t>
  </si>
  <si>
    <t>16.97亿</t>
  </si>
  <si>
    <t>427.48万</t>
  </si>
  <si>
    <t>9.71亿</t>
  </si>
  <si>
    <t>14.15亿</t>
  </si>
  <si>
    <t>14.71亿</t>
  </si>
  <si>
    <t>3.05亿</t>
  </si>
  <si>
    <t>1709.47万</t>
  </si>
  <si>
    <t>4691.80万</t>
  </si>
  <si>
    <t>28581亿</t>
  </si>
  <si>
    <t>14.34万</t>
  </si>
  <si>
    <t>23824608亿</t>
  </si>
  <si>
    <t>5.29亿</t>
  </si>
  <si>
    <t>265270770亿</t>
  </si>
  <si>
    <t>1027452010亿</t>
  </si>
  <si>
    <t>1.88亿</t>
  </si>
  <si>
    <t>7206.60万</t>
  </si>
  <si>
    <t>-7389.67万</t>
  </si>
  <si>
    <t>2099.30万</t>
  </si>
  <si>
    <t>3.61亿</t>
  </si>
  <si>
    <t>3955.00万</t>
  </si>
  <si>
    <t>3295.67万</t>
  </si>
  <si>
    <t>716.00万</t>
  </si>
  <si>
    <t>9.73亿</t>
  </si>
  <si>
    <t>11.38亿</t>
  </si>
  <si>
    <t>-9.08亿</t>
  </si>
  <si>
    <t>1099.75万</t>
  </si>
  <si>
    <t>3920.55万</t>
  </si>
  <si>
    <t>1727374亿</t>
  </si>
  <si>
    <t>6.80万</t>
  </si>
  <si>
    <t>-28009409亿</t>
  </si>
  <si>
    <t>3.31亿</t>
  </si>
  <si>
    <t>234103760亿</t>
  </si>
  <si>
    <t>676526240亿</t>
  </si>
  <si>
    <t>751.89万</t>
  </si>
  <si>
    <t>6430.08万</t>
  </si>
  <si>
    <t>3580.50万</t>
  </si>
  <si>
    <t>3.85亿</t>
  </si>
  <si>
    <t>4367.49万</t>
  </si>
  <si>
    <t>2523.37万</t>
  </si>
  <si>
    <t>-3270.53万</t>
  </si>
  <si>
    <t>-1182.86万</t>
  </si>
  <si>
    <t>-2856.69万</t>
  </si>
  <si>
    <t>2655.83万</t>
  </si>
  <si>
    <t>706.12万</t>
  </si>
  <si>
    <t>80.35亿</t>
  </si>
  <si>
    <t>99.09亿</t>
  </si>
  <si>
    <t>29.73亿</t>
  </si>
  <si>
    <t>134.08亿</t>
  </si>
  <si>
    <t>3.07亿</t>
  </si>
  <si>
    <t>27.77亿</t>
  </si>
  <si>
    <t>22.14亿</t>
  </si>
  <si>
    <t>-1924989亿</t>
  </si>
  <si>
    <t>202.44万</t>
  </si>
  <si>
    <t>23536278亿</t>
  </si>
  <si>
    <t>22.73亿</t>
  </si>
  <si>
    <t>8337193200亿</t>
  </si>
  <si>
    <t>13466871000亿</t>
  </si>
  <si>
    <t>885.27万</t>
  </si>
  <si>
    <t>10.02亿</t>
  </si>
  <si>
    <t>7642.75万</t>
  </si>
  <si>
    <t>18.37亿</t>
  </si>
  <si>
    <t>48.71亿</t>
  </si>
  <si>
    <t>22.70亿</t>
  </si>
  <si>
    <t>-2.67亿</t>
  </si>
  <si>
    <t>-4.60亿</t>
  </si>
  <si>
    <t>3566.85万</t>
  </si>
  <si>
    <t>32.32亿</t>
  </si>
  <si>
    <t>10派0.6元(含税)</t>
  </si>
  <si>
    <t>3872.15万</t>
  </si>
  <si>
    <t>1499.16万</t>
  </si>
  <si>
    <t>52.27亿</t>
  </si>
  <si>
    <t>245.33亿</t>
  </si>
  <si>
    <t>16.60亿</t>
  </si>
  <si>
    <t>73.84亿</t>
  </si>
  <si>
    <t>20.25亿</t>
  </si>
  <si>
    <t>13.05亿</t>
  </si>
  <si>
    <t>4645.23万</t>
  </si>
  <si>
    <t>-3591151亿</t>
  </si>
  <si>
    <t>30.12万</t>
  </si>
  <si>
    <t>303052200亿</t>
  </si>
  <si>
    <t>74.42亿</t>
  </si>
  <si>
    <t>1209164850亿</t>
  </si>
  <si>
    <t>79.39万</t>
  </si>
  <si>
    <t>11661670900亿</t>
  </si>
  <si>
    <t>4.08亿</t>
  </si>
  <si>
    <t>22.79亿</t>
  </si>
  <si>
    <t>260.00万</t>
  </si>
  <si>
    <t>44.64亿</t>
  </si>
  <si>
    <t>4.35亿</t>
  </si>
  <si>
    <t>1.44亿</t>
  </si>
  <si>
    <t>-1.20亿</t>
  </si>
  <si>
    <t>242.48万</t>
  </si>
  <si>
    <t>18.05亿</t>
  </si>
  <si>
    <t>5.68亿</t>
  </si>
  <si>
    <t>10派5.68元(含税)</t>
  </si>
  <si>
    <t>3713.02万</t>
  </si>
  <si>
    <t>1049.61万</t>
  </si>
  <si>
    <t>32.84亿</t>
  </si>
  <si>
    <t>59.49亿</t>
  </si>
  <si>
    <t>6.78亿</t>
  </si>
  <si>
    <t>36.67亿</t>
  </si>
  <si>
    <t>8.16亿</t>
  </si>
  <si>
    <t>5.70亿</t>
  </si>
  <si>
    <t>3518.36万</t>
  </si>
  <si>
    <t>-6422431亿</t>
  </si>
  <si>
    <t>50.44万</t>
  </si>
  <si>
    <t>-93481152亿</t>
  </si>
  <si>
    <t>18.07亿</t>
  </si>
  <si>
    <t>659129890亿</t>
  </si>
  <si>
    <t>3441020400亿</t>
  </si>
  <si>
    <t>1001.25万</t>
  </si>
  <si>
    <t>13.99亿</t>
  </si>
  <si>
    <t>8164.02万</t>
  </si>
  <si>
    <t>-4410.48万</t>
  </si>
  <si>
    <t>10派4.87元(含税)</t>
  </si>
  <si>
    <t>3875.84万</t>
  </si>
  <si>
    <t>1847.69万</t>
  </si>
  <si>
    <t>9.84亿</t>
  </si>
  <si>
    <t>2433.94万</t>
  </si>
  <si>
    <t>1092.18万</t>
  </si>
  <si>
    <t>1462.61万</t>
  </si>
  <si>
    <t>569096亿</t>
  </si>
  <si>
    <t>4.42万</t>
  </si>
  <si>
    <t>14493002亿</t>
  </si>
  <si>
    <t>152919290亿</t>
  </si>
  <si>
    <t>131.62万</t>
  </si>
  <si>
    <t>826383090亿</t>
  </si>
  <si>
    <t>122.39万</t>
  </si>
  <si>
    <t>3087.77万</t>
  </si>
  <si>
    <t>8094.67万</t>
  </si>
  <si>
    <t>-1576.48万</t>
  </si>
  <si>
    <t>-1.54亿</t>
  </si>
  <si>
    <t>-852.39万</t>
  </si>
  <si>
    <t>1173.85万</t>
  </si>
  <si>
    <t>158.90万</t>
  </si>
  <si>
    <t>36.09亿</t>
  </si>
  <si>
    <t>100.44亿</t>
  </si>
  <si>
    <t>43.50亿</t>
  </si>
  <si>
    <t>9290.04万</t>
  </si>
  <si>
    <t>4.17亿</t>
  </si>
  <si>
    <t>1.70亿</t>
  </si>
  <si>
    <t>9966.72万</t>
  </si>
  <si>
    <t>-1245925亿</t>
  </si>
  <si>
    <t>5.74万</t>
  </si>
  <si>
    <t>2277589亿</t>
  </si>
  <si>
    <t>1563706500亿</t>
  </si>
  <si>
    <t>644.18万</t>
  </si>
  <si>
    <t>7847995200亿</t>
  </si>
  <si>
    <t>4.07亿</t>
  </si>
  <si>
    <t>8030.27万</t>
  </si>
  <si>
    <t>30.85亿</t>
  </si>
  <si>
    <t>2.42亿</t>
  </si>
  <si>
    <t>-7593.74万</t>
  </si>
  <si>
    <t>-5.84亿</t>
  </si>
  <si>
    <t>266.48万</t>
  </si>
  <si>
    <t>70.53亿</t>
  </si>
  <si>
    <t>4121.35万</t>
  </si>
  <si>
    <t>764.09万</t>
  </si>
  <si>
    <t>5453.59万</t>
  </si>
  <si>
    <t>733.32万</t>
  </si>
  <si>
    <t>22.72亿</t>
  </si>
  <si>
    <t>28.75亿</t>
  </si>
  <si>
    <t>3.77亿</t>
  </si>
  <si>
    <t>17.25亿</t>
  </si>
  <si>
    <t>1411.61万</t>
  </si>
  <si>
    <t>4704.53万</t>
  </si>
  <si>
    <t>-2072743亿</t>
  </si>
  <si>
    <t>277.21万</t>
  </si>
  <si>
    <t>41426626亿</t>
  </si>
  <si>
    <t>453870310亿</t>
  </si>
  <si>
    <t>2691098600亿</t>
  </si>
  <si>
    <t>5658.50万</t>
  </si>
  <si>
    <t>8195.29万</t>
  </si>
  <si>
    <t>2.26亿</t>
  </si>
  <si>
    <t>15.67万</t>
  </si>
  <si>
    <t>8.69亿</t>
  </si>
  <si>
    <t>4774.03万</t>
  </si>
  <si>
    <t>5533.03万</t>
  </si>
  <si>
    <t>6893.00万</t>
  </si>
  <si>
    <t>-1.96亿</t>
  </si>
  <si>
    <t>5775.60万</t>
  </si>
  <si>
    <t>10派3.1元(含税)</t>
  </si>
  <si>
    <t>1829.83万</t>
  </si>
  <si>
    <t>1588.56万</t>
  </si>
  <si>
    <t>132.39亿</t>
  </si>
  <si>
    <t>133.57亿</t>
  </si>
  <si>
    <t>115.38亿</t>
  </si>
  <si>
    <t>16.01亿</t>
  </si>
  <si>
    <t>24.39亿</t>
  </si>
  <si>
    <t>17.99亿</t>
  </si>
  <si>
    <t>5546.75万</t>
  </si>
  <si>
    <t>3.99亿</t>
  </si>
  <si>
    <t>46569165亿</t>
  </si>
  <si>
    <t>49.15万</t>
  </si>
  <si>
    <t>187348770亿</t>
  </si>
  <si>
    <t>46.33亿</t>
  </si>
  <si>
    <t>2086825200亿</t>
  </si>
  <si>
    <t>9448379200亿</t>
  </si>
  <si>
    <t>27.42亿</t>
  </si>
  <si>
    <t>5.34亿</t>
  </si>
  <si>
    <t>37.56亿</t>
  </si>
  <si>
    <t>43.92亿</t>
  </si>
  <si>
    <t>-4.67亿</t>
  </si>
  <si>
    <t>-15.13亿</t>
  </si>
  <si>
    <t>27.24亿</t>
  </si>
  <si>
    <t>5087.13万</t>
  </si>
  <si>
    <t>393.12万</t>
  </si>
  <si>
    <t>10.07亿</t>
  </si>
  <si>
    <t>19.78亿</t>
  </si>
  <si>
    <t>19.21亿</t>
  </si>
  <si>
    <t>1725.05万</t>
  </si>
  <si>
    <t>4185.73万</t>
  </si>
  <si>
    <t>-221690亿</t>
  </si>
  <si>
    <t>24.95万</t>
  </si>
  <si>
    <t>645043亿</t>
  </si>
  <si>
    <t>7.90亿</t>
  </si>
  <si>
    <t>1032983310亿</t>
  </si>
  <si>
    <t>163.80万</t>
  </si>
  <si>
    <t>2240279900亿</t>
  </si>
  <si>
    <t>663.75万</t>
  </si>
  <si>
    <t>7.40亿</t>
  </si>
  <si>
    <t>-3873.75万</t>
  </si>
  <si>
    <t>-1745.82万</t>
  </si>
  <si>
    <t>-1414.37万</t>
  </si>
  <si>
    <t>16.74亿</t>
  </si>
  <si>
    <t>-1.42亿</t>
  </si>
  <si>
    <t>7659.46万</t>
  </si>
  <si>
    <t>1961.94万</t>
  </si>
  <si>
    <t>195.92万</t>
  </si>
  <si>
    <t>9.85亿</t>
  </si>
  <si>
    <t>27.41亿</t>
  </si>
  <si>
    <t>6357.00万</t>
  </si>
  <si>
    <t>6861.12万</t>
  </si>
  <si>
    <t>147.25万</t>
  </si>
  <si>
    <t>2804.79万</t>
  </si>
  <si>
    <t>31265亿</t>
  </si>
  <si>
    <t>9.35万</t>
  </si>
  <si>
    <t>48721532亿</t>
  </si>
  <si>
    <t>248417250亿</t>
  </si>
  <si>
    <t>445.79万</t>
  </si>
  <si>
    <t>1669572000亿</t>
  </si>
  <si>
    <t>9.63亿</t>
  </si>
  <si>
    <t>-1.22亿</t>
  </si>
  <si>
    <t>-2.33亿</t>
  </si>
  <si>
    <t>10.17亿</t>
  </si>
  <si>
    <t>8859.30万</t>
  </si>
  <si>
    <t>2.72亿</t>
  </si>
  <si>
    <t>1382.19万</t>
  </si>
  <si>
    <t>788.82万</t>
  </si>
  <si>
    <t>3853.46万</t>
  </si>
  <si>
    <t>69.79万</t>
  </si>
  <si>
    <t>20.69亿</t>
  </si>
  <si>
    <t>-1677.33万</t>
  </si>
  <si>
    <t>3900.44万</t>
  </si>
  <si>
    <t>4891.48万</t>
  </si>
  <si>
    <t>0亿</t>
  </si>
  <si>
    <t>1.58万</t>
  </si>
  <si>
    <t>28344038亿</t>
  </si>
  <si>
    <t>63060758亿</t>
  </si>
  <si>
    <t>1764461500亿</t>
  </si>
  <si>
    <t>2682.21万</t>
  </si>
  <si>
    <t>7404.78万</t>
  </si>
  <si>
    <t>1.83亿</t>
  </si>
  <si>
    <t>5839.90万</t>
  </si>
  <si>
    <t>-2530.35万</t>
  </si>
  <si>
    <t>-4243.19万</t>
  </si>
  <si>
    <t>3259.26万</t>
  </si>
  <si>
    <t>4464.22万</t>
  </si>
  <si>
    <t>6355.16万</t>
  </si>
  <si>
    <t>133.82万</t>
  </si>
  <si>
    <t>10派6.050416元(含税)</t>
  </si>
  <si>
    <t>314.06万</t>
  </si>
  <si>
    <t>2541.46万</t>
  </si>
  <si>
    <t>-8-0</t>
  </si>
  <si>
    <t>162.86万</t>
  </si>
  <si>
    <t>22.46亿</t>
  </si>
  <si>
    <t>9.17亿</t>
  </si>
  <si>
    <t>6191.89万</t>
  </si>
  <si>
    <t>8894.59万</t>
  </si>
  <si>
    <t>5972.59万</t>
  </si>
  <si>
    <t>93.69万</t>
  </si>
  <si>
    <t>1896.67万</t>
  </si>
  <si>
    <t>9336424亿</t>
  </si>
  <si>
    <t>10245948亿</t>
  </si>
  <si>
    <t>12.03亿</t>
  </si>
  <si>
    <t>108651975亿</t>
  </si>
  <si>
    <t>41.12万</t>
  </si>
  <si>
    <t>1568715900亿</t>
  </si>
  <si>
    <t>267.00万</t>
  </si>
  <si>
    <t>1525.59万</t>
  </si>
  <si>
    <t>4.43万</t>
  </si>
  <si>
    <t>3808.38万</t>
  </si>
  <si>
    <t>-1.47亿</t>
  </si>
  <si>
    <t>-5194.19万</t>
  </si>
  <si>
    <t>4.14亿</t>
  </si>
  <si>
    <t>9098.03万</t>
  </si>
  <si>
    <t>757.80万</t>
  </si>
  <si>
    <t>599.96万</t>
  </si>
  <si>
    <t>5099.88万</t>
  </si>
  <si>
    <t>404.72万</t>
  </si>
  <si>
    <t>2.74亿</t>
  </si>
  <si>
    <t>996.05万</t>
  </si>
  <si>
    <t>318.41万</t>
  </si>
  <si>
    <t>1611.27万</t>
  </si>
  <si>
    <t>1938567亿</t>
  </si>
  <si>
    <t>12.16万</t>
  </si>
  <si>
    <t>625453亿</t>
  </si>
  <si>
    <t>100495857亿</t>
  </si>
  <si>
    <t>87.19万</t>
  </si>
  <si>
    <t>701273370亿</t>
  </si>
  <si>
    <t>2325.82万</t>
  </si>
  <si>
    <t>307.74万</t>
  </si>
  <si>
    <t>9623.77万</t>
  </si>
  <si>
    <t>191.37万</t>
  </si>
  <si>
    <t>927.58万</t>
  </si>
  <si>
    <t>-6991.81万</t>
  </si>
  <si>
    <t>-1480.12万</t>
  </si>
  <si>
    <t>4.90亿</t>
  </si>
  <si>
    <t>6593.22万</t>
  </si>
  <si>
    <t>3761.92万</t>
  </si>
  <si>
    <t>341.73万</t>
  </si>
  <si>
    <t>10转3股派3.3元(含税)</t>
  </si>
  <si>
    <t>1498.16万</t>
  </si>
  <si>
    <t>9927.42万</t>
  </si>
  <si>
    <t>56.83万</t>
  </si>
  <si>
    <t>17.27亿</t>
  </si>
  <si>
    <t>175.81亿</t>
  </si>
  <si>
    <t>3912.08万</t>
  </si>
  <si>
    <t>4373.03万</t>
  </si>
  <si>
    <t>19.09万</t>
  </si>
  <si>
    <t>-33396511亿</t>
  </si>
  <si>
    <t>1311674700亿</t>
  </si>
  <si>
    <t>2772.56万</t>
  </si>
  <si>
    <t>2009578700亿</t>
  </si>
  <si>
    <t>4239.58万</t>
  </si>
  <si>
    <t>5.62亿</t>
  </si>
  <si>
    <t>2755.00万</t>
  </si>
  <si>
    <t>10.24亿</t>
  </si>
  <si>
    <t>-1.50亿</t>
  </si>
  <si>
    <t>-6145.38万</t>
  </si>
  <si>
    <t>16.02亿</t>
  </si>
  <si>
    <t>42.03亿</t>
  </si>
  <si>
    <t>6064.97万</t>
  </si>
  <si>
    <t>282.18万</t>
  </si>
  <si>
    <t>1776.75万</t>
  </si>
  <si>
    <t>5-0</t>
  </si>
  <si>
    <t>197.68万</t>
  </si>
  <si>
    <t>24.97亿</t>
  </si>
  <si>
    <t>23.07亿</t>
  </si>
  <si>
    <t>6.76亿</t>
  </si>
  <si>
    <t>20.55亿</t>
  </si>
  <si>
    <t>8716.86万</t>
  </si>
  <si>
    <t>6.36亿</t>
  </si>
  <si>
    <t>583182亿</t>
  </si>
  <si>
    <t>8.29万</t>
  </si>
  <si>
    <t>19084078亿</t>
  </si>
  <si>
    <t>7.18亿</t>
  </si>
  <si>
    <t>129059181亿</t>
  </si>
  <si>
    <t>1175458520亿</t>
  </si>
  <si>
    <t>9842.84万</t>
  </si>
  <si>
    <t>-1762.17万</t>
  </si>
  <si>
    <t>27.18亿</t>
  </si>
  <si>
    <t>6474.44万</t>
  </si>
  <si>
    <t>765.52万</t>
  </si>
  <si>
    <t>4683.37万</t>
  </si>
  <si>
    <t>157.77万</t>
  </si>
  <si>
    <t>2.86亿</t>
  </si>
  <si>
    <t>11.06亿</t>
  </si>
  <si>
    <t>1.85亿</t>
  </si>
  <si>
    <t>4.89亿</t>
  </si>
  <si>
    <t>1.59亿</t>
  </si>
  <si>
    <t>208.90万</t>
  </si>
  <si>
    <t>1079.82万</t>
  </si>
  <si>
    <t>2632521亿</t>
  </si>
  <si>
    <t>19570095亿</t>
  </si>
  <si>
    <t>5.64亿</t>
  </si>
  <si>
    <t>113298641亿</t>
  </si>
  <si>
    <t>1331684760亿</t>
  </si>
  <si>
    <t>185.95万</t>
  </si>
  <si>
    <t>-855.08万</t>
  </si>
  <si>
    <t>8112.21万</t>
  </si>
  <si>
    <t>-159.79万</t>
  </si>
  <si>
    <t>7.60亿</t>
  </si>
  <si>
    <t>5160.62万</t>
  </si>
  <si>
    <t>10转3股派1.66元(含税)</t>
  </si>
  <si>
    <t>512.98万</t>
  </si>
  <si>
    <t>3009.51万</t>
  </si>
  <si>
    <t>262.48万</t>
  </si>
  <si>
    <t>57.32亿</t>
  </si>
  <si>
    <t>9.78亿</t>
  </si>
  <si>
    <t>40.70亿</t>
  </si>
  <si>
    <t>7.64亿</t>
  </si>
  <si>
    <t>4.99亿</t>
  </si>
  <si>
    <t>2242494亿</t>
  </si>
  <si>
    <t>77.02万</t>
  </si>
  <si>
    <t>157336640亿</t>
  </si>
  <si>
    <t>18.29亿</t>
  </si>
  <si>
    <t>379844090亿</t>
  </si>
  <si>
    <t>4833509300亿</t>
  </si>
  <si>
    <t>7540.51万</t>
  </si>
  <si>
    <t>9.75亿</t>
  </si>
  <si>
    <t>2510.18万</t>
  </si>
  <si>
    <t>-20.78亿</t>
  </si>
  <si>
    <t>-1.88亿</t>
  </si>
  <si>
    <t>5.14亿</t>
  </si>
  <si>
    <t>40.13亿</t>
  </si>
  <si>
    <t>9251.48万</t>
  </si>
  <si>
    <t>10派1.1元(含税)</t>
  </si>
  <si>
    <t>1310.19万</t>
  </si>
  <si>
    <t>375.20万</t>
  </si>
  <si>
    <t>25.52亿</t>
  </si>
  <si>
    <t>5.33亿</t>
  </si>
  <si>
    <t>4338.53万</t>
  </si>
  <si>
    <t>305.51万</t>
  </si>
  <si>
    <t>3272.97万</t>
  </si>
  <si>
    <t>234.59万</t>
  </si>
  <si>
    <t>32333154亿</t>
  </si>
  <si>
    <t>11.47亿</t>
  </si>
  <si>
    <t>74267043亿</t>
  </si>
  <si>
    <t>1670312700亿</t>
  </si>
  <si>
    <t>3.49亿</t>
  </si>
  <si>
    <t>2847.28万</t>
  </si>
  <si>
    <t>-819.75万</t>
  </si>
  <si>
    <t>10.70亿</t>
  </si>
  <si>
    <t>6344.73万</t>
  </si>
  <si>
    <t>13.13亿</t>
  </si>
  <si>
    <t>7823.81万</t>
  </si>
  <si>
    <t>1212.45万</t>
  </si>
  <si>
    <t>10转3股派0.95元(含税)</t>
  </si>
  <si>
    <t>2453.71万</t>
  </si>
  <si>
    <t>9773.06万</t>
  </si>
  <si>
    <t>043385300</t>
  </si>
  <si>
    <t>0130155900</t>
  </si>
  <si>
    <t>0260311800</t>
  </si>
  <si>
    <t>0433853000</t>
  </si>
  <si>
    <t>0867706000</t>
  </si>
  <si>
    <t>417.41万</t>
  </si>
  <si>
    <t>17.77亿</t>
  </si>
  <si>
    <t>20.37亿</t>
  </si>
  <si>
    <t>7676.71万</t>
  </si>
  <si>
    <t>347.84万</t>
  </si>
  <si>
    <t>2773.43万</t>
  </si>
  <si>
    <t>3437976亿</t>
  </si>
  <si>
    <t>16562420亿</t>
  </si>
  <si>
    <t>8.11亿</t>
  </si>
  <si>
    <t>108114856亿</t>
  </si>
  <si>
    <t>2035392300亿</t>
  </si>
  <si>
    <t>4479.05万</t>
  </si>
  <si>
    <t>3.45亿</t>
  </si>
  <si>
    <t>2329.84万</t>
  </si>
  <si>
    <t>-1.95亿</t>
  </si>
  <si>
    <t>-925.37万</t>
  </si>
  <si>
    <t>7.21亿</t>
  </si>
  <si>
    <t>1358.77万</t>
  </si>
  <si>
    <t>1017.33万</t>
  </si>
  <si>
    <t>3747.32万</t>
  </si>
  <si>
    <t>268.99万</t>
  </si>
  <si>
    <t>21.89亿</t>
  </si>
  <si>
    <t>4.04亿</t>
  </si>
  <si>
    <t>5136.47万</t>
  </si>
  <si>
    <t>7535.24万</t>
  </si>
  <si>
    <t>509.41万</t>
  </si>
  <si>
    <t>2427.72万</t>
  </si>
  <si>
    <t>1596683亿</t>
  </si>
  <si>
    <t>1.05万</t>
  </si>
  <si>
    <t>15686120亿</t>
  </si>
  <si>
    <t>5.36亿</t>
  </si>
  <si>
    <t>55911064亿</t>
  </si>
  <si>
    <t>3150.02万</t>
  </si>
  <si>
    <t>1847496000亿</t>
  </si>
  <si>
    <t>8182.66万</t>
  </si>
  <si>
    <t>2898.07万</t>
  </si>
  <si>
    <t>8647.94万</t>
  </si>
  <si>
    <t>7453.86万</t>
  </si>
  <si>
    <t>-2144.71万</t>
  </si>
  <si>
    <t>-505.32万</t>
  </si>
  <si>
    <t>7454.01万</t>
  </si>
  <si>
    <t>190.93万</t>
  </si>
  <si>
    <t>10转4股派8元(含税)</t>
  </si>
  <si>
    <t>1778.72万</t>
  </si>
  <si>
    <t>9617.28万</t>
  </si>
  <si>
    <t>94.90万</t>
  </si>
  <si>
    <t>8057.96万</t>
  </si>
  <si>
    <t>14.94亿</t>
  </si>
  <si>
    <t>9017.23万</t>
  </si>
  <si>
    <t>15.45亿</t>
  </si>
  <si>
    <t>6534.98万</t>
  </si>
  <si>
    <t>4782.55万</t>
  </si>
  <si>
    <t>93.98万</t>
  </si>
  <si>
    <t>680.95万</t>
  </si>
  <si>
    <t>679300亿</t>
  </si>
  <si>
    <t>29.17万</t>
  </si>
  <si>
    <t>22744459亿</t>
  </si>
  <si>
    <t>2.39亿</t>
  </si>
  <si>
    <t>60591448亿</t>
  </si>
  <si>
    <t>722.75万</t>
  </si>
  <si>
    <t>1376735100亿</t>
  </si>
  <si>
    <t>2814.88万</t>
  </si>
  <si>
    <t>5782.67万</t>
  </si>
  <si>
    <t>56.62万</t>
  </si>
  <si>
    <t>-1531.78万</t>
  </si>
  <si>
    <t>3.60亿</t>
  </si>
  <si>
    <t>4394.65万</t>
  </si>
  <si>
    <t>10派5元(含税)</t>
  </si>
  <si>
    <t>412.63万</t>
  </si>
  <si>
    <t>4173.47万</t>
  </si>
  <si>
    <t>391.36万</t>
  </si>
  <si>
    <t>24.37亿</t>
  </si>
  <si>
    <t>421.51亿</t>
  </si>
  <si>
    <t>-15.54亿</t>
  </si>
  <si>
    <t>9852.53万</t>
  </si>
  <si>
    <t>616.32万</t>
  </si>
  <si>
    <t>4665.38万</t>
  </si>
  <si>
    <t>1512040亿</t>
  </si>
  <si>
    <t>91.94万</t>
  </si>
  <si>
    <t>-24314611亿</t>
  </si>
  <si>
    <t>685.78万</t>
  </si>
  <si>
    <t>1540172300亿</t>
  </si>
  <si>
    <t>116.21万</t>
  </si>
  <si>
    <t>8458.54万</t>
  </si>
  <si>
    <t>3.43亿</t>
  </si>
  <si>
    <t>-2300.16万</t>
  </si>
  <si>
    <t>2805.68万</t>
  </si>
  <si>
    <t>98.71亿</t>
  </si>
  <si>
    <t>-3.44亿</t>
  </si>
  <si>
    <t>-3.72亿</t>
  </si>
  <si>
    <t>2348.38万</t>
  </si>
  <si>
    <t>1872.82万</t>
  </si>
  <si>
    <t>9087.64万</t>
  </si>
  <si>
    <t>5.11亿</t>
  </si>
  <si>
    <t>3357.52万</t>
  </si>
  <si>
    <t>6838.11万</t>
  </si>
  <si>
    <t>4338.87万</t>
  </si>
  <si>
    <t>230.66万</t>
  </si>
  <si>
    <t>1580.50万</t>
  </si>
  <si>
    <t>254724亿</t>
  </si>
  <si>
    <t>9.86万</t>
  </si>
  <si>
    <t>20186561亿</t>
  </si>
  <si>
    <t>8069.80万</t>
  </si>
  <si>
    <t>25967454亿</t>
  </si>
  <si>
    <t>100.40万</t>
  </si>
  <si>
    <t>584415470亿</t>
  </si>
  <si>
    <t>1510.63万</t>
  </si>
  <si>
    <t>75.63万</t>
  </si>
  <si>
    <t>-3476.47万</t>
  </si>
  <si>
    <t>1297.23万</t>
  </si>
  <si>
    <t>1003.08万</t>
  </si>
  <si>
    <t>5.27亿</t>
  </si>
  <si>
    <t>DR通策医</t>
  </si>
  <si>
    <t>548.68万</t>
  </si>
  <si>
    <t>18.83亿</t>
  </si>
  <si>
    <t>43.33亿</t>
  </si>
  <si>
    <t>7.08亿</t>
  </si>
  <si>
    <t>35.92亿</t>
  </si>
  <si>
    <t>3.92亿</t>
  </si>
  <si>
    <t>672.03万</t>
  </si>
  <si>
    <t>7133.64万</t>
  </si>
  <si>
    <t>12329246亿</t>
  </si>
  <si>
    <t>17.50万</t>
  </si>
  <si>
    <t>170435050亿</t>
  </si>
  <si>
    <t>5.10亿</t>
  </si>
  <si>
    <t>185235920亿</t>
  </si>
  <si>
    <t>945266040亿</t>
  </si>
  <si>
    <t>9.22亿</t>
  </si>
  <si>
    <t>8000.00万</t>
  </si>
  <si>
    <t>8.22万</t>
  </si>
  <si>
    <t>-6435.60万</t>
  </si>
  <si>
    <t>28.47亿</t>
  </si>
  <si>
    <t>5.00亿</t>
  </si>
  <si>
    <t>1554.77万</t>
  </si>
  <si>
    <t>10送4.00595股派4.3565元(含税)</t>
  </si>
  <si>
    <t>1845.18万</t>
  </si>
  <si>
    <t>1831.89万</t>
  </si>
  <si>
    <t>17.46亿</t>
  </si>
  <si>
    <t>79.94亿</t>
  </si>
  <si>
    <t>146.08亿</t>
  </si>
  <si>
    <t>585.05万</t>
  </si>
  <si>
    <t>7196.17万</t>
  </si>
  <si>
    <t>6972038亿</t>
  </si>
  <si>
    <t>1.04万</t>
  </si>
  <si>
    <t>-280666740亿</t>
  </si>
  <si>
    <t>28.65亿</t>
  </si>
  <si>
    <t>189795170亿</t>
  </si>
  <si>
    <t>332.33万</t>
  </si>
  <si>
    <t>6971164200亿</t>
  </si>
  <si>
    <t>4109.01万</t>
  </si>
  <si>
    <t>15.03亿</t>
  </si>
  <si>
    <t>-6756.23万</t>
  </si>
  <si>
    <t>-3792.84万</t>
  </si>
  <si>
    <t>23.76亿</t>
  </si>
  <si>
    <t>29.49亿</t>
  </si>
  <si>
    <t>3.97亿</t>
  </si>
  <si>
    <t>10派1.6元(含税)</t>
  </si>
  <si>
    <t>4360.06万</t>
  </si>
  <si>
    <t>3378.34万</t>
  </si>
  <si>
    <t>181.52亿</t>
  </si>
  <si>
    <t>560.48亿</t>
  </si>
  <si>
    <t>79.82亿</t>
  </si>
  <si>
    <t>265.84亿</t>
  </si>
  <si>
    <t>26.23亿</t>
  </si>
  <si>
    <t>56.44亿</t>
  </si>
  <si>
    <t>49.38亿</t>
  </si>
  <si>
    <t>-8925103亿</t>
  </si>
  <si>
    <t>166.43万</t>
  </si>
  <si>
    <t>2034382700亿</t>
  </si>
  <si>
    <t>157.26亿</t>
  </si>
  <si>
    <t>6968834900亿</t>
  </si>
  <si>
    <t>1141.56万</t>
  </si>
  <si>
    <t>31153382000亿</t>
  </si>
  <si>
    <t>67.13亿</t>
  </si>
  <si>
    <t>29.12亿</t>
  </si>
  <si>
    <t>16.99亿</t>
  </si>
  <si>
    <t>133.87亿</t>
  </si>
  <si>
    <t>28.63亿</t>
  </si>
  <si>
    <t>-8.54亿</t>
  </si>
  <si>
    <t>-4329.50万</t>
  </si>
  <si>
    <t>403.41亿</t>
  </si>
  <si>
    <t>57.29亿</t>
  </si>
  <si>
    <t>96.07亿</t>
  </si>
  <si>
    <t>10.03亿</t>
  </si>
  <si>
    <t>10派9.8974元(含税)</t>
  </si>
  <si>
    <t>1514.40万</t>
  </si>
  <si>
    <t>23.19亿</t>
  </si>
  <si>
    <t>87.36亿</t>
  </si>
  <si>
    <t>14.76亿</t>
  </si>
  <si>
    <t>5658.88万</t>
  </si>
  <si>
    <t>11.68亿</t>
  </si>
  <si>
    <t>2015.68万</t>
  </si>
  <si>
    <t>-2341966亿</t>
  </si>
  <si>
    <t>1.66万</t>
  </si>
  <si>
    <t>233891240亿</t>
  </si>
  <si>
    <t>40.59亿</t>
  </si>
  <si>
    <t>1584336200亿</t>
  </si>
  <si>
    <t>7636556900亿</t>
  </si>
  <si>
    <t>13.25亿</t>
  </si>
  <si>
    <t>9.66亿</t>
  </si>
  <si>
    <t>28.17亿</t>
  </si>
  <si>
    <t>-1.36亿</t>
  </si>
  <si>
    <t>-2.34亿</t>
  </si>
  <si>
    <t>55.23亿</t>
  </si>
  <si>
    <t>10.33亿</t>
  </si>
  <si>
    <t>3188.82万</t>
  </si>
  <si>
    <t>4758.04万</t>
  </si>
  <si>
    <t>771.19万</t>
  </si>
  <si>
    <t>32.20亿</t>
  </si>
  <si>
    <t>83.81亿</t>
  </si>
  <si>
    <t>18.41亿</t>
  </si>
  <si>
    <t>224.37亿</t>
  </si>
  <si>
    <t>9.29亿</t>
  </si>
  <si>
    <t>17.39亿</t>
  </si>
  <si>
    <t>12.50亿</t>
  </si>
  <si>
    <t>-2380676亿</t>
  </si>
  <si>
    <t>80.11万</t>
  </si>
  <si>
    <t>-29294758亿</t>
  </si>
  <si>
    <t>21.09亿</t>
  </si>
  <si>
    <t>5460990300亿</t>
  </si>
  <si>
    <t>8132426100亿</t>
  </si>
  <si>
    <t>20.54亿</t>
  </si>
  <si>
    <t>26.55亿</t>
  </si>
  <si>
    <t>3.21亿</t>
  </si>
  <si>
    <t>-1.38亿</t>
  </si>
  <si>
    <t>-9721.04万</t>
  </si>
  <si>
    <t>-1.10亿</t>
  </si>
  <si>
    <t>27.55亿</t>
  </si>
  <si>
    <t>85.40亿</t>
  </si>
  <si>
    <t>54.41亿</t>
  </si>
  <si>
    <t>6.43亿</t>
  </si>
  <si>
    <t>10派8.80元(含税)</t>
  </si>
  <si>
    <t>3424.63万</t>
  </si>
  <si>
    <t>228.02万</t>
  </si>
  <si>
    <t>21.31亿</t>
  </si>
  <si>
    <t>-3.29亿</t>
  </si>
  <si>
    <t>5342.10万</t>
  </si>
  <si>
    <t>2229.83万</t>
  </si>
  <si>
    <t>3100.52万</t>
  </si>
  <si>
    <t>4160648亿</t>
  </si>
  <si>
    <t>22868087亿</t>
  </si>
  <si>
    <t>319023850亿</t>
  </si>
  <si>
    <t>1648107700亿</t>
  </si>
  <si>
    <t>9707.20万</t>
  </si>
  <si>
    <t>8515.40万</t>
  </si>
  <si>
    <t>8947.12万</t>
  </si>
  <si>
    <t>-5260.47万</t>
  </si>
  <si>
    <t>7039.47万</t>
  </si>
  <si>
    <t>-1604.41万</t>
  </si>
  <si>
    <t>-7217.92万</t>
  </si>
  <si>
    <t>1116.11万</t>
  </si>
  <si>
    <t>3-1</t>
  </si>
  <si>
    <t>61.01万</t>
  </si>
  <si>
    <t>20.45亿</t>
  </si>
  <si>
    <t>3144.08万</t>
  </si>
  <si>
    <t>2465.35万</t>
  </si>
  <si>
    <t>435243亿</t>
  </si>
  <si>
    <t>13.69万</t>
  </si>
  <si>
    <t>25431195亿</t>
  </si>
  <si>
    <t>12.82亿</t>
  </si>
  <si>
    <t>243350290亿</t>
  </si>
  <si>
    <t>193.99万</t>
  </si>
  <si>
    <t>2239748200亿</t>
  </si>
  <si>
    <t>3975.13万</t>
  </si>
  <si>
    <t>4816.75万</t>
  </si>
  <si>
    <t>-94.60万</t>
  </si>
  <si>
    <t>-3712.67万</t>
  </si>
  <si>
    <t>10.92亿</t>
  </si>
  <si>
    <t>5083.16万</t>
  </si>
  <si>
    <t>10派9元(含税)</t>
  </si>
  <si>
    <t>253.43万</t>
  </si>
  <si>
    <t>1773.51万</t>
  </si>
  <si>
    <t>607.20万</t>
  </si>
  <si>
    <t>3.56亿</t>
  </si>
  <si>
    <t>14.30亿</t>
  </si>
  <si>
    <t>-4280.59万</t>
  </si>
  <si>
    <t>1148.58万</t>
  </si>
  <si>
    <t>7057.19万</t>
  </si>
  <si>
    <t>173465亿</t>
  </si>
  <si>
    <t>6.97万</t>
  </si>
  <si>
    <t>65398489亿</t>
  </si>
  <si>
    <t>333751970亿</t>
  </si>
  <si>
    <t>218.91万</t>
  </si>
  <si>
    <t>1548243900亿</t>
  </si>
  <si>
    <t>6.82亿</t>
  </si>
  <si>
    <t>8993.43万</t>
  </si>
  <si>
    <t>7848.43万</t>
  </si>
  <si>
    <t>-4.07亿</t>
  </si>
  <si>
    <t>3.51亿</t>
  </si>
  <si>
    <t>-4160.36万</t>
  </si>
  <si>
    <t>2515.46万</t>
  </si>
  <si>
    <t>375.46万</t>
  </si>
  <si>
    <t>16.66亿</t>
  </si>
  <si>
    <t>25.63亿</t>
  </si>
  <si>
    <t>5.05亿</t>
  </si>
  <si>
    <t>-5225.08万</t>
  </si>
  <si>
    <t>4.65亿</t>
  </si>
  <si>
    <t>4370.22万</t>
  </si>
  <si>
    <t>5736.76万</t>
  </si>
  <si>
    <t>-2138701亿</t>
  </si>
  <si>
    <t>12.97万</t>
  </si>
  <si>
    <t>13922308亿</t>
  </si>
  <si>
    <t>4.45亿</t>
  </si>
  <si>
    <t>527817600亿</t>
  </si>
  <si>
    <t>1439.91万</t>
  </si>
  <si>
    <t>2242692600亿</t>
  </si>
  <si>
    <t>5.69亿</t>
  </si>
  <si>
    <t>741.76万</t>
  </si>
  <si>
    <t>12.11亿</t>
  </si>
  <si>
    <t>2832.55万</t>
  </si>
  <si>
    <t>5997.86万</t>
  </si>
  <si>
    <t>5672.95万</t>
  </si>
  <si>
    <t>1177.33万</t>
  </si>
  <si>
    <t>10转4股派1.5元(含税)</t>
  </si>
  <si>
    <t>921.73万</t>
  </si>
  <si>
    <t>4515.57万</t>
  </si>
  <si>
    <t>569.88万</t>
  </si>
  <si>
    <t>7.55亿</t>
  </si>
  <si>
    <t>24.58亿</t>
  </si>
  <si>
    <t>7.53亿</t>
  </si>
  <si>
    <t>4354.90万</t>
  </si>
  <si>
    <t>2081.63万</t>
  </si>
  <si>
    <t>2529.80万</t>
  </si>
  <si>
    <t>405533亿</t>
  </si>
  <si>
    <t>1.40万</t>
  </si>
  <si>
    <t>-40234221亿</t>
  </si>
  <si>
    <t>620478900亿</t>
  </si>
  <si>
    <t>152.05万</t>
  </si>
  <si>
    <t>1701960400亿</t>
  </si>
  <si>
    <t>588.20万</t>
  </si>
  <si>
    <t>5.94亿</t>
  </si>
  <si>
    <t>-5855.44万</t>
  </si>
  <si>
    <t>-5842.68万</t>
  </si>
  <si>
    <t>-4529.17万</t>
  </si>
  <si>
    <t>13.66亿</t>
  </si>
  <si>
    <t>-3321.06万</t>
  </si>
  <si>
    <t>416.02万</t>
  </si>
  <si>
    <t>1362.30万</t>
  </si>
  <si>
    <t>7465.46万</t>
  </si>
  <si>
    <t>399.59万</t>
  </si>
  <si>
    <t>1186.82亿</t>
  </si>
  <si>
    <t>74.40亿</t>
  </si>
  <si>
    <t>8400.71万</t>
  </si>
  <si>
    <t>4853.50万</t>
  </si>
  <si>
    <t>444.31万</t>
  </si>
  <si>
    <t>1757.13万</t>
  </si>
  <si>
    <t>3520673亿</t>
  </si>
  <si>
    <t>8194192亿</t>
  </si>
  <si>
    <t>74631842亿</t>
  </si>
  <si>
    <t>1190767810亿</t>
  </si>
  <si>
    <t>3489.47万</t>
  </si>
  <si>
    <t>1252.84万</t>
  </si>
  <si>
    <t>8018.83万</t>
  </si>
  <si>
    <t>4086.56万</t>
  </si>
  <si>
    <t>5642.82万</t>
  </si>
  <si>
    <t>-303.59万</t>
  </si>
  <si>
    <t>231.53亿</t>
  </si>
  <si>
    <t>4071.85万</t>
  </si>
  <si>
    <t>16.58亿</t>
  </si>
  <si>
    <t>10派0.5元(含税)</t>
  </si>
  <si>
    <t>1604.45万</t>
  </si>
  <si>
    <t>8681.62万</t>
  </si>
  <si>
    <t>599.46万</t>
  </si>
  <si>
    <t>5.45亿</t>
  </si>
  <si>
    <t>5957.41万</t>
  </si>
  <si>
    <t>21.04亿</t>
  </si>
  <si>
    <t>7197.64万</t>
  </si>
  <si>
    <t>1150.42万</t>
  </si>
  <si>
    <t>1996.45万</t>
  </si>
  <si>
    <t>-460955亿</t>
  </si>
  <si>
    <t>2.40万</t>
  </si>
  <si>
    <t>-46862381亿</t>
  </si>
  <si>
    <t>57505609亿</t>
  </si>
  <si>
    <t>860070590亿</t>
  </si>
  <si>
    <t>6001.67万</t>
  </si>
  <si>
    <t>-6254.23万</t>
  </si>
  <si>
    <t>-8381.36万</t>
  </si>
  <si>
    <t>5720.23万</t>
  </si>
  <si>
    <t>3925.65万</t>
  </si>
  <si>
    <t>5.60亿</t>
  </si>
  <si>
    <t>5054.20万</t>
  </si>
  <si>
    <t>2205.67万</t>
  </si>
  <si>
    <t>35.29万</t>
  </si>
  <si>
    <t>17.09亿</t>
  </si>
  <si>
    <t>8293.23万</t>
  </si>
  <si>
    <t>-2.79亿</t>
  </si>
  <si>
    <t>9974.68万</t>
  </si>
  <si>
    <t>4701.64万</t>
  </si>
  <si>
    <t>1385.92万</t>
  </si>
  <si>
    <t>1774.14万</t>
  </si>
  <si>
    <t>714177亿</t>
  </si>
  <si>
    <t>4.59万</t>
  </si>
  <si>
    <t>-18517805亿</t>
  </si>
  <si>
    <t>128010514亿</t>
  </si>
  <si>
    <t>1134690540亿</t>
  </si>
  <si>
    <t>6663.45万</t>
  </si>
  <si>
    <t>3048.64万</t>
  </si>
  <si>
    <t>-2839.44万</t>
  </si>
  <si>
    <t>6012.14万</t>
  </si>
  <si>
    <t>-2098.33万</t>
  </si>
  <si>
    <t>-2058.26万</t>
  </si>
  <si>
    <t>-5722.76万</t>
  </si>
  <si>
    <t>10派1.304元(含税)</t>
  </si>
  <si>
    <t>225.19万</t>
  </si>
  <si>
    <t>787.09万</t>
  </si>
  <si>
    <t>78.65万</t>
  </si>
  <si>
    <t>21.53亿</t>
  </si>
  <si>
    <t>7970.68万</t>
  </si>
  <si>
    <t>22.59亿</t>
  </si>
  <si>
    <t>5891.95万</t>
  </si>
  <si>
    <t>2709.28万</t>
  </si>
  <si>
    <t>497.46万</t>
  </si>
  <si>
    <t>2169.76万</t>
  </si>
  <si>
    <t>2626758亿</t>
  </si>
  <si>
    <t>16133023亿</t>
  </si>
  <si>
    <t>11.36亿</t>
  </si>
  <si>
    <t>123013304亿</t>
  </si>
  <si>
    <t>365.06万</t>
  </si>
  <si>
    <t>1641388800亿</t>
  </si>
  <si>
    <t>9027.44万</t>
  </si>
  <si>
    <t>4107.08万</t>
  </si>
  <si>
    <t>7972.51万</t>
  </si>
  <si>
    <t>565.65万</t>
  </si>
  <si>
    <t>-1.26亿</t>
  </si>
  <si>
    <t>-2616.24万</t>
  </si>
  <si>
    <t>5403.85万</t>
  </si>
  <si>
    <t>10派2.304元(含税)</t>
  </si>
  <si>
    <t>181.57万</t>
  </si>
  <si>
    <t>1651.05万</t>
  </si>
  <si>
    <t>248.25万</t>
  </si>
  <si>
    <t>11.21亿</t>
  </si>
  <si>
    <t>24.50亿</t>
  </si>
  <si>
    <t>-1.70亿</t>
  </si>
  <si>
    <t>9729.35万</t>
  </si>
  <si>
    <t>4320.68万</t>
  </si>
  <si>
    <t>6262596亿</t>
  </si>
  <si>
    <t>21282735亿</t>
  </si>
  <si>
    <t>638309990亿</t>
  </si>
  <si>
    <t>102.07万</t>
  </si>
  <si>
    <t>2365239000亿</t>
  </si>
  <si>
    <t>140.09万</t>
  </si>
  <si>
    <t>-1.08亿</t>
  </si>
  <si>
    <t>-5758.01万</t>
  </si>
  <si>
    <t>-5171.74万</t>
  </si>
  <si>
    <t>20.02亿</t>
  </si>
  <si>
    <t>6849.32万</t>
  </si>
  <si>
    <t>-4621.50万</t>
  </si>
  <si>
    <t>10派0.475元(含税)</t>
  </si>
  <si>
    <t>1056.82万</t>
  </si>
  <si>
    <t>7866.88万</t>
  </si>
  <si>
    <t>189.33万</t>
  </si>
  <si>
    <t>10.06亿</t>
  </si>
  <si>
    <t>3.66亿</t>
  </si>
  <si>
    <t>-9610.61万</t>
  </si>
  <si>
    <t>851.40万</t>
  </si>
  <si>
    <t>2465.99万</t>
  </si>
  <si>
    <t>159250亿</t>
  </si>
  <si>
    <t>66620136亿</t>
  </si>
  <si>
    <t>7.19亿</t>
  </si>
  <si>
    <t>341394160亿</t>
  </si>
  <si>
    <t>307.64万</t>
  </si>
  <si>
    <t>1503553000亿</t>
  </si>
  <si>
    <t>3744.86万</t>
  </si>
  <si>
    <t>8.41亿</t>
  </si>
  <si>
    <t>9600.00万</t>
  </si>
  <si>
    <t>620.04万</t>
  </si>
  <si>
    <t>-1.24亿</t>
  </si>
  <si>
    <t>9.32亿</t>
  </si>
  <si>
    <t>5691.60万</t>
  </si>
  <si>
    <t>-1636.17万</t>
  </si>
  <si>
    <t>10派1.65元(含税)</t>
  </si>
  <si>
    <t>577.01万</t>
  </si>
  <si>
    <t>2521.00万</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</si>
</sst>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宋体"/>
      <family val="2"/>
      <charset val="134"/>
      <scheme val="minor"/>
    </font>
    <font>
      <sz val="9"/>
      <name val="宋体"/>
      <family val="2"/>
      <charset val="134"/>
      <scheme val="minor"/>
    </font>
    <font>
      <sz val="11"/>
      <color indexed="8"/>
      <name val="Calibri"/>
      <family val="2"/>
    </font>
    <font>
      <sz val="11"/>
      <color indexed="8"/>
      <name val="Calibri"/>
      <family val="2"/>
    </font>
    <font>
      <sz val="11"/>
      <color indexed="8"/>
      <name val="Calibri"/>
      <family val="2"/>
    </font>
    <font>
      <sz val="9"/>
      <color theme="1"/>
      <name val="宋体"/>
      <family val="3"/>
      <charset val="134"/>
      <scheme val="minor"/>
    </font>
    <font>
      <sz val="9"/>
      <color rgb="FFFF0000"/>
      <name val="宋体"/>
      <family val="3"/>
      <charset val="134"/>
      <scheme val="minor"/>
    </font>
    <font>
      <sz val="9"/>
      <color theme="1"/>
      <name val="宋体"/>
      <family val="2"/>
      <charset val="134"/>
      <scheme val="minor"/>
    </font>
    <font>
      <b/>
      <sz val="9"/>
      <color rgb="FFFF0000"/>
      <name val="宋体"/>
      <family val="3"/>
      <charset val="134"/>
      <scheme val="minor"/>
    </font>
    <font>
      <sz val="11"/>
      <color rgb="FFFF0000"/>
      <name val="宋体"/>
      <family val="2"/>
      <charset val="134"/>
      <scheme val="minor"/>
    </font>
    <font>
      <sz val="11"/>
      <name val="宋体"/>
      <family val="2"/>
      <charset val="134"/>
      <scheme val="minor"/>
    </font>
    <font>
      <sz val="11"/>
      <color rgb="FF000000"/>
      <name val="宋体"/>
      <family val="3"/>
      <charset val="134"/>
    </font>
    <font>
      <i/>
      <sz val="9"/>
      <color theme="1"/>
      <name val="宋体"/>
      <family val="3"/>
      <charset val="134"/>
      <scheme val="minor"/>
    </font>
    <font>
      <b/>
      <sz val="9"/>
      <name val="宋体"/>
      <family val="3"/>
      <charset val="134"/>
      <scheme val="minor"/>
    </font>
  </fonts>
  <fills count="6">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
      <patternFill patternType="solid">
        <fgColor theme="5"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4">
    <xf numFmtId="0" fontId="0" fillId="0" borderId="0">
      <alignment vertical="center"/>
    </xf>
    <xf numFmtId="0" fontId="2" fillId="0" borderId="0" applyFill="0" applyProtection="0"/>
    <xf numFmtId="0" fontId="3" fillId="0" borderId="0" applyFill="0" applyProtection="0"/>
    <xf numFmtId="0" fontId="4" fillId="0" borderId="0" applyFill="0" applyProtection="0"/>
  </cellStyleXfs>
  <cellXfs count="16">
    <xf numFmtId="0" fontId="0" fillId="0" borderId="0" xfId="0">
      <alignment vertical="center"/>
    </xf>
    <xf numFmtId="0" fontId="0" fillId="0" borderId="0" xfId="0" applyFill="1">
      <alignment vertical="center"/>
    </xf>
    <xf numFmtId="0" fontId="0" fillId="2" borderId="0" xfId="0" applyFill="1">
      <alignment vertical="center"/>
    </xf>
    <xf numFmtId="10" fontId="0" fillId="0" borderId="0" xfId="0" applyNumberFormat="1">
      <alignment vertical="center"/>
    </xf>
    <xf numFmtId="9" fontId="0" fillId="0" borderId="0" xfId="0" applyNumberFormat="1">
      <alignment vertical="center"/>
    </xf>
    <xf numFmtId="0" fontId="0" fillId="0" borderId="1" xfId="0" applyNumberFormat="1" applyFill="1" applyBorder="1" applyAlignment="1">
      <alignment vertical="center" wrapText="1"/>
    </xf>
    <xf numFmtId="0" fontId="0" fillId="3" borderId="1" xfId="0" applyNumberFormat="1" applyFill="1" applyBorder="1" applyAlignment="1">
      <alignment vertical="center" wrapText="1"/>
    </xf>
    <xf numFmtId="0" fontId="5" fillId="0" borderId="0" xfId="0" applyFont="1" applyAlignment="1">
      <alignment vertical="center" wrapText="1"/>
    </xf>
    <xf numFmtId="0" fontId="7" fillId="0" borderId="0" xfId="0" applyFont="1" applyAlignment="1">
      <alignment vertical="center" wrapText="1"/>
    </xf>
    <xf numFmtId="0" fontId="0" fillId="4" borderId="0" xfId="0" applyFill="1">
      <alignment vertical="center"/>
    </xf>
    <xf numFmtId="0" fontId="0" fillId="5" borderId="0" xfId="0" applyFill="1">
      <alignment vertical="center"/>
    </xf>
    <xf numFmtId="0" fontId="10" fillId="0" borderId="0" xfId="0" applyFont="1">
      <alignment vertical="center"/>
    </xf>
    <xf numFmtId="0" fontId="9" fillId="0" borderId="0" xfId="0" applyFont="1">
      <alignment vertical="center"/>
    </xf>
    <xf numFmtId="0" fontId="10" fillId="0" borderId="0" xfId="0" applyFont="1" applyFill="1">
      <alignment vertical="center"/>
    </xf>
    <xf numFmtId="14" fontId="0" fillId="0" borderId="0" xfId="0" applyNumberFormat="1">
      <alignment vertical="center"/>
    </xf>
    <xf numFmtId="0" fontId="0" fillId="0" borderId="0" xfId="0" applyNumberFormat="1">
      <alignment vertical="center"/>
    </xf>
  </cellXfs>
  <cellStyles count="4">
    <cellStyle name="Normal 2" xfId="2"/>
    <cellStyle name="常规" xfId="0" builtinId="0"/>
    <cellStyle name="常规 2" xfId="1"/>
    <cellStyle name="常规 3"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215900</xdr:colOff>
          <xdr:row>0</xdr:row>
          <xdr:rowOff>107950</xdr:rowOff>
        </xdr:from>
        <xdr:to>
          <xdr:col>147</xdr:col>
          <xdr:colOff>1346200</xdr:colOff>
          <xdr:row>0</xdr:row>
          <xdr:rowOff>419100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40"/>
  <sheetViews>
    <sheetView tabSelected="1" zoomScale="85" zoomScaleNormal="85" workbookViewId="0">
      <pane xSplit="5" ySplit="1" topLeftCell="AY50" activePane="bottomRight" state="frozen"/>
      <selection pane="topRight" activeCell="F1" sqref="F1"/>
      <selection pane="bottomLeft" activeCell="A2" sqref="A2"/>
      <selection pane="bottomRight" activeCell="D52" sqref="D52:EP52"/>
    </sheetView>
  </sheetViews>
  <sheetFormatPr defaultRowHeight="14" x14ac:dyDescent="0.25"/>
  <cols>
    <col min="1" max="1" width="31.36328125" customWidth="1"/>
    <col min="2" max="2" width="37.453125" customWidth="1"/>
    <col min="3" max="3" width="43.1796875" customWidth="1"/>
    <col min="9" max="9" width="10.81640625" customWidth="1"/>
    <col min="14" max="14" width="10.6328125" customWidth="1"/>
    <col min="15" max="15" width="11" customWidth="1"/>
    <col min="19" max="19" width="11.08984375" customWidth="1"/>
    <col min="148" max="148" width="22.1796875" customWidth="1"/>
  </cols>
  <sheetData>
    <row r="1" spans="1:146" ht="42.5" customHeight="1" x14ac:dyDescent="0.25">
      <c r="A1" s="5" t="s">
        <v>84</v>
      </c>
      <c r="B1" s="6" t="s">
        <v>85</v>
      </c>
      <c r="C1" s="5" t="s">
        <v>86</v>
      </c>
      <c r="D1" t="s">
        <v>15</v>
      </c>
      <c r="E1" t="s">
        <v>457</v>
      </c>
      <c r="F1" t="s">
        <v>39</v>
      </c>
      <c r="G1" t="s">
        <v>682</v>
      </c>
      <c r="H1" t="s">
        <v>683</v>
      </c>
      <c r="I1" t="s">
        <v>16</v>
      </c>
      <c r="J1" t="s">
        <v>17</v>
      </c>
      <c r="K1" t="s">
        <v>3</v>
      </c>
      <c r="L1" t="s">
        <v>40</v>
      </c>
      <c r="M1" t="s">
        <v>41</v>
      </c>
      <c r="N1" t="s">
        <v>42</v>
      </c>
      <c r="O1" t="s">
        <v>87</v>
      </c>
      <c r="P1" t="s">
        <v>684</v>
      </c>
      <c r="Q1" t="s">
        <v>685</v>
      </c>
      <c r="R1" t="s">
        <v>458</v>
      </c>
      <c r="S1" t="s">
        <v>43</v>
      </c>
      <c r="T1" t="s">
        <v>686</v>
      </c>
      <c r="U1" t="s">
        <v>337</v>
      </c>
      <c r="V1" t="s">
        <v>44</v>
      </c>
      <c r="W1" t="s">
        <v>687</v>
      </c>
      <c r="X1" t="s">
        <v>688</v>
      </c>
      <c r="Y1" t="s">
        <v>689</v>
      </c>
      <c r="Z1" t="s">
        <v>690</v>
      </c>
      <c r="AA1" t="s">
        <v>691</v>
      </c>
      <c r="AB1" t="s">
        <v>692</v>
      </c>
      <c r="AC1" t="s">
        <v>693</v>
      </c>
      <c r="AD1" t="s">
        <v>694</v>
      </c>
      <c r="AE1" t="s">
        <v>45</v>
      </c>
      <c r="AF1" t="s">
        <v>46</v>
      </c>
      <c r="AG1" t="s">
        <v>695</v>
      </c>
      <c r="AH1" t="s">
        <v>696</v>
      </c>
      <c r="AI1" t="s">
        <v>697</v>
      </c>
      <c r="AJ1" t="s">
        <v>47</v>
      </c>
      <c r="AK1" t="s">
        <v>698</v>
      </c>
      <c r="AL1" t="s">
        <v>138</v>
      </c>
      <c r="AM1" t="s">
        <v>699</v>
      </c>
      <c r="AN1" t="s">
        <v>700</v>
      </c>
      <c r="AO1" t="s">
        <v>701</v>
      </c>
      <c r="AP1" t="s">
        <v>702</v>
      </c>
      <c r="AQ1" t="s">
        <v>703</v>
      </c>
      <c r="AR1" t="s">
        <v>704</v>
      </c>
      <c r="AS1" t="s">
        <v>705</v>
      </c>
      <c r="AT1" t="s">
        <v>706</v>
      </c>
      <c r="AU1" t="s">
        <v>707</v>
      </c>
      <c r="AV1" t="s">
        <v>708</v>
      </c>
      <c r="AW1" t="s">
        <v>709</v>
      </c>
      <c r="AX1" t="s">
        <v>710</v>
      </c>
      <c r="AY1" t="s">
        <v>711</v>
      </c>
      <c r="AZ1" t="s">
        <v>139</v>
      </c>
      <c r="BA1" t="s">
        <v>140</v>
      </c>
      <c r="BB1" t="s">
        <v>141</v>
      </c>
      <c r="BC1" t="s">
        <v>712</v>
      </c>
      <c r="BD1" t="s">
        <v>342</v>
      </c>
      <c r="BE1" t="s">
        <v>142</v>
      </c>
      <c r="BF1" t="s">
        <v>143</v>
      </c>
      <c r="BG1" t="s">
        <v>144</v>
      </c>
      <c r="BH1" t="s">
        <v>713</v>
      </c>
      <c r="BI1" t="s">
        <v>714</v>
      </c>
      <c r="BJ1" t="s">
        <v>715</v>
      </c>
      <c r="BK1" t="s">
        <v>716</v>
      </c>
      <c r="BL1" t="s">
        <v>717</v>
      </c>
      <c r="BM1" t="s">
        <v>718</v>
      </c>
      <c r="BN1" t="s">
        <v>719</v>
      </c>
      <c r="BO1" t="s">
        <v>459</v>
      </c>
      <c r="BP1" t="s">
        <v>338</v>
      </c>
      <c r="BQ1" t="s">
        <v>720</v>
      </c>
      <c r="BR1" t="s">
        <v>460</v>
      </c>
      <c r="BS1" t="s">
        <v>339</v>
      </c>
      <c r="BT1" t="s">
        <v>721</v>
      </c>
      <c r="BU1" t="s">
        <v>489</v>
      </c>
      <c r="BV1" t="s">
        <v>722</v>
      </c>
      <c r="BW1" t="s">
        <v>723</v>
      </c>
      <c r="BX1" t="s">
        <v>288</v>
      </c>
      <c r="BY1" t="s">
        <v>724</v>
      </c>
      <c r="BZ1" t="s">
        <v>725</v>
      </c>
      <c r="CA1" t="s">
        <v>289</v>
      </c>
      <c r="CB1" t="s">
        <v>726</v>
      </c>
      <c r="CC1" t="s">
        <v>727</v>
      </c>
      <c r="CD1" t="s">
        <v>728</v>
      </c>
      <c r="CE1" t="s">
        <v>729</v>
      </c>
      <c r="CF1" s="1" t="s">
        <v>273</v>
      </c>
      <c r="CG1" s="1" t="s">
        <v>274</v>
      </c>
      <c r="CH1" s="1" t="s">
        <v>275</v>
      </c>
      <c r="CI1" s="1" t="s">
        <v>276</v>
      </c>
      <c r="CJ1" s="1" t="s">
        <v>277</v>
      </c>
      <c r="CK1" s="1" t="s">
        <v>278</v>
      </c>
      <c r="CL1" s="1" t="s">
        <v>279</v>
      </c>
      <c r="CM1" s="1" t="s">
        <v>280</v>
      </c>
      <c r="CN1" s="1" t="s">
        <v>281</v>
      </c>
      <c r="CO1" s="1" t="s">
        <v>282</v>
      </c>
      <c r="CP1" s="1" t="s">
        <v>283</v>
      </c>
      <c r="CQ1" s="1" t="s">
        <v>284</v>
      </c>
      <c r="CR1" s="1" t="s">
        <v>730</v>
      </c>
      <c r="CS1" s="1" t="s">
        <v>731</v>
      </c>
      <c r="CT1" s="1" t="s">
        <v>539</v>
      </c>
      <c r="CU1" s="1" t="s">
        <v>537</v>
      </c>
      <c r="CV1" s="1" t="s">
        <v>732</v>
      </c>
      <c r="CW1" s="1" t="s">
        <v>733</v>
      </c>
      <c r="CX1">
        <v>1</v>
      </c>
      <c r="CY1" t="s">
        <v>734</v>
      </c>
      <c r="CZ1" t="s">
        <v>735</v>
      </c>
      <c r="DA1">
        <v>3</v>
      </c>
      <c r="DB1" t="s">
        <v>461</v>
      </c>
      <c r="DC1" t="s">
        <v>736</v>
      </c>
      <c r="DD1">
        <v>6</v>
      </c>
      <c r="DE1" t="s">
        <v>737</v>
      </c>
      <c r="DF1" t="s">
        <v>738</v>
      </c>
      <c r="DG1">
        <v>10</v>
      </c>
      <c r="DH1" t="s">
        <v>739</v>
      </c>
      <c r="DI1" t="s">
        <v>740</v>
      </c>
      <c r="DJ1">
        <v>20</v>
      </c>
      <c r="DK1" t="s">
        <v>741</v>
      </c>
      <c r="DL1" t="s">
        <v>285</v>
      </c>
      <c r="DM1" t="s">
        <v>286</v>
      </c>
      <c r="DN1" s="2" t="s">
        <v>287</v>
      </c>
      <c r="DO1" t="s">
        <v>742</v>
      </c>
      <c r="DP1" t="s">
        <v>743</v>
      </c>
      <c r="DQ1" s="13" t="s">
        <v>744</v>
      </c>
      <c r="DR1" s="1" t="s">
        <v>745</v>
      </c>
      <c r="DS1" s="1" t="s">
        <v>746</v>
      </c>
      <c r="DT1" t="s">
        <v>747</v>
      </c>
      <c r="DU1" t="s">
        <v>748</v>
      </c>
      <c r="DV1" t="s">
        <v>540</v>
      </c>
      <c r="DW1" t="s">
        <v>749</v>
      </c>
      <c r="DX1" t="s">
        <v>750</v>
      </c>
      <c r="DY1" t="s">
        <v>751</v>
      </c>
      <c r="DZ1" t="s">
        <v>752</v>
      </c>
      <c r="EA1" t="s">
        <v>753</v>
      </c>
      <c r="EB1" t="s">
        <v>462</v>
      </c>
      <c r="EC1" t="s">
        <v>541</v>
      </c>
      <c r="ED1" t="s">
        <v>754</v>
      </c>
      <c r="EE1" t="s">
        <v>542</v>
      </c>
      <c r="EF1" t="s">
        <v>755</v>
      </c>
      <c r="EG1" t="s">
        <v>756</v>
      </c>
      <c r="EH1" t="s">
        <v>757</v>
      </c>
      <c r="EI1" t="s">
        <v>758</v>
      </c>
      <c r="EK1" s="14" t="s">
        <v>759</v>
      </c>
      <c r="EL1" t="s">
        <v>538</v>
      </c>
      <c r="EM1" t="s">
        <v>543</v>
      </c>
      <c r="EN1" t="s">
        <v>760</v>
      </c>
      <c r="EO1" t="s">
        <v>761</v>
      </c>
      <c r="EP1" t="s">
        <v>762</v>
      </c>
    </row>
    <row r="2" spans="1:146" ht="96" x14ac:dyDescent="0.25">
      <c r="A2" s="7"/>
      <c r="B2" s="7"/>
      <c r="C2" s="7" t="str">
        <f>""&amp;CHAR(10)&amp;Basic_Fundamental_Information_Constructure(F2)&amp;CHAR(10)&amp;Basic_Fundamental_Information_Concatenate("")</f>
        <v xml:space="preserve">
市值23.035612亿, 利润-2817.26万; PE; 平均PE-203.31; 平均PEG-17.86, PB9.06; ROIC7.55%; ROE-77.4433%; 股利率0%; 毛利67.8933%; 净利-23.3967%; 上一年度营收增-31.5%, 利润增-126.15%; 当季营收增-25.23%, 利润增-40.22%; 过往5年营收增11.38%, 利润增-65.8%
Income profile:
</v>
      </c>
      <c r="D2" t="s">
        <v>291</v>
      </c>
      <c r="E2" t="s">
        <v>292</v>
      </c>
      <c r="F2">
        <v>6.98</v>
      </c>
      <c r="G2">
        <v>1.9</v>
      </c>
      <c r="H2" t="s">
        <v>891</v>
      </c>
      <c r="I2">
        <v>2303561200</v>
      </c>
      <c r="K2">
        <v>9.06</v>
      </c>
      <c r="L2" t="s">
        <v>290</v>
      </c>
      <c r="M2" t="s">
        <v>892</v>
      </c>
      <c r="N2" t="s">
        <v>893</v>
      </c>
      <c r="O2" t="s">
        <v>894</v>
      </c>
      <c r="P2">
        <v>-25.23</v>
      </c>
      <c r="Q2" t="s">
        <v>849</v>
      </c>
      <c r="R2">
        <v>-2770654</v>
      </c>
      <c r="S2" s="3">
        <v>-0.40210000000000001</v>
      </c>
      <c r="T2" t="s">
        <v>895</v>
      </c>
      <c r="U2">
        <v>310667200</v>
      </c>
      <c r="V2">
        <v>330023100</v>
      </c>
      <c r="W2">
        <v>2.0299999999999998</v>
      </c>
      <c r="X2">
        <v>0.04</v>
      </c>
      <c r="Y2">
        <v>-10.96</v>
      </c>
      <c r="Z2" t="s">
        <v>896</v>
      </c>
      <c r="AA2" t="s">
        <v>897</v>
      </c>
      <c r="AB2" t="s">
        <v>898</v>
      </c>
      <c r="AC2" t="s">
        <v>899</v>
      </c>
      <c r="AD2" t="s">
        <v>14</v>
      </c>
      <c r="AE2">
        <v>370993</v>
      </c>
      <c r="AF2" t="s">
        <v>900</v>
      </c>
      <c r="AG2" t="s">
        <v>14</v>
      </c>
      <c r="AH2" t="s">
        <v>901</v>
      </c>
      <c r="AI2" t="s">
        <v>474</v>
      </c>
      <c r="AJ2" t="s">
        <v>902</v>
      </c>
      <c r="AK2" t="s">
        <v>14</v>
      </c>
      <c r="AL2" t="s">
        <v>903</v>
      </c>
      <c r="AM2" t="s">
        <v>14</v>
      </c>
      <c r="AN2">
        <v>0</v>
      </c>
      <c r="AO2" t="s">
        <v>904</v>
      </c>
      <c r="AP2" t="s">
        <v>14</v>
      </c>
      <c r="AQ2" t="s">
        <v>905</v>
      </c>
      <c r="AR2" t="s">
        <v>14</v>
      </c>
      <c r="AS2" t="s">
        <v>323</v>
      </c>
      <c r="AT2" t="s">
        <v>14</v>
      </c>
      <c r="AU2" t="s">
        <v>906</v>
      </c>
      <c r="AV2" t="s">
        <v>907</v>
      </c>
      <c r="AW2" t="s">
        <v>908</v>
      </c>
      <c r="AX2" t="s">
        <v>487</v>
      </c>
      <c r="AY2" t="s">
        <v>102</v>
      </c>
      <c r="AZ2" t="s">
        <v>83</v>
      </c>
      <c r="BA2" t="s">
        <v>228</v>
      </c>
      <c r="BB2" t="s">
        <v>294</v>
      </c>
      <c r="BC2" t="s">
        <v>909</v>
      </c>
      <c r="BD2" t="s">
        <v>343</v>
      </c>
      <c r="BE2" t="s">
        <v>293</v>
      </c>
      <c r="BF2" t="s">
        <v>295</v>
      </c>
      <c r="BG2" t="s">
        <v>296</v>
      </c>
      <c r="BH2" t="s">
        <v>849</v>
      </c>
      <c r="BI2" t="s">
        <v>910</v>
      </c>
      <c r="BJ2" t="s">
        <v>487</v>
      </c>
      <c r="BK2" t="s">
        <v>895</v>
      </c>
      <c r="BL2" t="s">
        <v>911</v>
      </c>
      <c r="BM2" t="s">
        <v>909</v>
      </c>
      <c r="BN2">
        <v>7.55</v>
      </c>
      <c r="BO2" t="s">
        <v>14</v>
      </c>
      <c r="BP2" t="s">
        <v>14</v>
      </c>
      <c r="BQ2">
        <v>3.47</v>
      </c>
      <c r="BR2">
        <v>-123.33</v>
      </c>
      <c r="BS2">
        <v>-112.47</v>
      </c>
      <c r="BT2" t="s">
        <v>546</v>
      </c>
      <c r="BU2" t="s">
        <v>456</v>
      </c>
      <c r="BV2">
        <v>68.06</v>
      </c>
      <c r="BW2">
        <v>64.790000000000006</v>
      </c>
      <c r="BX2">
        <v>70.83</v>
      </c>
      <c r="BY2">
        <v>-34.200000000000003</v>
      </c>
      <c r="BZ2">
        <v>-14.86</v>
      </c>
      <c r="CA2">
        <v>-21.13</v>
      </c>
      <c r="CB2">
        <v>1.1599999999999999</v>
      </c>
      <c r="CC2">
        <v>-1.69</v>
      </c>
      <c r="CD2" t="s">
        <v>912</v>
      </c>
      <c r="CE2" t="s">
        <v>199</v>
      </c>
      <c r="CF2" s="9">
        <v>-0.25232587594560674</v>
      </c>
      <c r="CG2" s="10">
        <v>-0.40215283400809715</v>
      </c>
      <c r="CH2" s="9">
        <v>-0.31499999761581421</v>
      </c>
      <c r="CI2" s="9">
        <v>0.2738853394985199</v>
      </c>
      <c r="CJ2" s="9">
        <v>-0.10795454680919647</v>
      </c>
      <c r="CK2" s="9">
        <v>0.31343284249305725</v>
      </c>
      <c r="CL2" s="9">
        <v>0.40488171577453613</v>
      </c>
      <c r="CM2" s="10">
        <v>-1.2615152597427368</v>
      </c>
      <c r="CN2" s="10">
        <v>0.3486667275428772</v>
      </c>
      <c r="CO2" s="10">
        <v>-3.3454246520996094</v>
      </c>
      <c r="CP2" s="10">
        <v>-0.56639230251312256</v>
      </c>
      <c r="CQ2" s="10">
        <v>1.5344504117965698</v>
      </c>
      <c r="CR2">
        <v>-203.30532939707251</v>
      </c>
      <c r="CS2">
        <v>-17.85744303434376</v>
      </c>
      <c r="CT2">
        <v>0</v>
      </c>
      <c r="CU2" s="9">
        <v>0.11384907066822052</v>
      </c>
      <c r="CV2" s="10">
        <v>-0.65804301500320439</v>
      </c>
      <c r="CW2">
        <v>0.06</v>
      </c>
      <c r="CX2" t="e">
        <v>#VALUE!</v>
      </c>
      <c r="CY2" t="s">
        <v>464</v>
      </c>
      <c r="CZ2">
        <v>0.11384907066822052</v>
      </c>
      <c r="DA2" t="e">
        <v>#VALUE!</v>
      </c>
      <c r="DB2" t="s">
        <v>465</v>
      </c>
      <c r="DC2">
        <v>0.10815661713480948</v>
      </c>
      <c r="DD2" t="e">
        <v>#VALUE!</v>
      </c>
      <c r="DE2" t="s">
        <v>465</v>
      </c>
      <c r="DF2">
        <v>0.10018718218803406</v>
      </c>
      <c r="DG2" t="e">
        <v>#VALUE!</v>
      </c>
      <c r="DH2" t="s">
        <v>465</v>
      </c>
      <c r="DI2">
        <v>9.1079256534576422E-2</v>
      </c>
      <c r="DJ2" t="e">
        <v>#VALUE!</v>
      </c>
      <c r="DK2" t="s">
        <v>465</v>
      </c>
      <c r="DL2">
        <v>7.9694349467754361E-2</v>
      </c>
      <c r="DM2">
        <v>-28172600.000000004</v>
      </c>
      <c r="DN2">
        <v>0.11384907066822052</v>
      </c>
      <c r="DO2">
        <v>2468561200</v>
      </c>
      <c r="DP2">
        <v>203830400</v>
      </c>
      <c r="DQ2">
        <v>95</v>
      </c>
      <c r="DR2">
        <v>-0.36617494661382727</v>
      </c>
      <c r="DS2">
        <v>0.25589018099510724</v>
      </c>
      <c r="DT2" s="11">
        <v>-0.24000000000000007</v>
      </c>
      <c r="DU2">
        <v>-2.5150000000000001</v>
      </c>
      <c r="DV2">
        <v>-2.7550000000000003</v>
      </c>
      <c r="DW2">
        <v>-1.6899999999999998E-2</v>
      </c>
      <c r="DX2">
        <v>0.31648593155893667</v>
      </c>
      <c r="DY2">
        <v>-2.6446122433460076E-3</v>
      </c>
      <c r="DZ2">
        <v>4812</v>
      </c>
      <c r="EA2">
        <v>-1.5422591947497266E-4</v>
      </c>
      <c r="EB2">
        <v>0</v>
      </c>
      <c r="EC2">
        <v>0.12470581604742213</v>
      </c>
      <c r="ED2">
        <v>0.79691391299578729</v>
      </c>
      <c r="EE2" s="12">
        <v>-8.0811100000000007</v>
      </c>
      <c r="EF2">
        <v>-8.1240100000000002</v>
      </c>
      <c r="EG2">
        <v>16.156485931558937</v>
      </c>
      <c r="EH2" t="s">
        <v>913</v>
      </c>
      <c r="EI2">
        <v>0</v>
      </c>
      <c r="EJ2">
        <v>0</v>
      </c>
      <c r="EK2" s="14">
        <v>45470</v>
      </c>
      <c r="EL2" s="15">
        <v>10.039999999999999</v>
      </c>
      <c r="EM2" s="15">
        <v>-9.98</v>
      </c>
      <c r="EN2" s="15">
        <v>1.35</v>
      </c>
      <c r="EO2" s="15">
        <v>-3.6</v>
      </c>
      <c r="EP2" s="15">
        <v>-4.29</v>
      </c>
    </row>
    <row r="3" spans="1:146" ht="96" x14ac:dyDescent="0.25">
      <c r="A3" s="7"/>
      <c r="B3" s="7"/>
      <c r="C3" s="7" t="str">
        <f>""&amp;CHAR(10)&amp;Basic_Fundamental_Information_Constructure(F3)&amp;CHAR(10)&amp;Basic_Fundamental_Information_Concatenate("")</f>
        <v xml:space="preserve">
市值107.594217亿, 利润-3.68亿; PE; 平均PE-119.19; 平均PEG-3.83, PB2.82; ROIC0%; ROE-14.82%; 股利率0%; 毛利1.49%; 净利-27.7467%; 上一年度营收增70.34%, 利润增68.73%; 当季营收增10.76%, 利润增-40.37%; 过往5年营收增31.14%, 利润增-378.77%
Income profile:
</v>
      </c>
      <c r="D3" t="s">
        <v>35</v>
      </c>
      <c r="E3" t="s">
        <v>36</v>
      </c>
      <c r="F3">
        <v>4.76</v>
      </c>
      <c r="G3">
        <v>1.28</v>
      </c>
      <c r="H3" t="s">
        <v>914</v>
      </c>
      <c r="I3">
        <v>10759421700</v>
      </c>
      <c r="K3">
        <v>2.82</v>
      </c>
      <c r="L3" t="s">
        <v>290</v>
      </c>
      <c r="M3" t="s">
        <v>915</v>
      </c>
      <c r="N3" t="s">
        <v>916</v>
      </c>
      <c r="O3" t="s">
        <v>917</v>
      </c>
      <c r="P3">
        <v>10.75</v>
      </c>
      <c r="Q3" t="s">
        <v>918</v>
      </c>
      <c r="R3">
        <v>-104912277</v>
      </c>
      <c r="S3" s="3">
        <v>-0.4037</v>
      </c>
      <c r="T3" t="s">
        <v>919</v>
      </c>
      <c r="U3">
        <v>2213222300</v>
      </c>
      <c r="V3">
        <v>2260382700</v>
      </c>
      <c r="W3">
        <v>2.96</v>
      </c>
      <c r="X3">
        <v>0.11</v>
      </c>
      <c r="Y3">
        <v>-11.24</v>
      </c>
      <c r="Z3" t="s">
        <v>920</v>
      </c>
      <c r="AA3" t="s">
        <v>921</v>
      </c>
      <c r="AB3" t="s">
        <v>922</v>
      </c>
      <c r="AC3" t="s">
        <v>48</v>
      </c>
      <c r="AD3" t="s">
        <v>14</v>
      </c>
      <c r="AE3">
        <v>43465343</v>
      </c>
      <c r="AF3" t="s">
        <v>923</v>
      </c>
      <c r="AG3" t="s">
        <v>924</v>
      </c>
      <c r="AH3" t="s">
        <v>925</v>
      </c>
      <c r="AI3" t="s">
        <v>926</v>
      </c>
      <c r="AJ3" t="s">
        <v>927</v>
      </c>
      <c r="AK3" t="s">
        <v>14</v>
      </c>
      <c r="AL3" t="s">
        <v>928</v>
      </c>
      <c r="AM3" t="s">
        <v>14</v>
      </c>
      <c r="AN3" t="s">
        <v>929</v>
      </c>
      <c r="AO3" t="s">
        <v>472</v>
      </c>
      <c r="AP3" t="s">
        <v>14</v>
      </c>
      <c r="AQ3" t="s">
        <v>930</v>
      </c>
      <c r="AR3" t="s">
        <v>931</v>
      </c>
      <c r="AS3" t="s">
        <v>932</v>
      </c>
      <c r="AT3" t="s">
        <v>933</v>
      </c>
      <c r="AU3" t="s">
        <v>934</v>
      </c>
      <c r="AV3" t="s">
        <v>871</v>
      </c>
      <c r="AW3" t="s">
        <v>935</v>
      </c>
      <c r="AX3" t="s">
        <v>599</v>
      </c>
      <c r="AY3" t="s">
        <v>344</v>
      </c>
      <c r="AZ3" t="s">
        <v>145</v>
      </c>
      <c r="BA3" t="s">
        <v>148</v>
      </c>
      <c r="BB3" t="s">
        <v>121</v>
      </c>
      <c r="BC3" t="s">
        <v>600</v>
      </c>
      <c r="BD3" t="s">
        <v>345</v>
      </c>
      <c r="BE3" t="s">
        <v>146</v>
      </c>
      <c r="BF3" t="s">
        <v>149</v>
      </c>
      <c r="BG3" t="s">
        <v>150</v>
      </c>
      <c r="BH3" t="s">
        <v>918</v>
      </c>
      <c r="BI3" t="s">
        <v>158</v>
      </c>
      <c r="BJ3" t="s">
        <v>599</v>
      </c>
      <c r="BK3" t="s">
        <v>919</v>
      </c>
      <c r="BL3" t="s">
        <v>936</v>
      </c>
      <c r="BM3" t="s">
        <v>600</v>
      </c>
      <c r="BN3" t="s">
        <v>14</v>
      </c>
      <c r="BO3" t="s">
        <v>14</v>
      </c>
      <c r="BP3" t="s">
        <v>14</v>
      </c>
      <c r="BQ3">
        <v>-5.33</v>
      </c>
      <c r="BR3">
        <v>-24.36</v>
      </c>
      <c r="BS3">
        <v>-14.77</v>
      </c>
      <c r="BT3" t="s">
        <v>546</v>
      </c>
      <c r="BU3" t="s">
        <v>937</v>
      </c>
      <c r="BV3">
        <v>9.5500000000000007</v>
      </c>
      <c r="BW3">
        <v>-6.57</v>
      </c>
      <c r="BX3">
        <v>1.49</v>
      </c>
      <c r="BY3">
        <v>-10.220000000000001</v>
      </c>
      <c r="BZ3">
        <v>-44.09</v>
      </c>
      <c r="CA3">
        <v>-28.93</v>
      </c>
      <c r="CB3">
        <v>1.71</v>
      </c>
      <c r="CC3">
        <v>-16.489999999999998</v>
      </c>
      <c r="CD3" t="s">
        <v>938</v>
      </c>
      <c r="CE3" t="s">
        <v>312</v>
      </c>
      <c r="CF3" s="9">
        <v>0.10764872521246459</v>
      </c>
      <c r="CG3" s="10">
        <v>-0.40368711742629498</v>
      </c>
      <c r="CH3" s="9">
        <v>0.70343035459518433</v>
      </c>
      <c r="CI3" s="9">
        <v>-7.1893148124217987E-2</v>
      </c>
      <c r="CJ3" s="9">
        <v>0.81767255067825317</v>
      </c>
      <c r="CK3" s="9">
        <v>0.62159442901611328</v>
      </c>
      <c r="CL3" s="9">
        <v>-0.51397746801376343</v>
      </c>
      <c r="CM3" s="10">
        <v>0.68734067678451538</v>
      </c>
      <c r="CN3" s="10">
        <v>-0.43187341094017029</v>
      </c>
      <c r="CO3" s="10">
        <v>-19.121494293212891</v>
      </c>
      <c r="CP3" s="10">
        <v>1.1122784614562988</v>
      </c>
      <c r="CQ3" s="10">
        <v>-1.1849817037582397</v>
      </c>
      <c r="CR3">
        <v>-119.18726422279025</v>
      </c>
      <c r="CS3">
        <v>-3.8278911465593959</v>
      </c>
      <c r="CT3">
        <v>0</v>
      </c>
      <c r="CU3" s="9">
        <v>0.31136534363031387</v>
      </c>
      <c r="CV3" s="10">
        <v>-3.7877460539340975</v>
      </c>
      <c r="CW3">
        <v>0.06</v>
      </c>
      <c r="CX3" t="e">
        <v>#VALUE!</v>
      </c>
      <c r="CY3" t="s">
        <v>464</v>
      </c>
      <c r="CZ3">
        <v>0.31136534363031387</v>
      </c>
      <c r="DA3" t="e">
        <v>#VALUE!</v>
      </c>
      <c r="DB3" t="s">
        <v>465</v>
      </c>
      <c r="DC3">
        <v>0.29579707644879816</v>
      </c>
      <c r="DD3" t="e">
        <v>#VALUE!</v>
      </c>
      <c r="DE3" t="s">
        <v>465</v>
      </c>
      <c r="DF3">
        <v>0.27400150239467619</v>
      </c>
      <c r="DG3" t="e">
        <v>#VALUE!</v>
      </c>
      <c r="DH3" t="s">
        <v>465</v>
      </c>
      <c r="DI3">
        <v>0.24909227490425112</v>
      </c>
      <c r="DJ3" t="e">
        <v>#VALUE!</v>
      </c>
      <c r="DK3" t="s">
        <v>465</v>
      </c>
      <c r="DL3">
        <v>0.21795574054121969</v>
      </c>
      <c r="DM3">
        <v>-368000000</v>
      </c>
      <c r="DN3">
        <v>0.31136534363031387</v>
      </c>
      <c r="DO3">
        <v>14571421700</v>
      </c>
      <c r="DP3">
        <v>-2198565700</v>
      </c>
      <c r="DQ3">
        <v>103</v>
      </c>
      <c r="DR3">
        <v>-0.20371661841784927</v>
      </c>
      <c r="DS3">
        <v>3.3840589365078024</v>
      </c>
      <c r="DT3" s="11">
        <v>0.29333333333333339</v>
      </c>
      <c r="DU3">
        <v>-2.6150000000000002</v>
      </c>
      <c r="DV3">
        <v>-2.3216666666666668</v>
      </c>
      <c r="DW3">
        <v>-3.0055416666666668</v>
      </c>
      <c r="DX3">
        <v>0.27499937238493788</v>
      </c>
      <c r="DY3">
        <v>-3.0006927048552998</v>
      </c>
      <c r="DZ3">
        <v>4589</v>
      </c>
      <c r="EA3">
        <v>-3.0000706260723309</v>
      </c>
      <c r="EB3">
        <v>3</v>
      </c>
      <c r="EC3">
        <v>2.6433444212787507E-2</v>
      </c>
      <c r="ED3">
        <v>0.21146861546940701</v>
      </c>
      <c r="EE3" s="12">
        <v>-3.0609099999999998</v>
      </c>
      <c r="EF3">
        <v>-3.0901100000000001</v>
      </c>
      <c r="EG3">
        <v>15.124999372384938</v>
      </c>
      <c r="EH3" t="s">
        <v>890</v>
      </c>
      <c r="EI3">
        <v>0</v>
      </c>
      <c r="EJ3">
        <v>0</v>
      </c>
      <c r="EK3" s="14">
        <v>45470</v>
      </c>
      <c r="EL3" s="15">
        <v>-1.96</v>
      </c>
      <c r="EM3" s="15">
        <v>-6.19</v>
      </c>
      <c r="EN3" s="15">
        <v>-1.06</v>
      </c>
      <c r="EO3" s="15">
        <v>3.01</v>
      </c>
      <c r="EP3" s="15">
        <v>-2.92</v>
      </c>
    </row>
    <row r="4" spans="1:146" ht="96" x14ac:dyDescent="0.25">
      <c r="A4" s="7"/>
      <c r="B4" s="7"/>
      <c r="C4" s="7" t="str">
        <f>""&amp;CHAR(10)&amp;Basic_Fundamental_Information_Constructure(F4)&amp;CHAR(10)&amp;Basic_Fundamental_Information_Concatenate("")</f>
        <v xml:space="preserve">
市值26.054532亿, 利润-4.27亿; PE; 平均PE203.02; 平均PEG51.31, PB1.39; ROIC0%; ROE-7.08%; 股利率0%; 毛利44.0633%; 净利-21.0267%; 上一年度营收增-15.86%, 利润增-71.49%; 当季营收增-.36%, 利润增139.71%; 过往5年营收增-3.96%, 利润增-67.98%
Income profile:
</v>
      </c>
      <c r="D4" t="s">
        <v>492</v>
      </c>
      <c r="E4" t="s">
        <v>493</v>
      </c>
      <c r="F4">
        <v>7.37</v>
      </c>
      <c r="G4">
        <v>3.51</v>
      </c>
      <c r="H4" t="s">
        <v>939</v>
      </c>
      <c r="I4">
        <v>2605453200</v>
      </c>
      <c r="K4">
        <v>1.39</v>
      </c>
      <c r="L4" t="s">
        <v>290</v>
      </c>
      <c r="M4" t="s">
        <v>940</v>
      </c>
      <c r="N4" t="s">
        <v>941</v>
      </c>
      <c r="O4" t="s">
        <v>783</v>
      </c>
      <c r="P4">
        <v>-0.26</v>
      </c>
      <c r="Q4" t="s">
        <v>942</v>
      </c>
      <c r="R4">
        <v>8235123</v>
      </c>
      <c r="S4" s="3">
        <v>1.397</v>
      </c>
      <c r="T4" t="s">
        <v>943</v>
      </c>
      <c r="U4">
        <v>300024600</v>
      </c>
      <c r="V4">
        <v>353521470</v>
      </c>
      <c r="W4">
        <v>1.42</v>
      </c>
      <c r="X4">
        <v>0.1</v>
      </c>
      <c r="Y4">
        <v>3.37</v>
      </c>
      <c r="Z4" t="s">
        <v>873</v>
      </c>
      <c r="AA4" t="s">
        <v>563</v>
      </c>
      <c r="AB4" t="s">
        <v>944</v>
      </c>
      <c r="AC4" t="s">
        <v>945</v>
      </c>
      <c r="AD4" t="s">
        <v>14</v>
      </c>
      <c r="AE4">
        <v>2311729</v>
      </c>
      <c r="AF4" t="s">
        <v>946</v>
      </c>
      <c r="AG4" t="s">
        <v>947</v>
      </c>
      <c r="AH4" t="s">
        <v>948</v>
      </c>
      <c r="AI4" t="s">
        <v>873</v>
      </c>
      <c r="AJ4" t="s">
        <v>949</v>
      </c>
      <c r="AK4" t="s">
        <v>950</v>
      </c>
      <c r="AL4" t="s">
        <v>951</v>
      </c>
      <c r="AM4" t="s">
        <v>14</v>
      </c>
      <c r="AN4" t="s">
        <v>841</v>
      </c>
      <c r="AO4" t="s">
        <v>579</v>
      </c>
      <c r="AP4" t="s">
        <v>952</v>
      </c>
      <c r="AQ4" t="s">
        <v>199</v>
      </c>
      <c r="AR4" t="s">
        <v>14</v>
      </c>
      <c r="AS4" t="s">
        <v>953</v>
      </c>
      <c r="AT4" t="s">
        <v>954</v>
      </c>
      <c r="AU4" t="s">
        <v>955</v>
      </c>
      <c r="AV4" t="s">
        <v>956</v>
      </c>
      <c r="AW4" t="s">
        <v>957</v>
      </c>
      <c r="AX4" t="s">
        <v>603</v>
      </c>
      <c r="AY4" t="s">
        <v>494</v>
      </c>
      <c r="AZ4" t="s">
        <v>496</v>
      </c>
      <c r="BA4" t="s">
        <v>497</v>
      </c>
      <c r="BB4" t="s">
        <v>498</v>
      </c>
      <c r="BC4" t="s">
        <v>958</v>
      </c>
      <c r="BD4" t="s">
        <v>959</v>
      </c>
      <c r="BE4" t="s">
        <v>499</v>
      </c>
      <c r="BF4" t="s">
        <v>470</v>
      </c>
      <c r="BG4" t="s">
        <v>155</v>
      </c>
      <c r="BH4" t="s">
        <v>942</v>
      </c>
      <c r="BI4" t="s">
        <v>960</v>
      </c>
      <c r="BJ4" t="s">
        <v>603</v>
      </c>
      <c r="BK4" t="s">
        <v>943</v>
      </c>
      <c r="BL4" t="s">
        <v>961</v>
      </c>
      <c r="BM4" t="s">
        <v>958</v>
      </c>
      <c r="BN4" t="s">
        <v>14</v>
      </c>
      <c r="BO4" t="s">
        <v>14</v>
      </c>
      <c r="BP4" t="s">
        <v>14</v>
      </c>
      <c r="BQ4">
        <v>-6.04</v>
      </c>
      <c r="BR4">
        <v>-10.52</v>
      </c>
      <c r="BS4">
        <v>-4.68</v>
      </c>
      <c r="BT4" t="s">
        <v>546</v>
      </c>
      <c r="BU4" t="s">
        <v>456</v>
      </c>
      <c r="BV4">
        <v>44.74</v>
      </c>
      <c r="BW4">
        <v>42.72</v>
      </c>
      <c r="BX4">
        <v>44.73</v>
      </c>
      <c r="BY4">
        <v>-36.93</v>
      </c>
      <c r="BZ4">
        <v>-18.010000000000002</v>
      </c>
      <c r="CA4">
        <v>-8.14</v>
      </c>
      <c r="CB4">
        <v>2.65</v>
      </c>
      <c r="CC4">
        <v>-13.9</v>
      </c>
      <c r="CD4" t="s">
        <v>962</v>
      </c>
      <c r="CE4" t="s">
        <v>598</v>
      </c>
      <c r="CF4" s="9">
        <v>-3.5714285714285713E-3</v>
      </c>
      <c r="CG4" s="10">
        <v>1.397095388265247</v>
      </c>
      <c r="CH4" s="9">
        <v>-0.15862567722797394</v>
      </c>
      <c r="CI4" s="9">
        <v>-3.7974681705236435E-2</v>
      </c>
      <c r="CJ4" s="9">
        <v>-7.6623380184173584E-2</v>
      </c>
      <c r="CK4" s="9">
        <v>-4.8207662999629974E-2</v>
      </c>
      <c r="CL4" s="9">
        <v>0.12361110746860504</v>
      </c>
      <c r="CM4" s="10">
        <v>-0.71485942602157593</v>
      </c>
      <c r="CN4" s="10">
        <v>-1.1282051801681519</v>
      </c>
      <c r="CO4" s="10">
        <v>-1.5545023679733276</v>
      </c>
      <c r="CP4" s="10">
        <v>-0.46035805344581604</v>
      </c>
      <c r="CQ4" s="10">
        <v>0.45895522832870483</v>
      </c>
      <c r="CR4">
        <v>203.02232727272713</v>
      </c>
      <c r="CS4">
        <v>51.314837952689324</v>
      </c>
      <c r="CT4">
        <v>0</v>
      </c>
      <c r="CU4" s="9">
        <v>-3.9564058929681775E-2</v>
      </c>
      <c r="CV4" s="10">
        <v>-0.6797939598560333</v>
      </c>
      <c r="CW4">
        <v>0.06</v>
      </c>
      <c r="CX4" t="e">
        <v>#VALUE!</v>
      </c>
      <c r="CY4" t="s">
        <v>465</v>
      </c>
      <c r="CZ4">
        <v>-3.9564058929681775E-2</v>
      </c>
      <c r="DA4" t="e">
        <v>#VALUE!</v>
      </c>
      <c r="DB4" t="s">
        <v>465</v>
      </c>
      <c r="DC4">
        <v>-3.7585855983197684E-2</v>
      </c>
      <c r="DD4" t="e">
        <v>#VALUE!</v>
      </c>
      <c r="DE4" t="s">
        <v>465</v>
      </c>
      <c r="DF4">
        <v>-3.4816371858119963E-2</v>
      </c>
      <c r="DG4" t="e">
        <v>#VALUE!</v>
      </c>
      <c r="DH4" t="s">
        <v>465</v>
      </c>
      <c r="DI4">
        <v>-3.1651247143745419E-2</v>
      </c>
      <c r="DJ4" t="e">
        <v>#VALUE!</v>
      </c>
      <c r="DK4" t="s">
        <v>465</v>
      </c>
      <c r="DL4">
        <v>-2.7694841250777241E-2</v>
      </c>
      <c r="DM4">
        <v>-426999999.99999994</v>
      </c>
      <c r="DN4">
        <v>-3.9564058929681775E-2</v>
      </c>
      <c r="DO4">
        <v>1548453200</v>
      </c>
      <c r="DP4">
        <v>729725000</v>
      </c>
      <c r="DQ4">
        <v>235</v>
      </c>
      <c r="DR4">
        <v>3.5992630358253203E-2</v>
      </c>
      <c r="DS4">
        <v>2.0768893481212802</v>
      </c>
      <c r="DT4" s="11">
        <v>-0.60666666666666669</v>
      </c>
      <c r="DU4">
        <v>-1.7266666666666666</v>
      </c>
      <c r="DV4">
        <v>-2.333333333333333</v>
      </c>
      <c r="DW4">
        <v>6.1601208459214503</v>
      </c>
      <c r="DX4">
        <v>0.33977073170731753</v>
      </c>
      <c r="DY4">
        <v>6.0207789993368213</v>
      </c>
      <c r="DZ4">
        <v>4595</v>
      </c>
      <c r="EA4">
        <v>6.0020941652951985</v>
      </c>
      <c r="EB4">
        <v>6</v>
      </c>
      <c r="EC4">
        <v>7.5251440881369952E-2</v>
      </c>
      <c r="ED4">
        <v>0.57987991507276759</v>
      </c>
      <c r="EE4" s="12">
        <v>2.1044999999999998</v>
      </c>
      <c r="EF4">
        <v>2.0842999999999998</v>
      </c>
      <c r="EG4">
        <v>21.129770731707318</v>
      </c>
      <c r="EH4" t="s">
        <v>831</v>
      </c>
      <c r="EI4">
        <v>0</v>
      </c>
      <c r="EJ4">
        <v>0</v>
      </c>
      <c r="EK4" s="14">
        <v>45470</v>
      </c>
      <c r="EL4" s="15">
        <v>0.41</v>
      </c>
      <c r="EM4" s="15">
        <v>-3.97</v>
      </c>
      <c r="EN4" s="15">
        <v>0.43</v>
      </c>
      <c r="EO4" s="15">
        <v>5.39</v>
      </c>
      <c r="EP4" s="15">
        <v>-2.02</v>
      </c>
    </row>
    <row r="5" spans="1:146" ht="96" x14ac:dyDescent="0.25">
      <c r="A5" s="7"/>
      <c r="B5" s="7"/>
      <c r="C5" s="7" t="str">
        <f>""&amp;CHAR(10)&amp;Basic_Fundamental_Information_Constructure(F5)&amp;CHAR(10)&amp;Basic_Fundamental_Information_Concatenate("")</f>
        <v xml:space="preserve">
市值146.3931亿, 利润5.06亿; PE37.44; 平均PE170.69; 平均PEG28.25, PB1.97; ROIC3.315%; ROE-1.0333%; 股利率.508%; 毛利38.8567%; 净利.7833%; 上一年度营收增26.44%, 利润增190.52%; 当季营收增-14.93%, 利润增-66.64%; 过往5年营收增6.04%, 利润增-189.59%
Income profile:
</v>
      </c>
      <c r="D5" t="s">
        <v>25</v>
      </c>
      <c r="E5" t="s">
        <v>10</v>
      </c>
      <c r="F5">
        <v>3.74</v>
      </c>
      <c r="G5">
        <v>2.4700000000000002</v>
      </c>
      <c r="H5" t="s">
        <v>963</v>
      </c>
      <c r="I5">
        <v>14639310000</v>
      </c>
      <c r="J5">
        <v>37.44</v>
      </c>
      <c r="K5">
        <v>1.97</v>
      </c>
      <c r="L5" t="s">
        <v>290</v>
      </c>
      <c r="M5" t="s">
        <v>964</v>
      </c>
      <c r="N5" t="s">
        <v>965</v>
      </c>
      <c r="O5" t="s">
        <v>966</v>
      </c>
      <c r="P5">
        <v>-14.91</v>
      </c>
      <c r="Q5" t="s">
        <v>967</v>
      </c>
      <c r="R5">
        <v>-286618130</v>
      </c>
      <c r="S5" s="3">
        <v>-0.66669999999999996</v>
      </c>
      <c r="T5" t="s">
        <v>660</v>
      </c>
      <c r="U5">
        <v>3871855800</v>
      </c>
      <c r="V5">
        <v>3914253900</v>
      </c>
      <c r="W5">
        <v>2.2799999999999998</v>
      </c>
      <c r="X5">
        <v>0.09</v>
      </c>
      <c r="Y5">
        <v>-17.170000000000002</v>
      </c>
      <c r="Z5" t="s">
        <v>968</v>
      </c>
      <c r="AA5" t="s">
        <v>969</v>
      </c>
      <c r="AB5" t="s">
        <v>970</v>
      </c>
      <c r="AC5" t="s">
        <v>971</v>
      </c>
      <c r="AD5" t="s">
        <v>14</v>
      </c>
      <c r="AE5">
        <v>74502462</v>
      </c>
      <c r="AF5" t="s">
        <v>972</v>
      </c>
      <c r="AG5" t="s">
        <v>973</v>
      </c>
      <c r="AH5" t="s">
        <v>974</v>
      </c>
      <c r="AI5" t="s">
        <v>772</v>
      </c>
      <c r="AJ5" t="s">
        <v>975</v>
      </c>
      <c r="AK5" t="s">
        <v>976</v>
      </c>
      <c r="AL5" t="s">
        <v>977</v>
      </c>
      <c r="AM5" t="s">
        <v>14</v>
      </c>
      <c r="AN5" t="s">
        <v>978</v>
      </c>
      <c r="AO5" t="s">
        <v>679</v>
      </c>
      <c r="AP5" t="s">
        <v>979</v>
      </c>
      <c r="AQ5" t="s">
        <v>980</v>
      </c>
      <c r="AR5" t="s">
        <v>14</v>
      </c>
      <c r="AS5" t="s">
        <v>981</v>
      </c>
      <c r="AT5" t="s">
        <v>114</v>
      </c>
      <c r="AU5" t="s">
        <v>982</v>
      </c>
      <c r="AV5" t="s">
        <v>983</v>
      </c>
      <c r="AW5" t="s">
        <v>984</v>
      </c>
      <c r="AX5" t="s">
        <v>985</v>
      </c>
      <c r="AY5" t="s">
        <v>605</v>
      </c>
      <c r="AZ5" t="s">
        <v>347</v>
      </c>
      <c r="BA5" t="s">
        <v>159</v>
      </c>
      <c r="BB5" t="s">
        <v>160</v>
      </c>
      <c r="BC5" t="s">
        <v>986</v>
      </c>
      <c r="BD5" t="s">
        <v>606</v>
      </c>
      <c r="BE5" t="s">
        <v>348</v>
      </c>
      <c r="BF5" t="s">
        <v>161</v>
      </c>
      <c r="BG5" t="s">
        <v>131</v>
      </c>
      <c r="BH5" t="s">
        <v>967</v>
      </c>
      <c r="BI5" t="s">
        <v>987</v>
      </c>
      <c r="BJ5" t="s">
        <v>985</v>
      </c>
      <c r="BK5" t="s">
        <v>660</v>
      </c>
      <c r="BL5" t="s">
        <v>988</v>
      </c>
      <c r="BM5" t="s">
        <v>986</v>
      </c>
      <c r="BN5">
        <v>4.33</v>
      </c>
      <c r="BO5" t="s">
        <v>14</v>
      </c>
      <c r="BP5">
        <v>2.2999999999999998</v>
      </c>
      <c r="BQ5">
        <v>2.98</v>
      </c>
      <c r="BR5">
        <v>-6.88</v>
      </c>
      <c r="BS5">
        <v>0.8</v>
      </c>
      <c r="BT5" t="s">
        <v>989</v>
      </c>
      <c r="BU5" t="s">
        <v>937</v>
      </c>
      <c r="BV5">
        <v>42.79</v>
      </c>
      <c r="BW5">
        <v>34.340000000000003</v>
      </c>
      <c r="BX5">
        <v>39.44</v>
      </c>
      <c r="BY5">
        <v>6.14</v>
      </c>
      <c r="BZ5">
        <v>-5.54</v>
      </c>
      <c r="CA5">
        <v>1.75</v>
      </c>
      <c r="CB5">
        <v>-0.56000000000000005</v>
      </c>
      <c r="CC5">
        <v>-14.04</v>
      </c>
      <c r="CD5" t="s">
        <v>69</v>
      </c>
      <c r="CE5" t="s">
        <v>850</v>
      </c>
      <c r="CF5" s="9">
        <v>-0.14926783183750589</v>
      </c>
      <c r="CG5" s="10">
        <v>-0.66638447674418599</v>
      </c>
      <c r="CH5" s="9">
        <v>0.26439192891120911</v>
      </c>
      <c r="CI5" s="9">
        <v>-6.5104223787784576E-2</v>
      </c>
      <c r="CJ5" s="9">
        <v>0.17431192100048065</v>
      </c>
      <c r="CK5" s="9">
        <v>-7.9413510859012604E-2</v>
      </c>
      <c r="CL5" s="9">
        <v>7.9215327277779579E-3</v>
      </c>
      <c r="CM5" s="10">
        <v>1.9051878452301025</v>
      </c>
      <c r="CN5" s="10">
        <v>-10.077784538269043</v>
      </c>
      <c r="CO5" s="10">
        <v>-0.88824152946472168</v>
      </c>
      <c r="CP5" s="10">
        <v>1.636258602142334</v>
      </c>
      <c r="CQ5" s="10">
        <v>-2.0548112392425537</v>
      </c>
      <c r="CR5">
        <v>170.69463983074311</v>
      </c>
      <c r="CS5">
        <v>28.250632012282647</v>
      </c>
      <c r="CT5">
        <v>0.50802139037433158</v>
      </c>
      <c r="CU5" s="9">
        <v>6.0421529598534106E-2</v>
      </c>
      <c r="CV5" s="10">
        <v>-1.8958781719207765</v>
      </c>
      <c r="CW5">
        <v>0.06</v>
      </c>
      <c r="CX5">
        <v>34.716056145730192</v>
      </c>
      <c r="CY5">
        <v>506201220.73288506</v>
      </c>
      <c r="CZ5">
        <v>6.0421529598534106E-2</v>
      </c>
      <c r="DA5">
        <v>11.633587805077477</v>
      </c>
      <c r="DB5">
        <v>1510566670.7849262</v>
      </c>
      <c r="DC5">
        <v>5.7400453118607399E-2</v>
      </c>
      <c r="DD5">
        <v>5.9203833693849761</v>
      </c>
      <c r="DE5">
        <v>2968272306.6336765</v>
      </c>
      <c r="DF5">
        <v>5.3170946046710015E-2</v>
      </c>
      <c r="DG5">
        <v>3.6890158148433998</v>
      </c>
      <c r="DH5">
        <v>4763685189.228714</v>
      </c>
      <c r="DI5">
        <v>4.8337223678827285E-2</v>
      </c>
      <c r="DJ5">
        <v>2.0626993921746477</v>
      </c>
      <c r="DK5">
        <v>8519569097.9832687</v>
      </c>
      <c r="DL5">
        <v>4.2295070718973871E-2</v>
      </c>
      <c r="DM5">
        <v>505999999.99999994</v>
      </c>
      <c r="DN5">
        <v>6.0421529598534106E-2</v>
      </c>
      <c r="DO5">
        <v>17573310000</v>
      </c>
      <c r="DP5">
        <v>-1964198799.999999</v>
      </c>
      <c r="DQ5">
        <v>562</v>
      </c>
      <c r="DR5">
        <v>-0.20968936143604</v>
      </c>
      <c r="DS5">
        <v>1.2294936951765905</v>
      </c>
      <c r="DT5" s="11">
        <v>-0.14000000000000001</v>
      </c>
      <c r="DU5">
        <v>-1.9650000000000005</v>
      </c>
      <c r="DV5">
        <v>-2.1050000000000004</v>
      </c>
      <c r="DW5">
        <v>-2.1404000000000001</v>
      </c>
      <c r="DX5">
        <v>0.38446529080675318</v>
      </c>
      <c r="DY5">
        <v>-2.0202829268292684</v>
      </c>
      <c r="DZ5">
        <v>4467</v>
      </c>
      <c r="EA5">
        <v>-2.0025522352155027</v>
      </c>
      <c r="EB5">
        <v>2</v>
      </c>
      <c r="EC5">
        <v>3.9343385466129317E-2</v>
      </c>
      <c r="ED5">
        <v>0.27233797991489517</v>
      </c>
      <c r="EE5" s="12">
        <v>-1.0632999999999999</v>
      </c>
      <c r="EF5">
        <v>-1.0558000000000001</v>
      </c>
      <c r="EG5">
        <v>24.144465290806753</v>
      </c>
      <c r="EH5" t="s">
        <v>469</v>
      </c>
      <c r="EI5">
        <v>0</v>
      </c>
      <c r="EJ5">
        <v>0</v>
      </c>
      <c r="EK5" s="14">
        <v>45470</v>
      </c>
      <c r="EL5" s="15">
        <v>1.28</v>
      </c>
      <c r="EM5" s="15">
        <v>-3.29</v>
      </c>
      <c r="EN5" s="15">
        <v>-0.52</v>
      </c>
      <c r="EO5" s="15">
        <v>4.74</v>
      </c>
      <c r="EP5" s="15">
        <v>-0.75</v>
      </c>
    </row>
    <row r="6" spans="1:146" ht="96" x14ac:dyDescent="0.25">
      <c r="A6" s="7"/>
      <c r="B6" s="7"/>
      <c r="C6" s="7" t="str">
        <f>""&amp;CHAR(10)&amp;Basic_Fundamental_Information_Constructure(F6)&amp;CHAR(10)&amp;Basic_Fundamental_Information_Concatenate("")</f>
        <v xml:space="preserve">
市值19.296455亿, 利润4968.16万; PE43.76; 平均PE-6.16; 平均PEG-.51, PB15.49; ROIC3.91%; ROE-68.62%; 股利率0%; 毛利11.65%; 净利-11.2333%; 上一年度营收增7.57%, 利润增423.33%; 当季营收增6.99%, 利润增-15.39%; 过往5年营收增-12.15%, 利润增-762.98%
Income profile:
</v>
      </c>
      <c r="D6" t="s">
        <v>81</v>
      </c>
      <c r="E6" t="s">
        <v>82</v>
      </c>
      <c r="F6">
        <v>2.52</v>
      </c>
      <c r="G6">
        <v>4.13</v>
      </c>
      <c r="H6" t="s">
        <v>990</v>
      </c>
      <c r="I6">
        <v>1929645500</v>
      </c>
      <c r="J6">
        <v>43.76</v>
      </c>
      <c r="K6">
        <v>15.49</v>
      </c>
      <c r="L6" t="s">
        <v>290</v>
      </c>
      <c r="M6" t="s">
        <v>991</v>
      </c>
      <c r="N6" t="s">
        <v>351</v>
      </c>
      <c r="O6" t="s">
        <v>992</v>
      </c>
      <c r="P6">
        <v>6.95</v>
      </c>
      <c r="Q6" t="s">
        <v>993</v>
      </c>
      <c r="R6">
        <v>30739368</v>
      </c>
      <c r="S6" s="3">
        <v>-0.15390000000000001</v>
      </c>
      <c r="T6" t="s">
        <v>994</v>
      </c>
      <c r="U6">
        <v>765271980</v>
      </c>
      <c r="V6">
        <v>765732360</v>
      </c>
      <c r="W6">
        <v>20.25</v>
      </c>
      <c r="X6">
        <v>0.26</v>
      </c>
      <c r="Y6">
        <v>5.35</v>
      </c>
      <c r="Z6" t="s">
        <v>784</v>
      </c>
      <c r="AA6" t="s">
        <v>995</v>
      </c>
      <c r="AB6" t="s">
        <v>996</v>
      </c>
      <c r="AC6" t="s">
        <v>997</v>
      </c>
      <c r="AD6" t="s">
        <v>14</v>
      </c>
      <c r="AE6">
        <v>-3239155</v>
      </c>
      <c r="AF6" t="s">
        <v>998</v>
      </c>
      <c r="AG6" t="s">
        <v>999</v>
      </c>
      <c r="AH6" t="s">
        <v>1000</v>
      </c>
      <c r="AI6" t="s">
        <v>1001</v>
      </c>
      <c r="AJ6" t="s">
        <v>1002</v>
      </c>
      <c r="AK6" t="s">
        <v>1003</v>
      </c>
      <c r="AL6" t="s">
        <v>1004</v>
      </c>
      <c r="AM6" t="s">
        <v>14</v>
      </c>
      <c r="AN6" t="s">
        <v>1005</v>
      </c>
      <c r="AO6" t="s">
        <v>1006</v>
      </c>
      <c r="AP6" t="s">
        <v>92</v>
      </c>
      <c r="AQ6" t="s">
        <v>846</v>
      </c>
      <c r="AR6" t="s">
        <v>1007</v>
      </c>
      <c r="AS6" t="s">
        <v>1008</v>
      </c>
      <c r="AT6" t="s">
        <v>72</v>
      </c>
      <c r="AU6" t="s">
        <v>1009</v>
      </c>
      <c r="AV6" t="s">
        <v>1010</v>
      </c>
      <c r="AW6" t="s">
        <v>1011</v>
      </c>
      <c r="AX6" t="s">
        <v>607</v>
      </c>
      <c r="AY6" t="s">
        <v>349</v>
      </c>
      <c r="AZ6" t="s">
        <v>162</v>
      </c>
      <c r="BA6" t="s">
        <v>164</v>
      </c>
      <c r="BB6" t="s">
        <v>165</v>
      </c>
      <c r="BC6" t="s">
        <v>1012</v>
      </c>
      <c r="BD6" t="s">
        <v>350</v>
      </c>
      <c r="BE6" t="s">
        <v>163</v>
      </c>
      <c r="BF6" t="s">
        <v>166</v>
      </c>
      <c r="BG6" t="s">
        <v>167</v>
      </c>
      <c r="BH6" t="s">
        <v>993</v>
      </c>
      <c r="BI6" t="s">
        <v>610</v>
      </c>
      <c r="BJ6" t="s">
        <v>607</v>
      </c>
      <c r="BK6" t="s">
        <v>994</v>
      </c>
      <c r="BL6" t="s">
        <v>1013</v>
      </c>
      <c r="BM6" t="s">
        <v>1012</v>
      </c>
      <c r="BN6">
        <v>3.91</v>
      </c>
      <c r="BO6" t="s">
        <v>14</v>
      </c>
      <c r="BP6" t="s">
        <v>14</v>
      </c>
      <c r="BQ6">
        <v>61.89</v>
      </c>
      <c r="BR6">
        <v>-27.75</v>
      </c>
      <c r="BS6">
        <v>-240</v>
      </c>
      <c r="BT6" t="s">
        <v>546</v>
      </c>
      <c r="BU6" t="s">
        <v>937</v>
      </c>
      <c r="BV6">
        <v>13.49</v>
      </c>
      <c r="BW6">
        <v>13.94</v>
      </c>
      <c r="BX6">
        <v>7.52</v>
      </c>
      <c r="BY6">
        <v>2.31</v>
      </c>
      <c r="BZ6">
        <v>-0.78</v>
      </c>
      <c r="CA6">
        <v>-35.229999999999997</v>
      </c>
      <c r="CB6">
        <v>2.44</v>
      </c>
      <c r="CC6">
        <v>-15.15</v>
      </c>
      <c r="CD6" t="s">
        <v>1014</v>
      </c>
      <c r="CE6" t="s">
        <v>1015</v>
      </c>
      <c r="CF6" s="9">
        <v>6.985294117647059E-2</v>
      </c>
      <c r="CG6" s="10">
        <v>-0.15385677479024906</v>
      </c>
      <c r="CH6" s="9">
        <v>7.5705192983150482E-2</v>
      </c>
      <c r="CI6" s="9">
        <v>-0.33278310298919678</v>
      </c>
      <c r="CJ6" s="9">
        <v>-1.7515448853373528E-2</v>
      </c>
      <c r="CK6" s="9">
        <v>3.386986255645752E-2</v>
      </c>
      <c r="CL6" s="9">
        <v>-0.3670133650302887</v>
      </c>
      <c r="CM6" s="10">
        <v>4.2332792282104492</v>
      </c>
      <c r="CN6" s="10">
        <v>0.9852110743522644</v>
      </c>
      <c r="CO6" s="10">
        <v>-1.2636165618896484</v>
      </c>
      <c r="CP6" s="10">
        <v>-7.9999998211860657E-2</v>
      </c>
      <c r="CQ6" s="10">
        <v>-42.023960113525391</v>
      </c>
      <c r="CR6">
        <v>-6.163937185926839</v>
      </c>
      <c r="CS6">
        <v>-0.50712220848381773</v>
      </c>
      <c r="CT6">
        <v>0</v>
      </c>
      <c r="CU6" s="9">
        <v>-0.1215473722666502</v>
      </c>
      <c r="CV6" s="10">
        <v>-7.6298172742128374</v>
      </c>
      <c r="CW6">
        <v>0.06</v>
      </c>
      <c r="CX6">
        <v>80.26403135164729</v>
      </c>
      <c r="CY6" t="s">
        <v>1016</v>
      </c>
      <c r="CZ6">
        <v>-0.1215473722666502</v>
      </c>
      <c r="DA6">
        <v>26.754677117215763</v>
      </c>
      <c r="DB6" t="s">
        <v>1017</v>
      </c>
      <c r="DC6">
        <v>-0.11547000365331769</v>
      </c>
      <c r="DD6">
        <v>13.377338558607882</v>
      </c>
      <c r="DE6" t="s">
        <v>1018</v>
      </c>
      <c r="DF6">
        <v>-0.10696168759465217</v>
      </c>
      <c r="DG6">
        <v>8.0264031351647294</v>
      </c>
      <c r="DH6" t="s">
        <v>1019</v>
      </c>
      <c r="DI6">
        <v>-9.7237897813320165E-2</v>
      </c>
      <c r="DJ6">
        <v>4.0132015675823647</v>
      </c>
      <c r="DK6" t="s">
        <v>1020</v>
      </c>
      <c r="DL6">
        <v>-8.5083160586655132E-2</v>
      </c>
      <c r="DM6">
        <v>49681600</v>
      </c>
      <c r="DN6">
        <v>-0.1215473722666502</v>
      </c>
      <c r="DO6">
        <v>3987645500</v>
      </c>
      <c r="DP6">
        <v>-648879210</v>
      </c>
      <c r="DQ6">
        <v>682</v>
      </c>
      <c r="DR6">
        <v>0.19140031344312081</v>
      </c>
      <c r="DS6">
        <v>7.4759604994225883</v>
      </c>
      <c r="DT6" s="11">
        <v>-0.69</v>
      </c>
      <c r="DU6">
        <v>-1.9733333333333329</v>
      </c>
      <c r="DV6">
        <v>-2.6633333333333331</v>
      </c>
      <c r="DW6">
        <v>-2.1515</v>
      </c>
      <c r="DX6">
        <v>0.44294902723735502</v>
      </c>
      <c r="DY6">
        <v>-2.0231717776264593</v>
      </c>
      <c r="DZ6">
        <v>4778</v>
      </c>
      <c r="EA6">
        <v>-2.0015054853565526</v>
      </c>
      <c r="EB6">
        <v>2</v>
      </c>
      <c r="EC6">
        <v>5.1333732323915367E-2</v>
      </c>
      <c r="ED6">
        <v>0.33562640607222083</v>
      </c>
      <c r="EE6" s="12">
        <v>-4.0986099999999999</v>
      </c>
      <c r="EF6">
        <v>-4.1184099999999999</v>
      </c>
      <c r="EG6">
        <v>29.152949027237355</v>
      </c>
      <c r="EH6" t="s">
        <v>887</v>
      </c>
      <c r="EI6">
        <v>0</v>
      </c>
      <c r="EJ6">
        <v>0</v>
      </c>
      <c r="EK6" s="14">
        <v>45470</v>
      </c>
      <c r="EL6" s="15">
        <v>-0.39</v>
      </c>
      <c r="EM6" s="15">
        <v>-5.0999999999999996</v>
      </c>
      <c r="EN6" s="15">
        <v>1.24</v>
      </c>
      <c r="EO6" s="15">
        <v>3.27</v>
      </c>
      <c r="EP6" s="15">
        <v>-1.98</v>
      </c>
    </row>
    <row r="7" spans="1:146" ht="96" x14ac:dyDescent="0.25">
      <c r="A7" s="7"/>
      <c r="B7" s="7"/>
      <c r="C7" s="7" t="str">
        <f>""&amp;CHAR(10)&amp;Basic_Fundamental_Information_Constructure(F7)&amp;CHAR(10)&amp;Basic_Fundamental_Information_Concatenate("")</f>
        <v xml:space="preserve">
市值29.080639亿, 利润-3428.77万; PE; 平均PE-10.6; 平均PEG-2.3, PB1.58; ROIC0%; ROE-3.2233%; 股利率0%; 毛利7.5%; 净利-9.7333%; 上一年度营收增13.52%, 利润增53.3%; 当季营收增-1.47%, 利润增-37.87%; 过往5年营收增-4.61%, 利润增-750.62%
Income profile:
</v>
      </c>
      <c r="D7" t="s">
        <v>37</v>
      </c>
      <c r="E7" t="s">
        <v>4</v>
      </c>
      <c r="F7">
        <v>6.59</v>
      </c>
      <c r="G7">
        <v>1.54</v>
      </c>
      <c r="H7" t="s">
        <v>1021</v>
      </c>
      <c r="I7">
        <v>2908063900</v>
      </c>
      <c r="K7">
        <v>1.58</v>
      </c>
      <c r="L7" t="s">
        <v>290</v>
      </c>
      <c r="M7" t="s">
        <v>556</v>
      </c>
      <c r="N7" t="s">
        <v>1022</v>
      </c>
      <c r="O7" t="s">
        <v>1023</v>
      </c>
      <c r="P7">
        <v>-1.4</v>
      </c>
      <c r="Q7" t="s">
        <v>471</v>
      </c>
      <c r="R7">
        <v>-2977863</v>
      </c>
      <c r="S7" s="3">
        <v>-0.37869999999999998</v>
      </c>
      <c r="T7" t="s">
        <v>1024</v>
      </c>
      <c r="U7">
        <v>416304440</v>
      </c>
      <c r="V7">
        <v>441284350</v>
      </c>
      <c r="W7">
        <v>1.21</v>
      </c>
      <c r="X7">
        <v>0.09</v>
      </c>
      <c r="Y7">
        <v>-1.48</v>
      </c>
      <c r="Z7" t="s">
        <v>151</v>
      </c>
      <c r="AA7" t="s">
        <v>64</v>
      </c>
      <c r="AB7" t="s">
        <v>1025</v>
      </c>
      <c r="AC7" t="s">
        <v>1026</v>
      </c>
      <c r="AD7" t="s">
        <v>14</v>
      </c>
      <c r="AE7">
        <v>-2350793</v>
      </c>
      <c r="AF7" t="s">
        <v>1027</v>
      </c>
      <c r="AG7" t="s">
        <v>1028</v>
      </c>
      <c r="AH7" t="s">
        <v>1029</v>
      </c>
      <c r="AI7" t="s">
        <v>610</v>
      </c>
      <c r="AJ7" t="s">
        <v>1030</v>
      </c>
      <c r="AK7" t="s">
        <v>14</v>
      </c>
      <c r="AL7" t="s">
        <v>1031</v>
      </c>
      <c r="AM7" t="s">
        <v>14</v>
      </c>
      <c r="AN7" t="s">
        <v>1032</v>
      </c>
      <c r="AO7" t="s">
        <v>1033</v>
      </c>
      <c r="AP7" t="s">
        <v>14</v>
      </c>
      <c r="AQ7" t="s">
        <v>151</v>
      </c>
      <c r="AR7" t="s">
        <v>1034</v>
      </c>
      <c r="AS7" t="s">
        <v>609</v>
      </c>
      <c r="AT7" t="s">
        <v>14</v>
      </c>
      <c r="AU7" t="s">
        <v>1035</v>
      </c>
      <c r="AV7" t="s">
        <v>1036</v>
      </c>
      <c r="AW7" t="s">
        <v>1037</v>
      </c>
      <c r="AX7" t="s">
        <v>608</v>
      </c>
      <c r="AY7" t="s">
        <v>346</v>
      </c>
      <c r="AZ7" t="s">
        <v>168</v>
      </c>
      <c r="BA7" t="s">
        <v>170</v>
      </c>
      <c r="BB7" t="s">
        <v>158</v>
      </c>
      <c r="BC7" t="s">
        <v>1038</v>
      </c>
      <c r="BD7" t="s">
        <v>602</v>
      </c>
      <c r="BE7" t="s">
        <v>169</v>
      </c>
      <c r="BF7" t="s">
        <v>171</v>
      </c>
      <c r="BG7" t="s">
        <v>172</v>
      </c>
      <c r="BH7" t="s">
        <v>471</v>
      </c>
      <c r="BI7" t="s">
        <v>386</v>
      </c>
      <c r="BJ7" t="s">
        <v>608</v>
      </c>
      <c r="BK7" t="s">
        <v>1024</v>
      </c>
      <c r="BL7" t="s">
        <v>1039</v>
      </c>
      <c r="BM7" t="s">
        <v>1038</v>
      </c>
      <c r="BN7" t="s">
        <v>14</v>
      </c>
      <c r="BO7" t="s">
        <v>14</v>
      </c>
      <c r="BP7" t="s">
        <v>14</v>
      </c>
      <c r="BQ7">
        <v>-0.75</v>
      </c>
      <c r="BR7">
        <v>-3.8</v>
      </c>
      <c r="BS7">
        <v>-5.12</v>
      </c>
      <c r="BT7" t="s">
        <v>546</v>
      </c>
      <c r="BU7" t="s">
        <v>937</v>
      </c>
      <c r="BV7">
        <v>11.45</v>
      </c>
      <c r="BW7">
        <v>4.3099999999999996</v>
      </c>
      <c r="BX7">
        <v>6.74</v>
      </c>
      <c r="BY7">
        <v>-4.26</v>
      </c>
      <c r="BZ7">
        <v>-10.41</v>
      </c>
      <c r="CA7">
        <v>-14.53</v>
      </c>
      <c r="CB7">
        <v>-3.8</v>
      </c>
      <c r="CC7">
        <v>-15.08</v>
      </c>
      <c r="CD7" t="s">
        <v>1040</v>
      </c>
      <c r="CE7" t="s">
        <v>554</v>
      </c>
      <c r="CF7" s="9">
        <v>-1.4705882352941322E-2</v>
      </c>
      <c r="CG7" s="10">
        <v>-0.37870410667160515</v>
      </c>
      <c r="CH7" s="9">
        <v>0.1352112740278244</v>
      </c>
      <c r="CI7" s="9">
        <v>-2.8089887928217649E-3</v>
      </c>
      <c r="CJ7" s="9">
        <v>-1.6574585810303688E-2</v>
      </c>
      <c r="CK7" s="9">
        <v>-0.16972477734088898</v>
      </c>
      <c r="CL7" s="9">
        <v>-0.17658168077468872</v>
      </c>
      <c r="CM7" s="10">
        <v>0.5330159068107605</v>
      </c>
      <c r="CN7" s="10">
        <v>0.28714859485626221</v>
      </c>
      <c r="CO7" s="10">
        <v>0.67301589250564575</v>
      </c>
      <c r="CP7" s="10">
        <v>0.72608697414398193</v>
      </c>
      <c r="CQ7" s="10">
        <v>-39.750286102294922</v>
      </c>
      <c r="CR7">
        <v>-10.600255693350721</v>
      </c>
      <c r="CS7">
        <v>-2.2996166227118415</v>
      </c>
      <c r="CT7">
        <v>0</v>
      </c>
      <c r="CU7" s="9">
        <v>-4.6095751738175747E-2</v>
      </c>
      <c r="CV7" s="10">
        <v>-7.5062037467956539</v>
      </c>
      <c r="CW7">
        <v>0.06</v>
      </c>
      <c r="CX7" t="e">
        <v>#VALUE!</v>
      </c>
      <c r="CY7" t="s">
        <v>464</v>
      </c>
      <c r="CZ7">
        <v>-4.6095751738175747E-2</v>
      </c>
      <c r="DA7" t="e">
        <v>#VALUE!</v>
      </c>
      <c r="DB7" t="s">
        <v>465</v>
      </c>
      <c r="DC7">
        <v>-4.3790964151266959E-2</v>
      </c>
      <c r="DD7" t="e">
        <v>#VALUE!</v>
      </c>
      <c r="DE7" t="s">
        <v>465</v>
      </c>
      <c r="DF7">
        <v>-4.0564261529594657E-2</v>
      </c>
      <c r="DG7" t="e">
        <v>#VALUE!</v>
      </c>
      <c r="DH7" t="s">
        <v>465</v>
      </c>
      <c r="DI7">
        <v>-3.6876601390540602E-2</v>
      </c>
      <c r="DJ7" t="e">
        <v>#VALUE!</v>
      </c>
      <c r="DK7" t="s">
        <v>465</v>
      </c>
      <c r="DL7">
        <v>-3.2267026216723019E-2</v>
      </c>
      <c r="DM7">
        <v>-34287700</v>
      </c>
      <c r="DN7">
        <v>-4.6095751738175747E-2</v>
      </c>
      <c r="DO7">
        <v>1450063900</v>
      </c>
      <c r="DP7">
        <v>419496500</v>
      </c>
      <c r="DQ7">
        <v>683</v>
      </c>
      <c r="DR7">
        <v>3.1389869385234428E-2</v>
      </c>
      <c r="DS7">
        <v>7.1274996401240491</v>
      </c>
      <c r="DT7" s="11">
        <v>-0.65666666666666662</v>
      </c>
      <c r="DU7">
        <v>-2.3650000000000002</v>
      </c>
      <c r="DV7">
        <v>-3.0216666666666669</v>
      </c>
      <c r="DW7">
        <v>-8.2519893899204249</v>
      </c>
      <c r="DX7">
        <v>0.32841273584905595</v>
      </c>
      <c r="DY7">
        <v>-8.0474780103598427</v>
      </c>
      <c r="DZ7">
        <v>4915</v>
      </c>
      <c r="EA7">
        <v>-8.0018117831742011</v>
      </c>
      <c r="EB7">
        <v>8</v>
      </c>
      <c r="EC7">
        <v>0.18103293262042944</v>
      </c>
      <c r="ED7">
        <v>0.96083171768951248</v>
      </c>
      <c r="EE7" s="12">
        <v>-3.0033099999999999</v>
      </c>
      <c r="EF7">
        <v>-3.0327099999999998</v>
      </c>
      <c r="EG7">
        <v>14.188412735849056</v>
      </c>
      <c r="EH7" t="s">
        <v>890</v>
      </c>
      <c r="EI7">
        <v>0</v>
      </c>
      <c r="EJ7">
        <v>0</v>
      </c>
      <c r="EK7" s="14">
        <v>45470</v>
      </c>
      <c r="EL7" s="15">
        <v>10.08</v>
      </c>
      <c r="EM7" s="15">
        <v>-3.29</v>
      </c>
      <c r="EN7" s="15">
        <v>2.0699999999999998</v>
      </c>
      <c r="EO7" s="15">
        <v>3.48</v>
      </c>
      <c r="EP7" s="15">
        <v>-2.94</v>
      </c>
    </row>
    <row r="8" spans="1:146" ht="96" x14ac:dyDescent="0.25">
      <c r="A8" s="7"/>
      <c r="B8" s="7"/>
      <c r="C8" s="7" t="str">
        <f>""&amp;CHAR(10)&amp;Basic_Fundamental_Information_Constructure(F8)&amp;CHAR(10)&amp;Basic_Fundamental_Information_Concatenate("")</f>
        <v xml:space="preserve">
市值63.440113亿, 利润3077.66万; PE189.8; 平均PE-9.12; 平均PEG-23, PB2.82; ROIC5.51%; ROE-123.44%; 股利率0%; 毛利29.4467%; 净利-1.9633%; 上一年度营收增13.57%, 利润增-80.27%; 当季营收增9.94%, 利润增12.19%; 过往5年营收增-.4%, 利润增-105.63%
Income profile:
</v>
      </c>
      <c r="D8" t="s">
        <v>38</v>
      </c>
      <c r="E8" t="s">
        <v>550</v>
      </c>
      <c r="F8">
        <v>1.86</v>
      </c>
      <c r="G8">
        <v>2.76</v>
      </c>
      <c r="H8" t="s">
        <v>1041</v>
      </c>
      <c r="I8">
        <v>6344011300</v>
      </c>
      <c r="J8">
        <v>189.8</v>
      </c>
      <c r="K8">
        <v>2.82</v>
      </c>
      <c r="L8" t="s">
        <v>290</v>
      </c>
      <c r="M8" t="s">
        <v>1042</v>
      </c>
      <c r="N8" t="s">
        <v>1043</v>
      </c>
      <c r="O8" t="s">
        <v>838</v>
      </c>
      <c r="P8">
        <v>9.85</v>
      </c>
      <c r="Q8" t="s">
        <v>1044</v>
      </c>
      <c r="R8">
        <v>24404959</v>
      </c>
      <c r="S8" s="3">
        <v>0.12189999999999999</v>
      </c>
      <c r="T8" t="s">
        <v>1045</v>
      </c>
      <c r="U8">
        <v>3290088200</v>
      </c>
      <c r="V8">
        <v>3410758800</v>
      </c>
      <c r="W8">
        <v>2.71</v>
      </c>
      <c r="X8">
        <v>0.14000000000000001</v>
      </c>
      <c r="Y8">
        <v>2.91</v>
      </c>
      <c r="Z8" t="s">
        <v>833</v>
      </c>
      <c r="AA8" t="s">
        <v>395</v>
      </c>
      <c r="AB8" t="s">
        <v>1046</v>
      </c>
      <c r="AC8" t="s">
        <v>228</v>
      </c>
      <c r="AD8" t="s">
        <v>14</v>
      </c>
      <c r="AE8">
        <v>31436921</v>
      </c>
      <c r="AF8" t="s">
        <v>1047</v>
      </c>
      <c r="AG8" t="s">
        <v>1048</v>
      </c>
      <c r="AH8" t="s">
        <v>1049</v>
      </c>
      <c r="AI8" t="s">
        <v>455</v>
      </c>
      <c r="AJ8" t="s">
        <v>1050</v>
      </c>
      <c r="AK8" t="s">
        <v>1051</v>
      </c>
      <c r="AL8" t="s">
        <v>1052</v>
      </c>
      <c r="AM8" t="s">
        <v>14</v>
      </c>
      <c r="AN8" t="s">
        <v>1053</v>
      </c>
      <c r="AO8" t="s">
        <v>1054</v>
      </c>
      <c r="AP8" t="s">
        <v>1055</v>
      </c>
      <c r="AQ8" t="s">
        <v>878</v>
      </c>
      <c r="AR8" t="s">
        <v>1056</v>
      </c>
      <c r="AS8" t="s">
        <v>1057</v>
      </c>
      <c r="AT8" t="s">
        <v>1058</v>
      </c>
      <c r="AU8" t="s">
        <v>1059</v>
      </c>
      <c r="AV8" t="s">
        <v>1060</v>
      </c>
      <c r="AW8" t="s">
        <v>1061</v>
      </c>
      <c r="AX8" t="s">
        <v>795</v>
      </c>
      <c r="AY8" t="s">
        <v>352</v>
      </c>
      <c r="AZ8" t="s">
        <v>173</v>
      </c>
      <c r="BA8" t="s">
        <v>176</v>
      </c>
      <c r="BB8" t="s">
        <v>177</v>
      </c>
      <c r="BC8" t="s">
        <v>68</v>
      </c>
      <c r="BD8" t="s">
        <v>353</v>
      </c>
      <c r="BE8" t="s">
        <v>174</v>
      </c>
      <c r="BF8" t="s">
        <v>178</v>
      </c>
      <c r="BG8" t="s">
        <v>179</v>
      </c>
      <c r="BH8" t="s">
        <v>1044</v>
      </c>
      <c r="BI8" t="s">
        <v>1062</v>
      </c>
      <c r="BJ8" t="s">
        <v>795</v>
      </c>
      <c r="BK8" t="s">
        <v>1045</v>
      </c>
      <c r="BL8" t="s">
        <v>1063</v>
      </c>
      <c r="BM8" t="s">
        <v>68</v>
      </c>
      <c r="BN8">
        <v>3.56</v>
      </c>
      <c r="BO8">
        <v>7.46</v>
      </c>
      <c r="BP8" t="s">
        <v>14</v>
      </c>
      <c r="BQ8">
        <v>1.69</v>
      </c>
      <c r="BR8">
        <v>9.52</v>
      </c>
      <c r="BS8">
        <v>-381.53</v>
      </c>
      <c r="BT8" t="s">
        <v>546</v>
      </c>
      <c r="BU8" t="s">
        <v>937</v>
      </c>
      <c r="BV8">
        <v>30.08</v>
      </c>
      <c r="BW8">
        <v>31.48</v>
      </c>
      <c r="BX8">
        <v>26.78</v>
      </c>
      <c r="BY8">
        <v>1.08</v>
      </c>
      <c r="BZ8">
        <v>5.21</v>
      </c>
      <c r="CA8">
        <v>-12.18</v>
      </c>
      <c r="CB8">
        <v>0</v>
      </c>
      <c r="CC8">
        <v>-18.78</v>
      </c>
      <c r="CD8" t="s">
        <v>351</v>
      </c>
      <c r="CE8" t="s">
        <v>95</v>
      </c>
      <c r="CF8" s="9">
        <v>9.9363057324840923E-2</v>
      </c>
      <c r="CG8" s="10">
        <v>0.12188138974698441</v>
      </c>
      <c r="CH8" s="9">
        <v>0.13571660220623016</v>
      </c>
      <c r="CI8" s="9">
        <v>4.8076901584863663E-2</v>
      </c>
      <c r="CJ8" s="9">
        <v>7.4839577078819275E-2</v>
      </c>
      <c r="CK8" s="9">
        <v>-0.23832787573337555</v>
      </c>
      <c r="CL8" s="9">
        <v>-4.0125098079442978E-2</v>
      </c>
      <c r="CM8" s="10">
        <v>-0.80271410942077637</v>
      </c>
      <c r="CN8" s="10">
        <v>1.4204851388931274</v>
      </c>
      <c r="CO8" s="10">
        <v>-6.101320743560791</v>
      </c>
      <c r="CP8" s="10">
        <v>0.97926837205886841</v>
      </c>
      <c r="CQ8" s="10">
        <v>-0.77715092897415161</v>
      </c>
      <c r="CR8">
        <v>-9.1183056367049655</v>
      </c>
      <c r="CS8">
        <v>-23.002913444012531</v>
      </c>
      <c r="CT8">
        <v>0</v>
      </c>
      <c r="CU8" s="9">
        <v>-3.9639785885810849E-3</v>
      </c>
      <c r="CV8" s="10">
        <v>-1.0562864542007446</v>
      </c>
      <c r="CW8">
        <v>0.06</v>
      </c>
      <c r="CX8">
        <v>256.81885913323759</v>
      </c>
      <c r="CY8" t="s">
        <v>1064</v>
      </c>
      <c r="CZ8">
        <v>-3.9639785885810849E-3</v>
      </c>
      <c r="DA8">
        <v>85.60628637774586</v>
      </c>
      <c r="DB8" t="s">
        <v>1065</v>
      </c>
      <c r="DC8">
        <v>-3.7657796591520306E-3</v>
      </c>
      <c r="DD8">
        <v>42.80314318887293</v>
      </c>
      <c r="DE8" t="s">
        <v>1066</v>
      </c>
      <c r="DF8">
        <v>-3.4883011579513548E-3</v>
      </c>
      <c r="DG8">
        <v>25.681885913323757</v>
      </c>
      <c r="DH8" t="s">
        <v>1067</v>
      </c>
      <c r="DI8">
        <v>-3.1711828708648679E-3</v>
      </c>
      <c r="DJ8">
        <v>12.840942956661879</v>
      </c>
      <c r="DK8" t="s">
        <v>1068</v>
      </c>
      <c r="DL8">
        <v>-2.7747850120067594E-3</v>
      </c>
      <c r="DM8">
        <v>30776600</v>
      </c>
      <c r="DN8">
        <v>-3.9639785885810849E-3</v>
      </c>
      <c r="DO8">
        <v>7904011300</v>
      </c>
      <c r="DP8">
        <v>-979964100</v>
      </c>
      <c r="DQ8">
        <v>729</v>
      </c>
      <c r="DR8">
        <v>0.103327035913422</v>
      </c>
      <c r="DS8">
        <v>1.178167843947729</v>
      </c>
      <c r="DT8" s="11">
        <v>-0.55666666666666664</v>
      </c>
      <c r="DU8">
        <v>-1.956666666666667</v>
      </c>
      <c r="DV8">
        <v>-2.5133333333333336</v>
      </c>
      <c r="DW8">
        <v>-3.0314404761904763</v>
      </c>
      <c r="DX8">
        <v>0.42660919540230013</v>
      </c>
      <c r="DY8">
        <v>-3.0049238676792558</v>
      </c>
      <c r="DZ8">
        <v>4690</v>
      </c>
      <c r="EA8">
        <v>-3.0004047014530895</v>
      </c>
      <c r="EB8">
        <v>3</v>
      </c>
      <c r="EC8">
        <v>3.1957698093456513E-2</v>
      </c>
      <c r="ED8">
        <v>0.20406016397289659</v>
      </c>
      <c r="EE8" s="12">
        <v>-2.0236100000000001</v>
      </c>
      <c r="EF8">
        <v>-2.0693100000000002</v>
      </c>
      <c r="EG8">
        <v>27.1566091954023</v>
      </c>
      <c r="EH8" t="s">
        <v>776</v>
      </c>
      <c r="EI8">
        <v>0</v>
      </c>
      <c r="EJ8">
        <v>0</v>
      </c>
      <c r="EK8" s="14">
        <v>45470</v>
      </c>
      <c r="EL8" s="15">
        <v>-2.5099999999999998</v>
      </c>
      <c r="EM8" s="15">
        <v>-3.09</v>
      </c>
      <c r="EN8" s="15">
        <v>0</v>
      </c>
      <c r="EO8" s="15">
        <v>4.79</v>
      </c>
      <c r="EP8" s="15">
        <v>-4.57</v>
      </c>
    </row>
    <row r="9" spans="1:146" ht="177.5" customHeight="1" x14ac:dyDescent="0.25">
      <c r="A9" s="7"/>
      <c r="B9" s="7"/>
      <c r="C9" s="7" t="str">
        <f>"公司主要从事眼科医院的投资、管理业务。公司主要产品及服务包括屈光项目、白内障项目、眼前段项目、眼后段项目、视光服务项目。"&amp;CHAR(10)&amp;Basic_Fundamental_Information_Constructure(F9)&amp;CHAR(10)&amp;Basic_Fundamental_Information_Concatenate("屈光项目 1.24亿 36.30% 58.33% 34.71%
白内障项目 5878.27万 17.22% 22.84% 28.65%
钢结构制作、安装 4719.45万 13.83% 4.88% 7.62%
燃气、油品 4350.81万 12.75% 6.25% 10.60%
视光服务项目 3481.87万 10.20% 7.70% 16.30%")</f>
        <v>公司主要从事眼科医院的投资、管理业务。公司主要产品及服务包括屈光项目、白内障项目、眼前段项目、眼后段项目、视光服务项目。
市值16.52315亿, 利润925.50万; PE; 平均PE1179.62; 平均PEG735.99, PB6.15; ROIC7.195%; ROE-3.77%; 股利率0%; 毛利30.71%; 净利-1.9133%; 上一年度营收增40.16%, 利润增111.83%; 当季营收增-7.41%, 利润增-138.57%; 过往5年营收增1.6%, 利润增-11.51%
Income profile:
屈光项目 1.24亿 36.30% 58.33% 34.71%
白内障项目 5878.27万 17.22% 22.84% 28.65%
钢结构制作、安装 4719.45万 13.83% 4.88% 7.62%
燃气、油品 4350.81万 12.75% 6.25% 10.60%
视光服务项目 3481.87万 10.20% 7.70% 16.30%</v>
      </c>
      <c r="D9" t="s">
        <v>21</v>
      </c>
      <c r="E9" t="s">
        <v>122</v>
      </c>
      <c r="F9">
        <v>3.19</v>
      </c>
      <c r="G9">
        <v>3.24</v>
      </c>
      <c r="H9" t="s">
        <v>1069</v>
      </c>
      <c r="I9">
        <v>1652315000</v>
      </c>
      <c r="K9">
        <v>6.15</v>
      </c>
      <c r="L9" t="s">
        <v>290</v>
      </c>
      <c r="M9" t="s">
        <v>1070</v>
      </c>
      <c r="N9" t="s">
        <v>336</v>
      </c>
      <c r="O9" t="s">
        <v>487</v>
      </c>
      <c r="P9">
        <v>-7.78</v>
      </c>
      <c r="Q9" t="s">
        <v>1071</v>
      </c>
      <c r="R9">
        <v>-18726198</v>
      </c>
      <c r="S9" s="3">
        <v>-1.3859999999999999</v>
      </c>
      <c r="T9" t="s">
        <v>1072</v>
      </c>
      <c r="U9">
        <v>508447420</v>
      </c>
      <c r="V9">
        <v>517967070</v>
      </c>
      <c r="W9">
        <v>5.59</v>
      </c>
      <c r="X9">
        <v>0.13</v>
      </c>
      <c r="Y9">
        <v>-9.58</v>
      </c>
      <c r="Z9" t="s">
        <v>882</v>
      </c>
      <c r="AA9" t="s">
        <v>58</v>
      </c>
      <c r="AB9" t="s">
        <v>1073</v>
      </c>
      <c r="AC9" t="s">
        <v>1074</v>
      </c>
      <c r="AD9" t="s">
        <v>14</v>
      </c>
      <c r="AE9">
        <v>9817710</v>
      </c>
      <c r="AF9" t="s">
        <v>1075</v>
      </c>
      <c r="AG9" t="s">
        <v>1076</v>
      </c>
      <c r="AH9" t="s">
        <v>1077</v>
      </c>
      <c r="AI9" t="s">
        <v>1078</v>
      </c>
      <c r="AJ9" t="s">
        <v>1079</v>
      </c>
      <c r="AK9" t="s">
        <v>1080</v>
      </c>
      <c r="AL9" t="s">
        <v>1081</v>
      </c>
      <c r="AM9" t="s">
        <v>14</v>
      </c>
      <c r="AN9" t="s">
        <v>1082</v>
      </c>
      <c r="AO9" t="s">
        <v>336</v>
      </c>
      <c r="AP9" t="s">
        <v>1083</v>
      </c>
      <c r="AQ9" t="s">
        <v>1084</v>
      </c>
      <c r="AR9" t="s">
        <v>1085</v>
      </c>
      <c r="AS9" t="s">
        <v>642</v>
      </c>
      <c r="AT9" t="s">
        <v>1086</v>
      </c>
      <c r="AU9" t="s">
        <v>1087</v>
      </c>
      <c r="AV9" t="s">
        <v>1088</v>
      </c>
      <c r="AW9" t="s">
        <v>1089</v>
      </c>
      <c r="AX9" t="s">
        <v>611</v>
      </c>
      <c r="AY9" t="s">
        <v>354</v>
      </c>
      <c r="AZ9" t="s">
        <v>181</v>
      </c>
      <c r="BA9" t="s">
        <v>183</v>
      </c>
      <c r="BB9" t="s">
        <v>127</v>
      </c>
      <c r="BC9" t="s">
        <v>612</v>
      </c>
      <c r="BD9" t="s">
        <v>551</v>
      </c>
      <c r="BE9" t="s">
        <v>182</v>
      </c>
      <c r="BF9" t="s">
        <v>184</v>
      </c>
      <c r="BG9" t="s">
        <v>185</v>
      </c>
      <c r="BH9" t="s">
        <v>1071</v>
      </c>
      <c r="BI9" t="s">
        <v>1090</v>
      </c>
      <c r="BJ9" t="s">
        <v>611</v>
      </c>
      <c r="BK9" t="s">
        <v>1072</v>
      </c>
      <c r="BL9" t="s">
        <v>1091</v>
      </c>
      <c r="BM9" t="s">
        <v>612</v>
      </c>
      <c r="BN9">
        <v>5.27</v>
      </c>
      <c r="BO9" t="s">
        <v>14</v>
      </c>
      <c r="BP9">
        <v>9.1199999999999992</v>
      </c>
      <c r="BQ9">
        <v>3.75</v>
      </c>
      <c r="BR9">
        <v>-26.14</v>
      </c>
      <c r="BS9">
        <v>11.08</v>
      </c>
      <c r="BT9" t="s">
        <v>546</v>
      </c>
      <c r="BU9" t="s">
        <v>937</v>
      </c>
      <c r="BV9">
        <v>35.07</v>
      </c>
      <c r="BW9">
        <v>24.96</v>
      </c>
      <c r="BX9">
        <v>32.1</v>
      </c>
      <c r="BY9">
        <v>0.91</v>
      </c>
      <c r="BZ9">
        <v>-10.14</v>
      </c>
      <c r="CA9">
        <v>3.49</v>
      </c>
      <c r="CB9">
        <v>1.27</v>
      </c>
      <c r="CC9">
        <v>-21.04</v>
      </c>
      <c r="CD9" t="s">
        <v>1092</v>
      </c>
      <c r="CE9" t="s">
        <v>1093</v>
      </c>
      <c r="CF9" s="9">
        <v>-7.407407407407407E-2</v>
      </c>
      <c r="CG9" s="10">
        <v>-1.3856852753076667</v>
      </c>
      <c r="CH9" s="9">
        <v>0.40156462788581848</v>
      </c>
      <c r="CI9" s="9">
        <v>-0.26532566547393799</v>
      </c>
      <c r="CJ9" s="9">
        <v>0.1335504949092865</v>
      </c>
      <c r="CK9" s="9">
        <v>-0.28326845169067383</v>
      </c>
      <c r="CL9" s="9">
        <v>9.361691027879715E-2</v>
      </c>
      <c r="CM9" s="10">
        <v>1.118323802947998</v>
      </c>
      <c r="CN9" s="10">
        <v>-3.118156909942627</v>
      </c>
      <c r="CO9" s="10">
        <v>-0.13307070732116699</v>
      </c>
      <c r="CP9" s="10">
        <v>-0.41381454467773438</v>
      </c>
      <c r="CQ9" s="10">
        <v>1.9711884260177612</v>
      </c>
      <c r="CR9">
        <v>1179.6211463179561</v>
      </c>
      <c r="CS9">
        <v>735.99439973781739</v>
      </c>
      <c r="CT9">
        <v>0</v>
      </c>
      <c r="CU9" s="9">
        <v>1.6027583181858061E-2</v>
      </c>
      <c r="CV9" s="10">
        <v>-0.11510598659515381</v>
      </c>
      <c r="CW9">
        <v>0.06</v>
      </c>
      <c r="CX9">
        <v>298.08294778786961</v>
      </c>
      <c r="CY9">
        <v>8871071.0210831109</v>
      </c>
      <c r="CZ9">
        <v>1.6027583181858061E-2</v>
      </c>
      <c r="DA9">
        <v>103.76048938086807</v>
      </c>
      <c r="DB9">
        <v>25484796.918156918</v>
      </c>
      <c r="DC9">
        <v>1.5226204022765158E-2</v>
      </c>
      <c r="DD9">
        <v>55.440453976110852</v>
      </c>
      <c r="DE9">
        <v>47696488.941801026</v>
      </c>
      <c r="DF9">
        <v>1.4104273200035095E-2</v>
      </c>
      <c r="DG9">
        <v>36.389804919069121</v>
      </c>
      <c r="DH9">
        <v>72666369.217448488</v>
      </c>
      <c r="DI9">
        <v>1.2822066545486449E-2</v>
      </c>
      <c r="DJ9">
        <v>22.585718105255243</v>
      </c>
      <c r="DK9">
        <v>117079075.70956184</v>
      </c>
      <c r="DL9">
        <v>1.1219308227300643E-2</v>
      </c>
      <c r="DM9">
        <v>9255000</v>
      </c>
      <c r="DN9">
        <v>1.6027583181858061E-2</v>
      </c>
      <c r="DO9">
        <v>2644315000</v>
      </c>
      <c r="DP9">
        <v>-440889460</v>
      </c>
      <c r="DQ9">
        <v>1018</v>
      </c>
      <c r="DR9">
        <v>-9.0101657255932138E-2</v>
      </c>
      <c r="DS9">
        <v>-1.2705792887125129</v>
      </c>
      <c r="DT9" s="11">
        <v>-0.54</v>
      </c>
      <c r="DU9">
        <v>-0.94833333333333336</v>
      </c>
      <c r="DV9">
        <v>-1.4883333333333333</v>
      </c>
      <c r="DW9">
        <v>-3.0569999999999999</v>
      </c>
      <c r="DX9">
        <v>0.40998274111675204</v>
      </c>
      <c r="DY9">
        <v>-3.0074090162436549</v>
      </c>
      <c r="DZ9">
        <v>4009</v>
      </c>
      <c r="EA9">
        <v>-3.0015963457699146</v>
      </c>
      <c r="EB9">
        <v>3</v>
      </c>
      <c r="EC9">
        <v>4.9436733497363064E-2</v>
      </c>
      <c r="ED9">
        <v>0.38033305862475003</v>
      </c>
      <c r="EE9" s="12">
        <v>-5.0865999999999998</v>
      </c>
      <c r="EF9">
        <v>-5.0561999999999996</v>
      </c>
      <c r="EG9">
        <v>28.129982741116752</v>
      </c>
      <c r="EH9" t="s">
        <v>1094</v>
      </c>
      <c r="EI9">
        <v>0</v>
      </c>
      <c r="EJ9">
        <v>0</v>
      </c>
      <c r="EK9" s="14">
        <v>45470</v>
      </c>
      <c r="EL9" s="15">
        <v>-0.62</v>
      </c>
      <c r="EM9" s="15">
        <v>-4.3600000000000003</v>
      </c>
      <c r="EN9" s="15">
        <v>1.63</v>
      </c>
      <c r="EO9" s="15">
        <v>5.45</v>
      </c>
      <c r="EP9" s="15">
        <v>-3.04</v>
      </c>
    </row>
    <row r="10" spans="1:146" ht="156" x14ac:dyDescent="0.25">
      <c r="A10" s="7"/>
      <c r="B10" s="7"/>
      <c r="C10" s="7" t="str">
        <f>"公司主要从事永磁开关及高低压开关成套设备产品的研发、生产和销售业务，软件产品的开发、销售与服务业务以及出租办公用房业务、口腔疾病的诊断、治疗以及口腔保健、修复服务。"&amp;CHAR(10)&amp;Basic_Fundamental_Information_Constructure(F10)&amp;CHAR(10)&amp;Basic_Fundamental_Information_Concatenate("医疗口腔行业 1.84亿 86.88% 86.70% 37.80%
电气开关行业 2347.98万 11.08% 12.65% 43.23%
软件开发行业 327.94万 1.55% 0.68% 16.61%")</f>
        <v>公司主要从事永磁开关及高低压开关成套设备产品的研发、生产和销售业务，软件产品的开发、销售与服务业务以及出租办公用房业务、口腔疾病的诊断、治疗以及口腔保健、修复服务。
市值10.836亿, 利润-9436.51万; PE; 平均PE-9.56; 平均PEG-.23, PB2.51; ROIC7.23%; ROE-14.06%; 股利率0%; 毛利46.4533%; 净利-35.8633%; 上一年度营收增51.1%, 利润增63.28%; 当季营收增26.15%, 利润增-546.66%; 过往5年营收增41.39%, 利润增-854.36%
Income profile:
医疗口腔行业 1.84亿 86.88% 86.70% 37.80%
电气开关行业 2347.98万 11.08% 12.65% 43.23%
软件开发行业 327.94万 1.55% 0.68% 16.61%</v>
      </c>
      <c r="D10" t="s">
        <v>355</v>
      </c>
      <c r="E10" t="s">
        <v>585</v>
      </c>
      <c r="F10">
        <v>1.29</v>
      </c>
      <c r="G10">
        <v>4.88</v>
      </c>
      <c r="H10" t="s">
        <v>1095</v>
      </c>
      <c r="I10">
        <v>1083600000</v>
      </c>
      <c r="K10">
        <v>2.5099999999999998</v>
      </c>
      <c r="L10" t="s">
        <v>290</v>
      </c>
      <c r="M10" t="s">
        <v>1096</v>
      </c>
      <c r="N10" t="s">
        <v>794</v>
      </c>
      <c r="O10" t="s">
        <v>192</v>
      </c>
      <c r="P10">
        <v>26.12</v>
      </c>
      <c r="Q10" t="s">
        <v>842</v>
      </c>
      <c r="R10">
        <v>-4572538</v>
      </c>
      <c r="S10" s="3">
        <v>-5.4669999999999996</v>
      </c>
      <c r="T10" t="s">
        <v>1097</v>
      </c>
      <c r="U10">
        <v>839974950</v>
      </c>
      <c r="V10">
        <v>840000000</v>
      </c>
      <c r="W10">
        <v>3.29</v>
      </c>
      <c r="X10">
        <v>0.11</v>
      </c>
      <c r="Y10">
        <v>-4.3</v>
      </c>
      <c r="Z10" t="s">
        <v>535</v>
      </c>
      <c r="AA10" t="s">
        <v>1098</v>
      </c>
      <c r="AB10" t="s">
        <v>1099</v>
      </c>
      <c r="AC10" t="s">
        <v>1100</v>
      </c>
      <c r="AD10" t="s">
        <v>14</v>
      </c>
      <c r="AE10">
        <v>11321512</v>
      </c>
      <c r="AF10" t="s">
        <v>1101</v>
      </c>
      <c r="AG10" t="s">
        <v>14</v>
      </c>
      <c r="AH10" t="s">
        <v>1102</v>
      </c>
      <c r="AI10" t="s">
        <v>847</v>
      </c>
      <c r="AJ10" t="s">
        <v>1103</v>
      </c>
      <c r="AK10" t="s">
        <v>1104</v>
      </c>
      <c r="AL10" t="s">
        <v>1105</v>
      </c>
      <c r="AM10" t="s">
        <v>14</v>
      </c>
      <c r="AN10">
        <v>0</v>
      </c>
      <c r="AO10" t="s">
        <v>73</v>
      </c>
      <c r="AP10" t="s">
        <v>14</v>
      </c>
      <c r="AQ10" t="s">
        <v>1106</v>
      </c>
      <c r="AR10" t="s">
        <v>14</v>
      </c>
      <c r="AS10" t="s">
        <v>1107</v>
      </c>
      <c r="AT10" t="s">
        <v>14</v>
      </c>
      <c r="AU10" t="s">
        <v>1108</v>
      </c>
      <c r="AV10" t="s">
        <v>1109</v>
      </c>
      <c r="AW10" t="s">
        <v>1110</v>
      </c>
      <c r="AX10" t="s">
        <v>613</v>
      </c>
      <c r="AY10" t="s">
        <v>307</v>
      </c>
      <c r="AZ10" t="s">
        <v>73</v>
      </c>
      <c r="BA10" t="s">
        <v>93</v>
      </c>
      <c r="BB10" t="s">
        <v>357</v>
      </c>
      <c r="BC10" t="s">
        <v>614</v>
      </c>
      <c r="BD10" t="s">
        <v>356</v>
      </c>
      <c r="BE10" t="s">
        <v>358</v>
      </c>
      <c r="BF10" t="s">
        <v>359</v>
      </c>
      <c r="BG10" t="s">
        <v>360</v>
      </c>
      <c r="BH10" t="s">
        <v>842</v>
      </c>
      <c r="BI10" t="s">
        <v>548</v>
      </c>
      <c r="BJ10" t="s">
        <v>613</v>
      </c>
      <c r="BK10" t="s">
        <v>1097</v>
      </c>
      <c r="BL10" t="s">
        <v>1111</v>
      </c>
      <c r="BM10" t="s">
        <v>614</v>
      </c>
      <c r="BN10">
        <v>7.23</v>
      </c>
      <c r="BO10" t="s">
        <v>14</v>
      </c>
      <c r="BP10" t="s">
        <v>14</v>
      </c>
      <c r="BQ10">
        <v>2.81</v>
      </c>
      <c r="BR10">
        <v>-35.869999999999997</v>
      </c>
      <c r="BS10">
        <v>-9.1199999999999992</v>
      </c>
      <c r="BT10" t="s">
        <v>546</v>
      </c>
      <c r="BU10" t="s">
        <v>937</v>
      </c>
      <c r="BV10">
        <v>50.93</v>
      </c>
      <c r="BW10">
        <v>41.49</v>
      </c>
      <c r="BX10">
        <v>46.94</v>
      </c>
      <c r="BY10">
        <v>-7.7</v>
      </c>
      <c r="BZ10">
        <v>-55.97</v>
      </c>
      <c r="CA10">
        <v>-43.92</v>
      </c>
      <c r="CB10">
        <v>-7.19</v>
      </c>
      <c r="CC10">
        <v>-27.53</v>
      </c>
      <c r="CD10" t="s">
        <v>531</v>
      </c>
      <c r="CE10" t="s">
        <v>883</v>
      </c>
      <c r="CF10" s="9">
        <v>0.26153846153846155</v>
      </c>
      <c r="CG10" s="10">
        <v>-5.4666072691274223</v>
      </c>
      <c r="CH10" s="9">
        <v>0.51097804307937622</v>
      </c>
      <c r="CI10" s="9">
        <v>1.9821428060531616</v>
      </c>
      <c r="CJ10" s="9">
        <v>0.47368422150611877</v>
      </c>
      <c r="CK10" s="9">
        <v>-0.26451611518859863</v>
      </c>
      <c r="CL10" s="9">
        <v>-0.63270139694213867</v>
      </c>
      <c r="CM10" s="10">
        <v>0.63282060623168945</v>
      </c>
      <c r="CN10" s="10">
        <v>-2.3824021816253662</v>
      </c>
      <c r="CO10" s="10">
        <v>0.74417001008987427</v>
      </c>
      <c r="CP10" s="10">
        <v>-40.914524078369141</v>
      </c>
      <c r="CQ10" s="10">
        <v>-0.79803872108459473</v>
      </c>
      <c r="CR10">
        <v>-9.5602977667493789</v>
      </c>
      <c r="CS10">
        <v>-0.23097108714844442</v>
      </c>
      <c r="CT10">
        <v>0</v>
      </c>
      <c r="CU10" s="9">
        <v>0.41391751170158386</v>
      </c>
      <c r="CV10" s="10">
        <v>-8.5435948729515072</v>
      </c>
      <c r="CW10">
        <v>0.06</v>
      </c>
      <c r="CX10" t="e">
        <v>#VALUE!</v>
      </c>
      <c r="CY10" t="s">
        <v>464</v>
      </c>
      <c r="CZ10">
        <v>0.41391751170158386</v>
      </c>
      <c r="DA10" t="e">
        <v>#VALUE!</v>
      </c>
      <c r="DB10" t="s">
        <v>465</v>
      </c>
      <c r="DC10">
        <v>0.39322163611650462</v>
      </c>
      <c r="DD10" t="e">
        <v>#VALUE!</v>
      </c>
      <c r="DE10" t="s">
        <v>465</v>
      </c>
      <c r="DF10">
        <v>0.36424741029739383</v>
      </c>
      <c r="DG10" t="e">
        <v>#VALUE!</v>
      </c>
      <c r="DH10" t="s">
        <v>465</v>
      </c>
      <c r="DI10">
        <v>0.33113400936126713</v>
      </c>
      <c r="DJ10" t="e">
        <v>#VALUE!</v>
      </c>
      <c r="DK10" t="s">
        <v>465</v>
      </c>
      <c r="DL10">
        <v>0.28974225819110866</v>
      </c>
      <c r="DM10">
        <v>-94365100</v>
      </c>
      <c r="DN10">
        <v>0.41391751170158386</v>
      </c>
      <c r="DO10">
        <v>1690600000</v>
      </c>
      <c r="DP10">
        <v>-604340450</v>
      </c>
      <c r="DQ10">
        <v>1112</v>
      </c>
      <c r="DR10">
        <v>-0.15237905016312231</v>
      </c>
      <c r="DS10">
        <v>3.0769876038240849</v>
      </c>
      <c r="DT10" s="11">
        <v>-9.0000000000000011E-2</v>
      </c>
      <c r="DU10">
        <v>-2.6983333333333337</v>
      </c>
      <c r="DV10">
        <v>-2.7883333333333336</v>
      </c>
      <c r="DW10">
        <v>-9.2611696331274977</v>
      </c>
      <c r="DX10">
        <v>0.50212020033389093</v>
      </c>
      <c r="DY10">
        <v>-9.0710695328877833</v>
      </c>
      <c r="DZ10">
        <v>4830</v>
      </c>
      <c r="EA10">
        <v>-9.0038942209801522</v>
      </c>
      <c r="EB10">
        <v>9</v>
      </c>
      <c r="EC10">
        <v>0.19404761904761905</v>
      </c>
      <c r="ED10">
        <v>0.71309523809523812</v>
      </c>
      <c r="EE10" s="12">
        <v>-3.0508000000000002</v>
      </c>
      <c r="EF10">
        <v>-3.0034999999999998</v>
      </c>
      <c r="EG10">
        <v>23.272120200333891</v>
      </c>
      <c r="EH10" t="s">
        <v>820</v>
      </c>
      <c r="EI10">
        <v>0</v>
      </c>
      <c r="EJ10">
        <v>0</v>
      </c>
      <c r="EK10" s="14">
        <v>45470</v>
      </c>
      <c r="EL10" s="15">
        <v>-7.41</v>
      </c>
      <c r="EM10" s="15">
        <v>-6</v>
      </c>
      <c r="EN10" s="15">
        <v>1.42</v>
      </c>
      <c r="EO10" s="15">
        <v>3.5</v>
      </c>
      <c r="EP10" s="15">
        <v>-4.7300000000000004</v>
      </c>
    </row>
    <row r="11" spans="1:146" ht="189" customHeight="1" x14ac:dyDescent="0.25">
      <c r="A11" s="8" t="s">
        <v>485</v>
      </c>
      <c r="B11" s="8" t="s">
        <v>819</v>
      </c>
      <c r="C11" s="8" t="str">
        <f>"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amp;CHAR(10)&amp;Basic_Fundamental_Information_Constructure(F11)&amp;CHAR(10)&amp;Basic_Fundamental_Information_Concatenate("(国外占比90%)
商业化阶段CDMO解决方案 36.76亿 72.92% 74.74% 48.20%
临床阶段CDMO解决方案 9.68亿 19.20% 18.16% 44.48%
新兴服务 3.93亿 7.80% 7.10% 42.77%")</f>
        <v>公司是一家全球领先的服务于新药研发和生产的CDMO一站式综合服务商。为国内外大中型制药企业、生物技术公司提供高效和高质量的研发与生产服务，助推创新药的临床研究与商业化应用。主要包括临床阶段药品、商业化阶段药品、技术服务。
市值236.31399亿, 利润22.69亿; PE12.31; 平均PE16.99; 平均PEG.41, PB1.34; ROIC15.3967%; ROE17.6967%; 股利率2.8143%; 毛利47.62%; 净利27.98%; 上一年度营收增-23.7%, 利润增-31.28%; 当季营收增-37.75%, 利润增-55.24%; 过往5年营收增41.35%, 利润增57.09%
Income profile:
(国外占比90%)
商业化阶段CDMO解决方案 36.76亿 72.92% 74.74% 48.20%
临床阶段CDMO解决方案 9.68亿 19.20% 18.16% 44.48%
新兴服务 3.93亿 7.80% 7.10% 42.77%</v>
      </c>
      <c r="D11" t="s">
        <v>299</v>
      </c>
      <c r="E11" t="s">
        <v>300</v>
      </c>
      <c r="F11">
        <v>63.96</v>
      </c>
      <c r="G11">
        <v>4.1500000000000004</v>
      </c>
      <c r="H11" t="s">
        <v>1112</v>
      </c>
      <c r="I11">
        <v>23631399000</v>
      </c>
      <c r="J11">
        <v>12.31</v>
      </c>
      <c r="K11">
        <v>1.34</v>
      </c>
      <c r="L11" t="s">
        <v>290</v>
      </c>
      <c r="M11" t="s">
        <v>1113</v>
      </c>
      <c r="N11" t="s">
        <v>1114</v>
      </c>
      <c r="O11" t="s">
        <v>1115</v>
      </c>
      <c r="P11">
        <v>-37.76</v>
      </c>
      <c r="Q11" t="s">
        <v>1116</v>
      </c>
      <c r="R11">
        <v>281970250</v>
      </c>
      <c r="S11" s="3">
        <v>-0.55269999999999997</v>
      </c>
      <c r="T11" t="s">
        <v>1117</v>
      </c>
      <c r="U11">
        <v>328542520</v>
      </c>
      <c r="V11">
        <v>369471530</v>
      </c>
      <c r="W11">
        <v>1.1299999999999999</v>
      </c>
      <c r="X11">
        <v>7.0000000000000007E-2</v>
      </c>
      <c r="Y11">
        <v>19.97</v>
      </c>
      <c r="Z11" t="s">
        <v>1118</v>
      </c>
      <c r="AA11" t="s">
        <v>1119</v>
      </c>
      <c r="AB11" t="s">
        <v>1120</v>
      </c>
      <c r="AC11" t="s">
        <v>885</v>
      </c>
      <c r="AD11" t="s">
        <v>14</v>
      </c>
      <c r="AE11">
        <v>-78308190</v>
      </c>
      <c r="AF11" t="s">
        <v>1121</v>
      </c>
      <c r="AG11" t="s">
        <v>1122</v>
      </c>
      <c r="AH11" t="s">
        <v>1123</v>
      </c>
      <c r="AI11" t="s">
        <v>1124</v>
      </c>
      <c r="AJ11" t="s">
        <v>1125</v>
      </c>
      <c r="AK11" t="s">
        <v>1126</v>
      </c>
      <c r="AL11" t="s">
        <v>1127</v>
      </c>
      <c r="AM11" t="s">
        <v>14</v>
      </c>
      <c r="AN11" t="s">
        <v>1128</v>
      </c>
      <c r="AO11" t="s">
        <v>1129</v>
      </c>
      <c r="AP11" t="s">
        <v>14</v>
      </c>
      <c r="AQ11" t="s">
        <v>1130</v>
      </c>
      <c r="AR11" t="s">
        <v>14</v>
      </c>
      <c r="AS11" t="s">
        <v>1131</v>
      </c>
      <c r="AT11" t="s">
        <v>14</v>
      </c>
      <c r="AU11" t="s">
        <v>852</v>
      </c>
      <c r="AV11" t="s">
        <v>1132</v>
      </c>
      <c r="AW11" t="s">
        <v>1133</v>
      </c>
      <c r="AX11" t="s">
        <v>615</v>
      </c>
      <c r="AY11" t="s">
        <v>361</v>
      </c>
      <c r="AZ11" t="s">
        <v>301</v>
      </c>
      <c r="BA11" t="s">
        <v>302</v>
      </c>
      <c r="BB11" t="s">
        <v>303</v>
      </c>
      <c r="BC11" t="s">
        <v>616</v>
      </c>
      <c r="BD11" t="s">
        <v>362</v>
      </c>
      <c r="BE11" t="s">
        <v>175</v>
      </c>
      <c r="BF11" t="s">
        <v>132</v>
      </c>
      <c r="BG11" t="s">
        <v>197</v>
      </c>
      <c r="BH11" t="s">
        <v>1116</v>
      </c>
      <c r="BI11" t="s">
        <v>786</v>
      </c>
      <c r="BJ11" t="s">
        <v>615</v>
      </c>
      <c r="BK11" t="s">
        <v>1117</v>
      </c>
      <c r="BL11" t="s">
        <v>1134</v>
      </c>
      <c r="BM11" t="s">
        <v>616</v>
      </c>
      <c r="BN11">
        <v>12.46</v>
      </c>
      <c r="BO11">
        <v>22.53</v>
      </c>
      <c r="BP11">
        <v>11.2</v>
      </c>
      <c r="BQ11">
        <v>13.44</v>
      </c>
      <c r="BR11">
        <v>23.56</v>
      </c>
      <c r="BS11">
        <v>16.09</v>
      </c>
      <c r="BT11" t="s">
        <v>617</v>
      </c>
      <c r="BU11" t="s">
        <v>501</v>
      </c>
      <c r="BV11">
        <v>51.16</v>
      </c>
      <c r="BW11">
        <v>47.37</v>
      </c>
      <c r="BX11">
        <v>44.33</v>
      </c>
      <c r="BY11">
        <v>28.76</v>
      </c>
      <c r="BZ11">
        <v>32.130000000000003</v>
      </c>
      <c r="CA11">
        <v>23.05</v>
      </c>
      <c r="CB11">
        <v>-2.8</v>
      </c>
      <c r="CC11">
        <v>-17.13</v>
      </c>
      <c r="CD11" t="s">
        <v>1135</v>
      </c>
      <c r="CE11" t="s">
        <v>111</v>
      </c>
      <c r="CF11" s="9">
        <v>-0.37750111160515787</v>
      </c>
      <c r="CG11" s="10">
        <v>-0.55242817460317462</v>
      </c>
      <c r="CH11" s="9">
        <v>-0.23695755004882813</v>
      </c>
      <c r="CI11" s="9">
        <v>1.2106056213378906</v>
      </c>
      <c r="CJ11" s="9">
        <v>0.47269836068153381</v>
      </c>
      <c r="CK11" s="9">
        <v>0.28048786520957947</v>
      </c>
      <c r="CL11" s="9">
        <v>0.3405994176864624</v>
      </c>
      <c r="CM11" s="10">
        <v>-0.31284075975418091</v>
      </c>
      <c r="CN11" s="10">
        <v>2.0888683795928955</v>
      </c>
      <c r="CO11" s="10">
        <v>0.48060941696166992</v>
      </c>
      <c r="CP11" s="10">
        <v>0.30324909090995789</v>
      </c>
      <c r="CQ11" s="10">
        <v>0.29439252614974976</v>
      </c>
      <c r="CR11">
        <v>16.992856423777564</v>
      </c>
      <c r="CS11">
        <v>0.41096496350969358</v>
      </c>
      <c r="CT11">
        <v>2.8142589118198873</v>
      </c>
      <c r="CU11" s="9">
        <v>0.41348674297332766</v>
      </c>
      <c r="CV11" s="10">
        <v>0.57085573077201845</v>
      </c>
      <c r="CW11">
        <v>0.06</v>
      </c>
      <c r="CX11">
        <v>2.7370538332231327</v>
      </c>
      <c r="CY11">
        <v>3025661716.7985663</v>
      </c>
      <c r="CZ11">
        <v>0.41348674297332766</v>
      </c>
      <c r="DA11">
        <v>0.687459589237711</v>
      </c>
      <c r="DB11">
        <v>12046379350.359812</v>
      </c>
      <c r="DC11">
        <v>0.39281240582466126</v>
      </c>
      <c r="DD11">
        <v>0.22988348151523838</v>
      </c>
      <c r="DE11">
        <v>36024332611.523666</v>
      </c>
      <c r="DF11">
        <v>0.36386833381652833</v>
      </c>
      <c r="DG11">
        <v>8.5087238280604216E-2</v>
      </c>
      <c r="DH11">
        <v>97328332278.093918</v>
      </c>
      <c r="DI11">
        <v>0.33078939437866217</v>
      </c>
      <c r="DJ11">
        <v>1.3162613850029472E-2</v>
      </c>
      <c r="DK11">
        <v>629160673887.08337</v>
      </c>
      <c r="DL11">
        <v>0.28944072008132932</v>
      </c>
      <c r="DM11">
        <v>2269000000</v>
      </c>
      <c r="DN11">
        <v>0.41348674297332766</v>
      </c>
      <c r="DO11">
        <v>8281399000</v>
      </c>
      <c r="DP11">
        <v>10342137700</v>
      </c>
      <c r="DQ11">
        <v>1292</v>
      </c>
      <c r="DR11">
        <v>-0.79098785457848553</v>
      </c>
      <c r="DS11">
        <v>-1.1232839053751931</v>
      </c>
      <c r="DT11" s="11">
        <v>4.3333333333333224E-2</v>
      </c>
      <c r="DU11">
        <v>0.29666666666666652</v>
      </c>
      <c r="DV11">
        <v>0.33999999999999975</v>
      </c>
      <c r="DW11">
        <v>-8.163455925277292</v>
      </c>
      <c r="DX11">
        <v>0.56953153153153269</v>
      </c>
      <c r="DY11">
        <v>-8.0277109333501624</v>
      </c>
      <c r="DZ11">
        <v>982</v>
      </c>
      <c r="EA11">
        <v>-8.0223856620096807</v>
      </c>
      <c r="EB11">
        <v>8</v>
      </c>
      <c r="EC11">
        <v>5.0932205791336616E-2</v>
      </c>
      <c r="ED11">
        <v>0.30042910207452256</v>
      </c>
      <c r="EE11" s="12">
        <v>-5.1036099999999998</v>
      </c>
      <c r="EF11">
        <v>-5.1411100000000003</v>
      </c>
      <c r="EG11">
        <v>40.169531531531533</v>
      </c>
      <c r="EH11" t="s">
        <v>1136</v>
      </c>
      <c r="EI11">
        <v>0</v>
      </c>
      <c r="EJ11">
        <v>1</v>
      </c>
      <c r="EK11" s="14">
        <v>45470</v>
      </c>
      <c r="EL11" s="15">
        <v>-0.56000000000000005</v>
      </c>
      <c r="EM11" s="15">
        <v>-1.01</v>
      </c>
      <c r="EN11" s="15">
        <v>-2.21</v>
      </c>
      <c r="EO11" s="15">
        <v>1.68</v>
      </c>
      <c r="EP11" s="15">
        <v>-3.75</v>
      </c>
    </row>
    <row r="12" spans="1:146" ht="168" x14ac:dyDescent="0.25">
      <c r="A12" s="7"/>
      <c r="B12" s="7"/>
      <c r="C12" s="7" t="str">
        <f>"公司是一家眼科医疗机构,公司主要从事各类眼科疾病诊疗、手术服务与医学验光配镜。"&amp;CHAR(10)&amp;Basic_Fundamental_Information_Constructure(F12)&amp;CHAR(10)&amp;Basic_Fundamental_Information_Concatenate("屈光项目 34.38亿 42.41% 49.60% 57.69%
视光服务项目 17.63亿 21.75% 23.67% 53.69%
白内障项目 10.45亿 12.88% 9.37% 35.88%
眼前段项目 6.80亿 8.39% 6.85% 40.29%
其他项目 6.51亿 8.02% 6.41% 39.38%
眼后段项目 5.20亿 6.41% 3.91% 30.06%")</f>
        <v>公司是一家眼科医疗机构,公司主要从事各类眼科疾病诊疗、手术服务与医学验光配镜。
市值958.81709亿, 利润33.59亿; PE27.57; 平均PE46.7; 平均PEG2.25, PB4.87; ROIC17.7033%; ROE19.1933%; 股利率1.4594%; 毛利51.0567%; 净利17.0367%; 上一年度营收增26.42%, 利润增33.08%; 当季营收增3.49%, 利润增15.17%; 过往5年营收增20.74%, 利润增27.63%
Income profile:
屈光项目 34.38亿 42.41% 49.60% 57.69%
视光服务项目 17.63亿 21.75% 23.67% 53.69%
白内障项目 10.45亿 12.88% 9.37% 35.88%
眼前段项目 6.80亿 8.39% 6.85% 40.29%
其他项目 6.51亿 8.02% 6.41% 39.38%
眼后段项目 5.20亿 6.41% 3.91% 30.06%</v>
      </c>
      <c r="D12" t="s">
        <v>22</v>
      </c>
      <c r="E12" t="s">
        <v>9</v>
      </c>
      <c r="F12">
        <v>10.28</v>
      </c>
      <c r="G12">
        <v>2.59</v>
      </c>
      <c r="H12" t="s">
        <v>1137</v>
      </c>
      <c r="I12">
        <v>95881709000</v>
      </c>
      <c r="J12">
        <v>27.57</v>
      </c>
      <c r="K12">
        <v>4.87</v>
      </c>
      <c r="L12" t="s">
        <v>290</v>
      </c>
      <c r="M12" t="s">
        <v>1138</v>
      </c>
      <c r="N12" t="s">
        <v>1139</v>
      </c>
      <c r="O12" t="s">
        <v>1140</v>
      </c>
      <c r="P12">
        <v>3.5</v>
      </c>
      <c r="Q12" t="s">
        <v>1141</v>
      </c>
      <c r="R12">
        <v>899476290</v>
      </c>
      <c r="S12" s="3">
        <v>0.15160000000000001</v>
      </c>
      <c r="T12" t="s">
        <v>1142</v>
      </c>
      <c r="U12">
        <v>7905004100</v>
      </c>
      <c r="V12">
        <v>9327014500</v>
      </c>
      <c r="W12">
        <v>1.48</v>
      </c>
      <c r="X12">
        <v>0.17</v>
      </c>
      <c r="Y12">
        <v>18.71</v>
      </c>
      <c r="Z12" t="s">
        <v>1143</v>
      </c>
      <c r="AA12" t="s">
        <v>1144</v>
      </c>
      <c r="AB12" t="s">
        <v>1145</v>
      </c>
      <c r="AC12" t="s">
        <v>1146</v>
      </c>
      <c r="AD12" t="s">
        <v>14</v>
      </c>
      <c r="AE12">
        <v>61943864</v>
      </c>
      <c r="AF12" t="s">
        <v>1147</v>
      </c>
      <c r="AG12" t="s">
        <v>1148</v>
      </c>
      <c r="AH12" t="s">
        <v>1149</v>
      </c>
      <c r="AI12" t="s">
        <v>1150</v>
      </c>
      <c r="AJ12" t="s">
        <v>1151</v>
      </c>
      <c r="AK12" t="s">
        <v>14</v>
      </c>
      <c r="AL12" t="s">
        <v>1152</v>
      </c>
      <c r="AM12" t="s">
        <v>14</v>
      </c>
      <c r="AN12" t="s">
        <v>1153</v>
      </c>
      <c r="AO12" t="s">
        <v>855</v>
      </c>
      <c r="AP12" t="s">
        <v>1154</v>
      </c>
      <c r="AQ12" t="s">
        <v>1155</v>
      </c>
      <c r="AR12" t="s">
        <v>14</v>
      </c>
      <c r="AS12" t="s">
        <v>1156</v>
      </c>
      <c r="AT12" t="s">
        <v>1157</v>
      </c>
      <c r="AU12" t="s">
        <v>787</v>
      </c>
      <c r="AV12" t="s">
        <v>1158</v>
      </c>
      <c r="AW12" t="s">
        <v>1159</v>
      </c>
      <c r="AX12" t="s">
        <v>618</v>
      </c>
      <c r="AY12" t="s">
        <v>364</v>
      </c>
      <c r="AZ12" t="s">
        <v>189</v>
      </c>
      <c r="BA12" t="s">
        <v>193</v>
      </c>
      <c r="BB12" t="s">
        <v>194</v>
      </c>
      <c r="BC12" t="s">
        <v>619</v>
      </c>
      <c r="BD12" t="s">
        <v>365</v>
      </c>
      <c r="BE12" t="s">
        <v>190</v>
      </c>
      <c r="BF12" t="s">
        <v>195</v>
      </c>
      <c r="BG12" t="s">
        <v>196</v>
      </c>
      <c r="BH12" t="s">
        <v>1141</v>
      </c>
      <c r="BI12" t="s">
        <v>1160</v>
      </c>
      <c r="BJ12" t="s">
        <v>618</v>
      </c>
      <c r="BK12" t="s">
        <v>1142</v>
      </c>
      <c r="BL12" t="s">
        <v>1161</v>
      </c>
      <c r="BM12" t="s">
        <v>619</v>
      </c>
      <c r="BN12">
        <v>17.97</v>
      </c>
      <c r="BO12">
        <v>16.510000000000002</v>
      </c>
      <c r="BP12">
        <v>18.63</v>
      </c>
      <c r="BQ12">
        <v>17.84</v>
      </c>
      <c r="BR12">
        <v>19.16</v>
      </c>
      <c r="BS12">
        <v>20.58</v>
      </c>
      <c r="BT12" t="s">
        <v>1162</v>
      </c>
      <c r="BU12" t="s">
        <v>937</v>
      </c>
      <c r="BV12">
        <v>50.79</v>
      </c>
      <c r="BW12">
        <v>50.46</v>
      </c>
      <c r="BX12">
        <v>51.92</v>
      </c>
      <c r="BY12">
        <v>17.95</v>
      </c>
      <c r="BZ12">
        <v>16.690000000000001</v>
      </c>
      <c r="CA12">
        <v>16.47</v>
      </c>
      <c r="CB12">
        <v>-0.39</v>
      </c>
      <c r="CC12">
        <v>-16.420000000000002</v>
      </c>
      <c r="CD12" t="s">
        <v>1011</v>
      </c>
      <c r="CE12" t="s">
        <v>1163</v>
      </c>
      <c r="CF12" s="9">
        <v>3.4853614817765388E-2</v>
      </c>
      <c r="CG12" s="10">
        <v>0.15169819462227913</v>
      </c>
      <c r="CH12" s="9">
        <v>0.26424577832221985</v>
      </c>
      <c r="CI12" s="9">
        <v>7.3928415775299072E-2</v>
      </c>
      <c r="CJ12" s="9">
        <v>0.25931838154792786</v>
      </c>
      <c r="CK12" s="9">
        <v>0.19239239394664764</v>
      </c>
      <c r="CL12" s="9">
        <v>0.24734669923782349</v>
      </c>
      <c r="CM12" s="10">
        <v>0.3308241069316864</v>
      </c>
      <c r="CN12" s="10">
        <v>8.6526013910770416E-2</v>
      </c>
      <c r="CO12" s="10">
        <v>0.34744784235954285</v>
      </c>
      <c r="CP12" s="10">
        <v>0.25018122792243958</v>
      </c>
      <c r="CQ12" s="10">
        <v>0.36669975519180298</v>
      </c>
      <c r="CR12">
        <v>46.703219191427181</v>
      </c>
      <c r="CS12">
        <v>2.2513398209347111</v>
      </c>
      <c r="CT12">
        <v>1.4593628404669261</v>
      </c>
      <c r="CU12" s="9">
        <v>0.20744633376598359</v>
      </c>
      <c r="CV12" s="10">
        <v>0.27633578926324842</v>
      </c>
      <c r="CW12">
        <v>0.06</v>
      </c>
      <c r="CX12">
        <v>22.246318692643278</v>
      </c>
      <c r="CY12">
        <v>3826237957.6603193</v>
      </c>
      <c r="CZ12">
        <v>0.20744633376598359</v>
      </c>
      <c r="DA12">
        <v>6.5906804136837538</v>
      </c>
      <c r="DB12">
        <v>12915162571.571836</v>
      </c>
      <c r="DC12">
        <v>0.1970740170776844</v>
      </c>
      <c r="DD12">
        <v>2.8301816528163726</v>
      </c>
      <c r="DE12">
        <v>30075705181.430885</v>
      </c>
      <c r="DF12">
        <v>0.18255277371406556</v>
      </c>
      <c r="DG12">
        <v>1.4458047060795589</v>
      </c>
      <c r="DH12">
        <v>58873586897.369026</v>
      </c>
      <c r="DI12">
        <v>0.1659570670127869</v>
      </c>
      <c r="DJ12">
        <v>0.51034400648023315</v>
      </c>
      <c r="DK12">
        <v>166788887337.10815</v>
      </c>
      <c r="DL12">
        <v>0.14521243363618849</v>
      </c>
      <c r="DM12">
        <v>3359000000.0000005</v>
      </c>
      <c r="DN12">
        <v>0.20744633376598359</v>
      </c>
      <c r="DO12">
        <v>85119709000</v>
      </c>
      <c r="DP12">
        <v>4951490200</v>
      </c>
      <c r="DQ12">
        <v>1513</v>
      </c>
      <c r="DR12">
        <v>-0.1725927189482182</v>
      </c>
      <c r="DS12">
        <v>-0.1246375946409693</v>
      </c>
      <c r="DT12" s="11">
        <v>7.6666666666666591E-2</v>
      </c>
      <c r="DU12">
        <v>0.73666666666666669</v>
      </c>
      <c r="DV12">
        <v>0.81333333333333324</v>
      </c>
      <c r="DW12">
        <v>-3.00475</v>
      </c>
      <c r="DX12">
        <v>0.54265763762527086</v>
      </c>
      <c r="DY12">
        <v>-3.0008201237787202</v>
      </c>
      <c r="DZ12">
        <v>340</v>
      </c>
      <c r="EA12">
        <v>-3.0007655558560655</v>
      </c>
      <c r="EB12">
        <v>3</v>
      </c>
      <c r="EC12">
        <v>3.141412506649368E-2</v>
      </c>
      <c r="ED12">
        <v>0.18194460832027226</v>
      </c>
      <c r="EE12" s="12">
        <v>-2.0141100000000001</v>
      </c>
      <c r="EF12">
        <v>-2.0356100000000001</v>
      </c>
      <c r="EG12">
        <v>37.172657637625271</v>
      </c>
      <c r="EH12" t="s">
        <v>776</v>
      </c>
      <c r="EI12">
        <v>0</v>
      </c>
      <c r="EJ12">
        <v>1</v>
      </c>
      <c r="EK12" s="14">
        <v>45470</v>
      </c>
      <c r="EL12" s="15">
        <v>0.65</v>
      </c>
      <c r="EM12" s="15">
        <v>-1.67</v>
      </c>
      <c r="EN12" s="15">
        <v>-1.69</v>
      </c>
      <c r="EO12" s="15">
        <v>2.59</v>
      </c>
      <c r="EP12" s="15">
        <v>-2.15</v>
      </c>
    </row>
    <row r="13" spans="1:146" ht="192" x14ac:dyDescent="0.25">
      <c r="A13" s="7"/>
      <c r="B13" s="7"/>
      <c r="C13" s="7" t="str">
        <f>"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amp;CHAR(10)&amp;Basic_Fundamental_Information_Constructure(F13)&amp;CHAR(10)&amp;Basic_Fundamental_Information_Concatenate("医疗服务-主营 10.27亿 94.26% 92.12% 23.39%
经销商品 3190.99万 2.93% 0.51% 4.16%
伽玛刀 2648.28万 2.43% 7.04% 69.36%
合作分成 315.64万 0.29% 0.04% 3.15%")</f>
        <v>公司主营业务为大型放射性医疗设备的研制、生产和销售和提供医疗服务。公司主要产品和服务有伽玛刀及医疗服务。公司在医疗器械方面：国内头部伽玛刀领域龙头企业，并率先实现大型放疗设备自主出口，成功打破国际大型公司全球垄断地位。公司是国内领先的肿瘤治疗康复综合解决方案服务商；
市值50.538544亿, 利润1.00亿; PE58.02; 平均PE-22.23; 平均PEG-.84, PB3.7; ROIC6.59%; ROE-16.08%; 股利率0%; 毛利26.3467%; 净利-25.83%; 上一年度营收增27.25%, 利润增116.78%; 当季营收增15.24%, 利润增-33.69%; 过往5年营收增26.5%, 利润增-334.28%
Income profile:
医疗服务-主营 10.27亿 94.26% 92.12% 23.39%
经销商品 3190.99万 2.93% 0.51% 4.16%
伽玛刀 2648.28万 2.43% 7.04% 69.36%
合作分成 315.64万 0.29% 0.04% 3.15%</v>
      </c>
      <c r="D13" t="s">
        <v>19</v>
      </c>
      <c r="E13" t="s">
        <v>20</v>
      </c>
      <c r="F13">
        <v>7.87</v>
      </c>
      <c r="G13">
        <v>3.01</v>
      </c>
      <c r="H13" t="s">
        <v>1164</v>
      </c>
      <c r="I13">
        <v>5053854400</v>
      </c>
      <c r="J13">
        <v>58.02</v>
      </c>
      <c r="K13">
        <v>3.7</v>
      </c>
      <c r="L13" t="s">
        <v>290</v>
      </c>
      <c r="M13" t="s">
        <v>1165</v>
      </c>
      <c r="N13" t="s">
        <v>1166</v>
      </c>
      <c r="O13" t="s">
        <v>254</v>
      </c>
      <c r="P13">
        <v>15.17</v>
      </c>
      <c r="Q13" t="s">
        <v>1167</v>
      </c>
      <c r="R13">
        <v>26225858</v>
      </c>
      <c r="S13" s="3">
        <v>-0.33689999999999998</v>
      </c>
      <c r="T13" t="s">
        <v>113</v>
      </c>
      <c r="U13">
        <v>642167010</v>
      </c>
      <c r="V13">
        <v>642167010</v>
      </c>
      <c r="W13">
        <v>1.78</v>
      </c>
      <c r="X13">
        <v>0.17</v>
      </c>
      <c r="Y13">
        <v>6.26</v>
      </c>
      <c r="Z13" t="s">
        <v>408</v>
      </c>
      <c r="AA13" t="s">
        <v>1168</v>
      </c>
      <c r="AB13" t="s">
        <v>1169</v>
      </c>
      <c r="AC13" t="s">
        <v>1170</v>
      </c>
      <c r="AD13" t="s">
        <v>14</v>
      </c>
      <c r="AE13">
        <v>145549</v>
      </c>
      <c r="AF13" t="s">
        <v>1171</v>
      </c>
      <c r="AG13" t="s">
        <v>1172</v>
      </c>
      <c r="AH13" t="s">
        <v>1173</v>
      </c>
      <c r="AI13" t="s">
        <v>1174</v>
      </c>
      <c r="AJ13" t="s">
        <v>1175</v>
      </c>
      <c r="AK13" t="s">
        <v>14</v>
      </c>
      <c r="AL13" t="s">
        <v>1176</v>
      </c>
      <c r="AM13" t="s">
        <v>14</v>
      </c>
      <c r="AN13" t="s">
        <v>94</v>
      </c>
      <c r="AO13" t="s">
        <v>1177</v>
      </c>
      <c r="AP13" t="s">
        <v>14</v>
      </c>
      <c r="AQ13" t="s">
        <v>792</v>
      </c>
      <c r="AR13" t="s">
        <v>14</v>
      </c>
      <c r="AS13" t="s">
        <v>940</v>
      </c>
      <c r="AT13" t="s">
        <v>1178</v>
      </c>
      <c r="AU13" t="s">
        <v>63</v>
      </c>
      <c r="AV13" t="s">
        <v>1179</v>
      </c>
      <c r="AW13" t="s">
        <v>1180</v>
      </c>
      <c r="AX13" t="s">
        <v>763</v>
      </c>
      <c r="AY13" t="s">
        <v>366</v>
      </c>
      <c r="AZ13" t="s">
        <v>324</v>
      </c>
      <c r="BA13" t="s">
        <v>200</v>
      </c>
      <c r="BB13" t="s">
        <v>201</v>
      </c>
      <c r="BC13" t="s">
        <v>549</v>
      </c>
      <c r="BD13" t="s">
        <v>367</v>
      </c>
      <c r="BE13" t="s">
        <v>369</v>
      </c>
      <c r="BF13" t="s">
        <v>202</v>
      </c>
      <c r="BG13" t="s">
        <v>203</v>
      </c>
      <c r="BH13" t="s">
        <v>1167</v>
      </c>
      <c r="BI13" t="s">
        <v>1181</v>
      </c>
      <c r="BJ13" t="s">
        <v>763</v>
      </c>
      <c r="BK13" t="s">
        <v>113</v>
      </c>
      <c r="BL13" t="s">
        <v>1182</v>
      </c>
      <c r="BM13" t="s">
        <v>549</v>
      </c>
      <c r="BN13">
        <v>6.59</v>
      </c>
      <c r="BO13" t="s">
        <v>14</v>
      </c>
      <c r="BP13" t="s">
        <v>14</v>
      </c>
      <c r="BQ13">
        <v>7.07</v>
      </c>
      <c r="BR13">
        <v>-39.99</v>
      </c>
      <c r="BS13">
        <v>-15.32</v>
      </c>
      <c r="BT13" t="s">
        <v>546</v>
      </c>
      <c r="BU13" t="s">
        <v>937</v>
      </c>
      <c r="BV13">
        <v>28.57</v>
      </c>
      <c r="BW13">
        <v>26.53</v>
      </c>
      <c r="BX13">
        <v>23.94</v>
      </c>
      <c r="BY13">
        <v>6.74</v>
      </c>
      <c r="BZ13">
        <v>-51.53</v>
      </c>
      <c r="CA13">
        <v>-32.700000000000003</v>
      </c>
      <c r="CB13">
        <v>4.5199999999999996</v>
      </c>
      <c r="CC13">
        <v>-0.51</v>
      </c>
      <c r="CD13" t="s">
        <v>1183</v>
      </c>
      <c r="CE13" t="s">
        <v>147</v>
      </c>
      <c r="CF13" s="9">
        <v>0.1523545706371191</v>
      </c>
      <c r="CG13" s="10">
        <v>-0.33689360303413401</v>
      </c>
      <c r="CH13" s="9">
        <v>0.27249139547348022</v>
      </c>
      <c r="CI13" s="9">
        <v>6.055045872926712E-2</v>
      </c>
      <c r="CJ13" s="9">
        <v>5.9280853718519211E-2</v>
      </c>
      <c r="CK13" s="9">
        <v>0.79581153392791748</v>
      </c>
      <c r="CL13" s="9">
        <v>0.1369047611951828</v>
      </c>
      <c r="CM13" s="10">
        <v>1.1677852869033813</v>
      </c>
      <c r="CN13" s="10">
        <v>-0.63736265897750854</v>
      </c>
      <c r="CO13" s="10">
        <v>-3.4429531097412109</v>
      </c>
      <c r="CP13" s="10">
        <v>1.2119487524032593</v>
      </c>
      <c r="CQ13" s="10">
        <v>-15.013307571411133</v>
      </c>
      <c r="CR13">
        <v>-22.233746731822229</v>
      </c>
      <c r="CS13">
        <v>-0.83898461406564984</v>
      </c>
      <c r="CT13">
        <v>0</v>
      </c>
      <c r="CU13" s="9">
        <v>0.26500780060887336</v>
      </c>
      <c r="CV13" s="10">
        <v>-3.3427778601646425</v>
      </c>
      <c r="CW13">
        <v>0.06</v>
      </c>
      <c r="CX13">
        <v>38.627790766571209</v>
      </c>
      <c r="CY13">
        <v>119340358.54800694</v>
      </c>
      <c r="CZ13">
        <v>0.26500780060887336</v>
      </c>
      <c r="DA13">
        <v>10.91802135592023</v>
      </c>
      <c r="DB13">
        <v>422224343.56206262</v>
      </c>
      <c r="DC13">
        <v>0.25175741057842965</v>
      </c>
      <c r="DD13">
        <v>4.3759675604776112</v>
      </c>
      <c r="DE13">
        <v>1053448028.6450894</v>
      </c>
      <c r="DF13">
        <v>0.23320686453580855</v>
      </c>
      <c r="DG13">
        <v>2.0506624036923049</v>
      </c>
      <c r="DH13">
        <v>2247983086.6844592</v>
      </c>
      <c r="DI13">
        <v>0.21200624048709871</v>
      </c>
      <c r="DJ13">
        <v>0.58274820218113432</v>
      </c>
      <c r="DK13">
        <v>7910542465.4182444</v>
      </c>
      <c r="DL13">
        <v>0.18550546042621133</v>
      </c>
      <c r="DM13">
        <v>100000000</v>
      </c>
      <c r="DN13">
        <v>0.26500780060887336</v>
      </c>
      <c r="DO13">
        <v>4609854400</v>
      </c>
      <c r="DP13">
        <v>180452009.99999988</v>
      </c>
      <c r="DQ13">
        <v>1633</v>
      </c>
      <c r="DR13">
        <v>-0.11265322997175425</v>
      </c>
      <c r="DS13">
        <v>3.0058842571305084</v>
      </c>
      <c r="DT13" s="11">
        <v>-4.0000000000000036E-2</v>
      </c>
      <c r="DU13">
        <v>-1.8900000000000003</v>
      </c>
      <c r="DV13">
        <v>-1.9300000000000004</v>
      </c>
      <c r="DW13">
        <v>4.1128318584070795</v>
      </c>
      <c r="DX13">
        <v>0.40577983870967793</v>
      </c>
      <c r="DY13">
        <v>4.0299884331287465</v>
      </c>
      <c r="DZ13">
        <v>4341</v>
      </c>
      <c r="EA13">
        <v>4.0045129364140912</v>
      </c>
      <c r="EB13">
        <v>4</v>
      </c>
      <c r="EC13">
        <v>5.1321073002488872E-2</v>
      </c>
      <c r="ED13">
        <v>0.19309618536772857</v>
      </c>
      <c r="EE13" s="12">
        <v>-5.0085100000000002</v>
      </c>
      <c r="EF13">
        <v>-5.0139100000000001</v>
      </c>
      <c r="EG13">
        <v>14.265779838709678</v>
      </c>
      <c r="EH13" t="s">
        <v>1136</v>
      </c>
      <c r="EI13">
        <v>0</v>
      </c>
      <c r="EJ13">
        <v>0</v>
      </c>
      <c r="EK13" s="14">
        <v>45470</v>
      </c>
      <c r="EL13" s="15">
        <v>1.1100000000000001</v>
      </c>
      <c r="EM13" s="15">
        <v>-5.2</v>
      </c>
      <c r="EN13" s="15">
        <v>1.3</v>
      </c>
      <c r="EO13" s="15">
        <v>5.98</v>
      </c>
      <c r="EP13" s="15">
        <v>-0.54</v>
      </c>
    </row>
    <row r="14" spans="1:146" ht="204" x14ac:dyDescent="0.25">
      <c r="A14" s="7"/>
      <c r="B14" s="7"/>
      <c r="C14" s="7" t="str">
        <f>"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amp;CHAR(10)&amp;Basic_Fundamental_Information_Constructure(F14)&amp;CHAR(10)&amp;Basic_Fundamental_Information_Concatenate("（境外占比56%）
医药研发服务与生产外包业务 5.53亿 80.49% 74.73% 32.03%
微生态营养及医疗 1.34亿 19.56% 25.41% 44.80%")</f>
        <v>公司主营业务包含两大业务板块，分别为医药研发及生产服(CRO/CDMO),微生态营养与医疗。医药研发及生产服务(CRO/CDMO)板块作为公司核心业务板块，按业务性质划分，医药研发及生产服务(CRO/CDMO)板块业务由化学类CRO,生物类CRO,小分子CDMO,大分子CDMO四大服务模块组成。公司微生态健康板块主要以生产低聚果糖,低聚半乳糖系列益生元产品为主。
市值20.190986亿, 利润-9.08亿; PE; 平均PE-25.45; 平均PEG-5.5, PB1.4; ROIC13.49%; ROE-.8767%; 股利率0%; 毛利27.2933%; 净利-25.01%; 上一年度营收增-14.24%, 利润增-339.58%; 当季营收增-12.64%, 利润增10.87%; 过往5年营收增4.63%, 利润增-101.36%
Income profile:
（境外占比56%）
医药研发服务与生产外包业务 5.53亿 80.49% 74.73% 32.03%
微生态营养及医疗 1.34亿 19.56% 25.41% 44.80%</v>
      </c>
      <c r="D14" t="s">
        <v>30</v>
      </c>
      <c r="E14" t="s">
        <v>124</v>
      </c>
      <c r="F14">
        <v>4.04</v>
      </c>
      <c r="G14">
        <v>4.12</v>
      </c>
      <c r="H14" t="s">
        <v>1184</v>
      </c>
      <c r="I14">
        <v>2019098600</v>
      </c>
      <c r="K14">
        <v>1.4</v>
      </c>
      <c r="L14" t="s">
        <v>290</v>
      </c>
      <c r="M14" t="s">
        <v>1185</v>
      </c>
      <c r="N14" t="s">
        <v>505</v>
      </c>
      <c r="O14" t="s">
        <v>841</v>
      </c>
      <c r="P14">
        <v>-12.68</v>
      </c>
      <c r="Q14" t="s">
        <v>1186</v>
      </c>
      <c r="R14">
        <v>-25460551</v>
      </c>
      <c r="S14" s="4">
        <v>0.1087</v>
      </c>
      <c r="T14" t="s">
        <v>1187</v>
      </c>
      <c r="U14">
        <v>498909290</v>
      </c>
      <c r="V14">
        <v>499776890</v>
      </c>
      <c r="W14">
        <v>1.62</v>
      </c>
      <c r="X14">
        <v>0.1</v>
      </c>
      <c r="Y14">
        <v>-10.87</v>
      </c>
      <c r="Z14" t="s">
        <v>199</v>
      </c>
      <c r="AA14" t="s">
        <v>415</v>
      </c>
      <c r="AB14" t="s">
        <v>1188</v>
      </c>
      <c r="AC14" t="s">
        <v>1189</v>
      </c>
      <c r="AD14" t="s">
        <v>14</v>
      </c>
      <c r="AE14">
        <v>2252353</v>
      </c>
      <c r="AF14" t="s">
        <v>1190</v>
      </c>
      <c r="AG14" t="s">
        <v>1191</v>
      </c>
      <c r="AH14" t="s">
        <v>1192</v>
      </c>
      <c r="AI14" t="s">
        <v>1193</v>
      </c>
      <c r="AJ14" t="s">
        <v>1194</v>
      </c>
      <c r="AK14" t="s">
        <v>14</v>
      </c>
      <c r="AL14" t="s">
        <v>1195</v>
      </c>
      <c r="AM14" t="s">
        <v>14</v>
      </c>
      <c r="AN14" t="s">
        <v>1196</v>
      </c>
      <c r="AO14" t="s">
        <v>1197</v>
      </c>
      <c r="AP14" t="s">
        <v>14</v>
      </c>
      <c r="AQ14" t="s">
        <v>1198</v>
      </c>
      <c r="AR14" t="s">
        <v>14</v>
      </c>
      <c r="AS14" t="s">
        <v>1199</v>
      </c>
      <c r="AT14" t="s">
        <v>1200</v>
      </c>
      <c r="AU14" t="s">
        <v>1201</v>
      </c>
      <c r="AV14" t="s">
        <v>1202</v>
      </c>
      <c r="AW14" t="s">
        <v>1203</v>
      </c>
      <c r="AX14" t="s">
        <v>136</v>
      </c>
      <c r="AY14" t="s">
        <v>370</v>
      </c>
      <c r="AZ14" t="s">
        <v>204</v>
      </c>
      <c r="BA14" t="s">
        <v>205</v>
      </c>
      <c r="BB14" t="s">
        <v>206</v>
      </c>
      <c r="BC14" t="s">
        <v>620</v>
      </c>
      <c r="BD14" t="s">
        <v>371</v>
      </c>
      <c r="BE14" t="s">
        <v>93</v>
      </c>
      <c r="BF14" t="s">
        <v>71</v>
      </c>
      <c r="BG14" t="s">
        <v>117</v>
      </c>
      <c r="BH14" t="s">
        <v>1186</v>
      </c>
      <c r="BI14" t="s">
        <v>779</v>
      </c>
      <c r="BJ14" t="s">
        <v>136</v>
      </c>
      <c r="BK14" t="s">
        <v>1187</v>
      </c>
      <c r="BL14" t="s">
        <v>1204</v>
      </c>
      <c r="BM14" t="s">
        <v>620</v>
      </c>
      <c r="BN14" t="s">
        <v>14</v>
      </c>
      <c r="BO14">
        <v>13.49</v>
      </c>
      <c r="BP14" t="s">
        <v>14</v>
      </c>
      <c r="BQ14">
        <v>-1.75</v>
      </c>
      <c r="BR14">
        <v>17.52</v>
      </c>
      <c r="BS14">
        <v>-18.399999999999999</v>
      </c>
      <c r="BT14" t="s">
        <v>546</v>
      </c>
      <c r="BU14" t="s">
        <v>501</v>
      </c>
      <c r="BV14">
        <v>24.77</v>
      </c>
      <c r="BW14">
        <v>25.42</v>
      </c>
      <c r="BX14">
        <v>31.69</v>
      </c>
      <c r="BY14">
        <v>-79.77</v>
      </c>
      <c r="BZ14">
        <v>28.52</v>
      </c>
      <c r="CA14">
        <v>-23.78</v>
      </c>
      <c r="CB14">
        <v>2.02</v>
      </c>
      <c r="CC14">
        <v>-17.55</v>
      </c>
      <c r="CD14" t="s">
        <v>1205</v>
      </c>
      <c r="CE14" t="s">
        <v>579</v>
      </c>
      <c r="CF14" s="9">
        <v>-0.12639405204460966</v>
      </c>
      <c r="CG14" s="10">
        <v>0.10873945020285715</v>
      </c>
      <c r="CH14" s="9">
        <v>-0.14242656528949738</v>
      </c>
      <c r="CI14" s="9">
        <v>-0.21525724232196808</v>
      </c>
      <c r="CJ14" s="9">
        <v>0.14102567732334137</v>
      </c>
      <c r="CK14" s="9">
        <v>0.11596385389566422</v>
      </c>
      <c r="CL14" s="9">
        <v>0.33199599385261536</v>
      </c>
      <c r="CM14" s="10">
        <v>-3.3957784175872803</v>
      </c>
      <c r="CN14" s="10">
        <v>1.9427860975265503</v>
      </c>
      <c r="CO14" s="10">
        <v>-3.5935482978820801</v>
      </c>
      <c r="CP14" s="10">
        <v>0.11510791629552841</v>
      </c>
      <c r="CQ14" s="10">
        <v>-0.13664595782756805</v>
      </c>
      <c r="CR14">
        <v>-25.450822689075633</v>
      </c>
      <c r="CS14">
        <v>-5.5016501754812612</v>
      </c>
      <c r="CT14">
        <v>0</v>
      </c>
      <c r="CU14" s="9">
        <v>4.6260343492031099E-2</v>
      </c>
      <c r="CV14" s="10">
        <v>-1.0136157318949699</v>
      </c>
      <c r="CW14">
        <v>0.06</v>
      </c>
      <c r="CX14" t="e">
        <v>#VALUE!</v>
      </c>
      <c r="CY14" t="s">
        <v>464</v>
      </c>
      <c r="CZ14">
        <v>4.6260343492031099E-2</v>
      </c>
      <c r="DA14" t="e">
        <v>#VALUE!</v>
      </c>
      <c r="DB14" t="s">
        <v>465</v>
      </c>
      <c r="DC14">
        <v>4.3947326317429543E-2</v>
      </c>
      <c r="DD14" t="e">
        <v>#VALUE!</v>
      </c>
      <c r="DE14" t="s">
        <v>465</v>
      </c>
      <c r="DF14">
        <v>4.0709102272987366E-2</v>
      </c>
      <c r="DG14" t="e">
        <v>#VALUE!</v>
      </c>
      <c r="DH14" t="s">
        <v>465</v>
      </c>
      <c r="DI14">
        <v>3.7008274793624882E-2</v>
      </c>
      <c r="DJ14" t="e">
        <v>#VALUE!</v>
      </c>
      <c r="DK14" t="s">
        <v>465</v>
      </c>
      <c r="DL14">
        <v>3.238224044442177E-2</v>
      </c>
      <c r="DM14">
        <v>-908000000</v>
      </c>
      <c r="DN14">
        <v>4.6260343492031099E-2</v>
      </c>
      <c r="DO14">
        <v>1530098600</v>
      </c>
      <c r="DP14">
        <v>291526240</v>
      </c>
      <c r="DQ14">
        <v>1639</v>
      </c>
      <c r="DR14">
        <v>-0.17265439553664075</v>
      </c>
      <c r="DS14">
        <v>1.122355182097827</v>
      </c>
      <c r="DT14" s="11">
        <v>-0.49</v>
      </c>
      <c r="DU14">
        <v>-2.0566666666666671</v>
      </c>
      <c r="DV14">
        <v>-2.5466666666666669</v>
      </c>
      <c r="DW14">
        <v>-3.0175297619047621</v>
      </c>
      <c r="DX14">
        <v>0.52095939393939317</v>
      </c>
      <c r="DY14">
        <v>-3.0028215798520925</v>
      </c>
      <c r="DZ14">
        <v>4703</v>
      </c>
      <c r="EA14">
        <v>-3.0002247324852842</v>
      </c>
      <c r="EB14">
        <v>3</v>
      </c>
      <c r="EC14">
        <v>5.3140312270141182E-2</v>
      </c>
      <c r="ED14">
        <v>0.33014731833638805</v>
      </c>
      <c r="EE14" s="12">
        <v>-4.0285099999999998</v>
      </c>
      <c r="EF14">
        <v>-4.0502099999999999</v>
      </c>
      <c r="EG14">
        <v>36.160959393939393</v>
      </c>
      <c r="EH14" t="s">
        <v>887</v>
      </c>
      <c r="EI14">
        <v>0</v>
      </c>
      <c r="EJ14">
        <v>0</v>
      </c>
      <c r="EK14" s="14">
        <v>45470</v>
      </c>
      <c r="EL14" s="15">
        <v>-1.42</v>
      </c>
      <c r="EM14" s="15">
        <v>-6.73</v>
      </c>
      <c r="EN14" s="15">
        <v>0.26</v>
      </c>
      <c r="EO14" s="15">
        <v>6.43</v>
      </c>
      <c r="EP14" s="15">
        <v>-2.17</v>
      </c>
    </row>
    <row r="15" spans="1:146" ht="96" x14ac:dyDescent="0.25">
      <c r="A15" s="7"/>
      <c r="B15" s="7"/>
      <c r="C15" s="7" t="str">
        <f>""&amp;CHAR(10)&amp;Basic_Fundamental_Information_Constructure(F15)&amp;CHAR(10)&amp;Basic_Fundamental_Information_Concatenate("")</f>
        <v xml:space="preserve">
市值76.042732亿, 利润3.07亿; PE44.64; 平均PE10.27; 平均PEG.56, PB1.01; ROIC12.1033%; ROE16.9133%; 股利率.4946%; 毛利35.57%; 净利8.2867%; 上一年度营收增-33.89%, 利润增-78.59%; 当季营收增-8.01%, 利润增-85.52%; 过往5年营收增18.26%, 利润增22.03%
Income profile:
</v>
      </c>
      <c r="D15" t="s">
        <v>33</v>
      </c>
      <c r="E15" t="s">
        <v>5</v>
      </c>
      <c r="F15">
        <v>12.13</v>
      </c>
      <c r="G15">
        <v>3.41</v>
      </c>
      <c r="H15" t="s">
        <v>1206</v>
      </c>
      <c r="I15">
        <v>7604273200</v>
      </c>
      <c r="J15">
        <v>44.64</v>
      </c>
      <c r="K15">
        <v>1.01</v>
      </c>
      <c r="L15" t="s">
        <v>290</v>
      </c>
      <c r="M15" t="s">
        <v>1207</v>
      </c>
      <c r="N15" t="s">
        <v>1208</v>
      </c>
      <c r="O15" t="s">
        <v>1209</v>
      </c>
      <c r="P15">
        <v>-8.01</v>
      </c>
      <c r="Q15" t="s">
        <v>1210</v>
      </c>
      <c r="R15">
        <v>23170467</v>
      </c>
      <c r="S15" s="3">
        <v>-0.85540000000000005</v>
      </c>
      <c r="T15" t="s">
        <v>1211</v>
      </c>
      <c r="U15">
        <v>503442090</v>
      </c>
      <c r="V15">
        <v>626898040</v>
      </c>
      <c r="W15">
        <v>1.8</v>
      </c>
      <c r="X15">
        <v>0.17</v>
      </c>
      <c r="Y15">
        <v>2.57</v>
      </c>
      <c r="Z15" t="s">
        <v>1212</v>
      </c>
      <c r="AA15" t="s">
        <v>1213</v>
      </c>
      <c r="AB15" t="s">
        <v>814</v>
      </c>
      <c r="AC15" t="s">
        <v>60</v>
      </c>
      <c r="AD15" t="s">
        <v>14</v>
      </c>
      <c r="AE15">
        <v>50888128</v>
      </c>
      <c r="AF15" t="s">
        <v>1214</v>
      </c>
      <c r="AG15" t="s">
        <v>1215</v>
      </c>
      <c r="AH15" t="s">
        <v>1216</v>
      </c>
      <c r="AI15" t="s">
        <v>1217</v>
      </c>
      <c r="AJ15" t="s">
        <v>1218</v>
      </c>
      <c r="AK15" t="s">
        <v>869</v>
      </c>
      <c r="AL15" t="s">
        <v>1219</v>
      </c>
      <c r="AM15" t="s">
        <v>14</v>
      </c>
      <c r="AN15" t="s">
        <v>1220</v>
      </c>
      <c r="AO15" t="s">
        <v>1221</v>
      </c>
      <c r="AP15" t="s">
        <v>1222</v>
      </c>
      <c r="AQ15" t="s">
        <v>1223</v>
      </c>
      <c r="AR15" t="s">
        <v>14</v>
      </c>
      <c r="AS15" t="s">
        <v>1224</v>
      </c>
      <c r="AT15" t="s">
        <v>1225</v>
      </c>
      <c r="AU15" t="s">
        <v>1226</v>
      </c>
      <c r="AV15" t="s">
        <v>1227</v>
      </c>
      <c r="AW15" t="s">
        <v>1228</v>
      </c>
      <c r="AX15" t="s">
        <v>623</v>
      </c>
      <c r="AY15" t="s">
        <v>373</v>
      </c>
      <c r="AZ15" t="s">
        <v>207</v>
      </c>
      <c r="BA15" t="s">
        <v>208</v>
      </c>
      <c r="BB15" t="s">
        <v>209</v>
      </c>
      <c r="BC15" t="s">
        <v>553</v>
      </c>
      <c r="BD15" t="s">
        <v>374</v>
      </c>
      <c r="BE15" t="s">
        <v>135</v>
      </c>
      <c r="BF15" t="s">
        <v>52</v>
      </c>
      <c r="BG15" t="s">
        <v>188</v>
      </c>
      <c r="BH15" t="s">
        <v>1210</v>
      </c>
      <c r="BI15" t="s">
        <v>1229</v>
      </c>
      <c r="BJ15" t="s">
        <v>623</v>
      </c>
      <c r="BK15" t="s">
        <v>1211</v>
      </c>
      <c r="BL15" t="s">
        <v>372</v>
      </c>
      <c r="BM15" t="s">
        <v>553</v>
      </c>
      <c r="BN15">
        <v>6.02</v>
      </c>
      <c r="BO15">
        <v>14.95</v>
      </c>
      <c r="BP15">
        <v>15.34</v>
      </c>
      <c r="BQ15">
        <v>6.95</v>
      </c>
      <c r="BR15">
        <v>21.73</v>
      </c>
      <c r="BS15">
        <v>22.06</v>
      </c>
      <c r="BT15" t="s">
        <v>1230</v>
      </c>
      <c r="BU15" t="s">
        <v>456</v>
      </c>
      <c r="BV15">
        <v>31.29</v>
      </c>
      <c r="BW15">
        <v>37.159999999999997</v>
      </c>
      <c r="BX15">
        <v>38.26</v>
      </c>
      <c r="BY15">
        <v>4.34</v>
      </c>
      <c r="BZ15">
        <v>9.18</v>
      </c>
      <c r="CA15">
        <v>11.34</v>
      </c>
      <c r="CB15">
        <v>1.08</v>
      </c>
      <c r="CC15">
        <v>-11.52</v>
      </c>
      <c r="CD15" t="s">
        <v>1231</v>
      </c>
      <c r="CE15" t="s">
        <v>233</v>
      </c>
      <c r="CF15" s="9">
        <v>-8.0136138613861388E-2</v>
      </c>
      <c r="CG15" s="10">
        <v>-0.85518458124999996</v>
      </c>
      <c r="CH15" s="9">
        <v>-0.3389211893081665</v>
      </c>
      <c r="CI15" s="9">
        <v>0.55025601387023926</v>
      </c>
      <c r="CJ15" s="9">
        <v>0.22856605052947998</v>
      </c>
      <c r="CK15" s="9">
        <v>0.25978937745094299</v>
      </c>
      <c r="CL15" s="9">
        <v>0.21329124271869659</v>
      </c>
      <c r="CM15" s="10">
        <v>-0.78591358661651611</v>
      </c>
      <c r="CN15" s="10">
        <v>0.23301799595355988</v>
      </c>
      <c r="CO15" s="10">
        <v>0.44831889867782593</v>
      </c>
      <c r="CP15" s="10">
        <v>1.3141210079193115</v>
      </c>
      <c r="CQ15" s="10">
        <v>-0.10796914994716644</v>
      </c>
      <c r="CR15">
        <v>10.269106279540852</v>
      </c>
      <c r="CS15">
        <v>0.56239399882924201</v>
      </c>
      <c r="CT15">
        <v>0.49464138499587795</v>
      </c>
      <c r="CU15" s="9">
        <v>0.18259629905223845</v>
      </c>
      <c r="CV15" s="10">
        <v>0.22031503319740295</v>
      </c>
      <c r="CW15">
        <v>0.06</v>
      </c>
      <c r="CX15">
        <v>16.730399150682501</v>
      </c>
      <c r="CY15">
        <v>342506663.97078985</v>
      </c>
      <c r="CZ15">
        <v>0.18259629905223845</v>
      </c>
      <c r="DA15">
        <v>5.0592978543149094</v>
      </c>
      <c r="DB15">
        <v>1132622226.4444933</v>
      </c>
      <c r="DC15">
        <v>0.17346648409962653</v>
      </c>
      <c r="DD15">
        <v>2.2374559349343559</v>
      </c>
      <c r="DE15">
        <v>2561066392.651938</v>
      </c>
      <c r="DF15">
        <v>0.16068474316596984</v>
      </c>
      <c r="DG15">
        <v>1.1848905541719683</v>
      </c>
      <c r="DH15">
        <v>4836120247.4134502</v>
      </c>
      <c r="DI15">
        <v>0.14607703924179077</v>
      </c>
      <c r="DJ15">
        <v>0.45686890987467982</v>
      </c>
      <c r="DK15">
        <v>12542488832.457054</v>
      </c>
      <c r="DL15">
        <v>0.12781740933656691</v>
      </c>
      <c r="DM15">
        <v>307000000</v>
      </c>
      <c r="DN15">
        <v>0.18259629905223845</v>
      </c>
      <c r="DO15">
        <v>5730273200</v>
      </c>
      <c r="DP15">
        <v>8595871000</v>
      </c>
      <c r="DQ15">
        <v>1729</v>
      </c>
      <c r="DR15">
        <v>-0.26273243766609983</v>
      </c>
      <c r="DS15">
        <v>-1.0754996144474029</v>
      </c>
      <c r="DT15" s="11">
        <v>-0.10666666666666676</v>
      </c>
      <c r="DU15">
        <v>-0.25666666666666665</v>
      </c>
      <c r="DV15">
        <v>-0.3633333333333334</v>
      </c>
      <c r="DW15">
        <v>-2.1152000000000002</v>
      </c>
      <c r="DX15">
        <v>0.33914307692307699</v>
      </c>
      <c r="DY15">
        <v>-2.0137252824615386</v>
      </c>
      <c r="DZ15">
        <v>2606</v>
      </c>
      <c r="EA15">
        <v>-2.0067256570026797</v>
      </c>
      <c r="EB15">
        <v>2</v>
      </c>
      <c r="EC15">
        <v>6.1766822560172623E-2</v>
      </c>
      <c r="ED15">
        <v>0.51842561192247472</v>
      </c>
      <c r="EE15" s="12">
        <v>-2.0104099999999998</v>
      </c>
      <c r="EF15">
        <v>-2.0377100000000001</v>
      </c>
      <c r="EG15">
        <v>22.119143076923077</v>
      </c>
      <c r="EH15" t="s">
        <v>776</v>
      </c>
      <c r="EI15">
        <v>0</v>
      </c>
      <c r="EJ15">
        <v>0</v>
      </c>
      <c r="EK15" s="14">
        <v>45470</v>
      </c>
      <c r="EL15" s="15">
        <v>-1.94</v>
      </c>
      <c r="EM15" s="15">
        <v>-2.48</v>
      </c>
      <c r="EN15" s="15">
        <v>0.34</v>
      </c>
      <c r="EO15" s="15">
        <v>5.15</v>
      </c>
      <c r="EP15" s="15">
        <v>-2.73</v>
      </c>
    </row>
    <row r="16" spans="1:146" ht="181" customHeight="1" x14ac:dyDescent="0.25">
      <c r="A16" s="7" t="s">
        <v>824</v>
      </c>
      <c r="B16" s="7"/>
      <c r="C16" s="7" t="str">
        <f>"公司专注于为新药研发提供临床试验全过程专业服务的合同研究组织(CRO)，为全球医药和医疗器械创新企业提供全面而综合的临床研究解决方案。主要产品为临床试验技术服务、临床试验相关服务及实验室服务等。"&amp;CHAR(10)&amp;Basic_Fundamental_Information_Constructure(F16)&amp;CHAR(10)&amp;Basic_Fundamental_Information_Concatenate("(境外业务47%)
临床试验技术服务 21.72亿 60.43% 56.50% 37.12%
临床试验相关服务及实验室服务 13.81亿 38.41% 41.97% 43.37%")</f>
        <v>公司专注于为新药研发提供临床试验全过程专业服务的合同研究组织(CRO)，为全球医药和医疗器械创新企业提供全面而综合的临床研究解决方案。主要产品为临床试验技术服务、临床试验相关服务及实验室服务等。
市值441.98872亿, 利润20.25亿; PE26.13; 平均PE26.6; 平均PEG.96, PB2.11; ROIC10.8733%; ROE12.2267%; 股利率1.1115%; 毛利40.59%; 净利42.08%; 上一年度营收增4.22%, 利润增.9%; 当季营收增-8.03%, 利润增-58.61%; 过往5年营收增27.83%, 利润增44.24%
Income profile:
(境外业务47%)
临床试验技术服务 21.72亿 60.43% 56.50% 37.12%
临床试验相关服务及实验室服务 13.81亿 38.41% 41.97% 43.37%</v>
      </c>
      <c r="D16" t="s">
        <v>28</v>
      </c>
      <c r="E16" t="s">
        <v>8</v>
      </c>
      <c r="F16">
        <v>51.1</v>
      </c>
      <c r="G16">
        <v>7.92</v>
      </c>
      <c r="H16" t="s">
        <v>1232</v>
      </c>
      <c r="I16">
        <v>44198872000</v>
      </c>
      <c r="J16">
        <v>26.13</v>
      </c>
      <c r="K16">
        <v>2.11</v>
      </c>
      <c r="L16" t="s">
        <v>290</v>
      </c>
      <c r="M16" t="s">
        <v>1233</v>
      </c>
      <c r="N16" t="s">
        <v>1234</v>
      </c>
      <c r="O16" t="s">
        <v>1235</v>
      </c>
      <c r="P16">
        <v>-8</v>
      </c>
      <c r="Q16" t="s">
        <v>1236</v>
      </c>
      <c r="R16">
        <v>235072000</v>
      </c>
      <c r="S16" s="3">
        <v>-0.58650000000000002</v>
      </c>
      <c r="T16" t="s">
        <v>1237</v>
      </c>
      <c r="U16">
        <v>570136730</v>
      </c>
      <c r="V16">
        <v>864948570</v>
      </c>
      <c r="W16">
        <v>1.23</v>
      </c>
      <c r="X16">
        <v>0.06</v>
      </c>
      <c r="Y16">
        <v>18.829999999999998</v>
      </c>
      <c r="Z16" t="s">
        <v>1238</v>
      </c>
      <c r="AA16" t="s">
        <v>839</v>
      </c>
      <c r="AB16" t="s">
        <v>1239</v>
      </c>
      <c r="AC16" t="s">
        <v>64</v>
      </c>
      <c r="AD16" t="s">
        <v>14</v>
      </c>
      <c r="AE16">
        <v>-21920358</v>
      </c>
      <c r="AF16" t="s">
        <v>1240</v>
      </c>
      <c r="AG16" t="s">
        <v>1241</v>
      </c>
      <c r="AH16" t="s">
        <v>1242</v>
      </c>
      <c r="AI16" t="s">
        <v>1243</v>
      </c>
      <c r="AJ16" t="s">
        <v>1244</v>
      </c>
      <c r="AK16" t="s">
        <v>1245</v>
      </c>
      <c r="AL16" t="s">
        <v>1246</v>
      </c>
      <c r="AM16" t="s">
        <v>14</v>
      </c>
      <c r="AN16" t="s">
        <v>1247</v>
      </c>
      <c r="AO16" t="s">
        <v>1248</v>
      </c>
      <c r="AP16" t="s">
        <v>1249</v>
      </c>
      <c r="AQ16" t="s">
        <v>99</v>
      </c>
      <c r="AR16" t="s">
        <v>14</v>
      </c>
      <c r="AS16" t="s">
        <v>1250</v>
      </c>
      <c r="AT16" t="s">
        <v>1251</v>
      </c>
      <c r="AU16" t="s">
        <v>1252</v>
      </c>
      <c r="AV16" t="s">
        <v>1253</v>
      </c>
      <c r="AW16" t="s">
        <v>1254</v>
      </c>
      <c r="AX16" t="s">
        <v>625</v>
      </c>
      <c r="AY16" t="s">
        <v>376</v>
      </c>
      <c r="AZ16" t="s">
        <v>216</v>
      </c>
      <c r="BA16" t="s">
        <v>218</v>
      </c>
      <c r="BB16" t="s">
        <v>219</v>
      </c>
      <c r="BC16" t="s">
        <v>626</v>
      </c>
      <c r="BD16" t="s">
        <v>377</v>
      </c>
      <c r="BE16" t="s">
        <v>217</v>
      </c>
      <c r="BF16" t="s">
        <v>220</v>
      </c>
      <c r="BG16" t="s">
        <v>212</v>
      </c>
      <c r="BH16" t="s">
        <v>1236</v>
      </c>
      <c r="BI16" t="s">
        <v>1255</v>
      </c>
      <c r="BJ16" t="s">
        <v>625</v>
      </c>
      <c r="BK16" t="s">
        <v>1237</v>
      </c>
      <c r="BL16" t="s">
        <v>1256</v>
      </c>
      <c r="BM16" t="s">
        <v>626</v>
      </c>
      <c r="BN16">
        <v>7.33</v>
      </c>
      <c r="BO16">
        <v>9.2200000000000006</v>
      </c>
      <c r="BP16">
        <v>16.07</v>
      </c>
      <c r="BQ16">
        <v>9.2100000000000009</v>
      </c>
      <c r="BR16">
        <v>10.72</v>
      </c>
      <c r="BS16">
        <v>16.75</v>
      </c>
      <c r="BT16" t="s">
        <v>1257</v>
      </c>
      <c r="BU16" t="s">
        <v>501</v>
      </c>
      <c r="BV16">
        <v>38.58</v>
      </c>
      <c r="BW16">
        <v>39.64</v>
      </c>
      <c r="BX16">
        <v>43.55</v>
      </c>
      <c r="BY16">
        <v>29.12</v>
      </c>
      <c r="BZ16">
        <v>32.06</v>
      </c>
      <c r="CA16">
        <v>65.06</v>
      </c>
      <c r="CB16">
        <v>5.14</v>
      </c>
      <c r="CC16">
        <v>-7.28</v>
      </c>
      <c r="CD16" t="s">
        <v>1258</v>
      </c>
      <c r="CE16" t="s">
        <v>99</v>
      </c>
      <c r="CF16" s="9">
        <v>-8.033240997229904E-2</v>
      </c>
      <c r="CG16" s="10">
        <v>-0.58614084507042252</v>
      </c>
      <c r="CH16" s="9">
        <v>4.2201805859804153E-2</v>
      </c>
      <c r="CI16" s="9">
        <v>0.35884159803390503</v>
      </c>
      <c r="CJ16" s="9">
        <v>0.63345867395401001</v>
      </c>
      <c r="CK16" s="9">
        <v>0.13877984881401062</v>
      </c>
      <c r="CL16" s="9">
        <v>0.21816608309745789</v>
      </c>
      <c r="CM16" s="10">
        <v>8.9685460552573204E-3</v>
      </c>
      <c r="CN16" s="10">
        <v>-0.30167010426521301</v>
      </c>
      <c r="CO16" s="10">
        <v>0.64228564500808716</v>
      </c>
      <c r="CP16" s="10">
        <v>1.0783847570419312</v>
      </c>
      <c r="CQ16" s="10">
        <v>0.78389829397201538</v>
      </c>
      <c r="CR16">
        <v>26.599120561685055</v>
      </c>
      <c r="CS16">
        <v>0.9558072013875839</v>
      </c>
      <c r="CT16">
        <v>1.111545988258317</v>
      </c>
      <c r="CU16" s="9">
        <v>0.27828960195183755</v>
      </c>
      <c r="CV16" s="10">
        <v>0.4423734275624156</v>
      </c>
      <c r="CW16">
        <v>0.06</v>
      </c>
      <c r="CX16">
        <v>10.193576521453252</v>
      </c>
      <c r="CY16">
        <v>2442015513.1627083</v>
      </c>
      <c r="CZ16">
        <v>0.27828960195183755</v>
      </c>
      <c r="DA16">
        <v>2.8503630150406889</v>
      </c>
      <c r="DB16">
        <v>8733228668.996273</v>
      </c>
      <c r="DC16">
        <v>0.26437512185424566</v>
      </c>
      <c r="DD16">
        <v>1.1242449519534874</v>
      </c>
      <c r="DE16">
        <v>22141857925.842728</v>
      </c>
      <c r="DF16">
        <v>0.24489484971761705</v>
      </c>
      <c r="DG16">
        <v>0.51619484646410685</v>
      </c>
      <c r="DH16">
        <v>48223790242.21991</v>
      </c>
      <c r="DI16">
        <v>0.22263168156147006</v>
      </c>
      <c r="DJ16">
        <v>0.13925066409708614</v>
      </c>
      <c r="DK16">
        <v>178763039741.37305</v>
      </c>
      <c r="DL16">
        <v>0.19480272136628626</v>
      </c>
      <c r="DM16">
        <v>2025000000</v>
      </c>
      <c r="DN16">
        <v>0.27828960195183755</v>
      </c>
      <c r="DO16">
        <v>24892872000</v>
      </c>
      <c r="DP16">
        <v>7197670900</v>
      </c>
      <c r="DQ16">
        <v>1825</v>
      </c>
      <c r="DR16">
        <v>-0.35862201192413656</v>
      </c>
      <c r="DS16">
        <v>-1.028514272632838</v>
      </c>
      <c r="DT16" s="11">
        <v>7.6666666666666661E-2</v>
      </c>
      <c r="DU16">
        <v>0.3299999999999999</v>
      </c>
      <c r="DV16">
        <v>0.40666666666666657</v>
      </c>
      <c r="DW16">
        <v>6.4138486312399356</v>
      </c>
      <c r="DX16">
        <v>0.81560862745098295</v>
      </c>
      <c r="DY16">
        <v>6.0602599311673142</v>
      </c>
      <c r="DZ16">
        <v>864</v>
      </c>
      <c r="EA16">
        <v>6.050071167854485</v>
      </c>
      <c r="EB16">
        <v>6</v>
      </c>
      <c r="EC16">
        <v>4.2927639038700303E-2</v>
      </c>
      <c r="ED16">
        <v>0.29481521658565196</v>
      </c>
      <c r="EE16" s="12">
        <v>2.0221100000000001</v>
      </c>
      <c r="EF16">
        <v>2.0390100000000002</v>
      </c>
      <c r="EG16">
        <v>67.145608627450983</v>
      </c>
      <c r="EH16" t="s">
        <v>588</v>
      </c>
      <c r="EI16">
        <v>0</v>
      </c>
      <c r="EJ16">
        <v>1</v>
      </c>
      <c r="EK16" s="14">
        <v>45470</v>
      </c>
      <c r="EL16" s="15">
        <v>0.91</v>
      </c>
      <c r="EM16" s="15">
        <v>-0.71</v>
      </c>
      <c r="EN16" s="15">
        <v>-2.2999999999999998</v>
      </c>
      <c r="EO16" s="15">
        <v>0.65</v>
      </c>
      <c r="EP16" s="15">
        <v>-1.69</v>
      </c>
    </row>
    <row r="17" spans="1:146" ht="168" x14ac:dyDescent="0.25">
      <c r="A17" s="7" t="s">
        <v>828</v>
      </c>
      <c r="B17" s="7" t="s">
        <v>829</v>
      </c>
      <c r="C17" s="7" t="str">
        <f>"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amp;CHAR(10)&amp;Basic_Fundamental_Information_Constructure(F17)&amp;CHAR(10)&amp;Basic_Fundamental_Information_Concatenate("(国外占比96%)
临床后期及商业化业务 35.80亿 91.46% 98.80% 56.57%
其他业务 3.34亿 8.54% 1.20% 7.35%")</f>
        <v>公司的主营业务是化学原料药CDMO、化学制剂CDMO、生物CDMO业务。主要致力于为全球制药公司、新药研发机构等提供从临床前到临床试验直至药品上市全生命周期所需的化学原料药、化学制剂及生物药的定制研发和定制生产服务
市值64.54167亿, 利润2.67亿; PE; 平均PE11.29; 平均PEG.29, PB1.14; ROIC15.9733%; ROE20.7167%; 股利率4.1201%; 毛利44.67%; 净利15.88%; 上一年度营收增-47.87%, 利润增-86.68%; 当季营收增-50.8%, 利润增-131.21%; 过往5年营收增38.61%, 利润增76.37%
Income profile:
(国外占比96%)
临床后期及商业化业务 35.80亿 91.46% 98.80% 56.57%
其他业务 3.34亿 8.54% 1.20% 7.35%</v>
      </c>
      <c r="D17" t="s">
        <v>305</v>
      </c>
      <c r="E17" t="s">
        <v>306</v>
      </c>
      <c r="F17">
        <v>11.82</v>
      </c>
      <c r="G17">
        <v>4.2300000000000004</v>
      </c>
      <c r="H17" t="s">
        <v>1259</v>
      </c>
      <c r="I17">
        <v>6454167000</v>
      </c>
      <c r="K17">
        <v>1.1399999999999999</v>
      </c>
      <c r="L17" t="s">
        <v>290</v>
      </c>
      <c r="M17" t="s">
        <v>1260</v>
      </c>
      <c r="N17" t="s">
        <v>1261</v>
      </c>
      <c r="O17" t="s">
        <v>1262</v>
      </c>
      <c r="P17">
        <v>-50.81</v>
      </c>
      <c r="Q17" t="s">
        <v>1263</v>
      </c>
      <c r="R17">
        <v>-94870808</v>
      </c>
      <c r="S17" s="3">
        <v>-1.3120000000000001</v>
      </c>
      <c r="T17" t="s">
        <v>816</v>
      </c>
      <c r="U17">
        <v>500502020</v>
      </c>
      <c r="V17">
        <v>546037820</v>
      </c>
      <c r="W17">
        <v>1.55</v>
      </c>
      <c r="X17">
        <v>7.0000000000000007E-2</v>
      </c>
      <c r="Y17">
        <v>-18.350000000000001</v>
      </c>
      <c r="Z17" t="s">
        <v>1264</v>
      </c>
      <c r="AA17" t="s">
        <v>1265</v>
      </c>
      <c r="AB17" t="s">
        <v>1266</v>
      </c>
      <c r="AC17" t="s">
        <v>847</v>
      </c>
      <c r="AD17" t="s">
        <v>14</v>
      </c>
      <c r="AE17">
        <v>3267152</v>
      </c>
      <c r="AF17" t="s">
        <v>1267</v>
      </c>
      <c r="AG17" t="s">
        <v>1268</v>
      </c>
      <c r="AH17" t="s">
        <v>1269</v>
      </c>
      <c r="AI17" t="s">
        <v>1270</v>
      </c>
      <c r="AJ17" t="s">
        <v>1271</v>
      </c>
      <c r="AK17" t="s">
        <v>14</v>
      </c>
      <c r="AL17" t="s">
        <v>1272</v>
      </c>
      <c r="AM17" t="s">
        <v>14</v>
      </c>
      <c r="AN17" t="s">
        <v>346</v>
      </c>
      <c r="AO17" t="s">
        <v>1273</v>
      </c>
      <c r="AP17" t="s">
        <v>234</v>
      </c>
      <c r="AQ17" t="s">
        <v>817</v>
      </c>
      <c r="AR17" t="s">
        <v>14</v>
      </c>
      <c r="AS17" t="s">
        <v>1274</v>
      </c>
      <c r="AT17" t="s">
        <v>843</v>
      </c>
      <c r="AU17" t="s">
        <v>1275</v>
      </c>
      <c r="AV17" t="s">
        <v>880</v>
      </c>
      <c r="AW17" t="s">
        <v>1276</v>
      </c>
      <c r="AX17" t="s">
        <v>627</v>
      </c>
      <c r="AY17" t="s">
        <v>325</v>
      </c>
      <c r="AZ17" t="s">
        <v>226</v>
      </c>
      <c r="BA17" t="s">
        <v>214</v>
      </c>
      <c r="BB17" t="s">
        <v>308</v>
      </c>
      <c r="BC17" t="s">
        <v>628</v>
      </c>
      <c r="BD17" t="s">
        <v>378</v>
      </c>
      <c r="BE17" t="s">
        <v>134</v>
      </c>
      <c r="BF17" t="s">
        <v>97</v>
      </c>
      <c r="BG17" t="s">
        <v>147</v>
      </c>
      <c r="BH17" t="s">
        <v>1263</v>
      </c>
      <c r="BI17" t="s">
        <v>791</v>
      </c>
      <c r="BJ17" t="s">
        <v>627</v>
      </c>
      <c r="BK17" t="s">
        <v>816</v>
      </c>
      <c r="BL17" t="s">
        <v>215</v>
      </c>
      <c r="BM17" t="s">
        <v>628</v>
      </c>
      <c r="BN17">
        <v>4.72</v>
      </c>
      <c r="BO17">
        <v>32.020000000000003</v>
      </c>
      <c r="BP17">
        <v>11.18</v>
      </c>
      <c r="BQ17">
        <v>7.63</v>
      </c>
      <c r="BR17">
        <v>40.31</v>
      </c>
      <c r="BS17">
        <v>14.21</v>
      </c>
      <c r="BT17" t="s">
        <v>1277</v>
      </c>
      <c r="BU17" t="s">
        <v>501</v>
      </c>
      <c r="BV17">
        <v>40.69</v>
      </c>
      <c r="BW17">
        <v>51.96</v>
      </c>
      <c r="BX17">
        <v>41.36</v>
      </c>
      <c r="BY17">
        <v>4.79</v>
      </c>
      <c r="BZ17">
        <v>27.53</v>
      </c>
      <c r="CA17">
        <v>15.32</v>
      </c>
      <c r="CB17">
        <v>-1.0900000000000001</v>
      </c>
      <c r="CC17">
        <v>-21.22</v>
      </c>
      <c r="CD17" t="s">
        <v>1278</v>
      </c>
      <c r="CE17" t="s">
        <v>814</v>
      </c>
      <c r="CF17" s="9">
        <v>-0.5079825834542816</v>
      </c>
      <c r="CG17" s="10">
        <v>-1.3120750263157894</v>
      </c>
      <c r="CH17" s="9">
        <v>-0.47874909639358521</v>
      </c>
      <c r="CI17" s="9">
        <v>1.2657004594802856</v>
      </c>
      <c r="CJ17" s="9">
        <v>0.49855208396911621</v>
      </c>
      <c r="CK17" s="9">
        <v>0.33591225743293762</v>
      </c>
      <c r="CL17" s="9">
        <v>0.3088608980178833</v>
      </c>
      <c r="CM17" s="10">
        <v>-0.86683285236358643</v>
      </c>
      <c r="CN17" s="10">
        <v>2.8263356685638428</v>
      </c>
      <c r="CO17" s="10">
        <v>0.61728394031524658</v>
      </c>
      <c r="CP17" s="10">
        <v>0.74193549156188965</v>
      </c>
      <c r="CQ17" s="10">
        <v>0.5</v>
      </c>
      <c r="CR17">
        <v>11.290088046647231</v>
      </c>
      <c r="CS17">
        <v>0.29244741484163556</v>
      </c>
      <c r="CT17">
        <v>4.1201353637901859</v>
      </c>
      <c r="CU17" s="9">
        <v>0.38605532050132751</v>
      </c>
      <c r="CV17" s="10">
        <v>0.76374444961547849</v>
      </c>
      <c r="CW17">
        <v>0.06</v>
      </c>
      <c r="CX17">
        <v>10.853199496341919</v>
      </c>
      <c r="CY17">
        <v>349129028.84325886</v>
      </c>
      <c r="CZ17">
        <v>0.38605532050132751</v>
      </c>
      <c r="DA17">
        <v>2.7851013383142265</v>
      </c>
      <c r="DB17">
        <v>1360513151.845856</v>
      </c>
      <c r="DC17">
        <v>0.36675255447626109</v>
      </c>
      <c r="DD17">
        <v>0.96321715190628321</v>
      </c>
      <c r="DE17">
        <v>3933865787.6896582</v>
      </c>
      <c r="DF17">
        <v>0.33972868204116824</v>
      </c>
      <c r="DG17">
        <v>0.37278152539193343</v>
      </c>
      <c r="DH17">
        <v>10164578290.23625</v>
      </c>
      <c r="DI17">
        <v>0.30884425640106206</v>
      </c>
      <c r="DJ17">
        <v>6.4725538980400552E-2</v>
      </c>
      <c r="DK17">
        <v>58542069478.129677</v>
      </c>
      <c r="DL17">
        <v>0.27023872435092922</v>
      </c>
      <c r="DM17">
        <v>267000000</v>
      </c>
      <c r="DN17">
        <v>0.38605532050132751</v>
      </c>
      <c r="DO17">
        <v>3789167000</v>
      </c>
      <c r="DP17">
        <v>2042020400</v>
      </c>
      <c r="DQ17">
        <v>1838</v>
      </c>
      <c r="DR17">
        <v>-0.89403790395560911</v>
      </c>
      <c r="DS17">
        <v>-2.0758194759312678</v>
      </c>
      <c r="DT17" s="11">
        <v>4.3333333333333224E-2</v>
      </c>
      <c r="DU17">
        <v>-0.31500000000000006</v>
      </c>
      <c r="DV17">
        <v>-0.27166666666666683</v>
      </c>
      <c r="DW17">
        <v>-3.0590357142857143</v>
      </c>
      <c r="DX17">
        <v>0.51849961685823842</v>
      </c>
      <c r="DY17">
        <v>-3.008766780952381</v>
      </c>
      <c r="DZ17">
        <v>2360</v>
      </c>
      <c r="EA17">
        <v>-3.0047179349548041</v>
      </c>
      <c r="EB17">
        <v>3</v>
      </c>
      <c r="EC17">
        <v>7.0981163905459888E-2</v>
      </c>
      <c r="ED17">
        <v>0.47798886897614529</v>
      </c>
      <c r="EE17" s="12">
        <v>2.351E-2</v>
      </c>
      <c r="EF17">
        <v>5.9810000000000002E-2</v>
      </c>
      <c r="EG17">
        <v>37.148499616858238</v>
      </c>
      <c r="EH17">
        <v>-1</v>
      </c>
      <c r="EI17">
        <v>0</v>
      </c>
      <c r="EJ17">
        <v>0</v>
      </c>
      <c r="EK17" s="14">
        <v>45470</v>
      </c>
      <c r="EL17" s="15">
        <v>5.0199999999999996</v>
      </c>
      <c r="EM17" s="15">
        <v>-6</v>
      </c>
      <c r="EN17" s="15">
        <v>-2.1</v>
      </c>
      <c r="EO17" s="15">
        <v>4.54</v>
      </c>
      <c r="EP17" s="15">
        <v>-3.63</v>
      </c>
    </row>
    <row r="18" spans="1:146" ht="156" x14ac:dyDescent="0.25">
      <c r="A18" s="7" t="s">
        <v>335</v>
      </c>
      <c r="B18" s="7" t="s">
        <v>272</v>
      </c>
      <c r="C18" s="7" t="str">
        <f>"公司主要业务是为国内外制药企业及其他研究机构就新药品、医疗器械的研发与生产提供全流程“一站式”CRO服务。公司主要服务包括临床研究服务、CDMO服务、技术成果转化服务等。"&amp;CHAR(10)&amp;Basic_Fundamental_Information_Constructure(F18)&amp;CHAR(10)&amp;Basic_Fundamental_Information_Concatenate("临床研究服务 1.15亿 65.60% 53.44% 32.37%
临床前研究服务 3017.31万 17.24% 16.29% 37.56%
其他咨询服务 2001.80万 11.43% 19.20% 66.75%")</f>
        <v>公司主要业务是为国内外制药企业及其他研究机构就新药品、医疗器械的研发与生产提供全流程“一站式”CRO服务。公司主要服务包括临床研究服务、CDMO服务、技术成果转化服务等。
市值29.124192亿, 利润2433.94万; PE100; 平均PE143.38; 平均PEG5.39, PB3.04; ROIC3.8867%; ROE4.0733%; 股利率.1312%; 毛利38.1633%; 净利8.41%; 上一年度营收增31.13%, 利润增-12.04%; 当季营收增62.14%, 利润增40.67%; 过往5年营收增26.58%, 利润增46.96%
Income profile:
临床研究服务 1.15亿 65.60% 53.44% 32.37%
临床前研究服务 3017.31万 17.24% 16.29% 37.56%
其他咨询服务 2001.80万 11.43% 19.20% 66.75%</v>
      </c>
      <c r="D18" t="s">
        <v>18</v>
      </c>
      <c r="E18" t="s">
        <v>13</v>
      </c>
      <c r="F18">
        <v>7.62</v>
      </c>
      <c r="G18">
        <v>4.0999999999999996</v>
      </c>
      <c r="H18" t="s">
        <v>1279</v>
      </c>
      <c r="I18">
        <v>2912419200</v>
      </c>
      <c r="J18">
        <v>100</v>
      </c>
      <c r="K18">
        <v>3.04</v>
      </c>
      <c r="L18" t="s">
        <v>290</v>
      </c>
      <c r="M18" t="s">
        <v>49</v>
      </c>
      <c r="N18" t="s">
        <v>1280</v>
      </c>
      <c r="O18" t="s">
        <v>800</v>
      </c>
      <c r="P18">
        <v>62.08</v>
      </c>
      <c r="Q18" t="s">
        <v>845</v>
      </c>
      <c r="R18">
        <v>16513092</v>
      </c>
      <c r="S18" s="3">
        <v>0.40670000000000001</v>
      </c>
      <c r="T18" t="s">
        <v>1281</v>
      </c>
      <c r="U18">
        <v>275570810</v>
      </c>
      <c r="V18">
        <v>382207240</v>
      </c>
      <c r="W18">
        <v>1.47</v>
      </c>
      <c r="X18">
        <v>0.12</v>
      </c>
      <c r="Y18">
        <v>10.31</v>
      </c>
      <c r="Z18" t="s">
        <v>681</v>
      </c>
      <c r="AA18" t="s">
        <v>111</v>
      </c>
      <c r="AB18" t="s">
        <v>1282</v>
      </c>
      <c r="AC18" t="s">
        <v>1283</v>
      </c>
      <c r="AD18" t="s">
        <v>14</v>
      </c>
      <c r="AE18">
        <v>-515032</v>
      </c>
      <c r="AF18" t="s">
        <v>1284</v>
      </c>
      <c r="AG18" t="s">
        <v>1285</v>
      </c>
      <c r="AH18" t="s">
        <v>1286</v>
      </c>
      <c r="AI18" t="s">
        <v>934</v>
      </c>
      <c r="AJ18" t="s">
        <v>1287</v>
      </c>
      <c r="AK18" t="s">
        <v>1288</v>
      </c>
      <c r="AL18" t="s">
        <v>1289</v>
      </c>
      <c r="AM18" t="s">
        <v>14</v>
      </c>
      <c r="AN18" t="s">
        <v>1290</v>
      </c>
      <c r="AO18" t="s">
        <v>1291</v>
      </c>
      <c r="AP18" t="s">
        <v>14</v>
      </c>
      <c r="AQ18" t="s">
        <v>825</v>
      </c>
      <c r="AR18" t="s">
        <v>14</v>
      </c>
      <c r="AS18" t="s">
        <v>578</v>
      </c>
      <c r="AT18" t="s">
        <v>1292</v>
      </c>
      <c r="AU18" t="s">
        <v>1293</v>
      </c>
      <c r="AV18" t="s">
        <v>1294</v>
      </c>
      <c r="AW18" t="s">
        <v>1295</v>
      </c>
      <c r="AX18" t="s">
        <v>554</v>
      </c>
      <c r="AY18" t="s">
        <v>134</v>
      </c>
      <c r="AZ18" t="s">
        <v>65</v>
      </c>
      <c r="BA18" t="s">
        <v>108</v>
      </c>
      <c r="BB18" t="s">
        <v>103</v>
      </c>
      <c r="BC18" t="s">
        <v>629</v>
      </c>
      <c r="BD18" t="s">
        <v>380</v>
      </c>
      <c r="BE18" t="s">
        <v>223</v>
      </c>
      <c r="BF18" t="s">
        <v>224</v>
      </c>
      <c r="BG18" t="s">
        <v>225</v>
      </c>
      <c r="BH18" t="s">
        <v>845</v>
      </c>
      <c r="BI18" t="s">
        <v>793</v>
      </c>
      <c r="BJ18" t="s">
        <v>554</v>
      </c>
      <c r="BK18" t="s">
        <v>1281</v>
      </c>
      <c r="BL18" t="s">
        <v>1296</v>
      </c>
      <c r="BM18" t="s">
        <v>629</v>
      </c>
      <c r="BN18">
        <v>2.4</v>
      </c>
      <c r="BO18">
        <v>3.06</v>
      </c>
      <c r="BP18">
        <v>6.2</v>
      </c>
      <c r="BQ18">
        <v>2.64</v>
      </c>
      <c r="BR18">
        <v>3.32</v>
      </c>
      <c r="BS18">
        <v>6.26</v>
      </c>
      <c r="BT18" t="s">
        <v>630</v>
      </c>
      <c r="BU18" t="s">
        <v>501</v>
      </c>
      <c r="BV18">
        <v>33.340000000000003</v>
      </c>
      <c r="BW18">
        <v>37.93</v>
      </c>
      <c r="BX18">
        <v>43.22</v>
      </c>
      <c r="BY18">
        <v>4.8899999999999997</v>
      </c>
      <c r="BZ18">
        <v>6.92</v>
      </c>
      <c r="CA18">
        <v>13.42</v>
      </c>
      <c r="CB18">
        <v>-4.87</v>
      </c>
      <c r="CC18">
        <v>0.13</v>
      </c>
      <c r="CD18" t="s">
        <v>547</v>
      </c>
      <c r="CE18" t="s">
        <v>865</v>
      </c>
      <c r="CF18" s="9">
        <v>0.62135922330097082</v>
      </c>
      <c r="CG18" s="10">
        <v>0.40674634748903182</v>
      </c>
      <c r="CH18" s="9">
        <v>0.31132075190544128</v>
      </c>
      <c r="CI18" s="9">
        <v>0.30864197015762329</v>
      </c>
      <c r="CJ18" s="9">
        <v>0.24615384638309479</v>
      </c>
      <c r="CK18" s="9">
        <v>0.1607142835855484</v>
      </c>
      <c r="CL18" s="9">
        <v>0.30232557654380798</v>
      </c>
      <c r="CM18" s="10">
        <v>-0.12035273760557175</v>
      </c>
      <c r="CN18" s="10">
        <v>-0.28837618231773376</v>
      </c>
      <c r="CO18" s="10">
        <v>1.2887229919433594</v>
      </c>
      <c r="CP18" s="10">
        <v>1.5769195556640625</v>
      </c>
      <c r="CQ18" s="10">
        <v>-0.10909606516361237</v>
      </c>
      <c r="CR18">
        <v>143.38393169237941</v>
      </c>
      <c r="CS18">
        <v>5.3937944627799341</v>
      </c>
      <c r="CT18">
        <v>0.13123359580052493</v>
      </c>
      <c r="CU18" s="9">
        <v>0.26583128571510317</v>
      </c>
      <c r="CV18" s="10">
        <v>0.46956351250410078</v>
      </c>
      <c r="CW18">
        <v>0.06</v>
      </c>
      <c r="CX18">
        <v>81.794845730917316</v>
      </c>
      <c r="CY18">
        <v>29065635.844843563</v>
      </c>
      <c r="CZ18">
        <v>0.26583128571510317</v>
      </c>
      <c r="DA18">
        <v>23.103616104597322</v>
      </c>
      <c r="DB18">
        <v>102902471.5973758</v>
      </c>
      <c r="DC18">
        <v>0.252539721429348</v>
      </c>
      <c r="DD18">
        <v>9.2507844276151054</v>
      </c>
      <c r="DE18">
        <v>256996497.82163498</v>
      </c>
      <c r="DF18">
        <v>0.2339315314292908</v>
      </c>
      <c r="DG18">
        <v>4.3296325713483466</v>
      </c>
      <c r="DH18">
        <v>549104147.01994383</v>
      </c>
      <c r="DI18">
        <v>0.21266502857208255</v>
      </c>
      <c r="DJ18">
        <v>1.2264356959957037</v>
      </c>
      <c r="DK18">
        <v>1938478476.9085264</v>
      </c>
      <c r="DL18">
        <v>0.1860819000005722</v>
      </c>
      <c r="DM18">
        <v>24339400</v>
      </c>
      <c r="DN18">
        <v>0.26583128571510317</v>
      </c>
      <c r="DO18">
        <v>2377419200</v>
      </c>
      <c r="DP18">
        <v>455383090</v>
      </c>
      <c r="DQ18">
        <v>1876</v>
      </c>
      <c r="DR18">
        <v>0.35552793758586765</v>
      </c>
      <c r="DS18">
        <v>-6.2817165015068954E-2</v>
      </c>
      <c r="DT18" s="11">
        <v>0.22666666666666657</v>
      </c>
      <c r="DU18">
        <v>0.56999999999999995</v>
      </c>
      <c r="DV18">
        <v>0.79666666666666652</v>
      </c>
      <c r="DW18">
        <v>-4.0266940451745379</v>
      </c>
      <c r="DX18">
        <v>0.41790322580645195</v>
      </c>
      <c r="DY18">
        <v>-4.0063505994568454</v>
      </c>
      <c r="DZ18">
        <v>356</v>
      </c>
      <c r="EA18">
        <v>-4.0059081702187562</v>
      </c>
      <c r="EB18">
        <v>4</v>
      </c>
      <c r="EC18">
        <v>0.30873303184942286</v>
      </c>
      <c r="ED18">
        <v>1.297725286417913</v>
      </c>
      <c r="EE18" s="12">
        <v>-5.02921</v>
      </c>
      <c r="EF18">
        <v>-5.0515100000000004</v>
      </c>
      <c r="EG18">
        <v>18.237903225806452</v>
      </c>
      <c r="EH18" t="s">
        <v>1136</v>
      </c>
      <c r="EI18">
        <v>0</v>
      </c>
      <c r="EJ18">
        <v>1</v>
      </c>
      <c r="EK18" s="14">
        <v>45470</v>
      </c>
      <c r="EL18" s="15">
        <v>-3.79</v>
      </c>
      <c r="EM18" s="15">
        <v>-3.32</v>
      </c>
      <c r="EN18" s="15">
        <v>3.69</v>
      </c>
      <c r="EO18" s="15">
        <v>-0.86</v>
      </c>
      <c r="EP18" s="15">
        <v>-2.23</v>
      </c>
    </row>
    <row r="19" spans="1:146" ht="216" x14ac:dyDescent="0.25">
      <c r="A19" s="7"/>
      <c r="B19" s="7" t="s">
        <v>582</v>
      </c>
      <c r="C19" s="7" t="str">
        <f>"公司主营业务为通过基因检测、质谱检测、生物信息分析等多组学大数据技术手段，为科研机构、企事业单位、医疗机构、社会卫生组织等提供研究服务和精准医学检测综合解决方案"&amp;CHAR(10)&amp;Basic_Fundamental_Information_Constructure(F19)&amp;CHAR(10)&amp;Basic_Fundamental_Information_Concatenate("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f>
        <v>公司主营业务为通过基因检测、质谱检测、生物信息分析等多组学大数据技术手段，为科研机构、企事业单位、医疗机构、社会卫生组织等提供研究服务和精准医学检测综合解决方案
市值144.2485亿, 利润9290.04万; PE225.1; 平均PE16.93; 平均PEG.54, PB1.45; ROIC7.97%; ROE8.7867%; 股利率.2883%; 毛利53.45%; 净利11.8267%; 上一年度营收增-38.32%, 利润增-88.43%; 当季营收增-14.03%, 利润增-69.91%; 过往5年营收增31.36%, 利润增93%
Income profile:
精准医学检测综合解决方案 55.62亿 66.24%（毛利66.54%）
生育健康基础研究和临床应用服务 11.78亿 14.03%（毛利57.53%）
感染防控基础研究和临床应用服务 6.70亿 7.97%（毛利55.54%）
多组学大数据服务与合成业务 6.26亿 7.45%
肿瘤防控及转化医学类服务 3.51亿 4.18%</v>
      </c>
      <c r="D19" t="s">
        <v>502</v>
      </c>
      <c r="E19" t="s">
        <v>503</v>
      </c>
      <c r="F19">
        <v>34.69</v>
      </c>
      <c r="G19">
        <v>2.6</v>
      </c>
      <c r="H19" t="s">
        <v>1297</v>
      </c>
      <c r="I19">
        <v>14424850000</v>
      </c>
      <c r="J19">
        <v>225.1</v>
      </c>
      <c r="K19">
        <v>1.45</v>
      </c>
      <c r="L19" t="s">
        <v>290</v>
      </c>
      <c r="M19" t="s">
        <v>1298</v>
      </c>
      <c r="N19" t="s">
        <v>1299</v>
      </c>
      <c r="O19" t="s">
        <v>131</v>
      </c>
      <c r="P19">
        <v>-13.99</v>
      </c>
      <c r="Q19" t="s">
        <v>1300</v>
      </c>
      <c r="R19">
        <v>12402522</v>
      </c>
      <c r="S19" s="3">
        <v>-0.69910000000000005</v>
      </c>
      <c r="T19" t="s">
        <v>1301</v>
      </c>
      <c r="U19">
        <v>412836400</v>
      </c>
      <c r="V19">
        <v>415821580</v>
      </c>
      <c r="W19">
        <v>1.34</v>
      </c>
      <c r="X19">
        <v>0.06</v>
      </c>
      <c r="Y19">
        <v>1.48</v>
      </c>
      <c r="Z19" t="s">
        <v>844</v>
      </c>
      <c r="AA19" t="s">
        <v>1302</v>
      </c>
      <c r="AB19" t="s">
        <v>1303</v>
      </c>
      <c r="AC19" t="s">
        <v>1304</v>
      </c>
      <c r="AD19" t="s">
        <v>14</v>
      </c>
      <c r="AE19">
        <v>-10197285</v>
      </c>
      <c r="AF19" t="s">
        <v>1305</v>
      </c>
      <c r="AG19" t="s">
        <v>1306</v>
      </c>
      <c r="AH19" t="s">
        <v>1307</v>
      </c>
      <c r="AI19" t="s">
        <v>1250</v>
      </c>
      <c r="AJ19" t="s">
        <v>1308</v>
      </c>
      <c r="AK19" t="s">
        <v>1309</v>
      </c>
      <c r="AL19" t="s">
        <v>1310</v>
      </c>
      <c r="AM19" t="s">
        <v>14</v>
      </c>
      <c r="AN19" t="s">
        <v>1311</v>
      </c>
      <c r="AO19" t="s">
        <v>14</v>
      </c>
      <c r="AP19" t="s">
        <v>1312</v>
      </c>
      <c r="AQ19" t="s">
        <v>781</v>
      </c>
      <c r="AR19" t="s">
        <v>14</v>
      </c>
      <c r="AS19" t="s">
        <v>1313</v>
      </c>
      <c r="AT19" t="s">
        <v>1314</v>
      </c>
      <c r="AU19" t="s">
        <v>1315</v>
      </c>
      <c r="AV19" t="s">
        <v>1316</v>
      </c>
      <c r="AW19" t="s">
        <v>1317</v>
      </c>
      <c r="AX19" t="s">
        <v>1318</v>
      </c>
      <c r="AY19" t="s">
        <v>504</v>
      </c>
      <c r="AZ19" t="s">
        <v>506</v>
      </c>
      <c r="BA19" t="s">
        <v>507</v>
      </c>
      <c r="BB19" t="s">
        <v>508</v>
      </c>
      <c r="BC19" t="s">
        <v>135</v>
      </c>
      <c r="BD19" t="s">
        <v>505</v>
      </c>
      <c r="BE19" t="s">
        <v>509</v>
      </c>
      <c r="BF19" t="s">
        <v>510</v>
      </c>
      <c r="BG19" t="s">
        <v>363</v>
      </c>
      <c r="BH19" t="s">
        <v>1300</v>
      </c>
      <c r="BI19" t="s">
        <v>639</v>
      </c>
      <c r="BJ19" t="s">
        <v>1318</v>
      </c>
      <c r="BK19" t="s">
        <v>1301</v>
      </c>
      <c r="BL19" t="s">
        <v>1319</v>
      </c>
      <c r="BM19" t="s">
        <v>135</v>
      </c>
      <c r="BN19">
        <v>0.46</v>
      </c>
      <c r="BO19">
        <v>7.26</v>
      </c>
      <c r="BP19">
        <v>16.190000000000001</v>
      </c>
      <c r="BQ19">
        <v>0.7</v>
      </c>
      <c r="BR19">
        <v>8.35</v>
      </c>
      <c r="BS19">
        <v>17.309999999999999</v>
      </c>
      <c r="BT19" t="s">
        <v>557</v>
      </c>
      <c r="BU19" t="s">
        <v>456</v>
      </c>
      <c r="BV19">
        <v>49.9</v>
      </c>
      <c r="BW19">
        <v>52.36</v>
      </c>
      <c r="BX19">
        <v>58.09</v>
      </c>
      <c r="BY19">
        <v>2.15</v>
      </c>
      <c r="BZ19">
        <v>11.49</v>
      </c>
      <c r="CA19">
        <v>21.84</v>
      </c>
      <c r="CB19">
        <v>-0.63</v>
      </c>
      <c r="CC19">
        <v>-12.18</v>
      </c>
      <c r="CD19" t="s">
        <v>1320</v>
      </c>
      <c r="CE19" t="s">
        <v>1321</v>
      </c>
      <c r="CF19" s="9">
        <v>-0.14031413612565444</v>
      </c>
      <c r="CG19" s="10">
        <v>-0.69906651946570908</v>
      </c>
      <c r="CH19" s="9">
        <v>-0.38324117660522461</v>
      </c>
      <c r="CI19" s="9">
        <v>4.24179807305336E-2</v>
      </c>
      <c r="CJ19" s="9">
        <v>-0.19423604011535645</v>
      </c>
      <c r="CK19" s="9">
        <v>1.9989286661148071</v>
      </c>
      <c r="CL19" s="9">
        <v>0.10410095006227493</v>
      </c>
      <c r="CM19" s="10">
        <v>-0.8843083381652832</v>
      </c>
      <c r="CN19" s="10">
        <v>-0.45075240731239319</v>
      </c>
      <c r="CO19" s="10">
        <v>-0.30047845840454102</v>
      </c>
      <c r="CP19" s="10">
        <v>6.5724639892578125</v>
      </c>
      <c r="CQ19" s="10">
        <v>-0.28682169318199158</v>
      </c>
      <c r="CR19">
        <v>16.934217696748696</v>
      </c>
      <c r="CS19">
        <v>0.54000438754234337</v>
      </c>
      <c r="CT19">
        <v>0.28826751225136926</v>
      </c>
      <c r="CU19" s="9">
        <v>0.31359407603740691</v>
      </c>
      <c r="CV19" s="10">
        <v>0.93002061843872075</v>
      </c>
      <c r="CW19">
        <v>0.06</v>
      </c>
      <c r="CX19">
        <v>69.400999660260382</v>
      </c>
      <c r="CY19">
        <v>115125863.30330712</v>
      </c>
      <c r="CZ19">
        <v>0.31359407603740691</v>
      </c>
      <c r="DA19">
        <v>18.862703388303231</v>
      </c>
      <c r="DB19">
        <v>423579263.0315392</v>
      </c>
      <c r="DC19">
        <v>0.29791437223553657</v>
      </c>
      <c r="DD19">
        <v>7.1278096226502825</v>
      </c>
      <c r="DE19">
        <v>1120940432.3328702</v>
      </c>
      <c r="DF19">
        <v>0.27596278691291809</v>
      </c>
      <c r="DG19">
        <v>3.0974171088139322</v>
      </c>
      <c r="DH19">
        <v>2579520199.9964046</v>
      </c>
      <c r="DI19">
        <v>0.25087526082992556</v>
      </c>
      <c r="DJ19">
        <v>0.72551844220878381</v>
      </c>
      <c r="DK19">
        <v>11012607723.210358</v>
      </c>
      <c r="DL19">
        <v>0.21951585322618483</v>
      </c>
      <c r="DM19">
        <v>92900400.000000015</v>
      </c>
      <c r="DN19">
        <v>0.31359407603740691</v>
      </c>
      <c r="DO19">
        <v>7989850000</v>
      </c>
      <c r="DP19">
        <v>4762995200</v>
      </c>
      <c r="DQ19">
        <v>2142</v>
      </c>
      <c r="DR19">
        <v>-0.45390821216306132</v>
      </c>
      <c r="DS19">
        <v>-1.6290871379044298</v>
      </c>
      <c r="DT19" s="11">
        <v>-0.32</v>
      </c>
      <c r="DU19">
        <v>-0.76833333333333342</v>
      </c>
      <c r="DV19">
        <v>-1.0883333333333334</v>
      </c>
      <c r="DW19">
        <v>-2.1217999999999999</v>
      </c>
      <c r="DX19">
        <v>0.40010770886700286</v>
      </c>
      <c r="DY19">
        <v>-2.0170651189400011</v>
      </c>
      <c r="DZ19">
        <v>3652</v>
      </c>
      <c r="EA19">
        <v>-2.0048690691613547</v>
      </c>
      <c r="EB19">
        <v>2</v>
      </c>
      <c r="EC19">
        <v>1.8375429192491646E-2</v>
      </c>
      <c r="ED19">
        <v>0.13115216386797435</v>
      </c>
      <c r="EE19" s="12">
        <v>2.0190100000000002</v>
      </c>
      <c r="EF19">
        <v>2.0383100000000001</v>
      </c>
      <c r="EG19">
        <v>26.140107708867003</v>
      </c>
      <c r="EH19" t="s">
        <v>588</v>
      </c>
      <c r="EI19">
        <v>0</v>
      </c>
      <c r="EJ19">
        <v>0</v>
      </c>
      <c r="EK19" s="14">
        <v>45470</v>
      </c>
      <c r="EL19" s="15">
        <v>1.31</v>
      </c>
      <c r="EM19" s="15">
        <v>-2.7</v>
      </c>
      <c r="EN19" s="15">
        <v>-1.61</v>
      </c>
      <c r="EO19" s="15">
        <v>2.14</v>
      </c>
      <c r="EP19" s="15">
        <v>-1.93</v>
      </c>
    </row>
    <row r="20" spans="1:146" ht="168" x14ac:dyDescent="0.25">
      <c r="A20" s="7" t="s">
        <v>341</v>
      </c>
      <c r="B20" s="7" t="s">
        <v>340</v>
      </c>
      <c r="C20" s="7" t="str">
        <f>"公司的主营业务包括药物分子砌块的研发、工艺开发、生产和销售；基于药物分子砌块的药物发现解决方案；基于药物分子砌块的药物开发和生产服务(CDMO)。公司主要产品为药物分子砌块。"&amp;CHAR(10)&amp;Basic_Fundamental_Information_Constructure(F20)&amp;CHAR(10)&amp;Basic_Fundamental_Information_Concatenate("(国外占比69%)
CDMO 5.55亿 75.49% 68.26% 43.17%
分子砌块 1.73亿 23.60% 30.63% 61.95%
其他 646.11万 0.88% 1.10% 59.55%")</f>
        <v>公司的主营业务包括药物分子砌块的研发、工艺开发、生产和销售；基于药物分子砌块的药物发现解决方案；基于药物分子砌块的药物开发和生产服务(CDMO)。公司主要产品为药物分子砌块。
市值54.708116亿, 利润1.97亿; PE28.93; 平均PE22.38; 平均PEG.74, PB1.99; ROIC11.23%; ROE13.56%; 股利率1.1314%; 毛利45.3767%; 净利24.6%; 上一年度营收增8.15%, 利润增-37.26%; 当季营收增-1.57%, 利润增-14.32%; 过往5年营收增30.27%, 利润增25.45%
Income profile:
(国外占比69%)
CDMO 5.55亿 75.49% 68.26% 43.17%
分子砌块 1.73亿 23.60% 30.63% 61.95%
其他 646.11万 0.88% 1.10% 59.55%</v>
      </c>
      <c r="D20" t="s">
        <v>309</v>
      </c>
      <c r="E20" t="s">
        <v>310</v>
      </c>
      <c r="F20">
        <v>27.4</v>
      </c>
      <c r="G20">
        <v>6.41</v>
      </c>
      <c r="H20" t="s">
        <v>1322</v>
      </c>
      <c r="I20">
        <v>5470811600</v>
      </c>
      <c r="J20">
        <v>28.93</v>
      </c>
      <c r="K20">
        <v>1.99</v>
      </c>
      <c r="L20" t="s">
        <v>290</v>
      </c>
      <c r="M20" t="s">
        <v>1323</v>
      </c>
      <c r="N20" t="s">
        <v>1324</v>
      </c>
      <c r="O20" t="s">
        <v>1325</v>
      </c>
      <c r="P20">
        <v>-1.56</v>
      </c>
      <c r="Q20" t="s">
        <v>1326</v>
      </c>
      <c r="R20">
        <v>49485359</v>
      </c>
      <c r="S20" s="3">
        <v>-0.14319999999999999</v>
      </c>
      <c r="T20" t="s">
        <v>1093</v>
      </c>
      <c r="U20">
        <v>168412370</v>
      </c>
      <c r="V20">
        <v>199664660</v>
      </c>
      <c r="W20">
        <v>1.73</v>
      </c>
      <c r="X20">
        <v>7.0000000000000007E-2</v>
      </c>
      <c r="Y20">
        <v>13.11</v>
      </c>
      <c r="Z20" t="s">
        <v>233</v>
      </c>
      <c r="AA20" t="s">
        <v>1090</v>
      </c>
      <c r="AB20" t="s">
        <v>1327</v>
      </c>
      <c r="AC20" t="s">
        <v>1328</v>
      </c>
      <c r="AD20" t="s">
        <v>14</v>
      </c>
      <c r="AE20">
        <v>8116644</v>
      </c>
      <c r="AF20" t="s">
        <v>1329</v>
      </c>
      <c r="AG20" t="s">
        <v>1330</v>
      </c>
      <c r="AH20" t="s">
        <v>1331</v>
      </c>
      <c r="AI20" t="s">
        <v>818</v>
      </c>
      <c r="AJ20" t="s">
        <v>1332</v>
      </c>
      <c r="AK20" t="s">
        <v>14</v>
      </c>
      <c r="AL20" t="s">
        <v>1333</v>
      </c>
      <c r="AM20" t="s">
        <v>14</v>
      </c>
      <c r="AN20" t="s">
        <v>152</v>
      </c>
      <c r="AO20" t="s">
        <v>1334</v>
      </c>
      <c r="AP20" t="s">
        <v>1335</v>
      </c>
      <c r="AQ20" t="s">
        <v>1336</v>
      </c>
      <c r="AR20" t="s">
        <v>1337</v>
      </c>
      <c r="AS20" t="s">
        <v>1338</v>
      </c>
      <c r="AT20" t="s">
        <v>1339</v>
      </c>
      <c r="AU20" t="s">
        <v>1340</v>
      </c>
      <c r="AV20" t="s">
        <v>1341</v>
      </c>
      <c r="AW20" t="s">
        <v>1342</v>
      </c>
      <c r="AX20" t="s">
        <v>567</v>
      </c>
      <c r="AY20" t="s">
        <v>381</v>
      </c>
      <c r="AZ20" t="s">
        <v>266</v>
      </c>
      <c r="BA20" t="s">
        <v>311</v>
      </c>
      <c r="BB20" t="s">
        <v>312</v>
      </c>
      <c r="BC20" t="s">
        <v>609</v>
      </c>
      <c r="BD20" t="s">
        <v>382</v>
      </c>
      <c r="BE20" t="s">
        <v>128</v>
      </c>
      <c r="BF20" t="s">
        <v>198</v>
      </c>
      <c r="BG20" t="s">
        <v>58</v>
      </c>
      <c r="BH20" t="s">
        <v>1326</v>
      </c>
      <c r="BI20" t="s">
        <v>408</v>
      </c>
      <c r="BJ20" t="s">
        <v>567</v>
      </c>
      <c r="BK20" t="s">
        <v>1093</v>
      </c>
      <c r="BL20" t="s">
        <v>1343</v>
      </c>
      <c r="BM20" t="s">
        <v>609</v>
      </c>
      <c r="BN20">
        <v>3.84</v>
      </c>
      <c r="BO20">
        <v>9.8800000000000008</v>
      </c>
      <c r="BP20">
        <v>19.97</v>
      </c>
      <c r="BQ20">
        <v>5.63</v>
      </c>
      <c r="BR20">
        <v>12.44</v>
      </c>
      <c r="BS20">
        <v>22.61</v>
      </c>
      <c r="BT20" t="s">
        <v>1344</v>
      </c>
      <c r="BU20" t="s">
        <v>501</v>
      </c>
      <c r="BV20">
        <v>42.52</v>
      </c>
      <c r="BW20">
        <v>45.48</v>
      </c>
      <c r="BX20">
        <v>48.13</v>
      </c>
      <c r="BY20">
        <v>11.44</v>
      </c>
      <c r="BZ20">
        <v>20.440000000000001</v>
      </c>
      <c r="CA20">
        <v>41.92</v>
      </c>
      <c r="CB20">
        <v>2.35</v>
      </c>
      <c r="CC20">
        <v>-12.21</v>
      </c>
      <c r="CD20" t="s">
        <v>1345</v>
      </c>
      <c r="CE20" t="s">
        <v>351</v>
      </c>
      <c r="CF20" s="9">
        <v>-1.5665796344647518E-2</v>
      </c>
      <c r="CG20" s="10">
        <v>-0.14319968488122445</v>
      </c>
      <c r="CH20" s="9">
        <v>8.1504620611667633E-2</v>
      </c>
      <c r="CI20" s="9">
        <v>0.32695513963699341</v>
      </c>
      <c r="CJ20" s="9">
        <v>0.17612524330615997</v>
      </c>
      <c r="CK20" s="9">
        <v>0.54380667209625244</v>
      </c>
      <c r="CL20" s="9">
        <v>0.38493722677230835</v>
      </c>
      <c r="CM20" s="10">
        <v>-0.37261146306991577</v>
      </c>
      <c r="CN20" s="10">
        <v>-0.35523614287376404</v>
      </c>
      <c r="CO20" s="10">
        <v>1.64673912525177</v>
      </c>
      <c r="CP20" s="10">
        <v>0.21052631735801697</v>
      </c>
      <c r="CQ20" s="10">
        <v>0.1428571492433548</v>
      </c>
      <c r="CR20">
        <v>22.375507566462169</v>
      </c>
      <c r="CS20">
        <v>0.73928104890585788</v>
      </c>
      <c r="CT20">
        <v>1.1313868613138687</v>
      </c>
      <c r="CU20" s="9">
        <v>0.30266578048467635</v>
      </c>
      <c r="CV20" s="10">
        <v>0.25445499718189241</v>
      </c>
      <c r="CW20">
        <v>0.06</v>
      </c>
      <c r="CX20">
        <v>20.106681359782268</v>
      </c>
      <c r="CY20">
        <v>242099206.37309551</v>
      </c>
      <c r="CZ20">
        <v>0.30266578048467635</v>
      </c>
      <c r="DA20">
        <v>5.5129570549772549</v>
      </c>
      <c r="DB20">
        <v>882976513.59449661</v>
      </c>
      <c r="DC20">
        <v>0.28753249146044252</v>
      </c>
      <c r="DD20">
        <v>2.1110996242475579</v>
      </c>
      <c r="DE20">
        <v>2305818041.0292077</v>
      </c>
      <c r="DF20">
        <v>0.26634588682651517</v>
      </c>
      <c r="DG20">
        <v>0.93325974095861741</v>
      </c>
      <c r="DH20">
        <v>5215923698.7978554</v>
      </c>
      <c r="DI20">
        <v>0.24213262438774108</v>
      </c>
      <c r="DJ20">
        <v>0.22846200525352589</v>
      </c>
      <c r="DK20">
        <v>21306875927.129131</v>
      </c>
      <c r="DL20">
        <v>0.21186604633927344</v>
      </c>
      <c r="DM20">
        <v>197000000</v>
      </c>
      <c r="DN20">
        <v>0.30266578048467635</v>
      </c>
      <c r="DO20">
        <v>4867811600</v>
      </c>
      <c r="DP20">
        <v>1822098600</v>
      </c>
      <c r="DQ20">
        <v>2189</v>
      </c>
      <c r="DR20">
        <v>-0.31833157682932389</v>
      </c>
      <c r="DS20">
        <v>-0.39765468206311683</v>
      </c>
      <c r="DT20" s="11">
        <v>5.9999999999999908E-2</v>
      </c>
      <c r="DU20">
        <v>6.6666666666666652E-2</v>
      </c>
      <c r="DV20">
        <v>0.12666666666666657</v>
      </c>
      <c r="DW20">
        <v>-2.1221000000000001</v>
      </c>
      <c r="DX20">
        <v>0.82787431192661021</v>
      </c>
      <c r="DY20">
        <v>-2.0204974534862385</v>
      </c>
      <c r="DZ20">
        <v>1429</v>
      </c>
      <c r="EA20">
        <v>-2.0147653867481106</v>
      </c>
      <c r="EB20">
        <v>2</v>
      </c>
      <c r="EC20">
        <v>9.1645161442190121E-2</v>
      </c>
      <c r="ED20">
        <v>0.5459153362442809</v>
      </c>
      <c r="EE20" s="12">
        <v>-1.05101</v>
      </c>
      <c r="EF20">
        <v>-1.08521</v>
      </c>
      <c r="EG20">
        <v>66.16787431192661</v>
      </c>
      <c r="EH20" t="s">
        <v>587</v>
      </c>
      <c r="EI20">
        <v>0</v>
      </c>
      <c r="EJ20">
        <v>1</v>
      </c>
      <c r="EK20" s="14">
        <v>45470</v>
      </c>
      <c r="EL20" s="15">
        <v>-0.38</v>
      </c>
      <c r="EM20" s="15">
        <v>-4.32</v>
      </c>
      <c r="EN20" s="15">
        <v>-1.43</v>
      </c>
      <c r="EO20" s="15">
        <v>4.43</v>
      </c>
      <c r="EP20" s="15">
        <v>-3.42</v>
      </c>
    </row>
    <row r="21" spans="1:146" ht="211.5" customHeight="1" x14ac:dyDescent="0.25">
      <c r="A21" s="7" t="s">
        <v>488</v>
      </c>
      <c r="B21" s="7" t="s">
        <v>589</v>
      </c>
      <c r="C21" s="7" t="str">
        <f>"公司主营业务是药物研究、开发及生产服务，为客户提供药物发现和药物开发的全流程一体化服务。公司的主要服务为实验室服务、CMC(小分子CDMO)服务、临床研究服务、大分子和细胞与基因治疗服务四大服务板块。"&amp;CHAR(10)&amp;Basic_Fundamental_Information_Constructure(F21)&amp;CHAR(10)&amp;Basic_Fundamental_Information_Concatenate("2021：（国外利润占比91%）
实验室服务 45.66亿 61.34% 74.09% 43.47%
CMC(小分子CDMO)服务 17.46亿 23.46% 22.76% 34.92%
临床研究服务 9.56亿 12.85% 3.68% 10.31%
大分子和细胞与基因治疗服务 1.51亿 2.03% -0.78% -13.84%
其他业务 2447.64万 0.33% 0.24% 26.40%")</f>
        <v>公司主营业务是药物研究、开发及生产服务，为客户提供药物发现和药物开发的全流程一体化服务。公司的主要服务为实验室服务、CMC(小分子CDMO)服务、临床研究服务、大分子和细胞与基因治疗服务四大服务板块。
市值338.175亿, 利润16.01亿; PE22.8; 平均PE30.33; 平均PEG.94, PB2.69; ROIC9.7967%; ROE13.5733%; 股利率1.0571%; 毛利36.15%; 净利16.2133%; 上一年度营收增12.39%, 利润增16.44%; 当季营收增-1.95%, 利润增-33.75%; 过往5年营收增32.23%, 利润增43.89%
Income profile:
2021：（国外利润占比91%）
实验室服务 45.66亿 61.34% 74.09% 43.47%
CMC(小分子CDMO)服务 17.46亿 23.46% 22.76% 34.92%
临床研究服务 9.56亿 12.85% 3.68% 10.31%
大分子和细胞与基因治疗服务 1.51亿 2.03% -0.78% -13.84%
其他业务 2447.64万 0.33% 0.24% 26.40%</v>
      </c>
      <c r="D21" t="s">
        <v>24</v>
      </c>
      <c r="E21" t="s">
        <v>11</v>
      </c>
      <c r="F21">
        <v>18.920000000000002</v>
      </c>
      <c r="G21">
        <v>4.6500000000000004</v>
      </c>
      <c r="H21" t="s">
        <v>1346</v>
      </c>
      <c r="I21">
        <v>33817500000</v>
      </c>
      <c r="J21">
        <v>22.8</v>
      </c>
      <c r="K21">
        <v>2.69</v>
      </c>
      <c r="L21" t="s">
        <v>290</v>
      </c>
      <c r="M21" t="s">
        <v>1347</v>
      </c>
      <c r="N21" t="s">
        <v>1348</v>
      </c>
      <c r="O21" t="s">
        <v>789</v>
      </c>
      <c r="P21">
        <v>-1.95</v>
      </c>
      <c r="Q21" t="s">
        <v>1349</v>
      </c>
      <c r="R21">
        <v>230557830</v>
      </c>
      <c r="S21" s="3">
        <v>-0.33800000000000002</v>
      </c>
      <c r="T21" t="s">
        <v>1350</v>
      </c>
      <c r="U21">
        <v>1428583400</v>
      </c>
      <c r="V21">
        <v>1787394300</v>
      </c>
      <c r="W21">
        <v>1.89</v>
      </c>
      <c r="X21">
        <v>0.1</v>
      </c>
      <c r="Y21">
        <v>8.08</v>
      </c>
      <c r="Z21" t="s">
        <v>1351</v>
      </c>
      <c r="AA21" t="s">
        <v>1352</v>
      </c>
      <c r="AB21" t="s">
        <v>1353</v>
      </c>
      <c r="AC21" t="s">
        <v>1354</v>
      </c>
      <c r="AD21" t="s">
        <v>14</v>
      </c>
      <c r="AE21">
        <v>63437988</v>
      </c>
      <c r="AF21" t="s">
        <v>1355</v>
      </c>
      <c r="AG21" t="s">
        <v>1356</v>
      </c>
      <c r="AH21" t="s">
        <v>1357</v>
      </c>
      <c r="AI21" t="s">
        <v>1358</v>
      </c>
      <c r="AJ21" t="s">
        <v>1359</v>
      </c>
      <c r="AK21" t="s">
        <v>14</v>
      </c>
      <c r="AL21" t="s">
        <v>1360</v>
      </c>
      <c r="AM21" t="s">
        <v>14</v>
      </c>
      <c r="AN21" t="s">
        <v>1361</v>
      </c>
      <c r="AO21" t="s">
        <v>1362</v>
      </c>
      <c r="AP21" t="s">
        <v>14</v>
      </c>
      <c r="AQ21" t="s">
        <v>1199</v>
      </c>
      <c r="AR21" t="s">
        <v>14</v>
      </c>
      <c r="AS21" t="s">
        <v>1363</v>
      </c>
      <c r="AT21" t="s">
        <v>1364</v>
      </c>
      <c r="AU21" t="s">
        <v>642</v>
      </c>
      <c r="AV21" t="s">
        <v>1365</v>
      </c>
      <c r="AW21" t="s">
        <v>1366</v>
      </c>
      <c r="AX21" t="s">
        <v>633</v>
      </c>
      <c r="AY21" t="s">
        <v>383</v>
      </c>
      <c r="AZ21" t="s">
        <v>229</v>
      </c>
      <c r="BA21" t="s">
        <v>231</v>
      </c>
      <c r="BB21" t="s">
        <v>232</v>
      </c>
      <c r="BC21" t="s">
        <v>634</v>
      </c>
      <c r="BD21" t="s">
        <v>384</v>
      </c>
      <c r="BE21" t="s">
        <v>230</v>
      </c>
      <c r="BF21" t="s">
        <v>112</v>
      </c>
      <c r="BG21" t="s">
        <v>191</v>
      </c>
      <c r="BH21" t="s">
        <v>1349</v>
      </c>
      <c r="BI21" t="s">
        <v>1367</v>
      </c>
      <c r="BJ21" t="s">
        <v>633</v>
      </c>
      <c r="BK21" t="s">
        <v>1350</v>
      </c>
      <c r="BL21" t="s">
        <v>797</v>
      </c>
      <c r="BM21" t="s">
        <v>634</v>
      </c>
      <c r="BN21">
        <v>7.09</v>
      </c>
      <c r="BO21">
        <v>9.26</v>
      </c>
      <c r="BP21">
        <v>13.04</v>
      </c>
      <c r="BQ21">
        <v>10.130000000000001</v>
      </c>
      <c r="BR21">
        <v>13.28</v>
      </c>
      <c r="BS21">
        <v>17.309999999999999</v>
      </c>
      <c r="BT21" t="s">
        <v>624</v>
      </c>
      <c r="BU21" t="s">
        <v>501</v>
      </c>
      <c r="BV21">
        <v>35.75</v>
      </c>
      <c r="BW21">
        <v>36.71</v>
      </c>
      <c r="BX21">
        <v>35.99</v>
      </c>
      <c r="BY21">
        <v>13.71</v>
      </c>
      <c r="BZ21">
        <v>13.17</v>
      </c>
      <c r="CA21">
        <v>21.76</v>
      </c>
      <c r="CB21">
        <v>1.83</v>
      </c>
      <c r="CC21">
        <v>-10.63</v>
      </c>
      <c r="CD21" t="s">
        <v>1368</v>
      </c>
      <c r="CE21" t="s">
        <v>807</v>
      </c>
      <c r="CF21" s="9">
        <v>-1.9456681350954477E-2</v>
      </c>
      <c r="CG21" s="10">
        <v>-0.33747749999999999</v>
      </c>
      <c r="CH21" s="9">
        <v>0.12390409409999847</v>
      </c>
      <c r="CI21" s="9">
        <v>0.37909737229347229</v>
      </c>
      <c r="CJ21" s="9">
        <v>0.449941486120224</v>
      </c>
      <c r="CK21" s="9">
        <v>0.36651590466499329</v>
      </c>
      <c r="CL21" s="9">
        <v>0.29195320606231689</v>
      </c>
      <c r="CM21" s="10">
        <v>0.16436362266540527</v>
      </c>
      <c r="CN21" s="10">
        <v>-0.17218536138534546</v>
      </c>
      <c r="CO21" s="10">
        <v>0.41723543405532837</v>
      </c>
      <c r="CP21" s="10">
        <v>1.1425960063934326</v>
      </c>
      <c r="CQ21" s="10">
        <v>0.64264261722564697</v>
      </c>
      <c r="CR21">
        <v>30.33413066228136</v>
      </c>
      <c r="CS21">
        <v>0.94122823560321545</v>
      </c>
      <c r="CT21">
        <v>1.0570824524312896</v>
      </c>
      <c r="CU21" s="9">
        <v>0.32228241264820101</v>
      </c>
      <c r="CV21" s="10">
        <v>0.43893046379089357</v>
      </c>
      <c r="CW21">
        <v>0.06</v>
      </c>
      <c r="CX21">
        <v>16.873833874649137</v>
      </c>
      <c r="CY21">
        <v>1997145417.5941224</v>
      </c>
      <c r="CZ21">
        <v>0.32228241264820101</v>
      </c>
      <c r="DA21">
        <v>4.5544296608870916</v>
      </c>
      <c r="DB21">
        <v>7399279933.864686</v>
      </c>
      <c r="DC21">
        <v>0.30616829201579093</v>
      </c>
      <c r="DD21">
        <v>1.7029055658544157</v>
      </c>
      <c r="DE21">
        <v>19789412094.08263</v>
      </c>
      <c r="DF21">
        <v>0.2836085231304169</v>
      </c>
      <c r="DG21">
        <v>0.72993118895352238</v>
      </c>
      <c r="DH21">
        <v>46168050509.410118</v>
      </c>
      <c r="DI21">
        <v>0.25782593011856081</v>
      </c>
      <c r="DJ21">
        <v>0.16504231975852346</v>
      </c>
      <c r="DK21">
        <v>204187023360.47128</v>
      </c>
      <c r="DL21">
        <v>0.22559768885374068</v>
      </c>
      <c r="DM21">
        <v>1601000000.0000002</v>
      </c>
      <c r="DN21">
        <v>0.32228241264820101</v>
      </c>
      <c r="DO21">
        <v>33699500000</v>
      </c>
      <c r="DP21">
        <v>5692379200</v>
      </c>
      <c r="DQ21">
        <v>2218</v>
      </c>
      <c r="DR21">
        <v>-0.34173909399915547</v>
      </c>
      <c r="DS21">
        <v>-0.77640796379089361</v>
      </c>
      <c r="DT21" s="11">
        <v>5.9999999999999908E-2</v>
      </c>
      <c r="DU21">
        <v>0.36333333333333329</v>
      </c>
      <c r="DV21">
        <v>0.42333333333333317</v>
      </c>
      <c r="DW21">
        <v>-2.1063000000000001</v>
      </c>
      <c r="DX21">
        <v>0.56775763888888942</v>
      </c>
      <c r="DY21">
        <v>-2.0125176370138891</v>
      </c>
      <c r="DZ21">
        <v>1216</v>
      </c>
      <c r="EA21">
        <v>-2.0095388803389596</v>
      </c>
      <c r="EB21">
        <v>2</v>
      </c>
      <c r="EC21">
        <v>2.8461151520959869E-2</v>
      </c>
      <c r="ED21">
        <v>0.24169261365553196</v>
      </c>
      <c r="EE21" s="12">
        <v>-1.0116000000000001</v>
      </c>
      <c r="EF21">
        <v>-1.01861</v>
      </c>
      <c r="EG21">
        <v>45.117757638888889</v>
      </c>
      <c r="EH21" t="s">
        <v>587</v>
      </c>
      <c r="EI21">
        <v>0</v>
      </c>
      <c r="EJ21">
        <v>1</v>
      </c>
      <c r="EK21" s="14">
        <v>45470</v>
      </c>
      <c r="EL21" s="15">
        <v>-2.5</v>
      </c>
      <c r="EM21" s="15">
        <v>-3.29</v>
      </c>
      <c r="EN21" s="15">
        <v>-0.19</v>
      </c>
      <c r="EO21" s="15">
        <v>3.51</v>
      </c>
      <c r="EP21" s="15">
        <v>-3.02</v>
      </c>
    </row>
    <row r="22" spans="1:146" ht="96" x14ac:dyDescent="0.25">
      <c r="A22" s="7"/>
      <c r="B22" s="7"/>
      <c r="C22" s="7" t="str">
        <f>""&amp;CHAR(10)&amp;Basic_Fundamental_Information_Constructure(F22)&amp;CHAR(10)&amp;Basic_Fundamental_Information_Concatenate("")</f>
        <v xml:space="preserve">
市值32.52198亿, 利润4.07亿; PE; 平均PE12.98; 平均PEG.46, PB1.83; ROIC17.5%; ROE16.45%; 股利率0%; 毛利33.89%; 净利7.55%; 上一年度营收增-54.25%, 利润增-34.04%; 当季营收增1.87%, 利润增-98.6%; 过往5年营收增28.48%, 利润增59.76%
Income profile:
</v>
      </c>
      <c r="D22" t="s">
        <v>313</v>
      </c>
      <c r="E22" t="s">
        <v>314</v>
      </c>
      <c r="F22">
        <v>8.1199999999999992</v>
      </c>
      <c r="G22">
        <v>3.31</v>
      </c>
      <c r="H22" t="s">
        <v>1369</v>
      </c>
      <c r="I22">
        <v>3252198000</v>
      </c>
      <c r="K22">
        <v>1.83</v>
      </c>
      <c r="L22" t="s">
        <v>290</v>
      </c>
      <c r="M22" t="s">
        <v>1370</v>
      </c>
      <c r="N22" t="s">
        <v>1371</v>
      </c>
      <c r="O22" t="s">
        <v>853</v>
      </c>
      <c r="P22">
        <v>5.78</v>
      </c>
      <c r="Q22" t="s">
        <v>1372</v>
      </c>
      <c r="R22">
        <v>1071721</v>
      </c>
      <c r="S22" s="3">
        <v>-0.94989999999999997</v>
      </c>
      <c r="T22" t="s">
        <v>1311</v>
      </c>
      <c r="U22">
        <v>179789430</v>
      </c>
      <c r="V22">
        <v>400517000</v>
      </c>
      <c r="W22">
        <v>1.46</v>
      </c>
      <c r="X22">
        <v>0.15</v>
      </c>
      <c r="Y22">
        <v>-0.06</v>
      </c>
      <c r="Z22" t="s">
        <v>559</v>
      </c>
      <c r="AA22" t="s">
        <v>157</v>
      </c>
      <c r="AB22" t="s">
        <v>1373</v>
      </c>
      <c r="AC22" t="s">
        <v>1374</v>
      </c>
      <c r="AD22" t="s">
        <v>14</v>
      </c>
      <c r="AE22">
        <v>-592428</v>
      </c>
      <c r="AF22" t="s">
        <v>1375</v>
      </c>
      <c r="AG22" t="s">
        <v>1376</v>
      </c>
      <c r="AH22" t="s">
        <v>1377</v>
      </c>
      <c r="AI22" t="s">
        <v>1378</v>
      </c>
      <c r="AJ22" t="s">
        <v>1379</v>
      </c>
      <c r="AK22" t="s">
        <v>1380</v>
      </c>
      <c r="AL22" t="s">
        <v>1381</v>
      </c>
      <c r="AM22" t="s">
        <v>14</v>
      </c>
      <c r="AN22" t="s">
        <v>1382</v>
      </c>
      <c r="AO22" t="s">
        <v>796</v>
      </c>
      <c r="AP22" t="s">
        <v>14</v>
      </c>
      <c r="AQ22" t="s">
        <v>853</v>
      </c>
      <c r="AR22" t="s">
        <v>14</v>
      </c>
      <c r="AS22" t="s">
        <v>1383</v>
      </c>
      <c r="AT22" t="s">
        <v>66</v>
      </c>
      <c r="AU22" t="s">
        <v>1384</v>
      </c>
      <c r="AV22" t="s">
        <v>1385</v>
      </c>
      <c r="AW22" t="s">
        <v>1386</v>
      </c>
      <c r="AX22" t="s">
        <v>635</v>
      </c>
      <c r="AY22" t="s">
        <v>385</v>
      </c>
      <c r="AZ22" t="s">
        <v>213</v>
      </c>
      <c r="BA22" t="s">
        <v>315</v>
      </c>
      <c r="BB22" t="s">
        <v>186</v>
      </c>
      <c r="BC22" t="s">
        <v>636</v>
      </c>
      <c r="BD22" t="s">
        <v>386</v>
      </c>
      <c r="BE22" t="s">
        <v>116</v>
      </c>
      <c r="BF22" t="s">
        <v>316</v>
      </c>
      <c r="BG22" t="s">
        <v>317</v>
      </c>
      <c r="BH22" t="s">
        <v>1387</v>
      </c>
      <c r="BI22" t="s">
        <v>197</v>
      </c>
      <c r="BJ22" t="s">
        <v>635</v>
      </c>
      <c r="BK22" t="s">
        <v>1388</v>
      </c>
      <c r="BL22" t="s">
        <v>1389</v>
      </c>
      <c r="BM22" t="s">
        <v>636</v>
      </c>
      <c r="BN22">
        <v>-1.89</v>
      </c>
      <c r="BO22">
        <v>36.33</v>
      </c>
      <c r="BP22">
        <v>18.059999999999999</v>
      </c>
      <c r="BQ22">
        <v>-0.04</v>
      </c>
      <c r="BR22">
        <v>34.39</v>
      </c>
      <c r="BS22">
        <v>15</v>
      </c>
      <c r="BT22" t="s">
        <v>546</v>
      </c>
      <c r="BU22" t="s">
        <v>456</v>
      </c>
      <c r="BV22">
        <v>20.8</v>
      </c>
      <c r="BW22">
        <v>42.64</v>
      </c>
      <c r="BX22">
        <v>38.229999999999997</v>
      </c>
      <c r="BY22">
        <v>-9.66</v>
      </c>
      <c r="BZ22">
        <v>17.600000000000001</v>
      </c>
      <c r="CA22">
        <v>14.71</v>
      </c>
      <c r="CB22">
        <v>0</v>
      </c>
      <c r="CC22">
        <v>-19.600000000000001</v>
      </c>
      <c r="CD22" t="s">
        <v>1390</v>
      </c>
      <c r="CE22" t="s">
        <v>801</v>
      </c>
      <c r="CF22" s="9">
        <v>1.869158878504687E-2</v>
      </c>
      <c r="CG22" s="10">
        <v>-0.98600787783995214</v>
      </c>
      <c r="CH22" s="9">
        <v>-0.54251015186309814</v>
      </c>
      <c r="CI22" s="9">
        <v>1.3616423606872559</v>
      </c>
      <c r="CJ22" s="9">
        <v>0.43618738651275635</v>
      </c>
      <c r="CK22" s="9">
        <v>7.3720790445804596E-2</v>
      </c>
      <c r="CL22" s="9">
        <v>9.4966702163219452E-2</v>
      </c>
      <c r="CM22" s="10">
        <v>-0.34035655856132507</v>
      </c>
      <c r="CN22" s="10">
        <v>2.0245099067687988</v>
      </c>
      <c r="CO22" s="10">
        <v>0.8545454740524292</v>
      </c>
      <c r="CP22" s="10">
        <v>0.19251792132854462</v>
      </c>
      <c r="CQ22" s="10">
        <v>0.25694164633750916</v>
      </c>
      <c r="CR22">
        <v>12.977406574779117</v>
      </c>
      <c r="CS22">
        <v>0.45566509761894519</v>
      </c>
      <c r="CT22">
        <v>0</v>
      </c>
      <c r="CU22" s="9">
        <v>0.28480141758918764</v>
      </c>
      <c r="CV22" s="10">
        <v>0.59763167798519135</v>
      </c>
      <c r="CW22">
        <v>0.06</v>
      </c>
      <c r="CX22">
        <v>4.6242193968868452</v>
      </c>
      <c r="CY22">
        <v>493315261.28188616</v>
      </c>
      <c r="CZ22">
        <v>0.28480141758918764</v>
      </c>
      <c r="DA22">
        <v>1.286258074999767</v>
      </c>
      <c r="DB22">
        <v>1773515007.8652866</v>
      </c>
      <c r="DC22">
        <v>0.27056134670972826</v>
      </c>
      <c r="DD22">
        <v>0.50334440351664322</v>
      </c>
      <c r="DE22">
        <v>4532081779.5177326</v>
      </c>
      <c r="DF22">
        <v>0.25062524747848514</v>
      </c>
      <c r="DG22">
        <v>0.22879354712845867</v>
      </c>
      <c r="DH22">
        <v>9970552179.599699</v>
      </c>
      <c r="DI22">
        <v>0.22784113407135012</v>
      </c>
      <c r="DJ22">
        <v>6.0151249251479549E-2</v>
      </c>
      <c r="DK22">
        <v>37924366133.491219</v>
      </c>
      <c r="DL22">
        <v>0.19936099231243135</v>
      </c>
      <c r="DM22">
        <v>407000000</v>
      </c>
      <c r="DN22">
        <v>0.28480141758918764</v>
      </c>
      <c r="DO22">
        <v>2281198000</v>
      </c>
      <c r="DP22">
        <v>1500279900</v>
      </c>
      <c r="DQ22">
        <v>2506</v>
      </c>
      <c r="DR22">
        <v>-0.2661098288041408</v>
      </c>
      <c r="DS22">
        <v>-1.5836395558251435</v>
      </c>
      <c r="DT22" s="11">
        <v>-0.17333333333333334</v>
      </c>
      <c r="DU22">
        <v>0.20999999999999996</v>
      </c>
      <c r="DV22">
        <v>3.6666666666666625E-2</v>
      </c>
      <c r="DW22">
        <v>-3.0407142857142859</v>
      </c>
      <c r="DX22">
        <v>0.38079600000000013</v>
      </c>
      <c r="DY22">
        <v>-3.0053252657142857</v>
      </c>
      <c r="DZ22">
        <v>2299</v>
      </c>
      <c r="EA22">
        <v>-3.0029294172060386</v>
      </c>
      <c r="EB22">
        <v>3</v>
      </c>
      <c r="EC22">
        <v>4.8985186646259712E-2</v>
      </c>
      <c r="ED22">
        <v>0.37451593814994122</v>
      </c>
      <c r="EE22" s="12">
        <v>6.0600000000000008E-2</v>
      </c>
      <c r="EF22">
        <v>2.69E-2</v>
      </c>
      <c r="EG22">
        <v>25.130796</v>
      </c>
      <c r="EH22" t="s">
        <v>466</v>
      </c>
      <c r="EI22">
        <v>0</v>
      </c>
      <c r="EJ22">
        <v>0</v>
      </c>
      <c r="EK22" s="14">
        <v>45470</v>
      </c>
      <c r="EL22" s="15">
        <v>-2.2000000000000002</v>
      </c>
      <c r="EM22" s="15">
        <v>-5.52</v>
      </c>
      <c r="EN22" s="15">
        <v>2.98</v>
      </c>
      <c r="EO22" s="15">
        <v>6.48</v>
      </c>
      <c r="EP22" s="15">
        <v>-3.37</v>
      </c>
    </row>
    <row r="23" spans="1:146" ht="168" x14ac:dyDescent="0.25">
      <c r="A23" s="7"/>
      <c r="B23" s="7"/>
      <c r="C23" s="7" t="str">
        <f>"公司是一家以药学研究为核心的综合性医药技术研发企业，采取“受托研发服务+研发技术成果转化”双线发展战略，主要为各类制药企业、医药研发投资企业提供药物研发服务及研发技术成果转化。"&amp;CHAR(10)&amp;Basic_Fundamental_Information_Constructure(F23)&amp;CHAR(10)&amp;Basic_Fundamental_Information_Concatenate("受托药品研发服务 1.34亿 54.45% 45.43% 54.72%
研发技术成果转化 6916.96万 28.16% 32.57% 75.86%
权益分成 3094.52万 12.60% 19.08% 99.32%
CDMO 734.31万 2.99% 1.58% 34.60%")</f>
        <v>公司是一家以药学研究为核心的综合性医药技术研发企业，采取“受托研发服务+研发技术成果转化”双线发展战略，主要为各类制药企业、医药研发投资企业提供药物研发服务及研发技术成果转化。
市值57.629521亿, 利润6357.00万; PE20.1; 平均PE71.83; 平均PEG1.57, PB2.1; ROIC6.7367%; ROE14.66%; 股利率.567%; 毛利66.72%; 净利29.4433%; 上一年度营收增-37.23%, 利润增-67.23%; 当季营收增143.81%, 利润增260.43%; 过往5年营收增45.68%, 利润增86.46%
Income profile:
受托药品研发服务 1.34亿 54.45% 45.43% 54.72%
研发技术成果转化 6916.96万 28.16% 32.57% 75.86%
权益分成 3094.52万 12.60% 19.08% 99.32%
CDMO 734.31万 2.99% 1.58% 34.60%</v>
      </c>
      <c r="D23" t="s">
        <v>387</v>
      </c>
      <c r="E23" t="s">
        <v>388</v>
      </c>
      <c r="F23">
        <v>52.91</v>
      </c>
      <c r="G23">
        <v>2.46</v>
      </c>
      <c r="H23" t="s">
        <v>1391</v>
      </c>
      <c r="I23">
        <v>5762952100</v>
      </c>
      <c r="J23">
        <v>20.100000000000001</v>
      </c>
      <c r="K23">
        <v>2.1</v>
      </c>
      <c r="L23" t="s">
        <v>290</v>
      </c>
      <c r="M23" t="s">
        <v>1392</v>
      </c>
      <c r="N23" t="s">
        <v>1393</v>
      </c>
      <c r="O23" t="s">
        <v>1090</v>
      </c>
      <c r="P23">
        <v>34.04</v>
      </c>
      <c r="Q23" t="s">
        <v>211</v>
      </c>
      <c r="R23">
        <v>49818209</v>
      </c>
      <c r="S23" s="3">
        <v>0.42059999999999997</v>
      </c>
      <c r="T23" t="s">
        <v>1394</v>
      </c>
      <c r="U23">
        <v>69121939</v>
      </c>
      <c r="V23">
        <v>108919903</v>
      </c>
      <c r="W23">
        <v>1.4</v>
      </c>
      <c r="X23">
        <v>0.06</v>
      </c>
      <c r="Y23">
        <v>23.1</v>
      </c>
      <c r="Z23" t="s">
        <v>579</v>
      </c>
      <c r="AA23" t="s">
        <v>1395</v>
      </c>
      <c r="AB23" t="s">
        <v>1396</v>
      </c>
      <c r="AC23" t="s">
        <v>1397</v>
      </c>
      <c r="AD23" t="s">
        <v>14</v>
      </c>
      <c r="AE23">
        <v>-1283729</v>
      </c>
      <c r="AF23" t="s">
        <v>1398</v>
      </c>
      <c r="AG23" t="s">
        <v>1399</v>
      </c>
      <c r="AH23" t="s">
        <v>1400</v>
      </c>
      <c r="AI23" t="s">
        <v>1119</v>
      </c>
      <c r="AJ23" t="s">
        <v>1401</v>
      </c>
      <c r="AK23" t="s">
        <v>1402</v>
      </c>
      <c r="AL23" t="s">
        <v>1403</v>
      </c>
      <c r="AM23" t="s">
        <v>14</v>
      </c>
      <c r="AN23" t="s">
        <v>192</v>
      </c>
      <c r="AO23" t="s">
        <v>764</v>
      </c>
      <c r="AP23" t="s">
        <v>113</v>
      </c>
      <c r="AQ23" t="s">
        <v>228</v>
      </c>
      <c r="AR23" t="s">
        <v>14</v>
      </c>
      <c r="AS23" t="s">
        <v>1404</v>
      </c>
      <c r="AT23" t="s">
        <v>14</v>
      </c>
      <c r="AU23" t="s">
        <v>1405</v>
      </c>
      <c r="AV23" t="s">
        <v>1406</v>
      </c>
      <c r="AW23" t="s">
        <v>814</v>
      </c>
      <c r="AX23" t="s">
        <v>637</v>
      </c>
      <c r="AY23" t="s">
        <v>100</v>
      </c>
      <c r="AZ23" t="s">
        <v>106</v>
      </c>
      <c r="BA23" t="s">
        <v>68</v>
      </c>
      <c r="BB23" t="s">
        <v>389</v>
      </c>
      <c r="BC23" t="s">
        <v>638</v>
      </c>
      <c r="BD23" t="s">
        <v>111</v>
      </c>
      <c r="BE23" t="s">
        <v>390</v>
      </c>
      <c r="BF23" t="s">
        <v>391</v>
      </c>
      <c r="BG23" t="s">
        <v>392</v>
      </c>
      <c r="BH23" t="s">
        <v>1407</v>
      </c>
      <c r="BI23" t="s">
        <v>1408</v>
      </c>
      <c r="BJ23" t="s">
        <v>637</v>
      </c>
      <c r="BK23" t="s">
        <v>1409</v>
      </c>
      <c r="BL23" t="s">
        <v>1410</v>
      </c>
      <c r="BM23" t="s">
        <v>638</v>
      </c>
      <c r="BN23">
        <v>6.93</v>
      </c>
      <c r="BO23">
        <v>6.01</v>
      </c>
      <c r="BP23">
        <v>7.27</v>
      </c>
      <c r="BQ23">
        <v>7.89</v>
      </c>
      <c r="BR23">
        <v>8.15</v>
      </c>
      <c r="BS23">
        <v>27.94</v>
      </c>
      <c r="BT23" t="s">
        <v>558</v>
      </c>
      <c r="BU23" t="s">
        <v>501</v>
      </c>
      <c r="BV23">
        <v>65.53</v>
      </c>
      <c r="BW23">
        <v>67.37</v>
      </c>
      <c r="BX23">
        <v>67.260000000000005</v>
      </c>
      <c r="BY23">
        <v>26.73</v>
      </c>
      <c r="BZ23">
        <v>31.95</v>
      </c>
      <c r="CA23">
        <v>29.65</v>
      </c>
      <c r="CB23">
        <v>-8.9</v>
      </c>
      <c r="CC23">
        <v>-16.239999999999998</v>
      </c>
      <c r="CD23" t="s">
        <v>1411</v>
      </c>
      <c r="CE23" t="s">
        <v>1412</v>
      </c>
      <c r="CF23" s="9">
        <v>1.438115878229657</v>
      </c>
      <c r="CG23" s="10">
        <v>2.604295285018702</v>
      </c>
      <c r="CH23" s="9">
        <v>-0.37232288718223572</v>
      </c>
      <c r="CI23" s="9">
        <v>0.62299466133117676</v>
      </c>
      <c r="CJ23" s="9">
        <v>0.80676329135894775</v>
      </c>
      <c r="CK23" s="9">
        <v>0.32692307233810425</v>
      </c>
      <c r="CL23" s="9">
        <v>0.89961057901382446</v>
      </c>
      <c r="CM23" s="10">
        <v>-0.67231959104537964</v>
      </c>
      <c r="CN23" s="10">
        <v>0.74774771928787231</v>
      </c>
      <c r="CO23" s="10">
        <v>0.93367326259613037</v>
      </c>
      <c r="CP23" s="10">
        <v>0.29293727874755859</v>
      </c>
      <c r="CQ23" s="10">
        <v>3.0209298133850098</v>
      </c>
      <c r="CR23">
        <v>71.825420278168465</v>
      </c>
      <c r="CS23">
        <v>1.5723818751974805</v>
      </c>
      <c r="CT23">
        <v>0.567000567000567</v>
      </c>
      <c r="CU23" s="9">
        <v>0.45679374337196349</v>
      </c>
      <c r="CV23" s="10">
        <v>0.86459369659423824</v>
      </c>
      <c r="CW23">
        <v>0.06</v>
      </c>
      <c r="CX23">
        <v>45.863768543631075</v>
      </c>
      <c r="CY23">
        <v>87366394.590712935</v>
      </c>
      <c r="CZ23">
        <v>0.45679374337196349</v>
      </c>
      <c r="DA23">
        <v>11.139443265754162</v>
      </c>
      <c r="DB23">
        <v>359708470.55871439</v>
      </c>
      <c r="DC23">
        <v>0.4339540562033653</v>
      </c>
      <c r="DD23">
        <v>3.5319247288215063</v>
      </c>
      <c r="DE23">
        <v>1134495326.9536397</v>
      </c>
      <c r="DF23">
        <v>0.40197849416732789</v>
      </c>
      <c r="DG23">
        <v>1.2176785378652808</v>
      </c>
      <c r="DH23">
        <v>3290648537.6876321</v>
      </c>
      <c r="DI23">
        <v>0.36543499469757079</v>
      </c>
      <c r="DJ23">
        <v>0.15679592895500444</v>
      </c>
      <c r="DK23">
        <v>25555204951.461914</v>
      </c>
      <c r="DL23">
        <v>0.31975562036037442</v>
      </c>
      <c r="DM23">
        <v>63570000</v>
      </c>
      <c r="DN23">
        <v>0.45679374337196349</v>
      </c>
      <c r="DO23">
        <v>4006952100</v>
      </c>
      <c r="DP23">
        <v>706571999.99999988</v>
      </c>
      <c r="DQ23">
        <v>2538</v>
      </c>
      <c r="DR23">
        <v>0.98132213485769348</v>
      </c>
      <c r="DS23">
        <v>1.7397015884244638</v>
      </c>
      <c r="DT23" s="11">
        <v>0.27666666666666662</v>
      </c>
      <c r="DU23">
        <v>1.325</v>
      </c>
      <c r="DV23">
        <v>1.6016666666666666</v>
      </c>
      <c r="DW23">
        <v>-9.5480295566502456</v>
      </c>
      <c r="DX23">
        <v>0.53470434362884056</v>
      </c>
      <c r="DY23">
        <v>-9.1121840306832951</v>
      </c>
      <c r="DZ23">
        <v>251</v>
      </c>
      <c r="EA23">
        <v>-9.1066736213483619</v>
      </c>
      <c r="EB23">
        <v>9</v>
      </c>
      <c r="EC23">
        <v>7.2422025568641954E-2</v>
      </c>
      <c r="ED23">
        <v>0.35378841642927278</v>
      </c>
      <c r="EE23" s="12">
        <v>2.10501</v>
      </c>
      <c r="EF23">
        <v>2.13611</v>
      </c>
      <c r="EG23">
        <v>33.20470434362884</v>
      </c>
      <c r="EH23" t="s">
        <v>588</v>
      </c>
      <c r="EI23">
        <v>0</v>
      </c>
      <c r="EJ23">
        <v>1</v>
      </c>
      <c r="EK23" s="14">
        <v>45470</v>
      </c>
      <c r="EL23" s="15">
        <v>-4.2300000000000004</v>
      </c>
      <c r="EM23" s="15">
        <v>-5.45</v>
      </c>
      <c r="EN23" s="15">
        <v>-5.19</v>
      </c>
      <c r="EO23" s="15">
        <v>1.81</v>
      </c>
      <c r="EP23" s="15">
        <v>-3.11</v>
      </c>
    </row>
    <row r="24" spans="1:146" ht="96" x14ac:dyDescent="0.25">
      <c r="A24" s="7" t="s">
        <v>583</v>
      </c>
      <c r="B24" s="7" t="s">
        <v>584</v>
      </c>
      <c r="C24" s="7" t="str">
        <f>""&amp;CHAR(10)&amp;Basic_Fundamental_Information_Constructure(F24)&amp;CHAR(10)&amp;Basic_Fundamental_Information_Concatenate("")</f>
        <v xml:space="preserve">
市值32.743085亿, 利润-1677.33万; PE91.71; 平均PE57.97; 平均PEG8.58, PB1.58; ROIC4.67%; ROE4.98%; 股利率2.9201%; 毛利40.1533%; 净利5.7567%; 上一年度营收增-81.68%, 利润增-151.46%; 当季营收增538.41%, 利润增2065.31%; 过往5年营收增-6.76%, 利润增-31.93%
Income profile:
</v>
      </c>
      <c r="D24" t="s">
        <v>393</v>
      </c>
      <c r="E24" t="s">
        <v>394</v>
      </c>
      <c r="F24">
        <v>20.72</v>
      </c>
      <c r="G24">
        <v>1.87</v>
      </c>
      <c r="H24" t="s">
        <v>1413</v>
      </c>
      <c r="I24">
        <v>3274308500</v>
      </c>
      <c r="J24">
        <v>91.71</v>
      </c>
      <c r="K24">
        <v>1.58</v>
      </c>
      <c r="L24" t="s">
        <v>290</v>
      </c>
      <c r="M24" t="s">
        <v>559</v>
      </c>
      <c r="N24" t="s">
        <v>1414</v>
      </c>
      <c r="O24" t="s">
        <v>804</v>
      </c>
      <c r="P24">
        <v>-7.18</v>
      </c>
      <c r="Q24" t="s">
        <v>110</v>
      </c>
      <c r="R24">
        <v>28976245</v>
      </c>
      <c r="S24" s="3">
        <v>-0.49009999999999998</v>
      </c>
      <c r="T24" t="s">
        <v>1415</v>
      </c>
      <c r="U24">
        <v>83090131</v>
      </c>
      <c r="V24">
        <v>158026470</v>
      </c>
      <c r="W24">
        <v>1.19</v>
      </c>
      <c r="X24">
        <v>0.12</v>
      </c>
      <c r="Y24">
        <v>9.5399999999999991</v>
      </c>
      <c r="Z24" t="s">
        <v>777</v>
      </c>
      <c r="AA24" t="s">
        <v>372</v>
      </c>
      <c r="AB24" t="s">
        <v>1416</v>
      </c>
      <c r="AC24" t="s">
        <v>1417</v>
      </c>
      <c r="AD24" t="s">
        <v>14</v>
      </c>
      <c r="AE24">
        <v>-5897303</v>
      </c>
      <c r="AF24" t="s">
        <v>1418</v>
      </c>
      <c r="AG24" t="s">
        <v>1419</v>
      </c>
      <c r="AH24" t="s">
        <v>1420</v>
      </c>
      <c r="AI24" t="s">
        <v>806</v>
      </c>
      <c r="AJ24" t="s">
        <v>1421</v>
      </c>
      <c r="AK24" t="s">
        <v>14</v>
      </c>
      <c r="AL24" t="s">
        <v>1422</v>
      </c>
      <c r="AM24" t="s">
        <v>14</v>
      </c>
      <c r="AN24" t="s">
        <v>1423</v>
      </c>
      <c r="AO24" t="s">
        <v>14</v>
      </c>
      <c r="AP24" t="s">
        <v>14</v>
      </c>
      <c r="AQ24" t="s">
        <v>1424</v>
      </c>
      <c r="AR24" t="s">
        <v>14</v>
      </c>
      <c r="AS24" t="s">
        <v>1425</v>
      </c>
      <c r="AT24" t="s">
        <v>14</v>
      </c>
      <c r="AU24" t="s">
        <v>1426</v>
      </c>
      <c r="AV24" t="s">
        <v>1427</v>
      </c>
      <c r="AW24" t="s">
        <v>1428</v>
      </c>
      <c r="AX24" t="s">
        <v>639</v>
      </c>
      <c r="AY24" t="s">
        <v>640</v>
      </c>
      <c r="AZ24" t="s">
        <v>641</v>
      </c>
      <c r="BA24" t="s">
        <v>642</v>
      </c>
      <c r="BB24" t="s">
        <v>395</v>
      </c>
      <c r="BC24" t="s">
        <v>1429</v>
      </c>
      <c r="BD24" t="s">
        <v>643</v>
      </c>
      <c r="BE24" t="s">
        <v>113</v>
      </c>
      <c r="BF24" t="s">
        <v>644</v>
      </c>
      <c r="BG24" t="s">
        <v>645</v>
      </c>
      <c r="BH24" t="s">
        <v>308</v>
      </c>
      <c r="BI24" t="s">
        <v>1430</v>
      </c>
      <c r="BJ24" t="s">
        <v>639</v>
      </c>
      <c r="BK24" t="s">
        <v>1431</v>
      </c>
      <c r="BL24" t="s">
        <v>1432</v>
      </c>
      <c r="BM24" t="s">
        <v>1429</v>
      </c>
      <c r="BN24">
        <v>3.95</v>
      </c>
      <c r="BO24">
        <v>1.67</v>
      </c>
      <c r="BP24">
        <v>8.39</v>
      </c>
      <c r="BQ24">
        <v>4.62</v>
      </c>
      <c r="BR24">
        <v>1.74</v>
      </c>
      <c r="BS24">
        <v>8.58</v>
      </c>
      <c r="BT24" t="s">
        <v>1433</v>
      </c>
      <c r="BU24" t="s">
        <v>937</v>
      </c>
      <c r="BV24">
        <v>41.76</v>
      </c>
      <c r="BW24">
        <v>38.4</v>
      </c>
      <c r="BX24">
        <v>40.299999999999997</v>
      </c>
      <c r="BY24">
        <v>4.88</v>
      </c>
      <c r="BZ24">
        <v>3.42</v>
      </c>
      <c r="CA24">
        <v>8.9700000000000006</v>
      </c>
      <c r="CB24">
        <v>-0.65</v>
      </c>
      <c r="CC24">
        <v>-15.58</v>
      </c>
      <c r="CD24" t="s">
        <v>1434</v>
      </c>
      <c r="CE24" t="s">
        <v>1435</v>
      </c>
      <c r="CF24" s="9">
        <v>5.3840939738632949</v>
      </c>
      <c r="CG24" s="10">
        <v>20.65314975340009</v>
      </c>
      <c r="CH24" s="9">
        <v>-0.81675392389297485</v>
      </c>
      <c r="CI24" s="9">
        <v>-7.276507094502449E-3</v>
      </c>
      <c r="CJ24" s="9">
        <v>0.14797136187553406</v>
      </c>
      <c r="CK24" s="9">
        <v>0.12332439422607422</v>
      </c>
      <c r="CL24" s="9">
        <v>0.21498371660709381</v>
      </c>
      <c r="CM24" s="10">
        <v>-1.5146352052688599</v>
      </c>
      <c r="CN24" s="10">
        <v>-0.62261492013931274</v>
      </c>
      <c r="CO24" s="10">
        <v>-0.13635696470737457</v>
      </c>
      <c r="CP24" s="10">
        <v>0.24067631363868713</v>
      </c>
      <c r="CQ24" s="10">
        <v>0.43662118911743164</v>
      </c>
      <c r="CR24">
        <v>57.97125906822135</v>
      </c>
      <c r="CS24">
        <v>8.5819533072016672</v>
      </c>
      <c r="CT24">
        <v>2.9200849420849422</v>
      </c>
      <c r="CU24" s="9">
        <v>-6.7550191655755043E-2</v>
      </c>
      <c r="CV24" s="10">
        <v>-0.3192619174718857</v>
      </c>
      <c r="CW24">
        <v>0.06</v>
      </c>
      <c r="CX24" t="e">
        <v>#VALUE!</v>
      </c>
      <c r="CY24" t="s">
        <v>465</v>
      </c>
      <c r="CZ24">
        <v>-6.7550191655755043E-2</v>
      </c>
      <c r="DA24" t="e">
        <v>#VALUE!</v>
      </c>
      <c r="DB24" t="s">
        <v>465</v>
      </c>
      <c r="DC24">
        <v>-6.4172682072967294E-2</v>
      </c>
      <c r="DD24" t="e">
        <v>#VALUE!</v>
      </c>
      <c r="DE24" t="s">
        <v>465</v>
      </c>
      <c r="DF24">
        <v>-5.9444168657064436E-2</v>
      </c>
      <c r="DG24" t="e">
        <v>#VALUE!</v>
      </c>
      <c r="DH24" t="s">
        <v>465</v>
      </c>
      <c r="DI24">
        <v>-5.4040153324604039E-2</v>
      </c>
      <c r="DJ24" t="e">
        <v>#VALUE!</v>
      </c>
      <c r="DK24" t="s">
        <v>465</v>
      </c>
      <c r="DL24">
        <v>-4.7285134159028526E-2</v>
      </c>
      <c r="DM24">
        <v>-16773300</v>
      </c>
      <c r="DN24">
        <v>-6.7550191655755043E-2</v>
      </c>
      <c r="DO24">
        <v>1616308499.9999998</v>
      </c>
      <c r="DP24">
        <v>1581461500</v>
      </c>
      <c r="DQ24">
        <v>2545</v>
      </c>
      <c r="DR24">
        <v>5.45164416551905</v>
      </c>
      <c r="DS24">
        <v>20.972411670871974</v>
      </c>
      <c r="DT24" s="11">
        <v>-0.67333333333333334</v>
      </c>
      <c r="DU24">
        <v>-1.0533333333333335</v>
      </c>
      <c r="DV24">
        <v>-1.7266666666666668</v>
      </c>
      <c r="DW24">
        <v>-2.1558000000000002</v>
      </c>
      <c r="DX24">
        <v>0.40357463820008976</v>
      </c>
      <c r="DY24">
        <v>-2.0192529286315741</v>
      </c>
      <c r="DZ24">
        <v>2898</v>
      </c>
      <c r="EA24">
        <v>-2.0083341444487361</v>
      </c>
      <c r="EB24">
        <v>2</v>
      </c>
      <c r="EC24">
        <v>1.987388568510073E-2</v>
      </c>
      <c r="ED24">
        <v>0.16082495546473954</v>
      </c>
      <c r="EE24" s="12">
        <v>-8.0135000000000005</v>
      </c>
      <c r="EF24">
        <v>-8.0044000000000004</v>
      </c>
      <c r="EG24">
        <v>28.12357463820009</v>
      </c>
      <c r="EH24" t="s">
        <v>1436</v>
      </c>
      <c r="EI24">
        <v>0</v>
      </c>
      <c r="EJ24">
        <v>0</v>
      </c>
      <c r="EK24" s="14">
        <v>45470</v>
      </c>
      <c r="EL24" s="15">
        <v>-1.97</v>
      </c>
      <c r="EM24" s="15">
        <v>-6.45</v>
      </c>
      <c r="EN24" s="15">
        <v>-0.09</v>
      </c>
      <c r="EO24" s="15">
        <v>8.15</v>
      </c>
      <c r="EP24" s="15">
        <v>-0.91</v>
      </c>
    </row>
    <row r="25" spans="1:146" ht="156" x14ac:dyDescent="0.25">
      <c r="A25" s="7"/>
      <c r="B25" s="7"/>
      <c r="C25" s="7" t="str">
        <f>"公司主要致力于为跨国制药企业及医药研发机构提供关键医药中间体CDMO服务，并从事左旋肉碱系列产品的研发、生产和销售。公司主要产品及服务是CDMO业务、左旋肉碱系列产品、原料药。"&amp;CHAR(10)&amp;Basic_Fundamental_Information_Constructure(F25)&amp;CHAR(10)&amp;Basic_Fundamental_Information_Concatenate("（境外占比51%）
食品制造业 2.49亿 59.85% 59.80% 49.90%
医药制造业 1.67亿 40.11% 40.20% 50.04%")</f>
        <v>公司主要致力于为跨国制药企业及医药研发机构提供关键医药中间体CDMO服务，并从事左旋肉碱系列产品的研发、生产和销售。公司主要产品及服务是CDMO业务、左旋肉碱系列产品、原料药。
市值28.560172亿, 利润6191.89万; PE31.74; 平均PE38.09; 平均PEG.93, PB1.27; ROIC9.6667%; ROE9.53%; 股利率1.0834%; 毛利46.9567%; 净利23.9967%; 上一年度营收增123.11%, 利润增-41.59%; 当季营收增-35.26%, 利润增146.03%; 过往5年营收增41.03%, 利润增155.66%
Income profile:
（境外占比51%）
食品制造业 2.49亿 59.85% 59.80% 49.90%
医药制造业 1.67亿 40.11% 40.20% 50.04%</v>
      </c>
      <c r="D25" t="s">
        <v>396</v>
      </c>
      <c r="E25" t="s">
        <v>397</v>
      </c>
      <c r="F25">
        <v>18.46</v>
      </c>
      <c r="G25">
        <v>4.47</v>
      </c>
      <c r="H25" t="s">
        <v>1437</v>
      </c>
      <c r="I25">
        <v>2856017200</v>
      </c>
      <c r="J25">
        <v>31.74</v>
      </c>
      <c r="K25">
        <v>1.27</v>
      </c>
      <c r="L25" t="s">
        <v>290</v>
      </c>
      <c r="M25" t="s">
        <v>83</v>
      </c>
      <c r="N25" t="s">
        <v>1438</v>
      </c>
      <c r="O25" t="s">
        <v>544</v>
      </c>
      <c r="P25">
        <v>-1.28</v>
      </c>
      <c r="Q25" t="s">
        <v>1439</v>
      </c>
      <c r="R25">
        <v>18644506</v>
      </c>
      <c r="S25" s="3">
        <v>-5.0900000000000001E-2</v>
      </c>
      <c r="T25" t="s">
        <v>1440</v>
      </c>
      <c r="U25">
        <v>87193824</v>
      </c>
      <c r="V25">
        <v>154713820</v>
      </c>
      <c r="W25">
        <v>1.07</v>
      </c>
      <c r="X25">
        <v>0.04</v>
      </c>
      <c r="Y25">
        <v>18.559999999999999</v>
      </c>
      <c r="Z25" t="s">
        <v>1441</v>
      </c>
      <c r="AA25" t="s">
        <v>1442</v>
      </c>
      <c r="AB25" t="s">
        <v>1443</v>
      </c>
      <c r="AC25" t="s">
        <v>1444</v>
      </c>
      <c r="AD25" t="s">
        <v>14</v>
      </c>
      <c r="AE25">
        <v>-889353</v>
      </c>
      <c r="AF25" t="s">
        <v>1445</v>
      </c>
      <c r="AG25">
        <v>2385.7399999999998</v>
      </c>
      <c r="AH25" t="s">
        <v>1446</v>
      </c>
      <c r="AI25" t="s">
        <v>1447</v>
      </c>
      <c r="AJ25" t="s">
        <v>1448</v>
      </c>
      <c r="AK25" t="s">
        <v>1449</v>
      </c>
      <c r="AL25" t="s">
        <v>1450</v>
      </c>
      <c r="AM25" t="s">
        <v>14</v>
      </c>
      <c r="AN25" t="s">
        <v>800</v>
      </c>
      <c r="AO25" t="s">
        <v>1451</v>
      </c>
      <c r="AP25" t="s">
        <v>1452</v>
      </c>
      <c r="AQ25" t="s">
        <v>73</v>
      </c>
      <c r="AR25" t="s">
        <v>1453</v>
      </c>
      <c r="AS25" t="s">
        <v>54</v>
      </c>
      <c r="AT25" t="s">
        <v>14</v>
      </c>
      <c r="AU25" t="s">
        <v>1454</v>
      </c>
      <c r="AV25" t="s">
        <v>1455</v>
      </c>
      <c r="AW25" t="s">
        <v>1456</v>
      </c>
      <c r="AX25" t="s">
        <v>559</v>
      </c>
      <c r="AY25" t="s">
        <v>254</v>
      </c>
      <c r="AZ25" t="s">
        <v>398</v>
      </c>
      <c r="BA25" t="s">
        <v>323</v>
      </c>
      <c r="BB25" t="s">
        <v>55</v>
      </c>
      <c r="BC25" t="s">
        <v>74</v>
      </c>
      <c r="BD25" t="s">
        <v>113</v>
      </c>
      <c r="BE25" t="s">
        <v>114</v>
      </c>
      <c r="BF25" t="s">
        <v>399</v>
      </c>
      <c r="BG25" t="s">
        <v>400</v>
      </c>
      <c r="BH25" t="s">
        <v>1457</v>
      </c>
      <c r="BI25" t="s">
        <v>68</v>
      </c>
      <c r="BJ25" t="s">
        <v>559</v>
      </c>
      <c r="BK25" t="s">
        <v>1458</v>
      </c>
      <c r="BL25" t="s">
        <v>1459</v>
      </c>
      <c r="BM25" t="s">
        <v>74</v>
      </c>
      <c r="BN25">
        <v>2.5099999999999998</v>
      </c>
      <c r="BO25">
        <v>7.52</v>
      </c>
      <c r="BP25">
        <v>18.97</v>
      </c>
      <c r="BQ25">
        <v>2.74</v>
      </c>
      <c r="BR25">
        <v>5.21</v>
      </c>
      <c r="BS25">
        <v>20.64</v>
      </c>
      <c r="BT25" t="s">
        <v>624</v>
      </c>
      <c r="BU25" t="s">
        <v>501</v>
      </c>
      <c r="BV25">
        <v>42.89</v>
      </c>
      <c r="BW25">
        <v>48.01</v>
      </c>
      <c r="BX25">
        <v>49.97</v>
      </c>
      <c r="BY25">
        <v>21.99</v>
      </c>
      <c r="BZ25">
        <v>25.88</v>
      </c>
      <c r="CA25">
        <v>24.12</v>
      </c>
      <c r="CB25">
        <v>1.43</v>
      </c>
      <c r="CC25">
        <v>-8.6999999999999993</v>
      </c>
      <c r="CD25" t="s">
        <v>1460</v>
      </c>
      <c r="CE25" t="s">
        <v>1461</v>
      </c>
      <c r="CF25" s="9">
        <v>-0.35256410256410259</v>
      </c>
      <c r="CG25" s="10">
        <v>1.4603465294272895</v>
      </c>
      <c r="CH25" s="9">
        <v>1.231143593788147</v>
      </c>
      <c r="CI25" s="9">
        <v>-1.2019230984151363E-2</v>
      </c>
      <c r="CJ25" s="9">
        <v>0.11528149992227554</v>
      </c>
      <c r="CK25" s="9">
        <v>0.26870748400688171</v>
      </c>
      <c r="CL25" s="9">
        <v>0.4482758641242981</v>
      </c>
      <c r="CM25" s="10">
        <v>-0.41585943102836609</v>
      </c>
      <c r="CN25" s="10">
        <v>5.9999998658895493E-2</v>
      </c>
      <c r="CO25" s="10">
        <v>-0.1735537201166153</v>
      </c>
      <c r="CP25" s="10">
        <v>1.2314883470535278</v>
      </c>
      <c r="CQ25" s="10">
        <v>7.0809378623962402</v>
      </c>
      <c r="CR25">
        <v>38.092681407633478</v>
      </c>
      <c r="CS25">
        <v>0.92846060625694937</v>
      </c>
      <c r="CT25">
        <v>1.0834236186348862</v>
      </c>
      <c r="CU25" s="9">
        <v>0.41027784217149021</v>
      </c>
      <c r="CV25" s="10">
        <v>1.5566026113927365</v>
      </c>
      <c r="CW25">
        <v>0.06</v>
      </c>
      <c r="CX25">
        <v>9.5413537970141569</v>
      </c>
      <c r="CY25">
        <v>82380049.699653089</v>
      </c>
      <c r="CZ25">
        <v>0.41027784217149021</v>
      </c>
      <c r="DA25">
        <v>2.4024833250265583</v>
      </c>
      <c r="DB25">
        <v>327168639.13771844</v>
      </c>
      <c r="DC25">
        <v>0.3897639500629157</v>
      </c>
      <c r="DD25">
        <v>0.80655225523061269</v>
      </c>
      <c r="DE25">
        <v>974539708.86890495</v>
      </c>
      <c r="DF25">
        <v>0.36104450111091141</v>
      </c>
      <c r="DG25">
        <v>0.30009771716724776</v>
      </c>
      <c r="DH25">
        <v>2619204195.9517603</v>
      </c>
      <c r="DI25">
        <v>0.32822227373719221</v>
      </c>
      <c r="DJ25">
        <v>4.7056854690594459E-2</v>
      </c>
      <c r="DK25">
        <v>16703564340.799557</v>
      </c>
      <c r="DL25">
        <v>0.28719448952004312</v>
      </c>
      <c r="DM25">
        <v>61918900</v>
      </c>
      <c r="DN25">
        <v>0.41027784217149021</v>
      </c>
      <c r="DO25">
        <v>786017200</v>
      </c>
      <c r="DP25">
        <v>1415715900</v>
      </c>
      <c r="DQ25">
        <v>2626</v>
      </c>
      <c r="DR25">
        <v>-0.76284194473559275</v>
      </c>
      <c r="DS25">
        <v>-9.6256081965446993E-2</v>
      </c>
      <c r="DT25" s="11">
        <v>0.10999999999999995</v>
      </c>
      <c r="DU25">
        <v>0.86666666666666659</v>
      </c>
      <c r="DV25">
        <v>0.97666666666666657</v>
      </c>
      <c r="DW25">
        <v>-2.0870000000000002</v>
      </c>
      <c r="DX25">
        <v>0.48764198373295187</v>
      </c>
      <c r="DY25">
        <v>-2.0102348525847669</v>
      </c>
      <c r="DZ25">
        <v>2964</v>
      </c>
      <c r="EA25">
        <v>-2.0042982375042877</v>
      </c>
      <c r="EB25">
        <v>2</v>
      </c>
      <c r="EC25">
        <v>3.877869475396574E-2</v>
      </c>
      <c r="ED25">
        <v>0.32963312521143878</v>
      </c>
      <c r="EE25" s="12">
        <v>-3.0840100000000001</v>
      </c>
      <c r="EF25">
        <v>-3.1036100000000002</v>
      </c>
      <c r="EG25">
        <v>37.117641983732952</v>
      </c>
      <c r="EH25" t="s">
        <v>890</v>
      </c>
      <c r="EI25">
        <v>0</v>
      </c>
      <c r="EJ25">
        <v>0</v>
      </c>
      <c r="EK25" s="14">
        <v>45470</v>
      </c>
      <c r="EL25" s="15">
        <v>-1.51</v>
      </c>
      <c r="EM25" s="15">
        <v>-4.92</v>
      </c>
      <c r="EN25" s="15">
        <v>0.4</v>
      </c>
      <c r="EO25" s="15">
        <v>5.45</v>
      </c>
      <c r="EP25" s="15">
        <v>-1.96</v>
      </c>
    </row>
    <row r="26" spans="1:146" ht="168" x14ac:dyDescent="0.25">
      <c r="C26" s="7" t="str">
        <f>"公司是一家新药研发以及商业化生产一站式综合服务商，致力于药物发现、制药工艺的研究开发以及原料药中间体的商业化生产。主营业务主要涵盖药物发现（CRO）、工艺研究与开发（CRO/CDMO）以及商业化生产（含CMO）。"&amp;CHAR(10)&amp;Basic_Fundamental_Information_Constructure(F26)&amp;CHAR(10)&amp;Basic_Fundamental_Information_Concatenate("药物发现 2.35亿 52.41% 55.71% 41.13%
商业化生产 1.19亿 26.49% 19.75% 28.85%
工艺研究与开发 9282.71万 20.71% 23.52% 43.94%")</f>
        <v>公司是一家新药研发以及商业化生产一站式综合服务商，致力于药物发现、制药工艺的研究开发以及原料药中间体的商业化生产。主营业务主要涵盖药物发现（CRO）、工艺研究与开发（CRO/CDMO）以及商业化生产（含CMO）。
市值31.700118亿, 利润996.05万; PE121.9; 平均PE74.34; 平均PEG2.81, PB2.87; ROIC11.8233%; ROE13.8233%; 股利率1.4531%; 毛利35.48%; 净利12.71%; 上一年度营收增-42.8%, 利润增-85.17%; 当季营收增98.69%, 利润增7.33%; 过往5年营收增26.48%, 利润增74.99%
Income profile:
药物发现 2.35亿 52.41% 55.71% 41.13%
商业化生产 1.19亿 26.49% 19.75% 28.85%
工艺研究与开发 9282.71万 20.71% 23.52% 43.94%</v>
      </c>
      <c r="D26" s="3" t="s">
        <v>560</v>
      </c>
      <c r="E26" t="s">
        <v>561</v>
      </c>
      <c r="F26">
        <v>22.71</v>
      </c>
      <c r="G26">
        <v>4.6100000000000003</v>
      </c>
      <c r="H26" t="s">
        <v>1462</v>
      </c>
      <c r="I26">
        <v>3170011800</v>
      </c>
      <c r="J26">
        <v>121.9</v>
      </c>
      <c r="K26">
        <v>2.87</v>
      </c>
      <c r="L26" t="s">
        <v>290</v>
      </c>
      <c r="M26" t="s">
        <v>837</v>
      </c>
      <c r="N26" t="s">
        <v>834</v>
      </c>
      <c r="O26" t="s">
        <v>94</v>
      </c>
      <c r="P26" s="3">
        <v>7.69</v>
      </c>
      <c r="Q26" t="s">
        <v>1463</v>
      </c>
      <c r="R26">
        <v>3667661</v>
      </c>
      <c r="S26">
        <v>-0.75990000000000002</v>
      </c>
      <c r="T26" t="s">
        <v>1464</v>
      </c>
      <c r="U26">
        <v>76860305</v>
      </c>
      <c r="V26">
        <v>139586610</v>
      </c>
      <c r="W26">
        <v>1.31</v>
      </c>
      <c r="X26">
        <v>0.09</v>
      </c>
      <c r="Y26">
        <v>2.81</v>
      </c>
      <c r="Z26" t="s">
        <v>51</v>
      </c>
      <c r="AA26" t="s">
        <v>889</v>
      </c>
      <c r="AB26" t="s">
        <v>1465</v>
      </c>
      <c r="AC26" t="s">
        <v>1466</v>
      </c>
      <c r="AD26" t="s">
        <v>14</v>
      </c>
      <c r="AE26">
        <v>454454</v>
      </c>
      <c r="AF26" t="s">
        <v>1467</v>
      </c>
      <c r="AG26" t="s">
        <v>1468</v>
      </c>
      <c r="AH26" t="s">
        <v>1469</v>
      </c>
      <c r="AI26" t="s">
        <v>76</v>
      </c>
      <c r="AJ26" t="s">
        <v>1470</v>
      </c>
      <c r="AK26" t="s">
        <v>1471</v>
      </c>
      <c r="AL26" t="s">
        <v>1472</v>
      </c>
      <c r="AM26" t="s">
        <v>14</v>
      </c>
      <c r="AN26" t="s">
        <v>386</v>
      </c>
      <c r="AO26" t="s">
        <v>1473</v>
      </c>
      <c r="AP26" t="s">
        <v>1474</v>
      </c>
      <c r="AQ26" t="s">
        <v>1475</v>
      </c>
      <c r="AR26" t="s">
        <v>1476</v>
      </c>
      <c r="AS26" t="s">
        <v>64</v>
      </c>
      <c r="AT26" t="s">
        <v>14</v>
      </c>
      <c r="AU26" t="s">
        <v>1477</v>
      </c>
      <c r="AV26" t="s">
        <v>1478</v>
      </c>
      <c r="AW26" t="s">
        <v>1479</v>
      </c>
      <c r="AX26" t="s">
        <v>646</v>
      </c>
      <c r="AY26" t="s">
        <v>490</v>
      </c>
      <c r="AZ26" t="s">
        <v>468</v>
      </c>
      <c r="BA26" t="s">
        <v>519</v>
      </c>
      <c r="BB26" t="s">
        <v>563</v>
      </c>
      <c r="BC26" t="s">
        <v>647</v>
      </c>
      <c r="BD26" t="s">
        <v>562</v>
      </c>
      <c r="BE26" t="s">
        <v>564</v>
      </c>
      <c r="BF26" t="s">
        <v>565</v>
      </c>
      <c r="BG26" t="s">
        <v>566</v>
      </c>
      <c r="BH26" t="s">
        <v>1480</v>
      </c>
      <c r="BI26" t="s">
        <v>1481</v>
      </c>
      <c r="BJ26" t="s">
        <v>646</v>
      </c>
      <c r="BK26" t="s">
        <v>1482</v>
      </c>
      <c r="BL26" t="s">
        <v>1483</v>
      </c>
      <c r="BM26" t="s">
        <v>647</v>
      </c>
      <c r="BN26">
        <v>3.76</v>
      </c>
      <c r="BO26">
        <v>9.11</v>
      </c>
      <c r="BP26">
        <v>22.6</v>
      </c>
      <c r="BQ26">
        <v>4.03</v>
      </c>
      <c r="BR26">
        <v>13.38</v>
      </c>
      <c r="BS26">
        <v>24.06</v>
      </c>
      <c r="BT26" t="s">
        <v>1484</v>
      </c>
      <c r="BU26" t="s">
        <v>501</v>
      </c>
      <c r="BV26">
        <v>30.88</v>
      </c>
      <c r="BW26">
        <v>36.869999999999997</v>
      </c>
      <c r="BX26">
        <v>38.69</v>
      </c>
      <c r="BY26">
        <v>7.68</v>
      </c>
      <c r="BZ26">
        <v>14.03</v>
      </c>
      <c r="CA26">
        <v>16.420000000000002</v>
      </c>
      <c r="CB26">
        <v>0.84</v>
      </c>
      <c r="CC26" s="9">
        <v>-11.77</v>
      </c>
      <c r="CD26" s="10" t="s">
        <v>1485</v>
      </c>
      <c r="CE26" s="9" t="s">
        <v>1486</v>
      </c>
      <c r="CF26" s="9">
        <v>0.98688956230794667</v>
      </c>
      <c r="CG26" s="9">
        <v>7.3262809820618613E-2</v>
      </c>
      <c r="CH26" s="9">
        <v>-0.42797493934631348</v>
      </c>
      <c r="CI26" s="9">
        <v>6.9196425378322601E-2</v>
      </c>
      <c r="CJ26" s="10">
        <v>0.58303886651992798</v>
      </c>
      <c r="CK26" s="10">
        <v>0.15510204434394836</v>
      </c>
      <c r="CL26" s="10">
        <v>0.94444441795349121</v>
      </c>
      <c r="CM26" s="10">
        <v>-0.85172510147094727</v>
      </c>
      <c r="CN26" s="10">
        <v>-8.6993634700775146E-2</v>
      </c>
      <c r="CO26">
        <v>0.51107996702194214</v>
      </c>
      <c r="CP26">
        <v>3.0403325334191322E-2</v>
      </c>
      <c r="CQ26">
        <v>4.1468420028686523</v>
      </c>
      <c r="CR26" s="9">
        <v>74.343500088336327</v>
      </c>
      <c r="CS26" s="10">
        <v>2.8079436989752602</v>
      </c>
      <c r="CT26">
        <v>1.4531043593130779</v>
      </c>
      <c r="CU26">
        <v>0.26476136296987535</v>
      </c>
      <c r="CV26">
        <v>0.74992131181061272</v>
      </c>
      <c r="CW26">
        <v>0.06</v>
      </c>
      <c r="CX26">
        <v>205.05660728262032</v>
      </c>
      <c r="CY26">
        <v>11884580.713076834</v>
      </c>
      <c r="CZ26">
        <v>0.26476136296987535</v>
      </c>
      <c r="DA26">
        <v>57.970180002805122</v>
      </c>
      <c r="DB26">
        <v>42039058.700215787</v>
      </c>
      <c r="DC26">
        <v>0.25152329482138158</v>
      </c>
      <c r="DD26">
        <v>23.241488342501729</v>
      </c>
      <c r="DE26">
        <v>104856098.89033803</v>
      </c>
      <c r="DF26">
        <v>0.2329899994134903</v>
      </c>
      <c r="DG26">
        <v>10.89551662822516</v>
      </c>
      <c r="DH26">
        <v>223671064.26939395</v>
      </c>
      <c r="DI26">
        <v>0.21180909037590029</v>
      </c>
      <c r="DJ26">
        <v>3.0992118237266491</v>
      </c>
      <c r="DK26">
        <v>786332764.13795221</v>
      </c>
      <c r="DL26">
        <v>0.18533295407891273</v>
      </c>
      <c r="DM26">
        <v>9960500</v>
      </c>
      <c r="DN26">
        <v>0.26476136296987535</v>
      </c>
      <c r="DO26">
        <v>2437011800</v>
      </c>
      <c r="DP26">
        <v>524273370</v>
      </c>
      <c r="DQ26" s="11">
        <v>2652</v>
      </c>
      <c r="DR26">
        <v>0.72212819933807126</v>
      </c>
      <c r="DS26">
        <v>-0.67665850198999411</v>
      </c>
      <c r="DT26">
        <v>-0.15666666666666665</v>
      </c>
      <c r="DU26">
        <v>0.28000000000000003</v>
      </c>
      <c r="DV26">
        <v>0.12333333333333338</v>
      </c>
      <c r="DW26">
        <v>-2.1177000000000001</v>
      </c>
      <c r="DX26">
        <v>0.52091131431933035</v>
      </c>
      <c r="DY26">
        <v>-2.0177622616953852</v>
      </c>
      <c r="DZ26">
        <v>697</v>
      </c>
      <c r="EA26">
        <v>-2.0153395031040575</v>
      </c>
      <c r="EB26" s="12">
        <v>2</v>
      </c>
      <c r="EC26">
        <v>0.10732834617876313</v>
      </c>
      <c r="ED26">
        <v>0.71120145406497082</v>
      </c>
      <c r="EE26">
        <v>2.1041099999999999</v>
      </c>
      <c r="EF26">
        <v>2.1424099999999999</v>
      </c>
      <c r="EG26">
        <v>37.15091131431933</v>
      </c>
      <c r="EH26" s="14" t="s">
        <v>588</v>
      </c>
      <c r="EI26" s="15">
        <v>0</v>
      </c>
      <c r="EJ26" s="15">
        <v>1</v>
      </c>
      <c r="EK26" s="15">
        <v>45470</v>
      </c>
      <c r="EL26" s="15">
        <v>1.48</v>
      </c>
      <c r="EM26" s="15">
        <v>-2.17</v>
      </c>
      <c r="EN26" s="15">
        <v>1.53</v>
      </c>
      <c r="EO26" s="15">
        <v>-0.44</v>
      </c>
      <c r="EP26" s="15">
        <v>-3.83</v>
      </c>
    </row>
    <row r="27" spans="1:146" ht="96" x14ac:dyDescent="0.25">
      <c r="A27" s="7"/>
      <c r="B27" s="7"/>
      <c r="C27" s="7" t="str">
        <f>""&amp;CHAR(10)&amp;Basic_Fundamental_Information_Constructure(F27)&amp;CHAR(10)&amp;Basic_Fundamental_Information_Concatenate("")</f>
        <v xml:space="preserve">
市值18.28992亿, 利润5.34亿; PE19.76; 平均PE12.78; 平均PEG.04, PB1.06; ROIC8.4233%; ROE8.3933%; 股利率.5774%; 毛利37.8567%; 净利8.2567%; 上一年度营收增1378.64%, 利润增423.53%; 当季营收增-94.53%, 利润增-152.88%; 过往5年营收增299.46%, 利润增118.05%
Income profile:
</v>
      </c>
      <c r="D27" t="s">
        <v>401</v>
      </c>
      <c r="E27" t="s">
        <v>402</v>
      </c>
      <c r="F27">
        <v>17.32</v>
      </c>
      <c r="G27">
        <v>2.85</v>
      </c>
      <c r="H27" t="s">
        <v>1487</v>
      </c>
      <c r="I27">
        <v>1828992000</v>
      </c>
      <c r="J27">
        <v>19.760000000000002</v>
      </c>
      <c r="K27">
        <v>1.06</v>
      </c>
      <c r="L27" t="s">
        <v>290</v>
      </c>
      <c r="M27" t="s">
        <v>653</v>
      </c>
      <c r="N27" t="s">
        <v>1488</v>
      </c>
      <c r="O27" t="s">
        <v>830</v>
      </c>
      <c r="P27">
        <v>-4.37</v>
      </c>
      <c r="Q27" t="s">
        <v>1489</v>
      </c>
      <c r="R27">
        <v>-32071671</v>
      </c>
      <c r="S27" s="3">
        <v>-0.8528</v>
      </c>
      <c r="T27" t="s">
        <v>1362</v>
      </c>
      <c r="U27">
        <v>50952000</v>
      </c>
      <c r="V27">
        <v>105600000</v>
      </c>
      <c r="W27">
        <v>1.62</v>
      </c>
      <c r="X27">
        <v>0.08</v>
      </c>
      <c r="Y27">
        <v>-13.96</v>
      </c>
      <c r="Z27" t="s">
        <v>155</v>
      </c>
      <c r="AA27" t="s">
        <v>621</v>
      </c>
      <c r="AB27" t="s">
        <v>1490</v>
      </c>
      <c r="AC27" t="s">
        <v>1491</v>
      </c>
      <c r="AD27" t="s">
        <v>14</v>
      </c>
      <c r="AE27">
        <v>4379521</v>
      </c>
      <c r="AF27" t="s">
        <v>1418</v>
      </c>
      <c r="AG27" t="s">
        <v>1492</v>
      </c>
      <c r="AH27" t="s">
        <v>1493</v>
      </c>
      <c r="AI27" t="s">
        <v>106</v>
      </c>
      <c r="AJ27" t="s">
        <v>1494</v>
      </c>
      <c r="AK27" t="s">
        <v>1495</v>
      </c>
      <c r="AL27" t="s">
        <v>1496</v>
      </c>
      <c r="AM27" t="s">
        <v>14</v>
      </c>
      <c r="AN27" t="s">
        <v>1497</v>
      </c>
      <c r="AO27" t="s">
        <v>1498</v>
      </c>
      <c r="AP27" t="s">
        <v>1499</v>
      </c>
      <c r="AQ27" t="s">
        <v>71</v>
      </c>
      <c r="AR27" t="s">
        <v>14</v>
      </c>
      <c r="AS27" t="s">
        <v>1500</v>
      </c>
      <c r="AT27" t="s">
        <v>14</v>
      </c>
      <c r="AU27" t="s">
        <v>1501</v>
      </c>
      <c r="AV27" t="s">
        <v>1502</v>
      </c>
      <c r="AW27" t="s">
        <v>579</v>
      </c>
      <c r="AX27" t="s">
        <v>648</v>
      </c>
      <c r="AY27" t="s">
        <v>403</v>
      </c>
      <c r="AZ27" t="s">
        <v>405</v>
      </c>
      <c r="BA27" t="s">
        <v>406</v>
      </c>
      <c r="BB27" t="s">
        <v>407</v>
      </c>
      <c r="BC27" t="s">
        <v>63</v>
      </c>
      <c r="BD27" t="s">
        <v>404</v>
      </c>
      <c r="BE27" t="s">
        <v>409</v>
      </c>
      <c r="BF27" t="s">
        <v>410</v>
      </c>
      <c r="BG27" t="s">
        <v>411</v>
      </c>
      <c r="BH27" t="s">
        <v>1503</v>
      </c>
      <c r="BI27" t="s">
        <v>1504</v>
      </c>
      <c r="BJ27" t="s">
        <v>648</v>
      </c>
      <c r="BK27" t="s">
        <v>72</v>
      </c>
      <c r="BL27" t="s">
        <v>1505</v>
      </c>
      <c r="BM27" t="s">
        <v>63</v>
      </c>
      <c r="BN27">
        <v>3.34</v>
      </c>
      <c r="BO27">
        <v>8.51</v>
      </c>
      <c r="BP27">
        <v>13.42</v>
      </c>
      <c r="BQ27">
        <v>3.66</v>
      </c>
      <c r="BR27">
        <v>6.76</v>
      </c>
      <c r="BS27">
        <v>14.76</v>
      </c>
      <c r="BT27" t="s">
        <v>557</v>
      </c>
      <c r="BU27" t="s">
        <v>456</v>
      </c>
      <c r="BV27">
        <v>38.04</v>
      </c>
      <c r="BW27">
        <v>38.270000000000003</v>
      </c>
      <c r="BX27">
        <v>37.26</v>
      </c>
      <c r="BY27">
        <v>6.7</v>
      </c>
      <c r="BZ27">
        <v>8.6199999999999992</v>
      </c>
      <c r="CA27">
        <v>9.4499999999999993</v>
      </c>
      <c r="CB27">
        <v>-0.17</v>
      </c>
      <c r="CC27">
        <v>-9.6</v>
      </c>
      <c r="CD27" t="s">
        <v>1506</v>
      </c>
      <c r="CE27" t="s">
        <v>1507</v>
      </c>
      <c r="CF27" s="9">
        <v>-0.9452771829645491</v>
      </c>
      <c r="CG27" s="10">
        <v>-1.5288018077583236</v>
      </c>
      <c r="CH27" s="9">
        <v>13.786375999450684</v>
      </c>
      <c r="CI27" s="9">
        <v>0.38095229864120483</v>
      </c>
      <c r="CJ27" s="9">
        <v>0.12992125749588013</v>
      </c>
      <c r="CK27" s="9">
        <v>0.26578071713447571</v>
      </c>
      <c r="CL27" s="9">
        <v>0.4098360538482666</v>
      </c>
      <c r="CM27" s="10">
        <v>4.2352943420410156</v>
      </c>
      <c r="CN27" s="10">
        <v>0.25366413593292236</v>
      </c>
      <c r="CO27" s="10">
        <v>0.54665553569793701</v>
      </c>
      <c r="CP27" s="10">
        <v>-0.1036379411816597</v>
      </c>
      <c r="CQ27" s="10">
        <v>0.97051960229873657</v>
      </c>
      <c r="CR27">
        <v>12.783660700077979</v>
      </c>
      <c r="CS27">
        <v>4.2689423725744427E-2</v>
      </c>
      <c r="CT27">
        <v>0.57736720554272514</v>
      </c>
      <c r="CU27" s="9">
        <v>2.9945732653141022</v>
      </c>
      <c r="CV27" s="10">
        <v>1.1804991349577905</v>
      </c>
      <c r="CW27">
        <v>0.06</v>
      </c>
      <c r="CX27">
        <v>0.61569087828559044</v>
      </c>
      <c r="CY27">
        <v>2012360494.0355947</v>
      </c>
      <c r="CZ27">
        <v>2.9945732653141022</v>
      </c>
      <c r="DA27">
        <v>3.5968957373446381E-2</v>
      </c>
      <c r="DB27">
        <v>34446147191.207436</v>
      </c>
      <c r="DC27">
        <v>2.8448446020483971</v>
      </c>
      <c r="DD27">
        <v>1.0109412707590671E-3</v>
      </c>
      <c r="DE27">
        <v>1225582569272.002</v>
      </c>
      <c r="DF27">
        <v>2.6352244734764101</v>
      </c>
      <c r="DG27">
        <v>1.4022803377849069E-5</v>
      </c>
      <c r="DH27">
        <v>88355513987820.5</v>
      </c>
      <c r="DI27">
        <v>2.3956586122512817</v>
      </c>
      <c r="DJ27">
        <v>7.4653872110534385E-10</v>
      </c>
      <c r="DK27">
        <v>1.6596486759126405E+18</v>
      </c>
      <c r="DL27">
        <v>2.0962012857198715</v>
      </c>
      <c r="DM27">
        <v>534000000</v>
      </c>
      <c r="DN27">
        <v>2.9945732653141022</v>
      </c>
      <c r="DO27">
        <v>1238992000</v>
      </c>
      <c r="DP27">
        <v>985578700</v>
      </c>
      <c r="DQ27">
        <v>2657</v>
      </c>
      <c r="DR27">
        <v>-3.9398504482786514</v>
      </c>
      <c r="DS27">
        <v>-2.7093009427161139</v>
      </c>
      <c r="DT27" s="11">
        <v>0.22666666666666657</v>
      </c>
      <c r="DU27">
        <v>-0.11500000000000003</v>
      </c>
      <c r="DV27">
        <v>0.11166666666666654</v>
      </c>
      <c r="DW27">
        <v>-2.0960000000000001</v>
      </c>
      <c r="DX27">
        <v>0.40881806669480625</v>
      </c>
      <c r="DY27">
        <v>-2.0152465344027015</v>
      </c>
      <c r="DZ27">
        <v>3030</v>
      </c>
      <c r="EA27">
        <v>-2.0062060257451311</v>
      </c>
      <c r="EB27">
        <v>2</v>
      </c>
      <c r="EC27">
        <v>2.672159090909091E-2</v>
      </c>
      <c r="ED27">
        <v>0.1682528409090909</v>
      </c>
      <c r="EE27" s="12">
        <v>5.0156000000000001</v>
      </c>
      <c r="EF27">
        <v>5.0041000000000002</v>
      </c>
      <c r="EG27">
        <v>25.158818066694806</v>
      </c>
      <c r="EH27" t="s">
        <v>1508</v>
      </c>
      <c r="EI27">
        <v>0</v>
      </c>
      <c r="EJ27">
        <v>0</v>
      </c>
      <c r="EK27" s="14">
        <v>45470</v>
      </c>
      <c r="EL27" s="15">
        <v>-0.14000000000000001</v>
      </c>
      <c r="EM27" s="15">
        <v>-4.55</v>
      </c>
      <c r="EN27" s="15">
        <v>1.84</v>
      </c>
      <c r="EO27" s="15">
        <v>5.5</v>
      </c>
      <c r="EP27" s="15">
        <v>-1.1499999999999999</v>
      </c>
    </row>
    <row r="28" spans="1:146" ht="168" x14ac:dyDescent="0.25">
      <c r="A28" s="7"/>
      <c r="B28" s="7"/>
      <c r="C28" s="7" t="str">
        <f>"公司是一家集门诊、临床、医疗和医疗技术开发为一体的专业连锁眼科医疗机构，主营业务为向眼科疾病患者提供专业的眼科医疗服务。公司的产品或服务主要包括屈光项目、白内障项目、医学视光项目和综合眼病项目"&amp;CHAR(10)&amp;Basic_Fundamental_Information_Constructure(F28)&amp;CHAR(10)&amp;Basic_Fundamental_Information_Concatenate("屈光项目 5.32亿 59.79% 71.28% 52.31%
视光项目 1.25亿 14.05% 13.69% 42.76%
白内障项目 1.16亿 13.03% 10.48% 35.31%
综合眼病项目 1.15亿 12.97% 4.48% 15.17%")</f>
        <v>公司是一家集门诊、临床、医疗和医疗技术开发为一体的专业连锁眼科医疗机构，主营业务为向眼科疾病患者提供专业的眼科医疗服务。公司的产品或服务主要包括屈光项目、白内障项目、医学视光项目和综合眼病项目
市值52.052467亿, 利润8716.86万; PE42.51; 平均PE79.87; 平均PEG5.18, PB2.28; ROIC9.3067%; ROE8.69%; 股利率1.1498%; 毛利43.0133%; 净利5.6367%; 上一年度营收增19.06%, 利润增323.8%; 当季营收增34.13%, 利润增-73.86%; 过往5年营收增15.43%, 利润增82.13%
Income profile:
屈光项目 5.32亿 59.79% 71.28% 52.31%
视光项目 1.25亿 14.05% 13.69% 42.76%
白内障项目 1.16亿 13.03% 10.48% 35.31%
综合眼病项目 1.15亿 12.97% 4.48% 15.17%</v>
      </c>
      <c r="D28" t="s">
        <v>475</v>
      </c>
      <c r="E28" t="s">
        <v>476</v>
      </c>
      <c r="F28">
        <v>34.79</v>
      </c>
      <c r="G28">
        <v>3.17</v>
      </c>
      <c r="H28" t="s">
        <v>1509</v>
      </c>
      <c r="I28">
        <v>5205246700</v>
      </c>
      <c r="J28">
        <v>42.51</v>
      </c>
      <c r="K28">
        <v>2.2799999999999998</v>
      </c>
      <c r="L28" t="s">
        <v>290</v>
      </c>
      <c r="M28" t="s">
        <v>1510</v>
      </c>
      <c r="N28" t="s">
        <v>1511</v>
      </c>
      <c r="O28" t="s">
        <v>1512</v>
      </c>
      <c r="P28">
        <v>4.01</v>
      </c>
      <c r="Q28" t="s">
        <v>1513</v>
      </c>
      <c r="R28">
        <v>16924936</v>
      </c>
      <c r="S28" s="3">
        <v>-0.89580000000000004</v>
      </c>
      <c r="T28" t="s">
        <v>1514</v>
      </c>
      <c r="U28">
        <v>70789463</v>
      </c>
      <c r="V28">
        <v>149619050</v>
      </c>
      <c r="W28">
        <v>2.0499999999999998</v>
      </c>
      <c r="X28">
        <v>0.14000000000000001</v>
      </c>
      <c r="Y28">
        <v>2.82</v>
      </c>
      <c r="Z28" t="s">
        <v>1515</v>
      </c>
      <c r="AA28" t="s">
        <v>53</v>
      </c>
      <c r="AB28" t="s">
        <v>111</v>
      </c>
      <c r="AC28" t="s">
        <v>63</v>
      </c>
      <c r="AD28" t="s">
        <v>14</v>
      </c>
      <c r="AE28">
        <v>18121371</v>
      </c>
      <c r="AF28" t="s">
        <v>1516</v>
      </c>
      <c r="AG28" t="s">
        <v>1517</v>
      </c>
      <c r="AH28" t="s">
        <v>1518</v>
      </c>
      <c r="AI28" t="s">
        <v>1519</v>
      </c>
      <c r="AJ28" t="s">
        <v>1520</v>
      </c>
      <c r="AK28" t="s">
        <v>14</v>
      </c>
      <c r="AL28" t="s">
        <v>1521</v>
      </c>
      <c r="AM28" t="s">
        <v>14</v>
      </c>
      <c r="AN28" t="s">
        <v>785</v>
      </c>
      <c r="AO28" t="s">
        <v>1522</v>
      </c>
      <c r="AP28" t="s">
        <v>14</v>
      </c>
      <c r="AQ28" t="s">
        <v>153</v>
      </c>
      <c r="AR28" t="s">
        <v>14</v>
      </c>
      <c r="AS28" t="s">
        <v>836</v>
      </c>
      <c r="AT28" t="s">
        <v>125</v>
      </c>
      <c r="AU28" t="s">
        <v>563</v>
      </c>
      <c r="AV28" t="s">
        <v>1342</v>
      </c>
      <c r="AW28" t="s">
        <v>1523</v>
      </c>
      <c r="AX28" t="s">
        <v>649</v>
      </c>
      <c r="AY28" t="s">
        <v>477</v>
      </c>
      <c r="AZ28" t="s">
        <v>479</v>
      </c>
      <c r="BA28" t="s">
        <v>480</v>
      </c>
      <c r="BB28" t="s">
        <v>481</v>
      </c>
      <c r="BC28" t="s">
        <v>650</v>
      </c>
      <c r="BD28" t="s">
        <v>478</v>
      </c>
      <c r="BE28" t="s">
        <v>351</v>
      </c>
      <c r="BF28" t="s">
        <v>482</v>
      </c>
      <c r="BG28" t="s">
        <v>483</v>
      </c>
      <c r="BH28" t="s">
        <v>1524</v>
      </c>
      <c r="BI28" t="s">
        <v>201</v>
      </c>
      <c r="BJ28" t="s">
        <v>649</v>
      </c>
      <c r="BK28" t="s">
        <v>155</v>
      </c>
      <c r="BL28" t="s">
        <v>1525</v>
      </c>
      <c r="BM28" t="s">
        <v>650</v>
      </c>
      <c r="BN28">
        <v>13.72</v>
      </c>
      <c r="BO28">
        <v>2</v>
      </c>
      <c r="BP28">
        <v>12.2</v>
      </c>
      <c r="BQ28">
        <v>14.29</v>
      </c>
      <c r="BR28">
        <v>1.36</v>
      </c>
      <c r="BS28">
        <v>10.42</v>
      </c>
      <c r="BT28" t="s">
        <v>775</v>
      </c>
      <c r="BU28" t="s">
        <v>937</v>
      </c>
      <c r="BV28">
        <v>44</v>
      </c>
      <c r="BW28">
        <v>41.67</v>
      </c>
      <c r="BX28">
        <v>43.37</v>
      </c>
      <c r="BY28">
        <v>10.23</v>
      </c>
      <c r="BZ28">
        <v>1.19</v>
      </c>
      <c r="CA28">
        <v>5.49</v>
      </c>
      <c r="CB28">
        <v>-1.53</v>
      </c>
      <c r="CC28">
        <v>-24.19</v>
      </c>
      <c r="CD28" t="s">
        <v>1526</v>
      </c>
      <c r="CE28" t="s">
        <v>1527</v>
      </c>
      <c r="CF28" s="9">
        <v>0.34126984126984128</v>
      </c>
      <c r="CG28" s="10">
        <v>-0.73858841845781253</v>
      </c>
      <c r="CH28" s="9">
        <v>0.19061417877674103</v>
      </c>
      <c r="CI28" s="9">
        <v>9.3567250296473503E-3</v>
      </c>
      <c r="CJ28" s="9">
        <v>0.25550660490989685</v>
      </c>
      <c r="CK28" s="9">
        <v>0.14165973663330078</v>
      </c>
      <c r="CL28" s="9">
        <v>0.17421253025531769</v>
      </c>
      <c r="CM28" s="10">
        <v>3.2380275726318359</v>
      </c>
      <c r="CN28" s="10">
        <v>-0.78093135356903076</v>
      </c>
      <c r="CO28" s="10">
        <v>-0.13863031566143036</v>
      </c>
      <c r="CP28" s="10">
        <v>1.222004771232605</v>
      </c>
      <c r="CQ28" s="10">
        <v>0.56598019599914551</v>
      </c>
      <c r="CR28">
        <v>79.874641885473935</v>
      </c>
      <c r="CS28">
        <v>5.1775889753020978</v>
      </c>
      <c r="CT28">
        <v>1.1497556769186548</v>
      </c>
      <c r="CU28" s="9">
        <v>0.15426995512098074</v>
      </c>
      <c r="CV28" s="10">
        <v>0.82129017412662508</v>
      </c>
      <c r="CW28">
        <v>0.06</v>
      </c>
      <c r="CX28">
        <v>56.839429562382861</v>
      </c>
      <c r="CY28">
        <v>94920845.29241389</v>
      </c>
      <c r="CZ28">
        <v>0.15426995512098074</v>
      </c>
      <c r="DA28">
        <v>17.597838865119623</v>
      </c>
      <c r="DB28">
        <v>306585754.15722364</v>
      </c>
      <c r="DC28">
        <v>0.1465564573649317</v>
      </c>
      <c r="DD28">
        <v>8.0455759852641417</v>
      </c>
      <c r="DE28">
        <v>670585513.06726241</v>
      </c>
      <c r="DF28">
        <v>0.13575756050646307</v>
      </c>
      <c r="DG28">
        <v>4.4343400281593723</v>
      </c>
      <c r="DH28">
        <v>1216696659.646889</v>
      </c>
      <c r="DI28">
        <v>0.1234159640967846</v>
      </c>
      <c r="DJ28">
        <v>1.8821191993556483</v>
      </c>
      <c r="DK28">
        <v>2866580768.0231338</v>
      </c>
      <c r="DL28">
        <v>0.10798896858468651</v>
      </c>
      <c r="DM28">
        <v>87168600</v>
      </c>
      <c r="DN28">
        <v>0.15426995512098074</v>
      </c>
      <c r="DO28">
        <v>5395246700</v>
      </c>
      <c r="DP28">
        <v>400458520</v>
      </c>
      <c r="DQ28">
        <v>2661</v>
      </c>
      <c r="DR28">
        <v>0.18699988614886054</v>
      </c>
      <c r="DS28">
        <v>-1.5598785925844376</v>
      </c>
      <c r="DT28" s="11">
        <v>-4.0000000000000036E-2</v>
      </c>
      <c r="DU28">
        <v>-0.10666666666666669</v>
      </c>
      <c r="DV28">
        <v>-0.14666666666666672</v>
      </c>
      <c r="DW28">
        <v>-3.092625</v>
      </c>
      <c r="DX28">
        <v>0.50345494803955071</v>
      </c>
      <c r="DY28">
        <v>-3.0151400145621636</v>
      </c>
      <c r="DZ28">
        <v>1324</v>
      </c>
      <c r="EA28">
        <v>-3.0112172397519279</v>
      </c>
      <c r="EB28">
        <v>3</v>
      </c>
      <c r="EC28">
        <v>5.1164607715394529E-2</v>
      </c>
      <c r="ED28">
        <v>0.31301963219255835</v>
      </c>
      <c r="EE28" s="12">
        <v>1.0049999999999999</v>
      </c>
      <c r="EF28">
        <v>1.02691</v>
      </c>
      <c r="EG28">
        <v>34.163454948039551</v>
      </c>
      <c r="EH28" t="s">
        <v>586</v>
      </c>
      <c r="EI28">
        <v>0</v>
      </c>
      <c r="EJ28">
        <v>1</v>
      </c>
      <c r="EK28" s="14">
        <v>45470</v>
      </c>
      <c r="EL28" s="15">
        <v>-1.89</v>
      </c>
      <c r="EM28" s="15">
        <v>-3.98</v>
      </c>
      <c r="EN28" s="15">
        <v>-1.07</v>
      </c>
      <c r="EO28" s="15">
        <v>3.92</v>
      </c>
      <c r="EP28" s="15">
        <v>-3.19</v>
      </c>
    </row>
    <row r="29" spans="1:146" ht="120" x14ac:dyDescent="0.25">
      <c r="A29" s="7"/>
      <c r="B29" s="7"/>
      <c r="C29" s="7" t="str">
        <f>"公司为向国内外制药公司、医疗器械公司及部分健康相关产品的临床研究开发提供SMO服务。主要服务是为客户提供SMO全流程服务获得收入、利润和现金流。"&amp;CHAR(10)&amp;Basic_Fundamental_Information_Constructure(F29)&amp;CHAR(10)&amp;Basic_Fundamental_Information_Concatenate("SMO服务 5.03亿 100.00% 100.00% 26.08%")</f>
        <v>公司为向国内外制药公司、医疗器械公司及部分健康相关产品的临床研究开发提供SMO服务。主要服务是为客户提供SMO全流程服务获得收入、利润和现金流。
市值21.681832亿, 利润1.12亿; PE16.41; 平均PE36.12; 平均PEG1.53, PB1.96; ROIC16.3933%; ROE16.8333%; 股利率.6087%; 毛利27.9267%; 净利13.8567%; 上一年度营收增-16.55%, 利润增54.67%; 当季营收增18.59%, 利润增-55.94%; 过往5年营收增23.56%, 利润增36.79%
Income profile:
SMO服务 5.03亿 100.00% 100.00% 26.08%</v>
      </c>
      <c r="D29" t="s">
        <v>412</v>
      </c>
      <c r="E29" t="s">
        <v>413</v>
      </c>
      <c r="F29">
        <v>27.27</v>
      </c>
      <c r="G29">
        <v>3.69</v>
      </c>
      <c r="H29" t="s">
        <v>1528</v>
      </c>
      <c r="I29">
        <v>2168183200</v>
      </c>
      <c r="J29">
        <v>16.41</v>
      </c>
      <c r="K29">
        <v>1.96</v>
      </c>
      <c r="L29" t="s">
        <v>290</v>
      </c>
      <c r="M29" t="s">
        <v>1529</v>
      </c>
      <c r="N29" t="s">
        <v>1530</v>
      </c>
      <c r="O29" t="s">
        <v>1531</v>
      </c>
      <c r="P29">
        <v>17.420000000000002</v>
      </c>
      <c r="Q29" t="s">
        <v>1532</v>
      </c>
      <c r="R29">
        <v>22737203</v>
      </c>
      <c r="S29" s="3">
        <v>-0.1022</v>
      </c>
      <c r="T29" t="s">
        <v>91</v>
      </c>
      <c r="U29">
        <v>47045817</v>
      </c>
      <c r="V29">
        <v>79508000</v>
      </c>
      <c r="W29">
        <v>1.24</v>
      </c>
      <c r="X29">
        <v>0.13</v>
      </c>
      <c r="Y29">
        <v>12.32</v>
      </c>
      <c r="Z29" t="s">
        <v>1533</v>
      </c>
      <c r="AA29" t="s">
        <v>869</v>
      </c>
      <c r="AB29" t="s">
        <v>1534</v>
      </c>
      <c r="AC29" t="s">
        <v>1535</v>
      </c>
      <c r="AD29" t="s">
        <v>14</v>
      </c>
      <c r="AE29">
        <v>-1215368</v>
      </c>
      <c r="AF29" t="s">
        <v>1536</v>
      </c>
      <c r="AG29">
        <v>2455</v>
      </c>
      <c r="AH29" t="s">
        <v>1537</v>
      </c>
      <c r="AI29" t="s">
        <v>1538</v>
      </c>
      <c r="AJ29" t="s">
        <v>1539</v>
      </c>
      <c r="AK29" t="s">
        <v>14</v>
      </c>
      <c r="AL29" t="s">
        <v>1540</v>
      </c>
      <c r="AM29" t="s">
        <v>14</v>
      </c>
      <c r="AN29">
        <v>0</v>
      </c>
      <c r="AO29" t="s">
        <v>14</v>
      </c>
      <c r="AP29" t="s">
        <v>14</v>
      </c>
      <c r="AQ29" t="s">
        <v>1541</v>
      </c>
      <c r="AR29" t="s">
        <v>14</v>
      </c>
      <c r="AS29" t="s">
        <v>227</v>
      </c>
      <c r="AT29" t="s">
        <v>14</v>
      </c>
      <c r="AU29" t="s">
        <v>1542</v>
      </c>
      <c r="AV29" t="s">
        <v>1543</v>
      </c>
      <c r="AW29" t="s">
        <v>1544</v>
      </c>
      <c r="AX29" t="s">
        <v>552</v>
      </c>
      <c r="AY29" t="s">
        <v>379</v>
      </c>
      <c r="AZ29" t="s">
        <v>298</v>
      </c>
      <c r="BA29" t="s">
        <v>215</v>
      </c>
      <c r="BB29" t="s">
        <v>415</v>
      </c>
      <c r="BC29" t="s">
        <v>651</v>
      </c>
      <c r="BD29" t="s">
        <v>414</v>
      </c>
      <c r="BE29" t="s">
        <v>416</v>
      </c>
      <c r="BF29" t="s">
        <v>417</v>
      </c>
      <c r="BG29" t="s">
        <v>418</v>
      </c>
      <c r="BH29" t="s">
        <v>1545</v>
      </c>
      <c r="BI29" t="s">
        <v>68</v>
      </c>
      <c r="BJ29" t="s">
        <v>552</v>
      </c>
      <c r="BK29" t="s">
        <v>51</v>
      </c>
      <c r="BL29" t="s">
        <v>1546</v>
      </c>
      <c r="BM29" t="s">
        <v>651</v>
      </c>
      <c r="BN29">
        <v>9.57</v>
      </c>
      <c r="BO29">
        <v>11.18</v>
      </c>
      <c r="BP29">
        <v>28.43</v>
      </c>
      <c r="BQ29">
        <v>10.11</v>
      </c>
      <c r="BR29">
        <v>11.39</v>
      </c>
      <c r="BS29">
        <v>29</v>
      </c>
      <c r="BT29" t="s">
        <v>1547</v>
      </c>
      <c r="BU29" t="s">
        <v>501</v>
      </c>
      <c r="BV29">
        <v>30.41</v>
      </c>
      <c r="BW29">
        <v>27.29</v>
      </c>
      <c r="BX29">
        <v>26.08</v>
      </c>
      <c r="BY29">
        <v>17.73</v>
      </c>
      <c r="BZ29">
        <v>12.35</v>
      </c>
      <c r="CA29">
        <v>11.49</v>
      </c>
      <c r="CB29">
        <v>-3.47</v>
      </c>
      <c r="CC29">
        <v>-17.53</v>
      </c>
      <c r="CD29" t="s">
        <v>1548</v>
      </c>
      <c r="CE29" t="s">
        <v>1549</v>
      </c>
      <c r="CF29" s="9">
        <v>0.1858974358974359</v>
      </c>
      <c r="CG29" s="10">
        <v>-0.55940947017993958</v>
      </c>
      <c r="CH29" s="9">
        <v>-0.16552901268005371</v>
      </c>
      <c r="CI29" s="9">
        <v>0.16500994563102722</v>
      </c>
      <c r="CJ29" s="9">
        <v>0.50149255990982056</v>
      </c>
      <c r="CK29" s="9">
        <v>0.10197368264198303</v>
      </c>
      <c r="CL29" s="9">
        <v>0.57512950897216797</v>
      </c>
      <c r="CM29" s="10">
        <v>0.54671776294708252</v>
      </c>
      <c r="CN29" s="10">
        <v>0.25346466898918152</v>
      </c>
      <c r="CO29" s="10">
        <v>0.63575100898742676</v>
      </c>
      <c r="CP29" s="10">
        <v>-0.32545328140258789</v>
      </c>
      <c r="CQ29" s="10">
        <v>0.72907590866088867</v>
      </c>
      <c r="CR29">
        <v>36.123091362206964</v>
      </c>
      <c r="CS29">
        <v>1.5331383702881192</v>
      </c>
      <c r="CT29">
        <v>0.60872753942060875</v>
      </c>
      <c r="CU29" s="9">
        <v>0.23561533689498901</v>
      </c>
      <c r="CV29" s="10">
        <v>0.36791121363639834</v>
      </c>
      <c r="CW29">
        <v>0.06</v>
      </c>
      <c r="CX29">
        <v>10.326507464745395</v>
      </c>
      <c r="CY29">
        <v>130555582.76626299</v>
      </c>
      <c r="CZ29">
        <v>0.23561533689498901</v>
      </c>
      <c r="DA29">
        <v>2.9894471280856783</v>
      </c>
      <c r="DB29">
        <v>450980780.80521941</v>
      </c>
      <c r="DC29">
        <v>0.22383457005023955</v>
      </c>
      <c r="DD29">
        <v>1.2412853712423275</v>
      </c>
      <c r="DE29">
        <v>1086118656.7039657</v>
      </c>
      <c r="DF29">
        <v>0.20734149646759034</v>
      </c>
      <c r="DG29">
        <v>0.60818258377158263</v>
      </c>
      <c r="DH29">
        <v>2216740886.6583757</v>
      </c>
      <c r="DI29">
        <v>0.18849226951599121</v>
      </c>
      <c r="DJ29">
        <v>0.1934388945730989</v>
      </c>
      <c r="DK29">
        <v>6969555957.064949</v>
      </c>
      <c r="DL29">
        <v>0.16493073582649229</v>
      </c>
      <c r="DM29">
        <v>112000000.00000001</v>
      </c>
      <c r="DN29">
        <v>0.23561533689498901</v>
      </c>
      <c r="DO29">
        <v>1348183200</v>
      </c>
      <c r="DP29">
        <v>1069684760</v>
      </c>
      <c r="DQ29">
        <v>2668</v>
      </c>
      <c r="DR29">
        <v>-4.9717900997553105E-2</v>
      </c>
      <c r="DS29">
        <v>-0.92732068381633792</v>
      </c>
      <c r="DT29" s="11">
        <v>-0.22333333333333338</v>
      </c>
      <c r="DU29">
        <v>0.44666666666666671</v>
      </c>
      <c r="DV29">
        <v>0.22333333333333333</v>
      </c>
      <c r="DW29">
        <v>-8.1979463776383348</v>
      </c>
      <c r="DX29">
        <v>0.61045299733179315</v>
      </c>
      <c r="DY29">
        <v>-8.0337405533794239</v>
      </c>
      <c r="DZ29">
        <v>2317</v>
      </c>
      <c r="EA29">
        <v>-8.0184417545183422</v>
      </c>
      <c r="EB29">
        <v>8</v>
      </c>
      <c r="EC29">
        <v>6.45192936559843E-2</v>
      </c>
      <c r="ED29">
        <v>0.37851662725763452</v>
      </c>
      <c r="EE29" s="12">
        <v>-3.0041099999999998</v>
      </c>
      <c r="EF29">
        <v>-3.0218099999999999</v>
      </c>
      <c r="EG29">
        <v>44.170452997331793</v>
      </c>
      <c r="EH29" t="s">
        <v>890</v>
      </c>
      <c r="EI29">
        <v>0</v>
      </c>
      <c r="EJ29">
        <v>0</v>
      </c>
      <c r="EK29" s="14">
        <v>45470</v>
      </c>
      <c r="EL29" s="15">
        <v>-1.1299999999999999</v>
      </c>
      <c r="EM29" s="15">
        <v>-4.2300000000000004</v>
      </c>
      <c r="EN29" s="15">
        <v>1.7</v>
      </c>
      <c r="EO29" s="15">
        <v>3.51</v>
      </c>
      <c r="EP29" s="15">
        <v>-1.77</v>
      </c>
    </row>
    <row r="30" spans="1:146" ht="168" x14ac:dyDescent="0.25">
      <c r="C30" s="7" t="str">
        <f>"公司主营业务为眼科医疗服务，向眼科疾病患者提供各种眼科疾病的诊断、治疗等眼科医疗服务。公司主要服务包括白内障专科、屈光专科、眼底病专科、眼表病专科、青光眼专科、眼眶与眼肿瘤专科、眼外伤专科。"&amp;CHAR(10)&amp;Basic_Fundamental_Information_Constructure(F30)&amp;CHAR(10)&amp;Basic_Fundamental_Information_Concatenate("眼科医疗业务 13.37亿 84.69% 84.11% 47.09%
配镜业务 1.77亿 11.18% 12.94% 54.88%
其他业务 5614.46万 3.56% 2.50% 33.27%
药店业务 902.03万 0.57% 0.45% 37.53%")</f>
        <v>公司主营业务为眼科医疗服务，向眼科疾病患者提供各种眼科疾病的诊断、治疗等眼科医疗服务。公司主要服务包括白内障专科、屈光专科、眼底病专科、眼表病专科、青光眼专科、眼眶与眼肿瘤专科、眼外伤专科。
市值170.94亿, 利润3.20亿; PE25.45; 平均PE51.15; 平均PEG3.65, PB3.02; ROIC17.7267%; ROE19.4667%; 股利率.5405%; 毛利47.7067%; 净利15.7967%; 上一年度营收增25.89%, 利润增-37.74%; 当季营收增.72%, 利润增68.53%; 过往5年营收增14.02%, 利润增19.52%
Income profile:
眼科医疗业务 13.37亿 84.69% 84.11% 47.09%
配镜业务 1.77亿 11.18% 12.94% 54.88%
其他业务 5614.46万 3.56% 2.50% 33.27%
药店业务 902.03万 0.57% 0.45% 37.53%</v>
      </c>
      <c r="D30" s="3" t="s">
        <v>569</v>
      </c>
      <c r="E30" t="s">
        <v>570</v>
      </c>
      <c r="F30">
        <v>20.350000000000001</v>
      </c>
      <c r="G30">
        <v>2.52</v>
      </c>
      <c r="H30" t="s">
        <v>1550</v>
      </c>
      <c r="I30">
        <v>17094000000</v>
      </c>
      <c r="J30">
        <v>25.45</v>
      </c>
      <c r="K30">
        <v>3.02</v>
      </c>
      <c r="L30" t="s">
        <v>290</v>
      </c>
      <c r="M30" t="s">
        <v>384</v>
      </c>
      <c r="N30" t="s">
        <v>1551</v>
      </c>
      <c r="O30" t="s">
        <v>1552</v>
      </c>
      <c r="P30" s="3">
        <v>5.09</v>
      </c>
      <c r="Q30" t="s">
        <v>1553</v>
      </c>
      <c r="R30">
        <v>155917810</v>
      </c>
      <c r="S30">
        <v>3.7499999999999999E-2</v>
      </c>
      <c r="T30" t="s">
        <v>856</v>
      </c>
      <c r="U30">
        <v>328828880</v>
      </c>
      <c r="V30">
        <v>840000000</v>
      </c>
      <c r="W30">
        <v>1.3</v>
      </c>
      <c r="X30">
        <v>0.13</v>
      </c>
      <c r="Y30">
        <v>16.850000000000001</v>
      </c>
      <c r="Z30" t="s">
        <v>1554</v>
      </c>
      <c r="AA30" t="s">
        <v>1555</v>
      </c>
      <c r="AB30" t="s">
        <v>62</v>
      </c>
      <c r="AC30" t="s">
        <v>73</v>
      </c>
      <c r="AD30" t="s">
        <v>14</v>
      </c>
      <c r="AE30">
        <v>5660595</v>
      </c>
      <c r="AF30" t="s">
        <v>1556</v>
      </c>
      <c r="AG30" t="s">
        <v>1557</v>
      </c>
      <c r="AH30" t="s">
        <v>1558</v>
      </c>
      <c r="AI30" t="s">
        <v>1559</v>
      </c>
      <c r="AJ30" t="s">
        <v>1560</v>
      </c>
      <c r="AK30" t="s">
        <v>14</v>
      </c>
      <c r="AL30" t="s">
        <v>1561</v>
      </c>
      <c r="AM30" t="s">
        <v>14</v>
      </c>
      <c r="AN30" t="s">
        <v>1562</v>
      </c>
      <c r="AO30" t="s">
        <v>14</v>
      </c>
      <c r="AP30" t="s">
        <v>14</v>
      </c>
      <c r="AQ30" t="s">
        <v>1463</v>
      </c>
      <c r="AR30" t="s">
        <v>14</v>
      </c>
      <c r="AS30" t="s">
        <v>1563</v>
      </c>
      <c r="AT30" t="s">
        <v>1564</v>
      </c>
      <c r="AU30" t="s">
        <v>64</v>
      </c>
      <c r="AV30" t="s">
        <v>1565</v>
      </c>
      <c r="AW30" t="s">
        <v>1566</v>
      </c>
      <c r="AX30" t="s">
        <v>652</v>
      </c>
      <c r="AY30" t="s">
        <v>571</v>
      </c>
      <c r="AZ30" t="s">
        <v>572</v>
      </c>
      <c r="BA30" t="s">
        <v>573</v>
      </c>
      <c r="BB30" t="s">
        <v>574</v>
      </c>
      <c r="BC30" t="s">
        <v>1567</v>
      </c>
      <c r="BD30" t="s">
        <v>236</v>
      </c>
      <c r="BE30" t="s">
        <v>575</v>
      </c>
      <c r="BF30" t="s">
        <v>576</v>
      </c>
      <c r="BG30" t="s">
        <v>192</v>
      </c>
      <c r="BH30" t="s">
        <v>1568</v>
      </c>
      <c r="BI30" t="s">
        <v>1165</v>
      </c>
      <c r="BJ30" t="s">
        <v>652</v>
      </c>
      <c r="BK30" t="s">
        <v>255</v>
      </c>
      <c r="BL30" t="s">
        <v>1569</v>
      </c>
      <c r="BM30" t="s">
        <v>1567</v>
      </c>
      <c r="BN30">
        <v>10.57</v>
      </c>
      <c r="BO30">
        <v>14.61</v>
      </c>
      <c r="BP30">
        <v>28</v>
      </c>
      <c r="BQ30">
        <v>10.46</v>
      </c>
      <c r="BR30">
        <v>20.07</v>
      </c>
      <c r="BS30">
        <v>27.87</v>
      </c>
      <c r="BT30" t="s">
        <v>1570</v>
      </c>
      <c r="BU30" t="s">
        <v>937</v>
      </c>
      <c r="BV30">
        <v>49.03</v>
      </c>
      <c r="BW30">
        <v>48.05</v>
      </c>
      <c r="BX30">
        <v>46.04</v>
      </c>
      <c r="BY30">
        <v>16.88</v>
      </c>
      <c r="BZ30">
        <v>15.71</v>
      </c>
      <c r="CA30">
        <v>14.8</v>
      </c>
      <c r="CB30">
        <v>-1.79</v>
      </c>
      <c r="CC30" s="9">
        <v>-17.04</v>
      </c>
      <c r="CD30" s="10" t="s">
        <v>1571</v>
      </c>
      <c r="CE30" s="9" t="s">
        <v>48</v>
      </c>
      <c r="CF30" s="9">
        <v>7.2090628218329155E-3</v>
      </c>
      <c r="CG30" s="9">
        <v>0.68532829341899892</v>
      </c>
      <c r="CH30" s="9">
        <v>0.25889274477958679</v>
      </c>
      <c r="CI30" s="9">
        <v>5.5156636983156204E-2</v>
      </c>
      <c r="CJ30" s="10">
        <v>0.21829022467136383</v>
      </c>
      <c r="CK30" s="10">
        <v>2.4022826924920082E-2</v>
      </c>
      <c r="CL30" s="10">
        <v>0.14445480704307556</v>
      </c>
      <c r="CM30" s="10">
        <v>-0.37743189930915833</v>
      </c>
      <c r="CN30" s="10">
        <v>0.12967033684253693</v>
      </c>
      <c r="CO30">
        <v>0.36227545142173767</v>
      </c>
      <c r="CP30">
        <v>0.53211009502410889</v>
      </c>
      <c r="CQ30">
        <v>0.32926830649375916</v>
      </c>
      <c r="CR30" s="9">
        <v>51.154114713216956</v>
      </c>
      <c r="CS30" s="10">
        <v>3.6496044734763271</v>
      </c>
      <c r="CT30">
        <v>0.54054054054054057</v>
      </c>
      <c r="CU30">
        <v>0.1401634480804205</v>
      </c>
      <c r="CV30">
        <v>0.19517845809459686</v>
      </c>
      <c r="CW30">
        <v>0.06</v>
      </c>
      <c r="CX30">
        <v>37.835529259097285</v>
      </c>
      <c r="CY30">
        <v>344200286.21295714</v>
      </c>
      <c r="CZ30">
        <v>0.1401634480804205</v>
      </c>
      <c r="DA30">
        <v>11.852996804669189</v>
      </c>
      <c r="DB30">
        <v>1098709483.7374728</v>
      </c>
      <c r="DC30">
        <v>0.13315527567639948</v>
      </c>
      <c r="DD30">
        <v>5.5087682139100149</v>
      </c>
      <c r="DE30">
        <v>2364049365.3583097</v>
      </c>
      <c r="DF30">
        <v>0.12334383431077003</v>
      </c>
      <c r="DG30">
        <v>3.0957441017110234</v>
      </c>
      <c r="DH30">
        <v>4206743055.0225921</v>
      </c>
      <c r="DI30">
        <v>0.1121307584643364</v>
      </c>
      <c r="DJ30">
        <v>1.3755303941720938</v>
      </c>
      <c r="DK30">
        <v>9467620675.7599869</v>
      </c>
      <c r="DL30">
        <v>9.811441365629435E-2</v>
      </c>
      <c r="DM30">
        <v>320000000</v>
      </c>
      <c r="DN30">
        <v>0.1401634480804205</v>
      </c>
      <c r="DO30">
        <v>13023000000</v>
      </c>
      <c r="DP30">
        <v>3858509300</v>
      </c>
      <c r="DQ30" s="11">
        <v>2677</v>
      </c>
      <c r="DR30">
        <v>-0.13295438525858758</v>
      </c>
      <c r="DS30">
        <v>0.49014983532440204</v>
      </c>
      <c r="DT30">
        <v>-0.14000000000000001</v>
      </c>
      <c r="DU30">
        <v>0.40333333333333327</v>
      </c>
      <c r="DV30">
        <v>0.26333333333333325</v>
      </c>
      <c r="DW30">
        <v>-3.0117619047619049</v>
      </c>
      <c r="DX30">
        <v>0.34162167832167967</v>
      </c>
      <c r="DY30">
        <v>-3.0010776454545454</v>
      </c>
      <c r="DZ30">
        <v>253</v>
      </c>
      <c r="EA30">
        <v>-3.0010242904056219</v>
      </c>
      <c r="EB30" s="12">
        <v>3</v>
      </c>
      <c r="EC30">
        <v>1.55975E-2</v>
      </c>
      <c r="ED30">
        <v>0.17023809523809524</v>
      </c>
      <c r="EE30">
        <v>5.11E-3</v>
      </c>
      <c r="EF30">
        <v>3.4110000000000001E-2</v>
      </c>
      <c r="EG30">
        <v>25.09162167832168</v>
      </c>
      <c r="EH30" s="14">
        <v>-1</v>
      </c>
      <c r="EI30" s="15">
        <v>0</v>
      </c>
      <c r="EJ30" s="15">
        <v>1</v>
      </c>
      <c r="EK30" s="15">
        <v>45470</v>
      </c>
      <c r="EL30" s="15">
        <v>2.4500000000000002</v>
      </c>
      <c r="EM30" s="15">
        <v>-6.8</v>
      </c>
      <c r="EN30" s="15">
        <v>-1.84</v>
      </c>
      <c r="EO30" s="15">
        <v>2.36</v>
      </c>
      <c r="EP30" s="15">
        <v>-2.9</v>
      </c>
    </row>
    <row r="31" spans="1:146" ht="96" x14ac:dyDescent="0.25">
      <c r="C31" s="7" t="str">
        <f>""&amp;CHAR(10)&amp;Basic_Fundamental_Information_Constructure(F31)&amp;CHAR(10)&amp;Basic_Fundamental_Information_Concatenate("")</f>
        <v xml:space="preserve">
市值73.722743亿, 利润4338.53万; PE84.78; 平均PE121.39; 平均PEG16.56, PB3.12; ROIC5.82%; ROE4.845%; 股利率.2654%; 毛利22.75%; 净利7.1033%; 上一年度营收增-50.19%, 利润增-31.62%; 当季营收增185.59%, 利润增175.84%; 过往5年营收增-7.33%, 利润增-5.75%
Income profile:
</v>
      </c>
      <c r="D31" t="s">
        <v>592</v>
      </c>
      <c r="E31" t="s">
        <v>593</v>
      </c>
      <c r="F31">
        <v>35.79</v>
      </c>
      <c r="G31">
        <v>2.2599999999999998</v>
      </c>
      <c r="H31" t="s">
        <v>1572</v>
      </c>
      <c r="I31">
        <v>7372274300</v>
      </c>
      <c r="J31">
        <v>84.78</v>
      </c>
      <c r="K31">
        <v>3.12</v>
      </c>
      <c r="L31" t="s">
        <v>290</v>
      </c>
      <c r="M31" t="s">
        <v>870</v>
      </c>
      <c r="N31" t="s">
        <v>1573</v>
      </c>
      <c r="O31" t="s">
        <v>577</v>
      </c>
      <c r="P31" s="3">
        <v>7.89</v>
      </c>
      <c r="Q31" t="s">
        <v>1574</v>
      </c>
      <c r="R31">
        <v>33444602</v>
      </c>
      <c r="S31">
        <v>0.35289999999999999</v>
      </c>
      <c r="T31" t="s">
        <v>1575</v>
      </c>
      <c r="U31">
        <v>160945690</v>
      </c>
      <c r="V31">
        <v>205986990</v>
      </c>
      <c r="W31">
        <v>1.21</v>
      </c>
      <c r="X31">
        <v>0.11</v>
      </c>
      <c r="Y31">
        <v>11.5</v>
      </c>
      <c r="Z31" t="s">
        <v>803</v>
      </c>
      <c r="AA31" t="s">
        <v>96</v>
      </c>
      <c r="AB31" t="s">
        <v>1576</v>
      </c>
      <c r="AC31" t="s">
        <v>1577</v>
      </c>
      <c r="AD31" t="s">
        <v>14</v>
      </c>
      <c r="AE31">
        <v>-1621435</v>
      </c>
      <c r="AF31" t="s">
        <v>1418</v>
      </c>
      <c r="AG31" t="s">
        <v>1578</v>
      </c>
      <c r="AH31" t="s">
        <v>1579</v>
      </c>
      <c r="AI31" t="s">
        <v>1580</v>
      </c>
      <c r="AJ31" t="s">
        <v>1581</v>
      </c>
      <c r="AK31" t="s">
        <v>14</v>
      </c>
      <c r="AL31" t="s">
        <v>1582</v>
      </c>
      <c r="AM31" t="s">
        <v>14</v>
      </c>
      <c r="AN31" t="s">
        <v>88</v>
      </c>
      <c r="AO31" t="s">
        <v>14</v>
      </c>
      <c r="AP31" t="s">
        <v>14</v>
      </c>
      <c r="AQ31" t="s">
        <v>971</v>
      </c>
      <c r="AR31" t="s">
        <v>14</v>
      </c>
      <c r="AS31" t="s">
        <v>1583</v>
      </c>
      <c r="AT31" t="s">
        <v>14</v>
      </c>
      <c r="AU31" t="s">
        <v>1584</v>
      </c>
      <c r="AV31" t="s">
        <v>215</v>
      </c>
      <c r="AW31" t="s">
        <v>1585</v>
      </c>
      <c r="AX31" t="s">
        <v>1586</v>
      </c>
      <c r="AY31" t="s">
        <v>653</v>
      </c>
      <c r="AZ31" t="s">
        <v>555</v>
      </c>
      <c r="BA31" t="s">
        <v>545</v>
      </c>
      <c r="BB31" t="s">
        <v>654</v>
      </c>
      <c r="BC31" t="s">
        <v>1587</v>
      </c>
      <c r="BD31" t="s">
        <v>655</v>
      </c>
      <c r="BE31" t="s">
        <v>656</v>
      </c>
      <c r="BF31" t="s">
        <v>657</v>
      </c>
      <c r="BG31" t="s">
        <v>658</v>
      </c>
      <c r="BH31" t="s">
        <v>1588</v>
      </c>
      <c r="BI31" t="s">
        <v>547</v>
      </c>
      <c r="BJ31" t="s">
        <v>1586</v>
      </c>
      <c r="BK31" t="s">
        <v>1589</v>
      </c>
      <c r="BL31" t="s">
        <v>1590</v>
      </c>
      <c r="BM31" t="s">
        <v>1587</v>
      </c>
      <c r="BN31">
        <v>4.0199999999999996</v>
      </c>
      <c r="BO31">
        <v>5.89</v>
      </c>
      <c r="BP31">
        <v>7.55</v>
      </c>
      <c r="BQ31">
        <v>4.25</v>
      </c>
      <c r="BR31">
        <v>5.44</v>
      </c>
      <c r="BS31" t="s">
        <v>14</v>
      </c>
      <c r="BT31" t="s">
        <v>1591</v>
      </c>
      <c r="BU31" t="s">
        <v>937</v>
      </c>
      <c r="BV31">
        <v>22.39</v>
      </c>
      <c r="BW31">
        <v>21.72</v>
      </c>
      <c r="BX31">
        <v>24.14</v>
      </c>
      <c r="BY31">
        <v>6.44</v>
      </c>
      <c r="BZ31">
        <v>7.19</v>
      </c>
      <c r="CA31">
        <v>7.68</v>
      </c>
      <c r="CB31">
        <v>-5.04</v>
      </c>
      <c r="CC31" s="9">
        <v>-14.48</v>
      </c>
      <c r="CD31" s="10" t="s">
        <v>1592</v>
      </c>
      <c r="CE31" s="9" t="s">
        <v>1593</v>
      </c>
      <c r="CF31" s="9">
        <v>1.8559322033898304</v>
      </c>
      <c r="CG31" s="9">
        <v>1.758431440471772</v>
      </c>
      <c r="CH31" s="9">
        <v>-0.50186914205551147</v>
      </c>
      <c r="CI31" s="9">
        <v>-5.8926947414875031E-2</v>
      </c>
      <c r="CJ31" s="10">
        <v>0.15197561681270599</v>
      </c>
      <c r="CK31" s="10">
        <v>-3.1403336673974991E-2</v>
      </c>
      <c r="CL31" s="10">
        <v>7.376185804605484E-2</v>
      </c>
      <c r="CM31" s="10">
        <v>-0.31619942188262939</v>
      </c>
      <c r="CN31" s="10">
        <v>-0.17272473871707916</v>
      </c>
      <c r="CO31">
        <v>0.24218602478504181</v>
      </c>
      <c r="CP31">
        <v>0.21413668990135193</v>
      </c>
      <c r="CQ31">
        <v>-0.25500160455703735</v>
      </c>
      <c r="CR31" s="9">
        <v>121.39480770539636</v>
      </c>
      <c r="CS31" s="10">
        <v>16.563084827705318</v>
      </c>
      <c r="CT31">
        <v>0.26543727298127967</v>
      </c>
      <c r="CU31">
        <v>-7.329239025712013E-2</v>
      </c>
      <c r="CV31">
        <v>-5.7520610094070432E-2</v>
      </c>
      <c r="CW31">
        <v>0.06</v>
      </c>
      <c r="CX31">
        <v>125.53271038808076</v>
      </c>
      <c r="CY31" t="s">
        <v>1594</v>
      </c>
      <c r="CZ31">
        <v>-7.329239025712013E-2</v>
      </c>
      <c r="DA31">
        <v>41.844236796026919</v>
      </c>
      <c r="DB31" t="s">
        <v>1595</v>
      </c>
      <c r="DC31">
        <v>-6.9627770744264114E-2</v>
      </c>
      <c r="DD31">
        <v>20.92211839801346</v>
      </c>
      <c r="DE31" t="s">
        <v>1596</v>
      </c>
      <c r="DF31">
        <v>-6.4497303426265709E-2</v>
      </c>
      <c r="DG31">
        <v>12.553271038808075</v>
      </c>
      <c r="DH31" t="s">
        <v>1597</v>
      </c>
      <c r="DI31">
        <v>-5.8633912205696109E-2</v>
      </c>
      <c r="DJ31">
        <v>6.2766355194040377</v>
      </c>
      <c r="DK31" t="s">
        <v>1598</v>
      </c>
      <c r="DL31">
        <v>-5.1304673179984085E-2</v>
      </c>
      <c r="DM31">
        <v>43385300</v>
      </c>
      <c r="DN31">
        <v>-7.329239025712013E-2</v>
      </c>
      <c r="DO31">
        <v>5446274300</v>
      </c>
      <c r="DP31">
        <v>1321312700</v>
      </c>
      <c r="DQ31" s="11">
        <v>2699</v>
      </c>
      <c r="DR31">
        <v>1.9292245936469505</v>
      </c>
      <c r="DS31">
        <v>1.8159520505658424</v>
      </c>
      <c r="DT31">
        <v>-0.47333333333333333</v>
      </c>
      <c r="DU31">
        <v>0.27333333333333337</v>
      </c>
      <c r="DV31">
        <v>-0.19999999999999996</v>
      </c>
      <c r="DW31">
        <v>-8.3480662983425411</v>
      </c>
      <c r="DX31">
        <v>0.43106875431031738</v>
      </c>
      <c r="DY31">
        <v>-8.0873885719422649</v>
      </c>
      <c r="DZ31">
        <v>3300</v>
      </c>
      <c r="EA31">
        <v>-8.030953682038259</v>
      </c>
      <c r="EB31" s="12">
        <v>8</v>
      </c>
      <c r="EC31" s="12">
        <v>0.11911965896486958</v>
      </c>
      <c r="ED31">
        <v>0.4744503524227428</v>
      </c>
      <c r="EE31">
        <v>9.1000000000000039E-3</v>
      </c>
      <c r="EF31">
        <v>1.6910000000000001E-2</v>
      </c>
      <c r="EG31">
        <v>18.251068754310317</v>
      </c>
      <c r="EH31" s="14">
        <v>-1</v>
      </c>
      <c r="EI31" s="15">
        <v>0</v>
      </c>
      <c r="EJ31" s="15">
        <v>0</v>
      </c>
      <c r="EK31" s="15">
        <v>45470</v>
      </c>
      <c r="EL31" s="15">
        <v>-2.57</v>
      </c>
      <c r="EM31" s="15">
        <v>-4.95</v>
      </c>
      <c r="EN31" s="15">
        <v>0.84</v>
      </c>
      <c r="EO31" s="15">
        <v>5.75</v>
      </c>
      <c r="EP31" s="15">
        <v>-2.6</v>
      </c>
    </row>
    <row r="32" spans="1:146" ht="204" x14ac:dyDescent="0.25">
      <c r="A32" s="7"/>
      <c r="B32" s="7"/>
      <c r="C32" s="7" t="str">
        <f>"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amp;CHAR(10)&amp;Basic_Fundamental_Information_Constructure(F32)&amp;CHAR(10)&amp;Basic_Fundamental_Information_Concatenate("（境外占比4%）
临床试验运营服务 1.68亿 51.52% 62.90% 37.26%
临床试验现场管理服务 7481.77万 22.95% 16.67% 22.18%
数据管理与统计分析服务 3503.12万 10.75% 20.42% 58.01%")</f>
        <v>公司主营业务是为全球的医药企业和科研机构提供综合的药物临床研发全流程一体化服务。主要产品及服务是临床试验运营服务（“CO服务”）、临床试验现场管理服务（“SMO服务”）、生物样本检测服务（“BA服务”）、数据管理与统计分析服务（“DM/ST服务”）、临床试验咨询服务、临床药理学服务（“CP服务”）。
市值36.768亿, 利润7676.71万; PE23.45; 平均PE43.79; 平均PEG.74, PB2.07; ROIC14.48%; ROE15.6067%; 股利率.5222%; 毛利38.32%; 净利19%; 上一年度营收增219.28%, 利润增-32.06%; 当季营收增-58.55%, 利润增69.63%; 过往5年营收增58.82%, 利润增14.51%
Income profile:
（境外占比4%）
临床试验运营服务 1.68亿 51.52% 62.90% 37.26%
临床试验现场管理服务 7481.77万 22.95% 16.67% 22.18%
数据管理与统计分析服务 3503.12万 10.75% 20.42% 58.01%</v>
      </c>
      <c r="D32" t="s">
        <v>512</v>
      </c>
      <c r="E32" t="s">
        <v>513</v>
      </c>
      <c r="F32">
        <v>38.299999999999997</v>
      </c>
      <c r="G32">
        <v>14.16</v>
      </c>
      <c r="H32" t="s">
        <v>1599</v>
      </c>
      <c r="I32">
        <v>3676800000</v>
      </c>
      <c r="J32">
        <v>23.45</v>
      </c>
      <c r="K32">
        <v>2.0699999999999998</v>
      </c>
      <c r="L32" t="s">
        <v>290</v>
      </c>
      <c r="M32" t="s">
        <v>815</v>
      </c>
      <c r="N32" t="s">
        <v>1600</v>
      </c>
      <c r="O32" t="s">
        <v>64</v>
      </c>
      <c r="P32">
        <v>10.19</v>
      </c>
      <c r="Q32" t="s">
        <v>1601</v>
      </c>
      <c r="R32">
        <v>23048891</v>
      </c>
      <c r="S32" s="3">
        <v>-0.19950000000000001</v>
      </c>
      <c r="T32" t="s">
        <v>1602</v>
      </c>
      <c r="U32">
        <v>56731200</v>
      </c>
      <c r="V32">
        <v>96000000</v>
      </c>
      <c r="W32">
        <v>1.24</v>
      </c>
      <c r="X32">
        <v>0.08</v>
      </c>
      <c r="Y32">
        <v>13.29</v>
      </c>
      <c r="Z32" t="s">
        <v>93</v>
      </c>
      <c r="AA32" t="s">
        <v>116</v>
      </c>
      <c r="AB32" t="s">
        <v>1603</v>
      </c>
      <c r="AC32" t="s">
        <v>1604</v>
      </c>
      <c r="AD32" t="s">
        <v>14</v>
      </c>
      <c r="AE32">
        <v>-1464098</v>
      </c>
      <c r="AF32" t="s">
        <v>1605</v>
      </c>
      <c r="AG32" t="s">
        <v>14</v>
      </c>
      <c r="AH32" t="s">
        <v>1606</v>
      </c>
      <c r="AI32" t="s">
        <v>1607</v>
      </c>
      <c r="AJ32" t="s">
        <v>1608</v>
      </c>
      <c r="AK32" t="s">
        <v>14</v>
      </c>
      <c r="AL32" t="s">
        <v>1609</v>
      </c>
      <c r="AM32" t="s">
        <v>14</v>
      </c>
      <c r="AN32">
        <v>0</v>
      </c>
      <c r="AO32" t="s">
        <v>14</v>
      </c>
      <c r="AP32" t="s">
        <v>14</v>
      </c>
      <c r="AQ32" t="s">
        <v>1610</v>
      </c>
      <c r="AR32" t="s">
        <v>14</v>
      </c>
      <c r="AS32" t="s">
        <v>1611</v>
      </c>
      <c r="AT32" t="s">
        <v>14</v>
      </c>
      <c r="AU32" t="s">
        <v>1612</v>
      </c>
      <c r="AV32" t="s">
        <v>1613</v>
      </c>
      <c r="AW32" t="s">
        <v>1614</v>
      </c>
      <c r="AX32" t="s">
        <v>659</v>
      </c>
      <c r="AY32" t="s">
        <v>514</v>
      </c>
      <c r="AZ32" t="s">
        <v>304</v>
      </c>
      <c r="BA32" t="s">
        <v>375</v>
      </c>
      <c r="BB32" t="s">
        <v>463</v>
      </c>
      <c r="BC32" t="s">
        <v>825</v>
      </c>
      <c r="BD32" t="s">
        <v>515</v>
      </c>
      <c r="BE32" t="s">
        <v>516</v>
      </c>
      <c r="BF32" t="s">
        <v>517</v>
      </c>
      <c r="BG32" t="s">
        <v>518</v>
      </c>
      <c r="BH32" t="s">
        <v>1615</v>
      </c>
      <c r="BI32" t="s">
        <v>407</v>
      </c>
      <c r="BJ32" t="s">
        <v>659</v>
      </c>
      <c r="BK32" t="s">
        <v>531</v>
      </c>
      <c r="BL32" t="s">
        <v>1616</v>
      </c>
      <c r="BM32" t="s">
        <v>825</v>
      </c>
      <c r="BN32">
        <v>7.18</v>
      </c>
      <c r="BO32">
        <v>10.63</v>
      </c>
      <c r="BP32">
        <v>25.63</v>
      </c>
      <c r="BQ32">
        <v>7.65</v>
      </c>
      <c r="BR32">
        <v>12.54</v>
      </c>
      <c r="BS32">
        <v>26.63</v>
      </c>
      <c r="BT32" t="s">
        <v>624</v>
      </c>
      <c r="BU32" t="s">
        <v>501</v>
      </c>
      <c r="BV32">
        <v>39.79</v>
      </c>
      <c r="BW32">
        <v>36.85</v>
      </c>
      <c r="BX32">
        <v>38.32</v>
      </c>
      <c r="BY32">
        <v>22.58</v>
      </c>
      <c r="BZ32">
        <v>17.93</v>
      </c>
      <c r="CA32">
        <v>16.489999999999998</v>
      </c>
      <c r="CB32">
        <v>14.64</v>
      </c>
      <c r="CC32">
        <v>-14.57</v>
      </c>
      <c r="CD32" t="s">
        <v>1617</v>
      </c>
      <c r="CE32" t="s">
        <v>1618</v>
      </c>
      <c r="CF32" s="9">
        <v>-0.58548009367681497</v>
      </c>
      <c r="CG32" s="10">
        <v>0.69630555575998876</v>
      </c>
      <c r="CH32" s="9">
        <v>2.1927897930145264</v>
      </c>
      <c r="CI32" s="9">
        <v>4.9342107027769089E-2</v>
      </c>
      <c r="CJ32" s="9">
        <v>0.25619834661483765</v>
      </c>
      <c r="CK32" s="9">
        <v>0.13882352411746979</v>
      </c>
      <c r="CL32" s="9">
        <v>0.30368098616600037</v>
      </c>
      <c r="CM32" s="10">
        <v>-0.32064509391784668</v>
      </c>
      <c r="CN32" s="10">
        <v>0.13868819177150726</v>
      </c>
      <c r="CO32" s="10">
        <v>0.18367701768875122</v>
      </c>
      <c r="CP32" s="10">
        <v>1.4576478861272335E-2</v>
      </c>
      <c r="CQ32" s="10">
        <v>0.70906013250350952</v>
      </c>
      <c r="CR32">
        <v>43.78658011819963</v>
      </c>
      <c r="CS32">
        <v>0.74445835514660974</v>
      </c>
      <c r="CT32">
        <v>0.52219321148825071</v>
      </c>
      <c r="CU32" s="9">
        <v>0.5881669513881207</v>
      </c>
      <c r="CV32" s="10">
        <v>0.14507134538143873</v>
      </c>
      <c r="CW32">
        <v>0.06</v>
      </c>
      <c r="CX32">
        <v>19.290910818507282</v>
      </c>
      <c r="CY32">
        <v>115017897.33387452</v>
      </c>
      <c r="CZ32">
        <v>0.5881669513881207</v>
      </c>
      <c r="DA32">
        <v>4.242383427728166</v>
      </c>
      <c r="DB32">
        <v>523007888.79617774</v>
      </c>
      <c r="DC32">
        <v>0.55875860381871467</v>
      </c>
      <c r="DD32">
        <v>1.1449443321396169</v>
      </c>
      <c r="DE32">
        <v>1937910811.658077</v>
      </c>
      <c r="DF32">
        <v>0.51758691722154626</v>
      </c>
      <c r="DG32">
        <v>0.31760899034809931</v>
      </c>
      <c r="DH32">
        <v>6985948343.4905176</v>
      </c>
      <c r="DI32">
        <v>0.4705335611104966</v>
      </c>
      <c r="DJ32">
        <v>2.3440413512579535E-2</v>
      </c>
      <c r="DK32">
        <v>94657033196.503067</v>
      </c>
      <c r="DL32">
        <v>0.41171686597168444</v>
      </c>
      <c r="DM32">
        <v>76767100</v>
      </c>
      <c r="DN32">
        <v>0.5881669513881207</v>
      </c>
      <c r="DO32">
        <v>2218800000</v>
      </c>
      <c r="DP32">
        <v>1690392300</v>
      </c>
      <c r="DQ32">
        <v>2736</v>
      </c>
      <c r="DR32">
        <v>-1.1736470450649357</v>
      </c>
      <c r="DS32">
        <v>0.55123421037855003</v>
      </c>
      <c r="DT32" s="11">
        <v>9.3333333333333268E-2</v>
      </c>
      <c r="DU32">
        <v>0.16666666666666666</v>
      </c>
      <c r="DV32">
        <v>0.2599999999999999</v>
      </c>
      <c r="DW32">
        <v>5.9952185792349724</v>
      </c>
      <c r="DX32">
        <v>0.9614820191496869</v>
      </c>
      <c r="DY32">
        <v>5.2701839493859914</v>
      </c>
      <c r="DZ32">
        <v>1582</v>
      </c>
      <c r="EA32">
        <v>5.1865379595760821</v>
      </c>
      <c r="EB32">
        <v>5</v>
      </c>
      <c r="EC32">
        <v>0.10597187499999999</v>
      </c>
      <c r="ED32">
        <v>0.39034583333333334</v>
      </c>
      <c r="EE32" s="12">
        <v>-4.0259099999999997</v>
      </c>
      <c r="EF32">
        <v>-4.0479099999999999</v>
      </c>
      <c r="EG32">
        <v>69.271482019149687</v>
      </c>
      <c r="EH32" t="s">
        <v>887</v>
      </c>
      <c r="EI32">
        <v>1</v>
      </c>
      <c r="EJ32">
        <v>0</v>
      </c>
      <c r="EK32" s="14">
        <v>45470</v>
      </c>
      <c r="EL32" s="15">
        <v>-1.18</v>
      </c>
      <c r="EM32" s="15">
        <v>-4.1399999999999997</v>
      </c>
      <c r="EN32" s="15">
        <v>0.68</v>
      </c>
      <c r="EO32" s="15">
        <v>2.48</v>
      </c>
      <c r="EP32" s="15">
        <v>-2.2000000000000002</v>
      </c>
    </row>
    <row r="33" spans="1:146" ht="96" x14ac:dyDescent="0.25">
      <c r="C33" s="7" t="str">
        <f>""&amp;CHAR(10)&amp;Basic_Fundamental_Information_Constructure(F33)&amp;CHAR(10)&amp;Basic_Fundamental_Information_Concatenate("")</f>
        <v xml:space="preserve">
市值39.783535亿, 利润5136.47万; PE26.58; 平均PE54.16; 平均PEG4.93, PB1.82; ROIC13.4467%; ROE17%; 股利率2.422%; 毛利43.82%; 净利20.19%; 上一年度营收增-43.65%, 利润增-68.1%; 当季营收增66.35%, 利润增776.82%; 过往5年营收增10.99%, 利润增37.01%
Income profile:
</v>
      </c>
      <c r="D33" t="s">
        <v>765</v>
      </c>
      <c r="E33" t="s">
        <v>780</v>
      </c>
      <c r="F33">
        <v>33.03</v>
      </c>
      <c r="G33">
        <v>2.1</v>
      </c>
      <c r="H33" t="s">
        <v>1619</v>
      </c>
      <c r="I33">
        <v>3978353500</v>
      </c>
      <c r="J33">
        <v>26.58</v>
      </c>
      <c r="K33">
        <v>1.82</v>
      </c>
      <c r="L33" t="s">
        <v>290</v>
      </c>
      <c r="M33" t="s">
        <v>631</v>
      </c>
      <c r="N33" t="s">
        <v>1620</v>
      </c>
      <c r="O33" t="s">
        <v>147</v>
      </c>
      <c r="P33" s="3">
        <v>-41.87</v>
      </c>
      <c r="Q33" t="s">
        <v>1621</v>
      </c>
      <c r="R33">
        <v>16741206</v>
      </c>
      <c r="S33">
        <v>-0.58830000000000005</v>
      </c>
      <c r="T33" t="s">
        <v>1622</v>
      </c>
      <c r="U33">
        <v>30111669</v>
      </c>
      <c r="V33">
        <v>120446669</v>
      </c>
      <c r="W33">
        <v>1.05</v>
      </c>
      <c r="X33">
        <v>0.05</v>
      </c>
      <c r="Y33">
        <v>13.46</v>
      </c>
      <c r="Z33" t="s">
        <v>111</v>
      </c>
      <c r="AA33" t="s">
        <v>1623</v>
      </c>
      <c r="AB33" t="s">
        <v>1624</v>
      </c>
      <c r="AC33" t="s">
        <v>1625</v>
      </c>
      <c r="AD33" t="s">
        <v>14</v>
      </c>
      <c r="AE33">
        <v>-2689688</v>
      </c>
      <c r="AF33" t="s">
        <v>1626</v>
      </c>
      <c r="AG33" t="s">
        <v>1627</v>
      </c>
      <c r="AH33" t="s">
        <v>1628</v>
      </c>
      <c r="AI33" t="s">
        <v>1629</v>
      </c>
      <c r="AJ33" t="s">
        <v>1630</v>
      </c>
      <c r="AK33" t="s">
        <v>1631</v>
      </c>
      <c r="AL33" t="s">
        <v>1632</v>
      </c>
      <c r="AM33" t="s">
        <v>14</v>
      </c>
      <c r="AN33" t="s">
        <v>1633</v>
      </c>
      <c r="AO33" t="s">
        <v>14</v>
      </c>
      <c r="AP33" t="s">
        <v>14</v>
      </c>
      <c r="AQ33" t="s">
        <v>1634</v>
      </c>
      <c r="AR33" t="s">
        <v>14</v>
      </c>
      <c r="AS33" t="s">
        <v>1635</v>
      </c>
      <c r="AT33" t="s">
        <v>14</v>
      </c>
      <c r="AU33" t="s">
        <v>1636</v>
      </c>
      <c r="AV33" t="s">
        <v>1637</v>
      </c>
      <c r="AW33" t="s">
        <v>1638</v>
      </c>
      <c r="AX33" t="s">
        <v>766</v>
      </c>
      <c r="AY33" t="s">
        <v>604</v>
      </c>
      <c r="AZ33" t="s">
        <v>794</v>
      </c>
      <c r="BA33" t="s">
        <v>808</v>
      </c>
      <c r="BB33" t="s">
        <v>153</v>
      </c>
      <c r="BC33" t="s">
        <v>117</v>
      </c>
      <c r="BD33" t="s">
        <v>809</v>
      </c>
      <c r="BE33" t="s">
        <v>810</v>
      </c>
      <c r="BF33" t="s">
        <v>811</v>
      </c>
      <c r="BG33" t="s">
        <v>812</v>
      </c>
      <c r="BH33" t="s">
        <v>611</v>
      </c>
      <c r="BI33" t="s">
        <v>1639</v>
      </c>
      <c r="BJ33" t="s">
        <v>766</v>
      </c>
      <c r="BK33" t="s">
        <v>137</v>
      </c>
      <c r="BL33" t="s">
        <v>1640</v>
      </c>
      <c r="BM33" t="s">
        <v>117</v>
      </c>
      <c r="BN33">
        <v>9.0299999999999994</v>
      </c>
      <c r="BO33">
        <v>18.739999999999998</v>
      </c>
      <c r="BP33">
        <v>12.57</v>
      </c>
      <c r="BQ33">
        <v>13.6</v>
      </c>
      <c r="BR33">
        <v>20.399999999999999</v>
      </c>
      <c r="BS33" t="s">
        <v>14</v>
      </c>
      <c r="BT33" t="s">
        <v>1641</v>
      </c>
      <c r="BU33" t="s">
        <v>501</v>
      </c>
      <c r="BV33">
        <v>47.2</v>
      </c>
      <c r="BW33">
        <v>44.11</v>
      </c>
      <c r="BX33">
        <v>40.15</v>
      </c>
      <c r="BY33">
        <v>22.64</v>
      </c>
      <c r="BZ33">
        <v>22.53</v>
      </c>
      <c r="CA33">
        <v>15.4</v>
      </c>
      <c r="CB33">
        <v>-9.2100000000000009</v>
      </c>
      <c r="CC33" s="9">
        <v>-11.85</v>
      </c>
      <c r="CD33" s="10" t="s">
        <v>1642</v>
      </c>
      <c r="CE33" s="9" t="s">
        <v>1643</v>
      </c>
      <c r="CF33" s="9">
        <v>0.66353412458529037</v>
      </c>
      <c r="CG33" s="9">
        <v>7.7682428115015973</v>
      </c>
      <c r="CH33" s="9">
        <v>-0.43654114007949829</v>
      </c>
      <c r="CI33" s="9">
        <v>0.30601093173027039</v>
      </c>
      <c r="CJ33" s="10">
        <v>0.18318966031074524</v>
      </c>
      <c r="CK33" s="10">
        <v>0.11807228624820709</v>
      </c>
      <c r="CL33" s="10">
        <v>0.37873753905296326</v>
      </c>
      <c r="CM33" s="10">
        <v>-0.68096458911895752</v>
      </c>
      <c r="CN33" s="10">
        <v>0.90423691272735596</v>
      </c>
      <c r="CO33">
        <v>0.43457093834877014</v>
      </c>
      <c r="CP33">
        <v>1.3330238871276379E-2</v>
      </c>
      <c r="CQ33">
        <v>1.179449200630188</v>
      </c>
      <c r="CR33" s="9">
        <v>54.164547293783201</v>
      </c>
      <c r="CS33" s="10">
        <v>4.9288058072706828</v>
      </c>
      <c r="CT33">
        <v>2.4220405691795337</v>
      </c>
      <c r="CU33">
        <v>0.10989385545253753</v>
      </c>
      <c r="CV33">
        <v>0.37012454029172659</v>
      </c>
      <c r="CW33">
        <v>0.06</v>
      </c>
      <c r="CX33">
        <v>35.873311568575431</v>
      </c>
      <c r="CY33">
        <v>53782419.733172596</v>
      </c>
      <c r="CZ33">
        <v>0.10989385545253753</v>
      </c>
      <c r="DA33">
        <v>11.527674043661985</v>
      </c>
      <c r="DB33">
        <v>167367110.8926588</v>
      </c>
      <c r="DC33">
        <v>0.10439916267991065</v>
      </c>
      <c r="DD33">
        <v>5.5477388629232101</v>
      </c>
      <c r="DE33">
        <v>347772948.16349494</v>
      </c>
      <c r="DF33">
        <v>9.6706592798233029E-2</v>
      </c>
      <c r="DG33">
        <v>3.2467363061163992</v>
      </c>
      <c r="DH33">
        <v>594243978.5964036</v>
      </c>
      <c r="DI33">
        <v>8.7915084362030035E-2</v>
      </c>
      <c r="DJ33">
        <v>1.5836819348298623</v>
      </c>
      <c r="DK33">
        <v>1218270826.715766</v>
      </c>
      <c r="DL33">
        <v>7.6925698816776272E-2</v>
      </c>
      <c r="DM33">
        <v>51364700</v>
      </c>
      <c r="DN33">
        <v>0.10989385545253753</v>
      </c>
      <c r="DO33">
        <v>1929353500</v>
      </c>
      <c r="DP33">
        <v>1761016600</v>
      </c>
      <c r="DQ33" s="11">
        <v>2811</v>
      </c>
      <c r="DR33">
        <v>0.55364026913275288</v>
      </c>
      <c r="DS33">
        <v>7.3981182712098708</v>
      </c>
      <c r="DT33">
        <v>-0.22333333333333338</v>
      </c>
      <c r="DU33">
        <v>0.51999999999999991</v>
      </c>
      <c r="DV33">
        <v>0.29666666666666652</v>
      </c>
      <c r="DW33">
        <v>-9.7772151898734183</v>
      </c>
      <c r="DX33">
        <v>0.35495042257270104</v>
      </c>
      <c r="DY33">
        <v>-9.1437462777970122</v>
      </c>
      <c r="DZ33">
        <v>261</v>
      </c>
      <c r="EA33">
        <v>-9.136404246778417</v>
      </c>
      <c r="EB33" s="12">
        <v>9</v>
      </c>
      <c r="EC33" s="12">
        <v>0.14767697726866985</v>
      </c>
      <c r="ED33">
        <v>0.79846790947784529</v>
      </c>
      <c r="EE33">
        <v>4.82E-2</v>
      </c>
      <c r="EF33">
        <v>5.57E-2</v>
      </c>
      <c r="EG33">
        <v>17.184950422572701</v>
      </c>
      <c r="EH33" s="14" t="s">
        <v>466</v>
      </c>
      <c r="EI33">
        <v>0</v>
      </c>
      <c r="EJ33">
        <v>1</v>
      </c>
      <c r="EK33">
        <v>45470</v>
      </c>
      <c r="EL33">
        <v>1.94</v>
      </c>
      <c r="EM33">
        <v>-5.68</v>
      </c>
      <c r="EN33" s="15">
        <v>-0.54</v>
      </c>
      <c r="EO33" s="15">
        <v>3</v>
      </c>
      <c r="EP33" s="15">
        <v>0.75</v>
      </c>
    </row>
    <row r="34" spans="1:146" ht="96" x14ac:dyDescent="0.25">
      <c r="C34" s="7" t="str">
        <f>""&amp;CHAR(10)&amp;Basic_Fundamental_Information_Constructure(F34)&amp;CHAR(10)&amp;Basic_Fundamental_Information_Concatenate("")</f>
        <v xml:space="preserve">
市值26.713333亿, 利润2.16亿; PE23.68; 平均PE31.7; 平均PEG.26, PB1.79; ROIC28.6233%; ROE27.93%; 股利率1.2478%; 毛利50.6767%; 净利36.0867%; 上一年度营收增491.95%, 利润增118.77%; 当季营收增-74.95%, 利润增-32.45%; 过往5年营收增120.1%, 利润增57.96%
Income profile:
</v>
      </c>
      <c r="D34" t="s">
        <v>813</v>
      </c>
      <c r="E34" t="s">
        <v>826</v>
      </c>
      <c r="F34">
        <v>40.07</v>
      </c>
      <c r="G34">
        <v>3.01</v>
      </c>
      <c r="H34" t="s">
        <v>1644</v>
      </c>
      <c r="I34">
        <v>2671333300</v>
      </c>
      <c r="J34">
        <v>23.68</v>
      </c>
      <c r="K34">
        <v>1.79</v>
      </c>
      <c r="L34" t="s">
        <v>290</v>
      </c>
      <c r="M34" t="s">
        <v>1645</v>
      </c>
      <c r="N34" t="s">
        <v>1646</v>
      </c>
      <c r="O34" t="s">
        <v>1647</v>
      </c>
      <c r="P34" s="3">
        <v>25.14</v>
      </c>
      <c r="Q34" t="s">
        <v>1648</v>
      </c>
      <c r="R34">
        <v>29687084</v>
      </c>
      <c r="S34">
        <v>0.18809999999999999</v>
      </c>
      <c r="T34" t="s">
        <v>1090</v>
      </c>
      <c r="U34">
        <v>16666667</v>
      </c>
      <c r="V34">
        <v>66666667</v>
      </c>
      <c r="W34">
        <v>1.05</v>
      </c>
      <c r="X34">
        <v>0.06</v>
      </c>
      <c r="Y34">
        <v>32.92</v>
      </c>
      <c r="Z34" t="s">
        <v>1649</v>
      </c>
      <c r="AA34" t="s">
        <v>1650</v>
      </c>
      <c r="AB34" t="s">
        <v>1651</v>
      </c>
      <c r="AC34" t="s">
        <v>1652</v>
      </c>
      <c r="AD34" t="s">
        <v>14</v>
      </c>
      <c r="AE34">
        <v>-1333049</v>
      </c>
      <c r="AF34" t="s">
        <v>1653</v>
      </c>
      <c r="AG34" t="s">
        <v>1654</v>
      </c>
      <c r="AH34" t="s">
        <v>1655</v>
      </c>
      <c r="AI34" t="s">
        <v>1656</v>
      </c>
      <c r="AJ34" t="s">
        <v>1657</v>
      </c>
      <c r="AK34" t="s">
        <v>1658</v>
      </c>
      <c r="AL34" t="s">
        <v>1659</v>
      </c>
      <c r="AM34" t="s">
        <v>14</v>
      </c>
      <c r="AN34">
        <v>0</v>
      </c>
      <c r="AO34" t="s">
        <v>14</v>
      </c>
      <c r="AP34" t="s">
        <v>14</v>
      </c>
      <c r="AQ34" t="s">
        <v>1660</v>
      </c>
      <c r="AR34" t="s">
        <v>14</v>
      </c>
      <c r="AS34" t="s">
        <v>1661</v>
      </c>
      <c r="AT34" t="s">
        <v>14</v>
      </c>
      <c r="AU34" t="s">
        <v>1662</v>
      </c>
      <c r="AV34" t="s">
        <v>1663</v>
      </c>
      <c r="AW34" t="s">
        <v>14</v>
      </c>
      <c r="AX34" t="s">
        <v>814</v>
      </c>
      <c r="AY34" t="s">
        <v>499</v>
      </c>
      <c r="AZ34" t="s">
        <v>71</v>
      </c>
      <c r="BA34" t="s">
        <v>793</v>
      </c>
      <c r="BB34" t="s">
        <v>581</v>
      </c>
      <c r="BC34" t="s">
        <v>859</v>
      </c>
      <c r="BD34" t="s">
        <v>861</v>
      </c>
      <c r="BE34" t="s">
        <v>862</v>
      </c>
      <c r="BF34" t="s">
        <v>863</v>
      </c>
      <c r="BG34" t="s">
        <v>864</v>
      </c>
      <c r="BH34" t="s">
        <v>799</v>
      </c>
      <c r="BI34" t="s">
        <v>1664</v>
      </c>
      <c r="BJ34" t="s">
        <v>814</v>
      </c>
      <c r="BK34" t="s">
        <v>76</v>
      </c>
      <c r="BL34" t="s">
        <v>1665</v>
      </c>
      <c r="BM34" t="s">
        <v>859</v>
      </c>
      <c r="BN34">
        <v>8.73</v>
      </c>
      <c r="BO34">
        <v>34.69</v>
      </c>
      <c r="BP34">
        <v>42.45</v>
      </c>
      <c r="BQ34">
        <v>20.88</v>
      </c>
      <c r="BR34">
        <v>34.979999999999997</v>
      </c>
      <c r="BS34" t="s">
        <v>14</v>
      </c>
      <c r="BT34" t="s">
        <v>1666</v>
      </c>
      <c r="BU34" t="s">
        <v>501</v>
      </c>
      <c r="BV34">
        <v>48.94</v>
      </c>
      <c r="BW34">
        <v>50.38</v>
      </c>
      <c r="BX34">
        <v>52.71</v>
      </c>
      <c r="BY34">
        <v>31.62</v>
      </c>
      <c r="BZ34">
        <v>37.86</v>
      </c>
      <c r="CA34">
        <v>38.78</v>
      </c>
      <c r="CB34">
        <v>-3.17</v>
      </c>
      <c r="CC34" s="9">
        <v>-11.47</v>
      </c>
      <c r="CD34" s="10" t="s">
        <v>1667</v>
      </c>
      <c r="CE34" s="9" t="s">
        <v>1668</v>
      </c>
      <c r="CF34" s="9">
        <v>-0.74952138888888886</v>
      </c>
      <c r="CG34" s="9">
        <v>-0.32447216501882969</v>
      </c>
      <c r="CH34" s="9">
        <v>4.9195404052734375</v>
      </c>
      <c r="CI34" s="9">
        <v>0.2369668185710907</v>
      </c>
      <c r="CJ34" s="10">
        <v>0.51798558235168457</v>
      </c>
      <c r="CK34" s="10">
        <v>0.34951457381248474</v>
      </c>
      <c r="CL34" s="10">
        <v>-1.904761977493763E-2</v>
      </c>
      <c r="CM34" s="10">
        <v>1.187700629234314</v>
      </c>
      <c r="CN34" s="10">
        <v>0.20597817003726959</v>
      </c>
      <c r="CO34">
        <v>0.5017775297164917</v>
      </c>
      <c r="CP34">
        <v>1.0493507385253906</v>
      </c>
      <c r="CQ34">
        <v>-4.6705394983291626E-2</v>
      </c>
      <c r="CR34" s="9">
        <v>31.699331402788385</v>
      </c>
      <c r="CS34" s="10">
        <v>0.26394291276278592</v>
      </c>
      <c r="CT34">
        <v>1.2478163214374844</v>
      </c>
      <c r="CU34">
        <v>1.200991952046752</v>
      </c>
      <c r="CV34">
        <v>0.5796203345060349</v>
      </c>
      <c r="CW34">
        <v>0.06</v>
      </c>
      <c r="CX34">
        <v>2.8046858951905018</v>
      </c>
      <c r="CY34">
        <v>448504020.41707391</v>
      </c>
      <c r="CZ34">
        <v>1.200991952046752</v>
      </c>
      <c r="DA34">
        <v>0.40615315144527642</v>
      </c>
      <c r="DB34">
        <v>3097139331.6136475</v>
      </c>
      <c r="DC34">
        <v>1.1409423544444144</v>
      </c>
      <c r="DD34">
        <v>5.3880556485014157E-2</v>
      </c>
      <c r="DE34">
        <v>23346323461.78281</v>
      </c>
      <c r="DF34">
        <v>1.0568729178011418</v>
      </c>
      <c r="DG34">
        <v>5.7155358698732861E-3</v>
      </c>
      <c r="DH34">
        <v>220086607562.11612</v>
      </c>
      <c r="DI34">
        <v>0.96079356163740171</v>
      </c>
      <c r="DJ34">
        <v>3.9736243783540677E-5</v>
      </c>
      <c r="DK34">
        <v>31656562881291.906</v>
      </c>
      <c r="DL34">
        <v>0.84069436643272633</v>
      </c>
      <c r="DM34">
        <v>216000000</v>
      </c>
      <c r="DN34">
        <v>1.200991952046752</v>
      </c>
      <c r="DO34">
        <v>1257912900</v>
      </c>
      <c r="DP34">
        <v>1318908400</v>
      </c>
      <c r="DQ34" s="11">
        <v>2820</v>
      </c>
      <c r="DR34">
        <v>-1.950513340935641</v>
      </c>
      <c r="DS34">
        <v>-0.90409249952486459</v>
      </c>
      <c r="DT34">
        <v>0.26</v>
      </c>
      <c r="DU34">
        <v>0.63</v>
      </c>
      <c r="DV34">
        <v>0.89</v>
      </c>
      <c r="DW34">
        <v>-8.2763731473408892</v>
      </c>
      <c r="DX34">
        <v>0.38886976544697743</v>
      </c>
      <c r="DY34">
        <v>-8.0273249482534368</v>
      </c>
      <c r="DZ34">
        <v>624</v>
      </c>
      <c r="EA34">
        <v>-8.0239882031046807</v>
      </c>
      <c r="EB34" s="12">
        <v>8</v>
      </c>
      <c r="EC34" s="12">
        <v>6.1894499690527502E-2</v>
      </c>
      <c r="ED34">
        <v>0.62602049686989747</v>
      </c>
      <c r="EE34">
        <v>4.0396999999999998</v>
      </c>
      <c r="EF34">
        <v>4.0205000000000002</v>
      </c>
      <c r="EG34">
        <v>29.098869765446977</v>
      </c>
      <c r="EH34" s="14" t="s">
        <v>858</v>
      </c>
      <c r="EI34">
        <v>0</v>
      </c>
      <c r="EJ34">
        <v>1</v>
      </c>
      <c r="EK34">
        <v>45470</v>
      </c>
      <c r="EL34">
        <v>20.03</v>
      </c>
      <c r="EM34">
        <v>6.6</v>
      </c>
      <c r="EN34" s="15">
        <v>-8.19</v>
      </c>
      <c r="EO34" s="15">
        <v>0.54</v>
      </c>
      <c r="EP34" s="15">
        <v>-1.92</v>
      </c>
    </row>
    <row r="35" spans="1:146" ht="96" x14ac:dyDescent="0.25">
      <c r="A35" s="7"/>
      <c r="B35" s="7"/>
      <c r="C35" s="7" t="str">
        <f>""&amp;CHAR(10)&amp;Basic_Fundamental_Information_Constructure(F35)&amp;CHAR(10)&amp;Basic_Fundamental_Information_Concatenate("")</f>
        <v xml:space="preserve">
市值26.704454亿, 利润-15.54亿; PE; 平均PE-3.32; 平均PEG0, PB1.1; ROIC0%; ROE-13.4467%; 股利率0%; 毛利26.3433%; 净利-81.7833%; 上一年度营收增8230.24%, 利润增-94.49%; 当季营收增-98.68%, 利润增93.85%; 过往5年营收增1644.63%, 利润增-1369.36%
Income profile:
</v>
      </c>
      <c r="D35" t="s">
        <v>318</v>
      </c>
      <c r="E35" t="s">
        <v>319</v>
      </c>
      <c r="F35">
        <v>1.34</v>
      </c>
      <c r="G35">
        <v>1.52</v>
      </c>
      <c r="H35" t="s">
        <v>1669</v>
      </c>
      <c r="I35">
        <v>2670445400</v>
      </c>
      <c r="K35">
        <v>1.1000000000000001</v>
      </c>
      <c r="L35" t="s">
        <v>290</v>
      </c>
      <c r="M35" t="s">
        <v>197</v>
      </c>
      <c r="N35" t="s">
        <v>1670</v>
      </c>
      <c r="O35" t="s">
        <v>548</v>
      </c>
      <c r="P35">
        <v>10.34</v>
      </c>
      <c r="Q35" t="s">
        <v>1671</v>
      </c>
      <c r="R35">
        <v>-22893608</v>
      </c>
      <c r="S35" s="3">
        <v>0.17730000000000001</v>
      </c>
      <c r="T35" t="s">
        <v>1672</v>
      </c>
      <c r="U35">
        <v>1669067300</v>
      </c>
      <c r="V35">
        <v>1992869700</v>
      </c>
      <c r="W35">
        <v>1.1599999999999999</v>
      </c>
      <c r="X35">
        <v>0.04</v>
      </c>
      <c r="Y35">
        <v>-16</v>
      </c>
      <c r="Z35" t="s">
        <v>126</v>
      </c>
      <c r="AA35" t="s">
        <v>1673</v>
      </c>
      <c r="AB35" t="s">
        <v>1674</v>
      </c>
      <c r="AC35" t="s">
        <v>1675</v>
      </c>
      <c r="AD35" t="s">
        <v>14</v>
      </c>
      <c r="AE35">
        <v>-5947675</v>
      </c>
      <c r="AF35" t="s">
        <v>1676</v>
      </c>
      <c r="AG35" t="s">
        <v>1677</v>
      </c>
      <c r="AH35" t="s">
        <v>1678</v>
      </c>
      <c r="AI35" t="s">
        <v>867</v>
      </c>
      <c r="AJ35" t="s">
        <v>14</v>
      </c>
      <c r="AK35" t="s">
        <v>1679</v>
      </c>
      <c r="AL35" t="s">
        <v>1680</v>
      </c>
      <c r="AM35" t="s">
        <v>14</v>
      </c>
      <c r="AN35" t="s">
        <v>1681</v>
      </c>
      <c r="AO35" t="s">
        <v>866</v>
      </c>
      <c r="AP35" t="s">
        <v>14</v>
      </c>
      <c r="AQ35" t="s">
        <v>1682</v>
      </c>
      <c r="AR35" t="s">
        <v>14</v>
      </c>
      <c r="AS35" t="s">
        <v>1683</v>
      </c>
      <c r="AT35" t="s">
        <v>14</v>
      </c>
      <c r="AU35" t="s">
        <v>1684</v>
      </c>
      <c r="AV35" t="s">
        <v>1685</v>
      </c>
      <c r="AW35" t="s">
        <v>495</v>
      </c>
      <c r="AX35" t="s">
        <v>660</v>
      </c>
      <c r="AY35" t="s">
        <v>419</v>
      </c>
      <c r="AZ35" t="s">
        <v>180</v>
      </c>
      <c r="BA35" t="s">
        <v>95</v>
      </c>
      <c r="BB35" t="s">
        <v>200</v>
      </c>
      <c r="BC35" t="s">
        <v>661</v>
      </c>
      <c r="BD35" t="s">
        <v>368</v>
      </c>
      <c r="BE35" t="s">
        <v>320</v>
      </c>
      <c r="BF35" t="s">
        <v>321</v>
      </c>
      <c r="BG35" t="s">
        <v>322</v>
      </c>
      <c r="BH35" t="s">
        <v>56</v>
      </c>
      <c r="BI35" t="s">
        <v>1686</v>
      </c>
      <c r="BJ35" t="s">
        <v>660</v>
      </c>
      <c r="BK35" t="s">
        <v>1687</v>
      </c>
      <c r="BL35" t="s">
        <v>1688</v>
      </c>
      <c r="BM35" t="s">
        <v>661</v>
      </c>
      <c r="BN35" t="s">
        <v>14</v>
      </c>
      <c r="BO35" t="s">
        <v>14</v>
      </c>
      <c r="BP35" t="s">
        <v>14</v>
      </c>
      <c r="BQ35">
        <v>-9.6199999999999992</v>
      </c>
      <c r="BR35">
        <v>-24.99</v>
      </c>
      <c r="BS35">
        <v>-5.73</v>
      </c>
      <c r="BT35" t="s">
        <v>546</v>
      </c>
      <c r="BU35" t="s">
        <v>937</v>
      </c>
      <c r="BV35">
        <v>25.23</v>
      </c>
      <c r="BW35">
        <v>25.19</v>
      </c>
      <c r="BX35">
        <v>28.61</v>
      </c>
      <c r="BY35">
        <v>-53</v>
      </c>
      <c r="BZ35">
        <v>-156.47</v>
      </c>
      <c r="CA35">
        <v>-35.880000000000003</v>
      </c>
      <c r="CB35">
        <v>10.74</v>
      </c>
      <c r="CC35">
        <v>-15.72</v>
      </c>
      <c r="CD35" t="s">
        <v>1689</v>
      </c>
      <c r="CE35" t="s">
        <v>54</v>
      </c>
      <c r="CF35" s="9">
        <v>-0.98683010839833851</v>
      </c>
      <c r="CG35" s="10">
        <v>0.93845804301075264</v>
      </c>
      <c r="CH35" s="9">
        <v>82.3023681640625</v>
      </c>
      <c r="CI35" s="9">
        <v>-0.12908777594566345</v>
      </c>
      <c r="CJ35" s="9">
        <v>-0.20082530379295349</v>
      </c>
      <c r="CK35" s="9">
        <v>4.4540230184793472E-2</v>
      </c>
      <c r="CL35" s="9">
        <v>0.21465969085693359</v>
      </c>
      <c r="CM35" s="10">
        <v>-0.94493114948272705</v>
      </c>
      <c r="CN35" s="10">
        <v>-2.7867298126220703</v>
      </c>
      <c r="CO35" s="10">
        <v>-66.550338745117188</v>
      </c>
      <c r="CP35" s="10">
        <v>1.0087233781814575</v>
      </c>
      <c r="CQ35" s="10">
        <v>0.80527710914611816</v>
      </c>
      <c r="CR35">
        <v>-3.3209117818837415</v>
      </c>
      <c r="CS35">
        <v>-2.0192417273293675E-3</v>
      </c>
      <c r="CT35">
        <v>0</v>
      </c>
      <c r="CU35" s="9">
        <v>16.446331001073123</v>
      </c>
      <c r="CV35" s="10">
        <v>-13.693599843978882</v>
      </c>
      <c r="CW35">
        <v>0.06</v>
      </c>
      <c r="CX35" t="e">
        <v>#VALUE!</v>
      </c>
      <c r="CY35" t="s">
        <v>464</v>
      </c>
      <c r="CZ35">
        <v>16.446331001073123</v>
      </c>
      <c r="DA35" t="e">
        <v>#VALUE!</v>
      </c>
      <c r="DB35" t="s">
        <v>465</v>
      </c>
      <c r="DC35">
        <v>15.624014451019466</v>
      </c>
      <c r="DD35" t="e">
        <v>#VALUE!</v>
      </c>
      <c r="DE35" t="s">
        <v>465</v>
      </c>
      <c r="DF35">
        <v>14.472771280944349</v>
      </c>
      <c r="DG35" t="e">
        <v>#VALUE!</v>
      </c>
      <c r="DH35" t="s">
        <v>465</v>
      </c>
      <c r="DI35">
        <v>13.1570648008585</v>
      </c>
      <c r="DJ35" t="e">
        <v>#VALUE!</v>
      </c>
      <c r="DK35" t="s">
        <v>465</v>
      </c>
      <c r="DL35">
        <v>11.512431700751184</v>
      </c>
      <c r="DM35">
        <v>-1554000000</v>
      </c>
      <c r="DN35">
        <v>16.446331001073123</v>
      </c>
      <c r="DO35">
        <v>661445400</v>
      </c>
      <c r="DP35">
        <v>1197172300</v>
      </c>
      <c r="DQ35">
        <v>3277</v>
      </c>
      <c r="DR35">
        <v>-17.43316110947146</v>
      </c>
      <c r="DS35">
        <v>14.632057886989635</v>
      </c>
      <c r="DT35" s="11">
        <v>-0.17333333333333337</v>
      </c>
      <c r="DU35">
        <v>-2.1516666666666668</v>
      </c>
      <c r="DV35">
        <v>-2.3250000000000002</v>
      </c>
      <c r="DW35">
        <v>7.4058956916099774</v>
      </c>
      <c r="DX35">
        <v>0.34348888888888723</v>
      </c>
      <c r="DY35">
        <v>7.0623004787100028</v>
      </c>
      <c r="DZ35">
        <v>3572</v>
      </c>
      <c r="EA35">
        <v>7.0187511029855152</v>
      </c>
      <c r="EB35">
        <v>7</v>
      </c>
      <c r="EC35">
        <v>1.178391141176967E-2</v>
      </c>
      <c r="ED35">
        <v>7.677370979146303E-2</v>
      </c>
      <c r="EE35" s="12">
        <v>-3.0388099999999998</v>
      </c>
      <c r="EF35">
        <v>-3.0524100000000001</v>
      </c>
      <c r="EG35">
        <v>19.153488888888887</v>
      </c>
      <c r="EH35" t="s">
        <v>890</v>
      </c>
      <c r="EI35">
        <v>1</v>
      </c>
      <c r="EJ35">
        <v>0</v>
      </c>
      <c r="EK35" s="14">
        <v>45470</v>
      </c>
      <c r="EL35" s="15">
        <v>-10.14</v>
      </c>
      <c r="EM35" s="15">
        <v>8.27</v>
      </c>
      <c r="EN35" s="15">
        <v>2.08</v>
      </c>
      <c r="EO35" s="15">
        <v>0</v>
      </c>
      <c r="EP35" s="15">
        <v>-1.36</v>
      </c>
    </row>
    <row r="36" spans="1:146" ht="156" x14ac:dyDescent="0.25">
      <c r="A36" s="7"/>
      <c r="B36" s="7"/>
      <c r="C36" s="7" t="str">
        <f>"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amp;CHAR(10)&amp;Basic_Fundamental_Information_Constructure(F36)&amp;CHAR(10)&amp;Basic_Fundamental_Information_Concatenate("医药研发及一致性评价 8173.16万 49.91% 73.31% 43.90%
临床试验 6040.22万 36.88% 25.99% 21.06%")</f>
        <v>公司主营业务涵盖新药早期发现与筛选、药物CMC开发、临床试验、注册申报、BE/PK生物样品分析及药学检测服务、临床SMO及数据服务、MAH服务、API及中间体生产供应，为客户提供从药物发现、药学CMC开发、临床试验与申报注册的全过程一站式外包和技术成果转化服务。
市值21.047829亿, 利润3357.52万; PE78.1; 平均PE-14; 平均PEG-.35, PB2.89; ROIC5.785%; ROE2.2067%; 股利率0%; 毛利43%; 净利4.9533%; 上一年度营收增46%, 利润增196.58%; 当季营收增-42.12%, 利润增106%; 过往5年营收增39.55%, 利润增-153.68%
Income profile:
医药研发及一致性评价 8173.16万 49.91% 73.31% 43.90%
临床试验 6040.22万 36.88% 25.99% 21.06%</v>
      </c>
      <c r="D36" t="s">
        <v>34</v>
      </c>
      <c r="E36" t="s">
        <v>484</v>
      </c>
      <c r="F36">
        <v>5.51</v>
      </c>
      <c r="G36">
        <v>2.99</v>
      </c>
      <c r="H36" t="s">
        <v>1690</v>
      </c>
      <c r="I36">
        <v>2104782900</v>
      </c>
      <c r="J36">
        <v>78.099999999999994</v>
      </c>
      <c r="K36">
        <v>2.89</v>
      </c>
      <c r="L36" t="s">
        <v>290</v>
      </c>
      <c r="M36" t="s">
        <v>854</v>
      </c>
      <c r="N36" t="s">
        <v>884</v>
      </c>
      <c r="O36" t="s">
        <v>1691</v>
      </c>
      <c r="P36">
        <v>20.03</v>
      </c>
      <c r="Q36" t="s">
        <v>1692</v>
      </c>
      <c r="R36">
        <v>20663459</v>
      </c>
      <c r="S36" s="3">
        <v>2.09</v>
      </c>
      <c r="T36" t="s">
        <v>1693</v>
      </c>
      <c r="U36">
        <v>381993270</v>
      </c>
      <c r="V36">
        <v>381993270</v>
      </c>
      <c r="W36">
        <v>1.49</v>
      </c>
      <c r="X36">
        <v>0.08</v>
      </c>
      <c r="Y36">
        <v>22.74</v>
      </c>
      <c r="Z36" t="s">
        <v>1694</v>
      </c>
      <c r="AA36" t="s">
        <v>1695</v>
      </c>
      <c r="AB36" t="s">
        <v>1696</v>
      </c>
      <c r="AC36" t="s">
        <v>1697</v>
      </c>
      <c r="AD36" t="s">
        <v>14</v>
      </c>
      <c r="AE36">
        <v>-324380</v>
      </c>
      <c r="AF36" t="s">
        <v>1698</v>
      </c>
      <c r="AG36" t="s">
        <v>1699</v>
      </c>
      <c r="AH36" t="s">
        <v>1700</v>
      </c>
      <c r="AI36" t="s">
        <v>1701</v>
      </c>
      <c r="AJ36" t="s">
        <v>1702</v>
      </c>
      <c r="AK36" t="s">
        <v>1703</v>
      </c>
      <c r="AL36" t="s">
        <v>1704</v>
      </c>
      <c r="AM36" t="s">
        <v>14</v>
      </c>
      <c r="AN36">
        <v>0</v>
      </c>
      <c r="AO36" t="s">
        <v>14</v>
      </c>
      <c r="AP36" t="s">
        <v>14</v>
      </c>
      <c r="AQ36" t="s">
        <v>63</v>
      </c>
      <c r="AR36" t="s">
        <v>14</v>
      </c>
      <c r="AS36" t="s">
        <v>609</v>
      </c>
      <c r="AT36" t="s">
        <v>14</v>
      </c>
      <c r="AU36" t="s">
        <v>1705</v>
      </c>
      <c r="AV36" t="s">
        <v>871</v>
      </c>
      <c r="AW36" t="s">
        <v>1706</v>
      </c>
      <c r="AX36" t="s">
        <v>210</v>
      </c>
      <c r="AY36" t="s">
        <v>221</v>
      </c>
      <c r="AZ36" t="s">
        <v>237</v>
      </c>
      <c r="BA36" t="s">
        <v>227</v>
      </c>
      <c r="BB36" t="s">
        <v>239</v>
      </c>
      <c r="BC36" t="s">
        <v>1707</v>
      </c>
      <c r="BD36" t="s">
        <v>420</v>
      </c>
      <c r="BE36" t="s">
        <v>238</v>
      </c>
      <c r="BF36" t="s">
        <v>240</v>
      </c>
      <c r="BG36" t="s">
        <v>241</v>
      </c>
      <c r="BH36" t="s">
        <v>580</v>
      </c>
      <c r="BI36" t="s">
        <v>102</v>
      </c>
      <c r="BJ36" t="s">
        <v>210</v>
      </c>
      <c r="BK36" t="s">
        <v>1708</v>
      </c>
      <c r="BL36" t="s">
        <v>1709</v>
      </c>
      <c r="BM36" t="s">
        <v>1707</v>
      </c>
      <c r="BN36">
        <v>2.5</v>
      </c>
      <c r="BO36" t="s">
        <v>14</v>
      </c>
      <c r="BP36">
        <v>9.07</v>
      </c>
      <c r="BQ36">
        <v>2.61</v>
      </c>
      <c r="BR36">
        <v>-5.21</v>
      </c>
      <c r="BS36">
        <v>9.2200000000000006</v>
      </c>
      <c r="BT36" t="s">
        <v>546</v>
      </c>
      <c r="BU36" t="s">
        <v>501</v>
      </c>
      <c r="BV36">
        <v>49.04</v>
      </c>
      <c r="BW36">
        <v>39.92</v>
      </c>
      <c r="BX36">
        <v>40.04</v>
      </c>
      <c r="BY36">
        <v>3.51</v>
      </c>
      <c r="BZ36">
        <v>-9.93</v>
      </c>
      <c r="CA36">
        <v>21.28</v>
      </c>
      <c r="CB36">
        <v>-5</v>
      </c>
      <c r="CC36">
        <v>-5.16</v>
      </c>
      <c r="CD36" t="s">
        <v>778</v>
      </c>
      <c r="CE36" t="s">
        <v>1710</v>
      </c>
      <c r="CF36" s="9">
        <v>-0.42116942675159236</v>
      </c>
      <c r="CG36" s="10">
        <v>1.0600010966224029</v>
      </c>
      <c r="CH36" s="9">
        <v>0.46000000834465027</v>
      </c>
      <c r="CI36" s="9">
        <v>0.24555160105228424</v>
      </c>
      <c r="CJ36" s="9">
        <v>2.3242478370666504</v>
      </c>
      <c r="CK36" s="9">
        <v>-0.67736488580703735</v>
      </c>
      <c r="CL36" s="9">
        <v>-0.37470167875289917</v>
      </c>
      <c r="CM36" s="10">
        <v>1.9657844305038452</v>
      </c>
      <c r="CN36" s="10">
        <v>-1.5810861587524414</v>
      </c>
      <c r="CO36" s="10">
        <v>1.1869597434997559</v>
      </c>
      <c r="CP36" s="10">
        <v>-10.306465148925781</v>
      </c>
      <c r="CQ36" s="10">
        <v>1.0509402751922607</v>
      </c>
      <c r="CR36">
        <v>-14.001119318138354</v>
      </c>
      <c r="CS36">
        <v>-0.35396891678975645</v>
      </c>
      <c r="CT36">
        <v>0</v>
      </c>
      <c r="CU36" s="9">
        <v>0.39554657638072965</v>
      </c>
      <c r="CV36" s="10">
        <v>-1.5367733716964722</v>
      </c>
      <c r="CW36">
        <v>0.06</v>
      </c>
      <c r="CX36">
        <v>39.154845715231339</v>
      </c>
      <c r="CY36">
        <v>44203542.840847433</v>
      </c>
      <c r="CZ36">
        <v>0.39554657638072965</v>
      </c>
      <c r="DA36">
        <v>9.9732404772357626</v>
      </c>
      <c r="DB36">
        <v>173542681.93478006</v>
      </c>
      <c r="DC36">
        <v>0.37576924756169316</v>
      </c>
      <c r="DD36">
        <v>3.4092785355371951</v>
      </c>
      <c r="DE36">
        <v>507668376.74273014</v>
      </c>
      <c r="DF36">
        <v>0.3480809872150421</v>
      </c>
      <c r="DG36">
        <v>1.2992894332455698</v>
      </c>
      <c r="DH36">
        <v>1332099573.5927582</v>
      </c>
      <c r="DI36">
        <v>0.31643726110458376</v>
      </c>
      <c r="DJ36">
        <v>0.21677891933784604</v>
      </c>
      <c r="DK36">
        <v>7984092296.828023</v>
      </c>
      <c r="DL36">
        <v>0.27688260346651072</v>
      </c>
      <c r="DM36">
        <v>33575200</v>
      </c>
      <c r="DN36">
        <v>0.39554657638072965</v>
      </c>
      <c r="DO36">
        <v>1730782900</v>
      </c>
      <c r="DP36">
        <v>270415470</v>
      </c>
      <c r="DQ36">
        <v>3406</v>
      </c>
      <c r="DR36">
        <v>-0.81671600313232195</v>
      </c>
      <c r="DS36">
        <v>2.5967744683188752</v>
      </c>
      <c r="DT36" s="11">
        <v>-2.4999999999999984E-2</v>
      </c>
      <c r="DU36">
        <v>-0.16000000000000006</v>
      </c>
      <c r="DV36">
        <v>-0.18500000000000005</v>
      </c>
      <c r="DW36">
        <v>-8.9689922480620154</v>
      </c>
      <c r="DX36">
        <v>0.41201138519924158</v>
      </c>
      <c r="DY36">
        <v>-8.2151273112395753</v>
      </c>
      <c r="DZ36">
        <v>500</v>
      </c>
      <c r="EA36">
        <v>-8.1940776721750375</v>
      </c>
      <c r="EB36">
        <v>8</v>
      </c>
      <c r="EC36">
        <v>0.30628811863622624</v>
      </c>
      <c r="ED36">
        <v>1.3796054574469334</v>
      </c>
      <c r="EE36" s="12">
        <v>2.1040000000000001</v>
      </c>
      <c r="EF36">
        <v>2.0741000000000001</v>
      </c>
      <c r="EG36">
        <v>19.222011385199242</v>
      </c>
      <c r="EH36" t="s">
        <v>831</v>
      </c>
      <c r="EI36">
        <v>0</v>
      </c>
      <c r="EJ36">
        <v>1</v>
      </c>
      <c r="EK36" s="14">
        <v>45470</v>
      </c>
      <c r="EL36" s="15">
        <v>2.21</v>
      </c>
      <c r="EM36" s="15">
        <v>-4.1100000000000003</v>
      </c>
      <c r="EN36" s="15">
        <v>0</v>
      </c>
      <c r="EO36" s="15">
        <v>2.0299999999999998</v>
      </c>
      <c r="EP36" s="15">
        <v>-2.99</v>
      </c>
    </row>
    <row r="37" spans="1:146" ht="132" x14ac:dyDescent="0.25">
      <c r="A37" s="7"/>
      <c r="B37" s="7"/>
      <c r="C37" s="7" t="e">
        <f>"根植于浙江的口腔医疗服务龙头；公司的主营业务为医疗服务。公司主要产品是医疗服务。"&amp;CHAR(10)&amp;Basic_Fundamental_Information_Constructure(F37)&amp;CHAR(10)&amp;Basic_Fundamental_Information_Concatenate("医疗服务 12.46亿 94.52% 96.19% 43.14%
产品销售 6540.63万 4.96% 2.83% 24.16%
其他业务 564.97万 0.43% 0.81% 80.29%")</f>
        <v>#VALUE!</v>
      </c>
      <c r="D37" t="s">
        <v>23</v>
      </c>
      <c r="E37" t="s">
        <v>1711</v>
      </c>
      <c r="F37">
        <v>39.369999999999997</v>
      </c>
      <c r="G37">
        <v>3.58</v>
      </c>
      <c r="H37" t="s">
        <v>1712</v>
      </c>
      <c r="I37">
        <v>17609773000</v>
      </c>
      <c r="J37">
        <v>34.89</v>
      </c>
      <c r="K37">
        <v>4.43</v>
      </c>
      <c r="L37" t="s">
        <v>290</v>
      </c>
      <c r="M37" t="s">
        <v>1713</v>
      </c>
      <c r="N37" t="s">
        <v>1714</v>
      </c>
      <c r="O37" t="s">
        <v>1715</v>
      </c>
      <c r="P37">
        <v>5.03</v>
      </c>
      <c r="Q37" t="s">
        <v>1716</v>
      </c>
      <c r="R37">
        <v>173215140</v>
      </c>
      <c r="S37" s="3">
        <v>2.5100000000000001E-2</v>
      </c>
      <c r="T37" t="s">
        <v>881</v>
      </c>
      <c r="U37">
        <v>447289120</v>
      </c>
      <c r="V37">
        <v>447289120</v>
      </c>
      <c r="W37">
        <v>1.41</v>
      </c>
      <c r="X37">
        <v>0.12</v>
      </c>
      <c r="Y37">
        <v>28.79</v>
      </c>
      <c r="Z37" t="s">
        <v>50</v>
      </c>
      <c r="AA37" t="s">
        <v>1717</v>
      </c>
      <c r="AB37" t="s">
        <v>1718</v>
      </c>
      <c r="AC37" t="s">
        <v>1719</v>
      </c>
      <c r="AD37" t="s">
        <v>14</v>
      </c>
      <c r="AE37">
        <v>10695426</v>
      </c>
      <c r="AF37" t="s">
        <v>1720</v>
      </c>
      <c r="AG37" t="s">
        <v>1721</v>
      </c>
      <c r="AH37" t="s">
        <v>1722</v>
      </c>
      <c r="AI37" t="s">
        <v>1723</v>
      </c>
      <c r="AJ37" t="s">
        <v>1724</v>
      </c>
      <c r="AK37" t="s">
        <v>14</v>
      </c>
      <c r="AL37" t="s">
        <v>1725</v>
      </c>
      <c r="AM37" t="s">
        <v>14</v>
      </c>
      <c r="AN37" t="s">
        <v>1726</v>
      </c>
      <c r="AO37" t="s">
        <v>1727</v>
      </c>
      <c r="AP37" t="s">
        <v>14</v>
      </c>
      <c r="AQ37" t="s">
        <v>531</v>
      </c>
      <c r="AR37" t="s">
        <v>1728</v>
      </c>
      <c r="AS37" t="s">
        <v>970</v>
      </c>
      <c r="AT37" t="s">
        <v>115</v>
      </c>
      <c r="AU37" t="s">
        <v>107</v>
      </c>
      <c r="AV37" t="s">
        <v>1501</v>
      </c>
      <c r="AW37" t="s">
        <v>1729</v>
      </c>
      <c r="AX37" t="s">
        <v>663</v>
      </c>
      <c r="AY37" t="s">
        <v>421</v>
      </c>
      <c r="AZ37" t="s">
        <v>242</v>
      </c>
      <c r="BA37" t="s">
        <v>243</v>
      </c>
      <c r="BB37" t="s">
        <v>244</v>
      </c>
      <c r="BC37" t="s">
        <v>664</v>
      </c>
      <c r="BD37" t="s">
        <v>422</v>
      </c>
      <c r="BE37" t="s">
        <v>50</v>
      </c>
      <c r="BF37" t="s">
        <v>57</v>
      </c>
      <c r="BG37" t="s">
        <v>109</v>
      </c>
      <c r="BH37" t="s">
        <v>1730</v>
      </c>
      <c r="BI37" t="s">
        <v>805</v>
      </c>
      <c r="BJ37" t="s">
        <v>663</v>
      </c>
      <c r="BK37" t="s">
        <v>1731</v>
      </c>
      <c r="BL37" t="s">
        <v>1732</v>
      </c>
      <c r="BM37" t="s">
        <v>664</v>
      </c>
      <c r="BN37">
        <v>15.14</v>
      </c>
      <c r="BO37">
        <v>18.03</v>
      </c>
      <c r="BP37">
        <v>26.43</v>
      </c>
      <c r="BQ37">
        <v>14.35</v>
      </c>
      <c r="BR37">
        <v>17.57</v>
      </c>
      <c r="BS37">
        <v>27.93</v>
      </c>
      <c r="BT37" t="s">
        <v>1733</v>
      </c>
      <c r="BU37" t="s">
        <v>937</v>
      </c>
      <c r="BV37">
        <v>38.53</v>
      </c>
      <c r="BW37">
        <v>40.81</v>
      </c>
      <c r="BX37">
        <v>46.06</v>
      </c>
      <c r="BY37">
        <v>20.32</v>
      </c>
      <c r="BZ37">
        <v>22.65</v>
      </c>
      <c r="CA37">
        <v>28.27</v>
      </c>
      <c r="CB37">
        <v>2.85</v>
      </c>
      <c r="CC37">
        <v>-12.98</v>
      </c>
      <c r="CD37" t="s">
        <v>1734</v>
      </c>
      <c r="CE37" t="s">
        <v>847</v>
      </c>
      <c r="CF37" s="9">
        <v>0.62013729977116705</v>
      </c>
      <c r="CG37" s="10">
        <v>10.140885146999235</v>
      </c>
      <c r="CH37" s="9">
        <v>0.32107388973236084</v>
      </c>
      <c r="CI37" s="9">
        <v>-2.2294092923402786E-2</v>
      </c>
      <c r="CJ37" s="9">
        <v>0.33189651370048523</v>
      </c>
      <c r="CK37" s="9">
        <v>8.1305056810379028E-2</v>
      </c>
      <c r="CL37" s="9">
        <v>0.24902971088886261</v>
      </c>
      <c r="CM37" s="10">
        <v>-0.43613138794898987</v>
      </c>
      <c r="CN37" s="10">
        <v>-0.22048364579677582</v>
      </c>
      <c r="CO37" s="10">
        <v>0.42596349120140076</v>
      </c>
      <c r="CP37" s="10">
        <v>5.7939913123846054E-2</v>
      </c>
      <c r="CQ37" s="10">
        <v>0.40361446142196655</v>
      </c>
      <c r="CR37">
        <v>37.060202735882143</v>
      </c>
      <c r="CS37">
        <v>1.9281881123036579</v>
      </c>
      <c r="CT37" t="e">
        <v>#VALUE!</v>
      </c>
      <c r="CU37" s="9">
        <v>0.19220221564173698</v>
      </c>
      <c r="CV37" s="10">
        <v>4.6180566400289537E-2</v>
      </c>
      <c r="CW37">
        <v>0.06</v>
      </c>
      <c r="CX37">
        <v>43.620451804002926</v>
      </c>
      <c r="CY37">
        <v>347538193.05027992</v>
      </c>
      <c r="CZ37">
        <v>0.19220221564173698</v>
      </c>
      <c r="DA37">
        <v>13.0864729743335</v>
      </c>
      <c r="DB37">
        <v>1158430772.7324898</v>
      </c>
      <c r="DC37">
        <v>0.18259210485965013</v>
      </c>
      <c r="DD37">
        <v>5.7221452430998561</v>
      </c>
      <c r="DE37">
        <v>2649316358.8045349</v>
      </c>
      <c r="DF37">
        <v>0.16913794976472854</v>
      </c>
      <c r="DG37">
        <v>2.9887159494605133</v>
      </c>
      <c r="DH37">
        <v>5072336500.4748802</v>
      </c>
      <c r="DI37">
        <v>0.1537617725133896</v>
      </c>
      <c r="DJ37">
        <v>1.114179539855048</v>
      </c>
      <c r="DK37">
        <v>13606220952.479748</v>
      </c>
      <c r="DL37">
        <v>0.13454155094921588</v>
      </c>
      <c r="DM37">
        <v>309000000</v>
      </c>
      <c r="DN37">
        <v>0.19220221564173698</v>
      </c>
      <c r="DO37">
        <v>15159773000</v>
      </c>
      <c r="DP37">
        <v>432266040</v>
      </c>
      <c r="DQ37">
        <v>3444</v>
      </c>
      <c r="DR37">
        <v>0.42793508412943004</v>
      </c>
      <c r="DS37">
        <v>10.094704580598945</v>
      </c>
      <c r="DT37" s="11">
        <v>-4.0000000000000036E-2</v>
      </c>
      <c r="DU37">
        <v>-8.3333333333333356E-2</v>
      </c>
      <c r="DV37">
        <v>-0.12333333333333339</v>
      </c>
      <c r="DW37">
        <v>6.1800379027163617</v>
      </c>
      <c r="DX37">
        <v>0.57505714285714582</v>
      </c>
      <c r="DY37">
        <v>6.0279161628011915</v>
      </c>
      <c r="DZ37">
        <v>961</v>
      </c>
      <c r="EA37">
        <v>6.0226661760199889</v>
      </c>
      <c r="EB37">
        <v>6</v>
      </c>
      <c r="EC37">
        <v>4.1252512468892603E-2</v>
      </c>
      <c r="ED37">
        <v>0.26604715983254856</v>
      </c>
      <c r="EE37" s="12">
        <v>2.1189100000000001</v>
      </c>
      <c r="EF37">
        <v>2.1385100000000001</v>
      </c>
      <c r="EG37">
        <v>42.155057142857146</v>
      </c>
      <c r="EH37" t="s">
        <v>588</v>
      </c>
      <c r="EI37">
        <v>0</v>
      </c>
      <c r="EJ37">
        <v>1</v>
      </c>
      <c r="EK37" s="14">
        <v>45470</v>
      </c>
      <c r="EL37" s="15">
        <v>-2.09</v>
      </c>
      <c r="EM37" s="15">
        <v>-3.01</v>
      </c>
      <c r="EN37" s="15">
        <v>1.34</v>
      </c>
      <c r="EO37" s="15">
        <v>0.99</v>
      </c>
      <c r="EP37" s="15">
        <v>-1.96</v>
      </c>
    </row>
    <row r="38" spans="1:146" ht="240" x14ac:dyDescent="0.25">
      <c r="A38" s="7" t="s">
        <v>591</v>
      </c>
      <c r="B38" s="7" t="s">
        <v>590</v>
      </c>
      <c r="C38" s="7" t="str">
        <f>"公司主营业务专注于药物全生命周期的安全性评价和监测服务，其药物临床前研究服务为公司的核心业务，主要内容包括药物非临床安全性评价服务、药效学研究服务、动物药代动力学研究服务和药物筛选。"&amp;CHAR(10)&amp;Basic_Fundamental_Information_Constructure(F38)&amp;CHAR(10)&amp;Basic_Fundamental_Information_Concatenate("（国外利润占比18.02%）
药物非临床研究服务 22.14亿 97.60% 98.44% 48.31%
临床服务及其他 4956.80万 2.19% 1.45% 31.70%
实验模型供应 480.47万 0.21% 0.11% 25.67%")</f>
        <v>公司主营业务专注于药物全生命周期的安全性评价和监测服务，其药物临床前研究服务为公司的核心业务，主要内容包括药物非临床安全性评价服务、药效学研究服务、动物药代动力学研究服务和药物筛选。
市值102.434796亿, 利润6.17亿; PE; 平均PE21.5; 平均PEG.14, PB1.28; ROIC8.9467%; ROE9.13%; 股利率1.1713%; 毛利46.4167%; 净利33.4967%; 上一年度营收增544.09%, 利润增-42.55%; 当季营收增-88.98%, 利润增-223.18%; 过往5年营收增151.84%, 利润增53.74%
Income profile:
（国外利润占比18.02%）
药物非临床研究服务 22.14亿 97.60% 98.44% 48.31%
临床服务及其他 4956.80万 2.19% 1.45% 31.70%
实验模型供应 480.47万 0.21% 0.11% 25.67%</v>
      </c>
      <c r="D38" t="s">
        <v>26</v>
      </c>
      <c r="E38" t="s">
        <v>12</v>
      </c>
      <c r="F38">
        <v>13.66</v>
      </c>
      <c r="G38">
        <v>6.06</v>
      </c>
      <c r="H38" t="s">
        <v>1735</v>
      </c>
      <c r="I38">
        <v>10243479600</v>
      </c>
      <c r="K38">
        <v>1.28</v>
      </c>
      <c r="L38" t="s">
        <v>290</v>
      </c>
      <c r="M38" t="s">
        <v>1736</v>
      </c>
      <c r="N38" t="s">
        <v>1737</v>
      </c>
      <c r="O38" t="s">
        <v>233</v>
      </c>
      <c r="P38">
        <v>-12.07</v>
      </c>
      <c r="Q38" t="s">
        <v>1738</v>
      </c>
      <c r="R38">
        <v>-272222470</v>
      </c>
      <c r="S38" s="3">
        <v>-2.4500000000000002</v>
      </c>
      <c r="T38" t="s">
        <v>636</v>
      </c>
      <c r="U38">
        <v>630482130</v>
      </c>
      <c r="V38">
        <v>749888700</v>
      </c>
      <c r="W38">
        <v>1.22</v>
      </c>
      <c r="X38">
        <v>0.03</v>
      </c>
      <c r="Y38">
        <v>-84.16</v>
      </c>
      <c r="Z38" t="s">
        <v>1011</v>
      </c>
      <c r="AA38" t="s">
        <v>576</v>
      </c>
      <c r="AB38" t="s">
        <v>1739</v>
      </c>
      <c r="AC38" t="s">
        <v>1740</v>
      </c>
      <c r="AD38" t="s">
        <v>14</v>
      </c>
      <c r="AE38">
        <v>-28011483</v>
      </c>
      <c r="AF38" t="s">
        <v>1741</v>
      </c>
      <c r="AG38" t="s">
        <v>1742</v>
      </c>
      <c r="AH38" t="s">
        <v>1743</v>
      </c>
      <c r="AI38" t="s">
        <v>1744</v>
      </c>
      <c r="AJ38" t="s">
        <v>1745</v>
      </c>
      <c r="AK38" t="s">
        <v>1746</v>
      </c>
      <c r="AL38" t="s">
        <v>1747</v>
      </c>
      <c r="AM38" t="s">
        <v>14</v>
      </c>
      <c r="AN38" t="s">
        <v>802</v>
      </c>
      <c r="AO38" t="s">
        <v>14</v>
      </c>
      <c r="AP38" t="s">
        <v>14</v>
      </c>
      <c r="AQ38" t="s">
        <v>1748</v>
      </c>
      <c r="AR38" t="s">
        <v>14</v>
      </c>
      <c r="AS38" t="s">
        <v>1749</v>
      </c>
      <c r="AT38" t="s">
        <v>14</v>
      </c>
      <c r="AU38" t="s">
        <v>70</v>
      </c>
      <c r="AV38" t="s">
        <v>1750</v>
      </c>
      <c r="AW38" t="s">
        <v>1751</v>
      </c>
      <c r="AX38" t="s">
        <v>665</v>
      </c>
      <c r="AY38" t="s">
        <v>423</v>
      </c>
      <c r="AZ38" t="s">
        <v>130</v>
      </c>
      <c r="BA38" t="s">
        <v>56</v>
      </c>
      <c r="BB38" t="s">
        <v>105</v>
      </c>
      <c r="BC38" t="s">
        <v>666</v>
      </c>
      <c r="BD38" t="s">
        <v>119</v>
      </c>
      <c r="BE38" t="s">
        <v>133</v>
      </c>
      <c r="BF38" t="s">
        <v>90</v>
      </c>
      <c r="BG38" t="s">
        <v>76</v>
      </c>
      <c r="BH38" t="s">
        <v>1752</v>
      </c>
      <c r="BI38" t="s">
        <v>1753</v>
      </c>
      <c r="BJ38" t="s">
        <v>665</v>
      </c>
      <c r="BK38" t="s">
        <v>1754</v>
      </c>
      <c r="BL38" t="s">
        <v>671</v>
      </c>
      <c r="BM38" t="s">
        <v>666</v>
      </c>
      <c r="BN38">
        <v>2.76</v>
      </c>
      <c r="BO38">
        <v>12.51</v>
      </c>
      <c r="BP38">
        <v>11.57</v>
      </c>
      <c r="BQ38">
        <v>3.98</v>
      </c>
      <c r="BR38">
        <v>13.99</v>
      </c>
      <c r="BS38">
        <v>9.42</v>
      </c>
      <c r="BT38" t="s">
        <v>1755</v>
      </c>
      <c r="BU38" t="s">
        <v>501</v>
      </c>
      <c r="BV38">
        <v>42.62</v>
      </c>
      <c r="BW38">
        <v>47.9</v>
      </c>
      <c r="BX38">
        <v>48.73</v>
      </c>
      <c r="BY38">
        <v>16.48</v>
      </c>
      <c r="BZ38">
        <v>47.32</v>
      </c>
      <c r="CA38">
        <v>36.69</v>
      </c>
      <c r="CB38">
        <v>2.94</v>
      </c>
      <c r="CC38">
        <v>-15.78</v>
      </c>
      <c r="CD38" t="s">
        <v>1756</v>
      </c>
      <c r="CE38" t="s">
        <v>187</v>
      </c>
      <c r="CF38" s="9">
        <v>-0.88979315022041372</v>
      </c>
      <c r="CG38" s="10">
        <v>-2.2317758823529412</v>
      </c>
      <c r="CH38" s="9">
        <v>5.4409170150756836</v>
      </c>
      <c r="CI38" s="9">
        <v>0.49505609273910522</v>
      </c>
      <c r="CJ38" s="9">
        <v>0.40985125303268433</v>
      </c>
      <c r="CK38" s="9">
        <v>0.68388104438781738</v>
      </c>
      <c r="CL38" s="9">
        <v>0.5623471736907959</v>
      </c>
      <c r="CM38" s="10">
        <v>-0.42551210522651672</v>
      </c>
      <c r="CN38" s="10">
        <v>0.92818671464920044</v>
      </c>
      <c r="CO38" s="10">
        <v>0.76825398206710815</v>
      </c>
      <c r="CP38" s="10">
        <v>0.68449199199676514</v>
      </c>
      <c r="CQ38" s="10">
        <v>0.73148149251937866</v>
      </c>
      <c r="CR38">
        <v>21.504855703289014</v>
      </c>
      <c r="CS38">
        <v>0.14162741550935706</v>
      </c>
      <c r="CT38">
        <v>1.171303074670571</v>
      </c>
      <c r="CU38" s="9">
        <v>1.5184105157852172</v>
      </c>
      <c r="CV38" s="10">
        <v>0.53738041520118718</v>
      </c>
      <c r="CW38">
        <v>0.06</v>
      </c>
      <c r="CX38">
        <v>2.7256061137932805</v>
      </c>
      <c r="CY38">
        <v>1465904988.905169</v>
      </c>
      <c r="CZ38">
        <v>1.5184105157852172</v>
      </c>
      <c r="DA38">
        <v>0.32626097967237438</v>
      </c>
      <c r="DB38">
        <v>12246268628.299318</v>
      </c>
      <c r="DC38">
        <v>1.4424899899959562</v>
      </c>
      <c r="DD38">
        <v>3.1136677068400776E-2</v>
      </c>
      <c r="DE38">
        <v>128320680823.54343</v>
      </c>
      <c r="DF38">
        <v>1.3362012538909911</v>
      </c>
      <c r="DG38">
        <v>2.1309390312989019E-3</v>
      </c>
      <c r="DH38">
        <v>1874985413151.2048</v>
      </c>
      <c r="DI38">
        <v>1.2147284126281739</v>
      </c>
      <c r="DJ38">
        <v>5.1840372867316804E-6</v>
      </c>
      <c r="DK38">
        <v>770727403953335.25</v>
      </c>
      <c r="DL38">
        <v>1.0628873610496521</v>
      </c>
      <c r="DM38">
        <v>617000000</v>
      </c>
      <c r="DN38">
        <v>1.5184105157852172</v>
      </c>
      <c r="DO38">
        <v>3995479600</v>
      </c>
      <c r="DP38">
        <v>5468164200</v>
      </c>
      <c r="DQ38">
        <v>3952</v>
      </c>
      <c r="DR38">
        <v>-2.408203666005631</v>
      </c>
      <c r="DS38">
        <v>-2.7691562975541286</v>
      </c>
      <c r="DT38" s="11">
        <v>0.47666666666666663</v>
      </c>
      <c r="DU38">
        <v>-6.5000000000000169E-2</v>
      </c>
      <c r="DV38">
        <v>0.41166666666666646</v>
      </c>
      <c r="DW38">
        <v>6.1570512820512819</v>
      </c>
      <c r="DX38">
        <v>0.90632735042734791</v>
      </c>
      <c r="DY38">
        <v>6.0292629492658341</v>
      </c>
      <c r="DZ38">
        <v>2978</v>
      </c>
      <c r="EA38">
        <v>6.0122091209069977</v>
      </c>
      <c r="EB38">
        <v>6</v>
      </c>
      <c r="EC38">
        <v>5.8142761719172466E-2</v>
      </c>
      <c r="ED38">
        <v>0.31204630767205854</v>
      </c>
      <c r="EE38" s="12">
        <v>-1.0126999999999999</v>
      </c>
      <c r="EF38">
        <v>-1.002</v>
      </c>
      <c r="EG38">
        <v>72.186327350427348</v>
      </c>
      <c r="EH38" t="s">
        <v>469</v>
      </c>
      <c r="EI38">
        <v>0</v>
      </c>
      <c r="EJ38">
        <v>0</v>
      </c>
      <c r="EK38" s="14">
        <v>45470</v>
      </c>
      <c r="EL38" s="15">
        <v>0</v>
      </c>
      <c r="EM38" s="15">
        <v>-3.04</v>
      </c>
      <c r="EN38" s="15">
        <v>0.37</v>
      </c>
      <c r="EO38" s="15">
        <v>2.75</v>
      </c>
      <c r="EP38" s="15">
        <v>-1.07</v>
      </c>
    </row>
    <row r="39" spans="1:146" ht="252" x14ac:dyDescent="0.25">
      <c r="A39" s="7" t="s">
        <v>594</v>
      </c>
      <c r="B39" s="7" t="s">
        <v>595</v>
      </c>
      <c r="C39" s="7" t="str">
        <f>"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amp;CHAR(10)&amp;Basic_Fundamental_Information_Constructure(F39)&amp;CHAR(10)&amp;Basic_Fundamental_Information_Concatenate("(国外占比74%)
化学业务(WuXiChemistry) 288.50亿 73.31% 78.63% 40.00%
测试业务(WuXiTesting) 57.19亿 14.53% 13.59% 34.89%
生物学业务(WuXiBiology) 24.75亿 6.29% 6.53% 38.75%
细胞及基因疗法CTDMO业务(WuXiATU) 13.08亿 3.32% -0.60% -6.68%
国内新药研发服务部(WuXiDDSU) 9.70亿 2.46% 1.73% 26.22%")</f>
        <v>公司的主营业务是为全球生物医药行业提供一体化、端到端的新药研发和生产服务。公司主营业务可以分为化学业务、测试业务、生物学业务、细胞及基因疗法CTDMO业务、国内新药研发服务业务五大板块，服务范围覆盖从概念产生到商业化生产的整个流程，服务区域包括中国、美国、欧洲及其他区域。
市值1107.11472亿, 利润26.23亿; PE11.8; 平均PE28.14; 平均PEG1, PB2; ROIC15.24%; ROE16.9533%; 股利率2.6032%; 毛利38.2533%; 净利23.0333%; 上一年度营收增-32.45%, 利润增-70.24%; 当季营收增39.33%, 利润增93.64%; 过往5年营收增28.05%, 利润增23.3%
Income profile:
(国外占比74%)
化学业务(WuXiChemistry) 288.50亿 73.31% 78.63% 40.00%
测试业务(WuXiTesting) 57.19亿 14.53% 13.59% 34.89%
生物学业务(WuXiBiology) 24.75亿 6.29% 6.53% 38.75%
细胞及基因疗法CTDMO业务(WuXiATU) 13.08亿 3.32% -0.60% -6.68%
国内新药研发服务部(WuXiDDSU) 9.70亿 2.46% 1.73% 26.22%</v>
      </c>
      <c r="D39" t="s">
        <v>27</v>
      </c>
      <c r="E39" t="s">
        <v>6</v>
      </c>
      <c r="F39">
        <v>38.020000000000003</v>
      </c>
      <c r="G39">
        <v>1.1200000000000001</v>
      </c>
      <c r="H39" t="s">
        <v>1757</v>
      </c>
      <c r="I39">
        <v>110711472000</v>
      </c>
      <c r="J39">
        <v>11.8</v>
      </c>
      <c r="K39">
        <v>2</v>
      </c>
      <c r="L39" t="s">
        <v>290</v>
      </c>
      <c r="M39" t="s">
        <v>1758</v>
      </c>
      <c r="N39" t="s">
        <v>1759</v>
      </c>
      <c r="O39" t="s">
        <v>1760</v>
      </c>
      <c r="P39">
        <v>-10.95</v>
      </c>
      <c r="Q39" t="s">
        <v>1761</v>
      </c>
      <c r="R39">
        <v>1942210700</v>
      </c>
      <c r="S39" s="3">
        <v>-0.1042</v>
      </c>
      <c r="T39" t="s">
        <v>1762</v>
      </c>
      <c r="U39">
        <v>2524851100</v>
      </c>
      <c r="V39">
        <v>2911927200</v>
      </c>
      <c r="W39">
        <v>1.34</v>
      </c>
      <c r="X39">
        <v>0.11</v>
      </c>
      <c r="Y39">
        <v>24.54</v>
      </c>
      <c r="Z39" t="s">
        <v>1763</v>
      </c>
      <c r="AA39" t="s">
        <v>1764</v>
      </c>
      <c r="AB39" t="s">
        <v>596</v>
      </c>
      <c r="AC39" t="s">
        <v>876</v>
      </c>
      <c r="AD39" t="s">
        <v>14</v>
      </c>
      <c r="AE39">
        <v>-424361850</v>
      </c>
      <c r="AF39" t="s">
        <v>1765</v>
      </c>
      <c r="AG39" t="s">
        <v>1766</v>
      </c>
      <c r="AH39" t="s">
        <v>1767</v>
      </c>
      <c r="AI39" t="s">
        <v>1768</v>
      </c>
      <c r="AJ39" t="s">
        <v>1769</v>
      </c>
      <c r="AK39" t="s">
        <v>1770</v>
      </c>
      <c r="AL39" t="s">
        <v>1771</v>
      </c>
      <c r="AM39" t="s">
        <v>14</v>
      </c>
      <c r="AN39" t="s">
        <v>1772</v>
      </c>
      <c r="AO39" t="s">
        <v>1773</v>
      </c>
      <c r="AP39" t="s">
        <v>14</v>
      </c>
      <c r="AQ39" t="s">
        <v>1774</v>
      </c>
      <c r="AR39" t="s">
        <v>14</v>
      </c>
      <c r="AS39" t="s">
        <v>1775</v>
      </c>
      <c r="AT39" t="s">
        <v>1776</v>
      </c>
      <c r="AU39" t="s">
        <v>1113</v>
      </c>
      <c r="AV39" t="s">
        <v>1777</v>
      </c>
      <c r="AW39" t="s">
        <v>1778</v>
      </c>
      <c r="AX39" t="s">
        <v>667</v>
      </c>
      <c r="AY39" t="s">
        <v>424</v>
      </c>
      <c r="AZ39" t="s">
        <v>245</v>
      </c>
      <c r="BA39" t="s">
        <v>247</v>
      </c>
      <c r="BB39" t="s">
        <v>248</v>
      </c>
      <c r="BC39" t="s">
        <v>668</v>
      </c>
      <c r="BD39" t="s">
        <v>425</v>
      </c>
      <c r="BE39" t="s">
        <v>246</v>
      </c>
      <c r="BF39" t="s">
        <v>249</v>
      </c>
      <c r="BG39" t="s">
        <v>235</v>
      </c>
      <c r="BH39" t="s">
        <v>1779</v>
      </c>
      <c r="BI39" t="s">
        <v>1780</v>
      </c>
      <c r="BJ39" t="s">
        <v>667</v>
      </c>
      <c r="BK39" t="s">
        <v>1781</v>
      </c>
      <c r="BL39" t="s">
        <v>1782</v>
      </c>
      <c r="BM39" t="s">
        <v>668</v>
      </c>
      <c r="BN39">
        <v>13.79</v>
      </c>
      <c r="BO39">
        <v>18.899999999999999</v>
      </c>
      <c r="BP39">
        <v>13.03</v>
      </c>
      <c r="BQ39">
        <v>16.190000000000001</v>
      </c>
      <c r="BR39">
        <v>20.62</v>
      </c>
      <c r="BS39">
        <v>14.05</v>
      </c>
      <c r="BT39" t="s">
        <v>1783</v>
      </c>
      <c r="BU39" t="s">
        <v>501</v>
      </c>
      <c r="BV39">
        <v>41.18</v>
      </c>
      <c r="BW39">
        <v>37.299999999999997</v>
      </c>
      <c r="BX39">
        <v>36.28</v>
      </c>
      <c r="BY39">
        <v>24.05</v>
      </c>
      <c r="BZ39">
        <v>22.62</v>
      </c>
      <c r="CA39">
        <v>22.43</v>
      </c>
      <c r="CB39">
        <v>-2.99</v>
      </c>
      <c r="CC39">
        <v>-10.119999999999999</v>
      </c>
      <c r="CD39" t="s">
        <v>531</v>
      </c>
      <c r="CE39" t="s">
        <v>848</v>
      </c>
      <c r="CF39" s="9">
        <v>0.39326234945016564</v>
      </c>
      <c r="CG39" s="10">
        <v>0.93640149551345986</v>
      </c>
      <c r="CH39" s="9">
        <v>-0.32450765371322632</v>
      </c>
      <c r="CI39" s="9">
        <v>0.71840882301330566</v>
      </c>
      <c r="CJ39" s="9">
        <v>0.38506194949150085</v>
      </c>
      <c r="CK39" s="9">
        <v>0.28457123041152954</v>
      </c>
      <c r="CL39" s="9">
        <v>0.33888071775436401</v>
      </c>
      <c r="CM39" s="10">
        <v>-0.70240527391433716</v>
      </c>
      <c r="CN39" s="10">
        <v>0.72925257682800293</v>
      </c>
      <c r="CO39" s="10">
        <v>0.72195941209793091</v>
      </c>
      <c r="CP39" s="10">
        <v>0.59568727016448975</v>
      </c>
      <c r="CQ39" s="10">
        <v>-0.17956651747226715</v>
      </c>
      <c r="CR39">
        <v>28.135062770012706</v>
      </c>
      <c r="CS39">
        <v>1.0030932864637379</v>
      </c>
      <c r="CT39">
        <v>2.603208837453971</v>
      </c>
      <c r="CU39" s="9">
        <v>0.28048301339149473</v>
      </c>
      <c r="CV39" s="10">
        <v>0.23298549354076387</v>
      </c>
      <c r="CW39">
        <v>0.06</v>
      </c>
      <c r="CX39">
        <v>22.980391443495634</v>
      </c>
      <c r="CY39">
        <v>3168591456.7225389</v>
      </c>
      <c r="CZ39">
        <v>0.28048301339149473</v>
      </c>
      <c r="DA39">
        <v>6.4144772821864384</v>
      </c>
      <c r="DB39">
        <v>11351739011.098364</v>
      </c>
      <c r="DC39">
        <v>0.26645886272191999</v>
      </c>
      <c r="DD39">
        <v>2.5233024697422008</v>
      </c>
      <c r="DE39">
        <v>28857211084.741405</v>
      </c>
      <c r="DF39">
        <v>0.24682505178451536</v>
      </c>
      <c r="DG39">
        <v>1.1546505308151049</v>
      </c>
      <c r="DH39">
        <v>63062779652.123161</v>
      </c>
      <c r="DI39">
        <v>0.22438641071319579</v>
      </c>
      <c r="DJ39">
        <v>0.30879806389573555</v>
      </c>
      <c r="DK39">
        <v>235802877392.9938</v>
      </c>
      <c r="DL39">
        <v>0.1963381093740463</v>
      </c>
      <c r="DM39">
        <v>2623000000</v>
      </c>
      <c r="DN39">
        <v>0.28048301339149473</v>
      </c>
      <c r="DO39">
        <v>72815472000</v>
      </c>
      <c r="DP39">
        <v>17766382000</v>
      </c>
      <c r="DQ39">
        <v>4041</v>
      </c>
      <c r="DR39">
        <v>0.11277933605867091</v>
      </c>
      <c r="DS39">
        <v>0.70341600197269605</v>
      </c>
      <c r="DT39" s="11">
        <v>4.3333333333333224E-2</v>
      </c>
      <c r="DU39">
        <v>0.47</v>
      </c>
      <c r="DV39">
        <v>0.5133333333333332</v>
      </c>
      <c r="DW39">
        <v>-8.295454545454545</v>
      </c>
      <c r="DX39">
        <v>0.3753574008371372</v>
      </c>
      <c r="DY39">
        <v>-8.0340828684291541</v>
      </c>
      <c r="DZ39">
        <v>2727</v>
      </c>
      <c r="EA39">
        <v>-8.0158942222048282</v>
      </c>
      <c r="EB39">
        <v>8</v>
      </c>
      <c r="EC39">
        <v>5.5976674142128278E-2</v>
      </c>
      <c r="ED39">
        <v>0.48524564762470712</v>
      </c>
      <c r="EE39" s="12">
        <v>2.0512000000000001</v>
      </c>
      <c r="EF39">
        <v>2.0464000000000002</v>
      </c>
      <c r="EG39">
        <v>26.115357400837137</v>
      </c>
      <c r="EH39" t="s">
        <v>831</v>
      </c>
      <c r="EI39">
        <v>0</v>
      </c>
      <c r="EJ39">
        <v>0</v>
      </c>
      <c r="EK39" s="14">
        <v>45470</v>
      </c>
      <c r="EL39" s="15">
        <v>-2.0299999999999998</v>
      </c>
      <c r="EM39" s="15">
        <v>-3.26</v>
      </c>
      <c r="EN39" s="15">
        <v>-0.71</v>
      </c>
      <c r="EO39" s="15">
        <v>7.77</v>
      </c>
      <c r="EP39" s="15">
        <v>-0.48</v>
      </c>
    </row>
    <row r="40" spans="1:146" ht="204" x14ac:dyDescent="0.25">
      <c r="A40" s="7" t="s">
        <v>821</v>
      </c>
      <c r="B40" s="7" t="s">
        <v>823</v>
      </c>
      <c r="C40" s="7" t="str">
        <f>"公司主要致力于为国内外创新药公司及新药研发机构提供创新药在研发、生产方面的 CDMO 一站式服务；同时为全球化学原料药及医药中间体提供工艺技术创新和商业化生产的业务。"&amp;CHAR(10)&amp;Basic_Fundamental_Information_Constructure(F40)&amp;CHAR(10)&amp;Basic_Fundamental_Information_Concatenate("（海外占比86%）
合同定制类 34.17亿 62.74% 71.85% 39.69%
抗感染类药物 5.91亿 10.85% 5.10% 16.30%
中枢神经类药物 5.61亿 10.31% 13.63% 45.84%
非甾体类药物 2.88亿 5.29% 5.47% 35.88%
降血糖类药物 1.97亿 3.61% 2.23% 21.40%
贸易类及其他 1.28亿 2.34% 1.24% 18.35%")</f>
        <v>公司主要致力于为国内外创新药公司及新药研发机构提供创新药在研发、生产方面的 CDMO 一站式服务；同时为全球化学原料药及医药中间体提供工艺技术创新和商业化生产的业务。
市值120.974038亿, 利润5658.88万; PE12.23; 平均PE30.4; 平均PEG2.37, PB1.4; ROIC14.29%; ROE15.3733%; 股利率3.7175%; 毛利35.2167%; 净利17.0633%; 上一年度营收增-62.88%, 利润增-93.86%; 当季营收增335.4%, 利润增642.47%; 过往5年营收增12.84%, 利润增25.9%
Income profile:
（海外占比86%）
合同定制类 34.17亿 62.74% 71.85% 39.69%
抗感染类药物 5.91亿 10.85% 5.10% 16.30%
中枢神经类药物 5.61亿 10.31% 13.63% 45.84%
非甾体类药物 2.88亿 5.29% 5.47% 35.88%
降血糖类药物 1.97亿 3.61% 2.23% 21.40%
贸易类及其他 1.28亿 2.34% 1.24% 18.35%</v>
      </c>
      <c r="D40" t="s">
        <v>767</v>
      </c>
      <c r="E40" t="s">
        <v>768</v>
      </c>
      <c r="F40">
        <v>13.45</v>
      </c>
      <c r="G40">
        <v>5.57</v>
      </c>
      <c r="H40" t="s">
        <v>1784</v>
      </c>
      <c r="I40">
        <v>12097403800</v>
      </c>
      <c r="J40">
        <v>12.23</v>
      </c>
      <c r="K40">
        <v>1.4</v>
      </c>
      <c r="L40" t="s">
        <v>290</v>
      </c>
      <c r="M40" t="s">
        <v>1785</v>
      </c>
      <c r="N40" t="s">
        <v>1786</v>
      </c>
      <c r="O40" t="s">
        <v>1787</v>
      </c>
      <c r="P40" s="3">
        <v>-15.73</v>
      </c>
      <c r="Q40" t="s">
        <v>607</v>
      </c>
      <c r="R40">
        <v>236758880</v>
      </c>
      <c r="S40">
        <v>-0.1565</v>
      </c>
      <c r="T40" t="s">
        <v>1788</v>
      </c>
      <c r="U40">
        <v>898106830</v>
      </c>
      <c r="V40">
        <v>899435230</v>
      </c>
      <c r="W40">
        <v>1.4</v>
      </c>
      <c r="X40">
        <v>0.13</v>
      </c>
      <c r="Y40">
        <v>16</v>
      </c>
      <c r="Z40" t="s">
        <v>1789</v>
      </c>
      <c r="AA40" t="s">
        <v>1185</v>
      </c>
      <c r="AB40" t="s">
        <v>1790</v>
      </c>
      <c r="AC40" t="s">
        <v>76</v>
      </c>
      <c r="AD40" t="s">
        <v>14</v>
      </c>
      <c r="AE40">
        <v>-18888020</v>
      </c>
      <c r="AF40" t="s">
        <v>1791</v>
      </c>
      <c r="AG40" t="s">
        <v>1792</v>
      </c>
      <c r="AH40" t="s">
        <v>1793</v>
      </c>
      <c r="AI40" t="s">
        <v>1794</v>
      </c>
      <c r="AJ40" t="s">
        <v>1795</v>
      </c>
      <c r="AK40" t="s">
        <v>14</v>
      </c>
      <c r="AL40" t="s">
        <v>1796</v>
      </c>
      <c r="AM40" t="s">
        <v>14</v>
      </c>
      <c r="AN40" t="s">
        <v>1797</v>
      </c>
      <c r="AO40" t="s">
        <v>787</v>
      </c>
      <c r="AP40" t="s">
        <v>882</v>
      </c>
      <c r="AQ40" t="s">
        <v>1798</v>
      </c>
      <c r="AR40" t="s">
        <v>14</v>
      </c>
      <c r="AS40" t="s">
        <v>1799</v>
      </c>
      <c r="AT40" t="s">
        <v>511</v>
      </c>
      <c r="AU40" t="s">
        <v>1800</v>
      </c>
      <c r="AV40" t="s">
        <v>1801</v>
      </c>
      <c r="AW40" t="s">
        <v>886</v>
      </c>
      <c r="AX40" t="s">
        <v>769</v>
      </c>
      <c r="AY40" t="s">
        <v>770</v>
      </c>
      <c r="AZ40" t="s">
        <v>771</v>
      </c>
      <c r="BA40" t="s">
        <v>772</v>
      </c>
      <c r="BB40" t="s">
        <v>773</v>
      </c>
      <c r="BC40" t="s">
        <v>181</v>
      </c>
      <c r="BD40" t="s">
        <v>764</v>
      </c>
      <c r="BE40" t="s">
        <v>211</v>
      </c>
      <c r="BF40" t="s">
        <v>774</v>
      </c>
      <c r="BG40" t="s">
        <v>102</v>
      </c>
      <c r="BH40" t="s">
        <v>1802</v>
      </c>
      <c r="BI40" t="s">
        <v>879</v>
      </c>
      <c r="BJ40" t="s">
        <v>769</v>
      </c>
      <c r="BK40" t="s">
        <v>1803</v>
      </c>
      <c r="BL40" t="s">
        <v>1804</v>
      </c>
      <c r="BM40" t="s">
        <v>181</v>
      </c>
      <c r="BN40">
        <v>12.04</v>
      </c>
      <c r="BO40">
        <v>16.88</v>
      </c>
      <c r="BP40">
        <v>13.95</v>
      </c>
      <c r="BQ40">
        <v>12.37</v>
      </c>
      <c r="BR40">
        <v>18.690000000000001</v>
      </c>
      <c r="BS40">
        <v>15.06</v>
      </c>
      <c r="BT40" t="s">
        <v>1666</v>
      </c>
      <c r="BU40" t="s">
        <v>501</v>
      </c>
      <c r="BV40">
        <v>37.659999999999997</v>
      </c>
      <c r="BW40">
        <v>34.659999999999997</v>
      </c>
      <c r="BX40">
        <v>33.33</v>
      </c>
      <c r="BY40">
        <v>18.670000000000002</v>
      </c>
      <c r="BZ40">
        <v>16.91</v>
      </c>
      <c r="CA40">
        <v>15.61</v>
      </c>
      <c r="CB40">
        <v>1.74</v>
      </c>
      <c r="CC40" s="9">
        <v>-10.09</v>
      </c>
      <c r="CD40" s="10" t="s">
        <v>1805</v>
      </c>
      <c r="CE40" s="9" t="s">
        <v>803</v>
      </c>
      <c r="CF40" s="9">
        <v>3.3539823008849559</v>
      </c>
      <c r="CG40" s="9">
        <v>6.4246548880150023</v>
      </c>
      <c r="CH40" s="9">
        <v>-0.6288338303565979</v>
      </c>
      <c r="CI40" s="9">
        <v>0.34014278650283813</v>
      </c>
      <c r="CJ40" s="10">
        <v>0.53494518995285034</v>
      </c>
      <c r="CK40" s="10">
        <v>0.31234505772590637</v>
      </c>
      <c r="CL40" s="10">
        <v>8.3243861794471741E-2</v>
      </c>
      <c r="CM40" s="10">
        <v>-0.9385572075843811</v>
      </c>
      <c r="CN40" s="10">
        <v>0.45268139243125916</v>
      </c>
      <c r="CO40">
        <v>0.66404199600219727</v>
      </c>
      <c r="CP40">
        <v>0.60084033012390137</v>
      </c>
      <c r="CQ40">
        <v>0.51592355966567993</v>
      </c>
      <c r="CR40" s="9">
        <v>30.400721765825001</v>
      </c>
      <c r="CS40" s="10">
        <v>2.368236364482962</v>
      </c>
      <c r="CT40">
        <v>3.7174721189591078</v>
      </c>
      <c r="CU40">
        <v>0.12836861312389375</v>
      </c>
      <c r="CV40">
        <v>0.25898601412773131</v>
      </c>
      <c r="CW40">
        <v>0.06</v>
      </c>
      <c r="CX40">
        <v>94.298241234155952</v>
      </c>
      <c r="CY40">
        <v>60238703.560703203</v>
      </c>
      <c r="CZ40">
        <v>0.12836861312389375</v>
      </c>
      <c r="DA40">
        <v>29.834938102398866</v>
      </c>
      <c r="DB40">
        <v>190394355.11827892</v>
      </c>
      <c r="DC40">
        <v>0.12195018246769905</v>
      </c>
      <c r="DD40">
        <v>14.056557940838411</v>
      </c>
      <c r="DE40">
        <v>404110581.26091921</v>
      </c>
      <c r="DF40">
        <v>0.11296437954902649</v>
      </c>
      <c r="DG40">
        <v>8.0266936709402259</v>
      </c>
      <c r="DH40">
        <v>707689122.42973542</v>
      </c>
      <c r="DI40">
        <v>0.10269489049911501</v>
      </c>
      <c r="DJ40">
        <v>3.7015955433690912</v>
      </c>
      <c r="DK40">
        <v>1534582515.4170818</v>
      </c>
      <c r="DL40">
        <v>8.9858029186725613E-2</v>
      </c>
      <c r="DM40">
        <v>56588800</v>
      </c>
      <c r="DN40">
        <v>0.12836861312389375</v>
      </c>
      <c r="DO40">
        <v>5680403800</v>
      </c>
      <c r="DP40">
        <v>4819556900</v>
      </c>
      <c r="DQ40" s="11">
        <v>4149</v>
      </c>
      <c r="DR40">
        <v>3.2256136877610619</v>
      </c>
      <c r="DS40">
        <v>6.1656688738872711</v>
      </c>
      <c r="DT40">
        <v>-0.37333333333333335</v>
      </c>
      <c r="DU40">
        <v>0.6366666666666666</v>
      </c>
      <c r="DV40">
        <v>0.26333333333333325</v>
      </c>
      <c r="DW40">
        <v>-2.1009000000000002</v>
      </c>
      <c r="DX40">
        <v>0.62407034482758572</v>
      </c>
      <c r="DY40">
        <v>-2.0165546977931035</v>
      </c>
      <c r="DZ40">
        <v>4243</v>
      </c>
      <c r="EA40">
        <v>-2.0028087911911197</v>
      </c>
      <c r="EB40" s="12">
        <v>2</v>
      </c>
      <c r="EC40" s="12">
        <v>5.2900307229459979E-2</v>
      </c>
      <c r="ED40">
        <v>0.32242455079283472</v>
      </c>
      <c r="EE40">
        <v>-3.0392000000000001</v>
      </c>
      <c r="EF40">
        <v>-3.1383999999999999</v>
      </c>
      <c r="EG40">
        <v>46.164070344827586</v>
      </c>
      <c r="EH40" s="14" t="s">
        <v>820</v>
      </c>
      <c r="EI40">
        <v>0</v>
      </c>
      <c r="EJ40">
        <v>0</v>
      </c>
      <c r="EK40">
        <v>45470</v>
      </c>
      <c r="EL40">
        <v>4.5599999999999996</v>
      </c>
      <c r="EM40">
        <v>-6.26</v>
      </c>
      <c r="EN40" s="15">
        <v>-0.61</v>
      </c>
      <c r="EO40" s="15">
        <v>0.61</v>
      </c>
      <c r="EP40" s="15">
        <v>9.92</v>
      </c>
    </row>
    <row r="41" spans="1:146" ht="168" x14ac:dyDescent="0.25">
      <c r="A41" s="7"/>
      <c r="B41" s="7"/>
      <c r="C41" s="7" t="str">
        <f>"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amp;CHAR(10)&amp;Basic_Fundamental_Information_Constructure(F41)&amp;CHAR(10)&amp;Basic_Fundamental_Information_Concatenate("医学诊断服务 113.04亿 94.65% 94.45% 47.20%
销售诊断产品 2.91亿 2.44% 2.21% 42.91%
其他 2.51亿 2.10% 2.93% 65.96%")</f>
        <v>公司一家以第三方医学检验及病理诊断业务为核心的高科技服务企业，致力于为全国各级医疗机构提供符合国际标准的医学检验诊断信息整合服务。公司所提供的主要服务如下:医学检验及病理诊断类、非医学检验检测类、试剂销售、试剂生产、检验信息服务、医疗冷链物流。
市值124.693159亿, 利润9.29亿; PE26.24; 平均PE9.3; 平均PEG.24, PB1.52; ROIC27.6933%; ROE29.2633%; 股利率3.3083%; 毛利42.3%; 净利15.2067%; 上一年度营收增44.98%, 利润增-66.28%; 当季营收增-66.16%, 利润增-106.4%; 过往5年营收增38.47%, 利润增70.6%
Income profile:
医学诊断服务 113.04亿 94.65% 94.45% 47.20%
销售诊断产品 2.91亿 2.44% 2.21% 42.91%
其他 2.51亿 2.10% 2.93% 65.96%</v>
      </c>
      <c r="D41" t="s">
        <v>29</v>
      </c>
      <c r="E41" t="s">
        <v>7</v>
      </c>
      <c r="F41">
        <v>26.6</v>
      </c>
      <c r="G41">
        <v>2.23</v>
      </c>
      <c r="H41" t="s">
        <v>1806</v>
      </c>
      <c r="I41">
        <v>12469315900</v>
      </c>
      <c r="J41">
        <v>26.24</v>
      </c>
      <c r="K41">
        <v>1.52</v>
      </c>
      <c r="L41" t="s">
        <v>290</v>
      </c>
      <c r="M41" t="s">
        <v>1807</v>
      </c>
      <c r="N41" t="s">
        <v>1808</v>
      </c>
      <c r="O41" t="s">
        <v>1809</v>
      </c>
      <c r="P41">
        <v>-13.05</v>
      </c>
      <c r="Q41" t="s">
        <v>1810</v>
      </c>
      <c r="R41">
        <v>-18637084</v>
      </c>
      <c r="S41" s="3">
        <v>-1.125</v>
      </c>
      <c r="T41" t="s">
        <v>1811</v>
      </c>
      <c r="U41">
        <v>465647580</v>
      </c>
      <c r="V41">
        <v>468771280</v>
      </c>
      <c r="W41">
        <v>1.38</v>
      </c>
      <c r="X41">
        <v>0.16</v>
      </c>
      <c r="Y41">
        <v>-1.43</v>
      </c>
      <c r="Z41" t="s">
        <v>1812</v>
      </c>
      <c r="AA41" t="s">
        <v>1813</v>
      </c>
      <c r="AB41" t="s">
        <v>792</v>
      </c>
      <c r="AC41" t="s">
        <v>117</v>
      </c>
      <c r="AD41" t="s">
        <v>14</v>
      </c>
      <c r="AE41">
        <v>-312549</v>
      </c>
      <c r="AF41" t="s">
        <v>1814</v>
      </c>
      <c r="AG41" t="s">
        <v>1815</v>
      </c>
      <c r="AH41" t="s">
        <v>1816</v>
      </c>
      <c r="AI41" t="s">
        <v>1817</v>
      </c>
      <c r="AJ41" t="s">
        <v>1818</v>
      </c>
      <c r="AK41" t="s">
        <v>14</v>
      </c>
      <c r="AL41" t="s">
        <v>1819</v>
      </c>
      <c r="AM41" t="s">
        <v>14</v>
      </c>
      <c r="AN41" t="s">
        <v>632</v>
      </c>
      <c r="AO41" t="s">
        <v>872</v>
      </c>
      <c r="AP41" t="s">
        <v>14</v>
      </c>
      <c r="AQ41" t="s">
        <v>1820</v>
      </c>
      <c r="AR41" t="s">
        <v>14</v>
      </c>
      <c r="AS41" t="s">
        <v>1821</v>
      </c>
      <c r="AT41" t="s">
        <v>1822</v>
      </c>
      <c r="AU41" t="s">
        <v>1823</v>
      </c>
      <c r="AV41" t="s">
        <v>1824</v>
      </c>
      <c r="AW41" t="s">
        <v>1825</v>
      </c>
      <c r="AX41" t="s">
        <v>669</v>
      </c>
      <c r="AY41" t="s">
        <v>426</v>
      </c>
      <c r="AZ41" t="s">
        <v>250</v>
      </c>
      <c r="BA41" t="s">
        <v>252</v>
      </c>
      <c r="BB41" t="s">
        <v>253</v>
      </c>
      <c r="BC41" t="s">
        <v>1826</v>
      </c>
      <c r="BD41" t="s">
        <v>427</v>
      </c>
      <c r="BE41" t="s">
        <v>129</v>
      </c>
      <c r="BF41" t="s">
        <v>53</v>
      </c>
      <c r="BG41" t="s">
        <v>156</v>
      </c>
      <c r="BH41" t="s">
        <v>1827</v>
      </c>
      <c r="BI41" t="s">
        <v>1828</v>
      </c>
      <c r="BJ41" t="s">
        <v>669</v>
      </c>
      <c r="BK41" t="s">
        <v>1829</v>
      </c>
      <c r="BL41" t="s">
        <v>125</v>
      </c>
      <c r="BM41" t="s">
        <v>1826</v>
      </c>
      <c r="BN41">
        <v>6.19</v>
      </c>
      <c r="BO41">
        <v>35</v>
      </c>
      <c r="BP41">
        <v>41.89</v>
      </c>
      <c r="BQ41">
        <v>6.64</v>
      </c>
      <c r="BR41">
        <v>36.950000000000003</v>
      </c>
      <c r="BS41">
        <v>44.2</v>
      </c>
      <c r="BT41" t="s">
        <v>1830</v>
      </c>
      <c r="BU41" t="s">
        <v>456</v>
      </c>
      <c r="BV41">
        <v>36.479999999999997</v>
      </c>
      <c r="BW41">
        <v>43.13</v>
      </c>
      <c r="BX41">
        <v>47.29</v>
      </c>
      <c r="BY41">
        <v>7.46</v>
      </c>
      <c r="BZ41">
        <v>18.37</v>
      </c>
      <c r="CA41">
        <v>19.79</v>
      </c>
      <c r="CB41">
        <v>-2.17</v>
      </c>
      <c r="CC41">
        <v>-26.86</v>
      </c>
      <c r="CD41" t="s">
        <v>1831</v>
      </c>
      <c r="CE41" t="s">
        <v>1093</v>
      </c>
      <c r="CF41" s="9">
        <v>-0.6616430803161184</v>
      </c>
      <c r="CG41" s="10">
        <v>-1.0640449621993127</v>
      </c>
      <c r="CH41" s="9">
        <v>0.44979318976402283</v>
      </c>
      <c r="CI41" s="9">
        <v>0.29582178592681885</v>
      </c>
      <c r="CJ41" s="9">
        <v>0.44868999719619751</v>
      </c>
      <c r="CK41" s="9">
        <v>0.56462317705154419</v>
      </c>
      <c r="CL41" s="9">
        <v>0.16441988945007324</v>
      </c>
      <c r="CM41" s="10">
        <v>-0.66279494762420654</v>
      </c>
      <c r="CN41" s="10">
        <v>0.2409910261631012</v>
      </c>
      <c r="CO41" s="10">
        <v>0.47019866108894348</v>
      </c>
      <c r="CP41" s="10">
        <v>2.7562189102172852</v>
      </c>
      <c r="CQ41" s="10">
        <v>0.72532188892364502</v>
      </c>
      <c r="CR41">
        <v>9.2950547148714122</v>
      </c>
      <c r="CS41">
        <v>0.24163735643565271</v>
      </c>
      <c r="CT41">
        <v>3.3082706766917296</v>
      </c>
      <c r="CU41" s="9">
        <v>0.3846696078777313</v>
      </c>
      <c r="CV41" s="10">
        <v>0.70598710775375362</v>
      </c>
      <c r="CW41">
        <v>0.06</v>
      </c>
      <c r="CX41">
        <v>6.0222849768299289</v>
      </c>
      <c r="CY41">
        <v>1213545345.01737</v>
      </c>
      <c r="CZ41">
        <v>0.3846696078777313</v>
      </c>
      <c r="DA41">
        <v>1.5470956128236373</v>
      </c>
      <c r="DB41">
        <v>4723894140.3637209</v>
      </c>
      <c r="DC41">
        <v>0.36543612748384474</v>
      </c>
      <c r="DD41">
        <v>0.53596746429893827</v>
      </c>
      <c r="DE41">
        <v>13635745426.374899</v>
      </c>
      <c r="DF41">
        <v>0.33850925493240352</v>
      </c>
      <c r="DG41">
        <v>0.20789463751838319</v>
      </c>
      <c r="DH41">
        <v>35153941377.414116</v>
      </c>
      <c r="DI41">
        <v>0.30773568630218506</v>
      </c>
      <c r="DJ41">
        <v>3.6306789313533379E-2</v>
      </c>
      <c r="DK41">
        <v>201293367939.74841</v>
      </c>
      <c r="DL41">
        <v>0.26926872551441189</v>
      </c>
      <c r="DM41">
        <v>928999999.99999988</v>
      </c>
      <c r="DN41">
        <v>0.3846696078777313</v>
      </c>
      <c r="DO41">
        <v>7308315900</v>
      </c>
      <c r="DP41">
        <v>5477426100</v>
      </c>
      <c r="DQ41">
        <v>4355</v>
      </c>
      <c r="DR41">
        <v>-1.0463126881938498</v>
      </c>
      <c r="DS41">
        <v>-1.7700320699530663</v>
      </c>
      <c r="DT41" s="11">
        <v>0.22666666666666657</v>
      </c>
      <c r="DU41">
        <v>-0.30333333333333334</v>
      </c>
      <c r="DV41">
        <v>-7.6666666666666772E-2</v>
      </c>
      <c r="DW41">
        <v>-3.1228214285714286</v>
      </c>
      <c r="DX41">
        <v>0.46383908629441789</v>
      </c>
      <c r="DY41">
        <v>-3.0213511649202323</v>
      </c>
      <c r="DZ41">
        <v>769</v>
      </c>
      <c r="EA41">
        <v>-3.018138044406796</v>
      </c>
      <c r="EB41">
        <v>3</v>
      </c>
      <c r="EC41">
        <v>7.3055456810408689E-2</v>
      </c>
      <c r="ED41">
        <v>0.42024758854680688</v>
      </c>
      <c r="EE41" s="12">
        <v>1.01851</v>
      </c>
      <c r="EF41">
        <v>1.05461</v>
      </c>
      <c r="EG41">
        <v>29.173839086294418</v>
      </c>
      <c r="EH41" t="s">
        <v>586</v>
      </c>
      <c r="EI41">
        <v>0</v>
      </c>
      <c r="EJ41">
        <v>1</v>
      </c>
      <c r="EK41" s="14">
        <v>45470</v>
      </c>
      <c r="EL41" s="15">
        <v>-0.28000000000000003</v>
      </c>
      <c r="EM41" s="15">
        <v>-4.4400000000000004</v>
      </c>
      <c r="EN41" s="15">
        <v>-2.27</v>
      </c>
      <c r="EO41" s="15">
        <v>-0.64</v>
      </c>
      <c r="EP41" s="15">
        <v>-3.61</v>
      </c>
    </row>
    <row r="42" spans="1:146" ht="180" x14ac:dyDescent="0.25">
      <c r="A42" s="7"/>
      <c r="B42" s="7"/>
      <c r="C42" s="7" t="str">
        <f>"公司是一家专业从事实验动物小鼠模型的研发、生产、销售及相关技术服务的高新技术企业，主要产品有商品化小鼠模型销售业务、模型定制业务、定制繁育业务、功能药效业务、代理进出口及其他业务。"&amp;CHAR(10)&amp;Basic_Fundamental_Information_Constructure(F42)&amp;CHAR(10)&amp;Basic_Fundamental_Information_Concatenate("(国外占比9%）
商品化小鼠模型销售 2.53亿 64.33% 70.36% 80.44%
定制繁育 5668.75万 14.40% 10.93% 55.86%
功能药效 5347.96万 13.58% 14.00% 75.81%
模型创制 2456.02万 6.24% 4.78% 56.38%")</f>
        <v>公司是一家专业从事实验动物小鼠模型的研发、生产、销售及相关技术服务的高新技术企业，主要产品有商品化小鼠模型销售业务、模型定制业务、定制繁育业务、功能药效业务、代理进出口及其他业务。
市值40.262亿, 利润-3.29亿; PE25.59; 平均PE365.16; 平均PEG4.84, PB1.89; ROIC10.8767%; ROE11.23%; 股利率1.6293%; 毛利71.1067%; 净利29.71%; 上一年度营收增-2.13%, 利润增-299.39%; 当季营收增33.05%, 利润增140.84%; 过往5年营收增75.48%, 利润增118.6%
Income profile:
(国外占比9%）
商品化小鼠模型销售 2.53亿 64.33% 70.36% 80.44%
定制繁育 5668.75万 14.40% 10.93% 55.86%
功能药效 5347.96万 13.58% 14.00% 75.81%
模型创制 2456.02万 6.24% 4.78% 56.38%</v>
      </c>
      <c r="D42" t="s">
        <v>428</v>
      </c>
      <c r="E42" t="s">
        <v>429</v>
      </c>
      <c r="F42">
        <v>9.82</v>
      </c>
      <c r="G42">
        <v>3.26</v>
      </c>
      <c r="H42" t="s">
        <v>1832</v>
      </c>
      <c r="I42">
        <v>4026200000</v>
      </c>
      <c r="J42">
        <v>25.59</v>
      </c>
      <c r="K42">
        <v>1.89</v>
      </c>
      <c r="L42" t="s">
        <v>290</v>
      </c>
      <c r="M42" t="s">
        <v>840</v>
      </c>
      <c r="N42" t="s">
        <v>1833</v>
      </c>
      <c r="O42" t="s">
        <v>102</v>
      </c>
      <c r="P42">
        <v>11.96</v>
      </c>
      <c r="Q42" t="s">
        <v>660</v>
      </c>
      <c r="R42">
        <v>29479404</v>
      </c>
      <c r="S42" s="3">
        <v>-5.0599999999999999E-2</v>
      </c>
      <c r="T42" t="s">
        <v>1834</v>
      </c>
      <c r="U42">
        <v>203931030</v>
      </c>
      <c r="V42">
        <v>410000000</v>
      </c>
      <c r="W42">
        <v>1.2</v>
      </c>
      <c r="X42">
        <v>0.06</v>
      </c>
      <c r="Y42">
        <v>18.77</v>
      </c>
      <c r="Z42" t="s">
        <v>67</v>
      </c>
      <c r="AA42" t="s">
        <v>1835</v>
      </c>
      <c r="AB42" t="s">
        <v>1836</v>
      </c>
      <c r="AC42" t="s">
        <v>1837</v>
      </c>
      <c r="AD42" t="s">
        <v>14</v>
      </c>
      <c r="AE42">
        <v>-2883041</v>
      </c>
      <c r="AF42" t="s">
        <v>1838</v>
      </c>
      <c r="AG42" t="s">
        <v>14</v>
      </c>
      <c r="AH42" t="s">
        <v>1839</v>
      </c>
      <c r="AI42" t="s">
        <v>1498</v>
      </c>
      <c r="AJ42" t="s">
        <v>1840</v>
      </c>
      <c r="AK42" t="s">
        <v>14</v>
      </c>
      <c r="AL42" t="s">
        <v>1841</v>
      </c>
      <c r="AM42" t="s">
        <v>14</v>
      </c>
      <c r="AN42" t="s">
        <v>1842</v>
      </c>
      <c r="AO42" t="s">
        <v>1843</v>
      </c>
      <c r="AP42" t="s">
        <v>14</v>
      </c>
      <c r="AQ42" t="s">
        <v>1844</v>
      </c>
      <c r="AR42" t="s">
        <v>14</v>
      </c>
      <c r="AS42" t="s">
        <v>157</v>
      </c>
      <c r="AT42" t="s">
        <v>14</v>
      </c>
      <c r="AU42" t="s">
        <v>1845</v>
      </c>
      <c r="AV42" t="s">
        <v>1846</v>
      </c>
      <c r="AW42" t="s">
        <v>1847</v>
      </c>
      <c r="AX42" t="s">
        <v>670</v>
      </c>
      <c r="AY42" t="s">
        <v>430</v>
      </c>
      <c r="AZ42" t="s">
        <v>227</v>
      </c>
      <c r="BA42" t="s">
        <v>415</v>
      </c>
      <c r="BB42" t="s">
        <v>432</v>
      </c>
      <c r="BC42" t="s">
        <v>579</v>
      </c>
      <c r="BD42" t="s">
        <v>62</v>
      </c>
      <c r="BE42" t="s">
        <v>433</v>
      </c>
      <c r="BF42" t="s">
        <v>434</v>
      </c>
      <c r="BG42" t="s">
        <v>435</v>
      </c>
      <c r="BH42" t="s">
        <v>798</v>
      </c>
      <c r="BI42" t="s">
        <v>547</v>
      </c>
      <c r="BJ42" t="s">
        <v>670</v>
      </c>
      <c r="BK42" t="s">
        <v>1533</v>
      </c>
      <c r="BL42" t="s">
        <v>1848</v>
      </c>
      <c r="BM42" t="s">
        <v>579</v>
      </c>
      <c r="BN42">
        <v>5.15</v>
      </c>
      <c r="BO42">
        <v>10.82</v>
      </c>
      <c r="BP42">
        <v>16.66</v>
      </c>
      <c r="BQ42">
        <v>5.78</v>
      </c>
      <c r="BR42">
        <v>10.61</v>
      </c>
      <c r="BS42">
        <v>17.3</v>
      </c>
      <c r="BT42" t="s">
        <v>1755</v>
      </c>
      <c r="BU42" t="s">
        <v>501</v>
      </c>
      <c r="BV42">
        <v>67.61</v>
      </c>
      <c r="BW42">
        <v>71.38</v>
      </c>
      <c r="BX42">
        <v>74.33</v>
      </c>
      <c r="BY42">
        <v>25.54</v>
      </c>
      <c r="BZ42">
        <v>31.87</v>
      </c>
      <c r="CA42">
        <v>31.72</v>
      </c>
      <c r="CB42">
        <v>-3.91</v>
      </c>
      <c r="CC42">
        <v>-10.81</v>
      </c>
      <c r="CD42" t="s">
        <v>1849</v>
      </c>
      <c r="CE42" t="s">
        <v>76</v>
      </c>
      <c r="CF42" s="9">
        <v>0.33050847457627119</v>
      </c>
      <c r="CG42" s="10">
        <v>1.4084196555240291</v>
      </c>
      <c r="CH42" s="9">
        <v>-2.1276595070958138E-2</v>
      </c>
      <c r="CI42" s="9">
        <v>0.31218275427818298</v>
      </c>
      <c r="CJ42" s="9">
        <v>0.50381678342819214</v>
      </c>
      <c r="CK42" s="9">
        <v>0.3575129508972168</v>
      </c>
      <c r="CL42" s="9">
        <v>2.6216518878936768</v>
      </c>
      <c r="CM42" s="10">
        <v>-2.9939393997192383</v>
      </c>
      <c r="CN42" s="10">
        <v>0.31999999284744263</v>
      </c>
      <c r="CO42" s="10">
        <v>0.63540846109390259</v>
      </c>
      <c r="CP42" s="10">
        <v>1.199892520904541</v>
      </c>
      <c r="CQ42" s="10">
        <v>6.7688746452331543</v>
      </c>
      <c r="CR42">
        <v>365.1606076638198</v>
      </c>
      <c r="CS42">
        <v>4.8379897444355153</v>
      </c>
      <c r="CT42">
        <v>1.629327902240326</v>
      </c>
      <c r="CU42" s="9">
        <v>0.75477755628526211</v>
      </c>
      <c r="CV42" s="10">
        <v>1.1860472440719605</v>
      </c>
      <c r="CW42">
        <v>0.06</v>
      </c>
      <c r="CX42" t="e">
        <v>#VALUE!</v>
      </c>
      <c r="CY42" t="s">
        <v>465</v>
      </c>
      <c r="CZ42">
        <v>0.75477755628526211</v>
      </c>
      <c r="DA42" t="e">
        <v>#VALUE!</v>
      </c>
      <c r="DB42" t="s">
        <v>465</v>
      </c>
      <c r="DC42">
        <v>0.717038678470999</v>
      </c>
      <c r="DD42" t="e">
        <v>#VALUE!</v>
      </c>
      <c r="DE42" t="s">
        <v>465</v>
      </c>
      <c r="DF42">
        <v>0.66420424953103063</v>
      </c>
      <c r="DG42" t="e">
        <v>#VALUE!</v>
      </c>
      <c r="DH42" t="s">
        <v>465</v>
      </c>
      <c r="DI42">
        <v>0.60382204502820969</v>
      </c>
      <c r="DJ42" t="e">
        <v>#VALUE!</v>
      </c>
      <c r="DK42" t="s">
        <v>465</v>
      </c>
      <c r="DL42">
        <v>0.52834428939968348</v>
      </c>
      <c r="DM42">
        <v>-329000000</v>
      </c>
      <c r="DN42">
        <v>0.75477755628526211</v>
      </c>
      <c r="DO42">
        <v>2348200000</v>
      </c>
      <c r="DP42">
        <v>1307107700</v>
      </c>
      <c r="DQ42">
        <v>4578</v>
      </c>
      <c r="DR42">
        <v>-0.42426908170899091</v>
      </c>
      <c r="DS42">
        <v>0.22237241145206865</v>
      </c>
      <c r="DT42" s="11">
        <v>0.50000000000000011</v>
      </c>
      <c r="DU42">
        <v>0.83000000000000007</v>
      </c>
      <c r="DV42">
        <v>1.33</v>
      </c>
      <c r="DW42">
        <v>-8.3617021276595747</v>
      </c>
      <c r="DX42">
        <v>0.35334351851851764</v>
      </c>
      <c r="DY42">
        <v>-8.0373795705279747</v>
      </c>
      <c r="DZ42">
        <v>3956</v>
      </c>
      <c r="EA42">
        <v>-8.0084414920526967</v>
      </c>
      <c r="EB42">
        <v>8</v>
      </c>
      <c r="EC42">
        <v>2.7222195121951214E-2</v>
      </c>
      <c r="ED42">
        <v>0.26341463414634148</v>
      </c>
      <c r="EE42" s="12">
        <v>3.0076000000000001</v>
      </c>
      <c r="EF42">
        <v>3.01111</v>
      </c>
      <c r="EG42">
        <v>25.103343518518518</v>
      </c>
      <c r="EH42" t="s">
        <v>1850</v>
      </c>
      <c r="EI42">
        <v>0</v>
      </c>
      <c r="EJ42">
        <v>0</v>
      </c>
      <c r="EK42" s="14">
        <v>45470</v>
      </c>
      <c r="EL42" s="15">
        <v>-2.88</v>
      </c>
      <c r="EM42" s="15">
        <v>-3.43</v>
      </c>
      <c r="EN42" s="15">
        <v>-4.8499999999999996</v>
      </c>
      <c r="EO42" s="15">
        <v>0.86</v>
      </c>
      <c r="EP42" s="15">
        <v>-1.87</v>
      </c>
    </row>
    <row r="43" spans="1:146" ht="153.5" customHeight="1" x14ac:dyDescent="0.25">
      <c r="C43" s="7" t="str">
        <f>"上海毕得医药科技股份有限公司的主营业务是药物分子砌块的研发设计，生产及销售等。主要产品为药物分子砌块和科学试剂。"&amp;CHAR(10)&amp;Basic_Fundamental_Information_Constructure(F43)&amp;CHAR(10)&amp;Basic_Fundamental_Information_Concatenate("（境外48%）
药物分子砌块 5.33亿 87.93% 90.55% 50.93%
科学试剂 7298.55万 12.04% 9.48% 38.94%")</f>
        <v>上海毕得医药科技股份有限公司的主营业务是药物分子砌块的研发设计，生产及销售等。主要产品为药物分子砌块和科学试剂。
市值27.510268亿, 利润1.42亿; PE27.87; 平均PE38.87; 平均PEG1.19, PB1.35; ROIC11.12%; ROE12.61%; 股利率2.9732%; 毛利44.6133%; 净利14.5133%; 上一年度营收增-39.69%, 利润增-2.74%; 当季营收增117.36%, 利润增-48.7%; 过往5年营收增32.54%, 利润增1131.64%
Income profile:
（境外48%）
药物分子砌块 5.33亿 87.93% 90.55% 50.93%
科学试剂 7298.55万 12.04% 9.48% 38.94%</v>
      </c>
      <c r="D43" t="s">
        <v>527</v>
      </c>
      <c r="E43" t="s">
        <v>528</v>
      </c>
      <c r="F43">
        <v>30.27</v>
      </c>
      <c r="G43">
        <v>3.24</v>
      </c>
      <c r="H43" t="s">
        <v>1851</v>
      </c>
      <c r="I43">
        <v>2751026800</v>
      </c>
      <c r="J43">
        <v>27.87</v>
      </c>
      <c r="K43">
        <v>1.35</v>
      </c>
      <c r="L43" t="s">
        <v>290</v>
      </c>
      <c r="M43" t="s">
        <v>233</v>
      </c>
      <c r="N43" t="s">
        <v>1852</v>
      </c>
      <c r="O43" t="s">
        <v>199</v>
      </c>
      <c r="P43">
        <v>4.05</v>
      </c>
      <c r="Q43" t="s">
        <v>379</v>
      </c>
      <c r="R43">
        <v>26074943</v>
      </c>
      <c r="S43">
        <v>-0.29389999999999999</v>
      </c>
      <c r="T43" t="s">
        <v>601</v>
      </c>
      <c r="U43">
        <v>42325342</v>
      </c>
      <c r="V43">
        <v>90882948</v>
      </c>
      <c r="W43">
        <v>1.1599999999999999</v>
      </c>
      <c r="X43">
        <v>0.11</v>
      </c>
      <c r="Y43">
        <v>9.93</v>
      </c>
      <c r="Z43" t="s">
        <v>59</v>
      </c>
      <c r="AA43" t="s">
        <v>117</v>
      </c>
      <c r="AB43" t="s">
        <v>1853</v>
      </c>
      <c r="AC43" t="s">
        <v>1854</v>
      </c>
      <c r="AD43" t="s">
        <v>14</v>
      </c>
      <c r="AE43">
        <v>-7645483</v>
      </c>
      <c r="AF43" t="s">
        <v>1855</v>
      </c>
      <c r="AG43" t="s">
        <v>1856</v>
      </c>
      <c r="AH43" t="s">
        <v>1857</v>
      </c>
      <c r="AI43" t="s">
        <v>1858</v>
      </c>
      <c r="AJ43" t="s">
        <v>1859</v>
      </c>
      <c r="AK43" t="s">
        <v>1860</v>
      </c>
      <c r="AL43" t="s">
        <v>1861</v>
      </c>
      <c r="AM43" t="s">
        <v>14</v>
      </c>
      <c r="AN43">
        <v>0</v>
      </c>
      <c r="AO43" t="s">
        <v>1862</v>
      </c>
      <c r="AP43" t="s">
        <v>14</v>
      </c>
      <c r="AQ43" t="s">
        <v>154</v>
      </c>
      <c r="AR43" t="s">
        <v>14</v>
      </c>
      <c r="AS43" t="s">
        <v>677</v>
      </c>
      <c r="AT43" t="s">
        <v>14</v>
      </c>
      <c r="AU43" t="s">
        <v>1863</v>
      </c>
      <c r="AV43" t="s">
        <v>1864</v>
      </c>
      <c r="AW43" t="s">
        <v>1865</v>
      </c>
      <c r="AX43" t="s">
        <v>500</v>
      </c>
      <c r="AY43" t="s">
        <v>529</v>
      </c>
      <c r="AZ43" t="s">
        <v>470</v>
      </c>
      <c r="BA43" t="s">
        <v>234</v>
      </c>
      <c r="BB43" t="s">
        <v>531</v>
      </c>
      <c r="BC43" t="s">
        <v>467</v>
      </c>
      <c r="BD43" t="s">
        <v>530</v>
      </c>
      <c r="BE43" t="s">
        <v>532</v>
      </c>
      <c r="BF43" t="s">
        <v>533</v>
      </c>
      <c r="BG43" t="s">
        <v>534</v>
      </c>
      <c r="BH43" t="s">
        <v>1866</v>
      </c>
      <c r="BI43" t="s">
        <v>114</v>
      </c>
      <c r="BJ43" t="s">
        <v>500</v>
      </c>
      <c r="BK43" t="s">
        <v>116</v>
      </c>
      <c r="BL43" t="s">
        <v>1867</v>
      </c>
      <c r="BM43" t="s">
        <v>467</v>
      </c>
      <c r="BN43">
        <v>4.1399999999999997</v>
      </c>
      <c r="BO43">
        <v>10.34</v>
      </c>
      <c r="BP43">
        <v>18.88</v>
      </c>
      <c r="BQ43">
        <v>5.44</v>
      </c>
      <c r="BR43">
        <v>14.24</v>
      </c>
      <c r="BS43">
        <v>18.149999999999999</v>
      </c>
      <c r="BT43" t="s">
        <v>1868</v>
      </c>
      <c r="BU43" t="s">
        <v>501</v>
      </c>
      <c r="BV43">
        <v>40</v>
      </c>
      <c r="BW43">
        <v>44.38</v>
      </c>
      <c r="BX43">
        <v>49.46</v>
      </c>
      <c r="BY43">
        <v>9.93</v>
      </c>
      <c r="BZ43">
        <v>17.510000000000002</v>
      </c>
      <c r="CA43">
        <v>16.100000000000001</v>
      </c>
      <c r="CB43">
        <v>1.65</v>
      </c>
      <c r="CC43" s="9">
        <v>-5.96</v>
      </c>
      <c r="CD43" s="10" t="s">
        <v>1869</v>
      </c>
      <c r="CE43" s="9" t="s">
        <v>1870</v>
      </c>
      <c r="CF43" s="9">
        <v>1.1735537190082646</v>
      </c>
      <c r="CG43" s="9">
        <v>-0.48703281029910528</v>
      </c>
      <c r="CH43" s="9">
        <v>-0.39688250422477722</v>
      </c>
      <c r="CI43" s="9">
        <v>0.37623763084411621</v>
      </c>
      <c r="CJ43" s="10">
        <v>0.54987210035324097</v>
      </c>
      <c r="CK43" s="10">
        <v>0.57028114795684814</v>
      </c>
      <c r="CL43" s="10">
        <v>0.52760738134384155</v>
      </c>
      <c r="CM43" s="10">
        <v>-2.7397260069847107E-2</v>
      </c>
      <c r="CN43" s="10">
        <v>0.49631556868553162</v>
      </c>
      <c r="CO43">
        <v>0.6536787748336792</v>
      </c>
      <c r="CP43">
        <v>54.51800537109375</v>
      </c>
      <c r="CQ43">
        <v>0.94145387411117554</v>
      </c>
      <c r="CR43" s="9">
        <v>38.870695087730205</v>
      </c>
      <c r="CS43" s="10">
        <v>1.1944661877271496</v>
      </c>
      <c r="CT43">
        <v>2.9732408325074333</v>
      </c>
      <c r="CU43">
        <v>0.32542315125465393</v>
      </c>
      <c r="CV43">
        <v>11.316411265730858</v>
      </c>
      <c r="CW43">
        <v>0.06</v>
      </c>
      <c r="CX43">
        <v>5.8067472506053344</v>
      </c>
      <c r="CY43">
        <v>177556686.30015174</v>
      </c>
      <c r="CZ43">
        <v>0.32542315125465393</v>
      </c>
      <c r="DA43">
        <v>1.5633777007607013</v>
      </c>
      <c r="DB43">
        <v>659486699.53417373</v>
      </c>
      <c r="DC43">
        <v>0.3091519936919212</v>
      </c>
      <c r="DD43">
        <v>0.58231483522788186</v>
      </c>
      <c r="DE43">
        <v>1770565916.6257033</v>
      </c>
      <c r="DF43">
        <v>0.28637237310409547</v>
      </c>
      <c r="DG43">
        <v>0.24836561052039199</v>
      </c>
      <c r="DH43">
        <v>4151246212.5482054</v>
      </c>
      <c r="DI43">
        <v>0.26033852100372318</v>
      </c>
      <c r="DJ43">
        <v>5.5442241439905268E-2</v>
      </c>
      <c r="DK43">
        <v>18596412648.964535</v>
      </c>
      <c r="DL43">
        <v>0.22779620587825775</v>
      </c>
      <c r="DM43">
        <v>142000000</v>
      </c>
      <c r="DN43">
        <v>0.32542315125465393</v>
      </c>
      <c r="DO43">
        <v>1031026800</v>
      </c>
      <c r="DP43">
        <v>1942748200</v>
      </c>
      <c r="DQ43" s="11">
        <v>4603</v>
      </c>
      <c r="DR43">
        <v>0.84813056775361062</v>
      </c>
      <c r="DS43">
        <v>-11.803444076029963</v>
      </c>
      <c r="DT43">
        <v>-0.10666666666666676</v>
      </c>
      <c r="DU43">
        <v>0.47166666666666673</v>
      </c>
      <c r="DV43">
        <v>0.36499999999999999</v>
      </c>
      <c r="DW43">
        <v>-1.0596000000000001</v>
      </c>
      <c r="DX43">
        <v>0.45289741811436229</v>
      </c>
      <c r="DY43">
        <v>-1.008516686119616</v>
      </c>
      <c r="DZ43">
        <v>198</v>
      </c>
      <c r="EA43">
        <v>-1.0081866853658619</v>
      </c>
      <c r="EB43" s="12">
        <v>1</v>
      </c>
      <c r="EC43">
        <v>2.7885319036966099E-2</v>
      </c>
      <c r="ED43">
        <v>0.19514221743775301</v>
      </c>
      <c r="EE43">
        <v>-2.0182000000000002</v>
      </c>
      <c r="EF43">
        <v>-2.00441</v>
      </c>
      <c r="EG43">
        <v>31.142897418114362</v>
      </c>
      <c r="EH43" s="14" t="s">
        <v>776</v>
      </c>
      <c r="EI43" s="15">
        <v>0</v>
      </c>
      <c r="EJ43" s="15">
        <v>1</v>
      </c>
      <c r="EK43" s="15">
        <v>45470</v>
      </c>
      <c r="EL43" s="15">
        <v>1.5</v>
      </c>
      <c r="EM43" s="15">
        <v>-3.24</v>
      </c>
      <c r="EN43" s="15">
        <v>0.6</v>
      </c>
      <c r="EO43" s="15">
        <v>2.4</v>
      </c>
      <c r="EP43" s="15">
        <v>-2.2599999999999998</v>
      </c>
    </row>
    <row r="44" spans="1:146" ht="194.5" customHeight="1" x14ac:dyDescent="0.25">
      <c r="A44" s="7"/>
      <c r="B44" s="7"/>
      <c r="C44" s="7" t="str">
        <f>"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amp;CHAR(10)&amp;Basic_Fundamental_Information_Constructure(F44)&amp;CHAR(10)&amp;Basic_Fundamental_Information_Concatenate("（境外占比56%）
定制类产品及技术服务 5.11亿 79.32% 81.28% 57.13%
自主选择产品 1.31亿 20.34% 18.47% 50.63%")</f>
        <v>公司是一家聚焦多肽药物及小分子化药进行自主研发与定制研发生产相结合的生物医药企业。公司的主要产品为阿托伐他汀钙片、氨氯地平阿托伐他汀钙片、APC137系列、APC037、APC046、APC200、APC214、苯甲酸阿格列汀、依替巴肽、醋酸奥曲肽、磷酸奥司他韦、GLP-1/GIP/GCG受体多靶点激动剂降糖减肥药、氟维司群。
市值158.84872亿, 利润-4280.59万; PE76.28; 平均PE228.72; 平均PEG4.93, PB7.36; ROIC5.6767%; ROE6.5433%; 股利率.5495%; 毛利58.1%; 净利17.2533%; 上一年度营收增119.66%, 利润增-133.18%; 当季营收增1.42%, 利润增616.78%; 过往5年营收增46.41%, 利润增7.25%
Income profile:
（境外占比56%）
定制类产品及技术服务 5.11亿 79.32% 81.28% 57.13%
自主选择产品 1.31亿 20.34% 18.47% 50.63%</v>
      </c>
      <c r="D44" t="s">
        <v>326</v>
      </c>
      <c r="E44" t="s">
        <v>327</v>
      </c>
      <c r="F44">
        <v>72.8</v>
      </c>
      <c r="G44">
        <v>2.94</v>
      </c>
      <c r="H44" t="s">
        <v>1871</v>
      </c>
      <c r="I44">
        <v>15884872000</v>
      </c>
      <c r="J44">
        <v>76.28</v>
      </c>
      <c r="K44">
        <v>7.36</v>
      </c>
      <c r="L44" t="s">
        <v>290</v>
      </c>
      <c r="M44" t="s">
        <v>673</v>
      </c>
      <c r="N44" t="s">
        <v>665</v>
      </c>
      <c r="O44" t="s">
        <v>1872</v>
      </c>
      <c r="P44">
        <v>71.02</v>
      </c>
      <c r="Q44" t="s">
        <v>1873</v>
      </c>
      <c r="R44">
        <v>215000000</v>
      </c>
      <c r="S44" s="3">
        <v>2.1560000000000001</v>
      </c>
      <c r="T44" t="s">
        <v>1874</v>
      </c>
      <c r="U44">
        <v>216680040</v>
      </c>
      <c r="V44">
        <v>218198790</v>
      </c>
      <c r="W44">
        <v>1.64</v>
      </c>
      <c r="X44">
        <v>0.1</v>
      </c>
      <c r="Y44">
        <v>18.149999999999999</v>
      </c>
      <c r="Z44" t="s">
        <v>779</v>
      </c>
      <c r="AA44" t="s">
        <v>89</v>
      </c>
      <c r="AB44" t="s">
        <v>1875</v>
      </c>
      <c r="AC44" t="s">
        <v>1876</v>
      </c>
      <c r="AD44" t="s">
        <v>14</v>
      </c>
      <c r="AE44">
        <v>3245276</v>
      </c>
      <c r="AF44" t="s">
        <v>1877</v>
      </c>
      <c r="AG44" t="s">
        <v>1878</v>
      </c>
      <c r="AH44" t="s">
        <v>1879</v>
      </c>
      <c r="AI44" t="s">
        <v>610</v>
      </c>
      <c r="AJ44" t="s">
        <v>1880</v>
      </c>
      <c r="AK44" t="s">
        <v>1881</v>
      </c>
      <c r="AL44" t="s">
        <v>1882</v>
      </c>
      <c r="AM44" t="s">
        <v>14</v>
      </c>
      <c r="AN44" t="s">
        <v>868</v>
      </c>
      <c r="AO44" t="s">
        <v>1883</v>
      </c>
      <c r="AP44" t="s">
        <v>1884</v>
      </c>
      <c r="AQ44" t="s">
        <v>198</v>
      </c>
      <c r="AR44" t="s">
        <v>14</v>
      </c>
      <c r="AS44" t="s">
        <v>782</v>
      </c>
      <c r="AT44" t="s">
        <v>14</v>
      </c>
      <c r="AU44" t="s">
        <v>1885</v>
      </c>
      <c r="AV44" t="s">
        <v>1886</v>
      </c>
      <c r="AW44" t="s">
        <v>681</v>
      </c>
      <c r="AX44" t="s">
        <v>672</v>
      </c>
      <c r="AY44" t="s">
        <v>436</v>
      </c>
      <c r="AZ44" t="s">
        <v>222</v>
      </c>
      <c r="BA44" t="s">
        <v>120</v>
      </c>
      <c r="BB44" t="s">
        <v>96</v>
      </c>
      <c r="BC44" t="s">
        <v>107</v>
      </c>
      <c r="BD44" t="s">
        <v>104</v>
      </c>
      <c r="BE44" t="s">
        <v>101</v>
      </c>
      <c r="BF44" t="s">
        <v>328</v>
      </c>
      <c r="BG44" t="s">
        <v>329</v>
      </c>
      <c r="BH44" t="s">
        <v>860</v>
      </c>
      <c r="BI44" t="s">
        <v>1887</v>
      </c>
      <c r="BJ44" t="s">
        <v>672</v>
      </c>
      <c r="BK44" t="s">
        <v>531</v>
      </c>
      <c r="BL44" t="s">
        <v>1888</v>
      </c>
      <c r="BM44" t="s">
        <v>107</v>
      </c>
      <c r="BN44">
        <v>4.08</v>
      </c>
      <c r="BO44">
        <v>5.95</v>
      </c>
      <c r="BP44">
        <v>7</v>
      </c>
      <c r="BQ44">
        <v>4.72</v>
      </c>
      <c r="BR44">
        <v>6.94</v>
      </c>
      <c r="BS44">
        <v>7.97</v>
      </c>
      <c r="BT44" t="s">
        <v>775</v>
      </c>
      <c r="BU44" t="s">
        <v>501</v>
      </c>
      <c r="BV44">
        <v>60.97</v>
      </c>
      <c r="BW44">
        <v>57.57</v>
      </c>
      <c r="BX44">
        <v>55.76</v>
      </c>
      <c r="BY44">
        <v>16.010000000000002</v>
      </c>
      <c r="BZ44">
        <v>18.850000000000001</v>
      </c>
      <c r="CA44">
        <v>16.899999999999999</v>
      </c>
      <c r="CB44">
        <v>-7</v>
      </c>
      <c r="CC44">
        <v>26</v>
      </c>
      <c r="CD44" t="s">
        <v>1889</v>
      </c>
      <c r="CE44" t="s">
        <v>70</v>
      </c>
      <c r="CF44" s="9">
        <v>1.4245014245014245E-2</v>
      </c>
      <c r="CG44" s="10">
        <v>6.1678220154025132</v>
      </c>
      <c r="CH44" s="9">
        <v>1.1966205835342407</v>
      </c>
      <c r="CI44" s="9">
        <v>1.0869565419852734E-2</v>
      </c>
      <c r="CJ44" s="9">
        <v>0.13580246269702911</v>
      </c>
      <c r="CK44" s="9">
        <v>0.52419352531433105</v>
      </c>
      <c r="CL44" s="9">
        <v>0.453125</v>
      </c>
      <c r="CM44" s="10">
        <v>-1.3318287134170532</v>
      </c>
      <c r="CN44" s="10">
        <v>0.12173912674188614</v>
      </c>
      <c r="CO44" s="10">
        <v>-6.5040647983551025E-2</v>
      </c>
      <c r="CP44" s="10">
        <v>1.5303176641464233</v>
      </c>
      <c r="CQ44" s="10">
        <v>0.1070888489484787</v>
      </c>
      <c r="CR44">
        <v>228.71672350034675</v>
      </c>
      <c r="CS44">
        <v>4.9279416067835493</v>
      </c>
      <c r="CT44">
        <v>0.5494505494505495</v>
      </c>
      <c r="CU44" s="9">
        <v>0.46412222739309072</v>
      </c>
      <c r="CV44" s="10">
        <v>7.2455255687236791E-2</v>
      </c>
      <c r="CW44">
        <v>0.06</v>
      </c>
      <c r="CX44" t="e">
        <v>#VALUE!</v>
      </c>
      <c r="CY44" t="s">
        <v>465</v>
      </c>
      <c r="CZ44">
        <v>0.46412222739309072</v>
      </c>
      <c r="DA44" t="e">
        <v>#VALUE!</v>
      </c>
      <c r="DB44" t="s">
        <v>465</v>
      </c>
      <c r="DC44">
        <v>0.44091611602343617</v>
      </c>
      <c r="DD44" t="e">
        <v>#VALUE!</v>
      </c>
      <c r="DE44" t="s">
        <v>465</v>
      </c>
      <c r="DF44">
        <v>0.40842756010591985</v>
      </c>
      <c r="DG44" t="e">
        <v>#VALUE!</v>
      </c>
      <c r="DH44" t="s">
        <v>465</v>
      </c>
      <c r="DI44">
        <v>0.3712977819144726</v>
      </c>
      <c r="DJ44" t="e">
        <v>#VALUE!</v>
      </c>
      <c r="DK44" t="s">
        <v>465</v>
      </c>
      <c r="DL44">
        <v>0.32488555917516349</v>
      </c>
      <c r="DM44">
        <v>-42805900</v>
      </c>
      <c r="DN44">
        <v>0.46412222739309072</v>
      </c>
      <c r="DO44">
        <v>14974872000</v>
      </c>
      <c r="DP44">
        <v>484243900</v>
      </c>
      <c r="DQ44">
        <v>4605</v>
      </c>
      <c r="DR44">
        <v>-0.44987721314807649</v>
      </c>
      <c r="DS44">
        <v>6.0953667597152767</v>
      </c>
      <c r="DT44" s="11">
        <v>0.10999999999999995</v>
      </c>
      <c r="DU44">
        <v>8.3333333333333301E-2</v>
      </c>
      <c r="DV44">
        <v>0.19333333333333325</v>
      </c>
      <c r="DW44">
        <v>-7.2121212121212119</v>
      </c>
      <c r="DX44">
        <v>0.51962166666666709</v>
      </c>
      <c r="DY44">
        <v>-7.0444652020202021</v>
      </c>
      <c r="DZ44">
        <v>2152</v>
      </c>
      <c r="EA44">
        <v>-7.0257393478621832</v>
      </c>
      <c r="EB44">
        <v>7</v>
      </c>
      <c r="EC44">
        <v>0.115282949094264</v>
      </c>
      <c r="ED44">
        <v>0.54995722020273352</v>
      </c>
      <c r="EE44" s="12">
        <v>2.1061000000000001</v>
      </c>
      <c r="EF44">
        <v>2.0880999999999998</v>
      </c>
      <c r="EG44">
        <v>31.209621666666667</v>
      </c>
      <c r="EH44" t="s">
        <v>831</v>
      </c>
      <c r="EI44">
        <v>0</v>
      </c>
      <c r="EJ44">
        <v>0</v>
      </c>
      <c r="EK44" s="14">
        <v>45470</v>
      </c>
      <c r="EL44" s="15">
        <v>-2.08</v>
      </c>
      <c r="EM44" s="15">
        <v>-4.6900000000000004</v>
      </c>
      <c r="EN44" s="15">
        <v>0.67</v>
      </c>
      <c r="EO44" s="15">
        <v>4.0199999999999996</v>
      </c>
      <c r="EP44" s="15">
        <v>-1.8</v>
      </c>
    </row>
    <row r="45" spans="1:146" ht="168" x14ac:dyDescent="0.25">
      <c r="A45" s="7"/>
      <c r="B45" s="7"/>
      <c r="C45" s="7" t="str">
        <f>"公司的主营业务为小分子药物发现领域的分子砌块和工具化合物的研究开发，以及小分子药物原料药、中间体的工艺研发和生产技术改进。主要产品包括：分子砌块和工具化合物、CRO 服务、原料药和中间体、CMC、CDMO 服务。"&amp;CHAR(10)&amp;Basic_Fundamental_Information_Constructure(F45)&amp;CHAR(10)&amp;Basic_Fundamental_Information_Concatenate("(国外占比45%)
分子砌块和工具化合物 5.45亿 56.23% 70.94% 68.28%
原料药和中间体 4.17亿 43.03% 28.61% 35.98%
其他业务 716.10万 0.74% 0.45% 32.80%")</f>
        <v>公司的主营业务为小分子药物发现领域的分子砌块和工具化合物的研究开发，以及小分子药物原料药、中间体的工艺研发和生产技术改进。主要产品包括：分子砌块和工具化合物、CRO 服务、原料药和中间体、CMC、CDMO 服务。
市值42.129509亿, 利润-5225.08万; PE43; 平均PE45.74; 平均PEG2.34, PB1.66; ROIC9.3633%; ROE10.3767%; 股利率.7496%; 毛利50.2433%; 净利13.4967%; 上一年度营收增-86.67%, 利润增-126.93%; 当季营收增790.19%, 利润增42.33%; 过往5年营收增19.53%, 利润增59.39%
Income profile:
(国外占比45%)
分子砌块和工具化合物 5.45亿 56.23% 70.94% 68.28%
原料药和中间体 4.17亿 43.03% 28.61% 35.98%
其他业务 716.10万 0.74% 0.45% 32.80%</v>
      </c>
      <c r="D45" t="s">
        <v>330</v>
      </c>
      <c r="E45" t="s">
        <v>331</v>
      </c>
      <c r="F45">
        <v>20.010000000000002</v>
      </c>
      <c r="G45">
        <v>11.04</v>
      </c>
      <c r="H45" t="s">
        <v>1890</v>
      </c>
      <c r="I45">
        <v>4212950900</v>
      </c>
      <c r="J45">
        <v>43</v>
      </c>
      <c r="K45">
        <v>1.66</v>
      </c>
      <c r="L45" t="s">
        <v>290</v>
      </c>
      <c r="M45" t="s">
        <v>1891</v>
      </c>
      <c r="N45" t="s">
        <v>1892</v>
      </c>
      <c r="O45" t="s">
        <v>1893</v>
      </c>
      <c r="P45">
        <v>20.68</v>
      </c>
      <c r="Q45" t="s">
        <v>788</v>
      </c>
      <c r="R45">
        <v>16757351</v>
      </c>
      <c r="S45" s="3">
        <v>-0.63759999999999994</v>
      </c>
      <c r="T45" t="s">
        <v>1894</v>
      </c>
      <c r="U45">
        <v>204853570</v>
      </c>
      <c r="V45">
        <v>210542270</v>
      </c>
      <c r="W45">
        <v>1.69</v>
      </c>
      <c r="X45">
        <v>0.12</v>
      </c>
      <c r="Y45">
        <v>3.28</v>
      </c>
      <c r="Z45" t="s">
        <v>1895</v>
      </c>
      <c r="AA45" t="s">
        <v>877</v>
      </c>
      <c r="AB45" t="s">
        <v>1896</v>
      </c>
      <c r="AC45" t="s">
        <v>1897</v>
      </c>
      <c r="AD45" t="s">
        <v>14</v>
      </c>
      <c r="AE45">
        <v>9472674</v>
      </c>
      <c r="AF45" t="s">
        <v>1898</v>
      </c>
      <c r="AG45" t="s">
        <v>1899</v>
      </c>
      <c r="AH45" t="s">
        <v>1900</v>
      </c>
      <c r="AI45" t="s">
        <v>1901</v>
      </c>
      <c r="AJ45" t="s">
        <v>1902</v>
      </c>
      <c r="AK45" t="s">
        <v>1903</v>
      </c>
      <c r="AL45" t="s">
        <v>1904</v>
      </c>
      <c r="AM45" t="s">
        <v>14</v>
      </c>
      <c r="AN45" t="s">
        <v>98</v>
      </c>
      <c r="AO45" t="s">
        <v>1905</v>
      </c>
      <c r="AP45" t="s">
        <v>1906</v>
      </c>
      <c r="AQ45" t="s">
        <v>893</v>
      </c>
      <c r="AR45" t="s">
        <v>14</v>
      </c>
      <c r="AS45" t="s">
        <v>1907</v>
      </c>
      <c r="AT45" t="s">
        <v>468</v>
      </c>
      <c r="AU45" t="s">
        <v>1908</v>
      </c>
      <c r="AV45" t="s">
        <v>1253</v>
      </c>
      <c r="AW45" t="s">
        <v>1909</v>
      </c>
      <c r="AX45" t="s">
        <v>673</v>
      </c>
      <c r="AY45" t="s">
        <v>437</v>
      </c>
      <c r="AZ45" t="s">
        <v>332</v>
      </c>
      <c r="BA45" t="s">
        <v>105</v>
      </c>
      <c r="BB45" t="s">
        <v>75</v>
      </c>
      <c r="BC45" t="s">
        <v>638</v>
      </c>
      <c r="BD45" t="s">
        <v>251</v>
      </c>
      <c r="BE45" t="s">
        <v>77</v>
      </c>
      <c r="BF45" t="s">
        <v>333</v>
      </c>
      <c r="BG45" t="s">
        <v>334</v>
      </c>
      <c r="BH45" t="s">
        <v>790</v>
      </c>
      <c r="BI45" t="s">
        <v>1910</v>
      </c>
      <c r="BJ45" t="s">
        <v>673</v>
      </c>
      <c r="BK45" t="s">
        <v>67</v>
      </c>
      <c r="BL45" t="s">
        <v>1911</v>
      </c>
      <c r="BM45" t="s">
        <v>638</v>
      </c>
      <c r="BN45">
        <v>4.38</v>
      </c>
      <c r="BO45">
        <v>8.5299999999999994</v>
      </c>
      <c r="BP45">
        <v>15.18</v>
      </c>
      <c r="BQ45">
        <v>4.95</v>
      </c>
      <c r="BR45">
        <v>9.9</v>
      </c>
      <c r="BS45">
        <v>16.28</v>
      </c>
      <c r="BT45" t="s">
        <v>1912</v>
      </c>
      <c r="BU45" t="s">
        <v>501</v>
      </c>
      <c r="BV45">
        <v>45.17</v>
      </c>
      <c r="BW45">
        <v>51.44</v>
      </c>
      <c r="BX45">
        <v>54.12</v>
      </c>
      <c r="BY45">
        <v>6.72</v>
      </c>
      <c r="BZ45">
        <v>14.11</v>
      </c>
      <c r="CA45">
        <v>19.66</v>
      </c>
      <c r="CB45">
        <v>4.5999999999999996</v>
      </c>
      <c r="CC45">
        <v>-6.34</v>
      </c>
      <c r="CD45" t="s">
        <v>1913</v>
      </c>
      <c r="CE45" t="s">
        <v>1914</v>
      </c>
      <c r="CF45" s="9">
        <v>7.9018940762742487</v>
      </c>
      <c r="CG45" s="10">
        <v>0.42333508871769171</v>
      </c>
      <c r="CH45" s="9">
        <v>-0.86671572923660278</v>
      </c>
      <c r="CI45" s="9">
        <v>0.40144479274749756</v>
      </c>
      <c r="CJ45" s="9">
        <v>0.52598422765731812</v>
      </c>
      <c r="CK45" s="9">
        <v>0.5525672435760498</v>
      </c>
      <c r="CL45" s="9">
        <v>0.36333334445953369</v>
      </c>
      <c r="CM45" s="10">
        <v>-1.269334077835083</v>
      </c>
      <c r="CN45" s="10">
        <v>1.5706805512309074E-2</v>
      </c>
      <c r="CO45" s="10">
        <v>0.4921875</v>
      </c>
      <c r="CP45" s="10">
        <v>0.74316626787185669</v>
      </c>
      <c r="CQ45" s="10">
        <v>2.987661600112915</v>
      </c>
      <c r="CR45">
        <v>45.743803124541934</v>
      </c>
      <c r="CS45">
        <v>2.341959504089552</v>
      </c>
      <c r="CT45">
        <v>0.7496251874062968</v>
      </c>
      <c r="CU45" s="9">
        <v>0.19532277584075927</v>
      </c>
      <c r="CV45" s="10">
        <v>0.59387761913239956</v>
      </c>
      <c r="CW45">
        <v>0.06</v>
      </c>
      <c r="CX45" t="e">
        <v>#VALUE!</v>
      </c>
      <c r="CY45" t="s">
        <v>465</v>
      </c>
      <c r="CZ45">
        <v>0.19532277584075927</v>
      </c>
      <c r="DA45" t="e">
        <v>#VALUE!</v>
      </c>
      <c r="DB45" t="s">
        <v>465</v>
      </c>
      <c r="DC45">
        <v>0.1855566370487213</v>
      </c>
      <c r="DD45" t="e">
        <v>#VALUE!</v>
      </c>
      <c r="DE45" t="s">
        <v>465</v>
      </c>
      <c r="DF45">
        <v>0.17188404273986815</v>
      </c>
      <c r="DG45" t="e">
        <v>#VALUE!</v>
      </c>
      <c r="DH45" t="s">
        <v>465</v>
      </c>
      <c r="DI45">
        <v>0.15625822067260742</v>
      </c>
      <c r="DJ45" t="e">
        <v>#VALUE!</v>
      </c>
      <c r="DK45" t="s">
        <v>465</v>
      </c>
      <c r="DL45">
        <v>0.13672594308853148</v>
      </c>
      <c r="DM45">
        <v>-52250800</v>
      </c>
      <c r="DN45">
        <v>0.19532277584075927</v>
      </c>
      <c r="DO45">
        <v>3315950900</v>
      </c>
      <c r="DP45">
        <v>1031692600</v>
      </c>
      <c r="DQ45">
        <v>4656</v>
      </c>
      <c r="DR45">
        <v>7.706571300433489</v>
      </c>
      <c r="DS45">
        <v>-0.17054253041470785</v>
      </c>
      <c r="DT45" s="11">
        <v>-0.27333333333333343</v>
      </c>
      <c r="DU45">
        <v>0.29833333333333328</v>
      </c>
      <c r="DV45">
        <v>2.4999999999999856E-2</v>
      </c>
      <c r="DW45">
        <v>6.420475319926874</v>
      </c>
      <c r="DX45">
        <v>0.8841226246077486</v>
      </c>
      <c r="DY45">
        <v>6.0858285258862548</v>
      </c>
      <c r="DZ45">
        <v>2519</v>
      </c>
      <c r="EA45">
        <v>6.0435189257478052</v>
      </c>
      <c r="EB45">
        <v>6</v>
      </c>
      <c r="EC45">
        <v>4.3778857328744487E-2</v>
      </c>
      <c r="ED45">
        <v>0.21447332167550012</v>
      </c>
      <c r="EE45" s="12">
        <v>-1.0642100000000001</v>
      </c>
      <c r="EF45">
        <v>-1.0741099999999999</v>
      </c>
      <c r="EG45">
        <v>68.204122624607749</v>
      </c>
      <c r="EH45" t="s">
        <v>587</v>
      </c>
      <c r="EI45">
        <v>0</v>
      </c>
      <c r="EJ45">
        <v>0</v>
      </c>
      <c r="EK45" s="14">
        <v>45470</v>
      </c>
      <c r="EL45" s="15">
        <v>-0.66</v>
      </c>
      <c r="EM45" s="15">
        <v>-5.31</v>
      </c>
      <c r="EN45" s="15">
        <v>-0.76</v>
      </c>
      <c r="EO45" s="15">
        <v>0.65</v>
      </c>
      <c r="EP45" s="15">
        <v>-0.99</v>
      </c>
    </row>
    <row r="46" spans="1:146" ht="276" x14ac:dyDescent="0.25">
      <c r="A46" s="7" t="s">
        <v>486</v>
      </c>
      <c r="B46" s="7" t="s">
        <v>822</v>
      </c>
      <c r="C46" s="7" t="str">
        <f>"公司的主营业务是药物发现、药学研究及临床前研究,为全球的医药企业和科研机构提供全方位的符合国内及国际申报标准的一站式新药研发服务。公司的主要服务包括药物发现、药物发现、药学研究、综合项目。"&amp;CHAR(10)&amp;Basic_Fundamental_Information_Constructure(F46)&amp;CHAR(10)&amp;Basic_Fundamental_Information_Concatenate("(国外占比20%）
药物发现与药学研究 6.13亿 52.51% 48.86% 42.18%
临床前研究 5.54亿 47.42% 51.01% 48.77%
其他业务 75.84万 0.06% 0.13% 90.62%")</f>
        <v>公司的主营业务是药物发现、药学研究及临床前研究,为全球的医药企业和科研机构提供全方位的符合国内及国际申报标准的一站式新药研发服务。公司的主要服务包括药物发现、药物发现、药学研究、综合项目。
市值36.631078亿, 利润4354.90万; PE; 平均PE23.89; 平均PEG.8, PB1.49; ROIC16.2033%; ROE17.48%; 股利率0%; 毛利36.6333%; 净利14.1167%; 上一年度营收增-54.61%, 利润增-87.12%; 当季营收增81.82%, 利润增-1002.74%; 过往5年营收增29.85%, 利润增30.93%
Income profile:
(国外占比20%）
药物发现与药学研究 6.13亿 52.51% 48.86% 42.18%
临床前研究 5.54亿 47.42% 51.01% 48.77%
其他业务 75.84万 0.06% 0.13% 90.62%</v>
      </c>
      <c r="D46" t="s">
        <v>31</v>
      </c>
      <c r="E46" t="s">
        <v>32</v>
      </c>
      <c r="F46">
        <v>27.2</v>
      </c>
      <c r="G46">
        <v>8.67</v>
      </c>
      <c r="H46" t="s">
        <v>1915</v>
      </c>
      <c r="I46">
        <v>3663107800</v>
      </c>
      <c r="K46">
        <v>1.49</v>
      </c>
      <c r="L46" t="s">
        <v>290</v>
      </c>
      <c r="M46" t="s">
        <v>1916</v>
      </c>
      <c r="N46" t="s">
        <v>1917</v>
      </c>
      <c r="O46" t="s">
        <v>65</v>
      </c>
      <c r="P46">
        <v>-42.51</v>
      </c>
      <c r="Q46" t="s">
        <v>1918</v>
      </c>
      <c r="R46">
        <v>-37555731</v>
      </c>
      <c r="S46" s="3">
        <v>-1.37</v>
      </c>
      <c r="T46" t="s">
        <v>1919</v>
      </c>
      <c r="U46">
        <v>122633634</v>
      </c>
      <c r="V46">
        <v>134673080</v>
      </c>
      <c r="W46">
        <v>1.27</v>
      </c>
      <c r="X46">
        <v>0.08</v>
      </c>
      <c r="Y46">
        <v>-14.47</v>
      </c>
      <c r="Z46" t="s">
        <v>1211</v>
      </c>
      <c r="AA46" t="s">
        <v>774</v>
      </c>
      <c r="AB46" t="s">
        <v>1920</v>
      </c>
      <c r="AC46" t="s">
        <v>1921</v>
      </c>
      <c r="AD46" t="s">
        <v>14</v>
      </c>
      <c r="AE46">
        <v>-2398712</v>
      </c>
      <c r="AF46" t="s">
        <v>1922</v>
      </c>
      <c r="AG46" t="s">
        <v>1923</v>
      </c>
      <c r="AH46" t="s">
        <v>1924</v>
      </c>
      <c r="AI46" t="s">
        <v>431</v>
      </c>
      <c r="AJ46" t="s">
        <v>1925</v>
      </c>
      <c r="AK46" t="s">
        <v>1926</v>
      </c>
      <c r="AL46" t="s">
        <v>1927</v>
      </c>
      <c r="AM46" t="s">
        <v>14</v>
      </c>
      <c r="AN46" t="s">
        <v>801</v>
      </c>
      <c r="AO46" t="s">
        <v>857</v>
      </c>
      <c r="AP46" t="s">
        <v>1928</v>
      </c>
      <c r="AQ46" t="s">
        <v>126</v>
      </c>
      <c r="AR46" t="s">
        <v>14</v>
      </c>
      <c r="AS46" t="s">
        <v>1929</v>
      </c>
      <c r="AT46" t="s">
        <v>872</v>
      </c>
      <c r="AU46" t="s">
        <v>1930</v>
      </c>
      <c r="AV46" t="s">
        <v>1931</v>
      </c>
      <c r="AW46" t="s">
        <v>1932</v>
      </c>
      <c r="AX46" t="s">
        <v>674</v>
      </c>
      <c r="AY46" t="s">
        <v>438</v>
      </c>
      <c r="AZ46" t="s">
        <v>255</v>
      </c>
      <c r="BA46" t="s">
        <v>49</v>
      </c>
      <c r="BB46" t="s">
        <v>233</v>
      </c>
      <c r="BC46" t="s">
        <v>675</v>
      </c>
      <c r="BD46" t="s">
        <v>297</v>
      </c>
      <c r="BE46" t="s">
        <v>107</v>
      </c>
      <c r="BF46" t="s">
        <v>256</v>
      </c>
      <c r="BG46" t="s">
        <v>257</v>
      </c>
      <c r="BH46" t="s">
        <v>1933</v>
      </c>
      <c r="BI46" t="s">
        <v>48</v>
      </c>
      <c r="BJ46" t="s">
        <v>674</v>
      </c>
      <c r="BK46" t="s">
        <v>1934</v>
      </c>
      <c r="BL46" t="s">
        <v>1935</v>
      </c>
      <c r="BM46" t="s">
        <v>675</v>
      </c>
      <c r="BN46">
        <v>4.66</v>
      </c>
      <c r="BO46">
        <v>21.35</v>
      </c>
      <c r="BP46">
        <v>22.6</v>
      </c>
      <c r="BQ46">
        <v>6.53</v>
      </c>
      <c r="BR46">
        <v>23.25</v>
      </c>
      <c r="BS46">
        <v>22.66</v>
      </c>
      <c r="BT46" t="s">
        <v>546</v>
      </c>
      <c r="BU46" t="s">
        <v>501</v>
      </c>
      <c r="BV46">
        <v>23.77</v>
      </c>
      <c r="BW46">
        <v>40.79</v>
      </c>
      <c r="BX46">
        <v>45.34</v>
      </c>
      <c r="BY46">
        <v>-2.4300000000000002</v>
      </c>
      <c r="BZ46">
        <v>20.39</v>
      </c>
      <c r="CA46">
        <v>24.39</v>
      </c>
      <c r="CB46">
        <v>4.41</v>
      </c>
      <c r="CC46">
        <v>-19.649999999999999</v>
      </c>
      <c r="CD46" t="s">
        <v>1936</v>
      </c>
      <c r="CE46" t="s">
        <v>1937</v>
      </c>
      <c r="CF46" s="9">
        <v>0.81818181818181823</v>
      </c>
      <c r="CG46" s="10">
        <v>-10.027385942983511</v>
      </c>
      <c r="CH46" s="9">
        <v>-0.54611212015151978</v>
      </c>
      <c r="CI46" s="9">
        <v>0.42159381508827209</v>
      </c>
      <c r="CJ46" s="9">
        <v>0.75225234031677246</v>
      </c>
      <c r="CK46" s="9">
        <v>0.48329621553421021</v>
      </c>
      <c r="CL46" s="9">
        <v>0.38153845071792603</v>
      </c>
      <c r="CM46" s="10">
        <v>-0.87115681171417236</v>
      </c>
      <c r="CN46" s="10">
        <v>0.19858156144618988</v>
      </c>
      <c r="CO46" s="10">
        <v>1.1860464811325073</v>
      </c>
      <c r="CP46" s="10">
        <v>0.93771958351135254</v>
      </c>
      <c r="CQ46" s="10">
        <v>9.5445975661277771E-2</v>
      </c>
      <c r="CR46">
        <v>23.892568138505418</v>
      </c>
      <c r="CS46">
        <v>0.80038420055315618</v>
      </c>
      <c r="CT46">
        <v>0</v>
      </c>
      <c r="CU46" s="9">
        <v>0.2985137403011322</v>
      </c>
      <c r="CV46" s="10">
        <v>0.30932735800743105</v>
      </c>
      <c r="CW46">
        <v>0.06</v>
      </c>
      <c r="CX46">
        <v>36.74185557814706</v>
      </c>
      <c r="CY46">
        <v>53348089.506013207</v>
      </c>
      <c r="CZ46">
        <v>0.2985137403011322</v>
      </c>
      <c r="DA46">
        <v>10.10774407336514</v>
      </c>
      <c r="DB46">
        <v>193921391.93206021</v>
      </c>
      <c r="DC46">
        <v>0.28358805328607556</v>
      </c>
      <c r="DD46">
        <v>3.8901710842291326</v>
      </c>
      <c r="DE46">
        <v>503861593.11767399</v>
      </c>
      <c r="DF46">
        <v>0.26269209146499634</v>
      </c>
      <c r="DG46">
        <v>1.7309396576895051</v>
      </c>
      <c r="DH46">
        <v>1132395223.1913118</v>
      </c>
      <c r="DI46">
        <v>0.23881099224090577</v>
      </c>
      <c r="DJ46">
        <v>0.43085841241857786</v>
      </c>
      <c r="DK46">
        <v>4549308412.0074234</v>
      </c>
      <c r="DL46">
        <v>0.20895961821079254</v>
      </c>
      <c r="DM46">
        <v>43549000</v>
      </c>
      <c r="DN46">
        <v>0.2985137403011322</v>
      </c>
      <c r="DO46">
        <v>1960107800</v>
      </c>
      <c r="DP46">
        <v>1107960400</v>
      </c>
      <c r="DQ46">
        <v>4717</v>
      </c>
      <c r="DR46">
        <v>0.51966807788068603</v>
      </c>
      <c r="DS46">
        <v>-10.336713300990942</v>
      </c>
      <c r="DT46" s="11">
        <v>2.6666666666666616E-2</v>
      </c>
      <c r="DU46">
        <v>-0.58166666666666667</v>
      </c>
      <c r="DV46">
        <v>-0.55500000000000005</v>
      </c>
      <c r="DW46">
        <v>6.1832917705735664</v>
      </c>
      <c r="DX46">
        <v>0.8924803829904624</v>
      </c>
      <c r="DY46">
        <v>6.0334471524932649</v>
      </c>
      <c r="DZ46">
        <v>92</v>
      </c>
      <c r="EA46">
        <v>6.032844972839766</v>
      </c>
      <c r="EB46">
        <v>6</v>
      </c>
      <c r="EC46">
        <v>0.10115607365629418</v>
      </c>
      <c r="ED46">
        <v>0.55433944185430373</v>
      </c>
      <c r="EE46" s="12">
        <v>-1.0739000000000001</v>
      </c>
      <c r="EF46">
        <v>-1.0598000000000001</v>
      </c>
      <c r="EG46">
        <v>71.182480382990462</v>
      </c>
      <c r="EH46" t="s">
        <v>469</v>
      </c>
      <c r="EI46">
        <v>0</v>
      </c>
      <c r="EJ46">
        <v>1</v>
      </c>
      <c r="EK46" s="14">
        <v>45470</v>
      </c>
      <c r="EL46" s="15">
        <v>-2.9</v>
      </c>
      <c r="EM46" s="15">
        <v>-5.28</v>
      </c>
      <c r="EN46" s="15">
        <v>0.12</v>
      </c>
      <c r="EO46" s="15">
        <v>2.66</v>
      </c>
      <c r="EP46" s="15">
        <v>-1.41</v>
      </c>
    </row>
    <row r="47" spans="1:146" ht="144" x14ac:dyDescent="0.25">
      <c r="A47" s="7"/>
      <c r="B47" s="7"/>
      <c r="C47" s="7" t="str">
        <f>"公司主营业务是提供药物早期发现阶段的研发服务以及新药研发项目转让，主要服务有DEL筛选服务、DEL库定制服务、化学合成服务、新药研发项目转让、其他。"&amp;CHAR(10)&amp;Basic_Fundamental_Information_Constructure(F47)&amp;CHAR(10)&amp;Basic_Fundamental_Information_Concatenate("（境外占比80%）
新药研发服务 3.07亿 98.79% 100.00% 46.37%
新药在研项目权益转让 377.36万 1.21% ")</f>
        <v xml:space="preserve">公司主营业务是提供药物早期发现阶段的研发服务以及新药研发项目转让，主要服务有DEL筛选服务、DEL库定制服务、化学合成服务、新药研发项目转让、其他。
市值42.832692亿, 利润74.40亿; PE66.87; 平均PE3.31; 平均PEG0, PB3.12; ROIC2.7567%; ROE2.73%; 股利率.4677%; 毛利47.98%; 净利13.0367%; 上一年度营收增35864.24%, 利润增29346.69%; 当季营收增-99.54%, 利润增-99.16%; 过往5年营收增7193.01%, 利润增5881.16%
Income profile:
（境外占比80%）
新药研发服务 3.07亿 98.79% 100.00% 46.37%
新药在研项目权益转让 377.36万 1.21% </v>
      </c>
      <c r="D47" t="s">
        <v>79</v>
      </c>
      <c r="E47" t="s">
        <v>80</v>
      </c>
      <c r="F47">
        <v>10.69</v>
      </c>
      <c r="G47">
        <v>2.2999999999999998</v>
      </c>
      <c r="H47" t="s">
        <v>1938</v>
      </c>
      <c r="I47">
        <v>4283269200</v>
      </c>
      <c r="J47">
        <v>66.87</v>
      </c>
      <c r="K47">
        <v>3.12</v>
      </c>
      <c r="L47" t="s">
        <v>290</v>
      </c>
      <c r="M47" t="s">
        <v>52</v>
      </c>
      <c r="N47" t="s">
        <v>832</v>
      </c>
      <c r="O47" t="s">
        <v>72</v>
      </c>
      <c r="P47">
        <v>54.35</v>
      </c>
      <c r="Q47" t="s">
        <v>1939</v>
      </c>
      <c r="R47">
        <v>13940029</v>
      </c>
      <c r="S47" s="3">
        <v>2.484</v>
      </c>
      <c r="T47" t="s">
        <v>1940</v>
      </c>
      <c r="U47">
        <v>400680000</v>
      </c>
      <c r="V47">
        <v>400680000</v>
      </c>
      <c r="W47">
        <v>1.24</v>
      </c>
      <c r="X47">
        <v>0.06</v>
      </c>
      <c r="Y47">
        <v>12.95</v>
      </c>
      <c r="Z47" t="s">
        <v>1941</v>
      </c>
      <c r="AA47" t="s">
        <v>1942</v>
      </c>
      <c r="AB47" t="s">
        <v>1943</v>
      </c>
      <c r="AC47" t="s">
        <v>1944</v>
      </c>
      <c r="AD47" t="s">
        <v>14</v>
      </c>
      <c r="AE47">
        <v>48886</v>
      </c>
      <c r="AF47" t="s">
        <v>1945</v>
      </c>
      <c r="AG47">
        <v>3058.72</v>
      </c>
      <c r="AH47" t="s">
        <v>1946</v>
      </c>
      <c r="AI47" t="s">
        <v>597</v>
      </c>
      <c r="AJ47" t="s">
        <v>1947</v>
      </c>
      <c r="AK47" t="s">
        <v>14</v>
      </c>
      <c r="AL47" t="s">
        <v>1948</v>
      </c>
      <c r="AM47" t="s">
        <v>14</v>
      </c>
      <c r="AN47" t="s">
        <v>1949</v>
      </c>
      <c r="AO47" t="s">
        <v>14</v>
      </c>
      <c r="AP47" t="s">
        <v>14</v>
      </c>
      <c r="AQ47" t="s">
        <v>1950</v>
      </c>
      <c r="AR47" t="s">
        <v>14</v>
      </c>
      <c r="AS47" t="s">
        <v>1951</v>
      </c>
      <c r="AT47" t="s">
        <v>638</v>
      </c>
      <c r="AU47" t="s">
        <v>1952</v>
      </c>
      <c r="AV47" t="s">
        <v>1953</v>
      </c>
      <c r="AW47" t="s">
        <v>1954</v>
      </c>
      <c r="AX47" t="s">
        <v>632</v>
      </c>
      <c r="AY47" t="s">
        <v>431</v>
      </c>
      <c r="AZ47" t="s">
        <v>61</v>
      </c>
      <c r="BA47" t="s">
        <v>78</v>
      </c>
      <c r="BB47" t="s">
        <v>126</v>
      </c>
      <c r="BC47" t="s">
        <v>676</v>
      </c>
      <c r="BD47" t="s">
        <v>439</v>
      </c>
      <c r="BE47" t="s">
        <v>258</v>
      </c>
      <c r="BF47" t="s">
        <v>70</v>
      </c>
      <c r="BG47" t="s">
        <v>259</v>
      </c>
      <c r="BH47" t="s">
        <v>578</v>
      </c>
      <c r="BI47" t="s">
        <v>1955</v>
      </c>
      <c r="BJ47" t="s">
        <v>632</v>
      </c>
      <c r="BK47" t="s">
        <v>1956</v>
      </c>
      <c r="BL47" t="s">
        <v>1957</v>
      </c>
      <c r="BM47" t="s">
        <v>676</v>
      </c>
      <c r="BN47">
        <v>1.44</v>
      </c>
      <c r="BO47">
        <v>2.25</v>
      </c>
      <c r="BP47">
        <v>4.58</v>
      </c>
      <c r="BQ47">
        <v>1.39</v>
      </c>
      <c r="BR47">
        <v>1.91</v>
      </c>
      <c r="BS47">
        <v>4.8899999999999997</v>
      </c>
      <c r="BT47" t="s">
        <v>1958</v>
      </c>
      <c r="BU47" t="s">
        <v>501</v>
      </c>
      <c r="BV47">
        <v>49.25</v>
      </c>
      <c r="BW47">
        <v>47.67</v>
      </c>
      <c r="BX47">
        <v>47.02</v>
      </c>
      <c r="BY47">
        <v>11</v>
      </c>
      <c r="BZ47">
        <v>7.73</v>
      </c>
      <c r="CA47">
        <v>20.38</v>
      </c>
      <c r="CB47">
        <v>-5.81</v>
      </c>
      <c r="CC47">
        <v>-13.09</v>
      </c>
      <c r="CD47" t="s">
        <v>1959</v>
      </c>
      <c r="CE47" t="s">
        <v>1960</v>
      </c>
      <c r="CF47" s="9">
        <v>-0.99537856865201058</v>
      </c>
      <c r="CG47" s="10">
        <v>-0.99159226236429432</v>
      </c>
      <c r="CH47" s="9">
        <v>358.64242553710937</v>
      </c>
      <c r="CI47" s="9">
        <v>6.1093248426914215E-2</v>
      </c>
      <c r="CJ47" s="9">
        <v>0.27459016442298889</v>
      </c>
      <c r="CK47" s="9">
        <v>-7.5757578015327454E-2</v>
      </c>
      <c r="CL47" s="9">
        <v>0.74834436178207397</v>
      </c>
      <c r="CM47" s="10">
        <v>293.46685791015625</v>
      </c>
      <c r="CN47" s="10">
        <v>-0.60138076543807983</v>
      </c>
      <c r="CO47" s="10">
        <v>-9.9870050325989723E-3</v>
      </c>
      <c r="CP47" s="10">
        <v>-0.46647334098815918</v>
      </c>
      <c r="CQ47" s="10">
        <v>1.6690095663070679</v>
      </c>
      <c r="CR47">
        <v>3.3128163633922636</v>
      </c>
      <c r="CS47">
        <v>4.6056026064870563E-4</v>
      </c>
      <c r="CT47">
        <v>0.46772684752104771</v>
      </c>
      <c r="CU47" s="9">
        <v>71.930139146745205</v>
      </c>
      <c r="CV47" s="10">
        <v>58.811605273000893</v>
      </c>
      <c r="CW47">
        <v>0.06</v>
      </c>
      <c r="CX47">
        <v>6.3144192158525849E-3</v>
      </c>
      <c r="CY47">
        <v>511887014388.47577</v>
      </c>
      <c r="CZ47">
        <v>71.930139146745205</v>
      </c>
      <c r="DA47">
        <v>1.5287305172846345E-6</v>
      </c>
      <c r="DB47">
        <v>2114348581031292</v>
      </c>
      <c r="DC47">
        <v>68.333632189407936</v>
      </c>
      <c r="DD47">
        <v>8.577180352747584E-12</v>
      </c>
      <c r="DE47">
        <v>3.7684519469904652E+20</v>
      </c>
      <c r="DF47">
        <v>63.298522449135781</v>
      </c>
      <c r="DG47">
        <v>1.6151976183474696E-18</v>
      </c>
      <c r="DH47">
        <v>2.0011602068278048E+27</v>
      </c>
      <c r="DI47">
        <v>57.544111317396165</v>
      </c>
      <c r="DJ47">
        <v>8.3945746173717283E-35</v>
      </c>
      <c r="DK47">
        <v>3.8504264329381786E+43</v>
      </c>
      <c r="DL47">
        <v>50.351097402721642</v>
      </c>
      <c r="DM47">
        <v>7440000000.000001</v>
      </c>
      <c r="DN47">
        <v>71.930139146745205</v>
      </c>
      <c r="DO47">
        <v>3232269200</v>
      </c>
      <c r="DP47">
        <v>1110579510</v>
      </c>
      <c r="DQ47">
        <v>4735</v>
      </c>
      <c r="DR47">
        <v>-72.92551771539722</v>
      </c>
      <c r="DS47">
        <v>-59.803197535365186</v>
      </c>
      <c r="DT47" s="11">
        <v>0.19333333333333327</v>
      </c>
      <c r="DU47">
        <v>-0.35666666666666669</v>
      </c>
      <c r="DV47">
        <v>-0.16333333333333341</v>
      </c>
      <c r="DW47">
        <v>-8.4438502673796787</v>
      </c>
      <c r="DX47">
        <v>0.5148099778612778</v>
      </c>
      <c r="DY47">
        <v>-8.08202795808816</v>
      </c>
      <c r="DZ47">
        <v>157</v>
      </c>
      <c r="EA47">
        <v>-8.0795077253249818</v>
      </c>
      <c r="EB47">
        <v>8</v>
      </c>
      <c r="EC47">
        <v>4.0043176599780371E-2</v>
      </c>
      <c r="ED47">
        <v>0.21667215733253473</v>
      </c>
      <c r="EE47" s="12">
        <v>7.7909999999999993E-2</v>
      </c>
      <c r="EF47">
        <v>0.10920999999999999</v>
      </c>
      <c r="EG47">
        <v>33.184809977861278</v>
      </c>
      <c r="EH47">
        <v>-1</v>
      </c>
      <c r="EI47">
        <v>0</v>
      </c>
      <c r="EJ47">
        <v>1</v>
      </c>
      <c r="EK47" s="14">
        <v>45470</v>
      </c>
      <c r="EL47" s="15">
        <v>-0.61</v>
      </c>
      <c r="EM47" s="15">
        <v>-2.71</v>
      </c>
      <c r="EN47" s="15">
        <v>-4.3</v>
      </c>
      <c r="EO47" s="15">
        <v>-2.65</v>
      </c>
      <c r="EP47" s="15">
        <v>-3.13</v>
      </c>
    </row>
    <row r="48" spans="1:146" ht="168" x14ac:dyDescent="0.25">
      <c r="A48" s="7"/>
      <c r="B48" s="7"/>
      <c r="C48" s="7" t="str">
        <f>"公司是一家聚焦基因治疗领域的生物科技公司，专注于为基因治疗的基础研究提供基因治疗载体研制、基因功能研究等CRO服务，以及为基因药物的研发提供IND-CMC药学研究、临床样品GMP生产等CDMO服务。"&amp;CHAR(10)&amp;Basic_Fundamental_Information_Constructure(F48)&amp;CHAR(10)&amp;Basic_Fundamental_Information_Concatenate("(国外占比1%）
基因治疗CDMO服务 1.93亿 75.61% 69.43% 47.14%
基因治疗CRO服务 5520.99万 21.66% 26.94% 63.86%
生物制剂、试剂及其他 657.48万 2.58% 3.53% 70.34%")</f>
        <v>公司是一家聚焦基因治疗领域的生物科技公司，专注于为基因治疗的基础研究提供基因治疗载体研制、基因功能研究等CRO服务，以及为基因药物的研发提供IND-CMC药学研究、临床样品GMP生产等CDMO服务。
市值29.522949亿, 利润1.86亿; PE; 平均PE58.06; 平均PEG.33, PB1.46; ROIC2.9%; ROE1.6533%; 股利率0%; 毛利29.7333%; 净利-9.2433%; 上一年度营收增623.02%, 利润增373.81%; 当季营收增-89.36%, 利润增-183.44%; 过往5年营收增177.01%, 利润增129.84%
Income profile:
(国外占比1%）
基因治疗CDMO服务 1.93亿 75.61% 69.43% 47.14%
基因治疗CRO服务 5520.99万 21.66% 26.94% 63.86%
生物制剂、试剂及其他 657.48万 2.58% 3.53% 70.34%</v>
      </c>
      <c r="D48" t="s">
        <v>440</v>
      </c>
      <c r="E48" t="s">
        <v>441</v>
      </c>
      <c r="F48">
        <v>4.5599999999999996</v>
      </c>
      <c r="G48">
        <v>3.4</v>
      </c>
      <c r="H48" t="s">
        <v>1961</v>
      </c>
      <c r="I48">
        <v>2952294900</v>
      </c>
      <c r="K48">
        <v>1.46</v>
      </c>
      <c r="L48" t="s">
        <v>290</v>
      </c>
      <c r="M48" t="s">
        <v>1962</v>
      </c>
      <c r="N48" t="s">
        <v>772</v>
      </c>
      <c r="O48" t="s">
        <v>1963</v>
      </c>
      <c r="P48">
        <v>93.48</v>
      </c>
      <c r="Q48" t="s">
        <v>1964</v>
      </c>
      <c r="R48">
        <v>-42170292</v>
      </c>
      <c r="S48" s="3">
        <v>-0.32850000000000001</v>
      </c>
      <c r="T48" t="s">
        <v>97</v>
      </c>
      <c r="U48">
        <v>466743110</v>
      </c>
      <c r="V48">
        <v>647433100</v>
      </c>
      <c r="W48">
        <v>1.27</v>
      </c>
      <c r="X48">
        <v>0.02</v>
      </c>
      <c r="Y48">
        <v>-71</v>
      </c>
      <c r="Z48" t="s">
        <v>547</v>
      </c>
      <c r="AA48" t="s">
        <v>1965</v>
      </c>
      <c r="AB48" t="s">
        <v>1966</v>
      </c>
      <c r="AC48" t="s">
        <v>1967</v>
      </c>
      <c r="AD48" t="s">
        <v>14</v>
      </c>
      <c r="AE48">
        <v>-557966</v>
      </c>
      <c r="AF48" t="s">
        <v>1968</v>
      </c>
      <c r="AG48" t="s">
        <v>1969</v>
      </c>
      <c r="AH48" t="s">
        <v>1970</v>
      </c>
      <c r="AI48" t="s">
        <v>222</v>
      </c>
      <c r="AJ48" t="s">
        <v>1971</v>
      </c>
      <c r="AK48" t="s">
        <v>14</v>
      </c>
      <c r="AL48" t="s">
        <v>1972</v>
      </c>
      <c r="AM48" t="s">
        <v>14</v>
      </c>
      <c r="AN48" t="s">
        <v>61</v>
      </c>
      <c r="AO48" t="s">
        <v>1973</v>
      </c>
      <c r="AP48" t="s">
        <v>14</v>
      </c>
      <c r="AQ48" t="s">
        <v>83</v>
      </c>
      <c r="AR48" t="s">
        <v>14</v>
      </c>
      <c r="AS48" t="s">
        <v>463</v>
      </c>
      <c r="AT48" t="s">
        <v>48</v>
      </c>
      <c r="AU48" t="s">
        <v>1974</v>
      </c>
      <c r="AV48" t="s">
        <v>1975</v>
      </c>
      <c r="AW48" t="s">
        <v>1976</v>
      </c>
      <c r="AX48" t="s">
        <v>125</v>
      </c>
      <c r="AY48" t="s">
        <v>99</v>
      </c>
      <c r="AZ48" t="s">
        <v>48</v>
      </c>
      <c r="BA48" t="s">
        <v>443</v>
      </c>
      <c r="BB48" t="s">
        <v>444</v>
      </c>
      <c r="BC48" t="s">
        <v>1977</v>
      </c>
      <c r="BD48" t="s">
        <v>442</v>
      </c>
      <c r="BE48" t="s">
        <v>445</v>
      </c>
      <c r="BF48" t="s">
        <v>446</v>
      </c>
      <c r="BG48" t="s">
        <v>447</v>
      </c>
      <c r="BH48" t="s">
        <v>598</v>
      </c>
      <c r="BI48" t="s">
        <v>1978</v>
      </c>
      <c r="BJ48" t="s">
        <v>125</v>
      </c>
      <c r="BK48" t="s">
        <v>875</v>
      </c>
      <c r="BL48" t="s">
        <v>1979</v>
      </c>
      <c r="BM48" t="s">
        <v>1977</v>
      </c>
      <c r="BN48" t="s">
        <v>14</v>
      </c>
      <c r="BO48">
        <v>0.81</v>
      </c>
      <c r="BP48">
        <v>4.99</v>
      </c>
      <c r="BQ48">
        <v>-3.32</v>
      </c>
      <c r="BR48">
        <v>2.12</v>
      </c>
      <c r="BS48">
        <v>6.16</v>
      </c>
      <c r="BT48" t="s">
        <v>546</v>
      </c>
      <c r="BU48" t="s">
        <v>501</v>
      </c>
      <c r="BV48">
        <v>-6.55</v>
      </c>
      <c r="BW48">
        <v>44.41</v>
      </c>
      <c r="BX48">
        <v>51.34</v>
      </c>
      <c r="BY48">
        <v>-62.41</v>
      </c>
      <c r="BZ48">
        <v>13.4</v>
      </c>
      <c r="CA48">
        <v>21.28</v>
      </c>
      <c r="CB48">
        <v>-1.51</v>
      </c>
      <c r="CC48">
        <v>-17.39</v>
      </c>
      <c r="CD48" t="s">
        <v>1980</v>
      </c>
      <c r="CE48" t="s">
        <v>1425</v>
      </c>
      <c r="CF48" s="9">
        <v>-0.8936176785714286</v>
      </c>
      <c r="CG48" s="10">
        <v>-1.8343613628269557</v>
      </c>
      <c r="CH48" s="9">
        <v>6.2302403450012207</v>
      </c>
      <c r="CI48" s="9">
        <v>0.14117647707462311</v>
      </c>
      <c r="CJ48" s="9">
        <v>0.78321677446365356</v>
      </c>
      <c r="CK48" s="9">
        <v>1.2729259729385376</v>
      </c>
      <c r="CL48" s="9">
        <v>0.42309266328811646</v>
      </c>
      <c r="CM48" s="10">
        <v>3.7380690574645996</v>
      </c>
      <c r="CN48" s="10">
        <v>-0.27647525072097778</v>
      </c>
      <c r="CO48" s="10">
        <v>-0.42547962069511414</v>
      </c>
      <c r="CP48" s="10">
        <v>3.5857272148132324</v>
      </c>
      <c r="CQ48" s="10">
        <v>-0.12983936071395874</v>
      </c>
      <c r="CR48">
        <v>58.058192673507406</v>
      </c>
      <c r="CS48">
        <v>0.32798821570781628</v>
      </c>
      <c r="CT48">
        <v>0</v>
      </c>
      <c r="CU48" s="9">
        <v>1.7701304465532304</v>
      </c>
      <c r="CV48" s="10">
        <v>1.2984004080295564</v>
      </c>
      <c r="CW48">
        <v>0.06</v>
      </c>
      <c r="CX48">
        <v>3.0453761574840175</v>
      </c>
      <c r="CY48">
        <v>486079493.45179325</v>
      </c>
      <c r="CZ48">
        <v>1.7701304465532304</v>
      </c>
      <c r="DA48">
        <v>0.3168098718954272</v>
      </c>
      <c r="DB48">
        <v>4672502441.7440386</v>
      </c>
      <c r="DC48">
        <v>1.6816239242255688</v>
      </c>
      <c r="DD48">
        <v>2.373235423148445E-2</v>
      </c>
      <c r="DE48">
        <v>62374549341.42907</v>
      </c>
      <c r="DF48">
        <v>1.5577147929668427</v>
      </c>
      <c r="DG48">
        <v>1.1804000959548847E-3</v>
      </c>
      <c r="DH48">
        <v>1254061995651.1567</v>
      </c>
      <c r="DI48">
        <v>1.4161043572425844</v>
      </c>
      <c r="DJ48">
        <v>1.3396528690587511E-6</v>
      </c>
      <c r="DK48">
        <v>1104983935905772.7</v>
      </c>
      <c r="DL48">
        <v>1.2390913125872611</v>
      </c>
      <c r="DM48">
        <v>186000000</v>
      </c>
      <c r="DN48">
        <v>1.7701304465532304</v>
      </c>
      <c r="DO48">
        <v>1480294899.9999998</v>
      </c>
      <c r="DP48">
        <v>534070590</v>
      </c>
      <c r="DQ48">
        <v>4750</v>
      </c>
      <c r="DR48">
        <v>-2.6637481251246591</v>
      </c>
      <c r="DS48">
        <v>-3.1327617708565123</v>
      </c>
      <c r="DT48" s="11">
        <v>0.46</v>
      </c>
      <c r="DU48">
        <v>-0.87666666666666682</v>
      </c>
      <c r="DV48">
        <v>-0.4166666666666668</v>
      </c>
      <c r="DW48">
        <v>-3.0157202380952381</v>
      </c>
      <c r="DX48">
        <v>0.49052841530054792</v>
      </c>
      <c r="DY48">
        <v>-3.0018947353857661</v>
      </c>
      <c r="DZ48">
        <v>238</v>
      </c>
      <c r="EA48">
        <v>-3.001806487436292</v>
      </c>
      <c r="EB48">
        <v>3</v>
      </c>
      <c r="EC48">
        <v>3.4067921457830934E-2</v>
      </c>
      <c r="ED48">
        <v>0.28265468663866583</v>
      </c>
      <c r="EE48" s="12">
        <v>3.0999999999999986E-3</v>
      </c>
      <c r="EF48">
        <v>2.2609999999999998E-2</v>
      </c>
      <c r="EG48">
        <v>37.120528415300548</v>
      </c>
      <c r="EH48">
        <v>-1</v>
      </c>
      <c r="EI48">
        <v>0</v>
      </c>
      <c r="EJ48">
        <v>1</v>
      </c>
      <c r="EK48" s="14">
        <v>45470</v>
      </c>
      <c r="EL48" s="15">
        <v>0.06</v>
      </c>
      <c r="EM48" s="15">
        <v>-3.15</v>
      </c>
      <c r="EN48">
        <v>-1.68</v>
      </c>
      <c r="EO48">
        <v>4.0599999999999996</v>
      </c>
      <c r="EP48">
        <v>-2.57</v>
      </c>
    </row>
    <row r="49" spans="1:146" ht="156" x14ac:dyDescent="0.25">
      <c r="A49" s="7"/>
      <c r="B49" s="7"/>
      <c r="C49" s="7" t="str">
        <f>"公司主营业务为基因修饰模式生物的研发、生产和技术服务。公司的主要产品和服务包括基因修饰动物模型产品、基因修饰动物模型技术服务。"&amp;CHAR(10)&amp;Basic_Fundamental_Information_Constructure(F49)&amp;CHAR(10)&amp;Basic_Fundamental_Information_Concatenate("基因修饰动物模型产品 2.08亿 75.52% 72.51% 58.44%
基因修饰动物模型技术服务 6312.92万 22.93% 26.81% 71.15%
其他模式生物技术服务 263.23万 0.96% 0.07% 4.59%")</f>
        <v>公司主营业务为基因修饰模式生物的研发、生产和技术服务。公司的主要产品和服务包括基因修饰动物模型产品、基因修饰动物模型技术服务。
市值17.245529亿, 利润-2.79亿; PE; 平均PE-73.58; 平均PEG-2.78, PB1.01; ROIC5.97%; ROE6.73%; 股利率.5895%; 毛利48.3267%; 净利4.9033%; 上一年度营收增27.39%, 利润增-5067.05%; 当季营收增-23.21%, 利润增77.46%; 过往5年营收增26.49%, 利润增-998.77%
Income profile:
基因修饰动物模型产品 2.08亿 75.52% 72.51% 58.44%
基因修饰动物模型技术服务 6312.92万 22.93% 26.81% 71.15%
其他模式生物技术服务 263.23万 0.96% 0.07% 4.59%</v>
      </c>
      <c r="D49" t="s">
        <v>448</v>
      </c>
      <c r="E49" t="s">
        <v>449</v>
      </c>
      <c r="F49">
        <v>22.12</v>
      </c>
      <c r="G49">
        <v>2.41</v>
      </c>
      <c r="H49" t="s">
        <v>1981</v>
      </c>
      <c r="I49">
        <v>1724552900</v>
      </c>
      <c r="K49">
        <v>1.01</v>
      </c>
      <c r="L49" t="s">
        <v>290</v>
      </c>
      <c r="M49" t="s">
        <v>814</v>
      </c>
      <c r="N49" t="s">
        <v>1982</v>
      </c>
      <c r="O49" t="s">
        <v>1983</v>
      </c>
      <c r="P49">
        <v>-5.01</v>
      </c>
      <c r="Q49" t="s">
        <v>622</v>
      </c>
      <c r="R49">
        <v>-12897061</v>
      </c>
      <c r="S49" s="3">
        <v>9.3799999999999994E-2</v>
      </c>
      <c r="T49" t="s">
        <v>1984</v>
      </c>
      <c r="U49">
        <v>49388513</v>
      </c>
      <c r="V49">
        <v>77963513</v>
      </c>
      <c r="W49">
        <v>1.1399999999999999</v>
      </c>
      <c r="X49">
        <v>0.04</v>
      </c>
      <c r="Y49">
        <v>-15.55</v>
      </c>
      <c r="Z49" t="s">
        <v>1985</v>
      </c>
      <c r="AA49" t="s">
        <v>1986</v>
      </c>
      <c r="AB49" t="s">
        <v>1987</v>
      </c>
      <c r="AC49" t="s">
        <v>1988</v>
      </c>
      <c r="AD49" t="s">
        <v>14</v>
      </c>
      <c r="AE49">
        <v>915214</v>
      </c>
      <c r="AF49" t="s">
        <v>1989</v>
      </c>
      <c r="AG49" t="s">
        <v>1990</v>
      </c>
      <c r="AH49" t="s">
        <v>1991</v>
      </c>
      <c r="AI49" t="s">
        <v>76</v>
      </c>
      <c r="AJ49" t="s">
        <v>1992</v>
      </c>
      <c r="AK49" t="s">
        <v>14</v>
      </c>
      <c r="AL49" t="s">
        <v>1993</v>
      </c>
      <c r="AM49" t="s">
        <v>14</v>
      </c>
      <c r="AN49" t="s">
        <v>1994</v>
      </c>
      <c r="AO49" t="s">
        <v>14</v>
      </c>
      <c r="AP49" t="s">
        <v>14</v>
      </c>
      <c r="AQ49" t="s">
        <v>1995</v>
      </c>
      <c r="AR49" t="s">
        <v>14</v>
      </c>
      <c r="AS49" t="s">
        <v>800</v>
      </c>
      <c r="AT49" t="s">
        <v>14</v>
      </c>
      <c r="AU49" t="s">
        <v>1996</v>
      </c>
      <c r="AV49" t="s">
        <v>1997</v>
      </c>
      <c r="AW49" t="s">
        <v>1998</v>
      </c>
      <c r="AX49" t="s">
        <v>568</v>
      </c>
      <c r="AY49" t="s">
        <v>152</v>
      </c>
      <c r="AZ49" t="s">
        <v>123</v>
      </c>
      <c r="BA49" t="s">
        <v>93</v>
      </c>
      <c r="BB49" t="s">
        <v>114</v>
      </c>
      <c r="BC49" t="s">
        <v>678</v>
      </c>
      <c r="BD49" t="s">
        <v>450</v>
      </c>
      <c r="BE49" t="s">
        <v>451</v>
      </c>
      <c r="BF49" t="s">
        <v>452</v>
      </c>
      <c r="BG49" t="s">
        <v>453</v>
      </c>
      <c r="BH49" t="s">
        <v>802</v>
      </c>
      <c r="BI49" t="s">
        <v>76</v>
      </c>
      <c r="BJ49" t="s">
        <v>568</v>
      </c>
      <c r="BK49" t="s">
        <v>1999</v>
      </c>
      <c r="BL49" t="s">
        <v>2000</v>
      </c>
      <c r="BM49" t="s">
        <v>678</v>
      </c>
      <c r="BN49" t="s">
        <v>14</v>
      </c>
      <c r="BO49" t="s">
        <v>14</v>
      </c>
      <c r="BP49">
        <v>5.97</v>
      </c>
      <c r="BQ49">
        <v>-0.83</v>
      </c>
      <c r="BR49">
        <v>-0.31</v>
      </c>
      <c r="BS49">
        <v>21.33</v>
      </c>
      <c r="BT49" t="s">
        <v>2001</v>
      </c>
      <c r="BU49" t="s">
        <v>501</v>
      </c>
      <c r="BV49">
        <v>42.38</v>
      </c>
      <c r="BW49">
        <v>41.74</v>
      </c>
      <c r="BX49">
        <v>60.86</v>
      </c>
      <c r="BY49">
        <v>-5.62</v>
      </c>
      <c r="BZ49">
        <v>-1.78</v>
      </c>
      <c r="CA49">
        <v>22.11</v>
      </c>
      <c r="CB49">
        <v>6.14</v>
      </c>
      <c r="CC49">
        <v>-16.21</v>
      </c>
      <c r="CD49" t="s">
        <v>2002</v>
      </c>
      <c r="CE49" t="s">
        <v>2003</v>
      </c>
      <c r="CF49" s="9">
        <v>-0.23210833333333333</v>
      </c>
      <c r="CG49" s="10">
        <v>0.77463564783426175</v>
      </c>
      <c r="CH49" s="9">
        <v>0.27392739057540894</v>
      </c>
      <c r="CI49" s="9">
        <v>0.10181818157434464</v>
      </c>
      <c r="CJ49" s="9">
        <v>0.40306121110916138</v>
      </c>
      <c r="CK49" s="9">
        <v>0.26451611518859863</v>
      </c>
      <c r="CL49" s="9">
        <v>0.28099173307418823</v>
      </c>
      <c r="CM49" s="10">
        <v>-50.670490264892578</v>
      </c>
      <c r="CN49" s="10">
        <v>-1.0887203216552734</v>
      </c>
      <c r="CO49" s="10">
        <v>0.36594480276107788</v>
      </c>
      <c r="CP49" s="10">
        <v>0.91639101505279541</v>
      </c>
      <c r="CQ49" s="10">
        <v>0.53858727216720581</v>
      </c>
      <c r="CR49">
        <v>-73.58265047286443</v>
      </c>
      <c r="CS49">
        <v>-2.7781408104022223</v>
      </c>
      <c r="CT49">
        <v>0.58951175406871614</v>
      </c>
      <c r="CU49" s="9">
        <v>0.26486292630434038</v>
      </c>
      <c r="CV49" s="10">
        <v>-9.9876574993133538</v>
      </c>
      <c r="CW49">
        <v>0.06</v>
      </c>
      <c r="CX49" t="e">
        <v>#VALUE!</v>
      </c>
      <c r="CY49" t="s">
        <v>464</v>
      </c>
      <c r="CZ49">
        <v>0.26486292630434038</v>
      </c>
      <c r="DA49" t="e">
        <v>#VALUE!</v>
      </c>
      <c r="DB49" t="s">
        <v>465</v>
      </c>
      <c r="DC49">
        <v>0.25161977998912333</v>
      </c>
      <c r="DD49" t="e">
        <v>#VALUE!</v>
      </c>
      <c r="DE49" t="s">
        <v>465</v>
      </c>
      <c r="DF49">
        <v>0.23307937514781954</v>
      </c>
      <c r="DG49" t="e">
        <v>#VALUE!</v>
      </c>
      <c r="DH49" t="s">
        <v>465</v>
      </c>
      <c r="DI49">
        <v>0.21189034104347232</v>
      </c>
      <c r="DJ49" t="e">
        <v>#VALUE!</v>
      </c>
      <c r="DK49" t="s">
        <v>465</v>
      </c>
      <c r="DL49">
        <v>0.18540404841303826</v>
      </c>
      <c r="DM49">
        <v>-279000000</v>
      </c>
      <c r="DN49">
        <v>0.26486292630434038</v>
      </c>
      <c r="DO49">
        <v>276552900</v>
      </c>
      <c r="DP49">
        <v>967690540</v>
      </c>
      <c r="DQ49">
        <v>4768</v>
      </c>
      <c r="DR49">
        <v>-0.49697125963767375</v>
      </c>
      <c r="DS49">
        <v>10.762293147147616</v>
      </c>
      <c r="DT49" s="11">
        <v>7.6666666666666591E-2</v>
      </c>
      <c r="DU49">
        <v>-1.8983333333333334</v>
      </c>
      <c r="DV49">
        <v>-1.8216666666666668</v>
      </c>
      <c r="DW49">
        <v>7.2747203579418347</v>
      </c>
      <c r="DX49">
        <v>0.46610451155522298</v>
      </c>
      <c r="DY49">
        <v>7.0785987338232248</v>
      </c>
      <c r="DZ49">
        <v>4190</v>
      </c>
      <c r="EA49">
        <v>7.0141508483595629</v>
      </c>
      <c r="EB49">
        <v>7</v>
      </c>
      <c r="EC49">
        <v>2.8884024248625122E-2</v>
      </c>
      <c r="ED49">
        <v>0.10095619985723321</v>
      </c>
      <c r="EE49" s="12">
        <v>-1.06101</v>
      </c>
      <c r="EF49">
        <v>-1.06891</v>
      </c>
      <c r="EG49">
        <v>18.286104511555223</v>
      </c>
      <c r="EH49" t="s">
        <v>587</v>
      </c>
      <c r="EI49">
        <v>1</v>
      </c>
      <c r="EJ49">
        <v>0</v>
      </c>
      <c r="EK49" s="14">
        <v>45470</v>
      </c>
      <c r="EL49" s="15">
        <v>-1.39</v>
      </c>
      <c r="EM49" s="15">
        <v>-2.14</v>
      </c>
      <c r="EN49">
        <v>-0.69</v>
      </c>
      <c r="EO49">
        <v>2.54</v>
      </c>
      <c r="EP49">
        <v>-0.79</v>
      </c>
    </row>
    <row r="50" spans="1:146" ht="151" customHeight="1" x14ac:dyDescent="0.25">
      <c r="A50" s="7"/>
      <c r="B50" s="7"/>
      <c r="C50" s="7" t="str">
        <f>"公司是一家专门从事细胞培养产品与服务的高新技术企业。公司以细胞培养技术和工艺开发为基础，主营业务涉及细胞培养基系列产品和生物药委托开发生产服务两大应用领域。"&amp;CHAR(10)&amp;Basic_Fundamental_Information_Constructure(F50)&amp;CHAR(10)&amp;Basic_Fundamental_Information_Concatenate("(境外占比1%）
培养基业务 1.28亿 60.09% 73.97% 73.72%
CDMO业务 8488.47万 39.91% 26.03% 39.05%")</f>
        <v>公司是一家专门从事细胞培养产品与服务的高新技术企业。公司以细胞培养技术和工艺开发为基础，主营业务涉及细胞培养基系列产品和生物药委托开发生产服务两大应用领域。
市值34.282534亿, 利润3.18亿; PE69.36; 平均PE46.71; 平均PEG.24, PB1.59; ROIC6.17%; ROE7.6033%; 股利率.7713%; 毛利60.9%; 净利28.7033%; 上一年度营收增668.37%, 利润增202.86%; 当季营收增-85.97%, 利润增-85.05%; 过往5年营收增192.66%, 利润增191.99%
Income profile:
(境外占比1%）
培养基业务 1.28亿 60.09% 73.97% 73.72%
CDMO业务 8488.47万 39.91% 26.03% 39.05%</v>
      </c>
      <c r="D50" t="s">
        <v>520</v>
      </c>
      <c r="E50" t="s">
        <v>536</v>
      </c>
      <c r="F50">
        <v>29.87</v>
      </c>
      <c r="G50">
        <v>0.91</v>
      </c>
      <c r="H50" t="s">
        <v>2004</v>
      </c>
      <c r="I50">
        <v>3428253400</v>
      </c>
      <c r="J50">
        <v>69.36</v>
      </c>
      <c r="K50">
        <v>1.59</v>
      </c>
      <c r="L50" t="s">
        <v>290</v>
      </c>
      <c r="M50" t="s">
        <v>1252</v>
      </c>
      <c r="N50" t="s">
        <v>2005</v>
      </c>
      <c r="O50" t="s">
        <v>2006</v>
      </c>
      <c r="P50">
        <v>17.36</v>
      </c>
      <c r="Q50" t="s">
        <v>2007</v>
      </c>
      <c r="R50">
        <v>19578570</v>
      </c>
      <c r="S50" s="3">
        <v>-0.19070000000000001</v>
      </c>
      <c r="T50" t="s">
        <v>851</v>
      </c>
      <c r="U50">
        <v>77585633</v>
      </c>
      <c r="V50">
        <v>114772460</v>
      </c>
      <c r="W50">
        <v>1.07</v>
      </c>
      <c r="X50">
        <v>0.03</v>
      </c>
      <c r="Y50">
        <v>24.34</v>
      </c>
      <c r="Z50" t="s">
        <v>2008</v>
      </c>
      <c r="AA50" t="s">
        <v>2009</v>
      </c>
      <c r="AB50" t="s">
        <v>2010</v>
      </c>
      <c r="AC50" t="s">
        <v>2011</v>
      </c>
      <c r="AD50" t="s">
        <v>14</v>
      </c>
      <c r="AE50">
        <v>-3176898</v>
      </c>
      <c r="AF50" t="s">
        <v>2012</v>
      </c>
      <c r="AG50">
        <v>0.72</v>
      </c>
      <c r="AH50" t="s">
        <v>2013</v>
      </c>
      <c r="AI50" t="s">
        <v>2014</v>
      </c>
      <c r="AJ50" t="s">
        <v>2015</v>
      </c>
      <c r="AK50" t="s">
        <v>2016</v>
      </c>
      <c r="AL50" t="s">
        <v>2017</v>
      </c>
      <c r="AM50" t="s">
        <v>14</v>
      </c>
      <c r="AN50" t="s">
        <v>2018</v>
      </c>
      <c r="AO50" t="s">
        <v>14</v>
      </c>
      <c r="AP50" t="s">
        <v>14</v>
      </c>
      <c r="AQ50" t="s">
        <v>2019</v>
      </c>
      <c r="AR50" t="s">
        <v>14</v>
      </c>
      <c r="AS50" t="s">
        <v>2020</v>
      </c>
      <c r="AT50" t="s">
        <v>14</v>
      </c>
      <c r="AU50" t="s">
        <v>2021</v>
      </c>
      <c r="AV50" t="s">
        <v>2022</v>
      </c>
      <c r="AW50" t="s">
        <v>2023</v>
      </c>
      <c r="AX50" t="s">
        <v>323</v>
      </c>
      <c r="AY50" t="s">
        <v>474</v>
      </c>
      <c r="AZ50" t="s">
        <v>62</v>
      </c>
      <c r="BA50" t="s">
        <v>522</v>
      </c>
      <c r="BB50" t="s">
        <v>523</v>
      </c>
      <c r="BC50" t="s">
        <v>581</v>
      </c>
      <c r="BD50" t="s">
        <v>521</v>
      </c>
      <c r="BE50" t="s">
        <v>524</v>
      </c>
      <c r="BF50" t="s">
        <v>525</v>
      </c>
      <c r="BG50" t="s">
        <v>526</v>
      </c>
      <c r="BH50" t="s">
        <v>929</v>
      </c>
      <c r="BI50" t="s">
        <v>1256</v>
      </c>
      <c r="BJ50" t="s">
        <v>323</v>
      </c>
      <c r="BK50" t="s">
        <v>2024</v>
      </c>
      <c r="BL50" t="s">
        <v>94</v>
      </c>
      <c r="BM50" t="s">
        <v>581</v>
      </c>
      <c r="BN50">
        <v>1.23</v>
      </c>
      <c r="BO50">
        <v>6.84</v>
      </c>
      <c r="BP50">
        <v>10.44</v>
      </c>
      <c r="BQ50">
        <v>1.98</v>
      </c>
      <c r="BR50">
        <v>9.39</v>
      </c>
      <c r="BS50">
        <v>11.44</v>
      </c>
      <c r="BT50" t="s">
        <v>2025</v>
      </c>
      <c r="BU50" t="s">
        <v>501</v>
      </c>
      <c r="BV50">
        <v>58.85</v>
      </c>
      <c r="BW50">
        <v>63.97</v>
      </c>
      <c r="BX50">
        <v>59.88</v>
      </c>
      <c r="BY50">
        <v>21.91</v>
      </c>
      <c r="BZ50">
        <v>35.799999999999997</v>
      </c>
      <c r="CA50">
        <v>28.4</v>
      </c>
      <c r="CB50">
        <v>-4.4800000000000004</v>
      </c>
      <c r="CC50">
        <v>-18.100000000000001</v>
      </c>
      <c r="CD50" t="s">
        <v>2026</v>
      </c>
      <c r="CE50" t="s">
        <v>2027</v>
      </c>
      <c r="CF50" s="9">
        <v>-0.85967112676056334</v>
      </c>
      <c r="CG50" s="10">
        <v>-0.85054526717557255</v>
      </c>
      <c r="CH50" s="9">
        <v>6.6836738586425781</v>
      </c>
      <c r="CI50" s="9">
        <v>0.38028168678283691</v>
      </c>
      <c r="CJ50" s="9">
        <v>0.70399999618530273</v>
      </c>
      <c r="CK50" s="9">
        <v>1.1359816789627075</v>
      </c>
      <c r="CL50" s="9">
        <v>0.72915273904800415</v>
      </c>
      <c r="CM50" s="10">
        <v>2.0285713672637939</v>
      </c>
      <c r="CN50" s="10">
        <v>0.73859196901321411</v>
      </c>
      <c r="CO50" s="10">
        <v>4.1686577796936035</v>
      </c>
      <c r="CP50" s="10">
        <v>1.95264732837677</v>
      </c>
      <c r="CQ50" s="10">
        <v>0.71126854419708252</v>
      </c>
      <c r="CR50">
        <v>46.713598766023679</v>
      </c>
      <c r="CS50">
        <v>0.24246425062898239</v>
      </c>
      <c r="CT50">
        <v>0.77134248409775685</v>
      </c>
      <c r="CU50" s="9">
        <v>1.9266179919242858</v>
      </c>
      <c r="CV50" s="10">
        <v>1.9199473977088928</v>
      </c>
      <c r="CW50">
        <v>0.06</v>
      </c>
      <c r="CX50">
        <v>1.6164886157745788</v>
      </c>
      <c r="CY50">
        <v>877985397.57728577</v>
      </c>
      <c r="CZ50">
        <v>1.9266179919242858</v>
      </c>
      <c r="DA50">
        <v>0.15477746498149231</v>
      </c>
      <c r="DB50">
        <v>9169638488.1979351</v>
      </c>
      <c r="DC50">
        <v>1.8302870923280714</v>
      </c>
      <c r="DD50">
        <v>1.0053523091713396E-2</v>
      </c>
      <c r="DE50">
        <v>141169755821.20242</v>
      </c>
      <c r="DF50">
        <v>1.6954238328933715</v>
      </c>
      <c r="DG50">
        <v>4.147604419822207E-4</v>
      </c>
      <c r="DH50">
        <v>3421862975208.3213</v>
      </c>
      <c r="DI50">
        <v>1.5412943935394288</v>
      </c>
      <c r="DJ50">
        <v>3.0113590182359037E-7</v>
      </c>
      <c r="DK50">
        <v>4712999650341986</v>
      </c>
      <c r="DL50">
        <v>1.3486325943470001</v>
      </c>
      <c r="DM50">
        <v>318000000</v>
      </c>
      <c r="DN50">
        <v>1.9266179919242858</v>
      </c>
      <c r="DO50">
        <v>1419253400</v>
      </c>
      <c r="DP50">
        <v>1561663700</v>
      </c>
      <c r="DQ50">
        <v>4794</v>
      </c>
      <c r="DR50">
        <v>-2.7862891186848491</v>
      </c>
      <c r="DS50">
        <v>-2.7704926648844652</v>
      </c>
      <c r="DT50" s="11">
        <v>0.71</v>
      </c>
      <c r="DU50">
        <v>0.8563333333333335</v>
      </c>
      <c r="DV50">
        <v>1.5663333333333336</v>
      </c>
      <c r="DW50">
        <v>-8.2475138121546969</v>
      </c>
      <c r="DX50">
        <v>0.86997244177947608</v>
      </c>
      <c r="DY50">
        <v>-8.0272196982967987</v>
      </c>
      <c r="DZ50">
        <v>65</v>
      </c>
      <c r="EA50">
        <v>-8.0268734594730624</v>
      </c>
      <c r="EB50">
        <v>8</v>
      </c>
      <c r="EC50">
        <v>1.5819997236270793E-2</v>
      </c>
      <c r="ED50">
        <v>0.14385419638125732</v>
      </c>
      <c r="EE50" s="12">
        <v>-3.0834000000000001</v>
      </c>
      <c r="EF50">
        <v>-3.0493000000000001</v>
      </c>
      <c r="EG50">
        <v>76.109972441779476</v>
      </c>
      <c r="EH50" t="s">
        <v>820</v>
      </c>
      <c r="EI50">
        <v>0</v>
      </c>
      <c r="EJ50">
        <v>1</v>
      </c>
      <c r="EK50" s="14">
        <v>45470</v>
      </c>
      <c r="EL50" s="15">
        <v>0.05</v>
      </c>
      <c r="EM50" s="15">
        <v>-3.68</v>
      </c>
      <c r="EN50">
        <v>-0.97</v>
      </c>
      <c r="EO50">
        <v>3.32</v>
      </c>
      <c r="EP50">
        <v>-3.41</v>
      </c>
    </row>
    <row r="51" spans="1:146" ht="96" x14ac:dyDescent="0.25">
      <c r="A51" s="7"/>
      <c r="B51" s="7"/>
      <c r="C51" s="7" t="str">
        <f>""&amp;CHAR(10)&amp;Basic_Fundamental_Information_Constructure(F51)&amp;CHAR(10)&amp;Basic_Fundamental_Information_Concatenate("")</f>
        <v xml:space="preserve">
市值44.82474亿, 利润-1.70亿; PE24.51; 平均PE56.07; 平均PEG24.59, PB1.84; ROIC10.2533%; ROE10.1167%; 股利率.441%; 毛利43.3%; 净利10.2767%; 上一年度营收增-82.55%, 利润增-196.05%; 当季营收增583.28%, 利润增159.1%; 过往5年营收增-2.28%, 利润增49.57%
Income profile:
</v>
      </c>
      <c r="D51" t="s">
        <v>260</v>
      </c>
      <c r="E51" t="s">
        <v>261</v>
      </c>
      <c r="F51">
        <v>10.77</v>
      </c>
      <c r="G51">
        <v>2.4700000000000002</v>
      </c>
      <c r="H51" t="s">
        <v>2028</v>
      </c>
      <c r="I51">
        <v>4482474000</v>
      </c>
      <c r="J51">
        <v>24.51</v>
      </c>
      <c r="K51">
        <v>1.84</v>
      </c>
      <c r="L51" t="s">
        <v>290</v>
      </c>
      <c r="M51" t="s">
        <v>2029</v>
      </c>
      <c r="N51" t="s">
        <v>2030</v>
      </c>
      <c r="O51" t="s">
        <v>472</v>
      </c>
      <c r="P51">
        <v>6.32</v>
      </c>
      <c r="Q51" t="s">
        <v>473</v>
      </c>
      <c r="R51">
        <v>27315352</v>
      </c>
      <c r="S51" s="3">
        <v>0.214</v>
      </c>
      <c r="T51" t="s">
        <v>2031</v>
      </c>
      <c r="U51">
        <v>416200000</v>
      </c>
      <c r="V51">
        <v>416200000</v>
      </c>
      <c r="W51">
        <v>1.41</v>
      </c>
      <c r="X51">
        <v>0.13</v>
      </c>
      <c r="Y51">
        <v>6.14</v>
      </c>
      <c r="Z51" t="s">
        <v>827</v>
      </c>
      <c r="AA51" t="s">
        <v>783</v>
      </c>
      <c r="AB51" t="s">
        <v>2032</v>
      </c>
      <c r="AC51" t="s">
        <v>2033</v>
      </c>
      <c r="AD51" t="s">
        <v>14</v>
      </c>
      <c r="AE51">
        <v>-3874568</v>
      </c>
      <c r="AF51" t="s">
        <v>2034</v>
      </c>
      <c r="AG51">
        <v>38.65</v>
      </c>
      <c r="AH51" t="s">
        <v>2035</v>
      </c>
      <c r="AI51" t="s">
        <v>874</v>
      </c>
      <c r="AJ51" t="s">
        <v>2036</v>
      </c>
      <c r="AK51" t="s">
        <v>2037</v>
      </c>
      <c r="AL51" t="s">
        <v>2038</v>
      </c>
      <c r="AM51" t="s">
        <v>14</v>
      </c>
      <c r="AN51" t="s">
        <v>2039</v>
      </c>
      <c r="AO51" t="s">
        <v>2037</v>
      </c>
      <c r="AP51" t="s">
        <v>14</v>
      </c>
      <c r="AQ51" t="s">
        <v>71</v>
      </c>
      <c r="AR51" t="s">
        <v>14</v>
      </c>
      <c r="AS51" t="s">
        <v>835</v>
      </c>
      <c r="AT51" t="s">
        <v>14</v>
      </c>
      <c r="AU51" t="s">
        <v>2040</v>
      </c>
      <c r="AV51" t="s">
        <v>2041</v>
      </c>
      <c r="AW51" t="s">
        <v>2042</v>
      </c>
      <c r="AX51" t="s">
        <v>680</v>
      </c>
      <c r="AY51" t="s">
        <v>454</v>
      </c>
      <c r="AZ51" t="s">
        <v>262</v>
      </c>
      <c r="BA51" t="s">
        <v>264</v>
      </c>
      <c r="BB51" t="s">
        <v>118</v>
      </c>
      <c r="BC51" t="s">
        <v>64</v>
      </c>
      <c r="BD51" t="s">
        <v>59</v>
      </c>
      <c r="BE51" t="s">
        <v>263</v>
      </c>
      <c r="BF51" t="s">
        <v>73</v>
      </c>
      <c r="BG51" t="s">
        <v>265</v>
      </c>
      <c r="BH51" t="s">
        <v>2043</v>
      </c>
      <c r="BI51" t="s">
        <v>2044</v>
      </c>
      <c r="BJ51" t="s">
        <v>680</v>
      </c>
      <c r="BK51" t="s">
        <v>491</v>
      </c>
      <c r="BL51" t="s">
        <v>2045</v>
      </c>
      <c r="BM51" t="s">
        <v>64</v>
      </c>
      <c r="BN51">
        <v>5.91</v>
      </c>
      <c r="BO51">
        <v>9.56</v>
      </c>
      <c r="BP51">
        <v>15.29</v>
      </c>
      <c r="BQ51">
        <v>6.19</v>
      </c>
      <c r="BR51">
        <v>9.43</v>
      </c>
      <c r="BS51">
        <v>14.73</v>
      </c>
      <c r="BT51" t="s">
        <v>2046</v>
      </c>
      <c r="BU51" t="s">
        <v>456</v>
      </c>
      <c r="BV51">
        <v>42.73</v>
      </c>
      <c r="BW51">
        <v>44.28</v>
      </c>
      <c r="BX51">
        <v>42.89</v>
      </c>
      <c r="BY51">
        <v>9.15</v>
      </c>
      <c r="BZ51">
        <v>9.43</v>
      </c>
      <c r="CA51">
        <v>12.25</v>
      </c>
      <c r="CB51">
        <v>-1.37</v>
      </c>
      <c r="CC51">
        <v>-17.93</v>
      </c>
      <c r="CD51" t="s">
        <v>2047</v>
      </c>
      <c r="CE51" t="s">
        <v>2048</v>
      </c>
      <c r="CF51" s="9">
        <v>5.8327950803875419</v>
      </c>
      <c r="CG51" s="10">
        <v>1.5910494860975875</v>
      </c>
      <c r="CH51" s="9">
        <v>-0.82554519176483154</v>
      </c>
      <c r="CI51" s="9">
        <v>3.2154340296983719E-2</v>
      </c>
      <c r="CJ51" s="9">
        <v>0.25234898924827576</v>
      </c>
      <c r="CK51" s="9">
        <v>-2.9316000640392303E-2</v>
      </c>
      <c r="CL51" s="9">
        <v>0.45635679364204407</v>
      </c>
      <c r="CM51" s="10">
        <v>-1.9604519605636597</v>
      </c>
      <c r="CN51" s="10">
        <v>-0.21333333849906921</v>
      </c>
      <c r="CO51" s="10">
        <v>5.1577868461608887</v>
      </c>
      <c r="CP51" s="10">
        <v>-0.67948156595230103</v>
      </c>
      <c r="CQ51" s="10">
        <v>0.17406556010246277</v>
      </c>
      <c r="CR51">
        <v>56.073260311535208</v>
      </c>
      <c r="CS51">
        <v>24.593304561182492</v>
      </c>
      <c r="CT51">
        <v>0.44103992571959144</v>
      </c>
      <c r="CU51" s="9">
        <v>-2.280021384358406E-2</v>
      </c>
      <c r="CV51" s="10">
        <v>0.49571710824966431</v>
      </c>
      <c r="CW51">
        <v>0.06</v>
      </c>
      <c r="CX51" t="e">
        <v>#VALUE!</v>
      </c>
      <c r="CY51" t="s">
        <v>465</v>
      </c>
      <c r="CZ51">
        <v>-2.280021384358406E-2</v>
      </c>
      <c r="DA51" t="e">
        <v>#VALUE!</v>
      </c>
      <c r="DB51" t="s">
        <v>465</v>
      </c>
      <c r="DC51">
        <v>-2.1660203151404857E-2</v>
      </c>
      <c r="DD51" t="e">
        <v>#VALUE!</v>
      </c>
      <c r="DE51" t="s">
        <v>465</v>
      </c>
      <c r="DF51">
        <v>-2.0064188182353972E-2</v>
      </c>
      <c r="DG51" t="e">
        <v>#VALUE!</v>
      </c>
      <c r="DH51" t="s">
        <v>465</v>
      </c>
      <c r="DI51">
        <v>-1.8240171074867247E-2</v>
      </c>
      <c r="DJ51" t="e">
        <v>#VALUE!</v>
      </c>
      <c r="DK51" t="s">
        <v>465</v>
      </c>
      <c r="DL51">
        <v>-1.5960149690508841E-2</v>
      </c>
      <c r="DM51">
        <v>-170000000</v>
      </c>
      <c r="DN51">
        <v>-2.280021384358406E-2</v>
      </c>
      <c r="DO51">
        <v>3153474000</v>
      </c>
      <c r="DP51">
        <v>1379239000</v>
      </c>
      <c r="DQ51">
        <v>4814</v>
      </c>
      <c r="DR51">
        <v>5.8555952942311258</v>
      </c>
      <c r="DS51">
        <v>1.0953323778479231</v>
      </c>
      <c r="DT51" s="11">
        <v>-0.54</v>
      </c>
      <c r="DU51">
        <v>-0.5033333333333333</v>
      </c>
      <c r="DV51">
        <v>-1.0433333333333334</v>
      </c>
      <c r="DW51">
        <v>-3.0218273809523808</v>
      </c>
      <c r="DX51">
        <v>0.43433788236251231</v>
      </c>
      <c r="DY51">
        <v>-3.0029322441346626</v>
      </c>
      <c r="DZ51">
        <v>4833</v>
      </c>
      <c r="EA51">
        <v>-3.0001589494374366</v>
      </c>
      <c r="EB51">
        <v>3</v>
      </c>
      <c r="EC51">
        <v>2.5392119173474292E-2</v>
      </c>
      <c r="ED51">
        <v>0.18901681883709756</v>
      </c>
      <c r="EE51" s="12">
        <v>3.0566</v>
      </c>
      <c r="EF51">
        <v>3.028</v>
      </c>
      <c r="EG51">
        <v>30.134337882362512</v>
      </c>
      <c r="EH51" t="s">
        <v>888</v>
      </c>
      <c r="EI51">
        <v>0</v>
      </c>
      <c r="EJ51">
        <v>0</v>
      </c>
      <c r="EK51" s="14">
        <v>45470</v>
      </c>
      <c r="EL51" s="15">
        <v>-2.02</v>
      </c>
      <c r="EM51" s="15">
        <v>-5.53</v>
      </c>
      <c r="EN51">
        <v>-2.72</v>
      </c>
      <c r="EO51">
        <v>8.7799999999999994</v>
      </c>
      <c r="EP51">
        <v>-2.86</v>
      </c>
    </row>
    <row r="52" spans="1:146" ht="156" x14ac:dyDescent="0.25">
      <c r="A52" s="7"/>
      <c r="B52" s="7"/>
      <c r="C52" s="7" t="str">
        <f>"公司主营业务是为国内医药企业和科研机构提供全方位的一站式药物研发服务，致力于协助国内医药制造企业加速实现进口替代和自主创新。公司的主要服务是为药学研究服务、临床试验和生物分析服务。"&amp;CHAR(10)&amp;Basic_Fundamental_Information_Constructure(F52)&amp;CHAR(10)&amp;Basic_Fundamental_Information_Concatenate("(境外占比1%）
药学研究服务 2.79亿 56.42% 66.48% 62.75%
临床试验及生物分析服务 2.14亿 43.42% 33.52% 41.12%")</f>
        <v>公司主营业务是为国内医药企业和科研机构提供全方位的一站式药物研发服务，致力于协助国内医药制造企业加速实现进口替代和自主创新。公司的主要服务是为药学研究服务、临床试验和生物分析服务。
市值48.2048亿, 利润-9610.61万; PE23; 平均PE94.37; 平均PEG3.04, PB4.75; ROIC16.39%; ROE19.6333%; 股利率.3834%; 毛利55.1933%; 净利21.6733%; 上一年度营收增-45.94%, 利润增-161.61%; 当季营收增342.76%, 利润增544.66%; 过往5年营收增31.02%, 利润增22.7%
Income profile:
(境外占比1%）
药学研究服务 2.79亿 56.42% 66.48% 62.75%
临床试验及生物分析服务 2.14亿 43.42% 33.52% 41.12%</v>
      </c>
      <c r="D52" t="s">
        <v>267</v>
      </c>
      <c r="E52" t="s">
        <v>268</v>
      </c>
      <c r="F52">
        <v>43.04</v>
      </c>
      <c r="G52">
        <v>7.63</v>
      </c>
      <c r="H52" t="s">
        <v>2049</v>
      </c>
      <c r="I52">
        <v>4820480000</v>
      </c>
      <c r="J52">
        <v>23</v>
      </c>
      <c r="K52">
        <v>4.75</v>
      </c>
      <c r="L52" t="s">
        <v>290</v>
      </c>
      <c r="M52" t="s">
        <v>471</v>
      </c>
      <c r="N52" t="s">
        <v>2050</v>
      </c>
      <c r="O52" t="s">
        <v>785</v>
      </c>
      <c r="P52">
        <v>8.5299999999999994</v>
      </c>
      <c r="Q52" t="s">
        <v>2051</v>
      </c>
      <c r="R52">
        <v>72753830</v>
      </c>
      <c r="S52" s="3">
        <v>0.51770000000000005</v>
      </c>
      <c r="T52" t="s">
        <v>2052</v>
      </c>
      <c r="U52">
        <v>112000000</v>
      </c>
      <c r="V52">
        <v>112000000</v>
      </c>
      <c r="W52">
        <v>1.97</v>
      </c>
      <c r="X52">
        <v>0.13</v>
      </c>
      <c r="Y52">
        <v>27.25</v>
      </c>
      <c r="Z52" t="s">
        <v>103</v>
      </c>
      <c r="AA52" t="s">
        <v>63</v>
      </c>
      <c r="AB52" t="s">
        <v>2053</v>
      </c>
      <c r="AC52" t="s">
        <v>2054</v>
      </c>
      <c r="AD52" t="s">
        <v>14</v>
      </c>
      <c r="AE52">
        <v>1959810</v>
      </c>
      <c r="AF52" t="s">
        <v>2055</v>
      </c>
      <c r="AG52">
        <v>2000.71</v>
      </c>
      <c r="AH52" t="s">
        <v>2056</v>
      </c>
      <c r="AI52" t="s">
        <v>2057</v>
      </c>
      <c r="AJ52" t="s">
        <v>2058</v>
      </c>
      <c r="AK52" t="s">
        <v>2059</v>
      </c>
      <c r="AL52" t="s">
        <v>2060</v>
      </c>
      <c r="AM52" t="s">
        <v>14</v>
      </c>
      <c r="AN52">
        <v>0</v>
      </c>
      <c r="AO52" t="s">
        <v>818</v>
      </c>
      <c r="AP52" t="s">
        <v>14</v>
      </c>
      <c r="AQ52" t="s">
        <v>2061</v>
      </c>
      <c r="AR52" t="s">
        <v>14</v>
      </c>
      <c r="AS52" t="s">
        <v>2062</v>
      </c>
      <c r="AT52" t="s">
        <v>2063</v>
      </c>
      <c r="AU52" t="s">
        <v>2064</v>
      </c>
      <c r="AV52" t="s">
        <v>2065</v>
      </c>
      <c r="AW52" t="s">
        <v>467</v>
      </c>
      <c r="AX52" t="s">
        <v>662</v>
      </c>
      <c r="AY52" t="s">
        <v>455</v>
      </c>
      <c r="AZ52" t="s">
        <v>52</v>
      </c>
      <c r="BA52" t="s">
        <v>187</v>
      </c>
      <c r="BB52" t="s">
        <v>51</v>
      </c>
      <c r="BC52" t="s">
        <v>68</v>
      </c>
      <c r="BD52" t="s">
        <v>74</v>
      </c>
      <c r="BE52" t="s">
        <v>269</v>
      </c>
      <c r="BF52" t="s">
        <v>270</v>
      </c>
      <c r="BG52" t="s">
        <v>271</v>
      </c>
      <c r="BH52" t="s">
        <v>2066</v>
      </c>
      <c r="BI52" t="s">
        <v>2067</v>
      </c>
      <c r="BJ52" t="s">
        <v>662</v>
      </c>
      <c r="BK52" t="s">
        <v>1531</v>
      </c>
      <c r="BL52" t="s">
        <v>2068</v>
      </c>
      <c r="BM52" t="s">
        <v>68</v>
      </c>
      <c r="BN52">
        <v>14.04</v>
      </c>
      <c r="BO52">
        <v>15.67</v>
      </c>
      <c r="BP52">
        <v>19.46</v>
      </c>
      <c r="BQ52">
        <v>17.8</v>
      </c>
      <c r="BR52">
        <v>18.88</v>
      </c>
      <c r="BS52">
        <v>22.22</v>
      </c>
      <c r="BT52" t="s">
        <v>2069</v>
      </c>
      <c r="BU52" t="s">
        <v>501</v>
      </c>
      <c r="BV52">
        <v>56.68</v>
      </c>
      <c r="BW52">
        <v>55.49</v>
      </c>
      <c r="BX52">
        <v>53.41</v>
      </c>
      <c r="BY52">
        <v>19.62</v>
      </c>
      <c r="BZ52">
        <v>23.36</v>
      </c>
      <c r="CA52">
        <v>22.04</v>
      </c>
      <c r="CB52">
        <v>0.8</v>
      </c>
      <c r="CC52">
        <v>-15.11</v>
      </c>
      <c r="CD52" t="s">
        <v>2070</v>
      </c>
      <c r="CE52" t="s">
        <v>2071</v>
      </c>
      <c r="CF52" s="9">
        <v>3.4275774826059457</v>
      </c>
      <c r="CG52" s="10">
        <v>5.4465935691279022</v>
      </c>
      <c r="CH52" s="9">
        <v>-0.45937961339950562</v>
      </c>
      <c r="CI52" s="9">
        <v>0.37044534087181091</v>
      </c>
      <c r="CJ52" s="9">
        <v>0.42363113164901733</v>
      </c>
      <c r="CK52" s="9">
        <v>0.48290598392486572</v>
      </c>
      <c r="CL52" s="9">
        <v>0.73333334922790527</v>
      </c>
      <c r="CM52" s="10">
        <v>-1.6160646677017212</v>
      </c>
      <c r="CN52" s="10">
        <v>0.4716981053352356</v>
      </c>
      <c r="CO52" s="10">
        <v>0.46277722716331482</v>
      </c>
      <c r="CP52" s="10">
        <v>0.52877271175384521</v>
      </c>
      <c r="CQ52" s="10">
        <v>1.287954568862915</v>
      </c>
      <c r="CR52">
        <v>94.372106226568391</v>
      </c>
      <c r="CS52">
        <v>3.0424238823195315</v>
      </c>
      <c r="CT52">
        <v>0.38336431226765799</v>
      </c>
      <c r="CU52" s="9">
        <v>0.31018723845481871</v>
      </c>
      <c r="CV52" s="10">
        <v>0.22702758908271789</v>
      </c>
      <c r="CW52">
        <v>0.06</v>
      </c>
      <c r="CX52" t="e">
        <v>#VALUE!</v>
      </c>
      <c r="CY52" t="s">
        <v>465</v>
      </c>
      <c r="CZ52">
        <v>0.31018723845481871</v>
      </c>
      <c r="DA52" t="e">
        <v>#VALUE!</v>
      </c>
      <c r="DB52" t="s">
        <v>465</v>
      </c>
      <c r="DC52">
        <v>0.29467787653207778</v>
      </c>
      <c r="DD52" t="e">
        <v>#VALUE!</v>
      </c>
      <c r="DE52" t="s">
        <v>465</v>
      </c>
      <c r="DF52">
        <v>0.27296476984024048</v>
      </c>
      <c r="DG52" t="e">
        <v>#VALUE!</v>
      </c>
      <c r="DH52" t="s">
        <v>465</v>
      </c>
      <c r="DI52">
        <v>0.24814979076385499</v>
      </c>
      <c r="DJ52" t="e">
        <v>#VALUE!</v>
      </c>
      <c r="DK52" t="s">
        <v>465</v>
      </c>
      <c r="DL52">
        <v>0.21713106691837308</v>
      </c>
      <c r="DM52">
        <v>-96106100</v>
      </c>
      <c r="DN52">
        <v>0.31018723845481871</v>
      </c>
      <c r="DO52">
        <v>4620480000</v>
      </c>
      <c r="DP52">
        <v>662553000</v>
      </c>
      <c r="DQ52">
        <v>5023</v>
      </c>
      <c r="DR52">
        <v>3.1173902441511272</v>
      </c>
      <c r="DS52">
        <v>5.2195659800451839</v>
      </c>
      <c r="DT52" s="11">
        <v>-6.6666666666666714E-3</v>
      </c>
      <c r="DU52">
        <v>7.0000000000000021E-2</v>
      </c>
      <c r="DV52">
        <v>6.3333333333333353E-2</v>
      </c>
      <c r="DW52">
        <v>-2.1511</v>
      </c>
      <c r="DX52">
        <v>0.70888139627131919</v>
      </c>
      <c r="DY52">
        <v>-2.0345839789765967</v>
      </c>
      <c r="DZ52">
        <v>3957</v>
      </c>
      <c r="EA52">
        <v>-2.0078033909510795</v>
      </c>
      <c r="EB52">
        <v>2</v>
      </c>
      <c r="EC52">
        <v>5.1518750000000002E-2</v>
      </c>
      <c r="ED52">
        <v>0.22508928571428571</v>
      </c>
      <c r="EE52" s="12">
        <v>-5.0301</v>
      </c>
      <c r="EF52">
        <v>-5.0012100000000004</v>
      </c>
      <c r="EG52">
        <v>48.228881396271319</v>
      </c>
      <c r="EH52" t="s">
        <v>1136</v>
      </c>
      <c r="EI52">
        <v>0</v>
      </c>
      <c r="EJ52">
        <v>0</v>
      </c>
      <c r="EK52" s="14">
        <v>45470</v>
      </c>
      <c r="EL52" s="15">
        <v>-2.0499999999999998</v>
      </c>
      <c r="EM52" s="15">
        <v>-3.41</v>
      </c>
      <c r="EN52">
        <v>-4.95</v>
      </c>
      <c r="EO52">
        <v>6.06</v>
      </c>
      <c r="EP52">
        <v>-3.13</v>
      </c>
    </row>
    <row r="53" spans="1:146" x14ac:dyDescent="0.25">
      <c r="A53" s="7"/>
      <c r="B53" s="7"/>
      <c r="C53" s="7"/>
      <c r="S53" s="3"/>
    </row>
    <row r="54" spans="1:146" x14ac:dyDescent="0.25">
      <c r="A54" s="7"/>
      <c r="B54" s="7"/>
      <c r="C54" s="7"/>
      <c r="Q54" s="3"/>
    </row>
    <row r="55" spans="1:146" x14ac:dyDescent="0.25">
      <c r="A55" s="7"/>
      <c r="B55" s="7"/>
      <c r="C55" s="7"/>
      <c r="Q55" s="3"/>
    </row>
    <row r="56" spans="1:146" x14ac:dyDescent="0.25">
      <c r="A56" s="7"/>
      <c r="B56" s="7"/>
      <c r="C56" s="7"/>
      <c r="Q56" s="3"/>
    </row>
    <row r="57" spans="1:146" x14ac:dyDescent="0.25">
      <c r="A57" s="7"/>
      <c r="B57" s="7"/>
      <c r="C57" s="7"/>
      <c r="Q57" s="3"/>
    </row>
    <row r="58" spans="1:146" x14ac:dyDescent="0.25">
      <c r="A58" s="7"/>
      <c r="B58" s="7"/>
      <c r="C58" s="7"/>
      <c r="Q58" s="3"/>
    </row>
    <row r="59" spans="1:146" x14ac:dyDescent="0.25">
      <c r="A59" s="7"/>
      <c r="B59" s="7"/>
      <c r="C59" s="7"/>
      <c r="Q59" s="3"/>
    </row>
    <row r="60" spans="1:146" x14ac:dyDescent="0.25">
      <c r="A60" s="7"/>
      <c r="B60" s="7"/>
      <c r="C60" s="7"/>
      <c r="Q60" s="3"/>
    </row>
    <row r="61" spans="1:146" x14ac:dyDescent="0.25">
      <c r="A61" s="7"/>
      <c r="B61" s="7"/>
      <c r="C61" s="7"/>
      <c r="Q61" s="3"/>
    </row>
    <row r="62" spans="1:146" x14ac:dyDescent="0.25">
      <c r="A62" s="7"/>
      <c r="B62" s="7"/>
      <c r="C62" s="7"/>
      <c r="Q62" s="3"/>
    </row>
    <row r="63" spans="1:146" x14ac:dyDescent="0.25">
      <c r="A63" s="7"/>
      <c r="B63" s="7"/>
      <c r="C63" s="7"/>
      <c r="Q63" s="3"/>
    </row>
    <row r="64" spans="1:146" x14ac:dyDescent="0.25">
      <c r="A64" s="7"/>
      <c r="B64" s="7"/>
      <c r="C64" s="7"/>
      <c r="Q64" s="3"/>
    </row>
    <row r="65" spans="1:17" x14ac:dyDescent="0.25">
      <c r="A65" s="7"/>
      <c r="B65" s="7"/>
      <c r="C65" s="7"/>
      <c r="Q65" s="3"/>
    </row>
    <row r="66" spans="1:17" x14ac:dyDescent="0.25">
      <c r="A66" s="7"/>
      <c r="B66" s="7"/>
      <c r="C66" s="7"/>
      <c r="Q66" s="3"/>
    </row>
    <row r="67" spans="1:17" x14ac:dyDescent="0.25">
      <c r="A67" s="7"/>
      <c r="B67" s="7"/>
      <c r="C67" s="7"/>
      <c r="Q67" s="3"/>
    </row>
    <row r="68" spans="1:17" x14ac:dyDescent="0.25">
      <c r="A68" s="7"/>
      <c r="B68" s="7"/>
      <c r="C68" s="7"/>
      <c r="Q68" s="3"/>
    </row>
    <row r="69" spans="1:17" x14ac:dyDescent="0.25">
      <c r="A69" s="7"/>
      <c r="B69" s="7"/>
      <c r="C69" s="7"/>
      <c r="Q69" s="4"/>
    </row>
    <row r="70" spans="1:17" x14ac:dyDescent="0.25">
      <c r="A70" s="7"/>
      <c r="B70" s="7"/>
      <c r="C70" s="7"/>
      <c r="Q70" s="3"/>
    </row>
    <row r="71" spans="1:17" x14ac:dyDescent="0.25">
      <c r="A71" s="7"/>
      <c r="B71" s="7"/>
      <c r="C71" s="7"/>
      <c r="Q71" s="3"/>
    </row>
    <row r="72" spans="1:17" x14ac:dyDescent="0.25">
      <c r="A72" s="7"/>
      <c r="B72" s="7"/>
      <c r="C72" s="7"/>
      <c r="Q72" s="3"/>
    </row>
    <row r="73" spans="1:17" x14ac:dyDescent="0.25">
      <c r="A73" s="7"/>
      <c r="B73" s="7"/>
      <c r="C73" s="7"/>
      <c r="Q73" s="3"/>
    </row>
    <row r="74" spans="1:17" x14ac:dyDescent="0.25">
      <c r="A74" s="7"/>
      <c r="B74" s="7"/>
      <c r="C74" s="7"/>
      <c r="Q74" s="3"/>
    </row>
    <row r="75" spans="1:17" x14ac:dyDescent="0.25">
      <c r="A75" s="7"/>
      <c r="B75" s="7"/>
      <c r="C75" s="7"/>
      <c r="Q75" s="3"/>
    </row>
    <row r="76" spans="1:17" x14ac:dyDescent="0.25">
      <c r="A76" s="7"/>
      <c r="B76" s="7"/>
      <c r="C76" s="7"/>
      <c r="Q76" s="3"/>
    </row>
    <row r="77" spans="1:17" x14ac:dyDescent="0.25">
      <c r="A77" s="7"/>
      <c r="B77" s="7"/>
      <c r="C77" s="7"/>
      <c r="Q77" s="4"/>
    </row>
    <row r="78" spans="1:17" x14ac:dyDescent="0.25">
      <c r="A78" s="7"/>
      <c r="B78" s="7"/>
      <c r="C78" s="7"/>
      <c r="Q78" s="3"/>
    </row>
    <row r="79" spans="1:17" x14ac:dyDescent="0.25">
      <c r="A79" s="7"/>
      <c r="B79" s="7"/>
      <c r="C79" s="7"/>
      <c r="Q79" s="3"/>
    </row>
    <row r="80" spans="1:17" x14ac:dyDescent="0.25">
      <c r="A80" s="7"/>
      <c r="B80" s="7"/>
      <c r="C80" s="7"/>
      <c r="Q80" s="3"/>
    </row>
    <row r="81" spans="1:17" x14ac:dyDescent="0.25">
      <c r="A81" s="7"/>
      <c r="B81" s="7"/>
      <c r="C81" s="7"/>
      <c r="Q81" s="3"/>
    </row>
    <row r="82" spans="1:17" x14ac:dyDescent="0.25">
      <c r="A82" s="7"/>
      <c r="B82" s="7"/>
      <c r="C82" s="7"/>
      <c r="Q82" s="3"/>
    </row>
    <row r="83" spans="1:17" x14ac:dyDescent="0.25">
      <c r="A83" s="7"/>
      <c r="B83" s="7"/>
      <c r="C83" s="7"/>
      <c r="Q83" s="3"/>
    </row>
    <row r="84" spans="1:17" x14ac:dyDescent="0.25">
      <c r="A84" s="7"/>
      <c r="B84" s="7"/>
      <c r="C84" s="7"/>
      <c r="Q84" s="3"/>
    </row>
    <row r="85" spans="1:17" x14ac:dyDescent="0.25">
      <c r="A85" s="7"/>
      <c r="B85" s="7"/>
      <c r="C85" s="7"/>
      <c r="Q85" s="3"/>
    </row>
    <row r="86" spans="1:17" x14ac:dyDescent="0.25">
      <c r="A86" s="7"/>
      <c r="B86" s="7"/>
      <c r="C86" s="7"/>
      <c r="Q86" s="3"/>
    </row>
    <row r="87" spans="1:17" x14ac:dyDescent="0.25">
      <c r="A87" s="7"/>
      <c r="B87" s="7"/>
      <c r="C87" s="7"/>
      <c r="Q87" s="3"/>
    </row>
    <row r="88" spans="1:17" x14ac:dyDescent="0.25">
      <c r="A88" s="7"/>
      <c r="B88" s="7"/>
      <c r="C88" s="7"/>
      <c r="Q88" s="3"/>
    </row>
    <row r="89" spans="1:17" x14ac:dyDescent="0.25">
      <c r="A89" s="7"/>
      <c r="B89" s="7"/>
      <c r="C89" s="7"/>
      <c r="Q89" s="3"/>
    </row>
    <row r="90" spans="1:17" x14ac:dyDescent="0.25">
      <c r="A90" s="7"/>
      <c r="B90" s="7"/>
      <c r="C90" s="7"/>
      <c r="Q90" s="3"/>
    </row>
    <row r="91" spans="1:17" x14ac:dyDescent="0.25">
      <c r="A91" s="7"/>
      <c r="B91" s="7"/>
      <c r="C91" s="7"/>
      <c r="Q91" s="3"/>
    </row>
    <row r="92" spans="1:17" x14ac:dyDescent="0.25">
      <c r="Q92" s="3"/>
    </row>
    <row r="93" spans="1:17" x14ac:dyDescent="0.25">
      <c r="Q93" s="3"/>
    </row>
    <row r="94" spans="1:17" x14ac:dyDescent="0.25">
      <c r="A94" s="7"/>
      <c r="B94" s="7"/>
      <c r="C94" s="7"/>
      <c r="Q94" s="3"/>
    </row>
    <row r="95" spans="1:17" x14ac:dyDescent="0.25">
      <c r="A95" s="7"/>
      <c r="B95" s="7"/>
      <c r="C95" s="7"/>
      <c r="Q95" s="3"/>
    </row>
    <row r="96" spans="1:17" x14ac:dyDescent="0.25">
      <c r="A96" s="7"/>
      <c r="B96" s="7"/>
      <c r="C96" s="7"/>
      <c r="Q96" s="3"/>
    </row>
    <row r="97" spans="1:17" x14ac:dyDescent="0.25">
      <c r="A97" s="7"/>
      <c r="B97" s="7"/>
      <c r="C97" s="7"/>
      <c r="Q97" s="3"/>
    </row>
    <row r="98" spans="1:17" x14ac:dyDescent="0.25">
      <c r="A98" s="7"/>
      <c r="B98" s="7"/>
      <c r="C98" s="7"/>
      <c r="Q98" s="4"/>
    </row>
    <row r="99" spans="1:17" ht="93.75" customHeight="1" x14ac:dyDescent="0.25">
      <c r="A99" s="7"/>
      <c r="B99" s="7"/>
      <c r="C99" s="7"/>
      <c r="Q99" s="3"/>
    </row>
    <row r="100" spans="1:17" x14ac:dyDescent="0.25">
      <c r="A100" s="7"/>
      <c r="B100" s="7"/>
      <c r="C100" s="7"/>
      <c r="Q100" s="3"/>
    </row>
    <row r="101" spans="1:17" x14ac:dyDescent="0.25">
      <c r="A101" s="7"/>
      <c r="B101" s="7"/>
      <c r="C101" s="7"/>
      <c r="Q101" s="3"/>
    </row>
    <row r="102" spans="1:17" x14ac:dyDescent="0.25">
      <c r="A102" s="7"/>
      <c r="B102" s="7"/>
      <c r="C102" s="7"/>
      <c r="Q102" s="3"/>
    </row>
    <row r="103" spans="1:17" x14ac:dyDescent="0.25">
      <c r="A103" s="7"/>
      <c r="B103" s="7"/>
      <c r="C103" s="7"/>
      <c r="Q103" s="3"/>
    </row>
    <row r="104" spans="1:17" x14ac:dyDescent="0.25">
      <c r="Q104" s="3"/>
    </row>
    <row r="105" spans="1:17" x14ac:dyDescent="0.25">
      <c r="Q105" s="3"/>
    </row>
    <row r="106" spans="1:17" x14ac:dyDescent="0.25">
      <c r="A106" s="7"/>
      <c r="B106" s="7"/>
      <c r="C106" s="7"/>
      <c r="Q106" s="3"/>
    </row>
    <row r="107" spans="1:17" x14ac:dyDescent="0.25">
      <c r="A107" s="7"/>
      <c r="B107" s="7"/>
      <c r="C107" s="7"/>
      <c r="Q107" s="4"/>
    </row>
    <row r="108" spans="1:17" x14ac:dyDescent="0.25">
      <c r="A108" s="7"/>
      <c r="B108" s="7"/>
      <c r="C108" s="7"/>
      <c r="Q108" s="3"/>
    </row>
    <row r="109" spans="1:17" x14ac:dyDescent="0.25">
      <c r="A109" s="7"/>
      <c r="B109" s="7"/>
      <c r="C109" s="7"/>
      <c r="Q109" s="3"/>
    </row>
    <row r="110" spans="1:17" x14ac:dyDescent="0.25">
      <c r="A110" s="7"/>
      <c r="B110" s="7"/>
      <c r="C110" s="7"/>
      <c r="Q110" s="3"/>
    </row>
    <row r="111" spans="1:17" x14ac:dyDescent="0.25">
      <c r="A111" s="7"/>
      <c r="B111" s="7"/>
      <c r="C111" s="7"/>
    </row>
    <row r="112" spans="1:17" x14ac:dyDescent="0.25">
      <c r="A112" s="7"/>
      <c r="B112" s="7"/>
      <c r="C112" s="7"/>
      <c r="Q112" s="3"/>
    </row>
    <row r="113" spans="1:17" x14ac:dyDescent="0.25">
      <c r="Q113" s="3"/>
    </row>
    <row r="114" spans="1:17" x14ac:dyDescent="0.25">
      <c r="Q114" s="3"/>
    </row>
    <row r="115" spans="1:17" x14ac:dyDescent="0.25">
      <c r="Q115" s="3"/>
    </row>
    <row r="116" spans="1:17" x14ac:dyDescent="0.25">
      <c r="A116" s="7"/>
      <c r="B116" s="7"/>
      <c r="C116" s="7"/>
      <c r="Q116" s="3"/>
    </row>
    <row r="117" spans="1:17" x14ac:dyDescent="0.25">
      <c r="A117" s="7"/>
      <c r="B117" s="7"/>
      <c r="C117" s="7"/>
      <c r="Q117" s="3"/>
    </row>
    <row r="118" spans="1:17" x14ac:dyDescent="0.25">
      <c r="A118" s="7"/>
      <c r="B118" s="7"/>
      <c r="C118" s="7"/>
      <c r="Q118" s="4"/>
    </row>
    <row r="119" spans="1:17" x14ac:dyDescent="0.25">
      <c r="A119" s="7"/>
      <c r="B119" s="7"/>
      <c r="C119" s="7"/>
      <c r="Q119" s="3"/>
    </row>
    <row r="120" spans="1:17" x14ac:dyDescent="0.25">
      <c r="A120" s="7"/>
      <c r="B120" s="7"/>
      <c r="C120" s="7"/>
      <c r="Q120" s="3"/>
    </row>
    <row r="121" spans="1:17" x14ac:dyDescent="0.25">
      <c r="A121" s="7"/>
      <c r="B121" s="7"/>
      <c r="C121" s="7"/>
      <c r="Q121" s="3"/>
    </row>
    <row r="122" spans="1:17" x14ac:dyDescent="0.25">
      <c r="A122" s="7"/>
      <c r="B122" s="7"/>
      <c r="C122" s="7"/>
      <c r="Q122" s="3"/>
    </row>
    <row r="123" spans="1:17" x14ac:dyDescent="0.25">
      <c r="Q123" s="3"/>
    </row>
    <row r="124" spans="1:17" x14ac:dyDescent="0.25">
      <c r="Q124" s="3"/>
    </row>
    <row r="125" spans="1:17" x14ac:dyDescent="0.25">
      <c r="Q125" s="3"/>
    </row>
    <row r="126" spans="1:17" x14ac:dyDescent="0.25">
      <c r="Q126" s="3"/>
    </row>
    <row r="127" spans="1:17" x14ac:dyDescent="0.25">
      <c r="Q127" s="3"/>
    </row>
    <row r="128" spans="1:17" x14ac:dyDescent="0.25">
      <c r="Q128" s="3"/>
    </row>
    <row r="129" spans="17:17" x14ac:dyDescent="0.25">
      <c r="Q129" s="3"/>
    </row>
    <row r="130" spans="17:17" x14ac:dyDescent="0.25">
      <c r="Q130" s="3"/>
    </row>
    <row r="131" spans="17:17" x14ac:dyDescent="0.25">
      <c r="Q131" s="4"/>
    </row>
    <row r="132" spans="17:17" x14ac:dyDescent="0.25">
      <c r="Q132" s="3"/>
    </row>
    <row r="133" spans="17:17" x14ac:dyDescent="0.25">
      <c r="Q133" s="3"/>
    </row>
    <row r="134" spans="17:17" x14ac:dyDescent="0.25">
      <c r="Q134" s="3"/>
    </row>
    <row r="135" spans="17:17" x14ac:dyDescent="0.25">
      <c r="Q135" s="4"/>
    </row>
    <row r="136" spans="17:17" x14ac:dyDescent="0.25">
      <c r="Q136" s="3"/>
    </row>
    <row r="137" spans="17:17" x14ac:dyDescent="0.25">
      <c r="Q137" s="3"/>
    </row>
    <row r="138" spans="17:17" x14ac:dyDescent="0.25">
      <c r="Q138" s="3"/>
    </row>
    <row r="139" spans="17:17" x14ac:dyDescent="0.25">
      <c r="Q139" s="3"/>
    </row>
    <row r="140" spans="17:17" x14ac:dyDescent="0.25">
      <c r="Q140" s="3"/>
    </row>
  </sheetData>
  <autoFilter ref="BU1:BU140"/>
  <phoneticPr fontId="1"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医疗服务&quot;,&quot;&quot;'" altText="更新基本面按钮_x000a_">
                <anchor moveWithCells="1" sizeWithCells="1">
                  <from>
                    <xdr:col>147</xdr:col>
                    <xdr:colOff>215900</xdr:colOff>
                    <xdr:row>0</xdr:row>
                    <xdr:rowOff>107950</xdr:rowOff>
                  </from>
                  <to>
                    <xdr:col>147</xdr:col>
                    <xdr:colOff>1346200</xdr:colOff>
                    <xdr:row>0</xdr:row>
                    <xdr:rowOff>419100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6"/>
  <sheetViews>
    <sheetView zoomScale="115" zoomScaleNormal="115" workbookViewId="0">
      <selection activeCell="A5" sqref="A5"/>
    </sheetView>
  </sheetViews>
  <sheetFormatPr defaultRowHeight="14" x14ac:dyDescent="0.25"/>
  <sheetData>
    <row r="1" spans="1:30" x14ac:dyDescent="0.25">
      <c r="A1">
        <v>1</v>
      </c>
      <c r="B1">
        <f>A1+A1*$A$2</f>
        <v>1.2</v>
      </c>
      <c r="C1">
        <f t="shared" ref="C1:AD1" si="0">B1+B1*$A$2</f>
        <v>1.44</v>
      </c>
      <c r="D1">
        <f t="shared" si="0"/>
        <v>1.728</v>
      </c>
      <c r="E1">
        <f t="shared" si="0"/>
        <v>2.0735999999999999</v>
      </c>
      <c r="F1">
        <f t="shared" si="0"/>
        <v>2.4883199999999999</v>
      </c>
      <c r="G1">
        <f t="shared" si="0"/>
        <v>2.9859839999999997</v>
      </c>
      <c r="H1">
        <f t="shared" si="0"/>
        <v>3.5831807999999996</v>
      </c>
      <c r="I1">
        <f t="shared" si="0"/>
        <v>4.2998169599999994</v>
      </c>
      <c r="J1">
        <f t="shared" si="0"/>
        <v>5.1597803519999994</v>
      </c>
      <c r="K1">
        <f t="shared" si="0"/>
        <v>6.1917364223999991</v>
      </c>
      <c r="L1">
        <f t="shared" si="0"/>
        <v>7.4300837068799988</v>
      </c>
      <c r="M1">
        <f t="shared" si="0"/>
        <v>8.9161004482559996</v>
      </c>
      <c r="N1">
        <f t="shared" si="0"/>
        <v>10.6993205379072</v>
      </c>
      <c r="O1">
        <f t="shared" si="0"/>
        <v>12.83918464548864</v>
      </c>
      <c r="P1">
        <f t="shared" si="0"/>
        <v>15.407021574586368</v>
      </c>
      <c r="Q1">
        <f t="shared" si="0"/>
        <v>18.488425889503642</v>
      </c>
      <c r="R1">
        <f t="shared" si="0"/>
        <v>22.186111067404369</v>
      </c>
      <c r="S1">
        <f t="shared" si="0"/>
        <v>26.623333280885241</v>
      </c>
      <c r="T1">
        <f t="shared" si="0"/>
        <v>31.947999937062288</v>
      </c>
      <c r="U1">
        <f t="shared" si="0"/>
        <v>38.337599924474745</v>
      </c>
      <c r="V1">
        <f t="shared" si="0"/>
        <v>46.005119909369697</v>
      </c>
      <c r="W1">
        <f t="shared" si="0"/>
        <v>55.206143891243634</v>
      </c>
      <c r="X1">
        <f t="shared" si="0"/>
        <v>66.247372669492364</v>
      </c>
      <c r="Y1">
        <f t="shared" si="0"/>
        <v>79.496847203390843</v>
      </c>
      <c r="Z1">
        <f t="shared" si="0"/>
        <v>95.396216644069014</v>
      </c>
      <c r="AA1">
        <f t="shared" si="0"/>
        <v>114.47545997288282</v>
      </c>
      <c r="AB1">
        <f t="shared" si="0"/>
        <v>137.37055196745939</v>
      </c>
      <c r="AC1">
        <f t="shared" si="0"/>
        <v>164.84466236095128</v>
      </c>
      <c r="AD1">
        <f t="shared" si="0"/>
        <v>197.81359483314154</v>
      </c>
    </row>
    <row r="2" spans="1:30" x14ac:dyDescent="0.25">
      <c r="A2">
        <v>0.2</v>
      </c>
      <c r="B2" t="s">
        <v>2</v>
      </c>
    </row>
    <row r="3" spans="1:30" s="2"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v>0.15</v>
      </c>
      <c r="B4" t="s">
        <v>0</v>
      </c>
    </row>
    <row r="5" spans="1:30" x14ac:dyDescent="0.25">
      <c r="A5" s="1">
        <v>1</v>
      </c>
      <c r="B5" s="1">
        <f>A5*$A$4+A5</f>
        <v>1.1499999999999999</v>
      </c>
      <c r="C5" s="1">
        <f t="shared" ref="C5:AD5" si="1">B5*$A$4+B5</f>
        <v>1.3224999999999998</v>
      </c>
      <c r="D5" s="1">
        <f t="shared" si="1"/>
        <v>1.5208749999999998</v>
      </c>
      <c r="E5" s="1">
        <f t="shared" si="1"/>
        <v>1.7490062499999997</v>
      </c>
      <c r="F5" s="1">
        <f t="shared" si="1"/>
        <v>2.0113571874999998</v>
      </c>
      <c r="G5" s="1">
        <f t="shared" si="1"/>
        <v>2.313060765625</v>
      </c>
      <c r="H5" s="1">
        <f t="shared" si="1"/>
        <v>2.66001988046875</v>
      </c>
      <c r="I5" s="1">
        <f t="shared" si="1"/>
        <v>3.0590228625390625</v>
      </c>
      <c r="J5" s="1">
        <f t="shared" si="1"/>
        <v>3.5178762919199218</v>
      </c>
      <c r="K5" s="1">
        <f t="shared" si="1"/>
        <v>4.0455577357079102</v>
      </c>
      <c r="L5" s="1">
        <f t="shared" si="1"/>
        <v>4.6523913960640968</v>
      </c>
      <c r="M5" s="1">
        <f t="shared" si="1"/>
        <v>5.3502501054737115</v>
      </c>
      <c r="N5" s="1">
        <f t="shared" si="1"/>
        <v>6.1527876212947685</v>
      </c>
      <c r="O5" s="1">
        <f t="shared" si="1"/>
        <v>7.0757057644889834</v>
      </c>
      <c r="P5">
        <f t="shared" si="1"/>
        <v>8.1370616291623303</v>
      </c>
      <c r="Q5">
        <f t="shared" si="1"/>
        <v>9.3576208735366802</v>
      </c>
      <c r="R5">
        <f t="shared" si="1"/>
        <v>10.761264004567183</v>
      </c>
      <c r="S5" s="1">
        <f t="shared" si="1"/>
        <v>12.375453605252261</v>
      </c>
      <c r="T5">
        <f t="shared" si="1"/>
        <v>14.2317716460401</v>
      </c>
      <c r="U5">
        <f t="shared" si="1"/>
        <v>16.366537392946114</v>
      </c>
      <c r="V5">
        <f t="shared" si="1"/>
        <v>18.82151800188803</v>
      </c>
      <c r="W5">
        <f t="shared" si="1"/>
        <v>21.644745702171235</v>
      </c>
      <c r="X5">
        <f t="shared" si="1"/>
        <v>24.891457557496921</v>
      </c>
      <c r="Y5">
        <f t="shared" si="1"/>
        <v>28.625176191121458</v>
      </c>
      <c r="Z5">
        <f t="shared" si="1"/>
        <v>32.918952619789678</v>
      </c>
      <c r="AA5">
        <f t="shared" si="1"/>
        <v>37.856795512758133</v>
      </c>
      <c r="AB5">
        <f t="shared" si="1"/>
        <v>43.535314839671855</v>
      </c>
      <c r="AC5">
        <f t="shared" si="1"/>
        <v>50.065612065622631</v>
      </c>
      <c r="AD5">
        <f t="shared" si="1"/>
        <v>57.575453875466025</v>
      </c>
    </row>
    <row r="6" spans="1:30" x14ac:dyDescent="0.25">
      <c r="A6">
        <v>15</v>
      </c>
      <c r="B6" t="s">
        <v>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医疗服务</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2024-07-10T15:54:54Z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08512ac4-c6c8-4658-b644-9b6349c5eb42</vt:lpwstr>
  </property>
  <property fmtid="{D5CDD505-2E9C-101B-9397-08002B2CF9AE}" pid="3" name="CTP_TimeStamp">
    <vt:lpwstr>2019-07-29 05:22:13Z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