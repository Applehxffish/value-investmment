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医药生物\"/>
    </mc:Choice>
  </mc:AlternateContent>
  <bookViews>
    <workbookView xWindow="-110" yWindow="-110" windowWidth="23260" windowHeight="12460"/>
  </bookViews>
  <sheets>
    <sheet name="中药" sheetId="7" r:id="rId1"/>
    <sheet name="估值-增速与年化收益" sheetId="14" r:id="rId2"/>
  </sheets>
  <functionGroups builtInGroupCount="18"/>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8" i="14" l="1"/>
  <c r="C8" i="14" s="1"/>
  <c r="D8" i="14" s="1"/>
  <c r="E8" i="14" s="1"/>
  <c r="F8" i="14" s="1"/>
  <c r="G8" i="14" s="1"/>
  <c r="H8" i="14" s="1"/>
  <c r="I8" i="14" s="1"/>
  <c r="J8" i="14" s="1"/>
  <c r="K8" i="14" s="1"/>
  <c r="L8" i="14" s="1"/>
  <c r="M8" i="14" s="1"/>
  <c r="N8" i="14" s="1"/>
  <c r="O8" i="14" s="1"/>
  <c r="P8" i="14" s="1"/>
  <c r="Q8" i="14" s="1"/>
  <c r="R8" i="14" s="1"/>
  <c r="S8" i="14" s="1"/>
  <c r="T8" i="14" s="1"/>
  <c r="U8" i="14" s="1"/>
  <c r="V8" i="14" s="1"/>
  <c r="W8" i="14" s="1"/>
  <c r="X8" i="14" s="1"/>
  <c r="Y8" i="14" s="1"/>
  <c r="Z8" i="14" s="1"/>
  <c r="AA8" i="14" s="1"/>
  <c r="AB8" i="14" s="1"/>
  <c r="AC8" i="14" s="1"/>
  <c r="AD8" i="14" s="1"/>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C3" i="7"/>
  <c r="C2" i="7"/>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alcChain>
</file>

<file path=xl/sharedStrings.xml><?xml version="1.0" encoding="utf-8"?>
<sst xmlns="http://schemas.openxmlformats.org/spreadsheetml/2006/main" count="4034" uniqueCount="2700">
  <si>
    <t>&lt;-增速</t>
    <phoneticPr fontId="1" type="noConversion"/>
  </si>
  <si>
    <t>&lt;-估值</t>
    <phoneticPr fontId="1" type="noConversion"/>
  </si>
  <si>
    <t>&lt;-折合年化收益</t>
    <phoneticPr fontId="1" type="noConversion"/>
  </si>
  <si>
    <t>现价</t>
  </si>
  <si>
    <t>市净率</t>
  </si>
  <si>
    <t>陇神戎发</t>
  </si>
  <si>
    <t>嘉应制药</t>
  </si>
  <si>
    <t>太龙药业</t>
  </si>
  <si>
    <t>上海凯宝</t>
  </si>
  <si>
    <t>羚锐制药</t>
  </si>
  <si>
    <t>华森制药</t>
  </si>
  <si>
    <t>康惠制药</t>
  </si>
  <si>
    <t>康缘药业</t>
  </si>
  <si>
    <t>寿仙谷</t>
  </si>
  <si>
    <t>佛慈制药</t>
  </si>
  <si>
    <t>众生药业</t>
  </si>
  <si>
    <t>珍宝岛</t>
  </si>
  <si>
    <t>江中药业</t>
  </si>
  <si>
    <t>中恒集团</t>
  </si>
  <si>
    <t>汉森制药</t>
  </si>
  <si>
    <t>奇正藏药</t>
  </si>
  <si>
    <t>沃华医药</t>
  </si>
  <si>
    <t>益盛药业</t>
  </si>
  <si>
    <t>方盛制药</t>
  </si>
  <si>
    <t>盘龙药业</t>
  </si>
  <si>
    <t>同仁堂</t>
  </si>
  <si>
    <t>桂林三金</t>
  </si>
  <si>
    <t>新光药业</t>
  </si>
  <si>
    <t>香雪制药</t>
  </si>
  <si>
    <t>广誉远</t>
  </si>
  <si>
    <t>仁和药业</t>
  </si>
  <si>
    <t>新天药业</t>
  </si>
  <si>
    <t>昆药集团</t>
  </si>
  <si>
    <t>红日药业</t>
  </si>
  <si>
    <t>精华制药</t>
  </si>
  <si>
    <t>亚宝药业</t>
  </si>
  <si>
    <t>特一药业</t>
  </si>
  <si>
    <t>益佰制药</t>
  </si>
  <si>
    <t>马应龙</t>
  </si>
  <si>
    <t>葵花药业</t>
  </si>
  <si>
    <t>健民集团</t>
  </si>
  <si>
    <t>步长制药</t>
  </si>
  <si>
    <t>康恩贝</t>
  </si>
  <si>
    <t>以岭药业</t>
  </si>
  <si>
    <t>佐力药业</t>
  </si>
  <si>
    <t>华润三九</t>
  </si>
  <si>
    <t>天士力</t>
  </si>
  <si>
    <t>白云山</t>
  </si>
  <si>
    <t>东阿阿胶</t>
  </si>
  <si>
    <t>云南白药</t>
  </si>
  <si>
    <t>信邦制药</t>
  </si>
  <si>
    <t>太极集团</t>
  </si>
  <si>
    <t>济川药业</t>
  </si>
  <si>
    <t>--</t>
  </si>
  <si>
    <t>5.73亿</t>
  </si>
  <si>
    <t>10.06亿</t>
  </si>
  <si>
    <t>7.45亿</t>
  </si>
  <si>
    <t>8.30亿</t>
  </si>
  <si>
    <t>3.25亿</t>
  </si>
  <si>
    <t>1.35亿</t>
  </si>
  <si>
    <t>1.17亿</t>
  </si>
  <si>
    <t>6.36亿</t>
  </si>
  <si>
    <t>2.43亿</t>
  </si>
  <si>
    <t>1.03亿</t>
  </si>
  <si>
    <t>7.67亿</t>
  </si>
  <si>
    <t>3.30亿</t>
  </si>
  <si>
    <t>1.24亿</t>
  </si>
  <si>
    <t>1.01亿</t>
  </si>
  <si>
    <t>8.62亿</t>
  </si>
  <si>
    <t>1.11亿</t>
  </si>
  <si>
    <t>7.25亿</t>
  </si>
  <si>
    <t>6.94亿</t>
  </si>
  <si>
    <t>4.13亿</t>
  </si>
  <si>
    <t>1.15亿</t>
  </si>
  <si>
    <t>3.67亿</t>
  </si>
  <si>
    <t>3.01亿</t>
  </si>
  <si>
    <t>1.99亿</t>
  </si>
  <si>
    <t>1.62亿</t>
  </si>
  <si>
    <t>1.27亿</t>
  </si>
  <si>
    <t>1.19亿</t>
  </si>
  <si>
    <t>4.19亿</t>
  </si>
  <si>
    <t>2.00亿</t>
  </si>
  <si>
    <t>1.72亿</t>
  </si>
  <si>
    <t>1.38亿</t>
  </si>
  <si>
    <t>1.20亿</t>
  </si>
  <si>
    <t>2.72亿</t>
  </si>
  <si>
    <t>1.08亿</t>
  </si>
  <si>
    <t>1.74亿</t>
  </si>
  <si>
    <t>1.36亿</t>
  </si>
  <si>
    <t>1.48亿</t>
  </si>
  <si>
    <t>1.10亿</t>
  </si>
  <si>
    <t>1.56亿</t>
  </si>
  <si>
    <t>3.15亿</t>
  </si>
  <si>
    <t>1.65亿</t>
  </si>
  <si>
    <t>4.43亿</t>
  </si>
  <si>
    <t>1.92亿</t>
  </si>
  <si>
    <t>3.58亿</t>
  </si>
  <si>
    <t>2.07亿</t>
  </si>
  <si>
    <t>预期多</t>
    <phoneticPr fontId="1" type="noConversion"/>
  </si>
  <si>
    <t>预期空</t>
    <phoneticPr fontId="1" type="noConversion"/>
  </si>
  <si>
    <t>已知和基本信息</t>
    <phoneticPr fontId="1" type="noConversion"/>
  </si>
  <si>
    <t>代码</t>
  </si>
  <si>
    <t>总市值</t>
  </si>
  <si>
    <t>TTM市盈率</t>
  </si>
  <si>
    <t>所属行业</t>
  </si>
  <si>
    <t>负债合计</t>
  </si>
  <si>
    <t>所有者权益合计</t>
  </si>
  <si>
    <t>主营业务收入</t>
  </si>
  <si>
    <t>净利润增长率</t>
  </si>
  <si>
    <t>总股本</t>
  </si>
  <si>
    <t>财务费用</t>
  </si>
  <si>
    <t>投资收益</t>
  </si>
  <si>
    <t>应收账款</t>
  </si>
  <si>
    <t>SZ000423</t>
  </si>
  <si>
    <t>中药</t>
  </si>
  <si>
    <t>1.42亿</t>
  </si>
  <si>
    <t>1.31亿</t>
  </si>
  <si>
    <t>3.60亿</t>
  </si>
  <si>
    <t>SZ000538</t>
  </si>
  <si>
    <t>296.65亿</t>
  </si>
  <si>
    <t>41.84亿</t>
  </si>
  <si>
    <t>43.71亿</t>
  </si>
  <si>
    <t>SZ000590</t>
  </si>
  <si>
    <t>4244.23万</t>
  </si>
  <si>
    <t>0亿</t>
  </si>
  <si>
    <t>SZ000650</t>
  </si>
  <si>
    <t>45.81亿</t>
  </si>
  <si>
    <t>5.38亿</t>
  </si>
  <si>
    <t>1.49亿</t>
  </si>
  <si>
    <t>SZ000790</t>
  </si>
  <si>
    <t>华神科技</t>
  </si>
  <si>
    <t>6163.23万</t>
  </si>
  <si>
    <t>2.83亿</t>
  </si>
  <si>
    <t>1.23亿</t>
  </si>
  <si>
    <t>1.32亿</t>
  </si>
  <si>
    <t>SZ000989</t>
  </si>
  <si>
    <t>11.68亿</t>
  </si>
  <si>
    <t>31.84亿</t>
  </si>
  <si>
    <t>1.50亿</t>
  </si>
  <si>
    <t>3.02亿</t>
  </si>
  <si>
    <t>SZ000999</t>
  </si>
  <si>
    <t>21.87亿</t>
  </si>
  <si>
    <t>1.75亿</t>
  </si>
  <si>
    <t>3.19亿</t>
  </si>
  <si>
    <t>SZ002082</t>
  </si>
  <si>
    <t>万邦德</t>
  </si>
  <si>
    <t>1.12亿</t>
  </si>
  <si>
    <t>1.14亿</t>
  </si>
  <si>
    <t>5.47亿</t>
  </si>
  <si>
    <t>6.26亿</t>
  </si>
  <si>
    <t>SZ002107</t>
  </si>
  <si>
    <t>8.60亿</t>
  </si>
  <si>
    <t>9580.15万</t>
  </si>
  <si>
    <t>1.07亿</t>
  </si>
  <si>
    <t>2.30亿</t>
  </si>
  <si>
    <t>4.18亿</t>
  </si>
  <si>
    <t>36.27亿</t>
  </si>
  <si>
    <t>SZ002198</t>
  </si>
  <si>
    <t>5.01亿</t>
  </si>
  <si>
    <t>-1.22亿</t>
  </si>
  <si>
    <t>SZ002275</t>
  </si>
  <si>
    <t>16.40亿</t>
  </si>
  <si>
    <t>3.92亿</t>
  </si>
  <si>
    <t>SZ002287</t>
  </si>
  <si>
    <t>14.03亿</t>
  </si>
  <si>
    <t>3.64亿</t>
  </si>
  <si>
    <t>SZ002317</t>
  </si>
  <si>
    <t>25.32亿</t>
  </si>
  <si>
    <t>3.18亿</t>
  </si>
  <si>
    <t>6.38亿</t>
  </si>
  <si>
    <t>2.95亿</t>
  </si>
  <si>
    <t>SZ002349</t>
  </si>
  <si>
    <t>11.57亿</t>
  </si>
  <si>
    <t>-3.94亿</t>
  </si>
  <si>
    <t>5.45亿</t>
  </si>
  <si>
    <t>1.47亿</t>
  </si>
  <si>
    <t>1.70亿</t>
  </si>
  <si>
    <t>SZ002390</t>
  </si>
  <si>
    <t>66.55亿</t>
  </si>
  <si>
    <t>2.36亿</t>
  </si>
  <si>
    <t>1.91亿</t>
  </si>
  <si>
    <t>34.41亿</t>
  </si>
  <si>
    <t>6.30亿</t>
  </si>
  <si>
    <t>SZ002412</t>
  </si>
  <si>
    <t>8.87亿</t>
  </si>
  <si>
    <t>2.73亿</t>
  </si>
  <si>
    <t>4.53亿</t>
  </si>
  <si>
    <t>1.71亿</t>
  </si>
  <si>
    <t>SZ002424</t>
  </si>
  <si>
    <t>28.51亿</t>
  </si>
  <si>
    <t>2.91亿</t>
  </si>
  <si>
    <t>SZ002566</t>
  </si>
  <si>
    <t>10.13亿</t>
  </si>
  <si>
    <t>7659.87万</t>
  </si>
  <si>
    <t>1.97亿</t>
  </si>
  <si>
    <t>2.75亿</t>
  </si>
  <si>
    <t>SZ002603</t>
  </si>
  <si>
    <t>58.25亿</t>
  </si>
  <si>
    <t>6.07亿</t>
  </si>
  <si>
    <t>2.90亿</t>
  </si>
  <si>
    <t>SZ002644</t>
  </si>
  <si>
    <t>6.29亿</t>
  </si>
  <si>
    <t>3.04亿</t>
  </si>
  <si>
    <t>2.37亿</t>
  </si>
  <si>
    <t>SZ002728</t>
  </si>
  <si>
    <t>9.21亿</t>
  </si>
  <si>
    <t>2.76亿</t>
  </si>
  <si>
    <t>SZ002737</t>
  </si>
  <si>
    <t>5.65亿</t>
  </si>
  <si>
    <t>3.36亿</t>
  </si>
  <si>
    <t>4.54亿</t>
  </si>
  <si>
    <t>SZ002750</t>
  </si>
  <si>
    <t>-2310.74万</t>
  </si>
  <si>
    <t>1.26亿</t>
  </si>
  <si>
    <t>2.11亿</t>
  </si>
  <si>
    <t>2.03亿</t>
  </si>
  <si>
    <t>SZ002864</t>
  </si>
  <si>
    <t>6.11亿</t>
  </si>
  <si>
    <t>7177.89万</t>
  </si>
  <si>
    <t>1.05亿</t>
  </si>
  <si>
    <t>SZ002873</t>
  </si>
  <si>
    <t>7.73亿</t>
  </si>
  <si>
    <t>7142.22万</t>
  </si>
  <si>
    <t>SZ002907</t>
  </si>
  <si>
    <t>8.42亿</t>
  </si>
  <si>
    <t>1.59亿</t>
  </si>
  <si>
    <t>SZ300026</t>
  </si>
  <si>
    <t>50.03亿</t>
  </si>
  <si>
    <t>4.03亿</t>
  </si>
  <si>
    <t>SZ300039</t>
  </si>
  <si>
    <t>14.19亿</t>
  </si>
  <si>
    <t>2.51亿</t>
  </si>
  <si>
    <t>SZ300108</t>
  </si>
  <si>
    <t>10.66亿</t>
  </si>
  <si>
    <t>-17.72亿</t>
  </si>
  <si>
    <t>SZ300147</t>
  </si>
  <si>
    <t>27.86亿</t>
  </si>
  <si>
    <t>6.23亿</t>
  </si>
  <si>
    <t>SZ300181</t>
  </si>
  <si>
    <t>9.11亿</t>
  </si>
  <si>
    <t>2559.28万</t>
  </si>
  <si>
    <t>SZ300519</t>
  </si>
  <si>
    <t>7.74亿</t>
  </si>
  <si>
    <t>9390.07万</t>
  </si>
  <si>
    <t>5.07亿</t>
  </si>
  <si>
    <t>SZ300534</t>
  </si>
  <si>
    <t>2.39亿</t>
  </si>
  <si>
    <t>1277.75万</t>
  </si>
  <si>
    <t>SZ300878</t>
  </si>
  <si>
    <t>维康药业</t>
  </si>
  <si>
    <t>5.78亿</t>
  </si>
  <si>
    <t>6.42亿</t>
  </si>
  <si>
    <t>SH600085</t>
  </si>
  <si>
    <t>132.77亿</t>
  </si>
  <si>
    <t>SH600129</t>
  </si>
  <si>
    <t>116.43亿</t>
  </si>
  <si>
    <t>25.04亿</t>
  </si>
  <si>
    <t>1.02亿</t>
  </si>
  <si>
    <t>SH600222</t>
  </si>
  <si>
    <t>13.12亿</t>
  </si>
  <si>
    <t>5.41亿</t>
  </si>
  <si>
    <t>SH600252</t>
  </si>
  <si>
    <t>38.14亿</t>
  </si>
  <si>
    <t>SH600285</t>
  </si>
  <si>
    <t>21.57亿</t>
  </si>
  <si>
    <t>2.94亿</t>
  </si>
  <si>
    <t>SH600329</t>
  </si>
  <si>
    <t>69.94亿</t>
  </si>
  <si>
    <t>3.05亿</t>
  </si>
  <si>
    <t>SH600332</t>
  </si>
  <si>
    <t>649.52亿</t>
  </si>
  <si>
    <t>31.89亿</t>
  </si>
  <si>
    <t>SH600351</t>
  </si>
  <si>
    <t>30.42亿</t>
  </si>
  <si>
    <t>1390.69万</t>
  </si>
  <si>
    <t>4.31亿</t>
  </si>
  <si>
    <t>SH600422</t>
  </si>
  <si>
    <t>81.20亿</t>
  </si>
  <si>
    <t>SH600436</t>
  </si>
  <si>
    <t>57.22亿</t>
  </si>
  <si>
    <t>13.74亿</t>
  </si>
  <si>
    <t>1.30亿</t>
  </si>
  <si>
    <t>SH600479</t>
  </si>
  <si>
    <t>35.25亿</t>
  </si>
  <si>
    <t>SH600518</t>
  </si>
  <si>
    <t>114.46亿</t>
  </si>
  <si>
    <t>-46.61亿</t>
  </si>
  <si>
    <t>3.03亿</t>
  </si>
  <si>
    <t>SH600535</t>
  </si>
  <si>
    <t>189.98亿</t>
  </si>
  <si>
    <t>10.01亿</t>
  </si>
  <si>
    <t>2.63亿</t>
  </si>
  <si>
    <t>SH600557</t>
  </si>
  <si>
    <t>45.66亿</t>
  </si>
  <si>
    <t>4.36亿</t>
  </si>
  <si>
    <t>SH600566</t>
  </si>
  <si>
    <t>69.40亿</t>
  </si>
  <si>
    <t>16.23亿</t>
  </si>
  <si>
    <t>1.28亿</t>
  </si>
  <si>
    <t>6.62亿</t>
  </si>
  <si>
    <t>SH600572</t>
  </si>
  <si>
    <t>67.68亿</t>
  </si>
  <si>
    <t>-3.46亿</t>
  </si>
  <si>
    <t>10.53亿</t>
  </si>
  <si>
    <t>2.17亿</t>
  </si>
  <si>
    <t>SH600594</t>
  </si>
  <si>
    <t>33.61亿</t>
  </si>
  <si>
    <t>SH600671</t>
  </si>
  <si>
    <t>1.37亿</t>
  </si>
  <si>
    <t>2.97亿</t>
  </si>
  <si>
    <t>1.22亿</t>
  </si>
  <si>
    <t>SH600750</t>
  </si>
  <si>
    <t>24.49亿</t>
  </si>
  <si>
    <t>4.64亿</t>
  </si>
  <si>
    <t>SH600771</t>
  </si>
  <si>
    <t>4.09亿</t>
  </si>
  <si>
    <t>2.14亿</t>
  </si>
  <si>
    <t>SH600976</t>
  </si>
  <si>
    <t>22.39亿</t>
  </si>
  <si>
    <t>9149.03万</t>
  </si>
  <si>
    <t>3.62亿</t>
  </si>
  <si>
    <t>SH600993</t>
  </si>
  <si>
    <t>27.05亿</t>
  </si>
  <si>
    <t>SH603139</t>
  </si>
  <si>
    <t>4276.30万</t>
  </si>
  <si>
    <t>SH603439</t>
  </si>
  <si>
    <t>贵州三力</t>
  </si>
  <si>
    <t>8.84亿</t>
  </si>
  <si>
    <t>1.33亿</t>
  </si>
  <si>
    <t>7.22亿</t>
  </si>
  <si>
    <t>SH603567</t>
  </si>
  <si>
    <t>7.00亿</t>
  </si>
  <si>
    <t>SH603858</t>
  </si>
  <si>
    <t>142.55亿</t>
  </si>
  <si>
    <t>19.46亿</t>
  </si>
  <si>
    <t>SH603896</t>
  </si>
  <si>
    <t>SH603963</t>
  </si>
  <si>
    <t>1350.55万</t>
  </si>
  <si>
    <t>1.06亿</t>
  </si>
  <si>
    <t>SH603998</t>
  </si>
  <si>
    <t>10.94亿</t>
  </si>
  <si>
    <t>7891.07万</t>
  </si>
  <si>
    <t>5.37亿</t>
  </si>
  <si>
    <t>SH605199</t>
  </si>
  <si>
    <t>葫芦娃</t>
  </si>
  <si>
    <t>13.06亿</t>
  </si>
  <si>
    <t>流动资产</t>
  </si>
  <si>
    <t>营业收入[20191231]</t>
  </si>
  <si>
    <t>营业收入[20181231]</t>
  </si>
  <si>
    <t>净利润[20191231]</t>
  </si>
  <si>
    <t>净利润[20181231]</t>
  </si>
  <si>
    <t>净利润[20171231]</t>
  </si>
  <si>
    <t>13.58亿</t>
  </si>
  <si>
    <t>34.09亿</t>
  </si>
  <si>
    <t>4328.93万</t>
  </si>
  <si>
    <t>6.70亿</t>
  </si>
  <si>
    <t>3.11亿</t>
  </si>
  <si>
    <t>29.70亿</t>
  </si>
  <si>
    <t>73.38亿</t>
  </si>
  <si>
    <t>-4.55亿</t>
  </si>
  <si>
    <t>20.85亿</t>
  </si>
  <si>
    <t>327.43亿</t>
  </si>
  <si>
    <t>55.16亿</t>
  </si>
  <si>
    <t>270.17亿</t>
  </si>
  <si>
    <t>34.94亿</t>
  </si>
  <si>
    <t>启迪药业</t>
  </si>
  <si>
    <t>2.55亿</t>
  </si>
  <si>
    <t>2272.24万</t>
  </si>
  <si>
    <t>1.63亿</t>
  </si>
  <si>
    <t>1.86亿</t>
  </si>
  <si>
    <t>3.44亿</t>
  </si>
  <si>
    <t>3.17亿</t>
  </si>
  <si>
    <t>-3818.04万</t>
  </si>
  <si>
    <t>2.71亿</t>
  </si>
  <si>
    <t>44.03亿</t>
  </si>
  <si>
    <t>5.06亿</t>
  </si>
  <si>
    <t>3.80亿</t>
  </si>
  <si>
    <t>8.82亿</t>
  </si>
  <si>
    <t>7.59亿</t>
  </si>
  <si>
    <t>3750.35万</t>
  </si>
  <si>
    <t>6.33亿</t>
  </si>
  <si>
    <t>5.75亿</t>
  </si>
  <si>
    <t>3116.94万</t>
  </si>
  <si>
    <t>35.60亿</t>
  </si>
  <si>
    <t>31.62亿</t>
  </si>
  <si>
    <t>136.37亿</t>
  </si>
  <si>
    <t>15.97亿</t>
  </si>
  <si>
    <t>5.81亿</t>
  </si>
  <si>
    <t>147.94亿</t>
  </si>
  <si>
    <t>134.28亿</t>
  </si>
  <si>
    <t>20.99亿</t>
  </si>
  <si>
    <t>14.32亿</t>
  </si>
  <si>
    <t>137.02亿</t>
  </si>
  <si>
    <t>2.85亿</t>
  </si>
  <si>
    <t>166.91亿</t>
  </si>
  <si>
    <t>143.35亿</t>
  </si>
  <si>
    <t>8408.05万</t>
  </si>
  <si>
    <t>1.79亿</t>
  </si>
  <si>
    <t>5.63亿</t>
  </si>
  <si>
    <t>4565.15万</t>
  </si>
  <si>
    <t>2.86亿</t>
  </si>
  <si>
    <t>1983.83万</t>
  </si>
  <si>
    <t>3587.86万</t>
  </si>
  <si>
    <t>15.66亿</t>
  </si>
  <si>
    <t>2.77亿</t>
  </si>
  <si>
    <t>15.85亿</t>
  </si>
  <si>
    <t>3.77亿</t>
  </si>
  <si>
    <t>12.13亿</t>
  </si>
  <si>
    <t>1.52亿</t>
  </si>
  <si>
    <t>18.96亿</t>
  </si>
  <si>
    <t>-4.27亿</t>
  </si>
  <si>
    <t>4.89亿</t>
  </si>
  <si>
    <t>23.62亿</t>
  </si>
  <si>
    <t>4.14亿</t>
  </si>
  <si>
    <t>12.81亿</t>
  </si>
  <si>
    <t>2.82亿</t>
  </si>
  <si>
    <t>13.55亿</t>
  </si>
  <si>
    <t>11.21亿</t>
  </si>
  <si>
    <t>8.81亿</t>
  </si>
  <si>
    <t>58.46亿</t>
  </si>
  <si>
    <t>65.80亿</t>
  </si>
  <si>
    <t>-12.97亿</t>
  </si>
  <si>
    <t>7.41亿</t>
  </si>
  <si>
    <t>9.22亿</t>
  </si>
  <si>
    <t>30.88亿</t>
  </si>
  <si>
    <t>2.70亿</t>
  </si>
  <si>
    <t>31.37亿</t>
  </si>
  <si>
    <t>8.43亿</t>
  </si>
  <si>
    <t>8006.01万</t>
  </si>
  <si>
    <t>9.75亿</t>
  </si>
  <si>
    <t>9.39亿</t>
  </si>
  <si>
    <t>6907.93万</t>
  </si>
  <si>
    <t>87.82亿</t>
  </si>
  <si>
    <t>12.19亿</t>
  </si>
  <si>
    <t>6.68亿</t>
  </si>
  <si>
    <t>48.15亿</t>
  </si>
  <si>
    <t>5.99亿</t>
  </si>
  <si>
    <t>4.30亿</t>
  </si>
  <si>
    <t>4381.65万</t>
  </si>
  <si>
    <t>3.20亿</t>
  </si>
  <si>
    <t>8.85亿</t>
  </si>
  <si>
    <t>6.87亿</t>
  </si>
  <si>
    <t>34.62亿</t>
  </si>
  <si>
    <t>5.84亿</t>
  </si>
  <si>
    <t>2.15亿</t>
  </si>
  <si>
    <t>44.72亿</t>
  </si>
  <si>
    <t>3.07亿</t>
  </si>
  <si>
    <t>2.54亿</t>
  </si>
  <si>
    <t>1181.16万</t>
  </si>
  <si>
    <t>2.24亿</t>
  </si>
  <si>
    <t>1387.01万</t>
  </si>
  <si>
    <t>7911.50万</t>
  </si>
  <si>
    <t>6468.19万</t>
  </si>
  <si>
    <t>7.51亿</t>
  </si>
  <si>
    <t>2.27亿</t>
  </si>
  <si>
    <t>7097.55万</t>
  </si>
  <si>
    <t>7.03亿</t>
  </si>
  <si>
    <t>5.92亿</t>
  </si>
  <si>
    <t>64.88亿</t>
  </si>
  <si>
    <t>7.30亿</t>
  </si>
  <si>
    <t>5.21亿</t>
  </si>
  <si>
    <t>11.62亿</t>
  </si>
  <si>
    <t>42.24亿</t>
  </si>
  <si>
    <t>6.59亿</t>
  </si>
  <si>
    <t>11.26亿</t>
  </si>
  <si>
    <t>9.08亿</t>
  </si>
  <si>
    <t>15.01亿</t>
  </si>
  <si>
    <t>6.49亿</t>
  </si>
  <si>
    <t>-3.80亿</t>
  </si>
  <si>
    <t>9.42亿</t>
  </si>
  <si>
    <t>30.72亿</t>
  </si>
  <si>
    <t>7651.44万</t>
  </si>
  <si>
    <t>5643.93万</t>
  </si>
  <si>
    <t>10.91亿</t>
  </si>
  <si>
    <t>8880.18万</t>
  </si>
  <si>
    <t>2075.18万</t>
  </si>
  <si>
    <t>9897.64万</t>
  </si>
  <si>
    <t>8799.58万</t>
  </si>
  <si>
    <t>183.11万</t>
  </si>
  <si>
    <t>1227.78万</t>
  </si>
  <si>
    <t>8777.67万</t>
  </si>
  <si>
    <t>128.26亿</t>
  </si>
  <si>
    <t>142.09亿</t>
  </si>
  <si>
    <t>112.08亿</t>
  </si>
  <si>
    <t>106.89亿</t>
  </si>
  <si>
    <t>79.52亿</t>
  </si>
  <si>
    <t>9.16亿</t>
  </si>
  <si>
    <t>14.17亿</t>
  </si>
  <si>
    <t>11.95亿</t>
  </si>
  <si>
    <t>36.76亿</t>
  </si>
  <si>
    <t>1.40亿</t>
  </si>
  <si>
    <t>32.99亿</t>
  </si>
  <si>
    <t>9.84亿</t>
  </si>
  <si>
    <t>23.32亿</t>
  </si>
  <si>
    <t>20.53亿</t>
  </si>
  <si>
    <t>66.04亿</t>
  </si>
  <si>
    <t>63.59亿</t>
  </si>
  <si>
    <t>5.62亿</t>
  </si>
  <si>
    <t>616.74亿</t>
  </si>
  <si>
    <t>29.15亿</t>
  </si>
  <si>
    <t>422.34亿</t>
  </si>
  <si>
    <t>26.02亿</t>
  </si>
  <si>
    <t>29.18亿</t>
  </si>
  <si>
    <t>77.17亿</t>
  </si>
  <si>
    <t>4.57亿</t>
  </si>
  <si>
    <t>71.02亿</t>
  </si>
  <si>
    <t>15.67亿</t>
  </si>
  <si>
    <t>65.11亿</t>
  </si>
  <si>
    <t>16.72亿</t>
  </si>
  <si>
    <t>47.66亿</t>
  </si>
  <si>
    <t>11.43亿</t>
  </si>
  <si>
    <t>33.29亿</t>
  </si>
  <si>
    <t>54.12亿</t>
  </si>
  <si>
    <t>170.65亿</t>
  </si>
  <si>
    <t>3.74亿</t>
  </si>
  <si>
    <t>135.76亿</t>
  </si>
  <si>
    <t>6.20亿</t>
  </si>
  <si>
    <t>179.90亿</t>
  </si>
  <si>
    <t>15.45亿</t>
  </si>
  <si>
    <t>30.32亿</t>
  </si>
  <si>
    <t>38.25亿</t>
  </si>
  <si>
    <t>61.65亿</t>
  </si>
  <si>
    <t>12.77亿</t>
  </si>
  <si>
    <t>72.08亿</t>
  </si>
  <si>
    <t>16.88亿</t>
  </si>
  <si>
    <t>59.09亿</t>
  </si>
  <si>
    <t>1.61亿</t>
  </si>
  <si>
    <t>70.18亿</t>
  </si>
  <si>
    <t>8.15亿</t>
  </si>
  <si>
    <t>4.40亿</t>
  </si>
  <si>
    <t>34.13亿</t>
  </si>
  <si>
    <t>38.83亿</t>
  </si>
  <si>
    <t>-4051.83万</t>
  </si>
  <si>
    <t>1.76亿</t>
  </si>
  <si>
    <t>5068.01万</t>
  </si>
  <si>
    <t>-987.64万</t>
  </si>
  <si>
    <t>24.41亿</t>
  </si>
  <si>
    <t>4.74亿</t>
  </si>
  <si>
    <t>17.55亿</t>
  </si>
  <si>
    <t>4.70亿</t>
  </si>
  <si>
    <t>24.56亿</t>
  </si>
  <si>
    <t>21.61亿</t>
  </si>
  <si>
    <t>8121.77万</t>
  </si>
  <si>
    <t>27.92亿</t>
  </si>
  <si>
    <t>21.98亿</t>
  </si>
  <si>
    <t>3411.37万</t>
  </si>
  <si>
    <t>3.76亿</t>
  </si>
  <si>
    <t>5562.92万</t>
  </si>
  <si>
    <t>9395.28万</t>
  </si>
  <si>
    <t>32.92亿</t>
  </si>
  <si>
    <t>27.81亿</t>
  </si>
  <si>
    <t>4.62亿</t>
  </si>
  <si>
    <t>160.07亿</t>
  </si>
  <si>
    <t>18.61亿</t>
  </si>
  <si>
    <t>2.10亿</t>
  </si>
  <si>
    <t>136.65亿</t>
  </si>
  <si>
    <t>18.88亿</t>
  </si>
  <si>
    <t>5.11亿</t>
  </si>
  <si>
    <t>323.17万</t>
  </si>
  <si>
    <t>4.01亿</t>
  </si>
  <si>
    <t>1070.05万</t>
  </si>
  <si>
    <t>12.79亿</t>
  </si>
  <si>
    <t>6379.35万</t>
  </si>
  <si>
    <t>10.51亿</t>
  </si>
  <si>
    <t>7299.39万</t>
  </si>
  <si>
    <t>1.90亿</t>
  </si>
  <si>
    <t>1.60亿</t>
  </si>
  <si>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</si>
  <si>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</si>
  <si>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</si>
  <si>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</si>
  <si>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</si>
  <si>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</si>
  <si>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</si>
  <si>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</si>
  <si>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</si>
  <si>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</si>
  <si>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</si>
  <si>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</si>
  <si>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</si>
  <si>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</si>
  <si>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</si>
  <si>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</si>
  <si>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</si>
  <si>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4.04亿</t>
  </si>
  <si>
    <t>3.41亿</t>
  </si>
  <si>
    <t>1.18亿</t>
  </si>
  <si>
    <t>SZ002166</t>
  </si>
  <si>
    <t>莱茵生物</t>
  </si>
  <si>
    <t>7.84亿</t>
  </si>
  <si>
    <t>8598.94万</t>
  </si>
  <si>
    <t>8166.43万</t>
  </si>
  <si>
    <t>8.54亿</t>
  </si>
  <si>
    <t>2.78亿</t>
  </si>
  <si>
    <t>8.46亿</t>
  </si>
  <si>
    <t>SZ300391</t>
  </si>
  <si>
    <t>12.15亿</t>
  </si>
  <si>
    <t>2532.00万</t>
  </si>
  <si>
    <t>-6.70亿</t>
  </si>
  <si>
    <t>SH600080</t>
  </si>
  <si>
    <t>金花股份</t>
  </si>
  <si>
    <t>7.55亿</t>
  </si>
  <si>
    <t>9.70亿</t>
  </si>
  <si>
    <t>12.27亿</t>
  </si>
  <si>
    <t>片仔癀</t>
  </si>
  <si>
    <t>千金药业</t>
  </si>
  <si>
    <t>42.78亿</t>
  </si>
  <si>
    <t>13.44亿</t>
  </si>
  <si>
    <t>1.55亿</t>
  </si>
  <si>
    <t>17.70亿</t>
  </si>
  <si>
    <t>1.苗医作为我国民族医药的重要组成部分，距今已有三、四千年的历史，是苗族人民在长期的生产活动与疾病、伤害作斗争的实践中，积累的宝贵医疗经验，对致病因素、疾病诊断、治疗及预防等都有独到见解，在疾病分类和命名上具有浓厚的民族特色，临证处方用药方面亦有许多的独到之处，是我国传统医药宝库的一部分。</t>
    <phoneticPr fontId="1" type="noConversion"/>
  </si>
  <si>
    <t>1.营收变动不大，利润的变化来源自销售费用的控制上。销售费用控制好的年份利润会表现突出；</t>
    <phoneticPr fontId="1" type="noConversion"/>
  </si>
  <si>
    <t/>
  </si>
  <si>
    <t>流通股本</t>
  </si>
  <si>
    <t>投入资本回报率roic%[20201231]</t>
  </si>
  <si>
    <t>净资产收益率%[20201231]</t>
  </si>
  <si>
    <t>6.65亿</t>
  </si>
  <si>
    <t>1.肛肠品类序列不断丰富，肛肠品类规模持续增长，2021 年同比增长 18.81%。</t>
    <phoneticPr fontId="1" type="noConversion"/>
  </si>
  <si>
    <t>1.过往增速平均稍低于pe，2021年营收增速20%，利润增速10%，暂时没看到更多的突破，那么更多的就是等待风口进行趋势跟踪</t>
    <phoneticPr fontId="1" type="noConversion"/>
  </si>
  <si>
    <t>营业收入[20171231]</t>
  </si>
  <si>
    <t>净利润[20201231]</t>
  </si>
  <si>
    <t>38.49亿</t>
  </si>
  <si>
    <t>363.74亿</t>
  </si>
  <si>
    <t>3543.86万</t>
  </si>
  <si>
    <t>1.87亿</t>
  </si>
  <si>
    <t>49.36亿</t>
  </si>
  <si>
    <t>5.80亿</t>
  </si>
  <si>
    <t>37.84亿</t>
  </si>
  <si>
    <t>14.04亿</t>
  </si>
  <si>
    <t>19.31亿</t>
  </si>
  <si>
    <t>1.67亿</t>
  </si>
  <si>
    <t>9.43亿</t>
  </si>
  <si>
    <t>2.12亿</t>
  </si>
  <si>
    <t>147.73万</t>
  </si>
  <si>
    <t>17.41亿</t>
  </si>
  <si>
    <t>7.16亿</t>
  </si>
  <si>
    <t>14.85亿</t>
  </si>
  <si>
    <t>24.29亿</t>
  </si>
  <si>
    <t>2.09亿</t>
  </si>
  <si>
    <t>1.78亿</t>
  </si>
  <si>
    <t>64.72亿</t>
  </si>
  <si>
    <t>8.92亿</t>
  </si>
  <si>
    <t>8.78亿</t>
  </si>
  <si>
    <t>9602.03万</t>
  </si>
  <si>
    <t>7.69亿</t>
  </si>
  <si>
    <t>101.17亿</t>
  </si>
  <si>
    <t>8.18亿</t>
  </si>
  <si>
    <t>9325.90万</t>
  </si>
  <si>
    <t>7110.70万</t>
  </si>
  <si>
    <t>7291.82万</t>
  </si>
  <si>
    <t>7.58亿</t>
  </si>
  <si>
    <t>44.61亿</t>
  </si>
  <si>
    <t>7.05亿</t>
  </si>
  <si>
    <t>309.34万</t>
  </si>
  <si>
    <t>9316.99万</t>
  </si>
  <si>
    <t>6.34亿</t>
  </si>
  <si>
    <t>2.01亿</t>
  </si>
  <si>
    <t>9178.04万</t>
  </si>
  <si>
    <t>76.71亿</t>
  </si>
  <si>
    <t>4.65亿</t>
  </si>
  <si>
    <t>11.01亿</t>
  </si>
  <si>
    <t>29.71亿</t>
  </si>
  <si>
    <t>14.57亿</t>
  </si>
  <si>
    <t>4910.45万</t>
  </si>
  <si>
    <t>3.21亿</t>
  </si>
  <si>
    <t>2.88亿</t>
  </si>
  <si>
    <t>-910.62万</t>
  </si>
  <si>
    <t>9649.54万</t>
  </si>
  <si>
    <t>SZ301111</t>
  </si>
  <si>
    <t>粤万年青</t>
  </si>
  <si>
    <t>3.50亿</t>
  </si>
  <si>
    <t>5718.19万</t>
  </si>
  <si>
    <t>6252.17万</t>
  </si>
  <si>
    <t>6663.31万</t>
  </si>
  <si>
    <t>6360.04万</t>
  </si>
  <si>
    <t>16.05亿</t>
  </si>
  <si>
    <t>26.94亿</t>
  </si>
  <si>
    <t>69.08亿</t>
  </si>
  <si>
    <t>3.32亿</t>
  </si>
  <si>
    <t>690.14亿</t>
  </si>
  <si>
    <t>37.20亿</t>
  </si>
  <si>
    <t>27.64亿</t>
  </si>
  <si>
    <t>82.54亿</t>
  </si>
  <si>
    <t>5.08亿</t>
  </si>
  <si>
    <t>23.59亿</t>
  </si>
  <si>
    <t>80.22亿</t>
  </si>
  <si>
    <t>36.64亿</t>
  </si>
  <si>
    <t>2.44亿</t>
  </si>
  <si>
    <t>41.53亿</t>
  </si>
  <si>
    <t>79.18亿</t>
  </si>
  <si>
    <t>-310.85亿</t>
  </si>
  <si>
    <t>23.04亿</t>
  </si>
  <si>
    <t>36.49亿</t>
  </si>
  <si>
    <t>76.31亿</t>
  </si>
  <si>
    <t>17.19亿</t>
  </si>
  <si>
    <t>33.47亿</t>
  </si>
  <si>
    <t>-2980.14万</t>
  </si>
  <si>
    <t>28.74亿</t>
  </si>
  <si>
    <t>33.85亿</t>
  </si>
  <si>
    <t>3648.15万</t>
  </si>
  <si>
    <t>157.63亿</t>
  </si>
  <si>
    <t>-4189.06万</t>
  </si>
  <si>
    <t>7004.06万</t>
  </si>
  <si>
    <t>13.54亿</t>
  </si>
  <si>
    <t>7213.79万</t>
  </si>
  <si>
    <t xml:space="preserve">    名称</t>
  </si>
  <si>
    <t>净利润?</t>
  </si>
  <si>
    <t>投入资本回报率roic%[20211231]</t>
  </si>
  <si>
    <t>净资产收益率%[20211231]</t>
  </si>
  <si>
    <t>细分行业</t>
  </si>
  <si>
    <t>折现率</t>
    <phoneticPr fontId="1" type="noConversion"/>
  </si>
  <si>
    <t>30日成交换手率</t>
    <phoneticPr fontId="1" type="noConversion"/>
  </si>
  <si>
    <t>1-1</t>
  </si>
  <si>
    <t>SZ000623</t>
  </si>
  <si>
    <t>吉林敖东</t>
  </si>
  <si>
    <t>17.81亿</t>
  </si>
  <si>
    <t>22.52亿</t>
  </si>
  <si>
    <t>33.24亿</t>
  </si>
  <si>
    <t>17.09亿</t>
  </si>
  <si>
    <t>9.35亿</t>
  </si>
  <si>
    <t>账面净赚</t>
  </si>
  <si>
    <t>-1-1</t>
  </si>
  <si>
    <t>9.55亿</t>
  </si>
  <si>
    <t>2-0</t>
  </si>
  <si>
    <t>4.34亿</t>
  </si>
  <si>
    <t>-1-0</t>
  </si>
  <si>
    <t>2.47亿</t>
  </si>
  <si>
    <t>亏损</t>
  </si>
  <si>
    <t>扭亏</t>
  </si>
  <si>
    <t>1-0</t>
  </si>
  <si>
    <t>4.79亿</t>
  </si>
  <si>
    <t>3.65亿</t>
  </si>
  <si>
    <t>2.49亿</t>
  </si>
  <si>
    <t>6.80亿</t>
  </si>
  <si>
    <t>3.83亿</t>
  </si>
  <si>
    <t>3.85亿</t>
  </si>
  <si>
    <t>4.92亿</t>
  </si>
  <si>
    <t>6.21亿</t>
  </si>
  <si>
    <t>6.85亿</t>
  </si>
  <si>
    <t>-4.51亿</t>
  </si>
  <si>
    <t>1.00亿</t>
  </si>
  <si>
    <t>SZ301331</t>
  </si>
  <si>
    <t>恩威医药</t>
  </si>
  <si>
    <t>5.93亿</t>
  </si>
  <si>
    <t>9874.32万</t>
  </si>
  <si>
    <t>8259.20万</t>
  </si>
  <si>
    <t>8624.87万</t>
  </si>
  <si>
    <t>1.64亿</t>
  </si>
  <si>
    <t>6.24亿</t>
  </si>
  <si>
    <t>达仁堂</t>
  </si>
  <si>
    <t>4.23亿</t>
  </si>
  <si>
    <t>2.41亿</t>
  </si>
  <si>
    <t>1.88亿</t>
  </si>
  <si>
    <t>12.01亿</t>
  </si>
  <si>
    <t>21.71亿</t>
  </si>
  <si>
    <t>5.74亿</t>
  </si>
  <si>
    <t>2.62亿</t>
  </si>
  <si>
    <t>1.39亿</t>
  </si>
  <si>
    <t>1.34亿</t>
  </si>
  <si>
    <t>1.41亿</t>
  </si>
  <si>
    <t>30.33亿</t>
  </si>
  <si>
    <t>8.73亿</t>
  </si>
  <si>
    <t>8.29亿</t>
  </si>
  <si>
    <r>
      <t>1.现有产品管线覆盖</t>
    </r>
    <r>
      <rPr>
        <sz val="9"/>
        <color rgb="FFFF0000"/>
        <rFont val="宋体"/>
        <family val="3"/>
        <charset val="134"/>
        <scheme val="minor"/>
      </rPr>
      <t>眼科、心脑血管、呼吸、消化、妇科</t>
    </r>
    <r>
      <rPr>
        <sz val="9"/>
        <color theme="1"/>
        <rFont val="宋体"/>
        <family val="2"/>
        <charset val="134"/>
        <scheme val="minor"/>
      </rPr>
      <t>等多种重大疾病领域,产品布局完整、梯队合理,符合国家产业政策和药物政策,能够满足全终端市场需求。创新药管线覆盖</t>
    </r>
    <r>
      <rPr>
        <sz val="9"/>
        <color rgb="FFFF0000"/>
        <rFont val="宋体"/>
        <family val="3"/>
        <charset val="134"/>
        <scheme val="minor"/>
      </rPr>
      <t>呼吸、肿瘤和代谢</t>
    </r>
    <r>
      <rPr>
        <sz val="9"/>
        <color theme="1"/>
        <rFont val="宋体"/>
        <family val="2"/>
        <charset val="134"/>
        <scheme val="minor"/>
      </rPr>
      <t>性疾病等治疗领域。2.公司基于对核心治疗领域呼吸系统病毒性、感染性疾病的理解和新药研发丰富经验,果断布局广谱抗新冠病毒药物的研发。RAY1216是众生睿创研发的、具有全球自主知识产权的强效、广谱抗新冠病毒3CL蛋白酶抑制剂,通过作用于新型冠状病毒主蛋白(mainprotease,Mpro,3CLpro),</t>
    </r>
    <r>
      <rPr>
        <b/>
        <sz val="9"/>
        <color rgb="FFFF0000"/>
        <rFont val="宋体"/>
        <family val="3"/>
        <charset val="134"/>
        <scheme val="minor"/>
      </rPr>
      <t>抑制病毒前体蛋白质的切割,进而阻断病毒复制,达到抗新冠病毒的作用</t>
    </r>
    <r>
      <rPr>
        <sz val="9"/>
        <color theme="1"/>
        <rFont val="宋体"/>
        <family val="2"/>
        <charset val="134"/>
        <scheme val="minor"/>
      </rPr>
      <t>。</t>
    </r>
    <phoneticPr fontId="1" type="noConversion"/>
  </si>
  <si>
    <r>
      <t>1.盘龙七片作为风湿骨科类的国家医保甲类独家药品，公司采用专业学术推广模式分别对三大终端布局。据米内网最新数据，2021年我国</t>
    </r>
    <r>
      <rPr>
        <sz val="9"/>
        <color rgb="FFFF0000"/>
        <rFont val="宋体"/>
        <family val="3"/>
        <charset val="134"/>
        <scheme val="minor"/>
      </rPr>
      <t>骨骼肌肉系统风湿性疾病中成药于城市及县级公立医院药品市场份额中排名第二</t>
    </r>
    <r>
      <rPr>
        <sz val="9"/>
        <color theme="1"/>
        <rFont val="宋体"/>
        <family val="2"/>
        <charset val="134"/>
        <scheme val="minor"/>
      </rPr>
      <t>，市场口碑良好。2.</t>
    </r>
    <r>
      <rPr>
        <b/>
        <sz val="9"/>
        <color rgb="FFFF0000"/>
        <rFont val="宋体"/>
        <family val="3"/>
        <charset val="134"/>
        <scheme val="minor"/>
      </rPr>
      <t>小儿咽扁颗粒和杞菊地黄胶囊</t>
    </r>
    <r>
      <rPr>
        <sz val="9"/>
        <color theme="1"/>
        <rFont val="宋体"/>
        <family val="2"/>
        <charset val="134"/>
        <scheme val="minor"/>
      </rPr>
      <t>是公司潜力产品。</t>
    </r>
    <phoneticPr fontId="1" type="noConversion"/>
  </si>
  <si>
    <t>涨幅</t>
  </si>
  <si>
    <t>3年自由现金流折现</t>
    <phoneticPr fontId="1" type="noConversion"/>
  </si>
  <si>
    <t>清算价格</t>
    <phoneticPr fontId="1" type="noConversion"/>
  </si>
  <si>
    <t>机会区域号</t>
    <phoneticPr fontId="1" type="noConversion"/>
  </si>
  <si>
    <t>昨日价格累计指数</t>
    <phoneticPr fontId="1" type="noConversion"/>
  </si>
  <si>
    <t>过往利润增速均值</t>
    <phoneticPr fontId="1" type="noConversion"/>
  </si>
  <si>
    <t>策略1营收单季最佳增速</t>
    <phoneticPr fontId="1" type="noConversion"/>
  </si>
  <si>
    <t>价格变动策略</t>
    <phoneticPr fontId="1" type="noConversion"/>
  </si>
  <si>
    <t>5日成交换手率</t>
    <phoneticPr fontId="1" type="noConversion"/>
  </si>
  <si>
    <t>价格箱体形态过滤</t>
    <phoneticPr fontId="1" type="noConversion"/>
  </si>
  <si>
    <t>不分配不转增</t>
  </si>
  <si>
    <t>10派3元(含税)</t>
  </si>
  <si>
    <t>10派1元(含税)</t>
  </si>
  <si>
    <t>35.40亿</t>
  </si>
  <si>
    <t>10派0.1元(含税)</t>
  </si>
  <si>
    <t>10派4元(含税)</t>
  </si>
  <si>
    <t>1.81亿</t>
  </si>
  <si>
    <t>2.89亿</t>
  </si>
  <si>
    <t>10派2元(含税)</t>
  </si>
  <si>
    <t>10派0.6元(含税)</t>
  </si>
  <si>
    <t>10派0.3元(含税)</t>
  </si>
  <si>
    <t>10派0.5元(含税)</t>
  </si>
  <si>
    <t>4.08亿</t>
  </si>
  <si>
    <t>10派6元(含税)</t>
  </si>
  <si>
    <t>2.04亿</t>
  </si>
  <si>
    <t>1.68亿</t>
  </si>
  <si>
    <t>1.85亿</t>
  </si>
  <si>
    <t>10派0.8元(含税)</t>
  </si>
  <si>
    <t>10派3.3元(含税)</t>
  </si>
  <si>
    <t>10派3.5元(含税)</t>
  </si>
  <si>
    <t>10派1.5元(含税)</t>
  </si>
  <si>
    <t>40.42亿</t>
  </si>
  <si>
    <t>7.80亿</t>
  </si>
  <si>
    <t>364.88亿</t>
  </si>
  <si>
    <t>30.01亿</t>
  </si>
  <si>
    <t>210.00万</t>
  </si>
  <si>
    <t>28.05亿</t>
  </si>
  <si>
    <t>3.51亿</t>
  </si>
  <si>
    <t>28.68亿</t>
  </si>
  <si>
    <t>51.53亿</t>
  </si>
  <si>
    <t>4121.75万</t>
  </si>
  <si>
    <t>2.28亿</t>
  </si>
  <si>
    <t>5563.48万</t>
  </si>
  <si>
    <t>1.58亿</t>
  </si>
  <si>
    <t>180.79亿</t>
  </si>
  <si>
    <t>155.44亿</t>
  </si>
  <si>
    <t>20.55亿</t>
  </si>
  <si>
    <t>17.86亿</t>
  </si>
  <si>
    <t>10.15亿</t>
  </si>
  <si>
    <t>1.69亿</t>
  </si>
  <si>
    <t>14.01亿</t>
  </si>
  <si>
    <t>4393.47万</t>
  </si>
  <si>
    <t>1.16亿</t>
  </si>
  <si>
    <t>1.82亿</t>
  </si>
  <si>
    <t>19.60亿</t>
  </si>
  <si>
    <t>20.45亿</t>
  </si>
  <si>
    <t>2.87亿</t>
  </si>
  <si>
    <t>10派3.9元(含税)</t>
  </si>
  <si>
    <t>26.76亿</t>
  </si>
  <si>
    <t>3.22亿</t>
  </si>
  <si>
    <t>15.73亿</t>
  </si>
  <si>
    <t>63.50亿</t>
  </si>
  <si>
    <t>3.95亿</t>
  </si>
  <si>
    <t>31.11亿</t>
  </si>
  <si>
    <t>8309.70万</t>
  </si>
  <si>
    <t>125.33亿</t>
  </si>
  <si>
    <t>50.95亿</t>
  </si>
  <si>
    <t>8.67亿</t>
  </si>
  <si>
    <t>-5611.65万</t>
  </si>
  <si>
    <t>9.74亿</t>
  </si>
  <si>
    <t>10.88亿</t>
  </si>
  <si>
    <t>7.85亿</t>
  </si>
  <si>
    <t>9840.06万</t>
  </si>
  <si>
    <t>10派0.7元(含税)</t>
  </si>
  <si>
    <t>66.50亿</t>
  </si>
  <si>
    <t>11.19亿</t>
  </si>
  <si>
    <t>-2.76亿</t>
  </si>
  <si>
    <t>18.05亿</t>
  </si>
  <si>
    <t>1000.00万</t>
  </si>
  <si>
    <t>长药控股</t>
  </si>
  <si>
    <t>16.15亿</t>
  </si>
  <si>
    <t>-2327.33万</t>
  </si>
  <si>
    <t>1.09亿</t>
  </si>
  <si>
    <t>5.79亿</t>
  </si>
  <si>
    <t>6.92亿</t>
  </si>
  <si>
    <t>6780.13万</t>
  </si>
  <si>
    <t>3345.95万</t>
  </si>
  <si>
    <t>153.72亿</t>
  </si>
  <si>
    <t>27.14亿</t>
  </si>
  <si>
    <t>7902.55万</t>
  </si>
  <si>
    <t>30.02亿</t>
  </si>
  <si>
    <t>82.49亿</t>
  </si>
  <si>
    <t>1.51亿</t>
  </si>
  <si>
    <t>707.88亿</t>
  </si>
  <si>
    <t>39.67亿</t>
  </si>
  <si>
    <t>27.18亿</t>
  </si>
  <si>
    <t>82.82亿</t>
  </si>
  <si>
    <t>86.94亿</t>
  </si>
  <si>
    <t>24.72亿</t>
  </si>
  <si>
    <t>24.32亿</t>
  </si>
  <si>
    <t>40.26亿</t>
  </si>
  <si>
    <t>41.80亿</t>
  </si>
  <si>
    <t>43.51亿</t>
  </si>
  <si>
    <t>10派2.2元(含税)</t>
  </si>
  <si>
    <t>89.96亿</t>
  </si>
  <si>
    <t>60.00亿</t>
  </si>
  <si>
    <t>65.68亿</t>
  </si>
  <si>
    <t>20.17亿</t>
  </si>
  <si>
    <t>27.35亿</t>
  </si>
  <si>
    <t>4.21亿</t>
  </si>
  <si>
    <t>36.41亿</t>
  </si>
  <si>
    <t>35.32亿</t>
  </si>
  <si>
    <t>-6305.59万</t>
  </si>
  <si>
    <t>41.27亿</t>
  </si>
  <si>
    <t>34.04亿</t>
  </si>
  <si>
    <t>149.51亿</t>
  </si>
  <si>
    <t>-1770.15万</t>
  </si>
  <si>
    <t>17.92亿</t>
  </si>
  <si>
    <t>15.15亿</t>
  </si>
  <si>
    <t>8568.20万</t>
  </si>
  <si>
    <t>成交量[20230707]</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</si>
  <si>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</si>
  <si>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</si>
  <si>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</si>
  <si>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</si>
  <si>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</si>
  <si>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</si>
  <si>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</si>
  <si>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</si>
  <si>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</si>
  <si>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</si>
  <si>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</si>
  <si>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</si>
  <si>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</si>
  <si>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</si>
  <si>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</si>
  <si>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</si>
  <si>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</si>
  <si>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</si>
  <si>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</si>
  <si>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</si>
  <si>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</si>
  <si>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</si>
  <si>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</si>
  <si>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</si>
  <si>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</si>
  <si>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</si>
  <si>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</si>
  <si>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</si>
  <si>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</si>
  <si>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</si>
  <si>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</si>
  <si>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</si>
  <si>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</si>
  <si>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</si>
  <si>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</si>
  <si>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投入资本回报率roic%[20221231]</t>
  </si>
  <si>
    <t>净资产收益率%[20221231]</t>
  </si>
  <si>
    <t>分红明细[20221231]</t>
  </si>
  <si>
    <t>销售毛利率%[20230331]</t>
  </si>
  <si>
    <t>销售毛利率%[20211231]</t>
  </si>
  <si>
    <t>销售净利率%[20230331]</t>
  </si>
  <si>
    <t>销售净利率%[20211231]</t>
  </si>
  <si>
    <t>指数@区间涨跌幅:不复权%[20230703-20230707]</t>
  </si>
  <si>
    <t>区间涨跌幅:前复权%[20230525-20230707]</t>
  </si>
  <si>
    <t>区间成交量[20230703-20230707]</t>
  </si>
  <si>
    <t>区间成交量[20230525-20230707]</t>
  </si>
  <si>
    <t>6年PE</t>
    <phoneticPr fontId="1" type="noConversion"/>
  </si>
  <si>
    <t>5年营收增速PEG</t>
    <phoneticPr fontId="1" type="noConversion"/>
  </si>
  <si>
    <t>股利率</t>
    <phoneticPr fontId="1" type="noConversion"/>
  </si>
  <si>
    <t>过往营收增速均值</t>
    <phoneticPr fontId="1" type="noConversion"/>
  </si>
  <si>
    <t>1年自由现金流折现</t>
    <phoneticPr fontId="1" type="noConversion"/>
  </si>
  <si>
    <t>1增速</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</si>
  <si>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</si>
  <si>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</si>
  <si>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</si>
  <si>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</si>
  <si>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</si>
  <si>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</si>
  <si>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</si>
  <si>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原始顺序</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</si>
  <si>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</si>
  <si>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</si>
  <si>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</si>
  <si>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</si>
  <si>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</si>
  <si>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</si>
  <si>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</si>
  <si>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</si>
  <si>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今日价格累积指数</t>
    <phoneticPr fontId="1" type="noConversion"/>
  </si>
  <si>
    <t>成交量异动策略</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</si>
  <si>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</si>
  <si>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</si>
  <si>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</si>
  <si>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</si>
  <si>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</si>
  <si>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</si>
  <si>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</si>
  <si>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19.61亿</t>
  </si>
  <si>
    <r>
      <t>1.安宫牛黄丸和同仁堂有</t>
    </r>
    <r>
      <rPr>
        <sz val="9"/>
        <color rgb="FFFF0000"/>
        <rFont val="宋体"/>
        <family val="3"/>
        <charset val="134"/>
        <scheme val="minor"/>
      </rPr>
      <t>竞争关系</t>
    </r>
    <r>
      <rPr>
        <sz val="9"/>
        <color theme="1"/>
        <rFont val="宋体"/>
        <family val="2"/>
        <charset val="134"/>
        <scheme val="minor"/>
      </rPr>
      <t>（安宫牛黄丸主要医治急性脑卒中，且有养生滋补功效，片仔癀通过并购子公司切入此赛道和同仁堂竞争）；2.从2005年提价17次；但2014年后量增加很大给营销带来总提升；</t>
    </r>
    <phoneticPr fontId="1" type="noConversion"/>
  </si>
  <si>
    <r>
      <t>0.漳州市国资委实控人；1.片仔癀原料</t>
    </r>
    <r>
      <rPr>
        <sz val="9"/>
        <color rgb="FFFF0000"/>
        <rFont val="宋体"/>
        <family val="3"/>
        <charset val="134"/>
        <scheme val="minor"/>
      </rPr>
      <t>牛黄和麝香</t>
    </r>
    <r>
      <rPr>
        <sz val="9"/>
        <color theme="1"/>
        <rFont val="宋体"/>
        <family val="2"/>
        <charset val="134"/>
        <scheme val="minor"/>
      </rPr>
      <t>（国家管控材料，稀缺性）田七，蛇胆，癀原意是热毒肿痛特别肝病引发，所以片仔癀主治肝病，中国为</t>
    </r>
    <r>
      <rPr>
        <sz val="9"/>
        <color rgb="FFFF0000"/>
        <rFont val="宋体"/>
        <family val="3"/>
        <charset val="134"/>
        <scheme val="minor"/>
      </rPr>
      <t>肝病大国，且解酒护肝场景</t>
    </r>
    <r>
      <rPr>
        <sz val="9"/>
        <color theme="1"/>
        <rFont val="宋体"/>
        <family val="2"/>
        <charset val="134"/>
        <scheme val="minor"/>
      </rPr>
      <t>；2.2022年5月化妆品产品线实现独立运作；3.片仔癀有很多衍生品产品，痔疮膏，含片，解痒，活络油，润喉片；</t>
    </r>
    <phoneticPr fontId="1" type="noConversion"/>
  </si>
  <si>
    <r>
      <t>0.云南国有股权运营有限公司，陈发树的新华都，以及鱼跃医药为三大股东；1.全球独有的低纬高原地区地貌特征，成就了云南白药“植物王国”的美誉。2.云南白药牙膏2022年市场占有率达到24%；3.2023年半年报预告</t>
    </r>
    <r>
      <rPr>
        <sz val="9"/>
        <color rgb="FFFF0000"/>
        <rFont val="宋体"/>
        <family val="3"/>
        <charset val="134"/>
        <scheme val="minor"/>
      </rPr>
      <t>30亿利润增速75%</t>
    </r>
    <r>
      <rPr>
        <sz val="9"/>
        <rFont val="宋体"/>
        <family val="3"/>
        <charset val="134"/>
        <scheme val="minor"/>
      </rPr>
      <t>；</t>
    </r>
    <phoneticPr fontId="1" type="noConversion"/>
  </si>
  <si>
    <t>1.四大BG,药品事业部，健康品事业部，中药资源事业部，省医药公司，三大BU,口腔智护，医美业务，新零售健康服务；</t>
    <phoneticPr fontId="1" type="noConversion"/>
  </si>
  <si>
    <t>0.北京国资委实控人；1.牛黄丸主打心血管，脑卒中等急慢性病；</t>
    <phoneticPr fontId="1" type="noConversion"/>
  </si>
  <si>
    <t>1.这几年价格持续增长，市场预期有一定演绎；</t>
    <phoneticPr fontId="1" type="noConversion"/>
  </si>
  <si>
    <t>1.院士吴以岭领衔的中药公司；</t>
    <phoneticPr fontId="1" type="noConversion"/>
  </si>
  <si>
    <t>1.莲花温清的正负作用都需要考虑，坏的就是演绎过于充分，好的作为中药感冒药的经典。</t>
    <phoneticPr fontId="1" type="noConversion"/>
  </si>
  <si>
    <t>0.国资委控股（06年华润控股）；1.滋补阿胶闻名，阿胶是马科动物驴的皮熬制而成，和人参，鹿茸并称中药三宝；</t>
    <phoneticPr fontId="1" type="noConversion"/>
  </si>
  <si>
    <t>1.利润增速大于营收，涨价应该是原因之一，最高单次涨过68%：2.阿胶有点归属于高消费的滋补品；</t>
    <phoneticPr fontId="1" type="noConversion"/>
  </si>
  <si>
    <t>0.国资委控股；</t>
    <phoneticPr fontId="1" type="noConversion"/>
  </si>
  <si>
    <t>1.预计中报业绩：净利润9.893亿元至10.88亿元，增长幅度为1倍至1.2倍 变动原因：一是公司通过深入整合优势资源，实现营业收入和净利润同比稳定增长；二是公司公允价值变动收益及投资收益同比增加。2023年上半年，预计非经常性损益金额对净利润的影响金额约为12,000万元-13,000万元（2022年同期为-29,048.23万元）。</t>
    <phoneticPr fontId="1" type="noConversion"/>
  </si>
  <si>
    <t>1.蒲地蓝和小儿翅鞘是主打产品；BD新品可能为伊坦生长激素和蛋白酶抑制剂；</t>
    <phoneticPr fontId="1" type="noConversion"/>
  </si>
  <si>
    <r>
      <t>0.广州市国资委实控人；1.知名产品为：
消渴丸 、</t>
    </r>
    <r>
      <rPr>
        <sz val="9"/>
        <color rgb="FFFF0000"/>
        <rFont val="宋体"/>
        <family val="3"/>
        <charset val="134"/>
        <scheme val="minor"/>
      </rPr>
      <t>板蓝根</t>
    </r>
    <r>
      <rPr>
        <sz val="9"/>
        <color theme="1"/>
        <rFont val="宋体"/>
        <family val="2"/>
        <charset val="134"/>
        <scheme val="minor"/>
      </rPr>
      <t>颗粒系列 、滋肾育胎丸 、小柴胡颗粒  、复方丹参片系列 、清开灵系列 、华佗再造丸 、夏桑菊颗粒  、</t>
    </r>
    <r>
      <rPr>
        <sz val="9"/>
        <color rgb="FFFF0000"/>
        <rFont val="宋体"/>
        <family val="3"/>
        <charset val="134"/>
        <scheme val="minor"/>
      </rPr>
      <t>保济</t>
    </r>
    <r>
      <rPr>
        <sz val="9"/>
        <color theme="1"/>
        <rFont val="宋体"/>
        <family val="2"/>
        <charset val="134"/>
        <scheme val="minor"/>
      </rPr>
      <t>系列 、小儿七星茶颗粒 、安宫牛黄丸  、壮腰健肾丸  、舒筋健腰丸 、</t>
    </r>
    <r>
      <rPr>
        <sz val="9"/>
        <color rgb="FFFF0000"/>
        <rFont val="宋体"/>
        <family val="3"/>
        <charset val="134"/>
        <scheme val="minor"/>
      </rPr>
      <t>蜜炼川贝枇杷膏</t>
    </r>
    <r>
      <rPr>
        <sz val="9"/>
        <color theme="1"/>
        <rFont val="宋体"/>
        <family val="2"/>
        <charset val="134"/>
        <scheme val="minor"/>
      </rPr>
      <t xml:space="preserve"> 、头孢克肟系列 、枸橼酸西地那非 、头孢硫脒  、头孢丙烯系列 、阿咖酚散系列 、阿莫西林  、</t>
    </r>
    <r>
      <rPr>
        <sz val="9"/>
        <color rgb="FFFF0000"/>
        <rFont val="宋体"/>
        <family val="3"/>
        <charset val="134"/>
        <scheme val="minor"/>
      </rPr>
      <t>王老吉凉茶</t>
    </r>
    <r>
      <rPr>
        <sz val="9"/>
        <color theme="1"/>
        <rFont val="宋体"/>
        <family val="2"/>
        <charset val="134"/>
        <scheme val="minor"/>
      </rPr>
      <t xml:space="preserve"> 、刺柠吉系列</t>
    </r>
    <phoneticPr fontId="1" type="noConversion"/>
  </si>
  <si>
    <t>2.05亿</t>
  </si>
  <si>
    <t>4.06亿</t>
  </si>
  <si>
    <t>4.83亿</t>
  </si>
  <si>
    <t>14.94亿</t>
  </si>
  <si>
    <t>2.96亿</t>
  </si>
  <si>
    <t>4.16亿</t>
  </si>
  <si>
    <t>6.81亿</t>
  </si>
  <si>
    <t>-3-0</t>
  </si>
  <si>
    <t>3.53亿</t>
  </si>
  <si>
    <t>4.59亿</t>
  </si>
  <si>
    <t>5.40亿</t>
  </si>
  <si>
    <t>3.35亿</t>
  </si>
  <si>
    <t>4.75亿</t>
  </si>
  <si>
    <t>10.17亿</t>
  </si>
  <si>
    <t>3.73亿</t>
  </si>
  <si>
    <t>3.46亿</t>
  </si>
  <si>
    <t>5.30亿</t>
  </si>
  <si>
    <t>8.00亿</t>
  </si>
  <si>
    <t>12.94亿</t>
  </si>
  <si>
    <t>19.11亿</t>
  </si>
  <si>
    <t>1.83亿</t>
  </si>
  <si>
    <t>19.01亿</t>
  </si>
  <si>
    <t>9.87亿</t>
  </si>
  <si>
    <t>-15.30亿</t>
  </si>
  <si>
    <t>4.99亿</t>
  </si>
  <si>
    <t>2.81亿</t>
  </si>
  <si>
    <t>10.57亿</t>
  </si>
  <si>
    <t>1.29亿</t>
  </si>
  <si>
    <t>1.89亿</t>
  </si>
  <si>
    <t>3-1</t>
  </si>
  <si>
    <t>12.14亿</t>
  </si>
  <si>
    <t>14.60亿</t>
  </si>
  <si>
    <t>-4-0</t>
  </si>
  <si>
    <t>-4-1</t>
  </si>
  <si>
    <t>3.94亿</t>
  </si>
  <si>
    <t>13.67亿</t>
  </si>
  <si>
    <t>2.45亿</t>
  </si>
  <si>
    <t>47.67亿</t>
  </si>
  <si>
    <t>18.77亿</t>
  </si>
  <si>
    <t>-2-1</t>
  </si>
  <si>
    <t>2.34亿</t>
  </si>
  <si>
    <t>7.07亿</t>
  </si>
  <si>
    <t>1.25亿</t>
  </si>
  <si>
    <t>7.60亿</t>
  </si>
  <si>
    <t>6.00亿</t>
  </si>
  <si>
    <t>4.46亿</t>
  </si>
  <si>
    <t>8.61亿</t>
  </si>
  <si>
    <t>2.67亿</t>
  </si>
  <si>
    <t>10000.00万</t>
  </si>
  <si>
    <t>6.93亿</t>
  </si>
  <si>
    <t>1.77亿</t>
  </si>
  <si>
    <t>9947.59万</t>
  </si>
  <si>
    <t>7254.64万</t>
  </si>
  <si>
    <t>38.22亿</t>
  </si>
  <si>
    <t>26.11亿</t>
  </si>
  <si>
    <t>16.35亿</t>
  </si>
  <si>
    <t>5.98亿</t>
  </si>
  <si>
    <t>1.04亿</t>
  </si>
  <si>
    <t>2-1</t>
  </si>
  <si>
    <t>10.03亿</t>
  </si>
  <si>
    <t>14.92亿</t>
  </si>
  <si>
    <t>1.46亿</t>
  </si>
  <si>
    <t>2.40亿</t>
  </si>
  <si>
    <t>4.05亿</t>
  </si>
  <si>
    <t>19.73亿</t>
  </si>
  <si>
    <t>14.98亿</t>
  </si>
  <si>
    <t>14.27亿</t>
  </si>
  <si>
    <t>2.93亿</t>
  </si>
  <si>
    <t>3.43亿</t>
  </si>
  <si>
    <t>5.02亿</t>
  </si>
  <si>
    <t>2.56亿</t>
  </si>
  <si>
    <t>15.42亿</t>
  </si>
  <si>
    <t>4.10亿</t>
  </si>
  <si>
    <t>4.38亿</t>
  </si>
  <si>
    <t>4.88亿</t>
  </si>
  <si>
    <t>7.71亿</t>
  </si>
  <si>
    <t>3.34亿</t>
  </si>
  <si>
    <t>2.25亿</t>
  </si>
  <si>
    <t>-5-1</t>
  </si>
  <si>
    <t>3.28亿</t>
  </si>
  <si>
    <t>1.57亿</t>
  </si>
  <si>
    <t>25.66亿</t>
  </si>
  <si>
    <t>14.53亿</t>
  </si>
  <si>
    <t>47.15亿</t>
  </si>
  <si>
    <t>11.51亿</t>
  </si>
  <si>
    <t>9471783亿</t>
  </si>
  <si>
    <t>328636170亿</t>
  </si>
  <si>
    <t>186563130亿</t>
  </si>
  <si>
    <t>10592205200亿</t>
  </si>
  <si>
    <t>19.53亿</t>
  </si>
  <si>
    <t>10.69亿</t>
  </si>
  <si>
    <t>01151000000</t>
  </si>
  <si>
    <t>03453000000</t>
  </si>
  <si>
    <t>06906000000</t>
  </si>
  <si>
    <t>011510000000</t>
  </si>
  <si>
    <t>023020000000</t>
  </si>
  <si>
    <t>3-0</t>
  </si>
  <si>
    <t>138.79亿</t>
  </si>
  <si>
    <t>107.74亿</t>
  </si>
  <si>
    <t>391.11亿</t>
  </si>
  <si>
    <t>40.94亿</t>
  </si>
  <si>
    <t>244226090亿</t>
  </si>
  <si>
    <t>1690411600亿</t>
  </si>
  <si>
    <t>11580081100亿</t>
  </si>
  <si>
    <t>39074382000亿</t>
  </si>
  <si>
    <t>43.60亿</t>
  </si>
  <si>
    <t>5.19亿</t>
  </si>
  <si>
    <t>105.13亿</t>
  </si>
  <si>
    <t>15.18亿</t>
  </si>
  <si>
    <t>10派20.77元(含税)</t>
  </si>
  <si>
    <t>7709.36万</t>
  </si>
  <si>
    <t>2524.68万</t>
  </si>
  <si>
    <t>89951亿</t>
  </si>
  <si>
    <t>-9360106亿</t>
  </si>
  <si>
    <t>16258234亿</t>
  </si>
  <si>
    <t>554427650亿</t>
  </si>
  <si>
    <t>8000.00万</t>
  </si>
  <si>
    <t>1810.99万</t>
  </si>
  <si>
    <t>658.48万</t>
  </si>
  <si>
    <t>34.49亿</t>
  </si>
  <si>
    <t>267154610亿</t>
  </si>
  <si>
    <t>278141840亿</t>
  </si>
  <si>
    <t>1320069480亿</t>
  </si>
  <si>
    <t>5552309900亿</t>
  </si>
  <si>
    <t>7.88亿</t>
  </si>
  <si>
    <t>4.86亿</t>
  </si>
  <si>
    <t>3.82亿</t>
  </si>
  <si>
    <t>7.90亿</t>
  </si>
  <si>
    <t>12.38亿</t>
  </si>
  <si>
    <t>50.32亿</t>
  </si>
  <si>
    <t>5.67亿</t>
  </si>
  <si>
    <t>40.45亿</t>
  </si>
  <si>
    <t>6934277亿</t>
  </si>
  <si>
    <t>101106457亿</t>
  </si>
  <si>
    <t>730177970亿</t>
  </si>
  <si>
    <t>4863830500亿</t>
  </si>
  <si>
    <t>3.45亿</t>
  </si>
  <si>
    <t>-2.94亿</t>
  </si>
  <si>
    <t>13.56亿</t>
  </si>
  <si>
    <t>2765.95万</t>
  </si>
  <si>
    <t>-1114593亿</t>
  </si>
  <si>
    <t>1945405亿</t>
  </si>
  <si>
    <t>407106900亿</t>
  </si>
  <si>
    <t>909237950亿</t>
  </si>
  <si>
    <t>2.20亿</t>
  </si>
  <si>
    <t>320.92万</t>
  </si>
  <si>
    <t>ST九芝</t>
  </si>
  <si>
    <t>13.82亿</t>
  </si>
  <si>
    <t>10.79亿</t>
  </si>
  <si>
    <t>29.61亿</t>
  </si>
  <si>
    <t>12024289亿</t>
  </si>
  <si>
    <t>139132940亿</t>
  </si>
  <si>
    <t>6.73亿</t>
  </si>
  <si>
    <t>844102760亿</t>
  </si>
  <si>
    <t>3344837400亿</t>
  </si>
  <si>
    <t>10.89亿</t>
  </si>
  <si>
    <t>0297000000</t>
  </si>
  <si>
    <t>0891000000</t>
  </si>
  <si>
    <t>01782000000</t>
  </si>
  <si>
    <t>02970000000</t>
  </si>
  <si>
    <t>05940000000</t>
  </si>
  <si>
    <t>158.87亿</t>
  </si>
  <si>
    <t>72.94亿</t>
  </si>
  <si>
    <t>247.39亿</t>
  </si>
  <si>
    <t>28.53亿</t>
  </si>
  <si>
    <t>2167408亿</t>
  </si>
  <si>
    <t>1327840360亿</t>
  </si>
  <si>
    <t>6332568500亿</t>
  </si>
  <si>
    <t>23687907000亿</t>
  </si>
  <si>
    <t>63.52亿</t>
  </si>
  <si>
    <t>10转3股派15元(含税)</t>
  </si>
  <si>
    <t>15.37亿</t>
  </si>
  <si>
    <t>4.29亿</t>
  </si>
  <si>
    <t>4920.89万</t>
  </si>
  <si>
    <t>9.07亿</t>
  </si>
  <si>
    <t>228589亿</t>
  </si>
  <si>
    <t>14097321亿</t>
  </si>
  <si>
    <t>915788520亿</t>
  </si>
  <si>
    <t>1915917300亿</t>
  </si>
  <si>
    <t>9326.03万</t>
  </si>
  <si>
    <t>2733.70万</t>
  </si>
  <si>
    <t>049208900</t>
  </si>
  <si>
    <t>0147626700</t>
  </si>
  <si>
    <t>0295253400</t>
  </si>
  <si>
    <t>0492089000</t>
  </si>
  <si>
    <t>0984178000</t>
  </si>
  <si>
    <t>9.10亿</t>
  </si>
  <si>
    <t>5876.71万</t>
  </si>
  <si>
    <t>8225849亿</t>
  </si>
  <si>
    <t>63358646亿</t>
  </si>
  <si>
    <t>698291660亿</t>
  </si>
  <si>
    <t>2.35亿</t>
  </si>
  <si>
    <t>2544.93万</t>
  </si>
  <si>
    <t>10派2.5元(含税)</t>
  </si>
  <si>
    <t>2.21亿</t>
  </si>
  <si>
    <t>14.21亿</t>
  </si>
  <si>
    <t>8251.10万</t>
  </si>
  <si>
    <t>39570888亿</t>
  </si>
  <si>
    <t>291015040亿</t>
  </si>
  <si>
    <t>2520544700亿</t>
  </si>
  <si>
    <t>2.53亿</t>
  </si>
  <si>
    <t>1993.74万</t>
  </si>
  <si>
    <t>8457.85万</t>
  </si>
  <si>
    <t>9441.54万</t>
  </si>
  <si>
    <t>5.33亿</t>
  </si>
  <si>
    <t>3432.02万</t>
  </si>
  <si>
    <t>-928149亿</t>
  </si>
  <si>
    <t>3794434亿</t>
  </si>
  <si>
    <t>93656748亿</t>
  </si>
  <si>
    <t>583240490亿</t>
  </si>
  <si>
    <t>1218.60万</t>
  </si>
  <si>
    <t>21.72亿</t>
  </si>
  <si>
    <t>-387464亿</t>
  </si>
  <si>
    <t>87515392亿</t>
  </si>
  <si>
    <t>208759780亿</t>
  </si>
  <si>
    <t>2113520300亿</t>
  </si>
  <si>
    <t>2.74亿</t>
  </si>
  <si>
    <t>25.28亿</t>
  </si>
  <si>
    <t>16.29亿</t>
  </si>
  <si>
    <t>10285743亿</t>
  </si>
  <si>
    <t>56028486亿</t>
  </si>
  <si>
    <t>241286910亿</t>
  </si>
  <si>
    <t>3654642200亿</t>
  </si>
  <si>
    <t>4.73亿</t>
  </si>
  <si>
    <t>9276.32万</t>
  </si>
  <si>
    <t>10派4.8元(含税)</t>
  </si>
  <si>
    <t>19.33亿</t>
  </si>
  <si>
    <t>6.41亿</t>
  </si>
  <si>
    <t>10.81亿</t>
  </si>
  <si>
    <t>3.26亿</t>
  </si>
  <si>
    <t>7168129亿</t>
  </si>
  <si>
    <t>72226907亿</t>
  </si>
  <si>
    <t>487686420亿</t>
  </si>
  <si>
    <t>4.98亿</t>
  </si>
  <si>
    <t>3566392500亿</t>
  </si>
  <si>
    <t>900.00万</t>
  </si>
  <si>
    <t>7.47亿</t>
  </si>
  <si>
    <t>3.81亿</t>
  </si>
  <si>
    <t>15.12亿</t>
  </si>
  <si>
    <t>2.48亿</t>
  </si>
  <si>
    <t>135621亿</t>
  </si>
  <si>
    <t>65811494亿</t>
  </si>
  <si>
    <t>277199600亿</t>
  </si>
  <si>
    <t>2039492400亿</t>
  </si>
  <si>
    <t>2092.45万</t>
  </si>
  <si>
    <t>8767.13万</t>
  </si>
  <si>
    <t>10派0.92元(含税)</t>
  </si>
  <si>
    <t>21.03亿</t>
  </si>
  <si>
    <t>15.82亿</t>
  </si>
  <si>
    <t>64.61亿</t>
  </si>
  <si>
    <t>58811966亿</t>
  </si>
  <si>
    <t>8.06亿</t>
  </si>
  <si>
    <t>2950204100亿</t>
  </si>
  <si>
    <t>5305761800亿</t>
  </si>
  <si>
    <t>7.91亿</t>
  </si>
  <si>
    <t>5294.48万</t>
  </si>
  <si>
    <t>0287000000</t>
  </si>
  <si>
    <t>0861000000</t>
  </si>
  <si>
    <t>01722000000</t>
  </si>
  <si>
    <t>02870000000</t>
  </si>
  <si>
    <t>05740000000</t>
  </si>
  <si>
    <t>9.56亿</t>
  </si>
  <si>
    <t>4586980亿</t>
  </si>
  <si>
    <t>55200815亿</t>
  </si>
  <si>
    <t>313142760亿</t>
  </si>
  <si>
    <t>948384770亿</t>
  </si>
  <si>
    <t>9512.00万</t>
  </si>
  <si>
    <t>3.55亿</t>
  </si>
  <si>
    <t>2.50亿</t>
  </si>
  <si>
    <t>5506.75万</t>
  </si>
  <si>
    <t>13.33亿</t>
  </si>
  <si>
    <t>42.63亿</t>
  </si>
  <si>
    <t>-4.15亿</t>
  </si>
  <si>
    <t>-5833184亿</t>
  </si>
  <si>
    <t>44605736亿</t>
  </si>
  <si>
    <t>2389302500亿</t>
  </si>
  <si>
    <t>4451403300亿</t>
  </si>
  <si>
    <t>10.92亿</t>
  </si>
  <si>
    <t>9230.64万</t>
  </si>
  <si>
    <t>9.81亿</t>
  </si>
  <si>
    <t>2.18亿</t>
  </si>
  <si>
    <t>7.14亿</t>
  </si>
  <si>
    <t>9473.27万</t>
  </si>
  <si>
    <t>1974908亿</t>
  </si>
  <si>
    <t>18094832亿</t>
  </si>
  <si>
    <t>168285120亿</t>
  </si>
  <si>
    <t>2450747100亿</t>
  </si>
  <si>
    <t>5.90亿</t>
  </si>
  <si>
    <t>2870.26万</t>
  </si>
  <si>
    <t>094732700</t>
  </si>
  <si>
    <t>0284198100</t>
  </si>
  <si>
    <t>0568396200</t>
  </si>
  <si>
    <t>0947327000</t>
  </si>
  <si>
    <t>01894654000</t>
  </si>
  <si>
    <t>55.41亿</t>
  </si>
  <si>
    <t>25.23亿</t>
  </si>
  <si>
    <t>103.18亿</t>
  </si>
  <si>
    <t>13.52亿</t>
  </si>
  <si>
    <t>3814580亿</t>
  </si>
  <si>
    <t>292250890亿</t>
  </si>
  <si>
    <t>2563254000亿</t>
  </si>
  <si>
    <t>6656361100亿</t>
  </si>
  <si>
    <t>23.63亿</t>
  </si>
  <si>
    <t>39.35亿</t>
  </si>
  <si>
    <t>12.03亿</t>
  </si>
  <si>
    <t>11.63亿</t>
  </si>
  <si>
    <t>6718.97万</t>
  </si>
  <si>
    <t>1.54亿</t>
  </si>
  <si>
    <t>-2609200亿</t>
  </si>
  <si>
    <t>14419626亿</t>
  </si>
  <si>
    <t>359772630亿</t>
  </si>
  <si>
    <t>1252844940亿</t>
  </si>
  <si>
    <t>10.42亿</t>
  </si>
  <si>
    <t>2391.51万</t>
  </si>
  <si>
    <t>10.67亿</t>
  </si>
  <si>
    <t>21470亿</t>
  </si>
  <si>
    <t>8924581亿</t>
  </si>
  <si>
    <t>80049776亿</t>
  </si>
  <si>
    <t>1055271430亿</t>
  </si>
  <si>
    <t>-1.05亿</t>
  </si>
  <si>
    <t>10转4股派5元(含税)</t>
  </si>
  <si>
    <t>57.00亿</t>
  </si>
  <si>
    <t>5407601亿</t>
  </si>
  <si>
    <t>237454340亿</t>
  </si>
  <si>
    <t>80439611亿</t>
  </si>
  <si>
    <t>5087394700亿</t>
  </si>
  <si>
    <t>17.66亿</t>
  </si>
  <si>
    <t>10派15元(含税)</t>
  </si>
  <si>
    <t>9050.78万</t>
  </si>
  <si>
    <t>2638.84万</t>
  </si>
  <si>
    <t>8662.25万</t>
  </si>
  <si>
    <t>-7094.15万</t>
  </si>
  <si>
    <t>653680亿</t>
  </si>
  <si>
    <t>-6109097亿</t>
  </si>
  <si>
    <t>18915137亿</t>
  </si>
  <si>
    <t>393635790亿</t>
  </si>
  <si>
    <t>2155.38万</t>
  </si>
  <si>
    <t>-811.73万</t>
  </si>
  <si>
    <t>-51809亿</t>
  </si>
  <si>
    <t>24243406亿</t>
  </si>
  <si>
    <t>11.02亿</t>
  </si>
  <si>
    <t>362604730亿</t>
  </si>
  <si>
    <t>1701611100亿</t>
  </si>
  <si>
    <t>4.80亿</t>
  </si>
  <si>
    <t>2.26亿</t>
  </si>
  <si>
    <t>2156.16万</t>
  </si>
  <si>
    <t>7.98亿</t>
  </si>
  <si>
    <t>9.54亿</t>
  </si>
  <si>
    <t>8087.11万</t>
  </si>
  <si>
    <t>2.19亿</t>
  </si>
  <si>
    <t>14715210亿</t>
  </si>
  <si>
    <t>213801170亿</t>
  </si>
  <si>
    <t>623635040亿</t>
  </si>
  <si>
    <t>2509.23万</t>
  </si>
  <si>
    <t>3269.92万</t>
  </si>
  <si>
    <t>6.56亿</t>
  </si>
  <si>
    <t>-371714亿</t>
  </si>
  <si>
    <t>37264608亿</t>
  </si>
  <si>
    <t>217058060亿</t>
  </si>
  <si>
    <t>952931880亿</t>
  </si>
  <si>
    <t>3010.05万</t>
  </si>
  <si>
    <t>29.67亿</t>
  </si>
  <si>
    <t>14.63亿</t>
  </si>
  <si>
    <t>61.09亿</t>
  </si>
  <si>
    <t>-245328亿</t>
  </si>
  <si>
    <t>54179139亿</t>
  </si>
  <si>
    <t>2834247900亿</t>
  </si>
  <si>
    <t>6857465800亿</t>
  </si>
  <si>
    <t>6.66亿</t>
  </si>
  <si>
    <t>16.59亿</t>
  </si>
  <si>
    <t>15.94亿</t>
  </si>
  <si>
    <t>7.77亿</t>
  </si>
  <si>
    <t>1319958亿</t>
  </si>
  <si>
    <t>87344055亿</t>
  </si>
  <si>
    <t>348479000亿</t>
  </si>
  <si>
    <t>1680264700亿</t>
  </si>
  <si>
    <t>-1.99亿</t>
  </si>
  <si>
    <t>8017.89万</t>
  </si>
  <si>
    <t>*ST吉药</t>
  </si>
  <si>
    <t>27.21亿</t>
  </si>
  <si>
    <t>7546.08万</t>
  </si>
  <si>
    <t>-3.49亿</t>
  </si>
  <si>
    <t>20724亿</t>
  </si>
  <si>
    <t>-37943574亿</t>
  </si>
  <si>
    <t>142727680亿</t>
  </si>
  <si>
    <t>418790190亿</t>
  </si>
  <si>
    <t>6.76亿</t>
  </si>
  <si>
    <t>7162.12万</t>
  </si>
  <si>
    <t>-2023.18万</t>
  </si>
  <si>
    <t>59.67亿</t>
  </si>
  <si>
    <t>5.69亿</t>
  </si>
  <si>
    <t>22.99亿</t>
  </si>
  <si>
    <t>-3.89亿</t>
  </si>
  <si>
    <t>498068亿</t>
  </si>
  <si>
    <t>-27670198亿</t>
  </si>
  <si>
    <t>744690190亿</t>
  </si>
  <si>
    <t>1823786600亿</t>
  </si>
  <si>
    <t>-5.30亿</t>
  </si>
  <si>
    <t>5.89亿</t>
  </si>
  <si>
    <t>453.69万</t>
  </si>
  <si>
    <t>8.53亿</t>
  </si>
  <si>
    <t>19.42亿</t>
  </si>
  <si>
    <t>289930亿</t>
  </si>
  <si>
    <t>143633500亿</t>
  </si>
  <si>
    <t>661213150亿</t>
  </si>
  <si>
    <t>2255006900亿</t>
  </si>
  <si>
    <t>4.22亿</t>
  </si>
  <si>
    <t>-2.64亿</t>
  </si>
  <si>
    <t>4.96亿</t>
  </si>
  <si>
    <t>9745.46万</t>
  </si>
  <si>
    <t>10派4.5元(含税)</t>
  </si>
  <si>
    <t>24.28亿</t>
  </si>
  <si>
    <t>5909.18万</t>
  </si>
  <si>
    <t>11.98亿</t>
  </si>
  <si>
    <t>-6.06亿</t>
  </si>
  <si>
    <t>-45659635亿</t>
  </si>
  <si>
    <t>1603853800亿</t>
  </si>
  <si>
    <t>2121001000亿</t>
  </si>
  <si>
    <t>-2295.81万</t>
  </si>
  <si>
    <t>8628.50万</t>
  </si>
  <si>
    <t>6435.65万</t>
  </si>
  <si>
    <t>1095815亿</t>
  </si>
  <si>
    <t>21342033亿</t>
  </si>
  <si>
    <t>5.44亿</t>
  </si>
  <si>
    <t>7753496亿</t>
  </si>
  <si>
    <t>799852820亿</t>
  </si>
  <si>
    <t>9229.67万</t>
  </si>
  <si>
    <t>3044.53万</t>
  </si>
  <si>
    <t>6.25亿</t>
  </si>
  <si>
    <t>10.80亿</t>
  </si>
  <si>
    <t>6164.77万</t>
  </si>
  <si>
    <t>21218617亿</t>
  </si>
  <si>
    <t>232384270亿</t>
  </si>
  <si>
    <t>736322280亿</t>
  </si>
  <si>
    <t>3878.51万</t>
  </si>
  <si>
    <t>2000.53万</t>
  </si>
  <si>
    <t>10派0.2元(含税)</t>
  </si>
  <si>
    <t>6.39亿</t>
  </si>
  <si>
    <t>5.20亿</t>
  </si>
  <si>
    <t>-803.86万</t>
  </si>
  <si>
    <t>1245054亿</t>
  </si>
  <si>
    <t>20032407亿</t>
  </si>
  <si>
    <t>279781080亿</t>
  </si>
  <si>
    <t>707357160亿</t>
  </si>
  <si>
    <t>5.32亿</t>
  </si>
  <si>
    <t>4881.02万</t>
  </si>
  <si>
    <t>7733.03万</t>
  </si>
  <si>
    <t>7119.65万</t>
  </si>
  <si>
    <t>2.92亿</t>
  </si>
  <si>
    <t>3350.17万</t>
  </si>
  <si>
    <t>2944396亿</t>
  </si>
  <si>
    <t>8233020亿</t>
  </si>
  <si>
    <t>62448773亿</t>
  </si>
  <si>
    <t>513284180亿</t>
  </si>
  <si>
    <t>72.45万</t>
  </si>
  <si>
    <t>3341.92万</t>
  </si>
  <si>
    <t>8631.23万</t>
  </si>
  <si>
    <t>1057229亿</t>
  </si>
  <si>
    <t>6680193亿</t>
  </si>
  <si>
    <t>97802419亿</t>
  </si>
  <si>
    <t>796383810亿</t>
  </si>
  <si>
    <t>10转4.8股派8元(含税)</t>
  </si>
  <si>
    <t>-4289.06万</t>
  </si>
  <si>
    <t>33455109亿</t>
  </si>
  <si>
    <t>3004719亿</t>
  </si>
  <si>
    <t>96660717亿</t>
  </si>
  <si>
    <t>850710940亿</t>
  </si>
  <si>
    <t>98.32亿</t>
  </si>
  <si>
    <t>52.67亿</t>
  </si>
  <si>
    <t>178.61亿</t>
  </si>
  <si>
    <t>16.69亿</t>
  </si>
  <si>
    <t>12426124亿</t>
  </si>
  <si>
    <t>571339110亿</t>
  </si>
  <si>
    <t>1695623400亿</t>
  </si>
  <si>
    <t>24333892000亿</t>
  </si>
  <si>
    <t>10派5.00元(含税)</t>
  </si>
  <si>
    <t>106.66亿</t>
  </si>
  <si>
    <t>42.08亿</t>
  </si>
  <si>
    <t>156.23亿</t>
  </si>
  <si>
    <t>8.22亿</t>
  </si>
  <si>
    <t>-9332768亿</t>
  </si>
  <si>
    <t>218326300亿</t>
  </si>
  <si>
    <t>2637196300亿</t>
  </si>
  <si>
    <t>8479353500亿</t>
  </si>
  <si>
    <t>141.27亿</t>
  </si>
  <si>
    <t>3.54亿</t>
  </si>
  <si>
    <t>20.70亿</t>
  </si>
  <si>
    <t>4355.67万</t>
  </si>
  <si>
    <t>2593567亿</t>
  </si>
  <si>
    <t>18959139亿</t>
  </si>
  <si>
    <t>787621430亿</t>
  </si>
  <si>
    <t>2070382000亿</t>
  </si>
  <si>
    <t>2889.88万</t>
  </si>
  <si>
    <t>4000.00万</t>
  </si>
  <si>
    <t>16.50亿</t>
  </si>
  <si>
    <t>-7220.39万</t>
  </si>
  <si>
    <t>33.89亿</t>
  </si>
  <si>
    <t>30.97亿</t>
  </si>
  <si>
    <t>8430.88万</t>
  </si>
  <si>
    <t>23218174亿</t>
  </si>
  <si>
    <t>26087497亿</t>
  </si>
  <si>
    <t>1021221050亿</t>
  </si>
  <si>
    <t>6933164500亿</t>
  </si>
  <si>
    <t>10.28亿</t>
  </si>
  <si>
    <t>9.09亿</t>
  </si>
  <si>
    <t>33.11亿</t>
  </si>
  <si>
    <t>5.68亿</t>
  </si>
  <si>
    <t>6855556亿</t>
  </si>
  <si>
    <t>181459310亿</t>
  </si>
  <si>
    <t>14.99亿</t>
  </si>
  <si>
    <t>284099050亿</t>
  </si>
  <si>
    <t>2949498800亿</t>
  </si>
  <si>
    <t>10派8.0元(含税)</t>
  </si>
  <si>
    <t>35.85亿</t>
  </si>
  <si>
    <t>20.86亿</t>
  </si>
  <si>
    <t>82.22亿</t>
  </si>
  <si>
    <t>77903453亿</t>
  </si>
  <si>
    <t>375825000亿</t>
  </si>
  <si>
    <t>2586844100亿</t>
  </si>
  <si>
    <t>7421807100亿</t>
  </si>
  <si>
    <t>6.15亿</t>
  </si>
  <si>
    <t>10派12.8元(含税)</t>
  </si>
  <si>
    <t>419.09亿</t>
  </si>
  <si>
    <t>229.46亿</t>
  </si>
  <si>
    <t>755.15亿</t>
  </si>
  <si>
    <t>40.56亿</t>
  </si>
  <si>
    <t>102119650亿</t>
  </si>
  <si>
    <t>1833541000亿</t>
  </si>
  <si>
    <t>16715573000亿</t>
  </si>
  <si>
    <t>55959815000亿</t>
  </si>
  <si>
    <t>10派7.49元(含税)</t>
  </si>
  <si>
    <t>29.10亿</t>
  </si>
  <si>
    <t>223745亿</t>
  </si>
  <si>
    <t>103850744亿</t>
  </si>
  <si>
    <t>380245330亿</t>
  </si>
  <si>
    <t>1730881200亿</t>
  </si>
  <si>
    <t>40.89亿</t>
  </si>
  <si>
    <t>18.53亿</t>
  </si>
  <si>
    <t>77.03亿</t>
  </si>
  <si>
    <t>4.45亿</t>
  </si>
  <si>
    <t>3.14亿</t>
  </si>
  <si>
    <t>776467亿</t>
  </si>
  <si>
    <t>112881250亿</t>
  </si>
  <si>
    <t>2986289200亿</t>
  </si>
  <si>
    <t>7313843000亿</t>
  </si>
  <si>
    <t>31.60亿</t>
  </si>
  <si>
    <t>31.71亿</t>
  </si>
  <si>
    <t>100.58亿</t>
  </si>
  <si>
    <t>27.97亿</t>
  </si>
  <si>
    <t>40847537亿</t>
  </si>
  <si>
    <t>988351610亿</t>
  </si>
  <si>
    <t>11.59亿</t>
  </si>
  <si>
    <t>889084440亿</t>
  </si>
  <si>
    <t>16322437000亿</t>
  </si>
  <si>
    <t>9.90亿</t>
  </si>
  <si>
    <t>10派23.20元(含税)</t>
  </si>
  <si>
    <t>37.98亿</t>
  </si>
  <si>
    <t>-2724806亿</t>
  </si>
  <si>
    <t>43508642亿</t>
  </si>
  <si>
    <t>384217110亿</t>
  </si>
  <si>
    <t>3574769200亿</t>
  </si>
  <si>
    <t>700.00万</t>
  </si>
  <si>
    <t>9.60亿</t>
  </si>
  <si>
    <t>1.13亿</t>
  </si>
  <si>
    <t>72.00亿</t>
  </si>
  <si>
    <t>48.74亿</t>
  </si>
  <si>
    <t>29527343亿</t>
  </si>
  <si>
    <t>-58476470亿</t>
  </si>
  <si>
    <t>6855052900亿</t>
  </si>
  <si>
    <t>-26.88亿</t>
  </si>
  <si>
    <t>11.44亿</t>
  </si>
  <si>
    <t>40.24亿</t>
  </si>
  <si>
    <t>20.49亿</t>
  </si>
  <si>
    <t>86.74亿</t>
  </si>
  <si>
    <t>10.71亿</t>
  </si>
  <si>
    <t>-12402585亿</t>
  </si>
  <si>
    <t>293580880亿</t>
  </si>
  <si>
    <t>836128740亿</t>
  </si>
  <si>
    <t>9573839700亿</t>
  </si>
  <si>
    <t>4.44亿</t>
  </si>
  <si>
    <t>86.37亿</t>
  </si>
  <si>
    <t>17.37亿</t>
  </si>
  <si>
    <t>13.59亿</t>
  </si>
  <si>
    <t>48.68亿</t>
  </si>
  <si>
    <t>6033418亿</t>
  </si>
  <si>
    <t>139646750亿</t>
  </si>
  <si>
    <t>695435380亿</t>
  </si>
  <si>
    <t>4222203700亿</t>
  </si>
  <si>
    <t>47.75亿</t>
  </si>
  <si>
    <t>24.03亿</t>
  </si>
  <si>
    <t>96.55亿</t>
  </si>
  <si>
    <t>28.23亿</t>
  </si>
  <si>
    <t>14744804亿</t>
  </si>
  <si>
    <t>726257020亿</t>
  </si>
  <si>
    <t>1956378300亿</t>
  </si>
  <si>
    <t>15497144000亿</t>
  </si>
  <si>
    <t>10派13.0元(含税)</t>
  </si>
  <si>
    <t>38.89亿</t>
  </si>
  <si>
    <t>18.24亿</t>
  </si>
  <si>
    <t>67.33亿</t>
  </si>
  <si>
    <t>17113148亿</t>
  </si>
  <si>
    <t>201469300亿</t>
  </si>
  <si>
    <t>1475452000亿</t>
  </si>
  <si>
    <t>5905492100亿</t>
  </si>
  <si>
    <t>8.99亿</t>
  </si>
  <si>
    <t>15.79亿</t>
  </si>
  <si>
    <t>28.21亿</t>
  </si>
  <si>
    <t>58700亿</t>
  </si>
  <si>
    <t>-70793005亿</t>
  </si>
  <si>
    <t>214369900亿</t>
  </si>
  <si>
    <t>2035731300亿</t>
  </si>
  <si>
    <t>-1.16亿</t>
  </si>
  <si>
    <t>10派0.66元(含税)</t>
  </si>
  <si>
    <t>-3827.51万</t>
  </si>
  <si>
    <t>-10752466亿</t>
  </si>
  <si>
    <t>150378810亿</t>
  </si>
  <si>
    <t>1.74万</t>
  </si>
  <si>
    <t>-6751.71万</t>
  </si>
  <si>
    <t>16.53亿</t>
  </si>
  <si>
    <t>43.90亿</t>
  </si>
  <si>
    <t>7.08亿</t>
  </si>
  <si>
    <t>-156922亿</t>
  </si>
  <si>
    <t>264197110亿</t>
  </si>
  <si>
    <t>248326860亿</t>
  </si>
  <si>
    <t>2787985900亿</t>
  </si>
  <si>
    <t>38.85亿</t>
  </si>
  <si>
    <t>10派7元(含税)</t>
  </si>
  <si>
    <t>12.84亿</t>
  </si>
  <si>
    <t>9007.86万</t>
  </si>
  <si>
    <t>-872704亿</t>
  </si>
  <si>
    <t>48493986亿</t>
  </si>
  <si>
    <t>463080250亿</t>
  </si>
  <si>
    <t>1674111200亿</t>
  </si>
  <si>
    <t>11.31亿</t>
  </si>
  <si>
    <t>10.93亿</t>
  </si>
  <si>
    <t>-2.50亿</t>
  </si>
  <si>
    <t>-5666.18万</t>
  </si>
  <si>
    <t>1177.68万</t>
  </si>
  <si>
    <t>5935.89万</t>
  </si>
  <si>
    <t>5331.98万</t>
  </si>
  <si>
    <t>42.13亿</t>
  </si>
  <si>
    <t>59774641亿</t>
  </si>
  <si>
    <t>90473672亿</t>
  </si>
  <si>
    <t>1025415370亿</t>
  </si>
  <si>
    <t>2866163400亿</t>
  </si>
  <si>
    <t>10派12元(含税)</t>
  </si>
  <si>
    <t>7.15亿</t>
  </si>
  <si>
    <t>-2971938亿</t>
  </si>
  <si>
    <t>193099080亿</t>
  </si>
  <si>
    <t>232112300亿</t>
  </si>
  <si>
    <t>3944094100亿</t>
  </si>
  <si>
    <t>10派4.0元(含税)</t>
  </si>
  <si>
    <t>10.32亿</t>
  </si>
  <si>
    <t>-2615.86万</t>
  </si>
  <si>
    <t>4.84亿</t>
  </si>
  <si>
    <t>576640亿</t>
  </si>
  <si>
    <t>-119104亿</t>
  </si>
  <si>
    <t>206359670亿</t>
  </si>
  <si>
    <t>640795170亿</t>
  </si>
  <si>
    <t>12.11亿</t>
  </si>
  <si>
    <t>176441亿</t>
  </si>
  <si>
    <t>56375781亿</t>
  </si>
  <si>
    <t>551144800亿</t>
  </si>
  <si>
    <t>1538958200亿</t>
  </si>
  <si>
    <t>3.54万</t>
  </si>
  <si>
    <t>3.49亿</t>
  </si>
  <si>
    <t>44.25亿</t>
  </si>
  <si>
    <t>11.17亿</t>
  </si>
  <si>
    <t>31.38亿</t>
  </si>
  <si>
    <t>-5131763亿</t>
  </si>
  <si>
    <t>281649750亿</t>
  </si>
  <si>
    <t>3210515800亿</t>
  </si>
  <si>
    <t>7626089900亿</t>
  </si>
  <si>
    <t>42.14亿</t>
  </si>
  <si>
    <t>95.16亿</t>
  </si>
  <si>
    <t>26.41亿</t>
  </si>
  <si>
    <t>132.45亿</t>
  </si>
  <si>
    <t>-2122197亿</t>
  </si>
  <si>
    <t>100854682亿</t>
  </si>
  <si>
    <t>1091253330亿</t>
  </si>
  <si>
    <t>8668338700亿</t>
  </si>
  <si>
    <t>10派1.26元(含税)</t>
  </si>
  <si>
    <t>90895亿</t>
  </si>
  <si>
    <t>68143548亿</t>
  </si>
  <si>
    <t>145412390亿</t>
  </si>
  <si>
    <t>1982583000亿</t>
  </si>
  <si>
    <t>*ST大药</t>
  </si>
  <si>
    <t>9270.88万</t>
  </si>
  <si>
    <t>1532.03万</t>
  </si>
  <si>
    <t>8727.00万</t>
  </si>
  <si>
    <t>-2003.14万</t>
  </si>
  <si>
    <t>115798亿</t>
  </si>
  <si>
    <t>-6584120亿</t>
  </si>
  <si>
    <t>278867890亿</t>
  </si>
  <si>
    <t>2462138亿</t>
  </si>
  <si>
    <t>53897614亿</t>
  </si>
  <si>
    <t>259505620亿</t>
  </si>
  <si>
    <t>1040737120亿</t>
  </si>
  <si>
    <t>3.09亿</t>
  </si>
  <si>
    <t>19.05亿</t>
  </si>
  <si>
    <t>2515799亿</t>
  </si>
  <si>
    <t>23810045亿</t>
  </si>
  <si>
    <t>557741210亿</t>
  </si>
  <si>
    <t>1308188960亿</t>
  </si>
  <si>
    <t>5.53亿</t>
  </si>
  <si>
    <t>5.27亿</t>
  </si>
  <si>
    <t>10派1.25元(含税)</t>
  </si>
  <si>
    <t>-6-0</t>
  </si>
  <si>
    <t>-3-1</t>
  </si>
  <si>
    <t>ST百灵</t>
  </si>
  <si>
    <t>*ST龙津</t>
  </si>
  <si>
    <t>2.98亿</t>
  </si>
  <si>
    <t>3.27亿</t>
  </si>
  <si>
    <t>ST目药</t>
  </si>
  <si>
    <t>643.27万</t>
  </si>
  <si>
    <t>110.18亿</t>
  </si>
  <si>
    <t>6665.39万</t>
  </si>
  <si>
    <t>266.88万</t>
  </si>
  <si>
    <t>67.91亿</t>
  </si>
  <si>
    <t>797.65万</t>
  </si>
  <si>
    <t>80.75万</t>
  </si>
  <si>
    <t>22.25亿</t>
  </si>
  <si>
    <t>-7791.27万</t>
  </si>
  <si>
    <t>10派17.841902元(含税)</t>
  </si>
  <si>
    <t>2202.24万</t>
  </si>
  <si>
    <t>793.89万</t>
  </si>
  <si>
    <t>416.04亿</t>
  </si>
  <si>
    <t>89.84亿</t>
  </si>
  <si>
    <t>75.44亿</t>
  </si>
  <si>
    <t>12.33亿</t>
  </si>
  <si>
    <t>233.20万</t>
  </si>
  <si>
    <t>167.95亿</t>
  </si>
  <si>
    <t>17.21亿</t>
  </si>
  <si>
    <t>16.62亿</t>
  </si>
  <si>
    <t>46.08亿</t>
  </si>
  <si>
    <t>165.64万</t>
  </si>
  <si>
    <t>141.28亿</t>
  </si>
  <si>
    <t>12.65亿</t>
  </si>
  <si>
    <t>3659.88万</t>
  </si>
  <si>
    <t>405.16万</t>
  </si>
  <si>
    <t>7.20亿</t>
  </si>
  <si>
    <t>8567.10万</t>
  </si>
  <si>
    <t>3795.15万</t>
  </si>
  <si>
    <t>1997.31万</t>
  </si>
  <si>
    <t>2284.41万</t>
  </si>
  <si>
    <t>6775.06万</t>
  </si>
  <si>
    <t>2574.65万</t>
  </si>
  <si>
    <t>2473.79万</t>
  </si>
  <si>
    <t>3104.44万</t>
  </si>
  <si>
    <t>4627.85万</t>
  </si>
  <si>
    <t>-4226.00万</t>
  </si>
  <si>
    <t>-321.85万</t>
  </si>
  <si>
    <t>2389.05万</t>
  </si>
  <si>
    <t>1492.11万</t>
  </si>
  <si>
    <t>511.87万</t>
  </si>
  <si>
    <t>287.99亿</t>
  </si>
  <si>
    <t>8.34亿</t>
  </si>
  <si>
    <t>5.29亿</t>
  </si>
  <si>
    <t>6650.88万</t>
  </si>
  <si>
    <t>1610.35万</t>
  </si>
  <si>
    <t>16.32亿</t>
  </si>
  <si>
    <t>10.11万</t>
  </si>
  <si>
    <t>3.70亿</t>
  </si>
  <si>
    <t>304.25万</t>
  </si>
  <si>
    <t>95.97万</t>
  </si>
  <si>
    <t>34.72亿</t>
  </si>
  <si>
    <t>-1275.11万</t>
  </si>
  <si>
    <t>-8859.34万</t>
  </si>
  <si>
    <t>1339.65万</t>
  </si>
  <si>
    <t>2741.90万</t>
  </si>
  <si>
    <t>1575.91万</t>
  </si>
  <si>
    <t>68.25亿</t>
  </si>
  <si>
    <t>8756.48万</t>
  </si>
  <si>
    <t>77.98万</t>
  </si>
  <si>
    <t>10.82亿</t>
  </si>
  <si>
    <t>5694.08万</t>
  </si>
  <si>
    <t>4.07亿</t>
  </si>
  <si>
    <t>30.96万</t>
  </si>
  <si>
    <t>-15.98亿</t>
  </si>
  <si>
    <t>-5681.40万</t>
  </si>
  <si>
    <t>7217.09万</t>
  </si>
  <si>
    <t>5.97亿</t>
  </si>
  <si>
    <t>514.29万</t>
  </si>
  <si>
    <t>9969.48万</t>
  </si>
  <si>
    <t>5129.57万</t>
  </si>
  <si>
    <t>1765.40万</t>
  </si>
  <si>
    <t>5.24万</t>
  </si>
  <si>
    <t>2.57亿</t>
  </si>
  <si>
    <t>2.34万</t>
  </si>
  <si>
    <t>9.29亿</t>
  </si>
  <si>
    <t>-2503.57万</t>
  </si>
  <si>
    <t>-3727.63万</t>
  </si>
  <si>
    <t>4910.99万</t>
  </si>
  <si>
    <t>2619.91万</t>
  </si>
  <si>
    <t>560.88万</t>
  </si>
  <si>
    <t>40.92亿</t>
  </si>
  <si>
    <t>4.17亿</t>
  </si>
  <si>
    <t>4943.60万</t>
  </si>
  <si>
    <t>18.00万</t>
  </si>
  <si>
    <t>1391.70万</t>
  </si>
  <si>
    <t>4712.10万</t>
  </si>
  <si>
    <t>-3.02亿</t>
  </si>
  <si>
    <t>-1.67亿</t>
  </si>
  <si>
    <t>9327.47万</t>
  </si>
  <si>
    <t>2435.57万</t>
  </si>
  <si>
    <t>854.15万</t>
  </si>
  <si>
    <t>257.26亿</t>
  </si>
  <si>
    <t>54.87亿</t>
  </si>
  <si>
    <t>33.98亿</t>
  </si>
  <si>
    <t>15.61亿</t>
  </si>
  <si>
    <t>3.39亿</t>
  </si>
  <si>
    <t>1181.95万</t>
  </si>
  <si>
    <t>70.26亿</t>
  </si>
  <si>
    <t>1103.52万</t>
  </si>
  <si>
    <t>9.14亿</t>
  </si>
  <si>
    <t>6.32亿</t>
  </si>
  <si>
    <t>126.04亿</t>
  </si>
  <si>
    <t>7.87亿</t>
  </si>
  <si>
    <t>-2.51亿</t>
  </si>
  <si>
    <t>-2633.37万</t>
  </si>
  <si>
    <t>4168.36万</t>
  </si>
  <si>
    <t>432.00万</t>
  </si>
  <si>
    <t>27.88亿</t>
  </si>
  <si>
    <t>6854.39万</t>
  </si>
  <si>
    <t>4035.83万</t>
  </si>
  <si>
    <t>61.99万</t>
  </si>
  <si>
    <t>6.44亿</t>
  </si>
  <si>
    <t>8.66亿</t>
  </si>
  <si>
    <t>2165.64万</t>
  </si>
  <si>
    <t>14.34亿</t>
  </si>
  <si>
    <t>5323.47万</t>
  </si>
  <si>
    <t>-1.64亿</t>
  </si>
  <si>
    <t>2798.10万</t>
  </si>
  <si>
    <t>1844.66万</t>
  </si>
  <si>
    <t>618.01万</t>
  </si>
  <si>
    <t>5831.33万</t>
  </si>
  <si>
    <t>2092.31万</t>
  </si>
  <si>
    <t>25.23万</t>
  </si>
  <si>
    <t>296.50万</t>
  </si>
  <si>
    <t>49.60万</t>
  </si>
  <si>
    <t>5764.90万</t>
  </si>
  <si>
    <t>5448.73万</t>
  </si>
  <si>
    <t>-11.95万</t>
  </si>
  <si>
    <t>2010.44万</t>
  </si>
  <si>
    <t>637.46万</t>
  </si>
  <si>
    <t>31.86亿</t>
  </si>
  <si>
    <t>2.52亿</t>
  </si>
  <si>
    <t>1181.50万</t>
  </si>
  <si>
    <t>1975.06万</t>
  </si>
  <si>
    <t>656.43万</t>
  </si>
  <si>
    <t>4.02亿</t>
  </si>
  <si>
    <t>5001.90万</t>
  </si>
  <si>
    <t>13.81亿</t>
  </si>
  <si>
    <t>1577.66万</t>
  </si>
  <si>
    <t>-7047.73万</t>
  </si>
  <si>
    <t>5469.62万</t>
  </si>
  <si>
    <t>3619.49万</t>
  </si>
  <si>
    <t>719.63万</t>
  </si>
  <si>
    <t>7.68亿</t>
  </si>
  <si>
    <t>8913.54万</t>
  </si>
  <si>
    <t>4343.55万</t>
  </si>
  <si>
    <t>3302.90万</t>
  </si>
  <si>
    <t>938.31万</t>
  </si>
  <si>
    <t>2.21万</t>
  </si>
  <si>
    <t>2191.67万</t>
  </si>
  <si>
    <t>201.05万</t>
  </si>
  <si>
    <t>1293.15万</t>
  </si>
  <si>
    <t>3.74万</t>
  </si>
  <si>
    <t>4160.28万</t>
  </si>
  <si>
    <t>1262.49万</t>
  </si>
  <si>
    <t>-2762.85万</t>
  </si>
  <si>
    <t>6215.58万</t>
  </si>
  <si>
    <t>178.29万</t>
  </si>
  <si>
    <t>29.08亿</t>
  </si>
  <si>
    <t>3876.65万</t>
  </si>
  <si>
    <t>4.00万</t>
  </si>
  <si>
    <t>9.33亿</t>
  </si>
  <si>
    <t>2765.49万</t>
  </si>
  <si>
    <t>302.02万</t>
  </si>
  <si>
    <t>9862.85万</t>
  </si>
  <si>
    <t>2505.40万</t>
  </si>
  <si>
    <t>-1.02亿</t>
  </si>
  <si>
    <t>804.70万</t>
  </si>
  <si>
    <t>5223.57万</t>
  </si>
  <si>
    <t>107.84万</t>
  </si>
  <si>
    <t>38.69亿</t>
  </si>
  <si>
    <t>3.00亿</t>
  </si>
  <si>
    <t>6802.87万</t>
  </si>
  <si>
    <t>3410.48万</t>
  </si>
  <si>
    <t>7.97万</t>
  </si>
  <si>
    <t>3.57亿</t>
  </si>
  <si>
    <t>16.01亿</t>
  </si>
  <si>
    <t>-1.91亿</t>
  </si>
  <si>
    <t>-2.77亿</t>
  </si>
  <si>
    <t>432.54万</t>
  </si>
  <si>
    <t>2583.34万</t>
  </si>
  <si>
    <t>1763.52万</t>
  </si>
  <si>
    <t>45.78亿</t>
  </si>
  <si>
    <t>2.79亿</t>
  </si>
  <si>
    <t>3298.68万</t>
  </si>
  <si>
    <t>1.36万</t>
  </si>
  <si>
    <t>7.27亿</t>
  </si>
  <si>
    <t>3.29亿</t>
  </si>
  <si>
    <t>7.68万</t>
  </si>
  <si>
    <t>8.26亿</t>
  </si>
  <si>
    <t>-7944.83万</t>
  </si>
  <si>
    <t>8871.91万</t>
  </si>
  <si>
    <t>-2.95亿</t>
  </si>
  <si>
    <t>5742.30万</t>
  </si>
  <si>
    <t>793.41万</t>
  </si>
  <si>
    <t>28.87亿</t>
  </si>
  <si>
    <t>5795.70万</t>
  </si>
  <si>
    <t>2731.79万</t>
  </si>
  <si>
    <t>2.04万</t>
  </si>
  <si>
    <t>8.88亿</t>
  </si>
  <si>
    <t>3829.51万</t>
  </si>
  <si>
    <t>6399.34万</t>
  </si>
  <si>
    <t>468.64万</t>
  </si>
  <si>
    <t>3092.00万</t>
  </si>
  <si>
    <t>-6264.56万</t>
  </si>
  <si>
    <t>-35.24万</t>
  </si>
  <si>
    <t>3399.36万</t>
  </si>
  <si>
    <t>1241.30万</t>
  </si>
  <si>
    <t>71.76亿</t>
  </si>
  <si>
    <t>13.07亿</t>
  </si>
  <si>
    <t>7286.94万</t>
  </si>
  <si>
    <t>28.10万</t>
  </si>
  <si>
    <t>6.14亿</t>
  </si>
  <si>
    <t>7560.66万</t>
  </si>
  <si>
    <t>19.12亿</t>
  </si>
  <si>
    <t>254.73万</t>
  </si>
  <si>
    <t>-6105.30万</t>
  </si>
  <si>
    <t>-1.28亿</t>
  </si>
  <si>
    <t>5182.78万</t>
  </si>
  <si>
    <t>919.95万</t>
  </si>
  <si>
    <t>20.27亿</t>
  </si>
  <si>
    <t>1.94亿</t>
  </si>
  <si>
    <t>6544.56万</t>
  </si>
  <si>
    <t>1221.39万</t>
  </si>
  <si>
    <t>3.37万</t>
  </si>
  <si>
    <t>7479.21万</t>
  </si>
  <si>
    <t>3740.36万</t>
  </si>
  <si>
    <t>1144.26万</t>
  </si>
  <si>
    <t>2921.70万</t>
  </si>
  <si>
    <t>2050.38万</t>
  </si>
  <si>
    <t>132.96万</t>
  </si>
  <si>
    <t>183.15万</t>
  </si>
  <si>
    <t>2964.33万</t>
  </si>
  <si>
    <t>2139.95万</t>
  </si>
  <si>
    <t>12.37亿</t>
  </si>
  <si>
    <t>4.82亿</t>
  </si>
  <si>
    <t>5292.11万</t>
  </si>
  <si>
    <t>8.54万</t>
  </si>
  <si>
    <t>2.99亿</t>
  </si>
  <si>
    <t>15.98亿</t>
  </si>
  <si>
    <t>-2.55亿</t>
  </si>
  <si>
    <t>-1359.86万</t>
  </si>
  <si>
    <t>-7-1</t>
  </si>
  <si>
    <t>288.15万</t>
  </si>
  <si>
    <t>23.54亿</t>
  </si>
  <si>
    <t>4638.89万</t>
  </si>
  <si>
    <t>9632.95万</t>
  </si>
  <si>
    <t>2745.71万</t>
  </si>
  <si>
    <t>36.81万</t>
  </si>
  <si>
    <t>5.66亿</t>
  </si>
  <si>
    <t>94.53万</t>
  </si>
  <si>
    <t>1710.15万</t>
  </si>
  <si>
    <t>4277.50万</t>
  </si>
  <si>
    <t>3950.55万</t>
  </si>
  <si>
    <t>-436.25万</t>
  </si>
  <si>
    <t>1360.98万</t>
  </si>
  <si>
    <t>9050.45万</t>
  </si>
  <si>
    <t>1614.31万</t>
  </si>
  <si>
    <t>117.40亿</t>
  </si>
  <si>
    <t>21.63亿</t>
  </si>
  <si>
    <t>12.24亿</t>
  </si>
  <si>
    <t>82.65万</t>
  </si>
  <si>
    <t>11.90亿</t>
  </si>
  <si>
    <t>13.17亿</t>
  </si>
  <si>
    <t>7.57亿</t>
  </si>
  <si>
    <t>19.55亿</t>
  </si>
  <si>
    <t>42.86亿</t>
  </si>
  <si>
    <t>7730.49万</t>
  </si>
  <si>
    <t>7002.16万</t>
  </si>
  <si>
    <t>5304.32万</t>
  </si>
  <si>
    <t>315.49万</t>
  </si>
  <si>
    <t>17.87亿</t>
  </si>
  <si>
    <t>2.46亿</t>
  </si>
  <si>
    <t>2798.06万</t>
  </si>
  <si>
    <t>1877.41万</t>
  </si>
  <si>
    <t>388.52万</t>
  </si>
  <si>
    <t>540.00万</t>
  </si>
  <si>
    <t>-1607.45万</t>
  </si>
  <si>
    <t>-209.10万</t>
  </si>
  <si>
    <t>-1388.67万</t>
  </si>
  <si>
    <t>1228.25万</t>
  </si>
  <si>
    <t>7312.14万</t>
  </si>
  <si>
    <t>984.12万</t>
  </si>
  <si>
    <t>20.20亿</t>
  </si>
  <si>
    <t>9171.24万</t>
  </si>
  <si>
    <t>3607.08万</t>
  </si>
  <si>
    <t>1760.09万</t>
  </si>
  <si>
    <t>6883.82万</t>
  </si>
  <si>
    <t>4409.01万</t>
  </si>
  <si>
    <t>4455.00万</t>
  </si>
  <si>
    <t>-3937.65万</t>
  </si>
  <si>
    <t>-4681.25万</t>
  </si>
  <si>
    <t>-7847.24万</t>
  </si>
  <si>
    <t>6056.08万</t>
  </si>
  <si>
    <t>751.27万</t>
  </si>
  <si>
    <t>52.77亿</t>
  </si>
  <si>
    <t>33.32万</t>
  </si>
  <si>
    <t>34.97亿</t>
  </si>
  <si>
    <t>565.97万</t>
  </si>
  <si>
    <t>3699.37万</t>
  </si>
  <si>
    <t>1370.00万</t>
  </si>
  <si>
    <t>15.16亿</t>
  </si>
  <si>
    <t>10.07亿</t>
  </si>
  <si>
    <t>-101.58万</t>
  </si>
  <si>
    <t>3005.93万</t>
  </si>
  <si>
    <t>1521.81万</t>
  </si>
  <si>
    <t>5.36亿</t>
  </si>
  <si>
    <t>3375.68万</t>
  </si>
  <si>
    <t>814.80万</t>
  </si>
  <si>
    <t>1730.44万</t>
  </si>
  <si>
    <t>573.31万</t>
  </si>
  <si>
    <t>29.28万</t>
  </si>
  <si>
    <t>998.41万</t>
  </si>
  <si>
    <t>964.45万</t>
  </si>
  <si>
    <t>90.00万</t>
  </si>
  <si>
    <t>6595.94万</t>
  </si>
  <si>
    <t>-476.43万</t>
  </si>
  <si>
    <t>-8629.99万</t>
  </si>
  <si>
    <t>998.00万</t>
  </si>
  <si>
    <t>5642.45万</t>
  </si>
  <si>
    <t>-6-1</t>
  </si>
  <si>
    <t>185.35万</t>
  </si>
  <si>
    <t>15.83亿</t>
  </si>
  <si>
    <t>7996.02万</t>
  </si>
  <si>
    <t>8756.19万</t>
  </si>
  <si>
    <t>1269.31万</t>
  </si>
  <si>
    <t>503.89万</t>
  </si>
  <si>
    <t>8531.23万</t>
  </si>
  <si>
    <t>4483.87万</t>
  </si>
  <si>
    <t>5000.00万</t>
  </si>
  <si>
    <t>8370.67万</t>
  </si>
  <si>
    <t>6347.84万</t>
  </si>
  <si>
    <t>-4717.68万</t>
  </si>
  <si>
    <t>4922.01万</t>
  </si>
  <si>
    <t>619.28万</t>
  </si>
  <si>
    <t>4155.75万</t>
  </si>
  <si>
    <t>322.76万</t>
  </si>
  <si>
    <t>10.16亿</t>
  </si>
  <si>
    <t>3931.01万</t>
  </si>
  <si>
    <t>7737.99万</t>
  </si>
  <si>
    <t>2990.16万</t>
  </si>
  <si>
    <t>8.40万</t>
  </si>
  <si>
    <t>735.31万</t>
  </si>
  <si>
    <t>3422.52万</t>
  </si>
  <si>
    <t>8037.99万</t>
  </si>
  <si>
    <t>6.45亿</t>
  </si>
  <si>
    <t>5200.00万</t>
  </si>
  <si>
    <t>2060.85万</t>
  </si>
  <si>
    <t>-1348.80万</t>
  </si>
  <si>
    <t>-475.15万</t>
  </si>
  <si>
    <t>1257.86万</t>
  </si>
  <si>
    <t>465.98万</t>
  </si>
  <si>
    <t>16.58亿</t>
  </si>
  <si>
    <t>8984.38万</t>
  </si>
  <si>
    <t>6801.31万</t>
  </si>
  <si>
    <t>1275.91万</t>
  </si>
  <si>
    <t>3.94万</t>
  </si>
  <si>
    <t>9391.76万</t>
  </si>
  <si>
    <t>2660.91万</t>
  </si>
  <si>
    <t>6453.88万</t>
  </si>
  <si>
    <t>121.68万</t>
  </si>
  <si>
    <t>885.67万</t>
  </si>
  <si>
    <t>-357.94万</t>
  </si>
  <si>
    <t>-10.02万</t>
  </si>
  <si>
    <t>2014.63万</t>
  </si>
  <si>
    <t>7239.96万</t>
  </si>
  <si>
    <t>3617.93万</t>
  </si>
  <si>
    <t>89.22亿</t>
  </si>
  <si>
    <t>7.13亿</t>
  </si>
  <si>
    <t>120.42万</t>
  </si>
  <si>
    <t>16.17亿</t>
  </si>
  <si>
    <t>4924.27万</t>
  </si>
  <si>
    <t>5971.06万</t>
  </si>
  <si>
    <t>2072.23万</t>
  </si>
  <si>
    <t>2343.32万</t>
  </si>
  <si>
    <t>7.02亿</t>
  </si>
  <si>
    <t>16.56亿</t>
  </si>
  <si>
    <t>-4857.53万</t>
  </si>
  <si>
    <t>-3702.04万</t>
  </si>
  <si>
    <t>1320.26万</t>
  </si>
  <si>
    <t>37.80亿</t>
  </si>
  <si>
    <t>3.75亿</t>
  </si>
  <si>
    <t>8848.64万</t>
  </si>
  <si>
    <t>2102.19万</t>
  </si>
  <si>
    <t>43.72万</t>
  </si>
  <si>
    <t>7294.18万</t>
  </si>
  <si>
    <t>2980.84万</t>
  </si>
  <si>
    <t>3928.40万</t>
  </si>
  <si>
    <t>8247.27万</t>
  </si>
  <si>
    <t>-8.68亿</t>
  </si>
  <si>
    <t>5153.16万</t>
  </si>
  <si>
    <t>668.49万</t>
  </si>
  <si>
    <t>2501.87万</t>
  </si>
  <si>
    <t>3.08万</t>
  </si>
  <si>
    <t>2751.15万</t>
  </si>
  <si>
    <t>7.26亿</t>
  </si>
  <si>
    <t>19.41亿</t>
  </si>
  <si>
    <t>107.36万</t>
  </si>
  <si>
    <t>-19.52万</t>
  </si>
  <si>
    <t>302.14万</t>
  </si>
  <si>
    <t>4901.20万</t>
  </si>
  <si>
    <t>22.85亿</t>
  </si>
  <si>
    <t>8197.97万</t>
  </si>
  <si>
    <t>6799.46万</t>
  </si>
  <si>
    <t>19.64万</t>
  </si>
  <si>
    <t>8745.27万</t>
  </si>
  <si>
    <t>12.22亿</t>
  </si>
  <si>
    <t>51.82万</t>
  </si>
  <si>
    <t>2581.39万</t>
  </si>
  <si>
    <t>-2126.37万</t>
  </si>
  <si>
    <t>-3673.66万</t>
  </si>
  <si>
    <t>-6.77亿</t>
  </si>
  <si>
    <t>7229.32万</t>
  </si>
  <si>
    <t>7754.75万</t>
  </si>
  <si>
    <t>1607.00万</t>
  </si>
  <si>
    <t>29.09亿</t>
  </si>
  <si>
    <t>2582.33万</t>
  </si>
  <si>
    <t>9.40万</t>
  </si>
  <si>
    <t>10.12亿</t>
  </si>
  <si>
    <t>1.73亿</t>
  </si>
  <si>
    <t>4601.39万</t>
  </si>
  <si>
    <t>140.79万</t>
  </si>
  <si>
    <t>9.01亿</t>
  </si>
  <si>
    <t>1706.75万</t>
  </si>
  <si>
    <t>7416.07万</t>
  </si>
  <si>
    <t>-2264.28万</t>
  </si>
  <si>
    <t>7094.04万</t>
  </si>
  <si>
    <t>6052.10万</t>
  </si>
  <si>
    <t>9.36亿</t>
  </si>
  <si>
    <t>8974.93万</t>
  </si>
  <si>
    <t>5460.46万</t>
  </si>
  <si>
    <t>510.37万</t>
  </si>
  <si>
    <t>1608.52万</t>
  </si>
  <si>
    <t>855.00万</t>
  </si>
  <si>
    <t>1.95亿</t>
  </si>
  <si>
    <t>279.56万</t>
  </si>
  <si>
    <t>5.04亿</t>
  </si>
  <si>
    <t>-3281.67万</t>
  </si>
  <si>
    <t>-269.07万</t>
  </si>
  <si>
    <t>3150.29万</t>
  </si>
  <si>
    <t>366.43万</t>
  </si>
  <si>
    <t>7615.36万</t>
  </si>
  <si>
    <t>6281.29万</t>
  </si>
  <si>
    <t>596.17万</t>
  </si>
  <si>
    <t>367.69万</t>
  </si>
  <si>
    <t>18.85万</t>
  </si>
  <si>
    <t>5.96亿</t>
  </si>
  <si>
    <t>10.34万</t>
  </si>
  <si>
    <t>6081.60万</t>
  </si>
  <si>
    <t>6929.53万</t>
  </si>
  <si>
    <t>3887.15万</t>
  </si>
  <si>
    <t>1302.65万</t>
  </si>
  <si>
    <t>844.88万</t>
  </si>
  <si>
    <t>4401.34万</t>
  </si>
  <si>
    <t>1823.55万</t>
  </si>
  <si>
    <t>7.42亿</t>
  </si>
  <si>
    <t>6703.63万</t>
  </si>
  <si>
    <t>1063.59万</t>
  </si>
  <si>
    <t>5.93万</t>
  </si>
  <si>
    <t>119.93万</t>
  </si>
  <si>
    <t>303.11万</t>
  </si>
  <si>
    <t>103.81万</t>
  </si>
  <si>
    <t>5.43亿</t>
  </si>
  <si>
    <t>8471.06万</t>
  </si>
  <si>
    <t>-1838.95万</t>
  </si>
  <si>
    <t>-2790.52万</t>
  </si>
  <si>
    <t>3468.89万</t>
  </si>
  <si>
    <t>289.03万</t>
  </si>
  <si>
    <t>13.83亿</t>
  </si>
  <si>
    <t>9.28亿</t>
  </si>
  <si>
    <t>-1.75亿</t>
  </si>
  <si>
    <t>5233.69万</t>
  </si>
  <si>
    <t>1077.38万</t>
  </si>
  <si>
    <t>3.58万</t>
  </si>
  <si>
    <t>15.00万</t>
  </si>
  <si>
    <t>1154.37万</t>
  </si>
  <si>
    <t>5894.80万</t>
  </si>
  <si>
    <t>56.46万</t>
  </si>
  <si>
    <t>-1643.95万</t>
  </si>
  <si>
    <t>-2.41亿</t>
  </si>
  <si>
    <t>4.27亿</t>
  </si>
  <si>
    <t>1632.91万</t>
  </si>
  <si>
    <t>629.83万</t>
  </si>
  <si>
    <t>3372.46万</t>
  </si>
  <si>
    <t>476.54万</t>
  </si>
  <si>
    <t>4241.25万</t>
  </si>
  <si>
    <t>6566.58万</t>
  </si>
  <si>
    <t>2470.04万</t>
  </si>
  <si>
    <t>3016.41万</t>
  </si>
  <si>
    <t>786.40万</t>
  </si>
  <si>
    <t>20.93万</t>
  </si>
  <si>
    <t>3582.70万</t>
  </si>
  <si>
    <t>6468.20万</t>
  </si>
  <si>
    <t>-6.84万</t>
  </si>
  <si>
    <t>-808.33万</t>
  </si>
  <si>
    <t>-28.48万</t>
  </si>
  <si>
    <t>1769.37万</t>
  </si>
  <si>
    <t>1191.80万</t>
  </si>
  <si>
    <t>6306.08万</t>
  </si>
  <si>
    <t>80.61万</t>
  </si>
  <si>
    <t>31.53亿</t>
  </si>
  <si>
    <t>9126.00万</t>
  </si>
  <si>
    <t>6089.86万</t>
  </si>
  <si>
    <t>1820.83万</t>
  </si>
  <si>
    <t>2086.67万</t>
  </si>
  <si>
    <t>4854.47万</t>
  </si>
  <si>
    <t>3300.00万</t>
  </si>
  <si>
    <t>606.69万</t>
  </si>
  <si>
    <t>-1305.22万</t>
  </si>
  <si>
    <t>-814.44万</t>
  </si>
  <si>
    <t>2323.40万</t>
  </si>
  <si>
    <t>314.34万</t>
  </si>
  <si>
    <t>2907.04万</t>
  </si>
  <si>
    <t>217.23万</t>
  </si>
  <si>
    <t>68.15亿</t>
  </si>
  <si>
    <t>1131.53万</t>
  </si>
  <si>
    <t>-4921.28万</t>
  </si>
  <si>
    <t>-1.01亿</t>
  </si>
  <si>
    <t>-1.07亿</t>
  </si>
  <si>
    <t>1066.68万</t>
  </si>
  <si>
    <t>937.98万</t>
  </si>
  <si>
    <t>5234.70万</t>
  </si>
  <si>
    <t>1171.49万</t>
  </si>
  <si>
    <t>212.62亿</t>
  </si>
  <si>
    <t>11.15亿</t>
  </si>
  <si>
    <t>86.32万</t>
  </si>
  <si>
    <t>123.47亿</t>
  </si>
  <si>
    <t>-2.52亿</t>
  </si>
  <si>
    <t>-9752.23万</t>
  </si>
  <si>
    <t>379.81万</t>
  </si>
  <si>
    <t>4897.57万</t>
  </si>
  <si>
    <t>0237000000</t>
  </si>
  <si>
    <t>0711000000</t>
  </si>
  <si>
    <t>01422000000</t>
  </si>
  <si>
    <t>02370000000</t>
  </si>
  <si>
    <t>04740000000</t>
  </si>
  <si>
    <t>880.30万</t>
  </si>
  <si>
    <t>39.91亿</t>
  </si>
  <si>
    <t>1395.36万</t>
  </si>
  <si>
    <t>161.58万</t>
  </si>
  <si>
    <t>14.58亿</t>
  </si>
  <si>
    <t>19.88亿</t>
  </si>
  <si>
    <t>-2.04亿</t>
  </si>
  <si>
    <t>-8333.86万</t>
  </si>
  <si>
    <t>454.92万</t>
  </si>
  <si>
    <t>4424.75万</t>
  </si>
  <si>
    <t>013953600</t>
  </si>
  <si>
    <t>041860800</t>
  </si>
  <si>
    <t>083721600</t>
  </si>
  <si>
    <t>0139536000</t>
  </si>
  <si>
    <t>0279072000</t>
  </si>
  <si>
    <t>1021.04万</t>
  </si>
  <si>
    <t>16.34亿</t>
  </si>
  <si>
    <t>45.79亿</t>
  </si>
  <si>
    <t>4589.39万</t>
  </si>
  <si>
    <t>12.72亿</t>
  </si>
  <si>
    <t>4477.61万</t>
  </si>
  <si>
    <t>2310.19万</t>
  </si>
  <si>
    <t>82.96亿</t>
  </si>
  <si>
    <t>32.00亿</t>
  </si>
  <si>
    <t>-6126.27万</t>
  </si>
  <si>
    <t>148.23万</t>
  </si>
  <si>
    <t>31.03亿</t>
  </si>
  <si>
    <t>191.85万</t>
  </si>
  <si>
    <t>406.44万</t>
  </si>
  <si>
    <t>3586.17万</t>
  </si>
  <si>
    <t>2352.96万</t>
  </si>
  <si>
    <t>-865.94万</t>
  </si>
  <si>
    <t>778.56万</t>
  </si>
  <si>
    <t>29.42亿</t>
  </si>
  <si>
    <t>7095.11万</t>
  </si>
  <si>
    <t>6.96亿</t>
  </si>
  <si>
    <t>2.22亿</t>
  </si>
  <si>
    <t>3489.60万</t>
  </si>
  <si>
    <t>4.58万</t>
  </si>
  <si>
    <t>14.66亿</t>
  </si>
  <si>
    <t>344.21万</t>
  </si>
  <si>
    <t>2809.92万</t>
  </si>
  <si>
    <t>8304.20万</t>
  </si>
  <si>
    <t>8.18万</t>
  </si>
  <si>
    <t>19.76亿</t>
  </si>
  <si>
    <t>4490.63万</t>
  </si>
  <si>
    <t>-5744.05万</t>
  </si>
  <si>
    <t>-1146.44万</t>
  </si>
  <si>
    <t>9.89亿</t>
  </si>
  <si>
    <t>1488.71万</t>
  </si>
  <si>
    <t>4335.74万</t>
  </si>
  <si>
    <t>533.48万</t>
  </si>
  <si>
    <t>70.28亿</t>
  </si>
  <si>
    <t>36.82亿</t>
  </si>
  <si>
    <t>17.23亿</t>
  </si>
  <si>
    <t>10.11亿</t>
  </si>
  <si>
    <t>77.34万</t>
  </si>
  <si>
    <t>24.58亿</t>
  </si>
  <si>
    <t>3128.65万</t>
  </si>
  <si>
    <t>4.32亿</t>
  </si>
  <si>
    <t>6.22亿</t>
  </si>
  <si>
    <t>36.72亿</t>
  </si>
  <si>
    <t>-8929.94万</t>
  </si>
  <si>
    <t>8686.03万</t>
  </si>
  <si>
    <t>2132.11万</t>
  </si>
  <si>
    <t>0325000000</t>
  </si>
  <si>
    <t>0975000000</t>
  </si>
  <si>
    <t>01950000000</t>
  </si>
  <si>
    <t>03250000000</t>
  </si>
  <si>
    <t>06500000000</t>
  </si>
  <si>
    <t>-2-0</t>
  </si>
  <si>
    <t>579.73万</t>
  </si>
  <si>
    <t>387.13亿</t>
  </si>
  <si>
    <t>23.08亿</t>
  </si>
  <si>
    <t>-6772.08万</t>
  </si>
  <si>
    <t>206.67亿</t>
  </si>
  <si>
    <t>178.67亿</t>
  </si>
  <si>
    <t>427.87万</t>
  </si>
  <si>
    <t>197.54亿</t>
  </si>
  <si>
    <t>25.17亿</t>
  </si>
  <si>
    <t>94.81亿</t>
  </si>
  <si>
    <t>38.54亿</t>
  </si>
  <si>
    <t>112.88亿</t>
  </si>
  <si>
    <t>341.20亿</t>
  </si>
  <si>
    <t>35.10亿</t>
  </si>
  <si>
    <t>-31.38亿</t>
  </si>
  <si>
    <t>-2.83亿</t>
  </si>
  <si>
    <t>19.40亿</t>
  </si>
  <si>
    <t>6.57亿</t>
  </si>
  <si>
    <t>-5458.21万</t>
  </si>
  <si>
    <t>2551.56万</t>
  </si>
  <si>
    <t>763.47万</t>
  </si>
  <si>
    <t>29.31亿</t>
  </si>
  <si>
    <t>153.03亿</t>
  </si>
  <si>
    <t>15.34亿</t>
  </si>
  <si>
    <t>6674.88万</t>
  </si>
  <si>
    <t>57.00万</t>
  </si>
  <si>
    <t>5891.65万</t>
  </si>
  <si>
    <t>561.00万</t>
  </si>
  <si>
    <t>23.73万</t>
  </si>
  <si>
    <t>7.99亿</t>
  </si>
  <si>
    <t>-900.20万</t>
  </si>
  <si>
    <t>-1.76亿</t>
  </si>
  <si>
    <t>37.49亿</t>
  </si>
  <si>
    <t>3250.63万</t>
  </si>
  <si>
    <t>748.87万</t>
  </si>
  <si>
    <t>55.94亿</t>
  </si>
  <si>
    <t>7325.13万</t>
  </si>
  <si>
    <t>16.82亿</t>
  </si>
  <si>
    <t>10.90亿</t>
  </si>
  <si>
    <t>4.77亿</t>
  </si>
  <si>
    <t>7545.67万</t>
  </si>
  <si>
    <t>75.10万</t>
  </si>
  <si>
    <t>7429.02万</t>
  </si>
  <si>
    <t>7.38亿</t>
  </si>
  <si>
    <t>8.20亿</t>
  </si>
  <si>
    <t>37.97亿</t>
  </si>
  <si>
    <t>9705.67万</t>
  </si>
  <si>
    <t>-4.08亿</t>
  </si>
  <si>
    <t>-1399.88万</t>
  </si>
  <si>
    <t>2943.58万</t>
  </si>
  <si>
    <t>202.00万</t>
  </si>
  <si>
    <t>3636.71万</t>
  </si>
  <si>
    <t>073251300</t>
  </si>
  <si>
    <t>0219753900</t>
  </si>
  <si>
    <t>0439507800</t>
  </si>
  <si>
    <t>0732513000</t>
  </si>
  <si>
    <t>01465026000</t>
  </si>
  <si>
    <t>202.35万</t>
  </si>
  <si>
    <t>149.06亿</t>
  </si>
  <si>
    <t>1391.04亿</t>
  </si>
  <si>
    <t>135.74亿</t>
  </si>
  <si>
    <t>20.29亿</t>
  </si>
  <si>
    <t>7668.90万</t>
  </si>
  <si>
    <t>48.99万</t>
  </si>
  <si>
    <t>23.75亿</t>
  </si>
  <si>
    <t>5817.90万</t>
  </si>
  <si>
    <t>5.70亿</t>
  </si>
  <si>
    <t>1196.44万</t>
  </si>
  <si>
    <t>30.98亿</t>
  </si>
  <si>
    <t>4808.43万</t>
  </si>
  <si>
    <t>5.31亿</t>
  </si>
  <si>
    <t>8943.76万</t>
  </si>
  <si>
    <t>332.45亿</t>
  </si>
  <si>
    <t>86.01亿</t>
  </si>
  <si>
    <t>775.87万</t>
  </si>
  <si>
    <t>4687.34万</t>
  </si>
  <si>
    <t>428.74万</t>
  </si>
  <si>
    <t>30.75亿</t>
  </si>
  <si>
    <t>187.02亿</t>
  </si>
  <si>
    <t>5982.19万</t>
  </si>
  <si>
    <t>64.22万</t>
  </si>
  <si>
    <t>18.00亿</t>
  </si>
  <si>
    <t>996.20万</t>
  </si>
  <si>
    <t>4194.57万</t>
  </si>
  <si>
    <t>3.52亿</t>
  </si>
  <si>
    <t>15.52亿</t>
  </si>
  <si>
    <t>-1.70亿</t>
  </si>
  <si>
    <t>-1038.32万</t>
  </si>
  <si>
    <t>-1749.70万</t>
  </si>
  <si>
    <t>39.63亿</t>
  </si>
  <si>
    <t>8413.36万</t>
  </si>
  <si>
    <t>2268.71万</t>
  </si>
  <si>
    <t>康美药业</t>
  </si>
  <si>
    <t>9.18亿</t>
  </si>
  <si>
    <t>70.89亿</t>
  </si>
  <si>
    <t>1476.94亿</t>
  </si>
  <si>
    <t>747.34亿</t>
  </si>
  <si>
    <t>12.71亿</t>
  </si>
  <si>
    <t>9575.82万</t>
  </si>
  <si>
    <t>58.35万</t>
  </si>
  <si>
    <t>2144405200亿</t>
  </si>
  <si>
    <t>5495.09万</t>
  </si>
  <si>
    <t>2995.76万</t>
  </si>
  <si>
    <t>8988.52万</t>
  </si>
  <si>
    <t>23.18亿</t>
  </si>
  <si>
    <t>4055.16万</t>
  </si>
  <si>
    <t>46.30亿</t>
  </si>
  <si>
    <t>-3.33亿</t>
  </si>
  <si>
    <t>2821.26万</t>
  </si>
  <si>
    <t>-894.70万</t>
  </si>
  <si>
    <t>387.56亿</t>
  </si>
  <si>
    <t>207.95亿</t>
  </si>
  <si>
    <t>12.31亿</t>
  </si>
  <si>
    <t>30.86亿</t>
  </si>
  <si>
    <t>1475.44万</t>
  </si>
  <si>
    <t>129.77亿</t>
  </si>
  <si>
    <t>67.23亿</t>
  </si>
  <si>
    <t>-2.33亿</t>
  </si>
  <si>
    <t>16.70亿</t>
  </si>
  <si>
    <t>7272.32万</t>
  </si>
  <si>
    <t>358.48万</t>
  </si>
  <si>
    <t>6.63亿</t>
  </si>
  <si>
    <t>7.06亿</t>
  </si>
  <si>
    <t>6401.88万</t>
  </si>
  <si>
    <t>14.39亿</t>
  </si>
  <si>
    <t>-3.37亿</t>
  </si>
  <si>
    <t>-2.96亿</t>
  </si>
  <si>
    <t>12.18亿</t>
  </si>
  <si>
    <t>4973.26万</t>
  </si>
  <si>
    <t>788.86万</t>
  </si>
  <si>
    <t>55.09亿</t>
  </si>
  <si>
    <t>34.38亿</t>
  </si>
  <si>
    <t>11.87亿</t>
  </si>
  <si>
    <t>5.09亿</t>
  </si>
  <si>
    <t>95.41万</t>
  </si>
  <si>
    <t>20.46亿</t>
  </si>
  <si>
    <t>17.14亿</t>
  </si>
  <si>
    <t>-1647.95万</t>
  </si>
  <si>
    <t>2655.75万</t>
  </si>
  <si>
    <t>10派3.7203元(含税)</t>
  </si>
  <si>
    <t>3142.68万</t>
  </si>
  <si>
    <t>831.69万</t>
  </si>
  <si>
    <t>142.15亿</t>
  </si>
  <si>
    <t>293.33亿</t>
  </si>
  <si>
    <t>9173.67万</t>
  </si>
  <si>
    <t>113.92亿</t>
  </si>
  <si>
    <t>5874.72万</t>
  </si>
  <si>
    <t>16.36亿</t>
  </si>
  <si>
    <t>4.39亿</t>
  </si>
  <si>
    <t>16.63亿</t>
  </si>
  <si>
    <t>49.62亿</t>
  </si>
  <si>
    <t>13.39亿</t>
  </si>
  <si>
    <t>16.64亿</t>
  </si>
  <si>
    <t>6.52亿</t>
  </si>
  <si>
    <t>63.51亿</t>
  </si>
  <si>
    <t>-3.41亿</t>
  </si>
  <si>
    <t>5332.46万</t>
  </si>
  <si>
    <t>2978.80万</t>
  </si>
  <si>
    <t>74.67亿</t>
  </si>
  <si>
    <t>4853.37万</t>
  </si>
  <si>
    <t>15.75亿</t>
  </si>
  <si>
    <t>5.91亿</t>
  </si>
  <si>
    <t>32.35万</t>
  </si>
  <si>
    <t>23.67亿</t>
  </si>
  <si>
    <t>30.30亿</t>
  </si>
  <si>
    <t>-3240.07万</t>
  </si>
  <si>
    <t>-2.93亿</t>
  </si>
  <si>
    <t>89.81万</t>
  </si>
  <si>
    <t>048533700</t>
  </si>
  <si>
    <t>0145601100</t>
  </si>
  <si>
    <t>0291202200</t>
  </si>
  <si>
    <t>0485337000</t>
  </si>
  <si>
    <t>0970674000</t>
  </si>
  <si>
    <t>1293.05万</t>
  </si>
  <si>
    <t>29.47亿</t>
  </si>
  <si>
    <t>187.93亿</t>
  </si>
  <si>
    <t>6.35亿</t>
  </si>
  <si>
    <t>7689.09万</t>
  </si>
  <si>
    <t>2.94万</t>
  </si>
  <si>
    <t>724.79万</t>
  </si>
  <si>
    <t>10.73亿</t>
  </si>
  <si>
    <t>9575.45万</t>
  </si>
  <si>
    <t>-1064.88万</t>
  </si>
  <si>
    <t>-1397.45万</t>
  </si>
  <si>
    <t>-4.38亿</t>
  </si>
  <si>
    <t>-8.74亿</t>
  </si>
  <si>
    <t>40.43亿</t>
  </si>
  <si>
    <t>4299.31万</t>
  </si>
  <si>
    <t>5-0</t>
  </si>
  <si>
    <t>43.52万</t>
  </si>
  <si>
    <t>4585.00万</t>
  </si>
  <si>
    <t>2773.52万</t>
  </si>
  <si>
    <t>108.54亿</t>
  </si>
  <si>
    <t>3890.08万</t>
  </si>
  <si>
    <t>1929.86万</t>
  </si>
  <si>
    <t>208.92万</t>
  </si>
  <si>
    <t>1604.41万</t>
  </si>
  <si>
    <t>105.90万</t>
  </si>
  <si>
    <t>5592.07万</t>
  </si>
  <si>
    <t>7245.00万</t>
  </si>
  <si>
    <t>654.83万</t>
  </si>
  <si>
    <t>5850.05万</t>
  </si>
  <si>
    <t>-357.37万</t>
  </si>
  <si>
    <t>-305.77万</t>
  </si>
  <si>
    <t>-3541.05万</t>
  </si>
  <si>
    <t>26.87亿</t>
  </si>
  <si>
    <t>6564.25万</t>
  </si>
  <si>
    <t>125.10万</t>
  </si>
  <si>
    <t>1133.62万</t>
  </si>
  <si>
    <t>709.40万</t>
  </si>
  <si>
    <t>47.61亿</t>
  </si>
  <si>
    <t>6.51亿</t>
  </si>
  <si>
    <t>2.42亿</t>
  </si>
  <si>
    <t>4.51亿</t>
  </si>
  <si>
    <t>3986.31万</t>
  </si>
  <si>
    <t>119.63万</t>
  </si>
  <si>
    <t>13.37亿</t>
  </si>
  <si>
    <t>7235.85万</t>
  </si>
  <si>
    <t>2733.45万</t>
  </si>
  <si>
    <t>8258.54万</t>
  </si>
  <si>
    <t>-6726.16万</t>
  </si>
  <si>
    <t>-55.07万</t>
  </si>
  <si>
    <t>7117.36万</t>
  </si>
  <si>
    <t>1981.89万</t>
  </si>
  <si>
    <t>3096.15万</t>
  </si>
  <si>
    <t>6-0</t>
  </si>
  <si>
    <t>622.53万</t>
  </si>
  <si>
    <t>15.57亿</t>
  </si>
  <si>
    <t>23.95亿</t>
  </si>
  <si>
    <t>6199.26万</t>
  </si>
  <si>
    <t>8287.76万</t>
  </si>
  <si>
    <t>2018.65万</t>
  </si>
  <si>
    <t>5600.00万</t>
  </si>
  <si>
    <t>6151.85万</t>
  </si>
  <si>
    <t>9.69亿</t>
  </si>
  <si>
    <t>118.65万</t>
  </si>
  <si>
    <t>-410.12万</t>
  </si>
  <si>
    <t>6.31亿</t>
  </si>
  <si>
    <t>2790.87万</t>
  </si>
  <si>
    <t>2524.58万</t>
  </si>
  <si>
    <t>185.17万</t>
  </si>
  <si>
    <t>23.58亿</t>
  </si>
  <si>
    <t>53.34亿</t>
  </si>
  <si>
    <t>5.58亿</t>
  </si>
  <si>
    <t>4210.02万</t>
  </si>
  <si>
    <t>6.58万</t>
  </si>
  <si>
    <t>659.31万</t>
  </si>
  <si>
    <t>4767.73万</t>
  </si>
  <si>
    <t>8439.51万</t>
  </si>
  <si>
    <t>19.04亿</t>
  </si>
  <si>
    <t>-5164.71万</t>
  </si>
  <si>
    <t>4452.77万</t>
  </si>
  <si>
    <t>172.52万</t>
  </si>
  <si>
    <t>14.45亿</t>
  </si>
  <si>
    <t>1124.13万</t>
  </si>
  <si>
    <t>5831.85万</t>
  </si>
  <si>
    <t>447.18万</t>
  </si>
  <si>
    <t>56.30亿</t>
  </si>
  <si>
    <t>10.14亿</t>
  </si>
  <si>
    <t>2973.67万</t>
  </si>
  <si>
    <t>44.62万</t>
  </si>
  <si>
    <t>24.15亿</t>
  </si>
  <si>
    <t>8160.15万</t>
  </si>
  <si>
    <t>4680.00万</t>
  </si>
  <si>
    <t>4903.16万</t>
  </si>
  <si>
    <t>9990.00万</t>
  </si>
  <si>
    <t>5946.50万</t>
  </si>
  <si>
    <t>-6.29亿</t>
  </si>
  <si>
    <t>-1052.12万</t>
  </si>
  <si>
    <t>14.09亿</t>
  </si>
  <si>
    <t>2101.04万</t>
  </si>
  <si>
    <t>100.04万</t>
  </si>
  <si>
    <t>25.64亿</t>
  </si>
  <si>
    <t>8599.23万</t>
  </si>
  <si>
    <t>2062.12万</t>
  </si>
  <si>
    <t>1428.60万</t>
  </si>
  <si>
    <t>7.35万</t>
  </si>
  <si>
    <t>9419.62万</t>
  </si>
  <si>
    <t>2760.85万</t>
  </si>
  <si>
    <t>6322.52万</t>
  </si>
  <si>
    <t>6.12亿</t>
  </si>
  <si>
    <t>852.10万</t>
  </si>
  <si>
    <t>1070.74万</t>
  </si>
  <si>
    <t>-6878.68万</t>
  </si>
  <si>
    <t>2886.91万</t>
  </si>
  <si>
    <t>419.91万</t>
  </si>
  <si>
    <t>3651.49万</t>
  </si>
  <si>
    <t>-9-0</t>
  </si>
  <si>
    <t>483.41万</t>
  </si>
  <si>
    <t>17.91亿</t>
  </si>
  <si>
    <t>41.85亿</t>
  </si>
  <si>
    <t>11.25亿</t>
  </si>
  <si>
    <t>2752.47万</t>
  </si>
  <si>
    <t>15.06万</t>
  </si>
  <si>
    <t>2202.66万</t>
  </si>
  <si>
    <t>610.73万</t>
  </si>
  <si>
    <t>-1038.55万</t>
  </si>
  <si>
    <t>1686.55万</t>
  </si>
  <si>
    <t>2574.35万</t>
  </si>
  <si>
    <t>320.22万</t>
  </si>
  <si>
    <t>83.34亿</t>
  </si>
  <si>
    <t>60.25亿</t>
  </si>
  <si>
    <t>20.48亿</t>
  </si>
  <si>
    <t>9964.10万</t>
  </si>
  <si>
    <t>7195.07万</t>
  </si>
  <si>
    <t>75.06万</t>
  </si>
  <si>
    <t>13.71亿</t>
  </si>
  <si>
    <t>6403.40万</t>
  </si>
  <si>
    <t>10.46亿</t>
  </si>
  <si>
    <t>4744.17万</t>
  </si>
  <si>
    <t>294.45万</t>
  </si>
  <si>
    <t>29.54亿</t>
  </si>
  <si>
    <t>-1.03亿</t>
  </si>
  <si>
    <t>-4055.62万</t>
  </si>
  <si>
    <t>6343.66万</t>
  </si>
  <si>
    <t>13.38亿</t>
  </si>
  <si>
    <t>1609.64万</t>
  </si>
  <si>
    <t>9839.84万</t>
  </si>
  <si>
    <t>310.38万</t>
  </si>
  <si>
    <t>113.20亿</t>
  </si>
  <si>
    <t>14.10亿</t>
  </si>
  <si>
    <t>24.74亿</t>
  </si>
  <si>
    <t>10.63亿</t>
  </si>
  <si>
    <t>33.40万</t>
  </si>
  <si>
    <t>12.42亿</t>
  </si>
  <si>
    <t>24.60亿</t>
  </si>
  <si>
    <t>69.01亿</t>
  </si>
  <si>
    <t>25.48亿</t>
  </si>
  <si>
    <t>7411.50万</t>
  </si>
  <si>
    <t>-8640.50万</t>
  </si>
  <si>
    <t>3.10亿</t>
  </si>
  <si>
    <t>4278.90万</t>
  </si>
  <si>
    <t>1467.47万</t>
  </si>
  <si>
    <t>0220000000</t>
  </si>
  <si>
    <t>0660000000</t>
  </si>
  <si>
    <t>01320000000</t>
  </si>
  <si>
    <t>02200000000</t>
  </si>
  <si>
    <t>04400000000</t>
  </si>
  <si>
    <t>188.01万</t>
  </si>
  <si>
    <t>22.59亿</t>
  </si>
  <si>
    <t>110.79亿</t>
  </si>
  <si>
    <t>3774.38万</t>
  </si>
  <si>
    <t>9088.04万</t>
  </si>
  <si>
    <t>2105.96万</t>
  </si>
  <si>
    <t>24.44万</t>
  </si>
  <si>
    <t>16.22亿</t>
  </si>
  <si>
    <t>1894.16万</t>
  </si>
  <si>
    <t>9708.49万</t>
  </si>
  <si>
    <t>135.32万</t>
  </si>
  <si>
    <t>4924.09万</t>
  </si>
  <si>
    <t>-781.95万</t>
  </si>
  <si>
    <t>23.57亿</t>
  </si>
  <si>
    <t>3061.96万</t>
  </si>
  <si>
    <t>876.43万</t>
  </si>
  <si>
    <t>7370.33万</t>
  </si>
  <si>
    <t>563.93万</t>
  </si>
  <si>
    <t>19.92亿</t>
  </si>
  <si>
    <t>2199.29万</t>
  </si>
  <si>
    <t>1353.23万</t>
  </si>
  <si>
    <t>321.61万</t>
  </si>
  <si>
    <t>368.30万</t>
  </si>
  <si>
    <t>3968.07万</t>
  </si>
  <si>
    <t>68.29万</t>
  </si>
  <si>
    <t>1003.69万</t>
  </si>
  <si>
    <t>64.39万</t>
  </si>
  <si>
    <t>7004.65万</t>
  </si>
  <si>
    <t>1402.03万</t>
  </si>
  <si>
    <t>-527.93万</t>
  </si>
  <si>
    <t>3101.87万</t>
  </si>
  <si>
    <t>-25.27万</t>
  </si>
  <si>
    <t>2352.70万</t>
  </si>
  <si>
    <t>3218.17万</t>
  </si>
  <si>
    <t>865.83万</t>
  </si>
  <si>
    <t>12.95亿</t>
  </si>
  <si>
    <t>9816.84万</t>
  </si>
  <si>
    <t>3270.04万</t>
  </si>
  <si>
    <t>11.11万</t>
  </si>
  <si>
    <t>273.75万</t>
  </si>
  <si>
    <t>12.23亿</t>
  </si>
  <si>
    <t>4689.83万</t>
  </si>
  <si>
    <t>-2864.77万</t>
  </si>
  <si>
    <t>4954.39万</t>
  </si>
  <si>
    <t>760.49万</t>
  </si>
  <si>
    <t>3091.59万</t>
  </si>
  <si>
    <t>410.65万</t>
  </si>
  <si>
    <t>35.36亿</t>
  </si>
  <si>
    <t>3091.10万</t>
  </si>
  <si>
    <t>2346.92万</t>
  </si>
  <si>
    <t>57.08万</t>
  </si>
  <si>
    <t>634.32万</t>
  </si>
  <si>
    <t>9.58亿</t>
  </si>
  <si>
    <t>4.67亿</t>
  </si>
  <si>
    <t>2576.07万</t>
  </si>
  <si>
    <t>-1.90亿</t>
  </si>
  <si>
    <t>-9193.38万</t>
  </si>
  <si>
    <t>-169.23万</t>
  </si>
  <si>
    <t>6.79亿</t>
  </si>
  <si>
    <t>-1509.56万</t>
  </si>
  <si>
    <t>956.99万</t>
  </si>
  <si>
    <t>4548.76万</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</si>
</sst>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宋体"/>
      <family val="2"/>
      <charset val="134"/>
      <scheme val="minor"/>
    </font>
    <font>
      <sz val="9"/>
      <name val="宋体"/>
      <family val="2"/>
      <charset val="134"/>
      <scheme val="minor"/>
    </font>
    <font>
      <sz val="11"/>
      <color indexed="8"/>
      <name val="Calibri"/>
      <family val="2"/>
    </font>
    <font>
      <sz val="9"/>
      <color theme="1"/>
      <name val="宋体"/>
      <family val="2"/>
      <charset val="134"/>
      <scheme val="minor"/>
    </font>
    <font>
      <sz val="9"/>
      <color rgb="FFFF0000"/>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
      <b/>
      <sz val="9"/>
      <color rgb="FFFF0000"/>
      <name val="宋体"/>
      <family val="3"/>
      <charset val="134"/>
      <scheme val="minor"/>
    </font>
    <font>
      <sz val="9"/>
      <name val="宋体"/>
      <family val="3"/>
      <charset val="134"/>
      <scheme val="minor"/>
    </font>
    <font>
      <sz val="9"/>
      <color theme="1"/>
      <name val="宋体"/>
      <family val="3"/>
      <charset val="134"/>
      <scheme val="minor"/>
    </font>
  </fonts>
  <fills count="7">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Fill="0" applyProtection="0"/>
  </cellStyleXfs>
  <cellXfs count="14">
    <xf numFmtId="0" fontId="0" fillId="0" borderId="0" xfId="0">
      <alignment vertical="center"/>
    </xf>
    <xf numFmtId="0" fontId="0" fillId="2" borderId="0" xfId="0" applyFill="1">
      <alignment vertical="center"/>
    </xf>
    <xf numFmtId="0" fontId="0" fillId="3" borderId="0" xfId="0" applyFill="1">
      <alignment vertical="center"/>
    </xf>
    <xf numFmtId="0" fontId="0" fillId="0" borderId="1" xfId="0" applyBorder="1" applyAlignment="1">
      <alignment vertical="center" wrapText="1"/>
    </xf>
    <xf numFmtId="0" fontId="0" fillId="4" borderId="1" xfId="0" applyFill="1" applyBorder="1" applyAlignment="1">
      <alignment vertical="center" wrapText="1"/>
    </xf>
    <xf numFmtId="10" fontId="0" fillId="0" borderId="0" xfId="0" applyNumberFormat="1">
      <alignment vertical="center"/>
    </xf>
    <xf numFmtId="0" fontId="3" fillId="0" borderId="0" xfId="0" applyFont="1">
      <alignment vertical="center"/>
    </xf>
    <xf numFmtId="0" fontId="3" fillId="0" borderId="0" xfId="0" applyFont="1" applyAlignment="1">
      <alignment vertical="center" wrapText="1"/>
    </xf>
    <xf numFmtId="0" fontId="0" fillId="5" borderId="0" xfId="0" applyFill="1">
      <alignment vertical="center"/>
    </xf>
    <xf numFmtId="0" fontId="0" fillId="6" borderId="0" xfId="0" applyFill="1">
      <alignment vertical="center"/>
    </xf>
    <xf numFmtId="0" fontId="6" fillId="0" borderId="0" xfId="0" applyFont="1">
      <alignment vertical="center"/>
    </xf>
    <xf numFmtId="0" fontId="5" fillId="0" borderId="0" xfId="0" applyFont="1">
      <alignment vertical="center"/>
    </xf>
    <xf numFmtId="14" fontId="0" fillId="0" borderId="0" xfId="0" applyNumberFormat="1">
      <alignment vertical="center"/>
    </xf>
    <xf numFmtId="0" fontId="10" fillId="0" borderId="0" xfId="0" applyFont="1" applyAlignment="1">
      <alignment vertical="center" wrapText="1"/>
    </xf>
  </cellXfs>
  <cellStyles count="2">
    <cellStyle name="常规" xfId="0" builtinId="0"/>
    <cellStyle name="常规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292100</xdr:colOff>
          <xdr:row>0</xdr:row>
          <xdr:rowOff>139700</xdr:rowOff>
        </xdr:from>
        <xdr:to>
          <xdr:col>147</xdr:col>
          <xdr:colOff>1727200</xdr:colOff>
          <xdr:row>0</xdr:row>
          <xdr:rowOff>450850</xdr:rowOff>
        </xdr:to>
        <xdr:sp macro="" textlink="">
          <xdr:nvSpPr>
            <xdr:cNvPr id="2049" name="Button 1" descr="更新基本面按钮&#10;" hidden="1">
              <a:extLst>
                <a:ext uri="{63B3BB69-23CF-44E3-9099-C40C66FF867C}">
                  <a14:compatExt spid="_x0000_s2049"/>
                </a:ext>
                <a:ext uri="{FF2B5EF4-FFF2-40B4-BE49-F238E27FC236}">
                  <a16:creationId xmlns:a16="http://schemas.microsoft.com/office/drawing/2014/main" xmlns=""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71"/>
  <sheetViews>
    <sheetView tabSelected="1" zoomScale="85" zoomScaleNormal="85" workbookViewId="0">
      <pane xSplit="5" ySplit="1" topLeftCell="F2" activePane="bottomRight" state="frozen"/>
      <selection pane="topRight" activeCell="F1" sqref="F1"/>
      <selection pane="bottomLeft" activeCell="A2" sqref="A2"/>
      <selection pane="bottomRight" activeCell="D71" sqref="D71:EP71"/>
    </sheetView>
  </sheetViews>
  <sheetFormatPr defaultRowHeight="14" x14ac:dyDescent="0.25"/>
  <cols>
    <col min="1" max="1" width="44.1796875" customWidth="1"/>
    <col min="2" max="2" width="33.54296875" customWidth="1"/>
    <col min="3" max="3" width="48.81640625" customWidth="1"/>
    <col min="148" max="148" width="27.1796875" customWidth="1"/>
  </cols>
  <sheetData>
    <row r="1" spans="1:146" ht="36" customHeight="1" x14ac:dyDescent="0.25">
      <c r="A1" s="3" t="s">
        <v>98</v>
      </c>
      <c r="B1" s="4" t="s">
        <v>99</v>
      </c>
      <c r="C1" s="3" t="s">
        <v>100</v>
      </c>
      <c r="D1" t="s">
        <v>101</v>
      </c>
      <c r="E1" t="s">
        <v>705</v>
      </c>
      <c r="F1" t="s">
        <v>3</v>
      </c>
      <c r="G1" t="s">
        <v>765</v>
      </c>
      <c r="H1" t="s">
        <v>885</v>
      </c>
      <c r="I1" t="s">
        <v>102</v>
      </c>
      <c r="J1" t="s">
        <v>103</v>
      </c>
      <c r="K1" t="s">
        <v>4</v>
      </c>
      <c r="L1" t="s">
        <v>104</v>
      </c>
      <c r="M1" t="s">
        <v>105</v>
      </c>
      <c r="N1" t="s">
        <v>106</v>
      </c>
      <c r="O1" t="s">
        <v>107</v>
      </c>
      <c r="P1" t="s">
        <v>886</v>
      </c>
      <c r="Q1" t="s">
        <v>887</v>
      </c>
      <c r="R1" t="s">
        <v>706</v>
      </c>
      <c r="S1" t="s">
        <v>108</v>
      </c>
      <c r="T1" t="s">
        <v>888</v>
      </c>
      <c r="U1" t="s">
        <v>613</v>
      </c>
      <c r="V1" t="s">
        <v>109</v>
      </c>
      <c r="W1" t="s">
        <v>889</v>
      </c>
      <c r="X1" t="s">
        <v>890</v>
      </c>
      <c r="Y1" t="s">
        <v>891</v>
      </c>
      <c r="Z1" t="s">
        <v>892</v>
      </c>
      <c r="AA1" t="s">
        <v>893</v>
      </c>
      <c r="AB1" t="s">
        <v>894</v>
      </c>
      <c r="AC1" t="s">
        <v>895</v>
      </c>
      <c r="AD1" t="s">
        <v>896</v>
      </c>
      <c r="AE1" t="s">
        <v>110</v>
      </c>
      <c r="AF1" t="s">
        <v>111</v>
      </c>
      <c r="AG1" t="s">
        <v>897</v>
      </c>
      <c r="AH1" t="s">
        <v>898</v>
      </c>
      <c r="AI1" t="s">
        <v>899</v>
      </c>
      <c r="AJ1" t="s">
        <v>112</v>
      </c>
      <c r="AK1" t="s">
        <v>900</v>
      </c>
      <c r="AL1" t="s">
        <v>346</v>
      </c>
      <c r="AM1" t="s">
        <v>901</v>
      </c>
      <c r="AN1" t="s">
        <v>902</v>
      </c>
      <c r="AO1" t="s">
        <v>903</v>
      </c>
      <c r="AP1" t="s">
        <v>904</v>
      </c>
      <c r="AQ1" t="s">
        <v>905</v>
      </c>
      <c r="AR1" t="s">
        <v>906</v>
      </c>
      <c r="AS1" t="s">
        <v>907</v>
      </c>
      <c r="AT1" t="s">
        <v>908</v>
      </c>
      <c r="AU1" t="s">
        <v>909</v>
      </c>
      <c r="AV1" t="s">
        <v>910</v>
      </c>
      <c r="AW1" t="s">
        <v>911</v>
      </c>
      <c r="AX1" t="s">
        <v>912</v>
      </c>
      <c r="AY1" t="s">
        <v>913</v>
      </c>
      <c r="AZ1" t="s">
        <v>347</v>
      </c>
      <c r="BA1" t="s">
        <v>348</v>
      </c>
      <c r="BB1" t="s">
        <v>619</v>
      </c>
      <c r="BC1" t="s">
        <v>914</v>
      </c>
      <c r="BD1" t="s">
        <v>620</v>
      </c>
      <c r="BE1" t="s">
        <v>349</v>
      </c>
      <c r="BF1" t="s">
        <v>350</v>
      </c>
      <c r="BG1" t="s">
        <v>351</v>
      </c>
      <c r="BH1" t="s">
        <v>915</v>
      </c>
      <c r="BI1" t="s">
        <v>916</v>
      </c>
      <c r="BJ1" t="s">
        <v>917</v>
      </c>
      <c r="BK1" t="s">
        <v>918</v>
      </c>
      <c r="BL1" t="s">
        <v>919</v>
      </c>
      <c r="BM1" t="s">
        <v>920</v>
      </c>
      <c r="BN1" t="s">
        <v>921</v>
      </c>
      <c r="BO1" t="s">
        <v>707</v>
      </c>
      <c r="BP1" t="s">
        <v>614</v>
      </c>
      <c r="BQ1" t="s">
        <v>922</v>
      </c>
      <c r="BR1" t="s">
        <v>708</v>
      </c>
      <c r="BS1" t="s">
        <v>615</v>
      </c>
      <c r="BT1" t="s">
        <v>923</v>
      </c>
      <c r="BU1" t="s">
        <v>709</v>
      </c>
      <c r="BV1" t="s">
        <v>924</v>
      </c>
      <c r="BW1" t="s">
        <v>925</v>
      </c>
      <c r="BX1" t="s">
        <v>582</v>
      </c>
      <c r="BY1" t="s">
        <v>926</v>
      </c>
      <c r="BZ1" t="s">
        <v>927</v>
      </c>
      <c r="CA1" t="s">
        <v>583</v>
      </c>
      <c r="CB1" t="s">
        <v>928</v>
      </c>
      <c r="CC1" t="s">
        <v>929</v>
      </c>
      <c r="CD1" t="s">
        <v>930</v>
      </c>
      <c r="CE1" t="s">
        <v>931</v>
      </c>
      <c r="CF1" t="s">
        <v>567</v>
      </c>
      <c r="CG1" t="s">
        <v>568</v>
      </c>
      <c r="CH1" t="s">
        <v>569</v>
      </c>
      <c r="CI1" t="s">
        <v>570</v>
      </c>
      <c r="CJ1" t="s">
        <v>571</v>
      </c>
      <c r="CK1" t="s">
        <v>572</v>
      </c>
      <c r="CL1" t="s">
        <v>573</v>
      </c>
      <c r="CM1" t="s">
        <v>574</v>
      </c>
      <c r="CN1" t="s">
        <v>575</v>
      </c>
      <c r="CO1" t="s">
        <v>576</v>
      </c>
      <c r="CP1" t="s">
        <v>577</v>
      </c>
      <c r="CQ1" t="s">
        <v>578</v>
      </c>
      <c r="CR1" t="s">
        <v>932</v>
      </c>
      <c r="CS1" t="s">
        <v>933</v>
      </c>
      <c r="CT1" t="s">
        <v>934</v>
      </c>
      <c r="CU1" t="s">
        <v>935</v>
      </c>
      <c r="CV1" t="s">
        <v>770</v>
      </c>
      <c r="CW1" t="s">
        <v>710</v>
      </c>
      <c r="CX1">
        <v>1</v>
      </c>
      <c r="CY1" t="s">
        <v>936</v>
      </c>
      <c r="CZ1" t="s">
        <v>937</v>
      </c>
      <c r="DA1">
        <v>3</v>
      </c>
      <c r="DB1" t="s">
        <v>766</v>
      </c>
      <c r="DC1" t="s">
        <v>938</v>
      </c>
      <c r="DD1">
        <v>6</v>
      </c>
      <c r="DE1" t="s">
        <v>939</v>
      </c>
      <c r="DF1" t="s">
        <v>940</v>
      </c>
      <c r="DG1">
        <v>10</v>
      </c>
      <c r="DH1" t="s">
        <v>941</v>
      </c>
      <c r="DI1" t="s">
        <v>942</v>
      </c>
      <c r="DJ1">
        <v>20</v>
      </c>
      <c r="DK1" t="s">
        <v>943</v>
      </c>
      <c r="DL1" t="s">
        <v>579</v>
      </c>
      <c r="DM1" t="s">
        <v>580</v>
      </c>
      <c r="DN1" s="1" t="s">
        <v>581</v>
      </c>
      <c r="DO1" t="s">
        <v>944</v>
      </c>
      <c r="DP1" t="s">
        <v>767</v>
      </c>
      <c r="DQ1" s="10" t="s">
        <v>945</v>
      </c>
      <c r="DR1" t="s">
        <v>771</v>
      </c>
      <c r="DS1" t="s">
        <v>946</v>
      </c>
      <c r="DT1" t="s">
        <v>947</v>
      </c>
      <c r="DU1" t="s">
        <v>948</v>
      </c>
      <c r="DV1" t="s">
        <v>949</v>
      </c>
      <c r="DW1" t="s">
        <v>772</v>
      </c>
      <c r="DX1" t="s">
        <v>950</v>
      </c>
      <c r="DY1" t="s">
        <v>951</v>
      </c>
      <c r="DZ1" t="s">
        <v>952</v>
      </c>
      <c r="EA1" t="s">
        <v>953</v>
      </c>
      <c r="EB1" t="s">
        <v>768</v>
      </c>
      <c r="EC1" t="s">
        <v>773</v>
      </c>
      <c r="ED1" t="s">
        <v>711</v>
      </c>
      <c r="EE1" t="s">
        <v>769</v>
      </c>
      <c r="EF1" t="s">
        <v>954</v>
      </c>
      <c r="EG1" t="s">
        <v>955</v>
      </c>
      <c r="EH1" t="s">
        <v>774</v>
      </c>
      <c r="EI1" t="s">
        <v>956</v>
      </c>
      <c r="EK1" s="12" t="s">
        <v>957</v>
      </c>
      <c r="EL1" t="s">
        <v>958</v>
      </c>
      <c r="EM1" t="s">
        <v>959</v>
      </c>
      <c r="EN1" t="s">
        <v>960</v>
      </c>
      <c r="EO1" t="s">
        <v>961</v>
      </c>
      <c r="EP1" t="s">
        <v>962</v>
      </c>
    </row>
    <row r="2" spans="1:146" ht="144" x14ac:dyDescent="0.25">
      <c r="A2" s="7" t="s">
        <v>972</v>
      </c>
      <c r="B2" s="7" t="s">
        <v>973</v>
      </c>
      <c r="C2" s="7" t="str">
        <f>"公司主营业务为阿胶和阿胶系列及其他中成药等产品的研发、生产和销售。公司主要产品有阿胶、复方阿胶浆、阿胶糕、“真颜”品牌系列、阿胶粉。"&amp;CHAR(10)&amp;Basic_Fundamental_Information_Constructure(F2)&amp;CHAR(10)&amp;Basic_Fundamental_Information_Concatenate("阿胶及系列产品 36.99亿 91.52% 98.03% 73.16%
其他药品及保健品 1.87亿 4.63% 4.40% 64.89%
毛驴养殖及销售 1.03亿 2.55% 0.39% 10.33%")</f>
        <v>公司主营业务为阿胶和阿胶系列及其他中成药等产品的研发、生产和销售。公司主要产品有阿胶、复方阿胶浆、阿胶糕、“真颜”品牌系列、阿胶粉。
市值403.96666亿, 利润11.51亿; PE31.71; 平均PE59.93; 平均PEG29.46, PB3.67; ROIC6.0867%; ROE6.5633%; 股利率2.8442%; 毛利66.9467%; 净利18.37%; 上一年度营收增16.65%, 利润增47.56%; 当季营收增35.92%, 利润增53.65%; 过往5年营收增-2.03%, 利润增205.79%
Income profile:
阿胶及系列产品 36.99亿 91.52% 98.03% 73.16%
其他药品及保健品 1.87亿 4.63% 4.40% 64.89%
毛驴养殖及销售 1.03亿 2.55% 0.39% 10.33%</v>
      </c>
      <c r="D2" t="s">
        <v>113</v>
      </c>
      <c r="E2" t="s">
        <v>48</v>
      </c>
      <c r="F2">
        <v>62.73</v>
      </c>
      <c r="G2">
        <v>3.69</v>
      </c>
      <c r="H2" t="s">
        <v>1692</v>
      </c>
      <c r="I2">
        <v>40396666000</v>
      </c>
      <c r="J2">
        <v>31.71</v>
      </c>
      <c r="K2">
        <v>3.67</v>
      </c>
      <c r="L2" t="s">
        <v>114</v>
      </c>
      <c r="M2" t="s">
        <v>1059</v>
      </c>
      <c r="N2" t="s">
        <v>1693</v>
      </c>
      <c r="O2" t="s">
        <v>1060</v>
      </c>
      <c r="P2">
        <v>35.950000000000003</v>
      </c>
      <c r="Q2" t="s">
        <v>1061</v>
      </c>
      <c r="R2">
        <v>353403540</v>
      </c>
      <c r="S2" s="5">
        <v>0.5343</v>
      </c>
      <c r="T2" t="s">
        <v>1062</v>
      </c>
      <c r="U2">
        <v>643976820</v>
      </c>
      <c r="V2">
        <v>643976820</v>
      </c>
      <c r="W2">
        <v>1.22</v>
      </c>
      <c r="X2">
        <v>0.11</v>
      </c>
      <c r="Y2">
        <v>24.33</v>
      </c>
      <c r="Z2" t="s">
        <v>1292</v>
      </c>
      <c r="AA2" t="s">
        <v>1050</v>
      </c>
      <c r="AB2" t="s">
        <v>208</v>
      </c>
      <c r="AC2" t="s">
        <v>1694</v>
      </c>
      <c r="AD2" t="s">
        <v>53</v>
      </c>
      <c r="AE2">
        <v>-32834592</v>
      </c>
      <c r="AF2" t="s">
        <v>1063</v>
      </c>
      <c r="AG2" t="s">
        <v>1695</v>
      </c>
      <c r="AH2" t="s">
        <v>1064</v>
      </c>
      <c r="AI2" t="s">
        <v>1696</v>
      </c>
      <c r="AJ2" t="s">
        <v>1065</v>
      </c>
      <c r="AK2" t="s">
        <v>565</v>
      </c>
      <c r="AL2" t="s">
        <v>1066</v>
      </c>
      <c r="AM2" t="s">
        <v>53</v>
      </c>
      <c r="AN2" t="s">
        <v>1697</v>
      </c>
      <c r="AO2" t="s">
        <v>53</v>
      </c>
      <c r="AP2" t="s">
        <v>53</v>
      </c>
      <c r="AQ2" t="s">
        <v>185</v>
      </c>
      <c r="AR2" t="s">
        <v>1698</v>
      </c>
      <c r="AS2" t="s">
        <v>1699</v>
      </c>
      <c r="AT2" t="s">
        <v>53</v>
      </c>
      <c r="AU2" t="s">
        <v>169</v>
      </c>
      <c r="AV2" t="s">
        <v>1041</v>
      </c>
      <c r="AW2" t="s">
        <v>1700</v>
      </c>
      <c r="AX2" t="s">
        <v>796</v>
      </c>
      <c r="AY2" t="s">
        <v>621</v>
      </c>
      <c r="AZ2" t="s">
        <v>353</v>
      </c>
      <c r="BA2" t="s">
        <v>357</v>
      </c>
      <c r="BB2" t="s">
        <v>358</v>
      </c>
      <c r="BC2" t="s">
        <v>797</v>
      </c>
      <c r="BD2" t="s">
        <v>529</v>
      </c>
      <c r="BE2" t="s">
        <v>354</v>
      </c>
      <c r="BF2" t="s">
        <v>359</v>
      </c>
      <c r="BG2" t="s">
        <v>360</v>
      </c>
      <c r="BH2" t="s">
        <v>1061</v>
      </c>
      <c r="BI2" t="s">
        <v>1068</v>
      </c>
      <c r="BJ2" t="s">
        <v>796</v>
      </c>
      <c r="BK2" t="s">
        <v>1062</v>
      </c>
      <c r="BL2" t="s">
        <v>154</v>
      </c>
      <c r="BM2" t="s">
        <v>797</v>
      </c>
      <c r="BN2">
        <v>7.01</v>
      </c>
      <c r="BO2">
        <v>7.08</v>
      </c>
      <c r="BP2">
        <v>4.17</v>
      </c>
      <c r="BQ2">
        <v>7.55</v>
      </c>
      <c r="BR2">
        <v>7.68</v>
      </c>
      <c r="BS2">
        <v>4.46</v>
      </c>
      <c r="BT2" t="s">
        <v>1701</v>
      </c>
      <c r="BU2" t="s">
        <v>114</v>
      </c>
      <c r="BV2">
        <v>70.239999999999995</v>
      </c>
      <c r="BW2">
        <v>68.3</v>
      </c>
      <c r="BX2">
        <v>62.3</v>
      </c>
      <c r="BY2">
        <v>24.43</v>
      </c>
      <c r="BZ2">
        <v>19.28</v>
      </c>
      <c r="CA2">
        <v>11.4</v>
      </c>
      <c r="CB2">
        <v>0.21</v>
      </c>
      <c r="CC2">
        <v>-6.24</v>
      </c>
      <c r="CD2" t="s">
        <v>1702</v>
      </c>
      <c r="CE2" t="s">
        <v>1039</v>
      </c>
      <c r="CF2" s="8">
        <v>0.35921421889616462</v>
      </c>
      <c r="CG2" s="9">
        <v>0.53653713043478279</v>
      </c>
      <c r="CH2" s="8">
        <v>0.1665017157793045</v>
      </c>
      <c r="CI2" s="8">
        <v>5.0142876803874969E-2</v>
      </c>
      <c r="CJ2" s="8">
        <v>0.12907011806964874</v>
      </c>
      <c r="CK2" s="8">
        <v>0.14781147241592407</v>
      </c>
      <c r="CL2" s="8">
        <v>-0.59525758028030396</v>
      </c>
      <c r="CM2" s="9">
        <v>0.47564110159873962</v>
      </c>
      <c r="CN2" s="9">
        <v>0.77272725105285645</v>
      </c>
      <c r="CO2" s="9">
        <v>9.1641740798950195</v>
      </c>
      <c r="CP2" s="9">
        <v>1.0951412916183472</v>
      </c>
      <c r="CQ2" s="9">
        <v>-1.218225359916687</v>
      </c>
      <c r="CR2">
        <v>59.931418852751214</v>
      </c>
      <c r="CS2">
        <v>29.455714015272545</v>
      </c>
      <c r="CT2">
        <v>2.844237525904671</v>
      </c>
      <c r="CU2" s="8">
        <v>-2.0346279442310333E-2</v>
      </c>
      <c r="CV2" s="9">
        <v>2.0578916728496552</v>
      </c>
      <c r="CW2">
        <v>0.06</v>
      </c>
      <c r="CX2">
        <v>27.753836663770635</v>
      </c>
      <c r="CY2" t="s">
        <v>1069</v>
      </c>
      <c r="CZ2">
        <v>-2.0346279442310333E-2</v>
      </c>
      <c r="DA2">
        <v>9.2512788879235455</v>
      </c>
      <c r="DB2" t="s">
        <v>1070</v>
      </c>
      <c r="DC2">
        <v>-1.9328965470194814E-2</v>
      </c>
      <c r="DD2">
        <v>4.6256394439617727</v>
      </c>
      <c r="DE2" t="s">
        <v>1071</v>
      </c>
      <c r="DF2">
        <v>-1.7904725909233091E-2</v>
      </c>
      <c r="DG2">
        <v>2.7753836663770635</v>
      </c>
      <c r="DH2" t="s">
        <v>1072</v>
      </c>
      <c r="DI2">
        <v>-1.6277023553848267E-2</v>
      </c>
      <c r="DJ2">
        <v>1.3876918331885317</v>
      </c>
      <c r="DK2" t="s">
        <v>1073</v>
      </c>
      <c r="DL2">
        <v>-1.4242395609617231E-2</v>
      </c>
      <c r="DM2">
        <v>1151000000</v>
      </c>
      <c r="DN2">
        <v>-2.0346279442310333E-2</v>
      </c>
      <c r="DO2">
        <v>31944666000</v>
      </c>
      <c r="DP2">
        <v>8367205200</v>
      </c>
      <c r="DQ2">
        <v>85</v>
      </c>
      <c r="DR2">
        <v>0.37956049833847494</v>
      </c>
      <c r="DS2">
        <v>-1.5213545424148724</v>
      </c>
      <c r="DT2" s="10">
        <v>-0.37333333333333335</v>
      </c>
      <c r="DU2">
        <v>0.75</v>
      </c>
      <c r="DV2">
        <v>0.37666666666666665</v>
      </c>
      <c r="DW2">
        <v>-2.0623999999999998</v>
      </c>
      <c r="DX2">
        <v>0.56083835616438527</v>
      </c>
      <c r="DY2">
        <v>-2.0094123134246575</v>
      </c>
      <c r="DZ2">
        <v>911</v>
      </c>
      <c r="EA2">
        <v>-2.0077343060802617</v>
      </c>
      <c r="EB2">
        <v>2</v>
      </c>
      <c r="EC2">
        <v>3.419750418966943E-2</v>
      </c>
      <c r="ED2">
        <v>0.2267162349104429</v>
      </c>
      <c r="EE2" s="11">
        <v>3.0578099999999999</v>
      </c>
      <c r="EF2">
        <v>3.0723099999999999</v>
      </c>
      <c r="EG2">
        <v>41.150838356164385</v>
      </c>
      <c r="EH2" t="s">
        <v>1007</v>
      </c>
      <c r="EI2">
        <v>0</v>
      </c>
      <c r="EJ2">
        <v>1</v>
      </c>
      <c r="EK2" s="12">
        <v>45470</v>
      </c>
      <c r="EL2">
        <v>0.76</v>
      </c>
      <c r="EM2">
        <v>-3.26</v>
      </c>
      <c r="EN2">
        <v>0.17</v>
      </c>
      <c r="EO2">
        <v>0</v>
      </c>
      <c r="EP2">
        <v>-1.45</v>
      </c>
    </row>
    <row r="3" spans="1:146" ht="168" x14ac:dyDescent="0.25">
      <c r="A3" s="7" t="s">
        <v>966</v>
      </c>
      <c r="B3" s="7" t="s">
        <v>967</v>
      </c>
      <c r="C3" s="7" t="str">
        <f>"公司是一家主要经营化学原料药、化学药制剂、中成药、中药材、生物制品等的公司。公司产品以云南白药系列、三七系列和云南民族特色药品系列为主，共17种剂型200余个产品，产品畅销国内市场及东南亚一带，并逐渐进入日本、欧美等发达国家市场。公司是我国知名中成药生产企业之一，是云南大型工商医药企业之一，是中国中成药五十强之一。"&amp;CHAR(10)&amp;Basic_Fundamental_Information_Constructure(F3)&amp;CHAR(10)&amp;Basic_Fundamental_Information_Concatenate("批发零售 236.45亿 64.80% 15.33% 6.23%
工业产品(自制) 127.73亿 35.00% 84.40% 63.47%")</f>
        <v>公司是一家主要经营化学原料药、化学药制剂、中成药、中药材、生物制品等的公司。公司产品以云南白药系列、三七系列和云南民族特色药品系列为主，共17种剂型200余个产品，产品畅销国内市场及东南亚一带，并逐渐进入日本、欧美等发达国家市场。公司是我国知名中成药生产企业之一，是云南大型工商医药企业之一，是中国中成药五十强之一。
市值914.07773亿, 利润40.94亿; PE21.37; 平均PE23.75; 平均PEG3.06, PB2.21; ROIC7.3333%; ROE8.6433%; 股利率4.0543%; 毛利26.66%; 净利8.67%; 上一年度营收增7.19%, 利润增36.42%; 当季营收增2.48%, 利润增12.12%; 过往5年营收增7.75%, 利润增9.17%
Income profile:
批发零售 236.45亿 64.80% 15.33% 6.23%
工业产品(自制) 127.73亿 35.00% 84.40% 63.47%</v>
      </c>
      <c r="D3" t="s">
        <v>118</v>
      </c>
      <c r="E3" t="s">
        <v>49</v>
      </c>
      <c r="F3">
        <v>51.23</v>
      </c>
      <c r="G3">
        <v>1.33</v>
      </c>
      <c r="H3" t="s">
        <v>1703</v>
      </c>
      <c r="I3">
        <v>91407773000</v>
      </c>
      <c r="J3">
        <v>21.37</v>
      </c>
      <c r="K3">
        <v>2.21</v>
      </c>
      <c r="L3" t="s">
        <v>114</v>
      </c>
      <c r="M3" t="s">
        <v>1075</v>
      </c>
      <c r="N3" t="s">
        <v>1704</v>
      </c>
      <c r="O3" t="s">
        <v>1076</v>
      </c>
      <c r="P3">
        <v>2.4900000000000002</v>
      </c>
      <c r="Q3" t="s">
        <v>1077</v>
      </c>
      <c r="R3">
        <v>1701931400</v>
      </c>
      <c r="S3" s="5">
        <v>0.1212</v>
      </c>
      <c r="T3" t="s">
        <v>1078</v>
      </c>
      <c r="U3">
        <v>1772576200</v>
      </c>
      <c r="V3">
        <v>1784262600</v>
      </c>
      <c r="W3">
        <v>1.37</v>
      </c>
      <c r="X3">
        <v>0.19</v>
      </c>
      <c r="Y3">
        <v>15.77</v>
      </c>
      <c r="Z3" t="s">
        <v>1705</v>
      </c>
      <c r="AA3" t="s">
        <v>1706</v>
      </c>
      <c r="AB3" t="s">
        <v>1707</v>
      </c>
      <c r="AC3" t="s">
        <v>526</v>
      </c>
      <c r="AD3" t="s">
        <v>53</v>
      </c>
      <c r="AE3">
        <v>-67221450</v>
      </c>
      <c r="AF3" t="s">
        <v>1079</v>
      </c>
      <c r="AG3" t="s">
        <v>1708</v>
      </c>
      <c r="AH3" t="s">
        <v>1080</v>
      </c>
      <c r="AI3" t="s">
        <v>1709</v>
      </c>
      <c r="AJ3" t="s">
        <v>1081</v>
      </c>
      <c r="AK3" t="s">
        <v>1690</v>
      </c>
      <c r="AL3" t="s">
        <v>1082</v>
      </c>
      <c r="AM3" t="s">
        <v>53</v>
      </c>
      <c r="AN3" t="s">
        <v>1265</v>
      </c>
      <c r="AO3" t="s">
        <v>1710</v>
      </c>
      <c r="AP3" t="s">
        <v>1711</v>
      </c>
      <c r="AQ3" t="s">
        <v>1712</v>
      </c>
      <c r="AR3" t="s">
        <v>1713</v>
      </c>
      <c r="AS3" t="s">
        <v>1714</v>
      </c>
      <c r="AT3" t="s">
        <v>800</v>
      </c>
      <c r="AU3" t="s">
        <v>1683</v>
      </c>
      <c r="AV3" t="s">
        <v>1715</v>
      </c>
      <c r="AW3" t="s">
        <v>1105</v>
      </c>
      <c r="AX3" t="s">
        <v>798</v>
      </c>
      <c r="AY3" t="s">
        <v>622</v>
      </c>
      <c r="AZ3" t="s">
        <v>361</v>
      </c>
      <c r="BA3" t="s">
        <v>119</v>
      </c>
      <c r="BB3" t="s">
        <v>363</v>
      </c>
      <c r="BC3" t="s">
        <v>799</v>
      </c>
      <c r="BD3" t="s">
        <v>801</v>
      </c>
      <c r="BE3" t="s">
        <v>362</v>
      </c>
      <c r="BF3" t="s">
        <v>120</v>
      </c>
      <c r="BG3" t="s">
        <v>364</v>
      </c>
      <c r="BH3" t="s">
        <v>1077</v>
      </c>
      <c r="BI3" t="s">
        <v>1085</v>
      </c>
      <c r="BJ3" t="s">
        <v>798</v>
      </c>
      <c r="BK3" t="s">
        <v>1078</v>
      </c>
      <c r="BL3" t="s">
        <v>1086</v>
      </c>
      <c r="BM3" t="s">
        <v>799</v>
      </c>
      <c r="BN3">
        <v>9.52</v>
      </c>
      <c r="BO3">
        <v>6.29</v>
      </c>
      <c r="BP3">
        <v>6.19</v>
      </c>
      <c r="BQ3">
        <v>10.48</v>
      </c>
      <c r="BR3">
        <v>7.87</v>
      </c>
      <c r="BS3">
        <v>7.58</v>
      </c>
      <c r="BT3" t="s">
        <v>1087</v>
      </c>
      <c r="BU3" t="s">
        <v>114</v>
      </c>
      <c r="BV3">
        <v>26.51</v>
      </c>
      <c r="BW3">
        <v>26.32</v>
      </c>
      <c r="BX3">
        <v>27.15</v>
      </c>
      <c r="BY3">
        <v>10.54</v>
      </c>
      <c r="BZ3">
        <v>7.78</v>
      </c>
      <c r="CA3">
        <v>7.69</v>
      </c>
      <c r="CB3">
        <v>0.16</v>
      </c>
      <c r="CC3">
        <v>-5.18</v>
      </c>
      <c r="CD3" t="s">
        <v>1716</v>
      </c>
      <c r="CE3" t="s">
        <v>449</v>
      </c>
      <c r="CF3" s="8">
        <v>2.4826405402834584E-2</v>
      </c>
      <c r="CG3" s="9">
        <v>0.121166930171278</v>
      </c>
      <c r="CH3" s="8">
        <v>7.1886666119098663E-2</v>
      </c>
      <c r="CI3" s="8">
        <v>3.1341032590717077E-3</v>
      </c>
      <c r="CJ3" s="8">
        <v>0.11089392006397247</v>
      </c>
      <c r="CK3" s="8">
        <v>0.10375866293907166</v>
      </c>
      <c r="CL3" s="8">
        <v>9.8012305796146393E-2</v>
      </c>
      <c r="CM3" s="9">
        <v>0.36421200633049011</v>
      </c>
      <c r="CN3" s="9">
        <v>6.9875225424766541E-2</v>
      </c>
      <c r="CO3" s="9">
        <v>-0.49147936701774597</v>
      </c>
      <c r="CP3" s="9">
        <v>0.31835570931434631</v>
      </c>
      <c r="CQ3" s="9">
        <v>0.19748134911060333</v>
      </c>
      <c r="CR3">
        <v>23.748447129124447</v>
      </c>
      <c r="CS3">
        <v>3.0628482932246945</v>
      </c>
      <c r="CT3">
        <v>4.0542650790552415</v>
      </c>
      <c r="CU3" s="8">
        <v>7.7537131635472184E-2</v>
      </c>
      <c r="CV3" s="9">
        <v>9.168898463249206E-2</v>
      </c>
      <c r="CW3">
        <v>0.06</v>
      </c>
      <c r="CX3">
        <v>15.301984165512824</v>
      </c>
      <c r="CY3">
        <v>4161733034.8260598</v>
      </c>
      <c r="CZ3">
        <v>7.7537131635472184E-2</v>
      </c>
      <c r="DA3">
        <v>5.0536725506044604</v>
      </c>
      <c r="DB3">
        <v>12601285968.237698</v>
      </c>
      <c r="DC3">
        <v>7.3660275053698571E-2</v>
      </c>
      <c r="DD3">
        <v>2.5230449778773956</v>
      </c>
      <c r="DE3">
        <v>25240443019.599072</v>
      </c>
      <c r="DF3">
        <v>6.8232675839215523E-2</v>
      </c>
      <c r="DG3">
        <v>1.5392110670546688</v>
      </c>
      <c r="DH3">
        <v>41373645475.31424</v>
      </c>
      <c r="DI3">
        <v>6.2029705308377751E-2</v>
      </c>
      <c r="DJ3">
        <v>0.8228557869026788</v>
      </c>
      <c r="DK3">
        <v>77392386386.087265</v>
      </c>
      <c r="DL3">
        <v>5.4275992144830525E-2</v>
      </c>
      <c r="DM3">
        <v>4094000000</v>
      </c>
      <c r="DN3">
        <v>7.7537131635472184E-2</v>
      </c>
      <c r="DO3">
        <v>63682773000</v>
      </c>
      <c r="DP3">
        <v>24946382000</v>
      </c>
      <c r="DQ3">
        <v>122</v>
      </c>
      <c r="DR3">
        <v>-5.2710726232637603E-2</v>
      </c>
      <c r="DS3">
        <v>2.9477945538785938E-2</v>
      </c>
      <c r="DT3" s="10">
        <v>-0.44</v>
      </c>
      <c r="DU3">
        <v>0.24999999999999997</v>
      </c>
      <c r="DV3">
        <v>-0.19000000000000003</v>
      </c>
      <c r="DW3">
        <v>-1.0518000000000001</v>
      </c>
      <c r="DX3">
        <v>0.43338749999999893</v>
      </c>
      <c r="DY3">
        <v>-1.0084634724999999</v>
      </c>
      <c r="DZ3">
        <v>2174</v>
      </c>
      <c r="EA3">
        <v>-1.0048627701095889</v>
      </c>
      <c r="EB3">
        <v>1</v>
      </c>
      <c r="EC3">
        <v>2.0512003109856139E-2</v>
      </c>
      <c r="ED3">
        <v>0.12554205866333804</v>
      </c>
      <c r="EE3" s="11">
        <v>1.8800000000000001E-2</v>
      </c>
      <c r="EF3">
        <v>6.4000000000000012E-3</v>
      </c>
      <c r="EG3">
        <v>27.163387499999999</v>
      </c>
      <c r="EH3" t="s">
        <v>612</v>
      </c>
      <c r="EI3">
        <v>0</v>
      </c>
      <c r="EJ3">
        <v>0</v>
      </c>
      <c r="EK3" s="12">
        <v>45470</v>
      </c>
      <c r="EL3">
        <v>0</v>
      </c>
      <c r="EM3">
        <v>-0.57999999999999996</v>
      </c>
      <c r="EN3">
        <v>0.28999999999999998</v>
      </c>
      <c r="EO3">
        <v>0.8</v>
      </c>
      <c r="EP3">
        <v>-1.24</v>
      </c>
    </row>
    <row r="4" spans="1:146" ht="96" x14ac:dyDescent="0.25">
      <c r="A4" s="7"/>
      <c r="B4" s="7"/>
      <c r="C4" s="7" t="str">
        <f>""&amp;CHAR(10)&amp;Basic_Fundamental_Information_Constructure(F4)&amp;CHAR(10)&amp;Basic_Fundamental_Information_Concatenate("")</f>
        <v xml:space="preserve">
市值12.7638185亿, 利润2524.68万; PE123; 平均PE72.4; 平均PEG3.69, PB1.78; ROIC2.6333%; ROE2.9667%; 股利率0%; 毛利52.94%; 净利7.7033%; 上一年度营收增15.38%, 利润增39.41%; 当季营收增-23.67%, 利润增-225.81%; 过往5年营收增19.62%, 利润增42.23%
Income profile:
</v>
      </c>
      <c r="D4" t="s">
        <v>122</v>
      </c>
      <c r="E4" t="s">
        <v>365</v>
      </c>
      <c r="F4">
        <v>5.33</v>
      </c>
      <c r="G4">
        <v>4.0999999999999996</v>
      </c>
      <c r="H4" t="s">
        <v>1717</v>
      </c>
      <c r="I4">
        <v>1276381850</v>
      </c>
      <c r="J4">
        <v>123</v>
      </c>
      <c r="K4">
        <v>1.78</v>
      </c>
      <c r="L4" t="s">
        <v>114</v>
      </c>
      <c r="M4" t="s">
        <v>750</v>
      </c>
      <c r="N4" t="s">
        <v>1718</v>
      </c>
      <c r="O4" t="s">
        <v>1088</v>
      </c>
      <c r="P4">
        <v>-23.82</v>
      </c>
      <c r="Q4" t="s">
        <v>1041</v>
      </c>
      <c r="R4">
        <v>-8284339</v>
      </c>
      <c r="S4" s="5">
        <v>-2.258</v>
      </c>
      <c r="T4" t="s">
        <v>1089</v>
      </c>
      <c r="U4">
        <v>239376230</v>
      </c>
      <c r="V4">
        <v>239471270</v>
      </c>
      <c r="W4">
        <v>1.62</v>
      </c>
      <c r="X4">
        <v>7.0000000000000007E-2</v>
      </c>
      <c r="Y4">
        <v>-10.72</v>
      </c>
      <c r="Z4" t="s">
        <v>1719</v>
      </c>
      <c r="AA4" t="s">
        <v>1720</v>
      </c>
      <c r="AB4" t="s">
        <v>1721</v>
      </c>
      <c r="AC4" t="s">
        <v>1722</v>
      </c>
      <c r="AD4" t="s">
        <v>53</v>
      </c>
      <c r="AE4">
        <v>549946</v>
      </c>
      <c r="AF4" t="s">
        <v>1090</v>
      </c>
      <c r="AG4">
        <v>8716.5</v>
      </c>
      <c r="AH4" t="s">
        <v>1091</v>
      </c>
      <c r="AI4" t="s">
        <v>630</v>
      </c>
      <c r="AJ4" t="s">
        <v>1092</v>
      </c>
      <c r="AK4" t="s">
        <v>1723</v>
      </c>
      <c r="AL4" t="s">
        <v>1093</v>
      </c>
      <c r="AM4" t="s">
        <v>53</v>
      </c>
      <c r="AN4" t="s">
        <v>1724</v>
      </c>
      <c r="AO4" t="s">
        <v>1725</v>
      </c>
      <c r="AP4" t="s">
        <v>1726</v>
      </c>
      <c r="AQ4" t="s">
        <v>1727</v>
      </c>
      <c r="AR4" t="s">
        <v>53</v>
      </c>
      <c r="AS4" t="s">
        <v>1025</v>
      </c>
      <c r="AT4" t="s">
        <v>1094</v>
      </c>
      <c r="AU4" t="s">
        <v>1728</v>
      </c>
      <c r="AV4" t="s">
        <v>1729</v>
      </c>
      <c r="AW4" t="s">
        <v>1730</v>
      </c>
      <c r="AX4" t="s">
        <v>802</v>
      </c>
      <c r="AY4" t="s">
        <v>75</v>
      </c>
      <c r="AZ4" t="s">
        <v>195</v>
      </c>
      <c r="BA4" t="s">
        <v>92</v>
      </c>
      <c r="BB4" t="s">
        <v>369</v>
      </c>
      <c r="BC4" t="s">
        <v>1095</v>
      </c>
      <c r="BD4" t="s">
        <v>623</v>
      </c>
      <c r="BE4" t="s">
        <v>367</v>
      </c>
      <c r="BF4" t="s">
        <v>123</v>
      </c>
      <c r="BG4" t="s">
        <v>372</v>
      </c>
      <c r="BH4" t="s">
        <v>1041</v>
      </c>
      <c r="BI4" t="s">
        <v>67</v>
      </c>
      <c r="BJ4" t="s">
        <v>802</v>
      </c>
      <c r="BK4" t="s">
        <v>1089</v>
      </c>
      <c r="BL4" t="s">
        <v>1096</v>
      </c>
      <c r="BM4" t="s">
        <v>1095</v>
      </c>
      <c r="BN4">
        <v>0.93</v>
      </c>
      <c r="BO4">
        <v>2.15</v>
      </c>
      <c r="BP4">
        <v>4.82</v>
      </c>
      <c r="BQ4">
        <v>0.92</v>
      </c>
      <c r="BR4">
        <v>2.63</v>
      </c>
      <c r="BS4">
        <v>5.35</v>
      </c>
      <c r="BT4" t="s">
        <v>775</v>
      </c>
      <c r="BU4" t="s">
        <v>114</v>
      </c>
      <c r="BV4">
        <v>52.42</v>
      </c>
      <c r="BW4">
        <v>51.12</v>
      </c>
      <c r="BX4">
        <v>55.28</v>
      </c>
      <c r="BY4">
        <v>6.15</v>
      </c>
      <c r="BZ4">
        <v>5.18</v>
      </c>
      <c r="CA4">
        <v>11.78</v>
      </c>
      <c r="CB4">
        <v>1.1399999999999999</v>
      </c>
      <c r="CC4">
        <v>-19.97</v>
      </c>
      <c r="CD4" t="s">
        <v>1731</v>
      </c>
      <c r="CE4" t="s">
        <v>81</v>
      </c>
      <c r="CF4" s="8">
        <v>-0.2366970297029703</v>
      </c>
      <c r="CG4" s="9">
        <v>-2.2581003219535902</v>
      </c>
      <c r="CH4" s="8">
        <v>0.15384615957736969</v>
      </c>
      <c r="CI4" s="8">
        <v>0.16611295938491821</v>
      </c>
      <c r="CJ4" s="8">
        <v>9.4545453786849976E-2</v>
      </c>
      <c r="CK4" s="8">
        <v>-0.1269841343164444</v>
      </c>
      <c r="CL4" s="8">
        <v>0.69354838132858276</v>
      </c>
      <c r="CM4" s="9">
        <v>0.39408832788467407</v>
      </c>
      <c r="CN4" s="9">
        <v>-0.48897811770439148</v>
      </c>
      <c r="CO4" s="9">
        <v>0.55963277816772461</v>
      </c>
      <c r="CP4" s="9">
        <v>-0.46462845802307129</v>
      </c>
      <c r="CQ4" s="9">
        <v>2.1116254329681396</v>
      </c>
      <c r="CR4">
        <v>72.398563617181395</v>
      </c>
      <c r="CS4">
        <v>3.6897800724519079</v>
      </c>
      <c r="CT4">
        <v>0</v>
      </c>
      <c r="CU4" s="8">
        <v>0.19621376395225526</v>
      </c>
      <c r="CV4" s="9">
        <v>0.42234799265861511</v>
      </c>
      <c r="CW4">
        <v>0.06</v>
      </c>
      <c r="CX4">
        <v>34.375005929808701</v>
      </c>
      <c r="CY4">
        <v>28491103.448820561</v>
      </c>
      <c r="CZ4">
        <v>0.19621376395225526</v>
      </c>
      <c r="DA4">
        <v>10.278655149672661</v>
      </c>
      <c r="DB4">
        <v>95283073.100393862</v>
      </c>
      <c r="DC4">
        <v>0.18640307575464249</v>
      </c>
      <c r="DD4">
        <v>4.4731134339351541</v>
      </c>
      <c r="DE4">
        <v>218948583.45642346</v>
      </c>
      <c r="DF4">
        <v>0.17266811227798462</v>
      </c>
      <c r="DG4">
        <v>2.3228142049548244</v>
      </c>
      <c r="DH4">
        <v>421635896.62525231</v>
      </c>
      <c r="DI4">
        <v>0.15697101116180423</v>
      </c>
      <c r="DJ4">
        <v>0.85368878010691274</v>
      </c>
      <c r="DK4">
        <v>1147235237.0349133</v>
      </c>
      <c r="DL4">
        <v>0.13734963476657866</v>
      </c>
      <c r="DM4">
        <v>25246800</v>
      </c>
      <c r="DN4">
        <v>0.19621376395225526</v>
      </c>
      <c r="DO4">
        <v>979381850</v>
      </c>
      <c r="DP4">
        <v>287427650</v>
      </c>
      <c r="DQ4">
        <v>158</v>
      </c>
      <c r="DR4">
        <v>-0.43291079365522556</v>
      </c>
      <c r="DS4">
        <v>-2.6804483146122053</v>
      </c>
      <c r="DT4" s="10">
        <v>7.6666666666666661E-2</v>
      </c>
      <c r="DU4">
        <v>-0.36166666666666664</v>
      </c>
      <c r="DV4">
        <v>-0.28499999999999998</v>
      </c>
      <c r="DW4">
        <v>-3.0448988095238096</v>
      </c>
      <c r="DX4">
        <v>0.44460549999999699</v>
      </c>
      <c r="DY4">
        <v>-3.0033496981339285</v>
      </c>
      <c r="DZ4">
        <v>2399</v>
      </c>
      <c r="EA4">
        <v>-3.0017771099101918</v>
      </c>
      <c r="EB4">
        <v>3</v>
      </c>
      <c r="EC4">
        <v>6.2308518261919264E-2</v>
      </c>
      <c r="ED4">
        <v>0.8351732548125711</v>
      </c>
      <c r="EE4" s="11">
        <v>-6.0277000000000003</v>
      </c>
      <c r="EF4">
        <v>-6.0147000000000004</v>
      </c>
      <c r="EG4">
        <v>37.074605499999997</v>
      </c>
      <c r="EH4" t="s">
        <v>1685</v>
      </c>
      <c r="EI4">
        <v>0</v>
      </c>
      <c r="EJ4">
        <v>0</v>
      </c>
      <c r="EK4" s="12">
        <v>45470</v>
      </c>
      <c r="EL4">
        <v>-1.08</v>
      </c>
      <c r="EM4">
        <v>-5.48</v>
      </c>
      <c r="EN4">
        <v>1.35</v>
      </c>
      <c r="EO4">
        <v>2.67</v>
      </c>
      <c r="EP4">
        <v>-1.3</v>
      </c>
    </row>
    <row r="5" spans="1:146" ht="192" x14ac:dyDescent="0.25">
      <c r="A5" s="13" t="s">
        <v>975</v>
      </c>
      <c r="B5" s="7"/>
      <c r="C5" s="7" t="str">
        <f>"公司主要从事中成药、生物化学药研发、制造和销售。公司的主要产品为“安神补脑液”、“小儿柴桂退热口服液”、“血府逐瘀口服液”、“注射用核糖核酸II”、“羚贝止咳糖浆”、“养血饮口服液”、“注射用盐酸平阳霉素”、“少腹逐瘀颗粒”、“肾复康片”、“伸筋片”、“脑心舒口服液”、“心脑舒通胶囊”、“利脑心胶囊”、“感冒清热胶囊”、“注射用赖氨匹林”等。"&amp;CHAR(10)&amp;Basic_Fundamental_Information_Constructure(F5)&amp;CHAR(10)&amp;Basic_Fundamental_Information_Concatenate("中药 16.92亿 59.01% 69.09% 59.90%
连锁药店批发和零售 4.48亿 15.63% 5.96% 19.50%
食品 3.59亿 12.53% 12.18% 49.73%
化学药品 3.25亿 11.35% 11.86% 53.47%")</f>
        <v>公司主要从事中成药、生物化学药研发、制造和销售。公司的主要产品为“安神补脑液”、“小儿柴桂退热口服液”、“血府逐瘀口服液”、“注射用核糖核酸II”、“羚贝止咳糖浆”、“养血饮口服液”、“注射用盐酸平阳霉素”、“少腹逐瘀颗粒”、“肾复康片”、“伸筋片”、“脑心舒口服液”、“心脑舒通胶囊”、“利脑心胶囊”、“感冒清热胶囊”、“注射用赖氨匹林”等。
市值163.00054亿, 利润14.60亿; PE14.58; 平均PE10.78; 平均PEG4.19, PB.593; ROIC6.0033%; ROE6.3967%; 股利率4.4021%; 毛利50.9%; 净利60.5133%; 上一年度营收增20.26%, 利润增-18.02%; 当季营收增9.26%, 利润增-70.44%; 过往5年营收增2.57%, 利润增11.61%
Income profile:
中药 16.92亿 59.01% 69.09% 59.90%
连锁药店批发和零售 4.48亿 15.63% 5.96% 19.50%
食品 3.59亿 12.53% 12.18% 49.73%
化学药品 3.25亿 11.35% 11.86% 53.47%</v>
      </c>
      <c r="D5" t="s">
        <v>713</v>
      </c>
      <c r="E5" t="s">
        <v>714</v>
      </c>
      <c r="F5">
        <v>13.63</v>
      </c>
      <c r="G5">
        <v>1.26</v>
      </c>
      <c r="H5" t="s">
        <v>1732</v>
      </c>
      <c r="I5">
        <v>16300054000</v>
      </c>
      <c r="J5">
        <v>14.58</v>
      </c>
      <c r="K5">
        <v>0.59299999999999997</v>
      </c>
      <c r="L5" t="s">
        <v>114</v>
      </c>
      <c r="M5" t="s">
        <v>1015</v>
      </c>
      <c r="N5" t="s">
        <v>1733</v>
      </c>
      <c r="O5" t="s">
        <v>1024</v>
      </c>
      <c r="P5">
        <v>9.35</v>
      </c>
      <c r="Q5" t="s">
        <v>1097</v>
      </c>
      <c r="R5">
        <v>143665580</v>
      </c>
      <c r="S5" s="5">
        <v>-0.70430000000000004</v>
      </c>
      <c r="T5" t="s">
        <v>1009</v>
      </c>
      <c r="U5">
        <v>1191581840</v>
      </c>
      <c r="V5">
        <v>1195895390</v>
      </c>
      <c r="W5">
        <v>1.1299999999999999</v>
      </c>
      <c r="X5">
        <v>0.03</v>
      </c>
      <c r="Y5">
        <v>15.4</v>
      </c>
      <c r="Z5" t="s">
        <v>1734</v>
      </c>
      <c r="AA5" t="s">
        <v>1735</v>
      </c>
      <c r="AB5" t="s">
        <v>87</v>
      </c>
      <c r="AC5" t="s">
        <v>1736</v>
      </c>
      <c r="AD5" t="s">
        <v>53</v>
      </c>
      <c r="AE5">
        <v>34495494</v>
      </c>
      <c r="AF5" t="s">
        <v>1098</v>
      </c>
      <c r="AG5" t="s">
        <v>1737</v>
      </c>
      <c r="AH5" t="s">
        <v>1099</v>
      </c>
      <c r="AI5" t="s">
        <v>1738</v>
      </c>
      <c r="AJ5" t="s">
        <v>1100</v>
      </c>
      <c r="AK5" t="s">
        <v>1739</v>
      </c>
      <c r="AL5" t="s">
        <v>1101</v>
      </c>
      <c r="AM5" t="s">
        <v>53</v>
      </c>
      <c r="AN5" t="s">
        <v>1740</v>
      </c>
      <c r="AO5" t="s">
        <v>1448</v>
      </c>
      <c r="AP5" t="s">
        <v>1741</v>
      </c>
      <c r="AQ5" t="s">
        <v>170</v>
      </c>
      <c r="AR5" t="s">
        <v>1742</v>
      </c>
      <c r="AS5" t="s">
        <v>1743</v>
      </c>
      <c r="AT5" t="s">
        <v>53</v>
      </c>
      <c r="AU5" t="s">
        <v>1744</v>
      </c>
      <c r="AV5" t="s">
        <v>1745</v>
      </c>
      <c r="AW5" t="s">
        <v>1746</v>
      </c>
      <c r="AX5" t="s">
        <v>803</v>
      </c>
      <c r="AY5" t="s">
        <v>691</v>
      </c>
      <c r="AZ5" t="s">
        <v>716</v>
      </c>
      <c r="BA5" t="s">
        <v>424</v>
      </c>
      <c r="BB5" t="s">
        <v>717</v>
      </c>
      <c r="BC5" t="s">
        <v>715</v>
      </c>
      <c r="BD5" t="s">
        <v>715</v>
      </c>
      <c r="BE5" t="s">
        <v>718</v>
      </c>
      <c r="BF5" t="s">
        <v>628</v>
      </c>
      <c r="BG5" t="s">
        <v>719</v>
      </c>
      <c r="BH5" t="s">
        <v>1097</v>
      </c>
      <c r="BI5" t="s">
        <v>1102</v>
      </c>
      <c r="BJ5" t="s">
        <v>803</v>
      </c>
      <c r="BK5" t="s">
        <v>1009</v>
      </c>
      <c r="BL5" t="s">
        <v>1103</v>
      </c>
      <c r="BM5" t="s">
        <v>715</v>
      </c>
      <c r="BN5">
        <v>4.5199999999999996</v>
      </c>
      <c r="BO5">
        <v>6.63</v>
      </c>
      <c r="BP5">
        <v>6.86</v>
      </c>
      <c r="BQ5">
        <v>4.79</v>
      </c>
      <c r="BR5">
        <v>7</v>
      </c>
      <c r="BS5">
        <v>7.4</v>
      </c>
      <c r="BT5" t="s">
        <v>788</v>
      </c>
      <c r="BU5" t="s">
        <v>114</v>
      </c>
      <c r="BV5">
        <v>49.23</v>
      </c>
      <c r="BW5">
        <v>51.16</v>
      </c>
      <c r="BX5">
        <v>52.31</v>
      </c>
      <c r="BY5">
        <v>41.88</v>
      </c>
      <c r="BZ5">
        <v>62.79</v>
      </c>
      <c r="CA5">
        <v>76.87</v>
      </c>
      <c r="CB5">
        <v>1.72</v>
      </c>
      <c r="CC5">
        <v>-6.71</v>
      </c>
      <c r="CD5" t="s">
        <v>1747</v>
      </c>
      <c r="CE5" t="s">
        <v>533</v>
      </c>
      <c r="CF5" s="8">
        <v>9.2639593908629442E-2</v>
      </c>
      <c r="CG5" s="9">
        <v>-0.70439181069958856</v>
      </c>
      <c r="CH5" s="8">
        <v>0.20258016884326935</v>
      </c>
      <c r="CI5" s="8">
        <v>0.2447916716337204</v>
      </c>
      <c r="CJ5" s="8">
        <v>2.3090586066246033E-2</v>
      </c>
      <c r="CK5" s="8">
        <v>-0.27072539925575256</v>
      </c>
      <c r="CL5" s="8">
        <v>-7.0998795330524445E-2</v>
      </c>
      <c r="CM5" s="9">
        <v>-0.18023578822612762</v>
      </c>
      <c r="CN5" s="9">
        <v>0</v>
      </c>
      <c r="CO5" s="9">
        <v>4.2129900306463242E-2</v>
      </c>
      <c r="CP5" s="9">
        <v>0.21723641455173492</v>
      </c>
      <c r="CQ5" s="9">
        <v>0.50160425901412964</v>
      </c>
      <c r="CR5">
        <v>10.782836163175302</v>
      </c>
      <c r="CS5">
        <v>4.1878919724407675</v>
      </c>
      <c r="CT5">
        <v>4.4020542920029344</v>
      </c>
      <c r="CU5" s="8">
        <v>2.5747646391391755E-2</v>
      </c>
      <c r="CV5" s="9">
        <v>0.11614695712924003</v>
      </c>
      <c r="CW5">
        <v>0.06</v>
      </c>
      <c r="CX5" t="s">
        <v>720</v>
      </c>
      <c r="CY5">
        <v>1412822229.935313</v>
      </c>
      <c r="CZ5">
        <v>2.5747646391391755E-2</v>
      </c>
      <c r="DA5" t="s">
        <v>720</v>
      </c>
      <c r="DB5">
        <v>4092804151.626718</v>
      </c>
      <c r="DC5">
        <v>2.4460264071822165E-2</v>
      </c>
      <c r="DD5" t="s">
        <v>720</v>
      </c>
      <c r="DE5">
        <v>7741127837.5777378</v>
      </c>
      <c r="DF5">
        <v>2.2657928824424745E-2</v>
      </c>
      <c r="DG5" t="s">
        <v>720</v>
      </c>
      <c r="DH5">
        <v>11924474960.140394</v>
      </c>
      <c r="DI5">
        <v>2.0598117113113407E-2</v>
      </c>
      <c r="DJ5" t="s">
        <v>720</v>
      </c>
      <c r="DK5">
        <v>19626906338.21104</v>
      </c>
      <c r="DL5">
        <v>1.8023352473974227E-2</v>
      </c>
      <c r="DM5">
        <v>1460000000</v>
      </c>
      <c r="DN5">
        <v>2.5747646391391755E-2</v>
      </c>
      <c r="DO5">
        <v>-7731946000</v>
      </c>
      <c r="DP5">
        <v>2080309900</v>
      </c>
      <c r="DQ5">
        <v>181</v>
      </c>
      <c r="DR5">
        <v>6.689194751723769E-2</v>
      </c>
      <c r="DS5">
        <v>-0.82053876782882862</v>
      </c>
      <c r="DT5" s="10">
        <v>-0.24</v>
      </c>
      <c r="DU5">
        <v>-0.39000000000000007</v>
      </c>
      <c r="DV5">
        <v>-0.63000000000000012</v>
      </c>
      <c r="DW5">
        <v>-2.0670999999999999</v>
      </c>
      <c r="DX5">
        <v>0.37578977272727099</v>
      </c>
      <c r="DY5">
        <v>-2.01045349375</v>
      </c>
      <c r="DZ5">
        <v>3080</v>
      </c>
      <c r="EA5">
        <v>-2.004152757791096</v>
      </c>
      <c r="EB5">
        <v>2</v>
      </c>
      <c r="EC5">
        <v>2.2927590681656528E-2</v>
      </c>
      <c r="ED5">
        <v>0.14717006309389652</v>
      </c>
      <c r="EE5" s="11">
        <v>1.0832999999999999</v>
      </c>
      <c r="EF5">
        <v>1.0759000000000001</v>
      </c>
      <c r="EG5">
        <v>22.155789772727271</v>
      </c>
      <c r="EH5" t="s">
        <v>729</v>
      </c>
      <c r="EI5">
        <v>0</v>
      </c>
      <c r="EJ5">
        <v>0</v>
      </c>
      <c r="EK5" s="12">
        <v>45470</v>
      </c>
      <c r="EL5">
        <v>-0.28999999999999998</v>
      </c>
      <c r="EM5">
        <v>-1.46</v>
      </c>
      <c r="EN5">
        <v>-0.52</v>
      </c>
      <c r="EO5">
        <v>1.04</v>
      </c>
      <c r="EP5">
        <v>-0.74</v>
      </c>
    </row>
    <row r="6" spans="1:146" ht="96" x14ac:dyDescent="0.25">
      <c r="A6" s="7"/>
      <c r="B6" s="7"/>
      <c r="C6" s="7" t="str">
        <f>""&amp;CHAR(10)&amp;Basic_Fundamental_Information_Constructure(F6)&amp;CHAR(10)&amp;Basic_Fundamental_Information_Concatenate("")</f>
        <v xml:space="preserve">
市值84.556269亿, 利润5.67亿; PE15.04; 平均PE14.79; 平均PEG4.98, PB1.38; ROIC11.3%; ROE10.7833%; 股利率3.3113%; 毛利37.2367%; 净利14.1767%; 上一年度营收增-2.35%, 利润增-1.22%; 当季营收增-8.7%, 利润增-2.58%; 过往5年营收增2.97%, 利润增2.78%
Income profile:
</v>
      </c>
      <c r="D6" t="s">
        <v>125</v>
      </c>
      <c r="E6" t="s">
        <v>30</v>
      </c>
      <c r="F6">
        <v>6.04</v>
      </c>
      <c r="G6">
        <v>1.68</v>
      </c>
      <c r="H6" t="s">
        <v>1748</v>
      </c>
      <c r="I6">
        <v>8455626900</v>
      </c>
      <c r="J6">
        <v>15.04</v>
      </c>
      <c r="K6">
        <v>1.38</v>
      </c>
      <c r="L6" t="s">
        <v>114</v>
      </c>
      <c r="M6" t="s">
        <v>1105</v>
      </c>
      <c r="N6" t="s">
        <v>1749</v>
      </c>
      <c r="O6" t="s">
        <v>1106</v>
      </c>
      <c r="P6">
        <v>-8.7200000000000006</v>
      </c>
      <c r="Q6" t="s">
        <v>1107</v>
      </c>
      <c r="R6">
        <v>177296540</v>
      </c>
      <c r="S6" s="5">
        <v>-2.7400000000000001E-2</v>
      </c>
      <c r="T6" t="s">
        <v>1108</v>
      </c>
      <c r="U6">
        <v>1331385830</v>
      </c>
      <c r="V6">
        <v>1399938200</v>
      </c>
      <c r="W6">
        <v>1.1299999999999999</v>
      </c>
      <c r="X6">
        <v>0.16</v>
      </c>
      <c r="Y6">
        <v>16.95</v>
      </c>
      <c r="Z6" t="s">
        <v>1004</v>
      </c>
      <c r="AA6" t="s">
        <v>589</v>
      </c>
      <c r="AB6" t="s">
        <v>87</v>
      </c>
      <c r="AC6" t="s">
        <v>1750</v>
      </c>
      <c r="AD6" t="s">
        <v>53</v>
      </c>
      <c r="AE6">
        <v>-6770499</v>
      </c>
      <c r="AF6" t="s">
        <v>1110</v>
      </c>
      <c r="AG6" t="s">
        <v>1751</v>
      </c>
      <c r="AH6" t="s">
        <v>1111</v>
      </c>
      <c r="AI6" t="s">
        <v>1752</v>
      </c>
      <c r="AJ6" t="s">
        <v>1112</v>
      </c>
      <c r="AK6" t="s">
        <v>1753</v>
      </c>
      <c r="AL6" t="s">
        <v>1113</v>
      </c>
      <c r="AM6" t="s">
        <v>53</v>
      </c>
      <c r="AN6" t="s">
        <v>1754</v>
      </c>
      <c r="AO6" t="s">
        <v>53</v>
      </c>
      <c r="AP6" t="s">
        <v>59</v>
      </c>
      <c r="AQ6" t="s">
        <v>533</v>
      </c>
      <c r="AR6" t="s">
        <v>1755</v>
      </c>
      <c r="AS6" t="s">
        <v>377</v>
      </c>
      <c r="AT6" t="s">
        <v>53</v>
      </c>
      <c r="AU6" t="s">
        <v>1541</v>
      </c>
      <c r="AV6" t="s">
        <v>1756</v>
      </c>
      <c r="AW6" t="s">
        <v>1757</v>
      </c>
      <c r="AX6" t="s">
        <v>804</v>
      </c>
      <c r="AY6" t="s">
        <v>625</v>
      </c>
      <c r="AZ6" t="s">
        <v>606</v>
      </c>
      <c r="BA6" t="s">
        <v>126</v>
      </c>
      <c r="BB6" t="s">
        <v>374</v>
      </c>
      <c r="BC6" t="s">
        <v>755</v>
      </c>
      <c r="BD6" t="s">
        <v>616</v>
      </c>
      <c r="BE6" t="s">
        <v>626</v>
      </c>
      <c r="BF6" t="s">
        <v>127</v>
      </c>
      <c r="BG6" t="s">
        <v>375</v>
      </c>
      <c r="BH6" t="s">
        <v>1107</v>
      </c>
      <c r="BI6" t="s">
        <v>1116</v>
      </c>
      <c r="BJ6" t="s">
        <v>804</v>
      </c>
      <c r="BK6" t="s">
        <v>1108</v>
      </c>
      <c r="BL6" t="s">
        <v>818</v>
      </c>
      <c r="BM6" t="s">
        <v>755</v>
      </c>
      <c r="BN6">
        <v>9.66</v>
      </c>
      <c r="BO6">
        <v>11.23</v>
      </c>
      <c r="BP6">
        <v>13.01</v>
      </c>
      <c r="BQ6">
        <v>9.1300000000000008</v>
      </c>
      <c r="BR6">
        <v>10.42</v>
      </c>
      <c r="BS6">
        <v>12.8</v>
      </c>
      <c r="BT6" t="s">
        <v>783</v>
      </c>
      <c r="BU6" t="s">
        <v>114</v>
      </c>
      <c r="BV6">
        <v>37.119999999999997</v>
      </c>
      <c r="BW6">
        <v>36.619999999999997</v>
      </c>
      <c r="BX6">
        <v>37.97</v>
      </c>
      <c r="BY6">
        <v>12.51</v>
      </c>
      <c r="BZ6">
        <v>13.81</v>
      </c>
      <c r="CA6">
        <v>16.21</v>
      </c>
      <c r="CB6">
        <v>2.37</v>
      </c>
      <c r="CC6">
        <v>-11.44</v>
      </c>
      <c r="CD6" t="s">
        <v>1758</v>
      </c>
      <c r="CE6" t="s">
        <v>1759</v>
      </c>
      <c r="CF6" s="8">
        <v>-8.7020648967551628E-2</v>
      </c>
      <c r="CG6" s="9">
        <v>-2.5843186813186814E-2</v>
      </c>
      <c r="CH6" s="8">
        <v>-2.3481454700231552E-2</v>
      </c>
      <c r="CI6" s="8">
        <v>4.3962709605693817E-2</v>
      </c>
      <c r="CJ6" s="8">
        <v>0.15381015837192535</v>
      </c>
      <c r="CK6" s="8">
        <v>-6.6142775118350983E-2</v>
      </c>
      <c r="CL6" s="8">
        <v>4.0427070111036301E-2</v>
      </c>
      <c r="CM6" s="9">
        <v>-1.2195121496915817E-2</v>
      </c>
      <c r="CN6" s="9">
        <v>-0.13684210181236267</v>
      </c>
      <c r="CO6" s="9">
        <v>0.14655172824859619</v>
      </c>
      <c r="CP6" s="9">
        <v>7.8066915273666382E-2</v>
      </c>
      <c r="CQ6" s="9">
        <v>6.3241109251976013E-2</v>
      </c>
      <c r="CR6">
        <v>14.791184081632654</v>
      </c>
      <c r="CS6">
        <v>4.97765895039384</v>
      </c>
      <c r="CT6">
        <v>3.3112582781456954</v>
      </c>
      <c r="CU6" s="8">
        <v>2.9715141654014586E-2</v>
      </c>
      <c r="CV6" s="9">
        <v>2.7764505892992019E-2</v>
      </c>
      <c r="CW6">
        <v>0.06</v>
      </c>
      <c r="CX6">
        <v>4.3947438051556045</v>
      </c>
      <c r="CY6">
        <v>550800457.84700596</v>
      </c>
      <c r="CZ6">
        <v>2.9715141654014586E-2</v>
      </c>
      <c r="DA6">
        <v>1.5118935180265487</v>
      </c>
      <c r="DB6">
        <v>1601056470.6697116</v>
      </c>
      <c r="DC6">
        <v>2.8229384571313857E-2</v>
      </c>
      <c r="DD6">
        <v>0.79590305477634593</v>
      </c>
      <c r="DE6">
        <v>3041358976.4148002</v>
      </c>
      <c r="DF6">
        <v>2.6149324655532834E-2</v>
      </c>
      <c r="DG6">
        <v>0.51433338746396562</v>
      </c>
      <c r="DH6">
        <v>4706338260.3556728</v>
      </c>
      <c r="DI6">
        <v>2.377211332321167E-2</v>
      </c>
      <c r="DJ6">
        <v>0.30970129477476166</v>
      </c>
      <c r="DK6">
        <v>7816005101.8206558</v>
      </c>
      <c r="DL6">
        <v>2.0800599157810209E-2</v>
      </c>
      <c r="DM6">
        <v>567000000</v>
      </c>
      <c r="DN6">
        <v>2.9715141654014586E-2</v>
      </c>
      <c r="DO6">
        <v>2420626900</v>
      </c>
      <c r="DP6">
        <v>3981830500</v>
      </c>
      <c r="DQ6">
        <v>196</v>
      </c>
      <c r="DR6">
        <v>-0.11673579062156622</v>
      </c>
      <c r="DS6">
        <v>-5.3607692706178836E-2</v>
      </c>
      <c r="DT6" s="10">
        <v>-0.3066666666666667</v>
      </c>
      <c r="DU6">
        <v>0</v>
      </c>
      <c r="DV6">
        <v>-0.3066666666666667</v>
      </c>
      <c r="DW6">
        <v>-2.1143999999999998</v>
      </c>
      <c r="DX6">
        <v>0.39088927303182475</v>
      </c>
      <c r="DY6">
        <v>-2.0138297328348407</v>
      </c>
      <c r="DZ6">
        <v>2462</v>
      </c>
      <c r="EA6">
        <v>-2.0071665621422032</v>
      </c>
      <c r="EB6">
        <v>2</v>
      </c>
      <c r="EC6">
        <v>5.1552918550261721E-2</v>
      </c>
      <c r="ED6">
        <v>0.42644739603505355</v>
      </c>
      <c r="EE6" s="11">
        <v>-1.02041</v>
      </c>
      <c r="EF6">
        <v>-1.0437099999999999</v>
      </c>
      <c r="EG6">
        <v>27.120889273031825</v>
      </c>
      <c r="EH6" t="s">
        <v>721</v>
      </c>
      <c r="EI6">
        <v>0</v>
      </c>
      <c r="EJ6">
        <v>0</v>
      </c>
      <c r="EK6" s="12">
        <v>45470</v>
      </c>
      <c r="EL6">
        <v>0</v>
      </c>
      <c r="EM6">
        <v>-2.04</v>
      </c>
      <c r="EN6">
        <v>0.17</v>
      </c>
      <c r="EO6">
        <v>3.99</v>
      </c>
      <c r="EP6">
        <v>-2.33</v>
      </c>
    </row>
    <row r="7" spans="1:146" ht="96" x14ac:dyDescent="0.25">
      <c r="A7" s="7"/>
      <c r="B7" s="7"/>
      <c r="C7" s="7" t="str">
        <f>""&amp;CHAR(10)&amp;Basic_Fundamental_Information_Constructure(F7)&amp;CHAR(10)&amp;Basic_Fundamental_Information_Concatenate("")</f>
        <v xml:space="preserve">
市值22.079665亿, 利润2765.95万; PE82.6; 平均PE51.99; 平均PEG5.03, PB2.15; ROIC4.2067%; ROE4.56%; 股利率.2825%; 毛利40.0933%; 净利4.73%; 上一年度营收增14.89%, 利润增-32.89%; 当季营收增-18.64%, 利润增-28.96%; 过往5年营收增10.34%, 利润增9.62%
Income profile:
</v>
      </c>
      <c r="D7" t="s">
        <v>129</v>
      </c>
      <c r="E7" t="s">
        <v>130</v>
      </c>
      <c r="F7">
        <v>3.54</v>
      </c>
      <c r="G7">
        <v>2.61</v>
      </c>
      <c r="H7" t="s">
        <v>1760</v>
      </c>
      <c r="I7">
        <v>2207966500</v>
      </c>
      <c r="J7">
        <v>82.6</v>
      </c>
      <c r="K7">
        <v>2.15</v>
      </c>
      <c r="L7" t="s">
        <v>114</v>
      </c>
      <c r="M7" t="s">
        <v>1004</v>
      </c>
      <c r="N7" t="s">
        <v>1206</v>
      </c>
      <c r="O7" t="s">
        <v>397</v>
      </c>
      <c r="P7">
        <v>-18.62</v>
      </c>
      <c r="Q7" t="s">
        <v>1037</v>
      </c>
      <c r="R7">
        <v>2279755</v>
      </c>
      <c r="S7" s="5">
        <v>-0.28960000000000002</v>
      </c>
      <c r="T7" t="s">
        <v>1117</v>
      </c>
      <c r="U7">
        <v>622761610</v>
      </c>
      <c r="V7">
        <v>623719360</v>
      </c>
      <c r="W7">
        <v>1.97</v>
      </c>
      <c r="X7">
        <v>0.08</v>
      </c>
      <c r="Y7">
        <v>2.2999999999999998</v>
      </c>
      <c r="Z7" t="s">
        <v>1028</v>
      </c>
      <c r="AA7" t="s">
        <v>1761</v>
      </c>
      <c r="AB7" t="s">
        <v>1762</v>
      </c>
      <c r="AC7" t="s">
        <v>1763</v>
      </c>
      <c r="AD7" t="s">
        <v>53</v>
      </c>
      <c r="AE7">
        <v>3399846</v>
      </c>
      <c r="AF7" t="s">
        <v>1118</v>
      </c>
      <c r="AG7" t="s">
        <v>1764</v>
      </c>
      <c r="AH7" t="s">
        <v>1119</v>
      </c>
      <c r="AI7" t="s">
        <v>97</v>
      </c>
      <c r="AJ7" t="s">
        <v>1120</v>
      </c>
      <c r="AK7" t="s">
        <v>53</v>
      </c>
      <c r="AL7" t="s">
        <v>1121</v>
      </c>
      <c r="AM7" t="s">
        <v>53</v>
      </c>
      <c r="AN7" t="s">
        <v>533</v>
      </c>
      <c r="AO7" t="s">
        <v>1765</v>
      </c>
      <c r="AP7" t="s">
        <v>1039</v>
      </c>
      <c r="AQ7" t="s">
        <v>368</v>
      </c>
      <c r="AR7" t="s">
        <v>1766</v>
      </c>
      <c r="AS7" t="s">
        <v>1767</v>
      </c>
      <c r="AT7" t="s">
        <v>53</v>
      </c>
      <c r="AU7" t="s">
        <v>1768</v>
      </c>
      <c r="AV7" t="s">
        <v>1769</v>
      </c>
      <c r="AW7" t="s">
        <v>1770</v>
      </c>
      <c r="AX7" t="s">
        <v>761</v>
      </c>
      <c r="AY7" t="s">
        <v>722</v>
      </c>
      <c r="AZ7" t="s">
        <v>378</v>
      </c>
      <c r="BA7" t="s">
        <v>56</v>
      </c>
      <c r="BB7" t="s">
        <v>380</v>
      </c>
      <c r="BC7" t="s">
        <v>805</v>
      </c>
      <c r="BD7" t="s">
        <v>807</v>
      </c>
      <c r="BE7" t="s">
        <v>379</v>
      </c>
      <c r="BF7" t="s">
        <v>131</v>
      </c>
      <c r="BG7" t="s">
        <v>382</v>
      </c>
      <c r="BH7" t="s">
        <v>1037</v>
      </c>
      <c r="BI7" t="s">
        <v>1122</v>
      </c>
      <c r="BJ7" t="s">
        <v>761</v>
      </c>
      <c r="BK7" t="s">
        <v>1117</v>
      </c>
      <c r="BL7" t="s">
        <v>1123</v>
      </c>
      <c r="BM7" t="s">
        <v>805</v>
      </c>
      <c r="BN7">
        <v>2.4700000000000002</v>
      </c>
      <c r="BO7">
        <v>3.26</v>
      </c>
      <c r="BP7">
        <v>6.89</v>
      </c>
      <c r="BQ7">
        <v>2.08</v>
      </c>
      <c r="BR7">
        <v>4.1500000000000004</v>
      </c>
      <c r="BS7">
        <v>7.45</v>
      </c>
      <c r="BT7" t="s">
        <v>779</v>
      </c>
      <c r="BU7" t="s">
        <v>114</v>
      </c>
      <c r="BV7">
        <v>39.49</v>
      </c>
      <c r="BW7">
        <v>40.11</v>
      </c>
      <c r="BX7">
        <v>40.68</v>
      </c>
      <c r="BY7">
        <v>2.95</v>
      </c>
      <c r="BZ7">
        <v>3.88</v>
      </c>
      <c r="CA7">
        <v>7.36</v>
      </c>
      <c r="CB7">
        <v>2.31</v>
      </c>
      <c r="CC7">
        <v>-9</v>
      </c>
      <c r="CD7" t="s">
        <v>1771</v>
      </c>
      <c r="CE7" t="s">
        <v>316</v>
      </c>
      <c r="CF7" s="8">
        <v>-0.18636363636363648</v>
      </c>
      <c r="CG7" s="9">
        <v>-0.28961890813910007</v>
      </c>
      <c r="CH7" s="8">
        <v>0.14891180396080017</v>
      </c>
      <c r="CI7" s="8">
        <v>-8.5863873362541199E-2</v>
      </c>
      <c r="CJ7" s="8">
        <v>0.25823453068733215</v>
      </c>
      <c r="CK7" s="8">
        <v>1.8791945651173592E-2</v>
      </c>
      <c r="CL7" s="8">
        <v>0.17693522572517395</v>
      </c>
      <c r="CM7" s="9">
        <v>-0.32893794775009155</v>
      </c>
      <c r="CN7" s="9">
        <v>-0.25914177298545837</v>
      </c>
      <c r="CO7" s="9">
        <v>0.48345622420310974</v>
      </c>
      <c r="CP7" s="9">
        <v>-0.39149600267410278</v>
      </c>
      <c r="CQ7" s="9">
        <v>0.97733354568481445</v>
      </c>
      <c r="CR7">
        <v>51.989463026407186</v>
      </c>
      <c r="CS7">
        <v>5.0279008109315022</v>
      </c>
      <c r="CT7">
        <v>0.2824858757062147</v>
      </c>
      <c r="CU7" s="8">
        <v>0.10340192653238774</v>
      </c>
      <c r="CV7" s="9">
        <v>9.6242809295654291E-2</v>
      </c>
      <c r="CW7">
        <v>0.06</v>
      </c>
      <c r="CX7">
        <v>75.853176889762224</v>
      </c>
      <c r="CY7">
        <v>28792024.138606202</v>
      </c>
      <c r="CZ7">
        <v>0.10340192653238774</v>
      </c>
      <c r="DA7">
        <v>24.508816560746535</v>
      </c>
      <c r="DB7">
        <v>89109422.912644982</v>
      </c>
      <c r="DC7">
        <v>9.8231830205768339E-2</v>
      </c>
      <c r="DD7">
        <v>11.882755569329669</v>
      </c>
      <c r="DE7">
        <v>183792933.15070707</v>
      </c>
      <c r="DF7">
        <v>9.0993695348501213E-2</v>
      </c>
      <c r="DG7">
        <v>7.0135210203873442</v>
      </c>
      <c r="DH7">
        <v>311393734.13888812</v>
      </c>
      <c r="DI7">
        <v>8.2721541225910189E-2</v>
      </c>
      <c r="DJ7">
        <v>3.4869268591869345</v>
      </c>
      <c r="DK7">
        <v>626329885.36766934</v>
      </c>
      <c r="DL7">
        <v>7.2381348572671408E-2</v>
      </c>
      <c r="DM7">
        <v>27659500</v>
      </c>
      <c r="DN7">
        <v>0.10340192653238774</v>
      </c>
      <c r="DO7">
        <v>2183966500</v>
      </c>
      <c r="DP7">
        <v>-19762049.999999881</v>
      </c>
      <c r="DQ7">
        <v>284</v>
      </c>
      <c r="DR7">
        <v>-0.28976556289602423</v>
      </c>
      <c r="DS7">
        <v>-0.38586171743475439</v>
      </c>
      <c r="DT7" s="10">
        <v>-0.20666666666666669</v>
      </c>
      <c r="DU7">
        <v>-0.32</v>
      </c>
      <c r="DV7">
        <v>-0.52666666666666673</v>
      </c>
      <c r="DW7">
        <v>-2.09</v>
      </c>
      <c r="DX7">
        <v>0.36242570093457771</v>
      </c>
      <c r="DY7">
        <v>-2.0110183130841119</v>
      </c>
      <c r="DZ7">
        <v>2922</v>
      </c>
      <c r="EA7">
        <v>-2.0047178217276</v>
      </c>
      <c r="EB7">
        <v>2</v>
      </c>
      <c r="EC7">
        <v>4.2004628491890968E-2</v>
      </c>
      <c r="ED7">
        <v>0.34310302633543394</v>
      </c>
      <c r="EE7" s="11">
        <v>-4.1475</v>
      </c>
      <c r="EF7">
        <v>-4.1303000000000001</v>
      </c>
      <c r="EG7">
        <v>24.122425700934578</v>
      </c>
      <c r="EH7" t="s">
        <v>1010</v>
      </c>
      <c r="EI7">
        <v>0</v>
      </c>
      <c r="EJ7">
        <v>0</v>
      </c>
      <c r="EK7" s="12">
        <v>45470</v>
      </c>
      <c r="EL7">
        <v>0.28999999999999998</v>
      </c>
      <c r="EM7">
        <v>-4.29</v>
      </c>
      <c r="EN7">
        <v>1.19</v>
      </c>
      <c r="EO7">
        <v>2.95</v>
      </c>
      <c r="EP7">
        <v>-1.72</v>
      </c>
    </row>
    <row r="8" spans="1:146" ht="96" x14ac:dyDescent="0.25">
      <c r="A8" s="7"/>
      <c r="B8" s="7"/>
      <c r="C8" s="7" t="str">
        <f>""&amp;CHAR(10)&amp;Basic_Fundamental_Information_Constructure(F8)&amp;CHAR(10)&amp;Basic_Fundamental_Information_Concatenate("")</f>
        <v xml:space="preserve">
市值56.149796亿, 利润2.97亿; PE20.04; 平均PE19.52; 平均PEG28.51, PB1.37; ROIC7.4633%; ROE7.7533%; 股利率6.0976%; 毛利59.4267%; 净利9.5867%; 上一年度营收增-2.37%, 利润增-17.04%; 当季营收增-.92%, 利润增-10.74%; 过往5年营收增-.68%, 利润增2.7%
Income profile:
</v>
      </c>
      <c r="D8" t="s">
        <v>135</v>
      </c>
      <c r="E8" t="s">
        <v>1124</v>
      </c>
      <c r="F8">
        <v>6.56</v>
      </c>
      <c r="G8">
        <v>2.82</v>
      </c>
      <c r="H8" t="s">
        <v>1772</v>
      </c>
      <c r="I8">
        <v>5614979600</v>
      </c>
      <c r="J8">
        <v>20.04</v>
      </c>
      <c r="K8">
        <v>1.37</v>
      </c>
      <c r="L8" t="s">
        <v>114</v>
      </c>
      <c r="M8" t="s">
        <v>1125</v>
      </c>
      <c r="N8" t="s">
        <v>1773</v>
      </c>
      <c r="O8" t="s">
        <v>1126</v>
      </c>
      <c r="P8">
        <v>-0.89</v>
      </c>
      <c r="Q8" t="s">
        <v>1127</v>
      </c>
      <c r="R8">
        <v>144601670</v>
      </c>
      <c r="S8" s="5">
        <v>-0.1066</v>
      </c>
      <c r="T8" t="s">
        <v>309</v>
      </c>
      <c r="U8">
        <v>694034950</v>
      </c>
      <c r="V8">
        <v>855942010</v>
      </c>
      <c r="W8">
        <v>1.4</v>
      </c>
      <c r="X8">
        <v>0.2</v>
      </c>
      <c r="Y8">
        <v>13.38</v>
      </c>
      <c r="Z8" t="s">
        <v>1767</v>
      </c>
      <c r="AA8" t="s">
        <v>1774</v>
      </c>
      <c r="AB8" t="s">
        <v>983</v>
      </c>
      <c r="AC8" t="s">
        <v>1775</v>
      </c>
      <c r="AD8" t="s">
        <v>53</v>
      </c>
      <c r="AE8">
        <v>-1499779</v>
      </c>
      <c r="AF8" t="s">
        <v>1128</v>
      </c>
      <c r="AG8" t="s">
        <v>1776</v>
      </c>
      <c r="AH8" t="s">
        <v>1129</v>
      </c>
      <c r="AI8" t="s">
        <v>309</v>
      </c>
      <c r="AJ8" t="s">
        <v>1131</v>
      </c>
      <c r="AK8" t="s">
        <v>1632</v>
      </c>
      <c r="AL8" t="s">
        <v>1132</v>
      </c>
      <c r="AM8" t="s">
        <v>53</v>
      </c>
      <c r="AN8" t="s">
        <v>1777</v>
      </c>
      <c r="AO8" t="s">
        <v>91</v>
      </c>
      <c r="AP8" t="s">
        <v>53</v>
      </c>
      <c r="AQ8" t="s">
        <v>1778</v>
      </c>
      <c r="AR8" t="s">
        <v>53</v>
      </c>
      <c r="AS8" t="s">
        <v>518</v>
      </c>
      <c r="AT8" t="s">
        <v>53</v>
      </c>
      <c r="AU8" t="s">
        <v>1779</v>
      </c>
      <c r="AV8" t="s">
        <v>1780</v>
      </c>
      <c r="AW8" t="s">
        <v>1781</v>
      </c>
      <c r="AX8" t="s">
        <v>760</v>
      </c>
      <c r="AY8" t="s">
        <v>627</v>
      </c>
      <c r="AZ8" t="s">
        <v>383</v>
      </c>
      <c r="BA8" t="s">
        <v>137</v>
      </c>
      <c r="BB8" t="s">
        <v>384</v>
      </c>
      <c r="BC8" t="s">
        <v>96</v>
      </c>
      <c r="BD8" t="s">
        <v>373</v>
      </c>
      <c r="BE8" t="s">
        <v>85</v>
      </c>
      <c r="BF8" t="s">
        <v>95</v>
      </c>
      <c r="BG8" t="s">
        <v>209</v>
      </c>
      <c r="BH8" t="s">
        <v>1127</v>
      </c>
      <c r="BI8" t="s">
        <v>1133</v>
      </c>
      <c r="BJ8" t="s">
        <v>760</v>
      </c>
      <c r="BK8" t="s">
        <v>309</v>
      </c>
      <c r="BL8" t="s">
        <v>77</v>
      </c>
      <c r="BM8" t="s">
        <v>96</v>
      </c>
      <c r="BN8">
        <v>6.93</v>
      </c>
      <c r="BO8">
        <v>8.73</v>
      </c>
      <c r="BP8">
        <v>6.73</v>
      </c>
      <c r="BQ8">
        <v>7.25</v>
      </c>
      <c r="BR8">
        <v>9.1</v>
      </c>
      <c r="BS8">
        <v>6.91</v>
      </c>
      <c r="BT8" t="s">
        <v>780</v>
      </c>
      <c r="BU8" t="s">
        <v>114</v>
      </c>
      <c r="BV8">
        <v>60.55</v>
      </c>
      <c r="BW8">
        <v>58.73</v>
      </c>
      <c r="BX8">
        <v>59</v>
      </c>
      <c r="BY8">
        <v>9.99</v>
      </c>
      <c r="BZ8">
        <v>11.69</v>
      </c>
      <c r="CA8">
        <v>7.08</v>
      </c>
      <c r="CB8">
        <v>2.82</v>
      </c>
      <c r="CC8">
        <v>-9.89</v>
      </c>
      <c r="CD8" t="s">
        <v>1782</v>
      </c>
      <c r="CE8" t="s">
        <v>404</v>
      </c>
      <c r="CF8" s="8">
        <v>-9.1827364554637279E-3</v>
      </c>
      <c r="CG8" s="9">
        <v>-0.1073970987654321</v>
      </c>
      <c r="CH8" s="8">
        <v>-2.373887225985527E-2</v>
      </c>
      <c r="CI8" s="8">
        <v>-0.19846725463867188</v>
      </c>
      <c r="CJ8" s="8">
        <v>6.2921345233917236E-2</v>
      </c>
      <c r="CK8" s="8">
        <v>0.11809045076370239</v>
      </c>
      <c r="CL8" s="8">
        <v>6.9576622918248177E-3</v>
      </c>
      <c r="CM8" s="9">
        <v>-0.17039106786251068</v>
      </c>
      <c r="CN8" s="9">
        <v>0.32103320956230164</v>
      </c>
      <c r="CO8" s="9">
        <v>-3.6764706019312143E-3</v>
      </c>
      <c r="CP8" s="9">
        <v>0.4166666567325592</v>
      </c>
      <c r="CQ8" s="9">
        <v>-0.4285714328289032</v>
      </c>
      <c r="CR8">
        <v>19.519048435689456</v>
      </c>
      <c r="CS8">
        <v>28.50605685173355</v>
      </c>
      <c r="CT8">
        <v>6.0975609756097562</v>
      </c>
      <c r="CU8" s="8">
        <v>-6.8473337218165394E-3</v>
      </c>
      <c r="CV8" s="9">
        <v>2.7012179000303151E-2</v>
      </c>
      <c r="CW8">
        <v>0.06</v>
      </c>
      <c r="CX8">
        <v>9.781076094276095</v>
      </c>
      <c r="CY8" t="s">
        <v>1134</v>
      </c>
      <c r="CZ8">
        <v>-6.8473337218165394E-3</v>
      </c>
      <c r="DA8">
        <v>3.2603586980920314</v>
      </c>
      <c r="DB8" t="s">
        <v>1135</v>
      </c>
      <c r="DC8">
        <v>-6.5049670357257118E-3</v>
      </c>
      <c r="DD8">
        <v>1.6301793490460157</v>
      </c>
      <c r="DE8" t="s">
        <v>1136</v>
      </c>
      <c r="DF8">
        <v>-6.0256536751985548E-3</v>
      </c>
      <c r="DG8">
        <v>0.97810760942760944</v>
      </c>
      <c r="DH8" t="s">
        <v>1137</v>
      </c>
      <c r="DI8">
        <v>-5.4778669774532317E-3</v>
      </c>
      <c r="DJ8">
        <v>0.48905380471380472</v>
      </c>
      <c r="DK8" t="s">
        <v>1138</v>
      </c>
      <c r="DL8">
        <v>-4.7931336052715774E-3</v>
      </c>
      <c r="DM8">
        <v>297000000</v>
      </c>
      <c r="DN8">
        <v>-6.8473337218165394E-3</v>
      </c>
      <c r="DO8">
        <v>2904979600</v>
      </c>
      <c r="DP8">
        <v>1799837400</v>
      </c>
      <c r="DQ8">
        <v>421</v>
      </c>
      <c r="DR8">
        <v>-2.3354027336471885E-3</v>
      </c>
      <c r="DS8">
        <v>-0.13440927776573525</v>
      </c>
      <c r="DT8" s="10">
        <v>-0.59</v>
      </c>
      <c r="DU8">
        <v>0</v>
      </c>
      <c r="DV8">
        <v>-0.59</v>
      </c>
      <c r="DW8">
        <v>6.221872541306058</v>
      </c>
      <c r="DX8">
        <v>0.37792671480144419</v>
      </c>
      <c r="DY8">
        <v>6.0195085236616892</v>
      </c>
      <c r="DZ8">
        <v>3019</v>
      </c>
      <c r="EA8">
        <v>6.0079828420697829</v>
      </c>
      <c r="EB8">
        <v>6</v>
      </c>
      <c r="EC8">
        <v>2.8454848243749598E-2</v>
      </c>
      <c r="ED8">
        <v>0.32362005458757653</v>
      </c>
      <c r="EE8" s="11">
        <v>3.08771</v>
      </c>
      <c r="EF8">
        <v>3.08771</v>
      </c>
      <c r="EG8">
        <v>29.087926714801444</v>
      </c>
      <c r="EH8" t="s">
        <v>1007</v>
      </c>
      <c r="EI8">
        <v>0</v>
      </c>
      <c r="EJ8">
        <v>0</v>
      </c>
      <c r="EK8" s="12">
        <v>45470</v>
      </c>
      <c r="EL8">
        <v>-1.04</v>
      </c>
      <c r="EM8">
        <v>-4.9800000000000004</v>
      </c>
      <c r="EN8">
        <v>-2.06</v>
      </c>
      <c r="EO8">
        <v>2.59</v>
      </c>
      <c r="EP8">
        <v>0</v>
      </c>
    </row>
    <row r="9" spans="1:146" ht="144" x14ac:dyDescent="0.25">
      <c r="A9" s="7" t="s">
        <v>974</v>
      </c>
      <c r="B9" s="7"/>
      <c r="C9" s="7" t="str">
        <f>"公司主要从事医药产品的研发、生产、销售及相关健康服务。主要产品包括999感冒灵、999皮炎平、参附注射液、注射用头孢、免煎中药、三九胃泰颗粒、正天丸等。"&amp;CHAR(10)&amp;Basic_Fundamental_Information_Constructure(F9)&amp;CHAR(10)&amp;Basic_Fundamental_Information_Concatenate("医药行业 173.60亿 96.02% 100.00% 55.38%
包装印刷 5.60亿 3.10%
零售行业 1.38亿 0.76%")</f>
        <v>公司主要从事医药产品的研发、生产、销售及相关健康服务。主要产品包括999感冒灵、999皮炎平、参附注射液、注射用头孢、免煎中药、三九胃泰颗粒、正天丸等。
市值541.98928亿, 利润28.53亿; PE17.68; 平均PE26.05; 平均PEG1.87, PB2.66; ROIC13.3933%; ROE14.2633%; 股利率3.5553%; 毛利55.66%; 净利13.4067%; 上一年度营收增36.84%, 利润增16.5%; 当季营收增14.83%, 利润增18.49%; 过往5年营收增13.9%, 利润增17.4%
Income profile:
医药行业 173.60亿 96.02% 100.00% 55.38%
包装印刷 5.60亿 3.10%
零售行业 1.38亿 0.76%</v>
      </c>
      <c r="D9" t="s">
        <v>140</v>
      </c>
      <c r="E9" t="s">
        <v>45</v>
      </c>
      <c r="F9">
        <v>42.19</v>
      </c>
      <c r="G9">
        <v>0.76</v>
      </c>
      <c r="H9" t="s">
        <v>1783</v>
      </c>
      <c r="I9">
        <v>54198928000</v>
      </c>
      <c r="J9">
        <v>17.68</v>
      </c>
      <c r="K9">
        <v>2.66</v>
      </c>
      <c r="L9" t="s">
        <v>114</v>
      </c>
      <c r="M9" t="s">
        <v>1139</v>
      </c>
      <c r="N9" t="s">
        <v>1784</v>
      </c>
      <c r="O9" t="s">
        <v>1140</v>
      </c>
      <c r="P9">
        <v>14.82</v>
      </c>
      <c r="Q9" t="s">
        <v>1141</v>
      </c>
      <c r="R9">
        <v>1363826000</v>
      </c>
      <c r="S9" s="5">
        <v>0.18490000000000001</v>
      </c>
      <c r="T9" t="s">
        <v>1142</v>
      </c>
      <c r="U9">
        <v>1275187660</v>
      </c>
      <c r="V9">
        <v>1284639200</v>
      </c>
      <c r="W9">
        <v>1.6</v>
      </c>
      <c r="X9">
        <v>0.18</v>
      </c>
      <c r="Y9">
        <v>19.920000000000002</v>
      </c>
      <c r="Z9" t="s">
        <v>1785</v>
      </c>
      <c r="AA9" t="s">
        <v>1786</v>
      </c>
      <c r="AB9" t="s">
        <v>1787</v>
      </c>
      <c r="AC9" t="s">
        <v>1788</v>
      </c>
      <c r="AD9" t="s">
        <v>53</v>
      </c>
      <c r="AE9">
        <v>-23656161</v>
      </c>
      <c r="AF9" t="s">
        <v>1143</v>
      </c>
      <c r="AG9" t="s">
        <v>1789</v>
      </c>
      <c r="AH9" t="s">
        <v>1144</v>
      </c>
      <c r="AI9" t="s">
        <v>1790</v>
      </c>
      <c r="AJ9" t="s">
        <v>1145</v>
      </c>
      <c r="AK9" t="s">
        <v>1791</v>
      </c>
      <c r="AL9" t="s">
        <v>1146</v>
      </c>
      <c r="AM9" t="s">
        <v>53</v>
      </c>
      <c r="AN9" t="s">
        <v>1376</v>
      </c>
      <c r="AO9" t="s">
        <v>1792</v>
      </c>
      <c r="AP9" t="s">
        <v>1793</v>
      </c>
      <c r="AQ9" t="s">
        <v>684</v>
      </c>
      <c r="AR9" t="s">
        <v>53</v>
      </c>
      <c r="AS9" t="s">
        <v>1794</v>
      </c>
      <c r="AT9" t="s">
        <v>882</v>
      </c>
      <c r="AU9" t="s">
        <v>1795</v>
      </c>
      <c r="AV9" t="s">
        <v>1796</v>
      </c>
      <c r="AW9" t="s">
        <v>1797</v>
      </c>
      <c r="AX9" t="s">
        <v>809</v>
      </c>
      <c r="AY9" t="s">
        <v>810</v>
      </c>
      <c r="AZ9" t="s">
        <v>385</v>
      </c>
      <c r="BA9" t="s">
        <v>388</v>
      </c>
      <c r="BB9" t="s">
        <v>389</v>
      </c>
      <c r="BC9" t="s">
        <v>312</v>
      </c>
      <c r="BD9" t="s">
        <v>811</v>
      </c>
      <c r="BE9" t="s">
        <v>386</v>
      </c>
      <c r="BF9" t="s">
        <v>390</v>
      </c>
      <c r="BG9" t="s">
        <v>391</v>
      </c>
      <c r="BH9" t="s">
        <v>1141</v>
      </c>
      <c r="BI9" t="s">
        <v>1147</v>
      </c>
      <c r="BJ9" t="s">
        <v>809</v>
      </c>
      <c r="BK9" t="s">
        <v>1142</v>
      </c>
      <c r="BL9" t="s">
        <v>1062</v>
      </c>
      <c r="BM9" t="s">
        <v>312</v>
      </c>
      <c r="BN9">
        <v>12.1</v>
      </c>
      <c r="BO9">
        <v>14.53</v>
      </c>
      <c r="BP9">
        <v>13.55</v>
      </c>
      <c r="BQ9">
        <v>13.53</v>
      </c>
      <c r="BR9">
        <v>15.15</v>
      </c>
      <c r="BS9">
        <v>14.11</v>
      </c>
      <c r="BT9" t="s">
        <v>1148</v>
      </c>
      <c r="BU9" t="s">
        <v>114</v>
      </c>
      <c r="BV9">
        <v>53.24</v>
      </c>
      <c r="BW9">
        <v>54.02</v>
      </c>
      <c r="BX9">
        <v>59.72</v>
      </c>
      <c r="BY9">
        <v>12.83</v>
      </c>
      <c r="BZ9">
        <v>13.81</v>
      </c>
      <c r="CA9">
        <v>13.58</v>
      </c>
      <c r="CB9">
        <v>-0.92</v>
      </c>
      <c r="CC9">
        <v>-6.1</v>
      </c>
      <c r="CD9" t="s">
        <v>1798</v>
      </c>
      <c r="CE9" t="s">
        <v>449</v>
      </c>
      <c r="CF9" s="8">
        <v>0.14829974811083124</v>
      </c>
      <c r="CG9" s="9">
        <v>0.18490529973935707</v>
      </c>
      <c r="CH9" s="8">
        <v>0.36838316917419434</v>
      </c>
      <c r="CI9" s="8">
        <v>0.16308543086051941</v>
      </c>
      <c r="CJ9" s="8">
        <v>0.13984015583992004</v>
      </c>
      <c r="CK9" s="8">
        <v>-7.8207395970821381E-2</v>
      </c>
      <c r="CL9" s="8">
        <v>0.10172778367996216</v>
      </c>
      <c r="CM9" s="9">
        <v>0.16496530175209045</v>
      </c>
      <c r="CN9" s="9">
        <v>0.19172742962837219</v>
      </c>
      <c r="CO9" s="9">
        <v>0.28678780794143677</v>
      </c>
      <c r="CP9" s="9">
        <v>-0.23916150629520416</v>
      </c>
      <c r="CQ9" s="9">
        <v>0.46578207612037659</v>
      </c>
      <c r="CR9">
        <v>26.046741529835803</v>
      </c>
      <c r="CS9">
        <v>1.8743270752499304</v>
      </c>
      <c r="CT9">
        <v>3.5553448684522402</v>
      </c>
      <c r="CU9" s="8">
        <v>0.13896582871675492</v>
      </c>
      <c r="CV9" s="9">
        <v>0.17402022182941437</v>
      </c>
      <c r="CW9">
        <v>0.06</v>
      </c>
      <c r="CX9">
        <v>14.470523125391979</v>
      </c>
      <c r="CY9">
        <v>3065537272.9517941</v>
      </c>
      <c r="CZ9">
        <v>0.13896582871675492</v>
      </c>
      <c r="DA9">
        <v>4.537827223851747</v>
      </c>
      <c r="DB9">
        <v>9775587701.2758789</v>
      </c>
      <c r="DC9">
        <v>0.13201753728091717</v>
      </c>
      <c r="DD9">
        <v>2.1119204166680823</v>
      </c>
      <c r="DE9">
        <v>21004545270.690369</v>
      </c>
      <c r="DF9">
        <v>0.12228992927074434</v>
      </c>
      <c r="DG9">
        <v>1.188770689734868</v>
      </c>
      <c r="DH9">
        <v>37315798903.061455</v>
      </c>
      <c r="DI9">
        <v>0.11117266297340395</v>
      </c>
      <c r="DJ9">
        <v>0.53022853249082191</v>
      </c>
      <c r="DK9">
        <v>83661902899.893173</v>
      </c>
      <c r="DL9">
        <v>9.7276080101728432E-2</v>
      </c>
      <c r="DM9">
        <v>2853000000</v>
      </c>
      <c r="DN9">
        <v>0.13896582871675492</v>
      </c>
      <c r="DO9">
        <v>44359928000</v>
      </c>
      <c r="DP9">
        <v>11083907000</v>
      </c>
      <c r="DQ9">
        <v>427</v>
      </c>
      <c r="DR9">
        <v>9.3339193940763232E-3</v>
      </c>
      <c r="DS9">
        <v>1.0885077909942698E-2</v>
      </c>
      <c r="DT9" s="10">
        <v>-0.12333333333333336</v>
      </c>
      <c r="DU9">
        <v>0.65333333333333332</v>
      </c>
      <c r="DV9">
        <v>0.52999999999999992</v>
      </c>
      <c r="DW9">
        <v>-2.0609999999999999</v>
      </c>
      <c r="DX9">
        <v>0.4360874999999993</v>
      </c>
      <c r="DY9">
        <v>-2.0113513374999998</v>
      </c>
      <c r="DZ9">
        <v>668</v>
      </c>
      <c r="EA9">
        <v>-2.0098674444569471</v>
      </c>
      <c r="EB9">
        <v>2</v>
      </c>
      <c r="EC9">
        <v>3.2447709831678807E-2</v>
      </c>
      <c r="ED9">
        <v>0.17436802488979009</v>
      </c>
      <c r="EE9" s="11">
        <v>2.0327099999999998</v>
      </c>
      <c r="EF9">
        <v>2.0315099999999999</v>
      </c>
      <c r="EG9">
        <v>25.186087499999999</v>
      </c>
      <c r="EH9" t="s">
        <v>1036</v>
      </c>
      <c r="EI9">
        <v>0</v>
      </c>
      <c r="EJ9">
        <v>1</v>
      </c>
      <c r="EK9" s="12">
        <v>45470</v>
      </c>
      <c r="EL9">
        <v>-2.27</v>
      </c>
      <c r="EM9">
        <v>-0.91</v>
      </c>
      <c r="EN9">
        <v>0.4</v>
      </c>
      <c r="EO9">
        <v>-0.84</v>
      </c>
      <c r="EP9">
        <v>0.12</v>
      </c>
    </row>
    <row r="10" spans="1:146" ht="96" x14ac:dyDescent="0.25">
      <c r="A10" s="7"/>
      <c r="B10" s="7"/>
      <c r="C10" s="7" t="str">
        <f>""&amp;CHAR(10)&amp;Basic_Fundamental_Information_Constructure(F10)&amp;CHAR(10)&amp;Basic_Fundamental_Information_Concatenate("")</f>
        <v xml:space="preserve">
市值26.640967亿, 利润4920.89万; PE52.54; 平均PE16.42; 平均PEG.76, PB.991; ROIC3.36%; ROE3.24%; 股利率1.8519%; 毛利47.6233%; 净利4.74%; 上一年度营收增-13.66%, 利润增-47.23%; 当季营收增11.43%, 利润增5.49%; 过往5年营收增-21.71%, 利润增22.93%
Income profile:
</v>
      </c>
      <c r="D10" t="s">
        <v>144</v>
      </c>
      <c r="E10" t="s">
        <v>145</v>
      </c>
      <c r="F10">
        <v>4.32</v>
      </c>
      <c r="G10">
        <v>3.85</v>
      </c>
      <c r="H10" t="s">
        <v>1799</v>
      </c>
      <c r="I10">
        <v>2664096700</v>
      </c>
      <c r="J10">
        <v>52.54</v>
      </c>
      <c r="K10">
        <v>0.99099999999999999</v>
      </c>
      <c r="L10" t="s">
        <v>114</v>
      </c>
      <c r="M10" t="s">
        <v>1149</v>
      </c>
      <c r="N10" t="s">
        <v>1800</v>
      </c>
      <c r="O10" t="s">
        <v>1150</v>
      </c>
      <c r="P10">
        <v>11.41</v>
      </c>
      <c r="Q10" t="s">
        <v>1049</v>
      </c>
      <c r="R10">
        <v>28838483</v>
      </c>
      <c r="S10" s="5">
        <v>5.4899999999999997E-2</v>
      </c>
      <c r="T10" t="s">
        <v>1151</v>
      </c>
      <c r="U10">
        <v>616689060</v>
      </c>
      <c r="V10">
        <v>616689060</v>
      </c>
      <c r="W10">
        <v>1.58</v>
      </c>
      <c r="X10">
        <v>0.1</v>
      </c>
      <c r="Y10">
        <v>5.82</v>
      </c>
      <c r="Z10" t="s">
        <v>1050</v>
      </c>
      <c r="AA10" t="s">
        <v>1194</v>
      </c>
      <c r="AB10" t="s">
        <v>1801</v>
      </c>
      <c r="AC10" t="s">
        <v>1802</v>
      </c>
      <c r="AD10" t="s">
        <v>53</v>
      </c>
      <c r="AE10">
        <v>11150973</v>
      </c>
      <c r="AF10" t="s">
        <v>1153</v>
      </c>
      <c r="AG10" t="s">
        <v>1803</v>
      </c>
      <c r="AH10" t="s">
        <v>1154</v>
      </c>
      <c r="AI10" t="s">
        <v>95</v>
      </c>
      <c r="AJ10" t="s">
        <v>1155</v>
      </c>
      <c r="AK10" t="s">
        <v>789</v>
      </c>
      <c r="AL10" t="s">
        <v>1156</v>
      </c>
      <c r="AM10" t="s">
        <v>53</v>
      </c>
      <c r="AN10" t="s">
        <v>1804</v>
      </c>
      <c r="AO10" t="s">
        <v>1805</v>
      </c>
      <c r="AP10" t="s">
        <v>1806</v>
      </c>
      <c r="AQ10" t="s">
        <v>782</v>
      </c>
      <c r="AR10" t="s">
        <v>53</v>
      </c>
      <c r="AS10" t="s">
        <v>1807</v>
      </c>
      <c r="AT10" t="s">
        <v>1808</v>
      </c>
      <c r="AU10" t="s">
        <v>67</v>
      </c>
      <c r="AV10" t="s">
        <v>1809</v>
      </c>
      <c r="AW10" t="s">
        <v>1810</v>
      </c>
      <c r="AX10" t="s">
        <v>812</v>
      </c>
      <c r="AY10" t="s">
        <v>629</v>
      </c>
      <c r="AZ10" t="s">
        <v>392</v>
      </c>
      <c r="BA10" t="s">
        <v>394</v>
      </c>
      <c r="BB10" t="s">
        <v>395</v>
      </c>
      <c r="BC10" t="s">
        <v>1157</v>
      </c>
      <c r="BD10" t="s">
        <v>630</v>
      </c>
      <c r="BE10" t="s">
        <v>393</v>
      </c>
      <c r="BF10" t="s">
        <v>170</v>
      </c>
      <c r="BG10" t="s">
        <v>396</v>
      </c>
      <c r="BH10" t="s">
        <v>1049</v>
      </c>
      <c r="BI10" t="s">
        <v>735</v>
      </c>
      <c r="BJ10" t="s">
        <v>812</v>
      </c>
      <c r="BK10" t="s">
        <v>1151</v>
      </c>
      <c r="BL10" t="s">
        <v>1158</v>
      </c>
      <c r="BM10" t="s">
        <v>1157</v>
      </c>
      <c r="BN10" t="s">
        <v>53</v>
      </c>
      <c r="BO10">
        <v>2.52</v>
      </c>
      <c r="BP10">
        <v>4.2</v>
      </c>
      <c r="BQ10">
        <v>-0.26</v>
      </c>
      <c r="BR10">
        <v>3.55</v>
      </c>
      <c r="BS10">
        <v>6.43</v>
      </c>
      <c r="BT10" t="s">
        <v>792</v>
      </c>
      <c r="BU10" t="s">
        <v>114</v>
      </c>
      <c r="BV10">
        <v>41.16</v>
      </c>
      <c r="BW10">
        <v>52.57</v>
      </c>
      <c r="BX10">
        <v>49.14</v>
      </c>
      <c r="BY10">
        <v>1.71</v>
      </c>
      <c r="BZ10">
        <v>4.16</v>
      </c>
      <c r="CA10">
        <v>8.35</v>
      </c>
      <c r="CB10">
        <v>2.61</v>
      </c>
      <c r="CC10">
        <v>-12.02</v>
      </c>
      <c r="CD10" t="s">
        <v>1811</v>
      </c>
      <c r="CE10" t="s">
        <v>84</v>
      </c>
      <c r="CF10" s="8">
        <v>0.11428571428571428</v>
      </c>
      <c r="CG10" s="9">
        <v>5.4924936898708712E-2</v>
      </c>
      <c r="CH10" s="8">
        <v>-0.13661813735961914</v>
      </c>
      <c r="CI10" s="8">
        <v>-7.5090594589710236E-2</v>
      </c>
      <c r="CJ10" s="8">
        <v>-0.85907167196273804</v>
      </c>
      <c r="CK10" s="8">
        <v>-0.17907857894897461</v>
      </c>
      <c r="CL10" s="8">
        <v>0.16435304284095764</v>
      </c>
      <c r="CM10" s="9">
        <v>-0.47234892845153809</v>
      </c>
      <c r="CN10" s="9">
        <v>-0.44155505299568176</v>
      </c>
      <c r="CO10" s="9">
        <v>-0.41403508186340332</v>
      </c>
      <c r="CP10" s="9">
        <v>-3.3898305147886276E-2</v>
      </c>
      <c r="CQ10" s="9">
        <v>2.508542537689209</v>
      </c>
      <c r="CR10">
        <v>16.418864080590851</v>
      </c>
      <c r="CS10">
        <v>0.7562770260053604</v>
      </c>
      <c r="CT10">
        <v>1.8518518518518519</v>
      </c>
      <c r="CU10" s="8">
        <v>-0.21710118800401687</v>
      </c>
      <c r="CV10" s="9">
        <v>0.22934103384613991</v>
      </c>
      <c r="CW10">
        <v>0.06</v>
      </c>
      <c r="CX10">
        <v>28.716283030102279</v>
      </c>
      <c r="CY10" t="s">
        <v>1159</v>
      </c>
      <c r="CZ10">
        <v>-0.21710118800401687</v>
      </c>
      <c r="DA10">
        <v>9.5720943433674268</v>
      </c>
      <c r="DB10" t="s">
        <v>1160</v>
      </c>
      <c r="DC10">
        <v>-0.20624612860381603</v>
      </c>
      <c r="DD10">
        <v>4.7860471716837134</v>
      </c>
      <c r="DE10" t="s">
        <v>1161</v>
      </c>
      <c r="DF10">
        <v>-0.19104904544353485</v>
      </c>
      <c r="DG10">
        <v>2.8716283030102279</v>
      </c>
      <c r="DH10" t="s">
        <v>1162</v>
      </c>
      <c r="DI10">
        <v>-0.17368095040321352</v>
      </c>
      <c r="DJ10">
        <v>1.4358141515051139</v>
      </c>
      <c r="DK10" t="s">
        <v>1163</v>
      </c>
      <c r="DL10">
        <v>-0.1519708316028118</v>
      </c>
      <c r="DM10">
        <v>49208900</v>
      </c>
      <c r="DN10">
        <v>-0.21710118800401687</v>
      </c>
      <c r="DO10">
        <v>1413096700</v>
      </c>
      <c r="DP10">
        <v>481917300</v>
      </c>
      <c r="DQ10">
        <v>598</v>
      </c>
      <c r="DR10">
        <v>0.33138690228973117</v>
      </c>
      <c r="DS10">
        <v>-0.17441609694743121</v>
      </c>
      <c r="DT10" s="10">
        <v>-0.72333333333333327</v>
      </c>
      <c r="DU10">
        <v>4.9999999999998934E-3</v>
      </c>
      <c r="DV10">
        <v>-0.71833333333333338</v>
      </c>
      <c r="DW10">
        <v>6.1784005468215994</v>
      </c>
      <c r="DX10">
        <v>0.45372166666666586</v>
      </c>
      <c r="DY10">
        <v>6.0274240293916606</v>
      </c>
      <c r="DZ10">
        <v>3227</v>
      </c>
      <c r="EA10">
        <v>6.0101055669950094</v>
      </c>
      <c r="EB10">
        <v>6</v>
      </c>
      <c r="EC10">
        <v>2.9912319183998497E-2</v>
      </c>
      <c r="ED10">
        <v>0.19458752843775112</v>
      </c>
      <c r="EE10" s="11">
        <v>-2.0257100000000001</v>
      </c>
      <c r="EF10">
        <v>-2.0487099999999998</v>
      </c>
      <c r="EG10">
        <v>30.153721666666666</v>
      </c>
      <c r="EH10" t="s">
        <v>1017</v>
      </c>
      <c r="EI10">
        <v>0</v>
      </c>
      <c r="EJ10">
        <v>0</v>
      </c>
      <c r="EK10" s="12">
        <v>45470</v>
      </c>
      <c r="EL10">
        <v>0</v>
      </c>
      <c r="EM10">
        <v>-5.24</v>
      </c>
      <c r="EN10">
        <v>0.48</v>
      </c>
      <c r="EO10">
        <v>3.83</v>
      </c>
      <c r="EP10">
        <v>-2.2999999999999998</v>
      </c>
    </row>
    <row r="11" spans="1:146" ht="96" x14ac:dyDescent="0.25">
      <c r="A11" s="7"/>
      <c r="B11" s="7"/>
      <c r="C11" s="7" t="str">
        <f>""&amp;CHAR(10)&amp;Basic_Fundamental_Information_Constructure(F11)&amp;CHAR(10)&amp;Basic_Fundamental_Information_Concatenate("")</f>
        <v xml:space="preserve">
市值23.203826亿, 利润5876.71万; PE53.98; 平均PE21.44; 平均PEG5.61, PB2.85; ROIC10.3167%; ROE14.07%; 股利率6.2189%; 毛利75.73%; 净利10.3667%; 上一年度营收增-10.34%, 利润增-45.08%; 当季营收增-8.51%, 利润增-62.01%; 过往5年营收增3.82%, 利润增21.67%
Income profile:
</v>
      </c>
      <c r="D11" t="s">
        <v>150</v>
      </c>
      <c r="E11" t="s">
        <v>21</v>
      </c>
      <c r="F11">
        <v>4.0199999999999996</v>
      </c>
      <c r="G11">
        <v>4.96</v>
      </c>
      <c r="H11" t="s">
        <v>1812</v>
      </c>
      <c r="I11">
        <v>2320382600</v>
      </c>
      <c r="J11">
        <v>53.98</v>
      </c>
      <c r="K11">
        <v>2.85</v>
      </c>
      <c r="L11" t="s">
        <v>114</v>
      </c>
      <c r="M11" t="s">
        <v>356</v>
      </c>
      <c r="N11" t="s">
        <v>224</v>
      </c>
      <c r="O11" t="s">
        <v>444</v>
      </c>
      <c r="P11">
        <v>-8.49</v>
      </c>
      <c r="Q11" t="s">
        <v>1164</v>
      </c>
      <c r="R11">
        <v>9667223</v>
      </c>
      <c r="S11" s="5">
        <v>-0.62009999999999998</v>
      </c>
      <c r="T11" t="s">
        <v>1165</v>
      </c>
      <c r="U11">
        <v>569616650</v>
      </c>
      <c r="V11">
        <v>577209600</v>
      </c>
      <c r="W11">
        <v>1.38</v>
      </c>
      <c r="X11">
        <v>0.19</v>
      </c>
      <c r="Y11">
        <v>4.07</v>
      </c>
      <c r="Z11" t="s">
        <v>97</v>
      </c>
      <c r="AA11" t="s">
        <v>1813</v>
      </c>
      <c r="AB11" t="s">
        <v>586</v>
      </c>
      <c r="AC11" t="s">
        <v>1814</v>
      </c>
      <c r="AD11" t="s">
        <v>53</v>
      </c>
      <c r="AE11">
        <v>-1616794</v>
      </c>
      <c r="AF11" t="s">
        <v>124</v>
      </c>
      <c r="AG11" t="s">
        <v>1815</v>
      </c>
      <c r="AH11" t="s">
        <v>1166</v>
      </c>
      <c r="AI11" t="s">
        <v>504</v>
      </c>
      <c r="AJ11" t="s">
        <v>1167</v>
      </c>
      <c r="AK11" t="s">
        <v>1816</v>
      </c>
      <c r="AL11" t="s">
        <v>1168</v>
      </c>
      <c r="AM11" t="s">
        <v>53</v>
      </c>
      <c r="AN11">
        <v>0</v>
      </c>
      <c r="AO11" t="s">
        <v>53</v>
      </c>
      <c r="AP11" t="s">
        <v>1817</v>
      </c>
      <c r="AQ11" t="s">
        <v>1818</v>
      </c>
      <c r="AR11" t="s">
        <v>53</v>
      </c>
      <c r="AS11" t="s">
        <v>309</v>
      </c>
      <c r="AT11" t="s">
        <v>53</v>
      </c>
      <c r="AU11" t="s">
        <v>1819</v>
      </c>
      <c r="AV11" t="s">
        <v>1820</v>
      </c>
      <c r="AW11" t="s">
        <v>53</v>
      </c>
      <c r="AX11" t="s">
        <v>813</v>
      </c>
      <c r="AY11" t="s">
        <v>631</v>
      </c>
      <c r="AZ11" t="s">
        <v>55</v>
      </c>
      <c r="BA11" t="s">
        <v>151</v>
      </c>
      <c r="BB11" t="s">
        <v>242</v>
      </c>
      <c r="BC11" t="s">
        <v>153</v>
      </c>
      <c r="BD11" t="s">
        <v>368</v>
      </c>
      <c r="BE11" t="s">
        <v>397</v>
      </c>
      <c r="BF11" t="s">
        <v>152</v>
      </c>
      <c r="BG11" t="s">
        <v>399</v>
      </c>
      <c r="BH11" t="s">
        <v>1164</v>
      </c>
      <c r="BI11" t="s">
        <v>1169</v>
      </c>
      <c r="BJ11" t="s">
        <v>813</v>
      </c>
      <c r="BK11" t="s">
        <v>1165</v>
      </c>
      <c r="BL11" t="s">
        <v>1170</v>
      </c>
      <c r="BM11" t="s">
        <v>153</v>
      </c>
      <c r="BN11">
        <v>5.27</v>
      </c>
      <c r="BO11">
        <v>10.01</v>
      </c>
      <c r="BP11">
        <v>15.67</v>
      </c>
      <c r="BQ11">
        <v>7.4</v>
      </c>
      <c r="BR11">
        <v>14.1</v>
      </c>
      <c r="BS11">
        <v>20.71</v>
      </c>
      <c r="BT11" t="s">
        <v>1171</v>
      </c>
      <c r="BU11" t="s">
        <v>114</v>
      </c>
      <c r="BV11">
        <v>74.44</v>
      </c>
      <c r="BW11">
        <v>75.28</v>
      </c>
      <c r="BX11">
        <v>77.47</v>
      </c>
      <c r="BY11">
        <v>5.13</v>
      </c>
      <c r="BZ11">
        <v>8.86</v>
      </c>
      <c r="CA11">
        <v>17.11</v>
      </c>
      <c r="CB11">
        <v>2.29</v>
      </c>
      <c r="CC11">
        <v>-11.84</v>
      </c>
      <c r="CD11" t="s">
        <v>1821</v>
      </c>
      <c r="CE11" t="s">
        <v>66</v>
      </c>
      <c r="CF11" s="8">
        <v>-8.5106382978723402E-2</v>
      </c>
      <c r="CG11" s="9">
        <v>-0.62013796057258941</v>
      </c>
      <c r="CH11" s="8">
        <v>-0.10344827920198441</v>
      </c>
      <c r="CI11" s="8">
        <v>7.6352067291736603E-2</v>
      </c>
      <c r="CJ11" s="8">
        <v>-6.2624253332614899E-2</v>
      </c>
      <c r="CK11" s="8">
        <v>0.16976743936538696</v>
      </c>
      <c r="CL11" s="8">
        <v>0.1111111119389534</v>
      </c>
      <c r="CM11" s="9">
        <v>-0.45077475905418396</v>
      </c>
      <c r="CN11" s="9">
        <v>-0.34355828166007996</v>
      </c>
      <c r="CO11" s="9">
        <v>-8.9385472238063812E-2</v>
      </c>
      <c r="CP11" s="9">
        <v>0.86844664812088013</v>
      </c>
      <c r="CQ11" s="9">
        <v>1.0985400676727295</v>
      </c>
      <c r="CR11">
        <v>21.44464658441721</v>
      </c>
      <c r="CS11">
        <v>5.6091392800199085</v>
      </c>
      <c r="CT11">
        <v>6.2189054726368163</v>
      </c>
      <c r="CU11" s="8">
        <v>3.8231617212295531E-2</v>
      </c>
      <c r="CV11" s="9">
        <v>0.21665364056825637</v>
      </c>
      <c r="CW11">
        <v>0.06</v>
      </c>
      <c r="CX11">
        <v>31.08712539185375</v>
      </c>
      <c r="CY11">
        <v>57560246.482902542</v>
      </c>
      <c r="CZ11">
        <v>3.8231617212295531E-2</v>
      </c>
      <c r="DA11">
        <v>10.61690045582257</v>
      </c>
      <c r="DB11">
        <v>168540960.4663533</v>
      </c>
      <c r="DC11">
        <v>3.6320036351680754E-2</v>
      </c>
      <c r="DD11">
        <v>5.5371793340546747</v>
      </c>
      <c r="DE11">
        <v>323157783.42141944</v>
      </c>
      <c r="DF11">
        <v>3.3643823146820066E-2</v>
      </c>
      <c r="DG11">
        <v>3.5430043563031006</v>
      </c>
      <c r="DH11">
        <v>505046683.56295973</v>
      </c>
      <c r="DI11">
        <v>3.0585293769836427E-2</v>
      </c>
      <c r="DJ11">
        <v>2.0917686054022528</v>
      </c>
      <c r="DK11">
        <v>855440030.68919599</v>
      </c>
      <c r="DL11">
        <v>2.676213204860687E-2</v>
      </c>
      <c r="DM11">
        <v>58767100</v>
      </c>
      <c r="DN11">
        <v>3.8231617212295531E-2</v>
      </c>
      <c r="DO11">
        <v>1789382600</v>
      </c>
      <c r="DP11">
        <v>401291660</v>
      </c>
      <c r="DQ11">
        <v>621</v>
      </c>
      <c r="DR11">
        <v>-0.12333800019101893</v>
      </c>
      <c r="DS11">
        <v>-0.83679160114084583</v>
      </c>
      <c r="DT11" s="10">
        <v>-0.32333333333333336</v>
      </c>
      <c r="DU11">
        <v>-0.32333333333333342</v>
      </c>
      <c r="DV11">
        <v>-0.64666666666666672</v>
      </c>
      <c r="DW11">
        <v>-2.1183999999999998</v>
      </c>
      <c r="DX11">
        <v>0.60213225806451698</v>
      </c>
      <c r="DY11">
        <v>-2.0191964593548386</v>
      </c>
      <c r="DZ11">
        <v>3108</v>
      </c>
      <c r="EA11">
        <v>-2.0075208046239505</v>
      </c>
      <c r="EB11">
        <v>2</v>
      </c>
      <c r="EC11">
        <v>3.4830328532304382E-2</v>
      </c>
      <c r="ED11">
        <v>0.21482664182993491</v>
      </c>
      <c r="EE11" s="11">
        <v>-2.0317099999999999</v>
      </c>
      <c r="EF11">
        <v>-2.05661</v>
      </c>
      <c r="EG11">
        <v>44.162132258064517</v>
      </c>
      <c r="EH11" t="s">
        <v>1017</v>
      </c>
      <c r="EI11">
        <v>0</v>
      </c>
      <c r="EJ11">
        <v>0</v>
      </c>
      <c r="EK11" s="12">
        <v>45470</v>
      </c>
      <c r="EL11">
        <v>1.25</v>
      </c>
      <c r="EM11">
        <v>-5.43</v>
      </c>
      <c r="EN11">
        <v>1.04</v>
      </c>
      <c r="EO11">
        <v>3.88</v>
      </c>
      <c r="EP11">
        <v>-2.4900000000000002</v>
      </c>
    </row>
    <row r="12" spans="1:146" ht="156" x14ac:dyDescent="0.25">
      <c r="A12" s="7"/>
      <c r="B12" s="7"/>
      <c r="C12" s="7" t="str">
        <f>"公司主要从事天然健康产品业务,主要产品是罗汉果提取物、甜叶菊提取物、工业大麻提取、茶叶提取物及其他保健护肤提取物（如：八角提取物莽草酸、红景天提取物、积雪草提取物、淫羊藿提取物等）。"&amp;CHAR(10)&amp;Basic_Fundamental_Information_Constructure(F12)&amp;CHAR(10)&amp;Basic_Fundamental_Information_Concatenate("主营业务-植物提取 12.68亿 90.51% 89.86% 28.51%
其他业务-植物提取 6153.17万 4.39% 6.43% 42.05%
主营业务-BT项目 4226.02万 3.02% 3.71% 35.28%")</f>
        <v>公司主要从事天然健康产品业务,主要产品是罗汉果提取物、甜叶菊提取物、工业大麻提取、茶叶提取物及其他保健护肤提取物（如：八角提取物莽草酸、红景天提取物、积雪草提取物、淫羊藿提取物等）。
市值50.529303亿, 利润8251.10万; PE56.54; 平均PE46.42; 平均PEG2.34, PB1.62; ROIC4.7267%; ROE5.31%; 股利率2.9369%; 毛利28.3367%; 净利10.8267%; 上一年度营收增6.64%, 利润增-53.9%; 当季营收增34.78%, 利润增34.37%; 过往5年营收增19.86%, 利润增9.19%
Income profile:
主营业务-植物提取 12.68亿 90.51% 89.86% 28.51%
其他业务-植物提取 6153.17万 4.39% 6.43% 42.05%
主营业务-BT项目 4226.02万 3.02% 3.71% 35.28%</v>
      </c>
      <c r="D12" t="s">
        <v>587</v>
      </c>
      <c r="E12" t="s">
        <v>588</v>
      </c>
      <c r="F12">
        <v>6.81</v>
      </c>
      <c r="G12">
        <v>1.95</v>
      </c>
      <c r="H12" t="s">
        <v>1822</v>
      </c>
      <c r="I12">
        <v>5052930300</v>
      </c>
      <c r="J12">
        <v>56.54</v>
      </c>
      <c r="K12">
        <v>1.62</v>
      </c>
      <c r="L12" t="s">
        <v>114</v>
      </c>
      <c r="M12" t="s">
        <v>1173</v>
      </c>
      <c r="N12" t="s">
        <v>1823</v>
      </c>
      <c r="O12" t="s">
        <v>585</v>
      </c>
      <c r="P12">
        <v>35.07</v>
      </c>
      <c r="Q12" t="s">
        <v>981</v>
      </c>
      <c r="R12">
        <v>26790064</v>
      </c>
      <c r="S12" s="5">
        <v>0.34370000000000001</v>
      </c>
      <c r="T12" t="s">
        <v>1174</v>
      </c>
      <c r="U12">
        <v>513529140</v>
      </c>
      <c r="V12">
        <v>741986830</v>
      </c>
      <c r="W12">
        <v>1.5</v>
      </c>
      <c r="X12">
        <v>7.0000000000000007E-2</v>
      </c>
      <c r="Y12">
        <v>8.17</v>
      </c>
      <c r="Z12" t="s">
        <v>1689</v>
      </c>
      <c r="AA12" t="s">
        <v>1824</v>
      </c>
      <c r="AB12" t="s">
        <v>1825</v>
      </c>
      <c r="AC12" t="s">
        <v>1826</v>
      </c>
      <c r="AD12" t="s">
        <v>53</v>
      </c>
      <c r="AE12">
        <v>3459864</v>
      </c>
      <c r="AF12" t="s">
        <v>124</v>
      </c>
      <c r="AG12">
        <v>810.89</v>
      </c>
      <c r="AH12" t="s">
        <v>1175</v>
      </c>
      <c r="AI12" t="s">
        <v>1258</v>
      </c>
      <c r="AJ12" t="s">
        <v>1176</v>
      </c>
      <c r="AK12" t="s">
        <v>1827</v>
      </c>
      <c r="AL12" t="s">
        <v>1177</v>
      </c>
      <c r="AM12" t="s">
        <v>53</v>
      </c>
      <c r="AN12" t="s">
        <v>1643</v>
      </c>
      <c r="AO12" t="s">
        <v>1828</v>
      </c>
      <c r="AP12" t="s">
        <v>1829</v>
      </c>
      <c r="AQ12" t="s">
        <v>1023</v>
      </c>
      <c r="AR12" t="s">
        <v>53</v>
      </c>
      <c r="AS12" t="s">
        <v>1830</v>
      </c>
      <c r="AT12" t="s">
        <v>1471</v>
      </c>
      <c r="AU12" t="s">
        <v>1831</v>
      </c>
      <c r="AV12" t="s">
        <v>1832</v>
      </c>
      <c r="AW12" t="s">
        <v>1833</v>
      </c>
      <c r="AX12" t="s">
        <v>815</v>
      </c>
      <c r="AY12" t="s">
        <v>303</v>
      </c>
      <c r="AZ12" t="s">
        <v>589</v>
      </c>
      <c r="BA12" t="s">
        <v>422</v>
      </c>
      <c r="BB12" t="s">
        <v>516</v>
      </c>
      <c r="BC12" t="s">
        <v>397</v>
      </c>
      <c r="BD12" t="s">
        <v>586</v>
      </c>
      <c r="BE12" t="s">
        <v>590</v>
      </c>
      <c r="BF12" t="s">
        <v>338</v>
      </c>
      <c r="BG12" t="s">
        <v>591</v>
      </c>
      <c r="BH12" t="s">
        <v>981</v>
      </c>
      <c r="BI12" t="s">
        <v>1178</v>
      </c>
      <c r="BJ12" t="s">
        <v>815</v>
      </c>
      <c r="BK12" t="s">
        <v>1174</v>
      </c>
      <c r="BL12" t="s">
        <v>1179</v>
      </c>
      <c r="BM12" t="s">
        <v>397</v>
      </c>
      <c r="BN12">
        <v>1.72</v>
      </c>
      <c r="BO12">
        <v>6.4</v>
      </c>
      <c r="BP12">
        <v>6.06</v>
      </c>
      <c r="BQ12">
        <v>1.33</v>
      </c>
      <c r="BR12">
        <v>7.76</v>
      </c>
      <c r="BS12">
        <v>6.84</v>
      </c>
      <c r="BT12" t="s">
        <v>783</v>
      </c>
      <c r="BU12" t="s">
        <v>114</v>
      </c>
      <c r="BV12">
        <v>24.41</v>
      </c>
      <c r="BW12">
        <v>30.8</v>
      </c>
      <c r="BX12">
        <v>29.8</v>
      </c>
      <c r="BY12">
        <v>6.58</v>
      </c>
      <c r="BZ12">
        <v>13.44</v>
      </c>
      <c r="CA12">
        <v>12.46</v>
      </c>
      <c r="CB12">
        <v>-0.44</v>
      </c>
      <c r="CC12">
        <v>-11.9</v>
      </c>
      <c r="CD12" t="s">
        <v>1834</v>
      </c>
      <c r="CE12" t="s">
        <v>1463</v>
      </c>
      <c r="CF12" s="8">
        <v>0.3478260869565219</v>
      </c>
      <c r="CG12" s="9">
        <v>0.34370900919879221</v>
      </c>
      <c r="CH12" s="8">
        <v>6.6381208598613739E-2</v>
      </c>
      <c r="CI12" s="8">
        <v>0.33048427104949951</v>
      </c>
      <c r="CJ12" s="8">
        <v>0.34311223030090332</v>
      </c>
      <c r="CK12" s="8">
        <v>5.8029688894748688E-2</v>
      </c>
      <c r="CL12" s="8">
        <v>0.19516128301620483</v>
      </c>
      <c r="CM12" s="9">
        <v>-0.53904467821121216</v>
      </c>
      <c r="CN12" s="9">
        <v>0.51694917678833008</v>
      </c>
      <c r="CO12" s="9">
        <v>0.37226215004920959</v>
      </c>
      <c r="CP12" s="9">
        <v>-0.18877924978733063</v>
      </c>
      <c r="CQ12" s="9">
        <v>0.29799672961235046</v>
      </c>
      <c r="CR12">
        <v>46.416442590972842</v>
      </c>
      <c r="CS12">
        <v>2.33678545441273</v>
      </c>
      <c r="CT12">
        <v>2.9368575624082234</v>
      </c>
      <c r="CU12" s="8">
        <v>0.19863373637199402</v>
      </c>
      <c r="CV12" s="9">
        <v>9.1876825690269476E-2</v>
      </c>
      <c r="CW12">
        <v>0.06</v>
      </c>
      <c r="CX12">
        <v>35.239531022080079</v>
      </c>
      <c r="CY12">
        <v>93302328.511122271</v>
      </c>
      <c r="CZ12">
        <v>0.19863373637199402</v>
      </c>
      <c r="DA12">
        <v>10.516138339373875</v>
      </c>
      <c r="DB12">
        <v>312655672.06257975</v>
      </c>
      <c r="DC12">
        <v>0.18870204955339431</v>
      </c>
      <c r="DD12">
        <v>4.5633556480541211</v>
      </c>
      <c r="DE12">
        <v>720507134.13100278</v>
      </c>
      <c r="DF12">
        <v>0.17479768800735473</v>
      </c>
      <c r="DG12">
        <v>2.3613664509778443</v>
      </c>
      <c r="DH12">
        <v>1392384607.9199035</v>
      </c>
      <c r="DI12">
        <v>0.15890698909759524</v>
      </c>
      <c r="DJ12">
        <v>0.86039436221596621</v>
      </c>
      <c r="DK12">
        <v>3821422413.2429891</v>
      </c>
      <c r="DL12">
        <v>0.13904361546039581</v>
      </c>
      <c r="DM12">
        <v>82511000</v>
      </c>
      <c r="DN12">
        <v>0.19863373637199402</v>
      </c>
      <c r="DO12">
        <v>3287930300</v>
      </c>
      <c r="DP12">
        <v>1139544700</v>
      </c>
      <c r="DQ12">
        <v>676</v>
      </c>
      <c r="DR12">
        <v>0.14919235058452787</v>
      </c>
      <c r="DS12">
        <v>0.25183218350852277</v>
      </c>
      <c r="DT12" s="10">
        <v>-5.6666666666666719E-2</v>
      </c>
      <c r="DU12">
        <v>0.10000000000000002</v>
      </c>
      <c r="DV12">
        <v>4.33333333333333E-2</v>
      </c>
      <c r="DW12">
        <v>-2.1190000000000002</v>
      </c>
      <c r="DX12">
        <v>0.31224548022598864</v>
      </c>
      <c r="DY12">
        <v>-2.0121672121468928</v>
      </c>
      <c r="DZ12">
        <v>1609</v>
      </c>
      <c r="EA12">
        <v>-2.0083360880090551</v>
      </c>
      <c r="EB12">
        <v>2</v>
      </c>
      <c r="EC12">
        <v>4.8781054510091508E-2</v>
      </c>
      <c r="ED12">
        <v>0.47709741694471852</v>
      </c>
      <c r="EE12" s="11">
        <v>-4.0650000000000004</v>
      </c>
      <c r="EF12">
        <v>-4.0448000000000004</v>
      </c>
      <c r="EG12">
        <v>21.102245480225989</v>
      </c>
      <c r="EH12" t="s">
        <v>1010</v>
      </c>
      <c r="EI12">
        <v>0</v>
      </c>
      <c r="EJ12">
        <v>0</v>
      </c>
      <c r="EK12" s="12">
        <v>45470</v>
      </c>
      <c r="EL12">
        <v>0</v>
      </c>
      <c r="EM12">
        <v>-3.78</v>
      </c>
      <c r="EN12">
        <v>1.06</v>
      </c>
      <c r="EO12">
        <v>3.44</v>
      </c>
      <c r="EP12">
        <v>-2.02</v>
      </c>
    </row>
    <row r="13" spans="1:146" ht="96" x14ac:dyDescent="0.25">
      <c r="A13" s="7"/>
      <c r="B13" s="7"/>
      <c r="C13" s="7" t="str">
        <f>""&amp;CHAR(10)&amp;Basic_Fundamental_Information_Constructure(F13)&amp;CHAR(10)&amp;Basic_Fundamental_Information_Concatenate("")</f>
        <v xml:space="preserve">
市值40.397784亿, 利润3432.02万; PE147.9; 平均PE1802.25; 平均PEG2933.42, PB5.26; ROIC3.0633%; ROE3.2667%; 股利率.6281%; 毛利68.6167%; 净利4.4533%; 上一年度营收增-19.12%, 利润增-21.88%; 当季营收增-26.24%, 利润增-57.47%; 过往5年营收增.61%, 利润增487.15%
Income profile:
</v>
      </c>
      <c r="D13" t="s">
        <v>157</v>
      </c>
      <c r="E13" t="s">
        <v>6</v>
      </c>
      <c r="F13">
        <v>7.96</v>
      </c>
      <c r="G13">
        <v>-0.13</v>
      </c>
      <c r="H13" t="s">
        <v>1835</v>
      </c>
      <c r="I13">
        <v>4039778400</v>
      </c>
      <c r="J13">
        <v>147.9</v>
      </c>
      <c r="K13">
        <v>5.26</v>
      </c>
      <c r="L13" t="s">
        <v>114</v>
      </c>
      <c r="M13" t="s">
        <v>1180</v>
      </c>
      <c r="N13" t="s">
        <v>1836</v>
      </c>
      <c r="O13" t="s">
        <v>1181</v>
      </c>
      <c r="P13">
        <v>-26.52</v>
      </c>
      <c r="Q13" t="s">
        <v>1182</v>
      </c>
      <c r="R13">
        <v>5182188</v>
      </c>
      <c r="S13" s="5">
        <v>-0.57469999999999999</v>
      </c>
      <c r="T13" t="s">
        <v>1183</v>
      </c>
      <c r="U13">
        <v>507509850</v>
      </c>
      <c r="V13">
        <v>507509850</v>
      </c>
      <c r="W13">
        <v>1.1000000000000001</v>
      </c>
      <c r="X13">
        <v>0.11</v>
      </c>
      <c r="Y13">
        <v>5.49</v>
      </c>
      <c r="Z13" t="s">
        <v>1837</v>
      </c>
      <c r="AA13" t="s">
        <v>1838</v>
      </c>
      <c r="AB13" t="s">
        <v>1839</v>
      </c>
      <c r="AC13" t="s">
        <v>1840</v>
      </c>
      <c r="AD13" t="s">
        <v>53</v>
      </c>
      <c r="AE13">
        <v>-442576</v>
      </c>
      <c r="AF13" t="s">
        <v>1184</v>
      </c>
      <c r="AG13" t="s">
        <v>1841</v>
      </c>
      <c r="AH13" t="s">
        <v>1185</v>
      </c>
      <c r="AI13" t="s">
        <v>79</v>
      </c>
      <c r="AJ13" t="s">
        <v>1186</v>
      </c>
      <c r="AK13" t="s">
        <v>1842</v>
      </c>
      <c r="AL13" t="s">
        <v>1187</v>
      </c>
      <c r="AM13" t="s">
        <v>53</v>
      </c>
      <c r="AN13" t="s">
        <v>1843</v>
      </c>
      <c r="AO13" t="s">
        <v>53</v>
      </c>
      <c r="AP13" t="s">
        <v>53</v>
      </c>
      <c r="AQ13" t="s">
        <v>1844</v>
      </c>
      <c r="AR13" t="s">
        <v>1845</v>
      </c>
      <c r="AS13" t="s">
        <v>1846</v>
      </c>
      <c r="AT13" t="s">
        <v>53</v>
      </c>
      <c r="AU13" t="s">
        <v>1847</v>
      </c>
      <c r="AV13" t="s">
        <v>1848</v>
      </c>
      <c r="AW13">
        <v>-86.07</v>
      </c>
      <c r="AX13" t="s">
        <v>463</v>
      </c>
      <c r="AY13" t="s">
        <v>381</v>
      </c>
      <c r="AZ13" t="s">
        <v>174</v>
      </c>
      <c r="BA13" t="s">
        <v>158</v>
      </c>
      <c r="BB13" t="s">
        <v>342</v>
      </c>
      <c r="BC13" t="s">
        <v>816</v>
      </c>
      <c r="BD13" t="s">
        <v>633</v>
      </c>
      <c r="BE13" t="s">
        <v>401</v>
      </c>
      <c r="BF13" t="s">
        <v>159</v>
      </c>
      <c r="BG13" t="s">
        <v>402</v>
      </c>
      <c r="BH13" t="s">
        <v>1182</v>
      </c>
      <c r="BI13" t="s">
        <v>298</v>
      </c>
      <c r="BJ13" t="s">
        <v>463</v>
      </c>
      <c r="BK13" t="s">
        <v>1183</v>
      </c>
      <c r="BL13" t="s">
        <v>1188</v>
      </c>
      <c r="BM13" t="s">
        <v>816</v>
      </c>
      <c r="BN13">
        <v>3.18</v>
      </c>
      <c r="BO13">
        <v>5.86</v>
      </c>
      <c r="BP13">
        <v>0.15</v>
      </c>
      <c r="BQ13">
        <v>3.36</v>
      </c>
      <c r="BR13">
        <v>6.22</v>
      </c>
      <c r="BS13">
        <v>0.22</v>
      </c>
      <c r="BT13" t="s">
        <v>786</v>
      </c>
      <c r="BU13" t="s">
        <v>114</v>
      </c>
      <c r="BV13">
        <v>65.209999999999994</v>
      </c>
      <c r="BW13">
        <v>65.33</v>
      </c>
      <c r="BX13">
        <v>75.31</v>
      </c>
      <c r="BY13">
        <v>6.44</v>
      </c>
      <c r="BZ13">
        <v>6.66</v>
      </c>
      <c r="CA13">
        <v>0.26</v>
      </c>
      <c r="CB13">
        <v>4.74</v>
      </c>
      <c r="CC13">
        <v>23.03</v>
      </c>
      <c r="CD13" t="s">
        <v>1849</v>
      </c>
      <c r="CE13" t="s">
        <v>827</v>
      </c>
      <c r="CF13" s="8">
        <v>-0.2623796874999999</v>
      </c>
      <c r="CG13" s="9">
        <v>-0.57474249138355493</v>
      </c>
      <c r="CH13" s="8">
        <v>-0.19119878113269806</v>
      </c>
      <c r="CI13" s="8">
        <v>0.14608696103096008</v>
      </c>
      <c r="CJ13" s="8">
        <v>5.5045872926712036E-2</v>
      </c>
      <c r="CK13" s="8">
        <v>8.7824352085590363E-2</v>
      </c>
      <c r="CL13" s="8">
        <v>-6.7039109766483307E-2</v>
      </c>
      <c r="CM13" s="9">
        <v>-0.21883614361286163</v>
      </c>
      <c r="CN13" s="9">
        <v>28.739862442016602</v>
      </c>
      <c r="CO13" s="9">
        <v>-0.92553293704986572</v>
      </c>
      <c r="CP13" s="9">
        <v>1.1626091003417969</v>
      </c>
      <c r="CQ13" s="9">
        <v>-4.400355339050293</v>
      </c>
      <c r="CR13">
        <v>1802.2522250559518</v>
      </c>
      <c r="CS13">
        <v>2933.4205368367693</v>
      </c>
      <c r="CT13">
        <v>0.62814070351758799</v>
      </c>
      <c r="CU13" s="8">
        <v>6.1438590288162235E-3</v>
      </c>
      <c r="CV13" s="9">
        <v>4.8715494245290758</v>
      </c>
      <c r="CW13">
        <v>0.06</v>
      </c>
      <c r="CX13">
        <v>103.03009729704299</v>
      </c>
      <c r="CY13">
        <v>32576470.255321492</v>
      </c>
      <c r="CZ13">
        <v>6.1438590288162235E-3</v>
      </c>
      <c r="DA13">
        <v>36.170601430925799</v>
      </c>
      <c r="DB13">
        <v>92792399.55159609</v>
      </c>
      <c r="DC13">
        <v>5.8366660773754124E-3</v>
      </c>
      <c r="DD13">
        <v>19.53314884850526</v>
      </c>
      <c r="DE13">
        <v>171828767.90788594</v>
      </c>
      <c r="DF13">
        <v>5.4065959453582771E-3</v>
      </c>
      <c r="DG13">
        <v>12.962814418117672</v>
      </c>
      <c r="DH13">
        <v>258921927.88850987</v>
      </c>
      <c r="DI13">
        <v>4.9150872230529791E-3</v>
      </c>
      <c r="DJ13">
        <v>8.2147647295379382</v>
      </c>
      <c r="DK13">
        <v>408576144.35767138</v>
      </c>
      <c r="DL13">
        <v>4.3007013201713561E-3</v>
      </c>
      <c r="DM13">
        <v>34320200</v>
      </c>
      <c r="DN13">
        <v>6.1438590288162235E-3</v>
      </c>
      <c r="DO13">
        <v>3356356900</v>
      </c>
      <c r="DP13">
        <v>541637690</v>
      </c>
      <c r="DQ13">
        <v>708</v>
      </c>
      <c r="DR13">
        <v>-0.2685235465288161</v>
      </c>
      <c r="DS13">
        <v>-5.4462919159126306</v>
      </c>
      <c r="DT13" s="10">
        <v>-0.60666666666666669</v>
      </c>
      <c r="DU13">
        <v>-0.70333333333333348</v>
      </c>
      <c r="DV13">
        <v>-1.31</v>
      </c>
      <c r="DW13">
        <v>8.2058184976118103</v>
      </c>
      <c r="DX13">
        <v>0.28735645569620261</v>
      </c>
      <c r="DY13">
        <v>8.0323868693009111</v>
      </c>
      <c r="DZ13">
        <v>3859</v>
      </c>
      <c r="EA13">
        <v>8.0079287619364852</v>
      </c>
      <c r="EB13">
        <v>8</v>
      </c>
      <c r="EC13">
        <v>0.12247210571381029</v>
      </c>
      <c r="ED13">
        <v>0.77831001703710778</v>
      </c>
      <c r="EE13" s="11">
        <v>-1.0964</v>
      </c>
      <c r="EF13">
        <v>-1.0730999999999999</v>
      </c>
      <c r="EG13">
        <v>13.157356455696203</v>
      </c>
      <c r="EH13" t="s">
        <v>725</v>
      </c>
      <c r="EI13">
        <v>0</v>
      </c>
      <c r="EJ13">
        <v>0</v>
      </c>
      <c r="EK13" s="12">
        <v>45470</v>
      </c>
      <c r="EL13">
        <v>3.55</v>
      </c>
      <c r="EM13">
        <v>0.27</v>
      </c>
      <c r="EN13">
        <v>4.51</v>
      </c>
      <c r="EO13">
        <v>1.18</v>
      </c>
      <c r="EP13">
        <v>-2.33</v>
      </c>
    </row>
    <row r="14" spans="1:146" ht="96" x14ac:dyDescent="0.25">
      <c r="A14" s="7"/>
      <c r="B14" s="7"/>
      <c r="C14" s="7" t="str">
        <f>""&amp;CHAR(10)&amp;Basic_Fundamental_Information_Constructure(F14)&amp;CHAR(10)&amp;Basic_Fundamental_Information_Concatenate("")</f>
        <v xml:space="preserve">
市值74.209914亿, 利润4.21亿; PE21.08; 平均PE20.45; 平均PEG3.05, PB2.55; ROIC10.41%; ROE12.0867%; 股利率2.3753%; 毛利72.7667%; 净利18.65%; 上一年度营收增10.82%, 利润增27.58%; 当季营收增-32.54%, 利润增-40.82%; 过往5年营收增6.71%, 利润增2.65%
Income profile:
</v>
      </c>
      <c r="D14" t="s">
        <v>160</v>
      </c>
      <c r="E14" t="s">
        <v>26</v>
      </c>
      <c r="F14">
        <v>12.63</v>
      </c>
      <c r="G14">
        <v>3.27</v>
      </c>
      <c r="H14" t="s">
        <v>1850</v>
      </c>
      <c r="I14">
        <v>7420991400</v>
      </c>
      <c r="J14">
        <v>21.08</v>
      </c>
      <c r="K14">
        <v>2.5499999999999998</v>
      </c>
      <c r="L14" t="s">
        <v>114</v>
      </c>
      <c r="M14" t="s">
        <v>840</v>
      </c>
      <c r="N14" t="s">
        <v>1851</v>
      </c>
      <c r="O14" t="s">
        <v>980</v>
      </c>
      <c r="P14">
        <v>-32.590000000000003</v>
      </c>
      <c r="Q14" t="s">
        <v>1189</v>
      </c>
      <c r="R14">
        <v>100017772</v>
      </c>
      <c r="S14" s="5">
        <v>-0.40899999999999997</v>
      </c>
      <c r="T14" t="s">
        <v>874</v>
      </c>
      <c r="U14">
        <v>559328570</v>
      </c>
      <c r="V14">
        <v>587568600</v>
      </c>
      <c r="W14">
        <v>1.31</v>
      </c>
      <c r="X14">
        <v>0.12</v>
      </c>
      <c r="Y14">
        <v>20.73</v>
      </c>
      <c r="Z14" t="s">
        <v>1245</v>
      </c>
      <c r="AA14" t="s">
        <v>66</v>
      </c>
      <c r="AB14" t="s">
        <v>608</v>
      </c>
      <c r="AC14" t="s">
        <v>1852</v>
      </c>
      <c r="AD14" t="s">
        <v>53</v>
      </c>
      <c r="AE14">
        <v>-1495791</v>
      </c>
      <c r="AF14" t="s">
        <v>1190</v>
      </c>
      <c r="AG14" t="s">
        <v>1853</v>
      </c>
      <c r="AH14" t="s">
        <v>1191</v>
      </c>
      <c r="AI14" t="s">
        <v>1854</v>
      </c>
      <c r="AJ14" t="s">
        <v>1192</v>
      </c>
      <c r="AK14" t="s">
        <v>53</v>
      </c>
      <c r="AL14" t="s">
        <v>1193</v>
      </c>
      <c r="AM14" t="s">
        <v>53</v>
      </c>
      <c r="AN14" t="s">
        <v>1855</v>
      </c>
      <c r="AO14" t="s">
        <v>747</v>
      </c>
      <c r="AP14" t="s">
        <v>1856</v>
      </c>
      <c r="AQ14" t="s">
        <v>257</v>
      </c>
      <c r="AR14" t="s">
        <v>53</v>
      </c>
      <c r="AS14" t="s">
        <v>616</v>
      </c>
      <c r="AT14" t="s">
        <v>1857</v>
      </c>
      <c r="AU14" t="s">
        <v>1858</v>
      </c>
      <c r="AV14" t="s">
        <v>1589</v>
      </c>
      <c r="AW14" t="s">
        <v>1859</v>
      </c>
      <c r="AX14" t="s">
        <v>819</v>
      </c>
      <c r="AY14" t="s">
        <v>634</v>
      </c>
      <c r="AZ14" t="s">
        <v>403</v>
      </c>
      <c r="BA14" t="s">
        <v>161</v>
      </c>
      <c r="BB14" t="s">
        <v>405</v>
      </c>
      <c r="BC14" t="s">
        <v>65</v>
      </c>
      <c r="BD14" t="s">
        <v>370</v>
      </c>
      <c r="BE14" t="s">
        <v>404</v>
      </c>
      <c r="BF14" t="s">
        <v>162</v>
      </c>
      <c r="BG14" t="s">
        <v>72</v>
      </c>
      <c r="BH14" t="s">
        <v>1189</v>
      </c>
      <c r="BI14" t="s">
        <v>635</v>
      </c>
      <c r="BJ14" t="s">
        <v>819</v>
      </c>
      <c r="BK14" t="s">
        <v>874</v>
      </c>
      <c r="BL14" t="s">
        <v>814</v>
      </c>
      <c r="BM14" t="s">
        <v>65</v>
      </c>
      <c r="BN14">
        <v>11.89</v>
      </c>
      <c r="BO14">
        <v>9.6199999999999992</v>
      </c>
      <c r="BP14">
        <v>9.7200000000000006</v>
      </c>
      <c r="BQ14">
        <v>13.45</v>
      </c>
      <c r="BR14">
        <v>11.26</v>
      </c>
      <c r="BS14">
        <v>11.55</v>
      </c>
      <c r="BT14" t="s">
        <v>776</v>
      </c>
      <c r="BU14" t="s">
        <v>114</v>
      </c>
      <c r="BV14">
        <v>73</v>
      </c>
      <c r="BW14">
        <v>70.98</v>
      </c>
      <c r="BX14">
        <v>74.319999999999993</v>
      </c>
      <c r="BY14">
        <v>19.399999999999999</v>
      </c>
      <c r="BZ14">
        <v>16.809999999999999</v>
      </c>
      <c r="CA14">
        <v>19.739999999999998</v>
      </c>
      <c r="CB14">
        <v>1.77</v>
      </c>
      <c r="CC14">
        <v>-7.27</v>
      </c>
      <c r="CD14" t="s">
        <v>1860</v>
      </c>
      <c r="CE14" t="s">
        <v>1861</v>
      </c>
      <c r="CF14" s="8">
        <v>-0.32541899441340782</v>
      </c>
      <c r="CG14" s="9">
        <v>-0.40817886390532543</v>
      </c>
      <c r="CH14" s="8">
        <v>0.1081632673740387</v>
      </c>
      <c r="CI14" s="8">
        <v>0.1257898211479187</v>
      </c>
      <c r="CJ14" s="8">
        <v>0.11174964159727097</v>
      </c>
      <c r="CK14" s="8">
        <v>-4.5121952891349792E-2</v>
      </c>
      <c r="CL14" s="8">
        <v>3.4700356423854828E-2</v>
      </c>
      <c r="CM14" s="9">
        <v>0.27575758099555969</v>
      </c>
      <c r="CN14" s="9">
        <v>-4.0697675198316574E-2</v>
      </c>
      <c r="CO14" s="9">
        <v>0.24187725782394409</v>
      </c>
      <c r="CP14" s="9">
        <v>-0.29336735606193542</v>
      </c>
      <c r="CQ14" s="9">
        <v>-5.0847455859184265E-2</v>
      </c>
      <c r="CR14">
        <v>20.452893155718879</v>
      </c>
      <c r="CS14">
        <v>3.0501109521068241</v>
      </c>
      <c r="CT14">
        <v>2.3752969121140142</v>
      </c>
      <c r="CU14" s="8">
        <v>6.7056226730346682E-2</v>
      </c>
      <c r="CV14" s="9">
        <v>2.6544470340013504E-2</v>
      </c>
      <c r="CW14">
        <v>0.06</v>
      </c>
      <c r="CX14">
        <v>13.289188079443653</v>
      </c>
      <c r="CY14">
        <v>423802520.23912823</v>
      </c>
      <c r="CZ14">
        <v>6.7056226730346682E-2</v>
      </c>
      <c r="DA14">
        <v>4.4282027227192851</v>
      </c>
      <c r="DB14">
        <v>1271845882.5528855</v>
      </c>
      <c r="DC14">
        <v>6.3703415393829343E-2</v>
      </c>
      <c r="DD14">
        <v>2.2369132650431878</v>
      </c>
      <c r="DE14">
        <v>2517751353.1760759</v>
      </c>
      <c r="DF14">
        <v>5.9009479522705084E-2</v>
      </c>
      <c r="DG14">
        <v>1.3825431734350253</v>
      </c>
      <c r="DH14">
        <v>4073645950.6048717</v>
      </c>
      <c r="DI14">
        <v>5.3644981384277347E-2</v>
      </c>
      <c r="DJ14">
        <v>0.75993460186886619</v>
      </c>
      <c r="DK14">
        <v>7411152730.9712534</v>
      </c>
      <c r="DL14">
        <v>4.6939358711242676E-2</v>
      </c>
      <c r="DM14">
        <v>421000000</v>
      </c>
      <c r="DN14">
        <v>6.7056226730346682E-2</v>
      </c>
      <c r="DO14">
        <v>5631991400</v>
      </c>
      <c r="DP14">
        <v>1448520300</v>
      </c>
      <c r="DQ14">
        <v>782</v>
      </c>
      <c r="DR14">
        <v>-0.39247522114375449</v>
      </c>
      <c r="DS14">
        <v>-0.43472333424533893</v>
      </c>
      <c r="DT14" s="10">
        <v>-0.44</v>
      </c>
      <c r="DU14">
        <v>-3.666666666666666E-2</v>
      </c>
      <c r="DV14">
        <v>-0.47666666666666668</v>
      </c>
      <c r="DW14">
        <v>-2.0727000000000002</v>
      </c>
      <c r="DX14">
        <v>0.43405173090434235</v>
      </c>
      <c r="DY14">
        <v>-2.0111995608367459</v>
      </c>
      <c r="DZ14">
        <v>2840</v>
      </c>
      <c r="EA14">
        <v>-2.0049751473775759</v>
      </c>
      <c r="EB14">
        <v>2</v>
      </c>
      <c r="EC14">
        <v>1.3695422117519554E-2</v>
      </c>
      <c r="ED14">
        <v>8.8901449124408616E-2</v>
      </c>
      <c r="EE14" s="11">
        <v>-3.0026000000000002</v>
      </c>
      <c r="EF14">
        <v>-3.0078100000000001</v>
      </c>
      <c r="EG14">
        <v>28.154051730904342</v>
      </c>
      <c r="EH14" t="s">
        <v>1686</v>
      </c>
      <c r="EI14">
        <v>0</v>
      </c>
      <c r="EJ14">
        <v>0</v>
      </c>
      <c r="EK14" s="12">
        <v>45470</v>
      </c>
      <c r="EL14">
        <v>0.4</v>
      </c>
      <c r="EM14">
        <v>-2.87</v>
      </c>
      <c r="EN14">
        <v>0.56999999999999995</v>
      </c>
      <c r="EO14">
        <v>2.2000000000000002</v>
      </c>
      <c r="EP14">
        <v>-1.04</v>
      </c>
    </row>
    <row r="15" spans="1:146" ht="96" x14ac:dyDescent="0.25">
      <c r="A15" s="7"/>
      <c r="B15" s="7"/>
      <c r="C15" s="7" t="str">
        <f>""&amp;CHAR(10)&amp;Basic_Fundamental_Information_Constructure(F15)&amp;CHAR(10)&amp;Basic_Fundamental_Information_Concatenate("")</f>
        <v xml:space="preserve">
市值102.641585亿, 利润5.81亿; PE17.52; 平均PE21.56; 平均PEG1.92, PB2.79; ROIC11.7167%; ROE16.0667%; 股利率2.4793%; 毛利84.45%; 净利30.4767%; 上一年度营收增0%, 利润增22.83%; 当季营收增23.31%, 利润增5.06%; 过往5年营收增11.25%, 利润增18.24%
Income profile:
</v>
      </c>
      <c r="D15" t="s">
        <v>163</v>
      </c>
      <c r="E15" t="s">
        <v>20</v>
      </c>
      <c r="F15">
        <v>19.36</v>
      </c>
      <c r="G15">
        <v>2.98</v>
      </c>
      <c r="H15" t="s">
        <v>1862</v>
      </c>
      <c r="I15">
        <v>10264158500</v>
      </c>
      <c r="J15">
        <v>17.52</v>
      </c>
      <c r="K15">
        <v>2.79</v>
      </c>
      <c r="L15" t="s">
        <v>114</v>
      </c>
      <c r="M15" t="s">
        <v>1195</v>
      </c>
      <c r="N15" t="s">
        <v>1863</v>
      </c>
      <c r="O15" t="s">
        <v>731</v>
      </c>
      <c r="P15">
        <v>23.37</v>
      </c>
      <c r="Q15" t="s">
        <v>820</v>
      </c>
      <c r="R15">
        <v>97460837</v>
      </c>
      <c r="S15" s="5">
        <v>5.0599999999999999E-2</v>
      </c>
      <c r="T15" t="s">
        <v>387</v>
      </c>
      <c r="U15">
        <v>528971260</v>
      </c>
      <c r="V15">
        <v>530173480</v>
      </c>
      <c r="W15">
        <v>1.75</v>
      </c>
      <c r="X15">
        <v>0.06</v>
      </c>
      <c r="Y15">
        <v>27.03</v>
      </c>
      <c r="Z15" t="s">
        <v>1864</v>
      </c>
      <c r="AA15" t="s">
        <v>1865</v>
      </c>
      <c r="AB15" t="s">
        <v>176</v>
      </c>
      <c r="AC15" t="s">
        <v>1866</v>
      </c>
      <c r="AD15" t="s">
        <v>53</v>
      </c>
      <c r="AE15">
        <v>10323760</v>
      </c>
      <c r="AF15" t="s">
        <v>1197</v>
      </c>
      <c r="AG15" t="s">
        <v>1867</v>
      </c>
      <c r="AH15" t="s">
        <v>1198</v>
      </c>
      <c r="AI15" t="s">
        <v>1868</v>
      </c>
      <c r="AJ15" t="s">
        <v>1199</v>
      </c>
      <c r="AK15" t="s">
        <v>53</v>
      </c>
      <c r="AL15" t="s">
        <v>1200</v>
      </c>
      <c r="AM15" t="s">
        <v>53</v>
      </c>
      <c r="AN15" t="s">
        <v>664</v>
      </c>
      <c r="AO15" t="s">
        <v>641</v>
      </c>
      <c r="AP15" t="s">
        <v>53</v>
      </c>
      <c r="AQ15" t="s">
        <v>726</v>
      </c>
      <c r="AR15" t="s">
        <v>53</v>
      </c>
      <c r="AS15" t="s">
        <v>1869</v>
      </c>
      <c r="AT15" t="s">
        <v>1003</v>
      </c>
      <c r="AU15" t="s">
        <v>1870</v>
      </c>
      <c r="AV15" t="s">
        <v>1871</v>
      </c>
      <c r="AW15" t="s">
        <v>294</v>
      </c>
      <c r="AX15" t="s">
        <v>820</v>
      </c>
      <c r="AY15" t="s">
        <v>609</v>
      </c>
      <c r="AZ15" t="s">
        <v>636</v>
      </c>
      <c r="BA15" t="s">
        <v>164</v>
      </c>
      <c r="BB15" t="s">
        <v>407</v>
      </c>
      <c r="BC15" t="s">
        <v>1201</v>
      </c>
      <c r="BD15" t="s">
        <v>635</v>
      </c>
      <c r="BE15" t="s">
        <v>584</v>
      </c>
      <c r="BF15" t="s">
        <v>165</v>
      </c>
      <c r="BG15" t="s">
        <v>143</v>
      </c>
      <c r="BH15" t="s">
        <v>820</v>
      </c>
      <c r="BI15" t="s">
        <v>982</v>
      </c>
      <c r="BJ15" t="s">
        <v>820</v>
      </c>
      <c r="BK15" t="s">
        <v>387</v>
      </c>
      <c r="BL15" t="s">
        <v>1202</v>
      </c>
      <c r="BM15" t="s">
        <v>1201</v>
      </c>
      <c r="BN15">
        <v>7.69</v>
      </c>
      <c r="BO15">
        <v>10.36</v>
      </c>
      <c r="BP15">
        <v>17.100000000000001</v>
      </c>
      <c r="BQ15">
        <v>11.01</v>
      </c>
      <c r="BR15">
        <v>13.98</v>
      </c>
      <c r="BS15">
        <v>23.21</v>
      </c>
      <c r="BT15" t="s">
        <v>1203</v>
      </c>
      <c r="BU15" t="s">
        <v>114</v>
      </c>
      <c r="BV15">
        <v>84.19</v>
      </c>
      <c r="BW15">
        <v>84.15</v>
      </c>
      <c r="BX15">
        <v>85.01</v>
      </c>
      <c r="BY15">
        <v>28.32</v>
      </c>
      <c r="BZ15">
        <v>22.96</v>
      </c>
      <c r="CA15">
        <v>40.15</v>
      </c>
      <c r="CB15">
        <v>1.36</v>
      </c>
      <c r="CC15">
        <v>-7.63</v>
      </c>
      <c r="CD15" t="s">
        <v>1872</v>
      </c>
      <c r="CE15" t="s">
        <v>1873</v>
      </c>
      <c r="CF15" s="8">
        <v>0.23310810810810811</v>
      </c>
      <c r="CG15" s="9">
        <v>5.0641170205426286E-2</v>
      </c>
      <c r="CH15" s="8">
        <v>0</v>
      </c>
      <c r="CI15" s="8">
        <v>0.15536719560623169</v>
      </c>
      <c r="CJ15" s="8">
        <v>0.1919192373752594</v>
      </c>
      <c r="CK15" s="8">
        <v>5.8446094393730164E-2</v>
      </c>
      <c r="CL15" s="8">
        <v>0.1566365510225296</v>
      </c>
      <c r="CM15" s="9">
        <v>0.22832980751991272</v>
      </c>
      <c r="CN15" s="9">
        <v>-0.33938547968864441</v>
      </c>
      <c r="CO15" s="9">
        <v>0.77227723598480225</v>
      </c>
      <c r="CP15" s="9">
        <v>0.10989011079072952</v>
      </c>
      <c r="CQ15" s="9">
        <v>0.14106583595275879</v>
      </c>
      <c r="CR15">
        <v>21.555810640532027</v>
      </c>
      <c r="CS15">
        <v>1.9165181256006125</v>
      </c>
      <c r="CT15">
        <v>2.4793388429752068</v>
      </c>
      <c r="CU15" s="8">
        <v>0.11247381567955017</v>
      </c>
      <c r="CV15" s="9">
        <v>0.18243550211191178</v>
      </c>
      <c r="CW15">
        <v>0.06</v>
      </c>
      <c r="CX15">
        <v>14.633848089966069</v>
      </c>
      <c r="CY15">
        <v>609761591.42435718</v>
      </c>
      <c r="CZ15">
        <v>0.11247381567955017</v>
      </c>
      <c r="DA15">
        <v>4.6922870551876343</v>
      </c>
      <c r="DB15">
        <v>1901665093.1734574</v>
      </c>
      <c r="DC15">
        <v>0.10685012489557266</v>
      </c>
      <c r="DD15">
        <v>2.2515217902954143</v>
      </c>
      <c r="DE15">
        <v>3963167728.8049798</v>
      </c>
      <c r="DF15">
        <v>9.8976957798004153E-2</v>
      </c>
      <c r="DG15">
        <v>1.3132044909427349</v>
      </c>
      <c r="DH15">
        <v>6794949729.1120014</v>
      </c>
      <c r="DI15">
        <v>8.9979052543640137E-2</v>
      </c>
      <c r="DJ15">
        <v>0.6356526142123915</v>
      </c>
      <c r="DK15">
        <v>14037790926.190531</v>
      </c>
      <c r="DL15">
        <v>7.873167097568512E-2</v>
      </c>
      <c r="DM15">
        <v>581000000</v>
      </c>
      <c r="DN15">
        <v>0.11247381567955017</v>
      </c>
      <c r="DO15">
        <v>8923158500</v>
      </c>
      <c r="DP15">
        <v>2053642199.9999998</v>
      </c>
      <c r="DQ15">
        <v>794</v>
      </c>
      <c r="DR15">
        <v>0.12063429242855794</v>
      </c>
      <c r="DS15">
        <v>-0.13179433190648548</v>
      </c>
      <c r="DT15" s="10">
        <v>-5.6666666666666719E-2</v>
      </c>
      <c r="DU15">
        <v>0.28333333333333338</v>
      </c>
      <c r="DV15">
        <v>0.22666666666666666</v>
      </c>
      <c r="DW15">
        <v>-2.0762999999999998</v>
      </c>
      <c r="DX15">
        <v>0.49743440662088462</v>
      </c>
      <c r="DY15">
        <v>-2.0127752452251735</v>
      </c>
      <c r="DZ15">
        <v>1203</v>
      </c>
      <c r="EA15">
        <v>-2.0097676874940809</v>
      </c>
      <c r="EB15">
        <v>2</v>
      </c>
      <c r="EC15">
        <v>8.1584616416498241E-3</v>
      </c>
      <c r="ED15">
        <v>4.8726315016737541E-2</v>
      </c>
      <c r="EE15" s="11">
        <v>7.0899999999999991E-2</v>
      </c>
      <c r="EF15">
        <v>5.2400000000000002E-2</v>
      </c>
      <c r="EG15">
        <v>33.167434406620885</v>
      </c>
      <c r="EH15" t="s">
        <v>612</v>
      </c>
      <c r="EI15">
        <v>0</v>
      </c>
      <c r="EJ15">
        <v>1</v>
      </c>
      <c r="EK15" s="12">
        <v>45470</v>
      </c>
      <c r="EL15">
        <v>-0.61</v>
      </c>
      <c r="EM15">
        <v>-2.95</v>
      </c>
      <c r="EN15">
        <v>1.21</v>
      </c>
      <c r="EO15">
        <v>3.31</v>
      </c>
      <c r="EP15">
        <v>-1.85</v>
      </c>
    </row>
    <row r="16" spans="1:146" ht="132" x14ac:dyDescent="0.25">
      <c r="A16" s="7" t="s">
        <v>763</v>
      </c>
      <c r="B16" s="7"/>
      <c r="C16" s="7" t="str">
        <f>"公司主营业务是药品研发、生产、销售。公司主要产品有复方血栓通系列产品、众生丸系列产品、头孢克肟分散片、头孢拉定胶囊、硫糖铝口服混悬液。"&amp;CHAR(10)&amp;Basic_Fundamental_Information_Constructure(F16)&amp;CHAR(10)&amp;Basic_Fundamental_Information_Concatenate("中成药销售 8.53亿 64.34% 78.43% 79.08%
化学药销售 3.70亿 27.90% 20.87% 48.53%")</f>
        <v>公司主营业务是药品研发、生产、销售。公司主要产品有复方血栓通系列产品、众生丸系列产品、头孢克肟分散片、头孢拉定胶囊、硫糖铝口服混悬液。
市值97.70863亿, 利润2.63亿; PE55.77; 平均PE49.26; 平均PEG13.74, PB2.22; ROIC6.6267%; ROE7.8733%; 股利率1.7467%; 毛利63.42%; 净利10.8867%; 上一年度营收增-2.43%, 利润增-18.32%; 当季营收增-14.19%, 利润增-63.1%; 过往5年营收增3.59%, 利润增-19.75%
Income profile:
中成药销售 8.53亿 64.34% 78.43% 79.08%
化学药销售 3.70亿 27.90% 20.87% 48.53%</v>
      </c>
      <c r="D16" t="s">
        <v>166</v>
      </c>
      <c r="E16" t="s">
        <v>15</v>
      </c>
      <c r="F16">
        <v>11.45</v>
      </c>
      <c r="G16">
        <v>4.66</v>
      </c>
      <c r="H16" t="s">
        <v>1874</v>
      </c>
      <c r="I16">
        <v>9770863000</v>
      </c>
      <c r="J16">
        <v>55.77</v>
      </c>
      <c r="K16">
        <v>2.2200000000000002</v>
      </c>
      <c r="L16" t="s">
        <v>114</v>
      </c>
      <c r="M16" t="s">
        <v>1204</v>
      </c>
      <c r="N16" t="s">
        <v>1875</v>
      </c>
      <c r="O16" t="s">
        <v>1205</v>
      </c>
      <c r="P16">
        <v>-14.15</v>
      </c>
      <c r="Q16" t="s">
        <v>1032</v>
      </c>
      <c r="R16">
        <v>51293866</v>
      </c>
      <c r="S16" s="5">
        <v>-0.63200000000000001</v>
      </c>
      <c r="T16" t="s">
        <v>291</v>
      </c>
      <c r="U16">
        <v>761769210</v>
      </c>
      <c r="V16">
        <v>853350480</v>
      </c>
      <c r="W16">
        <v>1.36</v>
      </c>
      <c r="X16">
        <v>0.1</v>
      </c>
      <c r="Y16">
        <v>7.6</v>
      </c>
      <c r="Z16" t="s">
        <v>208</v>
      </c>
      <c r="AA16" t="s">
        <v>1876</v>
      </c>
      <c r="AB16" t="s">
        <v>316</v>
      </c>
      <c r="AC16" t="s">
        <v>1877</v>
      </c>
      <c r="AD16" t="s">
        <v>53</v>
      </c>
      <c r="AE16">
        <v>2230173</v>
      </c>
      <c r="AF16" t="s">
        <v>1208</v>
      </c>
      <c r="AG16" t="s">
        <v>1878</v>
      </c>
      <c r="AH16" t="s">
        <v>1209</v>
      </c>
      <c r="AI16" t="s">
        <v>722</v>
      </c>
      <c r="AJ16" t="s">
        <v>1210</v>
      </c>
      <c r="AK16" t="s">
        <v>1879</v>
      </c>
      <c r="AL16" t="s">
        <v>1212</v>
      </c>
      <c r="AM16" t="s">
        <v>53</v>
      </c>
      <c r="AN16" t="s">
        <v>66</v>
      </c>
      <c r="AO16" t="s">
        <v>1880</v>
      </c>
      <c r="AP16" t="s">
        <v>1213</v>
      </c>
      <c r="AQ16" t="s">
        <v>257</v>
      </c>
      <c r="AR16" t="s">
        <v>1881</v>
      </c>
      <c r="AS16" t="s">
        <v>1882</v>
      </c>
      <c r="AT16" t="s">
        <v>53</v>
      </c>
      <c r="AU16" t="s">
        <v>1883</v>
      </c>
      <c r="AV16" t="s">
        <v>1884</v>
      </c>
      <c r="AW16" t="s">
        <v>1885</v>
      </c>
      <c r="AX16" t="s">
        <v>823</v>
      </c>
      <c r="AY16" t="s">
        <v>637</v>
      </c>
      <c r="AZ16" t="s">
        <v>409</v>
      </c>
      <c r="BA16" t="s">
        <v>167</v>
      </c>
      <c r="BB16" t="s">
        <v>412</v>
      </c>
      <c r="BC16" t="s">
        <v>824</v>
      </c>
      <c r="BD16" t="s">
        <v>593</v>
      </c>
      <c r="BE16" t="s">
        <v>410</v>
      </c>
      <c r="BF16" t="s">
        <v>168</v>
      </c>
      <c r="BG16" t="s">
        <v>294</v>
      </c>
      <c r="BH16" t="s">
        <v>1032</v>
      </c>
      <c r="BI16" t="s">
        <v>1214</v>
      </c>
      <c r="BJ16" t="s">
        <v>823</v>
      </c>
      <c r="BK16" t="s">
        <v>291</v>
      </c>
      <c r="BL16" t="s">
        <v>757</v>
      </c>
      <c r="BM16" t="s">
        <v>824</v>
      </c>
      <c r="BN16">
        <v>5.34</v>
      </c>
      <c r="BO16">
        <v>7.36</v>
      </c>
      <c r="BP16">
        <v>7.18</v>
      </c>
      <c r="BQ16">
        <v>7.11</v>
      </c>
      <c r="BR16">
        <v>8.98</v>
      </c>
      <c r="BS16">
        <v>7.53</v>
      </c>
      <c r="BT16" t="s">
        <v>783</v>
      </c>
      <c r="BU16" t="s">
        <v>114</v>
      </c>
      <c r="BV16">
        <v>58.6</v>
      </c>
      <c r="BW16">
        <v>64.86</v>
      </c>
      <c r="BX16">
        <v>66.8</v>
      </c>
      <c r="BY16">
        <v>9.57</v>
      </c>
      <c r="BZ16">
        <v>11.78</v>
      </c>
      <c r="CA16">
        <v>11.31</v>
      </c>
      <c r="CB16">
        <v>0.17</v>
      </c>
      <c r="CC16">
        <v>-17.8</v>
      </c>
      <c r="CD16" t="s">
        <v>1886</v>
      </c>
      <c r="CE16" t="s">
        <v>989</v>
      </c>
      <c r="CF16" s="8">
        <v>-0.14190093708165996</v>
      </c>
      <c r="CG16" s="9">
        <v>-0.630979381294964</v>
      </c>
      <c r="CH16" s="8">
        <v>-2.4289961904287338E-2</v>
      </c>
      <c r="CI16" s="8">
        <v>0.1016879677772522</v>
      </c>
      <c r="CJ16" s="8">
        <v>0.28111809492111206</v>
      </c>
      <c r="CK16" s="8">
        <v>-0.25118482112884521</v>
      </c>
      <c r="CL16" s="8">
        <v>7.1972958743572235E-2</v>
      </c>
      <c r="CM16" s="9">
        <v>-0.18322981894016266</v>
      </c>
      <c r="CN16" s="9">
        <v>0.15827338397502899</v>
      </c>
      <c r="CO16" s="9">
        <v>1.6510539054870605</v>
      </c>
      <c r="CP16" s="9">
        <v>-2.3427672386169434</v>
      </c>
      <c r="CQ16" s="9">
        <v>-0.27064219117164612</v>
      </c>
      <c r="CR16">
        <v>49.264855462184869</v>
      </c>
      <c r="CS16">
        <v>13.737783306009664</v>
      </c>
      <c r="CT16">
        <v>1.7467248908296944</v>
      </c>
      <c r="CU16" s="8">
        <v>3.5860847681760788E-2</v>
      </c>
      <c r="CV16" s="9">
        <v>-0.19746239185333253</v>
      </c>
      <c r="CW16">
        <v>0.06</v>
      </c>
      <c r="CX16">
        <v>27.725932834751625</v>
      </c>
      <c r="CY16">
        <v>257010757.49085197</v>
      </c>
      <c r="CZ16">
        <v>3.5860847681760788E-2</v>
      </c>
      <c r="DA16">
        <v>9.488233322857214</v>
      </c>
      <c r="DB16">
        <v>751021054.97698402</v>
      </c>
      <c r="DC16">
        <v>3.4067805297672747E-2</v>
      </c>
      <c r="DD16">
        <v>4.9614138086849922</v>
      </c>
      <c r="DE16">
        <v>1436256533.8787351</v>
      </c>
      <c r="DF16">
        <v>3.1557545959949494E-2</v>
      </c>
      <c r="DG16">
        <v>3.1834117309933978</v>
      </c>
      <c r="DH16">
        <v>2238435867.6018143</v>
      </c>
      <c r="DI16">
        <v>2.8688678145408632E-2</v>
      </c>
      <c r="DJ16">
        <v>1.8899273250107929</v>
      </c>
      <c r="DK16">
        <v>3770442866.0817981</v>
      </c>
      <c r="DL16">
        <v>2.510259337723255E-2</v>
      </c>
      <c r="DM16">
        <v>263000000</v>
      </c>
      <c r="DN16">
        <v>3.5860847681760788E-2</v>
      </c>
      <c r="DO16">
        <v>7125863000</v>
      </c>
      <c r="DP16">
        <v>2740392500</v>
      </c>
      <c r="DQ16">
        <v>824</v>
      </c>
      <c r="DR16">
        <v>-0.17776178476342075</v>
      </c>
      <c r="DS16">
        <v>-0.43351698944163147</v>
      </c>
      <c r="DT16" s="10">
        <v>-0.42333333333333334</v>
      </c>
      <c r="DU16">
        <v>-0.94</v>
      </c>
      <c r="DV16">
        <v>-1.3633333333333333</v>
      </c>
      <c r="DW16">
        <v>-3.0203571428571427</v>
      </c>
      <c r="DX16">
        <v>0.61141194029850476</v>
      </c>
      <c r="DY16">
        <v>-3.0034894573560766</v>
      </c>
      <c r="DZ16">
        <v>3906</v>
      </c>
      <c r="EA16">
        <v>-3.0008221735140346</v>
      </c>
      <c r="EB16">
        <v>3</v>
      </c>
      <c r="EC16">
        <v>6.7291225991927731E-2</v>
      </c>
      <c r="ED16">
        <v>0.39257023679180447</v>
      </c>
      <c r="EE16" s="11">
        <v>-3.03451</v>
      </c>
      <c r="EF16">
        <v>-3.06901</v>
      </c>
      <c r="EG16">
        <v>44.171411940298505</v>
      </c>
      <c r="EH16" t="s">
        <v>1686</v>
      </c>
      <c r="EI16">
        <v>0</v>
      </c>
      <c r="EJ16">
        <v>0</v>
      </c>
      <c r="EK16" s="12">
        <v>45470</v>
      </c>
      <c r="EL16">
        <v>-1.24</v>
      </c>
      <c r="EM16">
        <v>-3.43</v>
      </c>
      <c r="EN16">
        <v>-1.99</v>
      </c>
      <c r="EO16">
        <v>5.22</v>
      </c>
      <c r="EP16">
        <v>-3.45</v>
      </c>
    </row>
    <row r="17" spans="1:146" ht="96" x14ac:dyDescent="0.25">
      <c r="A17" s="7"/>
      <c r="B17" s="7"/>
      <c r="C17" s="7" t="str">
        <f>""&amp;CHAR(10)&amp;Basic_Fundamental_Information_Constructure(F17)&amp;CHAR(10)&amp;Basic_Fundamental_Information_Concatenate("")</f>
        <v xml:space="preserve">
市值54.224448亿, 利润2.48亿; PE23.46; 平均PE57.28; 平均PEG20.36, PB2.15; ROIC6.7%; ROE8.1433%; 股利率1.3814%; 毛利47.3267%; 净利14.0333%; 上一年度营收增-3.88%, 利润增16.98%; 当季营收增-11.78%, 利润增-18.92%; 过往5年营收增2.81%, 利润增-9.89%
Income profile:
</v>
      </c>
      <c r="D17" t="s">
        <v>171</v>
      </c>
      <c r="E17" t="s">
        <v>34</v>
      </c>
      <c r="F17">
        <v>6.66</v>
      </c>
      <c r="G17">
        <v>3.58</v>
      </c>
      <c r="H17" t="s">
        <v>1887</v>
      </c>
      <c r="I17">
        <v>5422444800</v>
      </c>
      <c r="J17">
        <v>23.46</v>
      </c>
      <c r="K17">
        <v>2.15</v>
      </c>
      <c r="L17" t="s">
        <v>114</v>
      </c>
      <c r="M17" t="s">
        <v>1215</v>
      </c>
      <c r="N17" t="s">
        <v>1888</v>
      </c>
      <c r="O17" t="s">
        <v>74</v>
      </c>
      <c r="P17">
        <v>-11.82</v>
      </c>
      <c r="Q17" t="s">
        <v>1216</v>
      </c>
      <c r="R17">
        <v>71080090</v>
      </c>
      <c r="S17" s="5">
        <v>-0.18920000000000001</v>
      </c>
      <c r="T17" t="s">
        <v>1217</v>
      </c>
      <c r="U17">
        <v>812006310</v>
      </c>
      <c r="V17">
        <v>814180910</v>
      </c>
      <c r="W17">
        <v>1.1100000000000001</v>
      </c>
      <c r="X17">
        <v>0.11</v>
      </c>
      <c r="Y17">
        <v>22.33</v>
      </c>
      <c r="Z17" t="s">
        <v>593</v>
      </c>
      <c r="AA17" t="s">
        <v>781</v>
      </c>
      <c r="AB17" t="s">
        <v>1889</v>
      </c>
      <c r="AC17" t="s">
        <v>1890</v>
      </c>
      <c r="AD17" t="s">
        <v>53</v>
      </c>
      <c r="AE17">
        <v>-10177062</v>
      </c>
      <c r="AF17" t="s">
        <v>1218</v>
      </c>
      <c r="AG17" t="s">
        <v>1891</v>
      </c>
      <c r="AH17" t="s">
        <v>1219</v>
      </c>
      <c r="AI17" t="s">
        <v>1892</v>
      </c>
      <c r="AJ17" t="s">
        <v>1220</v>
      </c>
      <c r="AK17" t="s">
        <v>1893</v>
      </c>
      <c r="AL17" t="s">
        <v>1221</v>
      </c>
      <c r="AM17" t="s">
        <v>53</v>
      </c>
      <c r="AN17" t="s">
        <v>1894</v>
      </c>
      <c r="AO17" t="s">
        <v>1222</v>
      </c>
      <c r="AP17" t="s">
        <v>1895</v>
      </c>
      <c r="AQ17" t="s">
        <v>758</v>
      </c>
      <c r="AR17" t="s">
        <v>53</v>
      </c>
      <c r="AS17" t="s">
        <v>446</v>
      </c>
      <c r="AT17" t="s">
        <v>53</v>
      </c>
      <c r="AU17" t="s">
        <v>1896</v>
      </c>
      <c r="AV17" t="s">
        <v>1897</v>
      </c>
      <c r="AW17" t="s">
        <v>1898</v>
      </c>
      <c r="AX17" t="s">
        <v>825</v>
      </c>
      <c r="AY17" t="s">
        <v>352</v>
      </c>
      <c r="AZ17" t="s">
        <v>414</v>
      </c>
      <c r="BA17" t="s">
        <v>172</v>
      </c>
      <c r="BB17" t="s">
        <v>416</v>
      </c>
      <c r="BC17" t="s">
        <v>632</v>
      </c>
      <c r="BD17" t="s">
        <v>526</v>
      </c>
      <c r="BE17" t="s">
        <v>69</v>
      </c>
      <c r="BF17" t="s">
        <v>173</v>
      </c>
      <c r="BG17" t="s">
        <v>154</v>
      </c>
      <c r="BH17" t="s">
        <v>1216</v>
      </c>
      <c r="BI17" t="s">
        <v>983</v>
      </c>
      <c r="BJ17" t="s">
        <v>825</v>
      </c>
      <c r="BK17" t="s">
        <v>1217</v>
      </c>
      <c r="BL17" t="s">
        <v>1223</v>
      </c>
      <c r="BM17" t="s">
        <v>632</v>
      </c>
      <c r="BN17">
        <v>7.5</v>
      </c>
      <c r="BO17">
        <v>7.59</v>
      </c>
      <c r="BP17">
        <v>5.01</v>
      </c>
      <c r="BQ17">
        <v>7.88</v>
      </c>
      <c r="BR17">
        <v>9.15</v>
      </c>
      <c r="BS17">
        <v>7.4</v>
      </c>
      <c r="BT17" t="s">
        <v>1224</v>
      </c>
      <c r="BU17" t="s">
        <v>114</v>
      </c>
      <c r="BV17">
        <v>48.69</v>
      </c>
      <c r="BW17">
        <v>46.73</v>
      </c>
      <c r="BX17">
        <v>46.56</v>
      </c>
      <c r="BY17">
        <v>18.29</v>
      </c>
      <c r="BZ17">
        <v>13.5</v>
      </c>
      <c r="CA17">
        <v>10.31</v>
      </c>
      <c r="CB17">
        <v>1.52</v>
      </c>
      <c r="CC17">
        <v>-8.99</v>
      </c>
      <c r="CD17" t="s">
        <v>1899</v>
      </c>
      <c r="CE17" t="s">
        <v>639</v>
      </c>
      <c r="CF17" s="8">
        <v>-0.11778846153846154</v>
      </c>
      <c r="CG17" s="9">
        <v>-0.18924334417306449</v>
      </c>
      <c r="CH17" s="8">
        <v>-3.8779363036155701E-2</v>
      </c>
      <c r="CI17" s="8">
        <v>0.15832100808620453</v>
      </c>
      <c r="CJ17" s="8">
        <v>6.0109343379735947E-2</v>
      </c>
      <c r="CK17" s="8">
        <v>0.10717373341321945</v>
      </c>
      <c r="CL17" s="8">
        <v>-0.14612555503845215</v>
      </c>
      <c r="CM17" s="9">
        <v>0.16981132328510284</v>
      </c>
      <c r="CN17" s="9">
        <v>0.31677019596099854</v>
      </c>
      <c r="CO17" s="9">
        <v>0.45045045018196106</v>
      </c>
      <c r="CP17" s="9">
        <v>1.2817258834838867</v>
      </c>
      <c r="CQ17" s="9">
        <v>-2.7130434513092041</v>
      </c>
      <c r="CR17">
        <v>57.279346478873236</v>
      </c>
      <c r="CS17">
        <v>20.355254327284353</v>
      </c>
      <c r="CT17">
        <v>1.3813813813813813</v>
      </c>
      <c r="CU17" s="8">
        <v>2.8139833360910416E-2</v>
      </c>
      <c r="CV17" s="9">
        <v>-9.8857119679450989E-2</v>
      </c>
      <c r="CW17">
        <v>0.06</v>
      </c>
      <c r="CX17">
        <v>12.124274484763903</v>
      </c>
      <c r="CY17">
        <v>240545923.27689224</v>
      </c>
      <c r="CZ17">
        <v>2.8139833360910416E-2</v>
      </c>
      <c r="DA17">
        <v>4.1766729075253108</v>
      </c>
      <c r="DB17">
        <v>698269858.46684384</v>
      </c>
      <c r="DC17">
        <v>2.6732841692864894E-2</v>
      </c>
      <c r="DD17">
        <v>2.2024985226216329</v>
      </c>
      <c r="DE17">
        <v>1324152897.2871034</v>
      </c>
      <c r="DF17">
        <v>2.4763053357601168E-2</v>
      </c>
      <c r="DG17">
        <v>1.4258974870345189</v>
      </c>
      <c r="DH17">
        <v>2045339743.2275558</v>
      </c>
      <c r="DI17">
        <v>2.2511866688728333E-2</v>
      </c>
      <c r="DJ17">
        <v>0.86166446529604401</v>
      </c>
      <c r="DK17">
        <v>3384664120.9673076</v>
      </c>
      <c r="DL17">
        <v>1.969788335263729E-2</v>
      </c>
      <c r="DM17">
        <v>248000000</v>
      </c>
      <c r="DN17">
        <v>2.8139833360910416E-2</v>
      </c>
      <c r="DO17">
        <v>2916444800</v>
      </c>
      <c r="DP17">
        <v>1732492400</v>
      </c>
      <c r="DQ17">
        <v>856</v>
      </c>
      <c r="DR17">
        <v>-0.14592829489937195</v>
      </c>
      <c r="DS17">
        <v>-9.0386224493613498E-2</v>
      </c>
      <c r="DT17" s="10">
        <v>-0.28999999999999998</v>
      </c>
      <c r="DU17">
        <v>6.6666666666666638E-2</v>
      </c>
      <c r="DV17">
        <v>-0.22333333333333333</v>
      </c>
      <c r="DW17">
        <v>-2.0899000000000001</v>
      </c>
      <c r="DX17">
        <v>0.4909752808988756</v>
      </c>
      <c r="DY17">
        <v>-2.0171686777528088</v>
      </c>
      <c r="DZ17">
        <v>2248</v>
      </c>
      <c r="EA17">
        <v>-2.0096158034693814</v>
      </c>
      <c r="EB17">
        <v>2</v>
      </c>
      <c r="EC17">
        <v>4.1751900078325341E-2</v>
      </c>
      <c r="ED17">
        <v>0.21862462975212721</v>
      </c>
      <c r="EE17" s="11">
        <v>2.0045099999999998</v>
      </c>
      <c r="EF17">
        <v>2.0253100000000002</v>
      </c>
      <c r="EG17">
        <v>30.190975280898876</v>
      </c>
      <c r="EH17" t="s">
        <v>1036</v>
      </c>
      <c r="EI17">
        <v>0</v>
      </c>
      <c r="EJ17">
        <v>0</v>
      </c>
      <c r="EK17" s="12">
        <v>45470</v>
      </c>
      <c r="EL17">
        <v>0</v>
      </c>
      <c r="EM17">
        <v>-4.1900000000000004</v>
      </c>
      <c r="EN17">
        <v>-0.15</v>
      </c>
      <c r="EO17">
        <v>1.81</v>
      </c>
      <c r="EP17">
        <v>-2.08</v>
      </c>
    </row>
    <row r="18" spans="1:146" ht="96" x14ac:dyDescent="0.25">
      <c r="A18" s="7"/>
      <c r="B18" s="7"/>
      <c r="C18" s="7" t="str">
        <f>""&amp;CHAR(10)&amp;Basic_Fundamental_Information_Constructure(F18)&amp;CHAR(10)&amp;Basic_Fundamental_Information_Concatenate("")</f>
        <v xml:space="preserve">
市值66.090964亿, 利润2.87亿; PE22.55; 平均PE-385; 平均PEG-4323.03, PB.962; ROIC4.3033%; ROE3.8933%; 股利率1.7647%; 毛利19.6933%; 净利5.1633%; 上一年度营收增1.75%, 利润增28.12%; 当季营收增-1.43%, 利润增11.11%; 过往5年营收增-.09%, 利润增31.8%
Income profile:
</v>
      </c>
      <c r="D18" t="s">
        <v>177</v>
      </c>
      <c r="E18" t="s">
        <v>50</v>
      </c>
      <c r="F18">
        <v>3.4</v>
      </c>
      <c r="G18">
        <v>2.72</v>
      </c>
      <c r="H18" t="s">
        <v>1900</v>
      </c>
      <c r="I18">
        <v>6609096400</v>
      </c>
      <c r="J18">
        <v>22.55</v>
      </c>
      <c r="K18">
        <v>0.96199999999999997</v>
      </c>
      <c r="L18" t="s">
        <v>114</v>
      </c>
      <c r="M18" t="s">
        <v>1225</v>
      </c>
      <c r="N18" t="s">
        <v>1901</v>
      </c>
      <c r="O18" t="s">
        <v>1226</v>
      </c>
      <c r="P18">
        <v>-1.41</v>
      </c>
      <c r="Q18" t="s">
        <v>1227</v>
      </c>
      <c r="R18">
        <v>58824844</v>
      </c>
      <c r="S18" s="5">
        <v>0.1111</v>
      </c>
      <c r="T18" t="s">
        <v>821</v>
      </c>
      <c r="U18">
        <v>1827914500</v>
      </c>
      <c r="V18">
        <v>1943851900</v>
      </c>
      <c r="W18">
        <v>1.27</v>
      </c>
      <c r="X18">
        <v>0.17</v>
      </c>
      <c r="Y18">
        <v>4.53</v>
      </c>
      <c r="Z18" t="s">
        <v>1487</v>
      </c>
      <c r="AA18" t="s">
        <v>1902</v>
      </c>
      <c r="AB18" t="s">
        <v>1903</v>
      </c>
      <c r="AC18" t="s">
        <v>153</v>
      </c>
      <c r="AD18" t="s">
        <v>53</v>
      </c>
      <c r="AE18">
        <v>4882360</v>
      </c>
      <c r="AF18" t="s">
        <v>124</v>
      </c>
      <c r="AG18" t="s">
        <v>1904</v>
      </c>
      <c r="AH18" t="s">
        <v>1228</v>
      </c>
      <c r="AI18" t="s">
        <v>1905</v>
      </c>
      <c r="AJ18" t="s">
        <v>1230</v>
      </c>
      <c r="AK18" t="s">
        <v>84</v>
      </c>
      <c r="AL18" t="s">
        <v>1231</v>
      </c>
      <c r="AM18" t="s">
        <v>53</v>
      </c>
      <c r="AN18" t="s">
        <v>1906</v>
      </c>
      <c r="AO18" t="s">
        <v>635</v>
      </c>
      <c r="AP18" t="s">
        <v>1322</v>
      </c>
      <c r="AQ18" t="s">
        <v>516</v>
      </c>
      <c r="AR18" t="s">
        <v>53</v>
      </c>
      <c r="AS18" t="s">
        <v>1907</v>
      </c>
      <c r="AT18" t="s">
        <v>53</v>
      </c>
      <c r="AU18" t="s">
        <v>1908</v>
      </c>
      <c r="AV18" t="s">
        <v>1909</v>
      </c>
      <c r="AW18" t="s">
        <v>1910</v>
      </c>
      <c r="AX18" t="s">
        <v>826</v>
      </c>
      <c r="AY18" t="s">
        <v>640</v>
      </c>
      <c r="AZ18" t="s">
        <v>419</v>
      </c>
      <c r="BA18" t="s">
        <v>178</v>
      </c>
      <c r="BB18" t="s">
        <v>420</v>
      </c>
      <c r="BC18" t="s">
        <v>449</v>
      </c>
      <c r="BD18" t="s">
        <v>185</v>
      </c>
      <c r="BE18" t="s">
        <v>87</v>
      </c>
      <c r="BF18" t="s">
        <v>179</v>
      </c>
      <c r="BG18" t="s">
        <v>421</v>
      </c>
      <c r="BH18" t="s">
        <v>1227</v>
      </c>
      <c r="BI18" t="s">
        <v>675</v>
      </c>
      <c r="BJ18" t="s">
        <v>826</v>
      </c>
      <c r="BK18" t="s">
        <v>821</v>
      </c>
      <c r="BL18" t="s">
        <v>1233</v>
      </c>
      <c r="BM18" t="s">
        <v>449</v>
      </c>
      <c r="BN18">
        <v>3.9</v>
      </c>
      <c r="BO18">
        <v>3.63</v>
      </c>
      <c r="BP18">
        <v>5.38</v>
      </c>
      <c r="BQ18">
        <v>3.59</v>
      </c>
      <c r="BR18">
        <v>3.36</v>
      </c>
      <c r="BS18">
        <v>4.7300000000000004</v>
      </c>
      <c r="BT18" t="s">
        <v>784</v>
      </c>
      <c r="BU18" t="s">
        <v>114</v>
      </c>
      <c r="BV18">
        <v>19.02</v>
      </c>
      <c r="BW18">
        <v>19.16</v>
      </c>
      <c r="BX18">
        <v>20.9</v>
      </c>
      <c r="BY18">
        <v>5.48</v>
      </c>
      <c r="BZ18">
        <v>4.2300000000000004</v>
      </c>
      <c r="CA18">
        <v>5.78</v>
      </c>
      <c r="CB18">
        <v>2.72</v>
      </c>
      <c r="CC18">
        <v>-8.36</v>
      </c>
      <c r="CD18" t="s">
        <v>1911</v>
      </c>
      <c r="CE18" t="s">
        <v>117</v>
      </c>
      <c r="CF18" s="8">
        <v>-1.4330218068535825E-2</v>
      </c>
      <c r="CG18" s="9">
        <v>0.11105989634487255</v>
      </c>
      <c r="CH18" s="8">
        <v>1.7480324953794479E-2</v>
      </c>
      <c r="CI18" s="8">
        <v>-1.8850412219762802E-2</v>
      </c>
      <c r="CJ18" s="8">
        <v>0.10708174109458923</v>
      </c>
      <c r="CK18" s="8">
        <v>-0.12156272679567337</v>
      </c>
      <c r="CL18" s="8">
        <v>1.1398225091397762E-2</v>
      </c>
      <c r="CM18" s="9">
        <v>0.28125</v>
      </c>
      <c r="CN18" s="9">
        <v>-0.17948718369007111</v>
      </c>
      <c r="CO18" s="9">
        <v>0.56896549463272095</v>
      </c>
      <c r="CP18" s="9">
        <v>-0.26271185278892517</v>
      </c>
      <c r="CQ18" s="9">
        <v>1.1819583177566528</v>
      </c>
      <c r="CR18">
        <v>-384.99590679611646</v>
      </c>
      <c r="CS18">
        <v>-4323.0300871159998</v>
      </c>
      <c r="CT18">
        <v>1.7647058823529411</v>
      </c>
      <c r="CU18" s="8">
        <v>-8.9056957513093953E-4</v>
      </c>
      <c r="CV18" s="9">
        <v>0.31799495518207549</v>
      </c>
      <c r="CW18">
        <v>0.06</v>
      </c>
      <c r="CX18">
        <v>5.3522522648083593</v>
      </c>
      <c r="CY18" t="s">
        <v>1234</v>
      </c>
      <c r="CZ18">
        <v>-8.9056957513093953E-4</v>
      </c>
      <c r="DA18">
        <v>1.7840840882694531</v>
      </c>
      <c r="DB18" t="s">
        <v>1235</v>
      </c>
      <c r="DC18">
        <v>-8.4604109637439247E-4</v>
      </c>
      <c r="DD18">
        <v>0.89204204413472654</v>
      </c>
      <c r="DE18" t="s">
        <v>1236</v>
      </c>
      <c r="DF18">
        <v>-7.8370122611522684E-4</v>
      </c>
      <c r="DG18">
        <v>0.53522522648083593</v>
      </c>
      <c r="DH18" t="s">
        <v>1237</v>
      </c>
      <c r="DI18">
        <v>-7.1245566010475164E-4</v>
      </c>
      <c r="DJ18">
        <v>0.26761261324041796</v>
      </c>
      <c r="DK18" t="s">
        <v>1238</v>
      </c>
      <c r="DL18">
        <v>-6.2339870259165765E-4</v>
      </c>
      <c r="DM18">
        <v>287000000</v>
      </c>
      <c r="DN18">
        <v>-8.9056957513093953E-4</v>
      </c>
      <c r="DO18">
        <v>1536096399.999999</v>
      </c>
      <c r="DP18">
        <v>3393761800</v>
      </c>
      <c r="DQ18">
        <v>896</v>
      </c>
      <c r="DR18">
        <v>-1.3439648493404885E-2</v>
      </c>
      <c r="DS18">
        <v>-0.20693505883720292</v>
      </c>
      <c r="DT18" s="10">
        <v>-0.44</v>
      </c>
      <c r="DU18">
        <v>0.23333333333333331</v>
      </c>
      <c r="DV18">
        <v>-0.20666666666666669</v>
      </c>
      <c r="DW18">
        <v>6.2454873646209386</v>
      </c>
      <c r="DX18">
        <v>0.45396611111111212</v>
      </c>
      <c r="DY18">
        <v>6.0353418612113918</v>
      </c>
      <c r="DZ18">
        <v>2211</v>
      </c>
      <c r="EA18">
        <v>6.0200501087381264</v>
      </c>
      <c r="EB18">
        <v>6</v>
      </c>
      <c r="EC18">
        <v>2.666242217321186E-2</v>
      </c>
      <c r="ED18">
        <v>0.18519929424664502</v>
      </c>
      <c r="EE18" s="11">
        <v>-1.0201</v>
      </c>
      <c r="EF18">
        <v>-1.00631</v>
      </c>
      <c r="EG18">
        <v>31.143966111111112</v>
      </c>
      <c r="EH18" t="s">
        <v>721</v>
      </c>
      <c r="EI18">
        <v>0</v>
      </c>
      <c r="EJ18">
        <v>0</v>
      </c>
      <c r="EK18" s="12">
        <v>45470</v>
      </c>
      <c r="EL18">
        <v>0</v>
      </c>
      <c r="EM18">
        <v>-3.27</v>
      </c>
      <c r="EN18">
        <v>0.62</v>
      </c>
      <c r="EO18">
        <v>4.28</v>
      </c>
      <c r="EP18">
        <v>-2.64</v>
      </c>
    </row>
    <row r="19" spans="1:146" ht="96" x14ac:dyDescent="0.25">
      <c r="A19" s="7"/>
      <c r="B19" s="7"/>
      <c r="C19" s="7" t="str">
        <f>""&amp;CHAR(10)&amp;Basic_Fundamental_Information_Constructure(F19)&amp;CHAR(10)&amp;Basic_Fundamental_Information_Concatenate("")</f>
        <v xml:space="preserve">
市值27.4244亿, 利润2.05亿; PE13.17; 平均PE18; 平均PEG12.54, PB1.35; ROIC7.3533%; ROE7.68%; 股利率0%; 毛利72.5733%; 净利18.2933%; 上一年度营收增4.37%, 利润增22.02%; 当季营收增1.6%, 利润增5.81%; 过往5年营收增1.44%, 利润增10.83%
Income profile:
</v>
      </c>
      <c r="D19" t="s">
        <v>183</v>
      </c>
      <c r="E19" t="s">
        <v>19</v>
      </c>
      <c r="F19">
        <v>5.45</v>
      </c>
      <c r="G19">
        <v>4.41</v>
      </c>
      <c r="H19" t="s">
        <v>1912</v>
      </c>
      <c r="I19">
        <v>2742440000</v>
      </c>
      <c r="J19">
        <v>13.17</v>
      </c>
      <c r="K19">
        <v>1.35</v>
      </c>
      <c r="L19" t="s">
        <v>114</v>
      </c>
      <c r="M19" t="s">
        <v>992</v>
      </c>
      <c r="N19" t="s">
        <v>1913</v>
      </c>
      <c r="O19" t="s">
        <v>447</v>
      </c>
      <c r="P19">
        <v>1.54</v>
      </c>
      <c r="Q19" t="s">
        <v>1239</v>
      </c>
      <c r="R19">
        <v>58264674</v>
      </c>
      <c r="S19" s="5">
        <v>5.8099999999999999E-2</v>
      </c>
      <c r="T19" t="s">
        <v>978</v>
      </c>
      <c r="U19">
        <v>497845000</v>
      </c>
      <c r="V19">
        <v>503200000</v>
      </c>
      <c r="W19">
        <v>1.18</v>
      </c>
      <c r="X19">
        <v>0.11</v>
      </c>
      <c r="Y19">
        <v>22.94</v>
      </c>
      <c r="Z19" t="s">
        <v>1914</v>
      </c>
      <c r="AA19" t="s">
        <v>1915</v>
      </c>
      <c r="AB19" t="s">
        <v>63</v>
      </c>
      <c r="AC19" t="s">
        <v>1916</v>
      </c>
      <c r="AD19" t="s">
        <v>53</v>
      </c>
      <c r="AE19">
        <v>410738</v>
      </c>
      <c r="AF19" t="s">
        <v>1240</v>
      </c>
      <c r="AG19" t="s">
        <v>1917</v>
      </c>
      <c r="AH19" t="s">
        <v>1241</v>
      </c>
      <c r="AI19" t="s">
        <v>1918</v>
      </c>
      <c r="AJ19" t="s">
        <v>1242</v>
      </c>
      <c r="AK19" t="s">
        <v>1919</v>
      </c>
      <c r="AL19" t="s">
        <v>1243</v>
      </c>
      <c r="AM19" t="s">
        <v>53</v>
      </c>
      <c r="AN19" t="s">
        <v>1920</v>
      </c>
      <c r="AO19" t="s">
        <v>1244</v>
      </c>
      <c r="AP19" t="s">
        <v>53</v>
      </c>
      <c r="AQ19" t="s">
        <v>1921</v>
      </c>
      <c r="AR19" t="s">
        <v>53</v>
      </c>
      <c r="AS19" t="s">
        <v>1046</v>
      </c>
      <c r="AT19" t="s">
        <v>53</v>
      </c>
      <c r="AU19" t="s">
        <v>1922</v>
      </c>
      <c r="AV19" t="s">
        <v>1923</v>
      </c>
      <c r="AW19" t="s">
        <v>1924</v>
      </c>
      <c r="AX19" t="s">
        <v>486</v>
      </c>
      <c r="AY19" t="s">
        <v>641</v>
      </c>
      <c r="AZ19" t="s">
        <v>422</v>
      </c>
      <c r="BA19" t="s">
        <v>184</v>
      </c>
      <c r="BB19" t="s">
        <v>423</v>
      </c>
      <c r="BC19" t="s">
        <v>790</v>
      </c>
      <c r="BD19" t="s">
        <v>59</v>
      </c>
      <c r="BE19" t="s">
        <v>219</v>
      </c>
      <c r="BF19" t="s">
        <v>566</v>
      </c>
      <c r="BG19" t="s">
        <v>759</v>
      </c>
      <c r="BH19" t="s">
        <v>1239</v>
      </c>
      <c r="BI19" t="s">
        <v>1246</v>
      </c>
      <c r="BJ19" t="s">
        <v>486</v>
      </c>
      <c r="BK19" t="s">
        <v>978</v>
      </c>
      <c r="BL19" t="s">
        <v>1247</v>
      </c>
      <c r="BM19" t="s">
        <v>790</v>
      </c>
      <c r="BN19">
        <v>5.62</v>
      </c>
      <c r="BO19">
        <v>8.76</v>
      </c>
      <c r="BP19">
        <v>7.68</v>
      </c>
      <c r="BQ19">
        <v>5.76</v>
      </c>
      <c r="BR19">
        <v>9.2200000000000006</v>
      </c>
      <c r="BS19">
        <v>8.06</v>
      </c>
      <c r="BT19" t="s">
        <v>775</v>
      </c>
      <c r="BU19" t="s">
        <v>114</v>
      </c>
      <c r="BV19">
        <v>73.22</v>
      </c>
      <c r="BW19">
        <v>72.069999999999993</v>
      </c>
      <c r="BX19">
        <v>72.430000000000007</v>
      </c>
      <c r="BY19">
        <v>21.46</v>
      </c>
      <c r="BZ19">
        <v>18.3</v>
      </c>
      <c r="CA19">
        <v>15.12</v>
      </c>
      <c r="CB19">
        <v>5.42</v>
      </c>
      <c r="CC19">
        <v>-5.55</v>
      </c>
      <c r="CD19" t="s">
        <v>1925</v>
      </c>
      <c r="CE19" t="s">
        <v>790</v>
      </c>
      <c r="CF19" s="8">
        <v>1.6E-2</v>
      </c>
      <c r="CG19" s="9">
        <v>5.805918191310664E-2</v>
      </c>
      <c r="CH19" s="8">
        <v>4.3668121099472046E-2</v>
      </c>
      <c r="CI19" s="8">
        <v>2.6905829086899757E-2</v>
      </c>
      <c r="CJ19" s="8">
        <v>0.20377868413925171</v>
      </c>
      <c r="CK19" s="8">
        <v>-0.16459977626800537</v>
      </c>
      <c r="CL19" s="8">
        <v>-3.7960954010486603E-2</v>
      </c>
      <c r="CM19" s="9">
        <v>0.2202380895614624</v>
      </c>
      <c r="CN19" s="9">
        <v>0.24444444477558136</v>
      </c>
      <c r="CO19" s="9">
        <v>0.28571429848670959</v>
      </c>
      <c r="CP19" s="9">
        <v>-0.34375</v>
      </c>
      <c r="CQ19" s="9">
        <v>0.13475176692008972</v>
      </c>
      <c r="CR19">
        <v>18.002888402625821</v>
      </c>
      <c r="CS19">
        <v>12.538244138786796</v>
      </c>
      <c r="CT19">
        <v>0</v>
      </c>
      <c r="CU19" s="8">
        <v>1.4358380809426308E-2</v>
      </c>
      <c r="CV19" s="9">
        <v>0.10827971994876862</v>
      </c>
      <c r="CW19">
        <v>0.06</v>
      </c>
      <c r="CX19">
        <v>5.5483656723190897</v>
      </c>
      <c r="CY19">
        <v>196173083.08106828</v>
      </c>
      <c r="CZ19">
        <v>1.4358380809426308E-2</v>
      </c>
      <c r="DA19">
        <v>1.9341215334677835</v>
      </c>
      <c r="DB19">
        <v>562756776.74116027</v>
      </c>
      <c r="DC19">
        <v>1.3640461768954991E-2</v>
      </c>
      <c r="DD19">
        <v>1.0352886635753769</v>
      </c>
      <c r="DE19">
        <v>1051339629.5107343</v>
      </c>
      <c r="DF19">
        <v>1.2635375112295151E-2</v>
      </c>
      <c r="DG19">
        <v>0.68081232718661966</v>
      </c>
      <c r="DH19">
        <v>1598737209.2656662</v>
      </c>
      <c r="DI19">
        <v>1.1486704647541047E-2</v>
      </c>
      <c r="DJ19">
        <v>0.42406805624705307</v>
      </c>
      <c r="DK19">
        <v>2566663496.4975948</v>
      </c>
      <c r="DL19">
        <v>1.0050866566598414E-2</v>
      </c>
      <c r="DM19">
        <v>204999999.99999997</v>
      </c>
      <c r="DN19">
        <v>1.4358380809426308E-2</v>
      </c>
      <c r="DO19">
        <v>1088440000</v>
      </c>
      <c r="DP19">
        <v>605384770</v>
      </c>
      <c r="DQ19">
        <v>917</v>
      </c>
      <c r="DR19">
        <v>1.6416191905736927E-3</v>
      </c>
      <c r="DS19">
        <v>-5.0220538035661975E-2</v>
      </c>
      <c r="DT19" s="10">
        <v>-0.42333333333333334</v>
      </c>
      <c r="DU19">
        <v>0.33333333333333331</v>
      </c>
      <c r="DV19">
        <v>-9.0000000000000024E-2</v>
      </c>
      <c r="DW19">
        <v>6.4940747493163169</v>
      </c>
      <c r="DX19">
        <v>0.61644821428571328</v>
      </c>
      <c r="DY19">
        <v>6.0871786072405261</v>
      </c>
      <c r="DZ19">
        <v>1915</v>
      </c>
      <c r="EA19">
        <v>6.0545079550163363</v>
      </c>
      <c r="EB19">
        <v>6</v>
      </c>
      <c r="EC19">
        <v>5.8909578696343404E-2</v>
      </c>
      <c r="ED19">
        <v>0.33386327503974561</v>
      </c>
      <c r="EE19" s="11">
        <v>-4.0891099999999998</v>
      </c>
      <c r="EF19">
        <v>-4.1101099999999997</v>
      </c>
      <c r="EG19">
        <v>44.176448214285713</v>
      </c>
      <c r="EH19" t="s">
        <v>1011</v>
      </c>
      <c r="EI19">
        <v>0</v>
      </c>
      <c r="EJ19">
        <v>0</v>
      </c>
      <c r="EK19" s="12">
        <v>45470</v>
      </c>
      <c r="EL19">
        <v>0.95</v>
      </c>
      <c r="EM19">
        <v>-4.87</v>
      </c>
      <c r="EN19">
        <v>0.59</v>
      </c>
      <c r="EO19">
        <v>2.74</v>
      </c>
      <c r="EP19">
        <v>-2.1</v>
      </c>
    </row>
    <row r="20" spans="1:146" ht="84" x14ac:dyDescent="0.25">
      <c r="A20" s="7"/>
      <c r="B20" s="7"/>
      <c r="C20" s="7" t="str">
        <f>""&amp;CHAR(10)&amp;Basic_Fundamental_Information_Constructure(F20)&amp;CHAR(10)&amp;Basic_Fundamental_Information_Concatenate("")</f>
        <v xml:space="preserve">
市值45.44064亿, 利润-4.15亿; PE; 平均PE32.5; 平均PEG4.76, PB1.31; ROIC3.5367%; ROE3.4067%; 股利率0%; 毛利58.2767%; 净利-.7733%; 上一年度营收增20.42%, 利润增-400.72%; 当季营收增22.07%, 利润增-44%; 过往5年营收增6.83%, 利润增-100.43%
Income profile:
</v>
      </c>
      <c r="D20" t="s">
        <v>188</v>
      </c>
      <c r="E20" t="s">
        <v>1687</v>
      </c>
      <c r="F20">
        <v>3.22</v>
      </c>
      <c r="G20">
        <v>2.2200000000000002</v>
      </c>
      <c r="H20" t="s">
        <v>1926</v>
      </c>
      <c r="I20">
        <v>4544064000</v>
      </c>
      <c r="K20">
        <v>1.31</v>
      </c>
      <c r="L20" t="s">
        <v>114</v>
      </c>
      <c r="M20" t="s">
        <v>1031</v>
      </c>
      <c r="N20" t="s">
        <v>364</v>
      </c>
      <c r="O20" t="s">
        <v>1248</v>
      </c>
      <c r="P20">
        <v>22.09</v>
      </c>
      <c r="Q20" t="s">
        <v>1249</v>
      </c>
      <c r="R20">
        <v>51695103</v>
      </c>
      <c r="S20" s="5">
        <v>-0.44</v>
      </c>
      <c r="T20" t="s">
        <v>1250</v>
      </c>
      <c r="U20">
        <v>1226816110</v>
      </c>
      <c r="V20">
        <v>1411200000</v>
      </c>
      <c r="W20">
        <v>2.23</v>
      </c>
      <c r="X20">
        <v>0.18</v>
      </c>
      <c r="Y20">
        <v>3.83</v>
      </c>
      <c r="Z20" t="s">
        <v>1927</v>
      </c>
      <c r="AA20" t="s">
        <v>1928</v>
      </c>
      <c r="AB20" t="s">
        <v>299</v>
      </c>
      <c r="AC20" t="s">
        <v>1929</v>
      </c>
      <c r="AD20" t="s">
        <v>53</v>
      </c>
      <c r="AE20">
        <v>21105048</v>
      </c>
      <c r="AF20" t="s">
        <v>1251</v>
      </c>
      <c r="AG20" t="s">
        <v>1930</v>
      </c>
      <c r="AH20" t="s">
        <v>1252</v>
      </c>
      <c r="AI20" t="s">
        <v>1931</v>
      </c>
      <c r="AJ20" t="s">
        <v>1253</v>
      </c>
      <c r="AK20" t="s">
        <v>53</v>
      </c>
      <c r="AL20" t="s">
        <v>1254</v>
      </c>
      <c r="AM20" t="s">
        <v>53</v>
      </c>
      <c r="AN20" t="s">
        <v>821</v>
      </c>
      <c r="AO20" t="s">
        <v>1932</v>
      </c>
      <c r="AP20" t="s">
        <v>53</v>
      </c>
      <c r="AQ20" t="s">
        <v>592</v>
      </c>
      <c r="AR20" t="s">
        <v>53</v>
      </c>
      <c r="AS20" t="s">
        <v>1109</v>
      </c>
      <c r="AT20" t="s">
        <v>138</v>
      </c>
      <c r="AU20" t="s">
        <v>1933</v>
      </c>
      <c r="AV20" t="s">
        <v>1934</v>
      </c>
      <c r="AW20" t="s">
        <v>408</v>
      </c>
      <c r="AX20" t="s">
        <v>778</v>
      </c>
      <c r="AY20" t="s">
        <v>828</v>
      </c>
      <c r="AZ20" t="s">
        <v>424</v>
      </c>
      <c r="BA20" t="s">
        <v>189</v>
      </c>
      <c r="BB20" t="s">
        <v>426</v>
      </c>
      <c r="BC20" t="s">
        <v>83</v>
      </c>
      <c r="BD20" t="s">
        <v>586</v>
      </c>
      <c r="BE20" t="s">
        <v>408</v>
      </c>
      <c r="BF20" t="s">
        <v>132</v>
      </c>
      <c r="BG20" t="s">
        <v>398</v>
      </c>
      <c r="BH20" t="s">
        <v>1249</v>
      </c>
      <c r="BI20" t="s">
        <v>1255</v>
      </c>
      <c r="BJ20" t="s">
        <v>778</v>
      </c>
      <c r="BK20" t="s">
        <v>1250</v>
      </c>
      <c r="BL20" t="s">
        <v>1256</v>
      </c>
      <c r="BM20" t="s">
        <v>83</v>
      </c>
      <c r="BN20">
        <v>3.37</v>
      </c>
      <c r="BO20">
        <v>3.95</v>
      </c>
      <c r="BP20">
        <v>3.29</v>
      </c>
      <c r="BQ20">
        <v>3.52</v>
      </c>
      <c r="BR20">
        <v>3.52</v>
      </c>
      <c r="BS20">
        <v>3.18</v>
      </c>
      <c r="BT20" t="s">
        <v>775</v>
      </c>
      <c r="BU20" t="s">
        <v>114</v>
      </c>
      <c r="BV20">
        <v>55.29</v>
      </c>
      <c r="BW20">
        <v>60.12</v>
      </c>
      <c r="BX20">
        <v>59.42</v>
      </c>
      <c r="BY20">
        <v>-9.68</v>
      </c>
      <c r="BZ20">
        <v>3.84</v>
      </c>
      <c r="CA20">
        <v>3.52</v>
      </c>
      <c r="CB20">
        <v>2.88</v>
      </c>
      <c r="CC20">
        <v>-23.88</v>
      </c>
      <c r="CD20" t="s">
        <v>116</v>
      </c>
      <c r="CE20" t="s">
        <v>1282</v>
      </c>
      <c r="CF20" s="8">
        <v>0.22069597069597069</v>
      </c>
      <c r="CG20" s="9">
        <v>-0.43996187696627753</v>
      </c>
      <c r="CH20" s="8">
        <v>0.20423731207847595</v>
      </c>
      <c r="CI20" s="8">
        <v>0.13789775967597961</v>
      </c>
      <c r="CJ20" s="8">
        <v>7.4482071213424206E-3</v>
      </c>
      <c r="CK20" s="8">
        <v>8.3128705620765686E-2</v>
      </c>
      <c r="CL20" s="8">
        <v>-9.1169871389865875E-2</v>
      </c>
      <c r="CM20" s="9">
        <v>-4.0072464942932129</v>
      </c>
      <c r="CN20" s="9">
        <v>0.16949152946472168</v>
      </c>
      <c r="CO20" s="9">
        <v>-0.22368420660495758</v>
      </c>
      <c r="CP20" s="9">
        <v>-0.46289753913879395</v>
      </c>
      <c r="CQ20" s="9">
        <v>-0.49733570218086243</v>
      </c>
      <c r="CR20">
        <v>32.496286054827173</v>
      </c>
      <c r="CS20">
        <v>4.7572883120090275</v>
      </c>
      <c r="CT20">
        <v>0</v>
      </c>
      <c r="CU20" s="8">
        <v>6.8308422621339557E-2</v>
      </c>
      <c r="CV20" s="9">
        <v>-1.0043344825506211</v>
      </c>
      <c r="CW20">
        <v>0.06</v>
      </c>
      <c r="CX20" t="e">
        <v>#VALUE!</v>
      </c>
      <c r="CY20" t="s">
        <v>728</v>
      </c>
      <c r="CZ20">
        <v>6.8308422621339557E-2</v>
      </c>
      <c r="DA20" t="e">
        <v>#VALUE!</v>
      </c>
      <c r="DB20" t="s">
        <v>728</v>
      </c>
      <c r="DC20">
        <v>6.4893001490272578E-2</v>
      </c>
      <c r="DD20" t="e">
        <v>#VALUE!</v>
      </c>
      <c r="DE20" t="s">
        <v>728</v>
      </c>
      <c r="DF20">
        <v>6.0111411906778808E-2</v>
      </c>
      <c r="DG20" t="e">
        <v>#VALUE!</v>
      </c>
      <c r="DH20" t="s">
        <v>728</v>
      </c>
      <c r="DI20">
        <v>5.464673809707165E-2</v>
      </c>
      <c r="DJ20" t="e">
        <v>#VALUE!</v>
      </c>
      <c r="DK20" t="s">
        <v>728</v>
      </c>
      <c r="DL20">
        <v>4.7815895834937686E-2</v>
      </c>
      <c r="DM20">
        <v>-415000000.00000006</v>
      </c>
      <c r="DN20">
        <v>6.8308422621339557E-2</v>
      </c>
      <c r="DO20">
        <v>4872064000</v>
      </c>
      <c r="DP20">
        <v>406403299.99999952</v>
      </c>
      <c r="DQ20">
        <v>928</v>
      </c>
      <c r="DR20">
        <v>0.15238754807463112</v>
      </c>
      <c r="DS20">
        <v>0.56437260558434355</v>
      </c>
      <c r="DT20" s="10">
        <v>-0.27333333333333337</v>
      </c>
      <c r="DU20">
        <v>-1.39</v>
      </c>
      <c r="DV20">
        <v>-1.6633333333333333</v>
      </c>
      <c r="DW20">
        <v>6.1076233183856505</v>
      </c>
      <c r="DX20">
        <v>0.29889442479697209</v>
      </c>
      <c r="DY20">
        <v>6.0117195793503466</v>
      </c>
      <c r="DZ20">
        <v>4146</v>
      </c>
      <c r="EA20">
        <v>6.0022108952042537</v>
      </c>
      <c r="EB20">
        <v>6</v>
      </c>
      <c r="EC20">
        <v>9.2828798185941044E-2</v>
      </c>
      <c r="ED20">
        <v>0.85246598639455784</v>
      </c>
      <c r="EE20" s="11">
        <v>-7.0386100000000003</v>
      </c>
      <c r="EF20">
        <v>-7.0638100000000001</v>
      </c>
      <c r="EG20">
        <v>19.108894424796972</v>
      </c>
      <c r="EH20" t="s">
        <v>1935</v>
      </c>
      <c r="EI20">
        <v>0</v>
      </c>
      <c r="EJ20">
        <v>0</v>
      </c>
      <c r="EK20" s="12">
        <v>45470</v>
      </c>
      <c r="EL20">
        <v>-1.1399999999999999</v>
      </c>
      <c r="EM20">
        <v>-4.9000000000000004</v>
      </c>
      <c r="EN20">
        <v>-4.8499999999999996</v>
      </c>
      <c r="EO20">
        <v>0.96</v>
      </c>
      <c r="EP20">
        <v>-2.52</v>
      </c>
    </row>
    <row r="21" spans="1:146" ht="96" x14ac:dyDescent="0.25">
      <c r="A21" s="7"/>
      <c r="B21" s="7"/>
      <c r="C21" s="7" t="str">
        <f>""&amp;CHAR(10)&amp;Basic_Fundamental_Information_Constructure(F21)&amp;CHAR(10)&amp;Basic_Fundamental_Information_Concatenate("")</f>
        <v xml:space="preserve">
市值20.916141亿, 利润9473.27万; PE24.03; 平均PE25.12; 平均PEG11.11, PB.928; ROIC3.3167%; ROE3.7767%; 股利率2.3734%; 毛利74.1767%; 净利11.2767%; 上一年度营收增2.89%, 利润增14%; 当季营收增-20.32%, 利润增-26.78%; 过往5年营收增-2.26%, 利润增7.18%
Income profile:
</v>
      </c>
      <c r="D21" t="s">
        <v>191</v>
      </c>
      <c r="E21" t="s">
        <v>22</v>
      </c>
      <c r="F21">
        <v>6.32</v>
      </c>
      <c r="G21">
        <v>3.27</v>
      </c>
      <c r="H21" t="s">
        <v>1936</v>
      </c>
      <c r="I21">
        <v>2091614100</v>
      </c>
      <c r="J21">
        <v>24.03</v>
      </c>
      <c r="K21">
        <v>0.92800000000000005</v>
      </c>
      <c r="L21" t="s">
        <v>114</v>
      </c>
      <c r="M21" t="s">
        <v>1259</v>
      </c>
      <c r="N21" t="s">
        <v>1937</v>
      </c>
      <c r="O21" t="s">
        <v>81</v>
      </c>
      <c r="P21">
        <v>-20.16</v>
      </c>
      <c r="Q21" t="s">
        <v>592</v>
      </c>
      <c r="R21">
        <v>21016380</v>
      </c>
      <c r="S21" s="5">
        <v>-0.26779999999999998</v>
      </c>
      <c r="T21" t="s">
        <v>1260</v>
      </c>
      <c r="U21">
        <v>231790470</v>
      </c>
      <c r="V21">
        <v>330951600</v>
      </c>
      <c r="W21">
        <v>1.3</v>
      </c>
      <c r="X21">
        <v>7.0000000000000007E-2</v>
      </c>
      <c r="Y21">
        <v>10.69</v>
      </c>
      <c r="Z21" t="s">
        <v>397</v>
      </c>
      <c r="AA21" t="s">
        <v>1938</v>
      </c>
      <c r="AB21" t="s">
        <v>1939</v>
      </c>
      <c r="AC21" t="s">
        <v>1940</v>
      </c>
      <c r="AD21" t="s">
        <v>53</v>
      </c>
      <c r="AE21">
        <v>-914743</v>
      </c>
      <c r="AF21" t="s">
        <v>1261</v>
      </c>
      <c r="AG21" t="s">
        <v>1941</v>
      </c>
      <c r="AH21" t="s">
        <v>1262</v>
      </c>
      <c r="AI21" t="s">
        <v>1942</v>
      </c>
      <c r="AJ21" t="s">
        <v>1263</v>
      </c>
      <c r="AK21" t="s">
        <v>1943</v>
      </c>
      <c r="AL21" t="s">
        <v>1264</v>
      </c>
      <c r="AM21" t="s">
        <v>53</v>
      </c>
      <c r="AN21">
        <v>0</v>
      </c>
      <c r="AO21" t="s">
        <v>539</v>
      </c>
      <c r="AP21" t="s">
        <v>53</v>
      </c>
      <c r="AQ21" t="s">
        <v>1944</v>
      </c>
      <c r="AR21" t="s">
        <v>53</v>
      </c>
      <c r="AS21" t="s">
        <v>250</v>
      </c>
      <c r="AT21" t="s">
        <v>53</v>
      </c>
      <c r="AU21" t="s">
        <v>1945</v>
      </c>
      <c r="AV21" t="s">
        <v>1946</v>
      </c>
      <c r="AW21" t="s">
        <v>1947</v>
      </c>
      <c r="AX21" t="s">
        <v>57</v>
      </c>
      <c r="AY21" t="s">
        <v>642</v>
      </c>
      <c r="AZ21" t="s">
        <v>427</v>
      </c>
      <c r="BA21" t="s">
        <v>192</v>
      </c>
      <c r="BB21" t="s">
        <v>429</v>
      </c>
      <c r="BC21" t="s">
        <v>829</v>
      </c>
      <c r="BD21" t="s">
        <v>643</v>
      </c>
      <c r="BE21" t="s">
        <v>428</v>
      </c>
      <c r="BF21" t="s">
        <v>193</v>
      </c>
      <c r="BG21" t="s">
        <v>431</v>
      </c>
      <c r="BH21" t="s">
        <v>592</v>
      </c>
      <c r="BI21" t="s">
        <v>231</v>
      </c>
      <c r="BJ21" t="s">
        <v>57</v>
      </c>
      <c r="BK21" t="s">
        <v>1260</v>
      </c>
      <c r="BL21" t="s">
        <v>1266</v>
      </c>
      <c r="BM21" t="s">
        <v>829</v>
      </c>
      <c r="BN21">
        <v>2.2200000000000002</v>
      </c>
      <c r="BO21">
        <v>3.53</v>
      </c>
      <c r="BP21">
        <v>4.2</v>
      </c>
      <c r="BQ21">
        <v>2.69</v>
      </c>
      <c r="BR21">
        <v>3.92</v>
      </c>
      <c r="BS21">
        <v>4.72</v>
      </c>
      <c r="BT21" t="s">
        <v>795</v>
      </c>
      <c r="BU21" t="s">
        <v>114</v>
      </c>
      <c r="BV21">
        <v>73.739999999999995</v>
      </c>
      <c r="BW21">
        <v>73.91</v>
      </c>
      <c r="BX21">
        <v>74.88</v>
      </c>
      <c r="BY21">
        <v>11.26</v>
      </c>
      <c r="BZ21">
        <v>10.64</v>
      </c>
      <c r="CA21">
        <v>11.93</v>
      </c>
      <c r="CB21">
        <v>3.27</v>
      </c>
      <c r="CC21">
        <v>-7.74</v>
      </c>
      <c r="CD21" t="s">
        <v>1948</v>
      </c>
      <c r="CE21" t="s">
        <v>1949</v>
      </c>
      <c r="CF21" s="8">
        <v>-0.20318725099601584</v>
      </c>
      <c r="CG21" s="9">
        <v>-0.2677882839882102</v>
      </c>
      <c r="CH21" s="8">
        <v>2.8915662318468094E-2</v>
      </c>
      <c r="CI21" s="8">
        <v>-5.4669704288244247E-2</v>
      </c>
      <c r="CJ21" s="8">
        <v>4.1518386453390121E-2</v>
      </c>
      <c r="CK21" s="8">
        <v>-0.16781836748123169</v>
      </c>
      <c r="CL21" s="8">
        <v>3.8974359631538391E-2</v>
      </c>
      <c r="CM21" s="9">
        <v>0.1400255560874939</v>
      </c>
      <c r="CN21" s="9">
        <v>-0.13458928465843201</v>
      </c>
      <c r="CO21" s="9">
        <v>0.19935284554958344</v>
      </c>
      <c r="CP21" s="9">
        <v>4.5188650488853455E-2</v>
      </c>
      <c r="CQ21" s="9">
        <v>0.1088518351316452</v>
      </c>
      <c r="CR21">
        <v>25.120063107988361</v>
      </c>
      <c r="CS21">
        <v>11.107241726863711</v>
      </c>
      <c r="CT21">
        <v>2.3734177215189871</v>
      </c>
      <c r="CU21" s="8">
        <v>-2.2615932673215867E-2</v>
      </c>
      <c r="CV21" s="9">
        <v>7.1765920519828802E-2</v>
      </c>
      <c r="CW21">
        <v>0.06</v>
      </c>
      <c r="CX21">
        <v>4.7672461568180786</v>
      </c>
      <c r="CY21" t="s">
        <v>1267</v>
      </c>
      <c r="CZ21">
        <v>-2.2615932673215867E-2</v>
      </c>
      <c r="DA21">
        <v>1.5890820522726929</v>
      </c>
      <c r="DB21" t="s">
        <v>1268</v>
      </c>
      <c r="DC21">
        <v>-2.1485136039555073E-2</v>
      </c>
      <c r="DD21">
        <v>0.79454102613634647</v>
      </c>
      <c r="DE21" t="s">
        <v>1269</v>
      </c>
      <c r="DF21">
        <v>-1.9902020752429962E-2</v>
      </c>
      <c r="DG21">
        <v>0.47672461568180785</v>
      </c>
      <c r="DH21" t="s">
        <v>1270</v>
      </c>
      <c r="DI21">
        <v>-1.8092746138572695E-2</v>
      </c>
      <c r="DJ21">
        <v>0.23836230784090393</v>
      </c>
      <c r="DK21" t="s">
        <v>1271</v>
      </c>
      <c r="DL21">
        <v>-1.5831152871251107E-2</v>
      </c>
      <c r="DM21">
        <v>94732700</v>
      </c>
      <c r="DN21">
        <v>-2.2615932673215867E-2</v>
      </c>
      <c r="DO21">
        <v>451614100</v>
      </c>
      <c r="DP21">
        <v>1872747100</v>
      </c>
      <c r="DQ21">
        <v>1059</v>
      </c>
      <c r="DR21">
        <v>-0.18057131832279996</v>
      </c>
      <c r="DS21">
        <v>-0.33955420450803897</v>
      </c>
      <c r="DT21" s="10">
        <v>-0.55666666666666664</v>
      </c>
      <c r="DU21">
        <v>-8.666666666666667E-2</v>
      </c>
      <c r="DV21">
        <v>-0.64333333333333331</v>
      </c>
      <c r="DW21">
        <v>6.2970027247956404</v>
      </c>
      <c r="DX21">
        <v>0.41037705972087779</v>
      </c>
      <c r="DY21">
        <v>6.0446623964838579</v>
      </c>
      <c r="DZ21">
        <v>3100</v>
      </c>
      <c r="EA21">
        <v>6.0175677919633177</v>
      </c>
      <c r="EB21">
        <v>6</v>
      </c>
      <c r="EC21">
        <v>4.1123233729645062E-2</v>
      </c>
      <c r="ED21">
        <v>0.27346747983693082</v>
      </c>
      <c r="EE21" s="11">
        <v>-1.0247999999999999</v>
      </c>
      <c r="EF21">
        <v>-1.0103</v>
      </c>
      <c r="EG21">
        <v>26.150377059720878</v>
      </c>
      <c r="EH21" t="s">
        <v>725</v>
      </c>
      <c r="EI21">
        <v>0</v>
      </c>
      <c r="EJ21">
        <v>0</v>
      </c>
      <c r="EK21" s="12">
        <v>45470</v>
      </c>
      <c r="EL21">
        <v>0.81</v>
      </c>
      <c r="EM21">
        <v>-4.1900000000000004</v>
      </c>
      <c r="EN21">
        <v>0.34</v>
      </c>
      <c r="EO21">
        <v>3.86</v>
      </c>
      <c r="EP21">
        <v>-1.45</v>
      </c>
    </row>
    <row r="22" spans="1:146" ht="156" x14ac:dyDescent="0.25">
      <c r="A22" s="7" t="s">
        <v>970</v>
      </c>
      <c r="B22" s="7" t="s">
        <v>971</v>
      </c>
      <c r="C22" s="7" t="str">
        <f>"公司是一家主要致力于专利创新中药的研发、生产和销售。公司拥有通过GMP认证的胶囊、片剂、颗粒剂、针剂生产线,以及通过欧盟认证的化学药制剂车间。"&amp;CHAR(10)&amp;Basic_Fundamental_Information_Constructure(F22)&amp;CHAR(10)&amp;Basic_Fundamental_Information_Concatenate("呼吸系统类 68.72亿 54.83% 59.95% 69.84%
心脑血管类 41.78亿 33.33% 33.86% 64.89%
其他类 11.01亿 8.79% 3.44% 25.03%
其他专利产品 3.83亿 3.05% 2.75% 57.58%")</f>
        <v>公司是一家主要致力于专利创新中药的研发、生产和销售。公司拥有通过GMP认证的胶囊、片剂、颗粒剂、针剂生产线,以及通过欧盟认证的化学药制剂车间。
市值255.95206亿, 利润13.52亿; PE56.4; 平均PE20.52; 平均PEG1.1, PB2.18; ROIC16.5433%; ROE17.9767%; 股利率1.9582%; 毛利61.5567%; 净利15.0333%; 上一年度营收增-17.67%, 利润增-42.78%; 当季营收增-35.88%, 利润增-74.74%; 过往5年营收增18.63%, 利润增29.09%
Income profile:
呼吸系统类 68.72亿 54.83% 59.95% 69.84%
心脑血管类 41.78亿 33.33% 33.86% 64.89%
其他类 11.01亿 8.79% 3.44% 25.03%
其他专利产品 3.83亿 3.05% 2.75% 57.58%</v>
      </c>
      <c r="D22" t="s">
        <v>196</v>
      </c>
      <c r="E22" t="s">
        <v>43</v>
      </c>
      <c r="F22">
        <v>15.32</v>
      </c>
      <c r="G22">
        <v>3.65</v>
      </c>
      <c r="H22" t="s">
        <v>1950</v>
      </c>
      <c r="I22">
        <v>25595206000</v>
      </c>
      <c r="J22">
        <v>56.4</v>
      </c>
      <c r="K22">
        <v>2.1800000000000002</v>
      </c>
      <c r="L22" t="s">
        <v>114</v>
      </c>
      <c r="M22" t="s">
        <v>1272</v>
      </c>
      <c r="N22" t="s">
        <v>1951</v>
      </c>
      <c r="O22" t="s">
        <v>1273</v>
      </c>
      <c r="P22">
        <v>-35.89</v>
      </c>
      <c r="Q22" t="s">
        <v>1274</v>
      </c>
      <c r="R22">
        <v>303927920</v>
      </c>
      <c r="S22" s="5">
        <v>-0.74729999999999996</v>
      </c>
      <c r="T22" t="s">
        <v>1275</v>
      </c>
      <c r="U22">
        <v>1376777600</v>
      </c>
      <c r="V22">
        <v>1670705400</v>
      </c>
      <c r="W22">
        <v>1.46</v>
      </c>
      <c r="X22">
        <v>0.15</v>
      </c>
      <c r="Y22">
        <v>11.97</v>
      </c>
      <c r="Z22" t="s">
        <v>1952</v>
      </c>
      <c r="AA22" t="s">
        <v>1953</v>
      </c>
      <c r="AB22" t="s">
        <v>1484</v>
      </c>
      <c r="AC22" t="s">
        <v>83</v>
      </c>
      <c r="AD22" t="s">
        <v>53</v>
      </c>
      <c r="AE22">
        <v>8435692</v>
      </c>
      <c r="AF22" t="s">
        <v>1276</v>
      </c>
      <c r="AG22" t="s">
        <v>1954</v>
      </c>
      <c r="AH22" t="s">
        <v>1277</v>
      </c>
      <c r="AI22" t="s">
        <v>1955</v>
      </c>
      <c r="AJ22" t="s">
        <v>1278</v>
      </c>
      <c r="AK22" t="s">
        <v>53</v>
      </c>
      <c r="AL22" t="s">
        <v>1279</v>
      </c>
      <c r="AM22" t="s">
        <v>53</v>
      </c>
      <c r="AN22" t="s">
        <v>1956</v>
      </c>
      <c r="AO22" t="s">
        <v>1022</v>
      </c>
      <c r="AP22" t="s">
        <v>1957</v>
      </c>
      <c r="AQ22" t="s">
        <v>1958</v>
      </c>
      <c r="AR22" t="s">
        <v>53</v>
      </c>
      <c r="AS22" t="s">
        <v>1959</v>
      </c>
      <c r="AT22" t="s">
        <v>436</v>
      </c>
      <c r="AU22" t="s">
        <v>60</v>
      </c>
      <c r="AV22" t="s">
        <v>1960</v>
      </c>
      <c r="AW22" t="s">
        <v>1961</v>
      </c>
      <c r="AX22" t="s">
        <v>830</v>
      </c>
      <c r="AY22" t="s">
        <v>645</v>
      </c>
      <c r="AZ22" t="s">
        <v>432</v>
      </c>
      <c r="BA22" t="s">
        <v>197</v>
      </c>
      <c r="BB22" t="s">
        <v>435</v>
      </c>
      <c r="BC22" t="s">
        <v>1280</v>
      </c>
      <c r="BD22" t="s">
        <v>607</v>
      </c>
      <c r="BE22" t="s">
        <v>433</v>
      </c>
      <c r="BF22" t="s">
        <v>198</v>
      </c>
      <c r="BG22" t="s">
        <v>436</v>
      </c>
      <c r="BH22" t="s">
        <v>1274</v>
      </c>
      <c r="BI22" t="s">
        <v>1281</v>
      </c>
      <c r="BJ22" t="s">
        <v>830</v>
      </c>
      <c r="BK22" t="s">
        <v>1275</v>
      </c>
      <c r="BL22" t="s">
        <v>1282</v>
      </c>
      <c r="BM22" t="s">
        <v>1280</v>
      </c>
      <c r="BN22">
        <v>13.96</v>
      </c>
      <c r="BO22">
        <v>21.68</v>
      </c>
      <c r="BP22">
        <v>13.99</v>
      </c>
      <c r="BQ22">
        <v>15.37</v>
      </c>
      <c r="BR22">
        <v>23.62</v>
      </c>
      <c r="BS22">
        <v>14.94</v>
      </c>
      <c r="BT22" t="s">
        <v>776</v>
      </c>
      <c r="BU22" t="s">
        <v>114</v>
      </c>
      <c r="BV22">
        <v>57.28</v>
      </c>
      <c r="BW22">
        <v>63.77</v>
      </c>
      <c r="BX22">
        <v>63.62</v>
      </c>
      <c r="BY22">
        <v>13.03</v>
      </c>
      <c r="BZ22">
        <v>18.809999999999999</v>
      </c>
      <c r="CA22">
        <v>13.26</v>
      </c>
      <c r="CB22">
        <v>-7.0000000000000007E-2</v>
      </c>
      <c r="CC22">
        <v>-18.420000000000002</v>
      </c>
      <c r="CD22" t="s">
        <v>1962</v>
      </c>
      <c r="CE22" t="s">
        <v>287</v>
      </c>
      <c r="CF22" s="8">
        <v>-0.3588310038119441</v>
      </c>
      <c r="CG22" s="9">
        <v>-0.74735833748960934</v>
      </c>
      <c r="CH22" s="8">
        <v>-0.17673341929912567</v>
      </c>
      <c r="CI22" s="8">
        <v>0.23880596458911896</v>
      </c>
      <c r="CJ22" s="8">
        <v>0.15201549232006073</v>
      </c>
      <c r="CK22" s="8">
        <v>0.50763952732086182</v>
      </c>
      <c r="CL22" s="8">
        <v>0.2097611278295517</v>
      </c>
      <c r="CM22" s="9">
        <v>-0.42784598469734192</v>
      </c>
      <c r="CN22" s="9">
        <v>0.75818455219268799</v>
      </c>
      <c r="CO22" s="9">
        <v>0.10254301130771637</v>
      </c>
      <c r="CP22" s="9">
        <v>1.008237361907959</v>
      </c>
      <c r="CQ22" s="9">
        <v>1.3355592265725136E-2</v>
      </c>
      <c r="CR22">
        <v>20.519940673436665</v>
      </c>
      <c r="CS22">
        <v>1.1014594612322026</v>
      </c>
      <c r="CT22">
        <v>1.95822454308094</v>
      </c>
      <c r="CU22" s="8">
        <v>0.1862977385520935</v>
      </c>
      <c r="CV22" s="9">
        <v>0.29089490659534933</v>
      </c>
      <c r="CW22">
        <v>0.06</v>
      </c>
      <c r="CX22">
        <v>12.818944259608429</v>
      </c>
      <c r="CY22">
        <v>1513089191.0588963</v>
      </c>
      <c r="CZ22">
        <v>0.1862977385520935</v>
      </c>
      <c r="DA22">
        <v>3.864606385038333</v>
      </c>
      <c r="DB22">
        <v>5018934418.5456057</v>
      </c>
      <c r="DC22">
        <v>0.17698285162448882</v>
      </c>
      <c r="DD22">
        <v>1.7016589149440389</v>
      </c>
      <c r="DE22">
        <v>11398410004.297405</v>
      </c>
      <c r="DF22">
        <v>0.16394200992584229</v>
      </c>
      <c r="DG22">
        <v>0.89637904165424787</v>
      </c>
      <c r="DH22">
        <v>21638397484.399822</v>
      </c>
      <c r="DI22">
        <v>0.1490381908416748</v>
      </c>
      <c r="DJ22">
        <v>0.34118612271325516</v>
      </c>
      <c r="DK22">
        <v>56849340312.417267</v>
      </c>
      <c r="DL22">
        <v>0.13040841698646544</v>
      </c>
      <c r="DM22">
        <v>1352000000</v>
      </c>
      <c r="DN22">
        <v>0.1862977385520935</v>
      </c>
      <c r="DO22">
        <v>19396206000</v>
      </c>
      <c r="DP22">
        <v>2370361100</v>
      </c>
      <c r="DQ22">
        <v>1096</v>
      </c>
      <c r="DR22">
        <v>-0.54512874236403763</v>
      </c>
      <c r="DS22">
        <v>-1.0382532440849586</v>
      </c>
      <c r="DT22" s="10">
        <v>-0.10666666666666676</v>
      </c>
      <c r="DU22">
        <v>-7.333333333333332E-2</v>
      </c>
      <c r="DV22">
        <v>-0.18000000000000008</v>
      </c>
      <c r="DW22">
        <v>-3.0273690476190476</v>
      </c>
      <c r="DX22">
        <v>0.60506006600660123</v>
      </c>
      <c r="DY22">
        <v>-3.0047912272827282</v>
      </c>
      <c r="DZ22">
        <v>2153</v>
      </c>
      <c r="EA22">
        <v>-3.0027725360225102</v>
      </c>
      <c r="EB22">
        <v>3</v>
      </c>
      <c r="EC22">
        <v>3.1748984590580724E-2</v>
      </c>
      <c r="ED22">
        <v>0.18136051993367591</v>
      </c>
      <c r="EE22" s="11">
        <v>-5.0300099999999999</v>
      </c>
      <c r="EF22">
        <v>-5.0510099999999998</v>
      </c>
      <c r="EG22">
        <v>43.175060066006601</v>
      </c>
      <c r="EH22" t="s">
        <v>1056</v>
      </c>
      <c r="EI22">
        <v>0</v>
      </c>
      <c r="EJ22">
        <v>0</v>
      </c>
      <c r="EK22" s="12">
        <v>45470</v>
      </c>
      <c r="EL22">
        <v>1.64</v>
      </c>
      <c r="EM22">
        <v>-3.28</v>
      </c>
      <c r="EN22">
        <v>-1.6</v>
      </c>
      <c r="EO22">
        <v>2.15</v>
      </c>
      <c r="EP22">
        <v>-2.1</v>
      </c>
    </row>
    <row r="23" spans="1:146" ht="96" x14ac:dyDescent="0.25">
      <c r="A23" s="7"/>
      <c r="B23" s="7"/>
      <c r="C23" s="7" t="str">
        <f>""&amp;CHAR(10)&amp;Basic_Fundamental_Information_Constructure(F23)&amp;CHAR(10)&amp;Basic_Fundamental_Information_Concatenate("")</f>
        <v xml:space="preserve">
市值33.703362亿, 利润6718.97万; PE54.66; 平均PE38.78; 平均PEG2.33, PB1.91; ROIC4.6267%; ROE5.16%; 股利率.4545%; 毛利28.81%; 净利9.23%; 上一年度营收增11.61%, 利润增-38.36%; 当季营收增-13.84%, 利润增-23.11%; 过往5年营收增16.61%, 利润增2.85%
Income profile:
</v>
      </c>
      <c r="D23" t="s">
        <v>200</v>
      </c>
      <c r="E23" t="s">
        <v>14</v>
      </c>
      <c r="F23">
        <v>6.6</v>
      </c>
      <c r="G23">
        <v>3.94</v>
      </c>
      <c r="H23" t="s">
        <v>1963</v>
      </c>
      <c r="I23">
        <v>3370336200</v>
      </c>
      <c r="J23">
        <v>54.66</v>
      </c>
      <c r="K23">
        <v>1.91</v>
      </c>
      <c r="L23" t="s">
        <v>114</v>
      </c>
      <c r="M23" t="s">
        <v>1021</v>
      </c>
      <c r="N23" t="s">
        <v>1964</v>
      </c>
      <c r="O23" t="s">
        <v>1194</v>
      </c>
      <c r="P23">
        <v>-13.85</v>
      </c>
      <c r="Q23" t="s">
        <v>1283</v>
      </c>
      <c r="R23">
        <v>18387224</v>
      </c>
      <c r="S23" s="5">
        <v>-0.2311</v>
      </c>
      <c r="T23" t="s">
        <v>1284</v>
      </c>
      <c r="U23">
        <v>510657000</v>
      </c>
      <c r="V23">
        <v>510657000</v>
      </c>
      <c r="W23">
        <v>1.41</v>
      </c>
      <c r="X23">
        <v>0.11</v>
      </c>
      <c r="Y23">
        <v>6.8</v>
      </c>
      <c r="Z23" t="s">
        <v>1965</v>
      </c>
      <c r="AA23" t="s">
        <v>1006</v>
      </c>
      <c r="AB23" t="s">
        <v>1966</v>
      </c>
      <c r="AC23" t="s">
        <v>1967</v>
      </c>
      <c r="AD23" t="s">
        <v>53</v>
      </c>
      <c r="AE23">
        <v>-446908</v>
      </c>
      <c r="AF23" t="s">
        <v>1286</v>
      </c>
      <c r="AG23">
        <v>4222.26</v>
      </c>
      <c r="AH23" t="s">
        <v>1287</v>
      </c>
      <c r="AI23" t="s">
        <v>731</v>
      </c>
      <c r="AJ23" t="s">
        <v>1288</v>
      </c>
      <c r="AK23" t="s">
        <v>53</v>
      </c>
      <c r="AL23" t="s">
        <v>1289</v>
      </c>
      <c r="AM23" t="s">
        <v>53</v>
      </c>
      <c r="AN23" t="s">
        <v>1968</v>
      </c>
      <c r="AO23" t="s">
        <v>843</v>
      </c>
      <c r="AP23" t="s">
        <v>1969</v>
      </c>
      <c r="AQ23" t="s">
        <v>1931</v>
      </c>
      <c r="AR23" t="s">
        <v>53</v>
      </c>
      <c r="AS23" t="s">
        <v>551</v>
      </c>
      <c r="AT23" t="s">
        <v>53</v>
      </c>
      <c r="AU23" t="s">
        <v>1970</v>
      </c>
      <c r="AV23" t="s">
        <v>1971</v>
      </c>
      <c r="AW23" t="s">
        <v>1972</v>
      </c>
      <c r="AX23" t="s">
        <v>1290</v>
      </c>
      <c r="AY23" t="s">
        <v>646</v>
      </c>
      <c r="AZ23" t="s">
        <v>434</v>
      </c>
      <c r="BA23" t="s">
        <v>201</v>
      </c>
      <c r="BB23" t="s">
        <v>174</v>
      </c>
      <c r="BC23" t="s">
        <v>847</v>
      </c>
      <c r="BD23" t="s">
        <v>647</v>
      </c>
      <c r="BE23" t="s">
        <v>86</v>
      </c>
      <c r="BF23" t="s">
        <v>648</v>
      </c>
      <c r="BG23" t="s">
        <v>649</v>
      </c>
      <c r="BH23" t="s">
        <v>1283</v>
      </c>
      <c r="BI23" t="s">
        <v>168</v>
      </c>
      <c r="BJ23" t="s">
        <v>1290</v>
      </c>
      <c r="BK23" t="s">
        <v>1284</v>
      </c>
      <c r="BL23" t="s">
        <v>1291</v>
      </c>
      <c r="BM23" t="s">
        <v>847</v>
      </c>
      <c r="BN23">
        <v>3.07</v>
      </c>
      <c r="BO23">
        <v>5.74</v>
      </c>
      <c r="BP23">
        <v>5.07</v>
      </c>
      <c r="BQ23">
        <v>3.41</v>
      </c>
      <c r="BR23">
        <v>6.35</v>
      </c>
      <c r="BS23">
        <v>5.72</v>
      </c>
      <c r="BT23" t="s">
        <v>785</v>
      </c>
      <c r="BU23" t="s">
        <v>114</v>
      </c>
      <c r="BV23">
        <v>31.06</v>
      </c>
      <c r="BW23">
        <v>28.08</v>
      </c>
      <c r="BX23">
        <v>27.29</v>
      </c>
      <c r="BY23">
        <v>5.86</v>
      </c>
      <c r="BZ23">
        <v>10.39</v>
      </c>
      <c r="CA23">
        <v>11.44</v>
      </c>
      <c r="CB23">
        <v>2.8</v>
      </c>
      <c r="CC23">
        <v>-11.53</v>
      </c>
      <c r="CD23" t="s">
        <v>1973</v>
      </c>
      <c r="CE23" t="s">
        <v>1974</v>
      </c>
      <c r="CF23" s="8">
        <v>-0.13836477987421383</v>
      </c>
      <c r="CG23" s="9">
        <v>-0.23114584509368569</v>
      </c>
      <c r="CH23" s="8">
        <v>0.11612290143966675</v>
      </c>
      <c r="CI23" s="8">
        <v>0.27383863925933838</v>
      </c>
      <c r="CJ23" s="8">
        <v>0.22455090284347534</v>
      </c>
      <c r="CK23" s="8">
        <v>6.2003180384635925E-2</v>
      </c>
      <c r="CL23" s="8">
        <v>0.15412844717502594</v>
      </c>
      <c r="CM23" s="9">
        <v>-0.3835807740688324</v>
      </c>
      <c r="CN23" s="9">
        <v>0.16878800094127655</v>
      </c>
      <c r="CO23" s="9">
        <v>-0.13649074733257294</v>
      </c>
      <c r="CP23" s="9">
        <v>0.51883780956268311</v>
      </c>
      <c r="CQ23" s="9">
        <v>-2.4838792160153389E-2</v>
      </c>
      <c r="CR23">
        <v>38.778579714152521</v>
      </c>
      <c r="CS23">
        <v>2.3342476677585298</v>
      </c>
      <c r="CT23">
        <v>0.45454545454545453</v>
      </c>
      <c r="CU23" s="8">
        <v>0.16612881422042847</v>
      </c>
      <c r="CV23" s="9">
        <v>2.8543099388480188E-2</v>
      </c>
      <c r="CW23">
        <v>0.06</v>
      </c>
      <c r="CX23">
        <v>31.702334080502702</v>
      </c>
      <c r="CY23">
        <v>73916835.083798409</v>
      </c>
      <c r="CZ23">
        <v>0.16612881422042847</v>
      </c>
      <c r="DA23">
        <v>9.7187683459811431</v>
      </c>
      <c r="DB23">
        <v>241114523.6288099</v>
      </c>
      <c r="DC23">
        <v>0.15782237350940703</v>
      </c>
      <c r="DD23">
        <v>4.3821275603714733</v>
      </c>
      <c r="DE23">
        <v>534748513.75649023</v>
      </c>
      <c r="DF23">
        <v>0.14619335651397705</v>
      </c>
      <c r="DG23">
        <v>2.3755140281687961</v>
      </c>
      <c r="DH23">
        <v>986454372.4906559</v>
      </c>
      <c r="DI23">
        <v>0.13290305137634278</v>
      </c>
      <c r="DJ23">
        <v>0.96915672811618403</v>
      </c>
      <c r="DK23">
        <v>2417912533.6671834</v>
      </c>
      <c r="DL23">
        <v>0.11629016995429992</v>
      </c>
      <c r="DM23">
        <v>67189700</v>
      </c>
      <c r="DN23">
        <v>0.16612881422042847</v>
      </c>
      <c r="DO23">
        <v>2343336200</v>
      </c>
      <c r="DP23">
        <v>790844940</v>
      </c>
      <c r="DQ23">
        <v>1134</v>
      </c>
      <c r="DR23">
        <v>-0.30449359409464227</v>
      </c>
      <c r="DS23">
        <v>-0.2596889444821659</v>
      </c>
      <c r="DT23" s="10">
        <v>-5.6666666666666719E-2</v>
      </c>
      <c r="DU23">
        <v>-0.12</v>
      </c>
      <c r="DV23">
        <v>-0.17666666666666672</v>
      </c>
      <c r="DW23">
        <v>6.195394277739009</v>
      </c>
      <c r="DX23">
        <v>0.50797408145905032</v>
      </c>
      <c r="DY23">
        <v>6.0328211743255649</v>
      </c>
      <c r="DZ23">
        <v>2148</v>
      </c>
      <c r="EA23">
        <v>6.019024719834114</v>
      </c>
      <c r="EB23">
        <v>6</v>
      </c>
      <c r="EC23">
        <v>2.405234824941203E-2</v>
      </c>
      <c r="ED23">
        <v>0.14319083063582796</v>
      </c>
      <c r="EE23" s="11">
        <v>-1.1206</v>
      </c>
      <c r="EF23">
        <v>-1.1009</v>
      </c>
      <c r="EG23">
        <v>34.16797408145905</v>
      </c>
      <c r="EH23" t="s">
        <v>725</v>
      </c>
      <c r="EI23">
        <v>0</v>
      </c>
      <c r="EJ23">
        <v>0</v>
      </c>
      <c r="EK23" s="12">
        <v>45470</v>
      </c>
      <c r="EL23">
        <v>0.45</v>
      </c>
      <c r="EM23">
        <v>-4.34</v>
      </c>
      <c r="EN23">
        <v>0.79</v>
      </c>
      <c r="EO23">
        <v>2.96</v>
      </c>
      <c r="EP23">
        <v>-1.97</v>
      </c>
    </row>
    <row r="24" spans="1:146" ht="96" x14ac:dyDescent="0.25">
      <c r="A24" s="7"/>
      <c r="B24" s="7"/>
      <c r="C24" s="7" t="str">
        <f>""&amp;CHAR(10)&amp;Basic_Fundamental_Information_Constructure(F24)&amp;CHAR(10)&amp;Basic_Fundamental_Information_Concatenate("")</f>
        <v xml:space="preserve">
市值42.387542亿, 利润2.53亿; PE27.02; 平均PE27.35; 平均PEG4.58, PB2.1; ROIC8.4067%; ROE12.9133%; 股利率6.0241%; 毛利52.74%; 净利20.1867%; 上一年度营收增20.29%, 利润增42.13%; 当季营收增-45.72%, 利润增-91.28%; 过往5年营收增5.97%, 利润增41.57%
Income profile:
</v>
      </c>
      <c r="D24" t="s">
        <v>204</v>
      </c>
      <c r="E24" t="s">
        <v>36</v>
      </c>
      <c r="F24">
        <v>8.3000000000000007</v>
      </c>
      <c r="G24">
        <v>2.72</v>
      </c>
      <c r="H24" t="s">
        <v>1975</v>
      </c>
      <c r="I24">
        <v>4238754200</v>
      </c>
      <c r="J24">
        <v>27.02</v>
      </c>
      <c r="K24">
        <v>2.1</v>
      </c>
      <c r="L24" t="s">
        <v>114</v>
      </c>
      <c r="M24" t="s">
        <v>1047</v>
      </c>
      <c r="N24" t="s">
        <v>1976</v>
      </c>
      <c r="O24" t="s">
        <v>93</v>
      </c>
      <c r="P24">
        <v>-45.88</v>
      </c>
      <c r="Q24" t="s">
        <v>1292</v>
      </c>
      <c r="R24">
        <v>9154621</v>
      </c>
      <c r="S24" s="5">
        <v>-0.91320000000000001</v>
      </c>
      <c r="T24" t="s">
        <v>1178</v>
      </c>
      <c r="U24">
        <v>374563920</v>
      </c>
      <c r="V24">
        <v>510693270</v>
      </c>
      <c r="W24">
        <v>1.22</v>
      </c>
      <c r="X24">
        <v>7.0000000000000007E-2</v>
      </c>
      <c r="Y24">
        <v>5.56</v>
      </c>
      <c r="Z24" t="s">
        <v>1058</v>
      </c>
      <c r="AA24" t="s">
        <v>1977</v>
      </c>
      <c r="AB24" t="s">
        <v>1978</v>
      </c>
      <c r="AC24" t="s">
        <v>1979</v>
      </c>
      <c r="AD24" t="s">
        <v>53</v>
      </c>
      <c r="AE24">
        <v>-1315283</v>
      </c>
      <c r="AF24" t="s">
        <v>1293</v>
      </c>
      <c r="AG24">
        <v>120.29</v>
      </c>
      <c r="AH24" t="s">
        <v>1294</v>
      </c>
      <c r="AI24" t="s">
        <v>398</v>
      </c>
      <c r="AJ24" t="s">
        <v>1295</v>
      </c>
      <c r="AK24" t="s">
        <v>1980</v>
      </c>
      <c r="AL24" t="s">
        <v>1296</v>
      </c>
      <c r="AM24" t="s">
        <v>53</v>
      </c>
      <c r="AN24" t="s">
        <v>1039</v>
      </c>
      <c r="AO24" t="s">
        <v>982</v>
      </c>
      <c r="AP24" t="s">
        <v>1981</v>
      </c>
      <c r="AQ24" t="s">
        <v>1982</v>
      </c>
      <c r="AR24" t="s">
        <v>53</v>
      </c>
      <c r="AS24" t="s">
        <v>413</v>
      </c>
      <c r="AT24" t="s">
        <v>53</v>
      </c>
      <c r="AU24" t="s">
        <v>1983</v>
      </c>
      <c r="AV24" t="s">
        <v>1984</v>
      </c>
      <c r="AW24" t="s">
        <v>1985</v>
      </c>
      <c r="AX24" t="s">
        <v>184</v>
      </c>
      <c r="AY24" t="s">
        <v>650</v>
      </c>
      <c r="AZ24" t="s">
        <v>380</v>
      </c>
      <c r="BA24" t="s">
        <v>205</v>
      </c>
      <c r="BB24" t="s">
        <v>440</v>
      </c>
      <c r="BC24" t="s">
        <v>639</v>
      </c>
      <c r="BD24" t="s">
        <v>78</v>
      </c>
      <c r="BE24" t="s">
        <v>438</v>
      </c>
      <c r="BF24" t="s">
        <v>82</v>
      </c>
      <c r="BG24" t="s">
        <v>91</v>
      </c>
      <c r="BH24" t="s">
        <v>1292</v>
      </c>
      <c r="BI24" t="s">
        <v>202</v>
      </c>
      <c r="BJ24" t="s">
        <v>184</v>
      </c>
      <c r="BK24" t="s">
        <v>1178</v>
      </c>
      <c r="BL24" t="s">
        <v>219</v>
      </c>
      <c r="BM24" t="s">
        <v>639</v>
      </c>
      <c r="BN24">
        <v>8.49</v>
      </c>
      <c r="BO24">
        <v>9.4499999999999993</v>
      </c>
      <c r="BP24">
        <v>7.28</v>
      </c>
      <c r="BQ24">
        <v>13.16</v>
      </c>
      <c r="BR24">
        <v>13.98</v>
      </c>
      <c r="BS24">
        <v>11.6</v>
      </c>
      <c r="BT24" t="s">
        <v>1298</v>
      </c>
      <c r="BU24" t="s">
        <v>114</v>
      </c>
      <c r="BV24">
        <v>56.15</v>
      </c>
      <c r="BW24">
        <v>49.04</v>
      </c>
      <c r="BX24">
        <v>53.03</v>
      </c>
      <c r="BY24">
        <v>23.72</v>
      </c>
      <c r="BZ24">
        <v>20.100000000000001</v>
      </c>
      <c r="CA24">
        <v>16.739999999999998</v>
      </c>
      <c r="CB24">
        <v>7.1</v>
      </c>
      <c r="CC24">
        <v>-9.19</v>
      </c>
      <c r="CD24" t="s">
        <v>1986</v>
      </c>
      <c r="CE24" t="s">
        <v>447</v>
      </c>
      <c r="CF24" s="8">
        <v>-0.45723684210526316</v>
      </c>
      <c r="CG24" s="9">
        <v>-0.91281313333333336</v>
      </c>
      <c r="CH24" s="8">
        <v>0.20293122529983521</v>
      </c>
      <c r="CI24" s="8">
        <v>0.17018470168113708</v>
      </c>
      <c r="CJ24" s="8">
        <v>0.19747234880924225</v>
      </c>
      <c r="CK24" s="8">
        <v>-0.31270357966423035</v>
      </c>
      <c r="CL24" s="8">
        <v>4.0677964687347412E-2</v>
      </c>
      <c r="CM24" s="9">
        <v>0.42134830355644226</v>
      </c>
      <c r="CN24" s="9">
        <v>0.40157479047775269</v>
      </c>
      <c r="CO24" s="9">
        <v>1.898451566696167</v>
      </c>
      <c r="CP24" s="9">
        <v>-0.74525290727615356</v>
      </c>
      <c r="CQ24" s="9">
        <v>0.10256410390138626</v>
      </c>
      <c r="CR24">
        <v>27.352198202548568</v>
      </c>
      <c r="CS24">
        <v>4.58064617458139</v>
      </c>
      <c r="CT24">
        <v>6.0240963855421681</v>
      </c>
      <c r="CU24" s="8">
        <v>5.9712532162666324E-2</v>
      </c>
      <c r="CV24" s="9">
        <v>0.41573717147111894</v>
      </c>
      <c r="CW24">
        <v>0.06</v>
      </c>
      <c r="CX24">
        <v>10.75688639530812</v>
      </c>
      <c r="CY24">
        <v>252931387.39354202</v>
      </c>
      <c r="CZ24">
        <v>5.9712532162666324E-2</v>
      </c>
      <c r="DA24">
        <v>3.6068854331222888</v>
      </c>
      <c r="DB24">
        <v>754322323.35829639</v>
      </c>
      <c r="DC24">
        <v>5.6726905554533004E-2</v>
      </c>
      <c r="DD24">
        <v>1.8370088588564455</v>
      </c>
      <c r="DE24">
        <v>1481078431.8665147</v>
      </c>
      <c r="DF24">
        <v>5.2547028303146365E-2</v>
      </c>
      <c r="DG24">
        <v>1.1456368622691793</v>
      </c>
      <c r="DH24">
        <v>2374883603.7022791</v>
      </c>
      <c r="DI24">
        <v>4.7770025730133059E-2</v>
      </c>
      <c r="DJ24">
        <v>0.64173579985785378</v>
      </c>
      <c r="DK24">
        <v>4239679632.3388138</v>
      </c>
      <c r="DL24">
        <v>4.1798772513866427E-2</v>
      </c>
      <c r="DM24">
        <v>252999999.99999997</v>
      </c>
      <c r="DN24">
        <v>5.9712532162666324E-2</v>
      </c>
      <c r="DO24">
        <v>2720754200</v>
      </c>
      <c r="DP24">
        <v>641271430</v>
      </c>
      <c r="DQ24">
        <v>1211</v>
      </c>
      <c r="DR24">
        <v>-0.51694937426792953</v>
      </c>
      <c r="DS24">
        <v>-1.3285503048044522</v>
      </c>
      <c r="DT24" s="10">
        <v>-0.10666666666666669</v>
      </c>
      <c r="DU24">
        <v>7.5000000000000108E-2</v>
      </c>
      <c r="DV24">
        <v>-3.1666666666666579E-2</v>
      </c>
      <c r="DW24">
        <v>7.4358502148557397</v>
      </c>
      <c r="DX24">
        <v>0.42842834645669342</v>
      </c>
      <c r="DY24">
        <v>7.1039190460308488</v>
      </c>
      <c r="DZ24">
        <v>1785</v>
      </c>
      <c r="EA24">
        <v>7.0676185573488404</v>
      </c>
      <c r="EB24">
        <v>7</v>
      </c>
      <c r="EC24">
        <v>0.11858546716309773</v>
      </c>
      <c r="ED24">
        <v>0.49736312366129282</v>
      </c>
      <c r="EE24" s="11">
        <v>1.0485100000000001</v>
      </c>
      <c r="EF24">
        <v>1.07491</v>
      </c>
      <c r="EG24">
        <v>19.238428346456693</v>
      </c>
      <c r="EH24" t="s">
        <v>712</v>
      </c>
      <c r="EI24">
        <v>1</v>
      </c>
      <c r="EJ24">
        <v>0</v>
      </c>
      <c r="EK24" s="12">
        <v>45470</v>
      </c>
      <c r="EL24">
        <v>0.12</v>
      </c>
      <c r="EM24">
        <v>-3.77</v>
      </c>
      <c r="EN24">
        <v>-1.01</v>
      </c>
      <c r="EO24">
        <v>1.4</v>
      </c>
      <c r="EP24">
        <v>-2.64</v>
      </c>
    </row>
    <row r="25" spans="1:146" ht="96" x14ac:dyDescent="0.25">
      <c r="A25" s="7"/>
      <c r="B25" s="7"/>
      <c r="C25" s="7" t="str">
        <f>""&amp;CHAR(10)&amp;Basic_Fundamental_Information_Constructure(F25)&amp;CHAR(10)&amp;Basic_Fundamental_Information_Concatenate("")</f>
        <v xml:space="preserve">
市值145.1824亿, 利润11.19亿; PE15; 平均PE19.78; 平均PEG3.1, PB2.89; ROIC19.0333%; ROE20.6367%; 股利率6.0338%; 毛利57.77%; 净利18.4633%; 上一年度营收增11.87%, 利润增29.07%; 当季营收增-14.04%, 利润增-37.15%; 过往5年营收增6.38%, 利润增15.3%
Income profile:
</v>
      </c>
      <c r="D25" t="s">
        <v>207</v>
      </c>
      <c r="E25" t="s">
        <v>39</v>
      </c>
      <c r="F25">
        <v>24.86</v>
      </c>
      <c r="G25">
        <v>3.45</v>
      </c>
      <c r="H25" t="s">
        <v>1987</v>
      </c>
      <c r="I25">
        <v>14518240000</v>
      </c>
      <c r="J25">
        <v>15</v>
      </c>
      <c r="K25">
        <v>2.89</v>
      </c>
      <c r="L25" t="s">
        <v>114</v>
      </c>
      <c r="M25" t="s">
        <v>1016</v>
      </c>
      <c r="N25" t="s">
        <v>1988</v>
      </c>
      <c r="O25" t="s">
        <v>1086</v>
      </c>
      <c r="P25">
        <v>-14.01</v>
      </c>
      <c r="Q25" t="s">
        <v>1299</v>
      </c>
      <c r="R25">
        <v>255183290</v>
      </c>
      <c r="S25" s="5">
        <v>-0.37169999999999997</v>
      </c>
      <c r="T25" t="s">
        <v>840</v>
      </c>
      <c r="U25">
        <v>584000000</v>
      </c>
      <c r="V25">
        <v>584000000</v>
      </c>
      <c r="W25">
        <v>1.35</v>
      </c>
      <c r="X25">
        <v>0.22</v>
      </c>
      <c r="Y25">
        <v>17.8</v>
      </c>
      <c r="Z25" t="s">
        <v>1391</v>
      </c>
      <c r="AA25" t="s">
        <v>1333</v>
      </c>
      <c r="AB25" t="s">
        <v>827</v>
      </c>
      <c r="AC25" t="s">
        <v>79</v>
      </c>
      <c r="AD25" t="s">
        <v>53</v>
      </c>
      <c r="AE25">
        <v>-11113152</v>
      </c>
      <c r="AF25" t="s">
        <v>1300</v>
      </c>
      <c r="AG25" t="s">
        <v>1989</v>
      </c>
      <c r="AH25" t="s">
        <v>1301</v>
      </c>
      <c r="AI25" t="s">
        <v>1990</v>
      </c>
      <c r="AJ25" t="s">
        <v>1302</v>
      </c>
      <c r="AK25" t="s">
        <v>1991</v>
      </c>
      <c r="AL25" t="s">
        <v>1303</v>
      </c>
      <c r="AM25" t="s">
        <v>53</v>
      </c>
      <c r="AN25" t="s">
        <v>1992</v>
      </c>
      <c r="AO25" t="s">
        <v>1993</v>
      </c>
      <c r="AP25" t="s">
        <v>53</v>
      </c>
      <c r="AQ25" t="s">
        <v>1152</v>
      </c>
      <c r="AR25" t="s">
        <v>53</v>
      </c>
      <c r="AS25" t="s">
        <v>1994</v>
      </c>
      <c r="AT25" t="s">
        <v>53</v>
      </c>
      <c r="AU25" t="s">
        <v>789</v>
      </c>
      <c r="AV25" t="s">
        <v>1995</v>
      </c>
      <c r="AW25" t="s">
        <v>1996</v>
      </c>
      <c r="AX25" t="s">
        <v>831</v>
      </c>
      <c r="AY25" t="s">
        <v>651</v>
      </c>
      <c r="AZ25" t="s">
        <v>442</v>
      </c>
      <c r="BA25" t="s">
        <v>121</v>
      </c>
      <c r="BB25" t="s">
        <v>445</v>
      </c>
      <c r="BC25" t="s">
        <v>832</v>
      </c>
      <c r="BD25" t="s">
        <v>652</v>
      </c>
      <c r="BE25" t="s">
        <v>443</v>
      </c>
      <c r="BF25" t="s">
        <v>208</v>
      </c>
      <c r="BG25" t="s">
        <v>398</v>
      </c>
      <c r="BH25" t="s">
        <v>1299</v>
      </c>
      <c r="BI25" t="s">
        <v>1304</v>
      </c>
      <c r="BJ25" t="s">
        <v>831</v>
      </c>
      <c r="BK25" t="s">
        <v>840</v>
      </c>
      <c r="BL25" t="s">
        <v>979</v>
      </c>
      <c r="BM25" t="s">
        <v>832</v>
      </c>
      <c r="BN25">
        <v>18.04</v>
      </c>
      <c r="BO25">
        <v>19.920000000000002</v>
      </c>
      <c r="BP25">
        <v>19.14</v>
      </c>
      <c r="BQ25">
        <v>19.440000000000001</v>
      </c>
      <c r="BR25">
        <v>21.98</v>
      </c>
      <c r="BS25">
        <v>20.49</v>
      </c>
      <c r="BT25" t="s">
        <v>1305</v>
      </c>
      <c r="BU25" t="s">
        <v>114</v>
      </c>
      <c r="BV25">
        <v>56.29</v>
      </c>
      <c r="BW25">
        <v>57.75</v>
      </c>
      <c r="BX25">
        <v>59.27</v>
      </c>
      <c r="BY25">
        <v>20.440000000000001</v>
      </c>
      <c r="BZ25">
        <v>17.86</v>
      </c>
      <c r="CA25">
        <v>17.09</v>
      </c>
      <c r="CB25">
        <v>6.33</v>
      </c>
      <c r="CC25">
        <v>-8.8000000000000007</v>
      </c>
      <c r="CD25" t="s">
        <v>1997</v>
      </c>
      <c r="CE25" t="s">
        <v>444</v>
      </c>
      <c r="CF25" s="8">
        <v>-0.1404303510758777</v>
      </c>
      <c r="CG25" s="9">
        <v>-0.3714697290640393</v>
      </c>
      <c r="CH25" s="8">
        <v>0.11874379962682724</v>
      </c>
      <c r="CI25" s="8">
        <v>0.14212056994438171</v>
      </c>
      <c r="CJ25" s="8">
        <v>0.28856164216995239</v>
      </c>
      <c r="CK25" s="8">
        <v>-0.2079615592956543</v>
      </c>
      <c r="CL25" s="8">
        <v>-2.2585015743970871E-2</v>
      </c>
      <c r="CM25" s="9">
        <v>0.29065752029418945</v>
      </c>
      <c r="CN25" s="9">
        <v>0.22978723049163818</v>
      </c>
      <c r="CO25" s="9">
        <v>0.20719178020954132</v>
      </c>
      <c r="CP25" s="9">
        <v>3.3628318458795547E-2</v>
      </c>
      <c r="CQ25" s="9">
        <v>3.5523979458957911E-3</v>
      </c>
      <c r="CR25">
        <v>19.784110833522597</v>
      </c>
      <c r="CS25">
        <v>3.1021302342615575</v>
      </c>
      <c r="CT25">
        <v>6.0337892196299281</v>
      </c>
      <c r="CU25" s="8">
        <v>6.377588734030723E-2</v>
      </c>
      <c r="CV25" s="9">
        <v>0.15296344948001206</v>
      </c>
      <c r="CW25">
        <v>0.06</v>
      </c>
      <c r="CX25">
        <v>9.9006037999468681</v>
      </c>
      <c r="CY25">
        <v>1122986054.654532</v>
      </c>
      <c r="CZ25">
        <v>6.377588734030723E-2</v>
      </c>
      <c r="DA25">
        <v>3.3082910824547898</v>
      </c>
      <c r="DB25">
        <v>3360719997.9967117</v>
      </c>
      <c r="DC25">
        <v>6.0587092973291866E-2</v>
      </c>
      <c r="DD25">
        <v>1.6773214247767843</v>
      </c>
      <c r="DE25">
        <v>6628568523.4597187</v>
      </c>
      <c r="DF25">
        <v>5.612278085947036E-2</v>
      </c>
      <c r="DG25">
        <v>1.040870187325168</v>
      </c>
      <c r="DH25">
        <v>10681677826.292339</v>
      </c>
      <c r="DI25">
        <v>5.1020709872245787E-2</v>
      </c>
      <c r="DJ25">
        <v>0.57701550368152432</v>
      </c>
      <c r="DK25">
        <v>19268529058.686363</v>
      </c>
      <c r="DL25">
        <v>4.4643121138215058E-2</v>
      </c>
      <c r="DM25">
        <v>1119000000</v>
      </c>
      <c r="DN25">
        <v>6.377588734030723E-2</v>
      </c>
      <c r="DO25">
        <v>11118240000</v>
      </c>
      <c r="DP25">
        <v>3571394700</v>
      </c>
      <c r="DQ25">
        <v>1220</v>
      </c>
      <c r="DR25">
        <v>-0.20420623841618493</v>
      </c>
      <c r="DS25">
        <v>-0.52443317854405136</v>
      </c>
      <c r="DT25" s="10">
        <v>-0.42333333333333334</v>
      </c>
      <c r="DU25">
        <v>0.23</v>
      </c>
      <c r="DV25">
        <v>-0.19333333333333333</v>
      </c>
      <c r="DW25">
        <v>7.4183740912095173</v>
      </c>
      <c r="DX25">
        <v>0.46981069767442024</v>
      </c>
      <c r="DY25">
        <v>7.0584931735809038</v>
      </c>
      <c r="DZ25">
        <v>2187</v>
      </c>
      <c r="EA25">
        <v>7.0334590110326776</v>
      </c>
      <c r="EB25">
        <v>7</v>
      </c>
      <c r="EC25">
        <v>5.1471404109589045E-2</v>
      </c>
      <c r="ED25">
        <v>0.36815068493150682</v>
      </c>
      <c r="EE25" s="11">
        <v>2.10501</v>
      </c>
      <c r="EF25">
        <v>2.1133099999999998</v>
      </c>
      <c r="EG25">
        <v>33.13981069767442</v>
      </c>
      <c r="EH25" t="s">
        <v>1036</v>
      </c>
      <c r="EI25">
        <v>1</v>
      </c>
      <c r="EJ25">
        <v>0</v>
      </c>
      <c r="EK25" s="12">
        <v>45470</v>
      </c>
      <c r="EL25">
        <v>-1.03</v>
      </c>
      <c r="EM25">
        <v>-2.88</v>
      </c>
      <c r="EN25">
        <v>1.72</v>
      </c>
      <c r="EO25">
        <v>1.05</v>
      </c>
      <c r="EP25">
        <v>-0.83</v>
      </c>
    </row>
    <row r="26" spans="1:146" ht="96" x14ac:dyDescent="0.25">
      <c r="A26" s="7"/>
      <c r="B26" s="7"/>
      <c r="C26" s="7" t="str">
        <f>""&amp;CHAR(10)&amp;Basic_Fundamental_Information_Constructure(F26)&amp;CHAR(10)&amp;Basic_Fundamental_Information_Concatenate("")</f>
        <v xml:space="preserve">
市值6.76845亿, 利润-7094.15万; PE; 平均PE-33.45; 平均PEG-4.3, PB1.33; ROIC0%; ROE-4.4567%; 股利率0%; 毛利57.0533%; 净利-52.71%; 上一年度营收增-29.58%, 利润增-26.42%; 当季营收增22.43%, 利润增44.66%; 过往5年营收增7.78%, 利润增-425.96%
Income profile:
</v>
      </c>
      <c r="D26" t="s">
        <v>211</v>
      </c>
      <c r="E26" t="s">
        <v>1688</v>
      </c>
      <c r="F26">
        <v>1.69</v>
      </c>
      <c r="G26">
        <v>4.97</v>
      </c>
      <c r="H26" t="s">
        <v>1998</v>
      </c>
      <c r="I26">
        <v>676845000</v>
      </c>
      <c r="K26">
        <v>1.33</v>
      </c>
      <c r="L26" t="s">
        <v>114</v>
      </c>
      <c r="M26" t="s">
        <v>1306</v>
      </c>
      <c r="N26" t="s">
        <v>1999</v>
      </c>
      <c r="O26" t="s">
        <v>1307</v>
      </c>
      <c r="P26">
        <v>22.43</v>
      </c>
      <c r="Q26" t="s">
        <v>1308</v>
      </c>
      <c r="R26">
        <v>-4491777</v>
      </c>
      <c r="S26" s="5">
        <v>0.4466</v>
      </c>
      <c r="T26" t="s">
        <v>1309</v>
      </c>
      <c r="U26">
        <v>398736200</v>
      </c>
      <c r="V26">
        <v>400500000</v>
      </c>
      <c r="W26">
        <v>1.2</v>
      </c>
      <c r="X26">
        <v>0.04</v>
      </c>
      <c r="Y26">
        <v>-21.09</v>
      </c>
      <c r="Z26" t="s">
        <v>2000</v>
      </c>
      <c r="AA26" t="s">
        <v>2001</v>
      </c>
      <c r="AB26" t="s">
        <v>2002</v>
      </c>
      <c r="AC26" t="s">
        <v>2003</v>
      </c>
      <c r="AD26" t="s">
        <v>53</v>
      </c>
      <c r="AE26">
        <v>-209387</v>
      </c>
      <c r="AF26" t="s">
        <v>1310</v>
      </c>
      <c r="AG26">
        <v>0.15</v>
      </c>
      <c r="AH26" t="s">
        <v>1311</v>
      </c>
      <c r="AI26" t="s">
        <v>281</v>
      </c>
      <c r="AJ26" t="s">
        <v>1312</v>
      </c>
      <c r="AK26" t="s">
        <v>2004</v>
      </c>
      <c r="AL26" t="s">
        <v>1313</v>
      </c>
      <c r="AM26" t="s">
        <v>53</v>
      </c>
      <c r="AN26">
        <v>0</v>
      </c>
      <c r="AO26" t="s">
        <v>2005</v>
      </c>
      <c r="AP26" t="s">
        <v>53</v>
      </c>
      <c r="AQ26" t="s">
        <v>2006</v>
      </c>
      <c r="AR26" t="s">
        <v>2007</v>
      </c>
      <c r="AS26" t="s">
        <v>2008</v>
      </c>
      <c r="AT26" t="s">
        <v>53</v>
      </c>
      <c r="AU26" t="s">
        <v>2009</v>
      </c>
      <c r="AV26" t="s">
        <v>2010</v>
      </c>
      <c r="AW26" t="s">
        <v>2011</v>
      </c>
      <c r="AX26" t="s">
        <v>133</v>
      </c>
      <c r="AY26" t="s">
        <v>456</v>
      </c>
      <c r="AZ26" t="s">
        <v>447</v>
      </c>
      <c r="BA26" t="s">
        <v>195</v>
      </c>
      <c r="BB26" t="s">
        <v>209</v>
      </c>
      <c r="BC26" t="s">
        <v>833</v>
      </c>
      <c r="BD26" t="s">
        <v>653</v>
      </c>
      <c r="BE26" t="s">
        <v>448</v>
      </c>
      <c r="BF26" t="s">
        <v>212</v>
      </c>
      <c r="BG26" t="s">
        <v>450</v>
      </c>
      <c r="BH26" t="s">
        <v>1308</v>
      </c>
      <c r="BI26" t="s">
        <v>1314</v>
      </c>
      <c r="BJ26" t="s">
        <v>133</v>
      </c>
      <c r="BK26" t="s">
        <v>1309</v>
      </c>
      <c r="BL26" t="s">
        <v>1315</v>
      </c>
      <c r="BM26" t="s">
        <v>833</v>
      </c>
      <c r="BN26" t="s">
        <v>53</v>
      </c>
      <c r="BO26" t="s">
        <v>53</v>
      </c>
      <c r="BP26" t="s">
        <v>53</v>
      </c>
      <c r="BQ26">
        <v>-4.68</v>
      </c>
      <c r="BR26">
        <v>-9.18</v>
      </c>
      <c r="BS26">
        <v>0.49</v>
      </c>
      <c r="BT26" t="s">
        <v>775</v>
      </c>
      <c r="BU26" t="s">
        <v>114</v>
      </c>
      <c r="BV26">
        <v>60.89</v>
      </c>
      <c r="BW26">
        <v>79.2</v>
      </c>
      <c r="BX26">
        <v>31.07</v>
      </c>
      <c r="BY26">
        <v>-97.27</v>
      </c>
      <c r="BZ26">
        <v>-59.8</v>
      </c>
      <c r="CA26">
        <v>-1.06</v>
      </c>
      <c r="CB26">
        <v>14.19</v>
      </c>
      <c r="CC26">
        <v>-43.48</v>
      </c>
      <c r="CD26" t="s">
        <v>2012</v>
      </c>
      <c r="CE26" t="s">
        <v>986</v>
      </c>
      <c r="CF26" s="8">
        <v>0.22430383505460755</v>
      </c>
      <c r="CG26" s="9">
        <v>0.44664149409286341</v>
      </c>
      <c r="CH26" s="8">
        <v>-0.29575207829475403</v>
      </c>
      <c r="CI26" s="8">
        <v>-0.82503557205200195</v>
      </c>
      <c r="CJ26" s="8">
        <v>1.7677165269851685</v>
      </c>
      <c r="CK26" s="8">
        <v>-7.6363638043403625E-2</v>
      </c>
      <c r="CL26" s="8">
        <v>-0.181547611951828</v>
      </c>
      <c r="CM26" s="9">
        <v>-0.26418262720108032</v>
      </c>
      <c r="CN26" s="9">
        <v>-19.140718460083008</v>
      </c>
      <c r="CO26" s="9">
        <v>-0.73810493946075439</v>
      </c>
      <c r="CP26" s="9">
        <v>1.5111609697341919</v>
      </c>
      <c r="CQ26" s="9">
        <v>-2.6659865379333496</v>
      </c>
      <c r="CR26">
        <v>-33.454650000864973</v>
      </c>
      <c r="CS26">
        <v>-4.2998887080701138</v>
      </c>
      <c r="CT26">
        <v>0</v>
      </c>
      <c r="CU26" s="8">
        <v>7.7803525328636172E-2</v>
      </c>
      <c r="CV26" s="9">
        <v>-4.2595663189888002</v>
      </c>
      <c r="CW26">
        <v>0.06</v>
      </c>
      <c r="CX26" t="e">
        <v>#VALUE!</v>
      </c>
      <c r="CY26" t="s">
        <v>727</v>
      </c>
      <c r="CZ26">
        <v>7.7803525328636172E-2</v>
      </c>
      <c r="DA26" t="e">
        <v>#VALUE!</v>
      </c>
      <c r="DB26" t="s">
        <v>728</v>
      </c>
      <c r="DC26">
        <v>7.3913349062204356E-2</v>
      </c>
      <c r="DD26" t="e">
        <v>#VALUE!</v>
      </c>
      <c r="DE26" t="s">
        <v>728</v>
      </c>
      <c r="DF26">
        <v>6.8467102289199833E-2</v>
      </c>
      <c r="DG26" t="e">
        <v>#VALUE!</v>
      </c>
      <c r="DH26" t="s">
        <v>728</v>
      </c>
      <c r="DI26">
        <v>6.2242820262908942E-2</v>
      </c>
      <c r="DJ26" t="e">
        <v>#VALUE!</v>
      </c>
      <c r="DK26" t="s">
        <v>728</v>
      </c>
      <c r="DL26">
        <v>5.4462467730045316E-2</v>
      </c>
      <c r="DM26">
        <v>-70941500</v>
      </c>
      <c r="DN26">
        <v>7.7803525328636172E-2</v>
      </c>
      <c r="DO26">
        <v>231352799.99999994</v>
      </c>
      <c r="DP26">
        <v>327676390</v>
      </c>
      <c r="DQ26">
        <v>1231</v>
      </c>
      <c r="DR26">
        <v>0.14650030972597139</v>
      </c>
      <c r="DS26">
        <v>4.7062078130816634</v>
      </c>
      <c r="DT26" s="10">
        <v>-0.7400000000000001</v>
      </c>
      <c r="DU26">
        <v>-1.9683333333333335</v>
      </c>
      <c r="DV26">
        <v>-2.7083333333333335</v>
      </c>
      <c r="DW26">
        <v>7.2460551413213112</v>
      </c>
      <c r="DX26">
        <v>0.51984277620396624</v>
      </c>
      <c r="DY26">
        <v>7.0393301368880579</v>
      </c>
      <c r="DZ26">
        <v>4798</v>
      </c>
      <c r="EA26">
        <v>7.0024013703931649</v>
      </c>
      <c r="EB26">
        <v>7</v>
      </c>
      <c r="EC26">
        <v>0.14088514357053683</v>
      </c>
      <c r="ED26">
        <v>0.88139825218476908</v>
      </c>
      <c r="EE26" s="11">
        <v>-5.1448099999999997</v>
      </c>
      <c r="EF26">
        <v>-6.0445099999999998</v>
      </c>
      <c r="EG26">
        <v>36.159842776203966</v>
      </c>
      <c r="EH26" t="s">
        <v>2013</v>
      </c>
      <c r="EI26">
        <v>1</v>
      </c>
      <c r="EJ26">
        <v>0</v>
      </c>
      <c r="EK26" s="12">
        <v>45470</v>
      </c>
      <c r="EL26">
        <v>-5.18</v>
      </c>
      <c r="EM26">
        <v>-4.92</v>
      </c>
      <c r="EN26">
        <v>-5.17</v>
      </c>
      <c r="EO26">
        <v>-2.42</v>
      </c>
      <c r="EP26">
        <v>-4.97</v>
      </c>
    </row>
    <row r="27" spans="1:146" ht="144" x14ac:dyDescent="0.25">
      <c r="A27" s="7" t="s">
        <v>764</v>
      </c>
      <c r="B27" s="7"/>
      <c r="C27" s="7" t="str">
        <f>"公司的主营业务是药材规范化种植、药品生产、研发、销售及医药物流。公司主要产品包括盘龙七片、盘龙七药酒、金茵利胆胶囊、克比热提片、复方醋酸棉酚片及原料药、小儿麦枣咀嚼片、小儿咽扁颗粒、骨松宝片。"&amp;CHAR(10)&amp;Basic_Fundamental_Information_Constructure(F27)&amp;CHAR(10)&amp;Basic_Fundamental_Information_Concatenate("自产中成药 2.38亿 55.13% 87.33% 87.52%
医药商业配送 1.80亿 41.66% 12.67% 16.80%")</f>
        <v>公司的主营业务是药材规范化种植、药品生产、研发、销售及医药物流。公司主要产品包括盘龙七片、盘龙七药酒、金茵利胆胶囊、克比热提片、复方醋酸棉酚片及原料药、小儿麦枣咀嚼片、小儿咽扁颗粒、骨松宝片。
市值27.898752亿, 利润1.10亿; PE23.25; 平均PE32.21; 平均PEG2.08, PB1.76; ROIC8.0567%; ROE10.5167%; 股利率.8381%; 毛利58.1067%; 净利10.87%; 上一年度营收增.72%, 利润增8.91%; 当季营收增-7.08%, 利润增44.46%; 过往5年营收增15.5%, 利润增11.25%
Income profile:
自产中成药 2.38亿 55.13% 87.33% 87.52%
医药商业配送 1.80亿 41.66% 12.67% 16.80%</v>
      </c>
      <c r="D27" t="s">
        <v>216</v>
      </c>
      <c r="E27" t="s">
        <v>24</v>
      </c>
      <c r="F27">
        <v>26.25</v>
      </c>
      <c r="G27">
        <v>4.04</v>
      </c>
      <c r="H27" t="s">
        <v>2014</v>
      </c>
      <c r="I27">
        <v>2789875200</v>
      </c>
      <c r="J27">
        <v>23.25</v>
      </c>
      <c r="K27">
        <v>1.76</v>
      </c>
      <c r="L27" t="s">
        <v>114</v>
      </c>
      <c r="M27" t="s">
        <v>755</v>
      </c>
      <c r="N27" t="s">
        <v>2015</v>
      </c>
      <c r="O27" t="s">
        <v>554</v>
      </c>
      <c r="P27">
        <v>-6.87</v>
      </c>
      <c r="Q27" t="s">
        <v>1257</v>
      </c>
      <c r="R27">
        <v>31147204</v>
      </c>
      <c r="S27" s="5">
        <v>0.4446</v>
      </c>
      <c r="T27" t="s">
        <v>90</v>
      </c>
      <c r="U27">
        <v>73701636</v>
      </c>
      <c r="V27">
        <v>106280960</v>
      </c>
      <c r="W27">
        <v>1.38</v>
      </c>
      <c r="X27">
        <v>0.1</v>
      </c>
      <c r="Y27">
        <v>14.78</v>
      </c>
      <c r="Z27" t="s">
        <v>397</v>
      </c>
      <c r="AA27" t="s">
        <v>2016</v>
      </c>
      <c r="AB27" t="s">
        <v>2017</v>
      </c>
      <c r="AC27" t="s">
        <v>2018</v>
      </c>
      <c r="AD27" t="s">
        <v>53</v>
      </c>
      <c r="AE27">
        <v>-7198297</v>
      </c>
      <c r="AF27" t="s">
        <v>1316</v>
      </c>
      <c r="AG27" t="s">
        <v>2019</v>
      </c>
      <c r="AH27" t="s">
        <v>1317</v>
      </c>
      <c r="AI27" t="s">
        <v>136</v>
      </c>
      <c r="AJ27" t="s">
        <v>1319</v>
      </c>
      <c r="AK27" t="s">
        <v>2020</v>
      </c>
      <c r="AL27" t="s">
        <v>1320</v>
      </c>
      <c r="AM27" t="s">
        <v>53</v>
      </c>
      <c r="AN27" t="s">
        <v>2021</v>
      </c>
      <c r="AO27" t="s">
        <v>2022</v>
      </c>
      <c r="AP27" t="s">
        <v>53</v>
      </c>
      <c r="AQ27" t="s">
        <v>2023</v>
      </c>
      <c r="AR27" t="s">
        <v>53</v>
      </c>
      <c r="AS27" t="s">
        <v>315</v>
      </c>
      <c r="AT27" t="s">
        <v>1026</v>
      </c>
      <c r="AU27" t="s">
        <v>2024</v>
      </c>
      <c r="AV27" t="s">
        <v>2025</v>
      </c>
      <c r="AW27" t="s">
        <v>2026</v>
      </c>
      <c r="AX27" t="s">
        <v>834</v>
      </c>
      <c r="AY27" t="s">
        <v>184</v>
      </c>
      <c r="AZ27" t="s">
        <v>355</v>
      </c>
      <c r="BA27" t="s">
        <v>217</v>
      </c>
      <c r="BB27" t="s">
        <v>411</v>
      </c>
      <c r="BC27" t="s">
        <v>67</v>
      </c>
      <c r="BD27" t="s">
        <v>654</v>
      </c>
      <c r="BE27" t="s">
        <v>451</v>
      </c>
      <c r="BF27" t="s">
        <v>218</v>
      </c>
      <c r="BG27" t="s">
        <v>452</v>
      </c>
      <c r="BH27" t="s">
        <v>1257</v>
      </c>
      <c r="BI27" t="s">
        <v>1322</v>
      </c>
      <c r="BJ27" t="s">
        <v>834</v>
      </c>
      <c r="BK27" t="s">
        <v>90</v>
      </c>
      <c r="BL27" t="s">
        <v>1323</v>
      </c>
      <c r="BM27" t="s">
        <v>67</v>
      </c>
      <c r="BN27">
        <v>5.0599999999999996</v>
      </c>
      <c r="BO27">
        <v>8.9</v>
      </c>
      <c r="BP27">
        <v>10.210000000000001</v>
      </c>
      <c r="BQ27">
        <v>7.52</v>
      </c>
      <c r="BR27">
        <v>11.62</v>
      </c>
      <c r="BS27">
        <v>12.41</v>
      </c>
      <c r="BT27" t="s">
        <v>868</v>
      </c>
      <c r="BU27" t="s">
        <v>114</v>
      </c>
      <c r="BV27">
        <v>57.92</v>
      </c>
      <c r="BW27">
        <v>58.12</v>
      </c>
      <c r="BX27">
        <v>58.28</v>
      </c>
      <c r="BY27">
        <v>11.37</v>
      </c>
      <c r="BZ27">
        <v>10.59</v>
      </c>
      <c r="CA27">
        <v>10.65</v>
      </c>
      <c r="CB27">
        <v>1.43</v>
      </c>
      <c r="CC27">
        <v>-9.11</v>
      </c>
      <c r="CD27" t="s">
        <v>2027</v>
      </c>
      <c r="CE27" t="s">
        <v>2028</v>
      </c>
      <c r="CF27" s="8">
        <v>-7.0796460176991025E-2</v>
      </c>
      <c r="CG27" s="9">
        <v>0.44456830661917485</v>
      </c>
      <c r="CH27" s="8">
        <v>7.1868584491312504E-3</v>
      </c>
      <c r="CI27" s="8">
        <v>9.8083429038524628E-2</v>
      </c>
      <c r="CJ27" s="8">
        <v>0.32388058304786682</v>
      </c>
      <c r="CK27" s="8">
        <v>9.6563011407852173E-2</v>
      </c>
      <c r="CL27" s="8">
        <v>0.24948875606060028</v>
      </c>
      <c r="CM27" s="9">
        <v>8.9108914136886597E-2</v>
      </c>
      <c r="CN27" s="9">
        <v>8.4041044116020203E-2</v>
      </c>
      <c r="CO27" s="9">
        <v>0.17765156924724579</v>
      </c>
      <c r="CP27" s="9">
        <v>0.10220418870449066</v>
      </c>
      <c r="CQ27" s="9">
        <v>0.10972151160240173</v>
      </c>
      <c r="CR27">
        <v>32.206617967209738</v>
      </c>
      <c r="CS27">
        <v>2.0773031713447669</v>
      </c>
      <c r="CT27">
        <v>0.83809523809523812</v>
      </c>
      <c r="CU27" s="8">
        <v>0.15504052760079504</v>
      </c>
      <c r="CV27" s="9">
        <v>0.112545445561409</v>
      </c>
      <c r="CW27">
        <v>0.06</v>
      </c>
      <c r="CX27">
        <v>14.857626730923727</v>
      </c>
      <c r="CY27">
        <v>119862696.26045987</v>
      </c>
      <c r="CZ27">
        <v>0.15504052760079504</v>
      </c>
      <c r="DA27">
        <v>4.5970577426467267</v>
      </c>
      <c r="DB27">
        <v>387394568.37335098</v>
      </c>
      <c r="DC27">
        <v>0.14728850122075529</v>
      </c>
      <c r="DD27">
        <v>2.0998447161941569</v>
      </c>
      <c r="DE27">
        <v>848098521.8886708</v>
      </c>
      <c r="DF27">
        <v>0.13643566428869963</v>
      </c>
      <c r="DG27">
        <v>1.1560965406257138</v>
      </c>
      <c r="DH27">
        <v>1540420836.339617</v>
      </c>
      <c r="DI27">
        <v>0.12403242208063603</v>
      </c>
      <c r="DJ27">
        <v>0.48945008662977607</v>
      </c>
      <c r="DK27">
        <v>3638522596.374711</v>
      </c>
      <c r="DL27">
        <v>0.10852836932055653</v>
      </c>
      <c r="DM27">
        <v>110000000.00000001</v>
      </c>
      <c r="DN27">
        <v>0.15504052760079504</v>
      </c>
      <c r="DO27">
        <v>1780875200</v>
      </c>
      <c r="DP27">
        <v>1292611100</v>
      </c>
      <c r="DQ27">
        <v>1332</v>
      </c>
      <c r="DR27">
        <v>-0.22583698777778605</v>
      </c>
      <c r="DS27">
        <v>0.33202286105776585</v>
      </c>
      <c r="DT27" s="10">
        <v>-0.20666666666666669</v>
      </c>
      <c r="DU27">
        <v>0.13333333333333333</v>
      </c>
      <c r="DV27">
        <v>-7.3333333333333361E-2</v>
      </c>
      <c r="DW27">
        <v>-2.0911</v>
      </c>
      <c r="DX27">
        <v>0.56901762618059415</v>
      </c>
      <c r="DY27">
        <v>-2.013575505745052</v>
      </c>
      <c r="DZ27">
        <v>1880</v>
      </c>
      <c r="EA27">
        <v>-2.0085809948251501</v>
      </c>
      <c r="EB27">
        <v>2</v>
      </c>
      <c r="EC27">
        <v>5.8268197803256573E-2</v>
      </c>
      <c r="ED27">
        <v>0.39101547445563156</v>
      </c>
      <c r="EE27" s="11">
        <v>1.0883099999999999</v>
      </c>
      <c r="EF27">
        <v>1.1061099999999999</v>
      </c>
      <c r="EG27">
        <v>42.149017626180594</v>
      </c>
      <c r="EH27" t="s">
        <v>712</v>
      </c>
      <c r="EI27">
        <v>0</v>
      </c>
      <c r="EJ27">
        <v>0</v>
      </c>
      <c r="EK27" s="12">
        <v>45470</v>
      </c>
      <c r="EL27">
        <v>0.41</v>
      </c>
      <c r="EM27">
        <v>-3.04</v>
      </c>
      <c r="EN27">
        <v>0.27</v>
      </c>
      <c r="EO27">
        <v>2.09</v>
      </c>
      <c r="EP27">
        <v>-1.78</v>
      </c>
    </row>
    <row r="28" spans="1:146" ht="96" x14ac:dyDescent="0.25">
      <c r="A28" s="7"/>
      <c r="B28" s="7"/>
      <c r="C28" s="7" t="str">
        <f>""&amp;CHAR(10)&amp;Basic_Fundamental_Information_Constructure(F28)&amp;CHAR(10)&amp;Basic_Fundamental_Information_Concatenate("")</f>
        <v xml:space="preserve">
市值19.568646亿, 利润8087.11万; PE27.43; 平均PE23.14; 平均PEG3.08, PB1.98; ROIC7.39%; ROE10.32%; 股利率.8206%; 毛利77.8633%; 净利9.6633%; 上一年度营收增-12.32%, 利润增-27.79%; 当季营收增-15.31%, 利润增-37.94%; 过往5年营收增7.51%, 利润增4.82%
Income profile:
</v>
      </c>
      <c r="D28" t="s">
        <v>220</v>
      </c>
      <c r="E28" t="s">
        <v>31</v>
      </c>
      <c r="F28">
        <v>8.5299999999999994</v>
      </c>
      <c r="G28">
        <v>4.41</v>
      </c>
      <c r="H28" t="s">
        <v>2029</v>
      </c>
      <c r="I28">
        <v>1956864600</v>
      </c>
      <c r="J28">
        <v>27.43</v>
      </c>
      <c r="K28">
        <v>1.98</v>
      </c>
      <c r="L28" t="s">
        <v>114</v>
      </c>
      <c r="M28" t="s">
        <v>1324</v>
      </c>
      <c r="N28" t="s">
        <v>2030</v>
      </c>
      <c r="O28" t="s">
        <v>1028</v>
      </c>
      <c r="P28">
        <v>-15.06</v>
      </c>
      <c r="Q28" t="s">
        <v>1325</v>
      </c>
      <c r="R28">
        <v>15571958</v>
      </c>
      <c r="S28" s="5">
        <v>-0.37940000000000002</v>
      </c>
      <c r="T28" t="s">
        <v>1326</v>
      </c>
      <c r="U28">
        <v>224008270</v>
      </c>
      <c r="V28">
        <v>229409680</v>
      </c>
      <c r="W28">
        <v>1.87</v>
      </c>
      <c r="X28">
        <v>0.09</v>
      </c>
      <c r="Y28">
        <v>8.7799999999999994</v>
      </c>
      <c r="Z28" t="s">
        <v>225</v>
      </c>
      <c r="AA28" t="s">
        <v>2031</v>
      </c>
      <c r="AB28" t="s">
        <v>2032</v>
      </c>
      <c r="AC28" t="s">
        <v>2033</v>
      </c>
      <c r="AD28" t="s">
        <v>53</v>
      </c>
      <c r="AE28">
        <v>3671273</v>
      </c>
      <c r="AF28" t="s">
        <v>124</v>
      </c>
      <c r="AG28" t="s">
        <v>2034</v>
      </c>
      <c r="AH28" t="s">
        <v>1328</v>
      </c>
      <c r="AI28" t="s">
        <v>759</v>
      </c>
      <c r="AJ28" t="s">
        <v>1329</v>
      </c>
      <c r="AK28" t="s">
        <v>2035</v>
      </c>
      <c r="AL28" t="s">
        <v>1330</v>
      </c>
      <c r="AM28" t="s">
        <v>53</v>
      </c>
      <c r="AN28" t="s">
        <v>2036</v>
      </c>
      <c r="AO28" t="s">
        <v>1321</v>
      </c>
      <c r="AP28" t="s">
        <v>53</v>
      </c>
      <c r="AQ28" t="s">
        <v>2037</v>
      </c>
      <c r="AR28" t="s">
        <v>53</v>
      </c>
      <c r="AS28" t="s">
        <v>2038</v>
      </c>
      <c r="AT28" t="s">
        <v>2039</v>
      </c>
      <c r="AU28" t="s">
        <v>2040</v>
      </c>
      <c r="AV28" t="s">
        <v>2041</v>
      </c>
      <c r="AW28" t="s">
        <v>2042</v>
      </c>
      <c r="AX28" t="s">
        <v>835</v>
      </c>
      <c r="AY28" t="s">
        <v>602</v>
      </c>
      <c r="AZ28" t="s">
        <v>453</v>
      </c>
      <c r="BA28" t="s">
        <v>221</v>
      </c>
      <c r="BB28" t="s">
        <v>71</v>
      </c>
      <c r="BC28" t="s">
        <v>146</v>
      </c>
      <c r="BD28" t="s">
        <v>1029</v>
      </c>
      <c r="BE28" t="s">
        <v>1030</v>
      </c>
      <c r="BF28" t="s">
        <v>222</v>
      </c>
      <c r="BG28" t="s">
        <v>455</v>
      </c>
      <c r="BH28" t="s">
        <v>1325</v>
      </c>
      <c r="BI28" t="s">
        <v>638</v>
      </c>
      <c r="BJ28" t="s">
        <v>835</v>
      </c>
      <c r="BK28" t="s">
        <v>1326</v>
      </c>
      <c r="BL28" t="s">
        <v>1331</v>
      </c>
      <c r="BM28" t="s">
        <v>146</v>
      </c>
      <c r="BN28">
        <v>5.6</v>
      </c>
      <c r="BO28">
        <v>8.26</v>
      </c>
      <c r="BP28">
        <v>8.31</v>
      </c>
      <c r="BQ28">
        <v>7.66</v>
      </c>
      <c r="BR28">
        <v>11.6</v>
      </c>
      <c r="BS28">
        <v>11.7</v>
      </c>
      <c r="BT28" t="s">
        <v>838</v>
      </c>
      <c r="BU28" t="s">
        <v>114</v>
      </c>
      <c r="BV28">
        <v>77.069999999999993</v>
      </c>
      <c r="BW28">
        <v>77.260000000000005</v>
      </c>
      <c r="BX28">
        <v>79.260000000000005</v>
      </c>
      <c r="BY28">
        <v>8.48</v>
      </c>
      <c r="BZ28">
        <v>10.25</v>
      </c>
      <c r="CA28">
        <v>10.26</v>
      </c>
      <c r="CB28">
        <v>2.77</v>
      </c>
      <c r="CC28">
        <v>-16.04</v>
      </c>
      <c r="CD28" t="s">
        <v>2043</v>
      </c>
      <c r="CE28" t="s">
        <v>63</v>
      </c>
      <c r="CF28" s="8">
        <v>-0.15311004784688995</v>
      </c>
      <c r="CG28" s="9">
        <v>-0.37941288761891095</v>
      </c>
      <c r="CH28" s="8">
        <v>-0.12316176295280457</v>
      </c>
      <c r="CI28" s="8">
        <v>0.12164948135614395</v>
      </c>
      <c r="CJ28" s="8">
        <v>0.2916111946105957</v>
      </c>
      <c r="CK28" s="8">
        <v>-2.8460543602705002E-2</v>
      </c>
      <c r="CL28" s="8">
        <v>0.11383285373449326</v>
      </c>
      <c r="CM28" s="9">
        <v>-0.27793657779693604</v>
      </c>
      <c r="CN28" s="9">
        <v>0.12590080499649048</v>
      </c>
      <c r="CO28" s="9">
        <v>0.37120386958122253</v>
      </c>
      <c r="CP28" s="9">
        <v>1.5740204602479935E-2</v>
      </c>
      <c r="CQ28" s="9">
        <v>6.2936642207205296E-3</v>
      </c>
      <c r="CR28">
        <v>23.144872046838589</v>
      </c>
      <c r="CS28">
        <v>3.0821099754235868</v>
      </c>
      <c r="CT28">
        <v>0.82063305978898005</v>
      </c>
      <c r="CU28" s="8">
        <v>7.5094244629144671E-2</v>
      </c>
      <c r="CV28" s="9">
        <v>4.8240393120795491E-2</v>
      </c>
      <c r="CW28">
        <v>0.06</v>
      </c>
      <c r="CX28">
        <v>21.199799039314172</v>
      </c>
      <c r="CY28">
        <v>82022692.610215113</v>
      </c>
      <c r="CZ28">
        <v>7.5094244629144671E-2</v>
      </c>
      <c r="DA28">
        <v>7.0160429504641515</v>
      </c>
      <c r="DB28">
        <v>247841213.66944656</v>
      </c>
      <c r="DC28">
        <v>7.1339532397687436E-2</v>
      </c>
      <c r="DD28">
        <v>3.5123880024153209</v>
      </c>
      <c r="DE28">
        <v>495066205.32932472</v>
      </c>
      <c r="DF28">
        <v>6.6082935273647309E-2</v>
      </c>
      <c r="DG28">
        <v>2.1493271019607034</v>
      </c>
      <c r="DH28">
        <v>809027438.59403121</v>
      </c>
      <c r="DI28">
        <v>6.0075395703315743E-2</v>
      </c>
      <c r="DJ28">
        <v>1.1565875535390102</v>
      </c>
      <c r="DK28">
        <v>1503443984.5728033</v>
      </c>
      <c r="DL28">
        <v>5.2565971240401264E-2</v>
      </c>
      <c r="DM28">
        <v>80871100</v>
      </c>
      <c r="DN28">
        <v>7.5094244629144671E-2</v>
      </c>
      <c r="DO28">
        <v>1738864600</v>
      </c>
      <c r="DP28">
        <v>-21364960</v>
      </c>
      <c r="DQ28">
        <v>1341</v>
      </c>
      <c r="DR28">
        <v>-0.22820429247603463</v>
      </c>
      <c r="DS28">
        <v>-0.42765328073970643</v>
      </c>
      <c r="DT28" s="10">
        <v>-0.3066666666666667</v>
      </c>
      <c r="DU28">
        <v>-0.25333333333333335</v>
      </c>
      <c r="DV28">
        <v>-0.56000000000000005</v>
      </c>
      <c r="DW28">
        <v>6.1472620946305154</v>
      </c>
      <c r="DX28">
        <v>0.46212233009708487</v>
      </c>
      <c r="DY28">
        <v>6.0179839901312562</v>
      </c>
      <c r="DZ28">
        <v>2972</v>
      </c>
      <c r="EA28">
        <v>6.0075244170059934</v>
      </c>
      <c r="EB28">
        <v>6</v>
      </c>
      <c r="EC28">
        <v>5.4830293124509821E-2</v>
      </c>
      <c r="ED28">
        <v>0.44897843892201933</v>
      </c>
      <c r="EE28" s="11">
        <v>-3.0451100000000002</v>
      </c>
      <c r="EF28">
        <v>-3.0754100000000002</v>
      </c>
      <c r="EG28">
        <v>34.122122330097085</v>
      </c>
      <c r="EH28" t="s">
        <v>1686</v>
      </c>
      <c r="EI28">
        <v>0</v>
      </c>
      <c r="EJ28">
        <v>0</v>
      </c>
      <c r="EK28" s="12">
        <v>45470</v>
      </c>
      <c r="EL28">
        <v>1.28</v>
      </c>
      <c r="EM28">
        <v>-5.29</v>
      </c>
      <c r="EN28">
        <v>1.72</v>
      </c>
      <c r="EO28">
        <v>3.49</v>
      </c>
      <c r="EP28">
        <v>-3.03</v>
      </c>
    </row>
    <row r="29" spans="1:146" ht="96" x14ac:dyDescent="0.25">
      <c r="A29" s="7"/>
      <c r="B29" s="7"/>
      <c r="C29" s="7" t="str">
        <f>""&amp;CHAR(10)&amp;Basic_Fundamental_Information_Constructure(F29)&amp;CHAR(10)&amp;Basic_Fundamental_Information_Concatenate("")</f>
        <v xml:space="preserve">
市值53.28529亿, 利润3269.92万; PE124.1; 平均PE49.27; 平均PEG178.03, PB3.21; ROIC5.0733%; ROE5.8767%; 股利率.3918%; 毛利55.6867%; 净利9.37%; 上一年度营收增-11.85%, 利润增-66.77%; 当季营收增21.28%, 利润增34.06%; 过往5年营收增.28%, 利润增-17.67%
Income profile:
</v>
      </c>
      <c r="D29" t="s">
        <v>223</v>
      </c>
      <c r="E29" t="s">
        <v>10</v>
      </c>
      <c r="F29">
        <v>12.76</v>
      </c>
      <c r="G29">
        <v>6.16</v>
      </c>
      <c r="H29" t="s">
        <v>2044</v>
      </c>
      <c r="I29">
        <v>5328529000</v>
      </c>
      <c r="J29">
        <v>124.1</v>
      </c>
      <c r="K29">
        <v>3.21</v>
      </c>
      <c r="L29" t="s">
        <v>114</v>
      </c>
      <c r="M29" t="s">
        <v>1018</v>
      </c>
      <c r="N29" t="s">
        <v>2045</v>
      </c>
      <c r="O29" t="s">
        <v>806</v>
      </c>
      <c r="P29">
        <v>21.78</v>
      </c>
      <c r="Q29" t="s">
        <v>849</v>
      </c>
      <c r="R29">
        <v>40351252</v>
      </c>
      <c r="S29" s="5">
        <v>0.34050000000000002</v>
      </c>
      <c r="T29" t="s">
        <v>1332</v>
      </c>
      <c r="U29">
        <v>308888110</v>
      </c>
      <c r="V29">
        <v>417596310</v>
      </c>
      <c r="W29">
        <v>1.1399999999999999</v>
      </c>
      <c r="X29">
        <v>0.12</v>
      </c>
      <c r="Y29">
        <v>17.670000000000002</v>
      </c>
      <c r="Z29" t="s">
        <v>781</v>
      </c>
      <c r="AA29" t="s">
        <v>2046</v>
      </c>
      <c r="AB29" t="s">
        <v>2047</v>
      </c>
      <c r="AC29" t="s">
        <v>2048</v>
      </c>
      <c r="AD29" t="s">
        <v>53</v>
      </c>
      <c r="AE29">
        <v>-4703907</v>
      </c>
      <c r="AF29" t="s">
        <v>1334</v>
      </c>
      <c r="AG29" t="s">
        <v>2049</v>
      </c>
      <c r="AH29" t="s">
        <v>1335</v>
      </c>
      <c r="AI29" t="s">
        <v>94</v>
      </c>
      <c r="AJ29" t="s">
        <v>1336</v>
      </c>
      <c r="AK29" t="s">
        <v>2050</v>
      </c>
      <c r="AL29" t="s">
        <v>1337</v>
      </c>
      <c r="AM29" t="s">
        <v>53</v>
      </c>
      <c r="AN29" t="s">
        <v>2051</v>
      </c>
      <c r="AO29" t="s">
        <v>53</v>
      </c>
      <c r="AP29" t="s">
        <v>53</v>
      </c>
      <c r="AQ29" t="s">
        <v>2052</v>
      </c>
      <c r="AR29" t="s">
        <v>2053</v>
      </c>
      <c r="AS29" t="s">
        <v>1006</v>
      </c>
      <c r="AT29" t="s">
        <v>53</v>
      </c>
      <c r="AU29" t="s">
        <v>2054</v>
      </c>
      <c r="AV29" t="s">
        <v>2055</v>
      </c>
      <c r="AW29" t="s">
        <v>2056</v>
      </c>
      <c r="AX29" t="s">
        <v>836</v>
      </c>
      <c r="AY29" t="s">
        <v>594</v>
      </c>
      <c r="AZ29" t="s">
        <v>377</v>
      </c>
      <c r="BA29" t="s">
        <v>224</v>
      </c>
      <c r="BB29" t="s">
        <v>456</v>
      </c>
      <c r="BC29" t="s">
        <v>837</v>
      </c>
      <c r="BD29" t="s">
        <v>657</v>
      </c>
      <c r="BE29" t="s">
        <v>79</v>
      </c>
      <c r="BF29" t="s">
        <v>176</v>
      </c>
      <c r="BG29" t="s">
        <v>308</v>
      </c>
      <c r="BH29" t="s">
        <v>849</v>
      </c>
      <c r="BI29" t="s">
        <v>752</v>
      </c>
      <c r="BJ29" t="s">
        <v>836</v>
      </c>
      <c r="BK29" t="s">
        <v>1332</v>
      </c>
      <c r="BL29" t="s">
        <v>1338</v>
      </c>
      <c r="BM29" t="s">
        <v>837</v>
      </c>
      <c r="BN29">
        <v>2.42</v>
      </c>
      <c r="BO29">
        <v>6.46</v>
      </c>
      <c r="BP29">
        <v>6.34</v>
      </c>
      <c r="BQ29">
        <v>2.76</v>
      </c>
      <c r="BR29">
        <v>7.36</v>
      </c>
      <c r="BS29">
        <v>7.51</v>
      </c>
      <c r="BT29" t="s">
        <v>786</v>
      </c>
      <c r="BU29" t="s">
        <v>114</v>
      </c>
      <c r="BV29">
        <v>54.98</v>
      </c>
      <c r="BW29">
        <v>59.34</v>
      </c>
      <c r="BX29">
        <v>52.74</v>
      </c>
      <c r="BY29">
        <v>4.7300000000000004</v>
      </c>
      <c r="BZ29">
        <v>12.53</v>
      </c>
      <c r="CA29">
        <v>10.85</v>
      </c>
      <c r="CB29">
        <v>1.1100000000000001</v>
      </c>
      <c r="CC29">
        <v>-7.74</v>
      </c>
      <c r="CD29" t="s">
        <v>2057</v>
      </c>
      <c r="CE29" t="s">
        <v>2058</v>
      </c>
      <c r="CF29" s="8">
        <v>0.21276595744680835</v>
      </c>
      <c r="CG29" s="9">
        <v>0.34055088785900567</v>
      </c>
      <c r="CH29" s="8">
        <v>-0.11847133934497833</v>
      </c>
      <c r="CI29" s="8">
        <v>-7.2104021906852722E-2</v>
      </c>
      <c r="CJ29" s="8">
        <v>-4.0816325694322586E-2</v>
      </c>
      <c r="CK29" s="8">
        <v>4.7505937516689301E-2</v>
      </c>
      <c r="CL29" s="8">
        <v>0.19772404432296753</v>
      </c>
      <c r="CM29" s="9">
        <v>-0.66769307851791382</v>
      </c>
      <c r="CN29" s="9">
        <v>7.2130866348743439E-2</v>
      </c>
      <c r="CO29" s="9">
        <v>-0.22873613238334656</v>
      </c>
      <c r="CP29" s="9">
        <v>-0.30000001192092896</v>
      </c>
      <c r="CQ29" s="9">
        <v>0.24087591469287872</v>
      </c>
      <c r="CR29">
        <v>49.271304626031124</v>
      </c>
      <c r="CS29">
        <v>178.02520110032864</v>
      </c>
      <c r="CT29">
        <v>0.39184952978056425</v>
      </c>
      <c r="CU29" s="8">
        <v>2.767658978700638E-3</v>
      </c>
      <c r="CV29" s="9">
        <v>-0.17668448835611344</v>
      </c>
      <c r="CW29">
        <v>0.06</v>
      </c>
      <c r="CX29">
        <v>126.22258545835406</v>
      </c>
      <c r="CY29">
        <v>30933679.466487098</v>
      </c>
      <c r="CZ29">
        <v>2.767658978700638E-3</v>
      </c>
      <c r="DA29">
        <v>44.441953388067589</v>
      </c>
      <c r="DB29">
        <v>87856826.766942784</v>
      </c>
      <c r="DC29">
        <v>2.629276029765606E-3</v>
      </c>
      <c r="DD29">
        <v>24.086878567332931</v>
      </c>
      <c r="DE29">
        <v>162101909.09898114</v>
      </c>
      <c r="DF29">
        <v>2.4355399012565616E-3</v>
      </c>
      <c r="DG29">
        <v>16.044131631126074</v>
      </c>
      <c r="DH29">
        <v>243361815.38333318</v>
      </c>
      <c r="DI29">
        <v>2.2141271829605107E-3</v>
      </c>
      <c r="DJ29">
        <v>10.237938407500829</v>
      </c>
      <c r="DK29">
        <v>381378442.08354932</v>
      </c>
      <c r="DL29">
        <v>1.9373612850904466E-3</v>
      </c>
      <c r="DM29">
        <v>32699200</v>
      </c>
      <c r="DN29">
        <v>2.767658978700638E-3</v>
      </c>
      <c r="DO29">
        <v>3904529000</v>
      </c>
      <c r="DP29">
        <v>763931880</v>
      </c>
      <c r="DQ29">
        <v>1372</v>
      </c>
      <c r="DR29">
        <v>0.20999829846810772</v>
      </c>
      <c r="DS29">
        <v>0.51723537621511917</v>
      </c>
      <c r="DT29" s="10">
        <v>-0.34</v>
      </c>
      <c r="DU29">
        <v>-4.33333333333333E-2</v>
      </c>
      <c r="DV29">
        <v>-0.3833333333333333</v>
      </c>
      <c r="DW29">
        <v>-2.0773999999999999</v>
      </c>
      <c r="DX29">
        <v>0.5782653495323189</v>
      </c>
      <c r="DY29">
        <v>-2.0215377380538015</v>
      </c>
      <c r="DZ29">
        <v>2640</v>
      </c>
      <c r="EA29">
        <v>-2.0104106091962604</v>
      </c>
      <c r="EB29">
        <v>2</v>
      </c>
      <c r="EC29">
        <v>4.8243481844942544E-2</v>
      </c>
      <c r="ED29">
        <v>0.17337222160799265</v>
      </c>
      <c r="EE29" s="11">
        <v>3.3310000000000013E-2</v>
      </c>
      <c r="EF29">
        <v>6.9809999999999997E-2</v>
      </c>
      <c r="EG29">
        <v>30.278265349532319</v>
      </c>
      <c r="EH29">
        <v>-1</v>
      </c>
      <c r="EI29">
        <v>0</v>
      </c>
      <c r="EJ29">
        <v>0</v>
      </c>
      <c r="EK29" s="12">
        <v>45470</v>
      </c>
      <c r="EL29">
        <v>1.18</v>
      </c>
      <c r="EM29">
        <v>-4.9800000000000004</v>
      </c>
      <c r="EN29">
        <v>0.66</v>
      </c>
      <c r="EO29">
        <v>4.88</v>
      </c>
      <c r="EP29">
        <v>-3.65</v>
      </c>
    </row>
    <row r="30" spans="1:146" ht="96" x14ac:dyDescent="0.25">
      <c r="A30" s="7"/>
      <c r="B30" s="7"/>
      <c r="C30" s="7" t="str">
        <f>""&amp;CHAR(10)&amp;Basic_Fundamental_Information_Constructure(F30)&amp;CHAR(10)&amp;Basic_Fundamental_Information_Concatenate("")</f>
        <v xml:space="preserve">
市值94.630877亿, 利润5.07亿; PE24.31; 平均PE18.89; 平均PEG2.1, PB1.08; ROIC6.4633%; ROE7.6567%; 股利率.9524%; 毛利56.59%; 净利8.7667%; 上一年度营收增-8.14%, 利润增-18.75%; 当季营收增-11.81%, 利润增-66.79%; 过往5年营收增8.98%, 利润增25.03%
Income profile:
</v>
      </c>
      <c r="D30" t="s">
        <v>226</v>
      </c>
      <c r="E30" t="s">
        <v>33</v>
      </c>
      <c r="F30">
        <v>3.15</v>
      </c>
      <c r="G30">
        <v>3.62</v>
      </c>
      <c r="H30" t="s">
        <v>2059</v>
      </c>
      <c r="I30">
        <v>9463087700</v>
      </c>
      <c r="J30">
        <v>24.31</v>
      </c>
      <c r="K30">
        <v>1.08</v>
      </c>
      <c r="L30" t="s">
        <v>114</v>
      </c>
      <c r="M30" t="s">
        <v>1339</v>
      </c>
      <c r="N30" t="s">
        <v>2060</v>
      </c>
      <c r="O30" t="s">
        <v>1340</v>
      </c>
      <c r="P30">
        <v>-11.79</v>
      </c>
      <c r="Q30" t="s">
        <v>1341</v>
      </c>
      <c r="R30">
        <v>58120875</v>
      </c>
      <c r="S30" s="5">
        <v>-0.66869999999999996</v>
      </c>
      <c r="T30" t="s">
        <v>244</v>
      </c>
      <c r="U30">
        <v>2752915600</v>
      </c>
      <c r="V30">
        <v>3004154800</v>
      </c>
      <c r="W30">
        <v>1.35</v>
      </c>
      <c r="X30">
        <v>0.12</v>
      </c>
      <c r="Y30">
        <v>3.72</v>
      </c>
      <c r="Z30" t="s">
        <v>1013</v>
      </c>
      <c r="AA30" t="s">
        <v>2061</v>
      </c>
      <c r="AB30" t="s">
        <v>730</v>
      </c>
      <c r="AC30" t="s">
        <v>219</v>
      </c>
      <c r="AD30" t="s">
        <v>53</v>
      </c>
      <c r="AE30">
        <v>10353669</v>
      </c>
      <c r="AF30" t="s">
        <v>1342</v>
      </c>
      <c r="AG30" t="s">
        <v>2062</v>
      </c>
      <c r="AH30" t="s">
        <v>1343</v>
      </c>
      <c r="AI30" t="s">
        <v>2063</v>
      </c>
      <c r="AJ30" t="s">
        <v>1344</v>
      </c>
      <c r="AK30" t="s">
        <v>2064</v>
      </c>
      <c r="AL30" t="s">
        <v>1345</v>
      </c>
      <c r="AM30" t="s">
        <v>53</v>
      </c>
      <c r="AN30" t="s">
        <v>2065</v>
      </c>
      <c r="AO30" t="s">
        <v>2066</v>
      </c>
      <c r="AP30" t="s">
        <v>2067</v>
      </c>
      <c r="AQ30" t="s">
        <v>2068</v>
      </c>
      <c r="AR30" t="s">
        <v>53</v>
      </c>
      <c r="AS30" t="s">
        <v>2069</v>
      </c>
      <c r="AT30" t="s">
        <v>1498</v>
      </c>
      <c r="AU30" t="s">
        <v>83</v>
      </c>
      <c r="AV30" t="s">
        <v>2070</v>
      </c>
      <c r="AW30" t="s">
        <v>2071</v>
      </c>
      <c r="AX30" t="s">
        <v>839</v>
      </c>
      <c r="AY30" t="s">
        <v>658</v>
      </c>
      <c r="AZ30" t="s">
        <v>458</v>
      </c>
      <c r="BA30" t="s">
        <v>227</v>
      </c>
      <c r="BB30" t="s">
        <v>462</v>
      </c>
      <c r="BC30" t="s">
        <v>748</v>
      </c>
      <c r="BD30" t="s">
        <v>441</v>
      </c>
      <c r="BE30" t="s">
        <v>54</v>
      </c>
      <c r="BF30" t="s">
        <v>228</v>
      </c>
      <c r="BG30" t="s">
        <v>214</v>
      </c>
      <c r="BH30" t="s">
        <v>1341</v>
      </c>
      <c r="BI30" t="s">
        <v>1347</v>
      </c>
      <c r="BJ30" t="s">
        <v>839</v>
      </c>
      <c r="BK30" t="s">
        <v>244</v>
      </c>
      <c r="BL30" t="s">
        <v>142</v>
      </c>
      <c r="BM30" t="s">
        <v>748</v>
      </c>
      <c r="BN30">
        <v>5.16</v>
      </c>
      <c r="BO30">
        <v>6.61</v>
      </c>
      <c r="BP30">
        <v>7.62</v>
      </c>
      <c r="BQ30">
        <v>5.99</v>
      </c>
      <c r="BR30">
        <v>7.78</v>
      </c>
      <c r="BS30">
        <v>9.1999999999999993</v>
      </c>
      <c r="BT30" t="s">
        <v>785</v>
      </c>
      <c r="BU30" t="s">
        <v>114</v>
      </c>
      <c r="BV30">
        <v>54.11</v>
      </c>
      <c r="BW30">
        <v>57.73</v>
      </c>
      <c r="BX30">
        <v>57.93</v>
      </c>
      <c r="BY30">
        <v>8.2100000000000009</v>
      </c>
      <c r="BZ30">
        <v>9.34</v>
      </c>
      <c r="CA30">
        <v>8.75</v>
      </c>
      <c r="CB30">
        <v>3.28</v>
      </c>
      <c r="CC30">
        <v>-13.22</v>
      </c>
      <c r="CD30" t="s">
        <v>1020</v>
      </c>
      <c r="CE30" t="s">
        <v>329</v>
      </c>
      <c r="CF30" s="8">
        <v>-0.11814345991561181</v>
      </c>
      <c r="CG30" s="9">
        <v>-0.66788071428571427</v>
      </c>
      <c r="CH30" s="8">
        <v>-8.1353336572647095E-2</v>
      </c>
      <c r="CI30" s="8">
        <v>-0.13309870660305023</v>
      </c>
      <c r="CJ30" s="8">
        <v>0.18233662843704224</v>
      </c>
      <c r="CK30" s="8">
        <v>0.2968219518661499</v>
      </c>
      <c r="CL30" s="8">
        <v>0.18442229926586151</v>
      </c>
      <c r="CM30" s="9">
        <v>-0.1875</v>
      </c>
      <c r="CN30" s="9">
        <v>-9.1703057289123535E-2</v>
      </c>
      <c r="CO30" s="9">
        <v>0.19895288348197937</v>
      </c>
      <c r="CP30" s="9">
        <v>0.42183622717857361</v>
      </c>
      <c r="CQ30" s="9">
        <v>0.90995258092880249</v>
      </c>
      <c r="CR30">
        <v>18.894684259567388</v>
      </c>
      <c r="CS30">
        <v>2.1034815323034648</v>
      </c>
      <c r="CT30">
        <v>0.95238095238095233</v>
      </c>
      <c r="CU30" s="8">
        <v>8.9825767278671267E-2</v>
      </c>
      <c r="CV30" s="9">
        <v>0.25030772686004638</v>
      </c>
      <c r="CW30">
        <v>0.06</v>
      </c>
      <c r="CX30">
        <v>6.7299412953061468</v>
      </c>
      <c r="CY30">
        <v>521265720.76442105</v>
      </c>
      <c r="CZ30">
        <v>8.9825767278671267E-2</v>
      </c>
      <c r="DA30">
        <v>2.1996065393692978</v>
      </c>
      <c r="DB30">
        <v>1594870553.9882092</v>
      </c>
      <c r="DC30">
        <v>8.5334478914737694E-2</v>
      </c>
      <c r="DD30">
        <v>1.08302903275814</v>
      </c>
      <c r="DE30">
        <v>3239144652.5362163</v>
      </c>
      <c r="DF30">
        <v>7.9046675205230718E-2</v>
      </c>
      <c r="DG30">
        <v>0.65052237355256537</v>
      </c>
      <c r="DH30">
        <v>5392724128.5215063</v>
      </c>
      <c r="DI30">
        <v>7.1860613822937014E-2</v>
      </c>
      <c r="DJ30">
        <v>0.33621334248854345</v>
      </c>
      <c r="DK30">
        <v>10434112085.006083</v>
      </c>
      <c r="DL30">
        <v>6.287803709506988E-2</v>
      </c>
      <c r="DM30">
        <v>507000000</v>
      </c>
      <c r="DN30">
        <v>8.9825767278671267E-2</v>
      </c>
      <c r="DO30">
        <v>3508087700</v>
      </c>
      <c r="DP30">
        <v>5201465800</v>
      </c>
      <c r="DQ30">
        <v>1523</v>
      </c>
      <c r="DR30">
        <v>-0.20796922719428307</v>
      </c>
      <c r="DS30">
        <v>-0.91818844114576059</v>
      </c>
      <c r="DT30" s="10">
        <v>-9.000000000000008E-2</v>
      </c>
      <c r="DU30">
        <v>-0.15666666666666665</v>
      </c>
      <c r="DV30">
        <v>-0.24666666666666673</v>
      </c>
      <c r="DW30">
        <v>6.1987878787878792</v>
      </c>
      <c r="DX30">
        <v>0.57313019390581987</v>
      </c>
      <c r="DY30">
        <v>6.0344161840006718</v>
      </c>
      <c r="DZ30">
        <v>2321</v>
      </c>
      <c r="EA30">
        <v>6.0187840972950832</v>
      </c>
      <c r="EB30">
        <v>6</v>
      </c>
      <c r="EC30">
        <v>4.1609040918930008E-2</v>
      </c>
      <c r="ED30">
        <v>0.24033382034773973</v>
      </c>
      <c r="EE30" s="11">
        <v>-5.0660100000000003</v>
      </c>
      <c r="EF30">
        <v>-5.0945099999999996</v>
      </c>
      <c r="EG30">
        <v>40.17313019390582</v>
      </c>
      <c r="EH30" t="s">
        <v>1056</v>
      </c>
      <c r="EI30">
        <v>0</v>
      </c>
      <c r="EJ30">
        <v>0</v>
      </c>
      <c r="EK30" s="12">
        <v>45470</v>
      </c>
      <c r="EL30">
        <v>0.32</v>
      </c>
      <c r="EM30">
        <v>-3.19</v>
      </c>
      <c r="EN30">
        <v>0</v>
      </c>
      <c r="EO30">
        <v>4.29</v>
      </c>
      <c r="EP30">
        <v>-2.85</v>
      </c>
    </row>
    <row r="31" spans="1:146" ht="96" x14ac:dyDescent="0.25">
      <c r="A31" s="7"/>
      <c r="B31" s="7"/>
      <c r="C31" s="7" t="str">
        <f>""&amp;CHAR(10)&amp;Basic_Fundamental_Information_Constructure(F31)&amp;CHAR(10)&amp;Basic_Fundamental_Information_Concatenate("")</f>
        <v xml:space="preserve">
市值56.6932亿, 利润3.28亿; PE16.87; 平均PE27.37; 平均PEG5.73, PB1.5; ROIC4.2833%; ROE13.8767%; 股利率1.845%; 毛利78.9733%; 净利16.7433%; 上一年度营收增42.45%, 利润增71.73%; 当季营收增3.49%, 利润增10.33%; 过往5年营收增4.77%, 利润增18.61%
Income profile:
</v>
      </c>
      <c r="D31" t="s">
        <v>229</v>
      </c>
      <c r="E31" t="s">
        <v>8</v>
      </c>
      <c r="F31">
        <v>5.42</v>
      </c>
      <c r="G31">
        <v>3.44</v>
      </c>
      <c r="H31" t="s">
        <v>2072</v>
      </c>
      <c r="I31">
        <v>5669320000</v>
      </c>
      <c r="J31">
        <v>16.87</v>
      </c>
      <c r="K31">
        <v>1.5</v>
      </c>
      <c r="L31" t="s">
        <v>114</v>
      </c>
      <c r="M31" t="s">
        <v>148</v>
      </c>
      <c r="N31" t="s">
        <v>2073</v>
      </c>
      <c r="O31" t="s">
        <v>990</v>
      </c>
      <c r="P31">
        <v>3.51</v>
      </c>
      <c r="Q31" t="s">
        <v>1348</v>
      </c>
      <c r="R31">
        <v>88458934</v>
      </c>
      <c r="S31" s="5">
        <v>0.1033</v>
      </c>
      <c r="T31" t="s">
        <v>1057</v>
      </c>
      <c r="U31">
        <v>916210470</v>
      </c>
      <c r="V31">
        <v>1046000000</v>
      </c>
      <c r="W31">
        <v>1.1299999999999999</v>
      </c>
      <c r="X31">
        <v>0.11</v>
      </c>
      <c r="Y31">
        <v>18.57</v>
      </c>
      <c r="Z31" t="s">
        <v>2074</v>
      </c>
      <c r="AA31" t="s">
        <v>2075</v>
      </c>
      <c r="AB31" t="s">
        <v>179</v>
      </c>
      <c r="AC31" t="s">
        <v>2076</v>
      </c>
      <c r="AD31" t="s">
        <v>53</v>
      </c>
      <c r="AE31">
        <v>-9305930</v>
      </c>
      <c r="AF31" t="s">
        <v>1350</v>
      </c>
      <c r="AG31">
        <v>1327.43</v>
      </c>
      <c r="AH31" t="s">
        <v>1351</v>
      </c>
      <c r="AI31" t="s">
        <v>995</v>
      </c>
      <c r="AJ31" t="s">
        <v>1352</v>
      </c>
      <c r="AK31" t="s">
        <v>1258</v>
      </c>
      <c r="AL31" t="s">
        <v>1353</v>
      </c>
      <c r="AM31" t="s">
        <v>53</v>
      </c>
      <c r="AN31" t="s">
        <v>2077</v>
      </c>
      <c r="AO31" t="s">
        <v>53</v>
      </c>
      <c r="AP31" t="s">
        <v>53</v>
      </c>
      <c r="AQ31" t="s">
        <v>194</v>
      </c>
      <c r="AR31" t="s">
        <v>53</v>
      </c>
      <c r="AS31" t="s">
        <v>1868</v>
      </c>
      <c r="AT31" t="s">
        <v>53</v>
      </c>
      <c r="AU31" t="s">
        <v>2078</v>
      </c>
      <c r="AV31" t="s">
        <v>2079</v>
      </c>
      <c r="AW31">
        <v>0</v>
      </c>
      <c r="AX31" t="s">
        <v>840</v>
      </c>
      <c r="AY31" t="s">
        <v>660</v>
      </c>
      <c r="AZ31" t="s">
        <v>465</v>
      </c>
      <c r="BA31" t="s">
        <v>230</v>
      </c>
      <c r="BB31" t="s">
        <v>466</v>
      </c>
      <c r="BC31" t="s">
        <v>180</v>
      </c>
      <c r="BD31" t="s">
        <v>490</v>
      </c>
      <c r="BE31" t="s">
        <v>338</v>
      </c>
      <c r="BF31" t="s">
        <v>231</v>
      </c>
      <c r="BG31" t="s">
        <v>454</v>
      </c>
      <c r="BH31" t="s">
        <v>1348</v>
      </c>
      <c r="BI31" t="s">
        <v>987</v>
      </c>
      <c r="BJ31" t="s">
        <v>840</v>
      </c>
      <c r="BK31" t="s">
        <v>1057</v>
      </c>
      <c r="BL31" t="s">
        <v>1355</v>
      </c>
      <c r="BM31" t="s">
        <v>180</v>
      </c>
      <c r="BN31">
        <v>4.54</v>
      </c>
      <c r="BO31">
        <v>4.53</v>
      </c>
      <c r="BP31">
        <v>3.78</v>
      </c>
      <c r="BQ31">
        <v>3.23</v>
      </c>
      <c r="BR31">
        <v>20.69</v>
      </c>
      <c r="BS31">
        <v>17.71</v>
      </c>
      <c r="BT31" t="s">
        <v>777</v>
      </c>
      <c r="BU31" t="s">
        <v>114</v>
      </c>
      <c r="BV31">
        <v>80.400000000000006</v>
      </c>
      <c r="BW31">
        <v>77.87</v>
      </c>
      <c r="BX31">
        <v>78.650000000000006</v>
      </c>
      <c r="BY31">
        <v>20.51</v>
      </c>
      <c r="BZ31">
        <v>16.989999999999998</v>
      </c>
      <c r="CA31">
        <v>12.73</v>
      </c>
      <c r="CB31">
        <v>1.31</v>
      </c>
      <c r="CC31">
        <v>-7.67</v>
      </c>
      <c r="CD31" t="s">
        <v>2080</v>
      </c>
      <c r="CE31" t="s">
        <v>291</v>
      </c>
      <c r="CF31" s="8">
        <v>3.4858387799564274E-2</v>
      </c>
      <c r="CG31" s="9">
        <v>0.1032694886061046</v>
      </c>
      <c r="CH31" s="8">
        <v>0.42448607087135315</v>
      </c>
      <c r="CI31" s="8">
        <v>1.6348890960216522E-2</v>
      </c>
      <c r="CJ31" s="8">
        <v>0.21255499124526978</v>
      </c>
      <c r="CK31" s="8">
        <v>-0.36011278629302979</v>
      </c>
      <c r="CL31" s="8">
        <v>-5.4630164057016373E-2</v>
      </c>
      <c r="CM31" s="9">
        <v>0.71727746725082397</v>
      </c>
      <c r="CN31" s="9">
        <v>0.36428570747375488</v>
      </c>
      <c r="CO31" s="9">
        <v>0.32075470685958862</v>
      </c>
      <c r="CP31" s="9">
        <v>-0.57768923044204712</v>
      </c>
      <c r="CQ31" s="9">
        <v>0.10572687536478043</v>
      </c>
      <c r="CR31">
        <v>27.365985518905873</v>
      </c>
      <c r="CS31">
        <v>5.7335699183774933</v>
      </c>
      <c r="CT31">
        <v>1.8450184501845019</v>
      </c>
      <c r="CU31" s="8">
        <v>4.7729400545358659E-2</v>
      </c>
      <c r="CV31" s="9">
        <v>0.18607110530138016</v>
      </c>
      <c r="CW31">
        <v>0.06</v>
      </c>
      <c r="CX31">
        <v>7.5147964413649664</v>
      </c>
      <c r="CY31">
        <v>324203059.79139394</v>
      </c>
      <c r="CZ31">
        <v>4.7729400545358659E-2</v>
      </c>
      <c r="DA31">
        <v>2.5456888686845049</v>
      </c>
      <c r="DB31">
        <v>957037613.65739048</v>
      </c>
      <c r="DC31">
        <v>4.5342930518090727E-2</v>
      </c>
      <c r="DD31">
        <v>1.31387573291847</v>
      </c>
      <c r="DE31">
        <v>1854300173.8743443</v>
      </c>
      <c r="DF31">
        <v>4.2001872479915624E-2</v>
      </c>
      <c r="DG31">
        <v>0.83130524666180583</v>
      </c>
      <c r="DH31">
        <v>2930716496.4774384</v>
      </c>
      <c r="DI31">
        <v>3.8183520436286929E-2</v>
      </c>
      <c r="DJ31">
        <v>0.47976311709746072</v>
      </c>
      <c r="DK31">
        <v>5078172775.638937</v>
      </c>
      <c r="DL31">
        <v>3.3410580381751057E-2</v>
      </c>
      <c r="DM31">
        <v>328000000</v>
      </c>
      <c r="DN31">
        <v>4.7729400545358659E-2</v>
      </c>
      <c r="DO31">
        <v>2436320000.0000005</v>
      </c>
      <c r="DP31">
        <v>1323264700</v>
      </c>
      <c r="DQ31">
        <v>1534</v>
      </c>
      <c r="DR31">
        <v>-1.2871012745794386E-2</v>
      </c>
      <c r="DS31">
        <v>-8.2801616695275554E-2</v>
      </c>
      <c r="DT31" s="10">
        <v>-0.25666666666666665</v>
      </c>
      <c r="DU31">
        <v>0.5</v>
      </c>
      <c r="DV31">
        <v>0.24333333333333335</v>
      </c>
      <c r="DW31">
        <v>-2.0767000000000002</v>
      </c>
      <c r="DX31">
        <v>0.64936882129277507</v>
      </c>
      <c r="DY31">
        <v>-2.0114565885931559</v>
      </c>
      <c r="DZ31">
        <v>1163</v>
      </c>
      <c r="EA31">
        <v>-2.0088491497411325</v>
      </c>
      <c r="EB31">
        <v>2</v>
      </c>
      <c r="EC31">
        <v>3.7556405353728492E-2</v>
      </c>
      <c r="ED31">
        <v>0.25143403441682599</v>
      </c>
      <c r="EE31" s="11">
        <v>-2.02711</v>
      </c>
      <c r="EF31">
        <v>-2.04731</v>
      </c>
      <c r="EG31">
        <v>50.149368821292775</v>
      </c>
      <c r="EH31" t="s">
        <v>1017</v>
      </c>
      <c r="EI31">
        <v>0</v>
      </c>
      <c r="EJ31">
        <v>1</v>
      </c>
      <c r="EK31" s="12">
        <v>45470</v>
      </c>
      <c r="EL31">
        <v>0.18</v>
      </c>
      <c r="EM31">
        <v>-3.31</v>
      </c>
      <c r="EN31">
        <v>0.38</v>
      </c>
      <c r="EO31">
        <v>3.03</v>
      </c>
      <c r="EP31">
        <v>-2.02</v>
      </c>
    </row>
    <row r="32" spans="1:146" ht="96" x14ac:dyDescent="0.25">
      <c r="A32" s="7"/>
      <c r="B32" s="7"/>
      <c r="C32" s="7" t="str">
        <f>""&amp;CHAR(10)&amp;Basic_Fundamental_Information_Constructure(F32)&amp;CHAR(10)&amp;Basic_Fundamental_Information_Concatenate("")</f>
        <v xml:space="preserve">
市值8.3917849亿, 利润-3.49亿; PE; 平均PE-1.67; 平均PEG-.11, PB; ROIC0%; ROE49.11%; 股利率0%; 毛利27.3533%; 净利-85.4433%; 上一年度营收增-29.24%, 利润增-26.45%; 当季营收增5.36%, 利润增-101.93%; 过往5年营收增-15.65%, 利润增-168.87%
Income profile:
</v>
      </c>
      <c r="D32" t="s">
        <v>232</v>
      </c>
      <c r="E32" t="s">
        <v>1356</v>
      </c>
      <c r="F32">
        <v>1.26</v>
      </c>
      <c r="G32">
        <v>20</v>
      </c>
      <c r="H32" t="s">
        <v>2081</v>
      </c>
      <c r="I32">
        <v>839178490</v>
      </c>
      <c r="L32" t="s">
        <v>114</v>
      </c>
      <c r="M32" t="s">
        <v>1357</v>
      </c>
      <c r="N32" t="s">
        <v>2082</v>
      </c>
      <c r="O32" t="s">
        <v>1358</v>
      </c>
      <c r="P32">
        <v>5.36</v>
      </c>
      <c r="Q32" t="s">
        <v>993</v>
      </c>
      <c r="R32">
        <v>-40853955</v>
      </c>
      <c r="S32" s="5">
        <v>-1.0189999999999999</v>
      </c>
      <c r="T32" t="s">
        <v>1359</v>
      </c>
      <c r="U32">
        <v>656559420</v>
      </c>
      <c r="V32">
        <v>666014670</v>
      </c>
      <c r="W32" t="s">
        <v>53</v>
      </c>
      <c r="X32">
        <v>0.04</v>
      </c>
      <c r="Y32">
        <v>-80.180000000000007</v>
      </c>
      <c r="Z32" t="s">
        <v>78</v>
      </c>
      <c r="AA32" t="s">
        <v>2083</v>
      </c>
      <c r="AB32" t="s">
        <v>2084</v>
      </c>
      <c r="AC32" t="s">
        <v>2085</v>
      </c>
      <c r="AD32" t="s">
        <v>53</v>
      </c>
      <c r="AE32">
        <v>38707440</v>
      </c>
      <c r="AF32" t="s">
        <v>1360</v>
      </c>
      <c r="AG32" t="s">
        <v>2086</v>
      </c>
      <c r="AH32" t="s">
        <v>1361</v>
      </c>
      <c r="AI32" t="s">
        <v>2087</v>
      </c>
      <c r="AJ32" t="s">
        <v>1362</v>
      </c>
      <c r="AK32" t="s">
        <v>53</v>
      </c>
      <c r="AL32" t="s">
        <v>1363</v>
      </c>
      <c r="AM32" t="s">
        <v>53</v>
      </c>
      <c r="AN32" t="s">
        <v>1050</v>
      </c>
      <c r="AO32" t="s">
        <v>2088</v>
      </c>
      <c r="AP32" t="s">
        <v>53</v>
      </c>
      <c r="AQ32" t="s">
        <v>781</v>
      </c>
      <c r="AR32" t="s">
        <v>53</v>
      </c>
      <c r="AS32" t="s">
        <v>2089</v>
      </c>
      <c r="AT32" t="s">
        <v>1364</v>
      </c>
      <c r="AU32" t="s">
        <v>2090</v>
      </c>
      <c r="AV32" t="s">
        <v>2091</v>
      </c>
      <c r="AW32" t="s">
        <v>2092</v>
      </c>
      <c r="AX32" t="s">
        <v>411</v>
      </c>
      <c r="AY32" t="s">
        <v>738</v>
      </c>
      <c r="AZ32" t="s">
        <v>467</v>
      </c>
      <c r="BA32" t="s">
        <v>233</v>
      </c>
      <c r="BB32" t="s">
        <v>469</v>
      </c>
      <c r="BC32" t="s">
        <v>841</v>
      </c>
      <c r="BD32" t="s">
        <v>739</v>
      </c>
      <c r="BE32" t="s">
        <v>468</v>
      </c>
      <c r="BF32" t="s">
        <v>234</v>
      </c>
      <c r="BG32" t="s">
        <v>304</v>
      </c>
      <c r="BH32" t="s">
        <v>993</v>
      </c>
      <c r="BI32" t="s">
        <v>1365</v>
      </c>
      <c r="BJ32" t="s">
        <v>411</v>
      </c>
      <c r="BK32" t="s">
        <v>1359</v>
      </c>
      <c r="BL32" t="s">
        <v>1366</v>
      </c>
      <c r="BM32" t="s">
        <v>841</v>
      </c>
      <c r="BN32" t="s">
        <v>53</v>
      </c>
      <c r="BO32" t="s">
        <v>53</v>
      </c>
      <c r="BP32" t="s">
        <v>53</v>
      </c>
      <c r="BQ32" t="s">
        <v>53</v>
      </c>
      <c r="BR32">
        <v>49.11</v>
      </c>
      <c r="BS32" t="s">
        <v>53</v>
      </c>
      <c r="BT32" t="s">
        <v>775</v>
      </c>
      <c r="BU32" t="s">
        <v>114</v>
      </c>
      <c r="BV32">
        <v>30.24</v>
      </c>
      <c r="BW32">
        <v>26.9</v>
      </c>
      <c r="BX32">
        <v>24.92</v>
      </c>
      <c r="BY32">
        <v>-128.83000000000001</v>
      </c>
      <c r="BZ32">
        <v>-58.67</v>
      </c>
      <c r="CA32">
        <v>-68.83</v>
      </c>
      <c r="CB32">
        <v>23.53</v>
      </c>
      <c r="CC32">
        <v>-36.36</v>
      </c>
      <c r="CD32" t="s">
        <v>1207</v>
      </c>
      <c r="CE32" t="s">
        <v>1019</v>
      </c>
      <c r="CF32" s="8">
        <v>5.360982502387561E-2</v>
      </c>
      <c r="CG32" s="9">
        <v>-1.0192941310214612</v>
      </c>
      <c r="CH32" s="8">
        <v>-0.29243353009223938</v>
      </c>
      <c r="CI32" s="8">
        <v>-0.28613138198852539</v>
      </c>
      <c r="CJ32" s="8">
        <v>5.5469952523708344E-2</v>
      </c>
      <c r="CK32" s="8">
        <v>-0.39118197560310364</v>
      </c>
      <c r="CL32" s="8">
        <v>0.13163481652736664</v>
      </c>
      <c r="CM32" s="9">
        <v>-0.26449275016784668</v>
      </c>
      <c r="CN32" s="9">
        <v>0.38802659511566162</v>
      </c>
      <c r="CO32" s="9">
        <v>-0.18684209883213043</v>
      </c>
      <c r="CP32" s="9">
        <v>0.78555303812026978</v>
      </c>
      <c r="CQ32" s="9">
        <v>-9.165898323059082</v>
      </c>
      <c r="CR32">
        <v>-1.6722254865493191</v>
      </c>
      <c r="CS32">
        <v>-0.1068320658151231</v>
      </c>
      <c r="CT32">
        <v>0</v>
      </c>
      <c r="CU32" s="8">
        <v>-0.15652842372655867</v>
      </c>
      <c r="CV32" s="9">
        <v>-1.6887307077646256</v>
      </c>
      <c r="CW32">
        <v>0.06</v>
      </c>
      <c r="CX32" t="e">
        <v>#VALUE!</v>
      </c>
      <c r="CY32" t="s">
        <v>727</v>
      </c>
      <c r="CZ32">
        <v>-0.15652842372655867</v>
      </c>
      <c r="DA32" t="e">
        <v>#VALUE!</v>
      </c>
      <c r="DB32" t="s">
        <v>728</v>
      </c>
      <c r="DC32">
        <v>-0.14870200254023072</v>
      </c>
      <c r="DD32" t="e">
        <v>#VALUE!</v>
      </c>
      <c r="DE32" t="s">
        <v>728</v>
      </c>
      <c r="DF32">
        <v>-0.13774501287937163</v>
      </c>
      <c r="DG32" t="e">
        <v>#VALUE!</v>
      </c>
      <c r="DH32" t="s">
        <v>728</v>
      </c>
      <c r="DI32">
        <v>-0.12522273898124694</v>
      </c>
      <c r="DJ32" t="e">
        <v>#VALUE!</v>
      </c>
      <c r="DK32" t="s">
        <v>728</v>
      </c>
      <c r="DL32">
        <v>-0.10956989660859107</v>
      </c>
      <c r="DM32">
        <v>-349000000</v>
      </c>
      <c r="DN32">
        <v>-0.15652842372655867</v>
      </c>
      <c r="DO32">
        <v>4428178490</v>
      </c>
      <c r="DP32">
        <v>-1522209810</v>
      </c>
      <c r="DQ32">
        <v>1598</v>
      </c>
      <c r="DR32">
        <v>0.2101382487504343</v>
      </c>
      <c r="DS32">
        <v>0.66943657674316448</v>
      </c>
      <c r="DT32" s="10">
        <v>-0.87333333333333341</v>
      </c>
      <c r="DU32">
        <v>-3.0983333333333332</v>
      </c>
      <c r="DV32">
        <v>-3.9716666666666667</v>
      </c>
      <c r="DW32">
        <v>7.3928869594256135</v>
      </c>
      <c r="DX32">
        <v>0.79110325318245778</v>
      </c>
      <c r="DY32">
        <v>7.1811614551241156</v>
      </c>
      <c r="DZ32">
        <v>5066</v>
      </c>
      <c r="EA32">
        <v>7.0015599029404036</v>
      </c>
      <c r="EB32">
        <v>7</v>
      </c>
      <c r="EC32">
        <v>0.48947870772876517</v>
      </c>
      <c r="ED32">
        <v>1.0615381790314018</v>
      </c>
      <c r="EE32" s="11">
        <v>1.01831</v>
      </c>
      <c r="EF32">
        <v>2.6710000000000001E-2</v>
      </c>
      <c r="EG32">
        <v>33.461103253182458</v>
      </c>
      <c r="EH32">
        <v>-1</v>
      </c>
      <c r="EI32">
        <v>1</v>
      </c>
      <c r="EJ32">
        <v>0</v>
      </c>
      <c r="EK32" s="12">
        <v>45470</v>
      </c>
      <c r="EL32">
        <v>-3.38</v>
      </c>
      <c r="EM32">
        <v>-6.99</v>
      </c>
      <c r="EN32">
        <v>-10.53</v>
      </c>
      <c r="EO32">
        <v>-15.13</v>
      </c>
      <c r="EP32">
        <v>-15.84</v>
      </c>
    </row>
    <row r="33" spans="1:146" ht="96" x14ac:dyDescent="0.25">
      <c r="A33" s="7"/>
      <c r="B33" s="7"/>
      <c r="C33" s="7" t="str">
        <f>""&amp;CHAR(10)&amp;Basic_Fundamental_Information_Constructure(F33)&amp;CHAR(10)&amp;Basic_Fundamental_Information_Concatenate("")</f>
        <v xml:space="preserve">
市值24.335069亿, 利润-3.89亿; PE; 平均PE-10.5; 平均PEG-17.34, PB1.29; ROIC0%; ROE-15.7267%; 股利率0%; 毛利28.5%; 净利-20.7767%; 上一年度营收增5.12%, 利润增26.6%; 当季营收增-3.4%, 利润增-886%; 过往5年营收增-.61%, 利润增-191.62%
Income profile:
</v>
      </c>
      <c r="D33" t="s">
        <v>235</v>
      </c>
      <c r="E33" t="s">
        <v>28</v>
      </c>
      <c r="F33">
        <v>3.68</v>
      </c>
      <c r="G33">
        <v>14.64</v>
      </c>
      <c r="H33" t="s">
        <v>2093</v>
      </c>
      <c r="I33">
        <v>2433506900</v>
      </c>
      <c r="K33">
        <v>1.29</v>
      </c>
      <c r="L33" t="s">
        <v>114</v>
      </c>
      <c r="M33" t="s">
        <v>1367</v>
      </c>
      <c r="N33" t="s">
        <v>2094</v>
      </c>
      <c r="O33" t="s">
        <v>1368</v>
      </c>
      <c r="P33">
        <v>-3.37</v>
      </c>
      <c r="Q33" t="s">
        <v>1369</v>
      </c>
      <c r="R33">
        <v>-35659979</v>
      </c>
      <c r="S33" s="5">
        <v>-8.86</v>
      </c>
      <c r="T33" t="s">
        <v>1370</v>
      </c>
      <c r="U33">
        <v>657388540</v>
      </c>
      <c r="V33">
        <v>661279050</v>
      </c>
      <c r="W33">
        <v>3.61</v>
      </c>
      <c r="X33">
        <v>7.0000000000000007E-2</v>
      </c>
      <c r="Y33">
        <v>-5.03</v>
      </c>
      <c r="Z33" t="s">
        <v>457</v>
      </c>
      <c r="AA33" t="s">
        <v>731</v>
      </c>
      <c r="AB33" t="s">
        <v>2095</v>
      </c>
      <c r="AC33" t="s">
        <v>2096</v>
      </c>
      <c r="AD33" t="s">
        <v>53</v>
      </c>
      <c r="AE33">
        <v>53794834</v>
      </c>
      <c r="AF33" t="s">
        <v>1371</v>
      </c>
      <c r="AG33" t="s">
        <v>2097</v>
      </c>
      <c r="AH33" t="s">
        <v>1372</v>
      </c>
      <c r="AI33" t="s">
        <v>60</v>
      </c>
      <c r="AJ33" t="s">
        <v>1373</v>
      </c>
      <c r="AK33" t="s">
        <v>2098</v>
      </c>
      <c r="AL33" t="s">
        <v>1374</v>
      </c>
      <c r="AM33" t="s">
        <v>53</v>
      </c>
      <c r="AN33" t="s">
        <v>2099</v>
      </c>
      <c r="AO33" t="s">
        <v>981</v>
      </c>
      <c r="AP33" t="s">
        <v>2100</v>
      </c>
      <c r="AQ33" t="s">
        <v>1318</v>
      </c>
      <c r="AR33" t="s">
        <v>53</v>
      </c>
      <c r="AS33" t="s">
        <v>804</v>
      </c>
      <c r="AT33" t="s">
        <v>148</v>
      </c>
      <c r="AU33" t="s">
        <v>2101</v>
      </c>
      <c r="AV33" t="s">
        <v>2102</v>
      </c>
      <c r="AW33" t="s">
        <v>2103</v>
      </c>
      <c r="AX33" t="s">
        <v>141</v>
      </c>
      <c r="AY33" t="s">
        <v>661</v>
      </c>
      <c r="AZ33" t="s">
        <v>470</v>
      </c>
      <c r="BA33" t="s">
        <v>236</v>
      </c>
      <c r="BB33" t="s">
        <v>256</v>
      </c>
      <c r="BC33" t="s">
        <v>1375</v>
      </c>
      <c r="BD33" t="s">
        <v>2104</v>
      </c>
      <c r="BE33" t="s">
        <v>2105</v>
      </c>
      <c r="BF33" t="s">
        <v>471</v>
      </c>
      <c r="BG33" t="s">
        <v>472</v>
      </c>
      <c r="BH33" t="s">
        <v>1369</v>
      </c>
      <c r="BI33" t="s">
        <v>1376</v>
      </c>
      <c r="BJ33" t="s">
        <v>141</v>
      </c>
      <c r="BK33" t="s">
        <v>1370</v>
      </c>
      <c r="BL33" t="s">
        <v>1377</v>
      </c>
      <c r="BM33" t="s">
        <v>1375</v>
      </c>
      <c r="BN33" t="s">
        <v>53</v>
      </c>
      <c r="BO33" t="s">
        <v>53</v>
      </c>
      <c r="BP33" t="s">
        <v>53</v>
      </c>
      <c r="BQ33">
        <v>-6.27</v>
      </c>
      <c r="BR33">
        <v>-19.899999999999999</v>
      </c>
      <c r="BS33">
        <v>-21.01</v>
      </c>
      <c r="BT33" t="s">
        <v>775</v>
      </c>
      <c r="BU33" t="s">
        <v>114</v>
      </c>
      <c r="BV33">
        <v>34.35</v>
      </c>
      <c r="BW33">
        <v>24.87</v>
      </c>
      <c r="BX33">
        <v>26.28</v>
      </c>
      <c r="BY33">
        <v>-17.47</v>
      </c>
      <c r="BZ33">
        <v>-23.09</v>
      </c>
      <c r="CA33">
        <v>-21.77</v>
      </c>
      <c r="CB33">
        <v>15</v>
      </c>
      <c r="CC33">
        <v>-1.6</v>
      </c>
      <c r="CD33" t="s">
        <v>2106</v>
      </c>
      <c r="CE33" t="s">
        <v>1518</v>
      </c>
      <c r="CF33" s="8">
        <v>-3.3955857385398983E-2</v>
      </c>
      <c r="CG33" s="9">
        <v>-8.8599878771848619</v>
      </c>
      <c r="CH33" s="8">
        <v>5.1211703568696976E-2</v>
      </c>
      <c r="CI33" s="8">
        <v>-0.26388421654701233</v>
      </c>
      <c r="CJ33" s="8">
        <v>-3.2877583056688309E-2</v>
      </c>
      <c r="CK33" s="8">
        <v>0.10265618562698364</v>
      </c>
      <c r="CL33" s="8">
        <v>0.11261975765228271</v>
      </c>
      <c r="CM33" s="9">
        <v>0.26603773236274719</v>
      </c>
      <c r="CN33" s="9">
        <v>0.21713441610336304</v>
      </c>
      <c r="CO33" s="9">
        <v>-10.364643096923828</v>
      </c>
      <c r="CP33" s="9">
        <v>-5.5168699473142624E-2</v>
      </c>
      <c r="CQ33" s="9">
        <v>0.35569363832473755</v>
      </c>
      <c r="CR33">
        <v>-10.498658173043079</v>
      </c>
      <c r="CS33">
        <v>-17.339309637746116</v>
      </c>
      <c r="CT33">
        <v>0</v>
      </c>
      <c r="CU33" s="8">
        <v>-6.0548305511474608E-3</v>
      </c>
      <c r="CV33" s="9">
        <v>-1.9161892019212245</v>
      </c>
      <c r="CW33">
        <v>0.06</v>
      </c>
      <c r="CX33" t="e">
        <v>#VALUE!</v>
      </c>
      <c r="CY33" t="s">
        <v>727</v>
      </c>
      <c r="CZ33">
        <v>-6.0548305511474608E-3</v>
      </c>
      <c r="DA33" t="e">
        <v>#VALUE!</v>
      </c>
      <c r="DB33" t="s">
        <v>728</v>
      </c>
      <c r="DC33">
        <v>-5.7520890235900875E-3</v>
      </c>
      <c r="DD33" t="e">
        <v>#VALUE!</v>
      </c>
      <c r="DE33" t="s">
        <v>728</v>
      </c>
      <c r="DF33">
        <v>-5.3282508850097656E-3</v>
      </c>
      <c r="DG33" t="e">
        <v>#VALUE!</v>
      </c>
      <c r="DH33" t="s">
        <v>728</v>
      </c>
      <c r="DI33">
        <v>-4.8438644409179686E-3</v>
      </c>
      <c r="DJ33" t="e">
        <v>#VALUE!</v>
      </c>
      <c r="DK33" t="s">
        <v>728</v>
      </c>
      <c r="DL33">
        <v>-4.2383813858032221E-3</v>
      </c>
      <c r="DM33">
        <v>-389000000</v>
      </c>
      <c r="DN33">
        <v>-6.0548305511474608E-3</v>
      </c>
      <c r="DO33">
        <v>6115506900</v>
      </c>
      <c r="DP33">
        <v>-3329213400</v>
      </c>
      <c r="DQ33">
        <v>1637</v>
      </c>
      <c r="DR33">
        <v>-2.7901026834251521E-2</v>
      </c>
      <c r="DS33">
        <v>-6.9437986752636371</v>
      </c>
      <c r="DT33" s="10">
        <v>-0.59</v>
      </c>
      <c r="DU33">
        <v>-1.9983333333333333</v>
      </c>
      <c r="DV33">
        <v>-2.5883333333333334</v>
      </c>
      <c r="DW33">
        <v>5.1066666666666665</v>
      </c>
      <c r="DX33">
        <v>1.9569665732484145</v>
      </c>
      <c r="DY33">
        <v>5.0263431011464972</v>
      </c>
      <c r="DZ33">
        <v>4662</v>
      </c>
      <c r="EA33">
        <v>5.0023095321553095</v>
      </c>
      <c r="EB33">
        <v>5</v>
      </c>
      <c r="EC33">
        <v>0.1172689502260808</v>
      </c>
      <c r="ED33">
        <v>0.47483736253250425</v>
      </c>
      <c r="EE33" s="11">
        <v>-3.1123099999999999</v>
      </c>
      <c r="EF33">
        <v>-3.13361</v>
      </c>
      <c r="EG33">
        <v>171.24696657324841</v>
      </c>
      <c r="EH33" t="s">
        <v>1686</v>
      </c>
      <c r="EI33">
        <v>1</v>
      </c>
      <c r="EJ33">
        <v>0</v>
      </c>
      <c r="EK33" s="12">
        <v>45470</v>
      </c>
      <c r="EL33">
        <v>0.6</v>
      </c>
      <c r="EM33">
        <v>-4.2</v>
      </c>
      <c r="EN33">
        <v>0</v>
      </c>
      <c r="EO33">
        <v>3.13</v>
      </c>
      <c r="EP33">
        <v>-2.13</v>
      </c>
    </row>
    <row r="34" spans="1:146" ht="96" x14ac:dyDescent="0.25">
      <c r="A34" s="7"/>
      <c r="B34" s="7"/>
      <c r="C34" s="7" t="str">
        <f>""&amp;CHAR(10)&amp;Basic_Fundamental_Information_Constructure(F34)&amp;CHAR(10)&amp;Basic_Fundamental_Information_Concatenate("")</f>
        <v xml:space="preserve">
市值109.276147亿, 利润3.83亿; PE25.54; 平均PE67.58; 平均PEG3.08, PB3.82; ROIC10.1833%; ROE11.8567%; 股利率2.8883%; 毛利70.14%; 净利16.37%; 上一年度营收增7.59%, 利润增40.29%; 当季营收增35.69%, 利润增46.14%; 过往5年营收增21.91%, 利润增92.94%
Income profile:
</v>
      </c>
      <c r="D34" t="s">
        <v>238</v>
      </c>
      <c r="E34" t="s">
        <v>44</v>
      </c>
      <c r="F34">
        <v>15.58</v>
      </c>
      <c r="G34">
        <v>5.56</v>
      </c>
      <c r="H34" t="s">
        <v>2107</v>
      </c>
      <c r="I34">
        <v>10927614700</v>
      </c>
      <c r="J34">
        <v>25.54</v>
      </c>
      <c r="K34">
        <v>3.82</v>
      </c>
      <c r="L34" t="s">
        <v>114</v>
      </c>
      <c r="M34" t="s">
        <v>1378</v>
      </c>
      <c r="N34" t="s">
        <v>2108</v>
      </c>
      <c r="O34" t="s">
        <v>1130</v>
      </c>
      <c r="P34">
        <v>35.75</v>
      </c>
      <c r="Q34" t="s">
        <v>1379</v>
      </c>
      <c r="R34">
        <v>142415330</v>
      </c>
      <c r="S34" s="5">
        <v>0.46139999999999998</v>
      </c>
      <c r="T34" t="s">
        <v>734</v>
      </c>
      <c r="U34">
        <v>601194960</v>
      </c>
      <c r="V34">
        <v>701387340</v>
      </c>
      <c r="W34">
        <v>1.33</v>
      </c>
      <c r="X34">
        <v>0.18</v>
      </c>
      <c r="Y34">
        <v>21.42</v>
      </c>
      <c r="Z34" t="s">
        <v>1084</v>
      </c>
      <c r="AA34" t="s">
        <v>449</v>
      </c>
      <c r="AB34" t="s">
        <v>231</v>
      </c>
      <c r="AC34" t="s">
        <v>2109</v>
      </c>
      <c r="AD34" t="s">
        <v>53</v>
      </c>
      <c r="AE34">
        <v>-1020379</v>
      </c>
      <c r="AF34" t="s">
        <v>1380</v>
      </c>
      <c r="AG34" t="s">
        <v>2110</v>
      </c>
      <c r="AH34" t="s">
        <v>1381</v>
      </c>
      <c r="AI34" t="s">
        <v>2111</v>
      </c>
      <c r="AJ34" t="s">
        <v>1382</v>
      </c>
      <c r="AK34" t="s">
        <v>53</v>
      </c>
      <c r="AL34" t="s">
        <v>1383</v>
      </c>
      <c r="AM34" t="s">
        <v>53</v>
      </c>
      <c r="AN34" t="s">
        <v>1541</v>
      </c>
      <c r="AO34" t="s">
        <v>2112</v>
      </c>
      <c r="AP34" t="s">
        <v>2113</v>
      </c>
      <c r="AQ34" t="s">
        <v>994</v>
      </c>
      <c r="AR34" t="s">
        <v>2114</v>
      </c>
      <c r="AS34" t="s">
        <v>2115</v>
      </c>
      <c r="AT34" t="s">
        <v>53</v>
      </c>
      <c r="AU34" t="s">
        <v>2116</v>
      </c>
      <c r="AV34" t="s">
        <v>2117</v>
      </c>
      <c r="AW34" t="s">
        <v>2118</v>
      </c>
      <c r="AX34" t="s">
        <v>842</v>
      </c>
      <c r="AY34" t="s">
        <v>662</v>
      </c>
      <c r="AZ34" t="s">
        <v>473</v>
      </c>
      <c r="BA34" t="s">
        <v>239</v>
      </c>
      <c r="BB34" t="s">
        <v>459</v>
      </c>
      <c r="BC34" t="s">
        <v>185</v>
      </c>
      <c r="BD34" t="s">
        <v>397</v>
      </c>
      <c r="BE34" t="s">
        <v>474</v>
      </c>
      <c r="BF34" t="s">
        <v>240</v>
      </c>
      <c r="BG34" t="s">
        <v>475</v>
      </c>
      <c r="BH34" t="s">
        <v>1379</v>
      </c>
      <c r="BI34" t="s">
        <v>1386</v>
      </c>
      <c r="BJ34" t="s">
        <v>842</v>
      </c>
      <c r="BK34" t="s">
        <v>734</v>
      </c>
      <c r="BL34" t="s">
        <v>1387</v>
      </c>
      <c r="BM34" t="s">
        <v>185</v>
      </c>
      <c r="BN34">
        <v>9.69</v>
      </c>
      <c r="BO34">
        <v>11.42</v>
      </c>
      <c r="BP34">
        <v>9.44</v>
      </c>
      <c r="BQ34">
        <v>10.42</v>
      </c>
      <c r="BR34">
        <v>14.32</v>
      </c>
      <c r="BS34">
        <v>10.83</v>
      </c>
      <c r="BT34" t="s">
        <v>1388</v>
      </c>
      <c r="BU34" t="s">
        <v>114</v>
      </c>
      <c r="BV34">
        <v>68.42</v>
      </c>
      <c r="BW34">
        <v>70.569999999999993</v>
      </c>
      <c r="BX34">
        <v>71.430000000000007</v>
      </c>
      <c r="BY34">
        <v>20.12</v>
      </c>
      <c r="BZ34">
        <v>15.82</v>
      </c>
      <c r="CA34">
        <v>13.17</v>
      </c>
      <c r="CB34">
        <v>3.04</v>
      </c>
      <c r="CC34">
        <v>3.38</v>
      </c>
      <c r="CD34" t="s">
        <v>2119</v>
      </c>
      <c r="CE34" t="s">
        <v>1052</v>
      </c>
      <c r="CF34" s="8">
        <v>0.35685483870967744</v>
      </c>
      <c r="CG34" s="9">
        <v>0.46135051603515914</v>
      </c>
      <c r="CH34" s="8">
        <v>7.590031623840332E-2</v>
      </c>
      <c r="CI34" s="8">
        <v>0.23884695768356323</v>
      </c>
      <c r="CJ34" s="8">
        <v>0.33547189831733704</v>
      </c>
      <c r="CK34" s="8">
        <v>0.19758513569831848</v>
      </c>
      <c r="CL34" s="8">
        <v>0.24794520437717438</v>
      </c>
      <c r="CM34" s="9">
        <v>0.40293040871620178</v>
      </c>
      <c r="CN34" s="9">
        <v>0.52513968944549561</v>
      </c>
      <c r="CO34" s="9">
        <v>1.0157248973846436</v>
      </c>
      <c r="CP34" s="9">
        <v>2.4697961807250977</v>
      </c>
      <c r="CQ34" s="9">
        <v>0.2332809716463089</v>
      </c>
      <c r="CR34">
        <v>67.583292789624338</v>
      </c>
      <c r="CS34">
        <v>3.0838842285611907</v>
      </c>
      <c r="CT34">
        <v>2.8883183568677793</v>
      </c>
      <c r="CU34" s="8">
        <v>0.21914990246295929</v>
      </c>
      <c r="CV34" s="9">
        <v>0.92937442958354954</v>
      </c>
      <c r="CW34">
        <v>0.06</v>
      </c>
      <c r="CX34">
        <v>20.139684134147455</v>
      </c>
      <c r="CY34">
        <v>440504162.87105036</v>
      </c>
      <c r="CZ34">
        <v>0.21914990246295929</v>
      </c>
      <c r="DA34">
        <v>5.9094468384490657</v>
      </c>
      <c r="DB34">
        <v>1501259752.8211887</v>
      </c>
      <c r="DC34">
        <v>0.20819240733981131</v>
      </c>
      <c r="DD34">
        <v>2.5025201745316594</v>
      </c>
      <c r="DE34">
        <v>3545072199.7317367</v>
      </c>
      <c r="DF34">
        <v>0.19285191416740419</v>
      </c>
      <c r="DG34">
        <v>1.2565804769430537</v>
      </c>
      <c r="DH34">
        <v>7060124570.4393091</v>
      </c>
      <c r="DI34">
        <v>0.17531992197036744</v>
      </c>
      <c r="DJ34">
        <v>0.42497064272670326</v>
      </c>
      <c r="DK34">
        <v>20875829546.901894</v>
      </c>
      <c r="DL34">
        <v>0.15340493172407149</v>
      </c>
      <c r="DM34">
        <v>383000000</v>
      </c>
      <c r="DN34">
        <v>0.21914990246295929</v>
      </c>
      <c r="DO34">
        <v>8871614700</v>
      </c>
      <c r="DP34">
        <v>1354006900</v>
      </c>
      <c r="DQ34">
        <v>1669</v>
      </c>
      <c r="DR34">
        <v>0.13770493624671815</v>
      </c>
      <c r="DS34">
        <v>-0.4680239135483904</v>
      </c>
      <c r="DT34" s="10">
        <v>5.9999999999999908E-2</v>
      </c>
      <c r="DU34">
        <v>1.4116666666666668</v>
      </c>
      <c r="DV34">
        <v>1.4716666666666667</v>
      </c>
      <c r="DW34">
        <v>8.8994082840236679</v>
      </c>
      <c r="DX34">
        <v>0.43536967213114591</v>
      </c>
      <c r="DY34">
        <v>8.1307466873605581</v>
      </c>
      <c r="DZ34">
        <v>59</v>
      </c>
      <c r="EA34">
        <v>8.1292370876434799</v>
      </c>
      <c r="EB34">
        <v>8</v>
      </c>
      <c r="EC34">
        <v>0.10114297187057868</v>
      </c>
      <c r="ED34">
        <v>0.69576391270478311</v>
      </c>
      <c r="EE34" s="11">
        <v>1.01081</v>
      </c>
      <c r="EF34">
        <v>1.03481</v>
      </c>
      <c r="EG34">
        <v>29.145369672131146</v>
      </c>
      <c r="EH34" t="s">
        <v>712</v>
      </c>
      <c r="EI34">
        <v>0</v>
      </c>
      <c r="EJ34">
        <v>1</v>
      </c>
      <c r="EK34" s="12">
        <v>45470</v>
      </c>
      <c r="EL34">
        <v>3.34</v>
      </c>
      <c r="EM34">
        <v>-2.97</v>
      </c>
      <c r="EN34">
        <v>-1.26</v>
      </c>
      <c r="EO34">
        <v>3.78</v>
      </c>
      <c r="EP34">
        <v>-2.4</v>
      </c>
    </row>
    <row r="35" spans="1:146" ht="96" x14ac:dyDescent="0.25">
      <c r="A35" s="7"/>
      <c r="B35" s="7"/>
      <c r="C35" s="7" t="str">
        <f>""&amp;CHAR(10)&amp;Basic_Fundamental_Information_Constructure(F35)&amp;CHAR(10)&amp;Basic_Fundamental_Information_Concatenate("")</f>
        <v xml:space="preserve">
市值16.185528亿, 利润-6.06亿; PE; 平均PE-8.65; 平均PEG-.5, PB10.96; ROIC5.355%; ROE-3.9967%; 股利率0%; 毛利20.1767%; 净利-16.5167%; 上一年度营收增-25.82%, 利润增-2503.84%; 当季营收增-56.87%, 利润增-106.92%; 过往5年营收增17.37%, 利润增-642.08%
Income profile:
</v>
      </c>
      <c r="D35" t="s">
        <v>595</v>
      </c>
      <c r="E35" t="s">
        <v>844</v>
      </c>
      <c r="F35">
        <v>4.62</v>
      </c>
      <c r="G35">
        <v>20</v>
      </c>
      <c r="H35" t="s">
        <v>2120</v>
      </c>
      <c r="I35">
        <v>1618552800</v>
      </c>
      <c r="K35">
        <v>10.96</v>
      </c>
      <c r="L35" t="s">
        <v>114</v>
      </c>
      <c r="M35" t="s">
        <v>1389</v>
      </c>
      <c r="N35" t="s">
        <v>2121</v>
      </c>
      <c r="O35" t="s">
        <v>1390</v>
      </c>
      <c r="P35">
        <v>-56.8</v>
      </c>
      <c r="Q35" t="s">
        <v>1391</v>
      </c>
      <c r="R35">
        <v>-47505902</v>
      </c>
      <c r="S35" s="5">
        <v>-1.069</v>
      </c>
      <c r="T35" t="s">
        <v>1392</v>
      </c>
      <c r="U35">
        <v>350336110</v>
      </c>
      <c r="V35">
        <v>350336110</v>
      </c>
      <c r="W35">
        <v>3.67</v>
      </c>
      <c r="X35">
        <v>0.02</v>
      </c>
      <c r="Y35">
        <v>-137.28</v>
      </c>
      <c r="Z35" t="s">
        <v>2122</v>
      </c>
      <c r="AA35" t="s">
        <v>2123</v>
      </c>
      <c r="AB35" t="s">
        <v>2124</v>
      </c>
      <c r="AC35" t="s">
        <v>2125</v>
      </c>
      <c r="AD35" t="s">
        <v>53</v>
      </c>
      <c r="AE35">
        <v>12422196</v>
      </c>
      <c r="AF35" t="s">
        <v>124</v>
      </c>
      <c r="AG35">
        <v>5152.0600000000004</v>
      </c>
      <c r="AH35" t="s">
        <v>1393</v>
      </c>
      <c r="AI35" t="s">
        <v>2126</v>
      </c>
      <c r="AJ35" t="s">
        <v>1394</v>
      </c>
      <c r="AK35" t="s">
        <v>53</v>
      </c>
      <c r="AL35" t="s">
        <v>1395</v>
      </c>
      <c r="AM35" t="s">
        <v>53</v>
      </c>
      <c r="AN35" t="s">
        <v>2127</v>
      </c>
      <c r="AO35" t="s">
        <v>444</v>
      </c>
      <c r="AP35" t="s">
        <v>2128</v>
      </c>
      <c r="AQ35" t="s">
        <v>96</v>
      </c>
      <c r="AR35" t="s">
        <v>53</v>
      </c>
      <c r="AS35" t="s">
        <v>963</v>
      </c>
      <c r="AT35" t="s">
        <v>2129</v>
      </c>
      <c r="AU35" t="s">
        <v>2130</v>
      </c>
      <c r="AV35" t="s">
        <v>2131</v>
      </c>
      <c r="AW35" t="s">
        <v>2132</v>
      </c>
      <c r="AX35" t="s">
        <v>845</v>
      </c>
      <c r="AY35" t="s">
        <v>412</v>
      </c>
      <c r="AZ35" t="s">
        <v>596</v>
      </c>
      <c r="BA35" t="s">
        <v>70</v>
      </c>
      <c r="BB35" t="s">
        <v>418</v>
      </c>
      <c r="BC35" t="s">
        <v>846</v>
      </c>
      <c r="BD35" t="s">
        <v>663</v>
      </c>
      <c r="BE35" t="s">
        <v>597</v>
      </c>
      <c r="BF35" t="s">
        <v>598</v>
      </c>
      <c r="BG35" t="s">
        <v>257</v>
      </c>
      <c r="BH35" t="s">
        <v>1391</v>
      </c>
      <c r="BI35" t="s">
        <v>308</v>
      </c>
      <c r="BJ35" t="s">
        <v>845</v>
      </c>
      <c r="BK35" t="s">
        <v>1392</v>
      </c>
      <c r="BL35" t="s">
        <v>1396</v>
      </c>
      <c r="BM35" t="s">
        <v>846</v>
      </c>
      <c r="BN35" t="s">
        <v>53</v>
      </c>
      <c r="BO35">
        <v>3.06</v>
      </c>
      <c r="BP35">
        <v>7.65</v>
      </c>
      <c r="BQ35">
        <v>-15.6</v>
      </c>
      <c r="BR35">
        <v>-2.52</v>
      </c>
      <c r="BS35">
        <v>6.13</v>
      </c>
      <c r="BT35" t="s">
        <v>775</v>
      </c>
      <c r="BU35" t="s">
        <v>114</v>
      </c>
      <c r="BV35">
        <v>16.37</v>
      </c>
      <c r="BW35">
        <v>21.47</v>
      </c>
      <c r="BX35">
        <v>22.69</v>
      </c>
      <c r="BY35">
        <v>-59.06</v>
      </c>
      <c r="BZ35">
        <v>2.76</v>
      </c>
      <c r="CA35">
        <v>6.75</v>
      </c>
      <c r="CB35">
        <v>100</v>
      </c>
      <c r="CC35">
        <v>37.090000000000003</v>
      </c>
      <c r="CD35" t="s">
        <v>77</v>
      </c>
      <c r="CE35" t="s">
        <v>228</v>
      </c>
      <c r="CF35" s="8">
        <v>-0.56867299270072991</v>
      </c>
      <c r="CG35" s="9">
        <v>-1.0692436220767398</v>
      </c>
      <c r="CH35" s="8">
        <v>-0.25820431113243103</v>
      </c>
      <c r="CI35" s="8">
        <v>-0.31625738739967346</v>
      </c>
      <c r="CJ35" s="8">
        <v>0.94403272867202759</v>
      </c>
      <c r="CK35" s="8">
        <v>0.67586213350296021</v>
      </c>
      <c r="CL35" s="8">
        <v>-0.17707151174545288</v>
      </c>
      <c r="CM35" s="9">
        <v>-25.038421630859375</v>
      </c>
      <c r="CN35" s="9">
        <v>-1.4739545583724976</v>
      </c>
      <c r="CO35" s="9">
        <v>0.93935626745223999</v>
      </c>
      <c r="CP35" s="9">
        <v>1.0377910137176514</v>
      </c>
      <c r="CQ35" s="9">
        <v>-7.5686273574829102</v>
      </c>
      <c r="CR35">
        <v>-8.6488196807976294</v>
      </c>
      <c r="CS35">
        <v>-0.49799640863339362</v>
      </c>
      <c r="CT35">
        <v>0</v>
      </c>
      <c r="CU35" s="8">
        <v>0.1736723303794861</v>
      </c>
      <c r="CV35" s="9">
        <v>-6.4207712531089784</v>
      </c>
      <c r="CW35">
        <v>0.06</v>
      </c>
      <c r="CX35" t="e">
        <v>#VALUE!</v>
      </c>
      <c r="CY35" t="s">
        <v>727</v>
      </c>
      <c r="CZ35">
        <v>0.1736723303794861</v>
      </c>
      <c r="DA35" t="e">
        <v>#VALUE!</v>
      </c>
      <c r="DB35" t="s">
        <v>728</v>
      </c>
      <c r="DC35">
        <v>0.16498871386051178</v>
      </c>
      <c r="DD35" t="e">
        <v>#VALUE!</v>
      </c>
      <c r="DE35" t="s">
        <v>728</v>
      </c>
      <c r="DF35">
        <v>0.15283165073394778</v>
      </c>
      <c r="DG35" t="e">
        <v>#VALUE!</v>
      </c>
      <c r="DH35" t="s">
        <v>728</v>
      </c>
      <c r="DI35">
        <v>0.13893786430358887</v>
      </c>
      <c r="DJ35" t="e">
        <v>#VALUE!</v>
      </c>
      <c r="DK35" t="s">
        <v>728</v>
      </c>
      <c r="DL35">
        <v>0.12157063126564026</v>
      </c>
      <c r="DM35">
        <v>-606000000</v>
      </c>
      <c r="DN35">
        <v>0.1736723303794861</v>
      </c>
      <c r="DO35">
        <v>3110552800</v>
      </c>
      <c r="DP35">
        <v>160001000</v>
      </c>
      <c r="DQ35">
        <v>1864</v>
      </c>
      <c r="DR35">
        <v>-0.74234532308021595</v>
      </c>
      <c r="DS35">
        <v>5.3515276310322388</v>
      </c>
      <c r="DT35" s="10">
        <v>-0.35666666666666669</v>
      </c>
      <c r="DU35">
        <v>-2.4816666666666669</v>
      </c>
      <c r="DV35">
        <v>-2.8383333333333338</v>
      </c>
      <c r="DW35">
        <v>5.3708999999999998</v>
      </c>
      <c r="DX35">
        <v>0.99198511166253323</v>
      </c>
      <c r="DY35">
        <v>5.1490962779156328</v>
      </c>
      <c r="DZ35">
        <v>4851</v>
      </c>
      <c r="EA35">
        <v>5.0075569346340796</v>
      </c>
      <c r="EB35">
        <v>5</v>
      </c>
      <c r="EC35">
        <v>0.46241308096958661</v>
      </c>
      <c r="ED35">
        <v>1.1503238989552063</v>
      </c>
      <c r="EE35" s="11">
        <v>-4.0547000000000004</v>
      </c>
      <c r="EF35">
        <v>-4.0465</v>
      </c>
      <c r="EG35">
        <v>59.401985111662533</v>
      </c>
      <c r="EH35" t="s">
        <v>1010</v>
      </c>
      <c r="EI35">
        <v>1</v>
      </c>
      <c r="EJ35">
        <v>0</v>
      </c>
      <c r="EK35" s="12">
        <v>45470</v>
      </c>
      <c r="EL35">
        <v>-2.41</v>
      </c>
      <c r="EM35">
        <v>-4.12</v>
      </c>
      <c r="EN35">
        <v>-1.72</v>
      </c>
      <c r="EO35">
        <v>6.11</v>
      </c>
      <c r="EP35">
        <v>-0.82</v>
      </c>
    </row>
    <row r="36" spans="1:146" ht="96" x14ac:dyDescent="0.25">
      <c r="A36" s="7"/>
      <c r="B36" s="7"/>
      <c r="C36" s="7" t="str">
        <f>""&amp;CHAR(10)&amp;Basic_Fundamental_Information_Constructure(F36)&amp;CHAR(10)&amp;Basic_Fundamental_Information_Concatenate("")</f>
        <v xml:space="preserve">
市值17.888亿, 利润6435.65万; PE31.53; 平均PE18.89; 平均PEG39.65, PB2.06; ROIC9.7467%; ROE11.1867%; 股利率3.5778%; 毛利49.6067%; 净利30.1267%; 上一年度营收增-23.08%, 利润增-40.96%; 当季营收增9.43%, 利润增-25.01%; 过往5年营收增.48%, 利润增-3.61%
Income profile:
</v>
      </c>
      <c r="D36" t="s">
        <v>241</v>
      </c>
      <c r="E36" t="s">
        <v>27</v>
      </c>
      <c r="F36">
        <v>11.18</v>
      </c>
      <c r="G36">
        <v>5.37</v>
      </c>
      <c r="H36" t="s">
        <v>2133</v>
      </c>
      <c r="I36">
        <v>1788800000</v>
      </c>
      <c r="J36">
        <v>31.53</v>
      </c>
      <c r="K36">
        <v>2.06</v>
      </c>
      <c r="L36" t="s">
        <v>114</v>
      </c>
      <c r="M36" t="s">
        <v>1397</v>
      </c>
      <c r="N36" t="s">
        <v>832</v>
      </c>
      <c r="O36" t="s">
        <v>67</v>
      </c>
      <c r="P36">
        <v>8.94</v>
      </c>
      <c r="Q36" t="s">
        <v>425</v>
      </c>
      <c r="R36">
        <v>22830341</v>
      </c>
      <c r="S36" s="5">
        <v>-0.25009999999999999</v>
      </c>
      <c r="T36" t="s">
        <v>1398</v>
      </c>
      <c r="U36">
        <v>114100000</v>
      </c>
      <c r="V36">
        <v>160000000</v>
      </c>
      <c r="W36">
        <v>1.0900000000000001</v>
      </c>
      <c r="X36">
        <v>0.11</v>
      </c>
      <c r="Y36">
        <v>22.71</v>
      </c>
      <c r="Z36" t="s">
        <v>2134</v>
      </c>
      <c r="AA36" t="s">
        <v>2135</v>
      </c>
      <c r="AB36" t="s">
        <v>2136</v>
      </c>
      <c r="AC36" t="s">
        <v>2137</v>
      </c>
      <c r="AD36" t="s">
        <v>53</v>
      </c>
      <c r="AE36">
        <v>-1888989</v>
      </c>
      <c r="AF36" t="s">
        <v>1399</v>
      </c>
      <c r="AG36" t="s">
        <v>2138</v>
      </c>
      <c r="AH36" t="s">
        <v>1400</v>
      </c>
      <c r="AI36" t="s">
        <v>2139</v>
      </c>
      <c r="AJ36" t="s">
        <v>1402</v>
      </c>
      <c r="AK36" t="s">
        <v>53</v>
      </c>
      <c r="AL36" t="s">
        <v>1403</v>
      </c>
      <c r="AM36" t="s">
        <v>53</v>
      </c>
      <c r="AN36" t="s">
        <v>2140</v>
      </c>
      <c r="AO36" t="s">
        <v>53</v>
      </c>
      <c r="AP36" t="s">
        <v>53</v>
      </c>
      <c r="AQ36" t="s">
        <v>2141</v>
      </c>
      <c r="AR36" t="s">
        <v>53</v>
      </c>
      <c r="AS36" t="s">
        <v>2142</v>
      </c>
      <c r="AT36" t="s">
        <v>53</v>
      </c>
      <c r="AU36" t="s">
        <v>2143</v>
      </c>
      <c r="AV36" t="s">
        <v>2144</v>
      </c>
      <c r="AW36" t="s">
        <v>53</v>
      </c>
      <c r="AX36" t="s">
        <v>802</v>
      </c>
      <c r="AY36" t="s">
        <v>664</v>
      </c>
      <c r="AZ36" t="s">
        <v>132</v>
      </c>
      <c r="BA36" t="s">
        <v>190</v>
      </c>
      <c r="BB36" t="s">
        <v>206</v>
      </c>
      <c r="BC36" t="s">
        <v>847</v>
      </c>
      <c r="BD36" t="s">
        <v>147</v>
      </c>
      <c r="BE36" t="s">
        <v>476</v>
      </c>
      <c r="BF36" t="s">
        <v>243</v>
      </c>
      <c r="BG36" t="s">
        <v>477</v>
      </c>
      <c r="BH36" t="s">
        <v>425</v>
      </c>
      <c r="BI36" t="s">
        <v>1404</v>
      </c>
      <c r="BJ36" t="s">
        <v>802</v>
      </c>
      <c r="BK36" t="s">
        <v>1398</v>
      </c>
      <c r="BL36" t="s">
        <v>1405</v>
      </c>
      <c r="BM36" t="s">
        <v>847</v>
      </c>
      <c r="BN36">
        <v>5.59</v>
      </c>
      <c r="BO36">
        <v>11.74</v>
      </c>
      <c r="BP36">
        <v>11.91</v>
      </c>
      <c r="BQ36">
        <v>6.88</v>
      </c>
      <c r="BR36">
        <v>12.88</v>
      </c>
      <c r="BS36">
        <v>13.8</v>
      </c>
      <c r="BT36" t="s">
        <v>780</v>
      </c>
      <c r="BU36" t="s">
        <v>114</v>
      </c>
      <c r="BV36">
        <v>41.27</v>
      </c>
      <c r="BW36">
        <v>51.85</v>
      </c>
      <c r="BX36">
        <v>55.7</v>
      </c>
      <c r="BY36">
        <v>23.8</v>
      </c>
      <c r="BZ36">
        <v>30.96</v>
      </c>
      <c r="CA36">
        <v>35.619999999999997</v>
      </c>
      <c r="CB36">
        <v>3.04</v>
      </c>
      <c r="CC36">
        <v>-8.66</v>
      </c>
      <c r="CD36" t="s">
        <v>2145</v>
      </c>
      <c r="CE36" t="s">
        <v>2146</v>
      </c>
      <c r="CF36" s="8">
        <v>9.4296979198606232E-2</v>
      </c>
      <c r="CG36" s="9">
        <v>-0.25011936160918113</v>
      </c>
      <c r="CH36" s="8">
        <v>-0.23076923191547394</v>
      </c>
      <c r="CI36" s="8">
        <v>9.3457944691181183E-2</v>
      </c>
      <c r="CJ36" s="8">
        <v>0.13427561521530151</v>
      </c>
      <c r="CK36" s="8">
        <v>-2.7491409331560135E-2</v>
      </c>
      <c r="CL36" s="8">
        <v>5.4347824305295944E-2</v>
      </c>
      <c r="CM36" s="9">
        <v>-0.40957340598106384</v>
      </c>
      <c r="CN36" s="9">
        <v>-4.3859649449586868E-2</v>
      </c>
      <c r="CO36" s="9">
        <v>0.15178972482681274</v>
      </c>
      <c r="CP36" s="9">
        <v>5.4053865373134613E-2</v>
      </c>
      <c r="CQ36" s="9">
        <v>6.7104384303092957E-2</v>
      </c>
      <c r="CR36">
        <v>18.888146231082025</v>
      </c>
      <c r="CS36">
        <v>39.646425510398785</v>
      </c>
      <c r="CT36">
        <v>3.5778175313059033</v>
      </c>
      <c r="CU36" s="8">
        <v>4.7641485929489132E-3</v>
      </c>
      <c r="CV36" s="9">
        <v>-3.6097016185522079E-2</v>
      </c>
      <c r="CW36">
        <v>0.06</v>
      </c>
      <c r="CX36">
        <v>16.525190333804201</v>
      </c>
      <c r="CY36">
        <v>61002928.234832175</v>
      </c>
      <c r="CZ36">
        <v>4.7641485929489132E-3</v>
      </c>
      <c r="DA36">
        <v>5.8083758989220691</v>
      </c>
      <c r="DB36">
        <v>173557121.22334963</v>
      </c>
      <c r="DC36">
        <v>4.5259411633014673E-3</v>
      </c>
      <c r="DD36">
        <v>3.1413308404236888</v>
      </c>
      <c r="DE36">
        <v>320910165.5348196</v>
      </c>
      <c r="DF36">
        <v>4.1924507617950441E-3</v>
      </c>
      <c r="DG36">
        <v>2.0878508978132135</v>
      </c>
      <c r="DH36">
        <v>482833808.22637022</v>
      </c>
      <c r="DI36">
        <v>3.8113188743591308E-3</v>
      </c>
      <c r="DJ36">
        <v>1.3268654627723848</v>
      </c>
      <c r="DK36">
        <v>759749219.70889413</v>
      </c>
      <c r="DL36">
        <v>3.334904015064239E-3</v>
      </c>
      <c r="DM36">
        <v>64356500</v>
      </c>
      <c r="DN36">
        <v>4.7641485929489132E-3</v>
      </c>
      <c r="DO36">
        <v>1008085000</v>
      </c>
      <c r="DP36">
        <v>730557520</v>
      </c>
      <c r="DQ36">
        <v>1990</v>
      </c>
      <c r="DR36">
        <v>8.9532830605657324E-2</v>
      </c>
      <c r="DS36">
        <v>-0.21402234542365906</v>
      </c>
      <c r="DT36" s="10">
        <v>-0.60666666666666669</v>
      </c>
      <c r="DU36">
        <v>-0.25333333333333335</v>
      </c>
      <c r="DV36">
        <v>-0.8600000000000001</v>
      </c>
      <c r="DW36">
        <v>6.2598290598290598</v>
      </c>
      <c r="DX36">
        <v>0.95195972135759122</v>
      </c>
      <c r="DY36">
        <v>6.0498767139253902</v>
      </c>
      <c r="DZ36">
        <v>3419</v>
      </c>
      <c r="EA36">
        <v>6.0165051904594584</v>
      </c>
      <c r="EB36">
        <v>6</v>
      </c>
      <c r="EC36">
        <v>5.2804999999999998E-2</v>
      </c>
      <c r="ED36">
        <v>0.27508375000000002</v>
      </c>
      <c r="EE36" s="11">
        <v>-3.0255000000000001</v>
      </c>
      <c r="EF36">
        <v>-3.0164</v>
      </c>
      <c r="EG36">
        <v>76.191959721357591</v>
      </c>
      <c r="EH36" t="s">
        <v>985</v>
      </c>
      <c r="EI36">
        <v>0</v>
      </c>
      <c r="EJ36">
        <v>0</v>
      </c>
      <c r="EK36" s="12">
        <v>45470</v>
      </c>
      <c r="EL36">
        <v>1.01</v>
      </c>
      <c r="EM36">
        <v>-4.9000000000000004</v>
      </c>
      <c r="EN36">
        <v>0.86</v>
      </c>
      <c r="EO36">
        <v>3.79</v>
      </c>
      <c r="EP36">
        <v>-0.91</v>
      </c>
    </row>
    <row r="37" spans="1:146" ht="96" x14ac:dyDescent="0.25">
      <c r="A37" s="7"/>
      <c r="B37" s="7"/>
      <c r="C37" s="7" t="str">
        <f>""&amp;CHAR(10)&amp;Basic_Fundamental_Information_Constructure(F37)&amp;CHAR(10)&amp;Basic_Fundamental_Information_Concatenate("")</f>
        <v xml:space="preserve">
市值23.327231亿, 利润6164.77万; PE36.57; 平均PE118.4; 平均PEG2.37, PB3.56; ROIC5.29%; ROE2.9167%; 股利率.2601%; 毛利45.32%; 净利4.3%; 上一年度营收增35%, 利润增58.95%; 当季营收增-13.85%, 利润增10.68%; 过往5年营收增50.03%, 利润增-18.81%
Income profile:
</v>
      </c>
      <c r="D37" t="s">
        <v>245</v>
      </c>
      <c r="E37" t="s">
        <v>5</v>
      </c>
      <c r="F37">
        <v>7.69</v>
      </c>
      <c r="G37">
        <v>9.23</v>
      </c>
      <c r="H37" t="s">
        <v>2147</v>
      </c>
      <c r="I37">
        <v>2332723100</v>
      </c>
      <c r="J37">
        <v>36.57</v>
      </c>
      <c r="K37">
        <v>3.56</v>
      </c>
      <c r="L37" t="s">
        <v>114</v>
      </c>
      <c r="M37" t="s">
        <v>1406</v>
      </c>
      <c r="N37" t="s">
        <v>2148</v>
      </c>
      <c r="O37" t="s">
        <v>366</v>
      </c>
      <c r="P37">
        <v>-13.97</v>
      </c>
      <c r="Q37" t="s">
        <v>1407</v>
      </c>
      <c r="R37">
        <v>22141028</v>
      </c>
      <c r="S37" s="5">
        <v>0.10680000000000001</v>
      </c>
      <c r="T37" t="s">
        <v>1408</v>
      </c>
      <c r="U37">
        <v>300897750</v>
      </c>
      <c r="V37">
        <v>303345000</v>
      </c>
      <c r="W37">
        <v>1.93</v>
      </c>
      <c r="X37">
        <v>0.18</v>
      </c>
      <c r="Y37">
        <v>12.08</v>
      </c>
      <c r="Z37" t="s">
        <v>1122</v>
      </c>
      <c r="AA37" t="s">
        <v>2149</v>
      </c>
      <c r="AB37" t="s">
        <v>59</v>
      </c>
      <c r="AC37" t="s">
        <v>2150</v>
      </c>
      <c r="AD37" t="s">
        <v>53</v>
      </c>
      <c r="AE37">
        <v>-457685</v>
      </c>
      <c r="AF37" t="s">
        <v>124</v>
      </c>
      <c r="AG37" t="s">
        <v>2151</v>
      </c>
      <c r="AH37" t="s">
        <v>1409</v>
      </c>
      <c r="AI37" t="s">
        <v>1690</v>
      </c>
      <c r="AJ37" t="s">
        <v>1410</v>
      </c>
      <c r="AK37" t="s">
        <v>2152</v>
      </c>
      <c r="AL37" t="s">
        <v>1411</v>
      </c>
      <c r="AM37" t="s">
        <v>53</v>
      </c>
      <c r="AN37" t="s">
        <v>73</v>
      </c>
      <c r="AO37" t="s">
        <v>2153</v>
      </c>
      <c r="AP37" t="s">
        <v>53</v>
      </c>
      <c r="AQ37" t="s">
        <v>58</v>
      </c>
      <c r="AR37" t="s">
        <v>2154</v>
      </c>
      <c r="AS37" t="s">
        <v>2155</v>
      </c>
      <c r="AT37" t="s">
        <v>90</v>
      </c>
      <c r="AU37" t="s">
        <v>2156</v>
      </c>
      <c r="AV37" t="s">
        <v>2157</v>
      </c>
      <c r="AW37" t="s">
        <v>2158</v>
      </c>
      <c r="AX37" t="s">
        <v>995</v>
      </c>
      <c r="AY37" t="s">
        <v>665</v>
      </c>
      <c r="AZ37" t="s">
        <v>366</v>
      </c>
      <c r="BA37" t="s">
        <v>246</v>
      </c>
      <c r="BB37" t="s">
        <v>215</v>
      </c>
      <c r="BC37" t="s">
        <v>1412</v>
      </c>
      <c r="BD37" t="s">
        <v>666</v>
      </c>
      <c r="BE37" t="s">
        <v>478</v>
      </c>
      <c r="BF37" t="s">
        <v>247</v>
      </c>
      <c r="BG37" t="s">
        <v>479</v>
      </c>
      <c r="BH37" t="s">
        <v>1407</v>
      </c>
      <c r="BI37" t="s">
        <v>982</v>
      </c>
      <c r="BJ37" t="s">
        <v>995</v>
      </c>
      <c r="BK37" t="s">
        <v>1408</v>
      </c>
      <c r="BL37" t="s">
        <v>1413</v>
      </c>
      <c r="BM37" t="s">
        <v>1412</v>
      </c>
      <c r="BN37">
        <v>7.1</v>
      </c>
      <c r="BO37">
        <v>3.48</v>
      </c>
      <c r="BP37" t="s">
        <v>53</v>
      </c>
      <c r="BQ37">
        <v>6.49</v>
      </c>
      <c r="BR37">
        <v>3.52</v>
      </c>
      <c r="BS37">
        <v>-1.26</v>
      </c>
      <c r="BT37" t="s">
        <v>1414</v>
      </c>
      <c r="BU37" t="s">
        <v>114</v>
      </c>
      <c r="BV37">
        <v>64.239999999999995</v>
      </c>
      <c r="BW37">
        <v>39.619999999999997</v>
      </c>
      <c r="BX37">
        <v>32.1</v>
      </c>
      <c r="BY37">
        <v>7.76</v>
      </c>
      <c r="BZ37">
        <v>7.33</v>
      </c>
      <c r="CA37">
        <v>-2.19</v>
      </c>
      <c r="CB37">
        <v>8.6199999999999992</v>
      </c>
      <c r="CC37">
        <v>-0.65</v>
      </c>
      <c r="CD37" t="s">
        <v>2159</v>
      </c>
      <c r="CE37" t="s">
        <v>298</v>
      </c>
      <c r="CF37" s="8">
        <v>-0.13851351351351363</v>
      </c>
      <c r="CG37" s="9">
        <v>0.10675810910108821</v>
      </c>
      <c r="CH37" s="8">
        <v>0.34999999403953552</v>
      </c>
      <c r="CI37" s="8">
        <v>1.7777777910232544</v>
      </c>
      <c r="CJ37" s="8">
        <v>0.12941177189350128</v>
      </c>
      <c r="CK37" s="8">
        <v>6.6945604979991913E-2</v>
      </c>
      <c r="CL37" s="8">
        <v>0.17733989655971527</v>
      </c>
      <c r="CM37" s="9">
        <v>0.58946865797042847</v>
      </c>
      <c r="CN37" s="9">
        <v>5.2591972351074219</v>
      </c>
      <c r="CO37" s="9">
        <v>-5.973076343536377</v>
      </c>
      <c r="CP37" s="9">
        <v>-0.85669338703155518</v>
      </c>
      <c r="CQ37" s="9">
        <v>4.0699474513530731E-2</v>
      </c>
      <c r="CR37">
        <v>118.3993181798956</v>
      </c>
      <c r="CS37">
        <v>2.3665900201116279</v>
      </c>
      <c r="CT37">
        <v>0.26007802340702213</v>
      </c>
      <c r="CU37" s="8">
        <v>0.50029501169919965</v>
      </c>
      <c r="CV37" s="9">
        <v>-0.1880808725953102</v>
      </c>
      <c r="CW37">
        <v>0.06</v>
      </c>
      <c r="CX37">
        <v>25.393806571894629</v>
      </c>
      <c r="CY37">
        <v>87254468.672385618</v>
      </c>
      <c r="CZ37">
        <v>0.50029501169919965</v>
      </c>
      <c r="DA37">
        <v>5.9657025317570209</v>
      </c>
      <c r="DB37">
        <v>371410255.23902959</v>
      </c>
      <c r="DC37">
        <v>0.47528026111423965</v>
      </c>
      <c r="DD37">
        <v>1.7930544413258305</v>
      </c>
      <c r="DE37">
        <v>1235725502.2115433</v>
      </c>
      <c r="DF37">
        <v>0.4402596102952957</v>
      </c>
      <c r="DG37">
        <v>0.57535017473348082</v>
      </c>
      <c r="DH37">
        <v>3851086168.5692339</v>
      </c>
      <c r="DI37">
        <v>0.40023600935935977</v>
      </c>
      <c r="DJ37">
        <v>6.1583922544119742E-2</v>
      </c>
      <c r="DK37">
        <v>35978921258.427788</v>
      </c>
      <c r="DL37">
        <v>0.35020650818943971</v>
      </c>
      <c r="DM37">
        <v>61647700.000000007</v>
      </c>
      <c r="DN37">
        <v>0.50029501169919965</v>
      </c>
      <c r="DO37">
        <v>2215723100</v>
      </c>
      <c r="DP37">
        <v>193322280</v>
      </c>
      <c r="DQ37">
        <v>2003</v>
      </c>
      <c r="DR37">
        <v>-0.63880852521271325</v>
      </c>
      <c r="DS37">
        <v>0.29483898169639844</v>
      </c>
      <c r="DT37" s="10">
        <v>0.12666666666666662</v>
      </c>
      <c r="DU37">
        <v>-0.16333333333333336</v>
      </c>
      <c r="DV37">
        <v>-3.6666666666666736E-2</v>
      </c>
      <c r="DW37">
        <v>5.0754060324825989</v>
      </c>
      <c r="DX37">
        <v>1.3710070312499938</v>
      </c>
      <c r="DY37">
        <v>5.0204355650014501</v>
      </c>
      <c r="DZ37">
        <v>1798</v>
      </c>
      <c r="EA37">
        <v>5.0132451254960477</v>
      </c>
      <c r="EB37">
        <v>5</v>
      </c>
      <c r="EC37">
        <v>0.11435461273467504</v>
      </c>
      <c r="ED37">
        <v>0.42196179267830358</v>
      </c>
      <c r="EE37" s="11">
        <v>-3.08291</v>
      </c>
      <c r="EF37">
        <v>-3.10101</v>
      </c>
      <c r="EG37">
        <v>110.27100703124999</v>
      </c>
      <c r="EH37" t="s">
        <v>1686</v>
      </c>
      <c r="EI37">
        <v>1</v>
      </c>
      <c r="EJ37">
        <v>0</v>
      </c>
      <c r="EK37" s="12">
        <v>45470</v>
      </c>
      <c r="EL37">
        <v>0.41</v>
      </c>
      <c r="EM37">
        <v>-4.5199999999999996</v>
      </c>
      <c r="EN37">
        <v>0.56999999999999995</v>
      </c>
      <c r="EO37">
        <v>2.2799999999999998</v>
      </c>
      <c r="EP37">
        <v>-1.81</v>
      </c>
    </row>
    <row r="38" spans="1:146" ht="96" x14ac:dyDescent="0.25">
      <c r="A38" s="7"/>
      <c r="B38" s="7"/>
      <c r="C38" s="7" t="str">
        <f>""&amp;CHAR(10)&amp;Basic_Fundamental_Information_Constructure(F38)&amp;CHAR(10)&amp;Basic_Fundamental_Information_Concatenate("")</f>
        <v xml:space="preserve">
市值22.008129亿, 利润-1.75亿; PE; 平均PE41.25; 平均PEG3.02, PB1.61; ROIC4.55%; ROE5%; 股利率1.6447%; 毛利58.89%; 净利7.5167%; 上一年度营收增74.44%, 利润增-458.53%; 当季营收增-53.16%, 利润增49.03%; 过往5年营收增13.64%, 利润增-97.1%
Income profile:
</v>
      </c>
      <c r="D38" t="s">
        <v>248</v>
      </c>
      <c r="E38" t="s">
        <v>249</v>
      </c>
      <c r="F38">
        <v>15.2</v>
      </c>
      <c r="G38">
        <v>7.42</v>
      </c>
      <c r="H38" t="s">
        <v>2160</v>
      </c>
      <c r="I38">
        <v>2200812900</v>
      </c>
      <c r="K38">
        <v>1.61</v>
      </c>
      <c r="L38" t="s">
        <v>114</v>
      </c>
      <c r="M38" t="s">
        <v>1415</v>
      </c>
      <c r="N38" t="s">
        <v>2161</v>
      </c>
      <c r="O38" t="s">
        <v>81</v>
      </c>
      <c r="P38">
        <v>2.15</v>
      </c>
      <c r="Q38" t="s">
        <v>2162</v>
      </c>
      <c r="R38">
        <v>24334978</v>
      </c>
      <c r="S38" s="5">
        <v>-0.1159</v>
      </c>
      <c r="T38" t="s">
        <v>2163</v>
      </c>
      <c r="U38">
        <v>77742523</v>
      </c>
      <c r="V38">
        <v>144790320</v>
      </c>
      <c r="W38">
        <v>1.26</v>
      </c>
      <c r="X38">
        <v>0.11</v>
      </c>
      <c r="Y38">
        <v>12.2</v>
      </c>
      <c r="Z38" t="s">
        <v>87</v>
      </c>
      <c r="AA38" t="s">
        <v>257</v>
      </c>
      <c r="AB38" t="s">
        <v>2164</v>
      </c>
      <c r="AC38" t="s">
        <v>2165</v>
      </c>
      <c r="AD38" t="s">
        <v>53</v>
      </c>
      <c r="AE38">
        <v>956967</v>
      </c>
      <c r="AF38" t="s">
        <v>1418</v>
      </c>
      <c r="AG38" t="s">
        <v>2166</v>
      </c>
      <c r="AH38" t="s">
        <v>1419</v>
      </c>
      <c r="AI38" t="s">
        <v>1322</v>
      </c>
      <c r="AJ38" t="s">
        <v>1420</v>
      </c>
      <c r="AK38" t="s">
        <v>53</v>
      </c>
      <c r="AL38" t="s">
        <v>1421</v>
      </c>
      <c r="AM38" t="s">
        <v>53</v>
      </c>
      <c r="AN38" t="s">
        <v>678</v>
      </c>
      <c r="AO38" t="s">
        <v>2167</v>
      </c>
      <c r="AP38" t="s">
        <v>2168</v>
      </c>
      <c r="AQ38" t="s">
        <v>2169</v>
      </c>
      <c r="AR38" t="s">
        <v>2170</v>
      </c>
      <c r="AS38" t="s">
        <v>1005</v>
      </c>
      <c r="AT38" t="s">
        <v>82</v>
      </c>
      <c r="AU38" t="s">
        <v>2171</v>
      </c>
      <c r="AV38" t="s">
        <v>1285</v>
      </c>
      <c r="AW38" t="s">
        <v>2172</v>
      </c>
      <c r="AX38" t="s">
        <v>1422</v>
      </c>
      <c r="AY38" t="s">
        <v>380</v>
      </c>
      <c r="AZ38" t="s">
        <v>237</v>
      </c>
      <c r="BA38" t="s">
        <v>251</v>
      </c>
      <c r="BB38" t="s">
        <v>250</v>
      </c>
      <c r="BC38" t="s">
        <v>1423</v>
      </c>
      <c r="BD38" t="s">
        <v>667</v>
      </c>
      <c r="BE38" t="s">
        <v>88</v>
      </c>
      <c r="BF38" t="s">
        <v>213</v>
      </c>
      <c r="BG38" t="s">
        <v>480</v>
      </c>
      <c r="BH38" t="s">
        <v>1416</v>
      </c>
      <c r="BI38" t="s">
        <v>2173</v>
      </c>
      <c r="BJ38" t="s">
        <v>1422</v>
      </c>
      <c r="BK38" t="s">
        <v>1417</v>
      </c>
      <c r="BL38" t="s">
        <v>2174</v>
      </c>
      <c r="BM38" t="s">
        <v>1423</v>
      </c>
      <c r="BN38">
        <v>4.1399999999999997</v>
      </c>
      <c r="BO38">
        <v>2.99</v>
      </c>
      <c r="BP38">
        <v>6.52</v>
      </c>
      <c r="BQ38">
        <v>4.84</v>
      </c>
      <c r="BR38">
        <v>3.18</v>
      </c>
      <c r="BS38">
        <v>6.98</v>
      </c>
      <c r="BT38" t="s">
        <v>1171</v>
      </c>
      <c r="BU38" t="s">
        <v>114</v>
      </c>
      <c r="BV38">
        <v>50.39</v>
      </c>
      <c r="BW38">
        <v>58.57</v>
      </c>
      <c r="BX38">
        <v>67.709999999999994</v>
      </c>
      <c r="BY38">
        <v>-1.19</v>
      </c>
      <c r="BZ38">
        <v>8.49</v>
      </c>
      <c r="CA38">
        <v>15.25</v>
      </c>
      <c r="CB38">
        <v>4.54</v>
      </c>
      <c r="CC38">
        <v>-10.38</v>
      </c>
      <c r="CD38" t="s">
        <v>2175</v>
      </c>
      <c r="CE38" t="s">
        <v>2176</v>
      </c>
      <c r="CF38" s="8">
        <v>-0.53161592505854793</v>
      </c>
      <c r="CG38" s="9">
        <v>0.49028286923345438</v>
      </c>
      <c r="CH38" s="8">
        <v>0.74436092376708984</v>
      </c>
      <c r="CI38" s="8">
        <v>-0.15955765545368195</v>
      </c>
      <c r="CJ38" s="8">
        <v>1.6051365062594414E-2</v>
      </c>
      <c r="CK38" s="8">
        <v>-2.9595015570521355E-2</v>
      </c>
      <c r="CL38" s="8">
        <v>0.11072664707899094</v>
      </c>
      <c r="CM38" s="9">
        <v>-4.5853161811828613</v>
      </c>
      <c r="CN38" s="9">
        <v>-0.49417069554328918</v>
      </c>
      <c r="CO38" s="9">
        <v>-0.29047501087188721</v>
      </c>
      <c r="CP38" s="9">
        <v>7.9365082085132599E-2</v>
      </c>
      <c r="CQ38" s="9">
        <v>0.43546059727668762</v>
      </c>
      <c r="CR38">
        <v>41.254631699409806</v>
      </c>
      <c r="CS38">
        <v>3.0245940294998701</v>
      </c>
      <c r="CT38">
        <v>1.6447368421052633</v>
      </c>
      <c r="CU38" s="8">
        <v>0.13639725297689437</v>
      </c>
      <c r="CV38" s="9">
        <v>-0.97102724164724352</v>
      </c>
      <c r="CW38">
        <v>0.06</v>
      </c>
      <c r="CX38" t="e">
        <v>#VALUE!</v>
      </c>
      <c r="CY38" t="s">
        <v>728</v>
      </c>
      <c r="CZ38">
        <v>0.13639725297689437</v>
      </c>
      <c r="DA38" t="e">
        <v>#VALUE!</v>
      </c>
      <c r="DB38" t="s">
        <v>728</v>
      </c>
      <c r="DC38">
        <v>0.12957739032804963</v>
      </c>
      <c r="DD38" t="e">
        <v>#VALUE!</v>
      </c>
      <c r="DE38" t="s">
        <v>728</v>
      </c>
      <c r="DF38">
        <v>0.12002958261966705</v>
      </c>
      <c r="DG38" t="e">
        <v>#VALUE!</v>
      </c>
      <c r="DH38" t="s">
        <v>728</v>
      </c>
      <c r="DI38">
        <v>0.1091178023815155</v>
      </c>
      <c r="DJ38" t="e">
        <v>#VALUE!</v>
      </c>
      <c r="DK38" t="s">
        <v>728</v>
      </c>
      <c r="DL38">
        <v>9.5478077083826052E-2</v>
      </c>
      <c r="DM38">
        <v>-175000000</v>
      </c>
      <c r="DN38">
        <v>0.13639725297689437</v>
      </c>
      <c r="DO38">
        <v>1456812900</v>
      </c>
      <c r="DP38">
        <v>578357160</v>
      </c>
      <c r="DQ38">
        <v>2334</v>
      </c>
      <c r="DR38">
        <v>-0.66801317803544236</v>
      </c>
      <c r="DS38">
        <v>1.4613101108806978</v>
      </c>
      <c r="DT38" s="10">
        <v>-0.25666666666666665</v>
      </c>
      <c r="DU38">
        <v>-0.49333333333333323</v>
      </c>
      <c r="DV38">
        <v>-0.74999999999999989</v>
      </c>
      <c r="DW38">
        <v>6.3042895442359246</v>
      </c>
      <c r="DX38">
        <v>1.0267568481168006</v>
      </c>
      <c r="DY38">
        <v>6.0568281561964001</v>
      </c>
      <c r="DZ38">
        <v>4084</v>
      </c>
      <c r="EA38">
        <v>6.0114101151188857</v>
      </c>
      <c r="EB38">
        <v>6</v>
      </c>
      <c r="EC38">
        <v>4.3499454935937709E-2</v>
      </c>
      <c r="ED38">
        <v>0.23292026704547653</v>
      </c>
      <c r="EE38" s="11">
        <v>1.141</v>
      </c>
      <c r="EF38">
        <v>1.121</v>
      </c>
      <c r="EG38">
        <v>84.186756848116801</v>
      </c>
      <c r="EH38" t="s">
        <v>729</v>
      </c>
      <c r="EI38">
        <v>0</v>
      </c>
      <c r="EJ38">
        <v>0</v>
      </c>
      <c r="EK38" s="12">
        <v>45470</v>
      </c>
      <c r="EL38">
        <v>-0.46</v>
      </c>
      <c r="EM38">
        <v>-5.89</v>
      </c>
      <c r="EN38">
        <v>2.84</v>
      </c>
      <c r="EO38">
        <v>4.47</v>
      </c>
      <c r="EP38">
        <v>-2</v>
      </c>
    </row>
    <row r="39" spans="1:146" ht="96" x14ac:dyDescent="0.25">
      <c r="A39" s="7"/>
      <c r="B39" s="7"/>
      <c r="C39" s="7" t="str">
        <f>""&amp;CHAR(10)&amp;Basic_Fundamental_Information_Constructure(F39)&amp;CHAR(10)&amp;Basic_Fundamental_Information_Concatenate("")</f>
        <v xml:space="preserve">
市值23.312亿, 利润4241.25万; PE76.63; 平均PE42.94; 平均PEG2.81, PB2.96; ROIC5.9967%; ROE8.2033%; 股利率.6863%; 毛利68.4633%; 净利13.09%; 上一年度营收增75.97%, 利润增26.91%; 当季营收增-44.38%, 利润增-33.66%; 过往5年营收增15.27%, 利润增-4.92%
Income profile:
</v>
      </c>
      <c r="D39" t="s">
        <v>668</v>
      </c>
      <c r="E39" t="s">
        <v>669</v>
      </c>
      <c r="F39">
        <v>14.57</v>
      </c>
      <c r="G39">
        <v>6.82</v>
      </c>
      <c r="H39" t="s">
        <v>2177</v>
      </c>
      <c r="I39">
        <v>2331200000</v>
      </c>
      <c r="J39">
        <v>76.63</v>
      </c>
      <c r="K39">
        <v>2.96</v>
      </c>
      <c r="L39" t="s">
        <v>114</v>
      </c>
      <c r="M39" t="s">
        <v>1424</v>
      </c>
      <c r="N39" t="s">
        <v>1232</v>
      </c>
      <c r="O39" t="s">
        <v>1425</v>
      </c>
      <c r="P39">
        <v>-10.220000000000001</v>
      </c>
      <c r="Q39" t="s">
        <v>1211</v>
      </c>
      <c r="R39">
        <v>11738168</v>
      </c>
      <c r="S39" s="5">
        <v>-0.20780000000000001</v>
      </c>
      <c r="T39" t="s">
        <v>2178</v>
      </c>
      <c r="U39">
        <v>70138480</v>
      </c>
      <c r="V39">
        <v>160000000</v>
      </c>
      <c r="W39">
        <v>1.1000000000000001</v>
      </c>
      <c r="X39">
        <v>0.08</v>
      </c>
      <c r="Y39">
        <v>16.11</v>
      </c>
      <c r="Z39" t="s">
        <v>2179</v>
      </c>
      <c r="AA39" t="s">
        <v>2180</v>
      </c>
      <c r="AB39" t="s">
        <v>2181</v>
      </c>
      <c r="AC39" t="s">
        <v>2182</v>
      </c>
      <c r="AD39" t="s">
        <v>53</v>
      </c>
      <c r="AE39">
        <v>-448744</v>
      </c>
      <c r="AF39" t="s">
        <v>1428</v>
      </c>
      <c r="AG39" t="s">
        <v>2183</v>
      </c>
      <c r="AH39" t="s">
        <v>1429</v>
      </c>
      <c r="AI39" t="s">
        <v>133</v>
      </c>
      <c r="AJ39" t="s">
        <v>1430</v>
      </c>
      <c r="AK39" t="s">
        <v>53</v>
      </c>
      <c r="AL39" t="s">
        <v>1431</v>
      </c>
      <c r="AM39" t="s">
        <v>53</v>
      </c>
      <c r="AN39" t="s">
        <v>1432</v>
      </c>
      <c r="AO39" t="s">
        <v>53</v>
      </c>
      <c r="AP39" t="s">
        <v>53</v>
      </c>
      <c r="AQ39" t="s">
        <v>2184</v>
      </c>
      <c r="AR39" t="s">
        <v>53</v>
      </c>
      <c r="AS39" t="s">
        <v>2185</v>
      </c>
      <c r="AT39" t="s">
        <v>53</v>
      </c>
      <c r="AU39" t="s">
        <v>2186</v>
      </c>
      <c r="AV39" t="s">
        <v>2187</v>
      </c>
      <c r="AW39" t="s">
        <v>2188</v>
      </c>
      <c r="AX39" t="s">
        <v>132</v>
      </c>
      <c r="AY39" t="s">
        <v>670</v>
      </c>
      <c r="AZ39" t="s">
        <v>585</v>
      </c>
      <c r="BA39" t="s">
        <v>371</v>
      </c>
      <c r="BB39" t="s">
        <v>199</v>
      </c>
      <c r="BC39" t="s">
        <v>1433</v>
      </c>
      <c r="BD39" t="s">
        <v>671</v>
      </c>
      <c r="BE39" t="s">
        <v>672</v>
      </c>
      <c r="BF39" t="s">
        <v>673</v>
      </c>
      <c r="BG39" t="s">
        <v>674</v>
      </c>
      <c r="BH39" t="s">
        <v>1426</v>
      </c>
      <c r="BI39" t="s">
        <v>298</v>
      </c>
      <c r="BJ39" t="s">
        <v>132</v>
      </c>
      <c r="BK39" t="s">
        <v>1427</v>
      </c>
      <c r="BL39" t="s">
        <v>2189</v>
      </c>
      <c r="BM39" t="s">
        <v>1433</v>
      </c>
      <c r="BN39">
        <v>3.72</v>
      </c>
      <c r="BO39">
        <v>4.13</v>
      </c>
      <c r="BP39">
        <v>10.14</v>
      </c>
      <c r="BQ39">
        <v>3.94</v>
      </c>
      <c r="BR39">
        <v>4.4400000000000004</v>
      </c>
      <c r="BS39">
        <v>16.23</v>
      </c>
      <c r="BT39" t="s">
        <v>777</v>
      </c>
      <c r="BU39" t="s">
        <v>114</v>
      </c>
      <c r="BV39">
        <v>68.55</v>
      </c>
      <c r="BW39">
        <v>67.489999999999995</v>
      </c>
      <c r="BX39">
        <v>69.349999999999994</v>
      </c>
      <c r="BY39">
        <v>11.13</v>
      </c>
      <c r="BZ39">
        <v>11.79</v>
      </c>
      <c r="CA39">
        <v>16.350000000000001</v>
      </c>
      <c r="CB39">
        <v>4.4400000000000004</v>
      </c>
      <c r="CC39">
        <v>-8.65</v>
      </c>
      <c r="CD39" t="s">
        <v>2190</v>
      </c>
      <c r="CE39" t="s">
        <v>2191</v>
      </c>
      <c r="CF39" s="8">
        <v>-0.44377734375</v>
      </c>
      <c r="CG39" s="9">
        <v>-0.33659053787506288</v>
      </c>
      <c r="CH39" s="8">
        <v>0.75971728563308716</v>
      </c>
      <c r="CI39" s="8">
        <v>-0.19142857193946838</v>
      </c>
      <c r="CJ39" s="8">
        <v>2.6392962783575058E-2</v>
      </c>
      <c r="CK39" s="8">
        <v>7.5709782540798187E-2</v>
      </c>
      <c r="CL39" s="8">
        <v>9.3103446066379547E-2</v>
      </c>
      <c r="CM39" s="9">
        <v>0.26910579204559326</v>
      </c>
      <c r="CN39" s="9">
        <v>-0.41556331515312195</v>
      </c>
      <c r="CO39" s="9">
        <v>-8.5407145321369171E-2</v>
      </c>
      <c r="CP39" s="9">
        <v>-6.1702065169811249E-2</v>
      </c>
      <c r="CQ39" s="9">
        <v>4.7683663666248322E-2</v>
      </c>
      <c r="CR39">
        <v>42.935971768935516</v>
      </c>
      <c r="CS39">
        <v>2.8118047339288261</v>
      </c>
      <c r="CT39">
        <v>0.68634179821551133</v>
      </c>
      <c r="CU39" s="8">
        <v>0.15269898101687432</v>
      </c>
      <c r="CV39" s="9">
        <v>-4.917661398649216E-2</v>
      </c>
      <c r="CW39">
        <v>0.06</v>
      </c>
      <c r="CX39">
        <v>35.071028970493153</v>
      </c>
      <c r="CY39">
        <v>46121552.389036022</v>
      </c>
      <c r="CZ39">
        <v>0.15269898101687432</v>
      </c>
      <c r="DA39">
        <v>10.872447544974872</v>
      </c>
      <c r="DB39">
        <v>148773336.75871402</v>
      </c>
      <c r="DC39">
        <v>0.1450640319660306</v>
      </c>
      <c r="DD39">
        <v>4.9799047695831327</v>
      </c>
      <c r="DE39">
        <v>324811492.35618883</v>
      </c>
      <c r="DF39">
        <v>0.13437510329484939</v>
      </c>
      <c r="DG39">
        <v>2.7506763368986129</v>
      </c>
      <c r="DH39">
        <v>588048211.38053823</v>
      </c>
      <c r="DI39">
        <v>0.12215918481349947</v>
      </c>
      <c r="DJ39">
        <v>1.1735523748887835</v>
      </c>
      <c r="DK39">
        <v>1378319651.1815605</v>
      </c>
      <c r="DL39">
        <v>0.10688928671181201</v>
      </c>
      <c r="DM39">
        <v>42412500</v>
      </c>
      <c r="DN39">
        <v>0.15269898101687432</v>
      </c>
      <c r="DO39">
        <v>1617530300</v>
      </c>
      <c r="DP39">
        <v>448602180</v>
      </c>
      <c r="DQ39">
        <v>2552</v>
      </c>
      <c r="DR39">
        <v>-0.59647632476687429</v>
      </c>
      <c r="DS39">
        <v>-0.28741392388857073</v>
      </c>
      <c r="DT39" s="10">
        <v>-0.25666666666666665</v>
      </c>
      <c r="DU39">
        <v>-0.20333333333333334</v>
      </c>
      <c r="DV39">
        <v>-0.45999999999999996</v>
      </c>
      <c r="DW39">
        <v>6.3391902215431628</v>
      </c>
      <c r="DX39">
        <v>0.84899221069190733</v>
      </c>
      <c r="DY39">
        <v>6.0641043098145193</v>
      </c>
      <c r="DZ39">
        <v>720</v>
      </c>
      <c r="EA39">
        <v>6.0550720000167786</v>
      </c>
      <c r="EB39">
        <v>6</v>
      </c>
      <c r="EC39">
        <v>7.4487499999999998E-2</v>
      </c>
      <c r="ED39">
        <v>0.39412999999999998</v>
      </c>
      <c r="EE39" s="11">
        <v>1.0172000000000001</v>
      </c>
      <c r="EF39">
        <v>1.0175000000000001</v>
      </c>
      <c r="EG39">
        <v>66.188992210691907</v>
      </c>
      <c r="EH39" t="s">
        <v>729</v>
      </c>
      <c r="EI39">
        <v>0</v>
      </c>
      <c r="EJ39">
        <v>1</v>
      </c>
      <c r="EK39" s="12">
        <v>45470</v>
      </c>
      <c r="EL39">
        <v>5.23</v>
      </c>
      <c r="EM39">
        <v>-3.96</v>
      </c>
      <c r="EN39">
        <v>2.86</v>
      </c>
      <c r="EO39">
        <v>4.12</v>
      </c>
      <c r="EP39">
        <v>0.03</v>
      </c>
    </row>
    <row r="40" spans="1:146" ht="96" x14ac:dyDescent="0.25">
      <c r="A40" s="7"/>
      <c r="B40" s="7"/>
      <c r="C40" s="7" t="str">
        <f>""&amp;CHAR(10)&amp;Basic_Fundamental_Information_Constructure(F40)&amp;CHAR(10)&amp;Basic_Fundamental_Information_Concatenate("")</f>
        <v xml:space="preserve">
市值23.356458亿, 利润1.09亿; PE34.83; 平均PE25.65; 平均PEG.35, PB2.16; ROIC10.0267%; ROE10.5967%; 股利率3.5242%; 毛利52.6%; 净利11.92%; 上一年度营收增355.64%, 利润增60.76%; 当季营收增-72.48%, 利润增-63.74%; 过往5年营收增74.29%, 利润增9.17%
Income profile:
</v>
      </c>
      <c r="D40" t="s">
        <v>741</v>
      </c>
      <c r="E40" t="s">
        <v>742</v>
      </c>
      <c r="F40">
        <v>22.7</v>
      </c>
      <c r="G40">
        <v>4.2699999999999996</v>
      </c>
      <c r="H40" t="s">
        <v>2192</v>
      </c>
      <c r="I40">
        <v>2335645800</v>
      </c>
      <c r="J40">
        <v>34.83</v>
      </c>
      <c r="K40">
        <v>2.16</v>
      </c>
      <c r="L40" t="s">
        <v>114</v>
      </c>
      <c r="M40" t="s">
        <v>1018</v>
      </c>
      <c r="N40" t="s">
        <v>1407</v>
      </c>
      <c r="O40" t="s">
        <v>998</v>
      </c>
      <c r="P40">
        <v>-8.6300000000000008</v>
      </c>
      <c r="Q40" t="s">
        <v>2193</v>
      </c>
      <c r="R40">
        <v>8423930</v>
      </c>
      <c r="S40">
        <v>-0.6956</v>
      </c>
      <c r="T40" t="s">
        <v>847</v>
      </c>
      <c r="U40">
        <v>33101703</v>
      </c>
      <c r="V40">
        <v>102891887</v>
      </c>
      <c r="W40">
        <v>1.26</v>
      </c>
      <c r="X40">
        <v>0.14000000000000001</v>
      </c>
      <c r="Y40">
        <v>4.59</v>
      </c>
      <c r="Z40" t="s">
        <v>87</v>
      </c>
      <c r="AA40" t="s">
        <v>2194</v>
      </c>
      <c r="AB40" t="s">
        <v>2195</v>
      </c>
      <c r="AC40" t="s">
        <v>2196</v>
      </c>
      <c r="AD40" t="s">
        <v>53</v>
      </c>
      <c r="AE40">
        <v>-406990</v>
      </c>
      <c r="AF40" t="s">
        <v>1435</v>
      </c>
      <c r="AG40">
        <v>0</v>
      </c>
      <c r="AH40" t="s">
        <v>1436</v>
      </c>
      <c r="AI40" t="s">
        <v>1172</v>
      </c>
      <c r="AJ40" t="s">
        <v>1437</v>
      </c>
      <c r="AK40" t="s">
        <v>53</v>
      </c>
      <c r="AL40" t="s">
        <v>1438</v>
      </c>
      <c r="AM40" t="s">
        <v>53</v>
      </c>
      <c r="AN40" t="s">
        <v>2197</v>
      </c>
      <c r="AO40" t="s">
        <v>53</v>
      </c>
      <c r="AP40" t="s">
        <v>53</v>
      </c>
      <c r="AQ40" t="s">
        <v>2198</v>
      </c>
      <c r="AR40" t="s">
        <v>53</v>
      </c>
      <c r="AS40" t="s">
        <v>1327</v>
      </c>
      <c r="AT40" t="s">
        <v>2199</v>
      </c>
      <c r="AU40" t="s">
        <v>2200</v>
      </c>
      <c r="AV40" t="s">
        <v>2201</v>
      </c>
      <c r="AW40" t="s">
        <v>2202</v>
      </c>
      <c r="AX40" t="s">
        <v>849</v>
      </c>
      <c r="AY40" t="s">
        <v>733</v>
      </c>
      <c r="AZ40" t="s">
        <v>655</v>
      </c>
      <c r="BA40" t="s">
        <v>737</v>
      </c>
      <c r="BB40" t="s">
        <v>743</v>
      </c>
      <c r="BC40" t="s">
        <v>850</v>
      </c>
      <c r="BD40" t="s">
        <v>257</v>
      </c>
      <c r="BE40" t="s">
        <v>744</v>
      </c>
      <c r="BF40" t="s">
        <v>745</v>
      </c>
      <c r="BG40" t="s">
        <v>746</v>
      </c>
      <c r="BH40" t="s">
        <v>836</v>
      </c>
      <c r="BI40" t="s">
        <v>616</v>
      </c>
      <c r="BJ40" t="s">
        <v>849</v>
      </c>
      <c r="BK40" t="s">
        <v>1434</v>
      </c>
      <c r="BL40" t="s">
        <v>2203</v>
      </c>
      <c r="BM40" t="s">
        <v>850</v>
      </c>
      <c r="BN40">
        <v>6.03</v>
      </c>
      <c r="BO40">
        <v>7.44</v>
      </c>
      <c r="BP40">
        <v>16.61</v>
      </c>
      <c r="BQ40">
        <v>6.4</v>
      </c>
      <c r="BR40">
        <v>8.6199999999999992</v>
      </c>
      <c r="BS40">
        <v>16.77</v>
      </c>
      <c r="BT40" t="s">
        <v>1439</v>
      </c>
      <c r="BU40" t="s">
        <v>114</v>
      </c>
      <c r="BV40">
        <v>51.26</v>
      </c>
      <c r="BW40">
        <v>50.2</v>
      </c>
      <c r="BX40">
        <v>56.34</v>
      </c>
      <c r="BY40">
        <v>10.99</v>
      </c>
      <c r="BZ40">
        <v>9.8000000000000007</v>
      </c>
      <c r="CA40">
        <v>14.97</v>
      </c>
      <c r="CB40">
        <v>3.8</v>
      </c>
      <c r="CC40">
        <v>-17.36</v>
      </c>
      <c r="CD40" t="s">
        <v>2204</v>
      </c>
      <c r="CE40" t="s">
        <v>2205</v>
      </c>
      <c r="CF40" s="8">
        <v>-0.72481203007518802</v>
      </c>
      <c r="CG40" s="9">
        <v>-0.63743092020315051</v>
      </c>
      <c r="CH40" s="8">
        <v>3.5563583374023437</v>
      </c>
      <c r="CI40" s="8">
        <v>1.7647059634327888E-2</v>
      </c>
      <c r="CJ40" s="8">
        <v>7.2555206716060638E-2</v>
      </c>
      <c r="CK40" s="8">
        <v>2.0933978259563446E-2</v>
      </c>
      <c r="CL40" s="8">
        <v>4.7217536717653275E-2</v>
      </c>
      <c r="CM40" s="9">
        <v>0.6076388955116272</v>
      </c>
      <c r="CN40" s="9">
        <v>-0.33528140187263489</v>
      </c>
      <c r="CO40" s="9">
        <v>3.2982524484395981E-2</v>
      </c>
      <c r="CP40" s="9">
        <v>0.19555404782295227</v>
      </c>
      <c r="CQ40" s="9">
        <v>-4.2397204786539078E-2</v>
      </c>
      <c r="CR40">
        <v>25.648342597859532</v>
      </c>
      <c r="CS40">
        <v>0.34522651793846998</v>
      </c>
      <c r="CT40">
        <v>3.5242290748898681</v>
      </c>
      <c r="CU40" s="8">
        <v>0.74294242374598984</v>
      </c>
      <c r="CV40" s="9">
        <v>9.1699372231960299E-2</v>
      </c>
      <c r="CW40">
        <v>0.06</v>
      </c>
      <c r="CX40">
        <v>8.3114987309703974</v>
      </c>
      <c r="CY40">
        <v>179227098.29086125</v>
      </c>
      <c r="CZ40">
        <v>0.74294242374598984</v>
      </c>
      <c r="DA40">
        <v>1.6335192582008449</v>
      </c>
      <c r="DB40">
        <v>911924235.06576419</v>
      </c>
      <c r="DC40">
        <v>0.70579530255869027</v>
      </c>
      <c r="DD40">
        <v>0.36556914357541381</v>
      </c>
      <c r="DE40">
        <v>4074867439.3868766</v>
      </c>
      <c r="DF40">
        <v>0.65378933289647112</v>
      </c>
      <c r="DG40">
        <v>7.8614518425215593E-2</v>
      </c>
      <c r="DH40">
        <v>18948736567.241966</v>
      </c>
      <c r="DI40">
        <v>0.5943539389967919</v>
      </c>
      <c r="DJ40">
        <v>3.0608055513482125E-3</v>
      </c>
      <c r="DK40">
        <v>486684232307.35657</v>
      </c>
      <c r="DL40">
        <v>0.52005969662219287</v>
      </c>
      <c r="DM40">
        <v>109000000.00000001</v>
      </c>
      <c r="DN40">
        <v>0.74294242374598984</v>
      </c>
      <c r="DO40">
        <v>1489645800</v>
      </c>
      <c r="DP40">
        <v>577383810</v>
      </c>
      <c r="DQ40">
        <v>2734</v>
      </c>
      <c r="DR40">
        <v>-1.4677544538211778</v>
      </c>
      <c r="DS40">
        <v>-0.72913029243511085</v>
      </c>
      <c r="DT40" s="10">
        <v>-0.14000000000000004</v>
      </c>
      <c r="DU40">
        <v>-0.14000000000000004</v>
      </c>
      <c r="DV40">
        <v>-0.28000000000000008</v>
      </c>
      <c r="DW40">
        <v>6.1795841209829865</v>
      </c>
      <c r="DX40">
        <v>0.44813060707798885</v>
      </c>
      <c r="DY40">
        <v>6.0194185400234579</v>
      </c>
      <c r="DZ40">
        <v>2974</v>
      </c>
      <c r="EA40">
        <v>6.0081170257319192</v>
      </c>
      <c r="EB40">
        <v>6</v>
      </c>
      <c r="EC40">
        <v>3.0550513666835553E-2</v>
      </c>
      <c r="ED40">
        <v>0.28253345183571177</v>
      </c>
      <c r="EE40" s="11">
        <v>1.02521</v>
      </c>
      <c r="EF40">
        <v>1.05141</v>
      </c>
      <c r="EG40">
        <v>34.108130607077989</v>
      </c>
      <c r="EH40" t="s">
        <v>712</v>
      </c>
      <c r="EI40">
        <v>0</v>
      </c>
      <c r="EJ40">
        <v>0</v>
      </c>
      <c r="EK40" s="12">
        <v>45470</v>
      </c>
      <c r="EL40">
        <v>-1.05</v>
      </c>
      <c r="EM40">
        <v>-6.61</v>
      </c>
      <c r="EN40">
        <v>-0.05</v>
      </c>
      <c r="EO40">
        <v>10.4</v>
      </c>
      <c r="EP40">
        <v>-2.62</v>
      </c>
    </row>
    <row r="41" spans="1:146" ht="96" x14ac:dyDescent="0.25">
      <c r="A41" s="7"/>
      <c r="B41" s="7"/>
      <c r="C41" s="7" t="str">
        <f>""&amp;CHAR(10)&amp;Basic_Fundamental_Information_Constructure(F41)&amp;CHAR(10)&amp;Basic_Fundamental_Information_Concatenate("")</f>
        <v xml:space="preserve">
市值22.918795亿, 利润1.34亿; PE; 平均PE27.37; 平均PEG.08, PB1.49; ROIC.96%; ROE.3733%; 股利率0%; 毛利75.8%; 净利-1.7367%; 上一年度营收增1077.03%, 利润增300.48%; 当季营收增-92.26%, 利润增124.64%; 过往5年营收增355.62%, 利润增300.48%
Income profile:
</v>
      </c>
      <c r="D41" t="s">
        <v>599</v>
      </c>
      <c r="E41" t="s">
        <v>600</v>
      </c>
      <c r="F41">
        <v>6.14</v>
      </c>
      <c r="G41">
        <v>5.14</v>
      </c>
      <c r="H41" t="s">
        <v>2206</v>
      </c>
      <c r="I41">
        <v>2291879500</v>
      </c>
      <c r="K41">
        <v>1.49</v>
      </c>
      <c r="L41" t="s">
        <v>114</v>
      </c>
      <c r="M41" t="s">
        <v>539</v>
      </c>
      <c r="N41" t="s">
        <v>1049</v>
      </c>
      <c r="O41" t="s">
        <v>817</v>
      </c>
      <c r="P41">
        <v>6.96</v>
      </c>
      <c r="Q41" t="s">
        <v>2207</v>
      </c>
      <c r="R41">
        <v>23962427</v>
      </c>
      <c r="S41" s="5">
        <v>4.1189999999999998</v>
      </c>
      <c r="T41" t="s">
        <v>758</v>
      </c>
      <c r="U41">
        <v>373270290</v>
      </c>
      <c r="V41">
        <v>373270290</v>
      </c>
      <c r="W41">
        <v>1.18</v>
      </c>
      <c r="X41" t="s">
        <v>53</v>
      </c>
      <c r="Y41">
        <v>20.69</v>
      </c>
      <c r="Z41" t="s">
        <v>53</v>
      </c>
      <c r="AA41" t="s">
        <v>53</v>
      </c>
      <c r="AB41" t="s">
        <v>53</v>
      </c>
      <c r="AC41" t="s">
        <v>53</v>
      </c>
      <c r="AD41" t="s">
        <v>53</v>
      </c>
      <c r="AE41">
        <v>-686308</v>
      </c>
      <c r="AF41" t="s">
        <v>1441</v>
      </c>
      <c r="AG41">
        <v>7394.92</v>
      </c>
      <c r="AH41" t="s">
        <v>1442</v>
      </c>
      <c r="AI41" t="s">
        <v>165</v>
      </c>
      <c r="AJ41" t="s">
        <v>1443</v>
      </c>
      <c r="AK41" t="s">
        <v>53</v>
      </c>
      <c r="AL41" t="s">
        <v>1444</v>
      </c>
      <c r="AM41" t="s">
        <v>53</v>
      </c>
      <c r="AN41" t="s">
        <v>59</v>
      </c>
      <c r="AO41" t="s">
        <v>53</v>
      </c>
      <c r="AP41" t="s">
        <v>53</v>
      </c>
      <c r="AQ41" t="s">
        <v>2208</v>
      </c>
      <c r="AR41" t="s">
        <v>53</v>
      </c>
      <c r="AS41" t="s">
        <v>53</v>
      </c>
      <c r="AT41" t="s">
        <v>53</v>
      </c>
      <c r="AU41" t="s">
        <v>2209</v>
      </c>
      <c r="AV41" t="s">
        <v>2210</v>
      </c>
      <c r="AW41" t="s">
        <v>2211</v>
      </c>
      <c r="AX41" t="s">
        <v>848</v>
      </c>
      <c r="AY41" t="s">
        <v>53</v>
      </c>
      <c r="AZ41" t="s">
        <v>434</v>
      </c>
      <c r="BA41" t="s">
        <v>601</v>
      </c>
      <c r="BB41" t="s">
        <v>56</v>
      </c>
      <c r="BC41" t="s">
        <v>851</v>
      </c>
      <c r="BD41" t="s">
        <v>53</v>
      </c>
      <c r="BE41" t="s">
        <v>53</v>
      </c>
      <c r="BF41" t="s">
        <v>53</v>
      </c>
      <c r="BG41" t="s">
        <v>53</v>
      </c>
      <c r="BH41" t="s">
        <v>208</v>
      </c>
      <c r="BI41" t="s">
        <v>1043</v>
      </c>
      <c r="BJ41" t="s">
        <v>848</v>
      </c>
      <c r="BK41" t="s">
        <v>1440</v>
      </c>
      <c r="BL41" t="s">
        <v>2212</v>
      </c>
      <c r="BM41" t="s">
        <v>851</v>
      </c>
      <c r="BN41">
        <v>0.04</v>
      </c>
      <c r="BO41">
        <v>1.88</v>
      </c>
      <c r="BP41" t="s">
        <v>53</v>
      </c>
      <c r="BQ41">
        <v>0.2</v>
      </c>
      <c r="BR41">
        <v>2</v>
      </c>
      <c r="BS41">
        <v>-1.08</v>
      </c>
      <c r="BT41" t="s">
        <v>775</v>
      </c>
      <c r="BU41" t="s">
        <v>114</v>
      </c>
      <c r="BV41">
        <v>76.34</v>
      </c>
      <c r="BW41">
        <v>76.19</v>
      </c>
      <c r="BX41">
        <v>74.87</v>
      </c>
      <c r="BY41">
        <v>-7.59</v>
      </c>
      <c r="BZ41">
        <v>5.78</v>
      </c>
      <c r="CA41">
        <v>-3.4</v>
      </c>
      <c r="CB41">
        <v>2.85</v>
      </c>
      <c r="CC41">
        <v>-9.7100000000000009</v>
      </c>
      <c r="CD41" t="s">
        <v>2213</v>
      </c>
      <c r="CE41" t="s">
        <v>2214</v>
      </c>
      <c r="CF41" s="8">
        <v>-0.92256341789052065</v>
      </c>
      <c r="CG41" s="9">
        <v>1.2464494506318671</v>
      </c>
      <c r="CH41" s="8">
        <v>10.770294189453125</v>
      </c>
      <c r="CI41" s="8" t="s">
        <v>53</v>
      </c>
      <c r="CJ41" s="8" t="s">
        <v>53</v>
      </c>
      <c r="CK41" s="8">
        <v>-0.11523178964853287</v>
      </c>
      <c r="CL41" s="8">
        <v>1.342281885445118E-2</v>
      </c>
      <c r="CM41" s="9">
        <v>3.0048415660858154</v>
      </c>
      <c r="CN41" s="9" t="s">
        <v>53</v>
      </c>
      <c r="CO41" s="9" t="s">
        <v>53</v>
      </c>
      <c r="CP41" s="9" t="s">
        <v>53</v>
      </c>
      <c r="CQ41" s="9" t="s">
        <v>53</v>
      </c>
      <c r="CR41">
        <v>27.372343760730207</v>
      </c>
      <c r="CS41">
        <v>7.6971593997776741E-2</v>
      </c>
      <c r="CT41">
        <v>0</v>
      </c>
      <c r="CU41" s="8">
        <v>3.5561617395530143</v>
      </c>
      <c r="CV41" s="9">
        <v>3.0048415660858154</v>
      </c>
      <c r="CW41">
        <v>0.06</v>
      </c>
      <c r="CX41">
        <v>2.1179654304037485</v>
      </c>
      <c r="CY41">
        <v>575967616.13217354</v>
      </c>
      <c r="CZ41">
        <v>3.5561617395530143</v>
      </c>
      <c r="DA41">
        <v>9.9315233326170038E-2</v>
      </c>
      <c r="DB41">
        <v>12282904234.77821</v>
      </c>
      <c r="DC41">
        <v>3.3783536525753632</v>
      </c>
      <c r="DD41">
        <v>1.9364358970015137E-3</v>
      </c>
      <c r="DE41">
        <v>629961209606.23071</v>
      </c>
      <c r="DF41">
        <v>3.1294223308066527</v>
      </c>
      <c r="DG41">
        <v>1.6722993480639694E-5</v>
      </c>
      <c r="DH41">
        <v>72946240241752.266</v>
      </c>
      <c r="DI41">
        <v>2.8449293916424114</v>
      </c>
      <c r="DJ41">
        <v>2.8397093148121357E-10</v>
      </c>
      <c r="DK41">
        <v>4.2957900431463793E+18</v>
      </c>
      <c r="DL41">
        <v>2.4893132176871098</v>
      </c>
      <c r="DM41">
        <v>134000000.00000001</v>
      </c>
      <c r="DN41">
        <v>3.5561617395530143</v>
      </c>
      <c r="DO41">
        <v>1219879500</v>
      </c>
      <c r="DP41">
        <v>850710940</v>
      </c>
      <c r="DQ41">
        <v>2904</v>
      </c>
      <c r="DR41">
        <v>-4.4787251574435345</v>
      </c>
      <c r="DS41">
        <v>-1.7583921154539484</v>
      </c>
      <c r="DT41" s="10">
        <v>-0.21000000000000008</v>
      </c>
      <c r="DU41">
        <v>2.2199999999999998</v>
      </c>
      <c r="DV41">
        <v>2.0099999999999998</v>
      </c>
      <c r="DW41">
        <v>6.2269108280254777</v>
      </c>
      <c r="DX41">
        <v>0.47918505358473168</v>
      </c>
      <c r="DY41">
        <v>6.040659028878701</v>
      </c>
      <c r="DZ41">
        <v>1287</v>
      </c>
      <c r="EA41">
        <v>6.0304186824663937</v>
      </c>
      <c r="EB41">
        <v>6</v>
      </c>
      <c r="EC41">
        <v>2.5128707671858909E-2</v>
      </c>
      <c r="ED41">
        <v>0.14023886015680487</v>
      </c>
      <c r="EE41" s="11">
        <v>-2.0717099999999999</v>
      </c>
      <c r="EF41">
        <v>-2.08541</v>
      </c>
      <c r="EG41">
        <v>30.179185053584732</v>
      </c>
      <c r="EH41" t="s">
        <v>1017</v>
      </c>
      <c r="EI41">
        <v>0</v>
      </c>
      <c r="EJ41">
        <v>1</v>
      </c>
      <c r="EK41" s="12">
        <v>45470</v>
      </c>
      <c r="EL41">
        <v>0</v>
      </c>
      <c r="EM41">
        <v>0.23</v>
      </c>
      <c r="EN41">
        <v>1.28</v>
      </c>
      <c r="EO41">
        <v>0.46</v>
      </c>
      <c r="EP41">
        <v>-1.37</v>
      </c>
    </row>
    <row r="42" spans="1:146" ht="180" x14ac:dyDescent="0.25">
      <c r="A42" s="7" t="s">
        <v>968</v>
      </c>
      <c r="B42" s="7" t="s">
        <v>969</v>
      </c>
      <c r="C42" s="7" t="str">
        <f>"公司的主营业务是中成药的生产与销售；公司的主要产品是安宫牛黄丸、同仁牛黄清心丸、同仁大活络丸；同仁堂是中药行业久负盛名的中华老字号；同仁堂以安宫牛黄丸、同仁牛黄清心丸、同仁大活络丸为代表的十大王牌产品以及众多经典药品家喻户晓，蜚声海内外，在临床病患治疗中盛享美誉，公司业务覆盖 20 个国家及地区，零售终端达 71 个，形成了“立足中国香港，深耕主流，面向世界”的国际网络布局。"&amp;CHAR(10)&amp;Basic_Fundamental_Information_Constructure(F42)&amp;CHAR(10)&amp;Basic_Fundamental_Information_Concatenate("生产制造分部 98.72亿 64.22% 64.50% 49.01%
药品零售分部 85.54亿 55.64% 35.81% 31.41%")</f>
        <v>公司的主营业务是中成药的生产与销售；公司的主要产品是安宫牛黄丸、同仁牛黄清心丸、同仁大活络丸；同仁堂是中药行业久负盛名的中华老字号；同仁堂以安宫牛黄丸、同仁牛黄清心丸、同仁大活络丸为代表的十大王牌产品以及众多经典药品家喻户晓，蜚声海内外，在临床病患治疗中盛享美誉，公司业务覆盖 20 个国家及地区，零售终端达 71 个，形成了“立足中国香港，深耕主流，面向世界”的国际网络布局。
市值528.42749亿, 利润2.37亿; PE30.7; 平均PE63.51; 平均PEG1.86, PB3.89; ROIC10.5467%; ROE11.9767%; 股利率1.2977%; 毛利47.9033%; 净利13.9067%; 上一年度营收增-92.75%, 利润增-83.39%; 当季营收增3388.08%, 利润增15062.25%; 过往5年营收增-34.23%, 利润增-83.39%
Income profile:
生产制造分部 98.72亿 64.22% 64.50% 49.01%
药品零售分部 85.54亿 55.64% 35.81% 31.41%</v>
      </c>
      <c r="D42" t="s">
        <v>252</v>
      </c>
      <c r="E42" t="s">
        <v>25</v>
      </c>
      <c r="F42">
        <v>38.53</v>
      </c>
      <c r="G42">
        <v>1.23</v>
      </c>
      <c r="H42" t="s">
        <v>2215</v>
      </c>
      <c r="I42">
        <v>52842749000</v>
      </c>
      <c r="J42">
        <v>30.7</v>
      </c>
      <c r="K42">
        <v>3.89</v>
      </c>
      <c r="L42" t="s">
        <v>114</v>
      </c>
      <c r="M42" t="s">
        <v>1445</v>
      </c>
      <c r="N42" t="s">
        <v>2216</v>
      </c>
      <c r="O42" t="s">
        <v>1446</v>
      </c>
      <c r="P42">
        <v>2.42</v>
      </c>
      <c r="Q42" t="s">
        <v>2217</v>
      </c>
      <c r="R42">
        <v>575877580</v>
      </c>
      <c r="S42" s="5">
        <v>0.1004</v>
      </c>
      <c r="T42" t="s">
        <v>203</v>
      </c>
      <c r="U42">
        <v>1371470300</v>
      </c>
      <c r="V42">
        <v>1371470300</v>
      </c>
      <c r="W42">
        <v>1.47</v>
      </c>
      <c r="X42" t="s">
        <v>53</v>
      </c>
      <c r="Y42">
        <v>16.38</v>
      </c>
      <c r="Z42" t="s">
        <v>53</v>
      </c>
      <c r="AA42" t="s">
        <v>53</v>
      </c>
      <c r="AB42" t="s">
        <v>53</v>
      </c>
      <c r="AC42" t="s">
        <v>53</v>
      </c>
      <c r="AD42" t="s">
        <v>53</v>
      </c>
      <c r="AE42">
        <v>-10431499</v>
      </c>
      <c r="AF42" t="s">
        <v>1449</v>
      </c>
      <c r="AG42" t="s">
        <v>2218</v>
      </c>
      <c r="AH42" t="s">
        <v>1450</v>
      </c>
      <c r="AI42" t="s">
        <v>2219</v>
      </c>
      <c r="AJ42" t="s">
        <v>1451</v>
      </c>
      <c r="AK42" t="s">
        <v>53</v>
      </c>
      <c r="AL42" t="s">
        <v>1452</v>
      </c>
      <c r="AM42" t="s">
        <v>53</v>
      </c>
      <c r="AN42" t="s">
        <v>142</v>
      </c>
      <c r="AO42" t="s">
        <v>53</v>
      </c>
      <c r="AP42" t="s">
        <v>408</v>
      </c>
      <c r="AQ42" t="s">
        <v>531</v>
      </c>
      <c r="AR42" t="s">
        <v>53</v>
      </c>
      <c r="AS42" t="s">
        <v>53</v>
      </c>
      <c r="AT42" t="s">
        <v>53</v>
      </c>
      <c r="AU42" t="s">
        <v>2220</v>
      </c>
      <c r="AV42" t="s">
        <v>2221</v>
      </c>
      <c r="AW42" t="s">
        <v>251</v>
      </c>
      <c r="AX42" t="s">
        <v>852</v>
      </c>
      <c r="AY42" t="s">
        <v>53</v>
      </c>
      <c r="AZ42" t="s">
        <v>481</v>
      </c>
      <c r="BA42" t="s">
        <v>253</v>
      </c>
      <c r="BB42" t="s">
        <v>482</v>
      </c>
      <c r="BC42" t="s">
        <v>1044</v>
      </c>
      <c r="BD42" t="s">
        <v>53</v>
      </c>
      <c r="BE42" t="s">
        <v>53</v>
      </c>
      <c r="BF42" t="s">
        <v>53</v>
      </c>
      <c r="BG42" t="s">
        <v>53</v>
      </c>
      <c r="BH42" t="s">
        <v>1447</v>
      </c>
      <c r="BI42" t="s">
        <v>857</v>
      </c>
      <c r="BJ42" t="s">
        <v>852</v>
      </c>
      <c r="BK42" t="s">
        <v>1448</v>
      </c>
      <c r="BL42" t="s">
        <v>2222</v>
      </c>
      <c r="BM42" t="s">
        <v>1044</v>
      </c>
      <c r="BN42">
        <v>9.94</v>
      </c>
      <c r="BO42">
        <v>11.15</v>
      </c>
      <c r="BP42">
        <v>10.55</v>
      </c>
      <c r="BQ42">
        <v>11.23</v>
      </c>
      <c r="BR42">
        <v>12.71</v>
      </c>
      <c r="BS42">
        <v>11.99</v>
      </c>
      <c r="BT42" t="s">
        <v>1453</v>
      </c>
      <c r="BU42" t="s">
        <v>114</v>
      </c>
      <c r="BV42">
        <v>47.29</v>
      </c>
      <c r="BW42">
        <v>48.8</v>
      </c>
      <c r="BX42">
        <v>47.62</v>
      </c>
      <c r="BY42">
        <v>14.46</v>
      </c>
      <c r="BZ42">
        <v>14.31</v>
      </c>
      <c r="CA42">
        <v>12.95</v>
      </c>
      <c r="CB42">
        <v>0.84</v>
      </c>
      <c r="CC42">
        <v>-13.51</v>
      </c>
      <c r="CD42" t="s">
        <v>2223</v>
      </c>
      <c r="CE42" t="s">
        <v>92</v>
      </c>
      <c r="CF42" s="8">
        <v>33.880794701986758</v>
      </c>
      <c r="CG42" s="9">
        <v>150.62254285037255</v>
      </c>
      <c r="CH42" s="8">
        <v>-0.92746555805206299</v>
      </c>
      <c r="CI42" s="8" t="s">
        <v>53</v>
      </c>
      <c r="CJ42" s="8" t="s">
        <v>53</v>
      </c>
      <c r="CK42" s="8">
        <v>-3.3968463540077209E-2</v>
      </c>
      <c r="CL42" s="8">
        <v>-6.5592281520366669E-2</v>
      </c>
      <c r="CM42" s="9">
        <v>-0.83391737937927246</v>
      </c>
      <c r="CN42" s="9" t="s">
        <v>53</v>
      </c>
      <c r="CO42" s="9" t="s">
        <v>53</v>
      </c>
      <c r="CP42" s="9" t="s">
        <v>53</v>
      </c>
      <c r="CQ42" s="9" t="s">
        <v>53</v>
      </c>
      <c r="CR42">
        <v>63.512919471153843</v>
      </c>
      <c r="CS42">
        <v>1.8552471133019144</v>
      </c>
      <c r="CT42">
        <v>1.2976901116013495</v>
      </c>
      <c r="CU42" s="8">
        <v>-0.34234210103750229</v>
      </c>
      <c r="CV42" s="9">
        <v>-0.83391737937927246</v>
      </c>
      <c r="CW42">
        <v>0.06</v>
      </c>
      <c r="CX42">
        <v>174.73733755274262</v>
      </c>
      <c r="CY42" t="s">
        <v>2224</v>
      </c>
      <c r="CZ42">
        <v>-0.34234210103750229</v>
      </c>
      <c r="DA42">
        <v>58.245779184247539</v>
      </c>
      <c r="DB42" t="s">
        <v>2225</v>
      </c>
      <c r="DC42">
        <v>-0.32522499598562715</v>
      </c>
      <c r="DD42">
        <v>29.122889592123769</v>
      </c>
      <c r="DE42" t="s">
        <v>2226</v>
      </c>
      <c r="DF42">
        <v>-0.30126104891300204</v>
      </c>
      <c r="DG42">
        <v>17.47373375527426</v>
      </c>
      <c r="DH42" t="s">
        <v>2227</v>
      </c>
      <c r="DI42">
        <v>-0.27387368083000185</v>
      </c>
      <c r="DJ42">
        <v>8.7368668776371301</v>
      </c>
      <c r="DK42" t="s">
        <v>2228</v>
      </c>
      <c r="DL42">
        <v>-0.23963947072625158</v>
      </c>
      <c r="DM42">
        <v>237000000</v>
      </c>
      <c r="DN42">
        <v>-0.34234210103750229</v>
      </c>
      <c r="DO42">
        <v>41412749000</v>
      </c>
      <c r="DP42">
        <v>24333892000</v>
      </c>
      <c r="DQ42">
        <v>2909</v>
      </c>
      <c r="DR42">
        <v>34.223136803024261</v>
      </c>
      <c r="DS42">
        <v>151.45646022975183</v>
      </c>
      <c r="DT42" s="10">
        <v>-1.1599999999999999</v>
      </c>
      <c r="DU42">
        <v>-2.3199999999999998</v>
      </c>
      <c r="DV42">
        <v>-3.4799999999999995</v>
      </c>
      <c r="DW42">
        <v>-2.1351</v>
      </c>
      <c r="DX42">
        <v>0.465478412698411</v>
      </c>
      <c r="DY42">
        <v>-2.0210051335555557</v>
      </c>
      <c r="DZ42">
        <v>4015</v>
      </c>
      <c r="EA42">
        <v>-2.0045011000476189</v>
      </c>
      <c r="EB42">
        <v>2</v>
      </c>
      <c r="EC42">
        <v>3.571036135452587E-2</v>
      </c>
      <c r="ED42">
        <v>0.2296805114919368</v>
      </c>
      <c r="EE42" s="11">
        <v>-3.05471</v>
      </c>
      <c r="EF42">
        <v>-3.0935100000000002</v>
      </c>
      <c r="EG42">
        <v>31.155478412698411</v>
      </c>
      <c r="EH42" t="s">
        <v>1686</v>
      </c>
      <c r="EI42">
        <v>0</v>
      </c>
      <c r="EJ42">
        <v>0</v>
      </c>
      <c r="EK42" s="12">
        <v>45470</v>
      </c>
      <c r="EL42">
        <v>9.94</v>
      </c>
      <c r="EM42">
        <v>-4.5199999999999996</v>
      </c>
      <c r="EN42">
        <v>-4.7300000000000004</v>
      </c>
      <c r="EO42">
        <v>1.45</v>
      </c>
      <c r="EP42">
        <v>-3.88</v>
      </c>
    </row>
    <row r="43" spans="1:146" ht="228" x14ac:dyDescent="0.25">
      <c r="A43" s="7"/>
      <c r="B43" s="7"/>
      <c r="C43" s="7" t="str">
        <f>"公司主要从事中、西成药的生产和销售。公司的主要产品为藿香正气口服液、注射用头孢唑肟钠（益保世灵）、洛芬待因缓释片（思为普）、小金片、盐酸吗啡缓释片（美菲康）、罗格列酮钠片（太罗）、急支糖浆、复方板蓝根颗粒、通天口服液、氯化钠注射液、鼻窦炎口服液、六味地黄丸、玄麦甘桔颗粒、沉香化气片、天胶、葡萄糖注射液、散列通、消化酶片、酒石酸美托洛尔缓释片、夏桑菊颗粒、感冒清热颗粒、五子衍宗丸。"&amp;CHAR(10)&amp;Basic_Fundamental_Information_Constructure(F43)&amp;CHAR(10)&amp;Basic_Fundamental_Information_Concatenate("其他业务 16.54亿 37.35% 18.45% 25.18%
消化系统 9.10亿 20.55% 23.78% 58.99%
呼吸系统 8.80亿 19.88% 25.49% 65.40%
抗感染 5.46亿 12.33% 17.34% 71.73%
神经系统 3.35亿 7.56% 11.70% 78.91%
心脑血管 1.03亿 2.32% 3.24% 71.13%")</f>
        <v>公司主要从事中、西成药的生产和销售。公司的主要产品为藿香正气口服液、注射用头孢唑肟钠（益保世灵）、洛芬待因缓释片（思为普）、小金片、盐酸吗啡缓释片（美菲康）、罗格列酮钠片（太罗）、急支糖浆、复方板蓝根颗粒、通天口服液、氯化钠注射液、鼻窦炎口服液、六味地黄丸、玄麦甘桔颗粒、沉香化气片、天胶、葡萄糖注射液、散列通、消化酶片、酒石酸美托洛尔缓释片、夏桑菊颗粒、感冒清热颗粒、五子衍宗丸。
市值158.04559亿, 利润1395.36万; PE18.95; 平均PE85.91; 平均PEG2.81, PB4.08; ROIC8.63%; ROE5.5367%; 股利率1.0571%; 毛利45.5067%; 净利1.0433%; 上一年度营收增-97.05%, 利润增-96.06%; 当季营收增3796.3%, 利润增5325.98%; 过往5年营收增-30.62%, 利润增-96.06%
Income profile:
其他业务 16.54亿 37.35% 18.45% 25.18%
消化系统 9.10亿 20.55% 23.78% 58.99%
呼吸系统 8.80亿 19.88% 25.49% 65.40%
抗感染 5.46亿 12.33% 17.34% 71.73%
神经系统 3.35亿 7.56% 11.70% 78.91%
心脑血管 1.03亿 2.32% 3.24% 71.13%</v>
      </c>
      <c r="D43" t="s">
        <v>254</v>
      </c>
      <c r="E43" t="s">
        <v>51</v>
      </c>
      <c r="F43">
        <v>28.38</v>
      </c>
      <c r="G43">
        <v>1.76</v>
      </c>
      <c r="H43" t="s">
        <v>2229</v>
      </c>
      <c r="I43">
        <v>15804559000</v>
      </c>
      <c r="J43">
        <v>18.95</v>
      </c>
      <c r="K43">
        <v>4.08</v>
      </c>
      <c r="L43" t="s">
        <v>114</v>
      </c>
      <c r="M43" t="s">
        <v>1454</v>
      </c>
      <c r="N43" t="s">
        <v>2230</v>
      </c>
      <c r="O43" t="s">
        <v>1455</v>
      </c>
      <c r="P43">
        <v>-4.96</v>
      </c>
      <c r="Q43" t="s">
        <v>1774</v>
      </c>
      <c r="R43">
        <v>246838630</v>
      </c>
      <c r="S43" s="5">
        <v>5.0500000000000003E-2</v>
      </c>
      <c r="T43" t="s">
        <v>2231</v>
      </c>
      <c r="U43">
        <v>556890740</v>
      </c>
      <c r="V43">
        <v>556890740</v>
      </c>
      <c r="W43">
        <v>3.85</v>
      </c>
      <c r="X43" t="s">
        <v>53</v>
      </c>
      <c r="Y43">
        <v>5.92</v>
      </c>
      <c r="Z43" t="s">
        <v>53</v>
      </c>
      <c r="AA43" t="s">
        <v>53</v>
      </c>
      <c r="AB43" t="s">
        <v>53</v>
      </c>
      <c r="AC43" t="s">
        <v>53</v>
      </c>
      <c r="AD43" t="s">
        <v>53</v>
      </c>
      <c r="AE43">
        <v>26689614</v>
      </c>
      <c r="AF43" t="s">
        <v>1458</v>
      </c>
      <c r="AG43" t="s">
        <v>2232</v>
      </c>
      <c r="AH43" t="s">
        <v>1459</v>
      </c>
      <c r="AI43" t="s">
        <v>2233</v>
      </c>
      <c r="AJ43" t="s">
        <v>1460</v>
      </c>
      <c r="AK43" t="s">
        <v>53</v>
      </c>
      <c r="AL43" t="s">
        <v>1461</v>
      </c>
      <c r="AM43" t="s">
        <v>53</v>
      </c>
      <c r="AN43" t="s">
        <v>1805</v>
      </c>
      <c r="AO43" t="s">
        <v>53</v>
      </c>
      <c r="AP43" t="s">
        <v>990</v>
      </c>
      <c r="AQ43" t="s">
        <v>2234</v>
      </c>
      <c r="AR43" t="s">
        <v>400</v>
      </c>
      <c r="AS43" t="s">
        <v>53</v>
      </c>
      <c r="AT43" t="s">
        <v>53</v>
      </c>
      <c r="AU43" t="s">
        <v>1780</v>
      </c>
      <c r="AV43" t="s">
        <v>2235</v>
      </c>
      <c r="AW43" t="s">
        <v>2236</v>
      </c>
      <c r="AX43" t="s">
        <v>1462</v>
      </c>
      <c r="AY43" t="s">
        <v>53</v>
      </c>
      <c r="AZ43" t="s">
        <v>483</v>
      </c>
      <c r="BA43" t="s">
        <v>255</v>
      </c>
      <c r="BB43" t="s">
        <v>484</v>
      </c>
      <c r="BC43" t="s">
        <v>1463</v>
      </c>
      <c r="BD43" t="s">
        <v>53</v>
      </c>
      <c r="BE43" t="s">
        <v>53</v>
      </c>
      <c r="BF43" t="s">
        <v>53</v>
      </c>
      <c r="BG43" t="s">
        <v>53</v>
      </c>
      <c r="BH43" t="s">
        <v>1456</v>
      </c>
      <c r="BI43" t="s">
        <v>86</v>
      </c>
      <c r="BJ43" t="s">
        <v>1462</v>
      </c>
      <c r="BK43" t="s">
        <v>1457</v>
      </c>
      <c r="BL43" t="s">
        <v>2237</v>
      </c>
      <c r="BM43" t="s">
        <v>1463</v>
      </c>
      <c r="BN43">
        <v>11.14</v>
      </c>
      <c r="BO43">
        <v>6.12</v>
      </c>
      <c r="BP43" t="s">
        <v>53</v>
      </c>
      <c r="BQ43">
        <v>22.07</v>
      </c>
      <c r="BR43">
        <v>12.08</v>
      </c>
      <c r="BS43">
        <v>-17.54</v>
      </c>
      <c r="BT43" t="s">
        <v>776</v>
      </c>
      <c r="BU43" t="s">
        <v>114</v>
      </c>
      <c r="BV43">
        <v>48.6</v>
      </c>
      <c r="BW43">
        <v>45.43</v>
      </c>
      <c r="BX43">
        <v>42.49</v>
      </c>
      <c r="BY43">
        <v>5.46</v>
      </c>
      <c r="BZ43">
        <v>2.42</v>
      </c>
      <c r="CA43">
        <v>-4.75</v>
      </c>
      <c r="CB43">
        <v>-1.87</v>
      </c>
      <c r="CC43">
        <v>-21.86</v>
      </c>
      <c r="CD43" t="s">
        <v>2238</v>
      </c>
      <c r="CE43" t="s">
        <v>1676</v>
      </c>
      <c r="CF43" s="8">
        <v>37.962962962962962</v>
      </c>
      <c r="CG43" s="9">
        <v>53.259788534247782</v>
      </c>
      <c r="CH43" s="8">
        <v>-0.97048205137252808</v>
      </c>
      <c r="CI43" s="8" t="s">
        <v>53</v>
      </c>
      <c r="CJ43" s="8" t="s">
        <v>53</v>
      </c>
      <c r="CK43" s="8">
        <v>-3.736153244972229E-2</v>
      </c>
      <c r="CL43" s="8">
        <v>8.9250564575195313E-2</v>
      </c>
      <c r="CM43" s="9">
        <v>-0.96058303117752075</v>
      </c>
      <c r="CN43" s="9" t="s">
        <v>53</v>
      </c>
      <c r="CO43" s="9" t="s">
        <v>53</v>
      </c>
      <c r="CP43" s="9" t="s">
        <v>53</v>
      </c>
      <c r="CQ43" s="9" t="s">
        <v>53</v>
      </c>
      <c r="CR43">
        <v>85.905173913232531</v>
      </c>
      <c r="CS43">
        <v>2.8055462684763244</v>
      </c>
      <c r="CT43">
        <v>1.0570824524312896</v>
      </c>
      <c r="CU43" s="8">
        <v>-0.30619767308235168</v>
      </c>
      <c r="CV43" s="9">
        <v>-0.96058303117752075</v>
      </c>
      <c r="CW43">
        <v>0.06</v>
      </c>
      <c r="CX43">
        <v>1611.0221734892787</v>
      </c>
      <c r="CY43" t="s">
        <v>2239</v>
      </c>
      <c r="CZ43">
        <v>-0.30619767308235168</v>
      </c>
      <c r="DA43">
        <v>537.00739116309296</v>
      </c>
      <c r="DB43" t="s">
        <v>2240</v>
      </c>
      <c r="DC43">
        <v>-0.29088778942823407</v>
      </c>
      <c r="DD43">
        <v>268.50369558154648</v>
      </c>
      <c r="DE43" t="s">
        <v>2241</v>
      </c>
      <c r="DF43">
        <v>-0.26945395231246949</v>
      </c>
      <c r="DG43">
        <v>161.10221734892787</v>
      </c>
      <c r="DH43" t="s">
        <v>2242</v>
      </c>
      <c r="DI43">
        <v>-0.24495813846588135</v>
      </c>
      <c r="DJ43">
        <v>80.551108674463933</v>
      </c>
      <c r="DK43" t="s">
        <v>2243</v>
      </c>
      <c r="DL43">
        <v>-0.21433837115764617</v>
      </c>
      <c r="DM43">
        <v>13953599.999999998</v>
      </c>
      <c r="DN43">
        <v>-0.30619767308235168</v>
      </c>
      <c r="DO43">
        <v>22479559000</v>
      </c>
      <c r="DP43">
        <v>8479353500</v>
      </c>
      <c r="DQ43">
        <v>2944</v>
      </c>
      <c r="DR43">
        <v>38.269160636045314</v>
      </c>
      <c r="DS43">
        <v>54.220371565425303</v>
      </c>
      <c r="DT43" s="10">
        <v>-1.1599999999999999</v>
      </c>
      <c r="DU43">
        <v>-2.3199999999999998</v>
      </c>
      <c r="DV43">
        <v>-3.4799999999999995</v>
      </c>
      <c r="DW43">
        <v>-3.0662738095238096</v>
      </c>
      <c r="DX43">
        <v>0.38319579288025962</v>
      </c>
      <c r="DY43">
        <v>-3.0094901307019573</v>
      </c>
      <c r="DZ43">
        <v>2186</v>
      </c>
      <c r="EA43">
        <v>-3.0054303605034294</v>
      </c>
      <c r="EB43">
        <v>3</v>
      </c>
      <c r="EC43">
        <v>7.9454544351015788E-2</v>
      </c>
      <c r="ED43">
        <v>0.55486647165294933</v>
      </c>
      <c r="EE43" s="11">
        <v>3.5900000000000001E-2</v>
      </c>
      <c r="EF43">
        <v>2.8000000000000001E-2</v>
      </c>
      <c r="EG43">
        <v>24.14319579288026</v>
      </c>
      <c r="EH43" t="s">
        <v>612</v>
      </c>
      <c r="EI43">
        <v>0</v>
      </c>
      <c r="EJ43">
        <v>0</v>
      </c>
      <c r="EK43" s="12">
        <v>45470</v>
      </c>
      <c r="EL43">
        <v>-0.47</v>
      </c>
      <c r="EM43">
        <v>-4.42</v>
      </c>
      <c r="EN43">
        <v>1.49</v>
      </c>
      <c r="EO43">
        <v>3.25</v>
      </c>
      <c r="EP43">
        <v>-0.79</v>
      </c>
    </row>
    <row r="44" spans="1:146" ht="96" x14ac:dyDescent="0.25">
      <c r="A44" s="7"/>
      <c r="B44" s="6"/>
      <c r="C44" s="7" t="str">
        <f>""&amp;CHAR(10)&amp;Basic_Fundamental_Information_Constructure(F44)&amp;CHAR(10)&amp;Basic_Fundamental_Information_Concatenate("")</f>
        <v xml:space="preserve">
市值25.193608亿, 利润3.03亿; PE41.21; 平均PE21.83; 平均PEG.43, PB1.59; ROIC2.7%; ROE-1.6867%; 股利率0%; 毛利26.74%; 净利-.4233%; 上一年度营收增133.5%, 利润增519.64%; 当季营收增-60.77%, 利润增-83.52%; 过往5年营收增50.43%, 利润增519.64%
Income profile:
</v>
      </c>
      <c r="D44" t="s">
        <v>258</v>
      </c>
      <c r="E44" t="s">
        <v>7</v>
      </c>
      <c r="F44">
        <v>4.3899999999999997</v>
      </c>
      <c r="G44">
        <v>4.03</v>
      </c>
      <c r="H44" t="s">
        <v>2244</v>
      </c>
      <c r="I44">
        <v>2519360800</v>
      </c>
      <c r="J44">
        <v>41.21</v>
      </c>
      <c r="K44">
        <v>1.59</v>
      </c>
      <c r="L44" t="s">
        <v>114</v>
      </c>
      <c r="M44" t="s">
        <v>1067</v>
      </c>
      <c r="N44" t="s">
        <v>2245</v>
      </c>
      <c r="O44" t="s">
        <v>1002</v>
      </c>
      <c r="P44">
        <v>-10.92</v>
      </c>
      <c r="Q44" t="s">
        <v>2246</v>
      </c>
      <c r="R44">
        <v>21258639</v>
      </c>
      <c r="S44" s="5">
        <v>4.7729999999999997</v>
      </c>
      <c r="T44" t="s">
        <v>287</v>
      </c>
      <c r="U44">
        <v>573886280</v>
      </c>
      <c r="V44">
        <v>573886280</v>
      </c>
      <c r="W44">
        <v>2.2400000000000002</v>
      </c>
      <c r="X44" t="s">
        <v>53</v>
      </c>
      <c r="Y44">
        <v>4.1100000000000003</v>
      </c>
      <c r="Z44" t="s">
        <v>53</v>
      </c>
      <c r="AA44" t="s">
        <v>53</v>
      </c>
      <c r="AB44" t="s">
        <v>53</v>
      </c>
      <c r="AC44" t="s">
        <v>53</v>
      </c>
      <c r="AD44" t="s">
        <v>53</v>
      </c>
      <c r="AE44">
        <v>14388511</v>
      </c>
      <c r="AF44" t="s">
        <v>1466</v>
      </c>
      <c r="AG44" t="s">
        <v>53</v>
      </c>
      <c r="AH44" t="s">
        <v>1467</v>
      </c>
      <c r="AI44" t="s">
        <v>393</v>
      </c>
      <c r="AJ44" t="s">
        <v>1468</v>
      </c>
      <c r="AK44" t="s">
        <v>53</v>
      </c>
      <c r="AL44" t="s">
        <v>1469</v>
      </c>
      <c r="AM44" t="s">
        <v>53</v>
      </c>
      <c r="AN44" t="s">
        <v>1470</v>
      </c>
      <c r="AO44" t="s">
        <v>53</v>
      </c>
      <c r="AP44" t="s">
        <v>1026</v>
      </c>
      <c r="AQ44" t="s">
        <v>406</v>
      </c>
      <c r="AR44" t="s">
        <v>53</v>
      </c>
      <c r="AS44" t="s">
        <v>53</v>
      </c>
      <c r="AT44" t="s">
        <v>53</v>
      </c>
      <c r="AU44" t="s">
        <v>1589</v>
      </c>
      <c r="AV44" t="s">
        <v>740</v>
      </c>
      <c r="AW44" t="s">
        <v>2247</v>
      </c>
      <c r="AX44" t="s">
        <v>963</v>
      </c>
      <c r="AY44" t="s">
        <v>53</v>
      </c>
      <c r="AZ44" t="s">
        <v>487</v>
      </c>
      <c r="BA44" t="s">
        <v>259</v>
      </c>
      <c r="BB44" t="s">
        <v>488</v>
      </c>
      <c r="BC44" t="s">
        <v>1473</v>
      </c>
      <c r="BD44" t="s">
        <v>53</v>
      </c>
      <c r="BE44" t="s">
        <v>53</v>
      </c>
      <c r="BF44" t="s">
        <v>53</v>
      </c>
      <c r="BG44" t="s">
        <v>53</v>
      </c>
      <c r="BH44" t="s">
        <v>1464</v>
      </c>
      <c r="BI44" t="s">
        <v>2248</v>
      </c>
      <c r="BJ44" t="s">
        <v>963</v>
      </c>
      <c r="BK44" t="s">
        <v>1465</v>
      </c>
      <c r="BL44" t="s">
        <v>1005</v>
      </c>
      <c r="BM44" t="s">
        <v>1473</v>
      </c>
      <c r="BN44" t="s">
        <v>53</v>
      </c>
      <c r="BO44" t="s">
        <v>53</v>
      </c>
      <c r="BP44">
        <v>2.7</v>
      </c>
      <c r="BQ44">
        <v>-1.1200000000000001</v>
      </c>
      <c r="BR44">
        <v>-4.3099999999999996</v>
      </c>
      <c r="BS44">
        <v>0.37</v>
      </c>
      <c r="BT44" t="s">
        <v>775</v>
      </c>
      <c r="BU44" t="s">
        <v>114</v>
      </c>
      <c r="BV44">
        <v>27.28</v>
      </c>
      <c r="BW44">
        <v>24.08</v>
      </c>
      <c r="BX44">
        <v>28.86</v>
      </c>
      <c r="BY44">
        <v>2.17</v>
      </c>
      <c r="BZ44">
        <v>-3.86</v>
      </c>
      <c r="CA44">
        <v>0.42</v>
      </c>
      <c r="CB44">
        <v>4.5199999999999996</v>
      </c>
      <c r="CC44">
        <v>-10.59</v>
      </c>
      <c r="CD44" t="s">
        <v>2249</v>
      </c>
      <c r="CE44" t="s">
        <v>1014</v>
      </c>
      <c r="CF44" s="8">
        <v>-0.60770440251572322</v>
      </c>
      <c r="CG44" s="9">
        <v>-0.83520434883720929</v>
      </c>
      <c r="CH44" s="8">
        <v>1.3350331783294678</v>
      </c>
      <c r="CI44" s="8" t="s">
        <v>53</v>
      </c>
      <c r="CJ44" s="8" t="s">
        <v>53</v>
      </c>
      <c r="CK44" s="8">
        <v>8.0030441284179688E-2</v>
      </c>
      <c r="CL44" s="8">
        <v>9.7907893359661102E-2</v>
      </c>
      <c r="CM44" s="9">
        <v>5.196448802947998</v>
      </c>
      <c r="CN44" s="9" t="s">
        <v>53</v>
      </c>
      <c r="CO44" s="9" t="s">
        <v>53</v>
      </c>
      <c r="CP44" s="9" t="s">
        <v>53</v>
      </c>
      <c r="CQ44" s="9" t="s">
        <v>53</v>
      </c>
      <c r="CR44">
        <v>21.831918303645512</v>
      </c>
      <c r="CS44">
        <v>0.43289483211897056</v>
      </c>
      <c r="CT44">
        <v>0</v>
      </c>
      <c r="CU44" s="8">
        <v>0.50432383765776956</v>
      </c>
      <c r="CV44" s="9">
        <v>5.196448802947998</v>
      </c>
      <c r="CW44">
        <v>0.06</v>
      </c>
      <c r="CX44">
        <v>6.6006924757397796</v>
      </c>
      <c r="CY44">
        <v>430009549.8210417</v>
      </c>
      <c r="CZ44">
        <v>0.50432383765776956</v>
      </c>
      <c r="DA44">
        <v>1.5459411615421104</v>
      </c>
      <c r="DB44">
        <v>1836008297.4753532</v>
      </c>
      <c r="DC44">
        <v>0.47910764577488107</v>
      </c>
      <c r="DD44">
        <v>0.46235545232484687</v>
      </c>
      <c r="DE44">
        <v>6138914953.2636909</v>
      </c>
      <c r="DF44">
        <v>0.44380497713883721</v>
      </c>
      <c r="DG44">
        <v>0.14737366848242928</v>
      </c>
      <c r="DH44">
        <v>19259619640.522182</v>
      </c>
      <c r="DI44">
        <v>0.40345907012621568</v>
      </c>
      <c r="DJ44">
        <v>1.5506821322900769E-2</v>
      </c>
      <c r="DK44">
        <v>183039498611.37915</v>
      </c>
      <c r="DL44">
        <v>0.35302668636043866</v>
      </c>
      <c r="DM44">
        <v>303000000</v>
      </c>
      <c r="DN44">
        <v>0.50432383765776956</v>
      </c>
      <c r="DO44">
        <v>2838360800</v>
      </c>
      <c r="DP44">
        <v>2070382000</v>
      </c>
      <c r="DQ44">
        <v>3019</v>
      </c>
      <c r="DR44">
        <v>-1.1120282401734927</v>
      </c>
      <c r="DS44">
        <v>-6.031653151785207</v>
      </c>
      <c r="DT44" s="10">
        <v>-0.16000000000000003</v>
      </c>
      <c r="DU44">
        <v>-0.42000000000000015</v>
      </c>
      <c r="DV44">
        <v>-0.58000000000000018</v>
      </c>
      <c r="DW44">
        <v>6.2991396426207809</v>
      </c>
      <c r="DX44">
        <v>0.47275959183673505</v>
      </c>
      <c r="DY44">
        <v>6.0546706389875604</v>
      </c>
      <c r="DZ44">
        <v>2226</v>
      </c>
      <c r="EA44">
        <v>6.0308552099491433</v>
      </c>
      <c r="EB44">
        <v>6</v>
      </c>
      <c r="EC44">
        <v>7.8022600575152271E-2</v>
      </c>
      <c r="ED44">
        <v>0.42691384780970898</v>
      </c>
      <c r="EE44" s="11">
        <v>1.941E-2</v>
      </c>
      <c r="EF44">
        <v>3.7410000000000006E-2</v>
      </c>
      <c r="EG44">
        <v>29.182759591836735</v>
      </c>
      <c r="EH44">
        <v>-1</v>
      </c>
      <c r="EI44">
        <v>0</v>
      </c>
      <c r="EJ44">
        <v>0</v>
      </c>
      <c r="EK44" s="12">
        <v>45470</v>
      </c>
      <c r="EL44">
        <v>1.67</v>
      </c>
      <c r="EM44">
        <v>-4.0999999999999996</v>
      </c>
      <c r="EN44">
        <v>0</v>
      </c>
      <c r="EO44">
        <v>-5.13</v>
      </c>
      <c r="EP44">
        <v>-1.8</v>
      </c>
    </row>
    <row r="45" spans="1:146" ht="96" x14ac:dyDescent="0.25">
      <c r="A45" s="7"/>
      <c r="B45" s="6"/>
      <c r="C45" s="7" t="str">
        <f>""&amp;CHAR(10)&amp;Basic_Fundamental_Information_Constructure(F45)&amp;CHAR(10)&amp;Basic_Fundamental_Information_Concatenate("")</f>
        <v xml:space="preserve">
市值76.968215亿, 利润-6126.27万; PE49.3; 平均PE866.62; 平均PEG86.95, PB1.17; ROIC.4633%; ROE2.54%; 股利率.4484%; 毛利65.0833%; 净利2.3067%; 上一年度营收增17.91%, 利润增-177.52%; 当季营收增-1.95%, 利润增731.81%; 过往5年营收增9.97%, 利润增-177.52%
Income profile:
</v>
      </c>
      <c r="D45" t="s">
        <v>261</v>
      </c>
      <c r="E45" t="s">
        <v>18</v>
      </c>
      <c r="F45">
        <v>2.23</v>
      </c>
      <c r="G45">
        <v>1.83</v>
      </c>
      <c r="H45" t="s">
        <v>2250</v>
      </c>
      <c r="I45">
        <v>7696821500</v>
      </c>
      <c r="J45">
        <v>49.3</v>
      </c>
      <c r="K45">
        <v>1.17</v>
      </c>
      <c r="L45" t="s">
        <v>114</v>
      </c>
      <c r="M45" t="s">
        <v>1474</v>
      </c>
      <c r="N45" t="s">
        <v>2251</v>
      </c>
      <c r="O45" t="s">
        <v>1229</v>
      </c>
      <c r="P45">
        <v>20.34</v>
      </c>
      <c r="Q45" t="s">
        <v>2252</v>
      </c>
      <c r="R45">
        <v>54711195</v>
      </c>
      <c r="S45" s="5">
        <v>4.1959999999999997</v>
      </c>
      <c r="T45" t="s">
        <v>2253</v>
      </c>
      <c r="U45">
        <v>3425208700</v>
      </c>
      <c r="V45">
        <v>3451489500</v>
      </c>
      <c r="W45">
        <v>1.41</v>
      </c>
      <c r="X45" t="s">
        <v>53</v>
      </c>
      <c r="Y45">
        <v>6.46</v>
      </c>
      <c r="Z45" t="s">
        <v>53</v>
      </c>
      <c r="AA45" t="s">
        <v>53</v>
      </c>
      <c r="AB45" t="s">
        <v>53</v>
      </c>
      <c r="AC45" t="s">
        <v>53</v>
      </c>
      <c r="AD45" t="s">
        <v>53</v>
      </c>
      <c r="AE45">
        <v>-12752253</v>
      </c>
      <c r="AF45" t="s">
        <v>1477</v>
      </c>
      <c r="AG45" t="s">
        <v>2254</v>
      </c>
      <c r="AH45" t="s">
        <v>1478</v>
      </c>
      <c r="AI45" t="s">
        <v>2255</v>
      </c>
      <c r="AJ45" t="s">
        <v>1479</v>
      </c>
      <c r="AK45" t="s">
        <v>53</v>
      </c>
      <c r="AL45" t="s">
        <v>1480</v>
      </c>
      <c r="AM45" t="s">
        <v>53</v>
      </c>
      <c r="AN45" t="s">
        <v>219</v>
      </c>
      <c r="AO45" t="s">
        <v>53</v>
      </c>
      <c r="AP45" t="s">
        <v>2256</v>
      </c>
      <c r="AQ45" t="s">
        <v>988</v>
      </c>
      <c r="AR45" t="s">
        <v>2257</v>
      </c>
      <c r="AS45" t="s">
        <v>53</v>
      </c>
      <c r="AT45" t="s">
        <v>53</v>
      </c>
      <c r="AU45" t="s">
        <v>2258</v>
      </c>
      <c r="AV45" t="s">
        <v>219</v>
      </c>
      <c r="AW45" t="s">
        <v>2259</v>
      </c>
      <c r="AX45" t="s">
        <v>853</v>
      </c>
      <c r="AY45" t="s">
        <v>53</v>
      </c>
      <c r="AZ45" t="s">
        <v>489</v>
      </c>
      <c r="BA45" t="s">
        <v>262</v>
      </c>
      <c r="BB45" t="s">
        <v>491</v>
      </c>
      <c r="BC45" t="s">
        <v>854</v>
      </c>
      <c r="BD45" t="s">
        <v>53</v>
      </c>
      <c r="BE45" t="s">
        <v>53</v>
      </c>
      <c r="BF45" t="s">
        <v>53</v>
      </c>
      <c r="BG45" t="s">
        <v>53</v>
      </c>
      <c r="BH45" t="s">
        <v>1475</v>
      </c>
      <c r="BI45" t="s">
        <v>1457</v>
      </c>
      <c r="BJ45" t="s">
        <v>853</v>
      </c>
      <c r="BK45" t="s">
        <v>1476</v>
      </c>
      <c r="BL45" t="s">
        <v>2260</v>
      </c>
      <c r="BM45" t="s">
        <v>854</v>
      </c>
      <c r="BN45">
        <v>0.04</v>
      </c>
      <c r="BO45">
        <v>0.02</v>
      </c>
      <c r="BP45">
        <v>1.33</v>
      </c>
      <c r="BQ45">
        <v>1.83</v>
      </c>
      <c r="BR45">
        <v>1.19</v>
      </c>
      <c r="BS45">
        <v>4.5999999999999996</v>
      </c>
      <c r="BT45" t="s">
        <v>779</v>
      </c>
      <c r="BU45" t="s">
        <v>114</v>
      </c>
      <c r="BV45">
        <v>61.45</v>
      </c>
      <c r="BW45">
        <v>59.44</v>
      </c>
      <c r="BX45">
        <v>74.36</v>
      </c>
      <c r="BY45">
        <v>0.98</v>
      </c>
      <c r="BZ45">
        <v>0.46</v>
      </c>
      <c r="CA45">
        <v>5.48</v>
      </c>
      <c r="CB45">
        <v>2.76</v>
      </c>
      <c r="CC45">
        <v>-6.3</v>
      </c>
      <c r="CD45" t="s">
        <v>86</v>
      </c>
      <c r="CE45" t="s">
        <v>331</v>
      </c>
      <c r="CF45" s="8">
        <v>-1.9464720194647345E-2</v>
      </c>
      <c r="CG45" s="9">
        <v>7.3181276993787101</v>
      </c>
      <c r="CH45" s="8">
        <v>0.17907153069972992</v>
      </c>
      <c r="CI45" s="8" t="s">
        <v>53</v>
      </c>
      <c r="CJ45" s="8" t="s">
        <v>53</v>
      </c>
      <c r="CK45" s="8">
        <v>-3.6182519048452377E-2</v>
      </c>
      <c r="CL45" s="8">
        <v>0.15610793232917786</v>
      </c>
      <c r="CM45" s="9">
        <v>-1.7752269506454468</v>
      </c>
      <c r="CN45" s="9" t="s">
        <v>53</v>
      </c>
      <c r="CO45" s="9" t="s">
        <v>53</v>
      </c>
      <c r="CP45" s="9" t="s">
        <v>53</v>
      </c>
      <c r="CQ45" s="9" t="s">
        <v>53</v>
      </c>
      <c r="CR45">
        <v>866.62254824689842</v>
      </c>
      <c r="CS45">
        <v>86.952983870987026</v>
      </c>
      <c r="CT45">
        <v>0.44843049327354262</v>
      </c>
      <c r="CU45" s="8">
        <v>9.9665647993485137E-2</v>
      </c>
      <c r="CV45" s="9">
        <v>-1.7752269506454468</v>
      </c>
      <c r="CW45">
        <v>0.06</v>
      </c>
      <c r="CX45" t="e">
        <v>#VALUE!</v>
      </c>
      <c r="CY45" t="s">
        <v>728</v>
      </c>
      <c r="CZ45">
        <v>9.9665647993485137E-2</v>
      </c>
      <c r="DA45" t="e">
        <v>#VALUE!</v>
      </c>
      <c r="DB45" t="s">
        <v>728</v>
      </c>
      <c r="DC45">
        <v>9.468236559381088E-2</v>
      </c>
      <c r="DD45" t="e">
        <v>#VALUE!</v>
      </c>
      <c r="DE45" t="s">
        <v>728</v>
      </c>
      <c r="DF45">
        <v>8.7705770234266928E-2</v>
      </c>
      <c r="DG45" t="e">
        <v>#VALUE!</v>
      </c>
      <c r="DH45" t="s">
        <v>728</v>
      </c>
      <c r="DI45">
        <v>7.9732518394788121E-2</v>
      </c>
      <c r="DJ45" t="e">
        <v>#VALUE!</v>
      </c>
      <c r="DK45" t="s">
        <v>728</v>
      </c>
      <c r="DL45">
        <v>6.9765953595439592E-2</v>
      </c>
      <c r="DM45">
        <v>-61262700.000000007</v>
      </c>
      <c r="DN45">
        <v>9.9665647993485137E-2</v>
      </c>
      <c r="DO45">
        <v>2789821500.000001</v>
      </c>
      <c r="DP45">
        <v>6933164500</v>
      </c>
      <c r="DQ45">
        <v>3043</v>
      </c>
      <c r="DR45">
        <v>-0.11913036818813248</v>
      </c>
      <c r="DS45">
        <v>9.0933546500241569</v>
      </c>
      <c r="DT45" s="10">
        <v>-0.41000000000000003</v>
      </c>
      <c r="DU45">
        <v>-3.57</v>
      </c>
      <c r="DV45">
        <v>-3.98</v>
      </c>
      <c r="DW45">
        <v>6.3046357615894042</v>
      </c>
      <c r="DX45">
        <v>0.42428571428571304</v>
      </c>
      <c r="DY45">
        <v>6.0470009460737941</v>
      </c>
      <c r="DZ45">
        <v>684</v>
      </c>
      <c r="EA45">
        <v>6.040709625699141</v>
      </c>
      <c r="EB45">
        <v>6</v>
      </c>
      <c r="EC45">
        <v>3.1290838346748555E-2</v>
      </c>
      <c r="ED45">
        <v>0.20281098928448138</v>
      </c>
      <c r="EE45" s="11">
        <v>2.0014099999999999</v>
      </c>
      <c r="EF45">
        <v>2.0219100000000001</v>
      </c>
      <c r="EG45">
        <v>27.154285714285713</v>
      </c>
      <c r="EH45" t="s">
        <v>1036</v>
      </c>
      <c r="EI45">
        <v>0</v>
      </c>
      <c r="EJ45">
        <v>1</v>
      </c>
      <c r="EK45" s="12">
        <v>45470</v>
      </c>
      <c r="EL45">
        <v>-0.67</v>
      </c>
      <c r="EM45">
        <v>-3.11</v>
      </c>
      <c r="EN45">
        <v>0.42</v>
      </c>
      <c r="EO45">
        <v>1.53</v>
      </c>
      <c r="EP45">
        <v>-2.0499999999999998</v>
      </c>
    </row>
    <row r="46" spans="1:146" ht="192" x14ac:dyDescent="0.25">
      <c r="A46" s="7"/>
      <c r="B46" s="6"/>
      <c r="C46" s="7" t="str">
        <f>"公司的主营业务为药品的研发、生产与销售。公司主要产品为通络祛痛膏、活血消痛酊、壮骨麝香止痛膏、吲哚美辛贴片、丹鹿通督片、培元通脑胶囊、参芪降糖胶囊、舒腹贴膏、小儿氨酚黄那敏颗粒、小儿咳喘灵颗粒、医用退热贴、三黄珍珠膏、糠酸莫米松乳膏、青石颗粒、咳宁胶囊、小柴胡片、锐枢安芬太尼透皮贴剂。"&amp;CHAR(10)&amp;Basic_Fundamental_Information_Constructure(F46)&amp;CHAR(10)&amp;Basic_Fundamental_Information_Concatenate("贴剂 19.14亿 63.77% 14.24亿 65.62% 74.38%
胶囊剂 6.17亿 20.55% 4.58亿 21.12% 74.31%
片剂 1.95亿 6.48% 1.14亿 5.27% 58.77%
软膏剂 1.49亿 4.97% 1.14亿 5.25% 76.22%
其他 1.24亿 4.12% 5655.00万 2.61% 45.76%")</f>
        <v>公司的主营业务为药品的研发、生产与销售。公司主要产品为通络祛痛膏、活血消痛酊、壮骨麝香止痛膏、吲哚美辛贴片、丹鹿通督片、培元通脑胶囊、参芪降糖胶囊、舒腹贴膏、小儿氨酚黄那敏颗粒、小儿咳喘灵颗粒、医用退热贴、三黄珍珠膏、糠酸莫米松乳膏、青石颗粒、咳宁胶囊、小柴胡片、锐枢安芬太尼透皮贴剂。
市值139.40307亿, 利润7095.11万; PE22.7; 平均PE47.53; 平均PEG4.44, PB4.75; ROIC16.1667%; ROE17.6133%; 股利率3.2547%; 毛利73.28%; 净利15.3733%; 上一年度营收增13.39%, 利润增-84.74%; 当季营收增-8.09%, 利润增1178.82%; 过往5年营收增10.71%, 利润增-2.67%
Income profile:
贴剂 19.14亿 63.77% 14.24亿 65.62% 74.38%
胶囊剂 6.17亿 20.55% 4.58亿 21.12% 74.31%
片剂 1.95亿 6.48% 1.14亿 5.27% 58.77%
软膏剂 1.49亿 4.97% 1.14亿 5.25% 76.22%
其他 1.24亿 4.12% 5655.00万 2.61% 45.76%</v>
      </c>
      <c r="D46" t="s">
        <v>263</v>
      </c>
      <c r="E46" t="s">
        <v>9</v>
      </c>
      <c r="F46">
        <v>24.58</v>
      </c>
      <c r="G46">
        <v>3.67</v>
      </c>
      <c r="H46" t="s">
        <v>2261</v>
      </c>
      <c r="I46">
        <v>13940307000</v>
      </c>
      <c r="J46">
        <v>22.7</v>
      </c>
      <c r="K46">
        <v>4.75</v>
      </c>
      <c r="L46" t="s">
        <v>114</v>
      </c>
      <c r="M46" t="s">
        <v>1042</v>
      </c>
      <c r="N46" t="s">
        <v>2262</v>
      </c>
      <c r="O46" t="s">
        <v>1482</v>
      </c>
      <c r="P46">
        <v>15.27</v>
      </c>
      <c r="Q46" t="s">
        <v>879</v>
      </c>
      <c r="R46">
        <v>190378640</v>
      </c>
      <c r="S46" s="5">
        <v>0.31979999999999997</v>
      </c>
      <c r="T46" t="s">
        <v>2263</v>
      </c>
      <c r="U46">
        <v>563187230</v>
      </c>
      <c r="V46">
        <v>567140240</v>
      </c>
      <c r="W46">
        <v>1.69</v>
      </c>
      <c r="X46">
        <v>0.19</v>
      </c>
      <c r="Y46">
        <v>20.94</v>
      </c>
      <c r="Z46" t="s">
        <v>2264</v>
      </c>
      <c r="AA46" t="s">
        <v>2265</v>
      </c>
      <c r="AB46" t="s">
        <v>413</v>
      </c>
      <c r="AC46" t="s">
        <v>2266</v>
      </c>
      <c r="AD46" t="s">
        <v>53</v>
      </c>
      <c r="AE46">
        <v>-8020890</v>
      </c>
      <c r="AF46" t="s">
        <v>1485</v>
      </c>
      <c r="AG46" t="s">
        <v>2267</v>
      </c>
      <c r="AH46" t="s">
        <v>1486</v>
      </c>
      <c r="AI46" t="s">
        <v>2268</v>
      </c>
      <c r="AJ46" t="s">
        <v>1488</v>
      </c>
      <c r="AK46" t="s">
        <v>97</v>
      </c>
      <c r="AL46" t="s">
        <v>1489</v>
      </c>
      <c r="AM46" t="s">
        <v>53</v>
      </c>
      <c r="AN46" t="s">
        <v>2269</v>
      </c>
      <c r="AO46" t="s">
        <v>2270</v>
      </c>
      <c r="AP46" t="s">
        <v>53</v>
      </c>
      <c r="AQ46" t="s">
        <v>2271</v>
      </c>
      <c r="AR46" t="s">
        <v>2272</v>
      </c>
      <c r="AS46" t="s">
        <v>2273</v>
      </c>
      <c r="AT46" t="s">
        <v>53</v>
      </c>
      <c r="AU46" t="s">
        <v>2274</v>
      </c>
      <c r="AV46" t="s">
        <v>2275</v>
      </c>
      <c r="AW46" t="s">
        <v>2276</v>
      </c>
      <c r="AX46" t="s">
        <v>855</v>
      </c>
      <c r="AY46" t="s">
        <v>676</v>
      </c>
      <c r="AZ46" t="s">
        <v>493</v>
      </c>
      <c r="BA46" t="s">
        <v>264</v>
      </c>
      <c r="BB46" t="s">
        <v>494</v>
      </c>
      <c r="BC46" t="s">
        <v>659</v>
      </c>
      <c r="BD46" t="s">
        <v>320</v>
      </c>
      <c r="BE46" t="s">
        <v>58</v>
      </c>
      <c r="BF46" t="s">
        <v>265</v>
      </c>
      <c r="BG46" t="s">
        <v>62</v>
      </c>
      <c r="BH46" t="s">
        <v>1483</v>
      </c>
      <c r="BI46" t="s">
        <v>2277</v>
      </c>
      <c r="BJ46" t="s">
        <v>855</v>
      </c>
      <c r="BK46" t="s">
        <v>1484</v>
      </c>
      <c r="BL46" t="s">
        <v>2278</v>
      </c>
      <c r="BM46" t="s">
        <v>659</v>
      </c>
      <c r="BN46">
        <v>16.260000000000002</v>
      </c>
      <c r="BO46">
        <v>17.399999999999999</v>
      </c>
      <c r="BP46">
        <v>14.84</v>
      </c>
      <c r="BQ46">
        <v>17.64</v>
      </c>
      <c r="BR46">
        <v>19.28</v>
      </c>
      <c r="BS46">
        <v>15.92</v>
      </c>
      <c r="BT46" t="s">
        <v>1490</v>
      </c>
      <c r="BU46" t="s">
        <v>114</v>
      </c>
      <c r="BV46">
        <v>73.290000000000006</v>
      </c>
      <c r="BW46">
        <v>72.28</v>
      </c>
      <c r="BX46">
        <v>74.27</v>
      </c>
      <c r="BY46">
        <v>17.16</v>
      </c>
      <c r="BZ46">
        <v>15.5</v>
      </c>
      <c r="CA46">
        <v>13.46</v>
      </c>
      <c r="CB46">
        <v>1.53</v>
      </c>
      <c r="CC46">
        <v>3.28</v>
      </c>
      <c r="CD46" t="s">
        <v>2279</v>
      </c>
      <c r="CE46" t="s">
        <v>316</v>
      </c>
      <c r="CF46" s="8">
        <v>-8.0889787664307378E-2</v>
      </c>
      <c r="CG46" s="9">
        <v>11.788161562695219</v>
      </c>
      <c r="CH46" s="8">
        <v>0.13391077518463135</v>
      </c>
      <c r="CI46" s="8">
        <v>0.11432803422212601</v>
      </c>
      <c r="CJ46" s="8">
        <v>0.15523160994052887</v>
      </c>
      <c r="CK46" s="8">
        <v>8.1131234765052795E-2</v>
      </c>
      <c r="CL46" s="8">
        <v>5.0657574087381363E-2</v>
      </c>
      <c r="CM46" s="9">
        <v>-0.84741699695587158</v>
      </c>
      <c r="CN46" s="9">
        <v>0.2845304012298584</v>
      </c>
      <c r="CO46" s="9">
        <v>0.11384615302085876</v>
      </c>
      <c r="CP46" s="9">
        <v>0.10544217377901077</v>
      </c>
      <c r="CQ46" s="9">
        <v>0.20987653732299805</v>
      </c>
      <c r="CR46">
        <v>47.525094305177007</v>
      </c>
      <c r="CS46">
        <v>4.4394465150112321</v>
      </c>
      <c r="CT46">
        <v>3.254678600488202</v>
      </c>
      <c r="CU46" s="8">
        <v>0.10705184563994408</v>
      </c>
      <c r="CV46" s="9">
        <v>-2.6744346320629119E-2</v>
      </c>
      <c r="CW46">
        <v>0.06</v>
      </c>
      <c r="CX46">
        <v>175.05015922765676</v>
      </c>
      <c r="CY46">
        <v>74100515.287909657</v>
      </c>
      <c r="CZ46">
        <v>0.10705184563994408</v>
      </c>
      <c r="DA46">
        <v>56.386283808055055</v>
      </c>
      <c r="DB46">
        <v>230043658.20871824</v>
      </c>
      <c r="DC46">
        <v>0.10169925335794687</v>
      </c>
      <c r="DD46">
        <v>27.224438942609883</v>
      </c>
      <c r="DE46">
        <v>476458193.58643132</v>
      </c>
      <c r="DF46">
        <v>9.4205624163150786E-2</v>
      </c>
      <c r="DG46">
        <v>15.992211417198735</v>
      </c>
      <c r="DH46">
        <v>811101520.70964241</v>
      </c>
      <c r="DI46">
        <v>8.5641476511955264E-2</v>
      </c>
      <c r="DJ46">
        <v>7.8663790155871993</v>
      </c>
      <c r="DK46">
        <v>1648955253.0201514</v>
      </c>
      <c r="DL46">
        <v>7.4936291947960851E-2</v>
      </c>
      <c r="DM46">
        <v>70951100</v>
      </c>
      <c r="DN46">
        <v>0.10705184563994408</v>
      </c>
      <c r="DO46">
        <v>12971307000</v>
      </c>
      <c r="DP46">
        <v>973498799.99999976</v>
      </c>
      <c r="DQ46">
        <v>3068</v>
      </c>
      <c r="DR46">
        <v>-0.18794163330425145</v>
      </c>
      <c r="DS46">
        <v>11.814905909015849</v>
      </c>
      <c r="DT46" s="10">
        <v>-0.3066666666666667</v>
      </c>
      <c r="DU46">
        <v>-8.3333333333333329E-2</v>
      </c>
      <c r="DV46">
        <v>-0.39</v>
      </c>
      <c r="DW46">
        <v>1.0327999999999999</v>
      </c>
      <c r="DX46">
        <v>0.41260467289719482</v>
      </c>
      <c r="DY46">
        <v>1.006645433271028</v>
      </c>
      <c r="DZ46">
        <v>766</v>
      </c>
      <c r="EA46">
        <v>1.0056492685184628</v>
      </c>
      <c r="EB46">
        <v>1</v>
      </c>
      <c r="EC46">
        <v>7.644916890397338E-2</v>
      </c>
      <c r="ED46">
        <v>0.37733171604963173</v>
      </c>
      <c r="EE46" s="11">
        <v>3.0529999999999999</v>
      </c>
      <c r="EF46">
        <v>3.04</v>
      </c>
      <c r="EG46">
        <v>21.202604672897195</v>
      </c>
      <c r="EH46" t="s">
        <v>1074</v>
      </c>
      <c r="EI46">
        <v>0</v>
      </c>
      <c r="EJ46">
        <v>1</v>
      </c>
      <c r="EK46" s="12">
        <v>45470</v>
      </c>
      <c r="EL46">
        <v>2.0499999999999998</v>
      </c>
      <c r="EM46">
        <v>-3.11</v>
      </c>
      <c r="EN46">
        <v>0.19</v>
      </c>
      <c r="EO46">
        <v>1.1299999999999999</v>
      </c>
      <c r="EP46">
        <v>-1.3</v>
      </c>
    </row>
    <row r="47" spans="1:146" ht="96" x14ac:dyDescent="0.25">
      <c r="A47" s="7"/>
      <c r="B47" s="6"/>
      <c r="C47" s="7" t="str">
        <f>""&amp;CHAR(10)&amp;Basic_Fundamental_Information_Constructure(F47)&amp;CHAR(10)&amp;Basic_Fundamental_Information_Concatenate("")</f>
        <v xml:space="preserve">
市值251.45668亿, 利润3.25亿; PE25.84; 平均PE39.64; 平均PEG7.36, PB3.6; ROIC11.9567%; ROE12.91%; 股利率3.9204%; 毛利41.2833%; 净利11.2533%; 上一年度营收增-55.36%, 利润增-62.3%; 当季营收增129.99%, 利润增345.92%; 过往5年营收增-5.39%, 利润增-3.38%
Income profile:
</v>
      </c>
      <c r="D47" t="s">
        <v>266</v>
      </c>
      <c r="E47" t="s">
        <v>749</v>
      </c>
      <c r="F47">
        <v>32.65</v>
      </c>
      <c r="G47">
        <v>3.98</v>
      </c>
      <c r="H47" t="s">
        <v>2280</v>
      </c>
      <c r="I47">
        <v>25145668000</v>
      </c>
      <c r="J47">
        <v>25.84</v>
      </c>
      <c r="K47">
        <v>3.6</v>
      </c>
      <c r="L47" t="s">
        <v>114</v>
      </c>
      <c r="M47" t="s">
        <v>1491</v>
      </c>
      <c r="N47" t="s">
        <v>2281</v>
      </c>
      <c r="O47" t="s">
        <v>1492</v>
      </c>
      <c r="P47">
        <v>-3.19</v>
      </c>
      <c r="Q47" t="s">
        <v>2282</v>
      </c>
      <c r="R47">
        <v>387326170</v>
      </c>
      <c r="S47" s="5">
        <v>-3.3599999999999998E-2</v>
      </c>
      <c r="T47" t="s">
        <v>58</v>
      </c>
      <c r="U47">
        <v>565868080</v>
      </c>
      <c r="V47">
        <v>770158280</v>
      </c>
      <c r="W47">
        <v>1.57</v>
      </c>
      <c r="X47">
        <v>0.2</v>
      </c>
      <c r="Y47">
        <v>18.38</v>
      </c>
      <c r="Z47" t="s">
        <v>2283</v>
      </c>
      <c r="AA47" t="s">
        <v>2284</v>
      </c>
      <c r="AB47" t="s">
        <v>1682</v>
      </c>
      <c r="AC47" t="s">
        <v>69</v>
      </c>
      <c r="AD47" t="s">
        <v>53</v>
      </c>
      <c r="AE47">
        <v>688584</v>
      </c>
      <c r="AF47" t="s">
        <v>1494</v>
      </c>
      <c r="AG47" t="s">
        <v>2285</v>
      </c>
      <c r="AH47" t="s">
        <v>1495</v>
      </c>
      <c r="AI47" t="s">
        <v>2286</v>
      </c>
      <c r="AJ47" t="s">
        <v>1496</v>
      </c>
      <c r="AK47" t="s">
        <v>2287</v>
      </c>
      <c r="AL47" t="s">
        <v>1497</v>
      </c>
      <c r="AM47" t="s">
        <v>53</v>
      </c>
      <c r="AN47" t="s">
        <v>2288</v>
      </c>
      <c r="AO47" t="s">
        <v>1104</v>
      </c>
      <c r="AP47" t="s">
        <v>1211</v>
      </c>
      <c r="AQ47" t="s">
        <v>2289</v>
      </c>
      <c r="AR47" t="s">
        <v>53</v>
      </c>
      <c r="AS47" t="s">
        <v>2290</v>
      </c>
      <c r="AT47" t="s">
        <v>751</v>
      </c>
      <c r="AU47" t="s">
        <v>2291</v>
      </c>
      <c r="AV47" t="s">
        <v>817</v>
      </c>
      <c r="AW47" t="s">
        <v>265</v>
      </c>
      <c r="AX47" t="s">
        <v>856</v>
      </c>
      <c r="AY47" t="s">
        <v>677</v>
      </c>
      <c r="AZ47" t="s">
        <v>495</v>
      </c>
      <c r="BA47" t="s">
        <v>267</v>
      </c>
      <c r="BB47" t="s">
        <v>496</v>
      </c>
      <c r="BC47" t="s">
        <v>68</v>
      </c>
      <c r="BD47" t="s">
        <v>644</v>
      </c>
      <c r="BE47" t="s">
        <v>299</v>
      </c>
      <c r="BF47" t="s">
        <v>149</v>
      </c>
      <c r="BG47" t="s">
        <v>497</v>
      </c>
      <c r="BH47" t="s">
        <v>1493</v>
      </c>
      <c r="BI47" t="s">
        <v>1152</v>
      </c>
      <c r="BJ47" t="s">
        <v>856</v>
      </c>
      <c r="BK47" t="s">
        <v>1000</v>
      </c>
      <c r="BL47" t="s">
        <v>2292</v>
      </c>
      <c r="BM47" t="s">
        <v>68</v>
      </c>
      <c r="BN47">
        <v>11.68</v>
      </c>
      <c r="BO47">
        <v>12.39</v>
      </c>
      <c r="BP47">
        <v>11.8</v>
      </c>
      <c r="BQ47">
        <v>12.94</v>
      </c>
      <c r="BR47">
        <v>13.15</v>
      </c>
      <c r="BS47">
        <v>12.64</v>
      </c>
      <c r="BT47" t="s">
        <v>1499</v>
      </c>
      <c r="BU47" t="s">
        <v>114</v>
      </c>
      <c r="BV47">
        <v>44.01</v>
      </c>
      <c r="BW47">
        <v>39.93</v>
      </c>
      <c r="BX47">
        <v>39.909999999999997</v>
      </c>
      <c r="BY47">
        <v>11.78</v>
      </c>
      <c r="BZ47">
        <v>10.59</v>
      </c>
      <c r="CA47">
        <v>11.39</v>
      </c>
      <c r="CB47">
        <v>0.8</v>
      </c>
      <c r="CC47">
        <v>-6.04</v>
      </c>
      <c r="CD47" t="s">
        <v>2293</v>
      </c>
      <c r="CE47" t="s">
        <v>808</v>
      </c>
      <c r="CF47" s="8">
        <v>1.2998897464167585</v>
      </c>
      <c r="CG47" s="9">
        <v>3.4591852664565974</v>
      </c>
      <c r="CH47" s="8">
        <v>-0.5536428689956665</v>
      </c>
      <c r="CI47" s="8">
        <v>0.19412270188331604</v>
      </c>
      <c r="CJ47" s="8">
        <v>4.6032704412937164E-2</v>
      </c>
      <c r="CK47" s="8">
        <v>-5.5762026458978653E-2</v>
      </c>
      <c r="CL47" s="8">
        <v>9.9858440458774567E-2</v>
      </c>
      <c r="CM47" s="9">
        <v>-0.6229698657989502</v>
      </c>
      <c r="CN47" s="9">
        <v>0.12093628197908401</v>
      </c>
      <c r="CO47" s="9">
        <v>0.16163142025470734</v>
      </c>
      <c r="CP47" s="9">
        <v>5.7507988065481186E-2</v>
      </c>
      <c r="CQ47" s="9">
        <v>0.1138790026307106</v>
      </c>
      <c r="CR47">
        <v>39.641095112979507</v>
      </c>
      <c r="CS47">
        <v>7.3575375470587803</v>
      </c>
      <c r="CT47">
        <v>3.9203675344563558</v>
      </c>
      <c r="CU47" s="8">
        <v>-5.387820973992348E-2</v>
      </c>
      <c r="CV47" s="9">
        <v>-3.3803034573793411E-2</v>
      </c>
      <c r="CW47">
        <v>0.06</v>
      </c>
      <c r="CX47">
        <v>66.777439999999999</v>
      </c>
      <c r="CY47" t="s">
        <v>2294</v>
      </c>
      <c r="CZ47">
        <v>-5.387820973992348E-2</v>
      </c>
      <c r="DA47">
        <v>22.259146666666666</v>
      </c>
      <c r="DB47" t="s">
        <v>2295</v>
      </c>
      <c r="DC47">
        <v>-5.1184299252927307E-2</v>
      </c>
      <c r="DD47">
        <v>11.129573333333333</v>
      </c>
      <c r="DE47" t="s">
        <v>2296</v>
      </c>
      <c r="DF47">
        <v>-4.7412824571132661E-2</v>
      </c>
      <c r="DG47">
        <v>6.6777439999999997</v>
      </c>
      <c r="DH47" t="s">
        <v>2297</v>
      </c>
      <c r="DI47">
        <v>-4.3102567791938787E-2</v>
      </c>
      <c r="DJ47">
        <v>3.3388719999999998</v>
      </c>
      <c r="DK47" t="s">
        <v>2298</v>
      </c>
      <c r="DL47">
        <v>-3.7714746817946433E-2</v>
      </c>
      <c r="DM47">
        <v>325000000</v>
      </c>
      <c r="DN47">
        <v>-5.387820973992348E-2</v>
      </c>
      <c r="DO47">
        <v>21702668000</v>
      </c>
      <c r="DP47">
        <v>3749807100</v>
      </c>
      <c r="DQ47">
        <v>3101</v>
      </c>
      <c r="DR47">
        <v>1.353767956156682</v>
      </c>
      <c r="DS47">
        <v>3.4929883010303908</v>
      </c>
      <c r="DT47" s="10">
        <v>-0.45666666666666672</v>
      </c>
      <c r="DU47">
        <v>-0.19999999999999998</v>
      </c>
      <c r="DV47">
        <v>-0.65666666666666673</v>
      </c>
      <c r="DW47">
        <v>-2.0604</v>
      </c>
      <c r="DX47">
        <v>0.46494367088607363</v>
      </c>
      <c r="DY47">
        <v>-2.008150597721519</v>
      </c>
      <c r="DZ47">
        <v>3077</v>
      </c>
      <c r="EA47">
        <v>-2.0032426937706163</v>
      </c>
      <c r="EB47">
        <v>2</v>
      </c>
      <c r="EC47">
        <v>2.7684049569654694E-2</v>
      </c>
      <c r="ED47">
        <v>0.20515263433900885</v>
      </c>
      <c r="EE47" s="11">
        <v>-2.0914000000000001</v>
      </c>
      <c r="EF47">
        <v>-2.0628000000000002</v>
      </c>
      <c r="EG47">
        <v>33.134943670886074</v>
      </c>
      <c r="EH47" t="s">
        <v>2299</v>
      </c>
      <c r="EI47">
        <v>0</v>
      </c>
      <c r="EJ47">
        <v>0</v>
      </c>
      <c r="EK47" s="12">
        <v>45470</v>
      </c>
      <c r="EL47">
        <v>-0.43</v>
      </c>
      <c r="EM47">
        <v>-2.3199999999999998</v>
      </c>
      <c r="EN47">
        <v>1.34</v>
      </c>
      <c r="EO47">
        <v>2.4900000000000002</v>
      </c>
      <c r="EP47">
        <v>-2.86</v>
      </c>
    </row>
    <row r="48" spans="1:146" ht="156" x14ac:dyDescent="0.25">
      <c r="A48" s="7" t="s">
        <v>977</v>
      </c>
      <c r="B48" s="6"/>
      <c r="C48" s="7" t="str">
        <f>"公司主营业务中西成药、化学原料药、天然药物、生物医药、化学原料药中间体的研究开发、制造与销售;西药、中药和医疗器械的批发、零售和进出口业务;大健康产品的研发、生产与销售;医疗服务、健康管理、养生养老等健康产业投资。"&amp;CHAR(10)&amp;Basic_Fundamental_Information_Constructure(F48)&amp;CHAR(10)&amp;Basic_Fundamental_Information_Concatenate("大商业 491.31亿 69.41% 26.02% 7.03%
大健康 104.73亿 14.79% 34.33% 43.52%
大南药 104.62亿 14.78% 37.78% 47.95%
其他 4.84亿 0.68% 0.51% 14.06%")</f>
        <v>公司主营业务中西成药、化学原料药、天然药物、生物医药、化学原料药中间体的研究开发、制造与销售;西药、中药和医疗器械的批发、零售和进出口业务;大健康产品的研发、生产与销售;医疗服务、健康管理、养生养老等健康产业投资。
市值480.42123亿, 利润-6772.08万; PE11.7; 平均PE16.79; 平均PEG2.5, PB1.3; ROIC9.2867%; ROE12.5767%; 股利率2.5347%; 毛利18.9067%; 净利5.8%; 上一年度营收增-96.74%, 利润增-101.71%; 当季营收增3392.54%, 利润增3687.47%; 过往5年营收增-6.7%, 利润增-16.67%
Income profile:
大商业 491.31亿 69.41% 26.02% 7.03%
大健康 104.73亿 14.79% 34.33% 43.52%
大南药 104.62亿 14.78% 37.78% 47.95%
其他 4.84亿 0.68% 0.51% 14.06%</v>
      </c>
      <c r="D48" t="s">
        <v>269</v>
      </c>
      <c r="E48" t="s">
        <v>47</v>
      </c>
      <c r="F48">
        <v>29.55</v>
      </c>
      <c r="G48">
        <v>2.04</v>
      </c>
      <c r="H48" t="s">
        <v>2300</v>
      </c>
      <c r="I48">
        <v>48042123000</v>
      </c>
      <c r="J48">
        <v>11.7</v>
      </c>
      <c r="K48">
        <v>1.3</v>
      </c>
      <c r="L48" t="s">
        <v>114</v>
      </c>
      <c r="M48" t="s">
        <v>1500</v>
      </c>
      <c r="N48" t="s">
        <v>2301</v>
      </c>
      <c r="O48" t="s">
        <v>1501</v>
      </c>
      <c r="P48">
        <v>6.09</v>
      </c>
      <c r="Q48" t="s">
        <v>2302</v>
      </c>
      <c r="R48">
        <v>1958118100</v>
      </c>
      <c r="S48" s="5">
        <v>2.5899999999999999E-2</v>
      </c>
      <c r="T48" t="s">
        <v>2303</v>
      </c>
      <c r="U48">
        <v>1405890900</v>
      </c>
      <c r="V48">
        <v>1625790900</v>
      </c>
      <c r="W48">
        <v>2.0299999999999998</v>
      </c>
      <c r="X48">
        <v>0.28999999999999998</v>
      </c>
      <c r="Y48">
        <v>8.85</v>
      </c>
      <c r="Z48" t="s">
        <v>2304</v>
      </c>
      <c r="AA48" t="s">
        <v>2305</v>
      </c>
      <c r="AB48" t="s">
        <v>556</v>
      </c>
      <c r="AC48" t="s">
        <v>1804</v>
      </c>
      <c r="AD48" t="s">
        <v>53</v>
      </c>
      <c r="AE48">
        <v>-19909730</v>
      </c>
      <c r="AF48" t="s">
        <v>1504</v>
      </c>
      <c r="AG48" t="s">
        <v>2306</v>
      </c>
      <c r="AH48" t="s">
        <v>1505</v>
      </c>
      <c r="AI48" t="s">
        <v>2307</v>
      </c>
      <c r="AJ48" t="s">
        <v>1506</v>
      </c>
      <c r="AK48" t="s">
        <v>1349</v>
      </c>
      <c r="AL48" t="s">
        <v>1507</v>
      </c>
      <c r="AM48" t="s">
        <v>53</v>
      </c>
      <c r="AN48" t="s">
        <v>2308</v>
      </c>
      <c r="AO48" t="s">
        <v>2309</v>
      </c>
      <c r="AP48" t="s">
        <v>2310</v>
      </c>
      <c r="AQ48" t="s">
        <v>2311</v>
      </c>
      <c r="AR48" t="s">
        <v>53</v>
      </c>
      <c r="AS48" t="s">
        <v>2312</v>
      </c>
      <c r="AT48" t="s">
        <v>2313</v>
      </c>
      <c r="AU48" t="s">
        <v>2314</v>
      </c>
      <c r="AV48" t="s">
        <v>2315</v>
      </c>
      <c r="AW48" t="s">
        <v>2316</v>
      </c>
      <c r="AX48" t="s">
        <v>858</v>
      </c>
      <c r="AY48" t="s">
        <v>679</v>
      </c>
      <c r="AZ48" t="s">
        <v>498</v>
      </c>
      <c r="BA48" t="s">
        <v>270</v>
      </c>
      <c r="BB48" t="s">
        <v>500</v>
      </c>
      <c r="BC48" t="s">
        <v>859</v>
      </c>
      <c r="BD48" t="s">
        <v>680</v>
      </c>
      <c r="BE48" t="s">
        <v>499</v>
      </c>
      <c r="BF48" t="s">
        <v>271</v>
      </c>
      <c r="BG48" t="s">
        <v>181</v>
      </c>
      <c r="BH48" t="s">
        <v>1502</v>
      </c>
      <c r="BI48" t="s">
        <v>2317</v>
      </c>
      <c r="BJ48" t="s">
        <v>858</v>
      </c>
      <c r="BK48" t="s">
        <v>1503</v>
      </c>
      <c r="BL48" t="s">
        <v>2318</v>
      </c>
      <c r="BM48" t="s">
        <v>859</v>
      </c>
      <c r="BN48">
        <v>8.41</v>
      </c>
      <c r="BO48">
        <v>9.59</v>
      </c>
      <c r="BP48">
        <v>9.86</v>
      </c>
      <c r="BQ48">
        <v>11.3</v>
      </c>
      <c r="BR48">
        <v>12.97</v>
      </c>
      <c r="BS48">
        <v>13.46</v>
      </c>
      <c r="BT48" t="s">
        <v>1508</v>
      </c>
      <c r="BU48" t="s">
        <v>114</v>
      </c>
      <c r="BV48">
        <v>18.79</v>
      </c>
      <c r="BW48">
        <v>18.760000000000002</v>
      </c>
      <c r="BX48">
        <v>19.170000000000002</v>
      </c>
      <c r="BY48">
        <v>5.64</v>
      </c>
      <c r="BZ48">
        <v>6.01</v>
      </c>
      <c r="CA48">
        <v>5.75</v>
      </c>
      <c r="CB48">
        <v>0.75</v>
      </c>
      <c r="CC48">
        <v>-3.97</v>
      </c>
      <c r="CD48" t="s">
        <v>2319</v>
      </c>
      <c r="CE48" t="s">
        <v>2112</v>
      </c>
      <c r="CF48" s="8">
        <v>33.925418569254184</v>
      </c>
      <c r="CG48" s="9">
        <v>36.874729993899102</v>
      </c>
      <c r="CH48" s="8">
        <v>-0.9673956036567688</v>
      </c>
      <c r="CI48" s="8">
        <v>2.5704840198159218E-2</v>
      </c>
      <c r="CJ48" s="8">
        <v>0.11901292949914932</v>
      </c>
      <c r="CK48" s="8">
        <v>-5.0468038767576218E-2</v>
      </c>
      <c r="CL48" s="8">
        <v>0.53790789842605591</v>
      </c>
      <c r="CM48" s="9">
        <v>-1.017071008682251</v>
      </c>
      <c r="CN48" s="9">
        <v>6.6397868096828461E-2</v>
      </c>
      <c r="CO48" s="9">
        <v>0.27615776658058167</v>
      </c>
      <c r="CP48" s="9">
        <v>-8.5920311510562897E-2</v>
      </c>
      <c r="CQ48" s="9">
        <v>-7.3234528303146362E-2</v>
      </c>
      <c r="CR48">
        <v>16.793757235083895</v>
      </c>
      <c r="CS48">
        <v>2.5047516275716224</v>
      </c>
      <c r="CT48">
        <v>2.5346869712351947</v>
      </c>
      <c r="CU48" s="8">
        <v>-6.7047594860196111E-2</v>
      </c>
      <c r="CV48" s="9">
        <v>-0.16673404276371001</v>
      </c>
      <c r="CW48">
        <v>0.06</v>
      </c>
      <c r="CX48" t="e">
        <v>#VALUE!</v>
      </c>
      <c r="CY48" t="s">
        <v>728</v>
      </c>
      <c r="CZ48">
        <v>-6.7047594860196111E-2</v>
      </c>
      <c r="DA48" t="e">
        <v>#VALUE!</v>
      </c>
      <c r="DB48" t="s">
        <v>728</v>
      </c>
      <c r="DC48">
        <v>-6.3695215117186302E-2</v>
      </c>
      <c r="DD48" t="e">
        <v>#VALUE!</v>
      </c>
      <c r="DE48" t="s">
        <v>728</v>
      </c>
      <c r="DF48">
        <v>-5.9001883476972578E-2</v>
      </c>
      <c r="DG48" t="e">
        <v>#VALUE!</v>
      </c>
      <c r="DH48" t="s">
        <v>728</v>
      </c>
      <c r="DI48">
        <v>-5.3638075888156889E-2</v>
      </c>
      <c r="DJ48" t="e">
        <v>#VALUE!</v>
      </c>
      <c r="DK48" t="s">
        <v>728</v>
      </c>
      <c r="DL48">
        <v>-4.6933316402137278E-2</v>
      </c>
      <c r="DM48">
        <v>-67720800</v>
      </c>
      <c r="DN48">
        <v>-6.7047594860196111E-2</v>
      </c>
      <c r="DO48">
        <v>51238123000</v>
      </c>
      <c r="DP48">
        <v>21839815000</v>
      </c>
      <c r="DQ48">
        <v>3104</v>
      </c>
      <c r="DR48">
        <v>33.992466164114383</v>
      </c>
      <c r="DS48">
        <v>37.041464036662809</v>
      </c>
      <c r="DT48" s="10">
        <v>-0.67333333333333334</v>
      </c>
      <c r="DU48">
        <v>-0.83666666666666678</v>
      </c>
      <c r="DV48">
        <v>-1.5100000000000002</v>
      </c>
      <c r="DW48">
        <v>-1.0397000000000001</v>
      </c>
      <c r="DX48">
        <v>0.43748901734104079</v>
      </c>
      <c r="DY48">
        <v>-1.0058553139884394</v>
      </c>
      <c r="DZ48">
        <v>4642</v>
      </c>
      <c r="EA48">
        <v>-1.0005362596764362</v>
      </c>
      <c r="EB48">
        <v>1</v>
      </c>
      <c r="EC48">
        <v>1.5694269170777129E-2</v>
      </c>
      <c r="ED48">
        <v>0.10640974801864127</v>
      </c>
      <c r="EE48" s="11">
        <v>3.0668099999999998</v>
      </c>
      <c r="EF48">
        <v>3.1087099999999999</v>
      </c>
      <c r="EG48">
        <v>29.147489017341041</v>
      </c>
      <c r="EH48" t="s">
        <v>1007</v>
      </c>
      <c r="EI48">
        <v>0</v>
      </c>
      <c r="EJ48">
        <v>0</v>
      </c>
      <c r="EK48" s="12">
        <v>45470</v>
      </c>
      <c r="EL48">
        <v>2.63</v>
      </c>
      <c r="EM48">
        <v>-2.72</v>
      </c>
      <c r="EN48">
        <v>-3.79</v>
      </c>
      <c r="EO48">
        <v>2.23</v>
      </c>
      <c r="EP48">
        <v>-4.1900000000000004</v>
      </c>
    </row>
    <row r="49" spans="1:146" ht="204" x14ac:dyDescent="0.25">
      <c r="A49" s="7"/>
      <c r="B49" s="7" t="s">
        <v>611</v>
      </c>
      <c r="C49" s="7" t="str">
        <f>"公司是一家集药品生产、经营、研发于一体的企业集团。经营产品涉及儿科类、止痛类、心血管系统类、内分泌系统类、消化系统类、清热解毒类、精神神经类、维生素矿物质类等细分领域。“亚宝”是驰名商标。"&amp;CHAR(10)&amp;Basic_Fundamental_Information_Constructure(F49)&amp;CHAR(10)&amp;Basic_Fundamental_Information_Concatenate("医药生产-心血管系统	7.98亿	29.36%	35.69%	67.92%
医药生产-儿科类	6.10亿	22.43%	33.10%	82.47%
医药生产-止痛类	1.97亿	7.25%	6.84%	52.73%
医药生产-其他	1.56亿	5.73%	4.67%	45.55%
医药生产-精神神经类	1.50亿	5.53%	6.59%	66.56%
医药生产-原料药类	1.14亿	4.19%	2.96%	39.52%
医药生产-清热解毒类	7048.19万	2.59%	1.94%	41.89%")</f>
        <v>公司是一家集药品生产、经营、研发于一体的企业集团。经营产品涉及儿科类、止痛类、心血管系统类、内分泌系统类、消化系统类、清热解毒类、精神神经类、维生素矿物质类等细分领域。“亚宝”是驰名商标。
市值41.400005亿, 利润15.34亿; PE20.25; 平均PE11.19; 平均PEG.12, PB1.52; ROIC5.07%; ROE5.73%; 股利率2.6087%; 毛利58.2533%; 净利5.56%; 上一年度营收增463.02%, 利润增1360.95%; 当季营收增-79.43%, 利润增-67.37%; 过往5年营收增91.47%, 利润增393.27%
Income profile:
医药生产-心血管系统	7.98亿	29.36%	35.69%	67.92%
医药生产-儿科类	6.10亿	22.43%	33.10%	82.47%
医药生产-止痛类	1.97亿	7.25%	6.84%	52.73%
医药生产-其他	1.56亿	5.73%	4.67%	45.55%
医药生产-精神神经类	1.50亿	5.53%	6.59%	66.56%
医药生产-原料药类	1.14亿	4.19%	2.96%	39.52%
医药生产-清热解毒类	7048.19万	2.59%	1.94%	41.89%</v>
      </c>
      <c r="D49" t="s">
        <v>272</v>
      </c>
      <c r="E49" t="s">
        <v>35</v>
      </c>
      <c r="F49">
        <v>5.75</v>
      </c>
      <c r="G49">
        <v>2.68</v>
      </c>
      <c r="H49" t="s">
        <v>2320</v>
      </c>
      <c r="I49">
        <v>4140000500</v>
      </c>
      <c r="J49">
        <v>20.25</v>
      </c>
      <c r="K49">
        <v>1.52</v>
      </c>
      <c r="L49" t="s">
        <v>114</v>
      </c>
      <c r="M49" t="s">
        <v>151</v>
      </c>
      <c r="N49" t="s">
        <v>2321</v>
      </c>
      <c r="O49" t="s">
        <v>1053</v>
      </c>
      <c r="P49">
        <v>-3.66</v>
      </c>
      <c r="Q49" t="s">
        <v>2322</v>
      </c>
      <c r="R49">
        <v>112264324</v>
      </c>
      <c r="S49" s="5">
        <v>4.5100000000000001E-2</v>
      </c>
      <c r="T49" t="s">
        <v>2323</v>
      </c>
      <c r="U49">
        <v>720000090</v>
      </c>
      <c r="V49">
        <v>720000090</v>
      </c>
      <c r="W49">
        <v>1.3</v>
      </c>
      <c r="X49">
        <v>0.2</v>
      </c>
      <c r="Y49">
        <v>14.23</v>
      </c>
      <c r="Z49" t="s">
        <v>2038</v>
      </c>
      <c r="AA49" t="s">
        <v>209</v>
      </c>
      <c r="AB49" t="s">
        <v>656</v>
      </c>
      <c r="AC49" t="s">
        <v>2324</v>
      </c>
      <c r="AD49" t="s">
        <v>53</v>
      </c>
      <c r="AE49">
        <v>-181238</v>
      </c>
      <c r="AF49" t="s">
        <v>1510</v>
      </c>
      <c r="AG49" t="s">
        <v>2325</v>
      </c>
      <c r="AH49" t="s">
        <v>1511</v>
      </c>
      <c r="AI49" t="s">
        <v>1346</v>
      </c>
      <c r="AJ49" t="s">
        <v>1512</v>
      </c>
      <c r="AK49" t="s">
        <v>53</v>
      </c>
      <c r="AL49" t="s">
        <v>1513</v>
      </c>
      <c r="AM49" t="s">
        <v>53</v>
      </c>
      <c r="AN49" t="s">
        <v>2326</v>
      </c>
      <c r="AO49" t="s">
        <v>81</v>
      </c>
      <c r="AP49" t="s">
        <v>2327</v>
      </c>
      <c r="AQ49" t="s">
        <v>225</v>
      </c>
      <c r="AR49" t="s">
        <v>2328</v>
      </c>
      <c r="AS49" t="s">
        <v>2329</v>
      </c>
      <c r="AT49" t="s">
        <v>53</v>
      </c>
      <c r="AU49" t="s">
        <v>1876</v>
      </c>
      <c r="AV49" t="s">
        <v>2330</v>
      </c>
      <c r="AW49" t="s">
        <v>2331</v>
      </c>
      <c r="AX49" t="s">
        <v>860</v>
      </c>
      <c r="AY49" t="s">
        <v>681</v>
      </c>
      <c r="AZ49" t="s">
        <v>501</v>
      </c>
      <c r="BA49" t="s">
        <v>273</v>
      </c>
      <c r="BB49" t="s">
        <v>502</v>
      </c>
      <c r="BC49" t="s">
        <v>219</v>
      </c>
      <c r="BD49" t="s">
        <v>624</v>
      </c>
      <c r="BE49" t="s">
        <v>153</v>
      </c>
      <c r="BF49" t="s">
        <v>274</v>
      </c>
      <c r="BG49" t="s">
        <v>185</v>
      </c>
      <c r="BH49" t="s">
        <v>1509</v>
      </c>
      <c r="BI49" t="s">
        <v>2332</v>
      </c>
      <c r="BJ49" t="s">
        <v>860</v>
      </c>
      <c r="BK49" t="s">
        <v>81</v>
      </c>
      <c r="BL49" t="s">
        <v>370</v>
      </c>
      <c r="BM49" t="s">
        <v>219</v>
      </c>
      <c r="BN49">
        <v>6.34</v>
      </c>
      <c r="BO49">
        <v>3.25</v>
      </c>
      <c r="BP49">
        <v>5.62</v>
      </c>
      <c r="BQ49">
        <v>7.06</v>
      </c>
      <c r="BR49">
        <v>3.56</v>
      </c>
      <c r="BS49">
        <v>6.57</v>
      </c>
      <c r="BT49" t="s">
        <v>795</v>
      </c>
      <c r="BU49" t="s">
        <v>114</v>
      </c>
      <c r="BV49">
        <v>57.85</v>
      </c>
      <c r="BW49">
        <v>55.88</v>
      </c>
      <c r="BX49">
        <v>61.03</v>
      </c>
      <c r="BY49">
        <v>6.18</v>
      </c>
      <c r="BZ49">
        <v>3.85</v>
      </c>
      <c r="CA49">
        <v>6.65</v>
      </c>
      <c r="CB49">
        <v>2.5</v>
      </c>
      <c r="CC49">
        <v>-6.2</v>
      </c>
      <c r="CD49" t="s">
        <v>2333</v>
      </c>
      <c r="CE49" t="s">
        <v>246</v>
      </c>
      <c r="CF49" s="8">
        <v>-0.79434515870898903</v>
      </c>
      <c r="CG49" s="9">
        <v>-0.67365022093023252</v>
      </c>
      <c r="CH49" s="8">
        <v>4.6302423477172852</v>
      </c>
      <c r="CI49" s="8">
        <v>-1.6642501577734947E-2</v>
      </c>
      <c r="CJ49" s="8">
        <v>6.2259852886199951E-2</v>
      </c>
      <c r="CK49" s="8">
        <v>-0.1446416825056076</v>
      </c>
      <c r="CL49" s="8">
        <v>4.2494770139455795E-2</v>
      </c>
      <c r="CM49" s="9">
        <v>13.609522819519043</v>
      </c>
      <c r="CN49" s="9">
        <v>-0.43850266933441162</v>
      </c>
      <c r="CO49" s="9">
        <v>0.74766355752944946</v>
      </c>
      <c r="CP49" s="9">
        <v>6.6940226554870605</v>
      </c>
      <c r="CQ49" s="9">
        <v>-0.94905900955200195</v>
      </c>
      <c r="CR49">
        <v>11.189659800597944</v>
      </c>
      <c r="CS49">
        <v>0.12232578129124598</v>
      </c>
      <c r="CT49">
        <v>2.6086956521739131</v>
      </c>
      <c r="CU49" s="8">
        <v>0.91474255733191967</v>
      </c>
      <c r="CV49" s="9">
        <v>3.9327294707298277</v>
      </c>
      <c r="CW49">
        <v>0.06</v>
      </c>
      <c r="CX49">
        <v>0.74667345361696502</v>
      </c>
      <c r="CY49">
        <v>2770957625.4218535</v>
      </c>
      <c r="CZ49">
        <v>0.91474255733191967</v>
      </c>
      <c r="DA49">
        <v>0.13026710428502183</v>
      </c>
      <c r="DB49">
        <v>15882754985.272936</v>
      </c>
      <c r="DC49">
        <v>0.86900542946532366</v>
      </c>
      <c r="DD49">
        <v>2.3812586548649168E-2</v>
      </c>
      <c r="DE49">
        <v>86886844307.023407</v>
      </c>
      <c r="DF49">
        <v>0.80497345045208935</v>
      </c>
      <c r="DG49">
        <v>3.8903497804026253E-3</v>
      </c>
      <c r="DH49">
        <v>531828914310.5976</v>
      </c>
      <c r="DI49">
        <v>0.73179404586553576</v>
      </c>
      <c r="DJ49">
        <v>7.6964588026371048E-5</v>
      </c>
      <c r="DK49">
        <v>26882499511217.812</v>
      </c>
      <c r="DL49">
        <v>0.64031979013234375</v>
      </c>
      <c r="DM49">
        <v>1534000000</v>
      </c>
      <c r="DN49">
        <v>0.91474255733191967</v>
      </c>
      <c r="DO49">
        <v>2069000500</v>
      </c>
      <c r="DP49">
        <v>931881200</v>
      </c>
      <c r="DQ49">
        <v>3117</v>
      </c>
      <c r="DR49">
        <v>-1.7090877160409086</v>
      </c>
      <c r="DS49">
        <v>-4.6063796916600603</v>
      </c>
      <c r="DT49" s="10">
        <v>-0.14000000000000004</v>
      </c>
      <c r="DU49">
        <v>0.23833333333333337</v>
      </c>
      <c r="DV49">
        <v>9.8333333333333328E-2</v>
      </c>
      <c r="DW49">
        <v>6.2873563218390807</v>
      </c>
      <c r="DX49">
        <v>0.43600962343096156</v>
      </c>
      <c r="DY49">
        <v>6.0390832251238393</v>
      </c>
      <c r="DZ49">
        <v>1173</v>
      </c>
      <c r="EA49">
        <v>6.0301116746208523</v>
      </c>
      <c r="EB49">
        <v>6</v>
      </c>
      <c r="EC49">
        <v>4.5147633245434735E-2</v>
      </c>
      <c r="ED49">
        <v>0.3319444029513941</v>
      </c>
      <c r="EE49" s="11">
        <v>2.0011000000000001</v>
      </c>
      <c r="EF49">
        <v>2.0219</v>
      </c>
      <c r="EG49">
        <v>30.136009623430962</v>
      </c>
      <c r="EH49" t="s">
        <v>723</v>
      </c>
      <c r="EI49">
        <v>0</v>
      </c>
      <c r="EJ49">
        <v>1</v>
      </c>
      <c r="EK49" s="12">
        <v>45470</v>
      </c>
      <c r="EL49">
        <v>1.35</v>
      </c>
      <c r="EM49">
        <v>-0.44</v>
      </c>
      <c r="EN49">
        <v>-0.23</v>
      </c>
      <c r="EO49">
        <v>1.05</v>
      </c>
      <c r="EP49">
        <v>2.08</v>
      </c>
    </row>
    <row r="50" spans="1:146" ht="96" x14ac:dyDescent="0.25">
      <c r="A50" s="7"/>
      <c r="B50" s="7"/>
      <c r="C50" s="7" t="str">
        <f>""&amp;CHAR(10)&amp;Basic_Fundamental_Information_Constructure(F50)&amp;CHAR(10)&amp;Basic_Fundamental_Information_Concatenate("")</f>
        <v xml:space="preserve">
市值135.52341亿, 利润7325.13万; PE31.35; 平均PE36.77; 平均PEG2.25, PB2.5; ROIC7.6967%; ROE8.8033%; 股利率1.1173%; 毛利42.5467%; 净利5.59%; 上一年度营收增-98.29%, 利润增-80.87%; 当季营收增6195.06%, 利润增5775.91%; 过往5年营收增-16.32%, 利润增-11.71%
Income profile:
</v>
      </c>
      <c r="D50" t="s">
        <v>276</v>
      </c>
      <c r="E50" t="s">
        <v>32</v>
      </c>
      <c r="F50">
        <v>17.899999999999999</v>
      </c>
      <c r="G50">
        <v>2.34</v>
      </c>
      <c r="H50" t="s">
        <v>2334</v>
      </c>
      <c r="I50">
        <v>13552341000</v>
      </c>
      <c r="J50">
        <v>31.35</v>
      </c>
      <c r="K50">
        <v>2.5</v>
      </c>
      <c r="L50" t="s">
        <v>114</v>
      </c>
      <c r="M50" t="s">
        <v>1514</v>
      </c>
      <c r="N50" t="s">
        <v>2335</v>
      </c>
      <c r="O50" t="s">
        <v>1515</v>
      </c>
      <c r="P50">
        <v>-3.01</v>
      </c>
      <c r="Q50" t="s">
        <v>115</v>
      </c>
      <c r="R50">
        <v>118693455</v>
      </c>
      <c r="S50" s="5">
        <v>-9.4100000000000003E-2</v>
      </c>
      <c r="T50" t="s">
        <v>2336</v>
      </c>
      <c r="U50">
        <v>756975760</v>
      </c>
      <c r="V50">
        <v>757114000</v>
      </c>
      <c r="W50">
        <v>1.76</v>
      </c>
      <c r="X50">
        <v>0.19</v>
      </c>
      <c r="Y50">
        <v>6.53</v>
      </c>
      <c r="Z50" t="s">
        <v>2337</v>
      </c>
      <c r="AA50" t="s">
        <v>2338</v>
      </c>
      <c r="AB50" t="s">
        <v>2339</v>
      </c>
      <c r="AC50" t="s">
        <v>2340</v>
      </c>
      <c r="AD50" t="s">
        <v>53</v>
      </c>
      <c r="AE50">
        <v>6339827</v>
      </c>
      <c r="AF50" t="s">
        <v>1519</v>
      </c>
      <c r="AG50" t="s">
        <v>2341</v>
      </c>
      <c r="AH50" t="s">
        <v>1520</v>
      </c>
      <c r="AI50" t="s">
        <v>1540</v>
      </c>
      <c r="AJ50" t="s">
        <v>1521</v>
      </c>
      <c r="AK50" t="s">
        <v>2342</v>
      </c>
      <c r="AL50" t="s">
        <v>1522</v>
      </c>
      <c r="AM50" t="s">
        <v>53</v>
      </c>
      <c r="AN50" t="s">
        <v>219</v>
      </c>
      <c r="AO50" t="s">
        <v>2343</v>
      </c>
      <c r="AP50" t="s">
        <v>1040</v>
      </c>
      <c r="AQ50" t="s">
        <v>2344</v>
      </c>
      <c r="AR50" t="s">
        <v>53</v>
      </c>
      <c r="AS50" t="s">
        <v>2345</v>
      </c>
      <c r="AT50" t="s">
        <v>2346</v>
      </c>
      <c r="AU50" t="s">
        <v>1859</v>
      </c>
      <c r="AV50" t="s">
        <v>2347</v>
      </c>
      <c r="AW50" t="s">
        <v>2348</v>
      </c>
      <c r="AX50" t="s">
        <v>861</v>
      </c>
      <c r="AY50" t="s">
        <v>682</v>
      </c>
      <c r="AZ50" t="s">
        <v>503</v>
      </c>
      <c r="BA50" t="s">
        <v>277</v>
      </c>
      <c r="BB50" t="s">
        <v>505</v>
      </c>
      <c r="BC50" t="s">
        <v>734</v>
      </c>
      <c r="BD50" t="s">
        <v>683</v>
      </c>
      <c r="BE50" t="s">
        <v>504</v>
      </c>
      <c r="BF50" t="s">
        <v>210</v>
      </c>
      <c r="BG50" t="s">
        <v>209</v>
      </c>
      <c r="BH50" t="s">
        <v>1516</v>
      </c>
      <c r="BI50" t="s">
        <v>2349</v>
      </c>
      <c r="BJ50" t="s">
        <v>861</v>
      </c>
      <c r="BK50" t="s">
        <v>1517</v>
      </c>
      <c r="BL50" t="s">
        <v>2350</v>
      </c>
      <c r="BM50" t="s">
        <v>734</v>
      </c>
      <c r="BN50">
        <v>6.49</v>
      </c>
      <c r="BO50">
        <v>6.9</v>
      </c>
      <c r="BP50">
        <v>9.6999999999999993</v>
      </c>
      <c r="BQ50">
        <v>7.52</v>
      </c>
      <c r="BR50">
        <v>7.89</v>
      </c>
      <c r="BS50">
        <v>11</v>
      </c>
      <c r="BT50" t="s">
        <v>783</v>
      </c>
      <c r="BU50" t="s">
        <v>114</v>
      </c>
      <c r="BV50">
        <v>44.82</v>
      </c>
      <c r="BW50">
        <v>41.52</v>
      </c>
      <c r="BX50">
        <v>41.3</v>
      </c>
      <c r="BY50">
        <v>5.9</v>
      </c>
      <c r="BZ50">
        <v>4.6500000000000004</v>
      </c>
      <c r="CA50">
        <v>6.22</v>
      </c>
      <c r="CB50">
        <v>0.39</v>
      </c>
      <c r="CC50">
        <v>-20.83</v>
      </c>
      <c r="CD50" t="s">
        <v>2351</v>
      </c>
      <c r="CE50" t="s">
        <v>982</v>
      </c>
      <c r="CF50" s="8">
        <v>61.950556804978973</v>
      </c>
      <c r="CG50" s="9">
        <v>57.759136138613862</v>
      </c>
      <c r="CH50" s="8">
        <v>-0.98285436630249023</v>
      </c>
      <c r="CI50" s="8">
        <v>3.3922635484486818E-3</v>
      </c>
      <c r="CJ50" s="8">
        <v>6.9586619734764099E-2</v>
      </c>
      <c r="CK50" s="8">
        <v>-4.963051900267601E-2</v>
      </c>
      <c r="CL50" s="8">
        <v>0.14333988726139069</v>
      </c>
      <c r="CM50" s="9">
        <v>-0.80874335765838623</v>
      </c>
      <c r="CN50" s="9">
        <v>-0.2460629940032959</v>
      </c>
      <c r="CO50" s="9">
        <v>0.11159737408161163</v>
      </c>
      <c r="CP50" s="9">
        <v>6.6079297102987766E-3</v>
      </c>
      <c r="CQ50" s="9">
        <v>0.3511904776096344</v>
      </c>
      <c r="CR50">
        <v>36.772865209847474</v>
      </c>
      <c r="CS50">
        <v>2.2527806867254876</v>
      </c>
      <c r="CT50">
        <v>1.1173184357541901</v>
      </c>
      <c r="CU50" s="8">
        <v>-0.16323322295211257</v>
      </c>
      <c r="CV50" s="9">
        <v>-0.11708211405202747</v>
      </c>
      <c r="CW50">
        <v>0.06</v>
      </c>
      <c r="CX50">
        <v>164.46590026388611</v>
      </c>
      <c r="CY50" t="s">
        <v>2352</v>
      </c>
      <c r="CZ50">
        <v>-0.16323322295211257</v>
      </c>
      <c r="DA50">
        <v>54.821966754628697</v>
      </c>
      <c r="DB50" t="s">
        <v>2353</v>
      </c>
      <c r="DC50">
        <v>-0.15507156180450693</v>
      </c>
      <c r="DD50">
        <v>27.410983377314349</v>
      </c>
      <c r="DE50" t="s">
        <v>2354</v>
      </c>
      <c r="DF50">
        <v>-0.14364523619785907</v>
      </c>
      <c r="DG50">
        <v>16.446590026388609</v>
      </c>
      <c r="DH50" t="s">
        <v>2355</v>
      </c>
      <c r="DI50">
        <v>-0.13058657836169005</v>
      </c>
      <c r="DJ50">
        <v>8.2232950131943046</v>
      </c>
      <c r="DK50" t="s">
        <v>2356</v>
      </c>
      <c r="DL50">
        <v>-0.11426325606647879</v>
      </c>
      <c r="DM50">
        <v>73251300</v>
      </c>
      <c r="DN50">
        <v>-0.16323322295211257</v>
      </c>
      <c r="DO50">
        <v>12047341000</v>
      </c>
      <c r="DP50">
        <v>3516843000</v>
      </c>
      <c r="DQ50">
        <v>3172</v>
      </c>
      <c r="DR50">
        <v>62.113790027931088</v>
      </c>
      <c r="DS50">
        <v>57.876218252665886</v>
      </c>
      <c r="DT50" s="10">
        <v>-0.77333333333333332</v>
      </c>
      <c r="DU50">
        <v>-0.3833333333333333</v>
      </c>
      <c r="DV50">
        <v>-1.1566666666666667</v>
      </c>
      <c r="DW50">
        <v>-3.0546250000000001</v>
      </c>
      <c r="DX50">
        <v>0.37286182432432469</v>
      </c>
      <c r="DY50">
        <v>-3.0067113271537163</v>
      </c>
      <c r="DZ50">
        <v>2951</v>
      </c>
      <c r="EA50">
        <v>-3.0028355685567267</v>
      </c>
      <c r="EB50">
        <v>3</v>
      </c>
      <c r="EC50">
        <v>4.8033849592003318E-2</v>
      </c>
      <c r="ED50">
        <v>0.39095829690112716</v>
      </c>
      <c r="EE50" s="11">
        <v>-2.0846</v>
      </c>
      <c r="EF50">
        <v>-2.0428999999999999</v>
      </c>
      <c r="EG50">
        <v>25.122861824324325</v>
      </c>
      <c r="EH50" t="s">
        <v>2299</v>
      </c>
      <c r="EI50">
        <v>0</v>
      </c>
      <c r="EJ50">
        <v>0</v>
      </c>
      <c r="EK50" s="12">
        <v>45470</v>
      </c>
      <c r="EL50">
        <v>5.74</v>
      </c>
      <c r="EM50">
        <v>-6.55</v>
      </c>
      <c r="EN50">
        <v>10.09</v>
      </c>
      <c r="EO50">
        <v>4.1900000000000004</v>
      </c>
      <c r="EP50">
        <v>-4.17</v>
      </c>
    </row>
    <row r="51" spans="1:146" ht="192" x14ac:dyDescent="0.25">
      <c r="A51" s="7" t="s">
        <v>965</v>
      </c>
      <c r="B51" s="7" t="s">
        <v>964</v>
      </c>
      <c r="C51" s="7" t="str">
        <f>"公司的主营业务是药制造业、化妆品、日化产品及保健品、保健食品、医药流通业。公司的主要产品为片仔癀及其系列产品。片仔癀悠久的历史、深厚的文化底蕴和显著的疗效彰显其独特的品牌优势。公司独家生产的传统名贵中成药片仔癀，其源于宫廷、兴于寺庙、流传于民间、发展于当代，因其独特神奇的疗效而形成了极佳的口碑，被国内外中药界誉为“国宝名药”。"&amp;CHAR(10)&amp;Basic_Fundamental_Information_Constructure(F51)&amp;CHAR(10)&amp;Basic_Fundamental_Information_Concatenate("肝病用药 11.77亿 44.77% 74.36% 80.22%
医药流通业 11.11亿 42.24% 15.20% 17.38%
心脑血管用药 1.21亿 4.62% 4.01% 42.00%
化妆品业 1.09亿 4.14% 5.21% 60.67%")</f>
        <v>公司的主营业务是药制造业、化妆品、日化产品及保健品、保健食品、医药流通业。公司的主要产品为片仔癀及其系列产品。片仔癀悠久的历史、深厚的文化底蕴和显著的疗效彰显其独特的品牌优势。公司独家生产的传统名贵中成药片仔癀，其源于宫廷、兴于寺庙、流传于民间、发展于当代，因其独特神奇的疗效而形成了极佳的口碑，被国内外中药界誉为“国宝名药”。
市值1221.71735亿, 利润135.74亿; PE40.69; 平均PE32.34; 平均PEG.1, PB8.52; ROIC20.9233%; ROE23.58%; 股利率1.1457%; 毛利47.7067%; 净利29.3633%; 上一年度营收增1500%, 利润增449.11%; 当季营收增-90.46%, 利润增-88.67%; 过往5年营收增313.09%, 利润增107.62%
Income profile:
肝病用药 11.77亿 44.77% 74.36% 80.22%
医药流通业 11.11亿 42.24% 15.20% 17.38%
心脑血管用药 1.21亿 4.62% 4.01% 42.00%
化妆品业 1.09亿 4.14% 5.21% 60.67%</v>
      </c>
      <c r="D51" t="s">
        <v>278</v>
      </c>
      <c r="E51" t="s">
        <v>604</v>
      </c>
      <c r="F51">
        <v>202.5</v>
      </c>
      <c r="G51">
        <v>0.7</v>
      </c>
      <c r="H51" t="s">
        <v>2357</v>
      </c>
      <c r="I51">
        <v>122171735000</v>
      </c>
      <c r="J51">
        <v>40.69</v>
      </c>
      <c r="K51">
        <v>8.52</v>
      </c>
      <c r="L51" t="s">
        <v>114</v>
      </c>
      <c r="M51" t="s">
        <v>1523</v>
      </c>
      <c r="N51" t="s">
        <v>2358</v>
      </c>
      <c r="O51" t="s">
        <v>1524</v>
      </c>
      <c r="P51">
        <v>20.58</v>
      </c>
      <c r="Q51" t="s">
        <v>2359</v>
      </c>
      <c r="R51">
        <v>974507150</v>
      </c>
      <c r="S51" s="5">
        <v>0.2661</v>
      </c>
      <c r="T51" t="s">
        <v>2360</v>
      </c>
      <c r="U51">
        <v>603317210</v>
      </c>
      <c r="V51">
        <v>603317210</v>
      </c>
      <c r="W51">
        <v>1.23</v>
      </c>
      <c r="X51">
        <v>0.18</v>
      </c>
      <c r="Y51">
        <v>31.5</v>
      </c>
      <c r="Z51" t="s">
        <v>2361</v>
      </c>
      <c r="AA51" t="s">
        <v>508</v>
      </c>
      <c r="AB51" t="s">
        <v>93</v>
      </c>
      <c r="AC51" t="s">
        <v>2362</v>
      </c>
      <c r="AD51" t="s">
        <v>53</v>
      </c>
      <c r="AE51">
        <v>3244573</v>
      </c>
      <c r="AF51" t="s">
        <v>1527</v>
      </c>
      <c r="AG51" t="s">
        <v>2363</v>
      </c>
      <c r="AH51" t="s">
        <v>1528</v>
      </c>
      <c r="AI51" t="s">
        <v>2364</v>
      </c>
      <c r="AJ51" t="s">
        <v>1530</v>
      </c>
      <c r="AK51" t="s">
        <v>2365</v>
      </c>
      <c r="AL51" t="s">
        <v>1531</v>
      </c>
      <c r="AM51" t="s">
        <v>53</v>
      </c>
      <c r="AN51" t="s">
        <v>747</v>
      </c>
      <c r="AO51" t="s">
        <v>1407</v>
      </c>
      <c r="AP51" t="s">
        <v>194</v>
      </c>
      <c r="AQ51" t="s">
        <v>2366</v>
      </c>
      <c r="AR51" t="s">
        <v>2367</v>
      </c>
      <c r="AS51" t="s">
        <v>2368</v>
      </c>
      <c r="AT51" t="s">
        <v>2369</v>
      </c>
      <c r="AU51" t="s">
        <v>2370</v>
      </c>
      <c r="AV51" t="s">
        <v>457</v>
      </c>
      <c r="AW51" t="s">
        <v>2371</v>
      </c>
      <c r="AX51" t="s">
        <v>862</v>
      </c>
      <c r="AY51" t="s">
        <v>685</v>
      </c>
      <c r="AZ51" t="s">
        <v>507</v>
      </c>
      <c r="BA51" t="s">
        <v>279</v>
      </c>
      <c r="BB51" t="s">
        <v>509</v>
      </c>
      <c r="BC51" t="s">
        <v>863</v>
      </c>
      <c r="BD51" t="s">
        <v>864</v>
      </c>
      <c r="BE51" t="s">
        <v>508</v>
      </c>
      <c r="BF51" t="s">
        <v>280</v>
      </c>
      <c r="BG51" t="s">
        <v>510</v>
      </c>
      <c r="BH51" t="s">
        <v>1525</v>
      </c>
      <c r="BI51" t="s">
        <v>2372</v>
      </c>
      <c r="BJ51" t="s">
        <v>862</v>
      </c>
      <c r="BK51" t="s">
        <v>1526</v>
      </c>
      <c r="BL51" t="s">
        <v>2373</v>
      </c>
      <c r="BM51" t="s">
        <v>863</v>
      </c>
      <c r="BN51">
        <v>18</v>
      </c>
      <c r="BO51">
        <v>20.82</v>
      </c>
      <c r="BP51">
        <v>23.95</v>
      </c>
      <c r="BQ51">
        <v>19.559999999999999</v>
      </c>
      <c r="BR51">
        <v>23.5</v>
      </c>
      <c r="BS51">
        <v>27.68</v>
      </c>
      <c r="BT51" t="s">
        <v>1533</v>
      </c>
      <c r="BU51" t="s">
        <v>114</v>
      </c>
      <c r="BV51">
        <v>46.76</v>
      </c>
      <c r="BW51">
        <v>45.64</v>
      </c>
      <c r="BX51">
        <v>50.72</v>
      </c>
      <c r="BY51">
        <v>28.35</v>
      </c>
      <c r="BZ51">
        <v>29.02</v>
      </c>
      <c r="CA51">
        <v>30.72</v>
      </c>
      <c r="CB51">
        <v>-2.25</v>
      </c>
      <c r="CC51">
        <v>-12.01</v>
      </c>
      <c r="CD51" t="s">
        <v>2374</v>
      </c>
      <c r="CE51" t="s">
        <v>2375</v>
      </c>
      <c r="CF51" s="8">
        <v>-0.90461723567453756</v>
      </c>
      <c r="CG51" s="9">
        <v>-0.88669838972212534</v>
      </c>
      <c r="CH51" s="8">
        <v>15</v>
      </c>
      <c r="CI51" s="8">
        <v>8.3769567310810089E-2</v>
      </c>
      <c r="CJ51" s="8">
        <v>0.23206880688667297</v>
      </c>
      <c r="CK51" s="8">
        <v>0.13788889348506927</v>
      </c>
      <c r="CL51" s="8">
        <v>0.2005874365568161</v>
      </c>
      <c r="CM51" s="9">
        <v>4.4910998344421387</v>
      </c>
      <c r="CN51" s="9">
        <v>1.6447369009256363E-2</v>
      </c>
      <c r="CO51" s="9">
        <v>0.45454546809196472</v>
      </c>
      <c r="CP51" s="9">
        <v>0.21688500046730042</v>
      </c>
      <c r="CQ51" s="9">
        <v>0.20209966599941254</v>
      </c>
      <c r="CR51">
        <v>32.339101336745046</v>
      </c>
      <c r="CS51">
        <v>0.10329133516137645</v>
      </c>
      <c r="CT51">
        <v>1.145679012345679</v>
      </c>
      <c r="CU51" s="8">
        <v>3.1308629408478739</v>
      </c>
      <c r="CV51" s="9">
        <v>1.0762154676020146</v>
      </c>
      <c r="CW51">
        <v>0.06</v>
      </c>
      <c r="CX51">
        <v>2.0875050434042146</v>
      </c>
      <c r="CY51">
        <v>52898427885.914185</v>
      </c>
      <c r="CZ51">
        <v>3.1308629408478739</v>
      </c>
      <c r="DA51">
        <v>0.11536788321120341</v>
      </c>
      <c r="DB51">
        <v>957161836781.24841</v>
      </c>
      <c r="DC51">
        <v>2.97431979380548</v>
      </c>
      <c r="DD51">
        <v>2.9553113166842088E-3</v>
      </c>
      <c r="DE51">
        <v>37365178543658.516</v>
      </c>
      <c r="DF51">
        <v>2.7551593879461289</v>
      </c>
      <c r="DG51">
        <v>3.6349761273900493E-5</v>
      </c>
      <c r="DH51">
        <v>3037866856068923.5</v>
      </c>
      <c r="DI51">
        <v>2.5046903526782991</v>
      </c>
      <c r="DJ51">
        <v>1.4487622313525723E-9</v>
      </c>
      <c r="DK51">
        <v>7.6220743894535356E+19</v>
      </c>
      <c r="DL51">
        <v>2.1916040585935117</v>
      </c>
      <c r="DM51">
        <v>13574000000</v>
      </c>
      <c r="DN51">
        <v>3.1308629408478739</v>
      </c>
      <c r="DO51">
        <v>110425735000</v>
      </c>
      <c r="DP51">
        <v>13224437000</v>
      </c>
      <c r="DQ51">
        <v>3180</v>
      </c>
      <c r="DR51">
        <v>-4.0354801765224115</v>
      </c>
      <c r="DS51">
        <v>-1.96291385732414</v>
      </c>
      <c r="DT51" s="10">
        <v>9.3333333333333268E-2</v>
      </c>
      <c r="DU51">
        <v>0.20999999999999988</v>
      </c>
      <c r="DV51">
        <v>0.30333333333333312</v>
      </c>
      <c r="DW51">
        <v>-2.1200999999999999</v>
      </c>
      <c r="DX51">
        <v>0.51552458323910455</v>
      </c>
      <c r="DY51">
        <v>-2.0198795024470169</v>
      </c>
      <c r="DZ51">
        <v>2961</v>
      </c>
      <c r="EA51">
        <v>-2.0083602839058003</v>
      </c>
      <c r="EB51">
        <v>2</v>
      </c>
      <c r="EC51">
        <v>1.2860067426221771E-2</v>
      </c>
      <c r="ED51">
        <v>7.769279447539712E-2</v>
      </c>
      <c r="EE51" s="11">
        <v>-3.0483099999999999</v>
      </c>
      <c r="EF51">
        <v>-3.08371</v>
      </c>
      <c r="EG51">
        <v>35.165524583239105</v>
      </c>
      <c r="EH51" t="s">
        <v>1686</v>
      </c>
      <c r="EI51">
        <v>0</v>
      </c>
      <c r="EJ51">
        <v>0</v>
      </c>
      <c r="EK51" s="12">
        <v>45470</v>
      </c>
      <c r="EL51">
        <v>-3.38</v>
      </c>
      <c r="EM51">
        <v>-2.6</v>
      </c>
      <c r="EN51">
        <v>-0.7</v>
      </c>
      <c r="EO51">
        <v>2.34</v>
      </c>
      <c r="EP51">
        <v>-3.54</v>
      </c>
    </row>
    <row r="52" spans="1:146" ht="96" x14ac:dyDescent="0.25">
      <c r="A52" s="7"/>
      <c r="B52" s="7"/>
      <c r="C52" s="7" t="str">
        <f>""&amp;CHAR(10)&amp;Basic_Fundamental_Information_Constructure(F52)&amp;CHAR(10)&amp;Basic_Fundamental_Information_Concatenate("")</f>
        <v xml:space="preserve">
市值43.671703亿, 利润6.32亿; PE13.53; 平均PE12.58; 平均PEG.16, PB1.81; ROIC11.09%; ROE12.1%; 股利率3.3981%; 毛利44.5933%; 净利10.09%; 上一年度营收增364.53%, 利润增108.58%; 当季营收增-74.74%, 利润增-45.09%; 过往5年营收增76.84%, 利润增25.38%
Income profile:
</v>
      </c>
      <c r="D52" t="s">
        <v>282</v>
      </c>
      <c r="E52" t="s">
        <v>605</v>
      </c>
      <c r="F52">
        <v>10.3</v>
      </c>
      <c r="G52">
        <v>3.62</v>
      </c>
      <c r="H52" t="s">
        <v>2376</v>
      </c>
      <c r="I52">
        <v>4367170300</v>
      </c>
      <c r="J52">
        <v>13.53</v>
      </c>
      <c r="K52">
        <v>1.81</v>
      </c>
      <c r="L52" t="s">
        <v>114</v>
      </c>
      <c r="M52" t="s">
        <v>1472</v>
      </c>
      <c r="N52" t="s">
        <v>2377</v>
      </c>
      <c r="O52" t="s">
        <v>290</v>
      </c>
      <c r="P52">
        <v>4.22</v>
      </c>
      <c r="Q52" t="s">
        <v>2378</v>
      </c>
      <c r="R52">
        <v>46198048</v>
      </c>
      <c r="S52" s="5">
        <v>5.2200000000000003E-2</v>
      </c>
      <c r="T52" t="s">
        <v>1793</v>
      </c>
      <c r="U52">
        <v>418507120</v>
      </c>
      <c r="V52">
        <v>423997120</v>
      </c>
      <c r="W52">
        <v>1.54</v>
      </c>
      <c r="X52">
        <v>0.21</v>
      </c>
      <c r="Y52">
        <v>6.1</v>
      </c>
      <c r="Z52" t="s">
        <v>205</v>
      </c>
      <c r="AA52" t="s">
        <v>2155</v>
      </c>
      <c r="AB52" t="s">
        <v>732</v>
      </c>
      <c r="AC52" t="s">
        <v>2379</v>
      </c>
      <c r="AD52" t="s">
        <v>53</v>
      </c>
      <c r="AE52">
        <v>-1306757</v>
      </c>
      <c r="AF52" t="s">
        <v>1535</v>
      </c>
      <c r="AG52" t="s">
        <v>2380</v>
      </c>
      <c r="AH52" t="s">
        <v>1536</v>
      </c>
      <c r="AI52" t="s">
        <v>2381</v>
      </c>
      <c r="AJ52" t="s">
        <v>1537</v>
      </c>
      <c r="AK52" t="s">
        <v>824</v>
      </c>
      <c r="AL52" t="s">
        <v>1538</v>
      </c>
      <c r="AM52" t="s">
        <v>53</v>
      </c>
      <c r="AN52" t="s">
        <v>2382</v>
      </c>
      <c r="AO52" t="s">
        <v>2383</v>
      </c>
      <c r="AP52" t="s">
        <v>2384</v>
      </c>
      <c r="AQ52" t="s">
        <v>1740</v>
      </c>
      <c r="AR52" t="s">
        <v>53</v>
      </c>
      <c r="AS52" t="s">
        <v>2385</v>
      </c>
      <c r="AT52" t="s">
        <v>1539</v>
      </c>
      <c r="AU52" t="s">
        <v>2386</v>
      </c>
      <c r="AV52" t="s">
        <v>2387</v>
      </c>
      <c r="AW52" t="s">
        <v>2388</v>
      </c>
      <c r="AX52" t="s">
        <v>865</v>
      </c>
      <c r="AY52" t="s">
        <v>686</v>
      </c>
      <c r="AZ52" t="s">
        <v>156</v>
      </c>
      <c r="BA52" t="s">
        <v>283</v>
      </c>
      <c r="BB52" t="s">
        <v>511</v>
      </c>
      <c r="BC52" t="s">
        <v>287</v>
      </c>
      <c r="BD52" t="s">
        <v>139</v>
      </c>
      <c r="BE52" t="s">
        <v>309</v>
      </c>
      <c r="BF52" t="s">
        <v>265</v>
      </c>
      <c r="BG52" t="s">
        <v>366</v>
      </c>
      <c r="BH52" t="s">
        <v>1534</v>
      </c>
      <c r="BI52" t="s">
        <v>2389</v>
      </c>
      <c r="BJ52" t="s">
        <v>865</v>
      </c>
      <c r="BK52" t="s">
        <v>439</v>
      </c>
      <c r="BL52" t="s">
        <v>2390</v>
      </c>
      <c r="BM52" t="s">
        <v>287</v>
      </c>
      <c r="BN52">
        <v>7.15</v>
      </c>
      <c r="BO52">
        <v>13.34</v>
      </c>
      <c r="BP52">
        <v>12.78</v>
      </c>
      <c r="BQ52">
        <v>8.73</v>
      </c>
      <c r="BR52">
        <v>13.89</v>
      </c>
      <c r="BS52">
        <v>13.68</v>
      </c>
      <c r="BT52" t="s">
        <v>794</v>
      </c>
      <c r="BU52" t="s">
        <v>114</v>
      </c>
      <c r="BV52">
        <v>46.12</v>
      </c>
      <c r="BW52">
        <v>43.13</v>
      </c>
      <c r="BX52">
        <v>44.53</v>
      </c>
      <c r="BY52">
        <v>10.4</v>
      </c>
      <c r="BZ52">
        <v>9.64</v>
      </c>
      <c r="CA52">
        <v>10.23</v>
      </c>
      <c r="CB52">
        <v>1.28</v>
      </c>
      <c r="CC52">
        <v>-10.199999999999999</v>
      </c>
      <c r="CD52" t="s">
        <v>2391</v>
      </c>
      <c r="CE52" t="s">
        <v>82</v>
      </c>
      <c r="CF52" s="8">
        <v>-0.74741357557406007</v>
      </c>
      <c r="CG52" s="9">
        <v>-0.45089657402036759</v>
      </c>
      <c r="CH52" s="8">
        <v>3.645305871963501</v>
      </c>
      <c r="CI52" s="8">
        <v>9.8799094557762146E-2</v>
      </c>
      <c r="CJ52" s="8">
        <v>1.0201250202953815E-2</v>
      </c>
      <c r="CK52" s="8">
        <v>2.8936207294464111E-2</v>
      </c>
      <c r="CL52" s="8">
        <v>5.8876540511846542E-2</v>
      </c>
      <c r="CM52" s="9">
        <v>1.0858086347579956</v>
      </c>
      <c r="CN52" s="9">
        <v>3.3112582750618458E-3</v>
      </c>
      <c r="CO52" s="9">
        <v>1.6835017129778862E-2</v>
      </c>
      <c r="CP52" s="9">
        <v>1.0204081423580647E-2</v>
      </c>
      <c r="CQ52" s="9">
        <v>0.15294118225574493</v>
      </c>
      <c r="CR52">
        <v>12.579463178108497</v>
      </c>
      <c r="CS52">
        <v>0.16370475893951913</v>
      </c>
      <c r="CT52">
        <v>3.3980582524271843</v>
      </c>
      <c r="CU52" s="8">
        <v>0.76842379290610552</v>
      </c>
      <c r="CV52" s="9">
        <v>0.2538200347684324</v>
      </c>
      <c r="CW52">
        <v>0.06</v>
      </c>
      <c r="CX52">
        <v>2.7904242965681676</v>
      </c>
      <c r="CY52">
        <v>1054380978.4119421</v>
      </c>
      <c r="CZ52">
        <v>0.76842379290610552</v>
      </c>
      <c r="DA52">
        <v>0.53861922021228636</v>
      </c>
      <c r="DB52">
        <v>5462430952.316184</v>
      </c>
      <c r="DC52">
        <v>0.73000260326080024</v>
      </c>
      <c r="DD52">
        <v>0.11692697100125575</v>
      </c>
      <c r="DE52">
        <v>25162460592.333332</v>
      </c>
      <c r="DF52">
        <v>0.6762129377573729</v>
      </c>
      <c r="DG52">
        <v>2.4125405326710127E-2</v>
      </c>
      <c r="DH52">
        <v>121953196647.1301</v>
      </c>
      <c r="DI52">
        <v>0.61473903432488441</v>
      </c>
      <c r="DJ52">
        <v>8.4759074814347432E-4</v>
      </c>
      <c r="DK52">
        <v>3471215685688.4067</v>
      </c>
      <c r="DL52">
        <v>0.53789665503427386</v>
      </c>
      <c r="DM52">
        <v>632000000</v>
      </c>
      <c r="DN52">
        <v>0.76842379290610552</v>
      </c>
      <c r="DO52">
        <v>2942170300</v>
      </c>
      <c r="DP52">
        <v>2022769200</v>
      </c>
      <c r="DQ52">
        <v>3204</v>
      </c>
      <c r="DR52">
        <v>-1.5158373684801656</v>
      </c>
      <c r="DS52">
        <v>-0.70471660878879994</v>
      </c>
      <c r="DT52" s="10">
        <v>-0.14000000000000004</v>
      </c>
      <c r="DU52">
        <v>0.21333333333333335</v>
      </c>
      <c r="DV52">
        <v>7.3333333333333306E-2</v>
      </c>
      <c r="DW52">
        <v>-2.1019999999999999</v>
      </c>
      <c r="DX52">
        <v>0.36190174418604526</v>
      </c>
      <c r="DY52">
        <v>-2.0134539779069769</v>
      </c>
      <c r="DZ52">
        <v>3997</v>
      </c>
      <c r="EA52">
        <v>-2.0029303869687798</v>
      </c>
      <c r="EB52">
        <v>2</v>
      </c>
      <c r="EC52">
        <v>5.3507674769111641E-2</v>
      </c>
      <c r="ED52">
        <v>0.4056631328061851</v>
      </c>
      <c r="EE52" s="11">
        <v>-3.0284</v>
      </c>
      <c r="EF52">
        <v>-3.0024999999999999</v>
      </c>
      <c r="EG52">
        <v>23.131901744186045</v>
      </c>
      <c r="EH52" t="s">
        <v>985</v>
      </c>
      <c r="EI52">
        <v>0</v>
      </c>
      <c r="EJ52">
        <v>0</v>
      </c>
      <c r="EK52" s="12">
        <v>45470</v>
      </c>
      <c r="EL52">
        <v>-2.76</v>
      </c>
      <c r="EM52">
        <v>-2.84</v>
      </c>
      <c r="EN52">
        <v>-0.27</v>
      </c>
      <c r="EO52">
        <v>2.93</v>
      </c>
      <c r="EP52">
        <v>-2.59</v>
      </c>
    </row>
    <row r="53" spans="1:146" ht="96" x14ac:dyDescent="0.25">
      <c r="A53" s="7"/>
      <c r="B53" s="7"/>
      <c r="C53" s="7" t="str">
        <f>""&amp;CHAR(10)&amp;Basic_Fundamental_Information_Constructure(F53)&amp;CHAR(10)&amp;Basic_Fundamental_Information_Concatenate("")</f>
        <v xml:space="preserve">
市值298.07313亿, 利润747.34亿; PE185.8; 平均PE4.01; 平均PEG.01, PB4.22; ROIC57.49%; ROE-51.47%; 股利率0%; 毛利16.0833%; 净利42.7967%; 上一年度营收增3433.35%, 利润增2880.28%; 当季营收增-96.9%, 利润增-99.96%; 过往5年营收增665.02%, 利润增191.73%
Income profile:
</v>
      </c>
      <c r="D53" t="s">
        <v>284</v>
      </c>
      <c r="E53" t="s">
        <v>2392</v>
      </c>
      <c r="F53">
        <v>2.15</v>
      </c>
      <c r="G53">
        <v>1.42</v>
      </c>
      <c r="H53" t="s">
        <v>2393</v>
      </c>
      <c r="I53">
        <v>29807313000</v>
      </c>
      <c r="J53">
        <v>185.8</v>
      </c>
      <c r="K53">
        <v>4.22</v>
      </c>
      <c r="L53" t="s">
        <v>114</v>
      </c>
      <c r="M53" t="s">
        <v>1542</v>
      </c>
      <c r="N53" t="s">
        <v>2394</v>
      </c>
      <c r="O53" t="s">
        <v>753</v>
      </c>
      <c r="P53">
        <v>5.01</v>
      </c>
      <c r="Q53" t="s">
        <v>2395</v>
      </c>
      <c r="R53">
        <v>7471309</v>
      </c>
      <c r="S53" s="5">
        <v>1.1479999999999999</v>
      </c>
      <c r="T53" t="s">
        <v>2396</v>
      </c>
      <c r="U53">
        <v>13612928000</v>
      </c>
      <c r="V53">
        <v>13863867000</v>
      </c>
      <c r="W53">
        <v>2</v>
      </c>
      <c r="X53">
        <v>0.08</v>
      </c>
      <c r="Y53">
        <v>0.72</v>
      </c>
      <c r="Z53" t="s">
        <v>2397</v>
      </c>
      <c r="AA53" t="s">
        <v>1481</v>
      </c>
      <c r="AB53" t="s">
        <v>2398</v>
      </c>
      <c r="AC53" t="s">
        <v>213</v>
      </c>
      <c r="AD53" t="s">
        <v>53</v>
      </c>
      <c r="AE53">
        <v>-821577</v>
      </c>
      <c r="AF53" t="s">
        <v>1544</v>
      </c>
      <c r="AG53" t="s">
        <v>2399</v>
      </c>
      <c r="AH53" t="s">
        <v>1545</v>
      </c>
      <c r="AI53" t="s">
        <v>56</v>
      </c>
      <c r="AJ53" t="s">
        <v>2400</v>
      </c>
      <c r="AK53" t="s">
        <v>2401</v>
      </c>
      <c r="AL53" t="s">
        <v>1546</v>
      </c>
      <c r="AM53" t="s">
        <v>53</v>
      </c>
      <c r="AN53" t="s">
        <v>2112</v>
      </c>
      <c r="AO53" t="s">
        <v>2402</v>
      </c>
      <c r="AP53" t="s">
        <v>2403</v>
      </c>
      <c r="AQ53" t="s">
        <v>2404</v>
      </c>
      <c r="AR53" t="s">
        <v>2405</v>
      </c>
      <c r="AS53" t="s">
        <v>2406</v>
      </c>
      <c r="AT53" t="s">
        <v>53</v>
      </c>
      <c r="AU53" t="s">
        <v>2407</v>
      </c>
      <c r="AV53" t="s">
        <v>2408</v>
      </c>
      <c r="AW53" t="s">
        <v>2409</v>
      </c>
      <c r="AX53" t="s">
        <v>866</v>
      </c>
      <c r="AY53" t="s">
        <v>688</v>
      </c>
      <c r="AZ53" t="s">
        <v>512</v>
      </c>
      <c r="BA53" t="s">
        <v>285</v>
      </c>
      <c r="BB53" t="s">
        <v>513</v>
      </c>
      <c r="BC53" t="s">
        <v>1547</v>
      </c>
      <c r="BD53" t="s">
        <v>689</v>
      </c>
      <c r="BE53" t="s">
        <v>690</v>
      </c>
      <c r="BF53" t="s">
        <v>286</v>
      </c>
      <c r="BG53" t="s">
        <v>514</v>
      </c>
      <c r="BH53" t="s">
        <v>1543</v>
      </c>
      <c r="BI53" t="s">
        <v>2410</v>
      </c>
      <c r="BJ53" t="s">
        <v>866</v>
      </c>
      <c r="BK53" t="s">
        <v>63</v>
      </c>
      <c r="BL53" t="s">
        <v>2411</v>
      </c>
      <c r="BM53" t="s">
        <v>1547</v>
      </c>
      <c r="BN53" t="s">
        <v>53</v>
      </c>
      <c r="BO53" t="s">
        <v>53</v>
      </c>
      <c r="BP53">
        <v>57.49</v>
      </c>
      <c r="BQ53">
        <v>-2.15</v>
      </c>
      <c r="BR53">
        <v>-31.87</v>
      </c>
      <c r="BS53">
        <v>-120.39</v>
      </c>
      <c r="BT53" t="s">
        <v>775</v>
      </c>
      <c r="BU53" t="s">
        <v>114</v>
      </c>
      <c r="BV53">
        <v>17.07</v>
      </c>
      <c r="BW53">
        <v>15.14</v>
      </c>
      <c r="BX53">
        <v>16.04</v>
      </c>
      <c r="BY53">
        <v>2.12</v>
      </c>
      <c r="BZ53">
        <v>-64.459999999999994</v>
      </c>
      <c r="CA53">
        <v>190.73</v>
      </c>
      <c r="CB53">
        <v>10.82</v>
      </c>
      <c r="CC53">
        <v>11.98</v>
      </c>
      <c r="CD53" t="s">
        <v>2412</v>
      </c>
      <c r="CE53" t="s">
        <v>2413</v>
      </c>
      <c r="CF53" s="8">
        <v>-0.96901124987098775</v>
      </c>
      <c r="CG53" s="9">
        <v>-0.99964071608559746</v>
      </c>
      <c r="CH53" s="8">
        <v>34.333492279052734</v>
      </c>
      <c r="CI53" s="8">
        <v>6.5013398416340351E-3</v>
      </c>
      <c r="CJ53" s="8">
        <v>-0.23263116180896759</v>
      </c>
      <c r="CK53" s="8">
        <v>-0.52717107534408569</v>
      </c>
      <c r="CL53" s="8">
        <v>-0.32927045226097107</v>
      </c>
      <c r="CM53" s="9">
        <v>28.802827835083008</v>
      </c>
      <c r="CN53" s="9">
        <v>-1.3394796848297119</v>
      </c>
      <c r="CO53" s="9">
        <v>1.25472092628479</v>
      </c>
      <c r="CP53" s="9">
        <v>-5.6691694259643555</v>
      </c>
      <c r="CQ53" s="9">
        <v>-13.462567329406738</v>
      </c>
      <c r="CR53">
        <v>4.010671824542519</v>
      </c>
      <c r="CS53">
        <v>6.0309184113253355E-3</v>
      </c>
      <c r="CT53">
        <v>0</v>
      </c>
      <c r="CU53" s="8">
        <v>6.6501841858960686</v>
      </c>
      <c r="CV53" s="9">
        <v>1.9172664642333985</v>
      </c>
      <c r="CW53">
        <v>0.06</v>
      </c>
      <c r="CX53">
        <v>5.5469320729227882E-2</v>
      </c>
      <c r="CY53">
        <v>539366853725.24219</v>
      </c>
      <c r="CZ53">
        <v>6.6501841858960686</v>
      </c>
      <c r="DA53">
        <v>1.0437080774689264E-3</v>
      </c>
      <c r="DB53">
        <v>28665403330550.285</v>
      </c>
      <c r="DC53">
        <v>6.317674976601265</v>
      </c>
      <c r="DD53">
        <v>4.6377499763298673E-6</v>
      </c>
      <c r="DE53">
        <v>6451040515917629</v>
      </c>
      <c r="DF53">
        <v>5.8521620835885404</v>
      </c>
      <c r="DG53">
        <v>5.8678121806299204E-9</v>
      </c>
      <c r="DH53">
        <v>5.0987168776060273E+18</v>
      </c>
      <c r="DI53">
        <v>5.3201473487168549</v>
      </c>
      <c r="DJ53">
        <v>9.3226880899950377E-16</v>
      </c>
      <c r="DK53">
        <v>3.2091938195495209E+25</v>
      </c>
      <c r="DL53">
        <v>4.6551289301272476</v>
      </c>
      <c r="DM53">
        <v>74734000000</v>
      </c>
      <c r="DN53">
        <v>6.6501841858960686</v>
      </c>
      <c r="DO53">
        <v>29918313000</v>
      </c>
      <c r="DP53">
        <v>2225052900</v>
      </c>
      <c r="DQ53">
        <v>3237</v>
      </c>
      <c r="DR53">
        <v>-7.6191954357670566</v>
      </c>
      <c r="DS53">
        <v>-2.9169071803189959</v>
      </c>
      <c r="DT53" s="10">
        <v>-0.49</v>
      </c>
      <c r="DU53">
        <v>-1.8566666666666667</v>
      </c>
      <c r="DV53">
        <v>-2.3466666666666667</v>
      </c>
      <c r="DW53">
        <v>9.9031719532554252</v>
      </c>
      <c r="DX53">
        <v>3.3288982543554586</v>
      </c>
      <c r="DY53">
        <v>9.3602737155364224</v>
      </c>
      <c r="DZ53">
        <v>686</v>
      </c>
      <c r="EA53">
        <v>9.3119082030397529</v>
      </c>
      <c r="EB53">
        <v>9</v>
      </c>
      <c r="EC53">
        <v>8.8791965473990764E-2</v>
      </c>
      <c r="ED53">
        <v>0.2225930182394277</v>
      </c>
      <c r="EE53" s="11">
        <v>6.6809999999999994E-2</v>
      </c>
      <c r="EF53">
        <v>8.7509999999999991E-2</v>
      </c>
      <c r="EG53">
        <v>293.39889825435546</v>
      </c>
      <c r="EH53">
        <v>-1</v>
      </c>
      <c r="EI53">
        <v>1</v>
      </c>
      <c r="EJ53">
        <v>1</v>
      </c>
      <c r="EK53" s="12">
        <v>45470</v>
      </c>
      <c r="EL53">
        <v>-0.45</v>
      </c>
      <c r="EM53">
        <v>-1.36</v>
      </c>
      <c r="EN53">
        <v>-1.61</v>
      </c>
      <c r="EO53">
        <v>1.4</v>
      </c>
      <c r="EP53">
        <v>-2.0699999999999998</v>
      </c>
    </row>
    <row r="54" spans="1:146" ht="96" x14ac:dyDescent="0.25">
      <c r="A54" s="7"/>
      <c r="B54" s="7"/>
      <c r="C54" s="7" t="str">
        <f>""&amp;CHAR(10)&amp;Basic_Fundamental_Information_Constructure(F54)&amp;CHAR(10)&amp;Basic_Fundamental_Information_Concatenate("")</f>
        <v xml:space="preserve">
市值192.71955亿, 利润-2.33亿; PE17.49; 平均PE20.89; 平均PEG1.34, PB1.52; ROIC11.35%; ROE8.22%; 股利率2.5581%; 毛利65.7267%; 净利12.6767%; 上一年度营收增-22.16%, 利润增11.74%; 当季营收增68.23%, 利润增248.35%; 过往5年营收增-15.58%, 利润增-2.53%
Income profile:
</v>
      </c>
      <c r="D54" t="s">
        <v>288</v>
      </c>
      <c r="E54" t="s">
        <v>46</v>
      </c>
      <c r="F54">
        <v>12.9</v>
      </c>
      <c r="G54">
        <v>4.88</v>
      </c>
      <c r="H54" t="s">
        <v>2414</v>
      </c>
      <c r="I54">
        <v>19271955000</v>
      </c>
      <c r="J54">
        <v>17.489999999999998</v>
      </c>
      <c r="K54">
        <v>1.52</v>
      </c>
      <c r="L54" t="s">
        <v>114</v>
      </c>
      <c r="M54" t="s">
        <v>1549</v>
      </c>
      <c r="N54" t="s">
        <v>2415</v>
      </c>
      <c r="O54" t="s">
        <v>1550</v>
      </c>
      <c r="P54">
        <v>-1.73</v>
      </c>
      <c r="Q54" t="s">
        <v>2416</v>
      </c>
      <c r="R54">
        <v>295211180</v>
      </c>
      <c r="S54" s="5">
        <v>0.1158</v>
      </c>
      <c r="T54" t="s">
        <v>2417</v>
      </c>
      <c r="U54">
        <v>1493950000</v>
      </c>
      <c r="V54">
        <v>1493950000</v>
      </c>
      <c r="W54">
        <v>1.35</v>
      </c>
      <c r="X54">
        <v>0.12</v>
      </c>
      <c r="Y54">
        <v>14.3</v>
      </c>
      <c r="Z54" t="s">
        <v>2418</v>
      </c>
      <c r="AA54" t="s">
        <v>1130</v>
      </c>
      <c r="AB54" t="s">
        <v>1027</v>
      </c>
      <c r="AC54" t="s">
        <v>2419</v>
      </c>
      <c r="AD54" t="s">
        <v>53</v>
      </c>
      <c r="AE54">
        <v>5656854</v>
      </c>
      <c r="AF54" t="s">
        <v>1553</v>
      </c>
      <c r="AG54" t="s">
        <v>2420</v>
      </c>
      <c r="AH54" t="s">
        <v>1554</v>
      </c>
      <c r="AI54" t="s">
        <v>1083</v>
      </c>
      <c r="AJ54" t="s">
        <v>1555</v>
      </c>
      <c r="AK54" t="s">
        <v>53</v>
      </c>
      <c r="AL54" t="s">
        <v>1556</v>
      </c>
      <c r="AM54" t="s">
        <v>53</v>
      </c>
      <c r="AN54" t="s">
        <v>142</v>
      </c>
      <c r="AO54" t="s">
        <v>2421</v>
      </c>
      <c r="AP54" t="s">
        <v>2422</v>
      </c>
      <c r="AQ54" t="s">
        <v>260</v>
      </c>
      <c r="AR54" t="s">
        <v>2423</v>
      </c>
      <c r="AS54" t="s">
        <v>1142</v>
      </c>
      <c r="AT54" t="s">
        <v>2424</v>
      </c>
      <c r="AU54" t="s">
        <v>2425</v>
      </c>
      <c r="AV54" t="s">
        <v>2426</v>
      </c>
      <c r="AW54" t="s">
        <v>441</v>
      </c>
      <c r="AX54" t="s">
        <v>1558</v>
      </c>
      <c r="AY54" t="s">
        <v>485</v>
      </c>
      <c r="AZ54" t="s">
        <v>515</v>
      </c>
      <c r="BA54" t="s">
        <v>289</v>
      </c>
      <c r="BB54" t="s">
        <v>517</v>
      </c>
      <c r="BC54" t="s">
        <v>1385</v>
      </c>
      <c r="BD54" t="s">
        <v>684</v>
      </c>
      <c r="BE54" t="s">
        <v>464</v>
      </c>
      <c r="BF54" t="s">
        <v>290</v>
      </c>
      <c r="BG54" t="s">
        <v>518</v>
      </c>
      <c r="BH54" t="s">
        <v>1551</v>
      </c>
      <c r="BI54" t="s">
        <v>2427</v>
      </c>
      <c r="BJ54" t="s">
        <v>1558</v>
      </c>
      <c r="BK54" t="s">
        <v>1552</v>
      </c>
      <c r="BL54" t="s">
        <v>1354</v>
      </c>
      <c r="BM54" t="s">
        <v>1385</v>
      </c>
      <c r="BN54">
        <v>6.47</v>
      </c>
      <c r="BO54" t="s">
        <v>53</v>
      </c>
      <c r="BP54">
        <v>16.23</v>
      </c>
      <c r="BQ54">
        <v>8.2899999999999991</v>
      </c>
      <c r="BR54">
        <v>-2.04</v>
      </c>
      <c r="BS54">
        <v>18.41</v>
      </c>
      <c r="BT54" t="s">
        <v>793</v>
      </c>
      <c r="BU54" t="s">
        <v>114</v>
      </c>
      <c r="BV54">
        <v>66.8</v>
      </c>
      <c r="BW54">
        <v>64.05</v>
      </c>
      <c r="BX54">
        <v>66.33</v>
      </c>
      <c r="BY54">
        <v>11.72</v>
      </c>
      <c r="BZ54">
        <v>-3.97</v>
      </c>
      <c r="CA54">
        <v>30.28</v>
      </c>
      <c r="CB54">
        <v>2.54</v>
      </c>
      <c r="CC54">
        <v>-7.99</v>
      </c>
      <c r="CD54" t="s">
        <v>2428</v>
      </c>
      <c r="CE54" t="s">
        <v>1054</v>
      </c>
      <c r="CF54" s="8">
        <v>0.68226600985221653</v>
      </c>
      <c r="CG54" s="9">
        <v>2.4834732663316581</v>
      </c>
      <c r="CH54" s="8">
        <v>-0.22160471975803375</v>
      </c>
      <c r="CI54" s="8">
        <v>8.6141809821128845E-2</v>
      </c>
      <c r="CJ54" s="8">
        <v>-0.41426044702529907</v>
      </c>
      <c r="CK54" s="8">
        <v>-0.28539848327636719</v>
      </c>
      <c r="CL54" s="8">
        <v>5.6031070649623871E-2</v>
      </c>
      <c r="CM54" s="9">
        <v>0.11742424219846725</v>
      </c>
      <c r="CN54" s="9">
        <v>-1.1119117736816406</v>
      </c>
      <c r="CO54" s="9">
        <v>1.0950267314910889</v>
      </c>
      <c r="CP54" s="9">
        <v>0.12487512826919556</v>
      </c>
      <c r="CQ54" s="9">
        <v>-0.35210353136062622</v>
      </c>
      <c r="CR54">
        <v>20.894783158655581</v>
      </c>
      <c r="CS54">
        <v>1.340972321471591</v>
      </c>
      <c r="CT54">
        <v>2.5581395348837206</v>
      </c>
      <c r="CU54" s="8">
        <v>-0.15581815391778947</v>
      </c>
      <c r="CV54" s="9">
        <v>-2.5337840616703033E-2</v>
      </c>
      <c r="CW54">
        <v>0.06</v>
      </c>
      <c r="CX54" t="e">
        <v>#VALUE!</v>
      </c>
      <c r="CY54" t="s">
        <v>728</v>
      </c>
      <c r="CZ54">
        <v>-0.15581815391778947</v>
      </c>
      <c r="DA54" t="e">
        <v>#VALUE!</v>
      </c>
      <c r="DB54" t="s">
        <v>728</v>
      </c>
      <c r="DC54">
        <v>-0.1480272462219</v>
      </c>
      <c r="DD54" t="e">
        <v>#VALUE!</v>
      </c>
      <c r="DE54" t="s">
        <v>728</v>
      </c>
      <c r="DF54">
        <v>-0.13711997544765472</v>
      </c>
      <c r="DG54" t="e">
        <v>#VALUE!</v>
      </c>
      <c r="DH54" t="s">
        <v>728</v>
      </c>
      <c r="DI54">
        <v>-0.12465452313423159</v>
      </c>
      <c r="DJ54" t="e">
        <v>#VALUE!</v>
      </c>
      <c r="DK54" t="s">
        <v>728</v>
      </c>
      <c r="DL54">
        <v>-0.10907270774245262</v>
      </c>
      <c r="DM54">
        <v>-233000000</v>
      </c>
      <c r="DN54">
        <v>-0.15581815391778947</v>
      </c>
      <c r="DO54">
        <v>10318954999.999998</v>
      </c>
      <c r="DP54">
        <v>6720839700</v>
      </c>
      <c r="DQ54">
        <v>3251</v>
      </c>
      <c r="DR54">
        <v>0.83808416377000605</v>
      </c>
      <c r="DS54">
        <v>2.508811106948361</v>
      </c>
      <c r="DT54" s="10">
        <v>-0.85666666666666658</v>
      </c>
      <c r="DU54">
        <v>-0.3666666666666667</v>
      </c>
      <c r="DV54">
        <v>-1.2233333333333332</v>
      </c>
      <c r="DW54">
        <v>6.2412155745489075</v>
      </c>
      <c r="DX54">
        <v>0.56889999999999752</v>
      </c>
      <c r="DY54">
        <v>6.0359169990503325</v>
      </c>
      <c r="DZ54">
        <v>4319</v>
      </c>
      <c r="EA54">
        <v>6.0055597546475168</v>
      </c>
      <c r="EB54">
        <v>6</v>
      </c>
      <c r="EC54">
        <v>3.3289333645704342E-2</v>
      </c>
      <c r="ED54">
        <v>0.22356839251648314</v>
      </c>
      <c r="EE54" s="11">
        <v>2.0924</v>
      </c>
      <c r="EF54">
        <v>2.0924</v>
      </c>
      <c r="EG54">
        <v>42.148899999999998</v>
      </c>
      <c r="EH54" t="s">
        <v>723</v>
      </c>
      <c r="EI54">
        <v>0</v>
      </c>
      <c r="EJ54">
        <v>0</v>
      </c>
      <c r="EK54" s="12">
        <v>45470</v>
      </c>
      <c r="EL54">
        <v>-0.51</v>
      </c>
      <c r="EM54">
        <v>-3.08</v>
      </c>
      <c r="EN54">
        <v>3.17</v>
      </c>
      <c r="EO54">
        <v>1.03</v>
      </c>
      <c r="EP54">
        <v>0</v>
      </c>
    </row>
    <row r="55" spans="1:146" ht="96" x14ac:dyDescent="0.25">
      <c r="A55" s="7"/>
      <c r="B55" s="7"/>
      <c r="C55" s="7" t="str">
        <f>""&amp;CHAR(10)&amp;Basic_Fundamental_Information_Constructure(F55)&amp;CHAR(10)&amp;Basic_Fundamental_Information_Concatenate("")</f>
        <v xml:space="preserve">
市值92.389435亿, 利润1.01亿; PE17; 平均PE27.17; 平均PEG31.02, PB1.74; ROIC7.6%; ROE8.1067%; 股利率2.3428%; 毛利72.76%; 净利10.0967%; 上一年度营收增-20.98%, 利润增-76.73%; 当季营收增52.35%, 利润增457.45%; 过往5年营收增.88%, 利润增-9.03%
Income profile:
</v>
      </c>
      <c r="D55" t="s">
        <v>292</v>
      </c>
      <c r="E55" t="s">
        <v>12</v>
      </c>
      <c r="F55">
        <v>15.88</v>
      </c>
      <c r="G55">
        <v>3.93</v>
      </c>
      <c r="H55" t="s">
        <v>2429</v>
      </c>
      <c r="I55">
        <v>9238943500</v>
      </c>
      <c r="J55">
        <v>17</v>
      </c>
      <c r="K55">
        <v>1.74</v>
      </c>
      <c r="L55" t="s">
        <v>114</v>
      </c>
      <c r="M55" t="s">
        <v>1559</v>
      </c>
      <c r="N55" t="s">
        <v>2430</v>
      </c>
      <c r="O55" t="s">
        <v>1560</v>
      </c>
      <c r="P55">
        <v>0.48</v>
      </c>
      <c r="Q55" t="s">
        <v>2431</v>
      </c>
      <c r="R55">
        <v>148044960</v>
      </c>
      <c r="S55" s="5">
        <v>4.6699999999999998E-2</v>
      </c>
      <c r="T55" t="s">
        <v>67</v>
      </c>
      <c r="U55">
        <v>578497150</v>
      </c>
      <c r="V55">
        <v>581797450</v>
      </c>
      <c r="W55">
        <v>1.34</v>
      </c>
      <c r="X55">
        <v>0.19</v>
      </c>
      <c r="Y55">
        <v>11.01</v>
      </c>
      <c r="Z55" t="s">
        <v>2432</v>
      </c>
      <c r="AA55" t="s">
        <v>1114</v>
      </c>
      <c r="AB55" t="s">
        <v>2433</v>
      </c>
      <c r="AC55" t="s">
        <v>60</v>
      </c>
      <c r="AD55" t="s">
        <v>53</v>
      </c>
      <c r="AE55">
        <v>-9138462</v>
      </c>
      <c r="AF55" t="s">
        <v>1562</v>
      </c>
      <c r="AG55" t="s">
        <v>2434</v>
      </c>
      <c r="AH55" t="s">
        <v>1563</v>
      </c>
      <c r="AI55" t="s">
        <v>2435</v>
      </c>
      <c r="AJ55" t="s">
        <v>1564</v>
      </c>
      <c r="AK55" t="s">
        <v>53</v>
      </c>
      <c r="AL55" t="s">
        <v>1565</v>
      </c>
      <c r="AM55" t="s">
        <v>53</v>
      </c>
      <c r="AN55" t="s">
        <v>366</v>
      </c>
      <c r="AO55" t="s">
        <v>53</v>
      </c>
      <c r="AP55" t="s">
        <v>53</v>
      </c>
      <c r="AQ55" t="s">
        <v>447</v>
      </c>
      <c r="AR55" t="s">
        <v>53</v>
      </c>
      <c r="AS55" t="s">
        <v>2436</v>
      </c>
      <c r="AT55" t="s">
        <v>53</v>
      </c>
      <c r="AU55" t="s">
        <v>76</v>
      </c>
      <c r="AV55" t="s">
        <v>1297</v>
      </c>
      <c r="AW55" t="s">
        <v>2437</v>
      </c>
      <c r="AX55" t="s">
        <v>867</v>
      </c>
      <c r="AY55" t="s">
        <v>692</v>
      </c>
      <c r="AZ55" t="s">
        <v>519</v>
      </c>
      <c r="BA55" t="s">
        <v>293</v>
      </c>
      <c r="BB55" t="s">
        <v>520</v>
      </c>
      <c r="BC55" t="s">
        <v>724</v>
      </c>
      <c r="BD55" t="s">
        <v>664</v>
      </c>
      <c r="BE55" t="s">
        <v>291</v>
      </c>
      <c r="BF55" t="s">
        <v>244</v>
      </c>
      <c r="BG55" t="s">
        <v>413</v>
      </c>
      <c r="BH55" t="s">
        <v>1561</v>
      </c>
      <c r="BI55" t="s">
        <v>641</v>
      </c>
      <c r="BJ55" t="s">
        <v>867</v>
      </c>
      <c r="BK55" t="s">
        <v>342</v>
      </c>
      <c r="BL55" t="s">
        <v>2438</v>
      </c>
      <c r="BM55" t="s">
        <v>724</v>
      </c>
      <c r="BN55">
        <v>6.86</v>
      </c>
      <c r="BO55">
        <v>8.9700000000000006</v>
      </c>
      <c r="BP55">
        <v>6.97</v>
      </c>
      <c r="BQ55">
        <v>7.14</v>
      </c>
      <c r="BR55">
        <v>9.61</v>
      </c>
      <c r="BS55">
        <v>7.57</v>
      </c>
      <c r="BT55" t="s">
        <v>2439</v>
      </c>
      <c r="BU55" t="s">
        <v>114</v>
      </c>
      <c r="BV55">
        <v>74.27</v>
      </c>
      <c r="BW55">
        <v>72.099999999999994</v>
      </c>
      <c r="BX55">
        <v>71.91</v>
      </c>
      <c r="BY55">
        <v>11.24</v>
      </c>
      <c r="BZ55">
        <v>10.16</v>
      </c>
      <c r="CA55">
        <v>8.89</v>
      </c>
      <c r="CB55">
        <v>1.1499999999999999</v>
      </c>
      <c r="CC55">
        <v>-9.9700000000000006</v>
      </c>
      <c r="CD55" t="s">
        <v>2440</v>
      </c>
      <c r="CE55" t="s">
        <v>97</v>
      </c>
      <c r="CF55" s="8">
        <v>0.523542600896861</v>
      </c>
      <c r="CG55" s="9">
        <v>4.5745066365433491</v>
      </c>
      <c r="CH55" s="8">
        <v>-0.20983679592609406</v>
      </c>
      <c r="CI55" s="8">
        <v>0.19238151609897614</v>
      </c>
      <c r="CJ55" s="8">
        <v>0.20349602401256561</v>
      </c>
      <c r="CK55" s="8">
        <v>-0.33596146106719971</v>
      </c>
      <c r="CL55" s="8">
        <v>0.19372554123401642</v>
      </c>
      <c r="CM55" s="9">
        <v>-0.76728111505508423</v>
      </c>
      <c r="CN55" s="9">
        <v>0.35202491283416748</v>
      </c>
      <c r="CO55" s="9">
        <v>0.22053231298923492</v>
      </c>
      <c r="CP55" s="9">
        <v>-0.48126232624053955</v>
      </c>
      <c r="CQ55" s="9">
        <v>0.22463768720626831</v>
      </c>
      <c r="CR55">
        <v>27.173363235294119</v>
      </c>
      <c r="CS55">
        <v>31.016404742060615</v>
      </c>
      <c r="CT55">
        <v>2.3427581863979849</v>
      </c>
      <c r="CU55" s="8">
        <v>8.7609648704528812E-3</v>
      </c>
      <c r="CV55" s="9">
        <v>-9.0269705653190618E-2</v>
      </c>
      <c r="CW55">
        <v>0.06</v>
      </c>
      <c r="CX55">
        <v>56.877540538690106</v>
      </c>
      <c r="CY55">
        <v>96117790.048977107</v>
      </c>
      <c r="CZ55">
        <v>8.7609648704528812E-3</v>
      </c>
      <c r="DA55">
        <v>19.92291391850274</v>
      </c>
      <c r="DB55">
        <v>274404814.59505576</v>
      </c>
      <c r="DC55">
        <v>8.3229166269302365E-3</v>
      </c>
      <c r="DD55">
        <v>10.728745151079091</v>
      </c>
      <c r="DE55">
        <v>509560384.09115702</v>
      </c>
      <c r="DF55">
        <v>7.7096490859985354E-3</v>
      </c>
      <c r="DG55">
        <v>7.0993929669433697</v>
      </c>
      <c r="DH55">
        <v>770057880.3646338</v>
      </c>
      <c r="DI55">
        <v>7.0087718963623051E-3</v>
      </c>
      <c r="DJ55">
        <v>4.4746630018824192</v>
      </c>
      <c r="DK55">
        <v>1221755358.4929512</v>
      </c>
      <c r="DL55">
        <v>6.1326754093170167E-3</v>
      </c>
      <c r="DM55">
        <v>101000000</v>
      </c>
      <c r="DN55">
        <v>8.7609648704528812E-3</v>
      </c>
      <c r="DO55">
        <v>5466943500</v>
      </c>
      <c r="DP55">
        <v>2508203700</v>
      </c>
      <c r="DQ55">
        <v>3267</v>
      </c>
      <c r="DR55">
        <v>0.51478163602640814</v>
      </c>
      <c r="DS55">
        <v>4.6647763421965394</v>
      </c>
      <c r="DT55" s="10">
        <v>-0.34</v>
      </c>
      <c r="DU55">
        <v>-6.6666666666666652E-2</v>
      </c>
      <c r="DV55">
        <v>-0.40666666666666668</v>
      </c>
      <c r="DW55">
        <v>-2.0996999999999999</v>
      </c>
      <c r="DX55">
        <v>0.48182028985507402</v>
      </c>
      <c r="DY55">
        <v>-2.0151364828985505</v>
      </c>
      <c r="DZ55">
        <v>2188</v>
      </c>
      <c r="EA55">
        <v>-2.0086553430586234</v>
      </c>
      <c r="EB55">
        <v>2</v>
      </c>
      <c r="EC55">
        <v>5.4016737268270942E-2</v>
      </c>
      <c r="ED55">
        <v>0.35579392793832282</v>
      </c>
      <c r="EE55" s="11">
        <v>-4.0035999999999996</v>
      </c>
      <c r="EF55">
        <v>-4.0123100000000003</v>
      </c>
      <c r="EG55">
        <v>33.151820289855074</v>
      </c>
      <c r="EH55" t="s">
        <v>1011</v>
      </c>
      <c r="EI55">
        <v>0</v>
      </c>
      <c r="EJ55">
        <v>0</v>
      </c>
      <c r="EK55" s="12">
        <v>45470</v>
      </c>
      <c r="EL55">
        <v>-1.88</v>
      </c>
      <c r="EM55">
        <v>-4.66</v>
      </c>
      <c r="EN55">
        <v>-0.28999999999999998</v>
      </c>
      <c r="EO55">
        <v>8.65</v>
      </c>
      <c r="EP55">
        <v>-1.59</v>
      </c>
    </row>
    <row r="56" spans="1:146" ht="168" x14ac:dyDescent="0.25">
      <c r="A56" s="7" t="s">
        <v>976</v>
      </c>
      <c r="B56" s="7"/>
      <c r="C56" s="7" t="str">
        <f>"公司主营业务为药品的研发、生产和销售，公司药品产品线主要围绕儿科、消化、呼吸等领域，主要产品为蒲地蓝消炎口服液、雷贝拉唑钠肠溶胶囊、小儿豉翘清热颗粒等。"&amp;CHAR(10)&amp;Basic_Fundamental_Information_Constructure(F56)&amp;CHAR(10)&amp;Basic_Fundamental_Information_Concatenate("清热解毒类	28.72亿	31.92%	30.58%	79.44%
儿科类	24.25亿	26.96%	28.99%	89.15%
消化类	17.68亿	19.65%	21.53%	90.83%
其他	8.29亿	9.21%	8.88%	79.93%
呼吸类	5.83亿	6.48%	6.74%	86.17%")</f>
        <v>公司主营业务为药品的研发、生产和销售，公司药品产品线主要围绕儿科、消化、呼吸等领域，主要产品为蒲地蓝消炎口服液、雷贝拉唑钠肠溶胶囊、小儿豉翘清热颗粒等。
市值305.57891亿, 利润1.56亿; PE10.22; 平均PE21.24; 平均PEG.42, PB2.15; ROIC17.3133%; ROE19.5033%; 股利率3.9216%; 毛利82.5667%; 净利25.3067%; 上一年度营收增226.07%, 利润增-92.81%; 当季营收增-62.16%, 利润增347.88%; 过往5年营收增50.57%, 利润增-11.42%
Income profile:
清热解毒类	28.72亿	31.92%	30.58%	79.44%
儿科类	24.25亿	26.96%	28.99%	89.15%
消化类	17.68亿	19.65%	21.53%	90.83%
其他	8.29亿	9.21%	8.88%	79.93%
呼吸类	5.83亿	6.48%	6.74%	86.17%</v>
      </c>
      <c r="D56" t="s">
        <v>295</v>
      </c>
      <c r="E56" t="s">
        <v>52</v>
      </c>
      <c r="F56">
        <v>33.15</v>
      </c>
      <c r="G56">
        <v>2.79</v>
      </c>
      <c r="H56" t="s">
        <v>2441</v>
      </c>
      <c r="I56">
        <v>30557891000</v>
      </c>
      <c r="J56">
        <v>10.220000000000001</v>
      </c>
      <c r="K56">
        <v>2.15</v>
      </c>
      <c r="L56" t="s">
        <v>114</v>
      </c>
      <c r="M56" t="s">
        <v>1566</v>
      </c>
      <c r="N56" t="s">
        <v>2442</v>
      </c>
      <c r="O56" t="s">
        <v>1567</v>
      </c>
      <c r="P56">
        <v>0.6</v>
      </c>
      <c r="Q56" t="s">
        <v>2443</v>
      </c>
      <c r="R56">
        <v>845266460</v>
      </c>
      <c r="S56" s="5">
        <v>0.249</v>
      </c>
      <c r="T56" t="s">
        <v>91</v>
      </c>
      <c r="U56">
        <v>915748160</v>
      </c>
      <c r="V56">
        <v>921806660</v>
      </c>
      <c r="W56">
        <v>1.36</v>
      </c>
      <c r="X56">
        <v>0.13</v>
      </c>
      <c r="Y56">
        <v>35.25</v>
      </c>
      <c r="Z56" t="s">
        <v>1348</v>
      </c>
      <c r="AA56" t="s">
        <v>210</v>
      </c>
      <c r="AB56" t="s">
        <v>1532</v>
      </c>
      <c r="AC56" t="s">
        <v>2444</v>
      </c>
      <c r="AD56" t="s">
        <v>53</v>
      </c>
      <c r="AE56">
        <v>-93766375</v>
      </c>
      <c r="AF56" t="s">
        <v>1570</v>
      </c>
      <c r="AG56" t="s">
        <v>1035</v>
      </c>
      <c r="AH56" t="s">
        <v>1571</v>
      </c>
      <c r="AI56" t="s">
        <v>2445</v>
      </c>
      <c r="AJ56" t="s">
        <v>1572</v>
      </c>
      <c r="AK56" t="s">
        <v>2446</v>
      </c>
      <c r="AL56" t="s">
        <v>1573</v>
      </c>
      <c r="AM56" t="s">
        <v>53</v>
      </c>
      <c r="AN56" t="s">
        <v>214</v>
      </c>
      <c r="AO56" t="s">
        <v>2447</v>
      </c>
      <c r="AP56" t="s">
        <v>2448</v>
      </c>
      <c r="AQ56" t="s">
        <v>2449</v>
      </c>
      <c r="AR56" t="s">
        <v>53</v>
      </c>
      <c r="AS56" t="s">
        <v>2450</v>
      </c>
      <c r="AT56" t="s">
        <v>53</v>
      </c>
      <c r="AU56" t="s">
        <v>2451</v>
      </c>
      <c r="AV56" t="s">
        <v>2452</v>
      </c>
      <c r="AW56" t="s">
        <v>2453</v>
      </c>
      <c r="AX56" t="s">
        <v>869</v>
      </c>
      <c r="AY56" t="s">
        <v>693</v>
      </c>
      <c r="AZ56" t="s">
        <v>521</v>
      </c>
      <c r="BA56" t="s">
        <v>296</v>
      </c>
      <c r="BB56" t="s">
        <v>523</v>
      </c>
      <c r="BC56" t="s">
        <v>754</v>
      </c>
      <c r="BD56" t="s">
        <v>694</v>
      </c>
      <c r="BE56" t="s">
        <v>522</v>
      </c>
      <c r="BF56" t="s">
        <v>297</v>
      </c>
      <c r="BG56" t="s">
        <v>524</v>
      </c>
      <c r="BH56" t="s">
        <v>1568</v>
      </c>
      <c r="BI56" t="s">
        <v>2454</v>
      </c>
      <c r="BJ56" t="s">
        <v>869</v>
      </c>
      <c r="BK56" t="s">
        <v>1569</v>
      </c>
      <c r="BL56" t="s">
        <v>2455</v>
      </c>
      <c r="BM56" t="s">
        <v>754</v>
      </c>
      <c r="BN56">
        <v>14.38</v>
      </c>
      <c r="BO56">
        <v>19.489999999999998</v>
      </c>
      <c r="BP56">
        <v>18.07</v>
      </c>
      <c r="BQ56">
        <v>16.14</v>
      </c>
      <c r="BR56">
        <v>21.91</v>
      </c>
      <c r="BS56">
        <v>20.46</v>
      </c>
      <c r="BT56" t="s">
        <v>1574</v>
      </c>
      <c r="BU56" t="s">
        <v>114</v>
      </c>
      <c r="BV56">
        <v>81.52</v>
      </c>
      <c r="BW56">
        <v>82.91</v>
      </c>
      <c r="BX56">
        <v>83.27</v>
      </c>
      <c r="BY56">
        <v>29.28</v>
      </c>
      <c r="BZ56">
        <v>24.14</v>
      </c>
      <c r="CA56">
        <v>22.5</v>
      </c>
      <c r="CB56">
        <v>4.54</v>
      </c>
      <c r="CC56">
        <v>-8.2200000000000006</v>
      </c>
      <c r="CD56" t="s">
        <v>2456</v>
      </c>
      <c r="CE56" t="s">
        <v>415</v>
      </c>
      <c r="CF56" s="8">
        <v>-0.62163438828530937</v>
      </c>
      <c r="CG56" s="9">
        <v>3.4787872727272728</v>
      </c>
      <c r="CH56" s="8">
        <v>2.2606716156005859</v>
      </c>
      <c r="CI56" s="8">
        <v>0.17887559533119202</v>
      </c>
      <c r="CJ56" s="8">
        <v>0.23779396712779999</v>
      </c>
      <c r="CK56" s="8">
        <v>-0.11167147755622864</v>
      </c>
      <c r="CL56" s="8">
        <v>-3.718087449669838E-2</v>
      </c>
      <c r="CM56" s="9">
        <v>-0.92814373970031738</v>
      </c>
      <c r="CN56" s="9">
        <v>0.2629435658454895</v>
      </c>
      <c r="CO56" s="9">
        <v>0.34612384438514709</v>
      </c>
      <c r="CP56" s="9">
        <v>-0.21318553388118744</v>
      </c>
      <c r="CQ56" s="9">
        <v>-3.8507070392370224E-2</v>
      </c>
      <c r="CR56">
        <v>21.235504517025714</v>
      </c>
      <c r="CS56">
        <v>0.41992482423906624</v>
      </c>
      <c r="CT56">
        <v>3.9215686274509807</v>
      </c>
      <c r="CU56" s="8">
        <v>0.50569776520133014</v>
      </c>
      <c r="CV56" s="9">
        <v>-0.11415378674864769</v>
      </c>
      <c r="CW56">
        <v>0.06</v>
      </c>
      <c r="CX56">
        <v>95.300242345707488</v>
      </c>
      <c r="CY56">
        <v>221593256.01076177</v>
      </c>
      <c r="CZ56">
        <v>0.50569776520133014</v>
      </c>
      <c r="DA56">
        <v>22.29688200901732</v>
      </c>
      <c r="DB56">
        <v>947123054.75983083</v>
      </c>
      <c r="DC56">
        <v>0.48041287694126361</v>
      </c>
      <c r="DD56">
        <v>6.6572431477177485</v>
      </c>
      <c r="DE56">
        <v>3172167597.2192311</v>
      </c>
      <c r="DF56">
        <v>0.44501403337717055</v>
      </c>
      <c r="DG56">
        <v>2.117146513121285</v>
      </c>
      <c r="DH56">
        <v>9974695123.4216347</v>
      </c>
      <c r="DI56">
        <v>0.40455821216106413</v>
      </c>
      <c r="DJ56">
        <v>0.22147236653948624</v>
      </c>
      <c r="DK56">
        <v>95352261458.02211</v>
      </c>
      <c r="DL56">
        <v>0.35398843564093108</v>
      </c>
      <c r="DM56">
        <v>156000000</v>
      </c>
      <c r="DN56">
        <v>0.50569776520133014</v>
      </c>
      <c r="DO56">
        <v>21117891000</v>
      </c>
      <c r="DP56">
        <v>10535144000</v>
      </c>
      <c r="DQ56">
        <v>3275</v>
      </c>
      <c r="DR56">
        <v>-1.1273321534866394</v>
      </c>
      <c r="DS56">
        <v>3.5929410594759204</v>
      </c>
      <c r="DT56" s="10">
        <v>0.14333333333333331</v>
      </c>
      <c r="DU56">
        <v>-0.16666666666666666</v>
      </c>
      <c r="DV56">
        <v>-2.3333333333333345E-2</v>
      </c>
      <c r="DW56">
        <v>6.3557993730407523</v>
      </c>
      <c r="DX56">
        <v>0.36909432624113619</v>
      </c>
      <c r="DY56">
        <v>6.0672796427221591</v>
      </c>
      <c r="DZ56">
        <v>4827</v>
      </c>
      <c r="EA56">
        <v>6.0037260545773723</v>
      </c>
      <c r="EB56">
        <v>6</v>
      </c>
      <c r="EC56">
        <v>5.7847922253024292E-2</v>
      </c>
      <c r="ED56">
        <v>0.30592098347390984</v>
      </c>
      <c r="EE56" s="11">
        <v>-3.0689099999999998</v>
      </c>
      <c r="EF56">
        <v>-3.0689099999999998</v>
      </c>
      <c r="EG56">
        <v>18.189094326241136</v>
      </c>
      <c r="EH56" t="s">
        <v>1686</v>
      </c>
      <c r="EI56">
        <v>0</v>
      </c>
      <c r="EJ56">
        <v>0</v>
      </c>
      <c r="EK56" s="12">
        <v>45470</v>
      </c>
      <c r="EL56">
        <v>-4.49</v>
      </c>
      <c r="EM56">
        <v>0</v>
      </c>
      <c r="EN56">
        <v>0</v>
      </c>
      <c r="EO56">
        <v>0</v>
      </c>
      <c r="EP56">
        <v>0</v>
      </c>
    </row>
    <row r="57" spans="1:146" ht="96" x14ac:dyDescent="0.25">
      <c r="A57" s="7"/>
      <c r="B57" s="7"/>
      <c r="C57" s="7" t="str">
        <f>""&amp;CHAR(10)&amp;Basic_Fundamental_Information_Constructure(F57)&amp;CHAR(10)&amp;Basic_Fundamental_Information_Concatenate("")</f>
        <v xml:space="preserve">
市值115.394676亿, 利润4853.37万; PE22.05; 平均PE20.7; 平均PEG1, PB1.62; ROIC13.0867%; ROE15.6967%; 股利率4.4543%; 毛利60.7267%; 净利17.3833%; 上一年度营收增-89.77%, 利润增-86.44%; 当季营收增1231.39%, 利润增23957.79%; 过往5年营收增-20.7%, 利润增53.01%
Income profile:
</v>
      </c>
      <c r="D57" t="s">
        <v>300</v>
      </c>
      <c r="E57" t="s">
        <v>42</v>
      </c>
      <c r="F57">
        <v>4.49</v>
      </c>
      <c r="G57">
        <v>2.2799999999999998</v>
      </c>
      <c r="H57" t="s">
        <v>2457</v>
      </c>
      <c r="I57">
        <v>11539467600</v>
      </c>
      <c r="J57">
        <v>22.05</v>
      </c>
      <c r="K57">
        <v>1.62</v>
      </c>
      <c r="L57" t="s">
        <v>114</v>
      </c>
      <c r="M57" t="s">
        <v>1575</v>
      </c>
      <c r="N57" t="s">
        <v>2458</v>
      </c>
      <c r="O57" t="s">
        <v>1576</v>
      </c>
      <c r="P57">
        <v>-14.38</v>
      </c>
      <c r="Q57" t="s">
        <v>1905</v>
      </c>
      <c r="R57">
        <v>216062980</v>
      </c>
      <c r="S57" s="5">
        <v>-0.23980000000000001</v>
      </c>
      <c r="T57" t="s">
        <v>2459</v>
      </c>
      <c r="U57">
        <v>2563295500</v>
      </c>
      <c r="V57">
        <v>2570037300</v>
      </c>
      <c r="W57">
        <v>1.51</v>
      </c>
      <c r="X57">
        <v>0.16</v>
      </c>
      <c r="Y57">
        <v>12.61</v>
      </c>
      <c r="Z57" t="s">
        <v>2460</v>
      </c>
      <c r="AA57" t="s">
        <v>589</v>
      </c>
      <c r="AB57" t="s">
        <v>2461</v>
      </c>
      <c r="AC57" t="s">
        <v>1020</v>
      </c>
      <c r="AD57" t="s">
        <v>53</v>
      </c>
      <c r="AE57">
        <v>-8996971</v>
      </c>
      <c r="AF57" t="s">
        <v>1578</v>
      </c>
      <c r="AG57" t="s">
        <v>2462</v>
      </c>
      <c r="AH57" t="s">
        <v>1579</v>
      </c>
      <c r="AI57" t="s">
        <v>2463</v>
      </c>
      <c r="AJ57" t="s">
        <v>1580</v>
      </c>
      <c r="AK57" t="s">
        <v>53</v>
      </c>
      <c r="AL57" t="s">
        <v>1581</v>
      </c>
      <c r="AM57" t="s">
        <v>53</v>
      </c>
      <c r="AN57" t="s">
        <v>393</v>
      </c>
      <c r="AO57" t="s">
        <v>54</v>
      </c>
      <c r="AP57" t="s">
        <v>1258</v>
      </c>
      <c r="AQ57" t="s">
        <v>355</v>
      </c>
      <c r="AR57" t="s">
        <v>53</v>
      </c>
      <c r="AS57" t="s">
        <v>2464</v>
      </c>
      <c r="AT57" t="s">
        <v>1041</v>
      </c>
      <c r="AU57" t="s">
        <v>526</v>
      </c>
      <c r="AV57" t="s">
        <v>2465</v>
      </c>
      <c r="AW57" t="s">
        <v>2466</v>
      </c>
      <c r="AX57" t="s">
        <v>870</v>
      </c>
      <c r="AY57" t="s">
        <v>871</v>
      </c>
      <c r="AZ57" t="s">
        <v>525</v>
      </c>
      <c r="BA57" t="s">
        <v>301</v>
      </c>
      <c r="BB57" t="s">
        <v>527</v>
      </c>
      <c r="BC57" t="s">
        <v>96</v>
      </c>
      <c r="BD57" t="s">
        <v>872</v>
      </c>
      <c r="BE57" t="s">
        <v>186</v>
      </c>
      <c r="BF57" t="s">
        <v>302</v>
      </c>
      <c r="BG57" t="s">
        <v>528</v>
      </c>
      <c r="BH57" t="s">
        <v>1577</v>
      </c>
      <c r="BI57" t="s">
        <v>308</v>
      </c>
      <c r="BJ57" t="s">
        <v>870</v>
      </c>
      <c r="BK57" t="s">
        <v>457</v>
      </c>
      <c r="BL57" t="s">
        <v>2467</v>
      </c>
      <c r="BM57" t="s">
        <v>96</v>
      </c>
      <c r="BN57">
        <v>8.33</v>
      </c>
      <c r="BO57">
        <v>5.16</v>
      </c>
      <c r="BP57">
        <v>25.77</v>
      </c>
      <c r="BQ57">
        <v>8.81</v>
      </c>
      <c r="BR57">
        <v>5.03</v>
      </c>
      <c r="BS57">
        <v>33.25</v>
      </c>
      <c r="BT57" t="s">
        <v>783</v>
      </c>
      <c r="BU57" t="s">
        <v>114</v>
      </c>
      <c r="BV57">
        <v>58.48</v>
      </c>
      <c r="BW57">
        <v>59.3</v>
      </c>
      <c r="BX57">
        <v>64.400000000000006</v>
      </c>
      <c r="BY57">
        <v>10.02</v>
      </c>
      <c r="BZ57">
        <v>7.67</v>
      </c>
      <c r="CA57">
        <v>34.46</v>
      </c>
      <c r="CB57">
        <v>0.45</v>
      </c>
      <c r="CC57">
        <v>-8.5500000000000007</v>
      </c>
      <c r="CD57" t="s">
        <v>89</v>
      </c>
      <c r="CE57" t="s">
        <v>2338</v>
      </c>
      <c r="CF57" s="8">
        <v>12.313868613138684</v>
      </c>
      <c r="CG57" s="9">
        <v>239.57786438035853</v>
      </c>
      <c r="CH57" s="8">
        <v>-0.89766663312911987</v>
      </c>
      <c r="CI57" s="8">
        <v>-8.6479902267456055E-2</v>
      </c>
      <c r="CJ57" s="8">
        <v>0.11152475327253342</v>
      </c>
      <c r="CK57" s="8">
        <v>-0.12692077457904816</v>
      </c>
      <c r="CL57" s="8">
        <v>-3.5622667521238327E-2</v>
      </c>
      <c r="CM57" s="9">
        <v>-0.86443102359771729</v>
      </c>
      <c r="CN57" s="9">
        <v>-0.82250869274139404</v>
      </c>
      <c r="CO57" s="9">
        <v>3.4525387287139893</v>
      </c>
      <c r="CP57" s="9">
        <v>2.3092484474182129</v>
      </c>
      <c r="CQ57" s="9">
        <v>-1.4245398044586182</v>
      </c>
      <c r="CR57">
        <v>20.695294625189398</v>
      </c>
      <c r="CS57">
        <v>0.99961311203710579</v>
      </c>
      <c r="CT57">
        <v>4.4543429844097995</v>
      </c>
      <c r="CU57" s="8">
        <v>-0.20703304484486579</v>
      </c>
      <c r="CV57" s="9">
        <v>0.53006153106689458</v>
      </c>
      <c r="CW57">
        <v>0.06</v>
      </c>
      <c r="CX57">
        <v>164.03998870887651</v>
      </c>
      <c r="CY57" t="s">
        <v>2468</v>
      </c>
      <c r="CZ57">
        <v>-0.20703304484486579</v>
      </c>
      <c r="DA57">
        <v>54.679996236292169</v>
      </c>
      <c r="DB57" t="s">
        <v>2469</v>
      </c>
      <c r="DC57">
        <v>-0.19668139260262249</v>
      </c>
      <c r="DD57">
        <v>27.339998118146084</v>
      </c>
      <c r="DE57" t="s">
        <v>2470</v>
      </c>
      <c r="DF57">
        <v>-0.1821890794634819</v>
      </c>
      <c r="DG57">
        <v>16.403998870887651</v>
      </c>
      <c r="DH57" t="s">
        <v>2471</v>
      </c>
      <c r="DI57">
        <v>-0.16562643587589265</v>
      </c>
      <c r="DJ57">
        <v>8.2019994354438257</v>
      </c>
      <c r="DK57" t="s">
        <v>2472</v>
      </c>
      <c r="DL57">
        <v>-0.14492313139140603</v>
      </c>
      <c r="DM57">
        <v>48533700</v>
      </c>
      <c r="DN57">
        <v>-0.20703304484486579</v>
      </c>
      <c r="DO57">
        <v>7961467600</v>
      </c>
      <c r="DP57">
        <v>2875492100</v>
      </c>
      <c r="DQ57">
        <v>3281</v>
      </c>
      <c r="DR57">
        <v>12.520901657983551</v>
      </c>
      <c r="DS57">
        <v>239.04780284929163</v>
      </c>
      <c r="DT57" s="10">
        <v>-0.77333333333333332</v>
      </c>
      <c r="DU57">
        <v>-0.31300000000000006</v>
      </c>
      <c r="DV57">
        <v>-1.0863333333333334</v>
      </c>
      <c r="DW57">
        <v>-2.0855000000000001</v>
      </c>
      <c r="DX57">
        <v>0.38577981651376092</v>
      </c>
      <c r="DY57">
        <v>-2.0116091743119267</v>
      </c>
      <c r="DZ57">
        <v>3280</v>
      </c>
      <c r="EA57">
        <v>-2.0041574929531949</v>
      </c>
      <c r="EB57">
        <v>2</v>
      </c>
      <c r="EC57">
        <v>5.7586712846541176E-2</v>
      </c>
      <c r="ED57">
        <v>0.42411835812655324</v>
      </c>
      <c r="EE57" s="11">
        <v>-1.0982000000000001</v>
      </c>
      <c r="EF57">
        <v>-1.1157999999999999</v>
      </c>
      <c r="EG57">
        <v>25.135779816513761</v>
      </c>
      <c r="EH57" t="s">
        <v>725</v>
      </c>
      <c r="EI57">
        <v>0</v>
      </c>
      <c r="EJ57">
        <v>0</v>
      </c>
      <c r="EK57" s="12">
        <v>45470</v>
      </c>
      <c r="EL57">
        <v>-1.03</v>
      </c>
      <c r="EM57">
        <v>-4.66</v>
      </c>
      <c r="EN57">
        <v>0.98</v>
      </c>
      <c r="EO57">
        <v>10.01</v>
      </c>
      <c r="EP57">
        <v>1.76</v>
      </c>
    </row>
    <row r="58" spans="1:146" ht="96" x14ac:dyDescent="0.25">
      <c r="A58" s="7"/>
      <c r="B58" s="7"/>
      <c r="C58" s="7" t="str">
        <f>""&amp;CHAR(10)&amp;Basic_Fundamental_Information_Constructure(F58)&amp;CHAR(10)&amp;Basic_Fundamental_Information_Concatenate("")</f>
        <v xml:space="preserve">
市值25.024906亿, 利润11.59亿; PE; 平均PE34.2; 平均PEG.31, PB.889; ROIC4.91%; ROE-.11%; 股利率2.0886%; 毛利73.06%; 净利-2.1%; 上一年度营收增587.13%, 利润增364.61%; 当季营收增-85.83%, 利润增-134.4%; 过往5年营收增111%, 利润增56.51%
Income profile:
</v>
      </c>
      <c r="D58" t="s">
        <v>305</v>
      </c>
      <c r="E58" t="s">
        <v>37</v>
      </c>
      <c r="F58">
        <v>3.16</v>
      </c>
      <c r="G58">
        <v>4.9800000000000004</v>
      </c>
      <c r="H58" t="s">
        <v>2473</v>
      </c>
      <c r="I58">
        <v>2502490600</v>
      </c>
      <c r="K58">
        <v>0.88900000000000001</v>
      </c>
      <c r="L58" t="s">
        <v>114</v>
      </c>
      <c r="M58" t="s">
        <v>1583</v>
      </c>
      <c r="N58" t="s">
        <v>2474</v>
      </c>
      <c r="O58" t="s">
        <v>54</v>
      </c>
      <c r="P58">
        <v>-16.260000000000002</v>
      </c>
      <c r="Q58" t="s">
        <v>2475</v>
      </c>
      <c r="R58">
        <v>-68454808</v>
      </c>
      <c r="S58" s="5">
        <v>-2.556</v>
      </c>
      <c r="T58" t="s">
        <v>1529</v>
      </c>
      <c r="U58">
        <v>791927400</v>
      </c>
      <c r="V58">
        <v>791927400</v>
      </c>
      <c r="W58">
        <v>1.53</v>
      </c>
      <c r="X58">
        <v>0.13</v>
      </c>
      <c r="Y58">
        <v>-12.47</v>
      </c>
      <c r="Z58" t="s">
        <v>2476</v>
      </c>
      <c r="AA58" t="s">
        <v>1322</v>
      </c>
      <c r="AB58" t="s">
        <v>1426</v>
      </c>
      <c r="AC58" t="s">
        <v>2477</v>
      </c>
      <c r="AD58" t="s">
        <v>53</v>
      </c>
      <c r="AE58">
        <v>8068801</v>
      </c>
      <c r="AF58" t="s">
        <v>1585</v>
      </c>
      <c r="AG58" t="s">
        <v>2478</v>
      </c>
      <c r="AH58" t="s">
        <v>1586</v>
      </c>
      <c r="AI58" t="s">
        <v>1053</v>
      </c>
      <c r="AJ58" t="s">
        <v>1587</v>
      </c>
      <c r="AK58" t="s">
        <v>824</v>
      </c>
      <c r="AL58" t="s">
        <v>1588</v>
      </c>
      <c r="AM58" t="s">
        <v>53</v>
      </c>
      <c r="AN58" t="s">
        <v>2479</v>
      </c>
      <c r="AO58" t="s">
        <v>1023</v>
      </c>
      <c r="AP58" t="s">
        <v>53</v>
      </c>
      <c r="AQ58" t="s">
        <v>818</v>
      </c>
      <c r="AR58" t="s">
        <v>53</v>
      </c>
      <c r="AS58" t="s">
        <v>2480</v>
      </c>
      <c r="AT58" t="s">
        <v>1217</v>
      </c>
      <c r="AU58" t="s">
        <v>2481</v>
      </c>
      <c r="AV58" t="s">
        <v>2482</v>
      </c>
      <c r="AW58" t="s">
        <v>2483</v>
      </c>
      <c r="AX58" t="s">
        <v>873</v>
      </c>
      <c r="AY58" t="s">
        <v>695</v>
      </c>
      <c r="AZ58" t="s">
        <v>530</v>
      </c>
      <c r="BA58" t="s">
        <v>306</v>
      </c>
      <c r="BB58" t="s">
        <v>531</v>
      </c>
      <c r="BC58" t="s">
        <v>2484</v>
      </c>
      <c r="BD58" t="s">
        <v>687</v>
      </c>
      <c r="BE58" t="s">
        <v>1122</v>
      </c>
      <c r="BF58" t="s">
        <v>298</v>
      </c>
      <c r="BG58" t="s">
        <v>2485</v>
      </c>
      <c r="BH58" t="s">
        <v>1584</v>
      </c>
      <c r="BI58" t="s">
        <v>2486</v>
      </c>
      <c r="BJ58" t="s">
        <v>873</v>
      </c>
      <c r="BK58" t="s">
        <v>63</v>
      </c>
      <c r="BL58" t="s">
        <v>76</v>
      </c>
      <c r="BM58" t="s">
        <v>2484</v>
      </c>
      <c r="BN58">
        <v>4.08</v>
      </c>
      <c r="BO58" t="s">
        <v>53</v>
      </c>
      <c r="BP58">
        <v>5.74</v>
      </c>
      <c r="BQ58">
        <v>5.43</v>
      </c>
      <c r="BR58">
        <v>-12.96</v>
      </c>
      <c r="BS58">
        <v>7.2</v>
      </c>
      <c r="BT58" t="s">
        <v>1590</v>
      </c>
      <c r="BU58" t="s">
        <v>114</v>
      </c>
      <c r="BV58">
        <v>69.47</v>
      </c>
      <c r="BW58">
        <v>70.959999999999994</v>
      </c>
      <c r="BX58">
        <v>78.75</v>
      </c>
      <c r="BY58">
        <v>3.24</v>
      </c>
      <c r="BZ58">
        <v>-16.440000000000001</v>
      </c>
      <c r="CA58">
        <v>6.9</v>
      </c>
      <c r="CB58">
        <v>5.33</v>
      </c>
      <c r="CC58">
        <v>-13.28</v>
      </c>
      <c r="CD58" t="s">
        <v>2487</v>
      </c>
      <c r="CE58" t="s">
        <v>287</v>
      </c>
      <c r="CF58" s="8">
        <v>-0.85827355923818949</v>
      </c>
      <c r="CG58" s="9">
        <v>-1.3439940100502512</v>
      </c>
      <c r="CH58" s="8">
        <v>5.8712983131408691</v>
      </c>
      <c r="CI58" s="8">
        <v>-0.18285031616687775</v>
      </c>
      <c r="CJ58" s="8">
        <v>-1.9337788224220276E-2</v>
      </c>
      <c r="CK58" s="8">
        <v>1.5471586026251316E-2</v>
      </c>
      <c r="CL58" s="8">
        <v>-0.13443216681480408</v>
      </c>
      <c r="CM58" s="9">
        <v>3.6461188793182373</v>
      </c>
      <c r="CN58" s="9">
        <v>-2.7950818538665771</v>
      </c>
      <c r="CO58" s="9">
        <v>0.10909090936183929</v>
      </c>
      <c r="CP58" s="9">
        <v>0.71875</v>
      </c>
      <c r="CQ58" s="9">
        <v>1.1464531421661377</v>
      </c>
      <c r="CR58">
        <v>34.202605011389522</v>
      </c>
      <c r="CS58">
        <v>0.30812326967798742</v>
      </c>
      <c r="CT58">
        <v>2.0886075949367089</v>
      </c>
      <c r="CU58" s="8">
        <v>1.1100299255922437</v>
      </c>
      <c r="CV58" s="9">
        <v>0.56506621539592738</v>
      </c>
      <c r="CW58">
        <v>0.06</v>
      </c>
      <c r="CX58">
        <v>0.49173907095894348</v>
      </c>
      <c r="CY58">
        <v>2307098758.2654815</v>
      </c>
      <c r="CZ58">
        <v>1.1100299255922437</v>
      </c>
      <c r="DA58">
        <v>7.5433011957677445E-2</v>
      </c>
      <c r="DB58">
        <v>15039709678.257563</v>
      </c>
      <c r="DC58">
        <v>1.0545284293126314</v>
      </c>
      <c r="DD58">
        <v>1.1053704171716567E-2</v>
      </c>
      <c r="DE58">
        <v>102634427552.60756</v>
      </c>
      <c r="DF58">
        <v>0.9768263345211744</v>
      </c>
      <c r="DG58">
        <v>1.3399543508296791E-3</v>
      </c>
      <c r="DH58">
        <v>846663619023.6936</v>
      </c>
      <c r="DI58">
        <v>0.88802394047379496</v>
      </c>
      <c r="DJ58">
        <v>1.2848050855564232E-5</v>
      </c>
      <c r="DK58">
        <v>88300600048502.687</v>
      </c>
      <c r="DL58">
        <v>0.77702094791457055</v>
      </c>
      <c r="DM58">
        <v>1159000000</v>
      </c>
      <c r="DN58">
        <v>1.1100299255922437</v>
      </c>
      <c r="DO58">
        <v>1134490600</v>
      </c>
      <c r="DP58">
        <v>962731300</v>
      </c>
      <c r="DQ58">
        <v>3301</v>
      </c>
      <c r="DR58">
        <v>-1.9683034848304333</v>
      </c>
      <c r="DS58">
        <v>-1.9090602254461786</v>
      </c>
      <c r="DT58" s="10">
        <v>-0.29000000000000004</v>
      </c>
      <c r="DU58">
        <v>-0.88166666666666682</v>
      </c>
      <c r="DV58">
        <v>-1.1716666666666669</v>
      </c>
      <c r="DW58">
        <v>6.2864051585169261</v>
      </c>
      <c r="DX58">
        <v>0.57189141914191333</v>
      </c>
      <c r="DY58">
        <v>6.0406384343915311</v>
      </c>
      <c r="DZ58">
        <v>4173</v>
      </c>
      <c r="EA58">
        <v>6.0074517050929286</v>
      </c>
      <c r="EB58">
        <v>6</v>
      </c>
      <c r="EC58">
        <v>5.4289193681137951E-2</v>
      </c>
      <c r="ED58">
        <v>0.38261083023519582</v>
      </c>
      <c r="EE58" s="11">
        <v>5.0483000000000002</v>
      </c>
      <c r="EF58">
        <v>5.0732999999999997</v>
      </c>
      <c r="EG58">
        <v>43.141891419141913</v>
      </c>
      <c r="EH58" t="s">
        <v>2488</v>
      </c>
      <c r="EI58">
        <v>0</v>
      </c>
      <c r="EJ58">
        <v>0</v>
      </c>
      <c r="EK58" s="12">
        <v>45470</v>
      </c>
      <c r="EL58">
        <v>-1.73</v>
      </c>
      <c r="EM58">
        <v>-5.67</v>
      </c>
      <c r="EN58">
        <v>9.98</v>
      </c>
      <c r="EO58">
        <v>-0.32</v>
      </c>
      <c r="EP58">
        <v>2.5</v>
      </c>
    </row>
    <row r="59" spans="1:146" ht="96" x14ac:dyDescent="0.25">
      <c r="A59" s="7"/>
      <c r="B59" s="7"/>
      <c r="C59" s="7" t="str">
        <f>""&amp;CHAR(10)&amp;Basic_Fundamental_Information_Constructure(F59)&amp;CHAR(10)&amp;Basic_Fundamental_Information_Concatenate("")</f>
        <v xml:space="preserve">
市值9.3160847亿, 利润-2.94亿; PE; 平均PE-14.29; 平均PEG-.01, PB33.98; ROIC0%; ROE-50.5%; 股利率0%; 毛利25.3133%; 净利-40.5933%; 上一年度营收增9857.8%, 利润增-335.45%; 当季营收增-98.97%, 利润增-114.81%; 过往5年营收增1951.12%, 利润增-.47%
Income profile:
</v>
      </c>
      <c r="D59" t="s">
        <v>307</v>
      </c>
      <c r="E59" t="s">
        <v>1691</v>
      </c>
      <c r="F59">
        <v>7.65</v>
      </c>
      <c r="G59">
        <v>1.86</v>
      </c>
      <c r="H59" t="s">
        <v>2489</v>
      </c>
      <c r="I59">
        <v>931608470</v>
      </c>
      <c r="K59">
        <v>33.979999999999997</v>
      </c>
      <c r="L59" t="s">
        <v>114</v>
      </c>
      <c r="M59" t="s">
        <v>199</v>
      </c>
      <c r="N59" t="s">
        <v>2490</v>
      </c>
      <c r="O59" t="s">
        <v>2491</v>
      </c>
      <c r="P59">
        <v>24.64</v>
      </c>
      <c r="Q59" t="s">
        <v>2492</v>
      </c>
      <c r="R59">
        <v>-9722784</v>
      </c>
      <c r="S59" s="5">
        <v>-7.3700000000000002E-2</v>
      </c>
      <c r="T59" t="s">
        <v>1115</v>
      </c>
      <c r="U59">
        <v>121720533</v>
      </c>
      <c r="V59">
        <v>121778885</v>
      </c>
      <c r="W59">
        <v>6.82</v>
      </c>
      <c r="X59">
        <v>0.08</v>
      </c>
      <c r="Y59">
        <v>-36.409999999999997</v>
      </c>
      <c r="Z59" t="s">
        <v>2493</v>
      </c>
      <c r="AA59" t="s">
        <v>2494</v>
      </c>
      <c r="AB59" t="s">
        <v>2495</v>
      </c>
      <c r="AC59" t="s">
        <v>2496</v>
      </c>
      <c r="AD59" t="s">
        <v>53</v>
      </c>
      <c r="AE59">
        <v>1429606</v>
      </c>
      <c r="AF59" t="s">
        <v>124</v>
      </c>
      <c r="AG59" t="s">
        <v>2497</v>
      </c>
      <c r="AH59" t="s">
        <v>1592</v>
      </c>
      <c r="AI59" t="s">
        <v>2498</v>
      </c>
      <c r="AJ59" t="s">
        <v>53</v>
      </c>
      <c r="AK59" t="s">
        <v>53</v>
      </c>
      <c r="AL59" t="s">
        <v>1593</v>
      </c>
      <c r="AM59" t="s">
        <v>53</v>
      </c>
      <c r="AN59" t="s">
        <v>1594</v>
      </c>
      <c r="AO59" t="s">
        <v>2499</v>
      </c>
      <c r="AP59" t="s">
        <v>2500</v>
      </c>
      <c r="AQ59" t="s">
        <v>2501</v>
      </c>
      <c r="AR59" t="s">
        <v>53</v>
      </c>
      <c r="AS59" t="s">
        <v>76</v>
      </c>
      <c r="AT59" t="s">
        <v>53</v>
      </c>
      <c r="AU59" t="s">
        <v>2502</v>
      </c>
      <c r="AV59" t="s">
        <v>2503</v>
      </c>
      <c r="AW59" t="s">
        <v>2504</v>
      </c>
      <c r="AX59" t="s">
        <v>847</v>
      </c>
      <c r="AY59" t="s">
        <v>175</v>
      </c>
      <c r="AZ59" t="s">
        <v>97</v>
      </c>
      <c r="BA59" t="s">
        <v>309</v>
      </c>
      <c r="BB59" t="s">
        <v>96</v>
      </c>
      <c r="BC59" t="s">
        <v>1595</v>
      </c>
      <c r="BD59" t="s">
        <v>696</v>
      </c>
      <c r="BE59" t="s">
        <v>532</v>
      </c>
      <c r="BF59" t="s">
        <v>534</v>
      </c>
      <c r="BG59" t="s">
        <v>535</v>
      </c>
      <c r="BH59" t="s">
        <v>310</v>
      </c>
      <c r="BI59" t="s">
        <v>2505</v>
      </c>
      <c r="BJ59" t="s">
        <v>847</v>
      </c>
      <c r="BK59" t="s">
        <v>1591</v>
      </c>
      <c r="BL59" t="s">
        <v>2506</v>
      </c>
      <c r="BM59" t="s">
        <v>1595</v>
      </c>
      <c r="BN59" t="s">
        <v>53</v>
      </c>
      <c r="BO59" t="s">
        <v>53</v>
      </c>
      <c r="BP59" t="s">
        <v>53</v>
      </c>
      <c r="BQ59" t="s">
        <v>53</v>
      </c>
      <c r="BR59" t="s">
        <v>53</v>
      </c>
      <c r="BS59">
        <v>-50.5</v>
      </c>
      <c r="BT59" t="s">
        <v>775</v>
      </c>
      <c r="BU59" t="s">
        <v>114</v>
      </c>
      <c r="BV59">
        <v>21.79</v>
      </c>
      <c r="BW59">
        <v>22.93</v>
      </c>
      <c r="BX59">
        <v>31.22</v>
      </c>
      <c r="BY59">
        <v>-32.270000000000003</v>
      </c>
      <c r="BZ59">
        <v>-67.22</v>
      </c>
      <c r="CA59">
        <v>-22.29</v>
      </c>
      <c r="CB59">
        <v>3.24</v>
      </c>
      <c r="CC59">
        <v>-7.61</v>
      </c>
      <c r="CD59" t="s">
        <v>2507</v>
      </c>
      <c r="CE59" t="s">
        <v>2508</v>
      </c>
      <c r="CF59" s="8">
        <v>-0.98967800521027172</v>
      </c>
      <c r="CG59" s="9">
        <v>-1.1481172106485888</v>
      </c>
      <c r="CH59" s="8">
        <v>98.577980041503906</v>
      </c>
      <c r="CI59" s="8">
        <v>-0.25850340723991394</v>
      </c>
      <c r="CJ59" s="8">
        <v>-0.28985506296157837</v>
      </c>
      <c r="CK59" s="8">
        <v>-0.30303031206130981</v>
      </c>
      <c r="CL59" s="8">
        <v>-0.17039106786251068</v>
      </c>
      <c r="CM59" s="9">
        <v>-3.3544521331787109</v>
      </c>
      <c r="CN59" s="9">
        <v>-1.2655681371688843</v>
      </c>
      <c r="CO59" s="9">
        <v>0.26449531316757202</v>
      </c>
      <c r="CP59" s="9">
        <v>-1.799491286277771</v>
      </c>
      <c r="CQ59" s="9">
        <v>6.131434440612793</v>
      </c>
      <c r="CR59">
        <v>-14.294572045179807</v>
      </c>
      <c r="CS59">
        <v>-7.3263267824791069E-3</v>
      </c>
      <c r="CT59">
        <v>0</v>
      </c>
      <c r="CU59" s="8">
        <v>19.511240038275719</v>
      </c>
      <c r="CV59" s="9">
        <v>-4.7163605690002438E-3</v>
      </c>
      <c r="CW59">
        <v>0.06</v>
      </c>
      <c r="CX59" t="e">
        <v>#VALUE!</v>
      </c>
      <c r="CY59" t="s">
        <v>727</v>
      </c>
      <c r="CZ59">
        <v>19.511240038275719</v>
      </c>
      <c r="DA59" t="e">
        <v>#VALUE!</v>
      </c>
      <c r="DB59" t="s">
        <v>728</v>
      </c>
      <c r="DC59">
        <v>18.535678036361933</v>
      </c>
      <c r="DD59" t="e">
        <v>#VALUE!</v>
      </c>
      <c r="DE59" t="s">
        <v>728</v>
      </c>
      <c r="DF59">
        <v>17.169891233682634</v>
      </c>
      <c r="DG59" t="e">
        <v>#VALUE!</v>
      </c>
      <c r="DH59" t="s">
        <v>728</v>
      </c>
      <c r="DI59">
        <v>15.608992030620577</v>
      </c>
      <c r="DJ59" t="e">
        <v>#VALUE!</v>
      </c>
      <c r="DK59" t="s">
        <v>728</v>
      </c>
      <c r="DL59">
        <v>13.657868026793002</v>
      </c>
      <c r="DM59">
        <v>-294000000</v>
      </c>
      <c r="DN59">
        <v>19.511240038275719</v>
      </c>
      <c r="DO59">
        <v>1175758470</v>
      </c>
      <c r="DP59">
        <v>-48621190</v>
      </c>
      <c r="DQ59">
        <v>3364</v>
      </c>
      <c r="DR59">
        <v>-20.500918043485992</v>
      </c>
      <c r="DS59">
        <v>-1.1434008500795887</v>
      </c>
      <c r="DT59" s="10">
        <v>-0.64</v>
      </c>
      <c r="DU59">
        <v>-3.038333333333334</v>
      </c>
      <c r="DV59">
        <v>-3.6783333333333341</v>
      </c>
      <c r="DW59">
        <v>6.298617511520737</v>
      </c>
      <c r="DX59">
        <v>0.64035443975935524</v>
      </c>
      <c r="DY59">
        <v>6.0329537681862035</v>
      </c>
      <c r="DZ59">
        <v>3969</v>
      </c>
      <c r="EA59">
        <v>6.0073581701566452</v>
      </c>
      <c r="EB59">
        <v>6</v>
      </c>
      <c r="EC59">
        <v>1.0272716817862144E-2</v>
      </c>
      <c r="ED59">
        <v>9.3088387202756848E-2</v>
      </c>
      <c r="EE59" s="11">
        <v>-2.08161</v>
      </c>
      <c r="EF59">
        <v>-2.0965099999999999</v>
      </c>
      <c r="EG59">
        <v>53.110354439759355</v>
      </c>
      <c r="EH59" t="s">
        <v>1017</v>
      </c>
      <c r="EI59">
        <v>0</v>
      </c>
      <c r="EJ59">
        <v>0</v>
      </c>
      <c r="EK59" s="12">
        <v>45470</v>
      </c>
      <c r="EL59">
        <v>0.62</v>
      </c>
      <c r="EM59">
        <v>-2.58</v>
      </c>
      <c r="EN59">
        <v>0.38</v>
      </c>
      <c r="EO59">
        <v>1.51</v>
      </c>
      <c r="EP59">
        <v>-1.49</v>
      </c>
    </row>
    <row r="60" spans="1:146" ht="156" x14ac:dyDescent="0.25">
      <c r="A60" s="7"/>
      <c r="B60" s="7"/>
      <c r="C60" s="7" t="str">
        <f>"公司是一家属江西省医药行业类的公司。主营业务是药品和大健康产品的生产、研发与销售。公司主要产品是非处方药、处方药、大健康产品及其他。公司拥有“江中”“初元”两个中国驰名商标和“桑海”“杨济生”两个江西省著名商标。"&amp;CHAR(10)&amp;Basic_Fundamental_Information_Constructure(F60)&amp;CHAR(10)&amp;Basic_Fundamental_Information_Concatenate("非处方药 30.50亿 69.48% 21.87亿 76.27% 71.70%
处方药 6.64亿 15.12% 4.20亿 14.64% 63.21%
大健康产品及其他 6.50亿 14.80% 2.42亿 8.45% 37.28%")</f>
        <v>公司是一家属江西省医药行业类的公司。主营业务是药品和大健康产品的生产、研发与销售。公司主要产品是非处方药、处方药、大健康产品及其他。公司拥有“江中”“初元”两个中国驰名商标和“桑海”“杨济生”两个江西省著名商标。
市值146.27244亿, 利润2.42亿; PE19.97; 平均PE31.87; 平均PEG17.92, PB3.57; ROIC12.6533%; ROE13.9167%; 股利率3.0108%; 毛利64.83%; 净利17.61%; 上一年度营收增-83.24%, 利润增-59.53%; 当季营收增1623.95%, 利润增1246.09%; 过往5年营收增1.78%, 利润增-6.74%
Income profile:
非处方药 30.50亿 69.48% 21.87亿 76.27% 71.70%
处方药 6.64亿 15.12% 4.20亿 14.64% 63.21%
大健康产品及其他 6.50亿 14.80% 2.42亿 8.45% 37.28%</v>
      </c>
      <c r="D60" t="s">
        <v>311</v>
      </c>
      <c r="E60" t="s">
        <v>17</v>
      </c>
      <c r="F60">
        <v>23.25</v>
      </c>
      <c r="G60">
        <v>1.75</v>
      </c>
      <c r="H60" t="s">
        <v>2509</v>
      </c>
      <c r="I60">
        <v>14627244000</v>
      </c>
      <c r="J60">
        <v>19.97</v>
      </c>
      <c r="K60">
        <v>3.57</v>
      </c>
      <c r="L60" t="s">
        <v>114</v>
      </c>
      <c r="M60" t="s">
        <v>1596</v>
      </c>
      <c r="N60" t="s">
        <v>2510</v>
      </c>
      <c r="O60" t="s">
        <v>603</v>
      </c>
      <c r="P60">
        <v>-8.74</v>
      </c>
      <c r="Q60" t="s">
        <v>2511</v>
      </c>
      <c r="R60">
        <v>266779520</v>
      </c>
      <c r="S60" s="5">
        <v>9.9900000000000003E-2</v>
      </c>
      <c r="T60" t="s">
        <v>2512</v>
      </c>
      <c r="U60">
        <v>625574070</v>
      </c>
      <c r="V60">
        <v>629128760</v>
      </c>
      <c r="W60">
        <v>1.37</v>
      </c>
      <c r="X60">
        <v>0.19</v>
      </c>
      <c r="Y60">
        <v>23.18</v>
      </c>
      <c r="Z60" t="s">
        <v>1582</v>
      </c>
      <c r="AA60" t="s">
        <v>734</v>
      </c>
      <c r="AB60" t="s">
        <v>2513</v>
      </c>
      <c r="AC60" t="s">
        <v>2514</v>
      </c>
      <c r="AD60" t="s">
        <v>53</v>
      </c>
      <c r="AE60">
        <v>-21286594</v>
      </c>
      <c r="AF60" t="s">
        <v>1599</v>
      </c>
      <c r="AG60" t="s">
        <v>2515</v>
      </c>
      <c r="AH60" t="s">
        <v>1600</v>
      </c>
      <c r="AI60" t="s">
        <v>2516</v>
      </c>
      <c r="AJ60" t="s">
        <v>1601</v>
      </c>
      <c r="AK60" t="s">
        <v>1676</v>
      </c>
      <c r="AL60" t="s">
        <v>1602</v>
      </c>
      <c r="AM60" t="s">
        <v>53</v>
      </c>
      <c r="AN60" t="s">
        <v>2517</v>
      </c>
      <c r="AO60" t="s">
        <v>53</v>
      </c>
      <c r="AP60" t="s">
        <v>2518</v>
      </c>
      <c r="AQ60" t="s">
        <v>759</v>
      </c>
      <c r="AR60" t="s">
        <v>53</v>
      </c>
      <c r="AS60" t="s">
        <v>2069</v>
      </c>
      <c r="AT60" t="s">
        <v>53</v>
      </c>
      <c r="AU60" t="s">
        <v>2519</v>
      </c>
      <c r="AV60" t="s">
        <v>2520</v>
      </c>
      <c r="AW60" t="s">
        <v>2521</v>
      </c>
      <c r="AX60" t="s">
        <v>1603</v>
      </c>
      <c r="AY60" t="s">
        <v>697</v>
      </c>
      <c r="AZ60" t="s">
        <v>536</v>
      </c>
      <c r="BA60" t="s">
        <v>312</v>
      </c>
      <c r="BB60" t="s">
        <v>538</v>
      </c>
      <c r="BC60" t="s">
        <v>1034</v>
      </c>
      <c r="BD60" t="s">
        <v>375</v>
      </c>
      <c r="BE60" t="s">
        <v>537</v>
      </c>
      <c r="BF60" t="s">
        <v>313</v>
      </c>
      <c r="BG60" t="s">
        <v>539</v>
      </c>
      <c r="BH60" t="s">
        <v>1597</v>
      </c>
      <c r="BI60" t="s">
        <v>2522</v>
      </c>
      <c r="BJ60" t="s">
        <v>1603</v>
      </c>
      <c r="BK60" t="s">
        <v>1598</v>
      </c>
      <c r="BL60" t="s">
        <v>2523</v>
      </c>
      <c r="BM60" t="s">
        <v>1034</v>
      </c>
      <c r="BN60">
        <v>12.74</v>
      </c>
      <c r="BO60">
        <v>13.64</v>
      </c>
      <c r="BP60">
        <v>11.58</v>
      </c>
      <c r="BQ60">
        <v>14.7</v>
      </c>
      <c r="BR60">
        <v>14.53</v>
      </c>
      <c r="BS60">
        <v>12.52</v>
      </c>
      <c r="BT60" t="s">
        <v>1604</v>
      </c>
      <c r="BU60" t="s">
        <v>114</v>
      </c>
      <c r="BV60">
        <v>65.31</v>
      </c>
      <c r="BW60">
        <v>64.84</v>
      </c>
      <c r="BX60">
        <v>64.34</v>
      </c>
      <c r="BY60">
        <v>17.46</v>
      </c>
      <c r="BZ60">
        <v>16.899999999999999</v>
      </c>
      <c r="CA60">
        <v>18.47</v>
      </c>
      <c r="CB60">
        <v>0.61</v>
      </c>
      <c r="CC60">
        <v>-7.77</v>
      </c>
      <c r="CD60" t="s">
        <v>2524</v>
      </c>
      <c r="CE60" t="s">
        <v>978</v>
      </c>
      <c r="CF60" s="8">
        <v>16.239538255757754</v>
      </c>
      <c r="CG60" s="9">
        <v>12.460864124648694</v>
      </c>
      <c r="CH60" s="8">
        <v>-0.83243238925933838</v>
      </c>
      <c r="CI60" s="8">
        <v>0.35177457332611084</v>
      </c>
      <c r="CJ60" s="8">
        <v>0.17738629877567291</v>
      </c>
      <c r="CK60" s="8">
        <v>-3.2666395418345928E-3</v>
      </c>
      <c r="CL60" s="8">
        <v>0.39544150233268738</v>
      </c>
      <c r="CM60" s="9">
        <v>-0.59531772136688232</v>
      </c>
      <c r="CN60" s="9">
        <v>0.18181818723678589</v>
      </c>
      <c r="CO60" s="9">
        <v>6.7510545253753662E-2</v>
      </c>
      <c r="CP60" s="9">
        <v>2.1551724523305893E-2</v>
      </c>
      <c r="CQ60" s="9">
        <v>-1.2765957042574883E-2</v>
      </c>
      <c r="CR60">
        <v>31.867633986928105</v>
      </c>
      <c r="CS60">
        <v>17.922629210363649</v>
      </c>
      <c r="CT60">
        <v>3.010752688172043</v>
      </c>
      <c r="CU60" s="8">
        <v>1.7780669126659633E-2</v>
      </c>
      <c r="CV60" s="9">
        <v>-6.7440644279122358E-2</v>
      </c>
      <c r="CW60">
        <v>0.06</v>
      </c>
      <c r="CX60">
        <v>49.574721015843558</v>
      </c>
      <c r="CY60">
        <v>232361247.10250151</v>
      </c>
      <c r="CZ60">
        <v>1.7780669126659633E-2</v>
      </c>
      <c r="DA60">
        <v>17.230593281492471</v>
      </c>
      <c r="DB60">
        <v>668534380.20459342</v>
      </c>
      <c r="DC60">
        <v>1.689163567032665E-2</v>
      </c>
      <c r="DD60">
        <v>9.1890727083535992</v>
      </c>
      <c r="DE60">
        <v>1253580678.4430044</v>
      </c>
      <c r="DF60">
        <v>1.5646988831460477E-2</v>
      </c>
      <c r="DG60">
        <v>6.0196030362294524</v>
      </c>
      <c r="DH60">
        <v>1913621866.8690491</v>
      </c>
      <c r="DI60">
        <v>1.4224535301327708E-2</v>
      </c>
      <c r="DJ60">
        <v>3.7220153408993424</v>
      </c>
      <c r="DK60">
        <v>3094894283.0570469</v>
      </c>
      <c r="DL60">
        <v>1.2446468388661742E-2</v>
      </c>
      <c r="DM60">
        <v>242000000</v>
      </c>
      <c r="DN60">
        <v>1.7780669126659633E-2</v>
      </c>
      <c r="DO60">
        <v>11519244000</v>
      </c>
      <c r="DP60">
        <v>1131985900.0000002</v>
      </c>
      <c r="DQ60">
        <v>3433</v>
      </c>
      <c r="DR60">
        <v>16.221757586631096</v>
      </c>
      <c r="DS60">
        <v>12.528304768927816</v>
      </c>
      <c r="DT60" s="10">
        <v>-0.39000000000000007</v>
      </c>
      <c r="DU60">
        <v>-1.6666666666666663E-2</v>
      </c>
      <c r="DV60">
        <v>-0.40666666666666673</v>
      </c>
      <c r="DW60">
        <v>-2.0777000000000001</v>
      </c>
      <c r="DX60">
        <v>0.44103170731707392</v>
      </c>
      <c r="DY60">
        <v>-2.0117351636585368</v>
      </c>
      <c r="DZ60">
        <v>4644</v>
      </c>
      <c r="EA60">
        <v>-2.0010701734373537</v>
      </c>
      <c r="EB60">
        <v>2</v>
      </c>
      <c r="EC60">
        <v>4.921329617803516E-2</v>
      </c>
      <c r="ED60">
        <v>0.32584744655450176</v>
      </c>
      <c r="EE60" s="11">
        <v>6.0052000000000003</v>
      </c>
      <c r="EF60">
        <v>6.0021000000000004</v>
      </c>
      <c r="EG60">
        <v>29.151031707317074</v>
      </c>
      <c r="EH60" t="s">
        <v>2525</v>
      </c>
      <c r="EI60">
        <v>0</v>
      </c>
      <c r="EJ60">
        <v>0</v>
      </c>
      <c r="EK60" s="12">
        <v>45470</v>
      </c>
      <c r="EL60">
        <v>2.69</v>
      </c>
      <c r="EM60">
        <v>-3.12</v>
      </c>
      <c r="EN60">
        <v>10.02</v>
      </c>
      <c r="EO60">
        <v>1.27</v>
      </c>
      <c r="EP60">
        <v>-0.31</v>
      </c>
    </row>
    <row r="61" spans="1:146" ht="180" x14ac:dyDescent="0.25">
      <c r="A61" s="7"/>
      <c r="B61" s="7"/>
      <c r="C61" s="7" t="str">
        <f>"公司主要从事中药产品的生产、销售,根据中国证监会发布的《上市公司行业分类指引》,公司属于医药制造业,核心业务为中成药业务。依据产品定位和销售渠道不同,公司医药工业主要包括传统中药、精品中药和养生酒三大板块。公司拥有龟龄集、定坤丹、安宫牛黄丸、牛黄清心丸等百余种传统中药批准文号"&amp;CHAR(10)&amp;Basic_Fundamental_Information_Constructure(F61)&amp;CHAR(10)&amp;Basic_Fundamental_Information_Concatenate("传统中药 6.37亿 64.00% 2.17亿 63.04% 64.50% 65.85%
精品中药 2.29亿 23.02% 27.97% 79.39%
其他业务 8989.63万 9.04% 4.06% 29.38%
养生酒 3926.20万 3.95% 3.46% 57.28%")</f>
        <v>公司主要从事中药产品的生产、销售,根据中国证监会发布的《上市公司行业分类指引》,公司属于医药制造业,核心业务为中成药业务。依据产品定位和销售渠道不同,公司医药工业主要包括传统中药、精品中药和养生酒三大板块。公司拥有龟龄集、定坤丹、安宫牛黄丸、牛黄清心丸等百余种传统中药批准文号
市值91.241149亿, 利润6199.26万; PE87.92; 平均PE-455.39; 平均PEG-22.98, PB5.93; ROIC5.73%; ROE-11.1933%; 股利率0%; 毛利68.21%; 净利-7.2367%; 上一年度营收增111.76%, 利润增124.8%; 当季营收增-45.64%, 利润增48%; 过往5年营收增19.82%, 利润增-173.28%
Income profile:
传统中药 6.37亿 64.00% 2.17亿 63.04% 64.50% 65.85%
精品中药 2.29亿 23.02% 27.97% 79.39%
其他业务 8989.63万 9.04% 4.06% 29.38%
养生酒 3926.20万 3.95% 3.46% 57.28%</v>
      </c>
      <c r="D61" t="s">
        <v>314</v>
      </c>
      <c r="E61" t="s">
        <v>29</v>
      </c>
      <c r="F61">
        <v>18.64</v>
      </c>
      <c r="G61">
        <v>2.7</v>
      </c>
      <c r="H61" t="s">
        <v>2526</v>
      </c>
      <c r="I61">
        <v>9124114900</v>
      </c>
      <c r="J61">
        <v>87.92</v>
      </c>
      <c r="K61">
        <v>5.93</v>
      </c>
      <c r="L61" t="s">
        <v>114</v>
      </c>
      <c r="M61" t="s">
        <v>417</v>
      </c>
      <c r="N61" t="s">
        <v>2527</v>
      </c>
      <c r="O61" t="s">
        <v>1046</v>
      </c>
      <c r="P61">
        <v>-11.13</v>
      </c>
      <c r="Q61" t="s">
        <v>2528</v>
      </c>
      <c r="R61">
        <v>41303614</v>
      </c>
      <c r="S61" s="5">
        <v>0.49609999999999999</v>
      </c>
      <c r="T61" t="s">
        <v>2529</v>
      </c>
      <c r="U61">
        <v>489491140</v>
      </c>
      <c r="V61">
        <v>489491140</v>
      </c>
      <c r="W61">
        <v>1.67</v>
      </c>
      <c r="X61">
        <v>0.13</v>
      </c>
      <c r="Y61">
        <v>14.45</v>
      </c>
      <c r="Z61" t="s">
        <v>1003</v>
      </c>
      <c r="AA61" t="s">
        <v>2530</v>
      </c>
      <c r="AB61" t="s">
        <v>225</v>
      </c>
      <c r="AC61" t="s">
        <v>2531</v>
      </c>
      <c r="AD61" t="s">
        <v>53</v>
      </c>
      <c r="AE61">
        <v>2540743</v>
      </c>
      <c r="AF61" t="s">
        <v>1607</v>
      </c>
      <c r="AG61">
        <v>401.34</v>
      </c>
      <c r="AH61" t="s">
        <v>1608</v>
      </c>
      <c r="AI61" t="s">
        <v>735</v>
      </c>
      <c r="AJ61" t="s">
        <v>1609</v>
      </c>
      <c r="AK61" t="s">
        <v>66</v>
      </c>
      <c r="AL61" t="s">
        <v>1610</v>
      </c>
      <c r="AM61" t="s">
        <v>53</v>
      </c>
      <c r="AN61">
        <v>0</v>
      </c>
      <c r="AO61" t="s">
        <v>2532</v>
      </c>
      <c r="AP61" t="s">
        <v>53</v>
      </c>
      <c r="AQ61" t="s">
        <v>2533</v>
      </c>
      <c r="AR61" t="s">
        <v>53</v>
      </c>
      <c r="AS61" t="s">
        <v>2534</v>
      </c>
      <c r="AT61" t="s">
        <v>53</v>
      </c>
      <c r="AU61" t="s">
        <v>1005</v>
      </c>
      <c r="AV61" t="s">
        <v>2535</v>
      </c>
      <c r="AW61" t="s">
        <v>2536</v>
      </c>
      <c r="AX61" t="s">
        <v>1611</v>
      </c>
      <c r="AY61" t="s">
        <v>1612</v>
      </c>
      <c r="AZ61" t="s">
        <v>835</v>
      </c>
      <c r="BA61" t="s">
        <v>1282</v>
      </c>
      <c r="BB61" t="s">
        <v>996</v>
      </c>
      <c r="BC61" t="s">
        <v>1613</v>
      </c>
      <c r="BD61" t="s">
        <v>1614</v>
      </c>
      <c r="BE61" t="s">
        <v>1615</v>
      </c>
      <c r="BF61" t="s">
        <v>1616</v>
      </c>
      <c r="BG61" t="s">
        <v>1617</v>
      </c>
      <c r="BH61" t="s">
        <v>1605</v>
      </c>
      <c r="BI61" t="s">
        <v>2537</v>
      </c>
      <c r="BJ61" t="s">
        <v>1611</v>
      </c>
      <c r="BK61" t="s">
        <v>1606</v>
      </c>
      <c r="BL61" t="s">
        <v>2538</v>
      </c>
      <c r="BM61" t="s">
        <v>1613</v>
      </c>
      <c r="BN61">
        <v>5.73</v>
      </c>
      <c r="BO61" t="s">
        <v>53</v>
      </c>
      <c r="BP61" t="s">
        <v>53</v>
      </c>
      <c r="BQ61">
        <v>1.43</v>
      </c>
      <c r="BR61">
        <v>-20.98</v>
      </c>
      <c r="BS61">
        <v>-14.03</v>
      </c>
      <c r="BT61" t="s">
        <v>775</v>
      </c>
      <c r="BU61" t="s">
        <v>114</v>
      </c>
      <c r="BV61">
        <v>72.94</v>
      </c>
      <c r="BW61">
        <v>67.52</v>
      </c>
      <c r="BX61">
        <v>64.17</v>
      </c>
      <c r="BY61">
        <v>7.23</v>
      </c>
      <c r="BZ61">
        <v>-23.26</v>
      </c>
      <c r="CA61">
        <v>-5.68</v>
      </c>
      <c r="CB61">
        <v>-1.01</v>
      </c>
      <c r="CC61">
        <v>-21.61</v>
      </c>
      <c r="CD61" t="s">
        <v>2539</v>
      </c>
      <c r="CE61" t="s">
        <v>566</v>
      </c>
      <c r="CF61" s="8">
        <v>-0.45641838351822506</v>
      </c>
      <c r="CG61" s="9">
        <v>0.47995478112559881</v>
      </c>
      <c r="CH61" s="8">
        <v>1.1175949573516846</v>
      </c>
      <c r="CI61" s="8">
        <v>3.4766815602779388E-2</v>
      </c>
      <c r="CJ61" s="8">
        <v>4.5955292880535126E-3</v>
      </c>
      <c r="CK61" s="8">
        <v>-9.5594398677349091E-2</v>
      </c>
      <c r="CL61" s="8">
        <v>-7.0324525237083435E-2</v>
      </c>
      <c r="CM61" s="9">
        <v>1.2479704618453979</v>
      </c>
      <c r="CN61" s="9">
        <v>-3.4121437072753906</v>
      </c>
      <c r="CO61" s="9">
        <v>-5.8113069534301758</v>
      </c>
      <c r="CP61" s="9">
        <v>-0.80160009860992432</v>
      </c>
      <c r="CQ61" s="9">
        <v>0.1132618635892868</v>
      </c>
      <c r="CR61">
        <v>-455.39476282653305</v>
      </c>
      <c r="CS61">
        <v>-22.97563710876663</v>
      </c>
      <c r="CT61">
        <v>0</v>
      </c>
      <c r="CU61" s="8">
        <v>0.19820767566561698</v>
      </c>
      <c r="CV61" s="9">
        <v>-1.7327636867761611</v>
      </c>
      <c r="CW61">
        <v>0.06</v>
      </c>
      <c r="CX61">
        <v>123.9822382742128</v>
      </c>
      <c r="CY61">
        <v>70075480.334404081</v>
      </c>
      <c r="CZ61">
        <v>0.19820767566561698</v>
      </c>
      <c r="DA61">
        <v>37.011638310021965</v>
      </c>
      <c r="DB61">
        <v>234740078.97800741</v>
      </c>
      <c r="DC61">
        <v>0.18829729188233613</v>
      </c>
      <c r="DD61">
        <v>16.068883588880439</v>
      </c>
      <c r="DE61">
        <v>540679435.00518715</v>
      </c>
      <c r="DF61">
        <v>0.17442275458574294</v>
      </c>
      <c r="DG61">
        <v>8.3201968539317299</v>
      </c>
      <c r="DH61">
        <v>1044219872.7418823</v>
      </c>
      <c r="DI61">
        <v>0.1585661405324936</v>
      </c>
      <c r="DJ61">
        <v>3.0361918913953914</v>
      </c>
      <c r="DK61">
        <v>2861517061.7582617</v>
      </c>
      <c r="DL61">
        <v>0.13874537296593187</v>
      </c>
      <c r="DM61">
        <v>61992600</v>
      </c>
      <c r="DN61">
        <v>0.19820767566561698</v>
      </c>
      <c r="DO61">
        <v>8688114900</v>
      </c>
      <c r="DP61">
        <v>705111200</v>
      </c>
      <c r="DQ61">
        <v>3450</v>
      </c>
      <c r="DR61">
        <v>-0.65462605918384198</v>
      </c>
      <c r="DS61">
        <v>2.2127184679017597</v>
      </c>
      <c r="DT61" s="10">
        <v>-0.10666666666666669</v>
      </c>
      <c r="DU61">
        <v>-0.86000000000000021</v>
      </c>
      <c r="DV61">
        <v>-0.9666666666666669</v>
      </c>
      <c r="DW61">
        <v>-3.0634464285714285</v>
      </c>
      <c r="DX61">
        <v>0.47778625000000091</v>
      </c>
      <c r="DY61">
        <v>-3.0100109740401786</v>
      </c>
      <c r="DZ61">
        <v>4609</v>
      </c>
      <c r="EA61">
        <v>-3.0009815064567769</v>
      </c>
      <c r="EB61">
        <v>3</v>
      </c>
      <c r="EC61">
        <v>5.1575601552256899E-2</v>
      </c>
      <c r="ED61">
        <v>0.32687006347040315</v>
      </c>
      <c r="EE61" s="11">
        <v>-6.0118</v>
      </c>
      <c r="EF61">
        <v>-6.0299100000000001</v>
      </c>
      <c r="EG61">
        <v>32.157786250000001</v>
      </c>
      <c r="EH61" t="s">
        <v>2013</v>
      </c>
      <c r="EI61">
        <v>0</v>
      </c>
      <c r="EJ61">
        <v>0</v>
      </c>
      <c r="EK61" s="12">
        <v>45470</v>
      </c>
      <c r="EL61">
        <v>-2.02</v>
      </c>
      <c r="EM61">
        <v>-7</v>
      </c>
      <c r="EN61">
        <v>-0.88</v>
      </c>
      <c r="EO61">
        <v>7.14</v>
      </c>
      <c r="EP61">
        <v>-4.17</v>
      </c>
    </row>
    <row r="62" spans="1:146" ht="96" x14ac:dyDescent="0.25">
      <c r="A62" s="7"/>
      <c r="B62" s="7"/>
      <c r="C62" s="7" t="str">
        <f>""&amp;CHAR(10)&amp;Basic_Fundamental_Information_Constructure(F62)&amp;CHAR(10)&amp;Basic_Fundamental_Information_Concatenate("")</f>
        <v xml:space="preserve">
市值73.646668亿, 利润2.63亿; PE14.12; 平均PE34.08; 平均PEG1.63, PB3.14; ROIC22.16%; ROE22.4033%; 股利率2.4995%; 毛利44.27%; 净利11.1633%; 上一年度营收增46.5%, 利润增-35.54%; 当季营收增-32.87%, 利润增-45.32%; 过往5年营收增20.9%, 利润增35.75%
Income profile:
</v>
      </c>
      <c r="D62" t="s">
        <v>317</v>
      </c>
      <c r="E62" t="s">
        <v>40</v>
      </c>
      <c r="F62">
        <v>48.01</v>
      </c>
      <c r="G62">
        <v>0.42</v>
      </c>
      <c r="H62" t="s">
        <v>2540</v>
      </c>
      <c r="I62">
        <v>7364666800</v>
      </c>
      <c r="J62">
        <v>14.12</v>
      </c>
      <c r="K62">
        <v>3.14</v>
      </c>
      <c r="L62" t="s">
        <v>114</v>
      </c>
      <c r="M62" t="s">
        <v>997</v>
      </c>
      <c r="N62" t="s">
        <v>2541</v>
      </c>
      <c r="O62" t="s">
        <v>602</v>
      </c>
      <c r="P62">
        <v>-4.2699999999999996</v>
      </c>
      <c r="Q62" t="s">
        <v>2542</v>
      </c>
      <c r="R62">
        <v>99523950</v>
      </c>
      <c r="S62" s="5">
        <v>-3.6000000000000002E-4</v>
      </c>
      <c r="T62" t="s">
        <v>291</v>
      </c>
      <c r="U62">
        <v>153113800</v>
      </c>
      <c r="V62">
        <v>153398600</v>
      </c>
      <c r="W62">
        <v>1.84</v>
      </c>
      <c r="X62">
        <v>0.23</v>
      </c>
      <c r="Y62">
        <v>10.33</v>
      </c>
      <c r="Z62" t="s">
        <v>1854</v>
      </c>
      <c r="AA62" t="s">
        <v>2543</v>
      </c>
      <c r="AB62" t="s">
        <v>202</v>
      </c>
      <c r="AC62" t="s">
        <v>2544</v>
      </c>
      <c r="AD62" t="s">
        <v>53</v>
      </c>
      <c r="AE62">
        <v>366103</v>
      </c>
      <c r="AF62" t="s">
        <v>1619</v>
      </c>
      <c r="AG62" t="s">
        <v>2545</v>
      </c>
      <c r="AH62" t="s">
        <v>1620</v>
      </c>
      <c r="AI62" t="s">
        <v>268</v>
      </c>
      <c r="AJ62" t="s">
        <v>1621</v>
      </c>
      <c r="AK62" t="s">
        <v>2546</v>
      </c>
      <c r="AL62" t="s">
        <v>1622</v>
      </c>
      <c r="AM62" t="s">
        <v>53</v>
      </c>
      <c r="AN62" t="s">
        <v>2547</v>
      </c>
      <c r="AO62" t="s">
        <v>2548</v>
      </c>
      <c r="AP62" t="s">
        <v>275</v>
      </c>
      <c r="AQ62" t="s">
        <v>987</v>
      </c>
      <c r="AR62" t="s">
        <v>53</v>
      </c>
      <c r="AS62" t="s">
        <v>2549</v>
      </c>
      <c r="AT62" t="s">
        <v>53</v>
      </c>
      <c r="AU62" t="s">
        <v>2550</v>
      </c>
      <c r="AV62" t="s">
        <v>2551</v>
      </c>
      <c r="AW62" t="s">
        <v>2552</v>
      </c>
      <c r="AX62" t="s">
        <v>875</v>
      </c>
      <c r="AY62" t="s">
        <v>491</v>
      </c>
      <c r="AZ62" t="s">
        <v>540</v>
      </c>
      <c r="BA62" t="s">
        <v>318</v>
      </c>
      <c r="BB62" t="s">
        <v>541</v>
      </c>
      <c r="BC62" t="s">
        <v>787</v>
      </c>
      <c r="BD62" t="s">
        <v>268</v>
      </c>
      <c r="BE62" t="s">
        <v>89</v>
      </c>
      <c r="BF62" t="s">
        <v>319</v>
      </c>
      <c r="BG62" t="s">
        <v>542</v>
      </c>
      <c r="BH62" t="s">
        <v>1618</v>
      </c>
      <c r="BI62" t="s">
        <v>2553</v>
      </c>
      <c r="BJ62" t="s">
        <v>875</v>
      </c>
      <c r="BK62" t="s">
        <v>460</v>
      </c>
      <c r="BL62" t="s">
        <v>818</v>
      </c>
      <c r="BM62" t="s">
        <v>787</v>
      </c>
      <c r="BN62">
        <v>20.2</v>
      </c>
      <c r="BO62">
        <v>23.61</v>
      </c>
      <c r="BP62">
        <v>22.67</v>
      </c>
      <c r="BQ62">
        <v>20.079999999999998</v>
      </c>
      <c r="BR62">
        <v>25.27</v>
      </c>
      <c r="BS62">
        <v>21.86</v>
      </c>
      <c r="BT62" t="s">
        <v>1623</v>
      </c>
      <c r="BU62" t="s">
        <v>114</v>
      </c>
      <c r="BV62">
        <v>46.05</v>
      </c>
      <c r="BW62">
        <v>43.27</v>
      </c>
      <c r="BX62">
        <v>43.49</v>
      </c>
      <c r="BY62">
        <v>12.42</v>
      </c>
      <c r="BZ62">
        <v>11.14</v>
      </c>
      <c r="CA62">
        <v>9.93</v>
      </c>
      <c r="CB62">
        <v>-4.93</v>
      </c>
      <c r="CC62">
        <v>-21.8</v>
      </c>
      <c r="CD62" t="s">
        <v>2554</v>
      </c>
      <c r="CE62" t="s">
        <v>2555</v>
      </c>
      <c r="CF62" s="8">
        <v>-0.3287197231833911</v>
      </c>
      <c r="CG62" s="9">
        <v>-0.45316510989010989</v>
      </c>
      <c r="CH62" s="8">
        <v>0.46498221158981323</v>
      </c>
      <c r="CI62" s="8">
        <v>0.1036677360534668</v>
      </c>
      <c r="CJ62" s="8">
        <v>0.34324106574058533</v>
      </c>
      <c r="CK62" s="8">
        <v>9.691823273897171E-2</v>
      </c>
      <c r="CL62" s="8">
        <v>3.6094460636377335E-2</v>
      </c>
      <c r="CM62" s="9">
        <v>-0.35539215803146362</v>
      </c>
      <c r="CN62" s="9">
        <v>0.33770492672920227</v>
      </c>
      <c r="CO62" s="9">
        <v>1.0608108043670654</v>
      </c>
      <c r="CP62" s="9">
        <v>0.61765778064727783</v>
      </c>
      <c r="CQ62" s="9">
        <v>0.12648238241672516</v>
      </c>
      <c r="CR62">
        <v>34.077063456074924</v>
      </c>
      <c r="CS62">
        <v>1.6306317623164284</v>
      </c>
      <c r="CT62">
        <v>2.4994792751510104</v>
      </c>
      <c r="CU62" s="8">
        <v>0.20898074135184289</v>
      </c>
      <c r="CV62" s="9">
        <v>0.35745274722576142</v>
      </c>
      <c r="CW62">
        <v>0.06</v>
      </c>
      <c r="CX62">
        <v>23.061649843602222</v>
      </c>
      <c r="CY62">
        <v>299964089.59956104</v>
      </c>
      <c r="CZ62">
        <v>0.20898074135184289</v>
      </c>
      <c r="DA62">
        <v>6.8236071563788521</v>
      </c>
      <c r="DB62">
        <v>1013784445.8899161</v>
      </c>
      <c r="DC62">
        <v>0.19853170428425074</v>
      </c>
      <c r="DD62">
        <v>2.9248637672370976</v>
      </c>
      <c r="DE62">
        <v>2365124446.9873576</v>
      </c>
      <c r="DF62">
        <v>0.18390305238962174</v>
      </c>
      <c r="DG62">
        <v>1.4908167123108291</v>
      </c>
      <c r="DH62">
        <v>4640185975.1607714</v>
      </c>
      <c r="DI62">
        <v>0.16718459308147432</v>
      </c>
      <c r="DJ62">
        <v>0.52331012902438656</v>
      </c>
      <c r="DK62">
        <v>13219057718.02409</v>
      </c>
      <c r="DL62">
        <v>0.14628651894629002</v>
      </c>
      <c r="DM62">
        <v>263000000</v>
      </c>
      <c r="DN62">
        <v>0.20898074135184289</v>
      </c>
      <c r="DO62">
        <v>6917666800</v>
      </c>
      <c r="DP62">
        <v>962163400</v>
      </c>
      <c r="DQ62">
        <v>3598</v>
      </c>
      <c r="DR62">
        <v>-0.53770046453523401</v>
      </c>
      <c r="DS62">
        <v>-0.81061785711587131</v>
      </c>
      <c r="DT62" s="10">
        <v>-0.14000000000000001</v>
      </c>
      <c r="DU62">
        <v>0.26333333333333331</v>
      </c>
      <c r="DV62">
        <v>0.12333333333333329</v>
      </c>
      <c r="DW62">
        <v>-8.2261467889908264</v>
      </c>
      <c r="DX62">
        <v>0.3827570153553333</v>
      </c>
      <c r="DY62">
        <v>-8.0435913800780643</v>
      </c>
      <c r="DZ62">
        <v>4290</v>
      </c>
      <c r="EA62">
        <v>-8.0069950942591017</v>
      </c>
      <c r="EB62">
        <v>8</v>
      </c>
      <c r="EC62">
        <v>7.3281633600306664E-2</v>
      </c>
      <c r="ED62">
        <v>0.38017622064347395</v>
      </c>
      <c r="EE62" s="11">
        <v>3.08961</v>
      </c>
      <c r="EF62">
        <v>3.13191</v>
      </c>
      <c r="EG62">
        <v>19.192757015355333</v>
      </c>
      <c r="EH62" t="s">
        <v>1007</v>
      </c>
      <c r="EI62">
        <v>0</v>
      </c>
      <c r="EJ62">
        <v>0</v>
      </c>
      <c r="EK62" s="12">
        <v>45470</v>
      </c>
      <c r="EL62">
        <v>0.83</v>
      </c>
      <c r="EM62">
        <v>-5.28</v>
      </c>
      <c r="EN62">
        <v>-4.33</v>
      </c>
      <c r="EO62">
        <v>-2.2000000000000002</v>
      </c>
      <c r="EP62">
        <v>-4.2300000000000004</v>
      </c>
    </row>
    <row r="63" spans="1:146" ht="168" x14ac:dyDescent="0.25">
      <c r="A63" s="7" t="s">
        <v>617</v>
      </c>
      <c r="B63" s="7" t="s">
        <v>618</v>
      </c>
      <c r="C63" s="7" t="str">
        <f>"公司的主营业务为药品制造、医药零售及批发以及医疗服务等。公司的主要产品为抗感染药物、心脑血管药物、抗肿瘤药物、代谢及内分泌药物、麻醉精神类药物。"&amp;CHAR(10)&amp;Basic_Fundamental_Information_Constructure(F63)&amp;CHAR(10)&amp;Basic_Fundamental_Information_Concatenate("医药商业 14.67亿 43.34% 6.44% 6.00%
治痔类产品 13.84亿 40.89% 72.76% 71.88%
其他产品 4.74亿 13.99% 17.73% 51.17%
医疗服务 1.85亿 5.45% 1.96% 14.54%
其他业务 2252.73万 0.67% 1.29% 78.57%")</f>
        <v>公司的主营业务为药品制造、医药零售及批发以及医疗服务等。公司的主要产品为抗感染药物、心脑血管药物、抗肿瘤药物、代谢及内分泌药物、麻醉精神类药物。
市值115.522443亿, 利润10.14亿; PE25.48; 平均PE23.79; 平均PEG1.07, PB2.95; ROIC11.6033%; ROE13.8467%; 股利率1.4925%; 毛利41.5733%; 净利14%; 上一年度营收增59.4%, 利润增111.69%; 当季营收增-32.22%, 利润增-47.98%; 过往5年营收增22.25%, 利润增49.32%
Income profile:
医药商业 14.67亿 43.34% 6.44% 6.00%
治痔类产品 13.84亿 40.89% 72.76% 71.88%
其他产品 4.74亿 13.99% 17.73% 51.17%
医疗服务 1.85亿 5.45% 1.96% 14.54%
其他业务 2252.73万 0.67% 1.29% 78.57%</v>
      </c>
      <c r="D63" t="s">
        <v>321</v>
      </c>
      <c r="E63" t="s">
        <v>38</v>
      </c>
      <c r="F63">
        <v>26.8</v>
      </c>
      <c r="G63">
        <v>3.4</v>
      </c>
      <c r="H63" t="s">
        <v>2556</v>
      </c>
      <c r="I63">
        <v>11552244300</v>
      </c>
      <c r="J63">
        <v>25.48</v>
      </c>
      <c r="K63">
        <v>2.95</v>
      </c>
      <c r="L63" t="s">
        <v>114</v>
      </c>
      <c r="M63" t="s">
        <v>1540</v>
      </c>
      <c r="N63" t="s">
        <v>2486</v>
      </c>
      <c r="O63" t="s">
        <v>722</v>
      </c>
      <c r="P63">
        <v>14.7</v>
      </c>
      <c r="Q63" t="s">
        <v>2557</v>
      </c>
      <c r="R63">
        <v>197665900</v>
      </c>
      <c r="S63" s="5">
        <v>5.3600000000000002E-2</v>
      </c>
      <c r="T63" t="s">
        <v>2558</v>
      </c>
      <c r="U63">
        <v>430307020</v>
      </c>
      <c r="V63">
        <v>431053890</v>
      </c>
      <c r="W63">
        <v>1.24</v>
      </c>
      <c r="X63">
        <v>0.19</v>
      </c>
      <c r="Y63">
        <v>21.28</v>
      </c>
      <c r="Z63" t="s">
        <v>1624</v>
      </c>
      <c r="AA63" t="s">
        <v>1632</v>
      </c>
      <c r="AB63" t="s">
        <v>565</v>
      </c>
      <c r="AC63" t="s">
        <v>2559</v>
      </c>
      <c r="AD63" t="s">
        <v>53</v>
      </c>
      <c r="AE63">
        <v>-14645727</v>
      </c>
      <c r="AF63" t="s">
        <v>1625</v>
      </c>
      <c r="AG63" t="s">
        <v>2560</v>
      </c>
      <c r="AH63" t="s">
        <v>1626</v>
      </c>
      <c r="AI63" t="s">
        <v>2561</v>
      </c>
      <c r="AJ63" t="s">
        <v>1627</v>
      </c>
      <c r="AK63" t="s">
        <v>2562</v>
      </c>
      <c r="AL63" t="s">
        <v>1628</v>
      </c>
      <c r="AM63" t="s">
        <v>53</v>
      </c>
      <c r="AN63" t="s">
        <v>2265</v>
      </c>
      <c r="AO63" t="s">
        <v>2563</v>
      </c>
      <c r="AP63" t="s">
        <v>2564</v>
      </c>
      <c r="AQ63" t="s">
        <v>454</v>
      </c>
      <c r="AR63" t="s">
        <v>53</v>
      </c>
      <c r="AS63" t="s">
        <v>652</v>
      </c>
      <c r="AT63" t="s">
        <v>2565</v>
      </c>
      <c r="AU63" t="s">
        <v>2566</v>
      </c>
      <c r="AV63" t="s">
        <v>2567</v>
      </c>
      <c r="AW63" t="s">
        <v>2568</v>
      </c>
      <c r="AX63" t="s">
        <v>876</v>
      </c>
      <c r="AY63" t="s">
        <v>698</v>
      </c>
      <c r="AZ63" t="s">
        <v>543</v>
      </c>
      <c r="BA63" t="s">
        <v>322</v>
      </c>
      <c r="BB63" t="s">
        <v>544</v>
      </c>
      <c r="BC63" t="s">
        <v>730</v>
      </c>
      <c r="BD63" t="s">
        <v>659</v>
      </c>
      <c r="BE63" t="s">
        <v>80</v>
      </c>
      <c r="BF63" t="s">
        <v>117</v>
      </c>
      <c r="BG63" t="s">
        <v>533</v>
      </c>
      <c r="BH63" t="s">
        <v>426</v>
      </c>
      <c r="BI63" t="s">
        <v>2569</v>
      </c>
      <c r="BJ63" t="s">
        <v>876</v>
      </c>
      <c r="BK63" t="s">
        <v>94</v>
      </c>
      <c r="BL63" t="s">
        <v>376</v>
      </c>
      <c r="BM63" t="s">
        <v>730</v>
      </c>
      <c r="BN63">
        <v>9.57</v>
      </c>
      <c r="BO63">
        <v>11.65</v>
      </c>
      <c r="BP63">
        <v>13.59</v>
      </c>
      <c r="BQ63">
        <v>11.74</v>
      </c>
      <c r="BR63">
        <v>14.37</v>
      </c>
      <c r="BS63">
        <v>15.43</v>
      </c>
      <c r="BT63" t="s">
        <v>1629</v>
      </c>
      <c r="BU63" t="s">
        <v>114</v>
      </c>
      <c r="BV63">
        <v>41.91</v>
      </c>
      <c r="BW63">
        <v>42.41</v>
      </c>
      <c r="BX63">
        <v>40.4</v>
      </c>
      <c r="BY63">
        <v>14.4</v>
      </c>
      <c r="BZ63">
        <v>13.6</v>
      </c>
      <c r="CA63">
        <v>14</v>
      </c>
      <c r="CB63">
        <v>0.49</v>
      </c>
      <c r="CC63">
        <v>-5.3</v>
      </c>
      <c r="CD63" t="s">
        <v>2570</v>
      </c>
      <c r="CE63" t="s">
        <v>128</v>
      </c>
      <c r="CF63" s="8">
        <v>-0.32221433640880048</v>
      </c>
      <c r="CG63" s="9">
        <v>-0.47982657894736841</v>
      </c>
      <c r="CH63" s="8">
        <v>0.5939977765083313</v>
      </c>
      <c r="CI63" s="8">
        <v>4.3426904827356339E-2</v>
      </c>
      <c r="CJ63" s="8">
        <v>0.21239252388477325</v>
      </c>
      <c r="CK63" s="8">
        <v>3.2162684947252274E-2</v>
      </c>
      <c r="CL63" s="8">
        <v>0.23066413402557373</v>
      </c>
      <c r="CM63" s="9">
        <v>1.1169102191925049</v>
      </c>
      <c r="CN63" s="9">
        <v>3.0107526108622551E-2</v>
      </c>
      <c r="CO63" s="9">
        <v>0.10978519916534424</v>
      </c>
      <c r="CP63" s="9">
        <v>0.16388888657093048</v>
      </c>
      <c r="CQ63" s="9">
        <v>1.0454545021057129</v>
      </c>
      <c r="CR63">
        <v>23.794529969104016</v>
      </c>
      <c r="CS63">
        <v>1.0692786485037762</v>
      </c>
      <c r="CT63">
        <v>1.4925373134328357</v>
      </c>
      <c r="CU63" s="8">
        <v>0.22252880483865739</v>
      </c>
      <c r="CV63" s="9">
        <v>0.49322926662862299</v>
      </c>
      <c r="CW63">
        <v>0.06</v>
      </c>
      <c r="CX63">
        <v>7.2419157846212219</v>
      </c>
      <c r="CY63">
        <v>1169475668.024904</v>
      </c>
      <c r="CZ63">
        <v>0.22252880483865739</v>
      </c>
      <c r="DA63">
        <v>2.1190624614776574</v>
      </c>
      <c r="DB63">
        <v>3996694035.1981206</v>
      </c>
      <c r="DC63">
        <v>0.21140236459672451</v>
      </c>
      <c r="DD63">
        <v>0.89376446803213427</v>
      </c>
      <c r="DE63">
        <v>9475924142.125885</v>
      </c>
      <c r="DF63">
        <v>0.19582534825801851</v>
      </c>
      <c r="DG63">
        <v>0.4465414036744505</v>
      </c>
      <c r="DH63">
        <v>18966313605.657211</v>
      </c>
      <c r="DI63">
        <v>0.17802304387092593</v>
      </c>
      <c r="DJ63">
        <v>0.14914447160802652</v>
      </c>
      <c r="DK63">
        <v>56785506084.720406</v>
      </c>
      <c r="DL63">
        <v>0.15577016338706015</v>
      </c>
      <c r="DM63">
        <v>1014000000</v>
      </c>
      <c r="DN63">
        <v>0.22252880483865739</v>
      </c>
      <c r="DO63">
        <v>8469244300</v>
      </c>
      <c r="DP63">
        <v>3239094100</v>
      </c>
      <c r="DQ63">
        <v>3613</v>
      </c>
      <c r="DR63">
        <v>-0.54474314124745793</v>
      </c>
      <c r="DS63">
        <v>-0.97305584557599145</v>
      </c>
      <c r="DT63" s="10">
        <v>-4.0000000000000036E-2</v>
      </c>
      <c r="DU63">
        <v>0.43</v>
      </c>
      <c r="DV63">
        <v>0.38999999999999996</v>
      </c>
      <c r="DW63">
        <v>-1.0529999999999999</v>
      </c>
      <c r="DX63">
        <v>0.41100939597315334</v>
      </c>
      <c r="DY63">
        <v>-1.0074734979865771</v>
      </c>
      <c r="DZ63">
        <v>2419</v>
      </c>
      <c r="EA63">
        <v>-1.0039356522665126</v>
      </c>
      <c r="EB63">
        <v>1</v>
      </c>
      <c r="EC63">
        <v>4.8741933404196865E-2</v>
      </c>
      <c r="ED63">
        <v>0.3456644365278782</v>
      </c>
      <c r="EE63" s="11">
        <v>8.5599999999999996E-2</v>
      </c>
      <c r="EF63">
        <v>7.51E-2</v>
      </c>
      <c r="EG63">
        <v>27.141009395973153</v>
      </c>
      <c r="EH63" t="s">
        <v>612</v>
      </c>
      <c r="EI63">
        <v>0</v>
      </c>
      <c r="EJ63">
        <v>0</v>
      </c>
      <c r="EK63" s="12">
        <v>45470</v>
      </c>
      <c r="EL63">
        <v>-0.36</v>
      </c>
      <c r="EM63">
        <v>-8.48</v>
      </c>
      <c r="EN63">
        <v>9.99</v>
      </c>
      <c r="EO63">
        <v>2.5099999999999998</v>
      </c>
      <c r="EP63">
        <v>-1.05</v>
      </c>
    </row>
    <row r="64" spans="1:146" ht="96" x14ac:dyDescent="0.25">
      <c r="A64" s="7"/>
      <c r="B64" s="7"/>
      <c r="C64" s="7" t="str">
        <f>""&amp;CHAR(10)&amp;Basic_Fundamental_Information_Constructure(F64)&amp;CHAR(10)&amp;Basic_Fundamental_Information_Concatenate("")</f>
        <v xml:space="preserve">
市值12.53494亿, 利润1.35亿; PE; 平均PE31.22; 平均PEG.35, PB1.32; ROIC1.445%; ROE-.5767%; 股利率0%; 毛利38.55%; 净利-5.24%; 上一年度营收增421.14%, 利润增314.1%; 当季营收增-71.14%, 利润增-96.24%; 过往5年营收增89.98%, 利润增.97%
Income profile:
</v>
      </c>
      <c r="D64" t="s">
        <v>323</v>
      </c>
      <c r="E64" t="s">
        <v>11</v>
      </c>
      <c r="F64">
        <v>12.55</v>
      </c>
      <c r="G64">
        <v>2.78</v>
      </c>
      <c r="H64" t="s">
        <v>2571</v>
      </c>
      <c r="I64">
        <v>1253494000</v>
      </c>
      <c r="K64">
        <v>1.32</v>
      </c>
      <c r="L64" t="s">
        <v>114</v>
      </c>
      <c r="M64" t="s">
        <v>1630</v>
      </c>
      <c r="N64" t="s">
        <v>991</v>
      </c>
      <c r="O64" t="s">
        <v>78</v>
      </c>
      <c r="P64">
        <v>2.89</v>
      </c>
      <c r="Q64" t="s">
        <v>2572</v>
      </c>
      <c r="R64">
        <v>1086299</v>
      </c>
      <c r="S64" s="5">
        <v>-0.86760000000000004</v>
      </c>
      <c r="T64" t="s">
        <v>59</v>
      </c>
      <c r="U64">
        <v>99880000</v>
      </c>
      <c r="V64">
        <v>99880000</v>
      </c>
      <c r="W64">
        <v>1.94</v>
      </c>
      <c r="X64">
        <v>0.06</v>
      </c>
      <c r="Y64">
        <v>-1.95</v>
      </c>
      <c r="Z64" t="s">
        <v>328</v>
      </c>
      <c r="AA64" t="s">
        <v>2573</v>
      </c>
      <c r="AB64" t="s">
        <v>2574</v>
      </c>
      <c r="AC64" t="s">
        <v>2575</v>
      </c>
      <c r="AD64" t="s">
        <v>53</v>
      </c>
      <c r="AE64">
        <v>7147703</v>
      </c>
      <c r="AF64" t="s">
        <v>1633</v>
      </c>
      <c r="AG64" t="s">
        <v>2576</v>
      </c>
      <c r="AH64" t="s">
        <v>1634</v>
      </c>
      <c r="AI64" t="s">
        <v>2577</v>
      </c>
      <c r="AJ64" t="s">
        <v>1635</v>
      </c>
      <c r="AK64" t="s">
        <v>2578</v>
      </c>
      <c r="AL64" t="s">
        <v>1636</v>
      </c>
      <c r="AM64" t="s">
        <v>53</v>
      </c>
      <c r="AN64" t="s">
        <v>2579</v>
      </c>
      <c r="AO64" t="s">
        <v>566</v>
      </c>
      <c r="AP64" t="s">
        <v>53</v>
      </c>
      <c r="AQ64" t="s">
        <v>1048</v>
      </c>
      <c r="AR64" t="s">
        <v>53</v>
      </c>
      <c r="AS64" t="s">
        <v>2580</v>
      </c>
      <c r="AT64" t="s">
        <v>139</v>
      </c>
      <c r="AU64" t="s">
        <v>2581</v>
      </c>
      <c r="AV64" t="s">
        <v>2582</v>
      </c>
      <c r="AW64" t="s">
        <v>2583</v>
      </c>
      <c r="AX64" t="s">
        <v>736</v>
      </c>
      <c r="AY64" t="s">
        <v>94</v>
      </c>
      <c r="AZ64" t="s">
        <v>413</v>
      </c>
      <c r="BA64" t="s">
        <v>275</v>
      </c>
      <c r="BB64" t="s">
        <v>546</v>
      </c>
      <c r="BC64" t="s">
        <v>877</v>
      </c>
      <c r="BD64" t="s">
        <v>699</v>
      </c>
      <c r="BE64" t="s">
        <v>545</v>
      </c>
      <c r="BF64" t="s">
        <v>324</v>
      </c>
      <c r="BG64" t="s">
        <v>547</v>
      </c>
      <c r="BH64" t="s">
        <v>1130</v>
      </c>
      <c r="BI64" t="s">
        <v>529</v>
      </c>
      <c r="BJ64" t="s">
        <v>736</v>
      </c>
      <c r="BK64" t="s">
        <v>1631</v>
      </c>
      <c r="BL64" t="s">
        <v>2584</v>
      </c>
      <c r="BM64" t="s">
        <v>877</v>
      </c>
      <c r="BN64">
        <v>0.3</v>
      </c>
      <c r="BO64" t="s">
        <v>53</v>
      </c>
      <c r="BP64">
        <v>2.59</v>
      </c>
      <c r="BQ64">
        <v>0.94</v>
      </c>
      <c r="BR64">
        <v>-6.24</v>
      </c>
      <c r="BS64">
        <v>3.57</v>
      </c>
      <c r="BT64" t="s">
        <v>775</v>
      </c>
      <c r="BU64" t="s">
        <v>114</v>
      </c>
      <c r="BV64">
        <v>28.12</v>
      </c>
      <c r="BW64">
        <v>40.520000000000003</v>
      </c>
      <c r="BX64">
        <v>47.01</v>
      </c>
      <c r="BY64">
        <v>-7.55</v>
      </c>
      <c r="BZ64">
        <v>-15.62</v>
      </c>
      <c r="CA64">
        <v>7.45</v>
      </c>
      <c r="CB64">
        <v>-1.1000000000000001</v>
      </c>
      <c r="CC64">
        <v>-11.31</v>
      </c>
      <c r="CD64" t="s">
        <v>2585</v>
      </c>
      <c r="CE64" t="s">
        <v>2586</v>
      </c>
      <c r="CF64" s="8">
        <v>-0.71136363636363642</v>
      </c>
      <c r="CG64" s="9">
        <v>-0.96237156683097147</v>
      </c>
      <c r="CH64" s="8">
        <v>4.2113819122314453</v>
      </c>
      <c r="CI64" s="8">
        <v>0.11060947924852371</v>
      </c>
      <c r="CJ64" s="8">
        <v>7.0048309862613678E-2</v>
      </c>
      <c r="CK64" s="8">
        <v>-3.9443153887987137E-2</v>
      </c>
      <c r="CL64" s="8">
        <v>0.14627659320831299</v>
      </c>
      <c r="CM64" s="9">
        <v>3.1409575939178467</v>
      </c>
      <c r="CN64" s="9">
        <v>-2.7284350395202637</v>
      </c>
      <c r="CO64" s="9">
        <v>6.9409064948558807E-2</v>
      </c>
      <c r="CP64" s="9">
        <v>-0.2022612988948822</v>
      </c>
      <c r="CQ64" s="9">
        <v>-0.23128500580787659</v>
      </c>
      <c r="CR64">
        <v>31.216192154201504</v>
      </c>
      <c r="CS64">
        <v>0.34693345620323274</v>
      </c>
      <c r="CT64">
        <v>0</v>
      </c>
      <c r="CU64" s="8">
        <v>0.89977462813258169</v>
      </c>
      <c r="CV64" s="9">
        <v>9.6770629286766045E-3</v>
      </c>
      <c r="CW64">
        <v>0.06</v>
      </c>
      <c r="CX64">
        <v>5.2427413312458819</v>
      </c>
      <c r="CY64">
        <v>241952429.05462128</v>
      </c>
      <c r="CZ64">
        <v>0.89977462813258169</v>
      </c>
      <c r="DA64">
        <v>0.92399937666030352</v>
      </c>
      <c r="DB64">
        <v>1372829930.4538877</v>
      </c>
      <c r="DC64">
        <v>0.85478589672595251</v>
      </c>
      <c r="DD64">
        <v>0.17186211481394542</v>
      </c>
      <c r="DE64">
        <v>7380882059.860877</v>
      </c>
      <c r="DF64">
        <v>0.7918016727566719</v>
      </c>
      <c r="DG64">
        <v>2.8745893456707441E-2</v>
      </c>
      <c r="DH64">
        <v>44127833490.735184</v>
      </c>
      <c r="DI64">
        <v>0.71981970250606542</v>
      </c>
      <c r="DJ64">
        <v>6.0235048637987797E-4</v>
      </c>
      <c r="DK64">
        <v>2105906824486.2551</v>
      </c>
      <c r="DL64">
        <v>0.62984223969280717</v>
      </c>
      <c r="DM64">
        <v>135000000</v>
      </c>
      <c r="DN64">
        <v>0.89977462813258169</v>
      </c>
      <c r="DO64">
        <v>1268494000</v>
      </c>
      <c r="DP64">
        <v>28795170</v>
      </c>
      <c r="DQ64">
        <v>3962</v>
      </c>
      <c r="DR64">
        <v>-1.6111382644962182</v>
      </c>
      <c r="DS64">
        <v>-0.97204862975964812</v>
      </c>
      <c r="DT64" s="10">
        <v>-0.14000000000000004</v>
      </c>
      <c r="DU64">
        <v>-1.0733333333333333</v>
      </c>
      <c r="DV64">
        <v>-1.2133333333333334</v>
      </c>
      <c r="DW64">
        <v>-2.1131000000000002</v>
      </c>
      <c r="DX64">
        <v>0.42499689167983362</v>
      </c>
      <c r="DY64">
        <v>-2.0130061484489894</v>
      </c>
      <c r="DZ64">
        <v>4756</v>
      </c>
      <c r="EA64">
        <v>-2.0009010130236677</v>
      </c>
      <c r="EB64">
        <v>2</v>
      </c>
      <c r="EC64">
        <v>4.2041449739687625E-2</v>
      </c>
      <c r="ED64">
        <v>0.36558770524629558</v>
      </c>
      <c r="EE64" s="11">
        <v>-9.0329999999999995</v>
      </c>
      <c r="EF64">
        <v>-9.0046999999999997</v>
      </c>
      <c r="EG64">
        <v>31.114996891679834</v>
      </c>
      <c r="EH64" t="s">
        <v>2587</v>
      </c>
      <c r="EI64">
        <v>0</v>
      </c>
      <c r="EJ64">
        <v>0</v>
      </c>
      <c r="EK64" s="12">
        <v>45470</v>
      </c>
      <c r="EL64">
        <v>-1.95</v>
      </c>
      <c r="EM64">
        <v>-3.98</v>
      </c>
      <c r="EN64">
        <v>-2.83</v>
      </c>
      <c r="EO64">
        <v>6.4</v>
      </c>
      <c r="EP64">
        <v>-2.83</v>
      </c>
    </row>
    <row r="65" spans="1:146" ht="192" x14ac:dyDescent="0.25">
      <c r="A65" s="7" t="s">
        <v>610</v>
      </c>
      <c r="B65" s="6"/>
      <c r="C65" s="7" t="str">
        <f>"公司的主营业务是药品的研发、生产及销售。公司主要产品有开喉剑喷雾剂(儿童型)、开喉剑喷雾剂、强力天麻杜仲胶囊、脑立清胶囊、紫河车胶囊、三七胶囊、藿香正气胶囊、蛇胆川贝胶囊、杞菊地黄胶囊、银翘伤风胶囊。"&amp;CHAR(10)&amp;Basic_Fundamental_Information_Constructure(F65)&amp;CHAR(10)&amp;Basic_Fundamental_Information_Concatenate("呼吸系统用药 13.00亿 79.52% 9.56亿 79.74% 73.52%
血液用药 1.12亿 6.87% 9802.30万 8.18% 87.23%
妇科用药 7737.84万 4.73% 6306.86万 5.26% 81.51%
补益用药 4633.47万 2.83% 2264.00万 1.89% 48.86%
心脑血管用药 4133.46万 2.53% 2853.42万 2.38% 69.03%
骨科用药 3543.57万 2.17% 2138.62万 1.78% 60.35%")</f>
        <v>公司的主营业务是药品的研发、生产及销售。公司主要产品有开喉剑喷雾剂(儿童型)、开喉剑喷雾剂、强力天麻杜仲胶囊、脑立清胶囊、紫河车胶囊、三七胶囊、藿香正气胶囊、蛇胆川贝胶囊、杞菊地黄胶囊、银翘伤风胶囊。
市值54.011932亿, 利润11.25亿; PE18.38; 平均PE17.86; 平均PEG.28, PB3.51; ROIC12.23%; ROE15.0467%; 股利率1.5175%; 毛利71.85%; 净利16.6167%; 上一年度营收增248.46%, 利润增459.7%; 当季营收增-63.11%, 利润增-81.74%; 过往5年营收增63.82%, 利润增109.05%
Income profile:
呼吸系统用药 13.00亿 79.52% 9.56亿 79.74% 73.52%
血液用药 1.12亿 6.87% 9802.30万 8.18% 87.23%
妇科用药 7737.84万 4.73% 6306.86万 5.26% 81.51%
补益用药 4633.47万 2.83% 2264.00万 1.89% 48.86%
心脑血管用药 4133.46万 2.53% 2853.42万 2.38% 69.03%
骨科用药 3543.57万 2.17% 2138.62万 1.78% 60.35%</v>
      </c>
      <c r="D65" t="s">
        <v>325</v>
      </c>
      <c r="E65" t="s">
        <v>326</v>
      </c>
      <c r="F65">
        <v>13.18</v>
      </c>
      <c r="G65">
        <v>3.29</v>
      </c>
      <c r="H65" t="s">
        <v>2588</v>
      </c>
      <c r="I65">
        <v>5401193200</v>
      </c>
      <c r="J65">
        <v>18.38</v>
      </c>
      <c r="K65">
        <v>3.51</v>
      </c>
      <c r="L65" t="s">
        <v>114</v>
      </c>
      <c r="M65" t="s">
        <v>1637</v>
      </c>
      <c r="N65" t="s">
        <v>2589</v>
      </c>
      <c r="O65" t="s">
        <v>1384</v>
      </c>
      <c r="P65">
        <v>20.93</v>
      </c>
      <c r="Q65" t="s">
        <v>2590</v>
      </c>
      <c r="R65">
        <v>56048132</v>
      </c>
      <c r="S65" s="5">
        <v>2.0299999999999999E-2</v>
      </c>
      <c r="T65" t="s">
        <v>2591</v>
      </c>
      <c r="U65">
        <v>409070220</v>
      </c>
      <c r="V65">
        <v>409802220</v>
      </c>
      <c r="W65">
        <v>1.65</v>
      </c>
      <c r="X65">
        <v>0.14000000000000001</v>
      </c>
      <c r="Y65">
        <v>13.47</v>
      </c>
      <c r="Z65" t="s">
        <v>1463</v>
      </c>
      <c r="AA65" t="s">
        <v>1005</v>
      </c>
      <c r="AB65" t="s">
        <v>397</v>
      </c>
      <c r="AC65" t="s">
        <v>2592</v>
      </c>
      <c r="AD65" t="s">
        <v>53</v>
      </c>
      <c r="AE65">
        <v>5286074</v>
      </c>
      <c r="AF65" t="s">
        <v>1638</v>
      </c>
      <c r="AG65" t="s">
        <v>2593</v>
      </c>
      <c r="AH65" t="s">
        <v>1639</v>
      </c>
      <c r="AI65" t="s">
        <v>443</v>
      </c>
      <c r="AJ65" t="s">
        <v>1640</v>
      </c>
      <c r="AK65" t="s">
        <v>2594</v>
      </c>
      <c r="AL65" t="s">
        <v>1641</v>
      </c>
      <c r="AM65" t="s">
        <v>53</v>
      </c>
      <c r="AN65" t="s">
        <v>1642</v>
      </c>
      <c r="AO65" t="s">
        <v>366</v>
      </c>
      <c r="AP65" t="s">
        <v>53</v>
      </c>
      <c r="AQ65" t="s">
        <v>265</v>
      </c>
      <c r="AR65" t="s">
        <v>53</v>
      </c>
      <c r="AS65" t="s">
        <v>589</v>
      </c>
      <c r="AT65" t="s">
        <v>447</v>
      </c>
      <c r="AU65" t="s">
        <v>2595</v>
      </c>
      <c r="AV65" t="s">
        <v>2596</v>
      </c>
      <c r="AW65" t="s">
        <v>2597</v>
      </c>
      <c r="AX65" t="s">
        <v>753</v>
      </c>
      <c r="AY65" t="s">
        <v>430</v>
      </c>
      <c r="AZ65" t="s">
        <v>182</v>
      </c>
      <c r="BA65" t="s">
        <v>327</v>
      </c>
      <c r="BB65" t="s">
        <v>329</v>
      </c>
      <c r="BC65" t="s">
        <v>656</v>
      </c>
      <c r="BD65" t="s">
        <v>408</v>
      </c>
      <c r="BE65" t="s">
        <v>548</v>
      </c>
      <c r="BF65" t="s">
        <v>328</v>
      </c>
      <c r="BG65" t="s">
        <v>90</v>
      </c>
      <c r="BH65" t="s">
        <v>1033</v>
      </c>
      <c r="BI65" t="s">
        <v>1548</v>
      </c>
      <c r="BJ65" t="s">
        <v>753</v>
      </c>
      <c r="BK65" t="s">
        <v>1045</v>
      </c>
      <c r="BL65" t="s">
        <v>446</v>
      </c>
      <c r="BM65" t="s">
        <v>656</v>
      </c>
      <c r="BN65">
        <v>10.14</v>
      </c>
      <c r="BO65">
        <v>14.21</v>
      </c>
      <c r="BP65">
        <v>12.34</v>
      </c>
      <c r="BQ65">
        <v>12.13</v>
      </c>
      <c r="BR65">
        <v>17.739999999999998</v>
      </c>
      <c r="BS65">
        <v>15.27</v>
      </c>
      <c r="BT65" t="s">
        <v>783</v>
      </c>
      <c r="BU65" t="s">
        <v>114</v>
      </c>
      <c r="BV65">
        <v>73.31</v>
      </c>
      <c r="BW65">
        <v>71.739999999999995</v>
      </c>
      <c r="BX65">
        <v>70.5</v>
      </c>
      <c r="BY65">
        <v>18.04</v>
      </c>
      <c r="BZ65">
        <v>15.98</v>
      </c>
      <c r="CA65">
        <v>15.83</v>
      </c>
      <c r="CB65">
        <v>3.29</v>
      </c>
      <c r="CC65">
        <v>-12.72</v>
      </c>
      <c r="CD65" t="s">
        <v>2598</v>
      </c>
      <c r="CE65" t="s">
        <v>328</v>
      </c>
      <c r="CF65" s="8">
        <v>-0.63111888111888115</v>
      </c>
      <c r="CG65" s="9">
        <v>-0.81743279478827358</v>
      </c>
      <c r="CH65" s="8">
        <v>2.4845962524414062</v>
      </c>
      <c r="CI65" s="8">
        <v>0.27902016043663025</v>
      </c>
      <c r="CJ65" s="8">
        <v>0.49047619104385376</v>
      </c>
      <c r="CK65" s="8">
        <v>-0.28733032941818237</v>
      </c>
      <c r="CL65" s="8">
        <v>0.22437673807144165</v>
      </c>
      <c r="CM65" s="9">
        <v>4.5970144271850586</v>
      </c>
      <c r="CN65" s="9">
        <v>0.32236841320991516</v>
      </c>
      <c r="CO65" s="9">
        <v>0.61783361434936523</v>
      </c>
      <c r="CP65" s="9">
        <v>-0.29358798265457153</v>
      </c>
      <c r="CQ65" s="9">
        <v>0.20909090340137482</v>
      </c>
      <c r="CR65">
        <v>17.855648477470048</v>
      </c>
      <c r="CS65">
        <v>0.27976920477464723</v>
      </c>
      <c r="CT65">
        <v>1.5174506828528074</v>
      </c>
      <c r="CU65" s="8">
        <v>0.63822780251502986</v>
      </c>
      <c r="CV65" s="9">
        <v>1.0905438750982284</v>
      </c>
      <c r="CW65">
        <v>0.06</v>
      </c>
      <c r="CX65">
        <v>2.7728960305109891</v>
      </c>
      <c r="CY65">
        <v>1738685167.763593</v>
      </c>
      <c r="CZ65">
        <v>0.63822780251502986</v>
      </c>
      <c r="DA65">
        <v>0.58771728521471134</v>
      </c>
      <c r="DB65">
        <v>8203252348.1739502</v>
      </c>
      <c r="DC65">
        <v>0.60631641238927836</v>
      </c>
      <c r="DD65">
        <v>0.14923155024986409</v>
      </c>
      <c r="DE65">
        <v>32306795660.3526</v>
      </c>
      <c r="DF65">
        <v>0.56164046621322627</v>
      </c>
      <c r="DG65">
        <v>3.810693477224391E-2</v>
      </c>
      <c r="DH65">
        <v>126517475856.16963</v>
      </c>
      <c r="DI65">
        <v>0.51058224201202396</v>
      </c>
      <c r="DJ65">
        <v>2.2808729514570397E-3</v>
      </c>
      <c r="DK65">
        <v>2113749122641.9182</v>
      </c>
      <c r="DL65">
        <v>0.44675946176052089</v>
      </c>
      <c r="DM65">
        <v>1125000000</v>
      </c>
      <c r="DN65">
        <v>0.63822780251502986</v>
      </c>
      <c r="DO65">
        <v>4821193200</v>
      </c>
      <c r="DP65">
        <v>754958200</v>
      </c>
      <c r="DQ65">
        <v>4147</v>
      </c>
      <c r="DR65">
        <v>-1.2693466836339109</v>
      </c>
      <c r="DS65">
        <v>-1.9079766698865019</v>
      </c>
      <c r="DT65" s="10">
        <v>0.12666666666666662</v>
      </c>
      <c r="DU65">
        <v>0.26</v>
      </c>
      <c r="DV65">
        <v>0.3866666666666666</v>
      </c>
      <c r="DW65">
        <v>6.2054965646470954</v>
      </c>
      <c r="DX65">
        <v>0.42356015037594075</v>
      </c>
      <c r="DY65">
        <v>6.0397759459548306</v>
      </c>
      <c r="DZ65">
        <v>2351</v>
      </c>
      <c r="EA65">
        <v>6.0214758972386253</v>
      </c>
      <c r="EB65">
        <v>6</v>
      </c>
      <c r="EC65">
        <v>6.281932782111331E-2</v>
      </c>
      <c r="ED65">
        <v>0.32454680211346831</v>
      </c>
      <c r="EE65" s="11">
        <v>-3</v>
      </c>
      <c r="EF65">
        <v>-3.0167099999999998</v>
      </c>
      <c r="EG65">
        <v>23.193560150375941</v>
      </c>
      <c r="EH65" t="s">
        <v>1686</v>
      </c>
      <c r="EI65">
        <v>0</v>
      </c>
      <c r="EJ65">
        <v>0</v>
      </c>
      <c r="EK65" s="12">
        <v>45470</v>
      </c>
      <c r="EL65">
        <v>-1.75</v>
      </c>
      <c r="EM65">
        <v>-3.67</v>
      </c>
      <c r="EN65">
        <v>1.1100000000000001</v>
      </c>
      <c r="EO65">
        <v>2.95</v>
      </c>
      <c r="EP65">
        <v>-1.67</v>
      </c>
    </row>
    <row r="66" spans="1:146" ht="96" x14ac:dyDescent="0.25">
      <c r="A66" s="7"/>
      <c r="B66" s="6"/>
      <c r="C66" s="7" t="str">
        <f>""&amp;CHAR(10)&amp;Basic_Fundamental_Information_Constructure(F66)&amp;CHAR(10)&amp;Basic_Fundamental_Information_Concatenate("")</f>
        <v xml:space="preserve">
市值103.97763亿, 利润20.48亿; PE20.31; 平均PE16.11; 平均PEG.91, PB1.33; ROIC4.27%; ROE4.9233%; 股利率1.8116%; 毛利30.96%; 净利9.1633%; 上一年度营收增42.98%, 利润增1007.03%; 当季营收增-16.52%, 利润增-42.25%; 过往5年营收增17.62%, 利润增186.81%
Income profile:
</v>
      </c>
      <c r="D66" t="s">
        <v>330</v>
      </c>
      <c r="E66" t="s">
        <v>16</v>
      </c>
      <c r="F66">
        <v>11.04</v>
      </c>
      <c r="G66">
        <v>3.18</v>
      </c>
      <c r="H66" t="s">
        <v>2599</v>
      </c>
      <c r="I66">
        <v>10397763000</v>
      </c>
      <c r="J66">
        <v>20.309999999999999</v>
      </c>
      <c r="K66">
        <v>1.33</v>
      </c>
      <c r="L66" t="s">
        <v>114</v>
      </c>
      <c r="M66" t="s">
        <v>1644</v>
      </c>
      <c r="N66" t="s">
        <v>2600</v>
      </c>
      <c r="O66" t="s">
        <v>1645</v>
      </c>
      <c r="P66">
        <v>-27.09</v>
      </c>
      <c r="Q66" t="s">
        <v>2601</v>
      </c>
      <c r="R66">
        <v>293365820</v>
      </c>
      <c r="S66" s="5">
        <v>0.15429999999999999</v>
      </c>
      <c r="T66" t="s">
        <v>2602</v>
      </c>
      <c r="U66">
        <v>939540520</v>
      </c>
      <c r="V66">
        <v>941826360</v>
      </c>
      <c r="W66">
        <v>1.55</v>
      </c>
      <c r="X66">
        <v>0.09</v>
      </c>
      <c r="Y66">
        <v>26.23</v>
      </c>
      <c r="Z66" t="s">
        <v>984</v>
      </c>
      <c r="AA66" t="s">
        <v>551</v>
      </c>
      <c r="AB66" t="s">
        <v>2603</v>
      </c>
      <c r="AC66" t="s">
        <v>2604</v>
      </c>
      <c r="AD66" t="s">
        <v>53</v>
      </c>
      <c r="AE66">
        <v>26129854</v>
      </c>
      <c r="AF66" t="s">
        <v>1647</v>
      </c>
      <c r="AG66" t="s">
        <v>2605</v>
      </c>
      <c r="AH66" t="s">
        <v>1648</v>
      </c>
      <c r="AI66" t="s">
        <v>2606</v>
      </c>
      <c r="AJ66" t="s">
        <v>1649</v>
      </c>
      <c r="AK66" t="s">
        <v>2607</v>
      </c>
      <c r="AL66" t="s">
        <v>1650</v>
      </c>
      <c r="AM66" t="s">
        <v>53</v>
      </c>
      <c r="AN66" t="s">
        <v>265</v>
      </c>
      <c r="AO66" t="s">
        <v>2608</v>
      </c>
      <c r="AP66" t="s">
        <v>2609</v>
      </c>
      <c r="AQ66" t="s">
        <v>309</v>
      </c>
      <c r="AR66" t="s">
        <v>2610</v>
      </c>
      <c r="AS66" t="s">
        <v>2611</v>
      </c>
      <c r="AT66" t="s">
        <v>2397</v>
      </c>
      <c r="AU66" t="s">
        <v>2612</v>
      </c>
      <c r="AV66" t="s">
        <v>2613</v>
      </c>
      <c r="AW66" t="s">
        <v>2614</v>
      </c>
      <c r="AX66" t="s">
        <v>1651</v>
      </c>
      <c r="AY66" t="s">
        <v>878</v>
      </c>
      <c r="AZ66" t="s">
        <v>879</v>
      </c>
      <c r="BA66" t="s">
        <v>549</v>
      </c>
      <c r="BB66" t="s">
        <v>550</v>
      </c>
      <c r="BC66" t="s">
        <v>791</v>
      </c>
      <c r="BD66" t="s">
        <v>678</v>
      </c>
      <c r="BE66" t="s">
        <v>294</v>
      </c>
      <c r="BF66" t="s">
        <v>315</v>
      </c>
      <c r="BG66" t="s">
        <v>551</v>
      </c>
      <c r="BH66" t="s">
        <v>1646</v>
      </c>
      <c r="BI66" t="s">
        <v>2615</v>
      </c>
      <c r="BJ66" t="s">
        <v>1651</v>
      </c>
      <c r="BK66" t="s">
        <v>1201</v>
      </c>
      <c r="BL66" t="s">
        <v>683</v>
      </c>
      <c r="BM66" t="s">
        <v>791</v>
      </c>
      <c r="BN66">
        <v>5.41</v>
      </c>
      <c r="BO66">
        <v>2.75</v>
      </c>
      <c r="BP66">
        <v>4.6500000000000004</v>
      </c>
      <c r="BQ66">
        <v>6.49</v>
      </c>
      <c r="BR66">
        <v>2.62</v>
      </c>
      <c r="BS66">
        <v>5.66</v>
      </c>
      <c r="BT66" t="s">
        <v>783</v>
      </c>
      <c r="BU66" t="s">
        <v>114</v>
      </c>
      <c r="BV66">
        <v>42.3</v>
      </c>
      <c r="BW66">
        <v>17.55</v>
      </c>
      <c r="BX66">
        <v>33.03</v>
      </c>
      <c r="BY66">
        <v>14.9</v>
      </c>
      <c r="BZ66">
        <v>4.53</v>
      </c>
      <c r="CA66">
        <v>8.06</v>
      </c>
      <c r="CB66">
        <v>4.84</v>
      </c>
      <c r="CC66">
        <v>-11.89</v>
      </c>
      <c r="CD66" t="s">
        <v>2616</v>
      </c>
      <c r="CE66" t="s">
        <v>2617</v>
      </c>
      <c r="CF66" s="8">
        <v>-0.16517189835575485</v>
      </c>
      <c r="CG66" s="9">
        <v>-0.42250822834645668</v>
      </c>
      <c r="CH66" s="8">
        <v>0.42975789308547974</v>
      </c>
      <c r="CI66" s="8">
        <v>2.1080702543258667E-2</v>
      </c>
      <c r="CJ66" s="8">
        <v>0.21239720284938812</v>
      </c>
      <c r="CK66" s="8">
        <v>3.4021873027086258E-2</v>
      </c>
      <c r="CL66" s="8">
        <v>0.18374687433242798</v>
      </c>
      <c r="CM66" s="9">
        <v>10.070270538330078</v>
      </c>
      <c r="CN66" s="9">
        <v>-0.44277107715606689</v>
      </c>
      <c r="CO66" s="9">
        <v>-0.23853211104869843</v>
      </c>
      <c r="CP66" s="9">
        <v>6.6014669835567474E-2</v>
      </c>
      <c r="CQ66" s="9">
        <v>-0.11471861600875854</v>
      </c>
      <c r="CR66">
        <v>16.112236053719009</v>
      </c>
      <c r="CS66">
        <v>0.91442411562132353</v>
      </c>
      <c r="CT66">
        <v>1.8115942028985508</v>
      </c>
      <c r="CU66" s="8">
        <v>0.17620090916752815</v>
      </c>
      <c r="CV66" s="9">
        <v>1.8680526807904243</v>
      </c>
      <c r="CW66">
        <v>0.06</v>
      </c>
      <c r="CX66">
        <v>2.8553300383744453</v>
      </c>
      <c r="CY66">
        <v>2272508926.3916011</v>
      </c>
      <c r="CZ66">
        <v>0.17620090916752815</v>
      </c>
      <c r="DA66">
        <v>0.86804601779382773</v>
      </c>
      <c r="DB66">
        <v>7475137109.0802765</v>
      </c>
      <c r="DC66">
        <v>0.16739086370915174</v>
      </c>
      <c r="DD66">
        <v>0.38679325338046872</v>
      </c>
      <c r="DE66">
        <v>16775791571.569466</v>
      </c>
      <c r="DF66">
        <v>0.15505680006742478</v>
      </c>
      <c r="DG66">
        <v>0.20671143911670284</v>
      </c>
      <c r="DH66">
        <v>31390439869.835392</v>
      </c>
      <c r="DI66">
        <v>0.14096072733402251</v>
      </c>
      <c r="DJ66">
        <v>8.1487447361668255E-2</v>
      </c>
      <c r="DK66">
        <v>79628988391.312866</v>
      </c>
      <c r="DL66">
        <v>0.12334063641726969</v>
      </c>
      <c r="DM66">
        <v>2048000000</v>
      </c>
      <c r="DN66">
        <v>0.17620090916752815</v>
      </c>
      <c r="DO66">
        <v>6488763000</v>
      </c>
      <c r="DP66">
        <v>4672089900</v>
      </c>
      <c r="DQ66">
        <v>4186</v>
      </c>
      <c r="DR66">
        <v>-0.34137280752328303</v>
      </c>
      <c r="DS66">
        <v>-2.290560909136881</v>
      </c>
      <c r="DT66" s="10">
        <v>-4.0000000000000036E-2</v>
      </c>
      <c r="DU66">
        <v>-0.20333333333333337</v>
      </c>
      <c r="DV66">
        <v>-0.2433333333333334</v>
      </c>
      <c r="DW66">
        <v>6.289300657501494</v>
      </c>
      <c r="DX66">
        <v>0.40358396071480995</v>
      </c>
      <c r="DY66">
        <v>6.047324947391493</v>
      </c>
      <c r="DZ66">
        <v>343</v>
      </c>
      <c r="EA66">
        <v>6.0441483413337078</v>
      </c>
      <c r="EB66">
        <v>6</v>
      </c>
      <c r="EC66">
        <v>1.7090623796089124E-2</v>
      </c>
      <c r="ED66">
        <v>0.10447615842903356</v>
      </c>
      <c r="EE66" s="11">
        <v>1.0499099999999999</v>
      </c>
      <c r="EF66">
        <v>1.0586100000000001</v>
      </c>
      <c r="EG66">
        <v>24.16358396071481</v>
      </c>
      <c r="EH66" t="s">
        <v>712</v>
      </c>
      <c r="EI66">
        <v>0</v>
      </c>
      <c r="EJ66">
        <v>1</v>
      </c>
      <c r="EK66" s="12">
        <v>45470</v>
      </c>
      <c r="EL66">
        <v>-0.19</v>
      </c>
      <c r="EM66">
        <v>-0.77</v>
      </c>
      <c r="EN66">
        <v>0.1</v>
      </c>
      <c r="EO66">
        <v>-0.43</v>
      </c>
      <c r="EP66">
        <v>-0.87</v>
      </c>
    </row>
    <row r="67" spans="1:146" ht="96" x14ac:dyDescent="0.25">
      <c r="A67" s="7"/>
      <c r="B67" s="6"/>
      <c r="C67" s="7" t="str">
        <f>""&amp;CHAR(10)&amp;Basic_Fundamental_Information_Constructure(F67)&amp;CHAR(10)&amp;Basic_Fundamental_Information_Concatenate("")</f>
        <v xml:space="preserve">
市值169.11392亿, 利润2.20亿; PE; 平均PE18.29; 平均PEG1.13, PB1.46; ROIC6.29%; ROE1.7033%; 股利率.8241%; 毛利71.2067%; 净利-.82%; 上一年度营收增-90.57%, 利润增114.38%; 当季营收增751.94%, 利润增166.46%; 过往5年营收增-16.13%, 利润增-31.23%
Income profile:
</v>
      </c>
      <c r="D67" t="s">
        <v>332</v>
      </c>
      <c r="E67" t="s">
        <v>41</v>
      </c>
      <c r="F67">
        <v>15.29</v>
      </c>
      <c r="G67">
        <v>1.53</v>
      </c>
      <c r="H67" t="s">
        <v>2618</v>
      </c>
      <c r="I67">
        <v>16911392000</v>
      </c>
      <c r="K67">
        <v>1.46</v>
      </c>
      <c r="L67" t="s">
        <v>114</v>
      </c>
      <c r="M67" t="s">
        <v>1652</v>
      </c>
      <c r="N67" t="s">
        <v>2619</v>
      </c>
      <c r="O67" t="s">
        <v>1653</v>
      </c>
      <c r="P67">
        <v>-24.88</v>
      </c>
      <c r="Q67" t="s">
        <v>2620</v>
      </c>
      <c r="R67">
        <v>114015552</v>
      </c>
      <c r="S67" s="5">
        <v>-0.74960000000000004</v>
      </c>
      <c r="T67" t="s">
        <v>1122</v>
      </c>
      <c r="U67">
        <v>1106042650</v>
      </c>
      <c r="V67">
        <v>1106042650</v>
      </c>
      <c r="W67">
        <v>1.88</v>
      </c>
      <c r="X67">
        <v>0.13</v>
      </c>
      <c r="Y67">
        <v>3.32</v>
      </c>
      <c r="Z67" t="s">
        <v>2621</v>
      </c>
      <c r="AA67" t="s">
        <v>1255</v>
      </c>
      <c r="AB67" t="s">
        <v>2622</v>
      </c>
      <c r="AC67" t="s">
        <v>978</v>
      </c>
      <c r="AD67" t="s">
        <v>53</v>
      </c>
      <c r="AE67">
        <v>27750829</v>
      </c>
      <c r="AF67" t="s">
        <v>1655</v>
      </c>
      <c r="AG67" t="s">
        <v>2623</v>
      </c>
      <c r="AH67" t="s">
        <v>1656</v>
      </c>
      <c r="AI67" t="s">
        <v>2558</v>
      </c>
      <c r="AJ67" t="s">
        <v>1657</v>
      </c>
      <c r="AK67" t="s">
        <v>53</v>
      </c>
      <c r="AL67" t="s">
        <v>1658</v>
      </c>
      <c r="AM67" t="s">
        <v>53</v>
      </c>
      <c r="AN67" t="s">
        <v>2624</v>
      </c>
      <c r="AO67" t="s">
        <v>1322</v>
      </c>
      <c r="AP67" t="s">
        <v>281</v>
      </c>
      <c r="AQ67" t="s">
        <v>2625</v>
      </c>
      <c r="AR67" t="s">
        <v>53</v>
      </c>
      <c r="AS67" t="s">
        <v>2626</v>
      </c>
      <c r="AT67" t="s">
        <v>2627</v>
      </c>
      <c r="AU67" t="s">
        <v>2628</v>
      </c>
      <c r="AV67" t="s">
        <v>2629</v>
      </c>
      <c r="AW67" t="s">
        <v>678</v>
      </c>
      <c r="AX67" t="s">
        <v>880</v>
      </c>
      <c r="AY67" t="s">
        <v>700</v>
      </c>
      <c r="AZ67" t="s">
        <v>552</v>
      </c>
      <c r="BA67" t="s">
        <v>333</v>
      </c>
      <c r="BB67" t="s">
        <v>555</v>
      </c>
      <c r="BC67" t="s">
        <v>1001</v>
      </c>
      <c r="BD67" t="s">
        <v>461</v>
      </c>
      <c r="BE67" t="s">
        <v>553</v>
      </c>
      <c r="BF67" t="s">
        <v>334</v>
      </c>
      <c r="BG67" t="s">
        <v>556</v>
      </c>
      <c r="BH67" t="s">
        <v>1654</v>
      </c>
      <c r="BI67" t="s">
        <v>2630</v>
      </c>
      <c r="BJ67" t="s">
        <v>880</v>
      </c>
      <c r="BK67" t="s">
        <v>143</v>
      </c>
      <c r="BL67" t="s">
        <v>2631</v>
      </c>
      <c r="BM67" t="s">
        <v>1001</v>
      </c>
      <c r="BN67">
        <v>5.7</v>
      </c>
      <c r="BO67" t="s">
        <v>53</v>
      </c>
      <c r="BP67">
        <v>6.88</v>
      </c>
      <c r="BQ67">
        <v>7.42</v>
      </c>
      <c r="BR67">
        <v>-11.47</v>
      </c>
      <c r="BS67">
        <v>9.16</v>
      </c>
      <c r="BT67" t="s">
        <v>1659</v>
      </c>
      <c r="BU67" t="s">
        <v>114</v>
      </c>
      <c r="BV67">
        <v>68.150000000000006</v>
      </c>
      <c r="BW67">
        <v>71.69</v>
      </c>
      <c r="BX67">
        <v>73.78</v>
      </c>
      <c r="BY67">
        <v>1.1499999999999999</v>
      </c>
      <c r="BZ67">
        <v>-10.64</v>
      </c>
      <c r="CA67">
        <v>7.03</v>
      </c>
      <c r="CB67">
        <v>0.92</v>
      </c>
      <c r="CC67">
        <v>-4.5</v>
      </c>
      <c r="CD67" t="s">
        <v>2632</v>
      </c>
      <c r="CE67" t="s">
        <v>133</v>
      </c>
      <c r="CF67" s="8">
        <v>7.5193548387096776</v>
      </c>
      <c r="CG67" s="9">
        <v>1.6645995933534319</v>
      </c>
      <c r="CH67" s="8">
        <v>-0.90569192171096802</v>
      </c>
      <c r="CI67" s="8">
        <v>-5.1513053476810455E-2</v>
      </c>
      <c r="CJ67" s="8">
        <v>-1.5243315137922764E-2</v>
      </c>
      <c r="CK67" s="8">
        <v>0.12290428578853607</v>
      </c>
      <c r="CL67" s="8">
        <v>4.3175928294658661E-2</v>
      </c>
      <c r="CM67" s="9">
        <v>1.1437908411026001</v>
      </c>
      <c r="CN67" s="9">
        <v>-2.3166954517364502</v>
      </c>
      <c r="CO67" s="9">
        <v>-0.37560448050498962</v>
      </c>
      <c r="CP67" s="9">
        <v>-4.3679375201463699E-2</v>
      </c>
      <c r="CQ67" s="9">
        <v>3.0720338225364685E-2</v>
      </c>
      <c r="CR67">
        <v>18.292473769605191</v>
      </c>
      <c r="CS67">
        <v>1.1342508656123886</v>
      </c>
      <c r="CT67">
        <v>0.82406801831262266</v>
      </c>
      <c r="CU67" s="8">
        <v>-0.16127361524850131</v>
      </c>
      <c r="CV67" s="9">
        <v>-0.31229362562298774</v>
      </c>
      <c r="CW67">
        <v>0.06</v>
      </c>
      <c r="CX67">
        <v>68.669963636363633</v>
      </c>
      <c r="CY67" t="s">
        <v>2633</v>
      </c>
      <c r="CZ67">
        <v>-0.16127361524850131</v>
      </c>
      <c r="DA67">
        <v>22.889987878787878</v>
      </c>
      <c r="DB67" t="s">
        <v>2634</v>
      </c>
      <c r="DC67">
        <v>-0.15320993448607623</v>
      </c>
      <c r="DD67">
        <v>11.444993939393939</v>
      </c>
      <c r="DE67" t="s">
        <v>2635</v>
      </c>
      <c r="DF67">
        <v>-0.14192078141868117</v>
      </c>
      <c r="DG67">
        <v>6.866996363636364</v>
      </c>
      <c r="DH67" t="s">
        <v>2636</v>
      </c>
      <c r="DI67">
        <v>-0.12901889219880106</v>
      </c>
      <c r="DJ67">
        <v>3.433498181818182</v>
      </c>
      <c r="DK67" t="s">
        <v>2637</v>
      </c>
      <c r="DL67">
        <v>-0.11289153067395091</v>
      </c>
      <c r="DM67">
        <v>220000000.00000003</v>
      </c>
      <c r="DN67">
        <v>-0.16127361524850131</v>
      </c>
      <c r="DO67">
        <v>15107392000</v>
      </c>
      <c r="DP67">
        <v>1767338699.999999</v>
      </c>
      <c r="DQ67">
        <v>4339</v>
      </c>
      <c r="DR67">
        <v>7.6806284539581791</v>
      </c>
      <c r="DS67">
        <v>1.9768932189764197</v>
      </c>
      <c r="DT67" s="10">
        <v>-0.77333333333333332</v>
      </c>
      <c r="DU67">
        <v>-7.6666666666666591E-2</v>
      </c>
      <c r="DV67">
        <v>-0.84999999999999987</v>
      </c>
      <c r="DW67">
        <v>-1.0449999999999999</v>
      </c>
      <c r="DX67">
        <v>0.3793065040650403</v>
      </c>
      <c r="DY67">
        <v>-1.0053687926829269</v>
      </c>
      <c r="DZ67">
        <v>322</v>
      </c>
      <c r="EA67">
        <v>-1.0050304851987972</v>
      </c>
      <c r="EB67">
        <v>1</v>
      </c>
      <c r="EC67">
        <v>1.3267752378264979E-2</v>
      </c>
      <c r="ED67">
        <v>0.11120728481853752</v>
      </c>
      <c r="EE67" s="11">
        <v>-3.0068100000000002</v>
      </c>
      <c r="EF67">
        <v>-3.0435099999999999</v>
      </c>
      <c r="EG67">
        <v>26.11930650406504</v>
      </c>
      <c r="EH67" t="s">
        <v>1686</v>
      </c>
      <c r="EI67">
        <v>0</v>
      </c>
      <c r="EJ67">
        <v>1</v>
      </c>
      <c r="EK67" s="12">
        <v>45470</v>
      </c>
      <c r="EL67">
        <v>0.13</v>
      </c>
      <c r="EM67">
        <v>-7.37</v>
      </c>
      <c r="EN67">
        <v>-1.76</v>
      </c>
      <c r="EO67">
        <v>4.51</v>
      </c>
      <c r="EP67">
        <v>-3.67</v>
      </c>
    </row>
    <row r="68" spans="1:146" ht="96" x14ac:dyDescent="0.25">
      <c r="A68" s="7"/>
      <c r="B68" s="6"/>
      <c r="C68" s="7" t="str">
        <f>""&amp;CHAR(10)&amp;Basic_Fundamental_Information_Constructure(F68)&amp;CHAR(10)&amp;Basic_Fundamental_Information_Concatenate("")</f>
        <v xml:space="preserve">
市值45.358152亿, 利润2.17亿; PE16.86; 平均PE25.2; 平均PEG.1, PB2.11; ROIC9.5567%; ROE12.2033%; 股利率1.7045%; 毛利83.5567%; 净利30.6733%; 上一年度营收增1236.43%, 利润增-21.94%; 当季营收增-90.62%, 利润增151.9%; 过往5年营收增257.69%, 利润增17.2%
Income profile:
</v>
      </c>
      <c r="D68" t="s">
        <v>335</v>
      </c>
      <c r="E68" t="s">
        <v>13</v>
      </c>
      <c r="F68">
        <v>22.88</v>
      </c>
      <c r="G68">
        <v>1.92</v>
      </c>
      <c r="H68" t="s">
        <v>2638</v>
      </c>
      <c r="I68">
        <v>4535815200</v>
      </c>
      <c r="J68">
        <v>16.86</v>
      </c>
      <c r="K68">
        <v>2.11</v>
      </c>
      <c r="L68" t="s">
        <v>114</v>
      </c>
      <c r="M68" t="s">
        <v>1037</v>
      </c>
      <c r="N68" t="s">
        <v>2639</v>
      </c>
      <c r="O68" t="s">
        <v>1172</v>
      </c>
      <c r="P68">
        <v>7.15</v>
      </c>
      <c r="Q68" t="s">
        <v>2640</v>
      </c>
      <c r="R68">
        <v>77130242</v>
      </c>
      <c r="S68" s="5">
        <v>0.2319</v>
      </c>
      <c r="T68" t="s">
        <v>304</v>
      </c>
      <c r="U68">
        <v>198243670</v>
      </c>
      <c r="V68">
        <v>198243670</v>
      </c>
      <c r="W68">
        <v>1.43</v>
      </c>
      <c r="X68">
        <v>7.0000000000000007E-2</v>
      </c>
      <c r="Y68">
        <v>34.92</v>
      </c>
      <c r="Z68" t="s">
        <v>1285</v>
      </c>
      <c r="AA68" t="s">
        <v>2641</v>
      </c>
      <c r="AB68" t="s">
        <v>2642</v>
      </c>
      <c r="AC68" t="s">
        <v>2643</v>
      </c>
      <c r="AD68" t="s">
        <v>53</v>
      </c>
      <c r="AE68">
        <v>-10640063</v>
      </c>
      <c r="AF68" t="s">
        <v>1660</v>
      </c>
      <c r="AG68" t="s">
        <v>2644</v>
      </c>
      <c r="AH68" t="s">
        <v>1661</v>
      </c>
      <c r="AI68" t="s">
        <v>2645</v>
      </c>
      <c r="AJ68" t="s">
        <v>1662</v>
      </c>
      <c r="AK68" t="s">
        <v>2646</v>
      </c>
      <c r="AL68" t="s">
        <v>1663</v>
      </c>
      <c r="AM68" t="s">
        <v>53</v>
      </c>
      <c r="AN68" t="s">
        <v>664</v>
      </c>
      <c r="AO68" t="s">
        <v>1012</v>
      </c>
      <c r="AP68" t="s">
        <v>53</v>
      </c>
      <c r="AQ68" t="s">
        <v>2647</v>
      </c>
      <c r="AR68" t="s">
        <v>2648</v>
      </c>
      <c r="AS68" t="s">
        <v>174</v>
      </c>
      <c r="AT68" t="s">
        <v>53</v>
      </c>
      <c r="AU68" t="s">
        <v>2649</v>
      </c>
      <c r="AV68" t="s">
        <v>328</v>
      </c>
      <c r="AW68" t="s">
        <v>2650</v>
      </c>
      <c r="AX68" t="s">
        <v>762</v>
      </c>
      <c r="AY68" t="s">
        <v>64</v>
      </c>
      <c r="AZ68" t="s">
        <v>61</v>
      </c>
      <c r="BA68" t="s">
        <v>148</v>
      </c>
      <c r="BB68" t="s">
        <v>557</v>
      </c>
      <c r="BC68" t="s">
        <v>593</v>
      </c>
      <c r="BD68" t="s">
        <v>656</v>
      </c>
      <c r="BE68" t="s">
        <v>408</v>
      </c>
      <c r="BF68" t="s">
        <v>66</v>
      </c>
      <c r="BG68" t="s">
        <v>86</v>
      </c>
      <c r="BH68" t="s">
        <v>589</v>
      </c>
      <c r="BI68" t="s">
        <v>2651</v>
      </c>
      <c r="BJ68" t="s">
        <v>762</v>
      </c>
      <c r="BK68" t="s">
        <v>447</v>
      </c>
      <c r="BL68" t="s">
        <v>2652</v>
      </c>
      <c r="BM68" t="s">
        <v>593</v>
      </c>
      <c r="BN68">
        <v>4.82</v>
      </c>
      <c r="BO68">
        <v>12.3</v>
      </c>
      <c r="BP68">
        <v>11.55</v>
      </c>
      <c r="BQ68">
        <v>7</v>
      </c>
      <c r="BR68">
        <v>16.07</v>
      </c>
      <c r="BS68">
        <v>13.54</v>
      </c>
      <c r="BT68" t="s">
        <v>822</v>
      </c>
      <c r="BU68" t="s">
        <v>114</v>
      </c>
      <c r="BV68">
        <v>82.72</v>
      </c>
      <c r="BW68">
        <v>84.42</v>
      </c>
      <c r="BX68">
        <v>83.53</v>
      </c>
      <c r="BY68">
        <v>32.44</v>
      </c>
      <c r="BZ68">
        <v>33.47</v>
      </c>
      <c r="CA68">
        <v>26.11</v>
      </c>
      <c r="CB68">
        <v>-2.5099999999999998</v>
      </c>
      <c r="CC68">
        <v>-14.02</v>
      </c>
      <c r="CD68" t="s">
        <v>2653</v>
      </c>
      <c r="CE68" t="s">
        <v>2654</v>
      </c>
      <c r="CF68" s="8">
        <v>-0.90623674162070433</v>
      </c>
      <c r="CG68" s="9">
        <v>1.5189826777619564</v>
      </c>
      <c r="CH68" s="8">
        <v>12.36429500579834</v>
      </c>
      <c r="CI68" s="8">
        <v>8.0834418535232544E-2</v>
      </c>
      <c r="CJ68" s="8">
        <v>0.20597484707832336</v>
      </c>
      <c r="CK68" s="8">
        <v>0.16270565986633301</v>
      </c>
      <c r="CL68" s="8">
        <v>7.0450097322463989E-2</v>
      </c>
      <c r="CM68" s="9">
        <v>-0.21942445635795593</v>
      </c>
      <c r="CN68" s="9">
        <v>0.38308456540107727</v>
      </c>
      <c r="CO68" s="9">
        <v>0.32236841320991516</v>
      </c>
      <c r="CP68" s="9">
        <v>0.22580644488334656</v>
      </c>
      <c r="CQ68" s="9">
        <v>0.14814814925193787</v>
      </c>
      <c r="CR68">
        <v>25.198973333333335</v>
      </c>
      <c r="CS68">
        <v>9.7789757725302962E-2</v>
      </c>
      <c r="CT68">
        <v>1.7045454545454546</v>
      </c>
      <c r="CU68" s="8">
        <v>2.5768520057201387</v>
      </c>
      <c r="CV68" s="9">
        <v>0.17199662327766418</v>
      </c>
      <c r="CW68">
        <v>0.06</v>
      </c>
      <c r="CX68">
        <v>4.4791389412727982</v>
      </c>
      <c r="CY68">
        <v>732242344.56723583</v>
      </c>
      <c r="CZ68">
        <v>2.5768520057201387</v>
      </c>
      <c r="DA68">
        <v>0.31323812424754627</v>
      </c>
      <c r="DB68">
        <v>10470676926.311892</v>
      </c>
      <c r="DC68">
        <v>2.4480094054341315</v>
      </c>
      <c r="DD68">
        <v>1.1913175725063721E-2</v>
      </c>
      <c r="DE68">
        <v>275309898526.86462</v>
      </c>
      <c r="DF68">
        <v>2.267629765033722</v>
      </c>
      <c r="DG68">
        <v>2.4465970754027527E-4</v>
      </c>
      <c r="DH68">
        <v>13405620537088.58</v>
      </c>
      <c r="DI68">
        <v>2.0614816045761111</v>
      </c>
      <c r="DJ68">
        <v>3.3444658243511096E-8</v>
      </c>
      <c r="DK68">
        <v>9.8066937210708288E+16</v>
      </c>
      <c r="DL68">
        <v>1.803796404004097</v>
      </c>
      <c r="DM68">
        <v>217000000</v>
      </c>
      <c r="DN68">
        <v>2.5768520057201387</v>
      </c>
      <c r="DO68">
        <v>3279815200</v>
      </c>
      <c r="DP68">
        <v>1437583000</v>
      </c>
      <c r="DQ68">
        <v>4365</v>
      </c>
      <c r="DR68">
        <v>-3.4830887473408429</v>
      </c>
      <c r="DS68">
        <v>1.3469860544842922</v>
      </c>
      <c r="DT68" s="10">
        <v>0.10999999999999995</v>
      </c>
      <c r="DU68">
        <v>0.45333333333333331</v>
      </c>
      <c r="DV68">
        <v>0.56333333333333324</v>
      </c>
      <c r="DW68">
        <v>-8.1790299572039942</v>
      </c>
      <c r="DX68">
        <v>0.38891327085290728</v>
      </c>
      <c r="DY68">
        <v>-8.0212890377917834</v>
      </c>
      <c r="DZ68">
        <v>1051</v>
      </c>
      <c r="EA68">
        <v>-8.0169104118193442</v>
      </c>
      <c r="EB68">
        <v>8</v>
      </c>
      <c r="EC68">
        <v>4.4209734414218625E-2</v>
      </c>
      <c r="ED68">
        <v>0.37178135372493859</v>
      </c>
      <c r="EE68" s="11">
        <v>-1.0938099999999999</v>
      </c>
      <c r="EF68">
        <v>-1.11911</v>
      </c>
      <c r="EG68">
        <v>27.118913270852907</v>
      </c>
      <c r="EH68" t="s">
        <v>721</v>
      </c>
      <c r="EI68">
        <v>0</v>
      </c>
      <c r="EJ68">
        <v>1</v>
      </c>
      <c r="EK68" s="12">
        <v>45470</v>
      </c>
      <c r="EL68">
        <v>0.62</v>
      </c>
      <c r="EM68">
        <v>-4.72</v>
      </c>
      <c r="EN68">
        <v>-0.06</v>
      </c>
      <c r="EO68">
        <v>3.79</v>
      </c>
      <c r="EP68">
        <v>-2.5299999999999998</v>
      </c>
    </row>
    <row r="69" spans="1:146" ht="96" x14ac:dyDescent="0.25">
      <c r="A69" s="7"/>
      <c r="B69" s="6"/>
      <c r="C69" s="7" t="str">
        <f>""&amp;CHAR(10)&amp;Basic_Fundamental_Information_Constructure(F69)&amp;CHAR(10)&amp;Basic_Fundamental_Information_Concatenate("")</f>
        <v xml:space="preserve">
市值5.80008亿, 利润1.63亿; PE; 平均PE26.6; 平均PEG.1, PB1.54; ROIC0%; ROE-5.8833%; 股利率0%; 毛利57.0467%; 净利-20.2533%; 上一年度营收增1409.09%, 利润增1020.83%; 当季营收增-96.55%, 利润增-122.85%; 过往5年营收增262.46%, 利润增-73.51%
Income profile:
</v>
      </c>
      <c r="D69" t="s">
        <v>336</v>
      </c>
      <c r="E69" t="s">
        <v>1664</v>
      </c>
      <c r="F69">
        <v>2.64</v>
      </c>
      <c r="G69">
        <v>1.1499999999999999</v>
      </c>
      <c r="H69" t="s">
        <v>2655</v>
      </c>
      <c r="I69">
        <v>580008000</v>
      </c>
      <c r="K69">
        <v>1.54</v>
      </c>
      <c r="L69" t="s">
        <v>114</v>
      </c>
      <c r="M69" t="s">
        <v>1665</v>
      </c>
      <c r="N69" t="s">
        <v>546</v>
      </c>
      <c r="O69" t="s">
        <v>1666</v>
      </c>
      <c r="P69">
        <v>-58.47</v>
      </c>
      <c r="Q69" t="s">
        <v>2656</v>
      </c>
      <c r="R69">
        <v>-5375022</v>
      </c>
      <c r="S69" s="5">
        <v>-1.1060000000000001</v>
      </c>
      <c r="T69" t="s">
        <v>368</v>
      </c>
      <c r="U69">
        <v>219700000</v>
      </c>
      <c r="V69">
        <v>219700000</v>
      </c>
      <c r="W69">
        <v>1.23</v>
      </c>
      <c r="X69">
        <v>0.03</v>
      </c>
      <c r="Y69">
        <v>-35.08</v>
      </c>
      <c r="Z69" t="s">
        <v>2657</v>
      </c>
      <c r="AA69" t="s">
        <v>2658</v>
      </c>
      <c r="AB69" t="s">
        <v>2659</v>
      </c>
      <c r="AC69" t="s">
        <v>2660</v>
      </c>
      <c r="AD69" t="s">
        <v>53</v>
      </c>
      <c r="AE69">
        <v>246076</v>
      </c>
      <c r="AF69" t="s">
        <v>1669</v>
      </c>
      <c r="AG69" t="s">
        <v>1642</v>
      </c>
      <c r="AH69" t="s">
        <v>1670</v>
      </c>
      <c r="AI69" t="s">
        <v>2661</v>
      </c>
      <c r="AJ69" t="s">
        <v>53</v>
      </c>
      <c r="AK69" t="s">
        <v>53</v>
      </c>
      <c r="AL69" t="s">
        <v>1671</v>
      </c>
      <c r="AM69" t="s">
        <v>53</v>
      </c>
      <c r="AN69" t="s">
        <v>2662</v>
      </c>
      <c r="AO69" t="s">
        <v>53</v>
      </c>
      <c r="AP69" t="s">
        <v>53</v>
      </c>
      <c r="AQ69" t="s">
        <v>2663</v>
      </c>
      <c r="AR69" t="s">
        <v>2664</v>
      </c>
      <c r="AS69" t="s">
        <v>2665</v>
      </c>
      <c r="AT69" t="s">
        <v>2666</v>
      </c>
      <c r="AU69" t="s">
        <v>2667</v>
      </c>
      <c r="AV69" t="s">
        <v>2668</v>
      </c>
      <c r="AW69" t="s">
        <v>2669</v>
      </c>
      <c r="AX69" t="s">
        <v>134</v>
      </c>
      <c r="AY69" t="s">
        <v>187</v>
      </c>
      <c r="AZ69" t="s">
        <v>316</v>
      </c>
      <c r="BA69" t="s">
        <v>265</v>
      </c>
      <c r="BB69" t="s">
        <v>559</v>
      </c>
      <c r="BC69" t="s">
        <v>881</v>
      </c>
      <c r="BD69" t="s">
        <v>701</v>
      </c>
      <c r="BE69" t="s">
        <v>558</v>
      </c>
      <c r="BF69" t="s">
        <v>337</v>
      </c>
      <c r="BG69" t="s">
        <v>560</v>
      </c>
      <c r="BH69" t="s">
        <v>1667</v>
      </c>
      <c r="BI69" t="s">
        <v>1557</v>
      </c>
      <c r="BJ69" t="s">
        <v>134</v>
      </c>
      <c r="BK69" t="s">
        <v>1668</v>
      </c>
      <c r="BL69" t="s">
        <v>2670</v>
      </c>
      <c r="BM69" t="s">
        <v>881</v>
      </c>
      <c r="BN69" t="s">
        <v>53</v>
      </c>
      <c r="BO69" t="s">
        <v>53</v>
      </c>
      <c r="BP69" t="s">
        <v>53</v>
      </c>
      <c r="BQ69">
        <v>-3.91</v>
      </c>
      <c r="BR69">
        <v>-4.32</v>
      </c>
      <c r="BS69">
        <v>-9.42</v>
      </c>
      <c r="BT69" t="s">
        <v>775</v>
      </c>
      <c r="BU69" t="s">
        <v>114</v>
      </c>
      <c r="BV69">
        <v>41.59</v>
      </c>
      <c r="BW69">
        <v>56.34</v>
      </c>
      <c r="BX69">
        <v>73.209999999999994</v>
      </c>
      <c r="BY69">
        <v>-22.95</v>
      </c>
      <c r="BZ69">
        <v>-13.38</v>
      </c>
      <c r="CA69">
        <v>-24.43</v>
      </c>
      <c r="CB69">
        <v>5.6</v>
      </c>
      <c r="CC69">
        <v>-37.14</v>
      </c>
      <c r="CD69" t="s">
        <v>2671</v>
      </c>
      <c r="CE69" t="s">
        <v>76</v>
      </c>
      <c r="CF69" s="8">
        <v>-0.96549481981981977</v>
      </c>
      <c r="CG69" s="9">
        <v>-1.2284618523398649</v>
      </c>
      <c r="CH69" s="8">
        <v>14.090909004211426</v>
      </c>
      <c r="CI69" s="8">
        <v>-0.22807016968727112</v>
      </c>
      <c r="CJ69" s="8">
        <v>-0.20093457400798798</v>
      </c>
      <c r="CK69" s="8">
        <v>-0.27210885286331177</v>
      </c>
      <c r="CL69" s="8">
        <v>-0.26683291792869568</v>
      </c>
      <c r="CM69" s="9">
        <v>10.208259582519531</v>
      </c>
      <c r="CN69" s="9">
        <v>0.57743501663208008</v>
      </c>
      <c r="CO69" s="9">
        <v>-13.962403297424316</v>
      </c>
      <c r="CP69" s="9">
        <v>-0.76071232557296753</v>
      </c>
      <c r="CQ69" s="9">
        <v>0.26213729381561279</v>
      </c>
      <c r="CR69">
        <v>26.596599350685082</v>
      </c>
      <c r="CS69">
        <v>0.10133610978280003</v>
      </c>
      <c r="CT69">
        <v>0</v>
      </c>
      <c r="CU69" s="8">
        <v>2.6245924979448318</v>
      </c>
      <c r="CV69" s="9">
        <v>-0.73505674600601201</v>
      </c>
      <c r="CW69">
        <v>0.06</v>
      </c>
      <c r="CX69">
        <v>0.5323548441175685</v>
      </c>
      <c r="CY69">
        <v>557366582.23113918</v>
      </c>
      <c r="CZ69">
        <v>2.6245924979448318</v>
      </c>
      <c r="DA69">
        <v>3.6442652922937878E-2</v>
      </c>
      <c r="DB69">
        <v>8142019754.3642426</v>
      </c>
      <c r="DC69">
        <v>2.4933628730475901</v>
      </c>
      <c r="DD69">
        <v>1.3369200380923907E-3</v>
      </c>
      <c r="DE69">
        <v>221940573516.55518</v>
      </c>
      <c r="DF69">
        <v>2.3096413981914519</v>
      </c>
      <c r="DG69">
        <v>2.6200357730130667E-5</v>
      </c>
      <c r="DH69">
        <v>11324914073931.623</v>
      </c>
      <c r="DI69">
        <v>2.0996739983558657</v>
      </c>
      <c r="DJ69">
        <v>3.2009240057170379E-9</v>
      </c>
      <c r="DK69">
        <v>9.2697233508214E+16</v>
      </c>
      <c r="DL69">
        <v>1.8372147485613821</v>
      </c>
      <c r="DM69">
        <v>163000000</v>
      </c>
      <c r="DN69">
        <v>2.6245924979448318</v>
      </c>
      <c r="DO69">
        <v>296716800</v>
      </c>
      <c r="DP69">
        <v>208821390</v>
      </c>
      <c r="DQ69">
        <v>4401</v>
      </c>
      <c r="DR69">
        <v>-3.5900873177646515</v>
      </c>
      <c r="DS69">
        <v>-0.49340510633385293</v>
      </c>
      <c r="DT69" s="10">
        <v>-0.64</v>
      </c>
      <c r="DU69">
        <v>-1.6816666666666666</v>
      </c>
      <c r="DV69">
        <v>-2.3216666666666668</v>
      </c>
      <c r="DW69">
        <v>6.1310248011230701</v>
      </c>
      <c r="DX69">
        <v>0.371717085427135</v>
      </c>
      <c r="DY69">
        <v>6.0211889489562926</v>
      </c>
      <c r="DZ69">
        <v>1431</v>
      </c>
      <c r="EA69">
        <v>6.0152552139354603</v>
      </c>
      <c r="EB69">
        <v>6</v>
      </c>
      <c r="EC69">
        <v>0.14648020027309969</v>
      </c>
      <c r="ED69">
        <v>0.90578060992262177</v>
      </c>
      <c r="EE69" s="11">
        <v>-1.0568</v>
      </c>
      <c r="EF69">
        <v>-1.026</v>
      </c>
      <c r="EG69">
        <v>21.161717085427135</v>
      </c>
      <c r="EH69" t="s">
        <v>725</v>
      </c>
      <c r="EI69">
        <v>0</v>
      </c>
      <c r="EJ69">
        <v>1</v>
      </c>
      <c r="EK69" s="12">
        <v>45470</v>
      </c>
      <c r="EL69">
        <v>1.71</v>
      </c>
      <c r="EM69">
        <v>-3.93</v>
      </c>
      <c r="EN69">
        <v>1.17</v>
      </c>
      <c r="EO69">
        <v>3.17</v>
      </c>
      <c r="EP69">
        <v>-3.08</v>
      </c>
    </row>
    <row r="70" spans="1:146" ht="96" x14ac:dyDescent="0.25">
      <c r="A70" s="7"/>
      <c r="B70" s="6"/>
      <c r="C70" s="7" t="str">
        <f>""&amp;CHAR(10)&amp;Basic_Fundamental_Information_Constructure(F70)&amp;CHAR(10)&amp;Basic_Fundamental_Information_Concatenate("")</f>
        <v xml:space="preserve">
市值48.354555亿, 利润9816.84万; PE25.02; 平均PE43.31; 平均PEG7.18, PB3.16; ROIC8.8533%; ROE11.6467%; 股利率1.8182%; 毛利66.4767%; 净利10.31%; 上一年度营收增-27.73%, 利润增-65.68%; 当季营收增98.19%, 利润增823%; 过往5年营收增6.03%, 利润增48.28%
Income profile:
</v>
      </c>
      <c r="D70" t="s">
        <v>339</v>
      </c>
      <c r="E70" t="s">
        <v>23</v>
      </c>
      <c r="F70">
        <v>11</v>
      </c>
      <c r="G70">
        <v>7.42</v>
      </c>
      <c r="H70" t="s">
        <v>2672</v>
      </c>
      <c r="I70">
        <v>4835455500</v>
      </c>
      <c r="J70">
        <v>25.02</v>
      </c>
      <c r="K70">
        <v>3.16</v>
      </c>
      <c r="L70" t="s">
        <v>114</v>
      </c>
      <c r="M70" t="s">
        <v>1038</v>
      </c>
      <c r="N70" t="s">
        <v>2045</v>
      </c>
      <c r="O70" t="s">
        <v>1051</v>
      </c>
      <c r="P70">
        <v>0.37</v>
      </c>
      <c r="Q70" t="s">
        <v>2673</v>
      </c>
      <c r="R70">
        <v>70192887</v>
      </c>
      <c r="S70" s="5">
        <v>0.1004</v>
      </c>
      <c r="T70" t="s">
        <v>2674</v>
      </c>
      <c r="U70">
        <v>434467860</v>
      </c>
      <c r="V70">
        <v>439586860</v>
      </c>
      <c r="W70">
        <v>1.96</v>
      </c>
      <c r="X70">
        <v>0.14000000000000001</v>
      </c>
      <c r="Y70">
        <v>15.57</v>
      </c>
      <c r="Z70" t="s">
        <v>546</v>
      </c>
      <c r="AA70" t="s">
        <v>586</v>
      </c>
      <c r="AB70" t="s">
        <v>1006</v>
      </c>
      <c r="AC70" t="s">
        <v>2675</v>
      </c>
      <c r="AD70" t="s">
        <v>53</v>
      </c>
      <c r="AE70">
        <v>3318602</v>
      </c>
      <c r="AF70" t="s">
        <v>1672</v>
      </c>
      <c r="AG70" t="s">
        <v>2676</v>
      </c>
      <c r="AH70" t="s">
        <v>1673</v>
      </c>
      <c r="AI70" t="s">
        <v>404</v>
      </c>
      <c r="AJ70" t="s">
        <v>1674</v>
      </c>
      <c r="AK70" t="s">
        <v>53</v>
      </c>
      <c r="AL70" t="s">
        <v>1675</v>
      </c>
      <c r="AM70" t="s">
        <v>53</v>
      </c>
      <c r="AN70" t="s">
        <v>756</v>
      </c>
      <c r="AO70" t="s">
        <v>155</v>
      </c>
      <c r="AP70" t="s">
        <v>88</v>
      </c>
      <c r="AQ70" t="s">
        <v>1020</v>
      </c>
      <c r="AR70" t="s">
        <v>2677</v>
      </c>
      <c r="AS70" t="s">
        <v>2678</v>
      </c>
      <c r="AT70" t="s">
        <v>415</v>
      </c>
      <c r="AU70" t="s">
        <v>2679</v>
      </c>
      <c r="AV70" t="s">
        <v>2680</v>
      </c>
      <c r="AW70" t="s">
        <v>2681</v>
      </c>
      <c r="AX70" t="s">
        <v>882</v>
      </c>
      <c r="AY70" t="s">
        <v>506</v>
      </c>
      <c r="AZ70" t="s">
        <v>561</v>
      </c>
      <c r="BA70" t="s">
        <v>340</v>
      </c>
      <c r="BB70" t="s">
        <v>563</v>
      </c>
      <c r="BC70" t="s">
        <v>400</v>
      </c>
      <c r="BD70" t="s">
        <v>702</v>
      </c>
      <c r="BE70" t="s">
        <v>562</v>
      </c>
      <c r="BF70" t="s">
        <v>341</v>
      </c>
      <c r="BG70" t="s">
        <v>564</v>
      </c>
      <c r="BH70" t="s">
        <v>1196</v>
      </c>
      <c r="BI70" t="s">
        <v>1172</v>
      </c>
      <c r="BJ70" t="s">
        <v>882</v>
      </c>
      <c r="BK70" t="s">
        <v>624</v>
      </c>
      <c r="BL70" t="s">
        <v>2682</v>
      </c>
      <c r="BM70" t="s">
        <v>400</v>
      </c>
      <c r="BN70">
        <v>6.79</v>
      </c>
      <c r="BO70">
        <v>15.05</v>
      </c>
      <c r="BP70">
        <v>4.72</v>
      </c>
      <c r="BQ70">
        <v>9.7200000000000006</v>
      </c>
      <c r="BR70">
        <v>19.239999999999998</v>
      </c>
      <c r="BS70">
        <v>5.98</v>
      </c>
      <c r="BT70" t="s">
        <v>783</v>
      </c>
      <c r="BU70" t="s">
        <v>114</v>
      </c>
      <c r="BV70">
        <v>68.099999999999994</v>
      </c>
      <c r="BW70">
        <v>67.28</v>
      </c>
      <c r="BX70">
        <v>64.05</v>
      </c>
      <c r="BY70">
        <v>11.03</v>
      </c>
      <c r="BZ70">
        <v>15.44</v>
      </c>
      <c r="CA70">
        <v>4.46</v>
      </c>
      <c r="CB70">
        <v>7.11</v>
      </c>
      <c r="CC70">
        <v>-5.25</v>
      </c>
      <c r="CD70" t="s">
        <v>2683</v>
      </c>
      <c r="CE70" t="s">
        <v>328</v>
      </c>
      <c r="CF70" s="8">
        <v>0.98190045248868774</v>
      </c>
      <c r="CG70" s="9">
        <v>8.229955291982801</v>
      </c>
      <c r="CH70" s="8">
        <v>-0.27734372019767761</v>
      </c>
      <c r="CI70" s="8">
        <v>0.1435864269733429</v>
      </c>
      <c r="CJ70" s="8">
        <v>0.22517590224742889</v>
      </c>
      <c r="CK70" s="8">
        <v>0.16910426318645477</v>
      </c>
      <c r="CL70" s="8">
        <v>4.09134142100811E-2</v>
      </c>
      <c r="CM70" s="9">
        <v>-0.65675383806228638</v>
      </c>
      <c r="CN70" s="9">
        <v>3.083345890045166</v>
      </c>
      <c r="CO70" s="9">
        <v>9.7926907241344452E-2</v>
      </c>
      <c r="CP70" s="9">
        <v>-0.19157356023788452</v>
      </c>
      <c r="CQ70" s="9">
        <v>8.1058822572231293E-2</v>
      </c>
      <c r="CR70">
        <v>43.308591594267327</v>
      </c>
      <c r="CS70">
        <v>7.1837057357416736</v>
      </c>
      <c r="CT70">
        <v>1.8181818181818181</v>
      </c>
      <c r="CU70" s="8">
        <v>6.0287257283926012E-2</v>
      </c>
      <c r="CV70" s="9">
        <v>0.48280084431171416</v>
      </c>
      <c r="CW70">
        <v>0.06</v>
      </c>
      <c r="CX70">
        <v>47.552882927238244</v>
      </c>
      <c r="CY70">
        <v>98195003.384859771</v>
      </c>
      <c r="CZ70">
        <v>6.0287257283926012E-2</v>
      </c>
      <c r="DA70">
        <v>15.937120154190517</v>
      </c>
      <c r="DB70">
        <v>292992426.16127294</v>
      </c>
      <c r="DC70">
        <v>5.7272894419729707E-2</v>
      </c>
      <c r="DD70">
        <v>8.1116821803097885</v>
      </c>
      <c r="DE70">
        <v>575645765.72472072</v>
      </c>
      <c r="DF70">
        <v>5.3052786409854891E-2</v>
      </c>
      <c r="DG70">
        <v>5.0552504255249806</v>
      </c>
      <c r="DH70">
        <v>923684309.76692581</v>
      </c>
      <c r="DI70">
        <v>4.8229805827140815E-2</v>
      </c>
      <c r="DJ70">
        <v>2.8275916860905079</v>
      </c>
      <c r="DK70">
        <v>1651389598.777642</v>
      </c>
      <c r="DL70">
        <v>4.2201080098748206E-2</v>
      </c>
      <c r="DM70">
        <v>98168400</v>
      </c>
      <c r="DN70">
        <v>6.0287257283926012E-2</v>
      </c>
      <c r="DO70">
        <v>4669455500</v>
      </c>
      <c r="DP70">
        <v>-182262880</v>
      </c>
      <c r="DQ70">
        <v>4425</v>
      </c>
      <c r="DR70">
        <v>0.9216131952047617</v>
      </c>
      <c r="DS70">
        <v>7.747154447671087</v>
      </c>
      <c r="DT70" s="10">
        <v>-0.35666666666666669</v>
      </c>
      <c r="DU70">
        <v>8.6666666666666628E-2</v>
      </c>
      <c r="DV70">
        <v>-0.27000000000000007</v>
      </c>
      <c r="DW70">
        <v>5.7383966244725739</v>
      </c>
      <c r="DX70">
        <v>0.61245037593984819</v>
      </c>
      <c r="DY70">
        <v>5.1716405729513655</v>
      </c>
      <c r="DZ70">
        <v>2005</v>
      </c>
      <c r="EA70">
        <v>5.1042943207463773</v>
      </c>
      <c r="EB70">
        <v>5</v>
      </c>
      <c r="EC70">
        <v>7.0329445243199493E-2</v>
      </c>
      <c r="ED70">
        <v>0.30255681436883713</v>
      </c>
      <c r="EE70" s="11">
        <v>-1.01101</v>
      </c>
      <c r="EF70">
        <v>-1.0172099999999999</v>
      </c>
      <c r="EG70">
        <v>38.232450375939848</v>
      </c>
      <c r="EH70" t="s">
        <v>721</v>
      </c>
      <c r="EI70">
        <v>1</v>
      </c>
      <c r="EJ70">
        <v>0</v>
      </c>
      <c r="EK70" s="12">
        <v>45470</v>
      </c>
      <c r="EL70">
        <v>-0.42</v>
      </c>
      <c r="EM70">
        <v>-4.8499999999999996</v>
      </c>
      <c r="EN70">
        <v>0.67</v>
      </c>
      <c r="EO70">
        <v>6.17</v>
      </c>
      <c r="EP70">
        <v>-0.62</v>
      </c>
    </row>
    <row r="71" spans="1:146" ht="96" x14ac:dyDescent="0.25">
      <c r="A71" s="7"/>
      <c r="B71" s="6"/>
      <c r="C71" s="7" t="str">
        <f>""&amp;CHAR(10)&amp;Basic_Fundamental_Information_Constructure(F71)&amp;CHAR(10)&amp;Basic_Fundamental_Information_Concatenate("")</f>
        <v xml:space="preserve">
市值40.731071亿, 利润3091.10万; PE42.89; 平均PE45.96; 平均PEG1.25, PB3.54; ROIC5.6867%; ROE8.0133%; 股利率1.2279%; 毛利56.7867%; 净利5.5467%; 上一年度营收增133.4%, 利润增-63.92%; 当季营收增-36.67%, 利润增292.32%; 过往5年营收增36.7%, 利润增-13.11%
Income profile:
</v>
      </c>
      <c r="D71" t="s">
        <v>343</v>
      </c>
      <c r="E71" t="s">
        <v>344</v>
      </c>
      <c r="F71">
        <v>10.18</v>
      </c>
      <c r="G71">
        <v>7.5</v>
      </c>
      <c r="H71" t="s">
        <v>2684</v>
      </c>
      <c r="I71">
        <v>4073107100</v>
      </c>
      <c r="J71">
        <v>42.89</v>
      </c>
      <c r="K71">
        <v>3.54</v>
      </c>
      <c r="L71" t="s">
        <v>114</v>
      </c>
      <c r="M71" t="s">
        <v>999</v>
      </c>
      <c r="N71" t="s">
        <v>1955</v>
      </c>
      <c r="O71" t="s">
        <v>437</v>
      </c>
      <c r="P71">
        <v>-18.37</v>
      </c>
      <c r="Q71" t="s">
        <v>2685</v>
      </c>
      <c r="R71">
        <v>29032484</v>
      </c>
      <c r="S71" s="5">
        <v>-0.28420000000000001</v>
      </c>
      <c r="T71" t="s">
        <v>2686</v>
      </c>
      <c r="U71">
        <v>400108750</v>
      </c>
      <c r="V71">
        <v>400108750</v>
      </c>
      <c r="W71">
        <v>2.5499999999999998</v>
      </c>
      <c r="X71">
        <v>0.14000000000000001</v>
      </c>
      <c r="Y71">
        <v>7.01</v>
      </c>
      <c r="Z71" t="s">
        <v>228</v>
      </c>
      <c r="AA71" t="s">
        <v>1055</v>
      </c>
      <c r="AB71" t="s">
        <v>213</v>
      </c>
      <c r="AC71" t="s">
        <v>2687</v>
      </c>
      <c r="AD71" t="s">
        <v>53</v>
      </c>
      <c r="AE71">
        <v>5473146</v>
      </c>
      <c r="AF71" t="s">
        <v>1678</v>
      </c>
      <c r="AG71" t="s">
        <v>2688</v>
      </c>
      <c r="AH71" t="s">
        <v>1679</v>
      </c>
      <c r="AI71" t="s">
        <v>231</v>
      </c>
      <c r="AJ71" t="s">
        <v>1680</v>
      </c>
      <c r="AK71" t="s">
        <v>2689</v>
      </c>
      <c r="AL71" t="s">
        <v>1681</v>
      </c>
      <c r="AM71" t="s">
        <v>53</v>
      </c>
      <c r="AN71" t="s">
        <v>2690</v>
      </c>
      <c r="AO71" t="s">
        <v>2691</v>
      </c>
      <c r="AP71" t="s">
        <v>2692</v>
      </c>
      <c r="AQ71" t="s">
        <v>194</v>
      </c>
      <c r="AR71" t="s">
        <v>53</v>
      </c>
      <c r="AS71" t="s">
        <v>1008</v>
      </c>
      <c r="AT71" t="s">
        <v>1401</v>
      </c>
      <c r="AU71" t="s">
        <v>2693</v>
      </c>
      <c r="AV71" t="s">
        <v>2694</v>
      </c>
      <c r="AW71" t="s">
        <v>2695</v>
      </c>
      <c r="AX71" t="s">
        <v>883</v>
      </c>
      <c r="AY71" t="s">
        <v>703</v>
      </c>
      <c r="AZ71" t="s">
        <v>461</v>
      </c>
      <c r="BA71" t="s">
        <v>345</v>
      </c>
      <c r="BB71" t="s">
        <v>492</v>
      </c>
      <c r="BC71" t="s">
        <v>884</v>
      </c>
      <c r="BD71" t="s">
        <v>704</v>
      </c>
      <c r="BE71" t="s">
        <v>310</v>
      </c>
      <c r="BF71" t="s">
        <v>84</v>
      </c>
      <c r="BG71" t="s">
        <v>67</v>
      </c>
      <c r="BH71" t="s">
        <v>1677</v>
      </c>
      <c r="BI71" t="s">
        <v>2696</v>
      </c>
      <c r="BJ71" t="s">
        <v>883</v>
      </c>
      <c r="BK71" t="s">
        <v>338</v>
      </c>
      <c r="BL71" t="s">
        <v>2697</v>
      </c>
      <c r="BM71" t="s">
        <v>884</v>
      </c>
      <c r="BN71">
        <v>4.79</v>
      </c>
      <c r="BO71">
        <v>6.32</v>
      </c>
      <c r="BP71">
        <v>5.95</v>
      </c>
      <c r="BQ71">
        <v>7.36</v>
      </c>
      <c r="BR71">
        <v>8.82</v>
      </c>
      <c r="BS71">
        <v>7.86</v>
      </c>
      <c r="BT71" t="s">
        <v>1684</v>
      </c>
      <c r="BU71" t="s">
        <v>114</v>
      </c>
      <c r="BV71">
        <v>52.77</v>
      </c>
      <c r="BW71">
        <v>57.85</v>
      </c>
      <c r="BX71">
        <v>59.74</v>
      </c>
      <c r="BY71">
        <v>5.91</v>
      </c>
      <c r="BZ71">
        <v>5.59</v>
      </c>
      <c r="CA71">
        <v>5.14</v>
      </c>
      <c r="CB71">
        <v>4.41</v>
      </c>
      <c r="CC71">
        <v>-9.91</v>
      </c>
      <c r="CD71" t="s">
        <v>2698</v>
      </c>
      <c r="CE71" t="s">
        <v>2699</v>
      </c>
      <c r="CF71" s="8">
        <v>-0.36671575846833576</v>
      </c>
      <c r="CG71" s="9">
        <v>2.9232414743368929</v>
      </c>
      <c r="CH71" s="8">
        <v>1.3339933156967163</v>
      </c>
      <c r="CI71" s="8">
        <v>0.11890698969364166</v>
      </c>
      <c r="CJ71" s="8">
        <v>0.16523236036300659</v>
      </c>
      <c r="CK71" s="8">
        <v>-0.11026033759117126</v>
      </c>
      <c r="CL71" s="8">
        <v>0.32723575830459595</v>
      </c>
      <c r="CM71" s="9">
        <v>-0.63923579454421997</v>
      </c>
      <c r="CN71" s="9">
        <v>0.18775282800197601</v>
      </c>
      <c r="CO71" s="9">
        <v>-0.40870571136474609</v>
      </c>
      <c r="CP71" s="9">
        <v>1.666666753590107E-2</v>
      </c>
      <c r="CQ71" s="9">
        <v>0.18811881542205811</v>
      </c>
      <c r="CR71">
        <v>45.960546208617927</v>
      </c>
      <c r="CS71">
        <v>1.2522571980244417</v>
      </c>
      <c r="CT71">
        <v>1.2278978388998036</v>
      </c>
      <c r="CU71" s="8">
        <v>0.36702161729335786</v>
      </c>
      <c r="CV71" s="9">
        <v>-0.13108063898980618</v>
      </c>
      <c r="CW71">
        <v>0.06</v>
      </c>
      <c r="CX71">
        <v>120.01024471052644</v>
      </c>
      <c r="CY71">
        <v>39864155.860523567</v>
      </c>
      <c r="CZ71">
        <v>0.36702161729335786</v>
      </c>
      <c r="DA71">
        <v>31.261454542361069</v>
      </c>
      <c r="DB71">
        <v>153035332.80952299</v>
      </c>
      <c r="DC71">
        <v>0.34867053642868995</v>
      </c>
      <c r="DD71">
        <v>11.066843260060189</v>
      </c>
      <c r="DE71">
        <v>432291936.1536147</v>
      </c>
      <c r="DF71">
        <v>0.32297902321815491</v>
      </c>
      <c r="DG71">
        <v>4.4167652177230616</v>
      </c>
      <c r="DH71">
        <v>1083169891.1236923</v>
      </c>
      <c r="DI71">
        <v>0.29361729383468632</v>
      </c>
      <c r="DJ71">
        <v>0.83039256599070721</v>
      </c>
      <c r="DK71">
        <v>5761259548.7199221</v>
      </c>
      <c r="DL71">
        <v>0.2569151321053505</v>
      </c>
      <c r="DM71">
        <v>30911000</v>
      </c>
      <c r="DN71">
        <v>0.36702161729335786</v>
      </c>
      <c r="DO71">
        <v>4784107100</v>
      </c>
      <c r="DP71">
        <v>94188960</v>
      </c>
      <c r="DQ71">
        <v>4487</v>
      </c>
      <c r="DR71">
        <v>-0.73373737576169362</v>
      </c>
      <c r="DS71">
        <v>3.0543221133266991</v>
      </c>
      <c r="DT71" s="10">
        <v>0.12666666666666662</v>
      </c>
      <c r="DU71">
        <v>-0.21666666666666667</v>
      </c>
      <c r="DV71">
        <v>-9.0000000000000052E-2</v>
      </c>
      <c r="DW71">
        <v>6.3079608938547489</v>
      </c>
      <c r="DX71">
        <v>0.96038480816750393</v>
      </c>
      <c r="DY71">
        <v>6.0647902935767233</v>
      </c>
      <c r="DZ71">
        <v>2943</v>
      </c>
      <c r="EA71">
        <v>6.0274756489590526</v>
      </c>
      <c r="EB71">
        <v>6</v>
      </c>
      <c r="EC71">
        <v>2.3918247226535287E-2</v>
      </c>
      <c r="ED71">
        <v>0.11368809105024572</v>
      </c>
      <c r="EE71" s="11">
        <v>-3.0893000000000002</v>
      </c>
      <c r="EF71">
        <v>-3.0552999999999999</v>
      </c>
      <c r="EG71">
        <v>75.210384808167504</v>
      </c>
      <c r="EH71" t="s">
        <v>985</v>
      </c>
      <c r="EI71">
        <v>0</v>
      </c>
      <c r="EJ71">
        <v>0</v>
      </c>
      <c r="EK71" s="12">
        <v>45470</v>
      </c>
      <c r="EL71">
        <v>-0.16</v>
      </c>
      <c r="EM71">
        <v>-5.34</v>
      </c>
      <c r="EN71">
        <v>3.32</v>
      </c>
      <c r="EO71">
        <v>4.01</v>
      </c>
      <c r="EP71">
        <v>-3.4</v>
      </c>
    </row>
  </sheetData>
  <sortState ref="A2:D71">
    <sortCondition ref="C2:C71"/>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asic_Fundamental_Tabel_Update_Buttom &quot;中药&quot;,&quot;&quot;'" altText="更新基本面按钮_x000a_">
                <anchor moveWithCells="1" sizeWithCells="1">
                  <from>
                    <xdr:col>147</xdr:col>
                    <xdr:colOff>292100</xdr:colOff>
                    <xdr:row>0</xdr:row>
                    <xdr:rowOff>139700</xdr:rowOff>
                  </from>
                  <to>
                    <xdr:col>147</xdr:col>
                    <xdr:colOff>1727200</xdr:colOff>
                    <xdr:row>0</xdr:row>
                    <xdr:rowOff>450850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8"/>
  <sheetViews>
    <sheetView workbookViewId="0">
      <selection activeCell="A5" sqref="A5:I5"/>
    </sheetView>
  </sheetViews>
  <sheetFormatPr defaultRowHeight="14" x14ac:dyDescent="0.25"/>
  <sheetData>
    <row r="1" spans="1:30" x14ac:dyDescent="0.25">
      <c r="A1">
        <v>1</v>
      </c>
      <c r="B1">
        <f>A1+A1*$A$2</f>
        <v>1.1499999999999999</v>
      </c>
      <c r="C1">
        <f t="shared" ref="C1:AD1" si="0">B1+B1*$A$2</f>
        <v>1.3224999999999998</v>
      </c>
      <c r="D1">
        <f t="shared" si="0"/>
        <v>1.5208749999999998</v>
      </c>
      <c r="E1">
        <f t="shared" si="0"/>
        <v>1.7490062499999997</v>
      </c>
      <c r="F1">
        <f t="shared" si="0"/>
        <v>2.0113571874999998</v>
      </c>
      <c r="G1">
        <f t="shared" si="0"/>
        <v>2.313060765625</v>
      </c>
      <c r="H1">
        <f t="shared" si="0"/>
        <v>2.66001988046875</v>
      </c>
      <c r="I1">
        <f t="shared" si="0"/>
        <v>3.0590228625390625</v>
      </c>
      <c r="J1">
        <f t="shared" si="0"/>
        <v>3.5178762919199218</v>
      </c>
      <c r="K1">
        <f t="shared" si="0"/>
        <v>4.0455577357079102</v>
      </c>
      <c r="L1">
        <f t="shared" si="0"/>
        <v>4.6523913960640968</v>
      </c>
      <c r="M1">
        <f t="shared" si="0"/>
        <v>5.3502501054737115</v>
      </c>
      <c r="N1">
        <f t="shared" si="0"/>
        <v>6.1527876212947685</v>
      </c>
      <c r="O1">
        <f t="shared" si="0"/>
        <v>7.0757057644889834</v>
      </c>
      <c r="P1">
        <f t="shared" si="0"/>
        <v>8.1370616291623303</v>
      </c>
      <c r="Q1">
        <f t="shared" si="0"/>
        <v>9.3576208735366802</v>
      </c>
      <c r="R1">
        <f t="shared" si="0"/>
        <v>10.761264004567183</v>
      </c>
      <c r="S1">
        <f t="shared" si="0"/>
        <v>12.375453605252261</v>
      </c>
      <c r="T1">
        <f t="shared" si="0"/>
        <v>14.2317716460401</v>
      </c>
      <c r="U1">
        <f t="shared" si="0"/>
        <v>16.366537392946114</v>
      </c>
      <c r="V1">
        <f t="shared" si="0"/>
        <v>18.82151800188803</v>
      </c>
      <c r="W1">
        <f t="shared" si="0"/>
        <v>21.644745702171235</v>
      </c>
      <c r="X1">
        <f t="shared" si="0"/>
        <v>24.891457557496921</v>
      </c>
      <c r="Y1">
        <f t="shared" si="0"/>
        <v>28.625176191121458</v>
      </c>
      <c r="Z1">
        <f t="shared" si="0"/>
        <v>32.918952619789678</v>
      </c>
      <c r="AA1">
        <f t="shared" si="0"/>
        <v>37.856795512758133</v>
      </c>
      <c r="AB1">
        <f t="shared" si="0"/>
        <v>43.535314839671855</v>
      </c>
      <c r="AC1">
        <f t="shared" si="0"/>
        <v>50.065612065622631</v>
      </c>
      <c r="AD1">
        <f t="shared" si="0"/>
        <v>57.575453875466025</v>
      </c>
    </row>
    <row r="2" spans="1:30" x14ac:dyDescent="0.25">
      <c r="A2">
        <v>0.15</v>
      </c>
      <c r="B2" t="s">
        <v>2</v>
      </c>
    </row>
    <row r="3" spans="1:30" s="1" customFormat="1" x14ac:dyDescent="0.25">
      <c r="A3" s="1">
        <v>1</v>
      </c>
      <c r="B3" s="1">
        <v>2</v>
      </c>
      <c r="C3" s="1">
        <v>3</v>
      </c>
      <c r="D3" s="1">
        <v>4</v>
      </c>
      <c r="E3" s="1">
        <v>5</v>
      </c>
      <c r="F3" s="1">
        <v>6</v>
      </c>
      <c r="G3" s="1">
        <v>7</v>
      </c>
      <c r="H3" s="1">
        <v>8</v>
      </c>
      <c r="I3" s="1">
        <v>9</v>
      </c>
      <c r="J3" s="1">
        <v>10</v>
      </c>
      <c r="K3" s="1">
        <v>11</v>
      </c>
      <c r="L3" s="1">
        <v>12</v>
      </c>
      <c r="M3" s="1">
        <v>13</v>
      </c>
      <c r="N3" s="1">
        <v>14</v>
      </c>
      <c r="O3" s="1">
        <v>15</v>
      </c>
      <c r="P3" s="1">
        <v>16</v>
      </c>
      <c r="Q3" s="1">
        <v>17</v>
      </c>
      <c r="R3" s="1">
        <v>18</v>
      </c>
      <c r="S3" s="1">
        <v>19</v>
      </c>
      <c r="T3" s="1">
        <v>20</v>
      </c>
      <c r="U3" s="1">
        <v>21</v>
      </c>
      <c r="V3" s="1">
        <v>22</v>
      </c>
      <c r="W3" s="1">
        <v>23</v>
      </c>
      <c r="X3" s="1">
        <v>24</v>
      </c>
      <c r="Y3" s="1">
        <v>25</v>
      </c>
      <c r="Z3" s="1">
        <v>26</v>
      </c>
      <c r="AA3" s="1">
        <v>27</v>
      </c>
      <c r="AB3" s="1">
        <v>28</v>
      </c>
      <c r="AC3" s="1">
        <v>29</v>
      </c>
      <c r="AD3" s="1">
        <v>30</v>
      </c>
    </row>
    <row r="4" spans="1:30" x14ac:dyDescent="0.25">
      <c r="A4">
        <v>0.15</v>
      </c>
      <c r="B4" t="s">
        <v>0</v>
      </c>
    </row>
    <row r="5" spans="1:30" x14ac:dyDescent="0.25">
      <c r="A5">
        <v>1</v>
      </c>
      <c r="B5">
        <f>A5*$A$4+A5</f>
        <v>1.1499999999999999</v>
      </c>
      <c r="C5">
        <f t="shared" ref="C5:AD5" si="1">B5*$A$4+B5</f>
        <v>1.3224999999999998</v>
      </c>
      <c r="D5">
        <f t="shared" si="1"/>
        <v>1.5208749999999998</v>
      </c>
      <c r="E5">
        <f t="shared" si="1"/>
        <v>1.7490062499999997</v>
      </c>
      <c r="F5">
        <f t="shared" si="1"/>
        <v>2.0113571874999998</v>
      </c>
      <c r="G5">
        <f t="shared" si="1"/>
        <v>2.313060765625</v>
      </c>
      <c r="H5">
        <f t="shared" si="1"/>
        <v>2.66001988046875</v>
      </c>
      <c r="I5">
        <f t="shared" si="1"/>
        <v>3.0590228625390625</v>
      </c>
      <c r="J5">
        <f t="shared" si="1"/>
        <v>3.5178762919199218</v>
      </c>
      <c r="K5">
        <f t="shared" si="1"/>
        <v>4.0455577357079102</v>
      </c>
      <c r="L5">
        <f t="shared" si="1"/>
        <v>4.6523913960640968</v>
      </c>
      <c r="M5">
        <f t="shared" si="1"/>
        <v>5.3502501054737115</v>
      </c>
      <c r="N5">
        <f t="shared" si="1"/>
        <v>6.1527876212947685</v>
      </c>
      <c r="O5">
        <f t="shared" si="1"/>
        <v>7.0757057644889834</v>
      </c>
      <c r="P5">
        <f t="shared" si="1"/>
        <v>8.1370616291623303</v>
      </c>
      <c r="Q5">
        <f t="shared" si="1"/>
        <v>9.3576208735366802</v>
      </c>
      <c r="R5">
        <f t="shared" si="1"/>
        <v>10.761264004567183</v>
      </c>
      <c r="S5">
        <f t="shared" si="1"/>
        <v>12.375453605252261</v>
      </c>
      <c r="T5">
        <f t="shared" si="1"/>
        <v>14.2317716460401</v>
      </c>
      <c r="U5">
        <f t="shared" si="1"/>
        <v>16.366537392946114</v>
      </c>
      <c r="V5">
        <f t="shared" si="1"/>
        <v>18.82151800188803</v>
      </c>
      <c r="W5">
        <f t="shared" si="1"/>
        <v>21.644745702171235</v>
      </c>
      <c r="X5">
        <f t="shared" si="1"/>
        <v>24.891457557496921</v>
      </c>
      <c r="Y5">
        <f t="shared" si="1"/>
        <v>28.625176191121458</v>
      </c>
      <c r="Z5">
        <f t="shared" si="1"/>
        <v>32.918952619789678</v>
      </c>
      <c r="AA5">
        <f t="shared" si="1"/>
        <v>37.856795512758133</v>
      </c>
      <c r="AB5">
        <f t="shared" si="1"/>
        <v>43.535314839671855</v>
      </c>
      <c r="AC5">
        <f t="shared" si="1"/>
        <v>50.065612065622631</v>
      </c>
      <c r="AD5">
        <f t="shared" si="1"/>
        <v>57.575453875466025</v>
      </c>
    </row>
    <row r="6" spans="1:30" x14ac:dyDescent="0.25">
      <c r="A6">
        <v>15</v>
      </c>
      <c r="B6" t="s">
        <v>1</v>
      </c>
    </row>
    <row r="7" spans="1:30" x14ac:dyDescent="0.25">
      <c r="A7">
        <v>0.15</v>
      </c>
      <c r="B7" t="s">
        <v>0</v>
      </c>
    </row>
    <row r="8" spans="1:30" s="2" customFormat="1" x14ac:dyDescent="0.25">
      <c r="A8" s="2">
        <v>1</v>
      </c>
      <c r="B8" s="2">
        <f t="shared" ref="B8:AD8" si="2">A8*$A$7*(1+0.5)+A8</f>
        <v>1.2250000000000001</v>
      </c>
      <c r="C8" s="2">
        <f t="shared" si="2"/>
        <v>1.5006250000000001</v>
      </c>
      <c r="D8" s="2">
        <f t="shared" si="2"/>
        <v>1.838265625</v>
      </c>
      <c r="E8" s="2">
        <f t="shared" si="2"/>
        <v>2.251875390625</v>
      </c>
      <c r="F8" s="2">
        <f t="shared" si="2"/>
        <v>2.7585473535156249</v>
      </c>
      <c r="G8" s="2">
        <f t="shared" si="2"/>
        <v>3.3792205080566404</v>
      </c>
      <c r="H8" s="2">
        <f t="shared" si="2"/>
        <v>4.139545122369384</v>
      </c>
      <c r="I8" s="2">
        <f t="shared" si="2"/>
        <v>5.0709427749024956</v>
      </c>
      <c r="J8" s="2">
        <f t="shared" si="2"/>
        <v>6.2119048992555568</v>
      </c>
      <c r="K8" s="2">
        <f t="shared" si="2"/>
        <v>7.6095835015880571</v>
      </c>
      <c r="L8" s="2">
        <f t="shared" si="2"/>
        <v>9.3217397894453704</v>
      </c>
      <c r="M8" s="2">
        <f t="shared" si="2"/>
        <v>11.419131242070579</v>
      </c>
      <c r="N8" s="2">
        <f t="shared" si="2"/>
        <v>13.988435771536459</v>
      </c>
      <c r="O8" s="2">
        <f t="shared" si="2"/>
        <v>17.135833820132163</v>
      </c>
      <c r="P8" s="2">
        <f t="shared" si="2"/>
        <v>20.991396429661901</v>
      </c>
      <c r="Q8" s="2">
        <f t="shared" si="2"/>
        <v>25.714460626335828</v>
      </c>
      <c r="R8" s="2">
        <f t="shared" si="2"/>
        <v>31.500214267261391</v>
      </c>
      <c r="S8" s="2">
        <f t="shared" si="2"/>
        <v>38.587762477395202</v>
      </c>
      <c r="T8" s="2">
        <f t="shared" si="2"/>
        <v>47.270009034809121</v>
      </c>
      <c r="U8" s="2">
        <f t="shared" si="2"/>
        <v>57.905761067641173</v>
      </c>
      <c r="V8" s="2">
        <f t="shared" si="2"/>
        <v>70.934557307860445</v>
      </c>
      <c r="W8" s="2">
        <f t="shared" si="2"/>
        <v>86.894832702129037</v>
      </c>
      <c r="X8" s="2">
        <f t="shared" si="2"/>
        <v>106.44617006010807</v>
      </c>
      <c r="Y8" s="2">
        <f t="shared" si="2"/>
        <v>130.39655832363241</v>
      </c>
      <c r="Z8" s="2">
        <f t="shared" si="2"/>
        <v>159.73578394644969</v>
      </c>
      <c r="AA8" s="2">
        <f t="shared" si="2"/>
        <v>195.67633533440085</v>
      </c>
      <c r="AB8" s="2">
        <f t="shared" si="2"/>
        <v>239.70351078464103</v>
      </c>
      <c r="AC8" s="2">
        <f t="shared" si="2"/>
        <v>293.63680071118523</v>
      </c>
      <c r="AD8" s="2">
        <f t="shared" si="2"/>
        <v>359.70508087120191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中药</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2024-07-10T15:49:52Z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