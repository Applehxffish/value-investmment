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医药生物\"/>
    </mc:Choice>
  </mc:AlternateContent>
  <bookViews>
    <workbookView xWindow="-110" yWindow="-110" windowWidth="23260" windowHeight="12580"/>
  </bookViews>
  <sheets>
    <sheet name="化学制药" sheetId="7" r:id="rId1"/>
    <sheet name="估值-增速与年化收益" sheetId="14" r:id="rId2"/>
  </sheets>
  <functionGroups builtInGroupCount="18"/>
  <definedNames>
    <definedName name="_xlnm._FilterDatabase" localSheetId="0" hidden="1">化学制药!$BU$1:$BU$149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8" i="7"/>
  <c r="C133" i="7"/>
  <c r="C140" i="7"/>
  <c r="C143" i="7"/>
  <c r="C141" i="7"/>
  <c r="C138" i="7"/>
  <c r="C145" i="7"/>
  <c r="C137" i="7"/>
  <c r="C139" i="7"/>
  <c r="C134" i="7"/>
  <c r="C135" i="7"/>
  <c r="C148" i="7"/>
  <c r="C146" i="7"/>
  <c r="C144" i="7"/>
  <c r="C147" i="7"/>
  <c r="C149" i="7"/>
  <c r="C142" i="7"/>
  <c r="C136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<sst xmlns="http://schemas.openxmlformats.org/spreadsheetml/2006/main" count="8479" uniqueCount="4985">
  <si>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</si>
  <si>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</si>
  <si>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</si>
  <si>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</si>
  <si>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</si>
  <si>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中 关 村</t>
  </si>
  <si>
    <t>普利制药</t>
  </si>
  <si>
    <t>海普瑞</t>
  </si>
  <si>
    <t>华海药业</t>
  </si>
  <si>
    <t>卫信康</t>
  </si>
  <si>
    <t>山河药辅</t>
  </si>
  <si>
    <t>福安药业</t>
  </si>
  <si>
    <t>奥翔药业</t>
  </si>
  <si>
    <t>新华制药</t>
  </si>
  <si>
    <t>威尔药业</t>
  </si>
  <si>
    <t>司太立</t>
  </si>
  <si>
    <t>尔康制药</t>
  </si>
  <si>
    <t>鲁抗医药</t>
  </si>
  <si>
    <t>润都股份</t>
  </si>
  <si>
    <t>翰宇药业</t>
  </si>
  <si>
    <t>昂利康</t>
  </si>
  <si>
    <t>赛托生物</t>
  </si>
  <si>
    <t>千红制药</t>
  </si>
  <si>
    <t>赛隆药业</t>
  </si>
  <si>
    <t>广生堂</t>
  </si>
  <si>
    <t>灵康药业</t>
  </si>
  <si>
    <t>康芝药业</t>
  </si>
  <si>
    <t>丰原药业</t>
  </si>
  <si>
    <t>东北制药</t>
  </si>
  <si>
    <t>海思科</t>
  </si>
  <si>
    <t>誉衡药业</t>
  </si>
  <si>
    <t>亚太药业</t>
  </si>
  <si>
    <t>联环药业</t>
  </si>
  <si>
    <t>德展健康</t>
  </si>
  <si>
    <t>哈药股份</t>
  </si>
  <si>
    <t>海欣股份</t>
  </si>
  <si>
    <t>华仁药业</t>
  </si>
  <si>
    <t>江苏吴中</t>
  </si>
  <si>
    <t>华北制药</t>
  </si>
  <si>
    <t>华润双鹤</t>
  </si>
  <si>
    <t>广济药业</t>
  </si>
  <si>
    <t>丽珠集团</t>
  </si>
  <si>
    <t>振东制药</t>
  </si>
  <si>
    <t>北大医药</t>
  </si>
  <si>
    <t>浙江医药</t>
  </si>
  <si>
    <t>仙琚制药</t>
  </si>
  <si>
    <t>贝达药业</t>
  </si>
  <si>
    <t>诚意药业</t>
  </si>
  <si>
    <t>九典制药</t>
  </si>
  <si>
    <t>同和药业</t>
  </si>
  <si>
    <t>哈三联</t>
  </si>
  <si>
    <t>海南海药</t>
  </si>
  <si>
    <t>仟源医药</t>
  </si>
  <si>
    <t>力生制药</t>
  </si>
  <si>
    <t>兴齐眼药</t>
  </si>
  <si>
    <t>一品红</t>
  </si>
  <si>
    <t>金陵药业</t>
  </si>
  <si>
    <t>花园生物</t>
  </si>
  <si>
    <t>亿帆医药</t>
  </si>
  <si>
    <t>复旦复华</t>
  </si>
  <si>
    <t>永安药业</t>
  </si>
  <si>
    <t>健友股份</t>
  </si>
  <si>
    <t>海正药业</t>
  </si>
  <si>
    <t>北陆药业</t>
  </si>
  <si>
    <t>人福医药</t>
  </si>
  <si>
    <t>新 和 成</t>
  </si>
  <si>
    <t>海辰药业</t>
  </si>
  <si>
    <t>金城医药</t>
  </si>
  <si>
    <t>信立泰</t>
  </si>
  <si>
    <t>天宇股份</t>
  </si>
  <si>
    <t>东诚药业</t>
  </si>
  <si>
    <t>康弘药业</t>
  </si>
  <si>
    <t>美诺华</t>
  </si>
  <si>
    <t>科伦药业</t>
  </si>
  <si>
    <t>普洛药业</t>
  </si>
  <si>
    <t>京新药业</t>
  </si>
  <si>
    <t>莱美药业</t>
  </si>
  <si>
    <t>莎普爱思</t>
  </si>
  <si>
    <t>恒瑞医药</t>
  </si>
  <si>
    <t>华东医药</t>
  </si>
  <si>
    <t>恩华药业</t>
  </si>
  <si>
    <t>--</t>
  </si>
  <si>
    <t>6.62亿</t>
  </si>
  <si>
    <t>6.52亿</t>
  </si>
  <si>
    <t>5.35亿</t>
  </si>
  <si>
    <t>4.30亿</t>
  </si>
  <si>
    <t>1.57亿</t>
  </si>
  <si>
    <t>7.06亿</t>
  </si>
  <si>
    <t>4.62亿</t>
  </si>
  <si>
    <t>2.64亿</t>
  </si>
  <si>
    <t>2.18亿</t>
  </si>
  <si>
    <t>2.03亿</t>
  </si>
  <si>
    <t>1.88亿</t>
  </si>
  <si>
    <t>1.37亿</t>
  </si>
  <si>
    <t>1.02亿</t>
  </si>
  <si>
    <t>代码</t>
  </si>
  <si>
    <t>总市值</t>
  </si>
  <si>
    <t>TTM市盈率</t>
  </si>
  <si>
    <t>所属行业</t>
  </si>
  <si>
    <t>SZ000566</t>
  </si>
  <si>
    <t>化学制药</t>
  </si>
  <si>
    <t>SH688321</t>
  </si>
  <si>
    <t>微芯生物</t>
  </si>
  <si>
    <t>SZ300436</t>
  </si>
  <si>
    <t>SZ002793</t>
  </si>
  <si>
    <t>SZ300573</t>
  </si>
  <si>
    <t>SH688166</t>
  </si>
  <si>
    <t>博瑞医药</t>
  </si>
  <si>
    <t>SZ300558</t>
  </si>
  <si>
    <t>SZ300110</t>
  </si>
  <si>
    <t>SH600624</t>
  </si>
  <si>
    <t>SZ300267</t>
  </si>
  <si>
    <t>SH603676</t>
  </si>
  <si>
    <t>SH600521</t>
  </si>
  <si>
    <t>SH600664</t>
  </si>
  <si>
    <t>SH603229</t>
  </si>
  <si>
    <t>SH600812</t>
  </si>
  <si>
    <t>SZ000788</t>
  </si>
  <si>
    <t>SH600216</t>
  </si>
  <si>
    <t>SH600276</t>
  </si>
  <si>
    <t>SH600200</t>
  </si>
  <si>
    <t>SZ300636</t>
  </si>
  <si>
    <t>SH600851</t>
  </si>
  <si>
    <t>SH600789</t>
  </si>
  <si>
    <t>SH603707</t>
  </si>
  <si>
    <t>SZ002898</t>
  </si>
  <si>
    <t>SZ000931</t>
  </si>
  <si>
    <t>SH688189</t>
  </si>
  <si>
    <t>南新制药</t>
  </si>
  <si>
    <t>SZ300630</t>
  </si>
  <si>
    <t>SH603520</t>
  </si>
  <si>
    <t>SZ300006</t>
  </si>
  <si>
    <t>SZ002653</t>
  </si>
  <si>
    <t>SZ300254</t>
  </si>
  <si>
    <t>SZ002437</t>
  </si>
  <si>
    <t>SZ002773</t>
  </si>
  <si>
    <t>SH600513</t>
  </si>
  <si>
    <t>SZ300705</t>
  </si>
  <si>
    <t>SZ000739</t>
  </si>
  <si>
    <t>SZ300765</t>
  </si>
  <si>
    <t>新诺威</t>
  </si>
  <si>
    <t>SZ002940</t>
  </si>
  <si>
    <t>SZ002294</t>
  </si>
  <si>
    <t>SZ002365</t>
  </si>
  <si>
    <t>SH600488</t>
  </si>
  <si>
    <t>SZ002332</t>
  </si>
  <si>
    <t>SZ000597</t>
  </si>
  <si>
    <t>SH603669</t>
  </si>
  <si>
    <t>SZ002399</t>
  </si>
  <si>
    <t>SZ002675</t>
  </si>
  <si>
    <t>SH603538</t>
  </si>
  <si>
    <t>SZ300452</t>
  </si>
  <si>
    <t>SZ300702</t>
  </si>
  <si>
    <t>SZ300584</t>
  </si>
  <si>
    <t>SH600613</t>
  </si>
  <si>
    <t>神奇制药</t>
  </si>
  <si>
    <t>SZ000915</t>
  </si>
  <si>
    <t>SZ002422</t>
  </si>
  <si>
    <t>SZ002019</t>
  </si>
  <si>
    <t>SZ000513</t>
  </si>
  <si>
    <t>SZ300723</t>
  </si>
  <si>
    <t>SZ300194</t>
  </si>
  <si>
    <t>SZ000153</t>
  </si>
  <si>
    <t>SZ002550</t>
  </si>
  <si>
    <t>SZ300497</t>
  </si>
  <si>
    <t>SZ300583</t>
  </si>
  <si>
    <t>SZ002001</t>
  </si>
  <si>
    <t>SZ002923</t>
  </si>
  <si>
    <t>SH600380</t>
  </si>
  <si>
    <t>SH603811</t>
  </si>
  <si>
    <t>SZ000919</t>
  </si>
  <si>
    <t>SZ000756</t>
  </si>
  <si>
    <t>SZ000813</t>
  </si>
  <si>
    <t>SH603351</t>
  </si>
  <si>
    <t>SZ000952</t>
  </si>
  <si>
    <t>SH600267</t>
  </si>
  <si>
    <t>SZ300401</t>
  </si>
  <si>
    <t>SZ002393</t>
  </si>
  <si>
    <t>SZ002900</t>
  </si>
  <si>
    <t>SZ002755</t>
  </si>
  <si>
    <t>奥赛康</t>
  </si>
  <si>
    <t>SZ300434</t>
  </si>
  <si>
    <t>金石亚药</t>
  </si>
  <si>
    <t>SZ002262</t>
  </si>
  <si>
    <t>SZ000766</t>
  </si>
  <si>
    <t>通化金马</t>
  </si>
  <si>
    <t>SZ300233</t>
  </si>
  <si>
    <t>SH600420</t>
  </si>
  <si>
    <t>SZ002020</t>
  </si>
  <si>
    <t>SZ002435</t>
  </si>
  <si>
    <t>SZ300016</t>
  </si>
  <si>
    <t>SH600062</t>
  </si>
  <si>
    <t>SZ000963</t>
  </si>
  <si>
    <t>SH600079</t>
  </si>
  <si>
    <t>SH603168</t>
  </si>
  <si>
    <t>SH688266</t>
  </si>
  <si>
    <t>SZ000908</t>
  </si>
  <si>
    <t>SZ002102</t>
  </si>
  <si>
    <t>SZ002370</t>
  </si>
  <si>
    <t>SZ300086</t>
  </si>
  <si>
    <t>SZ300111</t>
  </si>
  <si>
    <t>向日葵</t>
  </si>
  <si>
    <t>SZ300158</t>
  </si>
  <si>
    <t>SZ300199</t>
  </si>
  <si>
    <t>SH688505</t>
  </si>
  <si>
    <t>复旦张江</t>
  </si>
  <si>
    <t>SH688566</t>
  </si>
  <si>
    <t>吉贝尔</t>
  </si>
  <si>
    <t>罗欣药业</t>
  </si>
  <si>
    <t>富祥药业</t>
  </si>
  <si>
    <t>SZ002004</t>
  </si>
  <si>
    <t>华邦健康</t>
  </si>
  <si>
    <t>SZ002872</t>
  </si>
  <si>
    <t>ST天圣</t>
  </si>
  <si>
    <t>泽璟制药-U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</si>
  <si>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</si>
  <si>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</si>
  <si>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</si>
  <si>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</si>
  <si>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</si>
  <si>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</si>
  <si>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</si>
  <si>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</si>
  <si>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</si>
  <si>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</si>
  <si>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</si>
  <si>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2.41亿</t>
  </si>
  <si>
    <t>1.87亿</t>
  </si>
  <si>
    <t>5.43亿</t>
  </si>
  <si>
    <t>1.39亿</t>
  </si>
  <si>
    <t>3.06亿</t>
  </si>
  <si>
    <t>1.83亿</t>
  </si>
  <si>
    <t>6.68亿</t>
  </si>
  <si>
    <t>1.05亿</t>
  </si>
  <si>
    <t>4.95亿</t>
  </si>
  <si>
    <t>1.74亿</t>
  </si>
  <si>
    <t>0亿</t>
  </si>
  <si>
    <t>2.00亿</t>
  </si>
  <si>
    <t>1.38亿</t>
  </si>
  <si>
    <t>3.93亿</t>
  </si>
  <si>
    <t>2.40亿</t>
  </si>
  <si>
    <t>1.70亿</t>
  </si>
  <si>
    <t>1.86亿</t>
  </si>
  <si>
    <t>2.30亿</t>
  </si>
  <si>
    <t>3.00亿</t>
  </si>
  <si>
    <t>3.27亿</t>
  </si>
  <si>
    <t>1.55亿</t>
  </si>
  <si>
    <t>1.54亿</t>
  </si>
  <si>
    <t>5.05亿</t>
  </si>
  <si>
    <t>2.24亿</t>
  </si>
  <si>
    <t>5.82亿</t>
  </si>
  <si>
    <t>2.63亿</t>
  </si>
  <si>
    <t>1.80亿</t>
  </si>
  <si>
    <t>1.08亿</t>
  </si>
  <si>
    <t>3.01亿</t>
  </si>
  <si>
    <t>1.49亿</t>
  </si>
  <si>
    <t>2.77亿</t>
  </si>
  <si>
    <t>3.37亿</t>
  </si>
  <si>
    <t>1.79亿</t>
  </si>
  <si>
    <t>1.25亿</t>
  </si>
  <si>
    <t>2.28亿</t>
  </si>
  <si>
    <t>1.84亿</t>
  </si>
  <si>
    <t>2.85亿</t>
  </si>
  <si>
    <t>1.35亿</t>
  </si>
  <si>
    <t>2.04亿</t>
  </si>
  <si>
    <t>1.28亿</t>
  </si>
  <si>
    <t>1.45亿</t>
  </si>
  <si>
    <t>1.11亿</t>
  </si>
  <si>
    <t>1.43亿</t>
  </si>
  <si>
    <t>3.46亿</t>
  </si>
  <si>
    <t>1.76亿</t>
  </si>
  <si>
    <t>1.27亿</t>
  </si>
  <si>
    <t>3.32亿</t>
  </si>
  <si>
    <t>2.17亿</t>
  </si>
  <si>
    <t>1.12亿</t>
  </si>
  <si>
    <t>7.49亿</t>
  </si>
  <si>
    <t>5.06亿</t>
  </si>
  <si>
    <t>1.31亿</t>
  </si>
  <si>
    <t>1.82亿</t>
  </si>
  <si>
    <t>2.19亿</t>
  </si>
  <si>
    <t>11.47亿</t>
  </si>
  <si>
    <t>6.20亿</t>
  </si>
  <si>
    <t>8.34亿</t>
  </si>
  <si>
    <t>4.35亿</t>
  </si>
  <si>
    <t>1.66亿</t>
  </si>
  <si>
    <t>2.93亿</t>
  </si>
  <si>
    <t>2.22亿</t>
  </si>
  <si>
    <t>5.20亿</t>
  </si>
  <si>
    <t>1.01亿</t>
  </si>
  <si>
    <t>2.09亿</t>
  </si>
  <si>
    <t>1.50亿</t>
  </si>
  <si>
    <t>1.15亿</t>
  </si>
  <si>
    <t>3.87亿</t>
  </si>
  <si>
    <t>6.63亿</t>
  </si>
  <si>
    <t>3.60亿</t>
  </si>
  <si>
    <t>5.30亿</t>
  </si>
  <si>
    <t>1.40亿</t>
  </si>
  <si>
    <t>23.00万</t>
  </si>
  <si>
    <t>1.20亿</t>
  </si>
  <si>
    <t>2.37亿</t>
  </si>
  <si>
    <t>2.76亿</t>
  </si>
  <si>
    <t>4.10亿</t>
  </si>
  <si>
    <t>1.51亿</t>
  </si>
  <si>
    <t>1.97亿</t>
  </si>
  <si>
    <t>1.99亿</t>
  </si>
  <si>
    <t>2.44亿</t>
  </si>
  <si>
    <t>1.36亿</t>
  </si>
  <si>
    <t>1.64亿</t>
  </si>
  <si>
    <t>2.21亿</t>
  </si>
  <si>
    <t>2.48亿</t>
  </si>
  <si>
    <t>4.00亿</t>
  </si>
  <si>
    <t>2.08亿</t>
  </si>
  <si>
    <t>1.30亿</t>
  </si>
  <si>
    <t>2.50亿</t>
  </si>
  <si>
    <t>2.45亿</t>
  </si>
  <si>
    <t>4.36亿</t>
  </si>
  <si>
    <t>8.01亿</t>
  </si>
  <si>
    <t>1.24亿</t>
  </si>
  <si>
    <t>5.45亿</t>
  </si>
  <si>
    <t>3.19亿</t>
  </si>
  <si>
    <t>1.53亿</t>
  </si>
  <si>
    <t>7.37亿</t>
  </si>
  <si>
    <t>5.31亿</t>
  </si>
  <si>
    <t>5.11亿</t>
  </si>
  <si>
    <t>1.34亿</t>
  </si>
  <si>
    <t>1.19亿</t>
  </si>
  <si>
    <t>7.97亿</t>
  </si>
  <si>
    <t>7.81亿</t>
  </si>
  <si>
    <t>2.32亿</t>
  </si>
  <si>
    <t>32.57亿</t>
  </si>
  <si>
    <t>4.37亿</t>
  </si>
  <si>
    <t>6.34亿</t>
  </si>
  <si>
    <t>8.11亿</t>
  </si>
  <si>
    <t>2.02亿</t>
  </si>
  <si>
    <t>1.29亿</t>
  </si>
  <si>
    <t>1.09亿</t>
  </si>
  <si>
    <t>4.99亿</t>
  </si>
  <si>
    <t>3.67亿</t>
  </si>
  <si>
    <t>4.29亿</t>
  </si>
  <si>
    <t>1.48亿</t>
  </si>
  <si>
    <t>3.20亿</t>
  </si>
  <si>
    <t>3.08亿</t>
  </si>
  <si>
    <t>21.02亿</t>
  </si>
  <si>
    <t>1.77亿</t>
  </si>
  <si>
    <t>2.97亿</t>
  </si>
  <si>
    <t>2.80亿</t>
  </si>
  <si>
    <t>2.52亿</t>
  </si>
  <si>
    <t>5.22亿</t>
  </si>
  <si>
    <t>1.07亿</t>
  </si>
  <si>
    <t>1.14亿</t>
  </si>
  <si>
    <t>1.71亿</t>
  </si>
  <si>
    <t>5.17亿</t>
  </si>
  <si>
    <t>1.67亿</t>
  </si>
  <si>
    <t>3.75亿</t>
  </si>
  <si>
    <t>3.42亿</t>
  </si>
  <si>
    <t>1.26亿</t>
  </si>
  <si>
    <t>3.45亿</t>
  </si>
  <si>
    <t>2.72亿</t>
  </si>
  <si>
    <t>10.08亿</t>
  </si>
  <si>
    <t>1.06亿</t>
  </si>
  <si>
    <t>1.44亿</t>
  </si>
  <si>
    <t>5.50亿</t>
  </si>
  <si>
    <t>3.29亿</t>
  </si>
  <si>
    <t>-1.15亿</t>
  </si>
  <si>
    <t>1.04亿</t>
  </si>
  <si>
    <t>1.18亿</t>
  </si>
  <si>
    <t>2.07亿</t>
  </si>
  <si>
    <t>3.79亿</t>
  </si>
  <si>
    <t>1.16亿</t>
  </si>
  <si>
    <t>6.14亿</t>
  </si>
  <si>
    <t>1.22亿</t>
  </si>
  <si>
    <t>2.86亿</t>
  </si>
  <si>
    <t>1.46亿</t>
  </si>
  <si>
    <t>1.63亿</t>
  </si>
  <si>
    <t>1.23亿</t>
  </si>
  <si>
    <t>2.79亿</t>
  </si>
  <si>
    <t>3.44亿</t>
  </si>
  <si>
    <t>1.32亿</t>
  </si>
  <si>
    <t>4.17亿</t>
  </si>
  <si>
    <t>3.43亿</t>
  </si>
  <si>
    <t>1.33亿</t>
  </si>
  <si>
    <t>1.13亿</t>
  </si>
  <si>
    <t>1.68亿</t>
  </si>
  <si>
    <t>15.54亿</t>
  </si>
  <si>
    <t>2.31亿</t>
  </si>
  <si>
    <t>3.69亿</t>
  </si>
  <si>
    <t>1.41亿</t>
  </si>
  <si>
    <t>1.69亿</t>
  </si>
  <si>
    <t>9.50亿</t>
  </si>
  <si>
    <t>4.13亿</t>
  </si>
  <si>
    <t>1.92亿</t>
  </si>
  <si>
    <t>2.10亿</t>
  </si>
  <si>
    <t>3.64亿</t>
  </si>
  <si>
    <t>1.03亿</t>
  </si>
  <si>
    <t>16.37亿</t>
  </si>
  <si>
    <t>1.72亿</t>
  </si>
  <si>
    <t>1.65亿</t>
  </si>
  <si>
    <t>12.57亿</t>
  </si>
  <si>
    <t>2.95亿</t>
  </si>
  <si>
    <t>6.49亿</t>
  </si>
  <si>
    <t>2.11亿</t>
  </si>
  <si>
    <t>3.58亿</t>
  </si>
  <si>
    <t>1.56亿</t>
  </si>
  <si>
    <t>3.81亿</t>
  </si>
  <si>
    <t>1.94亿</t>
  </si>
  <si>
    <t>2.69亿</t>
  </si>
  <si>
    <t>2.42亿</t>
  </si>
  <si>
    <t>2.39亿</t>
  </si>
  <si>
    <t>3.14亿</t>
  </si>
  <si>
    <t>2.87亿</t>
  </si>
  <si>
    <t>2.65亿</t>
  </si>
  <si>
    <t>8.49亿</t>
  </si>
  <si>
    <t>1.89亿</t>
  </si>
  <si>
    <t>3.03亿</t>
  </si>
  <si>
    <t>3.40亿</t>
  </si>
  <si>
    <t>2.38亿</t>
  </si>
  <si>
    <t>9.40亿</t>
  </si>
  <si>
    <t>2.91亿</t>
  </si>
  <si>
    <t>1.90亿</t>
  </si>
  <si>
    <t>2.49亿</t>
  </si>
  <si>
    <t>7.84亿</t>
  </si>
  <si>
    <t>6.81亿</t>
  </si>
  <si>
    <t>2.68亿</t>
  </si>
  <si>
    <t>SH688356</t>
  </si>
  <si>
    <t>键凯科技</t>
  </si>
  <si>
    <t>2.27亿</t>
  </si>
  <si>
    <t>SH688513</t>
  </si>
  <si>
    <t>9.47亿</t>
  </si>
  <si>
    <t>1.91亿</t>
  </si>
  <si>
    <t>5.36亿</t>
  </si>
  <si>
    <t>3.38亿</t>
  </si>
  <si>
    <t>8.87亿</t>
  </si>
  <si>
    <t>27.19亿</t>
  </si>
  <si>
    <t>11.57亿</t>
  </si>
  <si>
    <t>3.83亿</t>
  </si>
  <si>
    <t>1.17亿</t>
  </si>
  <si>
    <t>5.49亿</t>
  </si>
  <si>
    <t>6.06亿</t>
  </si>
  <si>
    <t>2.62亿</t>
  </si>
  <si>
    <t>11.88亿</t>
  </si>
  <si>
    <t>4.39亿</t>
  </si>
  <si>
    <t>3.24亿</t>
  </si>
  <si>
    <t>16.53亿</t>
  </si>
  <si>
    <t>2.81亿</t>
  </si>
  <si>
    <t>2.25亿</t>
  </si>
  <si>
    <t>SZ002099</t>
  </si>
  <si>
    <t>海翔药业</t>
  </si>
  <si>
    <t>4.42亿</t>
  </si>
  <si>
    <t>6.54亿</t>
  </si>
  <si>
    <t>7.16亿</t>
  </si>
  <si>
    <t>3.39亿</t>
  </si>
  <si>
    <t>6.59亿</t>
  </si>
  <si>
    <t>3.71亿</t>
  </si>
  <si>
    <t>7.03亿</t>
  </si>
  <si>
    <t>29.41亿</t>
  </si>
  <si>
    <t>3.10亿</t>
  </si>
  <si>
    <t>2.92亿</t>
  </si>
  <si>
    <t>7.46亿</t>
  </si>
  <si>
    <t>4.26亿</t>
  </si>
  <si>
    <t>13.86亿</t>
  </si>
  <si>
    <t>12.53亿</t>
  </si>
  <si>
    <t>4.52亿</t>
  </si>
  <si>
    <t>4.09亿</t>
  </si>
  <si>
    <t>1.81亿</t>
  </si>
  <si>
    <t>SZ003020</t>
  </si>
  <si>
    <t>立方制药</t>
  </si>
  <si>
    <t>4.18亿</t>
  </si>
  <si>
    <t>1.75亿</t>
  </si>
  <si>
    <t>2.84亿</t>
  </si>
  <si>
    <t>5.91亿</t>
  </si>
  <si>
    <t>1.95亿</t>
  </si>
  <si>
    <t>2.70亿</t>
  </si>
  <si>
    <t>-1.01亿</t>
  </si>
  <si>
    <t>2.61亿</t>
  </si>
  <si>
    <t>1.93亿</t>
  </si>
  <si>
    <t>4.90亿</t>
  </si>
  <si>
    <t>18.19亿</t>
  </si>
  <si>
    <t>1.00亿</t>
  </si>
  <si>
    <t>2.55亿</t>
  </si>
  <si>
    <t>1.42亿</t>
  </si>
  <si>
    <t>4.76亿</t>
  </si>
  <si>
    <t>2.47亿</t>
  </si>
  <si>
    <t>6.30亿</t>
  </si>
  <si>
    <t>13.17亿</t>
  </si>
  <si>
    <t>23.54亿</t>
  </si>
  <si>
    <t>23.16亿</t>
  </si>
  <si>
    <t>11.89亿</t>
  </si>
  <si>
    <t>3.84亿</t>
  </si>
  <si>
    <t>14.67亿</t>
  </si>
  <si>
    <t>8.27亿</t>
  </si>
  <si>
    <t>24.72亿</t>
  </si>
  <si>
    <t>4.65亿</t>
  </si>
  <si>
    <t>4.96亿</t>
  </si>
  <si>
    <t>8.44亿</t>
  </si>
  <si>
    <t>SH600774</t>
  </si>
  <si>
    <t>汉商集团</t>
  </si>
  <si>
    <t>7.21亿</t>
  </si>
  <si>
    <t>5.14亿</t>
  </si>
  <si>
    <t>3.18亿</t>
  </si>
  <si>
    <t>1.98亿</t>
  </si>
  <si>
    <t>6.99亿</t>
  </si>
  <si>
    <t>6.24亿</t>
  </si>
  <si>
    <t>6.95亿</t>
  </si>
  <si>
    <t>2.90亿</t>
  </si>
  <si>
    <t>SH605116</t>
  </si>
  <si>
    <t>奥锐特</t>
  </si>
  <si>
    <t>SH605177</t>
  </si>
  <si>
    <t>SH688221</t>
  </si>
  <si>
    <t>前沿生物-U</t>
  </si>
  <si>
    <t>-2.24亿</t>
  </si>
  <si>
    <t>2.58亿</t>
  </si>
  <si>
    <t>SH688578</t>
  </si>
  <si>
    <t>10.31亿</t>
  </si>
  <si>
    <t>SH688658</t>
  </si>
  <si>
    <t>悦康药业</t>
  </si>
  <si>
    <t>3.95亿</t>
  </si>
  <si>
    <t>流动资产</t>
  </si>
  <si>
    <t>营业收入[20191231]</t>
  </si>
  <si>
    <t>营业收入[20181231]</t>
  </si>
  <si>
    <t>净利润[20191231]</t>
  </si>
  <si>
    <t>净利润[20181231]</t>
  </si>
  <si>
    <t>净利润[20171231]</t>
  </si>
  <si>
    <t>33.21亿</t>
  </si>
  <si>
    <t>8.25亿</t>
  </si>
  <si>
    <t>5.85亿</t>
  </si>
  <si>
    <t>4.06亿</t>
  </si>
  <si>
    <t>4.55亿</t>
  </si>
  <si>
    <t>32.38亿</t>
  </si>
  <si>
    <t>30.13亿</t>
  </si>
  <si>
    <t>25.78亿</t>
  </si>
  <si>
    <t>8092.10万</t>
  </si>
  <si>
    <t>6092.64万</t>
  </si>
  <si>
    <t>105.20亿</t>
  </si>
  <si>
    <t>17.15亿</t>
  </si>
  <si>
    <t>4.85亿</t>
  </si>
  <si>
    <t>13.80亿</t>
  </si>
  <si>
    <t>5.15亿</t>
  </si>
  <si>
    <t>93.85亿</t>
  </si>
  <si>
    <t>88.61亿</t>
  </si>
  <si>
    <t>13.03亿</t>
  </si>
  <si>
    <t>10.82亿</t>
  </si>
  <si>
    <t>38.08亿</t>
  </si>
  <si>
    <t>22.00亿</t>
  </si>
  <si>
    <t>-5.80亿</t>
  </si>
  <si>
    <t>6.89亿</t>
  </si>
  <si>
    <t>20.00亿</t>
  </si>
  <si>
    <t>7.05亿</t>
  </si>
  <si>
    <t>24.45亿</t>
  </si>
  <si>
    <t>-1.59亿</t>
  </si>
  <si>
    <t>5.03亿</t>
  </si>
  <si>
    <t>73.84亿</t>
  </si>
  <si>
    <t>1225.68万</t>
  </si>
  <si>
    <t>6.13亿</t>
  </si>
  <si>
    <t>34.20亿</t>
  </si>
  <si>
    <t>2.34亿</t>
  </si>
  <si>
    <t>82.20亿</t>
  </si>
  <si>
    <t>74.67亿</t>
  </si>
  <si>
    <t>14.25亿</t>
  </si>
  <si>
    <t>4.68亿</t>
  </si>
  <si>
    <t>78.80亿</t>
  </si>
  <si>
    <t>8.17亿</t>
  </si>
  <si>
    <t>72.11亿</t>
  </si>
  <si>
    <t>63.76亿</t>
  </si>
  <si>
    <t>5.53亿</t>
  </si>
  <si>
    <t>2.57亿</t>
  </si>
  <si>
    <t>60.06亿</t>
  </si>
  <si>
    <t>3.25亿</t>
  </si>
  <si>
    <t>3.09亿</t>
  </si>
  <si>
    <t>56.06亿</t>
  </si>
  <si>
    <t>52.45亿</t>
  </si>
  <si>
    <t>11.12亿</t>
  </si>
  <si>
    <t>-3.59亿</t>
  </si>
  <si>
    <t>19.77亿</t>
  </si>
  <si>
    <t>20.95亿</t>
  </si>
  <si>
    <t>-20.42亿</t>
  </si>
  <si>
    <t>3.31亿</t>
  </si>
  <si>
    <t>2.13亿</t>
  </si>
  <si>
    <t>10.05亿</t>
  </si>
  <si>
    <t>3918.15万</t>
  </si>
  <si>
    <t>2.73亿</t>
  </si>
  <si>
    <t>25.09亿</t>
  </si>
  <si>
    <t>5018.86万</t>
  </si>
  <si>
    <t>4517.85万</t>
  </si>
  <si>
    <t>9.63亿</t>
  </si>
  <si>
    <t>1.52亿</t>
  </si>
  <si>
    <t>17.75亿</t>
  </si>
  <si>
    <t>32.91亿</t>
  </si>
  <si>
    <t>9.31亿</t>
  </si>
  <si>
    <t>8.78亿</t>
  </si>
  <si>
    <t>2.15亿</t>
  </si>
  <si>
    <t>13.44亿</t>
  </si>
  <si>
    <t>25.86亿</t>
  </si>
  <si>
    <t>1.62亿</t>
  </si>
  <si>
    <t>华特达因</t>
  </si>
  <si>
    <t>18.21亿</t>
  </si>
  <si>
    <t>1.21亿</t>
  </si>
  <si>
    <t>18.00亿</t>
  </si>
  <si>
    <t>15.26亿</t>
  </si>
  <si>
    <t>17.67亿</t>
  </si>
  <si>
    <t>2.43亿</t>
  </si>
  <si>
    <t>25.04亿</t>
  </si>
  <si>
    <t>6513.65万</t>
  </si>
  <si>
    <t>5.46亿</t>
  </si>
  <si>
    <t>25.35亿</t>
  </si>
  <si>
    <t>28.99亿</t>
  </si>
  <si>
    <t>17.90亿</t>
  </si>
  <si>
    <t>2543.38万</t>
  </si>
  <si>
    <t>21.35亿</t>
  </si>
  <si>
    <t>17.74亿</t>
  </si>
  <si>
    <t>9521.81万</t>
  </si>
  <si>
    <t>9314.02万</t>
  </si>
  <si>
    <t>6.88亿</t>
  </si>
  <si>
    <t>7464.71万</t>
  </si>
  <si>
    <t>1.60亿</t>
  </si>
  <si>
    <t>7.31亿</t>
  </si>
  <si>
    <t>7.15亿</t>
  </si>
  <si>
    <t>8694.32万</t>
  </si>
  <si>
    <t>336.83亿</t>
  </si>
  <si>
    <t>28.20亿</t>
  </si>
  <si>
    <t>2.78亿</t>
  </si>
  <si>
    <t>3.02亿</t>
  </si>
  <si>
    <t>354.46亿</t>
  </si>
  <si>
    <t>306.63亿</t>
  </si>
  <si>
    <t>28.13亿</t>
  </si>
  <si>
    <t>22.67亿</t>
  </si>
  <si>
    <t>103.14亿</t>
  </si>
  <si>
    <t>35.64亿</t>
  </si>
  <si>
    <t>3.34亿</t>
  </si>
  <si>
    <t>76.60亿</t>
  </si>
  <si>
    <t>86.83亿</t>
  </si>
  <si>
    <t>21.65亿</t>
  </si>
  <si>
    <t>30.79亿</t>
  </si>
  <si>
    <t>12.03亿</t>
  </si>
  <si>
    <t>4.02亿</t>
  </si>
  <si>
    <t>9.00亿</t>
  </si>
  <si>
    <t>108.76亿</t>
  </si>
  <si>
    <t>11.73亿</t>
  </si>
  <si>
    <t>100.91亿</t>
  </si>
  <si>
    <t>105.74亿</t>
  </si>
  <si>
    <t>6.37亿</t>
  </si>
  <si>
    <t>54.00亿</t>
  </si>
  <si>
    <t>9.68亿</t>
  </si>
  <si>
    <t>7.22亿</t>
  </si>
  <si>
    <t>51.87亿</t>
  </si>
  <si>
    <t>46.32亿</t>
  </si>
  <si>
    <t>9.03亿</t>
  </si>
  <si>
    <t>32.58亿</t>
  </si>
  <si>
    <t>6.53亿</t>
  </si>
  <si>
    <t>7.11亿</t>
  </si>
  <si>
    <t>3.65亿</t>
  </si>
  <si>
    <t>36.47亿</t>
  </si>
  <si>
    <t>29.44亿</t>
  </si>
  <si>
    <t>18.75亿</t>
  </si>
  <si>
    <t>24.71亿</t>
  </si>
  <si>
    <t>5.86亿</t>
  </si>
  <si>
    <t>7.71亿</t>
  </si>
  <si>
    <t>6.05亿</t>
  </si>
  <si>
    <t>5.75亿</t>
  </si>
  <si>
    <t>128.42亿</t>
  </si>
  <si>
    <t>4.15亿</t>
  </si>
  <si>
    <t>159.36亿</t>
  </si>
  <si>
    <t>142.93亿</t>
  </si>
  <si>
    <t>-27.12亿</t>
  </si>
  <si>
    <t>2.83亿</t>
  </si>
  <si>
    <t>7.42亿</t>
  </si>
  <si>
    <t>33.61亿</t>
  </si>
  <si>
    <t>7.29亿</t>
  </si>
  <si>
    <t>7.12亿</t>
  </si>
  <si>
    <t>-3.27亿</t>
  </si>
  <si>
    <t>41.49亿</t>
  </si>
  <si>
    <t>38.58亿</t>
  </si>
  <si>
    <t>5.25亿</t>
  </si>
  <si>
    <t>27.39亿</t>
  </si>
  <si>
    <t>6086.50万</t>
  </si>
  <si>
    <t>1.73亿</t>
  </si>
  <si>
    <t>44.70亿</t>
  </si>
  <si>
    <t>46.52亿</t>
  </si>
  <si>
    <t>14.58亿</t>
  </si>
  <si>
    <t>13.96亿</t>
  </si>
  <si>
    <t>40.19亿</t>
  </si>
  <si>
    <t>3.07亿</t>
  </si>
  <si>
    <t>5.78亿</t>
  </si>
  <si>
    <t>37.09亿</t>
  </si>
  <si>
    <t>36.22亿</t>
  </si>
  <si>
    <t>13.70亿</t>
  </si>
  <si>
    <t>9.33亿</t>
  </si>
  <si>
    <t>8993.22万</t>
  </si>
  <si>
    <t>2727.50万</t>
  </si>
  <si>
    <t>1.10亿</t>
  </si>
  <si>
    <t>7.09亿</t>
  </si>
  <si>
    <t>-19.21亿</t>
  </si>
  <si>
    <t>11.41亿</t>
  </si>
  <si>
    <t>861.53万</t>
  </si>
  <si>
    <t>16.15亿</t>
  </si>
  <si>
    <t>15.04亿</t>
  </si>
  <si>
    <t>10.29亿</t>
  </si>
  <si>
    <t>1.85亿</t>
  </si>
  <si>
    <t>3.33亿</t>
  </si>
  <si>
    <t>53.32亿</t>
  </si>
  <si>
    <t>10.24亿</t>
  </si>
  <si>
    <t>11.32亿</t>
  </si>
  <si>
    <t>4.20亿</t>
  </si>
  <si>
    <t>46.25亿</t>
  </si>
  <si>
    <t>48.15亿</t>
  </si>
  <si>
    <t>10.59亿</t>
  </si>
  <si>
    <t>4.04亿</t>
  </si>
  <si>
    <t>164.64亿</t>
  </si>
  <si>
    <t>8.29亿</t>
  </si>
  <si>
    <t>12.55亿</t>
  </si>
  <si>
    <t>176.36亿</t>
  </si>
  <si>
    <t>163.52亿</t>
  </si>
  <si>
    <t>9.38亿</t>
  </si>
  <si>
    <t>12.13亿</t>
  </si>
  <si>
    <t>42.41亿</t>
  </si>
  <si>
    <t>4.49亿</t>
  </si>
  <si>
    <t>11.93亿</t>
  </si>
  <si>
    <t>2.51亿</t>
  </si>
  <si>
    <t>46.74亿</t>
  </si>
  <si>
    <t>3.35亿</t>
  </si>
  <si>
    <t>30.55亿</t>
  </si>
  <si>
    <t>50.54亿</t>
  </si>
  <si>
    <t>54.81亿</t>
  </si>
  <si>
    <t>-26.62亿</t>
  </si>
  <si>
    <t>7.17亿</t>
  </si>
  <si>
    <t>16.68亿</t>
  </si>
  <si>
    <t>-1.32亿</t>
  </si>
  <si>
    <t>16.75亿</t>
  </si>
  <si>
    <t>13.22亿</t>
  </si>
  <si>
    <t>2.67亿</t>
  </si>
  <si>
    <t>6.70亿</t>
  </si>
  <si>
    <t>12.58亿</t>
  </si>
  <si>
    <t>5.66亿</t>
  </si>
  <si>
    <t>2.96亿</t>
  </si>
  <si>
    <t>33.30亿</t>
  </si>
  <si>
    <t>4.50亿</t>
  </si>
  <si>
    <t>39.37亿</t>
  </si>
  <si>
    <t>34.27亿</t>
  </si>
  <si>
    <t>4.94亿</t>
  </si>
  <si>
    <t>4.43亿</t>
  </si>
  <si>
    <t>34.19亿</t>
  </si>
  <si>
    <t>29.93亿</t>
  </si>
  <si>
    <t>23.33亿</t>
  </si>
  <si>
    <t>37.83亿</t>
  </si>
  <si>
    <t>4.08亿</t>
  </si>
  <si>
    <t>45.19亿</t>
  </si>
  <si>
    <t>39.32亿</t>
  </si>
  <si>
    <t>1.78亿</t>
  </si>
  <si>
    <t>6.08亿</t>
  </si>
  <si>
    <t>32.95亿</t>
  </si>
  <si>
    <t>-2.70亿</t>
  </si>
  <si>
    <t>8.48亿</t>
  </si>
  <si>
    <t>29.17亿</t>
  </si>
  <si>
    <t>27.86亿</t>
  </si>
  <si>
    <t>7.18亿</t>
  </si>
  <si>
    <t>6.44亿</t>
  </si>
  <si>
    <t>60.96亿</t>
  </si>
  <si>
    <t>7.41亿</t>
  </si>
  <si>
    <t>75.89亿</t>
  </si>
  <si>
    <t>62.11亿</t>
  </si>
  <si>
    <t>5.12亿</t>
  </si>
  <si>
    <t>4.44亿</t>
  </si>
  <si>
    <t>8.74亿</t>
  </si>
  <si>
    <t>11.03亿</t>
  </si>
  <si>
    <t>2.53亿</t>
  </si>
  <si>
    <t>-4.91亿</t>
  </si>
  <si>
    <t>16.80亿</t>
  </si>
  <si>
    <t>21.71亿</t>
  </si>
  <si>
    <t>886.05万</t>
  </si>
  <si>
    <t>-6722.19万</t>
  </si>
  <si>
    <t>2748.32万</t>
  </si>
  <si>
    <t>6090.49万</t>
  </si>
  <si>
    <t>13.39亿</t>
  </si>
  <si>
    <t>2932.48万</t>
  </si>
  <si>
    <t>1.59亿</t>
  </si>
  <si>
    <t>3.30亿</t>
  </si>
  <si>
    <t>21.73亿</t>
  </si>
  <si>
    <t>11.49亿</t>
  </si>
  <si>
    <t>2.06亿</t>
  </si>
  <si>
    <t>13.60亿</t>
  </si>
  <si>
    <t>10.44亿</t>
  </si>
  <si>
    <t>12.90亿</t>
  </si>
  <si>
    <t>18.94亿</t>
  </si>
  <si>
    <t>16.50亿</t>
  </si>
  <si>
    <t>10.28亿</t>
  </si>
  <si>
    <t>9166.41万</t>
  </si>
  <si>
    <t>15.84亿</t>
  </si>
  <si>
    <t>5.92亿</t>
  </si>
  <si>
    <t>18.59亿</t>
  </si>
  <si>
    <t>15.62亿</t>
  </si>
  <si>
    <t>-1.55亿</t>
  </si>
  <si>
    <t>9800.33万</t>
  </si>
  <si>
    <t>8.19亿</t>
  </si>
  <si>
    <t>9.22亿</t>
  </si>
  <si>
    <t>933.93万</t>
  </si>
  <si>
    <t>8.83亿</t>
  </si>
  <si>
    <t>-2646.30万</t>
  </si>
  <si>
    <t>1336.62万</t>
  </si>
  <si>
    <t>9462.40万</t>
  </si>
  <si>
    <t>2.26亿</t>
  </si>
  <si>
    <t>14.62亿</t>
  </si>
  <si>
    <t>13.84亿</t>
  </si>
  <si>
    <t>13.12亿</t>
  </si>
  <si>
    <t>4206.62万</t>
  </si>
  <si>
    <t>3879.48万</t>
  </si>
  <si>
    <t>2.75亿</t>
  </si>
  <si>
    <t>5586.79万</t>
  </si>
  <si>
    <t>8.37亿</t>
  </si>
  <si>
    <t>18.24亿</t>
  </si>
  <si>
    <t>-11.25亿</t>
  </si>
  <si>
    <t>48.48亿</t>
  </si>
  <si>
    <t>43.99亿</t>
  </si>
  <si>
    <t>-1.47亿</t>
  </si>
  <si>
    <t>23.68亿</t>
  </si>
  <si>
    <t>5.28亿</t>
  </si>
  <si>
    <t>27.81亿</t>
  </si>
  <si>
    <t>26.69亿</t>
  </si>
  <si>
    <t>-3.60亿</t>
  </si>
  <si>
    <t>-6.09亿</t>
  </si>
  <si>
    <t>7.28亿</t>
  </si>
  <si>
    <t>12.64亿</t>
  </si>
  <si>
    <t>-8.85亿</t>
  </si>
  <si>
    <t>-3.41亿</t>
  </si>
  <si>
    <t>3.05亿</t>
  </si>
  <si>
    <t>29.62亿</t>
  </si>
  <si>
    <t>-4.89亿</t>
  </si>
  <si>
    <t>1.61亿</t>
  </si>
  <si>
    <t>27.95亿</t>
  </si>
  <si>
    <t>30.08亿</t>
  </si>
  <si>
    <t>14.20亿</t>
  </si>
  <si>
    <t>-2.62亿</t>
  </si>
  <si>
    <t>4.46亿</t>
  </si>
  <si>
    <t>11.36亿</t>
  </si>
  <si>
    <t>9.39亿</t>
  </si>
  <si>
    <t>529.68万</t>
  </si>
  <si>
    <t>724.11万</t>
  </si>
  <si>
    <t>9.51亿</t>
  </si>
  <si>
    <t>23.82亿</t>
  </si>
  <si>
    <t>8.90亿</t>
  </si>
  <si>
    <t>27.44亿</t>
  </si>
  <si>
    <t>1.58亿</t>
  </si>
  <si>
    <t>3.91亿</t>
  </si>
  <si>
    <t>6.60亿</t>
  </si>
  <si>
    <t>4.64亿</t>
  </si>
  <si>
    <t>7.77亿</t>
  </si>
  <si>
    <t>-6.88亿</t>
  </si>
  <si>
    <t>10.06亿</t>
  </si>
  <si>
    <t>9.71亿</t>
  </si>
  <si>
    <t>7.04亿</t>
  </si>
  <si>
    <t>3.68亿</t>
  </si>
  <si>
    <t>1482.45万</t>
  </si>
  <si>
    <t>1074.19万</t>
  </si>
  <si>
    <t>1648.44万</t>
  </si>
  <si>
    <t>9394.26万</t>
  </si>
  <si>
    <t>8437.05万</t>
  </si>
  <si>
    <t>7010.95万</t>
  </si>
  <si>
    <t>14.93亿</t>
  </si>
  <si>
    <t>9.66亿</t>
  </si>
  <si>
    <t>13.54亿</t>
  </si>
  <si>
    <t>11.63亿</t>
  </si>
  <si>
    <t>18.70亿</t>
  </si>
  <si>
    <t>12.24亿</t>
  </si>
  <si>
    <t>8797.86万</t>
  </si>
  <si>
    <t>5.42亿</t>
  </si>
  <si>
    <t>4.31亿</t>
  </si>
  <si>
    <t>3589.38万</t>
  </si>
  <si>
    <t>1365.87万</t>
  </si>
  <si>
    <t>9.13亿</t>
  </si>
  <si>
    <t>-1.80亿</t>
  </si>
  <si>
    <t>10.52亿</t>
  </si>
  <si>
    <t>7.86亿</t>
  </si>
  <si>
    <t>5.68亿</t>
  </si>
  <si>
    <t>5530.95万</t>
  </si>
  <si>
    <t>5523.01万</t>
  </si>
  <si>
    <t>9.25亿</t>
  </si>
  <si>
    <t>9725.82万</t>
  </si>
  <si>
    <t>8322.32万</t>
  </si>
  <si>
    <t>4.07亿</t>
  </si>
  <si>
    <t>8.57亿</t>
  </si>
  <si>
    <t>7.59亿</t>
  </si>
  <si>
    <t>7005.11万</t>
  </si>
  <si>
    <t>4830.93万</t>
  </si>
  <si>
    <t>2453.08万</t>
  </si>
  <si>
    <t>25.87亿</t>
  </si>
  <si>
    <t>6.67亿</t>
  </si>
  <si>
    <t>6.03亿</t>
  </si>
  <si>
    <t>21.11亿</t>
  </si>
  <si>
    <t>8.82亿</t>
  </si>
  <si>
    <t>9.78亿</t>
  </si>
  <si>
    <t>8225.98万</t>
  </si>
  <si>
    <t>9.24亿</t>
  </si>
  <si>
    <t>5506.59万</t>
  </si>
  <si>
    <t>7198.50万</t>
  </si>
  <si>
    <t>16.46亿</t>
  </si>
  <si>
    <t>14.30亿</t>
  </si>
  <si>
    <t>12.40亿</t>
  </si>
  <si>
    <t>SZ300966</t>
  </si>
  <si>
    <t>共同药业</t>
  </si>
  <si>
    <t>5328.85万</t>
  </si>
  <si>
    <t>7299.64万</t>
  </si>
  <si>
    <t>7067.79万</t>
  </si>
  <si>
    <t>85.04亿</t>
  </si>
  <si>
    <t>93.81亿</t>
  </si>
  <si>
    <t>82.25亿</t>
  </si>
  <si>
    <t>10.55亿</t>
  </si>
  <si>
    <t>218.07亿</t>
  </si>
  <si>
    <t>186.34亿</t>
  </si>
  <si>
    <t>18.72亿</t>
  </si>
  <si>
    <t>21.10亿</t>
  </si>
  <si>
    <t>17.02亿</t>
  </si>
  <si>
    <t>73.27亿</t>
  </si>
  <si>
    <t>-1.79亿</t>
  </si>
  <si>
    <t>70.44亿</t>
  </si>
  <si>
    <t>68.59亿</t>
  </si>
  <si>
    <t>3.53亿</t>
  </si>
  <si>
    <t>113.54亿</t>
  </si>
  <si>
    <t>5.59亿</t>
  </si>
  <si>
    <t>110.72亿</t>
  </si>
  <si>
    <t>101.87亿</t>
  </si>
  <si>
    <t>277.35亿</t>
  </si>
  <si>
    <t>63.28亿</t>
  </si>
  <si>
    <t>9.30亿</t>
  </si>
  <si>
    <t>232.89亿</t>
  </si>
  <si>
    <t>174.18亿</t>
  </si>
  <si>
    <t>53.28亿</t>
  </si>
  <si>
    <t>40.66亿</t>
  </si>
  <si>
    <t>135.22亿</t>
  </si>
  <si>
    <t>11.20亿</t>
  </si>
  <si>
    <t>17.68亿</t>
  </si>
  <si>
    <t>119.80亿</t>
  </si>
  <si>
    <t>112.04亿</t>
  </si>
  <si>
    <t>8.94亿</t>
  </si>
  <si>
    <t>6.39亿</t>
  </si>
  <si>
    <t>125.56亿</t>
  </si>
  <si>
    <t>121.99亿</t>
  </si>
  <si>
    <t>113.21亿</t>
  </si>
  <si>
    <t>6.56亿</t>
  </si>
  <si>
    <t>5.16亿</t>
  </si>
  <si>
    <t>4.77亿</t>
  </si>
  <si>
    <t>31.17亿</t>
  </si>
  <si>
    <t>3397.88万</t>
  </si>
  <si>
    <t>33.27亿</t>
  </si>
  <si>
    <t>24.27亿</t>
  </si>
  <si>
    <t>10.19亿</t>
  </si>
  <si>
    <t>7973.05万</t>
  </si>
  <si>
    <t>7355.68万</t>
  </si>
  <si>
    <t>64.85亿</t>
  </si>
  <si>
    <t>4.25亿</t>
  </si>
  <si>
    <t>53.88亿</t>
  </si>
  <si>
    <t>50.95亿</t>
  </si>
  <si>
    <t>5.70亿</t>
  </si>
  <si>
    <t>19.28亿</t>
  </si>
  <si>
    <t>18.53亿</t>
  </si>
  <si>
    <t>8397.48万</t>
  </si>
  <si>
    <t>14.00亿</t>
  </si>
  <si>
    <t>7.36亿</t>
  </si>
  <si>
    <t>107.88亿</t>
  </si>
  <si>
    <t>-10.78亿</t>
  </si>
  <si>
    <t>118.25亿</t>
  </si>
  <si>
    <t>108.14亿</t>
  </si>
  <si>
    <t>5581.21万</t>
  </si>
  <si>
    <t>4548.62万</t>
  </si>
  <si>
    <t>2987.10万</t>
  </si>
  <si>
    <t>1956.66万</t>
  </si>
  <si>
    <t>3.49亿</t>
  </si>
  <si>
    <t>5.40亿</t>
  </si>
  <si>
    <t>42.05亿</t>
  </si>
  <si>
    <t>37.33亿</t>
  </si>
  <si>
    <t>114.93亿</t>
  </si>
  <si>
    <t>9732.38万</t>
  </si>
  <si>
    <t>6.07亿</t>
  </si>
  <si>
    <t>114.57亿</t>
  </si>
  <si>
    <t>92.14亿</t>
  </si>
  <si>
    <t>10.99亿</t>
  </si>
  <si>
    <t>785.73万</t>
  </si>
  <si>
    <t>-1.26亿</t>
  </si>
  <si>
    <t>8683.60万</t>
  </si>
  <si>
    <t>5638.66万</t>
  </si>
  <si>
    <t>4386.41万</t>
  </si>
  <si>
    <t>8.81亿</t>
  </si>
  <si>
    <t>6.94亿</t>
  </si>
  <si>
    <t>5.58亿</t>
  </si>
  <si>
    <t>7.52亿</t>
  </si>
  <si>
    <t>13.67亿</t>
  </si>
  <si>
    <t>13.09亿</t>
  </si>
  <si>
    <t>9367.64万</t>
  </si>
  <si>
    <t>11.80亿</t>
  </si>
  <si>
    <t>9634.92万</t>
  </si>
  <si>
    <t>10.01亿</t>
  </si>
  <si>
    <t>3.70亿</t>
  </si>
  <si>
    <t>16.35亿</t>
  </si>
  <si>
    <t>16.69亿</t>
  </si>
  <si>
    <t>3.85亿</t>
  </si>
  <si>
    <t>5842.48万</t>
  </si>
  <si>
    <t>5567.78万</t>
  </si>
  <si>
    <t>7343.59万</t>
  </si>
  <si>
    <t>29.15亿</t>
  </si>
  <si>
    <t>8.06亿</t>
  </si>
  <si>
    <t>24.70亿</t>
  </si>
  <si>
    <t>17.00亿</t>
  </si>
  <si>
    <t>7.34亿</t>
  </si>
  <si>
    <t>7.58亿</t>
  </si>
  <si>
    <t>3.21亿</t>
  </si>
  <si>
    <t>3.17亿</t>
  </si>
  <si>
    <t>9691.16万</t>
  </si>
  <si>
    <t>5.44亿</t>
  </si>
  <si>
    <t>3.48亿</t>
  </si>
  <si>
    <t>9.88亿</t>
  </si>
  <si>
    <t>7.85亿</t>
  </si>
  <si>
    <t>7320.20万</t>
  </si>
  <si>
    <t>10.14亿</t>
  </si>
  <si>
    <t>7.01亿</t>
  </si>
  <si>
    <t>9147.43万</t>
  </si>
  <si>
    <t>5352.55万</t>
  </si>
  <si>
    <t>4662.28万</t>
  </si>
  <si>
    <t>-2.31亿</t>
  </si>
  <si>
    <t>2086.00万</t>
  </si>
  <si>
    <t>191.11万</t>
  </si>
  <si>
    <t>-1.92亿</t>
  </si>
  <si>
    <t>-2.47亿</t>
  </si>
  <si>
    <t>2766.09万</t>
  </si>
  <si>
    <t>-3.19亿</t>
  </si>
  <si>
    <t>131.12万</t>
  </si>
  <si>
    <t>-4.62亿</t>
  </si>
  <si>
    <t>-4.40亿</t>
  </si>
  <si>
    <t>3104.60万</t>
  </si>
  <si>
    <t>1942.19万</t>
  </si>
  <si>
    <t>3116.48万</t>
  </si>
  <si>
    <t>8567.89万</t>
  </si>
  <si>
    <t>6154.37万</t>
  </si>
  <si>
    <t>3626.97万</t>
  </si>
  <si>
    <t>7.69亿</t>
  </si>
  <si>
    <t>9661.15万</t>
  </si>
  <si>
    <t>56.09万</t>
  </si>
  <si>
    <t>-3.11亿</t>
  </si>
  <si>
    <t>62.97万</t>
  </si>
  <si>
    <t>462.00万</t>
  </si>
  <si>
    <t>-3.98亿</t>
  </si>
  <si>
    <t>-9739.38万</t>
  </si>
  <si>
    <t>43.39亿</t>
  </si>
  <si>
    <t>42.88亿</t>
  </si>
  <si>
    <t>39.83亿</t>
  </si>
  <si>
    <t>4.38亿</t>
  </si>
  <si>
    <t>6.21亿</t>
  </si>
  <si>
    <t>SH688799</t>
  </si>
  <si>
    <t>华纳药厂</t>
  </si>
  <si>
    <t>2.12亿</t>
  </si>
  <si>
    <t>8848.94万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</si>
  <si>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</si>
  <si>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</si>
  <si>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</si>
  <si>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</si>
  <si>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</si>
  <si>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</si>
  <si>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</si>
  <si>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</si>
  <si>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</si>
  <si>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</si>
  <si>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</si>
  <si>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</si>
  <si>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</si>
  <si>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</si>
  <si>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</si>
  <si>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</si>
  <si>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</si>
  <si>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11.90亿</t>
  </si>
  <si>
    <t>4.88亿</t>
  </si>
  <si>
    <t>20.20亿</t>
  </si>
  <si>
    <t>10.41亿</t>
  </si>
  <si>
    <t>36.87亿</t>
  </si>
  <si>
    <t>4.89亿</t>
  </si>
  <si>
    <t>9.46亿</t>
  </si>
  <si>
    <t>10.92亿</t>
  </si>
  <si>
    <t>12.25亿</t>
  </si>
  <si>
    <t>2.05亿</t>
  </si>
  <si>
    <t>SZ000953</t>
  </si>
  <si>
    <t>河化股份</t>
  </si>
  <si>
    <t>3093.92万</t>
  </si>
  <si>
    <t>3.98亿</t>
  </si>
  <si>
    <t>-6091.66万</t>
  </si>
  <si>
    <t>-2.74亿</t>
  </si>
  <si>
    <t>3.86亿</t>
  </si>
  <si>
    <t>8.95亿</t>
  </si>
  <si>
    <t>-2.60亿</t>
  </si>
  <si>
    <t>9.56亿</t>
  </si>
  <si>
    <t>6.17亿</t>
  </si>
  <si>
    <t>31.38亿</t>
  </si>
  <si>
    <t>4.56亿</t>
  </si>
  <si>
    <t>-4.13亿</t>
  </si>
  <si>
    <t>31.07亿</t>
  </si>
  <si>
    <t>SZ002826</t>
  </si>
  <si>
    <t>易明医药</t>
  </si>
  <si>
    <t>4109.12万</t>
  </si>
  <si>
    <t>3.80亿</t>
  </si>
  <si>
    <t>3732.90万</t>
  </si>
  <si>
    <t>2525.50万</t>
  </si>
  <si>
    <t>8.03亿</t>
  </si>
  <si>
    <t>5.10亿</t>
  </si>
  <si>
    <t>6.25亿</t>
  </si>
  <si>
    <t>3.59亿</t>
  </si>
  <si>
    <t>SZ300255</t>
  </si>
  <si>
    <t>常山药业</t>
  </si>
  <si>
    <t>23.64亿</t>
  </si>
  <si>
    <t>20.71亿</t>
  </si>
  <si>
    <t>7.07亿</t>
  </si>
  <si>
    <t>6.19亿</t>
  </si>
  <si>
    <t>SZ300381</t>
  </si>
  <si>
    <t>溢多利</t>
  </si>
  <si>
    <t>19.15亿</t>
  </si>
  <si>
    <t>20.48亿</t>
  </si>
  <si>
    <t>10.45亿</t>
  </si>
  <si>
    <t>-2.28亿</t>
  </si>
  <si>
    <t>3.57亿</t>
  </si>
  <si>
    <t>SZ301065</t>
  </si>
  <si>
    <t>本立科技</t>
  </si>
  <si>
    <t>9171.38万</t>
  </si>
  <si>
    <t>7312.36万</t>
  </si>
  <si>
    <t>4485.54万</t>
  </si>
  <si>
    <t>SZ301075</t>
  </si>
  <si>
    <t>9198.86万</t>
  </si>
  <si>
    <t>7170.54万</t>
  </si>
  <si>
    <t>4332.66万</t>
  </si>
  <si>
    <t>SZ301089</t>
  </si>
  <si>
    <t>拓新药业</t>
  </si>
  <si>
    <t>3.15亿</t>
  </si>
  <si>
    <t>6125.18万</t>
  </si>
  <si>
    <t>6321.91万</t>
  </si>
  <si>
    <t>SH600196</t>
  </si>
  <si>
    <t>复星医药</t>
  </si>
  <si>
    <t>303.07亿</t>
  </si>
  <si>
    <t>285.85亿</t>
  </si>
  <si>
    <t>249.18亿</t>
  </si>
  <si>
    <t>29.68亿</t>
  </si>
  <si>
    <t>健康元</t>
  </si>
  <si>
    <t>国药现代</t>
  </si>
  <si>
    <t>8.10亿</t>
  </si>
  <si>
    <t>5.95亿</t>
  </si>
  <si>
    <t>5.04亿</t>
  </si>
  <si>
    <t>5.41亿</t>
  </si>
  <si>
    <t>SH603367</t>
  </si>
  <si>
    <t>辰欣药业</t>
  </si>
  <si>
    <t>36.74亿</t>
  </si>
  <si>
    <t>41.13亿</t>
  </si>
  <si>
    <t>29.63亿</t>
  </si>
  <si>
    <t>13.64亿</t>
  </si>
  <si>
    <t>2.74亿</t>
  </si>
  <si>
    <t>东亚药业</t>
  </si>
  <si>
    <t>SH605507</t>
  </si>
  <si>
    <t>国邦医药</t>
  </si>
  <si>
    <t>42.06亿</t>
  </si>
  <si>
    <t>38.02亿</t>
  </si>
  <si>
    <t>32.79亿</t>
  </si>
  <si>
    <t>SH688091</t>
  </si>
  <si>
    <t>-2184.69万</t>
  </si>
  <si>
    <t>-3.15亿</t>
  </si>
  <si>
    <t>-1258.90万</t>
  </si>
  <si>
    <t>SH688117</t>
  </si>
  <si>
    <t>圣诺生物</t>
  </si>
  <si>
    <t>5999.78万</t>
  </si>
  <si>
    <t>4813.17万</t>
  </si>
  <si>
    <t>2986.13万</t>
  </si>
  <si>
    <t>-1.19亿</t>
  </si>
  <si>
    <t>SH688553</t>
  </si>
  <si>
    <t>5432.01万</t>
  </si>
  <si>
    <t>-2200.46万</t>
  </si>
  <si>
    <t>SH688690</t>
  </si>
  <si>
    <t>纳微科技</t>
  </si>
  <si>
    <t>7269.28万</t>
  </si>
  <si>
    <t>8239.58万</t>
  </si>
  <si>
    <t>2342.61万</t>
  </si>
  <si>
    <t>1465.99万</t>
  </si>
  <si>
    <t>公司单一产品伏美替尼（第三代EGFR靶向药）即将于2020年上市。
依然亏损，2021Q1营收大幅增加到3700多万，利润仍旧-4000万，同比环比缩小</t>
    <phoneticPr fontId="1" type="noConversion"/>
  </si>
  <si>
    <t>业绩增长主要有三个方面：1、随着国内疫情得到有效控制，公司各项业务逐步恢复，输液产品的销量较去年同期有所增长；2、公司进
一步拓宽医药商业业务范围，医药商业板块业务稳步增长；3、广西裕源、浦北新科纳入合并范围，营业收入较同期有所增长。</t>
    <phoneticPr fontId="1" type="noConversion"/>
  </si>
  <si>
    <t>30.58亿</t>
  </si>
  <si>
    <t>3.04亿</t>
  </si>
  <si>
    <t>流通股本</t>
  </si>
  <si>
    <t>投入资本回报率roic%[20201231]</t>
  </si>
  <si>
    <t>净资产收益率%[20201231]</t>
  </si>
  <si>
    <t>营业收入[20171231]</t>
  </si>
  <si>
    <t>净利润[20201231]</t>
  </si>
  <si>
    <t>120.64亿</t>
  </si>
  <si>
    <t>17.76亿</t>
  </si>
  <si>
    <t>20.59亿</t>
  </si>
  <si>
    <t>-15.55亿</t>
  </si>
  <si>
    <t>81.45亿</t>
  </si>
  <si>
    <t>9902.71万</t>
  </si>
  <si>
    <t>23.04亿</t>
  </si>
  <si>
    <t>89.43亿</t>
  </si>
  <si>
    <t>65.60亿</t>
  </si>
  <si>
    <t>3.50亿</t>
  </si>
  <si>
    <t>4.05亿</t>
  </si>
  <si>
    <t>15.15亿</t>
  </si>
  <si>
    <t>3527.33万</t>
  </si>
  <si>
    <t>22.37亿</t>
  </si>
  <si>
    <t>4314.38万</t>
  </si>
  <si>
    <t>-5758.19万</t>
  </si>
  <si>
    <t>20.27亿</t>
  </si>
  <si>
    <t>28.09亿</t>
  </si>
  <si>
    <t>19.56亿</t>
  </si>
  <si>
    <t>-1.14亿</t>
  </si>
  <si>
    <t>3.51亿</t>
  </si>
  <si>
    <t>1001.83万</t>
  </si>
  <si>
    <t>345.63亿</t>
  </si>
  <si>
    <t>23.02亿</t>
  </si>
  <si>
    <t>44.09亿</t>
  </si>
  <si>
    <t>24.85亿</t>
  </si>
  <si>
    <t>9522.96万</t>
  </si>
  <si>
    <t>135.33亿</t>
  </si>
  <si>
    <t>22.35亿</t>
  </si>
  <si>
    <t>39.36亿</t>
  </si>
  <si>
    <t>7.98亿</t>
  </si>
  <si>
    <t>5.34亿</t>
  </si>
  <si>
    <t>3.11亿</t>
  </si>
  <si>
    <t>15.65亿</t>
  </si>
  <si>
    <t>63.65亿</t>
  </si>
  <si>
    <t>172.77亿</t>
  </si>
  <si>
    <t>43.70亿</t>
  </si>
  <si>
    <t>50.38亿</t>
  </si>
  <si>
    <t>-3.83亿</t>
  </si>
  <si>
    <t>31.45亿</t>
  </si>
  <si>
    <t>4504.20万</t>
  </si>
  <si>
    <t>27.73亿</t>
  </si>
  <si>
    <t>39.12亿</t>
  </si>
  <si>
    <t>36.05亿</t>
  </si>
  <si>
    <t>4.21亿</t>
  </si>
  <si>
    <t>64.78亿</t>
  </si>
  <si>
    <t>7.25亿</t>
  </si>
  <si>
    <t>4247.65万</t>
  </si>
  <si>
    <t>-6780.54万</t>
  </si>
  <si>
    <t>-2334.14万</t>
  </si>
  <si>
    <t>10.54亿</t>
  </si>
  <si>
    <t>4.59亿</t>
  </si>
  <si>
    <t>14.75亿</t>
  </si>
  <si>
    <t>22.73亿</t>
  </si>
  <si>
    <t>5.88亿</t>
  </si>
  <si>
    <t>1098.75万</t>
  </si>
  <si>
    <t>15.61亿</t>
  </si>
  <si>
    <t>5341.66万</t>
  </si>
  <si>
    <t>50.94亿</t>
  </si>
  <si>
    <t>26.17亿</t>
  </si>
  <si>
    <t>24.53亿</t>
  </si>
  <si>
    <t>-2.97亿</t>
  </si>
  <si>
    <t>3080.78万</t>
  </si>
  <si>
    <t>-9143.76万</t>
  </si>
  <si>
    <t>-7.91亿</t>
  </si>
  <si>
    <t>18.92亿</t>
  </si>
  <si>
    <t>11.17亿</t>
  </si>
  <si>
    <t>5.02亿</t>
  </si>
  <si>
    <t>6648.08万</t>
  </si>
  <si>
    <t>-3488.66万</t>
  </si>
  <si>
    <t>-1.74亿</t>
  </si>
  <si>
    <t>8925.34万</t>
  </si>
  <si>
    <t>4883.07万</t>
  </si>
  <si>
    <t>22.46亿</t>
  </si>
  <si>
    <t>8.89亿</t>
  </si>
  <si>
    <t>3620.54万</t>
  </si>
  <si>
    <t>8111.98万</t>
  </si>
  <si>
    <t>25.45亿</t>
  </si>
  <si>
    <t>4.87亿</t>
  </si>
  <si>
    <t>16.28亿</t>
  </si>
  <si>
    <t>21.99亿</t>
  </si>
  <si>
    <t>2.98亿</t>
  </si>
  <si>
    <t>7833.06万</t>
  </si>
  <si>
    <t>5482.49万</t>
  </si>
  <si>
    <t>多瑞医药</t>
  </si>
  <si>
    <t>6850.79万</t>
  </si>
  <si>
    <t>6.11亿</t>
  </si>
  <si>
    <t>6571.10万</t>
  </si>
  <si>
    <t>SZ301130</t>
  </si>
  <si>
    <t>西点药业</t>
  </si>
  <si>
    <t>5201.91万</t>
  </si>
  <si>
    <t>4974.24万</t>
  </si>
  <si>
    <t>5461.35万</t>
  </si>
  <si>
    <t>4136.02万</t>
  </si>
  <si>
    <t>SZ301211</t>
  </si>
  <si>
    <t>亨迪药业</t>
  </si>
  <si>
    <t>5.93亿</t>
  </si>
  <si>
    <t>4773.54万</t>
  </si>
  <si>
    <t>SZ301258</t>
  </si>
  <si>
    <t>富士莱</t>
  </si>
  <si>
    <t>9326.85万</t>
  </si>
  <si>
    <t>SZ301263</t>
  </si>
  <si>
    <t>泰恩康</t>
  </si>
  <si>
    <t>5490.42万</t>
  </si>
  <si>
    <t>7444.20万</t>
  </si>
  <si>
    <t>9.36亿</t>
  </si>
  <si>
    <t>259.06亿</t>
  </si>
  <si>
    <t>45.30亿</t>
  </si>
  <si>
    <t>159.04亿</t>
  </si>
  <si>
    <t>13.28亿</t>
  </si>
  <si>
    <t>139.45亿</t>
  </si>
  <si>
    <t>37.49亿</t>
  </si>
  <si>
    <t>4866.80万</t>
  </si>
  <si>
    <t>10.17亿</t>
  </si>
  <si>
    <t>66.44亿</t>
  </si>
  <si>
    <t>23.03亿</t>
  </si>
  <si>
    <t>6962.25万</t>
  </si>
  <si>
    <t>128.02亿</t>
  </si>
  <si>
    <t>8567.91万</t>
  </si>
  <si>
    <t>103.85亿</t>
  </si>
  <si>
    <t>1872.74万</t>
  </si>
  <si>
    <t>15.11亿</t>
  </si>
  <si>
    <t>3565.61万</t>
  </si>
  <si>
    <t>10.42亿</t>
  </si>
  <si>
    <t>7.40亿</t>
  </si>
  <si>
    <t>6590.36万</t>
  </si>
  <si>
    <t>10.34亿</t>
  </si>
  <si>
    <t>9591.11万</t>
  </si>
  <si>
    <t>6849.21万</t>
  </si>
  <si>
    <t>45.05亿</t>
  </si>
  <si>
    <t>407.75万</t>
  </si>
  <si>
    <t>-399.71万</t>
  </si>
  <si>
    <t>6125.28万</t>
  </si>
  <si>
    <t>SH688176</t>
  </si>
  <si>
    <t>亚虹医药-U</t>
  </si>
  <si>
    <t>-2.35亿</t>
  </si>
  <si>
    <t>-1.72亿</t>
  </si>
  <si>
    <t>-5993.60万</t>
  </si>
  <si>
    <t>SH688192</t>
  </si>
  <si>
    <t>迪哲医药-U</t>
  </si>
  <si>
    <t>1028.54万</t>
  </si>
  <si>
    <t>-6.70亿</t>
  </si>
  <si>
    <t>2776.08万</t>
  </si>
  <si>
    <t>4101.75万</t>
  </si>
  <si>
    <t>3941.92万</t>
  </si>
  <si>
    <t>-5.87亿</t>
  </si>
  <si>
    <t>-4.46亿</t>
  </si>
  <si>
    <t>SH688197</t>
  </si>
  <si>
    <t>首药控股-U</t>
  </si>
  <si>
    <t>1303.25万</t>
  </si>
  <si>
    <t>-1.45亿</t>
  </si>
  <si>
    <t>701.91万</t>
  </si>
  <si>
    <t>1154.76万</t>
  </si>
  <si>
    <t>1997.60万</t>
  </si>
  <si>
    <t>-3.30亿</t>
  </si>
  <si>
    <t>-3960.82万</t>
  </si>
  <si>
    <t>-1234.85万</t>
  </si>
  <si>
    <t>4050.29万</t>
  </si>
  <si>
    <t>-4.51亿</t>
  </si>
  <si>
    <t>SH688302</t>
  </si>
  <si>
    <t>海创药业-U</t>
  </si>
  <si>
    <t>-3.06亿</t>
  </si>
  <si>
    <t>9.01亿</t>
  </si>
  <si>
    <t>422.65万</t>
  </si>
  <si>
    <t>356.19万</t>
  </si>
  <si>
    <t>-4.90亿</t>
  </si>
  <si>
    <t>-1.12亿</t>
  </si>
  <si>
    <t>-3857.87万</t>
  </si>
  <si>
    <t>2195.83万</t>
  </si>
  <si>
    <t>11.40亿</t>
  </si>
  <si>
    <t>10.23亿</t>
  </si>
  <si>
    <t>汇宇制药-W</t>
  </si>
  <si>
    <t>1827.46万</t>
  </si>
  <si>
    <t>49.66亿</t>
  </si>
  <si>
    <t>原料药</t>
  </si>
  <si>
    <t>化学制剂</t>
  </si>
  <si>
    <t>-1-0</t>
  </si>
  <si>
    <t xml:space="preserve">    名称</t>
  </si>
  <si>
    <t>净利润?</t>
  </si>
  <si>
    <t>投入资本回报率roic%[20211231]</t>
  </si>
  <si>
    <t>净资产收益率%[20211231]</t>
  </si>
  <si>
    <t/>
  </si>
  <si>
    <t>亏损</t>
  </si>
  <si>
    <t>扭亏</t>
  </si>
  <si>
    <t>1-1</t>
  </si>
  <si>
    <t>1-0</t>
  </si>
  <si>
    <t>-1-1</t>
  </si>
  <si>
    <t>-1.23亿</t>
  </si>
  <si>
    <t>4.12亿</t>
  </si>
  <si>
    <t>-2-1</t>
  </si>
  <si>
    <t>10.49亿</t>
  </si>
  <si>
    <t>-2-0</t>
  </si>
  <si>
    <t>2.89亿</t>
  </si>
  <si>
    <t>3.36亿</t>
  </si>
  <si>
    <t>9.53亿</t>
  </si>
  <si>
    <t>2.71亿</t>
  </si>
  <si>
    <t>3.23亿</t>
  </si>
  <si>
    <t>3.73亿</t>
  </si>
  <si>
    <t>-1.03亿</t>
  </si>
  <si>
    <t>3650.00万</t>
  </si>
  <si>
    <t>4.11亿</t>
  </si>
  <si>
    <t>SH601089</t>
  </si>
  <si>
    <t>福元医药</t>
  </si>
  <si>
    <t>28.38亿</t>
  </si>
  <si>
    <t>24.25亿</t>
  </si>
  <si>
    <t>苑东生物</t>
  </si>
  <si>
    <t>1.随着政策的支持、人均可支配收入的提高和医疗报销范围的扩大，中国肿瘤药物市场仍存在巨大空间，公司将充分借鉴凯美纳的成功经验，发挥自身优势资源，加大产品的品牌建设力度，不断提升公司产品商业化能力；2.目前公司在研创新药项目40余项，进入临床试验10余项，2项已申报NDA，3项正在开展III期临床试验；</t>
    <phoneticPr fontId="1" type="noConversion"/>
  </si>
  <si>
    <t>1.问：公司研发投入资金的情况答：公司历来重视研发创新，研发效率较高，早期投入的盐酸恩沙替尼、贝安汀（MIL60）已陆续上市。2021年公司研发投入8.61亿元，占营业收入比例38.32%，其中资本化研发支出占研发投入的比例为34.24%。随着公司对研发保持持续的高投入，新药研发工作加速推进，公司研发管线日益丰富，在研产品40余项，有10余项已进入临床研究。</t>
    <phoneticPr fontId="1" type="noConversion"/>
  </si>
  <si>
    <t>细分行业</t>
  </si>
  <si>
    <r>
      <t>公司主营业务为营养品、香精香料、高分子新材料、原料药生产和销售。公司的主要产品包括</t>
    </r>
    <r>
      <rPr>
        <sz val="9"/>
        <color rgb="FFFF0000"/>
        <rFont val="宋体"/>
        <family val="3"/>
        <charset val="134"/>
        <scheme val="minor"/>
      </rPr>
      <t>维生素E、维生素A、维生素C</t>
    </r>
    <r>
      <rPr>
        <sz val="9"/>
        <color theme="1"/>
        <rFont val="宋体"/>
        <family val="2"/>
        <charset val="134"/>
        <scheme val="minor"/>
      </rPr>
      <t>、蛋氨酸、</t>
    </r>
    <r>
      <rPr>
        <sz val="9"/>
        <color rgb="FFFF0000"/>
        <rFont val="宋体"/>
        <family val="3"/>
        <charset val="134"/>
        <scheme val="minor"/>
      </rPr>
      <t>维生素D3</t>
    </r>
    <r>
      <rPr>
        <sz val="9"/>
        <color theme="1"/>
        <rFont val="宋体"/>
        <family val="2"/>
        <charset val="134"/>
        <scheme val="minor"/>
      </rPr>
      <t>、生物素、辅酶Q10、类胡萝卜素；芳樟醇系列、柠檬醛系列、叶醇系列、二氢茉莉酮酸甲酯、覆盆子酮、女贞醛等。
市值739亿，利润43.24亿，pe17.98，pb3.34；毛利47.67%，净利30.43%；2021营收增43.47%，利润增21.32%；2022Q2营收增12%，利润增-8.8%；过往5年营收增27.68%，利润增35.72%；
2022H1：
营养品 57.69亿 70.22% 75.50% 40.53%
香精香料 15.23亿 18.54% 24.50% 49.83%
新材料 5.53亿 6.73% - - - -
其他 3.71亿 4.51% - - - -</t>
    </r>
    <phoneticPr fontId="1" type="noConversion"/>
  </si>
  <si>
    <t>3年自由现金流折现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</si>
  <si>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</si>
  <si>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</si>
  <si>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</si>
  <si>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</si>
  <si>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</si>
  <si>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</si>
  <si>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</si>
  <si>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策略1营收单季最佳增速</t>
    <phoneticPr fontId="1" type="noConversion"/>
  </si>
  <si>
    <t>价格变动策略</t>
    <phoneticPr fontId="1" type="noConversion"/>
  </si>
  <si>
    <t>量价齐升策略</t>
    <phoneticPr fontId="1" type="noConversion"/>
  </si>
  <si>
    <t>5日成交换手率</t>
    <phoneticPr fontId="1" type="noConversion"/>
  </si>
  <si>
    <t>N-4</t>
    <phoneticPr fontId="1" type="noConversion"/>
  </si>
  <si>
    <t>N-3</t>
    <phoneticPr fontId="1" type="noConversion"/>
  </si>
  <si>
    <t>N-1</t>
    <phoneticPr fontId="1" type="noConversion"/>
  </si>
  <si>
    <t>2.29亿</t>
  </si>
  <si>
    <t>-1.33亿</t>
  </si>
  <si>
    <t>8.60亿</t>
  </si>
  <si>
    <t>5.72亿</t>
  </si>
  <si>
    <t>23.77亿</t>
  </si>
  <si>
    <t>4.33亿</t>
  </si>
  <si>
    <t>10.98亿</t>
  </si>
  <si>
    <t>2.35亿</t>
  </si>
  <si>
    <t>10.13亿</t>
  </si>
  <si>
    <t>SZ002742</t>
  </si>
  <si>
    <t>24.89亿</t>
  </si>
  <si>
    <t>-3.33亿</t>
  </si>
  <si>
    <t>7.27亿</t>
  </si>
  <si>
    <t>25.50亿</t>
  </si>
  <si>
    <t>31.80亿</t>
  </si>
  <si>
    <t>28.65亿</t>
  </si>
  <si>
    <t>7343.68万</t>
  </si>
  <si>
    <t>2.88亿</t>
  </si>
  <si>
    <t>4.58亿</t>
  </si>
  <si>
    <t>9.95亿</t>
  </si>
  <si>
    <t>SZ300204</t>
  </si>
  <si>
    <t>舒泰神</t>
  </si>
  <si>
    <t>5.84亿</t>
  </si>
  <si>
    <t>-1.37亿</t>
  </si>
  <si>
    <t>6.61亿</t>
  </si>
  <si>
    <t>2729.94万</t>
  </si>
  <si>
    <t>5.51亿</t>
  </si>
  <si>
    <t>3.96亿</t>
  </si>
  <si>
    <t>3.90亿</t>
  </si>
  <si>
    <t>2.82亿</t>
  </si>
  <si>
    <t>5.08亿</t>
  </si>
  <si>
    <t>SH603235</t>
  </si>
  <si>
    <t>天新药业</t>
  </si>
  <si>
    <t>25.22亿</t>
  </si>
  <si>
    <t>7.44亿</t>
  </si>
  <si>
    <t>20.25亿</t>
  </si>
  <si>
    <t>SH688247</t>
  </si>
  <si>
    <t>宣泰医药</t>
  </si>
  <si>
    <t>6125.83万</t>
  </si>
  <si>
    <t>463.84万</t>
  </si>
  <si>
    <t>-3747.92万</t>
  </si>
  <si>
    <t>SH688373</t>
  </si>
  <si>
    <t>盟科药业-U</t>
  </si>
  <si>
    <t>766.00万</t>
  </si>
  <si>
    <t>-2.26亿</t>
  </si>
  <si>
    <t>109.34万</t>
  </si>
  <si>
    <t>-8632.72万</t>
  </si>
  <si>
    <t>-1.50亿</t>
  </si>
  <si>
    <t>SH688382</t>
  </si>
  <si>
    <t>益方生物-U</t>
  </si>
  <si>
    <t>-3.58亿</t>
  </si>
  <si>
    <t>5530.00万</t>
  </si>
  <si>
    <t>-10.53亿</t>
  </si>
  <si>
    <t>-9498.59万</t>
  </si>
  <si>
    <t>12.07亿</t>
  </si>
  <si>
    <t>5.21亿</t>
  </si>
  <si>
    <t>8.85亿</t>
  </si>
  <si>
    <t>21.31亿</t>
  </si>
  <si>
    <t>n/a</t>
  </si>
  <si>
    <t>4.41亿</t>
  </si>
  <si>
    <t>2.99亿</t>
  </si>
  <si>
    <t>ST三圣</t>
  </si>
  <si>
    <t>4.98亿</t>
  </si>
  <si>
    <t>津药药业</t>
  </si>
  <si>
    <r>
      <t>1.一季度报预计2021年仍亏损，上市的伏美替尼仍需时间去渗透市场;2.具备一定的研发实力，</t>
    </r>
    <r>
      <rPr>
        <sz val="9"/>
        <color rgb="FFFF0000"/>
        <rFont val="宋体"/>
        <family val="3"/>
        <charset val="134"/>
        <scheme val="minor"/>
      </rPr>
      <t>2012年曾将信立坦卖给了信立泰。目前从高血压转为肿瘤领域。三费都很高</t>
    </r>
    <r>
      <rPr>
        <sz val="9"/>
        <color theme="1"/>
        <rFont val="宋体"/>
        <family val="2"/>
        <charset val="134"/>
        <scheme val="minor"/>
      </rPr>
      <t>，研发费用尤其。公司单一产品伏美替尼（第三代EGFR靶向药）即将于2020年上市。</t>
    </r>
    <phoneticPr fontId="1" type="noConversion"/>
  </si>
  <si>
    <r>
      <t>1.</t>
    </r>
    <r>
      <rPr>
        <b/>
        <sz val="9"/>
        <color rgb="FFFF0000"/>
        <rFont val="宋体"/>
        <family val="3"/>
        <charset val="134"/>
        <scheme val="minor"/>
      </rPr>
      <t>创新药</t>
    </r>
    <r>
      <rPr>
        <sz val="9"/>
        <color theme="1"/>
        <rFont val="宋体"/>
        <family val="2"/>
        <charset val="134"/>
        <scheme val="minor"/>
      </rPr>
      <t>方面：第一，研究院的改革已经逐步取得成效。第二，公司会在稳定现有研发管线的基础上，开拓新项目且积极进行国内外合作，发现新机会。第三，重要项目上，与MSD合作的B项目和264项目明年会根据节点收到资金支持；167项目顺利推进中，是对研发团队的锻炼，为其他项目积累经验。公司对研发板块已做好明年的规划。</t>
    </r>
    <phoneticPr fontId="1" type="noConversion"/>
  </si>
  <si>
    <r>
      <t>1.目前已有</t>
    </r>
    <r>
      <rPr>
        <sz val="9"/>
        <color rgb="FFFF0000"/>
        <rFont val="宋体"/>
        <family val="3"/>
        <charset val="134"/>
        <scheme val="minor"/>
      </rPr>
      <t>11个创新药获批上市，60余款创新药正在临床开发</t>
    </r>
    <r>
      <rPr>
        <sz val="9"/>
        <color theme="1"/>
        <rFont val="宋体"/>
        <family val="2"/>
        <charset val="134"/>
        <scheme val="minor"/>
      </rPr>
      <t>，260多项临床试验在国内外开展；</t>
    </r>
    <phoneticPr fontId="1" type="noConversion"/>
  </si>
  <si>
    <r>
      <t>1.目前市场上主要的生产厂家是</t>
    </r>
    <r>
      <rPr>
        <sz val="9"/>
        <color rgb="FFFF0000"/>
        <rFont val="宋体"/>
        <family val="3"/>
        <charset val="134"/>
        <scheme val="minor"/>
      </rPr>
      <t>富士莱、江苏同禾两家</t>
    </r>
    <r>
      <rPr>
        <sz val="9"/>
        <color theme="1"/>
        <rFont val="宋体"/>
        <family val="2"/>
        <charset val="134"/>
        <scheme val="minor"/>
      </rPr>
      <t>。但从长远来看，硫辛酸的市场格局终将会发生变化，这是由一个产品的生命周期和市场竞争规则所决定的。我们已经做好充分的心理准备，一方面不断优化工艺、同时积极拓展硫辛酸的应用领域，巩固在硫辛酸领域的优势地位。</t>
    </r>
    <phoneticPr fontId="1" type="noConversion"/>
  </si>
  <si>
    <t>17.79亿</t>
  </si>
  <si>
    <t>36.49亿</t>
  </si>
  <si>
    <t>7.68亿</t>
  </si>
  <si>
    <t>23.36亿</t>
  </si>
  <si>
    <t>13.31亿</t>
  </si>
  <si>
    <t>18.73亿</t>
  </si>
  <si>
    <t>24.99亿</t>
  </si>
  <si>
    <t>-1.62亿</t>
  </si>
  <si>
    <t>31.43亿</t>
  </si>
  <si>
    <t>2.14亿</t>
  </si>
  <si>
    <t>7.96亿</t>
  </si>
  <si>
    <t>8.41亿</t>
  </si>
  <si>
    <t>9.98亿</t>
  </si>
  <si>
    <t>SZ301277</t>
  </si>
  <si>
    <t>新天地</t>
  </si>
  <si>
    <t>2859.28万</t>
  </si>
  <si>
    <t>8.97亿</t>
  </si>
  <si>
    <t>6.22亿</t>
  </si>
  <si>
    <t>3.74亿</t>
  </si>
  <si>
    <t>13.99亿</t>
  </si>
  <si>
    <t>4.01亿</t>
  </si>
  <si>
    <t>16.02亿</t>
  </si>
  <si>
    <t>16.47亿</t>
  </si>
  <si>
    <t>7.91亿</t>
  </si>
  <si>
    <t>500.00万</t>
  </si>
  <si>
    <t>9.55亿</t>
  </si>
  <si>
    <t>23.05亿</t>
  </si>
  <si>
    <t>2.46亿</t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</si>
  <si>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</si>
  <si>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</si>
  <si>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</si>
  <si>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</si>
  <si>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</si>
  <si>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</si>
  <si>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3增速</t>
    <phoneticPr fontId="1" type="noConversion"/>
  </si>
  <si>
    <t>清算价格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</si>
  <si>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</si>
  <si>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</si>
  <si>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</si>
  <si>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</si>
  <si>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</si>
  <si>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</si>
  <si>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</si>
  <si>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</si>
  <si>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</si>
  <si>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</si>
  <si>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</si>
  <si>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</si>
  <si>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</si>
  <si>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</si>
  <si>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</si>
  <si>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N-2</t>
    <phoneticPr fontId="1" type="noConversion"/>
  </si>
  <si>
    <t>N</t>
    <phoneticPr fontId="1" type="noConversion"/>
  </si>
  <si>
    <t>10派1元(含税)</t>
  </si>
  <si>
    <t>不分配不转增</t>
  </si>
  <si>
    <t>5.62亿</t>
  </si>
  <si>
    <t>10派1.5元(含税)</t>
  </si>
  <si>
    <t>10派8元(含税)</t>
  </si>
  <si>
    <t>16.19亿</t>
  </si>
  <si>
    <t>10派0.6元(含税)</t>
  </si>
  <si>
    <t>10派3元(含税)</t>
  </si>
  <si>
    <t>10派4元(含税)</t>
  </si>
  <si>
    <t>7.89亿</t>
  </si>
  <si>
    <t>10派1.2元(含税)</t>
  </si>
  <si>
    <t>10派0.3元(含税)</t>
  </si>
  <si>
    <t>10派0.7元(含税)</t>
  </si>
  <si>
    <t>10派2.5元(含税)</t>
  </si>
  <si>
    <t>10派2元(含税)</t>
  </si>
  <si>
    <t>SZ301301</t>
  </si>
  <si>
    <t>川宁生物</t>
  </si>
  <si>
    <t>32.32亿</t>
  </si>
  <si>
    <t>8.40亿</t>
  </si>
  <si>
    <t>33.49亿</t>
  </si>
  <si>
    <t>9138.92万</t>
  </si>
  <si>
    <t>10派0.5元(含税)</t>
  </si>
  <si>
    <t>15.68亿</t>
  </si>
  <si>
    <t>4.23亿</t>
  </si>
  <si>
    <t>8.80亿</t>
  </si>
  <si>
    <t>涨幅%</t>
  </si>
  <si>
    <t>成交量[20230517]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</si>
  <si>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</si>
  <si>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</si>
  <si>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</si>
  <si>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</si>
  <si>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</si>
  <si>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</si>
  <si>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</si>
  <si>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</si>
  <si>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</si>
  <si>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</si>
  <si>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</si>
  <si>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</si>
  <si>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</si>
  <si>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</si>
  <si>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</si>
  <si>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</si>
  <si>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</si>
  <si>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</si>
  <si>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</si>
  <si>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</si>
  <si>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</si>
  <si>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</si>
  <si>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</si>
  <si>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</si>
  <si>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</si>
  <si>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</si>
  <si>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</si>
  <si>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</si>
  <si>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</si>
  <si>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</si>
  <si>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</si>
  <si>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</si>
  <si>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</si>
  <si>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</si>
  <si>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</si>
  <si>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</si>
  <si>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</si>
  <si>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</si>
  <si>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</si>
  <si>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</si>
  <si>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</si>
  <si>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</si>
  <si>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区间涨跌幅:前复权%[20230511-20230517]</t>
  </si>
  <si>
    <t>区间涨跌幅:前复权%[20230331-20230517]</t>
  </si>
  <si>
    <t>区间成交量[20230511-20230517]</t>
  </si>
  <si>
    <t>区间成交量[20230331-20230517]</t>
  </si>
  <si>
    <t>6年PE</t>
    <phoneticPr fontId="1" type="noConversion"/>
  </si>
  <si>
    <t>5年营收增速PEG</t>
    <phoneticPr fontId="1" type="noConversion"/>
  </si>
  <si>
    <t>40.04亿</t>
  </si>
  <si>
    <t>8.53亿</t>
  </si>
  <si>
    <t>36.52亿</t>
  </si>
  <si>
    <t>126.30亿</t>
  </si>
  <si>
    <t>19.09亿</t>
  </si>
  <si>
    <t>8.96亿</t>
  </si>
  <si>
    <t>2.36亿</t>
  </si>
  <si>
    <t>88.09亿</t>
  </si>
  <si>
    <t>105.45亿</t>
  </si>
  <si>
    <t>9.89亿</t>
  </si>
  <si>
    <t>75.03亿</t>
  </si>
  <si>
    <t>8.64亿</t>
  </si>
  <si>
    <t>14.71亿</t>
  </si>
  <si>
    <t>3015.13万</t>
  </si>
  <si>
    <t>2.20亿</t>
  </si>
  <si>
    <t>4.83亿</t>
  </si>
  <si>
    <t>20.77亿</t>
  </si>
  <si>
    <t>3.02万</t>
  </si>
  <si>
    <t>4.82亿</t>
  </si>
  <si>
    <t>5.71亿</t>
  </si>
  <si>
    <t>23.41亿</t>
  </si>
  <si>
    <t>5.27亿</t>
  </si>
  <si>
    <t>26.71亿</t>
  </si>
  <si>
    <t>20.60亿</t>
  </si>
  <si>
    <t>2.54亿</t>
  </si>
  <si>
    <t>-1.00亿</t>
  </si>
  <si>
    <t>377.15亿</t>
  </si>
  <si>
    <t>SZ001367</t>
  </si>
  <si>
    <t>海森药业</t>
  </si>
  <si>
    <t>3.89亿</t>
  </si>
  <si>
    <t>9399.96万</t>
  </si>
  <si>
    <t>6282.69万</t>
  </si>
  <si>
    <t>6895.75万</t>
  </si>
  <si>
    <t>5855.00万</t>
  </si>
  <si>
    <t>159.34亿</t>
  </si>
  <si>
    <t>36.20亿</t>
  </si>
  <si>
    <t>149.17亿</t>
  </si>
  <si>
    <t>43.56亿</t>
  </si>
  <si>
    <t>10派5元(含税)</t>
  </si>
  <si>
    <t>132.32亿</t>
  </si>
  <si>
    <t>124.31亿</t>
  </si>
  <si>
    <t>10派2.2元(含税)</t>
  </si>
  <si>
    <t>38.37亿</t>
  </si>
  <si>
    <t>37.80亿</t>
  </si>
  <si>
    <t>34.67亿</t>
  </si>
  <si>
    <t>27.04亿</t>
  </si>
  <si>
    <t>8801.37万</t>
  </si>
  <si>
    <t>122.60亿</t>
  </si>
  <si>
    <t>42.99亿</t>
  </si>
  <si>
    <t>34.82亿</t>
  </si>
  <si>
    <t>43.80亿</t>
  </si>
  <si>
    <t>3.26亿</t>
  </si>
  <si>
    <t>43.57亿</t>
  </si>
  <si>
    <t>9360.66万</t>
  </si>
  <si>
    <t>71.59亿</t>
  </si>
  <si>
    <t>34.70亿</t>
  </si>
  <si>
    <t>6519.04万</t>
  </si>
  <si>
    <t>31.08亿</t>
  </si>
  <si>
    <t>-2.91亿</t>
  </si>
  <si>
    <t>13.73亿</t>
  </si>
  <si>
    <t>4.57亿</t>
  </si>
  <si>
    <t>5.52亿</t>
  </si>
  <si>
    <t>30.15亿</t>
  </si>
  <si>
    <t>4.84亿</t>
  </si>
  <si>
    <t>35.83亿</t>
  </si>
  <si>
    <t>7.65亿</t>
  </si>
  <si>
    <t>4.47亿</t>
  </si>
  <si>
    <t>-3.18亿</t>
  </si>
  <si>
    <t>33.89亿</t>
  </si>
  <si>
    <t>4.66亿</t>
  </si>
  <si>
    <t>35.88亿</t>
  </si>
  <si>
    <t>4413.54万</t>
  </si>
  <si>
    <t>-9056.34万</t>
  </si>
  <si>
    <t>-3731.23万</t>
  </si>
  <si>
    <t>13.72亿</t>
  </si>
  <si>
    <t>25.79亿</t>
  </si>
  <si>
    <t>7.66亿</t>
  </si>
  <si>
    <t>-1.88亿</t>
  </si>
  <si>
    <t>3.12亿</t>
  </si>
  <si>
    <t>10派0.21元(含税)</t>
  </si>
  <si>
    <t>-113.87万</t>
  </si>
  <si>
    <t>37.29亿</t>
  </si>
  <si>
    <t>-5129.00万</t>
  </si>
  <si>
    <t>24.22亿</t>
  </si>
  <si>
    <t>13.26亿</t>
  </si>
  <si>
    <t>-3.71亿</t>
  </si>
  <si>
    <t>8.30亿</t>
  </si>
  <si>
    <t>-1.97亿</t>
  </si>
  <si>
    <t>35.06亿</t>
  </si>
  <si>
    <t>5.76亿</t>
  </si>
  <si>
    <t>1751.35万</t>
  </si>
  <si>
    <t>18.71亿</t>
  </si>
  <si>
    <t>4.03亿</t>
  </si>
  <si>
    <t>11.74亿</t>
  </si>
  <si>
    <t>1823.20万</t>
  </si>
  <si>
    <t>14.18亿</t>
  </si>
  <si>
    <t>12.43亿</t>
  </si>
  <si>
    <t>-1.27亿</t>
  </si>
  <si>
    <t>-1.41亿</t>
  </si>
  <si>
    <t>12.50亿</t>
  </si>
  <si>
    <t>5.69亿</t>
  </si>
  <si>
    <t>5.26亿</t>
  </si>
  <si>
    <t>3244.89万</t>
  </si>
  <si>
    <t>2.66亿</t>
  </si>
  <si>
    <t>7.20亿</t>
  </si>
  <si>
    <t>26.67亿</t>
  </si>
  <si>
    <t>23.26亿</t>
  </si>
  <si>
    <t>22.80亿</t>
  </si>
  <si>
    <t>26.26亿</t>
  </si>
  <si>
    <t>7.26亿</t>
  </si>
  <si>
    <t>18.50亿</t>
  </si>
  <si>
    <t>2050.22万</t>
  </si>
  <si>
    <t>4072.30万</t>
  </si>
  <si>
    <t>SZ301246</t>
  </si>
  <si>
    <t>宏源药业</t>
  </si>
  <si>
    <t>20.64亿</t>
  </si>
  <si>
    <t>15.78亿</t>
  </si>
  <si>
    <t>13.29亿</t>
  </si>
  <si>
    <t>1224.97万</t>
  </si>
  <si>
    <t>10派5.8元(含税)</t>
  </si>
  <si>
    <t>7.83亿</t>
  </si>
  <si>
    <t>6.27亿</t>
  </si>
  <si>
    <t>SZ301281</t>
  </si>
  <si>
    <t>科源制药</t>
  </si>
  <si>
    <t>9127.84万</t>
  </si>
  <si>
    <t>7817.25万</t>
  </si>
  <si>
    <t>6865.14万</t>
  </si>
  <si>
    <t>3014.55万</t>
  </si>
  <si>
    <t>1990.66万</t>
  </si>
  <si>
    <t>10转4股派4元(含税)</t>
  </si>
  <si>
    <t>38.21亿</t>
  </si>
  <si>
    <t>223.38亿</t>
  </si>
  <si>
    <t>24.84亿</t>
  </si>
  <si>
    <t>206.80亿</t>
  </si>
  <si>
    <t>439.52亿</t>
  </si>
  <si>
    <t>37.31亿</t>
  </si>
  <si>
    <t>20.26亿</t>
  </si>
  <si>
    <t>81.16亿</t>
  </si>
  <si>
    <t>8.09亿</t>
  </si>
  <si>
    <t>10派1.7元(含税)</t>
  </si>
  <si>
    <t>120.37亿</t>
  </si>
  <si>
    <t>212.75亿</t>
  </si>
  <si>
    <t>39.06亿</t>
  </si>
  <si>
    <t>171.43亿</t>
  </si>
  <si>
    <t>15.03亿</t>
  </si>
  <si>
    <t>4.61亿</t>
  </si>
  <si>
    <t>129.59亿</t>
  </si>
  <si>
    <t>6.28亿</t>
  </si>
  <si>
    <t>36.89亿</t>
  </si>
  <si>
    <t>3540.62万</t>
  </si>
  <si>
    <t>10派0.1元(含税)</t>
  </si>
  <si>
    <t>19.55亿</t>
  </si>
  <si>
    <t>82.66亿</t>
  </si>
  <si>
    <t>11.68亿</t>
  </si>
  <si>
    <t>23.89亿</t>
  </si>
  <si>
    <t>138.09亿</t>
  </si>
  <si>
    <t>13.87亿</t>
  </si>
  <si>
    <t>5.32亿</t>
  </si>
  <si>
    <t>56.21亿</t>
  </si>
  <si>
    <t>49.24亿</t>
  </si>
  <si>
    <t>8909.87万</t>
  </si>
  <si>
    <t>105.00亿</t>
  </si>
  <si>
    <t>-6.89亿</t>
  </si>
  <si>
    <t>14.40亿</t>
  </si>
  <si>
    <t>32.40亿</t>
  </si>
  <si>
    <t>6.97亿</t>
  </si>
  <si>
    <t>11.11亿</t>
  </si>
  <si>
    <t>9502.87万</t>
  </si>
  <si>
    <t>-1.86亿</t>
  </si>
  <si>
    <t>9.21亿</t>
  </si>
  <si>
    <t>14.57亿</t>
  </si>
  <si>
    <t>-1.96亿</t>
  </si>
  <si>
    <t>37.13亿</t>
  </si>
  <si>
    <t>10.91亿</t>
  </si>
  <si>
    <t>18.10亿</t>
  </si>
  <si>
    <t>11.77亿</t>
  </si>
  <si>
    <t>6.55亿</t>
  </si>
  <si>
    <t>6.47亿</t>
  </si>
  <si>
    <t>57.21亿</t>
  </si>
  <si>
    <t>上海谊众</t>
  </si>
  <si>
    <t>6448.44万</t>
  </si>
  <si>
    <t>17.38亿</t>
  </si>
  <si>
    <t>2.61万</t>
  </si>
  <si>
    <t>-513.56万</t>
  </si>
  <si>
    <t>-7883.23万</t>
  </si>
  <si>
    <t>-7.36亿</t>
  </si>
  <si>
    <t>6.65亿</t>
  </si>
  <si>
    <t>182.72万</t>
  </si>
  <si>
    <t>8474.04万</t>
  </si>
  <si>
    <t>-3.57亿</t>
  </si>
  <si>
    <t>165.08万</t>
  </si>
  <si>
    <t>-3.02亿</t>
  </si>
  <si>
    <t>1748.48万</t>
  </si>
  <si>
    <t>4820.67万</t>
  </si>
  <si>
    <t>-2.20亿</t>
  </si>
  <si>
    <t>-4.83亿</t>
  </si>
  <si>
    <t>SH688506</t>
  </si>
  <si>
    <t>百利天恒-U</t>
  </si>
  <si>
    <t>-2.82亿</t>
  </si>
  <si>
    <t>-9999.13万</t>
  </si>
  <si>
    <t>3790.16万</t>
  </si>
  <si>
    <t>773.09万</t>
  </si>
  <si>
    <t>3282.73万</t>
  </si>
  <si>
    <t>11.71亿</t>
  </si>
  <si>
    <t>艾力斯</t>
  </si>
  <si>
    <t>45.42亿</t>
  </si>
  <si>
    <t>12.93亿</t>
  </si>
  <si>
    <t>8.88亿</t>
  </si>
  <si>
    <t>3.13亿</t>
  </si>
  <si>
    <t>2-0</t>
  </si>
  <si>
    <t>6.80亿</t>
  </si>
  <si>
    <t>4.91亿</t>
  </si>
  <si>
    <t>2.56亿</t>
  </si>
  <si>
    <t>12.06亿</t>
  </si>
  <si>
    <t>4602.44万</t>
  </si>
  <si>
    <t>19.67亿</t>
  </si>
  <si>
    <t>16.10亿</t>
  </si>
  <si>
    <t>34.13亿</t>
  </si>
  <si>
    <t>9.60亿</t>
  </si>
  <si>
    <t>466.97万</t>
  </si>
  <si>
    <t>5.47亿</t>
  </si>
  <si>
    <t>17.83亿</t>
  </si>
  <si>
    <t>7005.01万</t>
  </si>
  <si>
    <t>4.69亿</t>
  </si>
  <si>
    <t>30.86亿</t>
  </si>
  <si>
    <t>4.72亿</t>
  </si>
  <si>
    <t>24.82亿</t>
  </si>
  <si>
    <t>26.40亿</t>
  </si>
  <si>
    <t>7.45亿</t>
  </si>
  <si>
    <t>696.24万</t>
  </si>
  <si>
    <t>9.73亿</t>
  </si>
  <si>
    <t>1670.59万</t>
  </si>
  <si>
    <t>185.94万</t>
  </si>
  <si>
    <t>127.86万</t>
  </si>
  <si>
    <t>6.32亿</t>
  </si>
  <si>
    <t>11.53亿</t>
  </si>
  <si>
    <t>5.61亿</t>
  </si>
  <si>
    <t>4358.51万</t>
  </si>
  <si>
    <t>17.05亿</t>
  </si>
  <si>
    <t>946.56万</t>
  </si>
  <si>
    <t>10.38亿</t>
  </si>
  <si>
    <t>11.75亿</t>
  </si>
  <si>
    <t>-4403.85万</t>
  </si>
  <si>
    <t>5780.84万</t>
  </si>
  <si>
    <t>-156.96万</t>
  </si>
  <si>
    <t>7.47亿</t>
  </si>
  <si>
    <t>101.15亿</t>
  </si>
  <si>
    <t>7.55亿</t>
  </si>
  <si>
    <t>13.41亿</t>
  </si>
  <si>
    <t>2499.75万</t>
  </si>
  <si>
    <t>36.12亿</t>
  </si>
  <si>
    <t>6.43亿</t>
  </si>
  <si>
    <t>5.94亿</t>
  </si>
  <si>
    <t>11.87亿</t>
  </si>
  <si>
    <t>2.16亿</t>
  </si>
  <si>
    <t>29.76亿</t>
  </si>
  <si>
    <t>6477.44万</t>
  </si>
  <si>
    <t>19.53亿</t>
  </si>
  <si>
    <t>4.48亿</t>
  </si>
  <si>
    <t>14.68亿</t>
  </si>
  <si>
    <t>4210.19万</t>
  </si>
  <si>
    <t>14.65亿</t>
  </si>
  <si>
    <t>8.61亿</t>
  </si>
  <si>
    <t>8542.22万</t>
  </si>
  <si>
    <t>24.00亿</t>
  </si>
  <si>
    <t>11.79亿</t>
  </si>
  <si>
    <t>9.57亿</t>
  </si>
  <si>
    <t>-1.54亿</t>
  </si>
  <si>
    <t>1498.31万</t>
  </si>
  <si>
    <t>-261.89万</t>
  </si>
  <si>
    <t>6.57亿</t>
  </si>
  <si>
    <t>6.91亿</t>
  </si>
  <si>
    <t>4650.03万</t>
  </si>
  <si>
    <t>13.01亿</t>
  </si>
  <si>
    <t>6654.00万</t>
  </si>
  <si>
    <t>14.79亿</t>
  </si>
  <si>
    <t>3.54亿</t>
  </si>
  <si>
    <t>17.99亿</t>
  </si>
  <si>
    <t>6014.10万</t>
  </si>
  <si>
    <t>14.33亿</t>
  </si>
  <si>
    <t>10.95亿</t>
  </si>
  <si>
    <t>2005.86万</t>
  </si>
  <si>
    <t>9.37亿</t>
  </si>
  <si>
    <t>-1.02亿</t>
  </si>
  <si>
    <t>8594.68万</t>
  </si>
  <si>
    <t>2874.92万</t>
  </si>
  <si>
    <t>8.51亿</t>
  </si>
  <si>
    <t>5010.66万</t>
  </si>
  <si>
    <t>6.10亿</t>
  </si>
  <si>
    <t>4.97亿</t>
  </si>
  <si>
    <t>-3441.26万</t>
  </si>
  <si>
    <t>-6859.12万</t>
  </si>
  <si>
    <t>12.16亿</t>
  </si>
  <si>
    <t>-9023.51万</t>
  </si>
  <si>
    <t>836.35万</t>
  </si>
  <si>
    <t>-1589.18万</t>
  </si>
  <si>
    <t>7942.78万</t>
  </si>
  <si>
    <t>319.74万</t>
  </si>
  <si>
    <t>12.91亿</t>
  </si>
  <si>
    <t>7.56亿</t>
  </si>
  <si>
    <t>3916.38万</t>
  </si>
  <si>
    <t>3.16亿</t>
  </si>
  <si>
    <t>4043.21万</t>
  </si>
  <si>
    <t>4707.02万</t>
  </si>
  <si>
    <t>3.97亿</t>
  </si>
  <si>
    <t>8.12亿</t>
  </si>
  <si>
    <t>6614.17万</t>
  </si>
  <si>
    <t>-363.41万</t>
  </si>
  <si>
    <t>1257.61万</t>
  </si>
  <si>
    <t>7.75亿</t>
  </si>
  <si>
    <t>8.63亿</t>
  </si>
  <si>
    <t>1541.47万</t>
  </si>
  <si>
    <t>8.77亿</t>
  </si>
  <si>
    <t>4110.29万</t>
  </si>
  <si>
    <t>7.82亿</t>
  </si>
  <si>
    <t>6128.39万</t>
  </si>
  <si>
    <t>-1236.13万</t>
  </si>
  <si>
    <t>4.53亿</t>
  </si>
  <si>
    <t>4.28亿</t>
  </si>
  <si>
    <t>-39.47万</t>
  </si>
  <si>
    <t>5.98亿</t>
  </si>
  <si>
    <t>8602.33万</t>
  </si>
  <si>
    <t>1860.56万</t>
  </si>
  <si>
    <t>6501.72万</t>
  </si>
  <si>
    <t>-4872.50万</t>
  </si>
  <si>
    <t>2.94亿</t>
  </si>
  <si>
    <t>-1.29亿</t>
  </si>
  <si>
    <t>5015.47万</t>
  </si>
  <si>
    <t>-215.68万</t>
  </si>
  <si>
    <t>-1.65亿</t>
  </si>
  <si>
    <t>-1.43亿</t>
  </si>
  <si>
    <t>454.15万</t>
  </si>
  <si>
    <t>4.16亿</t>
  </si>
  <si>
    <t>2607.89万</t>
  </si>
  <si>
    <t>27.93亿</t>
  </si>
  <si>
    <t>3.82亿</t>
  </si>
  <si>
    <t>-1367.71万</t>
  </si>
  <si>
    <t>14.42亿</t>
  </si>
  <si>
    <t>5185.95万</t>
  </si>
  <si>
    <t>8823.11万</t>
  </si>
  <si>
    <t>-6330.84万</t>
  </si>
  <si>
    <t>4938.83万</t>
  </si>
  <si>
    <t>-3014.69万</t>
  </si>
  <si>
    <t>5139.68万</t>
  </si>
  <si>
    <t>5.87亿</t>
  </si>
  <si>
    <t>6.01亿</t>
  </si>
  <si>
    <t>1934.93万</t>
  </si>
  <si>
    <t>1535.51万</t>
  </si>
  <si>
    <t>1221.38万</t>
  </si>
  <si>
    <t>12.14亿</t>
  </si>
  <si>
    <t>10.36亿</t>
  </si>
  <si>
    <t>3309.65万</t>
  </si>
  <si>
    <t>7689.05万</t>
  </si>
  <si>
    <t>12.42亿</t>
  </si>
  <si>
    <t>3.94亿</t>
  </si>
  <si>
    <t>-1.53亿</t>
  </si>
  <si>
    <t>3.47亿</t>
  </si>
  <si>
    <t>5.81亿</t>
  </si>
  <si>
    <t>6.92亿</t>
  </si>
  <si>
    <t>12.70亿</t>
  </si>
  <si>
    <t>SZ301507</t>
  </si>
  <si>
    <t>7022.43万</t>
  </si>
  <si>
    <t>5071.86万</t>
  </si>
  <si>
    <t>4369.12万</t>
  </si>
  <si>
    <t>3327.15万</t>
  </si>
  <si>
    <t>7.80亿</t>
  </si>
  <si>
    <t>11.01亿</t>
  </si>
  <si>
    <t>6.12亿</t>
  </si>
  <si>
    <t>8.91亿</t>
  </si>
  <si>
    <t>23.67亿</t>
  </si>
  <si>
    <t>6.69亿</t>
  </si>
  <si>
    <t>3.61亿</t>
  </si>
  <si>
    <t>19.18亿</t>
  </si>
  <si>
    <t>2500.00万</t>
  </si>
  <si>
    <t>-1.93亿</t>
  </si>
  <si>
    <t>9.18亿</t>
  </si>
  <si>
    <t>11.21亿</t>
  </si>
  <si>
    <t>19.40亿</t>
  </si>
  <si>
    <t>4.34亿</t>
  </si>
  <si>
    <t>6024.63万</t>
  </si>
  <si>
    <t>24.75亿</t>
  </si>
  <si>
    <t>14.10亿</t>
  </si>
  <si>
    <t>1.14万</t>
  </si>
  <si>
    <t>13.56亿</t>
  </si>
  <si>
    <t>-2.01亿</t>
  </si>
  <si>
    <t>-1.35亿</t>
  </si>
  <si>
    <t>8.55亿</t>
  </si>
  <si>
    <t>2.60亿</t>
  </si>
  <si>
    <t>7.61亿</t>
  </si>
  <si>
    <t>-1.67亿</t>
  </si>
  <si>
    <t>21.22亿</t>
  </si>
  <si>
    <t>-3-1</t>
  </si>
  <si>
    <t>民生健康</t>
  </si>
  <si>
    <t>6.23亿</t>
  </si>
  <si>
    <t>4-1</t>
  </si>
  <si>
    <t>3.63亿</t>
  </si>
  <si>
    <t>8.36亿</t>
  </si>
  <si>
    <t>39.31亿</t>
  </si>
  <si>
    <t>42.75亿</t>
  </si>
  <si>
    <t>41674570亿</t>
  </si>
  <si>
    <t>1025692440亿</t>
  </si>
  <si>
    <t>2124341400亿</t>
  </si>
  <si>
    <t>5.24亿</t>
  </si>
  <si>
    <t>10转4股派1.5元(含税)</t>
  </si>
  <si>
    <t>102.78亿</t>
  </si>
  <si>
    <t>32.43亿</t>
  </si>
  <si>
    <t>124.30亿</t>
  </si>
  <si>
    <t>19.54亿</t>
  </si>
  <si>
    <t>15721478亿</t>
  </si>
  <si>
    <t>590300890亿</t>
  </si>
  <si>
    <t>2067187200亿</t>
  </si>
  <si>
    <t>17178220000亿</t>
  </si>
  <si>
    <t>18.60亿</t>
  </si>
  <si>
    <t>10派13.5元(含税)</t>
  </si>
  <si>
    <t>51.66亿</t>
  </si>
  <si>
    <t>-1.06亿</t>
  </si>
  <si>
    <t>1521860亿</t>
  </si>
  <si>
    <t>-20332690亿</t>
  </si>
  <si>
    <t>442245920亿</t>
  </si>
  <si>
    <t>2613021200亿</t>
  </si>
  <si>
    <t>74.13万</t>
  </si>
  <si>
    <t>1050.68万</t>
  </si>
  <si>
    <t>-4-0</t>
  </si>
  <si>
    <t>82.43亿</t>
  </si>
  <si>
    <t>2273335亿</t>
  </si>
  <si>
    <t>29840934亿</t>
  </si>
  <si>
    <t>2017402200亿</t>
  </si>
  <si>
    <t>10257304900亿</t>
  </si>
  <si>
    <t>65.37亿</t>
  </si>
  <si>
    <t>31.98亿</t>
  </si>
  <si>
    <t>114.74亿</t>
  </si>
  <si>
    <t>-2018356亿</t>
  </si>
  <si>
    <t>239273180亿</t>
  </si>
  <si>
    <t>2034677000亿</t>
  </si>
  <si>
    <t>9054659600亿</t>
  </si>
  <si>
    <t>35.10亿</t>
  </si>
  <si>
    <t>47.76亿</t>
  </si>
  <si>
    <t>81.01亿</t>
  </si>
  <si>
    <t>1188728亿</t>
  </si>
  <si>
    <t>137727450亿</t>
  </si>
  <si>
    <t>1059584020亿</t>
  </si>
  <si>
    <t>3478605900亿</t>
  </si>
  <si>
    <t>7.99亿</t>
  </si>
  <si>
    <t>22.01亿</t>
  </si>
  <si>
    <t>14.73亿</t>
  </si>
  <si>
    <t>4393.37万</t>
  </si>
  <si>
    <t>923532亿</t>
  </si>
  <si>
    <t>6336857亿</t>
  </si>
  <si>
    <t>505300610亿</t>
  </si>
  <si>
    <t>1212460450亿</t>
  </si>
  <si>
    <t>043933700</t>
  </si>
  <si>
    <t>0131801100</t>
  </si>
  <si>
    <t>0263602200</t>
  </si>
  <si>
    <t>0439337000</t>
  </si>
  <si>
    <t>0878674000</t>
  </si>
  <si>
    <t>6-0</t>
  </si>
  <si>
    <t>21.94亿</t>
  </si>
  <si>
    <t>4435.66万</t>
  </si>
  <si>
    <t>4.60亿</t>
  </si>
  <si>
    <t>44721970亿</t>
  </si>
  <si>
    <t>1227085250亿</t>
  </si>
  <si>
    <t>2016302700亿</t>
  </si>
  <si>
    <t>5560.53万</t>
  </si>
  <si>
    <t>10派0.26元(含税)</t>
  </si>
  <si>
    <t>044356600</t>
  </si>
  <si>
    <t>0133069800</t>
  </si>
  <si>
    <t>0266139600</t>
  </si>
  <si>
    <t>0443566000</t>
  </si>
  <si>
    <t>0887132000</t>
  </si>
  <si>
    <t>-3-0</t>
  </si>
  <si>
    <t>8331.42万</t>
  </si>
  <si>
    <t>-1775111亿</t>
  </si>
  <si>
    <t>-17900418亿</t>
  </si>
  <si>
    <t>147837810亿</t>
  </si>
  <si>
    <t>3527416000亿</t>
  </si>
  <si>
    <t>-4695.11万</t>
  </si>
  <si>
    <t>开始亏损</t>
  </si>
  <si>
    <t>0249942600</t>
  </si>
  <si>
    <t>0499885200</t>
  </si>
  <si>
    <t>0833142000</t>
  </si>
  <si>
    <t>01666284000</t>
  </si>
  <si>
    <t>-2.15亿</t>
  </si>
  <si>
    <t>-27683亿</t>
  </si>
  <si>
    <t>1848275亿</t>
  </si>
  <si>
    <t>92055291亿</t>
  </si>
  <si>
    <t>258877920亿</t>
  </si>
  <si>
    <t>7021.64万</t>
  </si>
  <si>
    <t>-9.69亿</t>
  </si>
  <si>
    <t>-8.90亿</t>
  </si>
  <si>
    <t>7.02亿</t>
  </si>
  <si>
    <t>4908737亿</t>
  </si>
  <si>
    <t>161806600亿</t>
  </si>
  <si>
    <t>129115025亿</t>
  </si>
  <si>
    <t>3790465900亿</t>
  </si>
  <si>
    <t>10派20元(含税)</t>
  </si>
  <si>
    <t>8.66亿</t>
  </si>
  <si>
    <t>9965.26万</t>
  </si>
  <si>
    <t>1141434亿</t>
  </si>
  <si>
    <t>41424469亿</t>
  </si>
  <si>
    <t>493504510亿</t>
  </si>
  <si>
    <t>3117124700亿</t>
  </si>
  <si>
    <t>099652600</t>
  </si>
  <si>
    <t>0298957800</t>
  </si>
  <si>
    <t>0597915600</t>
  </si>
  <si>
    <t>0996526000</t>
  </si>
  <si>
    <t>01993052000</t>
  </si>
  <si>
    <t>20.41亿</t>
  </si>
  <si>
    <t>17.37亿</t>
  </si>
  <si>
    <t>22.77亿</t>
  </si>
  <si>
    <t>4878.16万</t>
  </si>
  <si>
    <t>21.72亿</t>
  </si>
  <si>
    <t>-738904亿</t>
  </si>
  <si>
    <t>6606701亿</t>
  </si>
  <si>
    <t>821700150亿</t>
  </si>
  <si>
    <t>1690858500亿</t>
  </si>
  <si>
    <t>-3958.10万</t>
  </si>
  <si>
    <t>7.38亿</t>
  </si>
  <si>
    <t>-1.40亿</t>
  </si>
  <si>
    <t>-855481亿</t>
  </si>
  <si>
    <t>-57054548亿</t>
  </si>
  <si>
    <t>234842920亿</t>
  </si>
  <si>
    <t>1085106190亿</t>
  </si>
  <si>
    <t>-1.49亿</t>
  </si>
  <si>
    <t>5033.37万</t>
  </si>
  <si>
    <t>6191.78万</t>
  </si>
  <si>
    <t>-1155.92万</t>
  </si>
  <si>
    <t>-1215623亿</t>
  </si>
  <si>
    <t>17539145亿</t>
  </si>
  <si>
    <t>113976028亿</t>
  </si>
  <si>
    <t>500.53万</t>
  </si>
  <si>
    <t>119.27亿</t>
  </si>
  <si>
    <t>104.11亿</t>
  </si>
  <si>
    <t>406.24亿</t>
  </si>
  <si>
    <t>28.39亿</t>
  </si>
  <si>
    <t>-47163449亿</t>
  </si>
  <si>
    <t>838303550亿</t>
  </si>
  <si>
    <t>9677692200亿</t>
  </si>
  <si>
    <t>19212283000亿</t>
  </si>
  <si>
    <t>9161.61万</t>
  </si>
  <si>
    <t>32646093亿</t>
  </si>
  <si>
    <t>52773178亿</t>
  </si>
  <si>
    <t>1185160010亿</t>
  </si>
  <si>
    <t>10转4.8股派5元(含税)</t>
  </si>
  <si>
    <t>142.37亿</t>
  </si>
  <si>
    <t>44.99亿</t>
  </si>
  <si>
    <t>151.17亿</t>
  </si>
  <si>
    <t>-479517亿</t>
  </si>
  <si>
    <t>857468940亿</t>
  </si>
  <si>
    <t>2866535900亿</t>
  </si>
  <si>
    <t>13057000600亿</t>
  </si>
  <si>
    <t>10派4.5元(含税)</t>
  </si>
  <si>
    <t>141.43亿</t>
  </si>
  <si>
    <t>115.95亿</t>
  </si>
  <si>
    <t>6458726亿</t>
  </si>
  <si>
    <t>149061350亿</t>
  </si>
  <si>
    <t>1947179800亿</t>
  </si>
  <si>
    <t>12150426300亿</t>
  </si>
  <si>
    <t>11.99亿</t>
  </si>
  <si>
    <t>15.89亿</t>
  </si>
  <si>
    <t>32.45亿</t>
  </si>
  <si>
    <t>40.68亿</t>
  </si>
  <si>
    <t>-5.51亿</t>
  </si>
  <si>
    <t>-4560573亿</t>
  </si>
  <si>
    <t>110319647亿</t>
  </si>
  <si>
    <t>6.98亿</t>
  </si>
  <si>
    <t>1284193710亿</t>
  </si>
  <si>
    <t>3537066100亿</t>
  </si>
  <si>
    <t>24.46亿</t>
  </si>
  <si>
    <t>10.61亿</t>
  </si>
  <si>
    <t>39.99亿</t>
  </si>
  <si>
    <t>1793438亿</t>
  </si>
  <si>
    <t>156941540亿</t>
  </si>
  <si>
    <t>14.61亿</t>
  </si>
  <si>
    <t>536414980亿</t>
  </si>
  <si>
    <t>3663557400亿</t>
  </si>
  <si>
    <t>-4.20亿</t>
  </si>
  <si>
    <t>-6025573亿</t>
  </si>
  <si>
    <t>33256697亿</t>
  </si>
  <si>
    <t>477138470亿</t>
  </si>
  <si>
    <t>2817134100亿</t>
  </si>
  <si>
    <t>5.67亿</t>
  </si>
  <si>
    <t>18.07亿</t>
  </si>
  <si>
    <t>能特科技</t>
  </si>
  <si>
    <t>48.65亿</t>
  </si>
  <si>
    <t>30.41亿</t>
  </si>
  <si>
    <t>111.29亿</t>
  </si>
  <si>
    <t>2.59亿</t>
  </si>
  <si>
    <t>10382531亿</t>
  </si>
  <si>
    <t>32772098亿</t>
  </si>
  <si>
    <t>636558630亿</t>
  </si>
  <si>
    <t>4500231400亿</t>
  </si>
  <si>
    <t>0259000000</t>
  </si>
  <si>
    <t>0777000000</t>
  </si>
  <si>
    <t>01554000000</t>
  </si>
  <si>
    <t>02590000000</t>
  </si>
  <si>
    <t>05180000000</t>
  </si>
  <si>
    <t>13.58亿</t>
  </si>
  <si>
    <t>50.42亿</t>
  </si>
  <si>
    <t>10.37亿</t>
  </si>
  <si>
    <t>11387148亿</t>
  </si>
  <si>
    <t>267286360亿</t>
  </si>
  <si>
    <t>1117797380亿</t>
  </si>
  <si>
    <t>5472389100亿</t>
  </si>
  <si>
    <t>8.14亿</t>
  </si>
  <si>
    <t>10派3.2元(含税)</t>
  </si>
  <si>
    <t>33.65亿</t>
  </si>
  <si>
    <t>5.80亿</t>
  </si>
  <si>
    <t>1231602亿</t>
  </si>
  <si>
    <t>201466980亿</t>
  </si>
  <si>
    <t>470274130亿</t>
  </si>
  <si>
    <t>3498287600亿</t>
  </si>
  <si>
    <t>8.39亿</t>
  </si>
  <si>
    <t>0580000000</t>
  </si>
  <si>
    <t>01740000000</t>
  </si>
  <si>
    <t>03480000000</t>
  </si>
  <si>
    <t>05800000000</t>
  </si>
  <si>
    <t>011600000000</t>
  </si>
  <si>
    <t>41.23亿</t>
  </si>
  <si>
    <t>5.63亿</t>
  </si>
  <si>
    <t>18678222亿</t>
  </si>
  <si>
    <t>145256870亿</t>
  </si>
  <si>
    <t>646244320亿</t>
  </si>
  <si>
    <t>3521007700亿</t>
  </si>
  <si>
    <t>-1231.26万</t>
  </si>
  <si>
    <t>6293984亿</t>
  </si>
  <si>
    <t>19973413亿</t>
  </si>
  <si>
    <t>180642980亿</t>
  </si>
  <si>
    <t>1185566360亿</t>
  </si>
  <si>
    <t>-1187.70万</t>
  </si>
  <si>
    <t>-2211300亿</t>
  </si>
  <si>
    <t>72355843亿</t>
  </si>
  <si>
    <t>897221230亿</t>
  </si>
  <si>
    <t>3.62亿</t>
  </si>
  <si>
    <t>8204172亿</t>
  </si>
  <si>
    <t>58873599亿</t>
  </si>
  <si>
    <t>19.89亿</t>
  </si>
  <si>
    <t>212141690亿</t>
  </si>
  <si>
    <t>3054306000亿</t>
  </si>
  <si>
    <t>10转4股派6元(含税)</t>
  </si>
  <si>
    <t>0362000000</t>
  </si>
  <si>
    <t>01086000000</t>
  </si>
  <si>
    <t>02172000000</t>
  </si>
  <si>
    <t>03620000000</t>
  </si>
  <si>
    <t>07240000000</t>
  </si>
  <si>
    <t>72.15亿</t>
  </si>
  <si>
    <t>54.46亿</t>
  </si>
  <si>
    <t>-7.83亿</t>
  </si>
  <si>
    <t>36.45亿</t>
  </si>
  <si>
    <t>-61890173亿</t>
  </si>
  <si>
    <t>157052350亿</t>
  </si>
  <si>
    <t>1152424150亿</t>
  </si>
  <si>
    <t>10439316500亿</t>
  </si>
  <si>
    <t>134.39亿</t>
  </si>
  <si>
    <t>62.19亿</t>
  </si>
  <si>
    <t>214.54亿</t>
  </si>
  <si>
    <t>24.56亿</t>
  </si>
  <si>
    <t>111835302亿</t>
  </si>
  <si>
    <t>992050870亿</t>
  </si>
  <si>
    <t>4969552000亿</t>
  </si>
  <si>
    <t>19208487000亿</t>
  </si>
  <si>
    <t>190.38亿</t>
  </si>
  <si>
    <t>56.38亿</t>
  </si>
  <si>
    <t>49.48亿</t>
  </si>
  <si>
    <t>-7.67亿</t>
  </si>
  <si>
    <t>3054825亿</t>
  </si>
  <si>
    <t>-24369870亿</t>
  </si>
  <si>
    <t>272761710亿</t>
  </si>
  <si>
    <t>5143453400亿</t>
  </si>
  <si>
    <t>17.10亿</t>
  </si>
  <si>
    <t>10.93亿</t>
  </si>
  <si>
    <t>687179亿</t>
  </si>
  <si>
    <t>32140694亿</t>
  </si>
  <si>
    <t>165747430亿</t>
  </si>
  <si>
    <t>1102361290亿</t>
  </si>
  <si>
    <t>6.76亿</t>
  </si>
  <si>
    <t>14.12亿</t>
  </si>
  <si>
    <t>0120000000</t>
  </si>
  <si>
    <t>0360000000</t>
  </si>
  <si>
    <t>0720000000</t>
  </si>
  <si>
    <t>01200000000</t>
  </si>
  <si>
    <t>02400000000</t>
  </si>
  <si>
    <t>24.74亿</t>
  </si>
  <si>
    <t>18.14亿</t>
  </si>
  <si>
    <t>3028237亿</t>
  </si>
  <si>
    <t>101983572亿</t>
  </si>
  <si>
    <t>277828930亿</t>
  </si>
  <si>
    <t>1579634200亿</t>
  </si>
  <si>
    <t>3.22亿</t>
  </si>
  <si>
    <t>33.55亿</t>
  </si>
  <si>
    <t>9.72亿</t>
  </si>
  <si>
    <t>-39819620亿</t>
  </si>
  <si>
    <t>29743640亿</t>
  </si>
  <si>
    <t>797927120亿</t>
  </si>
  <si>
    <t>2837652000亿</t>
  </si>
  <si>
    <t>3-0</t>
  </si>
  <si>
    <t>26.87亿</t>
  </si>
  <si>
    <t>32.76亿</t>
  </si>
  <si>
    <t>3053594亿</t>
  </si>
  <si>
    <t>54849973亿</t>
  </si>
  <si>
    <t>817763030亿</t>
  </si>
  <si>
    <t>2698589400亿</t>
  </si>
  <si>
    <t>10派1.25元(含税)</t>
  </si>
  <si>
    <t>32.83亿</t>
  </si>
  <si>
    <t>20.30亿</t>
  </si>
  <si>
    <t>-4.52亿</t>
  </si>
  <si>
    <t>21.20亿</t>
  </si>
  <si>
    <t>-30822418亿</t>
  </si>
  <si>
    <t>880520250亿</t>
  </si>
  <si>
    <t>1642962600亿</t>
  </si>
  <si>
    <t>-5-0</t>
  </si>
  <si>
    <t>5.13亿</t>
  </si>
  <si>
    <t>14.43亿</t>
  </si>
  <si>
    <t>1747033亿</t>
  </si>
  <si>
    <t>23536136亿</t>
  </si>
  <si>
    <t>139787950亿</t>
  </si>
  <si>
    <t>2325310200亿</t>
  </si>
  <si>
    <t>39.57亿</t>
  </si>
  <si>
    <t>-53159亿</t>
  </si>
  <si>
    <t>362972030亿</t>
  </si>
  <si>
    <t>170174400亿</t>
  </si>
  <si>
    <t>5696165900亿</t>
  </si>
  <si>
    <t>10派3.80元(含税)</t>
  </si>
  <si>
    <t>-6.61亿</t>
  </si>
  <si>
    <t>9.64亿</t>
  </si>
  <si>
    <t>-2185423亿</t>
  </si>
  <si>
    <t>-38955994亿</t>
  </si>
  <si>
    <t>491848010亿</t>
  </si>
  <si>
    <t>2111895100亿</t>
  </si>
  <si>
    <t>-12.25亿</t>
  </si>
  <si>
    <t>1538.65万</t>
  </si>
  <si>
    <t>6.48亿</t>
  </si>
  <si>
    <t>-80327亿</t>
  </si>
  <si>
    <t>1779975亿</t>
  </si>
  <si>
    <t>44182640亿</t>
  </si>
  <si>
    <t>505681820亿</t>
  </si>
  <si>
    <t>5.79亿</t>
  </si>
  <si>
    <t>-9307.37万</t>
  </si>
  <si>
    <t>35588亿</t>
  </si>
  <si>
    <t>-22356681亿</t>
  </si>
  <si>
    <t>129993215亿</t>
  </si>
  <si>
    <t>775958150亿</t>
  </si>
  <si>
    <t>账面净赚</t>
  </si>
  <si>
    <t>6948.44万</t>
  </si>
  <si>
    <t>953.37万</t>
  </si>
  <si>
    <t>66246亿</t>
  </si>
  <si>
    <t>860300亿</t>
  </si>
  <si>
    <t>48029078亿</t>
  </si>
  <si>
    <t>231100640亿</t>
  </si>
  <si>
    <t>10派0.2元(含税)</t>
  </si>
  <si>
    <t>12.95亿</t>
  </si>
  <si>
    <t>7366.31万</t>
  </si>
  <si>
    <t>8015919亿</t>
  </si>
  <si>
    <t>5084463亿</t>
  </si>
  <si>
    <t>74058249亿</t>
  </si>
  <si>
    <t>1565637100亿</t>
  </si>
  <si>
    <t>3020.73万</t>
  </si>
  <si>
    <t>073663100</t>
  </si>
  <si>
    <t>0220989300</t>
  </si>
  <si>
    <t>0441978600</t>
  </si>
  <si>
    <t>0736631000</t>
  </si>
  <si>
    <t>01473262000</t>
  </si>
  <si>
    <t>12.92亿</t>
  </si>
  <si>
    <t>6689.86万</t>
  </si>
  <si>
    <t>38137亿</t>
  </si>
  <si>
    <t>25572485亿</t>
  </si>
  <si>
    <t>126589881亿</t>
  </si>
  <si>
    <t>871628320亿</t>
  </si>
  <si>
    <t>16.26亿</t>
  </si>
  <si>
    <t>-2206143亿</t>
  </si>
  <si>
    <t>21588680亿</t>
  </si>
  <si>
    <t>152430400亿</t>
  </si>
  <si>
    <t>1666721400亿</t>
  </si>
  <si>
    <t>10派2.1元(含税)</t>
  </si>
  <si>
    <t>19.01亿</t>
  </si>
  <si>
    <t>3433225亿</t>
  </si>
  <si>
    <t>28398397亿</t>
  </si>
  <si>
    <t>282187800亿</t>
  </si>
  <si>
    <t>1139856410亿</t>
  </si>
  <si>
    <t>10转2股派5元(含税)</t>
  </si>
  <si>
    <t>-892.73万</t>
  </si>
  <si>
    <t>-5537148亿</t>
  </si>
  <si>
    <t>-7433735亿</t>
  </si>
  <si>
    <t>361891890亿</t>
  </si>
  <si>
    <t>1777967300亿</t>
  </si>
  <si>
    <t>-6870.52万</t>
  </si>
  <si>
    <t>10.33亿</t>
  </si>
  <si>
    <t>-7175.71万</t>
  </si>
  <si>
    <t>849798亿</t>
  </si>
  <si>
    <t>11446351亿</t>
  </si>
  <si>
    <t>166810740亿</t>
  </si>
  <si>
    <t>1253434430亿</t>
  </si>
  <si>
    <t>1128.39万</t>
  </si>
  <si>
    <t>7.88亿</t>
  </si>
  <si>
    <t>1152.99万</t>
  </si>
  <si>
    <t>-46547652亿</t>
  </si>
  <si>
    <t>100693650亿</t>
  </si>
  <si>
    <t>569053860亿</t>
  </si>
  <si>
    <t>034589700</t>
  </si>
  <si>
    <t>069179400</t>
  </si>
  <si>
    <t>0115299000</t>
  </si>
  <si>
    <t>0230598000</t>
  </si>
  <si>
    <t>16.36亿</t>
  </si>
  <si>
    <t>48779071亿</t>
  </si>
  <si>
    <t>663196130亿</t>
  </si>
  <si>
    <t>2634864900亿</t>
  </si>
  <si>
    <t>8369.29万</t>
  </si>
  <si>
    <t>2174.79万</t>
  </si>
  <si>
    <t>439069亿</t>
  </si>
  <si>
    <t>54023362亿</t>
  </si>
  <si>
    <t>837181090亿</t>
  </si>
  <si>
    <t>021747900</t>
  </si>
  <si>
    <t>065243700</t>
  </si>
  <si>
    <t>0130487400</t>
  </si>
  <si>
    <t>0217479000</t>
  </si>
  <si>
    <t>0434958000</t>
  </si>
  <si>
    <t>36.26亿</t>
  </si>
  <si>
    <t>-4398.41万</t>
  </si>
  <si>
    <t>16888805亿</t>
  </si>
  <si>
    <t>-8592417亿</t>
  </si>
  <si>
    <t>645269260亿</t>
  </si>
  <si>
    <t>4189280200亿</t>
  </si>
  <si>
    <t>9.78万</t>
  </si>
  <si>
    <t>9.17亿</t>
  </si>
  <si>
    <t>18.27亿</t>
  </si>
  <si>
    <t>26.48亿</t>
  </si>
  <si>
    <t>8.07亿</t>
  </si>
  <si>
    <t>25408722亿</t>
  </si>
  <si>
    <t>116877331亿</t>
  </si>
  <si>
    <t>297317480亿</t>
  </si>
  <si>
    <t>2148460500亿</t>
  </si>
  <si>
    <t>9.82亿</t>
  </si>
  <si>
    <t>24.94亿</t>
  </si>
  <si>
    <t>-5.14亿</t>
  </si>
  <si>
    <t>-16074914亿</t>
  </si>
  <si>
    <t>170921510亿</t>
  </si>
  <si>
    <t>421066830亿</t>
  </si>
  <si>
    <t>6.42亿</t>
  </si>
  <si>
    <t>9498.34万</t>
  </si>
  <si>
    <t>-3.99亿</t>
  </si>
  <si>
    <t>-65862亿</t>
  </si>
  <si>
    <t>-4439218亿</t>
  </si>
  <si>
    <t>52840966亿</t>
  </si>
  <si>
    <t>222129960亿</t>
  </si>
  <si>
    <t>2882.62万</t>
  </si>
  <si>
    <t>9.32亿</t>
  </si>
  <si>
    <t>35.38亿</t>
  </si>
  <si>
    <t>-164341亿</t>
  </si>
  <si>
    <t>80313584亿</t>
  </si>
  <si>
    <t>560843820亿</t>
  </si>
  <si>
    <t>2370818600亿</t>
  </si>
  <si>
    <t>10派2.00元(含税)</t>
  </si>
  <si>
    <t>2519.56万</t>
  </si>
  <si>
    <t>15923806亿</t>
  </si>
  <si>
    <t>99343672亿</t>
  </si>
  <si>
    <t>417256000亿</t>
  </si>
  <si>
    <t>025195600</t>
  </si>
  <si>
    <t>075586800</t>
  </si>
  <si>
    <t>0151173600</t>
  </si>
  <si>
    <t>0251956000</t>
  </si>
  <si>
    <t>0503912000</t>
  </si>
  <si>
    <t>27.97亿</t>
  </si>
  <si>
    <t>-12.40亿</t>
  </si>
  <si>
    <t>-62008959亿</t>
  </si>
  <si>
    <t>248025540亿</t>
  </si>
  <si>
    <t>2308260100亿</t>
  </si>
  <si>
    <t>9.27亿</t>
  </si>
  <si>
    <t>9-0</t>
  </si>
  <si>
    <t>-1.95亿</t>
  </si>
  <si>
    <t>14.19亿</t>
  </si>
  <si>
    <t>326474亿</t>
  </si>
  <si>
    <t>-3342539亿</t>
  </si>
  <si>
    <t>108796549亿</t>
  </si>
  <si>
    <t>1725441100亿</t>
  </si>
  <si>
    <t>4594.49万</t>
  </si>
  <si>
    <t>-1074.97万</t>
  </si>
  <si>
    <t>-1422107亿</t>
  </si>
  <si>
    <t>14209597亿</t>
  </si>
  <si>
    <t>193289480亿</t>
  </si>
  <si>
    <t>1523463100亿</t>
  </si>
  <si>
    <t>140136亿</t>
  </si>
  <si>
    <t>61030303亿</t>
  </si>
  <si>
    <t>131551943亿</t>
  </si>
  <si>
    <t>2693331200亿</t>
  </si>
  <si>
    <t>10.40亿</t>
  </si>
  <si>
    <t>10派0.71元(含税)</t>
  </si>
  <si>
    <t>6.77亿</t>
  </si>
  <si>
    <t>24.24亿</t>
  </si>
  <si>
    <t>12.09亿</t>
  </si>
  <si>
    <t>-2639663亿</t>
  </si>
  <si>
    <t>87643875亿</t>
  </si>
  <si>
    <t>100957026亿</t>
  </si>
  <si>
    <t>1344736200亿</t>
  </si>
  <si>
    <t>10派1.1元(含税)</t>
  </si>
  <si>
    <t>-3.49亿</t>
  </si>
  <si>
    <t>-1646596亿</t>
  </si>
  <si>
    <t>-17277794亿</t>
  </si>
  <si>
    <t>69918647亿</t>
  </si>
  <si>
    <t>467276250亿</t>
  </si>
  <si>
    <t>-2.07亿</t>
  </si>
  <si>
    <t>3745773亿</t>
  </si>
  <si>
    <t>42240560亿</t>
  </si>
  <si>
    <t>138800060亿</t>
  </si>
  <si>
    <t>948225720亿</t>
  </si>
  <si>
    <t>23.48亿</t>
  </si>
  <si>
    <t>110650亿</t>
  </si>
  <si>
    <t>-10002145亿</t>
  </si>
  <si>
    <t>254315430亿</t>
  </si>
  <si>
    <t>1738701400亿</t>
  </si>
  <si>
    <t>6.96亿</t>
  </si>
  <si>
    <t>37.95亿</t>
  </si>
  <si>
    <t>-2152030亿</t>
  </si>
  <si>
    <t>89562834亿</t>
  </si>
  <si>
    <t>207417490亿</t>
  </si>
  <si>
    <t>1291522380亿</t>
  </si>
  <si>
    <t>35240962亿</t>
  </si>
  <si>
    <t>156868890亿</t>
  </si>
  <si>
    <t>976918040亿</t>
  </si>
  <si>
    <t>10转4股派30元(含税)</t>
  </si>
  <si>
    <t>12.80亿</t>
  </si>
  <si>
    <t>4560.40万</t>
  </si>
  <si>
    <t>1787944亿</t>
  </si>
  <si>
    <t>1501365亿</t>
  </si>
  <si>
    <t>271654100亿</t>
  </si>
  <si>
    <t>1552405900亿</t>
  </si>
  <si>
    <t>4196.74万</t>
  </si>
  <si>
    <t>5.18亿</t>
  </si>
  <si>
    <t>3631.56万</t>
  </si>
  <si>
    <t>4.75亿</t>
  </si>
  <si>
    <t>-105.0亿</t>
  </si>
  <si>
    <t>13386702亿</t>
  </si>
  <si>
    <t>200965070亿</t>
  </si>
  <si>
    <t>353441960亿</t>
  </si>
  <si>
    <t>036315600</t>
  </si>
  <si>
    <t>0108946800</t>
  </si>
  <si>
    <t>0217893600</t>
  </si>
  <si>
    <t>0363156000</t>
  </si>
  <si>
    <t>0726312000</t>
  </si>
  <si>
    <t>40487634亿</t>
  </si>
  <si>
    <t>118735204亿</t>
  </si>
  <si>
    <t>1284774480亿</t>
  </si>
  <si>
    <t>10派0.4元(含税)</t>
  </si>
  <si>
    <t>28.50亿</t>
  </si>
  <si>
    <t>25.27亿</t>
  </si>
  <si>
    <t>2735.93万</t>
  </si>
  <si>
    <t>-26377088亿</t>
  </si>
  <si>
    <t>52515096亿</t>
  </si>
  <si>
    <t>471555890亿</t>
  </si>
  <si>
    <t>2777946500亿</t>
  </si>
  <si>
    <t>8.98亿</t>
  </si>
  <si>
    <t>19.73亿</t>
  </si>
  <si>
    <t>26.93亿</t>
  </si>
  <si>
    <t>580456亿</t>
  </si>
  <si>
    <t>106115901亿</t>
  </si>
  <si>
    <t>432772880亿</t>
  </si>
  <si>
    <t>1483571900亿</t>
  </si>
  <si>
    <t>10转4股派3.21元(含税)</t>
  </si>
  <si>
    <t>25.03亿</t>
  </si>
  <si>
    <t>731404亿</t>
  </si>
  <si>
    <t>98009397亿</t>
  </si>
  <si>
    <t>336258000亿</t>
  </si>
  <si>
    <t>1639628200亿</t>
  </si>
  <si>
    <t>25.02亿</t>
  </si>
  <si>
    <t>-4612267亿</t>
  </si>
  <si>
    <t>78171951亿</t>
  </si>
  <si>
    <t>467058780亿</t>
  </si>
  <si>
    <t>3622882400亿</t>
  </si>
  <si>
    <t>19.34亿</t>
  </si>
  <si>
    <t>7.19亿</t>
  </si>
  <si>
    <t>10转2股派3.2元(含税)</t>
  </si>
  <si>
    <t>14.24亿</t>
  </si>
  <si>
    <t>2300.50万</t>
  </si>
  <si>
    <t>-113761亿</t>
  </si>
  <si>
    <t>3464603亿</t>
  </si>
  <si>
    <t>212376070亿</t>
  </si>
  <si>
    <t>772701690亿</t>
  </si>
  <si>
    <t>6.86亿</t>
  </si>
  <si>
    <t>4020.52万</t>
  </si>
  <si>
    <t>10派0.16元(含税)</t>
  </si>
  <si>
    <t>12.96亿</t>
  </si>
  <si>
    <t>5961.59万</t>
  </si>
  <si>
    <t>16050547亿</t>
  </si>
  <si>
    <t>127064995亿</t>
  </si>
  <si>
    <t>859590970亿</t>
  </si>
  <si>
    <t>5980.29万</t>
  </si>
  <si>
    <t>7845.74万</t>
  </si>
  <si>
    <t>1885.07万</t>
  </si>
  <si>
    <t>2467690亿</t>
  </si>
  <si>
    <t>-3749287亿</t>
  </si>
  <si>
    <t>82849570亿</t>
  </si>
  <si>
    <t>682373220亿</t>
  </si>
  <si>
    <t>3.52亿</t>
  </si>
  <si>
    <t>1453696亿</t>
  </si>
  <si>
    <t>-641436亿</t>
  </si>
  <si>
    <t>103973821亿</t>
  </si>
  <si>
    <t>785429080亿</t>
  </si>
  <si>
    <t>8433.26万</t>
  </si>
  <si>
    <t>6670.55万</t>
  </si>
  <si>
    <t>5050.24万</t>
  </si>
  <si>
    <t>472006亿</t>
  </si>
  <si>
    <t>300.00万</t>
  </si>
  <si>
    <t>12061083亿</t>
  </si>
  <si>
    <t>39325700亿</t>
  </si>
  <si>
    <t>546783890亿</t>
  </si>
  <si>
    <t>10派2.6元(含税)</t>
  </si>
  <si>
    <t>34438亿</t>
  </si>
  <si>
    <t>36053570亿</t>
  </si>
  <si>
    <t>70319422亿</t>
  </si>
  <si>
    <t>2062714800亿</t>
  </si>
  <si>
    <t>790.00万</t>
  </si>
  <si>
    <t>10派4.8元(含税)</t>
  </si>
  <si>
    <t>20.55亿</t>
  </si>
  <si>
    <t>8716.86万</t>
  </si>
  <si>
    <t>19.65亿</t>
  </si>
  <si>
    <t>-849561亿</t>
  </si>
  <si>
    <t>19063757亿</t>
  </si>
  <si>
    <t>205914060亿</t>
  </si>
  <si>
    <t>3080763300亿</t>
  </si>
  <si>
    <t>9629.13万</t>
  </si>
  <si>
    <t>7270040亿</t>
  </si>
  <si>
    <t>3195111亿</t>
  </si>
  <si>
    <t>62907374亿</t>
  </si>
  <si>
    <t>1629680100亿</t>
  </si>
  <si>
    <t>18.29亿</t>
  </si>
  <si>
    <t>38941亿</t>
  </si>
  <si>
    <t>43437761亿</t>
  </si>
  <si>
    <t>328761280亿</t>
  </si>
  <si>
    <t>1225745370亿</t>
  </si>
  <si>
    <t>14.49亿</t>
  </si>
  <si>
    <t>6.51亿</t>
  </si>
  <si>
    <t>4.92亿</t>
  </si>
  <si>
    <t>3616334亿</t>
  </si>
  <si>
    <t>1.40万</t>
  </si>
  <si>
    <t>52269114亿</t>
  </si>
  <si>
    <t>120543225亿</t>
  </si>
  <si>
    <t>1242798050亿</t>
  </si>
  <si>
    <t>7703.94万</t>
  </si>
  <si>
    <t>540744亿</t>
  </si>
  <si>
    <t>19904832亿</t>
  </si>
  <si>
    <t>76303135亿</t>
  </si>
  <si>
    <t>830437540亿</t>
  </si>
  <si>
    <t>31.65亿</t>
  </si>
  <si>
    <t>15.23亿</t>
  </si>
  <si>
    <t>48.23亿</t>
  </si>
  <si>
    <t>9.41亿</t>
  </si>
  <si>
    <t>-3065506亿</t>
  </si>
  <si>
    <t>351811610亿</t>
  </si>
  <si>
    <t>821449660亿</t>
  </si>
  <si>
    <t>4368764700亿</t>
  </si>
  <si>
    <t>5.38亿</t>
  </si>
  <si>
    <t>8563.38万</t>
  </si>
  <si>
    <t>440603亿</t>
  </si>
  <si>
    <t>57067552亿</t>
  </si>
  <si>
    <t>20457487亿</t>
  </si>
  <si>
    <t>1171882820亿</t>
  </si>
  <si>
    <t>7901.01万</t>
  </si>
  <si>
    <t>36.41亿</t>
  </si>
  <si>
    <t>28.35亿</t>
  </si>
  <si>
    <t>102.22亿</t>
  </si>
  <si>
    <t>13.33亿</t>
  </si>
  <si>
    <t>7.95亿</t>
  </si>
  <si>
    <t>8.23亿</t>
  </si>
  <si>
    <t>12768525亿</t>
  </si>
  <si>
    <t>397820940亿</t>
  </si>
  <si>
    <t>1843267100亿</t>
  </si>
  <si>
    <t>7866918800亿</t>
  </si>
  <si>
    <t>96.25亿</t>
  </si>
  <si>
    <t>10派2.57元(含税)</t>
  </si>
  <si>
    <t>161.06亿</t>
  </si>
  <si>
    <t>63.67亿</t>
  </si>
  <si>
    <t>245.25亿</t>
  </si>
  <si>
    <t>21.34亿</t>
  </si>
  <si>
    <t>16870550亿</t>
  </si>
  <si>
    <t>464342150亿</t>
  </si>
  <si>
    <t>9305230300亿</t>
  </si>
  <si>
    <t>20001987000亿</t>
  </si>
  <si>
    <t>70.02万</t>
  </si>
  <si>
    <t>10派4.6元(含税)</t>
  </si>
  <si>
    <t>568.53亿</t>
  </si>
  <si>
    <t>101.57亿</t>
  </si>
  <si>
    <t>414.00亿</t>
  </si>
  <si>
    <t>23.86亿</t>
  </si>
  <si>
    <t>335558030亿</t>
  </si>
  <si>
    <t>608535470亿</t>
  </si>
  <si>
    <t>7437718600亿</t>
  </si>
  <si>
    <t>33839365000亿</t>
  </si>
  <si>
    <t>10派2.7元(含税)</t>
  </si>
  <si>
    <t>25.65亿</t>
  </si>
  <si>
    <t>22.40亿</t>
  </si>
  <si>
    <t>-7194.52万</t>
  </si>
  <si>
    <t>-1229559亿</t>
  </si>
  <si>
    <t>-1952153亿</t>
  </si>
  <si>
    <t>1172531990亿</t>
  </si>
  <si>
    <t>2992346500亿</t>
  </si>
  <si>
    <t>-7626.87万</t>
  </si>
  <si>
    <t>22.49亿</t>
  </si>
  <si>
    <t>77.94亿</t>
  </si>
  <si>
    <t>-1500648亿</t>
  </si>
  <si>
    <t>106062789亿</t>
  </si>
  <si>
    <t>1481522600亿</t>
  </si>
  <si>
    <t>5666395100亿</t>
  </si>
  <si>
    <t>92.64亿</t>
  </si>
  <si>
    <t>83.49亿</t>
  </si>
  <si>
    <t>27.27亿</t>
  </si>
  <si>
    <t>103.73亿</t>
  </si>
  <si>
    <t>-9317.13万</t>
  </si>
  <si>
    <t>122620672亿</t>
  </si>
  <si>
    <t>133020653亿</t>
  </si>
  <si>
    <t>1959816800亿</t>
  </si>
  <si>
    <t>6374059000亿</t>
  </si>
  <si>
    <t>4.00万</t>
  </si>
  <si>
    <t>27.51亿</t>
  </si>
  <si>
    <t>59.98亿</t>
  </si>
  <si>
    <t>228.20亿</t>
  </si>
  <si>
    <t>43.02亿</t>
  </si>
  <si>
    <t>615897亿</t>
  </si>
  <si>
    <t>1440480300亿</t>
  </si>
  <si>
    <t>4825082700亿</t>
  </si>
  <si>
    <t>33712252000亿</t>
  </si>
  <si>
    <t>137.19亿</t>
  </si>
  <si>
    <t>43.40亿</t>
  </si>
  <si>
    <t>166.46亿</t>
  </si>
  <si>
    <t>20421061亿</t>
  </si>
  <si>
    <t>427753550亿</t>
  </si>
  <si>
    <t>2641495100亿</t>
  </si>
  <si>
    <t>23443751000亿</t>
  </si>
  <si>
    <t>20.76亿</t>
  </si>
  <si>
    <t>10派1.80元(含税)</t>
  </si>
  <si>
    <t>50.14亿</t>
  </si>
  <si>
    <t>31.23亿</t>
  </si>
  <si>
    <t>120.70亿</t>
  </si>
  <si>
    <t>2479299亿</t>
  </si>
  <si>
    <t>325926580亿</t>
  </si>
  <si>
    <t>1384378600亿</t>
  </si>
  <si>
    <t>11237495500亿</t>
  </si>
  <si>
    <t>4504.84万</t>
  </si>
  <si>
    <t>37.53亿</t>
  </si>
  <si>
    <t>786064亿</t>
  </si>
  <si>
    <t>56566744亿</t>
  </si>
  <si>
    <t>410358240亿</t>
  </si>
  <si>
    <t>2124907600亿</t>
  </si>
  <si>
    <t>10派0.87元(含税)</t>
  </si>
  <si>
    <t>13.38亿</t>
  </si>
  <si>
    <t>21.74亿</t>
  </si>
  <si>
    <t>-1008944亿</t>
  </si>
  <si>
    <t>30743150亿</t>
  </si>
  <si>
    <t>515768170亿</t>
  </si>
  <si>
    <t>1302483970亿</t>
  </si>
  <si>
    <t>7900.00万</t>
  </si>
  <si>
    <t>-1.85亿</t>
  </si>
  <si>
    <t>103.49亿</t>
  </si>
  <si>
    <t>83.09亿</t>
  </si>
  <si>
    <t>-7172697亿</t>
  </si>
  <si>
    <t>315424400亿</t>
  </si>
  <si>
    <t>2428524600亿</t>
  </si>
  <si>
    <t>8901797100亿</t>
  </si>
  <si>
    <t>10派2.0元(含税)</t>
  </si>
  <si>
    <t>5700.07万</t>
  </si>
  <si>
    <t>23771862亿</t>
  </si>
  <si>
    <t>398328040亿</t>
  </si>
  <si>
    <t>1802019200亿</t>
  </si>
  <si>
    <t>4854.81万</t>
  </si>
  <si>
    <t>9.52亿</t>
  </si>
  <si>
    <t>596.30万</t>
  </si>
  <si>
    <t>-271164亿</t>
  </si>
  <si>
    <t>-12313884亿</t>
  </si>
  <si>
    <t>72383556亿</t>
  </si>
  <si>
    <t>989098410亿</t>
  </si>
  <si>
    <t>-620.02万</t>
  </si>
  <si>
    <t>86.89亿</t>
  </si>
  <si>
    <t>41.42亿</t>
  </si>
  <si>
    <t>154.57亿</t>
  </si>
  <si>
    <t>159290810亿</t>
  </si>
  <si>
    <t>4717311500亿</t>
  </si>
  <si>
    <t>10484467600亿</t>
  </si>
  <si>
    <t>9.84亿</t>
  </si>
  <si>
    <t>18.66亿</t>
  </si>
  <si>
    <t>13.90亿</t>
  </si>
  <si>
    <t>6120.64万</t>
  </si>
  <si>
    <t>11539174亿</t>
  </si>
  <si>
    <t>134398330亿</t>
  </si>
  <si>
    <t>660375690亿</t>
  </si>
  <si>
    <t>9033.32万</t>
  </si>
  <si>
    <t>50.61亿</t>
  </si>
  <si>
    <t>61.47亿</t>
  </si>
  <si>
    <t>2.33亿</t>
  </si>
  <si>
    <t>-1772263亿</t>
  </si>
  <si>
    <t>53371705亿</t>
  </si>
  <si>
    <t>1027986980亿</t>
  </si>
  <si>
    <t>3739471700亿</t>
  </si>
  <si>
    <t>11.02亿</t>
  </si>
  <si>
    <t>10派0.9元(含税)</t>
  </si>
  <si>
    <t>146.86亿</t>
  </si>
  <si>
    <t>25.58亿</t>
  </si>
  <si>
    <t>101.20亿</t>
  </si>
  <si>
    <t>489.03万</t>
  </si>
  <si>
    <t>7712726亿</t>
  </si>
  <si>
    <t>11584706亿</t>
  </si>
  <si>
    <t>2252499200亿</t>
  </si>
  <si>
    <t>7907776700亿</t>
  </si>
  <si>
    <t>11.83亿</t>
  </si>
  <si>
    <t>26042436亿</t>
  </si>
  <si>
    <t>30920467亿</t>
  </si>
  <si>
    <t>90807566亿</t>
  </si>
  <si>
    <t>1032639710亿</t>
  </si>
  <si>
    <t>1200.00万</t>
  </si>
  <si>
    <t>10派0.65元(含税)</t>
  </si>
  <si>
    <t>10.71亿</t>
  </si>
  <si>
    <t>33.40亿</t>
  </si>
  <si>
    <t>12.15亿</t>
  </si>
  <si>
    <t>-150265亿</t>
  </si>
  <si>
    <t>123558062亿</t>
  </si>
  <si>
    <t>334080230亿</t>
  </si>
  <si>
    <t>3207420800亿</t>
  </si>
  <si>
    <t>10派5.0元(含税)</t>
  </si>
  <si>
    <t>6.45亿</t>
  </si>
  <si>
    <t>2540.76万</t>
  </si>
  <si>
    <t>172039亿</t>
  </si>
  <si>
    <t>4359273亿</t>
  </si>
  <si>
    <t>3.56亿</t>
  </si>
  <si>
    <t>35041266亿</t>
  </si>
  <si>
    <t>372219520亿</t>
  </si>
  <si>
    <t>4475.16万</t>
  </si>
  <si>
    <t>108489855亿</t>
  </si>
  <si>
    <t>291549330亿</t>
  </si>
  <si>
    <t>1762690500亿</t>
  </si>
  <si>
    <t>10转4股派1.29元(含税)</t>
  </si>
  <si>
    <t>18.82亿</t>
  </si>
  <si>
    <t>364869亿</t>
  </si>
  <si>
    <t>136315270亿</t>
  </si>
  <si>
    <t>265008910亿</t>
  </si>
  <si>
    <t>3236583700亿</t>
  </si>
  <si>
    <t>-3.03亿</t>
  </si>
  <si>
    <t>11.56亿</t>
  </si>
  <si>
    <t>34635148亿</t>
  </si>
  <si>
    <t>205586390亿</t>
  </si>
  <si>
    <t>626214280亿</t>
  </si>
  <si>
    <t>15.71亿</t>
  </si>
  <si>
    <t>44.62亿</t>
  </si>
  <si>
    <t>13.35亿</t>
  </si>
  <si>
    <t>10844203亿</t>
  </si>
  <si>
    <t>144631720亿</t>
  </si>
  <si>
    <t>850466750亿</t>
  </si>
  <si>
    <t>5154438700亿</t>
  </si>
  <si>
    <t>10派4.36元(含税)</t>
  </si>
  <si>
    <t>37.58亿</t>
  </si>
  <si>
    <t>21.96亿</t>
  </si>
  <si>
    <t>4423.21万</t>
  </si>
  <si>
    <t>16.63亿</t>
  </si>
  <si>
    <t>-4578597亿</t>
  </si>
  <si>
    <t>9830980亿</t>
  </si>
  <si>
    <t>5.65亿</t>
  </si>
  <si>
    <t>440537040亿</t>
  </si>
  <si>
    <t>2070884800亿</t>
  </si>
  <si>
    <t>-7585.00万</t>
  </si>
  <si>
    <t>22.38亿</t>
  </si>
  <si>
    <t>1158.56万</t>
  </si>
  <si>
    <t>-13589352亿</t>
  </si>
  <si>
    <t>20527312亿</t>
  </si>
  <si>
    <t>247470180亿</t>
  </si>
  <si>
    <t>1687935100亿</t>
  </si>
  <si>
    <t>7686.16万</t>
  </si>
  <si>
    <t>-1.51亿</t>
  </si>
  <si>
    <t>-3417704亿</t>
  </si>
  <si>
    <t>-20419766亿</t>
  </si>
  <si>
    <t>55561662亿</t>
  </si>
  <si>
    <t>746729110亿</t>
  </si>
  <si>
    <t>13.23亿</t>
  </si>
  <si>
    <t>3102088亿</t>
  </si>
  <si>
    <t>56710262亿</t>
  </si>
  <si>
    <t>202320760亿</t>
  </si>
  <si>
    <t>1331520400亿</t>
  </si>
  <si>
    <t>10派2.85元(含税)</t>
  </si>
  <si>
    <t>37.26亿</t>
  </si>
  <si>
    <t>10.04亿</t>
  </si>
  <si>
    <t>-1.89亿</t>
  </si>
  <si>
    <t>533742亿</t>
  </si>
  <si>
    <t>171375750亿</t>
  </si>
  <si>
    <t>887270500亿</t>
  </si>
  <si>
    <t>7408704500亿</t>
  </si>
  <si>
    <t>15.67亿</t>
  </si>
  <si>
    <t>6.72亿</t>
  </si>
  <si>
    <t>10381569亿</t>
  </si>
  <si>
    <t>30890184亿</t>
  </si>
  <si>
    <t>64681142亿</t>
  </si>
  <si>
    <t>496204350亿</t>
  </si>
  <si>
    <t>12.63亿</t>
  </si>
  <si>
    <t>476849亿</t>
  </si>
  <si>
    <t>82167820亿</t>
  </si>
  <si>
    <t>282443580亿</t>
  </si>
  <si>
    <t>1353221900亿</t>
  </si>
  <si>
    <t>4004.16万</t>
  </si>
  <si>
    <t>20.15亿</t>
  </si>
  <si>
    <t>1898318亿</t>
  </si>
  <si>
    <t>20376580亿</t>
  </si>
  <si>
    <t>216298960亿</t>
  </si>
  <si>
    <t>1613225600亿</t>
  </si>
  <si>
    <t>29.24亿</t>
  </si>
  <si>
    <t>53.49亿</t>
  </si>
  <si>
    <t>7269027亿</t>
  </si>
  <si>
    <t>192939580亿</t>
  </si>
  <si>
    <t>623314490亿</t>
  </si>
  <si>
    <t>5420999300亿</t>
  </si>
  <si>
    <t>6870.30万</t>
  </si>
  <si>
    <t>1485651亿</t>
  </si>
  <si>
    <t>28154092亿</t>
  </si>
  <si>
    <t>134360920亿</t>
  </si>
  <si>
    <t>13.65万</t>
  </si>
  <si>
    <t>1453856700亿</t>
  </si>
  <si>
    <t>10转3股派3.10元(含税)</t>
  </si>
  <si>
    <t>7033.71万</t>
  </si>
  <si>
    <t>298892亿</t>
  </si>
  <si>
    <t>15286390亿</t>
  </si>
  <si>
    <t>82438763亿</t>
  </si>
  <si>
    <t>588915040亿</t>
  </si>
  <si>
    <t>26.14亿</t>
  </si>
  <si>
    <t>-4545947亿</t>
  </si>
  <si>
    <t>64214448亿</t>
  </si>
  <si>
    <t>250805720亿</t>
  </si>
  <si>
    <t>1776422800亿</t>
  </si>
  <si>
    <t>10派0.96元(含税)</t>
  </si>
  <si>
    <t>2431.95万</t>
  </si>
  <si>
    <t>1375.33万</t>
  </si>
  <si>
    <t>-4.00亿</t>
  </si>
  <si>
    <t>7951174亿</t>
  </si>
  <si>
    <t>-93225835亿</t>
  </si>
  <si>
    <t>20223327亿</t>
  </si>
  <si>
    <t>2305728500亿</t>
  </si>
  <si>
    <t>-94.50万</t>
  </si>
  <si>
    <t>375.15万</t>
  </si>
  <si>
    <t>3292852亿</t>
  </si>
  <si>
    <t>522624550亿</t>
  </si>
  <si>
    <t>1245613160亿</t>
  </si>
  <si>
    <t>57.31万</t>
  </si>
  <si>
    <t>8131.86万</t>
  </si>
  <si>
    <t>9128.86万</t>
  </si>
  <si>
    <t>-11.08亿</t>
  </si>
  <si>
    <t>-254748640亿</t>
  </si>
  <si>
    <t>44131815亿</t>
  </si>
  <si>
    <t>978932670亿</t>
  </si>
  <si>
    <t>9115.89万</t>
  </si>
  <si>
    <t>522.92万</t>
  </si>
  <si>
    <t>1122802亿</t>
  </si>
  <si>
    <t>-56834275亿</t>
  </si>
  <si>
    <t>826584930亿</t>
  </si>
  <si>
    <t>840.97万</t>
  </si>
  <si>
    <t>2464.81万</t>
  </si>
  <si>
    <t>-3.29亿</t>
  </si>
  <si>
    <t>3361525亿</t>
  </si>
  <si>
    <t>-62688897亿</t>
  </si>
  <si>
    <t>47501196亿</t>
  </si>
  <si>
    <t>1045696660亿</t>
  </si>
  <si>
    <t>586.78万</t>
  </si>
  <si>
    <t>6107.41万</t>
  </si>
  <si>
    <t>1006800亿</t>
  </si>
  <si>
    <t>21748197亿</t>
  </si>
  <si>
    <t>73499119亿</t>
  </si>
  <si>
    <t>945451260亿</t>
  </si>
  <si>
    <t>9293.16万</t>
  </si>
  <si>
    <t>10派0.41元(含税)</t>
  </si>
  <si>
    <t>-2.79亿</t>
  </si>
  <si>
    <t>505947亿</t>
  </si>
  <si>
    <t>-42502884亿</t>
  </si>
  <si>
    <t>112023077亿</t>
  </si>
  <si>
    <t>2722994200亿</t>
  </si>
  <si>
    <t>-4.57亿</t>
  </si>
  <si>
    <t>-2.94亿</t>
  </si>
  <si>
    <t>3003685亿</t>
  </si>
  <si>
    <t>-52718914亿</t>
  </si>
  <si>
    <t>1071353140亿</t>
  </si>
  <si>
    <t>-1.83万</t>
  </si>
  <si>
    <t>8883.85万</t>
  </si>
  <si>
    <t>-4749304亿</t>
  </si>
  <si>
    <t>-21976077亿</t>
  </si>
  <si>
    <t>129013829亿</t>
  </si>
  <si>
    <t>1104076110亿</t>
  </si>
  <si>
    <t>5.00万</t>
  </si>
  <si>
    <t>3301.61万</t>
  </si>
  <si>
    <t>9077.64万</t>
  </si>
  <si>
    <t>-4.21亿</t>
  </si>
  <si>
    <t>-107608780亿</t>
  </si>
  <si>
    <t>26359705亿</t>
  </si>
  <si>
    <t>992871280亿</t>
  </si>
  <si>
    <t>860.60万</t>
  </si>
  <si>
    <t>-2.84亿</t>
  </si>
  <si>
    <t>-83177667亿</t>
  </si>
  <si>
    <t>183932190亿</t>
  </si>
  <si>
    <t>2039818100亿</t>
  </si>
  <si>
    <t>-3.08亿</t>
  </si>
  <si>
    <t>7.43亿</t>
  </si>
  <si>
    <t>1080735亿</t>
  </si>
  <si>
    <t>-4515799亿</t>
  </si>
  <si>
    <t>452005750亿</t>
  </si>
  <si>
    <t>1833318800亿</t>
  </si>
  <si>
    <t>12.73亿</t>
  </si>
  <si>
    <t>54.62亿</t>
  </si>
  <si>
    <t>-7.80亿</t>
  </si>
  <si>
    <t>5004629700亿</t>
  </si>
  <si>
    <t>95290833亿</t>
  </si>
  <si>
    <t>6220182100亿</t>
  </si>
  <si>
    <t>3133485亿</t>
  </si>
  <si>
    <t>52091879亿</t>
  </si>
  <si>
    <t>161361290亿</t>
  </si>
  <si>
    <t>1903687300亿</t>
  </si>
  <si>
    <t>10转4.7股派5.8元(含税)</t>
  </si>
  <si>
    <t>9.11亿</t>
  </si>
  <si>
    <t>2350901亿</t>
  </si>
  <si>
    <t>37514613亿</t>
  </si>
  <si>
    <t>40266519亿</t>
  </si>
  <si>
    <t>2971856900亿</t>
  </si>
  <si>
    <t>410.55万</t>
  </si>
  <si>
    <t>10派2.13元(含税)</t>
  </si>
  <si>
    <t>-2135124亿</t>
  </si>
  <si>
    <t>51784575亿</t>
  </si>
  <si>
    <t>207413320亿</t>
  </si>
  <si>
    <t>1104740360亿</t>
  </si>
  <si>
    <t>20.18亿</t>
  </si>
  <si>
    <t>1443032亿</t>
  </si>
  <si>
    <t>301141730亿</t>
  </si>
  <si>
    <t>271252060亿</t>
  </si>
  <si>
    <t>3115289400亿</t>
  </si>
  <si>
    <t>5-0</t>
  </si>
  <si>
    <t>23.14亿</t>
  </si>
  <si>
    <t>41.96亿</t>
  </si>
  <si>
    <t>15.66亿</t>
  </si>
  <si>
    <t>64647275亿</t>
  </si>
  <si>
    <t>823928730亿</t>
  </si>
  <si>
    <t>3625964200亿</t>
  </si>
  <si>
    <t>6856.63万</t>
  </si>
  <si>
    <t>-76292亿</t>
  </si>
  <si>
    <t>13534200亿</t>
  </si>
  <si>
    <t>256212330亿</t>
  </si>
  <si>
    <t>1238611440亿</t>
  </si>
  <si>
    <t>-2848852亿</t>
  </si>
  <si>
    <t>44278887亿</t>
  </si>
  <si>
    <t>178825330亿</t>
  </si>
  <si>
    <t>1411675100亿</t>
  </si>
  <si>
    <t>579.62万</t>
  </si>
  <si>
    <t>19.71亿</t>
  </si>
  <si>
    <t>8.33亿</t>
  </si>
  <si>
    <t>3779.02万</t>
  </si>
  <si>
    <t>38.03万</t>
  </si>
  <si>
    <t>18.51万</t>
  </si>
  <si>
    <t>22.53亿</t>
  </si>
  <si>
    <t>1577.76万</t>
  </si>
  <si>
    <t>8191.12万</t>
  </si>
  <si>
    <t>2536.69万</t>
  </si>
  <si>
    <t>548.04万</t>
  </si>
  <si>
    <t>154.40亿</t>
  </si>
  <si>
    <t>24.30亿</t>
  </si>
  <si>
    <t>11.46亿</t>
  </si>
  <si>
    <t>8.76亿</t>
  </si>
  <si>
    <t>122.63万</t>
  </si>
  <si>
    <t>111.43亿</t>
  </si>
  <si>
    <t>15.38亿</t>
  </si>
  <si>
    <t>10.89亿</t>
  </si>
  <si>
    <t>83.30亿</t>
  </si>
  <si>
    <t>-6.55亿</t>
  </si>
  <si>
    <t>2152.05万</t>
  </si>
  <si>
    <t>708.11万</t>
  </si>
  <si>
    <t>21.76亿</t>
  </si>
  <si>
    <t>5526.35万</t>
  </si>
  <si>
    <t>4492.47万</t>
  </si>
  <si>
    <t>26.80万</t>
  </si>
  <si>
    <t>8701.23万</t>
  </si>
  <si>
    <t>10.74亿</t>
  </si>
  <si>
    <t>14.04亿</t>
  </si>
  <si>
    <t>8671.06万</t>
  </si>
  <si>
    <t>29.00万</t>
  </si>
  <si>
    <t>38.13亿</t>
  </si>
  <si>
    <t>2199.90万</t>
  </si>
  <si>
    <t>-5867.68万</t>
  </si>
  <si>
    <t>3748.51万</t>
  </si>
  <si>
    <t>4057.81万</t>
  </si>
  <si>
    <t>758.43万</t>
  </si>
  <si>
    <t>52.32亿</t>
  </si>
  <si>
    <t>236.30万</t>
  </si>
  <si>
    <t>58.18亿</t>
  </si>
  <si>
    <t>44.27亿</t>
  </si>
  <si>
    <t>13.89亿</t>
  </si>
  <si>
    <t>99.15亿</t>
  </si>
  <si>
    <t>7840.00万</t>
  </si>
  <si>
    <t>9488.75万</t>
  </si>
  <si>
    <t>-4986.38万</t>
  </si>
  <si>
    <t>2.01亿</t>
  </si>
  <si>
    <t>3804.42万</t>
  </si>
  <si>
    <t>778.45万</t>
  </si>
  <si>
    <t>64.75亿</t>
  </si>
  <si>
    <t>28.63亿</t>
  </si>
  <si>
    <t>24.29亿</t>
  </si>
  <si>
    <t>48.06万</t>
  </si>
  <si>
    <t>37.16亿</t>
  </si>
  <si>
    <t>8.56亿</t>
  </si>
  <si>
    <t>23.97亿</t>
  </si>
  <si>
    <t>23.94亿</t>
  </si>
  <si>
    <t>67.75亿</t>
  </si>
  <si>
    <t>1996.22万</t>
  </si>
  <si>
    <t>3752.00万</t>
  </si>
  <si>
    <t>10派3.169086元(含税)</t>
  </si>
  <si>
    <t>3049.76万</t>
  </si>
  <si>
    <t>496.86万</t>
  </si>
  <si>
    <t>49.91亿</t>
  </si>
  <si>
    <t>23.29亿</t>
  </si>
  <si>
    <t>17.96亿</t>
  </si>
  <si>
    <t>7884.00万</t>
  </si>
  <si>
    <t>19.38万</t>
  </si>
  <si>
    <t>1105.58万</t>
  </si>
  <si>
    <t>24.41亿</t>
  </si>
  <si>
    <t>3806.34万</t>
  </si>
  <si>
    <t>-5247.53万</t>
  </si>
  <si>
    <t>1678.88万</t>
  </si>
  <si>
    <t>1892.15万</t>
  </si>
  <si>
    <t>1200.37万</t>
  </si>
  <si>
    <t>23.27亿</t>
  </si>
  <si>
    <t>7994.19万</t>
  </si>
  <si>
    <t>3147.48万</t>
  </si>
  <si>
    <t>39.61万</t>
  </si>
  <si>
    <t>322.50万</t>
  </si>
  <si>
    <t>709.96万</t>
  </si>
  <si>
    <t>-1119.81万</t>
  </si>
  <si>
    <t>-444.71万</t>
  </si>
  <si>
    <t>8895.12万</t>
  </si>
  <si>
    <t>6449.74万</t>
  </si>
  <si>
    <t>6-1</t>
  </si>
  <si>
    <t>625.51万</t>
  </si>
  <si>
    <t>7271.19万</t>
  </si>
  <si>
    <t>1827.71万</t>
  </si>
  <si>
    <t>2.57万</t>
  </si>
  <si>
    <t>2427.72万</t>
  </si>
  <si>
    <t>304.34万</t>
  </si>
  <si>
    <t>3200.00万</t>
  </si>
  <si>
    <t>7819.16万</t>
  </si>
  <si>
    <t>-4059.87万</t>
  </si>
  <si>
    <t>-167.68万</t>
  </si>
  <si>
    <t>-540.02万</t>
  </si>
  <si>
    <t>3059.17万</t>
  </si>
  <si>
    <t>-4-1</t>
  </si>
  <si>
    <t>4789.47万</t>
  </si>
  <si>
    <t>52.07亿</t>
  </si>
  <si>
    <t>4903.13万</t>
  </si>
  <si>
    <t>1688.51万</t>
  </si>
  <si>
    <t>4355.65万</t>
  </si>
  <si>
    <t>28.12亿</t>
  </si>
  <si>
    <t>3059.93万</t>
  </si>
  <si>
    <t>4304.86万</t>
  </si>
  <si>
    <t>75.76万</t>
  </si>
  <si>
    <t>1206.93万</t>
  </si>
  <si>
    <t>2272.33万</t>
  </si>
  <si>
    <t>-2067.39万</t>
  </si>
  <si>
    <t>-66.75万</t>
  </si>
  <si>
    <t>*ST景峰</t>
  </si>
  <si>
    <t>70.12万</t>
  </si>
  <si>
    <t>3384.28万</t>
  </si>
  <si>
    <t>3643.74万</t>
  </si>
  <si>
    <t>2086.88万</t>
  </si>
  <si>
    <t>10.43万</t>
  </si>
  <si>
    <t>577.22万</t>
  </si>
  <si>
    <t>10.78亿</t>
  </si>
  <si>
    <t>7218.48万</t>
  </si>
  <si>
    <t>864.45万</t>
  </si>
  <si>
    <t>-41.59万</t>
  </si>
  <si>
    <t>-530.29万</t>
  </si>
  <si>
    <t>1443.80万</t>
  </si>
  <si>
    <t>-5-1</t>
  </si>
  <si>
    <t>190.28万</t>
  </si>
  <si>
    <t>43.11亿</t>
  </si>
  <si>
    <t>8640.29万</t>
  </si>
  <si>
    <t>8901.51万</t>
  </si>
  <si>
    <t>2154.89万</t>
  </si>
  <si>
    <t>71.87万</t>
  </si>
  <si>
    <t>20.42亿</t>
  </si>
  <si>
    <t>2389.48万</t>
  </si>
  <si>
    <t>3638.25万</t>
  </si>
  <si>
    <t>469.45万</t>
  </si>
  <si>
    <t>8.59亿</t>
  </si>
  <si>
    <t>671.07万</t>
  </si>
  <si>
    <t>-2.34亿</t>
  </si>
  <si>
    <t>1036.21万</t>
  </si>
  <si>
    <t>6068.79万</t>
  </si>
  <si>
    <t>400.55万</t>
  </si>
  <si>
    <t>44.74亿</t>
  </si>
  <si>
    <t>5.77亿</t>
  </si>
  <si>
    <t>680.87万</t>
  </si>
  <si>
    <t>8091.02万</t>
  </si>
  <si>
    <t>21.50万</t>
  </si>
  <si>
    <t>18.17亿</t>
  </si>
  <si>
    <t>2141.01万</t>
  </si>
  <si>
    <t>4116.63万</t>
  </si>
  <si>
    <t>245.31万</t>
  </si>
  <si>
    <t>-6124.32万</t>
  </si>
  <si>
    <t>1663.01万</t>
  </si>
  <si>
    <t>738.52万</t>
  </si>
  <si>
    <t>17.49亿</t>
  </si>
  <si>
    <t>5936.88万</t>
  </si>
  <si>
    <t>207.05万</t>
  </si>
  <si>
    <t>109.45万</t>
  </si>
  <si>
    <t>3750.31万</t>
  </si>
  <si>
    <t>370.20万</t>
  </si>
  <si>
    <t>6250.00万</t>
  </si>
  <si>
    <t>7572.42万</t>
  </si>
  <si>
    <t>-3141.88万</t>
  </si>
  <si>
    <t>-1960.29万</t>
  </si>
  <si>
    <t>3459.86万</t>
  </si>
  <si>
    <t>541.97万</t>
  </si>
  <si>
    <t>1043.52万</t>
  </si>
  <si>
    <t>5021.65万</t>
  </si>
  <si>
    <t>107.34万</t>
  </si>
  <si>
    <t>7345.67万</t>
  </si>
  <si>
    <t>3.77亿</t>
  </si>
  <si>
    <t>-4824.31万</t>
  </si>
  <si>
    <t>-2652.79万</t>
  </si>
  <si>
    <t>6281.53万</t>
  </si>
  <si>
    <t>4601.82万</t>
  </si>
  <si>
    <t>1977.67万</t>
  </si>
  <si>
    <t>8221.82万</t>
  </si>
  <si>
    <t>6298.41万</t>
  </si>
  <si>
    <t>5443.06万</t>
  </si>
  <si>
    <t>15.26万</t>
  </si>
  <si>
    <t>548.45万</t>
  </si>
  <si>
    <t>5423.32万</t>
  </si>
  <si>
    <t>24.59万</t>
  </si>
  <si>
    <t>2023.22万</t>
  </si>
  <si>
    <t>-555.56万</t>
  </si>
  <si>
    <t>-480.01万</t>
  </si>
  <si>
    <t>-4.36万</t>
  </si>
  <si>
    <t>7067.49万</t>
  </si>
  <si>
    <t>1852.65万</t>
  </si>
  <si>
    <t>224.88亿</t>
  </si>
  <si>
    <t>93.31亿</t>
  </si>
  <si>
    <t>70.76亿</t>
  </si>
  <si>
    <t>15.74亿</t>
  </si>
  <si>
    <t>129.56万</t>
  </si>
  <si>
    <t>35.63亿</t>
  </si>
  <si>
    <t>9.28亿</t>
  </si>
  <si>
    <t>10.84亿</t>
  </si>
  <si>
    <t>14.38亿</t>
  </si>
  <si>
    <t>43.26亿</t>
  </si>
  <si>
    <t>40.52万</t>
  </si>
  <si>
    <t>109.18亿</t>
  </si>
  <si>
    <t>5.19亿</t>
  </si>
  <si>
    <t>-4.85亿</t>
  </si>
  <si>
    <t>-7.07亿</t>
  </si>
  <si>
    <t>7149.63万</t>
  </si>
  <si>
    <t>6027.38万</t>
  </si>
  <si>
    <t>80.12万</t>
  </si>
  <si>
    <t>12.83亿</t>
  </si>
  <si>
    <t>7740.50万</t>
  </si>
  <si>
    <t>7051.22万</t>
  </si>
  <si>
    <t>171.40万</t>
  </si>
  <si>
    <t>507.04万</t>
  </si>
  <si>
    <t>6.08万</t>
  </si>
  <si>
    <t>627.78万</t>
  </si>
  <si>
    <t>4198.03万</t>
  </si>
  <si>
    <t>577.00万</t>
  </si>
  <si>
    <t>2002.22万</t>
  </si>
  <si>
    <t>5203.40万</t>
  </si>
  <si>
    <t>2158.17万</t>
  </si>
  <si>
    <t>-1453.80万</t>
  </si>
  <si>
    <t>286.09万</t>
  </si>
  <si>
    <t>1966.46万</t>
  </si>
  <si>
    <t>1917.19万</t>
  </si>
  <si>
    <t>258.04亿</t>
  </si>
  <si>
    <t>33.93亿</t>
  </si>
  <si>
    <t>29.23亿</t>
  </si>
  <si>
    <t>3486.18万</t>
  </si>
  <si>
    <t>77.11万</t>
  </si>
  <si>
    <t>46.78亿</t>
  </si>
  <si>
    <t>14.77亿</t>
  </si>
  <si>
    <t>16.88亿</t>
  </si>
  <si>
    <t>48.98亿</t>
  </si>
  <si>
    <t>76.25亿</t>
  </si>
  <si>
    <t>4.81亿</t>
  </si>
  <si>
    <t>-4.35亿</t>
  </si>
  <si>
    <t>5672.27万</t>
  </si>
  <si>
    <t>1120.59万</t>
  </si>
  <si>
    <t>167.78亿</t>
  </si>
  <si>
    <t>26.50亿</t>
  </si>
  <si>
    <t>198.27万</t>
  </si>
  <si>
    <t>41.12亿</t>
  </si>
  <si>
    <t>19.61亿</t>
  </si>
  <si>
    <t>54.01亿</t>
  </si>
  <si>
    <t>907.17万</t>
  </si>
  <si>
    <t>112.78亿</t>
  </si>
  <si>
    <t>25.37亿</t>
  </si>
  <si>
    <t>-5.73亿</t>
  </si>
  <si>
    <t>5858.95万</t>
  </si>
  <si>
    <t>971.30万</t>
  </si>
  <si>
    <t>8953.51万</t>
  </si>
  <si>
    <t>18.41万</t>
  </si>
  <si>
    <t>191.44万</t>
  </si>
  <si>
    <t>66.19万</t>
  </si>
  <si>
    <t>24.77亿</t>
  </si>
  <si>
    <t>-7627.11万</t>
  </si>
  <si>
    <t>1386.84万</t>
  </si>
  <si>
    <t>3498.60万</t>
  </si>
  <si>
    <t>1282.18万</t>
  </si>
  <si>
    <t>57.14亿</t>
  </si>
  <si>
    <t>8.71亿</t>
  </si>
  <si>
    <t>5208.40万</t>
  </si>
  <si>
    <t>17.76万</t>
  </si>
  <si>
    <t>20.70亿</t>
  </si>
  <si>
    <t>1.47亿</t>
  </si>
  <si>
    <t>6.87亿</t>
  </si>
  <si>
    <t>22.47亿</t>
  </si>
  <si>
    <t>4866.57万</t>
  </si>
  <si>
    <t>4226.02万</t>
  </si>
  <si>
    <t>820.44万</t>
  </si>
  <si>
    <t>55.36亿</t>
  </si>
  <si>
    <t>527.43万</t>
  </si>
  <si>
    <t>6268.93万</t>
  </si>
  <si>
    <t>101.64万</t>
  </si>
  <si>
    <t>15.96亿</t>
  </si>
  <si>
    <t>310.25万</t>
  </si>
  <si>
    <t>18.97亿</t>
  </si>
  <si>
    <t>2848.92万</t>
  </si>
  <si>
    <t>-5874.79万</t>
  </si>
  <si>
    <t>3511.13万</t>
  </si>
  <si>
    <t>2478.88万</t>
  </si>
  <si>
    <t>43.44亿</t>
  </si>
  <si>
    <t>29.59亿</t>
  </si>
  <si>
    <t>211.12万</t>
  </si>
  <si>
    <t>2512.31万</t>
  </si>
  <si>
    <t>6.67万</t>
  </si>
  <si>
    <t>16.43亿</t>
  </si>
  <si>
    <t>966.18万</t>
  </si>
  <si>
    <t>20.47亿</t>
  </si>
  <si>
    <t>75.05万</t>
  </si>
  <si>
    <t>38.59亿</t>
  </si>
  <si>
    <t>-3.68亿</t>
  </si>
  <si>
    <t>-4260.23万</t>
  </si>
  <si>
    <t>974.24万</t>
  </si>
  <si>
    <t>66.75亿</t>
  </si>
  <si>
    <t>4733.73万</t>
  </si>
  <si>
    <t>182.28万</t>
  </si>
  <si>
    <t>6500.00万</t>
  </si>
  <si>
    <t>5247.23万</t>
  </si>
  <si>
    <t>-6.74亿</t>
  </si>
  <si>
    <t>195.10万</t>
  </si>
  <si>
    <t>3009.59万</t>
  </si>
  <si>
    <t>459.83万</t>
  </si>
  <si>
    <t>82.62亿</t>
  </si>
  <si>
    <t>7161.30万</t>
  </si>
  <si>
    <t>1.52万</t>
  </si>
  <si>
    <t>14.14亿</t>
  </si>
  <si>
    <t>4228.90万</t>
  </si>
  <si>
    <t>1000.00万</t>
  </si>
  <si>
    <t>33.97万</t>
  </si>
  <si>
    <t>-1.07亿</t>
  </si>
  <si>
    <t>-3382.53万</t>
  </si>
  <si>
    <t>1644.47万</t>
  </si>
  <si>
    <t>1880.10万</t>
  </si>
  <si>
    <t>59.56亿</t>
  </si>
  <si>
    <t>8.72亿</t>
  </si>
  <si>
    <t>8238.92万</t>
  </si>
  <si>
    <t>122.88万</t>
  </si>
  <si>
    <t>16.67亿</t>
  </si>
  <si>
    <t>6.82亿</t>
  </si>
  <si>
    <t>156.83万</t>
  </si>
  <si>
    <t>3669.00万</t>
  </si>
  <si>
    <t>-6375.99万</t>
  </si>
  <si>
    <t>-1519.92万</t>
  </si>
  <si>
    <t>6363.72万</t>
  </si>
  <si>
    <t>258.31万</t>
  </si>
  <si>
    <t>392.87万</t>
  </si>
  <si>
    <t>2248.85万</t>
  </si>
  <si>
    <t>4.12万</t>
  </si>
  <si>
    <t>479.29万</t>
  </si>
  <si>
    <t>6159.25万</t>
  </si>
  <si>
    <t>1102.90万</t>
  </si>
  <si>
    <t>1470.00万</t>
  </si>
  <si>
    <t>-490.40万</t>
  </si>
  <si>
    <t>-5597.84万</t>
  </si>
  <si>
    <t>-549.65万</t>
  </si>
  <si>
    <t>1294.96万</t>
  </si>
  <si>
    <t>9540.28万</t>
  </si>
  <si>
    <t>723.84万</t>
  </si>
  <si>
    <t>7587.61万</t>
  </si>
  <si>
    <t>1431.63万</t>
  </si>
  <si>
    <t>1319.81万</t>
  </si>
  <si>
    <t>78.19万</t>
  </si>
  <si>
    <t>5141.81万</t>
  </si>
  <si>
    <t>4.82万</t>
  </si>
  <si>
    <t>768.78万</t>
  </si>
  <si>
    <t>-289.03万</t>
  </si>
  <si>
    <t>-6190.18万</t>
  </si>
  <si>
    <t>3314.10万</t>
  </si>
  <si>
    <t>160.68万</t>
  </si>
  <si>
    <t>49.96亿</t>
  </si>
  <si>
    <t>9643.29万</t>
  </si>
  <si>
    <t>2753.71万</t>
  </si>
  <si>
    <t>12.99万</t>
  </si>
  <si>
    <t>5735.04万</t>
  </si>
  <si>
    <t>548.81万</t>
  </si>
  <si>
    <t>5612.83万</t>
  </si>
  <si>
    <t>9947.64万</t>
  </si>
  <si>
    <t>803.58万</t>
  </si>
  <si>
    <t>8043.51万</t>
  </si>
  <si>
    <t>-298.05万</t>
  </si>
  <si>
    <t>-9421.85万</t>
  </si>
  <si>
    <t>761.76万</t>
  </si>
  <si>
    <t>4687.05万</t>
  </si>
  <si>
    <t>362.16万</t>
  </si>
  <si>
    <t>121.39亿</t>
  </si>
  <si>
    <t>11.84亿</t>
  </si>
  <si>
    <t>9230.94万</t>
  </si>
  <si>
    <t>8959.59万</t>
  </si>
  <si>
    <t>2.93万</t>
  </si>
  <si>
    <t>22.25亿</t>
  </si>
  <si>
    <t>222.38万</t>
  </si>
  <si>
    <t>46.14亿</t>
  </si>
  <si>
    <t>17.12亿</t>
  </si>
  <si>
    <t>-6.71亿</t>
  </si>
  <si>
    <t>1575.88万</t>
  </si>
  <si>
    <t>1547.75万</t>
  </si>
  <si>
    <t>258.72亿</t>
  </si>
  <si>
    <t>47.68亿</t>
  </si>
  <si>
    <t>27.47亿</t>
  </si>
  <si>
    <t>169.34万</t>
  </si>
  <si>
    <t>62.88亿</t>
  </si>
  <si>
    <t>19.27亿</t>
  </si>
  <si>
    <t>32.62亿</t>
  </si>
  <si>
    <t>20.58亿</t>
  </si>
  <si>
    <t>96.92亿</t>
  </si>
  <si>
    <t>12.79亿</t>
  </si>
  <si>
    <t>6.71亿</t>
  </si>
  <si>
    <t>5253.24万</t>
  </si>
  <si>
    <t>ST长康</t>
  </si>
  <si>
    <t>4.86亿</t>
  </si>
  <si>
    <t>7450.51万</t>
  </si>
  <si>
    <t>4896.20万</t>
  </si>
  <si>
    <t>43.73万</t>
  </si>
  <si>
    <t>17.53亿</t>
  </si>
  <si>
    <t>86.37万</t>
  </si>
  <si>
    <t>41.14亿</t>
  </si>
  <si>
    <t>-4062.11万</t>
  </si>
  <si>
    <t>914.72万</t>
  </si>
  <si>
    <t>2159.90万</t>
  </si>
  <si>
    <t>-9-1</t>
  </si>
  <si>
    <t>8300.37万</t>
  </si>
  <si>
    <t>3693.59万</t>
  </si>
  <si>
    <t>2.97万</t>
  </si>
  <si>
    <t>15.53万</t>
  </si>
  <si>
    <t>310.30万</t>
  </si>
  <si>
    <t>6822.74万</t>
  </si>
  <si>
    <t>1900.00万</t>
  </si>
  <si>
    <t>-475.67万</t>
  </si>
  <si>
    <t>2338.78万</t>
  </si>
  <si>
    <t>24.33亿</t>
  </si>
  <si>
    <t>7839.31万</t>
  </si>
  <si>
    <t>2616.03万</t>
  </si>
  <si>
    <t>6.84亿</t>
  </si>
  <si>
    <t>820.30万</t>
  </si>
  <si>
    <t>1123.62万</t>
  </si>
  <si>
    <t>5621.36万</t>
  </si>
  <si>
    <t>3768.61万</t>
  </si>
  <si>
    <t>8108.53万</t>
  </si>
  <si>
    <t>9646.68万</t>
  </si>
  <si>
    <t>288.72万</t>
  </si>
  <si>
    <t>42.84亿</t>
  </si>
  <si>
    <t>9073.46万</t>
  </si>
  <si>
    <t>37.59万</t>
  </si>
  <si>
    <t>4095.93万</t>
  </si>
  <si>
    <t>745.58万</t>
  </si>
  <si>
    <t>251.35万</t>
  </si>
  <si>
    <t>15.02亿</t>
  </si>
  <si>
    <t>5900.06万</t>
  </si>
  <si>
    <t>421.55万</t>
  </si>
  <si>
    <t>1339.66万</t>
  </si>
  <si>
    <t>9579.48万</t>
  </si>
  <si>
    <t>3-1</t>
  </si>
  <si>
    <t>1143.20万</t>
  </si>
  <si>
    <t>58.52亿</t>
  </si>
  <si>
    <t>7480.71万</t>
  </si>
  <si>
    <t>10.25万</t>
  </si>
  <si>
    <t>1434.94万</t>
  </si>
  <si>
    <t>33.19万</t>
  </si>
  <si>
    <t>18.93亿</t>
  </si>
  <si>
    <t>-3.56亿</t>
  </si>
  <si>
    <t>5502.34万</t>
  </si>
  <si>
    <t>519.25万</t>
  </si>
  <si>
    <t>812.83万</t>
  </si>
  <si>
    <t>3809.15万</t>
  </si>
  <si>
    <t>1.78万</t>
  </si>
  <si>
    <t>5885.81万</t>
  </si>
  <si>
    <t>4567.32万</t>
  </si>
  <si>
    <t>31.20亿</t>
  </si>
  <si>
    <t>-1808.39万</t>
  </si>
  <si>
    <t>-1391.60万</t>
  </si>
  <si>
    <t>757.48万</t>
  </si>
  <si>
    <t>3973.52万</t>
  </si>
  <si>
    <t>-7-1</t>
  </si>
  <si>
    <t>502.42万</t>
  </si>
  <si>
    <t>30.36亿</t>
  </si>
  <si>
    <t>8187.15万</t>
  </si>
  <si>
    <t>2517.25万</t>
  </si>
  <si>
    <t>204.73万</t>
  </si>
  <si>
    <t>11.67亿</t>
  </si>
  <si>
    <t>4974.77万</t>
  </si>
  <si>
    <t>8403.15万</t>
  </si>
  <si>
    <t>4552.63万</t>
  </si>
  <si>
    <t>47.31万</t>
  </si>
  <si>
    <t>-5045.63万</t>
  </si>
  <si>
    <t>-3096.89万</t>
  </si>
  <si>
    <t>1638.49万</t>
  </si>
  <si>
    <t>2-1</t>
  </si>
  <si>
    <t>820.33万</t>
  </si>
  <si>
    <t>81.83亿</t>
  </si>
  <si>
    <t>3.88亿</t>
  </si>
  <si>
    <t>9545.20万</t>
  </si>
  <si>
    <t>24.91万</t>
  </si>
  <si>
    <t>31.13亿</t>
  </si>
  <si>
    <t>1626.88万</t>
  </si>
  <si>
    <t>-20.03亿</t>
  </si>
  <si>
    <t>-10.72万</t>
  </si>
  <si>
    <t>2967.34万</t>
  </si>
  <si>
    <t>3321.37万</t>
  </si>
  <si>
    <t>6361.01万</t>
  </si>
  <si>
    <t>61.93万</t>
  </si>
  <si>
    <t>7.24亿</t>
  </si>
  <si>
    <t>3.41亿</t>
  </si>
  <si>
    <t>3.99亿</t>
  </si>
  <si>
    <t>22.48亿</t>
  </si>
  <si>
    <t>-9607.98万</t>
  </si>
  <si>
    <t>919.78万</t>
  </si>
  <si>
    <t>8403.23万</t>
  </si>
  <si>
    <t>7354.71万</t>
  </si>
  <si>
    <t>387.72万</t>
  </si>
  <si>
    <t>7.54亿</t>
  </si>
  <si>
    <t>6376.87万</t>
  </si>
  <si>
    <t>7477.82万</t>
  </si>
  <si>
    <t>1413.56万</t>
  </si>
  <si>
    <t>14.85万</t>
  </si>
  <si>
    <t>17.37万</t>
  </si>
  <si>
    <t>113.12万</t>
  </si>
  <si>
    <t>1100.00万</t>
  </si>
  <si>
    <t>5373.85万</t>
  </si>
  <si>
    <t>-2460.20万</t>
  </si>
  <si>
    <t>1457.64万</t>
  </si>
  <si>
    <t>47.92万</t>
  </si>
  <si>
    <t>8069.32万</t>
  </si>
  <si>
    <t>4916.48万</t>
  </si>
  <si>
    <t>3348.30万</t>
  </si>
  <si>
    <t>19.31万</t>
  </si>
  <si>
    <t>2860.09万</t>
  </si>
  <si>
    <t>9618.80万</t>
  </si>
  <si>
    <t>6880.96万</t>
  </si>
  <si>
    <t>15.72万</t>
  </si>
  <si>
    <t>341.34万</t>
  </si>
  <si>
    <t>-1230.88万</t>
  </si>
  <si>
    <t>568.34万</t>
  </si>
  <si>
    <t>6867.33万</t>
  </si>
  <si>
    <t>193.47万</t>
  </si>
  <si>
    <t>6630.64万</t>
  </si>
  <si>
    <t>4187.40万</t>
  </si>
  <si>
    <t>545.36万</t>
  </si>
  <si>
    <t>1115.23万</t>
  </si>
  <si>
    <t>21.11万</t>
  </si>
  <si>
    <t>5654.48万</t>
  </si>
  <si>
    <t>1793.70万</t>
  </si>
  <si>
    <t>268.98万</t>
  </si>
  <si>
    <t>8001.31万</t>
  </si>
  <si>
    <t>5217.04万</t>
  </si>
  <si>
    <t>2284.00万</t>
  </si>
  <si>
    <t>-1743.63万</t>
  </si>
  <si>
    <t>118.70万</t>
  </si>
  <si>
    <t>-1432.46万</t>
  </si>
  <si>
    <t>774.91万</t>
  </si>
  <si>
    <t>5757.88万</t>
  </si>
  <si>
    <t>392.17万</t>
  </si>
  <si>
    <t>21.68亿</t>
  </si>
  <si>
    <t>8075.98万</t>
  </si>
  <si>
    <t>3916.18万</t>
  </si>
  <si>
    <t>21.55万</t>
  </si>
  <si>
    <t>10.65亿</t>
  </si>
  <si>
    <t>363.77万</t>
  </si>
  <si>
    <t>5088.98万</t>
  </si>
  <si>
    <t>11.51亿</t>
  </si>
  <si>
    <t>8263.17万</t>
  </si>
  <si>
    <t>-3576.35万</t>
  </si>
  <si>
    <t>-9555.79万</t>
  </si>
  <si>
    <t>1498.68万</t>
  </si>
  <si>
    <t>159.82万</t>
  </si>
  <si>
    <t>12.08亿</t>
  </si>
  <si>
    <t>6922.66万</t>
  </si>
  <si>
    <t>1926.68万</t>
  </si>
  <si>
    <t>2.62万</t>
  </si>
  <si>
    <t>1970.27万</t>
  </si>
  <si>
    <t>6605.82万</t>
  </si>
  <si>
    <t>2884.06万</t>
  </si>
  <si>
    <t>2279.40万</t>
  </si>
  <si>
    <t>-5579.40万</t>
  </si>
  <si>
    <t>2126.97万</t>
  </si>
  <si>
    <t>728.91万</t>
  </si>
  <si>
    <t>5206.55万</t>
  </si>
  <si>
    <t>417.77万</t>
  </si>
  <si>
    <t>18.68亿</t>
  </si>
  <si>
    <t>4826.84万</t>
  </si>
  <si>
    <t>2102.73万</t>
  </si>
  <si>
    <t>2.95万</t>
  </si>
  <si>
    <t>3473.51万</t>
  </si>
  <si>
    <t>-5568.53万</t>
  </si>
  <si>
    <t>1197.20万</t>
  </si>
  <si>
    <t>2557.29万</t>
  </si>
  <si>
    <t>6268.53万</t>
  </si>
  <si>
    <t>170.21万</t>
  </si>
  <si>
    <t>1804.65万</t>
  </si>
  <si>
    <t>23.73万</t>
  </si>
  <si>
    <t>20.00万</t>
  </si>
  <si>
    <t>3100.00万</t>
  </si>
  <si>
    <t>1548.29万</t>
  </si>
  <si>
    <t>-3.28亿</t>
  </si>
  <si>
    <t>-243.51万</t>
  </si>
  <si>
    <t>847.57万</t>
  </si>
  <si>
    <t>5027.97万</t>
  </si>
  <si>
    <t>1580.49万</t>
  </si>
  <si>
    <t>6372.56万</t>
  </si>
  <si>
    <t>8790.11万</t>
  </si>
  <si>
    <t>3029.28万</t>
  </si>
  <si>
    <t>57.39万</t>
  </si>
  <si>
    <t>379.97万</t>
  </si>
  <si>
    <t>4609.60万</t>
  </si>
  <si>
    <t>8850.00万</t>
  </si>
  <si>
    <t>7922.27万</t>
  </si>
  <si>
    <t>1095.48万</t>
  </si>
  <si>
    <t>2827.33万</t>
  </si>
  <si>
    <t>5292.44万</t>
  </si>
  <si>
    <t>575.45万</t>
  </si>
  <si>
    <t>9210.60万</t>
  </si>
  <si>
    <t>5204.68万</t>
  </si>
  <si>
    <t>1804.77万</t>
  </si>
  <si>
    <t>4.93万</t>
  </si>
  <si>
    <t>432.53万</t>
  </si>
  <si>
    <t>3955.85万</t>
  </si>
  <si>
    <t>7030.66万</t>
  </si>
  <si>
    <t>3534.41万</t>
  </si>
  <si>
    <t>-2.89亿</t>
  </si>
  <si>
    <t>3669.16万</t>
  </si>
  <si>
    <t>2725.51万</t>
  </si>
  <si>
    <t>1994.69万</t>
  </si>
  <si>
    <t>13.37亿</t>
  </si>
  <si>
    <t>4974.62万</t>
  </si>
  <si>
    <t>6062.17万</t>
  </si>
  <si>
    <t>3116.68万</t>
  </si>
  <si>
    <t>896.39万</t>
  </si>
  <si>
    <t>6382.03万</t>
  </si>
  <si>
    <t>1.23万</t>
  </si>
  <si>
    <t>-3148.87万</t>
  </si>
  <si>
    <t>-2223.35万</t>
  </si>
  <si>
    <t>2361.28万</t>
  </si>
  <si>
    <t>5812.45万</t>
  </si>
  <si>
    <t>1476.39万</t>
  </si>
  <si>
    <t>28.18亿</t>
  </si>
  <si>
    <t>4287.60万</t>
  </si>
  <si>
    <t>2189.82万</t>
  </si>
  <si>
    <t>1.72万</t>
  </si>
  <si>
    <t>143.00万</t>
  </si>
  <si>
    <t>4240.80万</t>
  </si>
  <si>
    <t>15.31亿</t>
  </si>
  <si>
    <t>-1204.56万</t>
  </si>
  <si>
    <t>-2.21亿</t>
  </si>
  <si>
    <t>5237.40万</t>
  </si>
  <si>
    <t>7164.97万</t>
  </si>
  <si>
    <t>8347.42万</t>
  </si>
  <si>
    <t>6558.70万</t>
  </si>
  <si>
    <t>699.57万</t>
  </si>
  <si>
    <t>944.19万</t>
  </si>
  <si>
    <t>1.77万</t>
  </si>
  <si>
    <t>406.00万</t>
  </si>
  <si>
    <t>1290.89万</t>
  </si>
  <si>
    <t>4810.78万</t>
  </si>
  <si>
    <t>5199.46万</t>
  </si>
  <si>
    <t>3801.80万</t>
  </si>
  <si>
    <t>692.86万</t>
  </si>
  <si>
    <t>-53.03万</t>
  </si>
  <si>
    <t>2447.92万</t>
  </si>
  <si>
    <t>50.82亿</t>
  </si>
  <si>
    <t>4859.74万</t>
  </si>
  <si>
    <t>31.09万</t>
  </si>
  <si>
    <t>6839.90万</t>
  </si>
  <si>
    <t>5412.64万</t>
  </si>
  <si>
    <t>4094.55万</t>
  </si>
  <si>
    <t>-2387.44万</t>
  </si>
  <si>
    <t>-4384.34万</t>
  </si>
  <si>
    <t>-8385.36万</t>
  </si>
  <si>
    <t>42.80亿</t>
  </si>
  <si>
    <t>5611.59万</t>
  </si>
  <si>
    <t>108.19万</t>
  </si>
  <si>
    <t>7172.31万</t>
  </si>
  <si>
    <t>268.27万</t>
  </si>
  <si>
    <t>-9604.42万</t>
  </si>
  <si>
    <t>7070.17万</t>
  </si>
  <si>
    <t>1586.81万</t>
  </si>
  <si>
    <t>7.74亿</t>
  </si>
  <si>
    <t>5940.05万</t>
  </si>
  <si>
    <t>1608.88万</t>
  </si>
  <si>
    <t>2982.12万</t>
  </si>
  <si>
    <t>4529.87万</t>
  </si>
  <si>
    <t>11.73万</t>
  </si>
  <si>
    <t>7414.64万</t>
  </si>
  <si>
    <t>498.57万</t>
  </si>
  <si>
    <t>7.62亿</t>
  </si>
  <si>
    <t>1515.26万</t>
  </si>
  <si>
    <t>-1641.08万</t>
  </si>
  <si>
    <t>-2.99亿</t>
  </si>
  <si>
    <t>7670.65万</t>
  </si>
  <si>
    <t>-6-1</t>
  </si>
  <si>
    <t>518.76万</t>
  </si>
  <si>
    <t>9939.26万</t>
  </si>
  <si>
    <t>1546.17万</t>
  </si>
  <si>
    <t>4172.61万</t>
  </si>
  <si>
    <t>1016.05万</t>
  </si>
  <si>
    <t>9.24万</t>
  </si>
  <si>
    <t>6298.16万</t>
  </si>
  <si>
    <t>1996.93万</t>
  </si>
  <si>
    <t>6761.72万</t>
  </si>
  <si>
    <t>-1703.19万</t>
  </si>
  <si>
    <t>-495.53万</t>
  </si>
  <si>
    <t>-25.48万</t>
  </si>
  <si>
    <t>2057.58万</t>
  </si>
  <si>
    <t>435.68万</t>
  </si>
  <si>
    <t>38.19亿</t>
  </si>
  <si>
    <t>8803.94万</t>
  </si>
  <si>
    <t>7.19万</t>
  </si>
  <si>
    <t>7214.17万</t>
  </si>
  <si>
    <t>8244.15万</t>
  </si>
  <si>
    <t>5400.00万</t>
  </si>
  <si>
    <t>4137.32万</t>
  </si>
  <si>
    <t>-5141.51万</t>
  </si>
  <si>
    <t>2575.13万</t>
  </si>
  <si>
    <t>1668.22万</t>
  </si>
  <si>
    <t>572.28万</t>
  </si>
  <si>
    <t>6450.52万</t>
  </si>
  <si>
    <t>6677.33万</t>
  </si>
  <si>
    <t>2740.75万</t>
  </si>
  <si>
    <t>765.84万</t>
  </si>
  <si>
    <t>263.03万</t>
  </si>
  <si>
    <t>9287.84万</t>
  </si>
  <si>
    <t>5075.36万</t>
  </si>
  <si>
    <t>65.71万</t>
  </si>
  <si>
    <t>3548.57万</t>
  </si>
  <si>
    <t>-4662.75万</t>
  </si>
  <si>
    <t>1105.63万</t>
  </si>
  <si>
    <t>3712.83万</t>
  </si>
  <si>
    <t>2276.57万</t>
  </si>
  <si>
    <t>3.55亿</t>
  </si>
  <si>
    <t>1778.46万</t>
  </si>
  <si>
    <t>3592.61万</t>
  </si>
  <si>
    <t>8.00万</t>
  </si>
  <si>
    <t>2.00万</t>
  </si>
  <si>
    <t>5.90亿</t>
  </si>
  <si>
    <t>1838.89万</t>
  </si>
  <si>
    <t>19.39亿</t>
  </si>
  <si>
    <t>-4818.09万</t>
  </si>
  <si>
    <t>2552.78万</t>
  </si>
  <si>
    <t>8506.75万</t>
  </si>
  <si>
    <t>2907.21万</t>
  </si>
  <si>
    <t>2537.79万</t>
  </si>
  <si>
    <t>5742.87万</t>
  </si>
  <si>
    <t>3.73万</t>
  </si>
  <si>
    <t>3509.80万</t>
  </si>
  <si>
    <t>1069.92万</t>
  </si>
  <si>
    <t>9001.48万</t>
  </si>
  <si>
    <t>695.57万</t>
  </si>
  <si>
    <t>26.73亿</t>
  </si>
  <si>
    <t>9959.41万</t>
  </si>
  <si>
    <t>4141.29万</t>
  </si>
  <si>
    <t>2484.98万</t>
  </si>
  <si>
    <t>8.52万</t>
  </si>
  <si>
    <t>1058.79万</t>
  </si>
  <si>
    <t>3035.00万</t>
  </si>
  <si>
    <t>3155.00万</t>
  </si>
  <si>
    <t>5964.87万</t>
  </si>
  <si>
    <t>5299.55万</t>
  </si>
  <si>
    <t>-1.38亿</t>
  </si>
  <si>
    <t>4080.17万</t>
  </si>
  <si>
    <t>8768.57万</t>
  </si>
  <si>
    <t>30.05亿</t>
  </si>
  <si>
    <t>6458.05万</t>
  </si>
  <si>
    <t>2813.15万</t>
  </si>
  <si>
    <t>54.92万</t>
  </si>
  <si>
    <t>14.85亿</t>
  </si>
  <si>
    <t>6.40亿</t>
  </si>
  <si>
    <t>1686.43万</t>
  </si>
  <si>
    <t>188.25万</t>
  </si>
  <si>
    <t>14.07亿</t>
  </si>
  <si>
    <t>-3.26亿</t>
  </si>
  <si>
    <t>379.11万</t>
  </si>
  <si>
    <t>25.14亿</t>
  </si>
  <si>
    <t>5455.25万</t>
  </si>
  <si>
    <t>3952.98万</t>
  </si>
  <si>
    <t>105.13万</t>
  </si>
  <si>
    <t>2488.34万</t>
  </si>
  <si>
    <t>932.59万</t>
  </si>
  <si>
    <t>-9048.10万</t>
  </si>
  <si>
    <t>-2408.94万</t>
  </si>
  <si>
    <t>1272.31万</t>
  </si>
  <si>
    <t>1351.96万</t>
  </si>
  <si>
    <t>205.65万</t>
  </si>
  <si>
    <t>5.55亿</t>
  </si>
  <si>
    <t>4842.85万</t>
  </si>
  <si>
    <t>4382.66万</t>
  </si>
  <si>
    <t>2546.52万</t>
  </si>
  <si>
    <t>6.40万</t>
  </si>
  <si>
    <t>2685.77万</t>
  </si>
  <si>
    <t>-1322.07万</t>
  </si>
  <si>
    <t>-830.48万</t>
  </si>
  <si>
    <t>2221.56万</t>
  </si>
  <si>
    <t>867.45万</t>
  </si>
  <si>
    <t>4880.51万</t>
  </si>
  <si>
    <t>244.82万</t>
  </si>
  <si>
    <t>756.90万</t>
  </si>
  <si>
    <t>652.84万</t>
  </si>
  <si>
    <t>11.12万</t>
  </si>
  <si>
    <t>3907.01万</t>
  </si>
  <si>
    <t>1517.56万</t>
  </si>
  <si>
    <t>922.26万</t>
  </si>
  <si>
    <t>7101.82万</t>
  </si>
  <si>
    <t>7.78万</t>
  </si>
  <si>
    <t>-1022.96万</t>
  </si>
  <si>
    <t>-408.29万</t>
  </si>
  <si>
    <t>-2337.71万</t>
  </si>
  <si>
    <t>1196.43万</t>
  </si>
  <si>
    <t>8119.28万</t>
  </si>
  <si>
    <t>758.07万</t>
  </si>
  <si>
    <t>235.56万</t>
  </si>
  <si>
    <t>2932.85万</t>
  </si>
  <si>
    <t>7.71万</t>
  </si>
  <si>
    <t>4367.54万</t>
  </si>
  <si>
    <t>28.71万</t>
  </si>
  <si>
    <t>7263.61万</t>
  </si>
  <si>
    <t>-4132.35万</t>
  </si>
  <si>
    <t>-5757.08万</t>
  </si>
  <si>
    <t>3231.58万</t>
  </si>
  <si>
    <t>628.79万</t>
  </si>
  <si>
    <t>56.13亿</t>
  </si>
  <si>
    <t>5.54亿</t>
  </si>
  <si>
    <t>213.65万</t>
  </si>
  <si>
    <t>20.74亿</t>
  </si>
  <si>
    <t>4757.46万</t>
  </si>
  <si>
    <t>2371.63万</t>
  </si>
  <si>
    <t>498.70万</t>
  </si>
  <si>
    <t>8361.31万</t>
  </si>
  <si>
    <t>3870.03万</t>
  </si>
  <si>
    <t>2950.39万</t>
  </si>
  <si>
    <t>7083.56万</t>
  </si>
  <si>
    <t>1309.92万</t>
  </si>
  <si>
    <t>15.95万</t>
  </si>
  <si>
    <t>8343.79万</t>
  </si>
  <si>
    <t>-2534.28万</t>
  </si>
  <si>
    <t>2921.47万</t>
  </si>
  <si>
    <t>1680.81万</t>
  </si>
  <si>
    <t>161.77万</t>
  </si>
  <si>
    <t>416.21万</t>
  </si>
  <si>
    <t>3175.75万</t>
  </si>
  <si>
    <t>9848.89万</t>
  </si>
  <si>
    <t>11.52亿</t>
  </si>
  <si>
    <t>7281.71万</t>
  </si>
  <si>
    <t>2124.89万</t>
  </si>
  <si>
    <t>-1290.95万</t>
  </si>
  <si>
    <t>715.41万</t>
  </si>
  <si>
    <t>5617.64万</t>
  </si>
  <si>
    <t>159.17万</t>
  </si>
  <si>
    <t>8558.24万</t>
  </si>
  <si>
    <t>1867.78万</t>
  </si>
  <si>
    <t>3859.58万</t>
  </si>
  <si>
    <t>1841.99万</t>
  </si>
  <si>
    <t>1987.42万</t>
  </si>
  <si>
    <t>2865.43万</t>
  </si>
  <si>
    <t>3375.57万</t>
  </si>
  <si>
    <t>468.10万</t>
  </si>
  <si>
    <t>-2931.96万</t>
  </si>
  <si>
    <t>-230.29万</t>
  </si>
  <si>
    <t>604.87万</t>
  </si>
  <si>
    <t>3903.63万</t>
  </si>
  <si>
    <t>33.80亿</t>
  </si>
  <si>
    <t>29.73亿</t>
  </si>
  <si>
    <t>13.04亿</t>
  </si>
  <si>
    <t>8592.29万</t>
  </si>
  <si>
    <t>7420.81万</t>
  </si>
  <si>
    <t>4780.38万</t>
  </si>
  <si>
    <t>3542.55万</t>
  </si>
  <si>
    <t>5.65万</t>
  </si>
  <si>
    <t>64267415亿</t>
  </si>
  <si>
    <t>1335166410亿</t>
  </si>
  <si>
    <t>2544558000亿</t>
  </si>
  <si>
    <t>-9909.10万</t>
  </si>
  <si>
    <t>12.99亿</t>
  </si>
  <si>
    <t>6639.52万</t>
  </si>
  <si>
    <t>672.28万</t>
  </si>
  <si>
    <t>22.71亿</t>
  </si>
  <si>
    <t>592.58万</t>
  </si>
  <si>
    <t>839.79万</t>
  </si>
  <si>
    <t>6872.52万</t>
  </si>
  <si>
    <t>3595.69万</t>
  </si>
  <si>
    <t>2974.36万</t>
  </si>
  <si>
    <t>2253.58万</t>
  </si>
  <si>
    <t>383.70万</t>
  </si>
  <si>
    <t>35.01亿</t>
  </si>
  <si>
    <t>2444.32万</t>
  </si>
  <si>
    <t>7681.54万</t>
  </si>
  <si>
    <t>9.81万</t>
  </si>
  <si>
    <t>14.45亿</t>
  </si>
  <si>
    <t>203.51万</t>
  </si>
  <si>
    <t>23.88亿</t>
  </si>
  <si>
    <t>9900.45万</t>
  </si>
  <si>
    <t>-6323.50万</t>
  </si>
  <si>
    <t>-4269.69万</t>
  </si>
  <si>
    <t>926.13万</t>
  </si>
  <si>
    <t>4939.86万</t>
  </si>
  <si>
    <t>298.03万</t>
  </si>
  <si>
    <t>21.07亿</t>
  </si>
  <si>
    <t>1969.98万</t>
  </si>
  <si>
    <t>28.53万</t>
  </si>
  <si>
    <t>3299.81万</t>
  </si>
  <si>
    <t>8198.74万</t>
  </si>
  <si>
    <t>4204.62万</t>
  </si>
  <si>
    <t>6645.20万</t>
  </si>
  <si>
    <t>-294.98万</t>
  </si>
  <si>
    <t>1486.30万</t>
  </si>
  <si>
    <t>229.75万</t>
  </si>
  <si>
    <t>6577.71万</t>
  </si>
  <si>
    <t>17.33万</t>
  </si>
  <si>
    <t>8.50亿</t>
  </si>
  <si>
    <t>15.64亿</t>
  </si>
  <si>
    <t>5421.86万</t>
  </si>
  <si>
    <t>-4.55亿</t>
  </si>
  <si>
    <t>1003.99万</t>
  </si>
  <si>
    <t>7717.75万</t>
  </si>
  <si>
    <t>1619.42万</t>
  </si>
  <si>
    <t>54.78亿</t>
  </si>
  <si>
    <t>5303.76万</t>
  </si>
  <si>
    <t>2370.80万</t>
  </si>
  <si>
    <t>65.79万</t>
  </si>
  <si>
    <t>26.89亿</t>
  </si>
  <si>
    <t>6238.45万</t>
  </si>
  <si>
    <t>2710.81万</t>
  </si>
  <si>
    <t>3.66亿</t>
  </si>
  <si>
    <t>9.26亿</t>
  </si>
  <si>
    <t>-9.75亿</t>
  </si>
  <si>
    <t>-7380.17万</t>
  </si>
  <si>
    <t>-3583.99万</t>
  </si>
  <si>
    <t>6271.70万</t>
  </si>
  <si>
    <t>327.20万</t>
  </si>
  <si>
    <t>10.27亿</t>
  </si>
  <si>
    <t>8.31亿</t>
  </si>
  <si>
    <t>9586.63万</t>
  </si>
  <si>
    <t>86.49万</t>
  </si>
  <si>
    <t>1302.80万</t>
  </si>
  <si>
    <t>14.95万</t>
  </si>
  <si>
    <t>625.00万</t>
  </si>
  <si>
    <t>13.20亿</t>
  </si>
  <si>
    <t>3.78亿</t>
  </si>
  <si>
    <t>49.63万</t>
  </si>
  <si>
    <t>-2422.21万</t>
  </si>
  <si>
    <t>-5813.18万</t>
  </si>
  <si>
    <t>4528.50万</t>
  </si>
  <si>
    <t>-1110.13万</t>
  </si>
  <si>
    <t>2611.02万</t>
  </si>
  <si>
    <t>81.08万</t>
  </si>
  <si>
    <t>3474.05万</t>
  </si>
  <si>
    <t>33.00万</t>
  </si>
  <si>
    <t>828.58万</t>
  </si>
  <si>
    <t>9370.62万</t>
  </si>
  <si>
    <t>2274.78万</t>
  </si>
  <si>
    <t>6781.94万</t>
  </si>
  <si>
    <t>-1463.55万</t>
  </si>
  <si>
    <t>-3241.27万</t>
  </si>
  <si>
    <t>867.50万</t>
  </si>
  <si>
    <t>351.43万</t>
  </si>
  <si>
    <t>2504.68万</t>
  </si>
  <si>
    <t>161.30万</t>
  </si>
  <si>
    <t>9334.11万</t>
  </si>
  <si>
    <t>8440.61万</t>
  </si>
  <si>
    <t>4748.58万</t>
  </si>
  <si>
    <t>2263.87万</t>
  </si>
  <si>
    <t>1071.59万</t>
  </si>
  <si>
    <t>33.03万</t>
  </si>
  <si>
    <t>1674.04万</t>
  </si>
  <si>
    <t>7494.29万</t>
  </si>
  <si>
    <t>1805.74万</t>
  </si>
  <si>
    <t>-1291.67万</t>
  </si>
  <si>
    <t>-2.23亿</t>
  </si>
  <si>
    <t>7433.42万</t>
  </si>
  <si>
    <t>2632.49万</t>
  </si>
  <si>
    <t>590.14万</t>
  </si>
  <si>
    <t>3198.73万</t>
  </si>
  <si>
    <t>288.34万</t>
  </si>
  <si>
    <t>16.05亿</t>
  </si>
  <si>
    <t>172.25亿</t>
  </si>
  <si>
    <t>7998.66万</t>
  </si>
  <si>
    <t>210.08万</t>
  </si>
  <si>
    <t>2072.28万</t>
  </si>
  <si>
    <t>3.00万</t>
  </si>
  <si>
    <t>1835.68万</t>
  </si>
  <si>
    <t>4078.36万</t>
  </si>
  <si>
    <t>5214.55万</t>
  </si>
  <si>
    <t>44.35亿</t>
  </si>
  <si>
    <t>1146.38万</t>
  </si>
  <si>
    <t>8102.06万</t>
  </si>
  <si>
    <t>47.26万</t>
  </si>
  <si>
    <t>3715.20万</t>
  </si>
  <si>
    <t>5292.70万</t>
  </si>
  <si>
    <t>1464.41万</t>
  </si>
  <si>
    <t>2866.24万</t>
  </si>
  <si>
    <t>595.48万</t>
  </si>
  <si>
    <t>1485.80万</t>
  </si>
  <si>
    <t>7513.98万</t>
  </si>
  <si>
    <t>1678.68万</t>
  </si>
  <si>
    <t>3760.70万</t>
  </si>
  <si>
    <t>744.57万</t>
  </si>
  <si>
    <t>626.78万</t>
  </si>
  <si>
    <t>-6136.62万</t>
  </si>
  <si>
    <t>662.78万</t>
  </si>
  <si>
    <t>317.07万</t>
  </si>
  <si>
    <t>1262.10万</t>
  </si>
  <si>
    <t>209.68万</t>
  </si>
  <si>
    <t>23.95亿</t>
  </si>
  <si>
    <t>7111.28万</t>
  </si>
  <si>
    <t>9497.37万</t>
  </si>
  <si>
    <t>8571.23万</t>
  </si>
  <si>
    <t>587.97万</t>
  </si>
  <si>
    <t>960.33万</t>
  </si>
  <si>
    <t>5.21万</t>
  </si>
  <si>
    <t>1467.28万</t>
  </si>
  <si>
    <t>8383.20万</t>
  </si>
  <si>
    <t>1433.11万</t>
  </si>
  <si>
    <t>-4610.66万</t>
  </si>
  <si>
    <t>3379.43万</t>
  </si>
  <si>
    <t>934.35万</t>
  </si>
  <si>
    <t>5377.12万</t>
  </si>
  <si>
    <t>275.75万</t>
  </si>
  <si>
    <t>43.93亿</t>
  </si>
  <si>
    <t>662.03万</t>
  </si>
  <si>
    <t>847.53万</t>
  </si>
  <si>
    <t>988.61万</t>
  </si>
  <si>
    <t>5.40万</t>
  </si>
  <si>
    <t>-8949.77万</t>
  </si>
  <si>
    <t>-343.39万</t>
  </si>
  <si>
    <t>1202.15万</t>
  </si>
  <si>
    <t>1141.80万</t>
  </si>
  <si>
    <t>7663.06万</t>
  </si>
  <si>
    <t>06620300</t>
  </si>
  <si>
    <t>019860900</t>
  </si>
  <si>
    <t>039721800</t>
  </si>
  <si>
    <t>066203000</t>
  </si>
  <si>
    <t>0132406000</t>
  </si>
  <si>
    <t>205.30万</t>
  </si>
  <si>
    <t>19.51亿</t>
  </si>
  <si>
    <t>-2755.18万</t>
  </si>
  <si>
    <t>9317.29万</t>
  </si>
  <si>
    <t>7393.66万</t>
  </si>
  <si>
    <t>106.99万</t>
  </si>
  <si>
    <t>882.19万</t>
  </si>
  <si>
    <t>265.41万</t>
  </si>
  <si>
    <t>4003.27万</t>
  </si>
  <si>
    <t>3835.22万</t>
  </si>
  <si>
    <t>9588.01万</t>
  </si>
  <si>
    <t>-283.87万</t>
  </si>
  <si>
    <t>8111.23万</t>
  </si>
  <si>
    <t>-43.06万</t>
  </si>
  <si>
    <t>6080.04万</t>
  </si>
  <si>
    <t>1061.13万</t>
  </si>
  <si>
    <t>10派6.005202元(含税)</t>
  </si>
  <si>
    <t>1209.17万</t>
  </si>
  <si>
    <t>170.95万</t>
  </si>
  <si>
    <t>7.30亿</t>
  </si>
  <si>
    <t>8862.82万</t>
  </si>
  <si>
    <t>6964.46万</t>
  </si>
  <si>
    <t>2852.04万</t>
  </si>
  <si>
    <t>1810.07万</t>
  </si>
  <si>
    <t>8931.86万</t>
  </si>
  <si>
    <t>9600.00万</t>
  </si>
  <si>
    <t>-3324.04万</t>
  </si>
  <si>
    <t>-3297.33万</t>
  </si>
  <si>
    <t>3349.87万</t>
  </si>
  <si>
    <t>2795.72万</t>
  </si>
  <si>
    <t>609.82万</t>
  </si>
  <si>
    <t>4934.10万</t>
  </si>
  <si>
    <t>364.72万</t>
  </si>
  <si>
    <t>15.06亿</t>
  </si>
  <si>
    <t>12.85亿</t>
  </si>
  <si>
    <t>82.16万</t>
  </si>
  <si>
    <t>956.69万</t>
  </si>
  <si>
    <t>1909.00万</t>
  </si>
  <si>
    <t>-4819.73万</t>
  </si>
  <si>
    <t>-44.28万</t>
  </si>
  <si>
    <t>3848.63万</t>
  </si>
  <si>
    <t>1631.67万</t>
  </si>
  <si>
    <t>155.26万</t>
  </si>
  <si>
    <t>13.52亿</t>
  </si>
  <si>
    <t>4240.95万</t>
  </si>
  <si>
    <t>8559.84万</t>
  </si>
  <si>
    <t>2093.04万</t>
  </si>
  <si>
    <t>851.00万</t>
  </si>
  <si>
    <t>1676.75万</t>
  </si>
  <si>
    <t>1277.06万</t>
  </si>
  <si>
    <t>6085.21万</t>
  </si>
  <si>
    <t>-164.09万</t>
  </si>
  <si>
    <t>100.00万</t>
  </si>
  <si>
    <t>1837.42万</t>
  </si>
  <si>
    <t>618.72万</t>
  </si>
  <si>
    <t>4151.80万</t>
  </si>
  <si>
    <t>2231.57万</t>
  </si>
  <si>
    <t>73.33亿</t>
  </si>
  <si>
    <t>-2.22亿</t>
  </si>
  <si>
    <t>9.99亿</t>
  </si>
  <si>
    <t>384.74万</t>
  </si>
  <si>
    <t>4679.01万</t>
  </si>
  <si>
    <t>4.54万</t>
  </si>
  <si>
    <t>24.80亿</t>
  </si>
  <si>
    <t>-7995.67万</t>
  </si>
  <si>
    <t>-6657.52万</t>
  </si>
  <si>
    <t>1924.46万</t>
  </si>
  <si>
    <t>-5399.08万</t>
  </si>
  <si>
    <t>10派2.245595元(含税)</t>
  </si>
  <si>
    <t>13.55亿</t>
  </si>
  <si>
    <t>611.26万</t>
  </si>
  <si>
    <t>15.32亿</t>
  </si>
  <si>
    <t>8725.61万</t>
  </si>
  <si>
    <t>5808.16万</t>
  </si>
  <si>
    <t>1820.92万</t>
  </si>
  <si>
    <t>634.37万</t>
  </si>
  <si>
    <t>3188.50万</t>
  </si>
  <si>
    <t>457.37万</t>
  </si>
  <si>
    <t>2234.47万</t>
  </si>
  <si>
    <t>-4969.39万</t>
  </si>
  <si>
    <t>-48.98万</t>
  </si>
  <si>
    <t>2346.95万</t>
  </si>
  <si>
    <t>5746.74万</t>
  </si>
  <si>
    <t>905.79万</t>
  </si>
  <si>
    <t>122.04亿</t>
  </si>
  <si>
    <t>82.63亿</t>
  </si>
  <si>
    <t>1877.31万</t>
  </si>
  <si>
    <t>36.48亿</t>
  </si>
  <si>
    <t>1982.70万</t>
  </si>
  <si>
    <t>4495.32万</t>
  </si>
  <si>
    <t>-1228.18万</t>
  </si>
  <si>
    <t>22.15亿</t>
  </si>
  <si>
    <t>4934.93万</t>
  </si>
  <si>
    <t>0342000000</t>
  </si>
  <si>
    <t>01026000000</t>
  </si>
  <si>
    <t>02052000000</t>
  </si>
  <si>
    <t>03420000000</t>
  </si>
  <si>
    <t>06840000000</t>
  </si>
  <si>
    <t>2210.00万</t>
  </si>
  <si>
    <t>203.70亿</t>
  </si>
  <si>
    <t>-4289.06万</t>
  </si>
  <si>
    <t>62.77万</t>
  </si>
  <si>
    <t>35.36亿</t>
  </si>
  <si>
    <t>20.53亿</t>
  </si>
  <si>
    <t>30.37亿</t>
  </si>
  <si>
    <t>-3.47亿</t>
  </si>
  <si>
    <t>-3373.46万</t>
  </si>
  <si>
    <t>468.09万</t>
  </si>
  <si>
    <t>7941.29万</t>
  </si>
  <si>
    <t>1102.53万</t>
  </si>
  <si>
    <t>575.36亿</t>
  </si>
  <si>
    <t>22.31亿</t>
  </si>
  <si>
    <t>931.41万</t>
  </si>
  <si>
    <t>130.04亿</t>
  </si>
  <si>
    <t>48.18亿</t>
  </si>
  <si>
    <t>54.98亿</t>
  </si>
  <si>
    <t>-11.91亿</t>
  </si>
  <si>
    <t>9863.76万</t>
  </si>
  <si>
    <t>3718.52万</t>
  </si>
  <si>
    <t>0340000000</t>
  </si>
  <si>
    <t>01020000000</t>
  </si>
  <si>
    <t>02040000000</t>
  </si>
  <si>
    <t>03400000000</t>
  </si>
  <si>
    <t>06800000000</t>
  </si>
  <si>
    <t>1343.54万</t>
  </si>
  <si>
    <t>15.98亿</t>
  </si>
  <si>
    <t>16.57亿</t>
  </si>
  <si>
    <t>4094.90万</t>
  </si>
  <si>
    <t>229.40万</t>
  </si>
  <si>
    <t>652.26万</t>
  </si>
  <si>
    <t>-1.10亿</t>
  </si>
  <si>
    <t>9040.69万</t>
  </si>
  <si>
    <t>5219.24万</t>
  </si>
  <si>
    <t>0284000000</t>
  </si>
  <si>
    <t>0852000000</t>
  </si>
  <si>
    <t>01704000000</t>
  </si>
  <si>
    <t>02840000000</t>
  </si>
  <si>
    <t>05680000000</t>
  </si>
  <si>
    <t>2216.89万</t>
  </si>
  <si>
    <t>100.66亿</t>
  </si>
  <si>
    <t>37.01亿</t>
  </si>
  <si>
    <t>6618.35万</t>
  </si>
  <si>
    <t>28.26万</t>
  </si>
  <si>
    <t>11.22亿</t>
  </si>
  <si>
    <t>4615.92万</t>
  </si>
  <si>
    <t>2317.06万</t>
  </si>
  <si>
    <t>5777.58万</t>
  </si>
  <si>
    <t>4327.64万</t>
  </si>
  <si>
    <t>-755.17万</t>
  </si>
  <si>
    <t>066183500</t>
  </si>
  <si>
    <t>0198550500</t>
  </si>
  <si>
    <t>0397101000</t>
  </si>
  <si>
    <t>0661835000</t>
  </si>
  <si>
    <t>01323670000</t>
  </si>
  <si>
    <t>981.29万</t>
  </si>
  <si>
    <t>82.90亿</t>
  </si>
  <si>
    <t>76.23亿</t>
  </si>
  <si>
    <t>26.34万</t>
  </si>
  <si>
    <t>15.69亿</t>
  </si>
  <si>
    <t>-4493.76万</t>
  </si>
  <si>
    <t>-2.72亿</t>
  </si>
  <si>
    <t>-3231.45万</t>
  </si>
  <si>
    <t>3839.73万</t>
  </si>
  <si>
    <t>0227000000</t>
  </si>
  <si>
    <t>0681000000</t>
  </si>
  <si>
    <t>01362000000</t>
  </si>
  <si>
    <t>02270000000</t>
  </si>
  <si>
    <t>04540000000</t>
  </si>
  <si>
    <t>4936.53万</t>
  </si>
  <si>
    <t>424.39亿</t>
  </si>
  <si>
    <t>87.61亿</t>
  </si>
  <si>
    <t>-5.42亿</t>
  </si>
  <si>
    <t>44.13亿</t>
  </si>
  <si>
    <t>9.43亿</t>
  </si>
  <si>
    <t>17.64亿</t>
  </si>
  <si>
    <t>19.88万</t>
  </si>
  <si>
    <t>213.06亿</t>
  </si>
  <si>
    <t>36.98亿</t>
  </si>
  <si>
    <t>-7.50亿</t>
  </si>
  <si>
    <t>-1813.46万</t>
  </si>
  <si>
    <t>26.99亿</t>
  </si>
  <si>
    <t>1599.92万</t>
  </si>
  <si>
    <t>1747.64万</t>
  </si>
  <si>
    <t>235.37亿</t>
  </si>
  <si>
    <t>-2.68亿</t>
  </si>
  <si>
    <t>32.96亿</t>
  </si>
  <si>
    <t>187.97万</t>
  </si>
  <si>
    <t>151.18亿</t>
  </si>
  <si>
    <t>21.33亿</t>
  </si>
  <si>
    <t>98.65亿</t>
  </si>
  <si>
    <t>23.43亿</t>
  </si>
  <si>
    <t>-8.95亿</t>
  </si>
  <si>
    <t>5634.64万</t>
  </si>
  <si>
    <t>-2871.85万</t>
  </si>
  <si>
    <t>7083.71万</t>
  </si>
  <si>
    <t>1204.90万</t>
  </si>
  <si>
    <t>147.64亿</t>
  </si>
  <si>
    <t>-827.95万</t>
  </si>
  <si>
    <t>26.27亿</t>
  </si>
  <si>
    <t>4.54亿</t>
  </si>
  <si>
    <t>80.28万</t>
  </si>
  <si>
    <t>64.15亿</t>
  </si>
  <si>
    <t>10.11亿</t>
  </si>
  <si>
    <t>1074.89万</t>
  </si>
  <si>
    <t>48.89亿</t>
  </si>
  <si>
    <t>-4501.27万</t>
  </si>
  <si>
    <t>2620.45万</t>
  </si>
  <si>
    <t>-166.80万</t>
  </si>
  <si>
    <t>6977.56万</t>
  </si>
  <si>
    <t>588.63万</t>
  </si>
  <si>
    <t>38.27亿</t>
  </si>
  <si>
    <t>612.64亿</t>
  </si>
  <si>
    <t>29.78亿</t>
  </si>
  <si>
    <t>7524.11万</t>
  </si>
  <si>
    <t>143.07万</t>
  </si>
  <si>
    <t>4250.07万</t>
  </si>
  <si>
    <t>7292.00万</t>
  </si>
  <si>
    <t>5154.90万</t>
  </si>
  <si>
    <t>-2452.46万</t>
  </si>
  <si>
    <t>-3785.99万</t>
  </si>
  <si>
    <t>133.47亿</t>
  </si>
  <si>
    <t>2343.49万</t>
  </si>
  <si>
    <t>444.91万</t>
  </si>
  <si>
    <t>67.62亿</t>
  </si>
  <si>
    <t>4246.99万</t>
  </si>
  <si>
    <t>2.50万</t>
  </si>
  <si>
    <t>6252.84万</t>
  </si>
  <si>
    <t>-1788.36万</t>
  </si>
  <si>
    <t>-3457.64万</t>
  </si>
  <si>
    <t>88.71万</t>
  </si>
  <si>
    <t>12.59亿</t>
  </si>
  <si>
    <t>2017.10万</t>
  </si>
  <si>
    <t>4049.62万</t>
  </si>
  <si>
    <t>84.90亿</t>
  </si>
  <si>
    <t>450.65亿</t>
  </si>
  <si>
    <t>20.99亿</t>
  </si>
  <si>
    <t>201.89万</t>
  </si>
  <si>
    <t>28.36亿</t>
  </si>
  <si>
    <t>9.49亿</t>
  </si>
  <si>
    <t>67.03亿</t>
  </si>
  <si>
    <t>21.62亿</t>
  </si>
  <si>
    <t>-4.72亿</t>
  </si>
  <si>
    <t>82.75亿</t>
  </si>
  <si>
    <t>8523.25万</t>
  </si>
  <si>
    <t>476.07万</t>
  </si>
  <si>
    <t>24.16亿</t>
  </si>
  <si>
    <t>423.69万</t>
  </si>
  <si>
    <t>1861.50万</t>
  </si>
  <si>
    <t>2.85万</t>
  </si>
  <si>
    <t>7.57亿</t>
  </si>
  <si>
    <t>5220.93万</t>
  </si>
  <si>
    <t>6872.46万</t>
  </si>
  <si>
    <t>2601.08万</t>
  </si>
  <si>
    <t>2000.00万</t>
  </si>
  <si>
    <t>6.74亿</t>
  </si>
  <si>
    <t>4280.68万</t>
  </si>
  <si>
    <t>-224.81万</t>
  </si>
  <si>
    <t>109.24万</t>
  </si>
  <si>
    <t>2316.32万</t>
  </si>
  <si>
    <t>-319.92万</t>
  </si>
  <si>
    <t>2036.40万</t>
  </si>
  <si>
    <t>04236900</t>
  </si>
  <si>
    <t>012710700</t>
  </si>
  <si>
    <t>025421400</t>
  </si>
  <si>
    <t>042369000</t>
  </si>
  <si>
    <t>084738000</t>
  </si>
  <si>
    <t>728.47万</t>
  </si>
  <si>
    <t>116.68亿</t>
  </si>
  <si>
    <t>9375.21万</t>
  </si>
  <si>
    <t>3069.36万</t>
  </si>
  <si>
    <t>3010.45万</t>
  </si>
  <si>
    <t>94.66万</t>
  </si>
  <si>
    <t>45.66万</t>
  </si>
  <si>
    <t>119.69万</t>
  </si>
  <si>
    <t>1425.00万</t>
  </si>
  <si>
    <t>4151.85万</t>
  </si>
  <si>
    <t>314.92万</t>
  </si>
  <si>
    <t>170.00万</t>
  </si>
  <si>
    <t>-4475.97万</t>
  </si>
  <si>
    <t>-133.99万</t>
  </si>
  <si>
    <t>-2321.64万</t>
  </si>
  <si>
    <t>-5975.10万</t>
  </si>
  <si>
    <t>474.86万</t>
  </si>
  <si>
    <t>-9517.17万</t>
  </si>
  <si>
    <t>4117.53万</t>
  </si>
  <si>
    <t>2799.44万</t>
  </si>
  <si>
    <t>115.26亿</t>
  </si>
  <si>
    <t>-3.90亿</t>
  </si>
  <si>
    <t>39.16亿</t>
  </si>
  <si>
    <t>29.66亿</t>
  </si>
  <si>
    <t>31.24万</t>
  </si>
  <si>
    <t>28.47亿</t>
  </si>
  <si>
    <t>7101.01万</t>
  </si>
  <si>
    <t>7172.45万</t>
  </si>
  <si>
    <t>18.08亿</t>
  </si>
  <si>
    <t>16.34亿</t>
  </si>
  <si>
    <t>21.89亿</t>
  </si>
  <si>
    <t>592.93万</t>
  </si>
  <si>
    <t>80.95亿</t>
  </si>
  <si>
    <t>3284.92万</t>
  </si>
  <si>
    <t>-2.71亿</t>
  </si>
  <si>
    <t>-1474.14万</t>
  </si>
  <si>
    <t>31.91亿</t>
  </si>
  <si>
    <t>1572.40万</t>
  </si>
  <si>
    <t>633.58万</t>
  </si>
  <si>
    <t>18.38亿</t>
  </si>
  <si>
    <t>29.12亿</t>
  </si>
  <si>
    <t>-2.38亿</t>
  </si>
  <si>
    <t>8107.49万</t>
  </si>
  <si>
    <t>6556.92万</t>
  </si>
  <si>
    <t>26.01万</t>
  </si>
  <si>
    <t>8345.74万</t>
  </si>
  <si>
    <t>1643.18万</t>
  </si>
  <si>
    <t>5474.59万</t>
  </si>
  <si>
    <t>-6260.83万</t>
  </si>
  <si>
    <t>-5165.79万</t>
  </si>
  <si>
    <t>-3039.24万</t>
  </si>
  <si>
    <t>5559.50万</t>
  </si>
  <si>
    <t>3112.42万</t>
  </si>
  <si>
    <t>5545.24万</t>
  </si>
  <si>
    <t>34.76万</t>
  </si>
  <si>
    <t>8.99亿</t>
  </si>
  <si>
    <t>5.39亿</t>
  </si>
  <si>
    <t>-9453.70万</t>
  </si>
  <si>
    <t>-5839.55万</t>
  </si>
  <si>
    <t>7097.19万</t>
  </si>
  <si>
    <t>18.20亿</t>
  </si>
  <si>
    <t>0214000000</t>
  </si>
  <si>
    <t>0642000000</t>
  </si>
  <si>
    <t>01284000000</t>
  </si>
  <si>
    <t>02140000000</t>
  </si>
  <si>
    <t>04280000000</t>
  </si>
  <si>
    <t>1091.10万</t>
  </si>
  <si>
    <t>63.04亿</t>
  </si>
  <si>
    <t>24.92亿</t>
  </si>
  <si>
    <t>54.69万</t>
  </si>
  <si>
    <t>8.70亿</t>
  </si>
  <si>
    <t>50.92亿</t>
  </si>
  <si>
    <t>20.01亿</t>
  </si>
  <si>
    <t>97.94亿</t>
  </si>
  <si>
    <t>44.87亿</t>
  </si>
  <si>
    <t>5166.12万</t>
  </si>
  <si>
    <t>0260000000</t>
  </si>
  <si>
    <t>0780000000</t>
  </si>
  <si>
    <t>01560000000</t>
  </si>
  <si>
    <t>02600000000</t>
  </si>
  <si>
    <t>05200000000</t>
  </si>
  <si>
    <t>313.27万</t>
  </si>
  <si>
    <t>174.28亿</t>
  </si>
  <si>
    <t>8918.74万</t>
  </si>
  <si>
    <t>7638.24万</t>
  </si>
  <si>
    <t>2676.71万</t>
  </si>
  <si>
    <t>4.93亿</t>
  </si>
  <si>
    <t>3261.98万</t>
  </si>
  <si>
    <t>3323.56万</t>
  </si>
  <si>
    <t>992.12万</t>
  </si>
  <si>
    <t>3634.59万</t>
  </si>
  <si>
    <t>-5131.08万</t>
  </si>
  <si>
    <t>-208.94万</t>
  </si>
  <si>
    <t>503.50万</t>
  </si>
  <si>
    <t>1492.43万</t>
  </si>
  <si>
    <t>9280.54万</t>
  </si>
  <si>
    <t>222.52万</t>
  </si>
  <si>
    <t>34.61亿</t>
  </si>
  <si>
    <t>92.95亿</t>
  </si>
  <si>
    <t>2951.93万</t>
  </si>
  <si>
    <t>5.24万</t>
  </si>
  <si>
    <t>4994.01万</t>
  </si>
  <si>
    <t>51.45万</t>
  </si>
  <si>
    <t>1237.26万</t>
  </si>
  <si>
    <t>-9132.96万</t>
  </si>
  <si>
    <t>-1.61亿</t>
  </si>
  <si>
    <t>3359.69万</t>
  </si>
  <si>
    <t>780.63万</t>
  </si>
  <si>
    <t>5860.45万</t>
  </si>
  <si>
    <t>593.99万</t>
  </si>
  <si>
    <t>51.62亿</t>
  </si>
  <si>
    <t>6708.17万</t>
  </si>
  <si>
    <t>2177.54万</t>
  </si>
  <si>
    <t>3061.18万</t>
  </si>
  <si>
    <t>3703.00万</t>
  </si>
  <si>
    <t>527.20万</t>
  </si>
  <si>
    <t>2857.73万</t>
  </si>
  <si>
    <t>3033.59万</t>
  </si>
  <si>
    <t>2390.65万</t>
  </si>
  <si>
    <t>501.04万</t>
  </si>
  <si>
    <t>22.64亿</t>
  </si>
  <si>
    <t>18.40亿</t>
  </si>
  <si>
    <t>238.35万</t>
  </si>
  <si>
    <t>2000.52万</t>
  </si>
  <si>
    <t>11.15亿</t>
  </si>
  <si>
    <t>2698.35万</t>
  </si>
  <si>
    <t>-2127.50万</t>
  </si>
  <si>
    <t>-1975.94万</t>
  </si>
  <si>
    <t>1759.76万</t>
  </si>
  <si>
    <t>114.44万</t>
  </si>
  <si>
    <t>43.55亿</t>
  </si>
  <si>
    <t>138.61亿</t>
  </si>
  <si>
    <t>9070.61万</t>
  </si>
  <si>
    <t>308.80万</t>
  </si>
  <si>
    <t>2793.44万</t>
  </si>
  <si>
    <t>23.80亿</t>
  </si>
  <si>
    <t>5880.70万</t>
  </si>
  <si>
    <t>2648.00万</t>
  </si>
  <si>
    <t>9137.83万</t>
  </si>
  <si>
    <t>5.09亿</t>
  </si>
  <si>
    <t>9391.37万</t>
  </si>
  <si>
    <t>9074.76万</t>
  </si>
  <si>
    <t>31.37亿</t>
  </si>
  <si>
    <t>943.63万</t>
  </si>
  <si>
    <t>2760.51万</t>
  </si>
  <si>
    <t>63.73万</t>
  </si>
  <si>
    <t>32.73亿</t>
  </si>
  <si>
    <t>5223.28万</t>
  </si>
  <si>
    <t>288.27万</t>
  </si>
  <si>
    <t>2279.35万</t>
  </si>
  <si>
    <t>5.00亿</t>
  </si>
  <si>
    <t>8630.00万</t>
  </si>
  <si>
    <t>2958.86万</t>
  </si>
  <si>
    <t>-1203.49万</t>
  </si>
  <si>
    <t>-2883.13万</t>
  </si>
  <si>
    <t>8.69亿</t>
  </si>
  <si>
    <t>1221.30万</t>
  </si>
  <si>
    <t>324.38万</t>
  </si>
  <si>
    <t>1966.25万</t>
  </si>
  <si>
    <t>315.93万</t>
  </si>
  <si>
    <t>59.40亿</t>
  </si>
  <si>
    <t>208.12亿</t>
  </si>
  <si>
    <t>7635.11万</t>
  </si>
  <si>
    <t>132.16万</t>
  </si>
  <si>
    <t>6628.82万</t>
  </si>
  <si>
    <t>2700.00万</t>
  </si>
  <si>
    <t>93.48万</t>
  </si>
  <si>
    <t>14.26亿</t>
  </si>
  <si>
    <t>-7001.24万</t>
  </si>
  <si>
    <t>53.35亿</t>
  </si>
  <si>
    <t>1471.31万</t>
  </si>
  <si>
    <t>9267.74万</t>
  </si>
  <si>
    <t>544.64万</t>
  </si>
  <si>
    <t>17.71亿</t>
  </si>
  <si>
    <t>75.82亿</t>
  </si>
  <si>
    <t>2556.98万</t>
  </si>
  <si>
    <t>3039.61万</t>
  </si>
  <si>
    <t>29.83万</t>
  </si>
  <si>
    <t>5.23亿</t>
  </si>
  <si>
    <t>18.18亿</t>
  </si>
  <si>
    <t>3886.23万</t>
  </si>
  <si>
    <t>26.95亿</t>
  </si>
  <si>
    <t>9209.04万</t>
  </si>
  <si>
    <t>-9658.15万</t>
  </si>
  <si>
    <t>1463.16万</t>
  </si>
  <si>
    <t>2665.74万</t>
  </si>
  <si>
    <t>2145.44万</t>
  </si>
  <si>
    <t>567.33万</t>
  </si>
  <si>
    <t>22.02亿</t>
  </si>
  <si>
    <t>19.96亿</t>
  </si>
  <si>
    <t>871.18万</t>
  </si>
  <si>
    <t>4124.23万</t>
  </si>
  <si>
    <t>17.34万</t>
  </si>
  <si>
    <t>-5442.30万</t>
  </si>
  <si>
    <t>-2532.71万</t>
  </si>
  <si>
    <t>2938.78万</t>
  </si>
  <si>
    <t>4738.53万</t>
  </si>
  <si>
    <t>1317.44万</t>
  </si>
  <si>
    <t>7385.37万</t>
  </si>
  <si>
    <t>222.35万</t>
  </si>
  <si>
    <t>9475.97万</t>
  </si>
  <si>
    <t>3300.90万</t>
  </si>
  <si>
    <t>3811.72万</t>
  </si>
  <si>
    <t>1853.35万</t>
  </si>
  <si>
    <t>109.82万</t>
  </si>
  <si>
    <t>1736.07万</t>
  </si>
  <si>
    <t>2048.46万</t>
  </si>
  <si>
    <t>5195.49万</t>
  </si>
  <si>
    <t>28.23万</t>
  </si>
  <si>
    <t>-2067.49万</t>
  </si>
  <si>
    <t>8121.78万</t>
  </si>
  <si>
    <t>-9004.35万</t>
  </si>
  <si>
    <t>912.32万</t>
  </si>
  <si>
    <t>425.79万</t>
  </si>
  <si>
    <t>14.35亿</t>
  </si>
  <si>
    <t>17.72亿</t>
  </si>
  <si>
    <t>6915.39万</t>
  </si>
  <si>
    <t>5554.96万</t>
  </si>
  <si>
    <t>2792.93万</t>
  </si>
  <si>
    <t>4197.10万</t>
  </si>
  <si>
    <t>1816.99万</t>
  </si>
  <si>
    <t>15.90万</t>
  </si>
  <si>
    <t>-2963.02万</t>
  </si>
  <si>
    <t>-336.61万</t>
  </si>
  <si>
    <t>1717.20万</t>
  </si>
  <si>
    <t>2121.73万</t>
  </si>
  <si>
    <t>8230.22万</t>
  </si>
  <si>
    <t>607.73万</t>
  </si>
  <si>
    <t>59.79亿</t>
  </si>
  <si>
    <t>177.63亿</t>
  </si>
  <si>
    <t>6.18亿</t>
  </si>
  <si>
    <t>6518.85万</t>
  </si>
  <si>
    <t>3941.42万</t>
  </si>
  <si>
    <t>179.43万</t>
  </si>
  <si>
    <t>97.19万</t>
  </si>
  <si>
    <t>8299.59万</t>
  </si>
  <si>
    <t>16.93亿</t>
  </si>
  <si>
    <t>30.18亿</t>
  </si>
  <si>
    <t>-7.90亿</t>
  </si>
  <si>
    <t>49.08亿</t>
  </si>
  <si>
    <t>3007.68万</t>
  </si>
  <si>
    <t>499.86万</t>
  </si>
  <si>
    <t>12.29亿</t>
  </si>
  <si>
    <t>-791.27万</t>
  </si>
  <si>
    <t>4523.12万</t>
  </si>
  <si>
    <t>3974.70万</t>
  </si>
  <si>
    <t>2604.36万</t>
  </si>
  <si>
    <t>32.56万</t>
  </si>
  <si>
    <t>640.76万</t>
  </si>
  <si>
    <t>9130.40万</t>
  </si>
  <si>
    <t>804.89万</t>
  </si>
  <si>
    <t>-3242.36万</t>
  </si>
  <si>
    <t>-1765.88万</t>
  </si>
  <si>
    <t>-607.36万</t>
  </si>
  <si>
    <t>1842.11万</t>
  </si>
  <si>
    <t>813.76万</t>
  </si>
  <si>
    <t>20.57亿</t>
  </si>
  <si>
    <t>74.80亿</t>
  </si>
  <si>
    <t>17.91亿</t>
  </si>
  <si>
    <t>2412.93万</t>
  </si>
  <si>
    <t>3734.25万</t>
  </si>
  <si>
    <t>9547.73万</t>
  </si>
  <si>
    <t>8942.69万</t>
  </si>
  <si>
    <t>3232.29万</t>
  </si>
  <si>
    <t>20.85亿</t>
  </si>
  <si>
    <t>5.89亿</t>
  </si>
  <si>
    <t>2095.63万</t>
  </si>
  <si>
    <t>7701.18万</t>
  </si>
  <si>
    <t>84.62万</t>
  </si>
  <si>
    <t>266.76万</t>
  </si>
  <si>
    <t>4065.73万</t>
  </si>
  <si>
    <t>6000.00万</t>
  </si>
  <si>
    <t>-9708.98万</t>
  </si>
  <si>
    <t>1827.56万</t>
  </si>
  <si>
    <t>4340.34万</t>
  </si>
  <si>
    <t>4036.78万</t>
  </si>
  <si>
    <t>-4556.60万</t>
  </si>
  <si>
    <t>10派3.2662元(含税)</t>
  </si>
  <si>
    <t>400.49万</t>
  </si>
  <si>
    <t>3596.67万</t>
  </si>
  <si>
    <t>158.65万</t>
  </si>
  <si>
    <t>76.09亿</t>
  </si>
  <si>
    <t>27.75亿</t>
  </si>
  <si>
    <t>11.00亿</t>
  </si>
  <si>
    <t>1722.74万</t>
  </si>
  <si>
    <t>7574.62万</t>
  </si>
  <si>
    <t>48.21万</t>
  </si>
  <si>
    <t>20.39亿</t>
  </si>
  <si>
    <t>8.86亿</t>
  </si>
  <si>
    <t>21.75亿</t>
  </si>
  <si>
    <t>-7911.46万</t>
  </si>
  <si>
    <t>438.32万</t>
  </si>
  <si>
    <t>7411.25万</t>
  </si>
  <si>
    <t>5.64亿</t>
  </si>
  <si>
    <t>4215.44万</t>
  </si>
  <si>
    <t>10派3.0153元(含税)</t>
  </si>
  <si>
    <t>763.64万</t>
  </si>
  <si>
    <t>5504.39万</t>
  </si>
  <si>
    <t>177.02万</t>
  </si>
  <si>
    <t>14.99亿</t>
  </si>
  <si>
    <t>7529.51万</t>
  </si>
  <si>
    <t>3699.72万</t>
  </si>
  <si>
    <t>373.27万</t>
  </si>
  <si>
    <t>2558.22万</t>
  </si>
  <si>
    <t>837.54万</t>
  </si>
  <si>
    <t>9.74亿</t>
  </si>
  <si>
    <t>734.71万</t>
  </si>
  <si>
    <t>5310.00万</t>
  </si>
  <si>
    <t>4024.44万</t>
  </si>
  <si>
    <t>2887.78万</t>
  </si>
  <si>
    <t>1560.93万</t>
  </si>
  <si>
    <t>880.54万</t>
  </si>
  <si>
    <t>6919.04万</t>
  </si>
  <si>
    <t>1003.33万</t>
  </si>
  <si>
    <t>690.69万</t>
  </si>
  <si>
    <t>3935.54万</t>
  </si>
  <si>
    <t>420.96万</t>
  </si>
  <si>
    <t>-1566.44万</t>
  </si>
  <si>
    <t>8693.26万</t>
  </si>
  <si>
    <t>3837.34万</t>
  </si>
  <si>
    <t>2317.65万</t>
  </si>
  <si>
    <t>1261.85万</t>
  </si>
  <si>
    <t>2.13万</t>
  </si>
  <si>
    <t>11.00万</t>
  </si>
  <si>
    <t>9262.69万</t>
  </si>
  <si>
    <t>1059.17万</t>
  </si>
  <si>
    <t>4652.31万</t>
  </si>
  <si>
    <t>1205.66万</t>
  </si>
  <si>
    <t>3333.63万</t>
  </si>
  <si>
    <t>6679.97万</t>
  </si>
  <si>
    <t>-2189.88万</t>
  </si>
  <si>
    <t>1422.94万</t>
  </si>
  <si>
    <t>7051.04万</t>
  </si>
  <si>
    <t>835.13万</t>
  </si>
  <si>
    <t>9054.61万</t>
  </si>
  <si>
    <t>1481.19万</t>
  </si>
  <si>
    <t>2854.23万</t>
  </si>
  <si>
    <t>312.44万</t>
  </si>
  <si>
    <t>17.66亿</t>
  </si>
  <si>
    <t>4500.00万</t>
  </si>
  <si>
    <t>11.06亿</t>
  </si>
  <si>
    <t>-1097.14万</t>
  </si>
  <si>
    <t>1518.56万</t>
  </si>
  <si>
    <t>3425.52万</t>
  </si>
  <si>
    <t>478.27万</t>
  </si>
  <si>
    <t>23.00亿</t>
  </si>
  <si>
    <t>10.62万</t>
  </si>
  <si>
    <t>-3.95亿</t>
  </si>
  <si>
    <t>511.53万</t>
  </si>
  <si>
    <t>3263.89万</t>
  </si>
  <si>
    <t>2183.28万</t>
  </si>
  <si>
    <t>21.06亿</t>
  </si>
  <si>
    <t>5510.53万</t>
  </si>
  <si>
    <t>2382.10万</t>
  </si>
  <si>
    <t>2046.11万</t>
  </si>
  <si>
    <t>331.55万</t>
  </si>
  <si>
    <t>8908.92万</t>
  </si>
  <si>
    <t>4625.47万</t>
  </si>
  <si>
    <t>2876.52万</t>
  </si>
  <si>
    <t>626.12万</t>
  </si>
  <si>
    <t>52.99万</t>
  </si>
  <si>
    <t>8.19万</t>
  </si>
  <si>
    <t>4690.89万</t>
  </si>
  <si>
    <t>3686.36万</t>
  </si>
  <si>
    <t>-1088.28万</t>
  </si>
  <si>
    <t>-4440.04万</t>
  </si>
  <si>
    <t>7345.56万</t>
  </si>
  <si>
    <t>1340.79万</t>
  </si>
  <si>
    <t>249.94万</t>
  </si>
  <si>
    <t>825.93万</t>
  </si>
  <si>
    <t>205.67万</t>
  </si>
  <si>
    <t>9150.10万</t>
  </si>
  <si>
    <t>3570.74万</t>
  </si>
  <si>
    <t>9531.29万</t>
  </si>
  <si>
    <t>1784.66万</t>
  </si>
  <si>
    <t>-6044.40万</t>
  </si>
  <si>
    <t>3876.65万</t>
  </si>
  <si>
    <t>-639.23万</t>
  </si>
  <si>
    <t>772.96万</t>
  </si>
  <si>
    <t>5550.16万</t>
  </si>
  <si>
    <t>024777900</t>
  </si>
  <si>
    <t>049555800</t>
  </si>
  <si>
    <t>082593000</t>
  </si>
  <si>
    <t>0165186000</t>
  </si>
  <si>
    <t>100.44万</t>
  </si>
  <si>
    <t>5688.38万</t>
  </si>
  <si>
    <t>593.23万</t>
  </si>
  <si>
    <t>8815.79万</t>
  </si>
  <si>
    <t>9723.29万</t>
  </si>
  <si>
    <t>-4525.08万</t>
  </si>
  <si>
    <t>5043.41万</t>
  </si>
  <si>
    <t>-131.43万</t>
  </si>
  <si>
    <t>6489.16万</t>
  </si>
  <si>
    <t>1169.83万</t>
  </si>
  <si>
    <t>273.97万</t>
  </si>
  <si>
    <t>1363.66万</t>
  </si>
  <si>
    <t>565.64万</t>
  </si>
  <si>
    <t>12.87亿</t>
  </si>
  <si>
    <t>4071.85万</t>
  </si>
  <si>
    <t>8669.85万</t>
  </si>
  <si>
    <t>1698.52万</t>
  </si>
  <si>
    <t>1679.80万</t>
  </si>
  <si>
    <t>1775.68万</t>
  </si>
  <si>
    <t>1168.88万</t>
  </si>
  <si>
    <t>-4374.94万</t>
  </si>
  <si>
    <t>659.06万</t>
  </si>
  <si>
    <t>6957.26万</t>
  </si>
  <si>
    <t>-939.36万</t>
  </si>
  <si>
    <t>2407.68万</t>
  </si>
  <si>
    <t>SH688235</t>
  </si>
  <si>
    <t>百济神州-U</t>
  </si>
  <si>
    <t>170.22万</t>
  </si>
  <si>
    <t>160.18亿</t>
  </si>
  <si>
    <t>241.18亿</t>
  </si>
  <si>
    <t>53.59亿</t>
  </si>
  <si>
    <t>73.12亿</t>
  </si>
  <si>
    <t>19.78亿</t>
  </si>
  <si>
    <t>10.60亿</t>
  </si>
  <si>
    <t>95364000亿</t>
  </si>
  <si>
    <t>4.80万</t>
  </si>
  <si>
    <t>-2046530000亿</t>
  </si>
  <si>
    <t>144.12亿</t>
  </si>
  <si>
    <t>3101457000亿</t>
  </si>
  <si>
    <t>27986386000亿</t>
  </si>
  <si>
    <t>55.78亿</t>
  </si>
  <si>
    <t>56.89亿</t>
  </si>
  <si>
    <t>134.35亿</t>
  </si>
  <si>
    <t>-23.96亿</t>
  </si>
  <si>
    <t>5.99亿</t>
  </si>
  <si>
    <t>95.66亿</t>
  </si>
  <si>
    <t>29.54亿</t>
  </si>
  <si>
    <t>13.10亿</t>
  </si>
  <si>
    <t>-136.42亿</t>
  </si>
  <si>
    <t>-97.48亿</t>
  </si>
  <si>
    <t>-113.84亿</t>
  </si>
  <si>
    <t>-69.15亿</t>
  </si>
  <si>
    <t>-47.47亿</t>
  </si>
  <si>
    <t>174.23亿</t>
  </si>
  <si>
    <t>-67.16亿</t>
  </si>
  <si>
    <t>5586.14万</t>
  </si>
  <si>
    <t>586.98万</t>
  </si>
  <si>
    <t>3742.07万</t>
  </si>
  <si>
    <t>148.22万</t>
  </si>
  <si>
    <t>12.01亿</t>
  </si>
  <si>
    <t>8555.64万</t>
  </si>
  <si>
    <t>6077.39万</t>
  </si>
  <si>
    <t>219.46万</t>
  </si>
  <si>
    <t>784.21万</t>
  </si>
  <si>
    <t>1673.34万</t>
  </si>
  <si>
    <t>1385.02万</t>
  </si>
  <si>
    <t>9514.04万</t>
  </si>
  <si>
    <t>2877.68万</t>
  </si>
  <si>
    <t>-4.09亿</t>
  </si>
  <si>
    <t>-3235.16万</t>
  </si>
  <si>
    <t>3036.63万</t>
  </si>
  <si>
    <t>648.67万</t>
  </si>
  <si>
    <t>4911.69万</t>
  </si>
  <si>
    <t>342.82万</t>
  </si>
  <si>
    <t>16.01亿</t>
  </si>
  <si>
    <t>7691.20万</t>
  </si>
  <si>
    <t>714.92万</t>
  </si>
  <si>
    <t>6010.96万</t>
  </si>
  <si>
    <t>1405.90万</t>
  </si>
  <si>
    <t>8.41万</t>
  </si>
  <si>
    <t>8902.39万</t>
  </si>
  <si>
    <t>-3.16亿</t>
  </si>
  <si>
    <t>9461.21万</t>
  </si>
  <si>
    <t>205.04万</t>
  </si>
  <si>
    <t>909.90万</t>
  </si>
  <si>
    <t>5808.58万</t>
  </si>
  <si>
    <t>166.52万</t>
  </si>
  <si>
    <t>163.29亿</t>
  </si>
  <si>
    <t>57.63亿</t>
  </si>
  <si>
    <t>5230.92万</t>
  </si>
  <si>
    <t>304.03万</t>
  </si>
  <si>
    <t>1002.24万</t>
  </si>
  <si>
    <t>7759.74万</t>
  </si>
  <si>
    <t>9057.65万</t>
  </si>
  <si>
    <t>-6066.66万</t>
  </si>
  <si>
    <t>-4.68亿</t>
  </si>
  <si>
    <t>-80.51万</t>
  </si>
  <si>
    <t>48.56亿</t>
  </si>
  <si>
    <t>29.11亿</t>
  </si>
  <si>
    <t>541.11万</t>
  </si>
  <si>
    <t>2220.45万</t>
  </si>
  <si>
    <t>422.66万</t>
  </si>
  <si>
    <t>16.89亿</t>
  </si>
  <si>
    <t>-2.76亿</t>
  </si>
  <si>
    <t>1485.62万</t>
  </si>
  <si>
    <t>5597.40万</t>
  </si>
  <si>
    <t>1882.41万</t>
  </si>
  <si>
    <t>61.09万</t>
  </si>
  <si>
    <t>45.19万</t>
  </si>
  <si>
    <t>351.19万</t>
  </si>
  <si>
    <t>197.75万</t>
  </si>
  <si>
    <t>3542.82万</t>
  </si>
  <si>
    <t>2546.95万</t>
  </si>
  <si>
    <t>3341.37万</t>
  </si>
  <si>
    <t>6126.12万</t>
  </si>
  <si>
    <t>-6812.08万</t>
  </si>
  <si>
    <t>1900.92万</t>
  </si>
  <si>
    <t>8744.39万</t>
  </si>
  <si>
    <t>32.24万</t>
  </si>
  <si>
    <t>6541.84万</t>
  </si>
  <si>
    <t>6478.90万</t>
  </si>
  <si>
    <t>5266.66万</t>
  </si>
  <si>
    <t>2202.78万</t>
  </si>
  <si>
    <t>136.47万</t>
  </si>
  <si>
    <t>1250.56万</t>
  </si>
  <si>
    <t>1863406亿</t>
  </si>
  <si>
    <t>11548554亿</t>
  </si>
  <si>
    <t>79104749亿</t>
  </si>
  <si>
    <t>743045520亿</t>
  </si>
  <si>
    <t>7953.04万</t>
  </si>
  <si>
    <t>575.89万</t>
  </si>
  <si>
    <t>5407.46万</t>
  </si>
  <si>
    <t>4210.05万</t>
  </si>
  <si>
    <t>-2842.26万</t>
  </si>
  <si>
    <t>-862.78万</t>
  </si>
  <si>
    <t>6054.62万</t>
  </si>
  <si>
    <t>10派5.74元(含税)</t>
  </si>
  <si>
    <t>171.71万</t>
  </si>
  <si>
    <t>1392.69万</t>
  </si>
  <si>
    <t>544.20万</t>
  </si>
  <si>
    <t>35.67亿</t>
  </si>
  <si>
    <t>580.95万</t>
  </si>
  <si>
    <t>3028.81万</t>
  </si>
  <si>
    <t>1683.64万</t>
  </si>
  <si>
    <t>8408.95万</t>
  </si>
  <si>
    <t>2305.76万</t>
  </si>
  <si>
    <t>1881.92万</t>
  </si>
  <si>
    <t>980.38万</t>
  </si>
  <si>
    <t>19.35亿</t>
  </si>
  <si>
    <t>6030.38万</t>
  </si>
  <si>
    <t>9133.58万</t>
  </si>
  <si>
    <t>404.46万</t>
  </si>
  <si>
    <t>1064.48万</t>
  </si>
  <si>
    <t>18.37亿</t>
  </si>
  <si>
    <t>134.73万</t>
  </si>
  <si>
    <t>5813.77万</t>
  </si>
  <si>
    <t>-8972.06万</t>
  </si>
  <si>
    <t>-84.78万</t>
  </si>
  <si>
    <t>473.49万</t>
  </si>
  <si>
    <t>5833.13万</t>
  </si>
  <si>
    <t>2962.57万</t>
  </si>
  <si>
    <t>190.39万</t>
  </si>
  <si>
    <t>23.61亿</t>
  </si>
  <si>
    <t>1087.55万</t>
  </si>
  <si>
    <t>5970.58万</t>
  </si>
  <si>
    <t>1097.73万</t>
  </si>
  <si>
    <t>29.32万</t>
  </si>
  <si>
    <t>12.33亿</t>
  </si>
  <si>
    <t>8317.99万</t>
  </si>
  <si>
    <t>739.09万</t>
  </si>
  <si>
    <t>4393.84万</t>
  </si>
  <si>
    <t>-380.76万</t>
  </si>
  <si>
    <t>-266.91万</t>
  </si>
  <si>
    <t>718.97万</t>
  </si>
  <si>
    <t>5362.15万</t>
  </si>
  <si>
    <t>8-0</t>
  </si>
  <si>
    <t>134.96万</t>
  </si>
  <si>
    <t>51.56亿</t>
  </si>
  <si>
    <t>5747.70万</t>
  </si>
  <si>
    <t>5892.11万</t>
  </si>
  <si>
    <t>5803.44万</t>
  </si>
  <si>
    <t>2718.18万</t>
  </si>
  <si>
    <t>1.79万</t>
  </si>
  <si>
    <t>58.26亿</t>
  </si>
  <si>
    <t>2460.34万</t>
  </si>
  <si>
    <t>4681.76万</t>
  </si>
  <si>
    <t>2792.00万</t>
  </si>
  <si>
    <t>16.16亿</t>
  </si>
  <si>
    <t>6991.00万</t>
  </si>
  <si>
    <t>53.79亿</t>
  </si>
  <si>
    <t>-918.40万</t>
  </si>
  <si>
    <t>5478.11万</t>
  </si>
  <si>
    <t>714.10万</t>
  </si>
  <si>
    <t>-1951.16万</t>
  </si>
  <si>
    <t>442.48万</t>
  </si>
  <si>
    <t>4075.95万</t>
  </si>
  <si>
    <t>057477000</t>
  </si>
  <si>
    <t>0172431000</t>
  </si>
  <si>
    <t>0344862000</t>
  </si>
  <si>
    <t>0574770000</t>
  </si>
  <si>
    <t>01149540000</t>
  </si>
  <si>
    <t>89.03万</t>
  </si>
  <si>
    <t>6355.45万</t>
  </si>
  <si>
    <t>2086.89万</t>
  </si>
  <si>
    <t>8.24亿</t>
  </si>
  <si>
    <t>1278.08万</t>
  </si>
  <si>
    <t>4368.39万</t>
  </si>
  <si>
    <t>3963.51万</t>
  </si>
  <si>
    <t>7189.21万</t>
  </si>
  <si>
    <t>4129.66万</t>
  </si>
  <si>
    <t>-6399.86万</t>
  </si>
  <si>
    <t>5340.60万</t>
  </si>
  <si>
    <t>-2693.15万</t>
  </si>
  <si>
    <t>491.35万</t>
  </si>
  <si>
    <t>1419.69万</t>
  </si>
  <si>
    <t>179.62万</t>
  </si>
  <si>
    <t>61.84亿</t>
  </si>
  <si>
    <t>4073.50万</t>
  </si>
  <si>
    <t>9480.38万</t>
  </si>
  <si>
    <t>2008.02万</t>
  </si>
  <si>
    <t>1343.80万</t>
  </si>
  <si>
    <t>3957.80万</t>
  </si>
  <si>
    <t>525.73万</t>
  </si>
  <si>
    <t>3431.14万</t>
  </si>
  <si>
    <t>106.42万</t>
  </si>
  <si>
    <t>164.36亿</t>
  </si>
  <si>
    <t>-18.68亿</t>
  </si>
  <si>
    <t>2043.29万</t>
  </si>
  <si>
    <t>8765.80万</t>
  </si>
  <si>
    <t>1403.00万</t>
  </si>
  <si>
    <t>8256.52万</t>
  </si>
  <si>
    <t>996.75万</t>
  </si>
  <si>
    <t>8448.45万</t>
  </si>
  <si>
    <t>8190.36万</t>
  </si>
  <si>
    <t>955.75万</t>
  </si>
  <si>
    <t>37.35亿</t>
  </si>
  <si>
    <t>-3.52亿</t>
  </si>
  <si>
    <t>441.45万</t>
  </si>
  <si>
    <t>3712.48万</t>
  </si>
  <si>
    <t>715.07万</t>
  </si>
  <si>
    <t>43.21亿</t>
  </si>
  <si>
    <t>8115.37万</t>
  </si>
  <si>
    <t>3392.13万</t>
  </si>
  <si>
    <t>3538.73万</t>
  </si>
  <si>
    <t>23.98亿</t>
  </si>
  <si>
    <t>2393.42万</t>
  </si>
  <si>
    <t>3173.32万</t>
  </si>
  <si>
    <t>-84.12万</t>
  </si>
  <si>
    <t>1415.02万</t>
  </si>
  <si>
    <t>2971.20万</t>
  </si>
  <si>
    <t>689.40万</t>
  </si>
  <si>
    <t>-2537.88万</t>
  </si>
  <si>
    <t>9.04亿</t>
  </si>
  <si>
    <t>5743.35万</t>
  </si>
  <si>
    <t>37.22万</t>
  </si>
  <si>
    <t>17.32亿</t>
  </si>
  <si>
    <t>20.35亿</t>
  </si>
  <si>
    <t>-9083.68万</t>
  </si>
  <si>
    <t>9331.23万</t>
  </si>
  <si>
    <t>316.69万</t>
  </si>
  <si>
    <t>1891.90万</t>
  </si>
  <si>
    <t>9024.15万</t>
  </si>
  <si>
    <t>292.19万</t>
  </si>
  <si>
    <t>18.31亿</t>
  </si>
  <si>
    <t>3300.92万</t>
  </si>
  <si>
    <t>2838.69万</t>
  </si>
  <si>
    <t>2442.14万</t>
  </si>
  <si>
    <t>2760.10万</t>
  </si>
  <si>
    <t>3684.88万</t>
  </si>
  <si>
    <t>5697.51万</t>
  </si>
  <si>
    <t>917.79万</t>
  </si>
  <si>
    <t>-1468.07万</t>
  </si>
  <si>
    <t>-4023.33万</t>
  </si>
  <si>
    <t>5771.73万</t>
  </si>
  <si>
    <t>1300.76万</t>
  </si>
  <si>
    <t>9070.26万</t>
  </si>
  <si>
    <t>8-1</t>
  </si>
  <si>
    <t>76.84万</t>
  </si>
  <si>
    <t>15.55亿</t>
  </si>
  <si>
    <t>1696.57万</t>
  </si>
  <si>
    <t>1163.56万</t>
  </si>
  <si>
    <t>6320.50万</t>
  </si>
  <si>
    <t>504.63万</t>
  </si>
  <si>
    <t>4694.50万</t>
  </si>
  <si>
    <t>5844.41万</t>
  </si>
  <si>
    <t>-621.87万</t>
  </si>
  <si>
    <t>2959.72万</t>
  </si>
  <si>
    <t>4100.99万</t>
  </si>
  <si>
    <t>372.19万</t>
  </si>
  <si>
    <t>2660.80万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</si>
</sst>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9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5" fillId="0" borderId="0" xfId="0" applyFont="1" applyFill="1">
      <alignment vertical="center"/>
    </xf>
    <xf numFmtId="9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254000</xdr:colOff>
          <xdr:row>0</xdr:row>
          <xdr:rowOff>133350</xdr:rowOff>
        </xdr:from>
        <xdr:to>
          <xdr:col>147</xdr:col>
          <xdr:colOff>1695450</xdr:colOff>
          <xdr:row>0</xdr:row>
          <xdr:rowOff>444500</xdr:rowOff>
        </xdr:to>
        <xdr:sp macro="" textlink="">
          <xdr:nvSpPr>
            <xdr:cNvPr id="1026" name="Button 2" descr="更新基本面按钮&#10;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49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17" sqref="C17:C18"/>
    </sheetView>
  </sheetViews>
  <sheetFormatPr defaultRowHeight="14" x14ac:dyDescent="0.25"/>
  <cols>
    <col min="1" max="1" width="33.7265625" customWidth="1"/>
    <col min="2" max="2" width="34.453125" customWidth="1"/>
    <col min="3" max="3" width="39.7265625" customWidth="1"/>
    <col min="9" max="9" width="13.54296875" customWidth="1"/>
    <col min="148" max="148" width="28.26953125" customWidth="1"/>
  </cols>
  <sheetData>
    <row r="1" spans="1:146" ht="40" customHeight="1" x14ac:dyDescent="0.25">
      <c r="A1" s="3" t="s">
        <v>215</v>
      </c>
      <c r="B1" s="4" t="s">
        <v>216</v>
      </c>
      <c r="C1" s="3" t="s">
        <v>217</v>
      </c>
      <c r="D1" t="s">
        <v>95</v>
      </c>
      <c r="E1" t="s">
        <v>1356</v>
      </c>
      <c r="F1" t="s">
        <v>3</v>
      </c>
      <c r="G1" t="s">
        <v>1550</v>
      </c>
      <c r="H1" t="s">
        <v>1551</v>
      </c>
      <c r="I1" t="s">
        <v>96</v>
      </c>
      <c r="J1" t="s">
        <v>97</v>
      </c>
      <c r="K1" t="s">
        <v>4</v>
      </c>
      <c r="L1" t="s">
        <v>98</v>
      </c>
      <c r="M1" t="s">
        <v>218</v>
      </c>
      <c r="N1" t="s">
        <v>219</v>
      </c>
      <c r="O1" t="s">
        <v>220</v>
      </c>
      <c r="P1" t="s">
        <v>1552</v>
      </c>
      <c r="Q1" t="s">
        <v>1553</v>
      </c>
      <c r="R1" t="s">
        <v>1357</v>
      </c>
      <c r="S1" t="s">
        <v>221</v>
      </c>
      <c r="T1" t="s">
        <v>1554</v>
      </c>
      <c r="U1" t="s">
        <v>1174</v>
      </c>
      <c r="V1" t="s">
        <v>222</v>
      </c>
      <c r="W1" t="s">
        <v>1555</v>
      </c>
      <c r="X1" t="s">
        <v>1556</v>
      </c>
      <c r="Y1" t="s">
        <v>1557</v>
      </c>
      <c r="Z1" t="s">
        <v>1558</v>
      </c>
      <c r="AA1" t="s">
        <v>1559</v>
      </c>
      <c r="AB1" t="s">
        <v>1560</v>
      </c>
      <c r="AC1" t="s">
        <v>1561</v>
      </c>
      <c r="AD1" t="s">
        <v>1562</v>
      </c>
      <c r="AE1" t="s">
        <v>223</v>
      </c>
      <c r="AF1" t="s">
        <v>224</v>
      </c>
      <c r="AG1" t="s">
        <v>1563</v>
      </c>
      <c r="AH1" t="s">
        <v>1564</v>
      </c>
      <c r="AI1" t="s">
        <v>1565</v>
      </c>
      <c r="AJ1" t="s">
        <v>225</v>
      </c>
      <c r="AK1" t="s">
        <v>1566</v>
      </c>
      <c r="AL1" t="s">
        <v>516</v>
      </c>
      <c r="AM1" t="s">
        <v>1567</v>
      </c>
      <c r="AN1" t="s">
        <v>1568</v>
      </c>
      <c r="AO1" t="s">
        <v>1569</v>
      </c>
      <c r="AP1" t="s">
        <v>1570</v>
      </c>
      <c r="AQ1" t="s">
        <v>1571</v>
      </c>
      <c r="AR1" t="s">
        <v>1572</v>
      </c>
      <c r="AS1" t="s">
        <v>1573</v>
      </c>
      <c r="AT1" t="s">
        <v>1574</v>
      </c>
      <c r="AU1" t="s">
        <v>1575</v>
      </c>
      <c r="AV1" t="s">
        <v>1576</v>
      </c>
      <c r="AW1" t="s">
        <v>1577</v>
      </c>
      <c r="AX1" t="s">
        <v>1578</v>
      </c>
      <c r="AY1" t="s">
        <v>1579</v>
      </c>
      <c r="AZ1" t="s">
        <v>517</v>
      </c>
      <c r="BA1" t="s">
        <v>518</v>
      </c>
      <c r="BB1" t="s">
        <v>1177</v>
      </c>
      <c r="BC1" t="s">
        <v>1580</v>
      </c>
      <c r="BD1" t="s">
        <v>1178</v>
      </c>
      <c r="BE1" t="s">
        <v>519</v>
      </c>
      <c r="BF1" t="s">
        <v>520</v>
      </c>
      <c r="BG1" t="s">
        <v>521</v>
      </c>
      <c r="BH1" t="s">
        <v>1581</v>
      </c>
      <c r="BI1" t="s">
        <v>1582</v>
      </c>
      <c r="BJ1" t="s">
        <v>1583</v>
      </c>
      <c r="BK1" t="s">
        <v>1584</v>
      </c>
      <c r="BL1" t="s">
        <v>1585</v>
      </c>
      <c r="BM1" t="s">
        <v>1586</v>
      </c>
      <c r="BN1" t="s">
        <v>1587</v>
      </c>
      <c r="BO1" t="s">
        <v>1358</v>
      </c>
      <c r="BP1" t="s">
        <v>1175</v>
      </c>
      <c r="BQ1" t="s">
        <v>1588</v>
      </c>
      <c r="BR1" t="s">
        <v>1359</v>
      </c>
      <c r="BS1" t="s">
        <v>1176</v>
      </c>
      <c r="BT1" t="s">
        <v>1589</v>
      </c>
      <c r="BU1" t="s">
        <v>1387</v>
      </c>
      <c r="BV1" t="s">
        <v>1590</v>
      </c>
      <c r="BW1" t="s">
        <v>1591</v>
      </c>
      <c r="BX1" t="s">
        <v>1062</v>
      </c>
      <c r="BY1" t="s">
        <v>1592</v>
      </c>
      <c r="BZ1" t="s">
        <v>1593</v>
      </c>
      <c r="CA1" t="s">
        <v>1063</v>
      </c>
      <c r="CB1" t="s">
        <v>1594</v>
      </c>
      <c r="CC1" t="s">
        <v>1595</v>
      </c>
      <c r="CD1" t="s">
        <v>1596</v>
      </c>
      <c r="CE1" t="s">
        <v>1597</v>
      </c>
      <c r="CF1" s="1" t="s">
        <v>1047</v>
      </c>
      <c r="CG1" s="1" t="s">
        <v>1048</v>
      </c>
      <c r="CH1" s="1" t="s">
        <v>1049</v>
      </c>
      <c r="CI1" s="1" t="s">
        <v>1050</v>
      </c>
      <c r="CJ1" s="1" t="s">
        <v>1051</v>
      </c>
      <c r="CK1" s="1" t="s">
        <v>1052</v>
      </c>
      <c r="CL1" s="1" t="s">
        <v>1053</v>
      </c>
      <c r="CM1" s="1" t="s">
        <v>1054</v>
      </c>
      <c r="CN1" s="1" t="s">
        <v>1055</v>
      </c>
      <c r="CO1" s="1" t="s">
        <v>1056</v>
      </c>
      <c r="CP1" s="1" t="s">
        <v>1057</v>
      </c>
      <c r="CQ1" s="1" t="s">
        <v>1058</v>
      </c>
      <c r="CR1" s="1" t="s">
        <v>1598</v>
      </c>
      <c r="CS1" s="1" t="s">
        <v>1599</v>
      </c>
      <c r="CT1" s="1" t="s">
        <v>1500</v>
      </c>
      <c r="CU1" s="1" t="s">
        <v>1501</v>
      </c>
      <c r="CV1" s="1" t="s">
        <v>1502</v>
      </c>
      <c r="CW1" s="1" t="s">
        <v>1503</v>
      </c>
      <c r="CX1">
        <v>1</v>
      </c>
      <c r="CY1" t="s">
        <v>1504</v>
      </c>
      <c r="CZ1" t="s">
        <v>1505</v>
      </c>
      <c r="DA1">
        <v>3</v>
      </c>
      <c r="DB1" t="s">
        <v>1389</v>
      </c>
      <c r="DC1" t="s">
        <v>1506</v>
      </c>
      <c r="DD1">
        <v>6</v>
      </c>
      <c r="DE1" t="s">
        <v>1390</v>
      </c>
      <c r="DF1" t="s">
        <v>1391</v>
      </c>
      <c r="DG1">
        <v>10</v>
      </c>
      <c r="DH1" t="s">
        <v>1392</v>
      </c>
      <c r="DI1" t="s">
        <v>1393</v>
      </c>
      <c r="DJ1">
        <v>20</v>
      </c>
      <c r="DK1" t="s">
        <v>1394</v>
      </c>
      <c r="DL1" t="s">
        <v>1059</v>
      </c>
      <c r="DM1" t="s">
        <v>1060</v>
      </c>
      <c r="DN1" s="2" t="s">
        <v>1061</v>
      </c>
      <c r="DO1" t="s">
        <v>1395</v>
      </c>
      <c r="DP1" t="s">
        <v>1507</v>
      </c>
      <c r="DQ1" s="13" t="s">
        <v>1396</v>
      </c>
      <c r="DR1" s="1" t="s">
        <v>1397</v>
      </c>
      <c r="DS1" s="1" t="s">
        <v>1508</v>
      </c>
      <c r="DT1" t="s">
        <v>1509</v>
      </c>
      <c r="DU1" t="s">
        <v>1510</v>
      </c>
      <c r="DV1" t="s">
        <v>1511</v>
      </c>
      <c r="DW1" t="s">
        <v>1398</v>
      </c>
      <c r="DX1" t="s">
        <v>1512</v>
      </c>
      <c r="DY1" t="s">
        <v>1399</v>
      </c>
      <c r="DZ1" t="s">
        <v>1513</v>
      </c>
      <c r="EA1" t="s">
        <v>1514</v>
      </c>
      <c r="EB1" t="s">
        <v>1515</v>
      </c>
      <c r="EC1" t="s">
        <v>1400</v>
      </c>
      <c r="ED1" t="s">
        <v>1516</v>
      </c>
      <c r="EE1" t="s">
        <v>1517</v>
      </c>
      <c r="EF1" t="s">
        <v>1518</v>
      </c>
      <c r="EG1" t="s">
        <v>1519</v>
      </c>
      <c r="EH1" t="s">
        <v>1520</v>
      </c>
      <c r="EI1" t="s">
        <v>1521</v>
      </c>
      <c r="EK1" s="11" t="s">
        <v>1522</v>
      </c>
      <c r="EL1" t="s">
        <v>1401</v>
      </c>
      <c r="EM1" t="s">
        <v>1402</v>
      </c>
      <c r="EN1" t="s">
        <v>1523</v>
      </c>
      <c r="EO1" t="s">
        <v>1403</v>
      </c>
      <c r="EP1" t="s">
        <v>1524</v>
      </c>
    </row>
    <row r="2" spans="1:146" ht="108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市值25.101183亿, 利润1.59亿; PE15.66; 平均PE22.09; 平均PEG3.03, PB1.29; ROIC6.3667%; ROE8.0767%; 股利率2.7778%; 毛利28.0167%; 净利3.5267%; 上一年度营收增6.77%, 利润增3.25%; 当季营收增-7.05%, 利润增2.14%; 过往5年营收增7.28%, 利润增21.61%
Income profile:
</v>
      </c>
      <c r="D2" t="s">
        <v>162</v>
      </c>
      <c r="E2" t="s">
        <v>27</v>
      </c>
      <c r="F2">
        <v>5.4</v>
      </c>
      <c r="G2">
        <v>3.25</v>
      </c>
      <c r="H2" t="s">
        <v>3036</v>
      </c>
      <c r="I2">
        <v>2510118300</v>
      </c>
      <c r="J2">
        <v>15.66</v>
      </c>
      <c r="K2">
        <v>1.29</v>
      </c>
      <c r="L2" t="s">
        <v>100</v>
      </c>
      <c r="M2" t="s">
        <v>490</v>
      </c>
      <c r="N2" t="s">
        <v>3037</v>
      </c>
      <c r="O2" t="s">
        <v>1976</v>
      </c>
      <c r="P2">
        <v>-7.08</v>
      </c>
      <c r="Q2" t="s">
        <v>1998</v>
      </c>
      <c r="R2">
        <v>47010852</v>
      </c>
      <c r="S2" s="5">
        <v>2.1399999999999999E-2</v>
      </c>
      <c r="T2" t="s">
        <v>773</v>
      </c>
      <c r="U2">
        <v>446813820</v>
      </c>
      <c r="V2">
        <v>464836720</v>
      </c>
      <c r="W2">
        <v>2.39</v>
      </c>
      <c r="X2">
        <v>0.25</v>
      </c>
      <c r="Y2">
        <v>4.1399999999999997</v>
      </c>
      <c r="Z2" t="s">
        <v>704</v>
      </c>
      <c r="AA2" t="s">
        <v>3038</v>
      </c>
      <c r="AB2" t="s">
        <v>613</v>
      </c>
      <c r="AC2" t="s">
        <v>3039</v>
      </c>
      <c r="AD2" t="s">
        <v>81</v>
      </c>
      <c r="AE2">
        <v>6577198</v>
      </c>
      <c r="AF2" t="s">
        <v>236</v>
      </c>
      <c r="AG2" t="s">
        <v>3040</v>
      </c>
      <c r="AH2" t="s">
        <v>1999</v>
      </c>
      <c r="AI2" t="s">
        <v>1372</v>
      </c>
      <c r="AJ2" t="s">
        <v>2000</v>
      </c>
      <c r="AK2" t="s">
        <v>81</v>
      </c>
      <c r="AL2" t="s">
        <v>2001</v>
      </c>
      <c r="AM2" t="s">
        <v>81</v>
      </c>
      <c r="AN2" t="s">
        <v>563</v>
      </c>
      <c r="AO2" t="s">
        <v>1978</v>
      </c>
      <c r="AP2" t="s">
        <v>620</v>
      </c>
      <c r="AQ2" t="s">
        <v>1700</v>
      </c>
      <c r="AR2" t="s">
        <v>3041</v>
      </c>
      <c r="AS2" t="s">
        <v>3042</v>
      </c>
      <c r="AT2" t="s">
        <v>304</v>
      </c>
      <c r="AU2" t="s">
        <v>3043</v>
      </c>
      <c r="AV2" t="s">
        <v>363</v>
      </c>
      <c r="AW2" t="s">
        <v>3044</v>
      </c>
      <c r="AX2" t="s">
        <v>1600</v>
      </c>
      <c r="AY2" t="s">
        <v>1602</v>
      </c>
      <c r="AZ2" t="s">
        <v>522</v>
      </c>
      <c r="BA2" t="s">
        <v>527</v>
      </c>
      <c r="BB2" t="s">
        <v>528</v>
      </c>
      <c r="BC2" t="s">
        <v>247</v>
      </c>
      <c r="BD2" t="s">
        <v>374</v>
      </c>
      <c r="BE2" t="s">
        <v>364</v>
      </c>
      <c r="BF2" t="s">
        <v>530</v>
      </c>
      <c r="BG2" t="s">
        <v>531</v>
      </c>
      <c r="BH2" t="s">
        <v>1998</v>
      </c>
      <c r="BI2" t="s">
        <v>1813</v>
      </c>
      <c r="BJ2" t="s">
        <v>1600</v>
      </c>
      <c r="BK2" t="s">
        <v>773</v>
      </c>
      <c r="BL2" t="s">
        <v>1814</v>
      </c>
      <c r="BM2" t="s">
        <v>247</v>
      </c>
      <c r="BN2">
        <v>6.11</v>
      </c>
      <c r="BO2">
        <v>6.94</v>
      </c>
      <c r="BP2">
        <v>6.05</v>
      </c>
      <c r="BQ2">
        <v>7.9</v>
      </c>
      <c r="BR2">
        <v>8.5399999999999991</v>
      </c>
      <c r="BS2">
        <v>7.79</v>
      </c>
      <c r="BT2" t="s">
        <v>2003</v>
      </c>
      <c r="BU2" t="s">
        <v>1354</v>
      </c>
      <c r="BV2">
        <v>25.71</v>
      </c>
      <c r="BW2">
        <v>28.23</v>
      </c>
      <c r="BX2">
        <v>30.11</v>
      </c>
      <c r="BY2">
        <v>3.68</v>
      </c>
      <c r="BZ2">
        <v>3.77</v>
      </c>
      <c r="CA2">
        <v>3.13</v>
      </c>
      <c r="CB2">
        <v>0.37</v>
      </c>
      <c r="CC2">
        <v>-11.27</v>
      </c>
      <c r="CD2" t="s">
        <v>3045</v>
      </c>
      <c r="CE2" t="s">
        <v>674</v>
      </c>
      <c r="CF2" s="7">
        <v>-7.0480928689883912E-2</v>
      </c>
      <c r="CG2" s="8">
        <v>2.143323975977976E-2</v>
      </c>
      <c r="CH2" s="7">
        <v>6.7682333290576935E-2</v>
      </c>
      <c r="CI2" s="7">
        <v>9.6385538578033447E-2</v>
      </c>
      <c r="CJ2" s="7">
        <v>9.9668793380260468E-2</v>
      </c>
      <c r="CK2" s="7">
        <v>2.563304640352726E-2</v>
      </c>
      <c r="CL2" s="7">
        <v>7.4676468968391418E-2</v>
      </c>
      <c r="CM2" s="8">
        <v>3.2467532902956009E-2</v>
      </c>
      <c r="CN2" s="8">
        <v>0.25203251838684082</v>
      </c>
      <c r="CO2" s="8">
        <v>0.18269230425357819</v>
      </c>
      <c r="CP2" s="8">
        <v>0.28520408272743225</v>
      </c>
      <c r="CQ2" s="8">
        <v>0.32817628979682922</v>
      </c>
      <c r="CR2">
        <v>22.088094491524057</v>
      </c>
      <c r="CS2">
        <v>3.0336940294028558</v>
      </c>
      <c r="CT2">
        <v>2.7777777777777777</v>
      </c>
      <c r="CU2" s="7">
        <v>7.2809236124157906E-2</v>
      </c>
      <c r="CV2" s="8">
        <v>0.2161145456135273</v>
      </c>
      <c r="CW2">
        <v>0.06</v>
      </c>
      <c r="CX2">
        <v>18.711734877044616</v>
      </c>
      <c r="CY2">
        <v>160921385.41862369</v>
      </c>
      <c r="CZ2">
        <v>7.2809236124157906E-2</v>
      </c>
      <c r="DA2">
        <v>6.204658721833999</v>
      </c>
      <c r="DB2">
        <v>485299584.55313092</v>
      </c>
      <c r="DC2">
        <v>6.9168774317950002E-2</v>
      </c>
      <c r="DD2">
        <v>3.1141671893655172</v>
      </c>
      <c r="DE2">
        <v>966909647.71659791</v>
      </c>
      <c r="DF2">
        <v>6.4072127789258956E-2</v>
      </c>
      <c r="DG2">
        <v>1.9110780164315537</v>
      </c>
      <c r="DH2">
        <v>1575612441.8313849</v>
      </c>
      <c r="DI2">
        <v>5.8247388899326326E-2</v>
      </c>
      <c r="DJ2">
        <v>1.0346667896089452</v>
      </c>
      <c r="DK2">
        <v>2910229969.9191656</v>
      </c>
      <c r="DL2">
        <v>5.0966465286910533E-2</v>
      </c>
      <c r="DM2">
        <v>159000000</v>
      </c>
      <c r="DN2">
        <v>7.2809236124157906E-2</v>
      </c>
      <c r="DO2">
        <v>3011118300</v>
      </c>
      <c r="DP2">
        <v>-128658600</v>
      </c>
      <c r="DQ2">
        <v>58</v>
      </c>
      <c r="DR2">
        <v>-0.14329016481404183</v>
      </c>
      <c r="DS2">
        <v>-0.19468130585374754</v>
      </c>
      <c r="DT2" s="9">
        <v>-0.44</v>
      </c>
      <c r="DU2">
        <v>0.49999999999999994</v>
      </c>
      <c r="DV2">
        <v>5.9999999999999942E-2</v>
      </c>
      <c r="DW2">
        <v>-2.1126999999999998</v>
      </c>
      <c r="DX2">
        <v>0.43662947976878724</v>
      </c>
      <c r="DY2">
        <v>-2.0165251423699422</v>
      </c>
      <c r="DZ2">
        <v>1573</v>
      </c>
      <c r="EA2">
        <v>-2.0114382443370813</v>
      </c>
      <c r="EB2">
        <v>2</v>
      </c>
      <c r="EC2">
        <v>5.4571635390594786E-2</v>
      </c>
      <c r="ED2">
        <v>0.37217369574417442</v>
      </c>
      <c r="EE2" s="10">
        <v>-2.0571999999999999</v>
      </c>
      <c r="EF2">
        <v>-2.0316999999999998</v>
      </c>
      <c r="EG2">
        <v>29.146629479768787</v>
      </c>
      <c r="EH2" t="s">
        <v>1370</v>
      </c>
      <c r="EI2">
        <v>0</v>
      </c>
      <c r="EJ2">
        <v>0</v>
      </c>
      <c r="EK2" s="11">
        <v>45470</v>
      </c>
      <c r="EL2" s="12">
        <v>0.55000000000000004</v>
      </c>
      <c r="EM2" s="12">
        <v>-4.59</v>
      </c>
      <c r="EN2" s="12">
        <v>1.92</v>
      </c>
      <c r="EO2" s="12">
        <v>3.77</v>
      </c>
      <c r="EP2" s="12">
        <v>-2.5499999999999998</v>
      </c>
    </row>
    <row r="3" spans="1:146" ht="108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市值348.39101亿, 利润19.54亿; PE17.6; 平均PE21.46; 平均PEG3, PB2.39; ROIC9.7867%; ROE13.3367%; 股利率3.5895%; 毛利64.5033%; 净利15.6433%; 上一年度营收增-1.58%, 利润增2.36%; 当季营收增-4.98%, 利润增4.44%; 过往5年营收增7.16%, 利润增13.09%
Income profile:
</v>
      </c>
      <c r="D3" t="s">
        <v>159</v>
      </c>
      <c r="E3" t="s">
        <v>41</v>
      </c>
      <c r="F3">
        <v>37.61</v>
      </c>
      <c r="G3">
        <v>3.9</v>
      </c>
      <c r="H3" t="s">
        <v>3046</v>
      </c>
      <c r="I3">
        <v>34839101000</v>
      </c>
      <c r="J3">
        <v>17.600000000000001</v>
      </c>
      <c r="K3">
        <v>2.39</v>
      </c>
      <c r="L3" t="s">
        <v>100</v>
      </c>
      <c r="M3" t="s">
        <v>2004</v>
      </c>
      <c r="N3" t="s">
        <v>3047</v>
      </c>
      <c r="O3" t="s">
        <v>2005</v>
      </c>
      <c r="P3">
        <v>-4.99</v>
      </c>
      <c r="Q3" t="s">
        <v>2006</v>
      </c>
      <c r="R3">
        <v>607823810</v>
      </c>
      <c r="S3" s="5">
        <v>4.4499999999999998E-2</v>
      </c>
      <c r="T3" t="s">
        <v>2007</v>
      </c>
      <c r="U3">
        <v>599362330</v>
      </c>
      <c r="V3">
        <v>926325480</v>
      </c>
      <c r="W3">
        <v>1.63</v>
      </c>
      <c r="X3">
        <v>0.13</v>
      </c>
      <c r="Y3">
        <v>22.08</v>
      </c>
      <c r="Z3" t="s">
        <v>3048</v>
      </c>
      <c r="AA3" t="s">
        <v>3049</v>
      </c>
      <c r="AB3" t="s">
        <v>3050</v>
      </c>
      <c r="AC3" t="s">
        <v>474</v>
      </c>
      <c r="AD3" t="s">
        <v>81</v>
      </c>
      <c r="AE3">
        <v>-54508308</v>
      </c>
      <c r="AF3" t="s">
        <v>2008</v>
      </c>
      <c r="AG3" t="s">
        <v>3051</v>
      </c>
      <c r="AH3" t="s">
        <v>2009</v>
      </c>
      <c r="AI3" t="s">
        <v>3052</v>
      </c>
      <c r="AJ3" t="s">
        <v>2010</v>
      </c>
      <c r="AK3" t="s">
        <v>3053</v>
      </c>
      <c r="AL3" t="s">
        <v>2011</v>
      </c>
      <c r="AM3" t="s">
        <v>81</v>
      </c>
      <c r="AN3" t="s">
        <v>697</v>
      </c>
      <c r="AO3" t="s">
        <v>778</v>
      </c>
      <c r="AP3" t="s">
        <v>3054</v>
      </c>
      <c r="AQ3" t="s">
        <v>502</v>
      </c>
      <c r="AR3" t="s">
        <v>81</v>
      </c>
      <c r="AS3" t="s">
        <v>3055</v>
      </c>
      <c r="AT3" t="s">
        <v>877</v>
      </c>
      <c r="AU3" t="s">
        <v>889</v>
      </c>
      <c r="AV3" t="s">
        <v>2964</v>
      </c>
      <c r="AW3" t="s">
        <v>3056</v>
      </c>
      <c r="AX3" t="s">
        <v>1603</v>
      </c>
      <c r="AY3" t="s">
        <v>1179</v>
      </c>
      <c r="AZ3" t="s">
        <v>532</v>
      </c>
      <c r="BA3" t="s">
        <v>537</v>
      </c>
      <c r="BB3" t="s">
        <v>538</v>
      </c>
      <c r="BC3" t="s">
        <v>1604</v>
      </c>
      <c r="BD3" t="s">
        <v>1180</v>
      </c>
      <c r="BE3" t="s">
        <v>533</v>
      </c>
      <c r="BF3" t="s">
        <v>539</v>
      </c>
      <c r="BG3" t="s">
        <v>540</v>
      </c>
      <c r="BH3" t="s">
        <v>2006</v>
      </c>
      <c r="BI3" t="s">
        <v>1817</v>
      </c>
      <c r="BJ3" t="s">
        <v>1603</v>
      </c>
      <c r="BK3" t="s">
        <v>2007</v>
      </c>
      <c r="BL3" t="s">
        <v>250</v>
      </c>
      <c r="BM3" t="s">
        <v>1604</v>
      </c>
      <c r="BN3">
        <v>7.81</v>
      </c>
      <c r="BO3">
        <v>9.98</v>
      </c>
      <c r="BP3">
        <v>11.57</v>
      </c>
      <c r="BQ3">
        <v>11.38</v>
      </c>
      <c r="BR3">
        <v>14.31</v>
      </c>
      <c r="BS3">
        <v>14.32</v>
      </c>
      <c r="BT3" t="s">
        <v>2013</v>
      </c>
      <c r="BU3" t="s">
        <v>1354</v>
      </c>
      <c r="BV3">
        <v>64.08</v>
      </c>
      <c r="BW3">
        <v>64.680000000000007</v>
      </c>
      <c r="BX3">
        <v>64.75</v>
      </c>
      <c r="BY3">
        <v>15.27</v>
      </c>
      <c r="BZ3">
        <v>15.48</v>
      </c>
      <c r="CA3">
        <v>16.18</v>
      </c>
      <c r="CB3">
        <v>1.07</v>
      </c>
      <c r="CC3">
        <v>-1.49</v>
      </c>
      <c r="CD3" t="s">
        <v>3057</v>
      </c>
      <c r="CE3" t="s">
        <v>265</v>
      </c>
      <c r="CF3" s="7">
        <v>-4.9809551714034707E-2</v>
      </c>
      <c r="CG3" s="8">
        <v>4.4370807560137455E-2</v>
      </c>
      <c r="CH3" s="7">
        <v>-1.5835272148251534E-2</v>
      </c>
      <c r="CI3" s="7">
        <v>4.6916414052248001E-2</v>
      </c>
      <c r="CJ3" s="7">
        <v>0.1467680037021637</v>
      </c>
      <c r="CK3" s="7">
        <v>0.12093772739171982</v>
      </c>
      <c r="CL3" s="7">
        <v>5.9135567396879196E-2</v>
      </c>
      <c r="CM3" s="8">
        <v>2.3572584614157677E-2</v>
      </c>
      <c r="CN3" s="8">
        <v>7.488735020160675E-2</v>
      </c>
      <c r="CO3" s="8">
        <v>3.5568550229072571E-2</v>
      </c>
      <c r="CP3" s="8">
        <v>0.31619328260421753</v>
      </c>
      <c r="CQ3" s="8">
        <v>0.20425143837928772</v>
      </c>
      <c r="CR3">
        <v>21.463662182975664</v>
      </c>
      <c r="CS3">
        <v>2.9983677691880679</v>
      </c>
      <c r="CT3">
        <v>3.5894708854028186</v>
      </c>
      <c r="CU3" s="7">
        <v>7.1584488078951833E-2</v>
      </c>
      <c r="CV3" s="8">
        <v>0.13089464120566846</v>
      </c>
      <c r="CW3">
        <v>0.06</v>
      </c>
      <c r="CX3">
        <v>15.023681303134264</v>
      </c>
      <c r="CY3">
        <v>1975354801.6096904</v>
      </c>
      <c r="CZ3">
        <v>7.1584488078951833E-2</v>
      </c>
      <c r="DA3">
        <v>4.9869201024013545</v>
      </c>
      <c r="DB3">
        <v>5950987862.3701162</v>
      </c>
      <c r="DC3">
        <v>6.8005263675004243E-2</v>
      </c>
      <c r="DD3">
        <v>2.5064140001550697</v>
      </c>
      <c r="DE3">
        <v>11840462508.65336</v>
      </c>
      <c r="DF3">
        <v>6.2994349509477618E-2</v>
      </c>
      <c r="DG3">
        <v>1.5404591365437903</v>
      </c>
      <c r="DH3">
        <v>19265101096.147366</v>
      </c>
      <c r="DI3">
        <v>5.7267590463161468E-2</v>
      </c>
      <c r="DJ3">
        <v>0.83672457136626943</v>
      </c>
      <c r="DK3">
        <v>35468183934.817291</v>
      </c>
      <c r="DL3">
        <v>5.0109141655266282E-2</v>
      </c>
      <c r="DM3">
        <v>1954000000</v>
      </c>
      <c r="DN3">
        <v>7.1584488078951833E-2</v>
      </c>
      <c r="DO3">
        <v>29677101000</v>
      </c>
      <c r="DP3">
        <v>8848220000</v>
      </c>
      <c r="DQ3">
        <v>101</v>
      </c>
      <c r="DR3">
        <v>-0.12139403979298655</v>
      </c>
      <c r="DS3">
        <v>-8.6523833645531012E-2</v>
      </c>
      <c r="DT3" s="9">
        <v>-0.44</v>
      </c>
      <c r="DU3">
        <v>0.21666666666666665</v>
      </c>
      <c r="DV3">
        <v>-0.22333333333333336</v>
      </c>
      <c r="DW3">
        <v>-1.49E-2</v>
      </c>
      <c r="DX3">
        <v>0.50812890624999718</v>
      </c>
      <c r="DY3">
        <v>-2.5051207031249996E-3</v>
      </c>
      <c r="DZ3">
        <v>2254</v>
      </c>
      <c r="EA3">
        <v>-1.4001222559931505E-3</v>
      </c>
      <c r="EB3">
        <v>0</v>
      </c>
      <c r="EC3">
        <v>2.3232114914943286E-2</v>
      </c>
      <c r="ED3">
        <v>0.13818037262669272</v>
      </c>
      <c r="EE3" s="10">
        <v>-1.0664</v>
      </c>
      <c r="EF3">
        <v>-1.0566</v>
      </c>
      <c r="EG3">
        <v>34.168128906249997</v>
      </c>
      <c r="EH3" t="s">
        <v>1355</v>
      </c>
      <c r="EI3">
        <v>0</v>
      </c>
      <c r="EJ3">
        <v>0</v>
      </c>
      <c r="EK3" s="11">
        <v>45470</v>
      </c>
      <c r="EL3" s="12">
        <v>0.05</v>
      </c>
      <c r="EM3" s="12">
        <v>-0.57999999999999996</v>
      </c>
      <c r="EN3" s="12">
        <v>0.03</v>
      </c>
      <c r="EO3" s="12">
        <v>-0.37</v>
      </c>
      <c r="EP3" s="12">
        <v>-0.98</v>
      </c>
    </row>
    <row r="4" spans="1:146" ht="108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市值40.218319亿, 利润-1.06亿; PE; 平均PE-10.63; 平均PEG-1.11, PB1.97; ROIC0%; ROE-17.9267%; 股利率0%; 毛利40.7%; 净利-28.87%; 上一年度营收增-16.86%, 利润增-1108.87%; 当季营收增-26.67%, 利润增-439.26%; 过往5年营收增-9.6%, 利润增-334.72%
Income profile:
</v>
      </c>
      <c r="D4" t="s">
        <v>99</v>
      </c>
      <c r="E4" t="s">
        <v>51</v>
      </c>
      <c r="F4">
        <v>3.1</v>
      </c>
      <c r="G4">
        <v>3.68</v>
      </c>
      <c r="H4" t="s">
        <v>3058</v>
      </c>
      <c r="I4">
        <v>4021831900</v>
      </c>
      <c r="K4">
        <v>1.97</v>
      </c>
      <c r="L4" t="s">
        <v>100</v>
      </c>
      <c r="M4" t="s">
        <v>2014</v>
      </c>
      <c r="N4" t="s">
        <v>3059</v>
      </c>
      <c r="O4" t="s">
        <v>1995</v>
      </c>
      <c r="P4">
        <v>-26.67</v>
      </c>
      <c r="Q4" t="s">
        <v>1875</v>
      </c>
      <c r="R4">
        <v>-15842321</v>
      </c>
      <c r="S4" s="5">
        <v>-4.3929999999999998</v>
      </c>
      <c r="T4" t="s">
        <v>2015</v>
      </c>
      <c r="U4">
        <v>1165909730</v>
      </c>
      <c r="V4">
        <v>1297365130</v>
      </c>
      <c r="W4">
        <v>3.44</v>
      </c>
      <c r="X4">
        <v>0.05</v>
      </c>
      <c r="Y4">
        <v>-6.74</v>
      </c>
      <c r="Z4" t="s">
        <v>1935</v>
      </c>
      <c r="AA4" t="s">
        <v>286</v>
      </c>
      <c r="AB4" t="s">
        <v>3060</v>
      </c>
      <c r="AC4" t="s">
        <v>3061</v>
      </c>
      <c r="AD4" t="s">
        <v>81</v>
      </c>
      <c r="AE4">
        <v>32599052</v>
      </c>
      <c r="AF4" t="s">
        <v>2016</v>
      </c>
      <c r="AG4" t="s">
        <v>3062</v>
      </c>
      <c r="AH4" t="s">
        <v>2017</v>
      </c>
      <c r="AI4" t="s">
        <v>385</v>
      </c>
      <c r="AJ4" t="s">
        <v>2018</v>
      </c>
      <c r="AK4" t="s">
        <v>3063</v>
      </c>
      <c r="AL4" t="s">
        <v>2019</v>
      </c>
      <c r="AM4" t="s">
        <v>81</v>
      </c>
      <c r="AN4" t="s">
        <v>3064</v>
      </c>
      <c r="AO4" t="s">
        <v>3065</v>
      </c>
      <c r="AP4" t="s">
        <v>3066</v>
      </c>
      <c r="AQ4" t="s">
        <v>1660</v>
      </c>
      <c r="AR4" t="s">
        <v>3067</v>
      </c>
      <c r="AS4" t="s">
        <v>3068</v>
      </c>
      <c r="AT4" t="s">
        <v>282</v>
      </c>
      <c r="AU4" t="s">
        <v>3069</v>
      </c>
      <c r="AV4" t="s">
        <v>3070</v>
      </c>
      <c r="AW4" t="s">
        <v>3071</v>
      </c>
      <c r="AX4" t="s">
        <v>1472</v>
      </c>
      <c r="AY4" t="s">
        <v>1181</v>
      </c>
      <c r="AZ4" t="s">
        <v>542</v>
      </c>
      <c r="BA4" t="s">
        <v>547</v>
      </c>
      <c r="BB4" t="s">
        <v>490</v>
      </c>
      <c r="BC4" t="s">
        <v>2021</v>
      </c>
      <c r="BD4" t="s">
        <v>1182</v>
      </c>
      <c r="BE4" t="s">
        <v>543</v>
      </c>
      <c r="BF4" t="s">
        <v>548</v>
      </c>
      <c r="BG4" t="s">
        <v>298</v>
      </c>
      <c r="BH4" t="s">
        <v>1875</v>
      </c>
      <c r="BI4" t="s">
        <v>234</v>
      </c>
      <c r="BJ4" t="s">
        <v>1472</v>
      </c>
      <c r="BK4" t="s">
        <v>2015</v>
      </c>
      <c r="BL4" t="s">
        <v>1819</v>
      </c>
      <c r="BM4" t="s">
        <v>2021</v>
      </c>
      <c r="BN4" t="s">
        <v>81</v>
      </c>
      <c r="BO4" t="s">
        <v>81</v>
      </c>
      <c r="BP4" t="s">
        <v>81</v>
      </c>
      <c r="BQ4">
        <v>-1.1399999999999999</v>
      </c>
      <c r="BR4">
        <v>0.49</v>
      </c>
      <c r="BS4">
        <v>-53.13</v>
      </c>
      <c r="BT4" t="s">
        <v>1526</v>
      </c>
      <c r="BU4" t="s">
        <v>1354</v>
      </c>
      <c r="BV4">
        <v>38.56</v>
      </c>
      <c r="BW4">
        <v>43.18</v>
      </c>
      <c r="BX4">
        <v>40.36</v>
      </c>
      <c r="BY4">
        <v>-9.15</v>
      </c>
      <c r="BZ4">
        <v>0.13</v>
      </c>
      <c r="CA4">
        <v>-77.59</v>
      </c>
      <c r="CB4">
        <v>6.16</v>
      </c>
      <c r="CC4">
        <v>-9.6199999999999992</v>
      </c>
      <c r="CD4" t="s">
        <v>3072</v>
      </c>
      <c r="CE4" t="s">
        <v>438</v>
      </c>
      <c r="CF4" s="7">
        <v>-0.26666666666666666</v>
      </c>
      <c r="CG4" s="8">
        <v>-4.392577895796304</v>
      </c>
      <c r="CH4" s="7">
        <v>-0.16863405704498291</v>
      </c>
      <c r="CI4" s="7">
        <v>-0.13598833978176117</v>
      </c>
      <c r="CJ4" s="7">
        <v>-6.4090877771377563E-2</v>
      </c>
      <c r="CK4" s="7">
        <v>-0.1002044752240181</v>
      </c>
      <c r="CL4" s="7">
        <v>-1.0922355577349663E-2</v>
      </c>
      <c r="CM4" s="8">
        <v>-11.088704109191895</v>
      </c>
      <c r="CN4" s="8">
        <v>1.0067567825317383</v>
      </c>
      <c r="CO4" s="8">
        <v>-1.6810345649719238</v>
      </c>
      <c r="CP4" s="8">
        <v>-2.6477987766265869</v>
      </c>
      <c r="CQ4" s="8">
        <v>-2.3250000476837158</v>
      </c>
      <c r="CR4">
        <v>-10.632766557749544</v>
      </c>
      <c r="CS4">
        <v>-1.1079489227872343</v>
      </c>
      <c r="CT4">
        <v>0</v>
      </c>
      <c r="CU4" s="7">
        <v>-9.5968021079897881E-2</v>
      </c>
      <c r="CV4" s="8">
        <v>-3.3471561431884767</v>
      </c>
      <c r="CW4">
        <v>0.06</v>
      </c>
      <c r="CX4" t="e">
        <v>#VALUE!</v>
      </c>
      <c r="CY4" t="s">
        <v>1361</v>
      </c>
      <c r="CZ4">
        <v>-9.5968021079897881E-2</v>
      </c>
      <c r="DA4" t="e">
        <v>#VALUE!</v>
      </c>
      <c r="DB4" t="s">
        <v>1362</v>
      </c>
      <c r="DC4">
        <v>-9.1169620025902981E-2</v>
      </c>
      <c r="DD4" t="e">
        <v>#VALUE!</v>
      </c>
      <c r="DE4" t="s">
        <v>1362</v>
      </c>
      <c r="DF4">
        <v>-8.4451858550310135E-2</v>
      </c>
      <c r="DG4" t="e">
        <v>#VALUE!</v>
      </c>
      <c r="DH4" t="s">
        <v>1362</v>
      </c>
      <c r="DI4">
        <v>-7.677441686391831E-2</v>
      </c>
      <c r="DJ4" t="e">
        <v>#VALUE!</v>
      </c>
      <c r="DK4" t="s">
        <v>1362</v>
      </c>
      <c r="DL4">
        <v>-6.7177614755928511E-2</v>
      </c>
      <c r="DM4">
        <v>-106000000</v>
      </c>
      <c r="DN4">
        <v>-9.5968021079897881E-2</v>
      </c>
      <c r="DO4">
        <v>7011831900</v>
      </c>
      <c r="DP4">
        <v>-1199978800.0000005</v>
      </c>
      <c r="DQ4">
        <v>145</v>
      </c>
      <c r="DR4">
        <v>-0.17069864558676878</v>
      </c>
      <c r="DS4">
        <v>-1.0454217526078273</v>
      </c>
      <c r="DT4" s="9">
        <v>-0.60666666666666669</v>
      </c>
      <c r="DU4">
        <v>-3.2983333333333333</v>
      </c>
      <c r="DV4">
        <v>-3.9050000000000002</v>
      </c>
      <c r="DW4">
        <v>7.3903675538656524</v>
      </c>
      <c r="DX4">
        <v>0.36487824427480842</v>
      </c>
      <c r="DY4">
        <v>7.0604594413645643</v>
      </c>
      <c r="DZ4">
        <v>5061</v>
      </c>
      <c r="EA4">
        <v>7.0005797480678797</v>
      </c>
      <c r="EB4">
        <v>7</v>
      </c>
      <c r="EC4">
        <v>3.1277316664122153E-2</v>
      </c>
      <c r="ED4">
        <v>0.20194777394703062</v>
      </c>
      <c r="EE4" s="10">
        <v>-5.1326000000000001</v>
      </c>
      <c r="EF4">
        <v>-5.1124999999999998</v>
      </c>
      <c r="EG4">
        <v>21.154878244274808</v>
      </c>
      <c r="EH4" t="s">
        <v>2309</v>
      </c>
      <c r="EI4">
        <v>1</v>
      </c>
      <c r="EJ4">
        <v>0</v>
      </c>
      <c r="EK4" s="11">
        <v>45470</v>
      </c>
      <c r="EL4" s="12">
        <v>0.33</v>
      </c>
      <c r="EM4" s="12">
        <v>-4.28</v>
      </c>
      <c r="EN4" s="12">
        <v>-1.37</v>
      </c>
      <c r="EO4" s="12">
        <v>4.18</v>
      </c>
      <c r="EP4" s="12">
        <v>-2.0099999999999998</v>
      </c>
    </row>
    <row r="5" spans="1:146" ht="108" x14ac:dyDescent="0.25">
      <c r="A5" s="6"/>
      <c r="B5" s="6"/>
      <c r="C5" s="6" t="str">
        <f>""&amp;CHAR(10)&amp;Basic_Fundamental_Information_Constructure(F5)&amp;CHAR(10)&amp;Basic_Fundamental_Information_Concatenate("")</f>
        <v xml:space="preserve">
市值56.592489亿, 利润3.58亿; PE16.35; 平均PE28.58; 平均PEG11.96, PB1.12; ROIC3.1667%; ROE5.07%; 股利率2.5253%; 毛利39.71%; 净利3.26%; 上一年度营收增-6.43%, 利润增2.29%; 当季营收增-17.59%, 利润增-17.72%; 过往5年营收增2.39%, 利润增171.99%
Income profile:
</v>
      </c>
      <c r="D5" t="s">
        <v>146</v>
      </c>
      <c r="E5" t="s">
        <v>28</v>
      </c>
      <c r="F5">
        <v>3.96</v>
      </c>
      <c r="G5">
        <v>2.06</v>
      </c>
      <c r="H5" t="s">
        <v>3073</v>
      </c>
      <c r="I5">
        <v>5659248900</v>
      </c>
      <c r="J5">
        <v>16.350000000000001</v>
      </c>
      <c r="K5">
        <v>1.1200000000000001</v>
      </c>
      <c r="L5" t="s">
        <v>100</v>
      </c>
      <c r="M5" t="s">
        <v>1846</v>
      </c>
      <c r="N5" t="s">
        <v>3074</v>
      </c>
      <c r="O5" t="s">
        <v>1977</v>
      </c>
      <c r="P5">
        <v>-17.579999999999998</v>
      </c>
      <c r="Q5" t="s">
        <v>2023</v>
      </c>
      <c r="R5">
        <v>57633861</v>
      </c>
      <c r="S5" s="5">
        <v>-0.1772</v>
      </c>
      <c r="T5" t="s">
        <v>401</v>
      </c>
      <c r="U5">
        <v>1374263700</v>
      </c>
      <c r="V5">
        <v>1429103300</v>
      </c>
      <c r="W5">
        <v>2.98</v>
      </c>
      <c r="X5">
        <v>0.13</v>
      </c>
      <c r="Y5">
        <v>3.08</v>
      </c>
      <c r="Z5" t="s">
        <v>476</v>
      </c>
      <c r="AA5" t="s">
        <v>2157</v>
      </c>
      <c r="AB5" t="s">
        <v>292</v>
      </c>
      <c r="AC5" t="s">
        <v>264</v>
      </c>
      <c r="AD5" t="s">
        <v>81</v>
      </c>
      <c r="AE5">
        <v>-5839659</v>
      </c>
      <c r="AF5" t="s">
        <v>2024</v>
      </c>
      <c r="AG5" t="s">
        <v>3075</v>
      </c>
      <c r="AH5" t="s">
        <v>2025</v>
      </c>
      <c r="AI5" t="s">
        <v>3076</v>
      </c>
      <c r="AJ5" t="s">
        <v>2026</v>
      </c>
      <c r="AK5" t="s">
        <v>1852</v>
      </c>
      <c r="AL5" t="s">
        <v>2027</v>
      </c>
      <c r="AM5" t="s">
        <v>81</v>
      </c>
      <c r="AN5" t="s">
        <v>273</v>
      </c>
      <c r="AO5" t="s">
        <v>2836</v>
      </c>
      <c r="AP5" t="s">
        <v>3077</v>
      </c>
      <c r="AQ5" t="s">
        <v>3078</v>
      </c>
      <c r="AR5" t="s">
        <v>81</v>
      </c>
      <c r="AS5" t="s">
        <v>3079</v>
      </c>
      <c r="AT5" t="s">
        <v>3080</v>
      </c>
      <c r="AU5" t="s">
        <v>3081</v>
      </c>
      <c r="AV5" t="s">
        <v>3082</v>
      </c>
      <c r="AW5" t="s">
        <v>3083</v>
      </c>
      <c r="AX5" t="s">
        <v>1607</v>
      </c>
      <c r="AY5" t="s">
        <v>1183</v>
      </c>
      <c r="AZ5" t="s">
        <v>550</v>
      </c>
      <c r="BA5" t="s">
        <v>555</v>
      </c>
      <c r="BB5" t="s">
        <v>556</v>
      </c>
      <c r="BC5" t="s">
        <v>1188</v>
      </c>
      <c r="BD5" t="s">
        <v>1184</v>
      </c>
      <c r="BE5" t="s">
        <v>551</v>
      </c>
      <c r="BF5" t="s">
        <v>235</v>
      </c>
      <c r="BG5" t="s">
        <v>470</v>
      </c>
      <c r="BH5" t="s">
        <v>2023</v>
      </c>
      <c r="BI5" t="s">
        <v>484</v>
      </c>
      <c r="BJ5" t="s">
        <v>1607</v>
      </c>
      <c r="BK5" t="s">
        <v>401</v>
      </c>
      <c r="BL5" t="s">
        <v>1822</v>
      </c>
      <c r="BM5" t="s">
        <v>1188</v>
      </c>
      <c r="BN5">
        <v>2.71</v>
      </c>
      <c r="BO5">
        <v>4.88</v>
      </c>
      <c r="BP5">
        <v>1.91</v>
      </c>
      <c r="BQ5">
        <v>4.7699999999999996</v>
      </c>
      <c r="BR5">
        <v>7.98</v>
      </c>
      <c r="BS5">
        <v>2.46</v>
      </c>
      <c r="BT5" t="s">
        <v>1525</v>
      </c>
      <c r="BU5" t="s">
        <v>1354</v>
      </c>
      <c r="BV5">
        <v>40.68</v>
      </c>
      <c r="BW5">
        <v>38.96</v>
      </c>
      <c r="BX5">
        <v>39.49</v>
      </c>
      <c r="BY5">
        <v>4.5599999999999996</v>
      </c>
      <c r="BZ5">
        <v>4.05</v>
      </c>
      <c r="CA5">
        <v>1.17</v>
      </c>
      <c r="CB5">
        <v>2.33</v>
      </c>
      <c r="CC5">
        <v>-11.8</v>
      </c>
      <c r="CD5" t="s">
        <v>3084</v>
      </c>
      <c r="CE5" t="s">
        <v>599</v>
      </c>
      <c r="CF5" s="7">
        <v>-0.17587085811384887</v>
      </c>
      <c r="CG5" s="8">
        <v>-0.17724798394292085</v>
      </c>
      <c r="CH5" s="7">
        <v>-6.4252480864524841E-2</v>
      </c>
      <c r="CI5" s="7">
        <v>8.152240514755249E-2</v>
      </c>
      <c r="CJ5" s="7">
        <v>0.10306066274642944</v>
      </c>
      <c r="CK5" s="7">
        <v>-0.10170318931341171</v>
      </c>
      <c r="CL5" s="7">
        <v>0.10084377229213715</v>
      </c>
      <c r="CM5" s="8">
        <v>2.2857142612338066E-2</v>
      </c>
      <c r="CN5" s="8">
        <v>2.534386157989502</v>
      </c>
      <c r="CO5" s="8">
        <v>7.0793595314025879</v>
      </c>
      <c r="CP5" s="8">
        <v>-0.92955863475799561</v>
      </c>
      <c r="CQ5" s="8">
        <v>-0.10769230872392654</v>
      </c>
      <c r="CR5">
        <v>28.5752364397094</v>
      </c>
      <c r="CS5">
        <v>11.959051057151401</v>
      </c>
      <c r="CT5">
        <v>2.5252525252525251</v>
      </c>
      <c r="CU5" s="7">
        <v>2.3894234001636504E-2</v>
      </c>
      <c r="CV5" s="8">
        <v>1.7198703777045012</v>
      </c>
      <c r="CW5">
        <v>0.06</v>
      </c>
      <c r="CX5">
        <v>30.486039423472654</v>
      </c>
      <c r="CY5">
        <v>345805788.46470362</v>
      </c>
      <c r="CZ5">
        <v>2.3894234001636504E-2</v>
      </c>
      <c r="DA5">
        <v>10.540442698757314</v>
      </c>
      <c r="DB5">
        <v>1000171359.1444218</v>
      </c>
      <c r="DC5">
        <v>2.2699522301554677E-2</v>
      </c>
      <c r="DD5">
        <v>5.5840715479025889</v>
      </c>
      <c r="DE5">
        <v>1887914366.7060878</v>
      </c>
      <c r="DF5">
        <v>2.1026925921440124E-2</v>
      </c>
      <c r="DG5">
        <v>3.6327536365980913</v>
      </c>
      <c r="DH5">
        <v>2901999407.2244153</v>
      </c>
      <c r="DI5">
        <v>1.9115387201309203E-2</v>
      </c>
      <c r="DJ5">
        <v>2.2162512313961567</v>
      </c>
      <c r="DK5">
        <v>4756793250.9884138</v>
      </c>
      <c r="DL5">
        <v>1.6725963801145553E-2</v>
      </c>
      <c r="DM5">
        <v>358000000</v>
      </c>
      <c r="DN5">
        <v>2.3894234001636504E-2</v>
      </c>
      <c r="DO5">
        <v>10542248900</v>
      </c>
      <c r="DP5">
        <v>342304900</v>
      </c>
      <c r="DQ5">
        <v>164</v>
      </c>
      <c r="DR5">
        <v>-0.19976509211548538</v>
      </c>
      <c r="DS5">
        <v>-1.8971183616474221</v>
      </c>
      <c r="DT5" s="9">
        <v>-0.44</v>
      </c>
      <c r="DU5">
        <v>0.29666666666666669</v>
      </c>
      <c r="DV5">
        <v>-0.14333333333333331</v>
      </c>
      <c r="DW5">
        <v>-2.1179999999999999</v>
      </c>
      <c r="DX5">
        <v>0.39656049382716119</v>
      </c>
      <c r="DY5">
        <v>-2.0184741382716052</v>
      </c>
      <c r="DZ5">
        <v>2051</v>
      </c>
      <c r="EA5">
        <v>-2.0110591759242347</v>
      </c>
      <c r="EB5">
        <v>2</v>
      </c>
      <c r="EC5">
        <v>2.6621028724795472E-2</v>
      </c>
      <c r="ED5">
        <v>0.17003669363859145</v>
      </c>
      <c r="EE5" s="10">
        <v>-2.06101</v>
      </c>
      <c r="EF5">
        <v>-2.08371</v>
      </c>
      <c r="EG5">
        <v>24.156560493827161</v>
      </c>
      <c r="EH5" t="s">
        <v>1368</v>
      </c>
      <c r="EI5">
        <v>0</v>
      </c>
      <c r="EJ5">
        <v>0</v>
      </c>
      <c r="EK5" s="11">
        <v>45470</v>
      </c>
      <c r="EL5" s="12">
        <v>0.76</v>
      </c>
      <c r="EM5" s="12">
        <v>-4.25</v>
      </c>
      <c r="EN5" s="12">
        <v>2.35</v>
      </c>
      <c r="EO5" s="12">
        <v>1.02</v>
      </c>
      <c r="EP5" s="12">
        <v>-2.27</v>
      </c>
    </row>
    <row r="6" spans="1:146" ht="108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市值156.68936亿, 利润10.55亿; PE14.79; 平均PE19.83; 平均PEG1.58, PB2.44; ROIC15.1767%; ROE18.07%; 股利率2.365%; 毛利25.3667%; 净利9.7567%; 上一年度营收增8.81%, 利润增6.67%; 当季营收增3.63%, 利润增1.97%; 过往5年营收增12.52%, 利润增24.79%
Income profile:
</v>
      </c>
      <c r="D6" t="s">
        <v>138</v>
      </c>
      <c r="E6" t="s">
        <v>74</v>
      </c>
      <c r="F6">
        <v>13.4</v>
      </c>
      <c r="G6">
        <v>3.55</v>
      </c>
      <c r="H6" t="s">
        <v>3085</v>
      </c>
      <c r="I6">
        <v>15668936000</v>
      </c>
      <c r="J6">
        <v>14.79</v>
      </c>
      <c r="K6">
        <v>2.44</v>
      </c>
      <c r="L6" t="s">
        <v>100</v>
      </c>
      <c r="M6" t="s">
        <v>2028</v>
      </c>
      <c r="N6" t="s">
        <v>3086</v>
      </c>
      <c r="O6" t="s">
        <v>2029</v>
      </c>
      <c r="P6">
        <v>3.65</v>
      </c>
      <c r="Q6" t="s">
        <v>2030</v>
      </c>
      <c r="R6">
        <v>243716290</v>
      </c>
      <c r="S6" s="5">
        <v>1.84E-2</v>
      </c>
      <c r="T6" t="s">
        <v>903</v>
      </c>
      <c r="U6">
        <v>1168888410</v>
      </c>
      <c r="V6">
        <v>1169323580</v>
      </c>
      <c r="W6">
        <v>2.08</v>
      </c>
      <c r="X6">
        <v>0.24</v>
      </c>
      <c r="Y6">
        <v>7.62</v>
      </c>
      <c r="Z6" t="s">
        <v>3087</v>
      </c>
      <c r="AA6" t="s">
        <v>3088</v>
      </c>
      <c r="AB6" t="s">
        <v>320</v>
      </c>
      <c r="AC6" t="s">
        <v>374</v>
      </c>
      <c r="AD6" t="s">
        <v>81</v>
      </c>
      <c r="AE6">
        <v>-3621792</v>
      </c>
      <c r="AF6" t="s">
        <v>2031</v>
      </c>
      <c r="AG6" t="s">
        <v>3089</v>
      </c>
      <c r="AH6" t="s">
        <v>2032</v>
      </c>
      <c r="AI6" t="s">
        <v>3090</v>
      </c>
      <c r="AJ6" t="s">
        <v>2033</v>
      </c>
      <c r="AK6" t="s">
        <v>558</v>
      </c>
      <c r="AL6" t="s">
        <v>2034</v>
      </c>
      <c r="AM6" t="s">
        <v>81</v>
      </c>
      <c r="AN6" t="s">
        <v>931</v>
      </c>
      <c r="AO6" t="s">
        <v>3091</v>
      </c>
      <c r="AP6" t="s">
        <v>3092</v>
      </c>
      <c r="AQ6" t="s">
        <v>3093</v>
      </c>
      <c r="AR6" t="s">
        <v>81</v>
      </c>
      <c r="AS6" t="s">
        <v>3094</v>
      </c>
      <c r="AT6" t="s">
        <v>3095</v>
      </c>
      <c r="AU6" t="s">
        <v>345</v>
      </c>
      <c r="AV6" t="s">
        <v>1677</v>
      </c>
      <c r="AW6" t="s">
        <v>3096</v>
      </c>
      <c r="AX6" t="s">
        <v>1608</v>
      </c>
      <c r="AY6" t="s">
        <v>1186</v>
      </c>
      <c r="AZ6" t="s">
        <v>559</v>
      </c>
      <c r="BA6" t="s">
        <v>561</v>
      </c>
      <c r="BB6" t="s">
        <v>562</v>
      </c>
      <c r="BC6" t="s">
        <v>1609</v>
      </c>
      <c r="BD6" t="s">
        <v>1083</v>
      </c>
      <c r="BE6" t="s">
        <v>560</v>
      </c>
      <c r="BF6" t="s">
        <v>563</v>
      </c>
      <c r="BG6" t="s">
        <v>452</v>
      </c>
      <c r="BH6" t="s">
        <v>2030</v>
      </c>
      <c r="BI6" t="s">
        <v>1824</v>
      </c>
      <c r="BJ6" t="s">
        <v>1608</v>
      </c>
      <c r="BK6" t="s">
        <v>903</v>
      </c>
      <c r="BL6" t="s">
        <v>407</v>
      </c>
      <c r="BM6" t="s">
        <v>1609</v>
      </c>
      <c r="BN6">
        <v>11.56</v>
      </c>
      <c r="BO6">
        <v>16.21</v>
      </c>
      <c r="BP6">
        <v>17.760000000000002</v>
      </c>
      <c r="BQ6">
        <v>14.77</v>
      </c>
      <c r="BR6">
        <v>19.010000000000002</v>
      </c>
      <c r="BS6">
        <v>20.43</v>
      </c>
      <c r="BT6" t="s">
        <v>3097</v>
      </c>
      <c r="BU6" t="s">
        <v>1353</v>
      </c>
      <c r="BV6">
        <v>25.66</v>
      </c>
      <c r="BW6">
        <v>23.9</v>
      </c>
      <c r="BX6">
        <v>26.54</v>
      </c>
      <c r="BY6">
        <v>9.1999999999999993</v>
      </c>
      <c r="BZ6">
        <v>9.3800000000000008</v>
      </c>
      <c r="CA6">
        <v>10.69</v>
      </c>
      <c r="CB6">
        <v>-1.25</v>
      </c>
      <c r="CC6">
        <v>-10.84</v>
      </c>
      <c r="CD6" t="s">
        <v>3098</v>
      </c>
      <c r="CE6" t="s">
        <v>1045</v>
      </c>
      <c r="CF6" s="7">
        <v>3.6292935839274142E-2</v>
      </c>
      <c r="CG6" s="8">
        <v>1.9733430962343097E-2</v>
      </c>
      <c r="CH6" s="7">
        <v>8.8098563253879547E-2</v>
      </c>
      <c r="CI6" s="7">
        <v>0.17913462221622467</v>
      </c>
      <c r="CJ6" s="7">
        <v>0.13489842414855957</v>
      </c>
      <c r="CK6" s="7">
        <v>9.2774957418441772E-2</v>
      </c>
      <c r="CL6" s="7">
        <v>0.13095982372760773</v>
      </c>
      <c r="CM6" s="8">
        <v>6.6734075546264648E-2</v>
      </c>
      <c r="CN6" s="8">
        <v>3.4518826752901077E-2</v>
      </c>
      <c r="CO6" s="8">
        <v>0.17013463377952576</v>
      </c>
      <c r="CP6" s="8">
        <v>0.47739601135253906</v>
      </c>
      <c r="CQ6" s="8">
        <v>0.49056604504585266</v>
      </c>
      <c r="CR6">
        <v>19.829912676650498</v>
      </c>
      <c r="CS6">
        <v>1.58419696034655</v>
      </c>
      <c r="CT6">
        <v>2.3649895522388058</v>
      </c>
      <c r="CU6" s="7">
        <v>0.12517327815294266</v>
      </c>
      <c r="CV6" s="8">
        <v>0.24786991849541665</v>
      </c>
      <c r="CW6">
        <v>0.06</v>
      </c>
      <c r="CX6">
        <v>14.04716100705666</v>
      </c>
      <c r="CY6">
        <v>1119865857.0295796</v>
      </c>
      <c r="CZ6">
        <v>0.12517327815294266</v>
      </c>
      <c r="DA6">
        <v>4.4563084672285429</v>
      </c>
      <c r="DB6">
        <v>3530037499.8015671</v>
      </c>
      <c r="DC6">
        <v>0.11891461424529552</v>
      </c>
      <c r="DD6">
        <v>2.1073154137168912</v>
      </c>
      <c r="DE6">
        <v>7464917637.6751852</v>
      </c>
      <c r="DF6">
        <v>0.11015248477458954</v>
      </c>
      <c r="DG6">
        <v>1.2085141178526499</v>
      </c>
      <c r="DH6">
        <v>13016758155.834816</v>
      </c>
      <c r="DI6">
        <v>0.10013862252235413</v>
      </c>
      <c r="DJ6">
        <v>0.56286022344282194</v>
      </c>
      <c r="DK6">
        <v>27948210487.817539</v>
      </c>
      <c r="DL6">
        <v>8.7621294707059857E-2</v>
      </c>
      <c r="DM6">
        <v>1055000000.0000001</v>
      </c>
      <c r="DN6">
        <v>0.12517327815294266</v>
      </c>
      <c r="DO6">
        <v>15730936000</v>
      </c>
      <c r="DP6">
        <v>2279659600</v>
      </c>
      <c r="DQ6">
        <v>259</v>
      </c>
      <c r="DR6">
        <v>-8.8880342313668509E-2</v>
      </c>
      <c r="DS6">
        <v>-0.22813648753307356</v>
      </c>
      <c r="DT6" s="9">
        <v>-0.28999999999999998</v>
      </c>
      <c r="DU6">
        <v>0.34999999999999992</v>
      </c>
      <c r="DV6">
        <v>5.9999999999999942E-2</v>
      </c>
      <c r="DW6">
        <v>-2.1084000000000001</v>
      </c>
      <c r="DX6">
        <v>0.48385660377358536</v>
      </c>
      <c r="DY6">
        <v>-2.0155940558490566</v>
      </c>
      <c r="DZ6">
        <v>1574</v>
      </c>
      <c r="EA6">
        <v>-2.0107907204466269</v>
      </c>
      <c r="EB6">
        <v>2</v>
      </c>
      <c r="EC6">
        <v>2.608140340418005E-2</v>
      </c>
      <c r="ED6">
        <v>0.18130139819809329</v>
      </c>
      <c r="EE6" s="10">
        <v>4.1000000000000002E-2</v>
      </c>
      <c r="EF6">
        <v>1.5100000000000002E-2</v>
      </c>
      <c r="EG6">
        <v>34.143856603773585</v>
      </c>
      <c r="EH6" t="s">
        <v>1360</v>
      </c>
      <c r="EI6">
        <v>0</v>
      </c>
      <c r="EJ6">
        <v>0</v>
      </c>
      <c r="EK6" s="11">
        <v>45470</v>
      </c>
      <c r="EL6" s="12">
        <v>0.5</v>
      </c>
      <c r="EM6" s="12">
        <v>-2.27</v>
      </c>
      <c r="EN6" s="12">
        <v>-1.6</v>
      </c>
      <c r="EO6" s="12">
        <v>2.58</v>
      </c>
      <c r="EP6" s="12">
        <v>-2.59</v>
      </c>
    </row>
    <row r="7" spans="1:146" ht="108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市值99.904478亿, 利润4.97亿; PE20.52; 平均PE28.05; 平均PEG3.08, PB2.1; ROIC7.64%; ROE10.0167%; 股利率1.7077%; 毛利27.9033%; 净利5.8167%; 上一年度营收增7.97%, 利润增20.92%; 当季营收增-6.25%, 利润增-6.66%; 过往5年营收增9.12%, 利润增14.41%
Income profile:
</v>
      </c>
      <c r="D7" t="s">
        <v>171</v>
      </c>
      <c r="E7" t="s">
        <v>13</v>
      </c>
      <c r="F7">
        <v>14.64</v>
      </c>
      <c r="G7">
        <v>2.74</v>
      </c>
      <c r="H7" t="s">
        <v>3099</v>
      </c>
      <c r="I7">
        <v>9990447800</v>
      </c>
      <c r="J7">
        <v>20.52</v>
      </c>
      <c r="K7">
        <v>2.1</v>
      </c>
      <c r="L7" t="s">
        <v>100</v>
      </c>
      <c r="M7" t="s">
        <v>2035</v>
      </c>
      <c r="N7" t="s">
        <v>3100</v>
      </c>
      <c r="O7" t="s">
        <v>1980</v>
      </c>
      <c r="P7">
        <v>-6.25</v>
      </c>
      <c r="Q7" t="s">
        <v>2037</v>
      </c>
      <c r="R7">
        <v>141879440</v>
      </c>
      <c r="S7" s="5">
        <v>-6.4100000000000004E-2</v>
      </c>
      <c r="T7" t="s">
        <v>1889</v>
      </c>
      <c r="U7">
        <v>447835910</v>
      </c>
      <c r="V7">
        <v>682407640</v>
      </c>
      <c r="W7">
        <v>1.7</v>
      </c>
      <c r="X7">
        <v>0.3</v>
      </c>
      <c r="Y7">
        <v>5.87</v>
      </c>
      <c r="Z7" t="s">
        <v>3101</v>
      </c>
      <c r="AA7" t="s">
        <v>3102</v>
      </c>
      <c r="AB7" t="s">
        <v>417</v>
      </c>
      <c r="AC7" t="s">
        <v>3103</v>
      </c>
      <c r="AD7" t="s">
        <v>81</v>
      </c>
      <c r="AE7">
        <v>2954643</v>
      </c>
      <c r="AF7" t="s">
        <v>2038</v>
      </c>
      <c r="AG7" t="s">
        <v>3104</v>
      </c>
      <c r="AH7" t="s">
        <v>2039</v>
      </c>
      <c r="AI7" t="s">
        <v>792</v>
      </c>
      <c r="AJ7" t="s">
        <v>2040</v>
      </c>
      <c r="AK7" t="s">
        <v>3105</v>
      </c>
      <c r="AL7" t="s">
        <v>2041</v>
      </c>
      <c r="AM7" t="s">
        <v>81</v>
      </c>
      <c r="AN7" t="s">
        <v>707</v>
      </c>
      <c r="AO7" t="s">
        <v>1624</v>
      </c>
      <c r="AP7" t="s">
        <v>276</v>
      </c>
      <c r="AQ7" t="s">
        <v>1851</v>
      </c>
      <c r="AR7" t="s">
        <v>81</v>
      </c>
      <c r="AS7" t="s">
        <v>3106</v>
      </c>
      <c r="AT7" t="s">
        <v>326</v>
      </c>
      <c r="AU7" t="s">
        <v>3107</v>
      </c>
      <c r="AV7" t="s">
        <v>3108</v>
      </c>
      <c r="AW7" t="s">
        <v>3109</v>
      </c>
      <c r="AX7" t="s">
        <v>1610</v>
      </c>
      <c r="AY7" t="s">
        <v>1187</v>
      </c>
      <c r="AZ7" t="s">
        <v>565</v>
      </c>
      <c r="BA7" t="s">
        <v>568</v>
      </c>
      <c r="BB7" t="s">
        <v>569</v>
      </c>
      <c r="BC7" t="s">
        <v>1379</v>
      </c>
      <c r="BD7" t="s">
        <v>963</v>
      </c>
      <c r="BE7" t="s">
        <v>566</v>
      </c>
      <c r="BF7" t="s">
        <v>244</v>
      </c>
      <c r="BG7" t="s">
        <v>478</v>
      </c>
      <c r="BH7" t="s">
        <v>2037</v>
      </c>
      <c r="BI7" t="s">
        <v>1827</v>
      </c>
      <c r="BJ7" t="s">
        <v>1610</v>
      </c>
      <c r="BK7" t="s">
        <v>1889</v>
      </c>
      <c r="BL7" t="s">
        <v>584</v>
      </c>
      <c r="BM7" t="s">
        <v>1379</v>
      </c>
      <c r="BN7">
        <v>6.91</v>
      </c>
      <c r="BO7">
        <v>8.34</v>
      </c>
      <c r="BP7">
        <v>7.67</v>
      </c>
      <c r="BQ7">
        <v>9.0500000000000007</v>
      </c>
      <c r="BR7">
        <v>10.62</v>
      </c>
      <c r="BS7">
        <v>10.38</v>
      </c>
      <c r="BT7" t="s">
        <v>1538</v>
      </c>
      <c r="BU7" t="s">
        <v>1353</v>
      </c>
      <c r="BV7">
        <v>29.52</v>
      </c>
      <c r="BW7">
        <v>27.15</v>
      </c>
      <c r="BX7">
        <v>27.04</v>
      </c>
      <c r="BY7">
        <v>6.25</v>
      </c>
      <c r="BZ7">
        <v>5.68</v>
      </c>
      <c r="CA7">
        <v>5.52</v>
      </c>
      <c r="CB7">
        <v>1.1000000000000001</v>
      </c>
      <c r="CC7">
        <v>-7.98</v>
      </c>
      <c r="CD7" t="s">
        <v>3110</v>
      </c>
      <c r="CE7" t="s">
        <v>306</v>
      </c>
      <c r="CF7" s="7">
        <v>-6.25E-2</v>
      </c>
      <c r="CG7" s="8">
        <v>-6.6582631578947366E-2</v>
      </c>
      <c r="CH7" s="7">
        <v>7.9701468348503113E-2</v>
      </c>
      <c r="CI7" s="7">
        <v>0.14375001192092896</v>
      </c>
      <c r="CJ7" s="7">
        <v>9.2241071164608002E-2</v>
      </c>
      <c r="CK7" s="7">
        <v>7.1352124214172363E-2</v>
      </c>
      <c r="CL7" s="7">
        <v>6.8827442824840546E-2</v>
      </c>
      <c r="CM7" s="8">
        <v>0.20924574136734009</v>
      </c>
      <c r="CN7" s="8">
        <v>0.17765043675899506</v>
      </c>
      <c r="CO7" s="8">
        <v>7.3846153914928436E-2</v>
      </c>
      <c r="CP7" s="8">
        <v>8.3333335816860199E-2</v>
      </c>
      <c r="CQ7" s="8">
        <v>0.17647059261798859</v>
      </c>
      <c r="CR7">
        <v>28.049923631258771</v>
      </c>
      <c r="CS7">
        <v>3.0765123040659073</v>
      </c>
      <c r="CT7">
        <v>1.7076502732240437</v>
      </c>
      <c r="CU7" s="7">
        <v>9.1174423694610596E-2</v>
      </c>
      <c r="CV7" s="8">
        <v>0.14410925209522246</v>
      </c>
      <c r="CW7">
        <v>0.06</v>
      </c>
      <c r="CX7">
        <v>16.632467256507852</v>
      </c>
      <c r="CY7">
        <v>511616687.33605796</v>
      </c>
      <c r="CZ7">
        <v>9.1174423694610596E-2</v>
      </c>
      <c r="DA7">
        <v>5.4299332035827303</v>
      </c>
      <c r="DB7">
        <v>1567136736.4860716</v>
      </c>
      <c r="DC7">
        <v>8.6615702509880058E-2</v>
      </c>
      <c r="DD7">
        <v>2.6694766191932109</v>
      </c>
      <c r="DE7">
        <v>3187683959.7762756</v>
      </c>
      <c r="DF7">
        <v>8.0233492851257318E-2</v>
      </c>
      <c r="DG7">
        <v>1.6006621575750737</v>
      </c>
      <c r="DH7">
        <v>5316204771.7123547</v>
      </c>
      <c r="DI7">
        <v>7.2939538955688485E-2</v>
      </c>
      <c r="DJ7">
        <v>0.82415420203046186</v>
      </c>
      <c r="DK7">
        <v>10325067540.801641</v>
      </c>
      <c r="DL7">
        <v>6.3822096586227409E-2</v>
      </c>
      <c r="DM7">
        <v>497000000</v>
      </c>
      <c r="DN7">
        <v>9.1174423694610596E-2</v>
      </c>
      <c r="DO7">
        <v>8509447800</v>
      </c>
      <c r="DP7">
        <v>1037605900</v>
      </c>
      <c r="DQ7">
        <v>265</v>
      </c>
      <c r="DR7">
        <v>-0.1536744236946106</v>
      </c>
      <c r="DS7">
        <v>-0.21069188367416983</v>
      </c>
      <c r="DT7" s="9">
        <v>-0.44</v>
      </c>
      <c r="DU7">
        <v>0.41666666666666669</v>
      </c>
      <c r="DV7">
        <v>-2.3333333333333317E-2</v>
      </c>
      <c r="DW7">
        <v>-2.0798000000000001</v>
      </c>
      <c r="DX7">
        <v>0.489128676470591</v>
      </c>
      <c r="DY7">
        <v>-2.0111024683823531</v>
      </c>
      <c r="DZ7">
        <v>1751</v>
      </c>
      <c r="EA7">
        <v>-2.0072980804885172</v>
      </c>
      <c r="EB7">
        <v>2</v>
      </c>
      <c r="EC7">
        <v>2.7727561784038644E-2</v>
      </c>
      <c r="ED7">
        <v>0.1992943689786357</v>
      </c>
      <c r="EE7" s="10">
        <v>-4.0284000000000004</v>
      </c>
      <c r="EF7">
        <v>-4.0015000000000001</v>
      </c>
      <c r="EG7">
        <v>35.139128676470591</v>
      </c>
      <c r="EH7" t="s">
        <v>2022</v>
      </c>
      <c r="EI7">
        <v>0</v>
      </c>
      <c r="EJ7">
        <v>0</v>
      </c>
      <c r="EK7" s="11">
        <v>45470</v>
      </c>
      <c r="EL7" s="12">
        <v>0.2</v>
      </c>
      <c r="EM7" s="12">
        <v>-4.3600000000000003</v>
      </c>
      <c r="EN7" s="12">
        <v>-0.28000000000000003</v>
      </c>
      <c r="EO7" s="12">
        <v>4.3600000000000003</v>
      </c>
      <c r="EP7" s="12">
        <v>-2.69</v>
      </c>
    </row>
    <row r="8" spans="1:146" ht="108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市值155.41235亿, 利润4393.37万; PE336.7; 平均PE-47.56; 平均PEG-14.94, PB6.68; ROIC1.66%; ROE1.1667%; 股利率0%; 毛利75.6567%; 净利2.3833%; 上一年度营收增.14%, 利润增45.71%; 当季营收增-4.21%, 利润增31.94%; 过往5年营收增-3.18%, 利润增-98.7%
Income profile:
</v>
      </c>
      <c r="D8" t="s">
        <v>184</v>
      </c>
      <c r="E8" t="s">
        <v>185</v>
      </c>
      <c r="F8">
        <v>16.079999999999998</v>
      </c>
      <c r="G8">
        <v>1.52</v>
      </c>
      <c r="H8" t="s">
        <v>3111</v>
      </c>
      <c r="I8">
        <v>15541235000</v>
      </c>
      <c r="J8">
        <v>336.7</v>
      </c>
      <c r="K8">
        <v>6.68</v>
      </c>
      <c r="L8" t="s">
        <v>100</v>
      </c>
      <c r="M8" t="s">
        <v>2043</v>
      </c>
      <c r="N8" t="s">
        <v>3112</v>
      </c>
      <c r="O8" t="s">
        <v>732</v>
      </c>
      <c r="P8">
        <v>-4.21</v>
      </c>
      <c r="Q8" t="s">
        <v>2044</v>
      </c>
      <c r="R8">
        <v>9186281</v>
      </c>
      <c r="S8" s="5">
        <v>0.31940000000000002</v>
      </c>
      <c r="T8" t="s">
        <v>2045</v>
      </c>
      <c r="U8">
        <v>965970180</v>
      </c>
      <c r="V8">
        <v>966494710</v>
      </c>
      <c r="W8">
        <v>1.98</v>
      </c>
      <c r="X8">
        <v>0.06</v>
      </c>
      <c r="Y8">
        <v>3.1</v>
      </c>
      <c r="Z8" t="s">
        <v>503</v>
      </c>
      <c r="AA8" t="s">
        <v>3113</v>
      </c>
      <c r="AB8" t="s">
        <v>320</v>
      </c>
      <c r="AC8" t="s">
        <v>3114</v>
      </c>
      <c r="AD8" t="s">
        <v>81</v>
      </c>
      <c r="AE8">
        <v>15278523</v>
      </c>
      <c r="AF8" t="s">
        <v>2046</v>
      </c>
      <c r="AG8" t="s">
        <v>3115</v>
      </c>
      <c r="AH8" t="s">
        <v>2047</v>
      </c>
      <c r="AI8" t="s">
        <v>314</v>
      </c>
      <c r="AJ8" t="s">
        <v>2048</v>
      </c>
      <c r="AK8" t="s">
        <v>3116</v>
      </c>
      <c r="AL8" t="s">
        <v>2049</v>
      </c>
      <c r="AM8" t="s">
        <v>81</v>
      </c>
      <c r="AN8" t="s">
        <v>422</v>
      </c>
      <c r="AO8" t="s">
        <v>444</v>
      </c>
      <c r="AP8" t="s">
        <v>3117</v>
      </c>
      <c r="AQ8" t="s">
        <v>613</v>
      </c>
      <c r="AR8" t="s">
        <v>81</v>
      </c>
      <c r="AS8" t="s">
        <v>2436</v>
      </c>
      <c r="AT8" t="s">
        <v>2879</v>
      </c>
      <c r="AU8" t="s">
        <v>3118</v>
      </c>
      <c r="AV8" t="s">
        <v>3119</v>
      </c>
      <c r="AW8" t="s">
        <v>3120</v>
      </c>
      <c r="AX8" t="s">
        <v>1612</v>
      </c>
      <c r="AY8" t="s">
        <v>1190</v>
      </c>
      <c r="AZ8" t="s">
        <v>570</v>
      </c>
      <c r="BA8" t="s">
        <v>572</v>
      </c>
      <c r="BB8" t="s">
        <v>573</v>
      </c>
      <c r="BC8" t="s">
        <v>1613</v>
      </c>
      <c r="BD8" t="s">
        <v>1191</v>
      </c>
      <c r="BE8" t="s">
        <v>571</v>
      </c>
      <c r="BF8" t="s">
        <v>574</v>
      </c>
      <c r="BG8" t="s">
        <v>575</v>
      </c>
      <c r="BH8" t="s">
        <v>2044</v>
      </c>
      <c r="BI8" t="s">
        <v>567</v>
      </c>
      <c r="BJ8" t="s">
        <v>1612</v>
      </c>
      <c r="BK8" t="s">
        <v>2045</v>
      </c>
      <c r="BL8" t="s">
        <v>1829</v>
      </c>
      <c r="BM8" t="s">
        <v>1613</v>
      </c>
      <c r="BN8">
        <v>1.31</v>
      </c>
      <c r="BO8">
        <v>1.79</v>
      </c>
      <c r="BP8">
        <v>1.88</v>
      </c>
      <c r="BQ8">
        <v>0.66</v>
      </c>
      <c r="BR8">
        <v>1.3</v>
      </c>
      <c r="BS8">
        <v>1.54</v>
      </c>
      <c r="BT8" t="s">
        <v>1526</v>
      </c>
      <c r="BU8" t="s">
        <v>1354</v>
      </c>
      <c r="BV8">
        <v>74.27</v>
      </c>
      <c r="BW8">
        <v>75.98</v>
      </c>
      <c r="BX8">
        <v>76.72</v>
      </c>
      <c r="BY8">
        <v>2.93</v>
      </c>
      <c r="BZ8">
        <v>1.98</v>
      </c>
      <c r="CA8">
        <v>2.2400000000000002</v>
      </c>
      <c r="CB8">
        <v>-0.68</v>
      </c>
      <c r="CC8">
        <v>0.82</v>
      </c>
      <c r="CD8" t="s">
        <v>3121</v>
      </c>
      <c r="CE8" t="s">
        <v>1434</v>
      </c>
      <c r="CF8" s="7">
        <v>-4.2071197411003236E-2</v>
      </c>
      <c r="CG8" s="8">
        <v>0.3194129897736413</v>
      </c>
      <c r="CH8" s="7">
        <v>1.3595322379842401E-3</v>
      </c>
      <c r="CI8" s="7">
        <v>-2.9042903333902359E-2</v>
      </c>
      <c r="CJ8" s="7">
        <v>0.36241012811660767</v>
      </c>
      <c r="CK8" s="7">
        <v>-0.43753159046173096</v>
      </c>
      <c r="CL8" s="7">
        <v>-5.6324642151594162E-2</v>
      </c>
      <c r="CM8" s="8">
        <v>0.45710799098014832</v>
      </c>
      <c r="CN8" s="8">
        <v>-0.14520898461341858</v>
      </c>
      <c r="CO8" s="8">
        <v>1.0982543230056763</v>
      </c>
      <c r="CP8" s="8">
        <v>0.82419198751449585</v>
      </c>
      <c r="CQ8" s="8">
        <v>-7.1691842079162598</v>
      </c>
      <c r="CR8">
        <v>-47.559638255169212</v>
      </c>
      <c r="CS8">
        <v>-14.943692260043573</v>
      </c>
      <c r="CT8">
        <v>0</v>
      </c>
      <c r="CU8" s="7">
        <v>-3.1825895118527112E-2</v>
      </c>
      <c r="CV8" s="8">
        <v>-0.98696777820587156</v>
      </c>
      <c r="CW8">
        <v>0.06</v>
      </c>
      <c r="CX8">
        <v>350.87495476137906</v>
      </c>
      <c r="CY8" t="s">
        <v>2050</v>
      </c>
      <c r="CZ8">
        <v>-3.1825895118527112E-2</v>
      </c>
      <c r="DA8">
        <v>116.95831825379302</v>
      </c>
      <c r="DB8" t="s">
        <v>2051</v>
      </c>
      <c r="DC8">
        <v>-3.0234600362600755E-2</v>
      </c>
      <c r="DD8">
        <v>58.479159126896512</v>
      </c>
      <c r="DE8" t="s">
        <v>2052</v>
      </c>
      <c r="DF8">
        <v>-2.800678770430386E-2</v>
      </c>
      <c r="DG8">
        <v>35.08749547613791</v>
      </c>
      <c r="DH8" t="s">
        <v>2053</v>
      </c>
      <c r="DI8">
        <v>-2.546071609482169E-2</v>
      </c>
      <c r="DJ8">
        <v>17.543747738068955</v>
      </c>
      <c r="DK8" t="s">
        <v>2054</v>
      </c>
      <c r="DL8">
        <v>-2.2278126582968977E-2</v>
      </c>
      <c r="DM8">
        <v>43933700</v>
      </c>
      <c r="DN8">
        <v>-3.1825895118527112E-2</v>
      </c>
      <c r="DO8">
        <v>15415235000</v>
      </c>
      <c r="DP8">
        <v>570460450</v>
      </c>
      <c r="DQ8">
        <v>271</v>
      </c>
      <c r="DR8">
        <v>-1.0245302292476124E-2</v>
      </c>
      <c r="DS8">
        <v>1.3063807679795127</v>
      </c>
      <c r="DT8" s="9">
        <v>-0.42333333333333334</v>
      </c>
      <c r="DU8">
        <v>-0.80666666666666675</v>
      </c>
      <c r="DV8">
        <v>-1.23</v>
      </c>
      <c r="DW8">
        <v>8.199999999999999E-3</v>
      </c>
      <c r="DX8">
        <v>0.34696338582677311</v>
      </c>
      <c r="DY8">
        <v>1.0410997637795274E-3</v>
      </c>
      <c r="DZ8">
        <v>3795</v>
      </c>
      <c r="EA8">
        <v>2.679151055518745E-4</v>
      </c>
      <c r="EB8">
        <v>0</v>
      </c>
      <c r="EC8">
        <v>6.6733319212890468E-2</v>
      </c>
      <c r="ED8">
        <v>0.52561074028020283</v>
      </c>
      <c r="EE8" s="10">
        <v>6.0194000000000001</v>
      </c>
      <c r="EF8">
        <v>6.0123100000000003</v>
      </c>
      <c r="EG8">
        <v>22.126963385826773</v>
      </c>
      <c r="EH8" t="s">
        <v>3122</v>
      </c>
      <c r="EI8">
        <v>0</v>
      </c>
      <c r="EJ8">
        <v>0</v>
      </c>
      <c r="EK8" s="11">
        <v>45470</v>
      </c>
      <c r="EL8" s="12">
        <v>4.5599999999999996</v>
      </c>
      <c r="EM8" s="12">
        <v>0.11</v>
      </c>
      <c r="EN8" s="12">
        <v>-0.73</v>
      </c>
      <c r="EO8" s="12">
        <v>-1.25</v>
      </c>
      <c r="EP8" s="12">
        <v>-3.17</v>
      </c>
    </row>
    <row r="9" spans="1:146" ht="108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市值31.050945亿, 利润4435.66万; PE43.31; 平均PE67.1; 平均PEG270.91, PB2.12; ROIC3.5533%; ROE3.5533%; 股利率.499%; 毛利36.9033%; 净利2.2133%; 上一年度营收增5.63%, 利润增-20.23%; 当季营收增-1%, 利润增163.66%; 过往5年营收增-.25%, 利润增1.58%
Income profile:
</v>
      </c>
      <c r="D9" t="s">
        <v>117</v>
      </c>
      <c r="E9" t="s">
        <v>43</v>
      </c>
      <c r="F9">
        <v>5.21</v>
      </c>
      <c r="G9">
        <v>3.37</v>
      </c>
      <c r="H9" t="s">
        <v>3123</v>
      </c>
      <c r="I9">
        <v>3105094500</v>
      </c>
      <c r="J9">
        <v>43.31</v>
      </c>
      <c r="K9">
        <v>2.12</v>
      </c>
      <c r="L9" t="s">
        <v>100</v>
      </c>
      <c r="M9" t="s">
        <v>1292</v>
      </c>
      <c r="N9" t="s">
        <v>1861</v>
      </c>
      <c r="O9" t="s">
        <v>737</v>
      </c>
      <c r="P9">
        <v>-0.95</v>
      </c>
      <c r="Q9" t="s">
        <v>2056</v>
      </c>
      <c r="R9">
        <v>44046906</v>
      </c>
      <c r="S9" s="5">
        <v>1.637</v>
      </c>
      <c r="T9" t="s">
        <v>2057</v>
      </c>
      <c r="U9">
        <v>595987430</v>
      </c>
      <c r="V9">
        <v>595987430</v>
      </c>
      <c r="W9">
        <v>1.63</v>
      </c>
      <c r="X9">
        <v>0.2</v>
      </c>
      <c r="Y9">
        <v>8.91</v>
      </c>
      <c r="Z9" t="s">
        <v>738</v>
      </c>
      <c r="AA9" t="s">
        <v>376</v>
      </c>
      <c r="AB9" t="s">
        <v>3124</v>
      </c>
      <c r="AC9" t="s">
        <v>3125</v>
      </c>
      <c r="AD9" t="s">
        <v>81</v>
      </c>
      <c r="AE9">
        <v>-230315</v>
      </c>
      <c r="AF9" t="s">
        <v>236</v>
      </c>
      <c r="AG9" t="s">
        <v>3126</v>
      </c>
      <c r="AH9" t="s">
        <v>2059</v>
      </c>
      <c r="AI9" t="s">
        <v>356</v>
      </c>
      <c r="AJ9" t="s">
        <v>2060</v>
      </c>
      <c r="AK9" t="s">
        <v>3127</v>
      </c>
      <c r="AL9" t="s">
        <v>2061</v>
      </c>
      <c r="AM9" t="s">
        <v>81</v>
      </c>
      <c r="AN9" t="s">
        <v>3128</v>
      </c>
      <c r="AO9" t="s">
        <v>3129</v>
      </c>
      <c r="AP9" t="s">
        <v>3130</v>
      </c>
      <c r="AQ9" t="s">
        <v>714</v>
      </c>
      <c r="AR9" t="s">
        <v>1617</v>
      </c>
      <c r="AS9" t="s">
        <v>1605</v>
      </c>
      <c r="AT9" t="s">
        <v>81</v>
      </c>
      <c r="AU9" t="s">
        <v>3131</v>
      </c>
      <c r="AV9" t="s">
        <v>3132</v>
      </c>
      <c r="AW9" t="s">
        <v>3133</v>
      </c>
      <c r="AX9" t="s">
        <v>1616</v>
      </c>
      <c r="AY9" t="s">
        <v>1192</v>
      </c>
      <c r="AZ9" t="s">
        <v>572</v>
      </c>
      <c r="BA9" t="s">
        <v>580</v>
      </c>
      <c r="BB9" t="s">
        <v>485</v>
      </c>
      <c r="BC9" t="s">
        <v>2062</v>
      </c>
      <c r="BD9" t="s">
        <v>1193</v>
      </c>
      <c r="BE9" t="s">
        <v>578</v>
      </c>
      <c r="BF9" t="s">
        <v>581</v>
      </c>
      <c r="BG9" t="s">
        <v>582</v>
      </c>
      <c r="BH9" t="s">
        <v>2056</v>
      </c>
      <c r="BI9" t="s">
        <v>336</v>
      </c>
      <c r="BJ9" t="s">
        <v>1616</v>
      </c>
      <c r="BK9" t="s">
        <v>2057</v>
      </c>
      <c r="BL9" t="s">
        <v>1831</v>
      </c>
      <c r="BM9" t="s">
        <v>2062</v>
      </c>
      <c r="BN9">
        <v>3.11</v>
      </c>
      <c r="BO9">
        <v>4.12</v>
      </c>
      <c r="BP9">
        <v>3.43</v>
      </c>
      <c r="BQ9">
        <v>3.28</v>
      </c>
      <c r="BR9">
        <v>4.1100000000000003</v>
      </c>
      <c r="BS9">
        <v>3.27</v>
      </c>
      <c r="BT9" t="s">
        <v>2063</v>
      </c>
      <c r="BU9" t="s">
        <v>1354</v>
      </c>
      <c r="BV9">
        <v>32.450000000000003</v>
      </c>
      <c r="BW9">
        <v>37.17</v>
      </c>
      <c r="BX9">
        <v>41.09</v>
      </c>
      <c r="BY9">
        <v>2.02</v>
      </c>
      <c r="BZ9">
        <v>2.69</v>
      </c>
      <c r="CA9">
        <v>1.93</v>
      </c>
      <c r="CB9">
        <v>4.41</v>
      </c>
      <c r="CC9">
        <v>-8.11</v>
      </c>
      <c r="CD9" t="s">
        <v>3134</v>
      </c>
      <c r="CE9" t="s">
        <v>278</v>
      </c>
      <c r="CF9" s="7">
        <v>-1.0020040080160201E-2</v>
      </c>
      <c r="CG9" s="8">
        <v>1.6366077852734662</v>
      </c>
      <c r="CH9" s="7">
        <v>5.6331217288970947E-2</v>
      </c>
      <c r="CI9" s="7">
        <v>-7.1524366736412048E-2</v>
      </c>
      <c r="CJ9" s="7">
        <v>0.13151240348815918</v>
      </c>
      <c r="CK9" s="7">
        <v>-0.21203666925430298</v>
      </c>
      <c r="CL9" s="7">
        <v>8.3333306014537811E-2</v>
      </c>
      <c r="CM9" s="8">
        <v>-0.20229546725749969</v>
      </c>
      <c r="CN9" s="8">
        <v>0.28883638978004456</v>
      </c>
      <c r="CO9" s="8">
        <v>0.10112680494785309</v>
      </c>
      <c r="CP9" s="8">
        <v>-0.21931473910808563</v>
      </c>
      <c r="CQ9" s="8">
        <v>0.11089567095041275</v>
      </c>
      <c r="CR9">
        <v>67.099868433516065</v>
      </c>
      <c r="CS9">
        <v>270.91116266432448</v>
      </c>
      <c r="CT9">
        <v>0.49904030710172748</v>
      </c>
      <c r="CU9" s="7">
        <v>-2.4768218398094179E-3</v>
      </c>
      <c r="CV9" s="8">
        <v>1.5849731862545013E-2</v>
      </c>
      <c r="CW9">
        <v>0.06</v>
      </c>
      <c r="CX9">
        <v>59.903024578078572</v>
      </c>
      <c r="CY9" t="s">
        <v>2064</v>
      </c>
      <c r="CZ9">
        <v>-2.4768218398094179E-3</v>
      </c>
      <c r="DA9">
        <v>19.967674859359523</v>
      </c>
      <c r="DB9" t="s">
        <v>2065</v>
      </c>
      <c r="DC9">
        <v>-2.3529807478189467E-3</v>
      </c>
      <c r="DD9">
        <v>9.9838374296797614</v>
      </c>
      <c r="DE9" t="s">
        <v>2066</v>
      </c>
      <c r="DF9">
        <v>-2.179603219032288E-3</v>
      </c>
      <c r="DG9">
        <v>5.9903024578078572</v>
      </c>
      <c r="DH9" t="s">
        <v>2067</v>
      </c>
      <c r="DI9">
        <v>-1.9814574718475344E-3</v>
      </c>
      <c r="DJ9">
        <v>2.9951512289039286</v>
      </c>
      <c r="DK9" t="s">
        <v>2068</v>
      </c>
      <c r="DL9">
        <v>-1.7337752878665924E-3</v>
      </c>
      <c r="DM9">
        <v>44356600</v>
      </c>
      <c r="DN9">
        <v>-2.4768218398094179E-3</v>
      </c>
      <c r="DO9">
        <v>2657094500</v>
      </c>
      <c r="DP9">
        <v>1120302700</v>
      </c>
      <c r="DQ9">
        <v>282</v>
      </c>
      <c r="DR9">
        <v>-7.5432182403507827E-3</v>
      </c>
      <c r="DS9">
        <v>1.6207580534109212</v>
      </c>
      <c r="DT9" s="9">
        <v>-0.55666666666666664</v>
      </c>
      <c r="DU9">
        <v>0.46666666666666662</v>
      </c>
      <c r="DV9">
        <v>-9.0000000000000024E-2</v>
      </c>
      <c r="DW9">
        <v>6.3522364217252392</v>
      </c>
      <c r="DX9">
        <v>0.41808626373626367</v>
      </c>
      <c r="DY9">
        <v>6.0592061040796263</v>
      </c>
      <c r="DZ9">
        <v>1914</v>
      </c>
      <c r="EA9">
        <v>6.037029884273676</v>
      </c>
      <c r="EB9">
        <v>6</v>
      </c>
      <c r="EC9">
        <v>5.1329438273555537E-2</v>
      </c>
      <c r="ED9">
        <v>0.3053755680719642</v>
      </c>
      <c r="EE9" s="10">
        <v>-4.0420100000000003</v>
      </c>
      <c r="EF9">
        <v>-4.0519100000000003</v>
      </c>
      <c r="EG9">
        <v>25.168086263736264</v>
      </c>
      <c r="EH9" t="s">
        <v>3135</v>
      </c>
      <c r="EI9">
        <v>0</v>
      </c>
      <c r="EJ9">
        <v>0</v>
      </c>
      <c r="EK9" s="11">
        <v>45470</v>
      </c>
      <c r="EL9" s="12">
        <v>1.6</v>
      </c>
      <c r="EM9" s="12">
        <v>-4.54</v>
      </c>
      <c r="EN9" s="12">
        <v>0.62</v>
      </c>
      <c r="EO9" s="12">
        <v>3.7</v>
      </c>
      <c r="EP9" s="12">
        <v>-0.99</v>
      </c>
    </row>
    <row r="10" spans="1:146" ht="108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市值52.391935亿, 利润8331.42万; PE81.04; 平均PE20.52; 平均PEG.68, PB1; ROIC.03%; ROE-.2433%; 股利率0%; 毛利60.4033%; 净利-9.6967%; 上一年度营收增-12.78%, 利润增277.45%; 当季营收增-25.19%, 利润增-1003.79%; 过往5年营收增-30.12%, 利润增19.29%
Income profile:
</v>
      </c>
      <c r="D10" t="s">
        <v>172</v>
      </c>
      <c r="E10" t="s">
        <v>33</v>
      </c>
      <c r="F10">
        <v>2.42</v>
      </c>
      <c r="G10">
        <v>10</v>
      </c>
      <c r="H10" t="s">
        <v>3136</v>
      </c>
      <c r="I10">
        <v>5239193500</v>
      </c>
      <c r="J10">
        <v>81.040000000000006</v>
      </c>
      <c r="K10">
        <v>1</v>
      </c>
      <c r="L10" t="s">
        <v>100</v>
      </c>
      <c r="M10" t="s">
        <v>93</v>
      </c>
      <c r="N10" t="s">
        <v>3137</v>
      </c>
      <c r="O10" t="s">
        <v>288</v>
      </c>
      <c r="P10">
        <v>-25.09</v>
      </c>
      <c r="Q10" t="s">
        <v>1466</v>
      </c>
      <c r="R10">
        <v>-16805073</v>
      </c>
      <c r="S10" s="5">
        <v>-10.039999999999999</v>
      </c>
      <c r="T10" t="s">
        <v>2070</v>
      </c>
      <c r="U10">
        <v>2164618500</v>
      </c>
      <c r="V10">
        <v>2164956000</v>
      </c>
      <c r="W10">
        <v>1.03</v>
      </c>
      <c r="X10">
        <v>0.02</v>
      </c>
      <c r="Y10">
        <v>-21.35</v>
      </c>
      <c r="Z10" t="s">
        <v>348</v>
      </c>
      <c r="AA10" t="s">
        <v>3138</v>
      </c>
      <c r="AB10" t="s">
        <v>3139</v>
      </c>
      <c r="AC10" t="s">
        <v>3140</v>
      </c>
      <c r="AD10" t="s">
        <v>81</v>
      </c>
      <c r="AE10">
        <v>-16919544</v>
      </c>
      <c r="AF10" t="s">
        <v>2071</v>
      </c>
      <c r="AG10" t="s">
        <v>1982</v>
      </c>
      <c r="AH10" t="s">
        <v>2072</v>
      </c>
      <c r="AI10" t="s">
        <v>3141</v>
      </c>
      <c r="AJ10" t="s">
        <v>2073</v>
      </c>
      <c r="AK10" t="s">
        <v>3142</v>
      </c>
      <c r="AL10" t="s">
        <v>2074</v>
      </c>
      <c r="AM10" t="s">
        <v>81</v>
      </c>
      <c r="AN10" t="s">
        <v>3143</v>
      </c>
      <c r="AO10" t="s">
        <v>3144</v>
      </c>
      <c r="AP10" t="s">
        <v>81</v>
      </c>
      <c r="AQ10" t="s">
        <v>3145</v>
      </c>
      <c r="AR10" t="s">
        <v>81</v>
      </c>
      <c r="AS10" t="s">
        <v>381</v>
      </c>
      <c r="AT10" t="s">
        <v>81</v>
      </c>
      <c r="AU10" t="s">
        <v>3146</v>
      </c>
      <c r="AV10" t="s">
        <v>3147</v>
      </c>
      <c r="AW10" t="s">
        <v>3148</v>
      </c>
      <c r="AX10" t="s">
        <v>1619</v>
      </c>
      <c r="AY10" t="s">
        <v>999</v>
      </c>
      <c r="AZ10" t="s">
        <v>583</v>
      </c>
      <c r="BA10" t="s">
        <v>585</v>
      </c>
      <c r="BB10" t="s">
        <v>586</v>
      </c>
      <c r="BC10" t="s">
        <v>2075</v>
      </c>
      <c r="BD10" t="s">
        <v>1194</v>
      </c>
      <c r="BE10" t="s">
        <v>262</v>
      </c>
      <c r="BF10" t="s">
        <v>257</v>
      </c>
      <c r="BG10" t="s">
        <v>587</v>
      </c>
      <c r="BH10" t="s">
        <v>1466</v>
      </c>
      <c r="BI10" t="s">
        <v>263</v>
      </c>
      <c r="BJ10" t="s">
        <v>1619</v>
      </c>
      <c r="BK10" t="s">
        <v>2070</v>
      </c>
      <c r="BL10" t="s">
        <v>1832</v>
      </c>
      <c r="BM10" t="s">
        <v>2075</v>
      </c>
      <c r="BN10">
        <v>0.03</v>
      </c>
      <c r="BO10" t="s">
        <v>81</v>
      </c>
      <c r="BP10" t="s">
        <v>81</v>
      </c>
      <c r="BQ10">
        <v>1.17</v>
      </c>
      <c r="BR10">
        <v>-0.88</v>
      </c>
      <c r="BS10">
        <v>-1.02</v>
      </c>
      <c r="BT10" t="s">
        <v>1526</v>
      </c>
      <c r="BU10" t="s">
        <v>1354</v>
      </c>
      <c r="BV10">
        <v>58.74</v>
      </c>
      <c r="BW10">
        <v>55.49</v>
      </c>
      <c r="BX10">
        <v>66.98</v>
      </c>
      <c r="BY10">
        <v>10.89</v>
      </c>
      <c r="BZ10">
        <v>-26.88</v>
      </c>
      <c r="CA10">
        <v>-13.1</v>
      </c>
      <c r="CB10">
        <v>16.350000000000001</v>
      </c>
      <c r="CC10">
        <v>-6.2</v>
      </c>
      <c r="CD10" t="s">
        <v>1606</v>
      </c>
      <c r="CE10" t="s">
        <v>1834</v>
      </c>
      <c r="CF10" s="7">
        <v>-0.25185185185185183</v>
      </c>
      <c r="CG10" s="8">
        <v>-10.037900935785737</v>
      </c>
      <c r="CH10" s="7">
        <v>-0.1278458833694458</v>
      </c>
      <c r="CI10" s="7">
        <v>-0.2220708429813385</v>
      </c>
      <c r="CJ10" s="7">
        <v>-0.2377985417842865</v>
      </c>
      <c r="CK10" s="7">
        <v>-0.45746481418609619</v>
      </c>
      <c r="CL10" s="7">
        <v>-0.460650235414505</v>
      </c>
      <c r="CM10" s="8">
        <v>2.7744886875152588</v>
      </c>
      <c r="CN10" s="8">
        <v>0.18462051451206207</v>
      </c>
      <c r="CO10" s="8">
        <v>-1.2020417451858521</v>
      </c>
      <c r="CP10" s="8">
        <v>-0.15430267155170441</v>
      </c>
      <c r="CQ10" s="8">
        <v>-0.63802361488342285</v>
      </c>
      <c r="CR10">
        <v>20.521965539203642</v>
      </c>
      <c r="CS10">
        <v>0.68141693315295548</v>
      </c>
      <c r="CT10">
        <v>0</v>
      </c>
      <c r="CU10" s="7">
        <v>-0.30116606354713438</v>
      </c>
      <c r="CV10" s="8">
        <v>0.19294823408126832</v>
      </c>
      <c r="CW10">
        <v>0.06</v>
      </c>
      <c r="CX10" t="e">
        <v>#VALUE!</v>
      </c>
      <c r="CY10" t="s">
        <v>2076</v>
      </c>
      <c r="CZ10">
        <v>-0.30116606354713438</v>
      </c>
      <c r="DA10">
        <v>0.67692942299551973</v>
      </c>
      <c r="DB10" t="s">
        <v>2077</v>
      </c>
      <c r="DC10">
        <v>-0.28610776036977764</v>
      </c>
      <c r="DD10">
        <v>0.33846471149775986</v>
      </c>
      <c r="DE10" t="s">
        <v>2078</v>
      </c>
      <c r="DF10">
        <v>-0.26502613592147828</v>
      </c>
      <c r="DG10">
        <v>0.20307882689865592</v>
      </c>
      <c r="DH10" t="s">
        <v>2079</v>
      </c>
      <c r="DI10">
        <v>-0.24093285083770752</v>
      </c>
      <c r="DJ10">
        <v>0.10153941344932796</v>
      </c>
      <c r="DK10" t="s">
        <v>2080</v>
      </c>
      <c r="DL10">
        <v>-0.21081624448299405</v>
      </c>
      <c r="DM10">
        <v>83314200</v>
      </c>
      <c r="DN10">
        <v>-0.30116606354713438</v>
      </c>
      <c r="DO10">
        <v>169193500</v>
      </c>
      <c r="DP10">
        <v>3414416000</v>
      </c>
      <c r="DQ10">
        <v>302</v>
      </c>
      <c r="DR10">
        <v>4.931421169528255E-2</v>
      </c>
      <c r="DS10">
        <v>-10.230849169867005</v>
      </c>
      <c r="DT10" s="9">
        <v>-0.94</v>
      </c>
      <c r="DU10">
        <v>-1.8650000000000002</v>
      </c>
      <c r="DV10">
        <v>-2.8050000000000002</v>
      </c>
      <c r="DW10">
        <v>5.379204892966361</v>
      </c>
      <c r="DX10">
        <v>0.62341772151898667</v>
      </c>
      <c r="DY10">
        <v>5.1416018271203496</v>
      </c>
      <c r="DZ10">
        <v>4837</v>
      </c>
      <c r="EA10">
        <v>5.0075650291201281</v>
      </c>
      <c r="EB10">
        <v>5</v>
      </c>
      <c r="EC10">
        <v>0.10900914383479388</v>
      </c>
      <c r="ED10">
        <v>0.29192279196436327</v>
      </c>
      <c r="EE10" s="10">
        <v>1.1415999999999999</v>
      </c>
      <c r="EF10">
        <v>1.097</v>
      </c>
      <c r="EG10">
        <v>25.373417721518987</v>
      </c>
      <c r="EH10" t="s">
        <v>1364</v>
      </c>
      <c r="EI10">
        <v>1</v>
      </c>
      <c r="EJ10">
        <v>0</v>
      </c>
      <c r="EK10" s="11">
        <v>45470</v>
      </c>
      <c r="EL10" s="12">
        <v>0.46</v>
      </c>
      <c r="EM10" s="12">
        <v>-4.55</v>
      </c>
      <c r="EN10" s="12">
        <v>1.43</v>
      </c>
      <c r="EO10" s="12">
        <v>5.16</v>
      </c>
      <c r="EP10" s="12">
        <v>-4.46</v>
      </c>
    </row>
    <row r="11" spans="1:146" ht="96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市值7.3901045亿, 利润-2.15亿; PE; 平均PE-2.03; 平均PEG-.09, PB; ROIC0%; ROE-38.7467%; 股利率0%; 毛利70.0467%; 净利-22.1233%; 上一年度营收增-21.88%, 利润增-74.8%; 当季营收增-42.61%, 利润增174.15%; 过往5年营收增-21.7%, 利润增-121.3%
Income profile:
</v>
      </c>
      <c r="D11" t="s">
        <v>196</v>
      </c>
      <c r="E11" t="s">
        <v>3149</v>
      </c>
      <c r="F11">
        <v>0.84</v>
      </c>
      <c r="G11">
        <v>5</v>
      </c>
      <c r="H11" t="s">
        <v>3150</v>
      </c>
      <c r="I11">
        <v>739010450</v>
      </c>
      <c r="L11" t="s">
        <v>100</v>
      </c>
      <c r="M11" t="s">
        <v>1949</v>
      </c>
      <c r="N11" t="s">
        <v>2122</v>
      </c>
      <c r="O11" t="s">
        <v>288</v>
      </c>
      <c r="P11">
        <v>-42.87</v>
      </c>
      <c r="Q11" t="s">
        <v>1870</v>
      </c>
      <c r="R11">
        <v>3505294</v>
      </c>
      <c r="S11" s="5">
        <v>1.7410000000000001</v>
      </c>
      <c r="T11" t="s">
        <v>2081</v>
      </c>
      <c r="U11">
        <v>788907740</v>
      </c>
      <c r="V11">
        <v>879774350</v>
      </c>
      <c r="W11" t="s">
        <v>81</v>
      </c>
      <c r="X11">
        <v>0.09</v>
      </c>
      <c r="Y11">
        <v>4.97</v>
      </c>
      <c r="Z11" t="s">
        <v>364</v>
      </c>
      <c r="AA11" t="s">
        <v>3151</v>
      </c>
      <c r="AB11" t="s">
        <v>3152</v>
      </c>
      <c r="AC11" t="s">
        <v>3153</v>
      </c>
      <c r="AD11" t="s">
        <v>81</v>
      </c>
      <c r="AE11">
        <v>9456431</v>
      </c>
      <c r="AF11" t="s">
        <v>2082</v>
      </c>
      <c r="AG11" t="s">
        <v>3154</v>
      </c>
      <c r="AH11" t="s">
        <v>2083</v>
      </c>
      <c r="AI11" t="s">
        <v>81</v>
      </c>
      <c r="AJ11" t="s">
        <v>2084</v>
      </c>
      <c r="AK11" t="s">
        <v>3155</v>
      </c>
      <c r="AL11" t="s">
        <v>2085</v>
      </c>
      <c r="AM11" t="s">
        <v>81</v>
      </c>
      <c r="AN11" t="s">
        <v>2086</v>
      </c>
      <c r="AO11" t="s">
        <v>470</v>
      </c>
      <c r="AP11" t="s">
        <v>81</v>
      </c>
      <c r="AQ11" t="s">
        <v>396</v>
      </c>
      <c r="AR11" t="s">
        <v>81</v>
      </c>
      <c r="AS11" t="s">
        <v>3156</v>
      </c>
      <c r="AT11" t="s">
        <v>3157</v>
      </c>
      <c r="AU11" t="s">
        <v>3158</v>
      </c>
      <c r="AV11" t="s">
        <v>3159</v>
      </c>
      <c r="AW11" t="s">
        <v>3160</v>
      </c>
      <c r="AX11" t="s">
        <v>1483</v>
      </c>
      <c r="AY11" t="s">
        <v>332</v>
      </c>
      <c r="AZ11" t="s">
        <v>588</v>
      </c>
      <c r="BA11" t="s">
        <v>590</v>
      </c>
      <c r="BB11" t="s">
        <v>591</v>
      </c>
      <c r="BC11" t="s">
        <v>1366</v>
      </c>
      <c r="BD11" t="s">
        <v>1955</v>
      </c>
      <c r="BE11" t="s">
        <v>2087</v>
      </c>
      <c r="BF11" t="s">
        <v>2088</v>
      </c>
      <c r="BG11" t="s">
        <v>387</v>
      </c>
      <c r="BH11" t="s">
        <v>1870</v>
      </c>
      <c r="BI11" t="s">
        <v>270</v>
      </c>
      <c r="BJ11" t="s">
        <v>1483</v>
      </c>
      <c r="BK11" t="s">
        <v>2081</v>
      </c>
      <c r="BL11" t="s">
        <v>1833</v>
      </c>
      <c r="BM11" t="s">
        <v>1366</v>
      </c>
      <c r="BN11" t="s">
        <v>81</v>
      </c>
      <c r="BO11" t="s">
        <v>81</v>
      </c>
      <c r="BP11" t="s">
        <v>81</v>
      </c>
      <c r="BQ11">
        <v>-24.13</v>
      </c>
      <c r="BR11">
        <v>-52.93</v>
      </c>
      <c r="BS11">
        <v>-39.18</v>
      </c>
      <c r="BT11" t="s">
        <v>1526</v>
      </c>
      <c r="BU11" t="s">
        <v>1354</v>
      </c>
      <c r="BV11">
        <v>71.760000000000005</v>
      </c>
      <c r="BW11">
        <v>76.290000000000006</v>
      </c>
      <c r="BX11">
        <v>62.09</v>
      </c>
      <c r="BY11">
        <v>-31.44</v>
      </c>
      <c r="BZ11">
        <v>-11.42</v>
      </c>
      <c r="CA11">
        <v>-23.51</v>
      </c>
      <c r="CB11">
        <v>5</v>
      </c>
      <c r="CC11">
        <v>-58.82</v>
      </c>
      <c r="CD11" t="s">
        <v>3161</v>
      </c>
      <c r="CE11" t="s">
        <v>1810</v>
      </c>
      <c r="CF11" s="7">
        <v>-0.42613636363636365</v>
      </c>
      <c r="CG11" s="8">
        <v>1.7415094634756765</v>
      </c>
      <c r="CH11" s="7">
        <v>-0.21878716349601746</v>
      </c>
      <c r="CI11" s="7">
        <v>3.6991368979215622E-2</v>
      </c>
      <c r="CJ11" s="7">
        <v>-7.6309792697429657E-2</v>
      </c>
      <c r="CK11" s="7">
        <v>-0.3467261791229248</v>
      </c>
      <c r="CL11" s="7">
        <v>-0.48027840256690979</v>
      </c>
      <c r="CM11" s="8">
        <v>-0.74796748161315918</v>
      </c>
      <c r="CN11" s="8">
        <v>0.19607843458652496</v>
      </c>
      <c r="CO11" s="8">
        <v>0.84210526943206787</v>
      </c>
      <c r="CP11" s="8">
        <v>-8.8764041662216187E-2</v>
      </c>
      <c r="CQ11" s="8">
        <v>-6.2662720680236816</v>
      </c>
      <c r="CR11">
        <v>-2.0330411279229712</v>
      </c>
      <c r="CS11">
        <v>-9.3679019245404893E-2</v>
      </c>
      <c r="CT11">
        <v>0</v>
      </c>
      <c r="CU11" s="7">
        <v>-0.21702203378081322</v>
      </c>
      <c r="CV11" s="8">
        <v>-1.2129639774560927</v>
      </c>
      <c r="CW11">
        <v>0.06</v>
      </c>
      <c r="CX11" t="e">
        <v>#VALUE!</v>
      </c>
      <c r="CY11" t="s">
        <v>1362</v>
      </c>
      <c r="CZ11">
        <v>-0.21702203378081322</v>
      </c>
      <c r="DA11" t="e">
        <v>#VALUE!</v>
      </c>
      <c r="DB11" t="s">
        <v>1362</v>
      </c>
      <c r="DC11">
        <v>-0.20617093209177256</v>
      </c>
      <c r="DD11" t="e">
        <v>#VALUE!</v>
      </c>
      <c r="DE11" t="s">
        <v>1362</v>
      </c>
      <c r="DF11">
        <v>-0.19097938972711564</v>
      </c>
      <c r="DG11" t="e">
        <v>#VALUE!</v>
      </c>
      <c r="DH11" t="s">
        <v>1362</v>
      </c>
      <c r="DI11">
        <v>-0.17361762702465058</v>
      </c>
      <c r="DJ11" t="e">
        <v>#VALUE!</v>
      </c>
      <c r="DK11" t="s">
        <v>1362</v>
      </c>
      <c r="DL11">
        <v>-0.15191542364656924</v>
      </c>
      <c r="DM11">
        <v>-215000000</v>
      </c>
      <c r="DN11">
        <v>-0.21702203378081322</v>
      </c>
      <c r="DO11">
        <v>2102010450</v>
      </c>
      <c r="DP11">
        <v>-819122080</v>
      </c>
      <c r="DQ11">
        <v>361</v>
      </c>
      <c r="DR11">
        <v>-0.20911432985555042</v>
      </c>
      <c r="DS11">
        <v>2.9544734409317694</v>
      </c>
      <c r="DT11" s="9">
        <v>-0.82333333333333325</v>
      </c>
      <c r="DU11">
        <v>-1.7599999999999998</v>
      </c>
      <c r="DV11">
        <v>-2.583333333333333</v>
      </c>
      <c r="DW11">
        <v>6.0783453462864303</v>
      </c>
      <c r="DX11">
        <v>7.1232352941176205E-2</v>
      </c>
      <c r="DY11">
        <v>6.0016634560436524</v>
      </c>
      <c r="DZ11">
        <v>4724</v>
      </c>
      <c r="EA11">
        <v>6.00012565440956</v>
      </c>
      <c r="EB11">
        <v>6</v>
      </c>
      <c r="EC11">
        <v>1.6411026304642775E-2</v>
      </c>
      <c r="ED11">
        <v>0.77292546662675488</v>
      </c>
      <c r="EE11" s="10">
        <v>-5.0370100000000004</v>
      </c>
      <c r="EF11">
        <v>-5.0825100000000001</v>
      </c>
      <c r="EG11">
        <v>5.0212323529411762</v>
      </c>
      <c r="EH11" t="s">
        <v>3162</v>
      </c>
      <c r="EI11">
        <v>0</v>
      </c>
      <c r="EJ11">
        <v>0</v>
      </c>
      <c r="EK11" s="11">
        <v>45470</v>
      </c>
      <c r="EL11" s="12">
        <v>-4.63</v>
      </c>
      <c r="EM11" s="12">
        <v>-4.8499999999999996</v>
      </c>
      <c r="EN11" s="12">
        <v>-5.0999999999999996</v>
      </c>
      <c r="EO11" s="12">
        <v>-5.38</v>
      </c>
      <c r="EP11" s="12">
        <v>-4.55</v>
      </c>
    </row>
    <row r="12" spans="1:146" ht="108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市值70.322879亿, 利润5.85亿; PE11.92; 平均PE19.93; 平均PEG1.92, PB2.23; ROIC23%; ROE19.0233%; 股利率6.6644%; 毛利77.96%; 净利40.9133%; 上一年度营收增6.11%, 利润增11.01%; 当季营收增1.96%, 利润增2.83%; 过往5年营收增10.41%, 利润增35.97%
Income profile:
</v>
      </c>
      <c r="D12" t="s">
        <v>156</v>
      </c>
      <c r="E12" t="s">
        <v>593</v>
      </c>
      <c r="F12">
        <v>30.01</v>
      </c>
      <c r="G12">
        <v>2.88</v>
      </c>
      <c r="H12" t="s">
        <v>3163</v>
      </c>
      <c r="I12">
        <v>7032287900</v>
      </c>
      <c r="J12">
        <v>11.92</v>
      </c>
      <c r="K12">
        <v>2.23</v>
      </c>
      <c r="L12" t="s">
        <v>100</v>
      </c>
      <c r="M12" t="s">
        <v>2089</v>
      </c>
      <c r="N12" t="s">
        <v>3164</v>
      </c>
      <c r="O12" t="s">
        <v>1407</v>
      </c>
      <c r="P12">
        <v>1.85</v>
      </c>
      <c r="Q12" t="s">
        <v>1732</v>
      </c>
      <c r="R12">
        <v>168635230</v>
      </c>
      <c r="S12" s="5">
        <v>0.03</v>
      </c>
      <c r="T12" t="s">
        <v>524</v>
      </c>
      <c r="U12">
        <v>234207240</v>
      </c>
      <c r="V12">
        <v>234331490</v>
      </c>
      <c r="W12">
        <v>1.22</v>
      </c>
      <c r="X12">
        <v>0.11</v>
      </c>
      <c r="Y12">
        <v>55.72</v>
      </c>
      <c r="Z12" t="s">
        <v>311</v>
      </c>
      <c r="AA12" t="s">
        <v>3165</v>
      </c>
      <c r="AB12" t="s">
        <v>3166</v>
      </c>
      <c r="AC12" t="s">
        <v>3167</v>
      </c>
      <c r="AD12" t="s">
        <v>81</v>
      </c>
      <c r="AE12">
        <v>-10295527</v>
      </c>
      <c r="AF12" t="s">
        <v>2090</v>
      </c>
      <c r="AG12" t="s">
        <v>3168</v>
      </c>
      <c r="AH12" t="s">
        <v>2091</v>
      </c>
      <c r="AI12" t="s">
        <v>3169</v>
      </c>
      <c r="AJ12" t="s">
        <v>2092</v>
      </c>
      <c r="AK12" t="s">
        <v>357</v>
      </c>
      <c r="AL12" t="s">
        <v>2093</v>
      </c>
      <c r="AM12" t="s">
        <v>81</v>
      </c>
      <c r="AN12" t="s">
        <v>3170</v>
      </c>
      <c r="AO12" t="s">
        <v>81</v>
      </c>
      <c r="AP12" t="s">
        <v>81</v>
      </c>
      <c r="AQ12" t="s">
        <v>3171</v>
      </c>
      <c r="AR12" t="s">
        <v>3172</v>
      </c>
      <c r="AS12" t="s">
        <v>3173</v>
      </c>
      <c r="AT12" t="s">
        <v>81</v>
      </c>
      <c r="AU12" t="s">
        <v>243</v>
      </c>
      <c r="AV12" t="s">
        <v>3174</v>
      </c>
      <c r="AW12" t="s">
        <v>3175</v>
      </c>
      <c r="AX12" t="s">
        <v>1620</v>
      </c>
      <c r="AY12" t="s">
        <v>1195</v>
      </c>
      <c r="AZ12" t="s">
        <v>594</v>
      </c>
      <c r="BA12" t="s">
        <v>596</v>
      </c>
      <c r="BB12" t="s">
        <v>597</v>
      </c>
      <c r="BC12" t="s">
        <v>1621</v>
      </c>
      <c r="BD12" t="s">
        <v>1092</v>
      </c>
      <c r="BE12" t="s">
        <v>417</v>
      </c>
      <c r="BF12" t="s">
        <v>264</v>
      </c>
      <c r="BG12" t="s">
        <v>312</v>
      </c>
      <c r="BH12" t="s">
        <v>1732</v>
      </c>
      <c r="BI12" t="s">
        <v>1836</v>
      </c>
      <c r="BJ12" t="s">
        <v>1620</v>
      </c>
      <c r="BK12" t="s">
        <v>524</v>
      </c>
      <c r="BL12" t="s">
        <v>307</v>
      </c>
      <c r="BM12" t="s">
        <v>1621</v>
      </c>
      <c r="BN12">
        <v>20.85</v>
      </c>
      <c r="BO12">
        <v>26.31</v>
      </c>
      <c r="BP12">
        <v>21.84</v>
      </c>
      <c r="BQ12">
        <v>16.87</v>
      </c>
      <c r="BR12">
        <v>22.11</v>
      </c>
      <c r="BS12">
        <v>18.09</v>
      </c>
      <c r="BT12" t="s">
        <v>2094</v>
      </c>
      <c r="BU12" t="s">
        <v>1354</v>
      </c>
      <c r="BV12">
        <v>86.41</v>
      </c>
      <c r="BW12">
        <v>78.569999999999993</v>
      </c>
      <c r="BX12">
        <v>68.900000000000006</v>
      </c>
      <c r="BY12">
        <v>45.37</v>
      </c>
      <c r="BZ12">
        <v>42.63</v>
      </c>
      <c r="CA12">
        <v>34.74</v>
      </c>
      <c r="CB12">
        <v>-0.5</v>
      </c>
      <c r="CC12">
        <v>-6.97</v>
      </c>
      <c r="CD12" t="s">
        <v>3176</v>
      </c>
      <c r="CE12" t="s">
        <v>3177</v>
      </c>
      <c r="CF12" s="7">
        <v>1.9607843137254902E-2</v>
      </c>
      <c r="CG12" s="8">
        <v>2.8263597560975611E-2</v>
      </c>
      <c r="CH12" s="7">
        <v>6.1085034161806107E-2</v>
      </c>
      <c r="CI12" s="7">
        <v>0.15490865707397461</v>
      </c>
      <c r="CJ12" s="7">
        <v>0.11312472820281982</v>
      </c>
      <c r="CK12" s="7">
        <v>1.1666631326079369E-2</v>
      </c>
      <c r="CL12" s="7">
        <v>0.17955438792705536</v>
      </c>
      <c r="CM12" s="8">
        <v>0.11005692929029465</v>
      </c>
      <c r="CN12" s="8">
        <v>0.38684210181236267</v>
      </c>
      <c r="CO12" s="8">
        <v>0.30584192276000977</v>
      </c>
      <c r="CP12" s="8">
        <v>0.42647057771682739</v>
      </c>
      <c r="CQ12" s="8">
        <v>0.56923079490661621</v>
      </c>
      <c r="CR12">
        <v>19.930905715635333</v>
      </c>
      <c r="CS12">
        <v>1.9151830741243314</v>
      </c>
      <c r="CT12">
        <v>6.6644451849383533</v>
      </c>
      <c r="CU12" s="7">
        <v>0.10406788773834705</v>
      </c>
      <c r="CV12" s="8">
        <v>0.35968846529722215</v>
      </c>
      <c r="CW12">
        <v>0.06</v>
      </c>
      <c r="CX12">
        <v>5.6182058261133481</v>
      </c>
      <c r="CY12">
        <v>609320485.21408772</v>
      </c>
      <c r="CZ12">
        <v>0.10406788773834705</v>
      </c>
      <c r="DA12">
        <v>1.8142706309959404</v>
      </c>
      <c r="DB12">
        <v>1886867285.1308806</v>
      </c>
      <c r="DC12">
        <v>9.8864493351429689E-2</v>
      </c>
      <c r="DD12">
        <v>0.87895574119591569</v>
      </c>
      <c r="DE12">
        <v>3894721587.8495102</v>
      </c>
      <c r="DF12">
        <v>9.1579741209745408E-2</v>
      </c>
      <c r="DG12">
        <v>0.51833336047695955</v>
      </c>
      <c r="DH12">
        <v>6604413609.1297731</v>
      </c>
      <c r="DI12">
        <v>8.3254310190677638E-2</v>
      </c>
      <c r="DJ12">
        <v>0.25720102523123489</v>
      </c>
      <c r="DK12">
        <v>13309775483.6798</v>
      </c>
      <c r="DL12">
        <v>7.2847521416842934E-2</v>
      </c>
      <c r="DM12">
        <v>585000000</v>
      </c>
      <c r="DN12">
        <v>0.10406788773834705</v>
      </c>
      <c r="DO12">
        <v>3423287900</v>
      </c>
      <c r="DP12">
        <v>2931465900</v>
      </c>
      <c r="DQ12">
        <v>367</v>
      </c>
      <c r="DR12">
        <v>-8.4460044601092146E-2</v>
      </c>
      <c r="DS12">
        <v>-0.33142486773624652</v>
      </c>
      <c r="DT12" s="9">
        <v>-0.19000000000000003</v>
      </c>
      <c r="DU12">
        <v>0.49999999999999994</v>
      </c>
      <c r="DV12">
        <v>0.30999999999999994</v>
      </c>
      <c r="DW12">
        <v>-2.0697000000000001</v>
      </c>
      <c r="DX12">
        <v>0.39074408572384312</v>
      </c>
      <c r="DY12">
        <v>-2.0119008627749517</v>
      </c>
      <c r="DZ12">
        <v>1029</v>
      </c>
      <c r="EA12">
        <v>-2.009504387668215</v>
      </c>
      <c r="EB12">
        <v>2</v>
      </c>
      <c r="EC12">
        <v>4.421983575489577E-2</v>
      </c>
      <c r="ED12">
        <v>0.25898311831670595</v>
      </c>
      <c r="EE12" s="10">
        <v>1.0497099999999999</v>
      </c>
      <c r="EF12">
        <v>1.06891</v>
      </c>
      <c r="EG12">
        <v>22.170744085723843</v>
      </c>
      <c r="EH12" t="s">
        <v>1363</v>
      </c>
      <c r="EI12">
        <v>0</v>
      </c>
      <c r="EJ12">
        <v>1</v>
      </c>
      <c r="EK12" s="11">
        <v>45470</v>
      </c>
      <c r="EL12" s="12">
        <v>0.03</v>
      </c>
      <c r="EM12" s="12">
        <v>-3.14</v>
      </c>
      <c r="EN12" s="12">
        <v>1.5</v>
      </c>
      <c r="EO12" s="12">
        <v>0.86</v>
      </c>
      <c r="EP12" s="12">
        <v>-1.92</v>
      </c>
    </row>
    <row r="13" spans="1:146" ht="108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市值40.511498亿, 利润9965.26万; PE40.67; 平均PE31.25; 平均PEG70.84, PB.86; ROIC3.0633%; ROE3.64%; 股利率1.5528%; 毛利21.08%; 净利4.52%; 上一年度营收增4.31%, 利润增-5.09%; 当季营收增5.36%, 利润增-.09%; 过往5年营收增-.44%, 利润增-5.54%
Income profile:
</v>
      </c>
      <c r="D13" t="s">
        <v>170</v>
      </c>
      <c r="E13" t="s">
        <v>56</v>
      </c>
      <c r="F13">
        <v>6.44</v>
      </c>
      <c r="G13">
        <v>2.71</v>
      </c>
      <c r="H13" t="s">
        <v>3178</v>
      </c>
      <c r="I13">
        <v>4051149800</v>
      </c>
      <c r="J13">
        <v>40.67</v>
      </c>
      <c r="K13">
        <v>0.86</v>
      </c>
      <c r="L13" t="s">
        <v>100</v>
      </c>
      <c r="M13" t="s">
        <v>2095</v>
      </c>
      <c r="N13" t="s">
        <v>3179</v>
      </c>
      <c r="O13" t="s">
        <v>1845</v>
      </c>
      <c r="P13">
        <v>5.36</v>
      </c>
      <c r="Q13" t="s">
        <v>752</v>
      </c>
      <c r="R13">
        <v>43544729</v>
      </c>
      <c r="S13" s="5">
        <v>-9.3000000000000005E-4</v>
      </c>
      <c r="T13" t="s">
        <v>2096</v>
      </c>
      <c r="U13">
        <v>503881480</v>
      </c>
      <c r="V13">
        <v>629060530</v>
      </c>
      <c r="W13">
        <v>1.19</v>
      </c>
      <c r="X13">
        <v>0.15</v>
      </c>
      <c r="Y13">
        <v>6.32</v>
      </c>
      <c r="Z13" t="s">
        <v>2575</v>
      </c>
      <c r="AA13" t="s">
        <v>3180</v>
      </c>
      <c r="AB13" t="s">
        <v>3181</v>
      </c>
      <c r="AC13" t="s">
        <v>3182</v>
      </c>
      <c r="AD13" t="s">
        <v>81</v>
      </c>
      <c r="AE13">
        <v>-3389607</v>
      </c>
      <c r="AF13" t="s">
        <v>2097</v>
      </c>
      <c r="AG13" t="s">
        <v>3183</v>
      </c>
      <c r="AH13" t="s">
        <v>2098</v>
      </c>
      <c r="AI13" t="s">
        <v>3184</v>
      </c>
      <c r="AJ13" t="s">
        <v>2099</v>
      </c>
      <c r="AK13" t="s">
        <v>396</v>
      </c>
      <c r="AL13" t="s">
        <v>2100</v>
      </c>
      <c r="AM13" t="s">
        <v>81</v>
      </c>
      <c r="AN13" t="s">
        <v>3185</v>
      </c>
      <c r="AO13" t="s">
        <v>81</v>
      </c>
      <c r="AP13" t="s">
        <v>3186</v>
      </c>
      <c r="AQ13" t="s">
        <v>447</v>
      </c>
      <c r="AR13" t="s">
        <v>3187</v>
      </c>
      <c r="AS13" t="s">
        <v>1996</v>
      </c>
      <c r="AT13" t="s">
        <v>81</v>
      </c>
      <c r="AU13" t="s">
        <v>3188</v>
      </c>
      <c r="AV13" t="s">
        <v>1017</v>
      </c>
      <c r="AW13" t="s">
        <v>2988</v>
      </c>
      <c r="AX13" t="s">
        <v>1622</v>
      </c>
      <c r="AY13" t="s">
        <v>1196</v>
      </c>
      <c r="AZ13" t="s">
        <v>600</v>
      </c>
      <c r="BA13" t="s">
        <v>603</v>
      </c>
      <c r="BB13" t="s">
        <v>604</v>
      </c>
      <c r="BC13" t="s">
        <v>233</v>
      </c>
      <c r="BD13" t="s">
        <v>595</v>
      </c>
      <c r="BE13" t="s">
        <v>601</v>
      </c>
      <c r="BF13" t="s">
        <v>266</v>
      </c>
      <c r="BG13" t="s">
        <v>406</v>
      </c>
      <c r="BH13" t="s">
        <v>752</v>
      </c>
      <c r="BI13" t="s">
        <v>689</v>
      </c>
      <c r="BJ13" t="s">
        <v>1622</v>
      </c>
      <c r="BK13" t="s">
        <v>2096</v>
      </c>
      <c r="BL13" t="s">
        <v>1837</v>
      </c>
      <c r="BM13" t="s">
        <v>233</v>
      </c>
      <c r="BN13">
        <v>2.5499999999999998</v>
      </c>
      <c r="BO13">
        <v>2.68</v>
      </c>
      <c r="BP13">
        <v>3.96</v>
      </c>
      <c r="BQ13">
        <v>3.22</v>
      </c>
      <c r="BR13">
        <v>3.54</v>
      </c>
      <c r="BS13">
        <v>4.16</v>
      </c>
      <c r="BT13" t="s">
        <v>1525</v>
      </c>
      <c r="BU13" t="s">
        <v>1354</v>
      </c>
      <c r="BV13">
        <v>21.04</v>
      </c>
      <c r="BW13">
        <v>19.77</v>
      </c>
      <c r="BX13">
        <v>22.43</v>
      </c>
      <c r="BY13">
        <v>3.85</v>
      </c>
      <c r="BZ13">
        <v>4.26</v>
      </c>
      <c r="CA13">
        <v>5.45</v>
      </c>
      <c r="CB13">
        <v>2.88</v>
      </c>
      <c r="CC13">
        <v>-6.26</v>
      </c>
      <c r="CD13" t="s">
        <v>3189</v>
      </c>
      <c r="CE13" t="s">
        <v>349</v>
      </c>
      <c r="CF13" s="7">
        <v>5.3596614950634697E-2</v>
      </c>
      <c r="CG13" s="8">
        <v>-9.2625690889776551E-4</v>
      </c>
      <c r="CH13" s="7">
        <v>4.3054964393377304E-2</v>
      </c>
      <c r="CI13" s="7">
        <v>-4.9127757549285889E-2</v>
      </c>
      <c r="CJ13" s="7">
        <v>0.12180508673191071</v>
      </c>
      <c r="CK13" s="7">
        <v>-1.2228821404278278E-2</v>
      </c>
      <c r="CL13" s="7">
        <v>-0.12556053698062897</v>
      </c>
      <c r="CM13" s="8">
        <v>-5.0927620381116867E-2</v>
      </c>
      <c r="CN13" s="8">
        <v>-0.13223139941692352</v>
      </c>
      <c r="CO13" s="8">
        <v>0.85763740539550781</v>
      </c>
      <c r="CP13" s="8">
        <v>-0.55078279972076416</v>
      </c>
      <c r="CQ13" s="8">
        <v>-0.40082645416259766</v>
      </c>
      <c r="CR13">
        <v>31.251272099339008</v>
      </c>
      <c r="CS13">
        <v>70.841864885671228</v>
      </c>
      <c r="CT13">
        <v>1.5527950310559004</v>
      </c>
      <c r="CU13" s="7">
        <v>-4.4114129617810246E-3</v>
      </c>
      <c r="CV13" s="8">
        <v>-5.5426173657178876E-2</v>
      </c>
      <c r="CW13">
        <v>0.06</v>
      </c>
      <c r="CX13">
        <v>4.4469466928108252</v>
      </c>
      <c r="CY13" t="s">
        <v>2101</v>
      </c>
      <c r="CZ13">
        <v>-4.4114129617810246E-3</v>
      </c>
      <c r="DA13">
        <v>1.482315564270275</v>
      </c>
      <c r="DB13" t="s">
        <v>2102</v>
      </c>
      <c r="DC13">
        <v>-4.1908423136919727E-3</v>
      </c>
      <c r="DD13">
        <v>0.7411577821351375</v>
      </c>
      <c r="DE13" t="s">
        <v>2103</v>
      </c>
      <c r="DF13">
        <v>-3.8820434063673017E-3</v>
      </c>
      <c r="DG13">
        <v>0.44469466928108248</v>
      </c>
      <c r="DH13" t="s">
        <v>2104</v>
      </c>
      <c r="DI13">
        <v>-3.5291303694248198E-3</v>
      </c>
      <c r="DJ13">
        <v>0.22234733464054124</v>
      </c>
      <c r="DK13" t="s">
        <v>2105</v>
      </c>
      <c r="DL13">
        <v>-3.087989073246717E-3</v>
      </c>
      <c r="DM13">
        <v>99652600</v>
      </c>
      <c r="DN13">
        <v>-4.4114129617810246E-3</v>
      </c>
      <c r="DO13">
        <v>443149800</v>
      </c>
      <c r="DP13">
        <v>2281124700</v>
      </c>
      <c r="DQ13">
        <v>369</v>
      </c>
      <c r="DR13">
        <v>5.8008027912415723E-2</v>
      </c>
      <c r="DS13">
        <v>5.4499916748281113E-2</v>
      </c>
      <c r="DT13" s="9">
        <v>-0.44</v>
      </c>
      <c r="DU13">
        <v>5.0000000000000044E-2</v>
      </c>
      <c r="DV13">
        <v>-0.38999999999999996</v>
      </c>
      <c r="DW13">
        <v>6.3150984682713345</v>
      </c>
      <c r="DX13">
        <v>0.45587807017543852</v>
      </c>
      <c r="DY13">
        <v>6.0459659564666586</v>
      </c>
      <c r="DZ13">
        <v>2648</v>
      </c>
      <c r="EA13">
        <v>6.0221464158162261</v>
      </c>
      <c r="EB13">
        <v>6</v>
      </c>
      <c r="EC13">
        <v>2.6436406684107173E-2</v>
      </c>
      <c r="ED13">
        <v>0.18122262415669282</v>
      </c>
      <c r="EE13" s="10">
        <v>-1.09101</v>
      </c>
      <c r="EF13">
        <v>-1.10521</v>
      </c>
      <c r="EG13">
        <v>31.145878070175439</v>
      </c>
      <c r="EH13" t="s">
        <v>1365</v>
      </c>
      <c r="EI13">
        <v>0</v>
      </c>
      <c r="EJ13">
        <v>0</v>
      </c>
      <c r="EK13" s="11">
        <v>45470</v>
      </c>
      <c r="EL13" s="12">
        <v>0.78</v>
      </c>
      <c r="EM13" s="12">
        <v>-4.05</v>
      </c>
      <c r="EN13" s="12">
        <v>0.81</v>
      </c>
      <c r="EO13" s="12">
        <v>2.42</v>
      </c>
      <c r="EP13" s="12">
        <v>-1.42</v>
      </c>
    </row>
    <row r="14" spans="1:146" ht="108" x14ac:dyDescent="0.25">
      <c r="A14" s="6"/>
      <c r="B14" s="6"/>
      <c r="C14" s="6" t="str">
        <f>""&amp;CHAR(10)&amp;Basic_Fundamental_Information_Constructure(F14)&amp;CHAR(10)&amp;Basic_Fundamental_Information_Concatenate("")</f>
        <v xml:space="preserve">
市值26.811321亿, 利润4878.16万; PE52.63; 平均PE147.6; 平均PEG25.17, PB1.73; ROIC3.7%; ROE-2.3167%; 股利率0%; 毛利55.69%; 净利-1.24%; 上一年度营收增10.53%, 利润增223.25%; 当季营收增3.06%, 利润增22.88%; 过往5年营收增5.86%, 利润增-66.15%
Income profile:
</v>
      </c>
      <c r="D14" t="s">
        <v>126</v>
      </c>
      <c r="E14" t="s">
        <v>5</v>
      </c>
      <c r="F14">
        <v>3.56</v>
      </c>
      <c r="G14">
        <v>2.89</v>
      </c>
      <c r="H14" t="s">
        <v>3190</v>
      </c>
      <c r="I14">
        <v>2681132100</v>
      </c>
      <c r="J14">
        <v>52.63</v>
      </c>
      <c r="K14">
        <v>1.73</v>
      </c>
      <c r="L14" t="s">
        <v>100</v>
      </c>
      <c r="M14" t="s">
        <v>2106</v>
      </c>
      <c r="N14" t="s">
        <v>3191</v>
      </c>
      <c r="O14" t="s">
        <v>437</v>
      </c>
      <c r="P14">
        <v>3.06</v>
      </c>
      <c r="Q14" t="s">
        <v>2108</v>
      </c>
      <c r="R14">
        <v>11631055</v>
      </c>
      <c r="S14" s="5">
        <v>0.2288</v>
      </c>
      <c r="T14" t="s">
        <v>2109</v>
      </c>
      <c r="U14">
        <v>746191980</v>
      </c>
      <c r="V14">
        <v>753126980</v>
      </c>
      <c r="W14">
        <v>2.13</v>
      </c>
      <c r="X14">
        <v>0.16</v>
      </c>
      <c r="Y14">
        <v>2.02</v>
      </c>
      <c r="Z14" t="s">
        <v>1852</v>
      </c>
      <c r="AA14" t="s">
        <v>384</v>
      </c>
      <c r="AB14" t="s">
        <v>2186</v>
      </c>
      <c r="AC14" t="s">
        <v>3192</v>
      </c>
      <c r="AD14" t="s">
        <v>81</v>
      </c>
      <c r="AE14">
        <v>13863390</v>
      </c>
      <c r="AF14" t="s">
        <v>2111</v>
      </c>
      <c r="AG14" t="s">
        <v>3193</v>
      </c>
      <c r="AH14" t="s">
        <v>2112</v>
      </c>
      <c r="AI14" t="s">
        <v>798</v>
      </c>
      <c r="AJ14" t="s">
        <v>2113</v>
      </c>
      <c r="AK14" t="s">
        <v>3194</v>
      </c>
      <c r="AL14" t="s">
        <v>2114</v>
      </c>
      <c r="AM14" t="s">
        <v>81</v>
      </c>
      <c r="AN14" t="s">
        <v>3195</v>
      </c>
      <c r="AO14" t="s">
        <v>1257</v>
      </c>
      <c r="AP14" t="s">
        <v>81</v>
      </c>
      <c r="AQ14" t="s">
        <v>415</v>
      </c>
      <c r="AR14" t="s">
        <v>3196</v>
      </c>
      <c r="AS14" t="s">
        <v>1861</v>
      </c>
      <c r="AT14" t="s">
        <v>3197</v>
      </c>
      <c r="AU14" t="s">
        <v>3198</v>
      </c>
      <c r="AV14" t="s">
        <v>3199</v>
      </c>
      <c r="AW14" t="s">
        <v>3200</v>
      </c>
      <c r="AX14" t="s">
        <v>1623</v>
      </c>
      <c r="AY14" t="s">
        <v>1197</v>
      </c>
      <c r="AZ14" t="s">
        <v>605</v>
      </c>
      <c r="BA14" t="s">
        <v>607</v>
      </c>
      <c r="BB14" t="s">
        <v>608</v>
      </c>
      <c r="BC14" t="s">
        <v>2115</v>
      </c>
      <c r="BD14" t="s">
        <v>1198</v>
      </c>
      <c r="BE14" t="s">
        <v>606</v>
      </c>
      <c r="BF14" t="s">
        <v>609</v>
      </c>
      <c r="BG14" t="s">
        <v>610</v>
      </c>
      <c r="BH14" t="s">
        <v>2108</v>
      </c>
      <c r="BI14" t="s">
        <v>1233</v>
      </c>
      <c r="BJ14" t="s">
        <v>1623</v>
      </c>
      <c r="BK14" t="s">
        <v>2109</v>
      </c>
      <c r="BL14" t="s">
        <v>1839</v>
      </c>
      <c r="BM14" t="s">
        <v>2115</v>
      </c>
      <c r="BN14">
        <v>3.7</v>
      </c>
      <c r="BO14" t="s">
        <v>81</v>
      </c>
      <c r="BP14" t="s">
        <v>81</v>
      </c>
      <c r="BQ14">
        <v>2.75</v>
      </c>
      <c r="BR14">
        <v>-2.76</v>
      </c>
      <c r="BS14">
        <v>-6.94</v>
      </c>
      <c r="BT14" t="s">
        <v>1526</v>
      </c>
      <c r="BU14" t="s">
        <v>1354</v>
      </c>
      <c r="BV14">
        <v>57.93</v>
      </c>
      <c r="BW14">
        <v>57.61</v>
      </c>
      <c r="BX14">
        <v>51.53</v>
      </c>
      <c r="BY14">
        <v>2.87</v>
      </c>
      <c r="BZ14">
        <v>-1.47</v>
      </c>
      <c r="CA14">
        <v>-5.12</v>
      </c>
      <c r="CB14">
        <v>0.85</v>
      </c>
      <c r="CC14">
        <v>-17.78</v>
      </c>
      <c r="CD14" t="s">
        <v>3201</v>
      </c>
      <c r="CE14" t="s">
        <v>304</v>
      </c>
      <c r="CF14" s="7">
        <v>3.0612244897959183E-2</v>
      </c>
      <c r="CG14" s="8">
        <v>0.22877102349560513</v>
      </c>
      <c r="CH14" s="7">
        <v>0.10533977299928665</v>
      </c>
      <c r="CI14" s="7">
        <v>5.316973477602005E-2</v>
      </c>
      <c r="CJ14" s="7">
        <v>9.2737428843975067E-2</v>
      </c>
      <c r="CK14" s="7">
        <v>-0.16159252822399139</v>
      </c>
      <c r="CL14" s="7">
        <v>0.20349496603012085</v>
      </c>
      <c r="CM14" s="8">
        <v>2.232450008392334</v>
      </c>
      <c r="CN14" s="8">
        <v>0.65279823541641235</v>
      </c>
      <c r="CO14" s="8">
        <v>-5.4822239875793457</v>
      </c>
      <c r="CP14" s="8">
        <v>-0.73288899660110474</v>
      </c>
      <c r="CQ14" s="8">
        <v>2.2309334948658943E-2</v>
      </c>
      <c r="CR14">
        <v>147.59513802300521</v>
      </c>
      <c r="CS14">
        <v>25.174049631233178</v>
      </c>
      <c r="CT14">
        <v>0</v>
      </c>
      <c r="CU14" s="7">
        <v>5.8629874885082242E-2</v>
      </c>
      <c r="CV14" s="8">
        <v>-0.66151108108460899</v>
      </c>
      <c r="CW14">
        <v>0.06</v>
      </c>
      <c r="CX14">
        <v>61.026699773740091</v>
      </c>
      <c r="CY14">
        <v>48718546.325183138</v>
      </c>
      <c r="CZ14">
        <v>5.8629874885082242E-2</v>
      </c>
      <c r="DA14">
        <v>20.481725248748582</v>
      </c>
      <c r="DB14">
        <v>145160237.42588073</v>
      </c>
      <c r="DC14">
        <v>5.5698381140828125E-2</v>
      </c>
      <c r="DD14">
        <v>10.444040118852309</v>
      </c>
      <c r="DE14">
        <v>284672604.29546458</v>
      </c>
      <c r="DF14">
        <v>5.1594289898872374E-2</v>
      </c>
      <c r="DG14">
        <v>6.5219294165498933</v>
      </c>
      <c r="DH14">
        <v>455866954.41006315</v>
      </c>
      <c r="DI14">
        <v>4.6903899908065795E-2</v>
      </c>
      <c r="DJ14">
        <v>3.6633521085530028</v>
      </c>
      <c r="DK14">
        <v>811587860.48943722</v>
      </c>
      <c r="DL14">
        <v>4.1040912419557568E-2</v>
      </c>
      <c r="DM14">
        <v>48781600</v>
      </c>
      <c r="DN14">
        <v>5.8629874885082242E-2</v>
      </c>
      <c r="DO14">
        <v>2973132100</v>
      </c>
      <c r="DP14">
        <v>225858500</v>
      </c>
      <c r="DQ14">
        <v>380</v>
      </c>
      <c r="DR14">
        <v>-2.8017629987123059E-2</v>
      </c>
      <c r="DS14">
        <v>0.89028210458021406</v>
      </c>
      <c r="DT14" s="9">
        <v>-0.45666666666666672</v>
      </c>
      <c r="DU14">
        <v>-1.1733333333333333</v>
      </c>
      <c r="DV14">
        <v>-1.6300000000000001</v>
      </c>
      <c r="DW14">
        <v>-3.0201309523809523</v>
      </c>
      <c r="DX14">
        <v>0.44386231155778733</v>
      </c>
      <c r="DY14">
        <v>-3.0035000139148122</v>
      </c>
      <c r="DZ14">
        <v>4115</v>
      </c>
      <c r="EA14">
        <v>-3.0006815095587549</v>
      </c>
      <c r="EB14">
        <v>3</v>
      </c>
      <c r="EC14">
        <v>4.5939929014360899E-2</v>
      </c>
      <c r="ED14">
        <v>0.26423167046810619</v>
      </c>
      <c r="EE14" s="10">
        <v>-3.04861</v>
      </c>
      <c r="EF14">
        <v>-3.0733100000000002</v>
      </c>
      <c r="EG14">
        <v>27.173862311557787</v>
      </c>
      <c r="EH14" t="s">
        <v>1991</v>
      </c>
      <c r="EI14">
        <v>0</v>
      </c>
      <c r="EJ14">
        <v>0</v>
      </c>
      <c r="EK14" s="11">
        <v>45470</v>
      </c>
      <c r="EL14" s="12">
        <v>1.1000000000000001</v>
      </c>
      <c r="EM14" s="12">
        <v>-4.92</v>
      </c>
      <c r="EN14" s="12">
        <v>1.1499999999999999</v>
      </c>
      <c r="EO14" s="12">
        <v>3.41</v>
      </c>
      <c r="EP14" s="12">
        <v>-2.4700000000000002</v>
      </c>
    </row>
    <row r="15" spans="1:146" ht="96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市值18.400769亿, 利润-1.40亿; PE; 平均PE31.19; 平均PEG14.16, PB1.4; ROIC4.905%; ROE2.2067%; 股利率0%; 毛利34.25%; 净利-.4033%; 上一年度营收增-7.52%, 利润增-378.14%; 当季营收增56.52%, 利润增-14.69%; 过往5年营收增-2.2%, 利润增-89.72%
Income profile:
</v>
      </c>
      <c r="D15" t="s">
        <v>174</v>
      </c>
      <c r="E15" t="s">
        <v>40</v>
      </c>
      <c r="F15">
        <v>5.2</v>
      </c>
      <c r="G15">
        <v>2.97</v>
      </c>
      <c r="H15" t="s">
        <v>3202</v>
      </c>
      <c r="I15">
        <v>1840076900</v>
      </c>
      <c r="K15">
        <v>1.4</v>
      </c>
      <c r="L15" t="s">
        <v>100</v>
      </c>
      <c r="M15" t="s">
        <v>394</v>
      </c>
      <c r="N15" t="s">
        <v>771</v>
      </c>
      <c r="O15" t="s">
        <v>252</v>
      </c>
      <c r="P15">
        <v>56.27</v>
      </c>
      <c r="Q15" t="s">
        <v>2116</v>
      </c>
      <c r="R15">
        <v>-50508222</v>
      </c>
      <c r="S15" s="5">
        <v>-0.1469</v>
      </c>
      <c r="T15" t="s">
        <v>2117</v>
      </c>
      <c r="U15">
        <v>343987620</v>
      </c>
      <c r="V15">
        <v>353860940</v>
      </c>
      <c r="W15">
        <v>2.25</v>
      </c>
      <c r="X15">
        <v>0.06</v>
      </c>
      <c r="Y15">
        <v>-30.34</v>
      </c>
      <c r="Z15" t="s">
        <v>407</v>
      </c>
      <c r="AA15" t="s">
        <v>302</v>
      </c>
      <c r="AB15" t="s">
        <v>3203</v>
      </c>
      <c r="AC15" t="s">
        <v>3204</v>
      </c>
      <c r="AD15" t="s">
        <v>81</v>
      </c>
      <c r="AE15">
        <v>8319658</v>
      </c>
      <c r="AF15" t="s">
        <v>2118</v>
      </c>
      <c r="AG15" t="s">
        <v>3205</v>
      </c>
      <c r="AH15" t="s">
        <v>2119</v>
      </c>
      <c r="AI15" t="s">
        <v>705</v>
      </c>
      <c r="AJ15" t="s">
        <v>2120</v>
      </c>
      <c r="AK15" t="s">
        <v>81</v>
      </c>
      <c r="AL15" t="s">
        <v>2121</v>
      </c>
      <c r="AM15" t="s">
        <v>81</v>
      </c>
      <c r="AN15" t="s">
        <v>3206</v>
      </c>
      <c r="AO15" t="s">
        <v>487</v>
      </c>
      <c r="AP15" t="s">
        <v>81</v>
      </c>
      <c r="AQ15" t="s">
        <v>271</v>
      </c>
      <c r="AR15" t="s">
        <v>81</v>
      </c>
      <c r="AS15" t="s">
        <v>1081</v>
      </c>
      <c r="AT15" t="s">
        <v>3207</v>
      </c>
      <c r="AU15" t="s">
        <v>3208</v>
      </c>
      <c r="AV15" t="s">
        <v>3209</v>
      </c>
      <c r="AW15" t="s">
        <v>3210</v>
      </c>
      <c r="AX15" t="s">
        <v>1209</v>
      </c>
      <c r="AY15" t="s">
        <v>869</v>
      </c>
      <c r="AZ15" t="s">
        <v>611</v>
      </c>
      <c r="BA15" t="s">
        <v>614</v>
      </c>
      <c r="BB15" t="s">
        <v>493</v>
      </c>
      <c r="BC15" t="s">
        <v>2123</v>
      </c>
      <c r="BD15" t="s">
        <v>688</v>
      </c>
      <c r="BE15" t="s">
        <v>612</v>
      </c>
      <c r="BF15" t="s">
        <v>616</v>
      </c>
      <c r="BG15" t="s">
        <v>395</v>
      </c>
      <c r="BH15" t="s">
        <v>2116</v>
      </c>
      <c r="BI15" t="s">
        <v>291</v>
      </c>
      <c r="BJ15" t="s">
        <v>1209</v>
      </c>
      <c r="BK15" t="s">
        <v>2117</v>
      </c>
      <c r="BL15" t="s">
        <v>1842</v>
      </c>
      <c r="BM15" t="s">
        <v>2123</v>
      </c>
      <c r="BN15" t="s">
        <v>81</v>
      </c>
      <c r="BO15">
        <v>3.17</v>
      </c>
      <c r="BP15">
        <v>6.64</v>
      </c>
      <c r="BQ15">
        <v>-4.5599999999999996</v>
      </c>
      <c r="BR15">
        <v>3.4</v>
      </c>
      <c r="BS15">
        <v>7.78</v>
      </c>
      <c r="BT15" t="s">
        <v>1526</v>
      </c>
      <c r="BU15" t="s">
        <v>1353</v>
      </c>
      <c r="BV15">
        <v>27.4</v>
      </c>
      <c r="BW15">
        <v>37</v>
      </c>
      <c r="BX15">
        <v>38.35</v>
      </c>
      <c r="BY15">
        <v>-20.66</v>
      </c>
      <c r="BZ15">
        <v>5.98</v>
      </c>
      <c r="CA15">
        <v>13.47</v>
      </c>
      <c r="CB15">
        <v>4.21</v>
      </c>
      <c r="CC15">
        <v>-12.46</v>
      </c>
      <c r="CD15" t="s">
        <v>3211</v>
      </c>
      <c r="CE15" t="s">
        <v>674</v>
      </c>
      <c r="CF15" s="7">
        <v>0.565217391304348</v>
      </c>
      <c r="CG15" s="8">
        <v>-0.14691058959773834</v>
      </c>
      <c r="CH15" s="7">
        <v>-7.5187966227531433E-2</v>
      </c>
      <c r="CI15" s="7">
        <v>1.5267175622284412E-2</v>
      </c>
      <c r="CJ15" s="7">
        <v>0.14244185388088226</v>
      </c>
      <c r="CK15" s="7">
        <v>-5.8823529630899429E-2</v>
      </c>
      <c r="CL15" s="7">
        <v>-0.13388626277446747</v>
      </c>
      <c r="CM15" s="8">
        <v>-3.7814366817474365</v>
      </c>
      <c r="CN15" s="8">
        <v>-0.54242092370986938</v>
      </c>
      <c r="CO15" s="8">
        <v>0.4736003577709198</v>
      </c>
      <c r="CP15" s="8">
        <v>-0.14142677187919617</v>
      </c>
      <c r="CQ15" s="8">
        <v>-0.4945162832736969</v>
      </c>
      <c r="CR15">
        <v>31.194441179462256</v>
      </c>
      <c r="CS15">
        <v>14.155005428338869</v>
      </c>
      <c r="CT15">
        <v>0</v>
      </c>
      <c r="CU15" s="7">
        <v>-2.203774582594633E-2</v>
      </c>
      <c r="CV15" s="8">
        <v>-0.89724006056785588</v>
      </c>
      <c r="CW15">
        <v>0.06</v>
      </c>
      <c r="CX15" t="e">
        <v>#VALUE!</v>
      </c>
      <c r="CY15" t="s">
        <v>1361</v>
      </c>
      <c r="CZ15">
        <v>-2.203774582594633E-2</v>
      </c>
      <c r="DA15" t="e">
        <v>#VALUE!</v>
      </c>
      <c r="DB15" t="s">
        <v>1362</v>
      </c>
      <c r="DC15">
        <v>-2.0935858534649011E-2</v>
      </c>
      <c r="DD15" t="e">
        <v>#VALUE!</v>
      </c>
      <c r="DE15" t="s">
        <v>1362</v>
      </c>
      <c r="DF15">
        <v>-1.939321632683277E-2</v>
      </c>
      <c r="DG15" t="e">
        <v>#VALUE!</v>
      </c>
      <c r="DH15" t="s">
        <v>1362</v>
      </c>
      <c r="DI15">
        <v>-1.7630196660757064E-2</v>
      </c>
      <c r="DJ15" t="e">
        <v>#VALUE!</v>
      </c>
      <c r="DK15" t="s">
        <v>1362</v>
      </c>
      <c r="DL15">
        <v>-1.542642207816243E-2</v>
      </c>
      <c r="DM15">
        <v>-140000000</v>
      </c>
      <c r="DN15">
        <v>-2.203774582594633E-2</v>
      </c>
      <c r="DO15">
        <v>2138076900</v>
      </c>
      <c r="DP15">
        <v>190106190.00000012</v>
      </c>
      <c r="DQ15">
        <v>391</v>
      </c>
      <c r="DR15">
        <v>0.58725513713029431</v>
      </c>
      <c r="DS15">
        <v>0.7503294709701176</v>
      </c>
      <c r="DT15" s="9">
        <v>-0.44</v>
      </c>
      <c r="DU15">
        <v>-1.7649999999999999</v>
      </c>
      <c r="DV15">
        <v>-2.2050000000000001</v>
      </c>
      <c r="DW15">
        <v>6.2525494901019796</v>
      </c>
      <c r="DX15">
        <v>0.3960011560693647</v>
      </c>
      <c r="DY15">
        <v>6.0671784563318552</v>
      </c>
      <c r="DZ15">
        <v>4531</v>
      </c>
      <c r="EA15">
        <v>6.0076118055217504</v>
      </c>
      <c r="EB15">
        <v>6</v>
      </c>
      <c r="EC15">
        <v>0.13004600055603763</v>
      </c>
      <c r="ED15">
        <v>0.48889261414384982</v>
      </c>
      <c r="EE15" s="10">
        <v>-2.0924999999999998</v>
      </c>
      <c r="EF15">
        <v>-2.0785999999999998</v>
      </c>
      <c r="EG15">
        <v>13.266001156069365</v>
      </c>
      <c r="EH15" t="s">
        <v>1370</v>
      </c>
      <c r="EI15">
        <v>0</v>
      </c>
      <c r="EJ15">
        <v>0</v>
      </c>
      <c r="EK15" s="11">
        <v>45470</v>
      </c>
      <c r="EL15" s="12">
        <v>1</v>
      </c>
      <c r="EM15" s="12">
        <v>-5.34</v>
      </c>
      <c r="EN15" s="12">
        <v>4.18</v>
      </c>
      <c r="EO15" s="12">
        <v>1.2</v>
      </c>
      <c r="EP15" s="12">
        <v>-1.39</v>
      </c>
    </row>
    <row r="16" spans="1:146" ht="108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市值8.9699938亿, 利润-1155.92万; PE; 平均PE-13.27; 平均PEG-3.76, PB13.62; ROIC7.37%; ROE-25.9667%; 股利率0%; 毛利14.38%; 净利-20.6767%; 上一年度营收增16.15%, 利润增88.44%; 当季营收增7.11%, 利润增26.1%; 过往5年营收增3.53%, 利润增-169.76%
Income profile:
</v>
      </c>
      <c r="D16" t="s">
        <v>1074</v>
      </c>
      <c r="E16" t="s">
        <v>1075</v>
      </c>
      <c r="F16">
        <v>2.4500000000000002</v>
      </c>
      <c r="G16">
        <v>1.66</v>
      </c>
      <c r="H16" t="s">
        <v>3212</v>
      </c>
      <c r="I16">
        <v>896999380</v>
      </c>
      <c r="K16">
        <v>13.62</v>
      </c>
      <c r="L16" t="s">
        <v>100</v>
      </c>
      <c r="M16" t="s">
        <v>499</v>
      </c>
      <c r="N16" t="s">
        <v>3213</v>
      </c>
      <c r="O16" t="s">
        <v>2124</v>
      </c>
      <c r="P16">
        <v>7.11</v>
      </c>
      <c r="Q16" t="s">
        <v>227</v>
      </c>
      <c r="R16">
        <v>-1159983</v>
      </c>
      <c r="S16" s="5">
        <v>0.26100000000000001</v>
      </c>
      <c r="T16" t="s">
        <v>2125</v>
      </c>
      <c r="U16">
        <v>366122200</v>
      </c>
      <c r="V16">
        <v>366122200</v>
      </c>
      <c r="W16">
        <v>3.44</v>
      </c>
      <c r="X16">
        <v>0.22</v>
      </c>
      <c r="Y16">
        <v>-1.83</v>
      </c>
      <c r="Z16" t="s">
        <v>3214</v>
      </c>
      <c r="AA16" t="s">
        <v>3215</v>
      </c>
      <c r="AB16" t="s">
        <v>3216</v>
      </c>
      <c r="AC16" t="s">
        <v>3217</v>
      </c>
      <c r="AD16" t="s">
        <v>81</v>
      </c>
      <c r="AE16">
        <v>800215</v>
      </c>
      <c r="AF16" t="s">
        <v>236</v>
      </c>
      <c r="AG16">
        <v>0</v>
      </c>
      <c r="AH16" t="s">
        <v>2126</v>
      </c>
      <c r="AI16" t="s">
        <v>3218</v>
      </c>
      <c r="AJ16" t="s">
        <v>2127</v>
      </c>
      <c r="AK16" t="s">
        <v>81</v>
      </c>
      <c r="AL16" t="s">
        <v>2128</v>
      </c>
      <c r="AM16" t="s">
        <v>81</v>
      </c>
      <c r="AN16" t="s">
        <v>3219</v>
      </c>
      <c r="AO16" t="s">
        <v>2129</v>
      </c>
      <c r="AP16" t="s">
        <v>81</v>
      </c>
      <c r="AQ16" t="s">
        <v>3220</v>
      </c>
      <c r="AR16" t="s">
        <v>81</v>
      </c>
      <c r="AS16" t="s">
        <v>428</v>
      </c>
      <c r="AT16" t="s">
        <v>81</v>
      </c>
      <c r="AU16" t="s">
        <v>3221</v>
      </c>
      <c r="AV16" t="s">
        <v>3222</v>
      </c>
      <c r="AW16" t="s">
        <v>3223</v>
      </c>
      <c r="AX16" t="s">
        <v>825</v>
      </c>
      <c r="AY16" t="s">
        <v>592</v>
      </c>
      <c r="AZ16" t="s">
        <v>305</v>
      </c>
      <c r="BA16" t="s">
        <v>229</v>
      </c>
      <c r="BB16" t="s">
        <v>384</v>
      </c>
      <c r="BC16" t="s">
        <v>1625</v>
      </c>
      <c r="BD16" t="s">
        <v>1200</v>
      </c>
      <c r="BE16" t="s">
        <v>1076</v>
      </c>
      <c r="BF16" t="s">
        <v>1078</v>
      </c>
      <c r="BG16" t="s">
        <v>1079</v>
      </c>
      <c r="BH16" t="s">
        <v>227</v>
      </c>
      <c r="BI16" t="s">
        <v>1843</v>
      </c>
      <c r="BJ16" t="s">
        <v>825</v>
      </c>
      <c r="BK16" t="s">
        <v>2125</v>
      </c>
      <c r="BL16" t="s">
        <v>1844</v>
      </c>
      <c r="BM16" t="s">
        <v>1625</v>
      </c>
      <c r="BN16" t="s">
        <v>81</v>
      </c>
      <c r="BO16" t="s">
        <v>81</v>
      </c>
      <c r="BP16">
        <v>7.37</v>
      </c>
      <c r="BQ16">
        <v>-5.03</v>
      </c>
      <c r="BR16">
        <v>-78.69</v>
      </c>
      <c r="BS16">
        <v>5.82</v>
      </c>
      <c r="BT16" t="s">
        <v>1526</v>
      </c>
      <c r="BU16" t="s">
        <v>1353</v>
      </c>
      <c r="BV16">
        <v>12.04</v>
      </c>
      <c r="BW16">
        <v>7.87</v>
      </c>
      <c r="BX16">
        <v>23.23</v>
      </c>
      <c r="BY16">
        <v>-6.34</v>
      </c>
      <c r="BZ16">
        <v>-62.64</v>
      </c>
      <c r="CA16">
        <v>6.95</v>
      </c>
      <c r="CB16">
        <v>5.15</v>
      </c>
      <c r="CC16">
        <v>-19.93</v>
      </c>
      <c r="CD16" t="s">
        <v>3224</v>
      </c>
      <c r="CE16" t="s">
        <v>1995</v>
      </c>
      <c r="CF16" s="7">
        <v>7.108655489513635E-2</v>
      </c>
      <c r="CG16" s="8">
        <v>0.26096903669724769</v>
      </c>
      <c r="CH16" s="7">
        <v>0.16149067878723145</v>
      </c>
      <c r="CI16" s="7">
        <v>-6.1728395521640778E-3</v>
      </c>
      <c r="CJ16" s="7">
        <v>-0.33606556057929993</v>
      </c>
      <c r="CK16" s="7">
        <v>0.75539571046829224</v>
      </c>
      <c r="CL16" s="7">
        <v>-0.39826840162277222</v>
      </c>
      <c r="CM16" s="8">
        <v>0.88440799713134766</v>
      </c>
      <c r="CN16" s="8">
        <v>-10.981734275817871</v>
      </c>
      <c r="CO16" s="8">
        <v>-0.6761939525604248</v>
      </c>
      <c r="CP16" s="8">
        <v>1.5078943967819214</v>
      </c>
      <c r="CQ16" s="8">
        <v>0.77767664194107056</v>
      </c>
      <c r="CR16">
        <v>-13.271894955172185</v>
      </c>
      <c r="CS16">
        <v>-3.7623103509852887</v>
      </c>
      <c r="CT16">
        <v>0</v>
      </c>
      <c r="CU16" s="7">
        <v>3.5275917500257492E-2</v>
      </c>
      <c r="CV16" s="8">
        <v>-1.6975898385047912</v>
      </c>
      <c r="CW16">
        <v>0.06</v>
      </c>
      <c r="CX16" t="e">
        <v>#VALUE!</v>
      </c>
      <c r="CY16" t="s">
        <v>1361</v>
      </c>
      <c r="CZ16">
        <v>3.5275917500257492E-2</v>
      </c>
      <c r="DA16" t="e">
        <v>#VALUE!</v>
      </c>
      <c r="DB16" t="s">
        <v>1362</v>
      </c>
      <c r="DC16">
        <v>3.3512121625244619E-2</v>
      </c>
      <c r="DD16" t="e">
        <v>#VALUE!</v>
      </c>
      <c r="DE16" t="s">
        <v>1362</v>
      </c>
      <c r="DF16">
        <v>3.1042807400226594E-2</v>
      </c>
      <c r="DG16" t="e">
        <v>#VALUE!</v>
      </c>
      <c r="DH16" t="s">
        <v>1362</v>
      </c>
      <c r="DI16">
        <v>2.8220734000205996E-2</v>
      </c>
      <c r="DJ16" t="e">
        <v>#VALUE!</v>
      </c>
      <c r="DK16" t="s">
        <v>1362</v>
      </c>
      <c r="DL16">
        <v>2.4693142250180242E-2</v>
      </c>
      <c r="DM16">
        <v>-11559200</v>
      </c>
      <c r="DN16">
        <v>3.5275917500257492E-2</v>
      </c>
      <c r="DO16">
        <v>1012781180</v>
      </c>
      <c r="DP16">
        <v>-77023972</v>
      </c>
      <c r="DQ16">
        <v>392</v>
      </c>
      <c r="DR16">
        <v>3.5810637394878858E-2</v>
      </c>
      <c r="DS16">
        <v>1.9585588752020389</v>
      </c>
      <c r="DT16" s="9">
        <v>-0.27333333333333337</v>
      </c>
      <c r="DU16">
        <v>-1.2883333333333333</v>
      </c>
      <c r="DV16">
        <v>-1.5616666666666668</v>
      </c>
      <c r="DW16">
        <v>6.2053429027113234</v>
      </c>
      <c r="DX16">
        <v>0.57469668319559475</v>
      </c>
      <c r="DY16">
        <v>6.0399795820756497</v>
      </c>
      <c r="DZ16">
        <v>4065</v>
      </c>
      <c r="EA16">
        <v>6.0081758636534355</v>
      </c>
      <c r="EB16">
        <v>6</v>
      </c>
      <c r="EC16">
        <v>0.19303636873153279</v>
      </c>
      <c r="ED16">
        <v>0.99147224615169471</v>
      </c>
      <c r="EE16" s="10">
        <v>-3.1154000000000002</v>
      </c>
      <c r="EF16">
        <v>-3.0948000000000002</v>
      </c>
      <c r="EG16">
        <v>38.194696683195595</v>
      </c>
      <c r="EH16" t="s">
        <v>2069</v>
      </c>
      <c r="EI16">
        <v>0</v>
      </c>
      <c r="EJ16">
        <v>0</v>
      </c>
      <c r="EK16" s="11">
        <v>45470</v>
      </c>
      <c r="EL16" s="12">
        <v>-0.83</v>
      </c>
      <c r="EM16" s="12">
        <v>-3.77</v>
      </c>
      <c r="EN16" s="12">
        <v>1.3</v>
      </c>
      <c r="EO16" s="12">
        <v>4.29</v>
      </c>
      <c r="EP16" s="12">
        <v>-2.06</v>
      </c>
    </row>
    <row r="17" spans="1:146" ht="108" x14ac:dyDescent="0.25">
      <c r="A17" s="6"/>
      <c r="B17" s="6"/>
      <c r="C17" s="6" t="str">
        <f>""&amp;CHAR(10)&amp;Basic_Fundamental_Information_Constructure(F17)&amp;CHAR(10)&amp;Basic_Fundamental_Information_Concatenate("")</f>
        <v xml:space="preserve">
市值482.79094亿, 利润28.39亿; PE16.39; 平均PE18.64; 平均PEG3.1, PB2.2; ROIC11.92%; ROE13.39%; 股利率2.1076%; 毛利31.6633%; 净利6.8333%; 上一年度营收增7.71%, 利润增13.61%; 当季营收增2.93%, 利润增14.23%; 过往5年营收增6.01%, 利润增5.63%
Income profile:
</v>
      </c>
      <c r="D17" t="s">
        <v>192</v>
      </c>
      <c r="E17" t="s">
        <v>79</v>
      </c>
      <c r="F17">
        <v>27.52</v>
      </c>
      <c r="G17">
        <v>4.32</v>
      </c>
      <c r="H17" t="s">
        <v>3225</v>
      </c>
      <c r="I17">
        <v>48279094000</v>
      </c>
      <c r="J17">
        <v>16.39</v>
      </c>
      <c r="K17">
        <v>2.2000000000000002</v>
      </c>
      <c r="L17" t="s">
        <v>100</v>
      </c>
      <c r="M17" t="s">
        <v>2130</v>
      </c>
      <c r="N17" t="s">
        <v>3226</v>
      </c>
      <c r="O17" t="s">
        <v>2131</v>
      </c>
      <c r="P17">
        <v>2.93</v>
      </c>
      <c r="Q17" t="s">
        <v>2132</v>
      </c>
      <c r="R17">
        <v>862411560</v>
      </c>
      <c r="S17" s="5">
        <v>0.14180000000000001</v>
      </c>
      <c r="T17" t="s">
        <v>2133</v>
      </c>
      <c r="U17">
        <v>1750904000</v>
      </c>
      <c r="V17">
        <v>1754327500</v>
      </c>
      <c r="W17">
        <v>1.53</v>
      </c>
      <c r="X17">
        <v>0.31</v>
      </c>
      <c r="Y17">
        <v>8.26</v>
      </c>
      <c r="Z17" t="s">
        <v>3227</v>
      </c>
      <c r="AA17" t="s">
        <v>3228</v>
      </c>
      <c r="AB17" t="s">
        <v>3229</v>
      </c>
      <c r="AC17" t="s">
        <v>718</v>
      </c>
      <c r="AD17" t="s">
        <v>81</v>
      </c>
      <c r="AE17">
        <v>7555003</v>
      </c>
      <c r="AF17" t="s">
        <v>2134</v>
      </c>
      <c r="AG17" t="s">
        <v>3230</v>
      </c>
      <c r="AH17" t="s">
        <v>2135</v>
      </c>
      <c r="AI17" t="s">
        <v>3231</v>
      </c>
      <c r="AJ17" t="s">
        <v>2136</v>
      </c>
      <c r="AK17" t="s">
        <v>81</v>
      </c>
      <c r="AL17" t="s">
        <v>2137</v>
      </c>
      <c r="AM17" t="s">
        <v>81</v>
      </c>
      <c r="AN17" t="s">
        <v>3232</v>
      </c>
      <c r="AO17" t="s">
        <v>3233</v>
      </c>
      <c r="AP17" t="s">
        <v>3234</v>
      </c>
      <c r="AQ17" t="s">
        <v>3235</v>
      </c>
      <c r="AR17" t="s">
        <v>3236</v>
      </c>
      <c r="AS17" t="s">
        <v>3237</v>
      </c>
      <c r="AT17" t="s">
        <v>3238</v>
      </c>
      <c r="AU17" t="s">
        <v>3239</v>
      </c>
      <c r="AV17" t="s">
        <v>3240</v>
      </c>
      <c r="AW17" t="s">
        <v>3241</v>
      </c>
      <c r="AX17" t="s">
        <v>1626</v>
      </c>
      <c r="AY17" t="s">
        <v>1201</v>
      </c>
      <c r="AZ17" t="s">
        <v>617</v>
      </c>
      <c r="BA17" t="s">
        <v>621</v>
      </c>
      <c r="BB17" t="s">
        <v>622</v>
      </c>
      <c r="BC17" t="s">
        <v>1478</v>
      </c>
      <c r="BD17" t="s">
        <v>1202</v>
      </c>
      <c r="BE17" t="s">
        <v>618</v>
      </c>
      <c r="BF17" t="s">
        <v>623</v>
      </c>
      <c r="BG17" t="s">
        <v>624</v>
      </c>
      <c r="BH17" t="s">
        <v>2132</v>
      </c>
      <c r="BI17" t="s">
        <v>1846</v>
      </c>
      <c r="BJ17" t="s">
        <v>1626</v>
      </c>
      <c r="BK17" t="s">
        <v>2133</v>
      </c>
      <c r="BL17" t="s">
        <v>1847</v>
      </c>
      <c r="BM17" t="s">
        <v>1478</v>
      </c>
      <c r="BN17">
        <v>10.09</v>
      </c>
      <c r="BO17">
        <v>12.61</v>
      </c>
      <c r="BP17">
        <v>13.06</v>
      </c>
      <c r="BQ17">
        <v>11.21</v>
      </c>
      <c r="BR17">
        <v>14.21</v>
      </c>
      <c r="BS17">
        <v>14.75</v>
      </c>
      <c r="BT17" t="s">
        <v>1719</v>
      </c>
      <c r="BU17" t="s">
        <v>1354</v>
      </c>
      <c r="BV17">
        <v>32.4</v>
      </c>
      <c r="BW17">
        <v>31.9</v>
      </c>
      <c r="BX17">
        <v>30.69</v>
      </c>
      <c r="BY17">
        <v>7.01</v>
      </c>
      <c r="BZ17">
        <v>6.72</v>
      </c>
      <c r="CA17">
        <v>6.77</v>
      </c>
      <c r="CB17">
        <v>-1.04</v>
      </c>
      <c r="CC17">
        <v>-11.34</v>
      </c>
      <c r="CD17" t="s">
        <v>3242</v>
      </c>
      <c r="CE17" t="s">
        <v>262</v>
      </c>
      <c r="CF17" s="7">
        <v>2.926347009391992E-2</v>
      </c>
      <c r="CG17" s="8">
        <v>0.14226696688741722</v>
      </c>
      <c r="CH17" s="7">
        <v>7.7131099998950958E-2</v>
      </c>
      <c r="CI17" s="7">
        <v>9.1195881366729736E-2</v>
      </c>
      <c r="CJ17" s="7">
        <v>2.6125909760594368E-2</v>
      </c>
      <c r="CK17" s="7">
        <v>-4.9737691879272461E-2</v>
      </c>
      <c r="CL17" s="7">
        <v>0.15598610043525696</v>
      </c>
      <c r="CM17" s="8">
        <v>0.13605441153049469</v>
      </c>
      <c r="CN17" s="8">
        <v>8.5577726364135742E-2</v>
      </c>
      <c r="CO17" s="8">
        <v>-0.18368789553642273</v>
      </c>
      <c r="CP17" s="8">
        <v>2.4884692393243313E-3</v>
      </c>
      <c r="CQ17" s="8">
        <v>0.24084687232971191</v>
      </c>
      <c r="CR17">
        <v>18.640576833976834</v>
      </c>
      <c r="CS17">
        <v>3.0995171709722693</v>
      </c>
      <c r="CT17">
        <v>2.1075581395348837</v>
      </c>
      <c r="CU17" s="7">
        <v>6.0140259936451911E-2</v>
      </c>
      <c r="CV17" s="8">
        <v>5.6255916785448792E-2</v>
      </c>
      <c r="CW17">
        <v>0.06</v>
      </c>
      <c r="CX17">
        <v>13.283939336353148</v>
      </c>
      <c r="CY17">
        <v>2839375658.4524407</v>
      </c>
      <c r="CZ17">
        <v>6.0140259936451911E-2</v>
      </c>
      <c r="DA17">
        <v>4.4526063034829804</v>
      </c>
      <c r="DB17">
        <v>8471014823.4968853</v>
      </c>
      <c r="DC17">
        <v>5.7133246939629311E-2</v>
      </c>
      <c r="DD17">
        <v>2.2666603329791393</v>
      </c>
      <c r="DE17">
        <v>16640382086.020796</v>
      </c>
      <c r="DF17">
        <v>5.2923428744077683E-2</v>
      </c>
      <c r="DG17">
        <v>1.4128497184622062</v>
      </c>
      <c r="DH17">
        <v>26696465665.898041</v>
      </c>
      <c r="DI17">
        <v>4.8112207949161531E-2</v>
      </c>
      <c r="DJ17">
        <v>0.79055591600566066</v>
      </c>
      <c r="DK17">
        <v>47710849082.723106</v>
      </c>
      <c r="DL17">
        <v>4.2098181955516338E-2</v>
      </c>
      <c r="DM17">
        <v>2839000000</v>
      </c>
      <c r="DN17">
        <v>6.0140259936451911E-2</v>
      </c>
      <c r="DO17">
        <v>37718094000</v>
      </c>
      <c r="DP17">
        <v>8294283000</v>
      </c>
      <c r="DQ17">
        <v>400</v>
      </c>
      <c r="DR17">
        <v>-3.087678984253199E-2</v>
      </c>
      <c r="DS17">
        <v>8.6011050101968425E-2</v>
      </c>
      <c r="DT17" s="9">
        <v>-0.34</v>
      </c>
      <c r="DU17">
        <v>0.18666666666666665</v>
      </c>
      <c r="DV17">
        <v>-0.15333333333333338</v>
      </c>
      <c r="DW17">
        <v>-2.1133999999999999</v>
      </c>
      <c r="DX17">
        <v>0.65148701754385963</v>
      </c>
      <c r="DY17">
        <v>-2.0239826277894735</v>
      </c>
      <c r="DZ17">
        <v>2074</v>
      </c>
      <c r="EA17">
        <v>-2.0142487784674836</v>
      </c>
      <c r="EB17">
        <v>2</v>
      </c>
      <c r="EC17">
        <v>3.4357210954055042E-2</v>
      </c>
      <c r="ED17">
        <v>0.16245541382666578</v>
      </c>
      <c r="EE17" s="10">
        <v>-1.04671</v>
      </c>
      <c r="EF17">
        <v>-1.0786100000000001</v>
      </c>
      <c r="EG17">
        <v>44.21148701754386</v>
      </c>
      <c r="EH17" t="s">
        <v>1365</v>
      </c>
      <c r="EI17">
        <v>0</v>
      </c>
      <c r="EJ17">
        <v>0</v>
      </c>
      <c r="EK17" s="11">
        <v>45470</v>
      </c>
      <c r="EL17" s="12">
        <v>-0.59</v>
      </c>
      <c r="EM17" s="12">
        <v>-0.24</v>
      </c>
      <c r="EN17" s="12">
        <v>-0.35</v>
      </c>
      <c r="EO17" s="12">
        <v>2.9</v>
      </c>
      <c r="EP17" s="12">
        <v>-3.19</v>
      </c>
    </row>
    <row r="18" spans="1:146" ht="108" x14ac:dyDescent="0.25">
      <c r="C18" s="6" t="str">
        <f>""&amp;CHAR(10)&amp;Basic_Fundamental_Information_Constructure(F18)&amp;CHAR(10)&amp;Basic_Fundamental_Information_Concatenate("")</f>
        <v xml:space="preserve">
市值23.207584亿, 利润1.05亿; PE20.53; 平均PE28; 平均PEG2.6, PB1.81; ROIC20.4933%; ROE17.045%; 股利率2.1683%; 毛利39.4733%; 净利25.32%; 上一年度营收增-6.15%, 利润增-2.78%; 当季营收增8.41%, 利润增33.55%; 过往5年营收增10.78%, 利润增14.12%
Income profile:
</v>
      </c>
      <c r="D18" t="s">
        <v>1627</v>
      </c>
      <c r="E18" t="s">
        <v>1628</v>
      </c>
      <c r="F18">
        <v>23.06</v>
      </c>
      <c r="G18">
        <v>3.59</v>
      </c>
      <c r="H18" t="s">
        <v>3243</v>
      </c>
      <c r="I18">
        <v>2320758400</v>
      </c>
      <c r="J18">
        <v>20.53</v>
      </c>
      <c r="K18">
        <v>1.81</v>
      </c>
      <c r="L18" t="s">
        <v>100</v>
      </c>
      <c r="M18" t="s">
        <v>2138</v>
      </c>
      <c r="N18" t="s">
        <v>3244</v>
      </c>
      <c r="O18" t="s">
        <v>368</v>
      </c>
      <c r="P18" s="5">
        <v>8.27</v>
      </c>
      <c r="Q18" t="s">
        <v>1904</v>
      </c>
      <c r="R18">
        <v>33384770</v>
      </c>
      <c r="S18">
        <v>0.33550000000000002</v>
      </c>
      <c r="T18" t="s">
        <v>233</v>
      </c>
      <c r="U18">
        <v>26154671</v>
      </c>
      <c r="V18">
        <v>100640000</v>
      </c>
      <c r="W18">
        <v>1.06</v>
      </c>
      <c r="X18">
        <v>0.09</v>
      </c>
      <c r="Y18">
        <v>28.83</v>
      </c>
      <c r="Z18" t="s">
        <v>3245</v>
      </c>
      <c r="AA18" t="s">
        <v>3246</v>
      </c>
      <c r="AB18" t="s">
        <v>3247</v>
      </c>
      <c r="AC18" t="s">
        <v>3248</v>
      </c>
      <c r="AD18" t="s">
        <v>81</v>
      </c>
      <c r="AE18">
        <v>-5063404</v>
      </c>
      <c r="AF18" t="s">
        <v>236</v>
      </c>
      <c r="AG18" t="s">
        <v>3249</v>
      </c>
      <c r="AH18" t="s">
        <v>2139</v>
      </c>
      <c r="AI18" t="s">
        <v>2761</v>
      </c>
      <c r="AJ18" t="s">
        <v>2140</v>
      </c>
      <c r="AK18" t="s">
        <v>3250</v>
      </c>
      <c r="AL18" t="s">
        <v>2141</v>
      </c>
      <c r="AM18" t="s">
        <v>81</v>
      </c>
      <c r="AN18" t="s">
        <v>3251</v>
      </c>
      <c r="AO18" t="s">
        <v>81</v>
      </c>
      <c r="AP18" t="s">
        <v>3252</v>
      </c>
      <c r="AQ18" t="s">
        <v>3253</v>
      </c>
      <c r="AR18" t="s">
        <v>81</v>
      </c>
      <c r="AS18" t="s">
        <v>3254</v>
      </c>
      <c r="AT18" t="s">
        <v>81</v>
      </c>
      <c r="AU18" t="s">
        <v>3255</v>
      </c>
      <c r="AV18" t="s">
        <v>3256</v>
      </c>
      <c r="AW18" t="s">
        <v>81</v>
      </c>
      <c r="AX18" t="s">
        <v>1548</v>
      </c>
      <c r="AY18" t="s">
        <v>1629</v>
      </c>
      <c r="AZ18" t="s">
        <v>262</v>
      </c>
      <c r="BA18" t="s">
        <v>728</v>
      </c>
      <c r="BB18" t="s">
        <v>481</v>
      </c>
      <c r="BC18" t="s">
        <v>253</v>
      </c>
      <c r="BD18" t="s">
        <v>1630</v>
      </c>
      <c r="BE18" t="s">
        <v>1631</v>
      </c>
      <c r="BF18" t="s">
        <v>1632</v>
      </c>
      <c r="BG18" t="s">
        <v>1633</v>
      </c>
      <c r="BH18" t="s">
        <v>1904</v>
      </c>
      <c r="BI18" t="s">
        <v>348</v>
      </c>
      <c r="BJ18" t="s">
        <v>1548</v>
      </c>
      <c r="BK18" t="s">
        <v>233</v>
      </c>
      <c r="BL18" t="s">
        <v>1849</v>
      </c>
      <c r="BM18" t="s">
        <v>253</v>
      </c>
      <c r="BN18">
        <v>7.39</v>
      </c>
      <c r="BO18">
        <v>25.15</v>
      </c>
      <c r="BP18">
        <v>28.94</v>
      </c>
      <c r="BQ18">
        <v>8.17</v>
      </c>
      <c r="BR18">
        <v>25.92</v>
      </c>
      <c r="BS18" t="s">
        <v>81</v>
      </c>
      <c r="BT18" t="s">
        <v>2142</v>
      </c>
      <c r="BU18" t="s">
        <v>1353</v>
      </c>
      <c r="BV18">
        <v>41.08</v>
      </c>
      <c r="BW18">
        <v>37.36</v>
      </c>
      <c r="BX18">
        <v>39.979999999999997</v>
      </c>
      <c r="BY18">
        <v>26.33</v>
      </c>
      <c r="BZ18">
        <v>25.46</v>
      </c>
      <c r="CA18">
        <v>24.17</v>
      </c>
      <c r="CB18">
        <v>-1.2</v>
      </c>
      <c r="CC18" s="7">
        <v>-11.01</v>
      </c>
      <c r="CD18" s="8" t="s">
        <v>3257</v>
      </c>
      <c r="CE18" s="7" t="s">
        <v>3258</v>
      </c>
      <c r="CF18" s="7">
        <v>8.4112149532710137E-2</v>
      </c>
      <c r="CG18" s="7">
        <v>0.33552435243524353</v>
      </c>
      <c r="CH18" s="7">
        <v>-6.146572157740593E-2</v>
      </c>
      <c r="CI18" s="7">
        <v>8.7403595447540283E-2</v>
      </c>
      <c r="CJ18" s="8">
        <v>0.36491227149963379</v>
      </c>
      <c r="CK18" s="8">
        <v>6.7415729165077209E-2</v>
      </c>
      <c r="CL18" s="8">
        <v>8.0971658229827881E-2</v>
      </c>
      <c r="CM18" s="8">
        <v>-2.777777798473835E-2</v>
      </c>
      <c r="CN18" s="8">
        <v>0.14894105494022369</v>
      </c>
      <c r="CO18">
        <v>0.49616804718971252</v>
      </c>
      <c r="CP18">
        <v>-8.8904090225696564E-2</v>
      </c>
      <c r="CQ18">
        <v>0.17775411903858185</v>
      </c>
      <c r="CR18" s="7">
        <v>27.998388205913933</v>
      </c>
      <c r="CS18" s="8">
        <v>2.5961089969355502</v>
      </c>
      <c r="CT18">
        <v>2.1682567215958373</v>
      </c>
      <c r="CU18">
        <v>0.10784750655293465</v>
      </c>
      <c r="CV18">
        <v>0.14123627059161664</v>
      </c>
      <c r="CW18">
        <v>0.06</v>
      </c>
      <c r="CX18">
        <v>10.291402389545121</v>
      </c>
      <c r="CY18">
        <v>109739611.49816805</v>
      </c>
      <c r="CZ18">
        <v>0.10784750655293465</v>
      </c>
      <c r="DA18">
        <v>3.3127913377818885</v>
      </c>
      <c r="DB18">
        <v>340913261.61103272</v>
      </c>
      <c r="DC18">
        <v>0.10245513122528792</v>
      </c>
      <c r="DD18">
        <v>1.5980290813237332</v>
      </c>
      <c r="DE18">
        <v>706729629.14071536</v>
      </c>
      <c r="DF18">
        <v>9.4905805766582488E-2</v>
      </c>
      <c r="DG18">
        <v>0.93773852465378471</v>
      </c>
      <c r="DH18">
        <v>1204359712.550967</v>
      </c>
      <c r="DI18">
        <v>8.627800524234773E-2</v>
      </c>
      <c r="DJ18">
        <v>0.46018276523659074</v>
      </c>
      <c r="DK18">
        <v>2454186869.4699206</v>
      </c>
      <c r="DL18">
        <v>7.5493254587054248E-2</v>
      </c>
      <c r="DM18">
        <v>105000000</v>
      </c>
      <c r="DN18">
        <v>0.10784750655293465</v>
      </c>
      <c r="DO18">
        <v>1129374500</v>
      </c>
      <c r="DP18">
        <v>1133126010</v>
      </c>
      <c r="DQ18" s="9">
        <v>507</v>
      </c>
      <c r="DR18">
        <v>-2.3735357020224515E-2</v>
      </c>
      <c r="DS18">
        <v>0.19428808184362689</v>
      </c>
      <c r="DT18">
        <v>-0.3066666666666667</v>
      </c>
      <c r="DU18">
        <v>0.45333333333333331</v>
      </c>
      <c r="DV18">
        <v>0.14666666666666661</v>
      </c>
      <c r="DW18">
        <v>-2.1101000000000001</v>
      </c>
      <c r="DX18">
        <v>0.52548477975651509</v>
      </c>
      <c r="DY18">
        <v>-2.0160178742511925</v>
      </c>
      <c r="DZ18">
        <v>1368</v>
      </c>
      <c r="EA18">
        <v>-2.0117297231796405</v>
      </c>
      <c r="EB18" s="10">
        <v>2</v>
      </c>
      <c r="EC18" s="10">
        <v>2.8427066772655003E-2</v>
      </c>
      <c r="ED18">
        <v>0.19539546899841018</v>
      </c>
      <c r="EE18">
        <v>-1.1041099999999999</v>
      </c>
      <c r="EF18">
        <v>-1.1303099999999999</v>
      </c>
      <c r="EG18">
        <v>38.145484779756515</v>
      </c>
      <c r="EH18" s="11" t="s">
        <v>1365</v>
      </c>
      <c r="EI18" s="12">
        <v>0</v>
      </c>
      <c r="EJ18" s="12">
        <v>1</v>
      </c>
      <c r="EK18" s="12">
        <v>45470</v>
      </c>
      <c r="EL18" s="12">
        <v>0.2</v>
      </c>
      <c r="EM18" s="12">
        <v>-7.97</v>
      </c>
      <c r="EN18" s="12">
        <v>0.18</v>
      </c>
      <c r="EO18" s="12">
        <v>3.95</v>
      </c>
      <c r="EP18" s="12">
        <v>-2.62</v>
      </c>
    </row>
    <row r="19" spans="1:146" ht="168" x14ac:dyDescent="0.25">
      <c r="A19" s="6"/>
      <c r="B19" s="6"/>
      <c r="C19" s="6" t="s">
        <v>1388</v>
      </c>
      <c r="D19" t="s">
        <v>166</v>
      </c>
      <c r="E19" t="s">
        <v>65</v>
      </c>
      <c r="F19">
        <v>19.22</v>
      </c>
      <c r="G19">
        <v>-0.56999999999999995</v>
      </c>
      <c r="H19" t="s">
        <v>3259</v>
      </c>
      <c r="I19">
        <v>59407239000</v>
      </c>
      <c r="J19">
        <v>20.27</v>
      </c>
      <c r="K19">
        <v>2.31</v>
      </c>
      <c r="L19" t="s">
        <v>100</v>
      </c>
      <c r="M19" t="s">
        <v>2143</v>
      </c>
      <c r="N19" t="s">
        <v>3260</v>
      </c>
      <c r="O19" t="s">
        <v>2144</v>
      </c>
      <c r="P19">
        <v>24.54</v>
      </c>
      <c r="Q19" t="s">
        <v>2145</v>
      </c>
      <c r="R19">
        <v>869622920</v>
      </c>
      <c r="S19" s="5">
        <v>0.35210000000000002</v>
      </c>
      <c r="T19" t="s">
        <v>1645</v>
      </c>
      <c r="U19">
        <v>3054497600</v>
      </c>
      <c r="V19">
        <v>3090907400</v>
      </c>
      <c r="W19">
        <v>1.54</v>
      </c>
      <c r="X19">
        <v>0.11</v>
      </c>
      <c r="Y19">
        <v>19.399999999999999</v>
      </c>
      <c r="Z19" t="s">
        <v>3261</v>
      </c>
      <c r="AA19" t="s">
        <v>3262</v>
      </c>
      <c r="AB19" t="s">
        <v>3263</v>
      </c>
      <c r="AC19" t="s">
        <v>372</v>
      </c>
      <c r="AD19" t="s">
        <v>81</v>
      </c>
      <c r="AE19">
        <v>42714986</v>
      </c>
      <c r="AF19" t="s">
        <v>2146</v>
      </c>
      <c r="AG19" t="s">
        <v>3264</v>
      </c>
      <c r="AH19" t="s">
        <v>2147</v>
      </c>
      <c r="AI19" t="s">
        <v>3265</v>
      </c>
      <c r="AJ19" t="s">
        <v>2148</v>
      </c>
      <c r="AK19" t="s">
        <v>324</v>
      </c>
      <c r="AL19" t="s">
        <v>2149</v>
      </c>
      <c r="AM19" t="s">
        <v>81</v>
      </c>
      <c r="AN19" t="s">
        <v>3266</v>
      </c>
      <c r="AO19" t="s">
        <v>2198</v>
      </c>
      <c r="AP19" t="s">
        <v>1077</v>
      </c>
      <c r="AQ19" t="s">
        <v>3267</v>
      </c>
      <c r="AR19" t="s">
        <v>81</v>
      </c>
      <c r="AS19" t="s">
        <v>3268</v>
      </c>
      <c r="AT19" t="s">
        <v>3269</v>
      </c>
      <c r="AU19" t="s">
        <v>3270</v>
      </c>
      <c r="AV19" t="s">
        <v>3271</v>
      </c>
      <c r="AW19" t="s">
        <v>3272</v>
      </c>
      <c r="AX19" t="s">
        <v>1634</v>
      </c>
      <c r="AY19" t="s">
        <v>1636</v>
      </c>
      <c r="AZ19" t="s">
        <v>625</v>
      </c>
      <c r="BA19" t="s">
        <v>628</v>
      </c>
      <c r="BB19" t="s">
        <v>629</v>
      </c>
      <c r="BC19" t="s">
        <v>1635</v>
      </c>
      <c r="BD19" t="s">
        <v>1637</v>
      </c>
      <c r="BE19" t="s">
        <v>626</v>
      </c>
      <c r="BF19" t="s">
        <v>630</v>
      </c>
      <c r="BG19" t="s">
        <v>631</v>
      </c>
      <c r="BH19" t="s">
        <v>2145</v>
      </c>
      <c r="BI19" t="s">
        <v>1850</v>
      </c>
      <c r="BJ19" t="s">
        <v>1634</v>
      </c>
      <c r="BK19" t="s">
        <v>1645</v>
      </c>
      <c r="BL19" t="s">
        <v>1851</v>
      </c>
      <c r="BM19" t="s">
        <v>1635</v>
      </c>
      <c r="BN19">
        <v>6.31</v>
      </c>
      <c r="BO19">
        <v>11.87</v>
      </c>
      <c r="BP19">
        <v>15.57</v>
      </c>
      <c r="BQ19">
        <v>8.52</v>
      </c>
      <c r="BR19">
        <v>16.079999999999998</v>
      </c>
      <c r="BS19">
        <v>21.07</v>
      </c>
      <c r="BT19" t="s">
        <v>2150</v>
      </c>
      <c r="BU19" t="s">
        <v>1353</v>
      </c>
      <c r="BV19">
        <v>32.979999999999997</v>
      </c>
      <c r="BW19">
        <v>36.94</v>
      </c>
      <c r="BX19">
        <v>44.5</v>
      </c>
      <c r="BY19">
        <v>18.03</v>
      </c>
      <c r="BZ19">
        <v>22.83</v>
      </c>
      <c r="CA19">
        <v>29.33</v>
      </c>
      <c r="CB19">
        <v>0.1</v>
      </c>
      <c r="CC19">
        <v>0.79</v>
      </c>
      <c r="CD19" t="s">
        <v>348</v>
      </c>
      <c r="CE19" t="s">
        <v>915</v>
      </c>
      <c r="CF19" s="7">
        <v>0.24557032115171668</v>
      </c>
      <c r="CG19" s="8">
        <v>0.35244622083981336</v>
      </c>
      <c r="CH19" s="7">
        <v>-5.1274031400680542E-2</v>
      </c>
      <c r="CI19" s="7">
        <v>6.8177245557308197E-2</v>
      </c>
      <c r="CJ19" s="7">
        <v>0.44628655910491943</v>
      </c>
      <c r="CK19" s="7">
        <v>0.34647530317306519</v>
      </c>
      <c r="CL19" s="7">
        <v>-0.11781643331050873</v>
      </c>
      <c r="CM19" s="8">
        <v>-0.2530386745929718</v>
      </c>
      <c r="CN19" s="8">
        <v>-0.16896229982376099</v>
      </c>
      <c r="CO19" s="8">
        <v>0.22222214937210083</v>
      </c>
      <c r="CP19" s="8">
        <v>0.64618945121765137</v>
      </c>
      <c r="CQ19" s="8">
        <v>-0.29684966802597046</v>
      </c>
      <c r="CR19">
        <v>18.290406096059112</v>
      </c>
      <c r="CS19">
        <v>1.3218502542309809</v>
      </c>
      <c r="CT19">
        <v>2.341311134235172</v>
      </c>
      <c r="CU19" s="7">
        <v>0.13836972862482072</v>
      </c>
      <c r="CV19" s="8">
        <v>2.9912191629409789E-2</v>
      </c>
      <c r="CW19">
        <v>0.06</v>
      </c>
      <c r="CX19">
        <v>16.474383825481542</v>
      </c>
      <c r="CY19">
        <v>2903916741.6995425</v>
      </c>
      <c r="CZ19">
        <v>0.13836972862482072</v>
      </c>
      <c r="DA19">
        <v>5.1687990894680551</v>
      </c>
      <c r="DB19">
        <v>9255581068.6237106</v>
      </c>
      <c r="DC19">
        <v>0.13145124219357968</v>
      </c>
      <c r="DD19">
        <v>2.4072400119609112</v>
      </c>
      <c r="DE19">
        <v>19873481149.488651</v>
      </c>
      <c r="DF19">
        <v>0.12176536118984223</v>
      </c>
      <c r="DG19">
        <v>1.3561038130367224</v>
      </c>
      <c r="DH19">
        <v>35277711440.742416</v>
      </c>
      <c r="DI19">
        <v>0.11069578289985658</v>
      </c>
      <c r="DJ19">
        <v>0.60601367981889953</v>
      </c>
      <c r="DK19">
        <v>78942506734.000671</v>
      </c>
      <c r="DL19">
        <v>9.6858810037374496E-2</v>
      </c>
      <c r="DM19">
        <v>2704000000</v>
      </c>
      <c r="DN19">
        <v>0.13836972862482072</v>
      </c>
      <c r="DO19">
        <v>47840239000</v>
      </c>
      <c r="DP19">
        <v>8159000600</v>
      </c>
      <c r="DQ19">
        <v>522</v>
      </c>
      <c r="DR19">
        <v>0.10720059252689595</v>
      </c>
      <c r="DS19">
        <v>0.32253402921040358</v>
      </c>
      <c r="DT19" s="9">
        <v>-0.19000000000000003</v>
      </c>
      <c r="DU19">
        <v>-4.9999999999999989E-2</v>
      </c>
      <c r="DV19">
        <v>-0.24000000000000002</v>
      </c>
      <c r="DW19">
        <v>7.9000000000000008E-3</v>
      </c>
      <c r="DX19">
        <v>0.40141323792486627</v>
      </c>
      <c r="DY19">
        <v>1.5121645796064402E-3</v>
      </c>
      <c r="DZ19">
        <v>2291</v>
      </c>
      <c r="EA19">
        <v>8.3420586103924758E-4</v>
      </c>
      <c r="EB19">
        <v>0</v>
      </c>
      <c r="EC19">
        <v>3.4617665996723161E-2</v>
      </c>
      <c r="ED19">
        <v>0.18085304011372194</v>
      </c>
      <c r="EE19" s="10">
        <v>1.0264</v>
      </c>
      <c r="EF19">
        <v>1.0065</v>
      </c>
      <c r="EG19">
        <v>21.191413237924866</v>
      </c>
      <c r="EH19" t="s">
        <v>1364</v>
      </c>
      <c r="EI19">
        <v>0</v>
      </c>
      <c r="EJ19">
        <v>0</v>
      </c>
      <c r="EK19" s="11">
        <v>45470</v>
      </c>
      <c r="EL19" s="12">
        <v>0.94</v>
      </c>
      <c r="EM19" s="12">
        <v>-1.3</v>
      </c>
      <c r="EN19" s="12">
        <v>4.72</v>
      </c>
      <c r="EO19" s="12">
        <v>-2.0099999999999998</v>
      </c>
      <c r="EP19" s="12">
        <v>-1.99</v>
      </c>
    </row>
    <row r="20" spans="1:146" ht="108" x14ac:dyDescent="0.25">
      <c r="A20" s="6"/>
      <c r="B20" s="6"/>
      <c r="C20" s="6" t="str">
        <f>""&amp;CHAR(10)&amp;Basic_Fundamental_Information_Constructure(F20)&amp;CHAR(10)&amp;Basic_Fundamental_Information_Concatenate("")</f>
        <v xml:space="preserve">
市值75.434921亿, 利润3.02亿; PE26.89; 平均PE14.23; 平均PEG6.14, PB.737; ROIC4.87%; ROE5.35%; 股利率5.7743%; 毛利39.3533%; 净利7.28%; 上一年度营收增-12.37%, 利润增-30.25%; 当季营收增-2.05%, 利润增-12.11%; 过往5年营收增2.32%, 利润增-7.06%
Income profile:
</v>
      </c>
      <c r="D20" t="s">
        <v>210</v>
      </c>
      <c r="E20" t="s">
        <v>211</v>
      </c>
      <c r="F20">
        <v>3.81</v>
      </c>
      <c r="G20">
        <v>1.06</v>
      </c>
      <c r="H20" t="s">
        <v>3273</v>
      </c>
      <c r="I20">
        <v>7543492100</v>
      </c>
      <c r="J20">
        <v>26.89</v>
      </c>
      <c r="K20">
        <v>0.73699999999999999</v>
      </c>
      <c r="L20" t="s">
        <v>100</v>
      </c>
      <c r="M20" t="s">
        <v>2151</v>
      </c>
      <c r="N20" t="s">
        <v>3274</v>
      </c>
      <c r="O20" t="s">
        <v>995</v>
      </c>
      <c r="P20">
        <v>-2.02</v>
      </c>
      <c r="Q20" t="s">
        <v>2152</v>
      </c>
      <c r="R20">
        <v>155559830</v>
      </c>
      <c r="S20" s="5">
        <v>-0.12180000000000001</v>
      </c>
      <c r="T20" t="s">
        <v>620</v>
      </c>
      <c r="U20">
        <v>1882266500</v>
      </c>
      <c r="V20">
        <v>1979919200</v>
      </c>
      <c r="W20">
        <v>1.88</v>
      </c>
      <c r="X20">
        <v>0.09</v>
      </c>
      <c r="Y20">
        <v>7.35</v>
      </c>
      <c r="Z20" t="s">
        <v>3275</v>
      </c>
      <c r="AA20" t="s">
        <v>787</v>
      </c>
      <c r="AB20" t="s">
        <v>1925</v>
      </c>
      <c r="AC20" t="s">
        <v>732</v>
      </c>
      <c r="AD20" t="s">
        <v>81</v>
      </c>
      <c r="AE20">
        <v>75058620</v>
      </c>
      <c r="AF20" t="s">
        <v>2153</v>
      </c>
      <c r="AG20" t="s">
        <v>3276</v>
      </c>
      <c r="AH20" t="s">
        <v>2154</v>
      </c>
      <c r="AI20" t="s">
        <v>3277</v>
      </c>
      <c r="AJ20" t="s">
        <v>2155</v>
      </c>
      <c r="AK20" t="s">
        <v>584</v>
      </c>
      <c r="AL20" t="s">
        <v>2156</v>
      </c>
      <c r="AM20" t="s">
        <v>81</v>
      </c>
      <c r="AN20" t="s">
        <v>3278</v>
      </c>
      <c r="AO20" t="s">
        <v>3279</v>
      </c>
      <c r="AP20" t="s">
        <v>1968</v>
      </c>
      <c r="AQ20" t="s">
        <v>2275</v>
      </c>
      <c r="AR20" t="s">
        <v>3280</v>
      </c>
      <c r="AS20" t="s">
        <v>3281</v>
      </c>
      <c r="AT20" t="s">
        <v>3282</v>
      </c>
      <c r="AU20" t="s">
        <v>274</v>
      </c>
      <c r="AV20" t="s">
        <v>3283</v>
      </c>
      <c r="AW20" t="s">
        <v>614</v>
      </c>
      <c r="AX20" t="s">
        <v>1639</v>
      </c>
      <c r="AY20" t="s">
        <v>1640</v>
      </c>
      <c r="AZ20" t="s">
        <v>635</v>
      </c>
      <c r="BA20" t="s">
        <v>637</v>
      </c>
      <c r="BB20" t="s">
        <v>638</v>
      </c>
      <c r="BC20" t="s">
        <v>1409</v>
      </c>
      <c r="BD20" t="s">
        <v>232</v>
      </c>
      <c r="BE20" t="s">
        <v>83</v>
      </c>
      <c r="BF20" t="s">
        <v>281</v>
      </c>
      <c r="BG20" t="s">
        <v>276</v>
      </c>
      <c r="BH20" t="s">
        <v>2152</v>
      </c>
      <c r="BI20" t="s">
        <v>1855</v>
      </c>
      <c r="BJ20" t="s">
        <v>1639</v>
      </c>
      <c r="BK20" t="s">
        <v>620</v>
      </c>
      <c r="BL20" t="s">
        <v>343</v>
      </c>
      <c r="BM20" t="s">
        <v>1409</v>
      </c>
      <c r="BN20">
        <v>4.0599999999999996</v>
      </c>
      <c r="BO20">
        <v>5.55</v>
      </c>
      <c r="BP20">
        <v>5</v>
      </c>
      <c r="BQ20">
        <v>4.8899999999999997</v>
      </c>
      <c r="BR20">
        <v>4.25</v>
      </c>
      <c r="BS20">
        <v>6.91</v>
      </c>
      <c r="BT20" t="s">
        <v>1641</v>
      </c>
      <c r="BU20" t="s">
        <v>1354</v>
      </c>
      <c r="BV20">
        <v>39.11</v>
      </c>
      <c r="BW20">
        <v>40.49</v>
      </c>
      <c r="BX20">
        <v>38.46</v>
      </c>
      <c r="BY20">
        <v>5.84</v>
      </c>
      <c r="BZ20">
        <v>8.52</v>
      </c>
      <c r="CA20">
        <v>7.48</v>
      </c>
      <c r="CB20">
        <v>0.26</v>
      </c>
      <c r="CC20">
        <v>-12.21</v>
      </c>
      <c r="CD20" t="s">
        <v>3284</v>
      </c>
      <c r="CE20" t="s">
        <v>466</v>
      </c>
      <c r="CF20" s="7">
        <v>-2.0497311827956988E-2</v>
      </c>
      <c r="CG20" s="8">
        <v>-0.12113090395480226</v>
      </c>
      <c r="CH20" s="7">
        <v>-0.12371525168418884</v>
      </c>
      <c r="CI20" s="7">
        <v>6.4435720443725586E-2</v>
      </c>
      <c r="CJ20" s="7">
        <v>0.14297528564929962</v>
      </c>
      <c r="CK20" s="7">
        <v>7.7792137861251831E-2</v>
      </c>
      <c r="CL20" s="7">
        <v>-4.5678108930587769E-2</v>
      </c>
      <c r="CM20" s="8">
        <v>-0.30254042148590088</v>
      </c>
      <c r="CN20" s="8">
        <v>-0.35179641842842102</v>
      </c>
      <c r="CO20" s="8">
        <v>2.4539876729249954E-2</v>
      </c>
      <c r="CP20" s="8">
        <v>5.161290243268013E-2</v>
      </c>
      <c r="CQ20" s="8">
        <v>0.22529643774032593</v>
      </c>
      <c r="CR20">
        <v>14.228529581892486</v>
      </c>
      <c r="CS20">
        <v>6.1430602715925362</v>
      </c>
      <c r="CT20">
        <v>5.7742782152230978</v>
      </c>
      <c r="CU20" s="7">
        <v>2.3161956667900087E-2</v>
      </c>
      <c r="CV20" s="8">
        <v>-7.0577524602413177E-2</v>
      </c>
      <c r="CW20">
        <v>0.06</v>
      </c>
      <c r="CX20">
        <v>16.838470286175887</v>
      </c>
      <c r="CY20">
        <v>291504632.93745828</v>
      </c>
      <c r="CZ20">
        <v>2.3161956667900087E-2</v>
      </c>
      <c r="DA20">
        <v>5.825506323635171</v>
      </c>
      <c r="DB20">
        <v>842586348.26046407</v>
      </c>
      <c r="DC20">
        <v>2.2003858834505081E-2</v>
      </c>
      <c r="DD20">
        <v>3.0886688677975251</v>
      </c>
      <c r="DE20">
        <v>1589193374.264221</v>
      </c>
      <c r="DF20">
        <v>2.0382521867752076E-2</v>
      </c>
      <c r="DG20">
        <v>2.0110316336429608</v>
      </c>
      <c r="DH20">
        <v>2440783137.3136201</v>
      </c>
      <c r="DI20">
        <v>1.8529565334320069E-2</v>
      </c>
      <c r="DJ20">
        <v>1.2288749019940786</v>
      </c>
      <c r="DK20">
        <v>3994297623.0005646</v>
      </c>
      <c r="DL20">
        <v>1.6213369667530061E-2</v>
      </c>
      <c r="DM20">
        <v>302000000</v>
      </c>
      <c r="DN20">
        <v>2.3161956667900087E-2</v>
      </c>
      <c r="DO20">
        <v>4908492100</v>
      </c>
      <c r="DP20">
        <v>872426300</v>
      </c>
      <c r="DQ20">
        <v>524</v>
      </c>
      <c r="DR20">
        <v>-4.3659268495857079E-2</v>
      </c>
      <c r="DS20">
        <v>-5.0553379352389086E-2</v>
      </c>
      <c r="DT20" s="9">
        <v>-0.44</v>
      </c>
      <c r="DU20">
        <v>-0.21666666666666667</v>
      </c>
      <c r="DV20">
        <v>-0.65666666666666673</v>
      </c>
      <c r="DW20">
        <v>-2.1221000000000001</v>
      </c>
      <c r="DX20">
        <v>0.37016626794258256</v>
      </c>
      <c r="DY20">
        <v>-2.0171143013157895</v>
      </c>
      <c r="DZ20">
        <v>3127</v>
      </c>
      <c r="EA20">
        <v>-2.0066414206475951</v>
      </c>
      <c r="EB20">
        <v>2</v>
      </c>
      <c r="EC20">
        <v>2.9591864152840177E-2</v>
      </c>
      <c r="ED20">
        <v>0.21111972650197039</v>
      </c>
      <c r="EE20" s="10">
        <v>1.0279</v>
      </c>
      <c r="EF20">
        <v>1.01</v>
      </c>
      <c r="EG20">
        <v>23.140166267942583</v>
      </c>
      <c r="EH20" t="s">
        <v>1364</v>
      </c>
      <c r="EI20">
        <v>0</v>
      </c>
      <c r="EJ20">
        <v>0</v>
      </c>
      <c r="EK20" s="11">
        <v>45470</v>
      </c>
      <c r="EL20" s="12">
        <v>0.52</v>
      </c>
      <c r="EM20" s="12">
        <v>-2.82</v>
      </c>
      <c r="EN20" s="12">
        <v>1.32</v>
      </c>
      <c r="EO20" s="12">
        <v>1.56</v>
      </c>
      <c r="EP20" s="12">
        <v>-1.79</v>
      </c>
    </row>
    <row r="21" spans="1:146" ht="96" x14ac:dyDescent="0.25">
      <c r="A21" s="6"/>
      <c r="B21" s="6"/>
      <c r="C21" s="6" t="str">
        <f>""&amp;CHAR(10)&amp;Basic_Fundamental_Information_Constructure(F21)&amp;CHAR(10)&amp;Basic_Fundamental_Information_Concatenate("")</f>
        <v xml:space="preserve">
市值152.8853亿, 利润-5.51亿; PE; 平均PE36.31; 平均PEG19.7, PB1.82; ROIC1.87%; ROE2.37%; 股利率0%; 毛利45.98%; 净利-4.3233%; 上一年度营收增6.02%, 利润增-388.48%; 当季营收增41.21%, 利润增125.55%; 过往5年营收增-1.84%, 利润增-92.27%
Income profile:
</v>
      </c>
      <c r="D21" t="s">
        <v>158</v>
      </c>
      <c r="E21" t="s">
        <v>58</v>
      </c>
      <c r="F21">
        <v>12.47</v>
      </c>
      <c r="G21">
        <v>3.92</v>
      </c>
      <c r="H21" t="s">
        <v>3285</v>
      </c>
      <c r="I21">
        <v>15288530000</v>
      </c>
      <c r="K21">
        <v>1.82</v>
      </c>
      <c r="L21" t="s">
        <v>100</v>
      </c>
      <c r="M21" t="s">
        <v>2159</v>
      </c>
      <c r="N21" t="s">
        <v>2701</v>
      </c>
      <c r="O21" t="s">
        <v>1684</v>
      </c>
      <c r="P21">
        <v>41.28</v>
      </c>
      <c r="Q21" t="s">
        <v>2160</v>
      </c>
      <c r="R21">
        <v>146099160</v>
      </c>
      <c r="S21" s="5">
        <v>1.256</v>
      </c>
      <c r="T21" t="s">
        <v>2161</v>
      </c>
      <c r="U21">
        <v>851113470</v>
      </c>
      <c r="V21">
        <v>1226024830</v>
      </c>
      <c r="W21">
        <v>1.41</v>
      </c>
      <c r="X21">
        <v>0.11</v>
      </c>
      <c r="Y21">
        <v>8.8699999999999992</v>
      </c>
      <c r="Z21" t="s">
        <v>486</v>
      </c>
      <c r="AA21" t="s">
        <v>2164</v>
      </c>
      <c r="AB21" t="s">
        <v>1123</v>
      </c>
      <c r="AC21" t="s">
        <v>3286</v>
      </c>
      <c r="AD21" t="s">
        <v>81</v>
      </c>
      <c r="AE21">
        <v>17328844</v>
      </c>
      <c r="AF21" t="s">
        <v>2162</v>
      </c>
      <c r="AG21" t="s">
        <v>3287</v>
      </c>
      <c r="AH21" t="s">
        <v>2163</v>
      </c>
      <c r="AI21" t="s">
        <v>332</v>
      </c>
      <c r="AJ21" t="s">
        <v>2165</v>
      </c>
      <c r="AK21" t="s">
        <v>3288</v>
      </c>
      <c r="AL21" t="s">
        <v>2166</v>
      </c>
      <c r="AM21" t="s">
        <v>81</v>
      </c>
      <c r="AN21" t="s">
        <v>379</v>
      </c>
      <c r="AO21" t="s">
        <v>429</v>
      </c>
      <c r="AP21" t="s">
        <v>81</v>
      </c>
      <c r="AQ21" t="s">
        <v>361</v>
      </c>
      <c r="AR21" t="s">
        <v>3289</v>
      </c>
      <c r="AS21" t="s">
        <v>3290</v>
      </c>
      <c r="AT21" t="s">
        <v>723</v>
      </c>
      <c r="AU21" t="s">
        <v>463</v>
      </c>
      <c r="AV21" t="s">
        <v>3291</v>
      </c>
      <c r="AW21" t="s">
        <v>3292</v>
      </c>
      <c r="AX21" t="s">
        <v>1642</v>
      </c>
      <c r="AY21" t="s">
        <v>1203</v>
      </c>
      <c r="AZ21" t="s">
        <v>640</v>
      </c>
      <c r="BA21" t="s">
        <v>643</v>
      </c>
      <c r="BB21" t="s">
        <v>644</v>
      </c>
      <c r="BC21" t="s">
        <v>428</v>
      </c>
      <c r="BD21" t="s">
        <v>619</v>
      </c>
      <c r="BE21" t="s">
        <v>641</v>
      </c>
      <c r="BF21" t="s">
        <v>645</v>
      </c>
      <c r="BG21" t="s">
        <v>321</v>
      </c>
      <c r="BH21" t="s">
        <v>2160</v>
      </c>
      <c r="BI21" t="s">
        <v>832</v>
      </c>
      <c r="BJ21" t="s">
        <v>1642</v>
      </c>
      <c r="BK21" t="s">
        <v>2161</v>
      </c>
      <c r="BL21" t="s">
        <v>1856</v>
      </c>
      <c r="BM21" t="s">
        <v>428</v>
      </c>
      <c r="BN21">
        <v>1.19</v>
      </c>
      <c r="BO21">
        <v>1.62</v>
      </c>
      <c r="BP21">
        <v>2.8</v>
      </c>
      <c r="BQ21">
        <v>1.63</v>
      </c>
      <c r="BR21">
        <v>2.2000000000000002</v>
      </c>
      <c r="BS21">
        <v>3.28</v>
      </c>
      <c r="BT21" t="s">
        <v>1526</v>
      </c>
      <c r="BU21" t="s">
        <v>1354</v>
      </c>
      <c r="BV21">
        <v>47.84</v>
      </c>
      <c r="BW21">
        <v>48.63</v>
      </c>
      <c r="BX21">
        <v>41.47</v>
      </c>
      <c r="BY21">
        <v>-21.77</v>
      </c>
      <c r="BZ21">
        <v>3.31</v>
      </c>
      <c r="CA21">
        <v>5.49</v>
      </c>
      <c r="CB21">
        <v>0.89</v>
      </c>
      <c r="CC21">
        <v>-7.36</v>
      </c>
      <c r="CD21" t="s">
        <v>3293</v>
      </c>
      <c r="CE21" t="s">
        <v>289</v>
      </c>
      <c r="CF21" s="7">
        <v>0.41214057507987223</v>
      </c>
      <c r="CG21" s="8">
        <v>1.2555077314494616</v>
      </c>
      <c r="CH21" s="7">
        <v>6.0203302651643753E-2</v>
      </c>
      <c r="CI21" s="7">
        <v>-0.12973463535308838</v>
      </c>
      <c r="CJ21" s="7">
        <v>-0.18351852893829346</v>
      </c>
      <c r="CK21" s="7">
        <v>4.106423631310463E-2</v>
      </c>
      <c r="CL21" s="7">
        <v>0.11981861293315887</v>
      </c>
      <c r="CM21" s="8">
        <v>-3.8848166465759277</v>
      </c>
      <c r="CN21" s="8">
        <v>-0.31294962763786316</v>
      </c>
      <c r="CO21" s="8">
        <v>-0.71280992031097412</v>
      </c>
      <c r="CP21" s="8">
        <v>7.1982279419898987E-2</v>
      </c>
      <c r="CQ21" s="8">
        <v>0.22523744404315948</v>
      </c>
      <c r="CR21">
        <v>36.31479809976247</v>
      </c>
      <c r="CS21">
        <v>19.700539898553529</v>
      </c>
      <c r="CT21">
        <v>0</v>
      </c>
      <c r="CU21" s="7">
        <v>-1.8433402478694915E-2</v>
      </c>
      <c r="CV21" s="8">
        <v>-0.92267129421234129</v>
      </c>
      <c r="CW21">
        <v>0.06</v>
      </c>
      <c r="CX21" t="e">
        <v>#VALUE!</v>
      </c>
      <c r="CY21" t="s">
        <v>1362</v>
      </c>
      <c r="CZ21">
        <v>-1.8433402478694915E-2</v>
      </c>
      <c r="DA21" t="e">
        <v>#VALUE!</v>
      </c>
      <c r="DB21" t="s">
        <v>1362</v>
      </c>
      <c r="DC21">
        <v>-1.7511732354760168E-2</v>
      </c>
      <c r="DD21" t="e">
        <v>#VALUE!</v>
      </c>
      <c r="DE21" t="s">
        <v>1362</v>
      </c>
      <c r="DF21">
        <v>-1.6221394181251524E-2</v>
      </c>
      <c r="DG21" t="e">
        <v>#VALUE!</v>
      </c>
      <c r="DH21" t="s">
        <v>1362</v>
      </c>
      <c r="DI21">
        <v>-1.4746721982955933E-2</v>
      </c>
      <c r="DJ21" t="e">
        <v>#VALUE!</v>
      </c>
      <c r="DK21" t="s">
        <v>1362</v>
      </c>
      <c r="DL21">
        <v>-1.290338173508644E-2</v>
      </c>
      <c r="DM21">
        <v>-551000000</v>
      </c>
      <c r="DN21">
        <v>-1.8433402478694915E-2</v>
      </c>
      <c r="DO21">
        <v>10184530000</v>
      </c>
      <c r="DP21">
        <v>1060066100</v>
      </c>
      <c r="DQ21">
        <v>537</v>
      </c>
      <c r="DR21">
        <v>0.43057397755856713</v>
      </c>
      <c r="DS21">
        <v>2.178179025661803</v>
      </c>
      <c r="DT21" s="9">
        <v>-0.57333333333333336</v>
      </c>
      <c r="DU21">
        <v>-0.46666666666666679</v>
      </c>
      <c r="DV21">
        <v>-1.04</v>
      </c>
      <c r="DW21">
        <v>-2.0735999999999999</v>
      </c>
      <c r="DX21">
        <v>0.54739712918660388</v>
      </c>
      <c r="DY21">
        <v>-2.0123204287081338</v>
      </c>
      <c r="DZ21">
        <v>3595</v>
      </c>
      <c r="EA21">
        <v>-2.0036527298420395</v>
      </c>
      <c r="EB21">
        <v>2</v>
      </c>
      <c r="EC21">
        <v>2.853612679279913E-2</v>
      </c>
      <c r="ED21">
        <v>0.17046963070070939</v>
      </c>
      <c r="EE21" s="10">
        <v>-2.0037099999999999</v>
      </c>
      <c r="EF21">
        <v>-2.0306099999999998</v>
      </c>
      <c r="EG21">
        <v>38.167397129186604</v>
      </c>
      <c r="EH21" t="s">
        <v>1368</v>
      </c>
      <c r="EI21">
        <v>0</v>
      </c>
      <c r="EJ21">
        <v>0</v>
      </c>
      <c r="EK21" s="11">
        <v>45470</v>
      </c>
      <c r="EL21" s="12">
        <v>1.76</v>
      </c>
      <c r="EM21" s="12">
        <v>-1.96</v>
      </c>
      <c r="EN21" s="12">
        <v>-0.32</v>
      </c>
      <c r="EO21" s="12">
        <v>1.77</v>
      </c>
      <c r="EP21" s="12">
        <v>-2.69</v>
      </c>
    </row>
    <row r="22" spans="1:146" ht="108" x14ac:dyDescent="0.25">
      <c r="A22" s="6"/>
      <c r="B22" s="6"/>
      <c r="C22" s="6" t="str">
        <f>""&amp;CHAR(10)&amp;Basic_Fundamental_Information_Constructure(F22)&amp;CHAR(10)&amp;Basic_Fundamental_Information_Concatenate("")</f>
        <v xml:space="preserve">
市值91.699603亿, 利润6.19亿; PE14.35; 平均PE16.01; 平均PEG2.32, PB1.61; ROIC10.67%; ROE12.2667%; 股利率2.8169%; 毛利53.23%; 净利17.23%; 上一年度营收增5.79%, 利润增-6.5%; 当季营收增10.52%, 利润增13.38%; 过往5年营收增6.89%, 利润增12.37%
Income profile:
</v>
      </c>
      <c r="D22" t="s">
        <v>188</v>
      </c>
      <c r="E22" t="s">
        <v>75</v>
      </c>
      <c r="F22">
        <v>10.65</v>
      </c>
      <c r="G22">
        <v>4.82</v>
      </c>
      <c r="H22" t="s">
        <v>3294</v>
      </c>
      <c r="I22">
        <v>9169960300</v>
      </c>
      <c r="J22">
        <v>14.35</v>
      </c>
      <c r="K22">
        <v>1.61</v>
      </c>
      <c r="L22" t="s">
        <v>100</v>
      </c>
      <c r="M22" t="s">
        <v>2167</v>
      </c>
      <c r="N22" t="s">
        <v>3295</v>
      </c>
      <c r="O22" t="s">
        <v>2168</v>
      </c>
      <c r="P22">
        <v>10.44</v>
      </c>
      <c r="Q22" t="s">
        <v>2169</v>
      </c>
      <c r="R22">
        <v>171207840</v>
      </c>
      <c r="S22" s="5">
        <v>0.1323</v>
      </c>
      <c r="T22" t="s">
        <v>1104</v>
      </c>
      <c r="U22">
        <v>656400770</v>
      </c>
      <c r="V22">
        <v>861029140</v>
      </c>
      <c r="W22">
        <v>1.46</v>
      </c>
      <c r="X22">
        <v>0.13</v>
      </c>
      <c r="Y22">
        <v>16.329999999999998</v>
      </c>
      <c r="Z22" t="s">
        <v>3296</v>
      </c>
      <c r="AA22" t="s">
        <v>1096</v>
      </c>
      <c r="AB22" t="s">
        <v>311</v>
      </c>
      <c r="AC22" t="s">
        <v>3297</v>
      </c>
      <c r="AD22" t="s">
        <v>81</v>
      </c>
      <c r="AE22">
        <v>-8176851</v>
      </c>
      <c r="AF22" t="s">
        <v>2170</v>
      </c>
      <c r="AG22" t="s">
        <v>3298</v>
      </c>
      <c r="AH22" t="s">
        <v>2171</v>
      </c>
      <c r="AI22" t="s">
        <v>3299</v>
      </c>
      <c r="AJ22" t="s">
        <v>2173</v>
      </c>
      <c r="AK22" t="s">
        <v>81</v>
      </c>
      <c r="AL22" t="s">
        <v>2174</v>
      </c>
      <c r="AM22" t="s">
        <v>81</v>
      </c>
      <c r="AN22" t="s">
        <v>3300</v>
      </c>
      <c r="AO22" t="s">
        <v>272</v>
      </c>
      <c r="AP22" t="s">
        <v>1876</v>
      </c>
      <c r="AQ22" t="s">
        <v>3301</v>
      </c>
      <c r="AR22" t="s">
        <v>81</v>
      </c>
      <c r="AS22" t="s">
        <v>3302</v>
      </c>
      <c r="AT22" t="s">
        <v>81</v>
      </c>
      <c r="AU22" t="s">
        <v>1876</v>
      </c>
      <c r="AV22" t="s">
        <v>398</v>
      </c>
      <c r="AW22" t="s">
        <v>3303</v>
      </c>
      <c r="AX22" t="s">
        <v>1643</v>
      </c>
      <c r="AY22" t="s">
        <v>1644</v>
      </c>
      <c r="AZ22" t="s">
        <v>646</v>
      </c>
      <c r="BA22" t="s">
        <v>650</v>
      </c>
      <c r="BB22" t="s">
        <v>651</v>
      </c>
      <c r="BC22" t="s">
        <v>82</v>
      </c>
      <c r="BD22" t="s">
        <v>552</v>
      </c>
      <c r="BE22" t="s">
        <v>647</v>
      </c>
      <c r="BF22" t="s">
        <v>287</v>
      </c>
      <c r="BG22" t="s">
        <v>385</v>
      </c>
      <c r="BH22" t="s">
        <v>2169</v>
      </c>
      <c r="BI22" t="s">
        <v>1818</v>
      </c>
      <c r="BJ22" t="s">
        <v>1643</v>
      </c>
      <c r="BK22" t="s">
        <v>1104</v>
      </c>
      <c r="BL22" t="s">
        <v>302</v>
      </c>
      <c r="BM22" t="s">
        <v>82</v>
      </c>
      <c r="BN22">
        <v>7.91</v>
      </c>
      <c r="BO22">
        <v>11.72</v>
      </c>
      <c r="BP22">
        <v>12.38</v>
      </c>
      <c r="BQ22">
        <v>8.9700000000000006</v>
      </c>
      <c r="BR22">
        <v>13.46</v>
      </c>
      <c r="BS22">
        <v>14.37</v>
      </c>
      <c r="BT22" t="s">
        <v>1532</v>
      </c>
      <c r="BU22" t="s">
        <v>1354</v>
      </c>
      <c r="BV22">
        <v>50.57</v>
      </c>
      <c r="BW22">
        <v>53.27</v>
      </c>
      <c r="BX22">
        <v>55.85</v>
      </c>
      <c r="BY22">
        <v>15.59</v>
      </c>
      <c r="BZ22">
        <v>17.670000000000002</v>
      </c>
      <c r="CA22">
        <v>18.43</v>
      </c>
      <c r="CB22">
        <v>1.72</v>
      </c>
      <c r="CC22">
        <v>-4.91</v>
      </c>
      <c r="CD22" t="s">
        <v>3304</v>
      </c>
      <c r="CE22" t="s">
        <v>406</v>
      </c>
      <c r="CF22" s="7">
        <v>0.10520833333333333</v>
      </c>
      <c r="CG22" s="8">
        <v>0.13382675496688742</v>
      </c>
      <c r="CH22" s="7">
        <v>5.7936523109674454E-2</v>
      </c>
      <c r="CI22" s="7">
        <v>9.0279757976531982E-2</v>
      </c>
      <c r="CJ22" s="7">
        <v>6.4149849116802216E-2</v>
      </c>
      <c r="CK22" s="7">
        <v>-0.1066630631685257</v>
      </c>
      <c r="CL22" s="7">
        <v>0.23879078030586243</v>
      </c>
      <c r="CM22" s="8">
        <v>-6.4954683184623718E-2</v>
      </c>
      <c r="CN22" s="8">
        <v>7.9934746026992798E-2</v>
      </c>
      <c r="CO22" s="8">
        <v>-6.1255741864442825E-2</v>
      </c>
      <c r="CP22" s="8">
        <v>0.25576922297477722</v>
      </c>
      <c r="CQ22" s="8">
        <v>0.4092140793800354</v>
      </c>
      <c r="CR22">
        <v>16.012736263096624</v>
      </c>
      <c r="CS22">
        <v>2.3240961176407766</v>
      </c>
      <c r="CT22">
        <v>2.816901408450704</v>
      </c>
      <c r="CU22" s="7">
        <v>6.8898769468069082E-2</v>
      </c>
      <c r="CV22" s="8">
        <v>0.12374152466654778</v>
      </c>
      <c r="CW22">
        <v>0.06</v>
      </c>
      <c r="CX22">
        <v>9.4552915134148883</v>
      </c>
      <c r="CY22">
        <v>624196545.56673086</v>
      </c>
      <c r="CZ22">
        <v>6.8898769468069082E-2</v>
      </c>
      <c r="DA22">
        <v>3.1457414684112623</v>
      </c>
      <c r="DB22">
        <v>1876174618.6919644</v>
      </c>
      <c r="DC22">
        <v>6.5453830994665618E-2</v>
      </c>
      <c r="DD22">
        <v>1.5858046965487338</v>
      </c>
      <c r="DE22">
        <v>3721744747.5371537</v>
      </c>
      <c r="DF22">
        <v>6.0630917131900795E-2</v>
      </c>
      <c r="DG22">
        <v>0.97789394852453149</v>
      </c>
      <c r="DH22">
        <v>6035378692.0401859</v>
      </c>
      <c r="DI22">
        <v>5.5119015574455268E-2</v>
      </c>
      <c r="DJ22">
        <v>0.53492991674553092</v>
      </c>
      <c r="DK22">
        <v>11033146801.560539</v>
      </c>
      <c r="DL22">
        <v>4.8229138627648355E-2</v>
      </c>
      <c r="DM22">
        <v>619000000</v>
      </c>
      <c r="DN22">
        <v>6.8898769468069082E-2</v>
      </c>
      <c r="DO22">
        <v>5901960300</v>
      </c>
      <c r="DP22">
        <v>1416557400</v>
      </c>
      <c r="DQ22">
        <v>538</v>
      </c>
      <c r="DR22">
        <v>3.6309563865264252E-2</v>
      </c>
      <c r="DS22">
        <v>1.0085230300339643E-2</v>
      </c>
      <c r="DT22" s="9">
        <v>-0.34</v>
      </c>
      <c r="DU22">
        <v>0.21666666666666665</v>
      </c>
      <c r="DV22">
        <v>-0.12333333333333338</v>
      </c>
      <c r="DW22">
        <v>-1.0490999999999999</v>
      </c>
      <c r="DX22">
        <v>0.60462892561983517</v>
      </c>
      <c r="DY22">
        <v>-1.0085742802479338</v>
      </c>
      <c r="DZ22">
        <v>1999</v>
      </c>
      <c r="EA22">
        <v>-1.005220075509065</v>
      </c>
      <c r="EB22">
        <v>1</v>
      </c>
      <c r="EC22">
        <v>4.9081033424722427E-2</v>
      </c>
      <c r="ED22">
        <v>0.28105901270658507</v>
      </c>
      <c r="EE22" s="10">
        <v>-1.0392999999999999</v>
      </c>
      <c r="EF22">
        <v>-1.0105</v>
      </c>
      <c r="EG22">
        <v>43.174628925619835</v>
      </c>
      <c r="EH22" t="s">
        <v>1355</v>
      </c>
      <c r="EI22">
        <v>0</v>
      </c>
      <c r="EJ22">
        <v>0</v>
      </c>
      <c r="EK22" s="11">
        <v>45470</v>
      </c>
      <c r="EL22" s="12">
        <v>1.42</v>
      </c>
      <c r="EM22" s="12">
        <v>-3.55</v>
      </c>
      <c r="EN22" s="12">
        <v>0.28999999999999998</v>
      </c>
      <c r="EO22" s="12">
        <v>3.96</v>
      </c>
      <c r="EP22" s="12">
        <v>-2.88</v>
      </c>
    </row>
    <row r="23" spans="1:146" ht="108" x14ac:dyDescent="0.25">
      <c r="A23" s="6"/>
      <c r="B23" s="6"/>
      <c r="C23" s="6" t="str">
        <f>""&amp;CHAR(10)&amp;Basic_Fundamental_Information_Constructure(F23)&amp;CHAR(10)&amp;Basic_Fundamental_Information_Concatenate("")</f>
        <v xml:space="preserve">
市值84.982551亿, 利润-4.20亿; PE; 平均PE34.94; 平均PEG9.65, PB1.53; ROIC1.305%; ROE.7967%; 股利率0%; 毛利25.97%; 净利-4.15%; 上一年度营收增-19.67%, 利润增-577.2%; 当季营收增-16.72%, 利润增-22.58%; 过往5年营收增-3.62%, 利润增-137.21%
Income profile:
</v>
      </c>
      <c r="D23" t="s">
        <v>445</v>
      </c>
      <c r="E23" t="s">
        <v>446</v>
      </c>
      <c r="F23">
        <v>5.25</v>
      </c>
      <c r="G23">
        <v>3.96</v>
      </c>
      <c r="H23" t="s">
        <v>3305</v>
      </c>
      <c r="I23">
        <v>8498255100</v>
      </c>
      <c r="K23">
        <v>1.53</v>
      </c>
      <c r="L23" t="s">
        <v>100</v>
      </c>
      <c r="M23" t="s">
        <v>1972</v>
      </c>
      <c r="N23" t="s">
        <v>3306</v>
      </c>
      <c r="O23" t="s">
        <v>813</v>
      </c>
      <c r="P23">
        <v>-16.649999999999999</v>
      </c>
      <c r="Q23" t="s">
        <v>2110</v>
      </c>
      <c r="R23">
        <v>32593339</v>
      </c>
      <c r="S23" s="5">
        <v>-0.2258</v>
      </c>
      <c r="T23" t="s">
        <v>2175</v>
      </c>
      <c r="U23">
        <v>1617129000</v>
      </c>
      <c r="V23">
        <v>1618715300</v>
      </c>
      <c r="W23">
        <v>1.38</v>
      </c>
      <c r="X23">
        <v>7.0000000000000007E-2</v>
      </c>
      <c r="Y23">
        <v>6.07</v>
      </c>
      <c r="Z23" t="s">
        <v>1917</v>
      </c>
      <c r="AA23" t="s">
        <v>2232</v>
      </c>
      <c r="AB23" t="s">
        <v>3307</v>
      </c>
      <c r="AC23" t="s">
        <v>3308</v>
      </c>
      <c r="AD23" t="s">
        <v>81</v>
      </c>
      <c r="AE23">
        <v>-13750530</v>
      </c>
      <c r="AF23" t="s">
        <v>2176</v>
      </c>
      <c r="AG23" t="s">
        <v>3309</v>
      </c>
      <c r="AH23" t="s">
        <v>2177</v>
      </c>
      <c r="AI23" t="s">
        <v>3310</v>
      </c>
      <c r="AJ23" t="s">
        <v>2178</v>
      </c>
      <c r="AK23" t="s">
        <v>81</v>
      </c>
      <c r="AL23" t="s">
        <v>2179</v>
      </c>
      <c r="AM23" t="s">
        <v>81</v>
      </c>
      <c r="AN23" t="s">
        <v>734</v>
      </c>
      <c r="AO23" t="s">
        <v>1949</v>
      </c>
      <c r="AP23" t="s">
        <v>3311</v>
      </c>
      <c r="AQ23" t="s">
        <v>361</v>
      </c>
      <c r="AR23" t="s">
        <v>81</v>
      </c>
      <c r="AS23" t="s">
        <v>3312</v>
      </c>
      <c r="AT23" t="s">
        <v>688</v>
      </c>
      <c r="AU23" t="s">
        <v>3313</v>
      </c>
      <c r="AV23" t="s">
        <v>3314</v>
      </c>
      <c r="AW23" t="s">
        <v>299</v>
      </c>
      <c r="AX23" t="s">
        <v>1645</v>
      </c>
      <c r="AY23" t="s">
        <v>1204</v>
      </c>
      <c r="AZ23" t="s">
        <v>653</v>
      </c>
      <c r="BA23" t="s">
        <v>454</v>
      </c>
      <c r="BB23" t="s">
        <v>432</v>
      </c>
      <c r="BC23" t="s">
        <v>1646</v>
      </c>
      <c r="BD23" t="s">
        <v>1205</v>
      </c>
      <c r="BE23" t="s">
        <v>340</v>
      </c>
      <c r="BF23" t="s">
        <v>655</v>
      </c>
      <c r="BG23" t="s">
        <v>656</v>
      </c>
      <c r="BH23" t="s">
        <v>2110</v>
      </c>
      <c r="BI23" t="s">
        <v>331</v>
      </c>
      <c r="BJ23" t="s">
        <v>1645</v>
      </c>
      <c r="BK23" t="s">
        <v>2175</v>
      </c>
      <c r="BL23" t="s">
        <v>1860</v>
      </c>
      <c r="BM23" t="s">
        <v>1646</v>
      </c>
      <c r="BN23" t="s">
        <v>81</v>
      </c>
      <c r="BO23">
        <v>1.29</v>
      </c>
      <c r="BP23">
        <v>1.32</v>
      </c>
      <c r="BQ23">
        <v>-0.64</v>
      </c>
      <c r="BR23">
        <v>1.44</v>
      </c>
      <c r="BS23">
        <v>1.59</v>
      </c>
      <c r="BT23" t="s">
        <v>1526</v>
      </c>
      <c r="BU23" t="s">
        <v>1353</v>
      </c>
      <c r="BV23">
        <v>14.03</v>
      </c>
      <c r="BW23">
        <v>26.64</v>
      </c>
      <c r="BX23">
        <v>37.24</v>
      </c>
      <c r="BY23">
        <v>-19.41</v>
      </c>
      <c r="BZ23">
        <v>3.18</v>
      </c>
      <c r="CA23">
        <v>3.78</v>
      </c>
      <c r="CB23">
        <v>2.74</v>
      </c>
      <c r="CC23">
        <v>-12.35</v>
      </c>
      <c r="CD23" t="s">
        <v>3315</v>
      </c>
      <c r="CE23" t="s">
        <v>567</v>
      </c>
      <c r="CF23" s="7">
        <v>-0.16719242902208201</v>
      </c>
      <c r="CG23" s="8">
        <v>-0.22584636322826271</v>
      </c>
      <c r="CH23" s="7">
        <v>-0.19674555957317352</v>
      </c>
      <c r="CI23" s="7">
        <v>8.8128797709941864E-2</v>
      </c>
      <c r="CJ23" s="7">
        <v>5.6656706146895885E-3</v>
      </c>
      <c r="CK23" s="7">
        <v>-0.15980954468250275</v>
      </c>
      <c r="CL23" s="7">
        <v>8.1647612154483795E-2</v>
      </c>
      <c r="CM23" s="8">
        <v>-5.7719841003417969</v>
      </c>
      <c r="CN23" s="8">
        <v>-7.5773663818836212E-2</v>
      </c>
      <c r="CO23" s="8">
        <v>-0.70240747928619385</v>
      </c>
      <c r="CP23" s="8">
        <v>-0.58495461940765381</v>
      </c>
      <c r="CQ23" s="8">
        <v>0.27438017725944519</v>
      </c>
      <c r="CR23">
        <v>34.942446266499907</v>
      </c>
      <c r="CS23">
        <v>9.6465857446034278</v>
      </c>
      <c r="CT23">
        <v>0</v>
      </c>
      <c r="CU23" s="7">
        <v>-3.6222604755312207E-2</v>
      </c>
      <c r="CV23" s="8">
        <v>-1.3721479371190071</v>
      </c>
      <c r="CW23">
        <v>0.06</v>
      </c>
      <c r="CX23" t="e">
        <v>#VALUE!</v>
      </c>
      <c r="CY23" t="s">
        <v>1362</v>
      </c>
      <c r="CZ23">
        <v>-3.6222604755312207E-2</v>
      </c>
      <c r="DA23" t="e">
        <v>#VALUE!</v>
      </c>
      <c r="DB23" t="s">
        <v>1362</v>
      </c>
      <c r="DC23">
        <v>-3.4411474517546593E-2</v>
      </c>
      <c r="DD23" t="e">
        <v>#VALUE!</v>
      </c>
      <c r="DE23" t="s">
        <v>1362</v>
      </c>
      <c r="DF23">
        <v>-3.1875892184674744E-2</v>
      </c>
      <c r="DG23" t="e">
        <v>#VALUE!</v>
      </c>
      <c r="DH23" t="s">
        <v>1362</v>
      </c>
      <c r="DI23">
        <v>-2.8978083804249766E-2</v>
      </c>
      <c r="DJ23" t="e">
        <v>#VALUE!</v>
      </c>
      <c r="DK23" t="s">
        <v>1362</v>
      </c>
      <c r="DL23">
        <v>-2.5355823328718545E-2</v>
      </c>
      <c r="DM23">
        <v>-420000000</v>
      </c>
      <c r="DN23">
        <v>-3.6222604755312207E-2</v>
      </c>
      <c r="DO23">
        <v>4880255100</v>
      </c>
      <c r="DP23">
        <v>920134100</v>
      </c>
      <c r="DQ23">
        <v>613</v>
      </c>
      <c r="DR23">
        <v>-0.13096982426676979</v>
      </c>
      <c r="DS23">
        <v>1.1463015738907443</v>
      </c>
      <c r="DT23" s="9">
        <v>-0.72333333333333327</v>
      </c>
      <c r="DU23">
        <v>-1.4733333333333334</v>
      </c>
      <c r="DV23">
        <v>-2.1966666666666668</v>
      </c>
      <c r="DW23">
        <v>6.1815772034459906</v>
      </c>
      <c r="DX23">
        <v>0.4136288025889982</v>
      </c>
      <c r="DY23">
        <v>6.0206324002050264</v>
      </c>
      <c r="DZ23">
        <v>4528</v>
      </c>
      <c r="EA23">
        <v>6.0023499132914528</v>
      </c>
      <c r="EB23">
        <v>6</v>
      </c>
      <c r="EC23">
        <v>2.1690843349661301E-2</v>
      </c>
      <c r="ED23">
        <v>0.19089212290759222</v>
      </c>
      <c r="EE23" s="10">
        <v>-4.0480099999999997</v>
      </c>
      <c r="EF23">
        <v>-4.0865099999999996</v>
      </c>
      <c r="EG23">
        <v>30.113628802588998</v>
      </c>
      <c r="EH23" t="s">
        <v>3135</v>
      </c>
      <c r="EI23">
        <v>0</v>
      </c>
      <c r="EJ23">
        <v>0</v>
      </c>
      <c r="EK23" s="11">
        <v>45470</v>
      </c>
      <c r="EL23" s="12">
        <v>1.52</v>
      </c>
      <c r="EM23" s="12">
        <v>-2.99</v>
      </c>
      <c r="EN23" s="12">
        <v>0.77</v>
      </c>
      <c r="EO23" s="12">
        <v>4.01</v>
      </c>
      <c r="EP23" s="12">
        <v>-3.85</v>
      </c>
    </row>
    <row r="24" spans="1:146" ht="108" x14ac:dyDescent="0.25">
      <c r="A24" s="6"/>
      <c r="B24" s="6"/>
      <c r="C24" s="6" t="str">
        <f>""&amp;CHAR(10)&amp;Basic_Fundamental_Information_Constructure(F24)&amp;CHAR(10)&amp;Basic_Fundamental_Information_Concatenate("")</f>
        <v xml:space="preserve">
市值65.31914亿, 利润2.59亿; PE28.51; 平均PE-35.86; 平均PEG-8.47, PB1.58; ROIC5.82%; ROE7.7967%; 股利率0%; 毛利2.96%; 净利2.3667%; 上一年度营收增-9.23%, 利润增-41.67%; 当季营收增2.63%, 利润增-34.72%; 过往5年营收增-4.23%, 利润增64.36%
Income profile:
</v>
      </c>
      <c r="D24" t="s">
        <v>197</v>
      </c>
      <c r="E24" t="s">
        <v>2182</v>
      </c>
      <c r="F24">
        <v>2.48</v>
      </c>
      <c r="G24">
        <v>0.4</v>
      </c>
      <c r="H24" t="s">
        <v>3316</v>
      </c>
      <c r="I24">
        <v>6531914000</v>
      </c>
      <c r="J24">
        <v>28.51</v>
      </c>
      <c r="K24">
        <v>1.58</v>
      </c>
      <c r="L24" t="s">
        <v>100</v>
      </c>
      <c r="M24" t="s">
        <v>2183</v>
      </c>
      <c r="N24" t="s">
        <v>3317</v>
      </c>
      <c r="O24" t="s">
        <v>2184</v>
      </c>
      <c r="P24">
        <v>2.62</v>
      </c>
      <c r="Q24" t="s">
        <v>2185</v>
      </c>
      <c r="R24">
        <v>55760879</v>
      </c>
      <c r="S24" s="5">
        <v>-0.34720000000000001</v>
      </c>
      <c r="T24" t="s">
        <v>2186</v>
      </c>
      <c r="U24">
        <v>2331104700</v>
      </c>
      <c r="V24">
        <v>2633836300</v>
      </c>
      <c r="W24">
        <v>2</v>
      </c>
      <c r="X24">
        <v>0.34</v>
      </c>
      <c r="Y24">
        <v>1.94</v>
      </c>
      <c r="Z24" t="s">
        <v>827</v>
      </c>
      <c r="AA24" t="s">
        <v>3318</v>
      </c>
      <c r="AB24" t="s">
        <v>3319</v>
      </c>
      <c r="AC24" t="s">
        <v>3320</v>
      </c>
      <c r="AD24" t="s">
        <v>81</v>
      </c>
      <c r="AE24">
        <v>5111088</v>
      </c>
      <c r="AF24" t="s">
        <v>2187</v>
      </c>
      <c r="AG24" t="s">
        <v>3321</v>
      </c>
      <c r="AH24" t="s">
        <v>2188</v>
      </c>
      <c r="AI24" t="s">
        <v>3322</v>
      </c>
      <c r="AJ24" t="s">
        <v>2189</v>
      </c>
      <c r="AK24" t="s">
        <v>81</v>
      </c>
      <c r="AL24" t="s">
        <v>2190</v>
      </c>
      <c r="AM24" t="s">
        <v>81</v>
      </c>
      <c r="AN24" t="s">
        <v>3323</v>
      </c>
      <c r="AO24" t="s">
        <v>1950</v>
      </c>
      <c r="AP24" t="s">
        <v>3324</v>
      </c>
      <c r="AQ24" t="s">
        <v>357</v>
      </c>
      <c r="AR24" t="s">
        <v>3325</v>
      </c>
      <c r="AS24" t="s">
        <v>3326</v>
      </c>
      <c r="AT24" t="s">
        <v>261</v>
      </c>
      <c r="AU24" t="s">
        <v>3327</v>
      </c>
      <c r="AV24" t="s">
        <v>3328</v>
      </c>
      <c r="AW24" t="s">
        <v>1432</v>
      </c>
      <c r="AX24" t="s">
        <v>1647</v>
      </c>
      <c r="AY24" t="s">
        <v>1206</v>
      </c>
      <c r="AZ24" t="s">
        <v>658</v>
      </c>
      <c r="BA24" t="s">
        <v>660</v>
      </c>
      <c r="BB24" t="s">
        <v>661</v>
      </c>
      <c r="BC24" t="s">
        <v>760</v>
      </c>
      <c r="BD24" t="s">
        <v>288</v>
      </c>
      <c r="BE24" t="s">
        <v>355</v>
      </c>
      <c r="BF24" t="s">
        <v>544</v>
      </c>
      <c r="BG24" t="s">
        <v>662</v>
      </c>
      <c r="BH24" t="s">
        <v>2185</v>
      </c>
      <c r="BI24" t="s">
        <v>1142</v>
      </c>
      <c r="BJ24" t="s">
        <v>1647</v>
      </c>
      <c r="BK24" t="s">
        <v>2186</v>
      </c>
      <c r="BL24" t="s">
        <v>1863</v>
      </c>
      <c r="BM24" t="s">
        <v>760</v>
      </c>
      <c r="BN24">
        <v>6.39</v>
      </c>
      <c r="BO24">
        <v>8.9600000000000009</v>
      </c>
      <c r="BP24">
        <v>2.11</v>
      </c>
      <c r="BQ24">
        <v>8.18</v>
      </c>
      <c r="BR24">
        <v>12.21</v>
      </c>
      <c r="BS24">
        <v>3</v>
      </c>
      <c r="BT24" t="s">
        <v>1526</v>
      </c>
      <c r="BU24" t="s">
        <v>1353</v>
      </c>
      <c r="BV24">
        <v>2.6</v>
      </c>
      <c r="BW24">
        <v>2.96</v>
      </c>
      <c r="BX24">
        <v>3.32</v>
      </c>
      <c r="BY24">
        <v>2.42</v>
      </c>
      <c r="BZ24">
        <v>3.78</v>
      </c>
      <c r="CA24">
        <v>0.9</v>
      </c>
      <c r="CB24">
        <v>6.44</v>
      </c>
      <c r="CC24">
        <v>-8.15</v>
      </c>
      <c r="CD24" t="s">
        <v>481</v>
      </c>
      <c r="CE24" t="s">
        <v>681</v>
      </c>
      <c r="CF24" s="7">
        <v>2.632467094161323E-2</v>
      </c>
      <c r="CG24" s="8">
        <v>-0.34723199589802184</v>
      </c>
      <c r="CH24" s="7">
        <v>-9.2251211404800415E-2</v>
      </c>
      <c r="CI24" s="7">
        <v>-9.4066351652145386E-2</v>
      </c>
      <c r="CJ24" s="7">
        <v>5.3807761520147324E-2</v>
      </c>
      <c r="CK24" s="7">
        <v>-0.19415158033370972</v>
      </c>
      <c r="CL24" s="7">
        <v>0.11495135724544525</v>
      </c>
      <c r="CM24" s="8">
        <v>-0.4166666567325592</v>
      </c>
      <c r="CN24" s="8">
        <v>3.3960394859313965</v>
      </c>
      <c r="CO24" s="8">
        <v>-0.1984127014875412</v>
      </c>
      <c r="CP24" s="8">
        <v>-0.81712627410888672</v>
      </c>
      <c r="CQ24" s="8">
        <v>1.2540559768676758</v>
      </c>
      <c r="CR24">
        <v>-35.856801463860933</v>
      </c>
      <c r="CS24">
        <v>-8.4683759135551302</v>
      </c>
      <c r="CT24">
        <v>0</v>
      </c>
      <c r="CU24" s="7">
        <v>-4.234200492501259E-2</v>
      </c>
      <c r="CV24" s="8">
        <v>0.64357796609401707</v>
      </c>
      <c r="CW24">
        <v>0.06</v>
      </c>
      <c r="CX24">
        <v>27.231328185328184</v>
      </c>
      <c r="CY24" t="s">
        <v>2191</v>
      </c>
      <c r="CZ24">
        <v>-4.234200492501259E-2</v>
      </c>
      <c r="DA24">
        <v>9.077109395109396</v>
      </c>
      <c r="DB24" t="s">
        <v>2192</v>
      </c>
      <c r="DC24">
        <v>-4.0224904678761955E-2</v>
      </c>
      <c r="DD24">
        <v>4.538554697554698</v>
      </c>
      <c r="DE24" t="s">
        <v>2193</v>
      </c>
      <c r="DF24">
        <v>-3.7260964334011076E-2</v>
      </c>
      <c r="DG24">
        <v>2.7231328185328185</v>
      </c>
      <c r="DH24" t="s">
        <v>2194</v>
      </c>
      <c r="DI24">
        <v>-3.3873603940010072E-2</v>
      </c>
      <c r="DJ24">
        <v>1.3615664092664093</v>
      </c>
      <c r="DK24" t="s">
        <v>2195</v>
      </c>
      <c r="DL24">
        <v>-2.9639403447508809E-2</v>
      </c>
      <c r="DM24">
        <v>259000000</v>
      </c>
      <c r="DN24">
        <v>-4.234200492501259E-2</v>
      </c>
      <c r="DO24">
        <v>7052914000</v>
      </c>
      <c r="DP24">
        <v>641231399.99999952</v>
      </c>
      <c r="DQ24">
        <v>616</v>
      </c>
      <c r="DR24">
        <v>6.8666675866625823E-2</v>
      </c>
      <c r="DS24">
        <v>-0.99080996199203897</v>
      </c>
      <c r="DT24" s="9">
        <v>-0.55666666666666664</v>
      </c>
      <c r="DU24">
        <v>-0.22000000000000006</v>
      </c>
      <c r="DV24">
        <v>-0.77666666666666673</v>
      </c>
      <c r="DW24">
        <v>7.4413982179575049</v>
      </c>
      <c r="DX24">
        <v>0.53733564013840918</v>
      </c>
      <c r="DY24">
        <v>7.1886251900268228</v>
      </c>
      <c r="DZ24">
        <v>3309</v>
      </c>
      <c r="EA24">
        <v>7.0664802284223693</v>
      </c>
      <c r="EB24">
        <v>7</v>
      </c>
      <c r="EC24">
        <v>9.3779556459146693E-2</v>
      </c>
      <c r="ED24">
        <v>0.21945175560075619</v>
      </c>
      <c r="EE24" s="10">
        <v>1.0743100000000001</v>
      </c>
      <c r="EF24">
        <v>1.09921</v>
      </c>
      <c r="EG24">
        <v>11.427335640138409</v>
      </c>
      <c r="EH24" t="s">
        <v>1363</v>
      </c>
      <c r="EI24">
        <v>1</v>
      </c>
      <c r="EJ24">
        <v>0</v>
      </c>
      <c r="EK24" s="11">
        <v>45470</v>
      </c>
      <c r="EL24" s="12">
        <v>0.83</v>
      </c>
      <c r="EM24" s="12">
        <v>-2.88</v>
      </c>
      <c r="EN24" s="12">
        <v>2.12</v>
      </c>
      <c r="EO24" s="12">
        <v>0</v>
      </c>
      <c r="EP24" s="12">
        <v>-2.4900000000000002</v>
      </c>
    </row>
    <row r="25" spans="1:146" ht="108" x14ac:dyDescent="0.25">
      <c r="A25" s="6"/>
      <c r="B25" s="6"/>
      <c r="C25" s="6" t="str">
        <f>""&amp;CHAR(10)&amp;Basic_Fundamental_Information_Constructure(F25)&amp;CHAR(10)&amp;Basic_Fundamental_Information_Concatenate("")</f>
        <v xml:space="preserve">
市值240.51128亿, 利润10.37亿; PE22.38; 平均PE31.01; 平均PEG4.82, PB3.59; ROIC16.0567%; ROE16.6067%; 股利率1.3406%; 毛利75.43%; 净利20.4233%; 上一年度营收增17.28%, 利润增15.09%; 当季营收增15.18%, 利润增16.86%; 过往5年营收增6.43%, 利润增14.74%
Income profile:
</v>
      </c>
      <c r="D25" t="s">
        <v>183</v>
      </c>
      <c r="E25" t="s">
        <v>80</v>
      </c>
      <c r="F25">
        <v>23.87</v>
      </c>
      <c r="G25">
        <v>1.57</v>
      </c>
      <c r="H25" t="s">
        <v>3329</v>
      </c>
      <c r="I25">
        <v>24051128000</v>
      </c>
      <c r="J25">
        <v>22.38</v>
      </c>
      <c r="K25">
        <v>3.59</v>
      </c>
      <c r="L25" t="s">
        <v>100</v>
      </c>
      <c r="M25" t="s">
        <v>1975</v>
      </c>
      <c r="N25" t="s">
        <v>3330</v>
      </c>
      <c r="O25" t="s">
        <v>2196</v>
      </c>
      <c r="P25">
        <v>15.16</v>
      </c>
      <c r="Q25" t="s">
        <v>2197</v>
      </c>
      <c r="R25">
        <v>265282250</v>
      </c>
      <c r="S25" s="5">
        <v>0.16639999999999999</v>
      </c>
      <c r="T25" t="s">
        <v>2198</v>
      </c>
      <c r="U25">
        <v>881761580</v>
      </c>
      <c r="V25">
        <v>1007588090</v>
      </c>
      <c r="W25">
        <v>1.1399999999999999</v>
      </c>
      <c r="X25">
        <v>0.18</v>
      </c>
      <c r="Y25">
        <v>19.489999999999998</v>
      </c>
      <c r="Z25" t="s">
        <v>2198</v>
      </c>
      <c r="AA25" t="s">
        <v>1904</v>
      </c>
      <c r="AB25" t="s">
        <v>330</v>
      </c>
      <c r="AC25" t="s">
        <v>3331</v>
      </c>
      <c r="AD25" t="s">
        <v>81</v>
      </c>
      <c r="AE25">
        <v>-6355727</v>
      </c>
      <c r="AF25" t="s">
        <v>2199</v>
      </c>
      <c r="AG25" t="s">
        <v>3332</v>
      </c>
      <c r="AH25" t="s">
        <v>2200</v>
      </c>
      <c r="AI25" t="s">
        <v>989</v>
      </c>
      <c r="AJ25" t="s">
        <v>2201</v>
      </c>
      <c r="AK25" t="s">
        <v>81</v>
      </c>
      <c r="AL25" t="s">
        <v>2202</v>
      </c>
      <c r="AM25" t="s">
        <v>81</v>
      </c>
      <c r="AN25" t="s">
        <v>620</v>
      </c>
      <c r="AO25" t="s">
        <v>3333</v>
      </c>
      <c r="AP25" t="s">
        <v>3334</v>
      </c>
      <c r="AQ25" t="s">
        <v>564</v>
      </c>
      <c r="AR25" t="s">
        <v>81</v>
      </c>
      <c r="AS25" t="s">
        <v>2660</v>
      </c>
      <c r="AT25" t="s">
        <v>297</v>
      </c>
      <c r="AU25" t="s">
        <v>554</v>
      </c>
      <c r="AV25" t="s">
        <v>3335</v>
      </c>
      <c r="AW25" t="s">
        <v>3336</v>
      </c>
      <c r="AX25" t="s">
        <v>1648</v>
      </c>
      <c r="AY25" t="s">
        <v>1208</v>
      </c>
      <c r="AZ25" t="s">
        <v>665</v>
      </c>
      <c r="BA25" t="s">
        <v>669</v>
      </c>
      <c r="BB25" t="s">
        <v>670</v>
      </c>
      <c r="BC25" t="s">
        <v>1341</v>
      </c>
      <c r="BD25" t="s">
        <v>1209</v>
      </c>
      <c r="BE25" t="s">
        <v>666</v>
      </c>
      <c r="BF25" t="s">
        <v>293</v>
      </c>
      <c r="BG25" t="s">
        <v>671</v>
      </c>
      <c r="BH25" t="s">
        <v>2197</v>
      </c>
      <c r="BI25" t="s">
        <v>1865</v>
      </c>
      <c r="BJ25" t="s">
        <v>1648</v>
      </c>
      <c r="BK25" t="s">
        <v>2198</v>
      </c>
      <c r="BL25" t="s">
        <v>425</v>
      </c>
      <c r="BM25" t="s">
        <v>1341</v>
      </c>
      <c r="BN25">
        <v>14.63</v>
      </c>
      <c r="BO25">
        <v>16.260000000000002</v>
      </c>
      <c r="BP25">
        <v>17.28</v>
      </c>
      <c r="BQ25">
        <v>14.93</v>
      </c>
      <c r="BR25">
        <v>17.2</v>
      </c>
      <c r="BS25">
        <v>17.690000000000001</v>
      </c>
      <c r="BT25" t="s">
        <v>2204</v>
      </c>
      <c r="BU25" t="s">
        <v>1354</v>
      </c>
      <c r="BV25">
        <v>72.83</v>
      </c>
      <c r="BW25">
        <v>76.260000000000005</v>
      </c>
      <c r="BX25">
        <v>77.2</v>
      </c>
      <c r="BY25">
        <v>20.51</v>
      </c>
      <c r="BZ25">
        <v>20.48</v>
      </c>
      <c r="CA25">
        <v>20.28</v>
      </c>
      <c r="CB25">
        <v>0.55000000000000004</v>
      </c>
      <c r="CC25">
        <v>2.4</v>
      </c>
      <c r="CD25" t="s">
        <v>3337</v>
      </c>
      <c r="CE25" t="s">
        <v>470</v>
      </c>
      <c r="CF25" s="7">
        <v>0.15182357930449533</v>
      </c>
      <c r="CG25" s="8">
        <v>0.16864427312775329</v>
      </c>
      <c r="CH25" s="7">
        <v>0.17283090949058533</v>
      </c>
      <c r="CI25" s="7">
        <v>9.2225559055805206E-2</v>
      </c>
      <c r="CJ25" s="7">
        <v>0.17108005285263062</v>
      </c>
      <c r="CK25" s="7">
        <v>-0.18992528319358826</v>
      </c>
      <c r="CL25" s="7">
        <v>7.5427703559398651E-2</v>
      </c>
      <c r="CM25" s="8">
        <v>0.15094339847564697</v>
      </c>
      <c r="CN25" s="8">
        <v>0.12907268106937408</v>
      </c>
      <c r="CO25" s="8">
        <v>9.4650208950042725E-2</v>
      </c>
      <c r="CP25" s="8">
        <v>9.9547512829303741E-2</v>
      </c>
      <c r="CQ25" s="8">
        <v>0.26285713911056519</v>
      </c>
      <c r="CR25">
        <v>31.013704706640876</v>
      </c>
      <c r="CS25">
        <v>4.8211986609066688</v>
      </c>
      <c r="CT25">
        <v>1.3405948889819859</v>
      </c>
      <c r="CU25" s="7">
        <v>6.4327788352966306E-2</v>
      </c>
      <c r="CV25" s="8">
        <v>0.14741418808698653</v>
      </c>
      <c r="CW25">
        <v>0.06</v>
      </c>
      <c r="CX25">
        <v>17.569662579848874</v>
      </c>
      <c r="CY25">
        <v>1041233883.511345</v>
      </c>
      <c r="CZ25">
        <v>6.4327788352966306E-2</v>
      </c>
      <c r="DA25">
        <v>5.8681514504734604</v>
      </c>
      <c r="DB25">
        <v>3117528263.2700243</v>
      </c>
      <c r="DC25">
        <v>6.1111398935317987E-2</v>
      </c>
      <c r="DD25">
        <v>2.9733528257376558</v>
      </c>
      <c r="DE25">
        <v>6152693296.8210487</v>
      </c>
      <c r="DF25">
        <v>5.6608453750610348E-2</v>
      </c>
      <c r="DG25">
        <v>1.843880765684782</v>
      </c>
      <c r="DH25">
        <v>9921535242.6575756</v>
      </c>
      <c r="DI25">
        <v>5.1462230682373045E-2</v>
      </c>
      <c r="DJ25">
        <v>1.0207166585430656</v>
      </c>
      <c r="DK25">
        <v>17922826914.682064</v>
      </c>
      <c r="DL25">
        <v>4.5029451847076414E-2</v>
      </c>
      <c r="DM25">
        <v>1036999999.9999999</v>
      </c>
      <c r="DN25">
        <v>6.4327788352966306E-2</v>
      </c>
      <c r="DO25">
        <v>18294128000</v>
      </c>
      <c r="DP25">
        <v>4649389100</v>
      </c>
      <c r="DQ25">
        <v>769</v>
      </c>
      <c r="DR25">
        <v>8.7495790951529026E-2</v>
      </c>
      <c r="DS25">
        <v>2.1230085040766761E-2</v>
      </c>
      <c r="DT25" s="9">
        <v>-0.25666666666666665</v>
      </c>
      <c r="DU25">
        <v>0.48666666666666664</v>
      </c>
      <c r="DV25">
        <v>0.22999999999999998</v>
      </c>
      <c r="DW25">
        <v>2.4E-2</v>
      </c>
      <c r="DX25">
        <v>0.62433794871795212</v>
      </c>
      <c r="DY25">
        <v>3.7041107692307694E-3</v>
      </c>
      <c r="DZ25">
        <v>1192</v>
      </c>
      <c r="EA25">
        <v>2.840059881378895E-3</v>
      </c>
      <c r="EB25">
        <v>0</v>
      </c>
      <c r="EC25">
        <v>2.9869249446963987E-2</v>
      </c>
      <c r="ED25">
        <v>0.19353146581952949</v>
      </c>
      <c r="EE25" s="10">
        <v>-1.0055000000000001</v>
      </c>
      <c r="EF25">
        <v>-1.00831</v>
      </c>
      <c r="EG25">
        <v>47.154337948717952</v>
      </c>
      <c r="EH25" t="s">
        <v>1365</v>
      </c>
      <c r="EI25">
        <v>0</v>
      </c>
      <c r="EJ25">
        <v>1</v>
      </c>
      <c r="EK25" s="11">
        <v>45470</v>
      </c>
      <c r="EL25" s="12">
        <v>-2.02</v>
      </c>
      <c r="EM25" s="12">
        <v>-1.9</v>
      </c>
      <c r="EN25" s="12">
        <v>1.37</v>
      </c>
      <c r="EO25" s="12">
        <v>1.61</v>
      </c>
      <c r="EP25" s="12">
        <v>-1.38</v>
      </c>
    </row>
    <row r="26" spans="1:146" ht="192" x14ac:dyDescent="0.25">
      <c r="A26" s="6"/>
      <c r="B26" s="6"/>
      <c r="C26" s="6" t="str">
        <f>"公司主营业务药品、医疗器械产品的研发、生产、销售。主要产品及在研项目包括心血管类药物及医疗器械、头孢类抗生素及原料、骨科药物等，涵盖心血管、抗肿瘤、降血糖、抗感染、骨科、抗肿瘤等治疗领域。"&amp;CHAR(10)&amp;Basic_Fundamental_Information_Constructure(F26)&amp;CHAR(10)&amp;Basic_Fundamental_Information_Concatenate("制剂 25.85亿 84.53% 94.40% 82.71%
原料 3.76亿 12.28% 2.58% 15.58%
器械 5888.48万 1.93% 2.00% 76.79%
其他 3872.87万 1.27% 1.02% 59.69%")</f>
        <v>公司主营业务药品、医疗器械产品的研发、生产、销售。主要产品及在研项目包括心血管类药物及医疗器械、头孢类抗生素及原料、骨科药物等，涵盖心血管、抗肿瘤、降血糖、抗感染、骨科、抗肿瘤等治疗领域。
市值301.33491亿, 利润5.80亿; PE52.92; 平均PE45.37; 平均PEG11.07, PB3.66; ROIC6.3567%; ROE7.2567%; 股利率1.8498%; 毛利71.3667%; 净利17.58%; 上一年度营收增-3.36%, 利润增-8.95%; 当季营收增22.86%, 利润增-5.09%; 过往5年营收增-4.1%, 利润增129.05%
Income profile:
制剂 25.85亿 84.53% 94.40% 82.71%
原料 3.76亿 12.28% 2.58% 15.58%
器械 5888.48万 1.93% 2.00% 76.79%
其他 3872.87万 1.27% 1.02% 59.69%</v>
      </c>
      <c r="D26" t="s">
        <v>142</v>
      </c>
      <c r="E26" t="s">
        <v>68</v>
      </c>
      <c r="F26">
        <v>27.03</v>
      </c>
      <c r="G26">
        <v>5.18</v>
      </c>
      <c r="H26" t="s">
        <v>3338</v>
      </c>
      <c r="I26">
        <v>30133491000</v>
      </c>
      <c r="J26">
        <v>52.92</v>
      </c>
      <c r="K26">
        <v>3.66</v>
      </c>
      <c r="L26" t="s">
        <v>100</v>
      </c>
      <c r="M26" t="s">
        <v>1848</v>
      </c>
      <c r="N26" t="s">
        <v>3339</v>
      </c>
      <c r="O26" t="s">
        <v>1773</v>
      </c>
      <c r="P26">
        <v>22.92</v>
      </c>
      <c r="Q26" t="s">
        <v>2205</v>
      </c>
      <c r="R26">
        <v>200265320</v>
      </c>
      <c r="S26" s="5">
        <v>-5.0599999999999999E-2</v>
      </c>
      <c r="T26" t="s">
        <v>2206</v>
      </c>
      <c r="U26">
        <v>1114565740</v>
      </c>
      <c r="V26">
        <v>1114816540</v>
      </c>
      <c r="W26">
        <v>1.1599999999999999</v>
      </c>
      <c r="X26">
        <v>0.11</v>
      </c>
      <c r="Y26">
        <v>18.16</v>
      </c>
      <c r="Z26" t="s">
        <v>3296</v>
      </c>
      <c r="AA26" t="s">
        <v>1211</v>
      </c>
      <c r="AB26" t="s">
        <v>3207</v>
      </c>
      <c r="AC26" t="s">
        <v>3340</v>
      </c>
      <c r="AD26" t="s">
        <v>81</v>
      </c>
      <c r="AE26">
        <v>-11368516</v>
      </c>
      <c r="AF26" t="s">
        <v>2207</v>
      </c>
      <c r="AG26" t="s">
        <v>3341</v>
      </c>
      <c r="AH26" t="s">
        <v>2208</v>
      </c>
      <c r="AI26" t="s">
        <v>3342</v>
      </c>
      <c r="AJ26" t="s">
        <v>2209</v>
      </c>
      <c r="AK26" t="s">
        <v>81</v>
      </c>
      <c r="AL26" t="s">
        <v>2210</v>
      </c>
      <c r="AM26" t="s">
        <v>81</v>
      </c>
      <c r="AN26" t="s">
        <v>3343</v>
      </c>
      <c r="AO26" t="s">
        <v>3344</v>
      </c>
      <c r="AP26" t="s">
        <v>81</v>
      </c>
      <c r="AQ26" t="s">
        <v>373</v>
      </c>
      <c r="AR26" t="s">
        <v>3345</v>
      </c>
      <c r="AS26" t="s">
        <v>332</v>
      </c>
      <c r="AT26" t="s">
        <v>81</v>
      </c>
      <c r="AU26" t="s">
        <v>243</v>
      </c>
      <c r="AV26" t="s">
        <v>3346</v>
      </c>
      <c r="AW26" t="s">
        <v>3347</v>
      </c>
      <c r="AX26" t="s">
        <v>1649</v>
      </c>
      <c r="AY26" t="s">
        <v>1172</v>
      </c>
      <c r="AZ26" t="s">
        <v>672</v>
      </c>
      <c r="BA26" t="s">
        <v>675</v>
      </c>
      <c r="BB26" t="s">
        <v>676</v>
      </c>
      <c r="BC26" t="s">
        <v>639</v>
      </c>
      <c r="BD26" t="s">
        <v>1210</v>
      </c>
      <c r="BE26" t="s">
        <v>673</v>
      </c>
      <c r="BF26" t="s">
        <v>615</v>
      </c>
      <c r="BG26" t="s">
        <v>677</v>
      </c>
      <c r="BH26" t="s">
        <v>2205</v>
      </c>
      <c r="BI26" t="s">
        <v>1807</v>
      </c>
      <c r="BJ26" t="s">
        <v>1649</v>
      </c>
      <c r="BK26" t="s">
        <v>2206</v>
      </c>
      <c r="BL26" t="s">
        <v>400</v>
      </c>
      <c r="BM26" t="s">
        <v>639</v>
      </c>
      <c r="BN26">
        <v>5.34</v>
      </c>
      <c r="BO26">
        <v>6.7</v>
      </c>
      <c r="BP26">
        <v>7.03</v>
      </c>
      <c r="BQ26">
        <v>6.04</v>
      </c>
      <c r="BR26">
        <v>8.1300000000000008</v>
      </c>
      <c r="BS26">
        <v>7.6</v>
      </c>
      <c r="BT26" t="s">
        <v>1638</v>
      </c>
      <c r="BU26" t="s">
        <v>1354</v>
      </c>
      <c r="BV26">
        <v>68.58</v>
      </c>
      <c r="BW26">
        <v>71.459999999999994</v>
      </c>
      <c r="BX26">
        <v>74.06</v>
      </c>
      <c r="BY26">
        <v>17.260000000000002</v>
      </c>
      <c r="BZ26">
        <v>18.21</v>
      </c>
      <c r="CA26">
        <v>17.27</v>
      </c>
      <c r="CB26">
        <v>1.5</v>
      </c>
      <c r="CC26">
        <v>-0.99</v>
      </c>
      <c r="CD26" t="s">
        <v>3348</v>
      </c>
      <c r="CE26" t="s">
        <v>298</v>
      </c>
      <c r="CF26" s="7">
        <v>0.22860360360360343</v>
      </c>
      <c r="CG26" s="8">
        <v>-5.0875260663507109E-2</v>
      </c>
      <c r="CH26" s="7">
        <v>-3.3601362258195877E-2</v>
      </c>
      <c r="CI26" s="7">
        <v>0.13865272700786591</v>
      </c>
      <c r="CJ26" s="7">
        <v>0.11646579205989838</v>
      </c>
      <c r="CK26" s="7">
        <v>-0.38724833726882935</v>
      </c>
      <c r="CL26" s="7">
        <v>-3.9122983813285828E-2</v>
      </c>
      <c r="CM26" s="8">
        <v>-8.9481949806213379E-2</v>
      </c>
      <c r="CN26" s="8">
        <v>0.19288389384746552</v>
      </c>
      <c r="CO26" s="8">
        <v>7.7735152244567871</v>
      </c>
      <c r="CP26" s="8">
        <v>-0.91487407684326172</v>
      </c>
      <c r="CQ26" s="8">
        <v>-0.50960218906402588</v>
      </c>
      <c r="CR26">
        <v>45.371912473822832</v>
      </c>
      <c r="CS26">
        <v>11.074198231444807</v>
      </c>
      <c r="CT26">
        <v>1.8497965223825379</v>
      </c>
      <c r="CU26" s="7">
        <v>-4.0970832854509351E-2</v>
      </c>
      <c r="CV26" s="8">
        <v>1.2904881805181503</v>
      </c>
      <c r="CW26">
        <v>0.06</v>
      </c>
      <c r="CX26">
        <v>40.021536206896549</v>
      </c>
      <c r="CY26" t="s">
        <v>2212</v>
      </c>
      <c r="CZ26">
        <v>-4.0970832854509351E-2</v>
      </c>
      <c r="DA26">
        <v>13.340512068965518</v>
      </c>
      <c r="DB26" t="s">
        <v>2213</v>
      </c>
      <c r="DC26">
        <v>-3.892229121178388E-2</v>
      </c>
      <c r="DD26">
        <v>6.6702560344827591</v>
      </c>
      <c r="DE26" t="s">
        <v>2214</v>
      </c>
      <c r="DF26">
        <v>-3.6054332911968232E-2</v>
      </c>
      <c r="DG26">
        <v>4.0021536206896551</v>
      </c>
      <c r="DH26" t="s">
        <v>2215</v>
      </c>
      <c r="DI26">
        <v>-3.2776666283607481E-2</v>
      </c>
      <c r="DJ26">
        <v>2.0010768103448275</v>
      </c>
      <c r="DK26" t="s">
        <v>2216</v>
      </c>
      <c r="DL26">
        <v>-2.8679582998156542E-2</v>
      </c>
      <c r="DM26">
        <v>580000000</v>
      </c>
      <c r="DN26">
        <v>-4.0970832854509351E-2</v>
      </c>
      <c r="DO26">
        <v>23212491000</v>
      </c>
      <c r="DP26">
        <v>2687287600</v>
      </c>
      <c r="DQ26">
        <v>801</v>
      </c>
      <c r="DR26">
        <v>0.2695744364581128</v>
      </c>
      <c r="DS26">
        <v>-1.3413634411816573</v>
      </c>
      <c r="DT26" s="9">
        <v>-0.55666666666666664</v>
      </c>
      <c r="DU26">
        <v>0.23166666666666672</v>
      </c>
      <c r="DV26">
        <v>-0.32499999999999996</v>
      </c>
      <c r="DW26">
        <v>-9.8999999999999991E-3</v>
      </c>
      <c r="DX26">
        <v>0.51703916666666772</v>
      </c>
      <c r="DY26">
        <v>-1.3566877499999997E-3</v>
      </c>
      <c r="DZ26">
        <v>2520</v>
      </c>
      <c r="EA26">
        <v>-6.8763625684931497E-4</v>
      </c>
      <c r="EB26">
        <v>0</v>
      </c>
      <c r="EC26">
        <v>1.4751036973312219E-2</v>
      </c>
      <c r="ED26">
        <v>0.10764102943790195</v>
      </c>
      <c r="EE26" s="10">
        <v>1.0578000000000001</v>
      </c>
      <c r="EF26">
        <v>1.0312999999999999</v>
      </c>
      <c r="EG26">
        <v>38.137039166666668</v>
      </c>
      <c r="EH26" t="s">
        <v>1364</v>
      </c>
      <c r="EI26">
        <v>0</v>
      </c>
      <c r="EJ26">
        <v>0</v>
      </c>
      <c r="EK26" s="11">
        <v>45470</v>
      </c>
      <c r="EL26" s="12">
        <v>0.77</v>
      </c>
      <c r="EM26" s="12">
        <v>0.4</v>
      </c>
      <c r="EN26" s="12">
        <v>-1.6</v>
      </c>
      <c r="EO26" s="12">
        <v>3.07</v>
      </c>
      <c r="EP26" s="12">
        <v>-2.65</v>
      </c>
    </row>
    <row r="27" spans="1:146" ht="108" x14ac:dyDescent="0.25">
      <c r="A27" s="6"/>
      <c r="B27" s="6"/>
      <c r="C27" s="6" t="str">
        <f>""&amp;CHAR(10)&amp;Basic_Fundamental_Information_Constructure(F27)&amp;CHAR(10)&amp;Basic_Fundamental_Information_Concatenate("")</f>
        <v xml:space="preserve">
市值115.93481亿, 利润5.63亿; PE19.95; 平均PE22.1; 平均PEG7.99, PB1.96; ROIC10.4267%; ROE11.9833%; 股利率2.5597%; 毛利56.42%; 净利14.98%; 上一年度营收增-5.87%, 利润增-24.83%; 当季营收增8.46%, 利润增13.63%; 过往5年营收增2.77%, 利润增15.63%
Income profile:
</v>
      </c>
      <c r="D27" t="s">
        <v>145</v>
      </c>
      <c r="E27" t="s">
        <v>45</v>
      </c>
      <c r="F27">
        <v>11.72</v>
      </c>
      <c r="G27">
        <v>10.050000000000001</v>
      </c>
      <c r="H27" t="s">
        <v>3349</v>
      </c>
      <c r="I27">
        <v>11593481000</v>
      </c>
      <c r="J27">
        <v>19.95</v>
      </c>
      <c r="K27">
        <v>1.96</v>
      </c>
      <c r="L27" t="s">
        <v>100</v>
      </c>
      <c r="M27" t="s">
        <v>858</v>
      </c>
      <c r="N27" t="s">
        <v>3350</v>
      </c>
      <c r="O27" t="s">
        <v>1840</v>
      </c>
      <c r="P27">
        <v>8.42</v>
      </c>
      <c r="Q27" t="s">
        <v>2217</v>
      </c>
      <c r="R27">
        <v>151121860</v>
      </c>
      <c r="S27" s="5">
        <v>0.1353</v>
      </c>
      <c r="T27" t="s">
        <v>2218</v>
      </c>
      <c r="U27">
        <v>984573710</v>
      </c>
      <c r="V27">
        <v>989204870</v>
      </c>
      <c r="W27">
        <v>1.21</v>
      </c>
      <c r="X27">
        <v>0.15</v>
      </c>
      <c r="Y27">
        <v>15.08</v>
      </c>
      <c r="Z27" t="s">
        <v>3351</v>
      </c>
      <c r="AA27" t="s">
        <v>1669</v>
      </c>
      <c r="AB27" t="s">
        <v>1812</v>
      </c>
      <c r="AC27" t="s">
        <v>3352</v>
      </c>
      <c r="AD27" t="s">
        <v>81</v>
      </c>
      <c r="AE27">
        <v>-5856482</v>
      </c>
      <c r="AF27" t="s">
        <v>2219</v>
      </c>
      <c r="AG27" t="s">
        <v>3353</v>
      </c>
      <c r="AH27" t="s">
        <v>2220</v>
      </c>
      <c r="AI27" t="s">
        <v>3354</v>
      </c>
      <c r="AJ27" t="s">
        <v>2221</v>
      </c>
      <c r="AK27" t="s">
        <v>81</v>
      </c>
      <c r="AL27" t="s">
        <v>2222</v>
      </c>
      <c r="AM27" t="s">
        <v>81</v>
      </c>
      <c r="AN27" t="s">
        <v>3355</v>
      </c>
      <c r="AO27" t="s">
        <v>3356</v>
      </c>
      <c r="AP27" t="s">
        <v>428</v>
      </c>
      <c r="AQ27" t="s">
        <v>1002</v>
      </c>
      <c r="AR27" t="s">
        <v>81</v>
      </c>
      <c r="AS27" t="s">
        <v>926</v>
      </c>
      <c r="AT27" t="s">
        <v>3357</v>
      </c>
      <c r="AU27" t="s">
        <v>335</v>
      </c>
      <c r="AV27" t="s">
        <v>3358</v>
      </c>
      <c r="AW27" t="s">
        <v>3359</v>
      </c>
      <c r="AX27" t="s">
        <v>1650</v>
      </c>
      <c r="AY27" t="s">
        <v>1652</v>
      </c>
      <c r="AZ27" t="s">
        <v>679</v>
      </c>
      <c r="BA27" t="s">
        <v>682</v>
      </c>
      <c r="BB27" t="s">
        <v>683</v>
      </c>
      <c r="BC27" t="s">
        <v>275</v>
      </c>
      <c r="BD27" t="s">
        <v>1104</v>
      </c>
      <c r="BE27" t="s">
        <v>248</v>
      </c>
      <c r="BF27" t="s">
        <v>301</v>
      </c>
      <c r="BG27" t="s">
        <v>254</v>
      </c>
      <c r="BH27" t="s">
        <v>2217</v>
      </c>
      <c r="BI27" t="s">
        <v>1866</v>
      </c>
      <c r="BJ27" t="s">
        <v>1650</v>
      </c>
      <c r="BK27" t="s">
        <v>2218</v>
      </c>
      <c r="BL27" t="s">
        <v>380</v>
      </c>
      <c r="BM27" t="s">
        <v>275</v>
      </c>
      <c r="BN27">
        <v>7.7</v>
      </c>
      <c r="BO27">
        <v>12.65</v>
      </c>
      <c r="BP27">
        <v>10.93</v>
      </c>
      <c r="BQ27">
        <v>8.51</v>
      </c>
      <c r="BR27">
        <v>14.6</v>
      </c>
      <c r="BS27">
        <v>12.84</v>
      </c>
      <c r="BT27" t="s">
        <v>1532</v>
      </c>
      <c r="BU27" t="s">
        <v>1354</v>
      </c>
      <c r="BV27">
        <v>52.88</v>
      </c>
      <c r="BW27">
        <v>58.15</v>
      </c>
      <c r="BX27">
        <v>58.23</v>
      </c>
      <c r="BY27">
        <v>13.63</v>
      </c>
      <c r="BZ27">
        <v>17.059999999999999</v>
      </c>
      <c r="CA27">
        <v>14.25</v>
      </c>
      <c r="CB27">
        <v>2.72</v>
      </c>
      <c r="CC27">
        <v>-4.72</v>
      </c>
      <c r="CD27" t="s">
        <v>3360</v>
      </c>
      <c r="CE27" t="s">
        <v>2287</v>
      </c>
      <c r="CF27" s="7">
        <v>8.4639498432602003E-2</v>
      </c>
      <c r="CG27" s="8">
        <v>0.13625458646616542</v>
      </c>
      <c r="CH27" s="7">
        <v>-5.8675840497016907E-2</v>
      </c>
      <c r="CI27" s="7">
        <v>5.2788760513067245E-3</v>
      </c>
      <c r="CJ27" s="7">
        <v>8.4100551903247833E-2</v>
      </c>
      <c r="CK27" s="7">
        <v>8.3580516278743744E-2</v>
      </c>
      <c r="CL27" s="7">
        <v>2.4019824340939522E-2</v>
      </c>
      <c r="CM27" s="8">
        <v>-0.24833111464977264</v>
      </c>
      <c r="CN27" s="8">
        <v>0.2100161612033844</v>
      </c>
      <c r="CO27" s="8">
        <v>0.22574257850646973</v>
      </c>
      <c r="CP27" s="8">
        <v>0.23170731961727142</v>
      </c>
      <c r="CQ27" s="8">
        <v>0.36212623119354248</v>
      </c>
      <c r="CR27">
        <v>22.103872259294565</v>
      </c>
      <c r="CS27">
        <v>7.991050061482361</v>
      </c>
      <c r="CT27">
        <v>2.5597269624573378</v>
      </c>
      <c r="CU27" s="7">
        <v>2.7660785615444182E-2</v>
      </c>
      <c r="CV27" s="8">
        <v>0.15625223517417908</v>
      </c>
      <c r="CW27">
        <v>0.06</v>
      </c>
      <c r="CX27">
        <v>12.459118524616651</v>
      </c>
      <c r="CY27">
        <v>545823605.94480669</v>
      </c>
      <c r="CZ27">
        <v>2.7660785615444182E-2</v>
      </c>
      <c r="DA27">
        <v>4.2937878730684051</v>
      </c>
      <c r="DB27">
        <v>1583795287.7584226</v>
      </c>
      <c r="DC27">
        <v>2.6277746334671972E-2</v>
      </c>
      <c r="DD27">
        <v>2.2654396591088255</v>
      </c>
      <c r="DE27">
        <v>3001837180.9890361</v>
      </c>
      <c r="DF27">
        <v>2.434149134159088E-2</v>
      </c>
      <c r="DG27">
        <v>1.4674535990083695</v>
      </c>
      <c r="DH27">
        <v>4634205132.3431416</v>
      </c>
      <c r="DI27">
        <v>2.2128628492355348E-2</v>
      </c>
      <c r="DJ27">
        <v>0.88773666772233695</v>
      </c>
      <c r="DK27">
        <v>7660471001.4378157</v>
      </c>
      <c r="DL27">
        <v>1.9362549930810925E-2</v>
      </c>
      <c r="DM27">
        <v>563000000</v>
      </c>
      <c r="DN27">
        <v>2.7660785615444182E-2</v>
      </c>
      <c r="DO27">
        <v>6800481000</v>
      </c>
      <c r="DP27">
        <v>2401007700</v>
      </c>
      <c r="DQ27">
        <v>839</v>
      </c>
      <c r="DR27">
        <v>5.6978712817157821E-2</v>
      </c>
      <c r="DS27">
        <v>-1.9997648708013654E-2</v>
      </c>
      <c r="DT27" s="9">
        <v>-0.44</v>
      </c>
      <c r="DU27">
        <v>0.33333333333333326</v>
      </c>
      <c r="DV27">
        <v>-0.10666666666666674</v>
      </c>
      <c r="DW27">
        <v>6.365591397849462</v>
      </c>
      <c r="DX27">
        <v>0.60763105590062216</v>
      </c>
      <c r="DY27">
        <v>6.0722522139851733</v>
      </c>
      <c r="DZ27">
        <v>1968</v>
      </c>
      <c r="EA27">
        <v>6.0444259210061473</v>
      </c>
      <c r="EB27">
        <v>6</v>
      </c>
      <c r="EC27">
        <v>6.4331668727025171E-2</v>
      </c>
      <c r="ED27">
        <v>0.32551396557519979</v>
      </c>
      <c r="EE27" s="10">
        <v>-1.01841</v>
      </c>
      <c r="EF27">
        <v>-1.04871</v>
      </c>
      <c r="EG27">
        <v>41.197631055900622</v>
      </c>
      <c r="EH27" t="s">
        <v>1365</v>
      </c>
      <c r="EI27">
        <v>0</v>
      </c>
      <c r="EJ27">
        <v>0</v>
      </c>
      <c r="EK27" s="11">
        <v>45470</v>
      </c>
      <c r="EL27" s="12">
        <v>4.0599999999999996</v>
      </c>
      <c r="EM27" s="12">
        <v>-4.32</v>
      </c>
      <c r="EN27" s="12">
        <v>1.65</v>
      </c>
      <c r="EO27" s="12">
        <v>1.28</v>
      </c>
      <c r="EP27" s="12">
        <v>-3.03</v>
      </c>
    </row>
    <row r="28" spans="1:146" ht="108" x14ac:dyDescent="0.25">
      <c r="A28" s="6"/>
      <c r="B28" s="6"/>
      <c r="C28" s="6" t="str">
        <f>""&amp;CHAR(10)&amp;Basic_Fundamental_Information_Constructure(F28)&amp;CHAR(10)&amp;Basic_Fundamental_Information_Concatenate("")</f>
        <v xml:space="preserve">
市值21.276077亿, 利润-1231.26万; PE1537; 平均PE20.8; 平均PEG6.79, PB1.06; ROIC4.7967%; ROE5.22%; 股利率1.385%; 毛利27.2367%; 净利4.5867%; 上一年度营收增-33.45%, 利润增-108.79%; 当季营收增-36.66%, 利润增91.42%; 过往5年营收增3.07%, 利润增-21.97%
Income profile:
</v>
      </c>
      <c r="D28" t="s">
        <v>143</v>
      </c>
      <c r="E28" t="s">
        <v>60</v>
      </c>
      <c r="F28">
        <v>7.22</v>
      </c>
      <c r="G28">
        <v>3.74</v>
      </c>
      <c r="H28" t="s">
        <v>3361</v>
      </c>
      <c r="I28">
        <v>2127607700</v>
      </c>
      <c r="J28">
        <v>1537</v>
      </c>
      <c r="K28">
        <v>1.06</v>
      </c>
      <c r="L28" t="s">
        <v>100</v>
      </c>
      <c r="M28" t="s">
        <v>1464</v>
      </c>
      <c r="N28" t="s">
        <v>1102</v>
      </c>
      <c r="O28" t="s">
        <v>303</v>
      </c>
      <c r="P28">
        <v>-36.799999999999997</v>
      </c>
      <c r="Q28" t="s">
        <v>1830</v>
      </c>
      <c r="R28">
        <v>28680093</v>
      </c>
      <c r="S28" s="5">
        <v>0.91420000000000001</v>
      </c>
      <c r="T28" t="s">
        <v>2223</v>
      </c>
      <c r="U28">
        <v>244270440</v>
      </c>
      <c r="V28">
        <v>294682500</v>
      </c>
      <c r="W28">
        <v>1.1200000000000001</v>
      </c>
      <c r="X28">
        <v>0.08</v>
      </c>
      <c r="Y28">
        <v>14.48</v>
      </c>
      <c r="Z28" t="s">
        <v>467</v>
      </c>
      <c r="AA28" t="s">
        <v>296</v>
      </c>
      <c r="AB28" t="s">
        <v>3362</v>
      </c>
      <c r="AC28" t="s">
        <v>3363</v>
      </c>
      <c r="AD28" t="s">
        <v>81</v>
      </c>
      <c r="AE28">
        <v>-4787445</v>
      </c>
      <c r="AF28" t="s">
        <v>2224</v>
      </c>
      <c r="AG28" t="s">
        <v>3364</v>
      </c>
      <c r="AH28" t="s">
        <v>2225</v>
      </c>
      <c r="AI28" t="s">
        <v>314</v>
      </c>
      <c r="AJ28" t="s">
        <v>2226</v>
      </c>
      <c r="AK28" t="s">
        <v>3365</v>
      </c>
      <c r="AL28" t="s">
        <v>2227</v>
      </c>
      <c r="AM28" t="s">
        <v>81</v>
      </c>
      <c r="AN28" t="s">
        <v>3366</v>
      </c>
      <c r="AO28" t="s">
        <v>3367</v>
      </c>
      <c r="AP28" t="s">
        <v>3368</v>
      </c>
      <c r="AQ28" t="s">
        <v>325</v>
      </c>
      <c r="AR28" t="s">
        <v>81</v>
      </c>
      <c r="AS28" t="s">
        <v>1614</v>
      </c>
      <c r="AT28" t="s">
        <v>81</v>
      </c>
      <c r="AU28" t="s">
        <v>3369</v>
      </c>
      <c r="AV28" t="s">
        <v>3370</v>
      </c>
      <c r="AW28" t="s">
        <v>3371</v>
      </c>
      <c r="AX28" t="s">
        <v>799</v>
      </c>
      <c r="AY28" t="s">
        <v>1212</v>
      </c>
      <c r="AZ28" t="s">
        <v>636</v>
      </c>
      <c r="BA28" t="s">
        <v>684</v>
      </c>
      <c r="BB28" t="s">
        <v>577</v>
      </c>
      <c r="BC28" t="s">
        <v>296</v>
      </c>
      <c r="BD28" t="s">
        <v>267</v>
      </c>
      <c r="BE28" t="s">
        <v>359</v>
      </c>
      <c r="BF28" t="s">
        <v>686</v>
      </c>
      <c r="BG28" t="s">
        <v>258</v>
      </c>
      <c r="BH28" t="s">
        <v>1830</v>
      </c>
      <c r="BI28" t="s">
        <v>1211</v>
      </c>
      <c r="BJ28" t="s">
        <v>799</v>
      </c>
      <c r="BK28" t="s">
        <v>2223</v>
      </c>
      <c r="BL28" t="s">
        <v>1868</v>
      </c>
      <c r="BM28" t="s">
        <v>296</v>
      </c>
      <c r="BN28">
        <v>1.74</v>
      </c>
      <c r="BO28">
        <v>6.46</v>
      </c>
      <c r="BP28">
        <v>6.19</v>
      </c>
      <c r="BQ28">
        <v>2.27</v>
      </c>
      <c r="BR28">
        <v>7.23</v>
      </c>
      <c r="BS28">
        <v>6.16</v>
      </c>
      <c r="BT28" t="s">
        <v>1525</v>
      </c>
      <c r="BU28" t="s">
        <v>1353</v>
      </c>
      <c r="BV28">
        <v>25.87</v>
      </c>
      <c r="BW28">
        <v>32.94</v>
      </c>
      <c r="BX28">
        <v>22.9</v>
      </c>
      <c r="BY28">
        <v>-2.92</v>
      </c>
      <c r="BZ28">
        <v>9.08</v>
      </c>
      <c r="CA28">
        <v>7.6</v>
      </c>
      <c r="CB28">
        <v>1.4</v>
      </c>
      <c r="CC28">
        <v>-6.6</v>
      </c>
      <c r="CD28" t="s">
        <v>3372</v>
      </c>
      <c r="CE28" t="s">
        <v>3373</v>
      </c>
      <c r="CF28" s="7">
        <v>-0.36655948553054662</v>
      </c>
      <c r="CG28" s="8">
        <v>0.91416282344775113</v>
      </c>
      <c r="CH28" s="7">
        <v>-0.33447331190109253</v>
      </c>
      <c r="CI28" s="7">
        <v>-6.5814658999443054E-2</v>
      </c>
      <c r="CJ28" s="7">
        <v>0.33418586850166321</v>
      </c>
      <c r="CK28" s="7">
        <v>-0.1437956690788269</v>
      </c>
      <c r="CL28" s="7">
        <v>0.36318409442901611</v>
      </c>
      <c r="CM28" s="8">
        <v>-1.0879472494125366</v>
      </c>
      <c r="CN28" s="8">
        <v>0.26126125454902649</v>
      </c>
      <c r="CO28" s="8">
        <v>4.7169812023639679E-2</v>
      </c>
      <c r="CP28" s="8">
        <v>0.17866571247577667</v>
      </c>
      <c r="CQ28" s="8">
        <v>-0.4975854754447937</v>
      </c>
      <c r="CR28">
        <v>20.803843619076055</v>
      </c>
      <c r="CS28">
        <v>6.7859425480782383</v>
      </c>
      <c r="CT28">
        <v>1.3850415512465375</v>
      </c>
      <c r="CU28" s="7">
        <v>3.0657264590263366E-2</v>
      </c>
      <c r="CV28" s="8">
        <v>-0.21968718916177749</v>
      </c>
      <c r="CW28">
        <v>0.06</v>
      </c>
      <c r="CX28" t="e">
        <v>#VALUE!</v>
      </c>
      <c r="CY28" t="s">
        <v>1362</v>
      </c>
      <c r="CZ28">
        <v>3.0657264590263366E-2</v>
      </c>
      <c r="DA28" t="e">
        <v>#VALUE!</v>
      </c>
      <c r="DB28" t="s">
        <v>1362</v>
      </c>
      <c r="DC28">
        <v>2.9124401360750195E-2</v>
      </c>
      <c r="DD28" t="e">
        <v>#VALUE!</v>
      </c>
      <c r="DE28" t="s">
        <v>1362</v>
      </c>
      <c r="DF28">
        <v>2.6978392839431761E-2</v>
      </c>
      <c r="DG28" t="e">
        <v>#VALUE!</v>
      </c>
      <c r="DH28" t="s">
        <v>1362</v>
      </c>
      <c r="DI28">
        <v>2.4525811672210695E-2</v>
      </c>
      <c r="DJ28" t="e">
        <v>#VALUE!</v>
      </c>
      <c r="DK28" t="s">
        <v>1362</v>
      </c>
      <c r="DL28">
        <v>2.1460085213184356E-2</v>
      </c>
      <c r="DM28">
        <v>-12312600</v>
      </c>
      <c r="DN28">
        <v>3.0657264590263366E-2</v>
      </c>
      <c r="DO28">
        <v>355607700</v>
      </c>
      <c r="DP28">
        <v>965566360</v>
      </c>
      <c r="DQ28">
        <v>871</v>
      </c>
      <c r="DR28">
        <v>-0.39721675012080998</v>
      </c>
      <c r="DS28">
        <v>1.1338500126095286</v>
      </c>
      <c r="DT28" s="9">
        <v>-0.37333333333333335</v>
      </c>
      <c r="DU28">
        <v>-0.80333333333333334</v>
      </c>
      <c r="DV28">
        <v>-1.1766666666666667</v>
      </c>
      <c r="DW28">
        <v>-2.0659999999999998</v>
      </c>
      <c r="DX28">
        <v>0.37573605806118748</v>
      </c>
      <c r="DY28">
        <v>-2.0089585798320386</v>
      </c>
      <c r="DZ28">
        <v>3739</v>
      </c>
      <c r="EA28">
        <v>-2.0024035641780285</v>
      </c>
      <c r="EB28">
        <v>2</v>
      </c>
      <c r="EC28">
        <v>4.394424507732899E-2</v>
      </c>
      <c r="ED28">
        <v>0.32374776242226805</v>
      </c>
      <c r="EE28" s="10">
        <v>-3.1219000000000001</v>
      </c>
      <c r="EF28">
        <v>-3.1082999999999998</v>
      </c>
      <c r="EG28">
        <v>24.135736058061187</v>
      </c>
      <c r="EH28" t="s">
        <v>2069</v>
      </c>
      <c r="EI28">
        <v>0</v>
      </c>
      <c r="EJ28">
        <v>0</v>
      </c>
      <c r="EK28" s="11">
        <v>45470</v>
      </c>
      <c r="EL28" s="12">
        <v>-1.89</v>
      </c>
      <c r="EM28" s="12">
        <v>-3.16</v>
      </c>
      <c r="EN28" s="12">
        <v>3.13</v>
      </c>
      <c r="EO28" s="12">
        <v>1.1000000000000001</v>
      </c>
      <c r="EP28" s="12">
        <v>-1.36</v>
      </c>
    </row>
    <row r="29" spans="1:146" ht="108" x14ac:dyDescent="0.25">
      <c r="A29" s="6"/>
      <c r="B29" s="6"/>
      <c r="C29" s="6" t="str">
        <f>""&amp;CHAR(10)&amp;Basic_Fundamental_Information_Constructure(F29)&amp;CHAR(10)&amp;Basic_Fundamental_Information_Concatenate("")</f>
        <v xml:space="preserve">
市值15.534092亿, 利润-1187.70万; PE; 平均PE-4.41; 平均PEG-.3, PB3.54; ROIC1.63%; ROE-25.8367%; 股利率0%; 毛利35.25%; 净利-36.9333%; 上一年度营收增12.87%, 利润增91.07%; 当季营收增-8.87%, 利润增-14.49%; 过往5年营收增-14.46%, 利润增-414.79%
Income profile:
</v>
      </c>
      <c r="D29" t="s">
        <v>198</v>
      </c>
      <c r="E29" t="s">
        <v>31</v>
      </c>
      <c r="F29">
        <v>2.5499999999999998</v>
      </c>
      <c r="G29">
        <v>3.66</v>
      </c>
      <c r="H29" t="s">
        <v>3374</v>
      </c>
      <c r="I29">
        <v>1553409200</v>
      </c>
      <c r="K29">
        <v>3.54</v>
      </c>
      <c r="L29" t="s">
        <v>100</v>
      </c>
      <c r="M29" t="s">
        <v>750</v>
      </c>
      <c r="N29" t="s">
        <v>681</v>
      </c>
      <c r="O29" t="s">
        <v>381</v>
      </c>
      <c r="P29">
        <v>-8.8000000000000007</v>
      </c>
      <c r="Q29" t="s">
        <v>1223</v>
      </c>
      <c r="R29">
        <v>-2998387</v>
      </c>
      <c r="S29" s="5">
        <v>-0.1449</v>
      </c>
      <c r="T29" t="s">
        <v>2228</v>
      </c>
      <c r="U29">
        <v>609180080</v>
      </c>
      <c r="V29">
        <v>609180080</v>
      </c>
      <c r="W29">
        <v>2.36</v>
      </c>
      <c r="X29">
        <v>0.08</v>
      </c>
      <c r="Y29">
        <v>-2.66</v>
      </c>
      <c r="Z29" t="s">
        <v>349</v>
      </c>
      <c r="AA29" t="s">
        <v>3375</v>
      </c>
      <c r="AB29" t="s">
        <v>3376</v>
      </c>
      <c r="AC29" t="s">
        <v>3377</v>
      </c>
      <c r="AD29" t="s">
        <v>81</v>
      </c>
      <c r="AE29">
        <v>5203577</v>
      </c>
      <c r="AF29" t="s">
        <v>236</v>
      </c>
      <c r="AG29" t="s">
        <v>81</v>
      </c>
      <c r="AH29" t="s">
        <v>2229</v>
      </c>
      <c r="AI29" t="s">
        <v>293</v>
      </c>
      <c r="AJ29" t="s">
        <v>2230</v>
      </c>
      <c r="AK29" t="s">
        <v>81</v>
      </c>
      <c r="AL29" t="s">
        <v>2231</v>
      </c>
      <c r="AM29" t="s">
        <v>81</v>
      </c>
      <c r="AN29" t="s">
        <v>3378</v>
      </c>
      <c r="AO29" t="s">
        <v>81</v>
      </c>
      <c r="AP29" t="s">
        <v>81</v>
      </c>
      <c r="AQ29" t="s">
        <v>3379</v>
      </c>
      <c r="AR29" t="s">
        <v>3380</v>
      </c>
      <c r="AS29" t="s">
        <v>288</v>
      </c>
      <c r="AT29" t="s">
        <v>81</v>
      </c>
      <c r="AU29" t="s">
        <v>3381</v>
      </c>
      <c r="AV29" t="s">
        <v>3382</v>
      </c>
      <c r="AW29" t="s">
        <v>3383</v>
      </c>
      <c r="AX29" t="s">
        <v>1376</v>
      </c>
      <c r="AY29" t="s">
        <v>1123</v>
      </c>
      <c r="AZ29" t="s">
        <v>536</v>
      </c>
      <c r="BA29" t="s">
        <v>689</v>
      </c>
      <c r="BB29" t="s">
        <v>700</v>
      </c>
      <c r="BC29" t="s">
        <v>1405</v>
      </c>
      <c r="BD29" t="s">
        <v>1110</v>
      </c>
      <c r="BE29" t="s">
        <v>687</v>
      </c>
      <c r="BF29" t="s">
        <v>690</v>
      </c>
      <c r="BG29" t="s">
        <v>302</v>
      </c>
      <c r="BH29" t="s">
        <v>1223</v>
      </c>
      <c r="BI29" t="s">
        <v>317</v>
      </c>
      <c r="BJ29" t="s">
        <v>1376</v>
      </c>
      <c r="BK29" t="s">
        <v>2228</v>
      </c>
      <c r="BL29" t="s">
        <v>1869</v>
      </c>
      <c r="BM29" t="s">
        <v>1405</v>
      </c>
      <c r="BN29">
        <v>1.63</v>
      </c>
      <c r="BO29" t="s">
        <v>81</v>
      </c>
      <c r="BP29" t="s">
        <v>81</v>
      </c>
      <c r="BQ29">
        <v>0.37</v>
      </c>
      <c r="BR29">
        <v>-36.119999999999997</v>
      </c>
      <c r="BS29">
        <v>-41.76</v>
      </c>
      <c r="BT29" t="s">
        <v>1526</v>
      </c>
      <c r="BU29" t="s">
        <v>1354</v>
      </c>
      <c r="BV29">
        <v>32.090000000000003</v>
      </c>
      <c r="BW29">
        <v>35.78</v>
      </c>
      <c r="BX29">
        <v>37.880000000000003</v>
      </c>
      <c r="BY29">
        <v>-2.82</v>
      </c>
      <c r="BZ29">
        <v>-35.54</v>
      </c>
      <c r="CA29">
        <v>-72.44</v>
      </c>
      <c r="CB29">
        <v>2.41</v>
      </c>
      <c r="CC29">
        <v>-18.010000000000002</v>
      </c>
      <c r="CD29" t="s">
        <v>3384</v>
      </c>
      <c r="CE29" t="s">
        <v>90</v>
      </c>
      <c r="CF29" s="7">
        <v>-8.8709677419354954E-2</v>
      </c>
      <c r="CG29" s="8">
        <v>-0.14490320363511397</v>
      </c>
      <c r="CH29" s="7">
        <v>0.12868632376194</v>
      </c>
      <c r="CI29" s="7">
        <v>0.18412698805332184</v>
      </c>
      <c r="CJ29" s="7">
        <v>-0.3883495032787323</v>
      </c>
      <c r="CK29" s="7">
        <v>-0.27362483739852905</v>
      </c>
      <c r="CL29" s="7">
        <v>-0.3736748993396759</v>
      </c>
      <c r="CM29" s="8">
        <v>0.91069924831390381</v>
      </c>
      <c r="CN29" s="8">
        <v>0.4166666567325592</v>
      </c>
      <c r="CO29" s="8">
        <v>-9.3593034744262695</v>
      </c>
      <c r="CP29" s="8">
        <v>1.0141983032226562</v>
      </c>
      <c r="CQ29" s="8">
        <v>-13.721854209899902</v>
      </c>
      <c r="CR29">
        <v>-4.4055806337865064</v>
      </c>
      <c r="CS29">
        <v>-0.30474278199943899</v>
      </c>
      <c r="CT29">
        <v>0</v>
      </c>
      <c r="CU29" s="7">
        <v>-0.14456718564033508</v>
      </c>
      <c r="CV29" s="8">
        <v>-4.1479186952114109</v>
      </c>
      <c r="CW29">
        <v>0.06</v>
      </c>
      <c r="CX29" t="e">
        <v>#VALUE!</v>
      </c>
      <c r="CY29" t="s">
        <v>1361</v>
      </c>
      <c r="CZ29">
        <v>-0.14456718564033508</v>
      </c>
      <c r="DA29" t="e">
        <v>#VALUE!</v>
      </c>
      <c r="DB29" t="s">
        <v>1362</v>
      </c>
      <c r="DC29">
        <v>-0.13733882635831832</v>
      </c>
      <c r="DD29" t="e">
        <v>#VALUE!</v>
      </c>
      <c r="DE29" t="s">
        <v>1362</v>
      </c>
      <c r="DF29">
        <v>-0.12721912336349486</v>
      </c>
      <c r="DG29" t="e">
        <v>#VALUE!</v>
      </c>
      <c r="DH29" t="s">
        <v>1362</v>
      </c>
      <c r="DI29">
        <v>-0.11565374851226806</v>
      </c>
      <c r="DJ29" t="e">
        <v>#VALUE!</v>
      </c>
      <c r="DK29" t="s">
        <v>1362</v>
      </c>
      <c r="DL29">
        <v>-0.10119702994823455</v>
      </c>
      <c r="DM29">
        <v>-11877000</v>
      </c>
      <c r="DN29">
        <v>-0.14456718564033508</v>
      </c>
      <c r="DO29">
        <v>1823409200</v>
      </c>
      <c r="DP29">
        <v>796221230</v>
      </c>
      <c r="DQ29">
        <v>876</v>
      </c>
      <c r="DR29">
        <v>5.5857508220980123E-2</v>
      </c>
      <c r="DS29">
        <v>4.0030154915762965</v>
      </c>
      <c r="DT29" s="9">
        <v>-0.64</v>
      </c>
      <c r="DU29">
        <v>-1.875</v>
      </c>
      <c r="DV29">
        <v>-2.5150000000000001</v>
      </c>
      <c r="DW29">
        <v>-3.022732142857143</v>
      </c>
      <c r="DX29">
        <v>0.42202293577981509</v>
      </c>
      <c r="DY29">
        <v>-3.003455807093709</v>
      </c>
      <c r="DZ29">
        <v>4691</v>
      </c>
      <c r="EA29">
        <v>-3.0002833626560204</v>
      </c>
      <c r="EB29">
        <v>3</v>
      </c>
      <c r="EC29">
        <v>5.4402632469531836E-2</v>
      </c>
      <c r="ED29">
        <v>0.35785805734159926</v>
      </c>
      <c r="EE29" s="10">
        <v>-2.0423999999999998</v>
      </c>
      <c r="EF29">
        <v>-2.0228999999999999</v>
      </c>
      <c r="EG29">
        <v>27.152022935779815</v>
      </c>
      <c r="EH29" t="s">
        <v>1370</v>
      </c>
      <c r="EI29">
        <v>0</v>
      </c>
      <c r="EJ29">
        <v>0</v>
      </c>
      <c r="EK29" s="11">
        <v>45470</v>
      </c>
      <c r="EL29" s="12">
        <v>0</v>
      </c>
      <c r="EM29" s="12">
        <v>-4.6900000000000004</v>
      </c>
      <c r="EN29" s="12">
        <v>0.82</v>
      </c>
      <c r="EO29" s="12">
        <v>4.47</v>
      </c>
      <c r="EP29" s="12">
        <v>-1.95</v>
      </c>
    </row>
    <row r="30" spans="1:146" ht="108" x14ac:dyDescent="0.25">
      <c r="A30" s="6"/>
      <c r="B30" s="6"/>
      <c r="C30" s="6" t="str">
        <f>""&amp;CHAR(10)&amp;Basic_Fundamental_Information_Constructure(F30)&amp;CHAR(10)&amp;Basic_Fundamental_Information_Concatenate("")</f>
        <v xml:space="preserve">
市值40.987141亿, 利润3.62亿; PE10.94; 平均PE25.64; 平均PEG6.19, PB.826; ROIC2.9267%; ROE4.1733%; 股利率3.776%; 毛利58.4567%; 净利16.9067%; 上一年度营收增.52%, 利润增286.72%; 当季营收增8.63%, 利润增27.22%; 过往5年营收增-4.14%, 利润增297.15%
Income profile:
</v>
      </c>
      <c r="D30" t="s">
        <v>177</v>
      </c>
      <c r="E30" t="s">
        <v>53</v>
      </c>
      <c r="F30">
        <v>15.89</v>
      </c>
      <c r="G30">
        <v>3.05</v>
      </c>
      <c r="H30" t="s">
        <v>3385</v>
      </c>
      <c r="I30">
        <v>4098714100</v>
      </c>
      <c r="J30">
        <v>10.94</v>
      </c>
      <c r="K30">
        <v>0.82599999999999996</v>
      </c>
      <c r="L30" t="s">
        <v>100</v>
      </c>
      <c r="M30" t="s">
        <v>1912</v>
      </c>
      <c r="N30" t="s">
        <v>3386</v>
      </c>
      <c r="O30" t="s">
        <v>649</v>
      </c>
      <c r="P30">
        <v>8.7100000000000009</v>
      </c>
      <c r="Q30" t="s">
        <v>1835</v>
      </c>
      <c r="R30">
        <v>59155624</v>
      </c>
      <c r="S30" s="5">
        <v>0.2722</v>
      </c>
      <c r="T30" t="s">
        <v>2232</v>
      </c>
      <c r="U30">
        <v>255436990</v>
      </c>
      <c r="V30">
        <v>257942990</v>
      </c>
      <c r="W30">
        <v>1.22</v>
      </c>
      <c r="X30">
        <v>0.06</v>
      </c>
      <c r="Y30">
        <v>15.31</v>
      </c>
      <c r="Z30" t="s">
        <v>567</v>
      </c>
      <c r="AA30" t="s">
        <v>395</v>
      </c>
      <c r="AB30" t="s">
        <v>3387</v>
      </c>
      <c r="AC30" t="s">
        <v>3388</v>
      </c>
      <c r="AD30" t="s">
        <v>81</v>
      </c>
      <c r="AE30">
        <v>-17479726</v>
      </c>
      <c r="AF30" t="s">
        <v>2233</v>
      </c>
      <c r="AG30" t="s">
        <v>3389</v>
      </c>
      <c r="AH30" t="s">
        <v>2234</v>
      </c>
      <c r="AI30" t="s">
        <v>1857</v>
      </c>
      <c r="AJ30" t="s">
        <v>2236</v>
      </c>
      <c r="AK30" t="s">
        <v>3390</v>
      </c>
      <c r="AL30" t="s">
        <v>2237</v>
      </c>
      <c r="AM30" t="s">
        <v>81</v>
      </c>
      <c r="AN30" t="s">
        <v>3391</v>
      </c>
      <c r="AO30" t="s">
        <v>3392</v>
      </c>
      <c r="AP30" t="s">
        <v>81</v>
      </c>
      <c r="AQ30" t="s">
        <v>3393</v>
      </c>
      <c r="AR30" t="s">
        <v>3394</v>
      </c>
      <c r="AS30" t="s">
        <v>791</v>
      </c>
      <c r="AT30" t="s">
        <v>81</v>
      </c>
      <c r="AU30" t="s">
        <v>3395</v>
      </c>
      <c r="AV30" t="s">
        <v>3396</v>
      </c>
      <c r="AW30" t="s">
        <v>3397</v>
      </c>
      <c r="AX30" t="s">
        <v>280</v>
      </c>
      <c r="AY30" t="s">
        <v>1071</v>
      </c>
      <c r="AZ30" t="s">
        <v>691</v>
      </c>
      <c r="BA30" t="s">
        <v>693</v>
      </c>
      <c r="BB30" t="s">
        <v>694</v>
      </c>
      <c r="BC30" t="s">
        <v>1653</v>
      </c>
      <c r="BD30" t="s">
        <v>370</v>
      </c>
      <c r="BE30" t="s">
        <v>692</v>
      </c>
      <c r="BF30" t="s">
        <v>92</v>
      </c>
      <c r="BG30" t="s">
        <v>696</v>
      </c>
      <c r="BH30" t="s">
        <v>1835</v>
      </c>
      <c r="BI30" t="s">
        <v>1372</v>
      </c>
      <c r="BJ30" t="s">
        <v>280</v>
      </c>
      <c r="BK30" t="s">
        <v>2232</v>
      </c>
      <c r="BL30" t="s">
        <v>1872</v>
      </c>
      <c r="BM30" t="s">
        <v>1653</v>
      </c>
      <c r="BN30">
        <v>6.86</v>
      </c>
      <c r="BO30">
        <v>0.91</v>
      </c>
      <c r="BP30">
        <v>1.01</v>
      </c>
      <c r="BQ30">
        <v>7.61</v>
      </c>
      <c r="BR30">
        <v>2.11</v>
      </c>
      <c r="BS30">
        <v>2.8</v>
      </c>
      <c r="BT30" t="s">
        <v>2238</v>
      </c>
      <c r="BU30" t="s">
        <v>1354</v>
      </c>
      <c r="BV30">
        <v>59.4</v>
      </c>
      <c r="BW30">
        <v>57.59</v>
      </c>
      <c r="BX30">
        <v>58.38</v>
      </c>
      <c r="BY30">
        <v>31.38</v>
      </c>
      <c r="BZ30">
        <v>8.16</v>
      </c>
      <c r="CA30">
        <v>11.18</v>
      </c>
      <c r="CB30">
        <v>0.51</v>
      </c>
      <c r="CC30">
        <v>-10.84</v>
      </c>
      <c r="CD30" t="s">
        <v>3398</v>
      </c>
      <c r="CE30" t="s">
        <v>3399</v>
      </c>
      <c r="CF30" s="7">
        <v>8.6309523809523808E-2</v>
      </c>
      <c r="CG30" s="8">
        <v>0.2721557495327987</v>
      </c>
      <c r="CH30" s="7">
        <v>5.2309255115687847E-3</v>
      </c>
      <c r="CI30" s="7">
        <v>5.0366360694169998E-2</v>
      </c>
      <c r="CJ30" s="7">
        <v>-4.2944733053445816E-2</v>
      </c>
      <c r="CK30" s="7">
        <v>-0.2934984564781189</v>
      </c>
      <c r="CL30" s="7">
        <v>7.3803149163722992E-2</v>
      </c>
      <c r="CM30" s="8">
        <v>2.8672487735748291</v>
      </c>
      <c r="CN30" s="8">
        <v>-0.23273278772830963</v>
      </c>
      <c r="CO30" s="8">
        <v>13.160853385925293</v>
      </c>
      <c r="CP30" s="8">
        <v>-0.9541739821434021</v>
      </c>
      <c r="CQ30" s="8">
        <v>1.621621660888195E-2</v>
      </c>
      <c r="CR30">
        <v>25.637743049861562</v>
      </c>
      <c r="CS30">
        <v>6.1914127721148446</v>
      </c>
      <c r="CT30">
        <v>3.7759597230962867</v>
      </c>
      <c r="CU30" s="7">
        <v>-4.1408550832420586E-2</v>
      </c>
      <c r="CV30" s="8">
        <v>2.9714823212474584</v>
      </c>
      <c r="CW30">
        <v>0.06</v>
      </c>
      <c r="CX30" t="s">
        <v>2341</v>
      </c>
      <c r="CY30" t="s">
        <v>2239</v>
      </c>
      <c r="CZ30">
        <v>-4.1408550832420586E-2</v>
      </c>
      <c r="DA30" t="s">
        <v>2341</v>
      </c>
      <c r="DB30" t="s">
        <v>2240</v>
      </c>
      <c r="DC30">
        <v>-3.9338123290799554E-2</v>
      </c>
      <c r="DD30" t="s">
        <v>2341</v>
      </c>
      <c r="DE30" t="s">
        <v>2241</v>
      </c>
      <c r="DF30">
        <v>-3.6439524732530114E-2</v>
      </c>
      <c r="DG30" t="s">
        <v>2341</v>
      </c>
      <c r="DH30" t="s">
        <v>2242</v>
      </c>
      <c r="DI30">
        <v>-3.312684066593647E-2</v>
      </c>
      <c r="DJ30" t="s">
        <v>2341</v>
      </c>
      <c r="DK30" t="s">
        <v>2243</v>
      </c>
      <c r="DL30">
        <v>-2.8985985582694409E-2</v>
      </c>
      <c r="DM30">
        <v>362000000</v>
      </c>
      <c r="DN30">
        <v>-4.1408550832420586E-2</v>
      </c>
      <c r="DO30">
        <v>-20285900</v>
      </c>
      <c r="DP30">
        <v>2235306000</v>
      </c>
      <c r="DQ30">
        <v>899</v>
      </c>
      <c r="DR30">
        <v>0.1277180746419444</v>
      </c>
      <c r="DS30">
        <v>-2.6993265717146597</v>
      </c>
      <c r="DT30" s="9">
        <v>-0.55666666666666664</v>
      </c>
      <c r="DU30">
        <v>0.52166666666666661</v>
      </c>
      <c r="DV30">
        <v>-3.5000000000000031E-2</v>
      </c>
      <c r="DW30">
        <v>-2.1084000000000001</v>
      </c>
      <c r="DX30">
        <v>0.42252440234262623</v>
      </c>
      <c r="DY30">
        <v>-2.0176176452139405</v>
      </c>
      <c r="DZ30">
        <v>1790</v>
      </c>
      <c r="EA30">
        <v>-2.01144629786894</v>
      </c>
      <c r="EB30">
        <v>2</v>
      </c>
      <c r="EC30">
        <v>2.9532107075288225E-2</v>
      </c>
      <c r="ED30">
        <v>0.18170875665200284</v>
      </c>
      <c r="EE30" s="10">
        <v>1.4000000000000002E-3</v>
      </c>
      <c r="EF30">
        <v>2.0310000000000002E-2</v>
      </c>
      <c r="EG30">
        <v>26.162524402342626</v>
      </c>
      <c r="EH30">
        <v>-1</v>
      </c>
      <c r="EI30">
        <v>0</v>
      </c>
      <c r="EJ30">
        <v>0</v>
      </c>
      <c r="EK30" s="11">
        <v>45470</v>
      </c>
      <c r="EL30" s="12">
        <v>0.55000000000000004</v>
      </c>
      <c r="EM30" s="12">
        <v>-4.01</v>
      </c>
      <c r="EN30" s="12">
        <v>0.7</v>
      </c>
      <c r="EO30" s="12">
        <v>1.51</v>
      </c>
      <c r="EP30" s="12">
        <v>-2.17</v>
      </c>
    </row>
    <row r="31" spans="1:146" ht="96" x14ac:dyDescent="0.25">
      <c r="A31" s="6"/>
      <c r="B31" s="6"/>
      <c r="C31" s="6" t="str">
        <f>""&amp;CHAR(10)&amp;Basic_Fundamental_Information_Constructure(F31)&amp;CHAR(10)&amp;Basic_Fundamental_Information_Concatenate("")</f>
        <v xml:space="preserve">
市值126.627662亿, 利润-7.83亿; PE; 平均PE26.57; 平均PEG6.9, PB1.05; ROIC2.7333%; ROE3.1167%; 股利率0%; 毛利32.5367%; 净利-.36%; 上一年度营收增-23.93%, 利润增-207.7%; 当季营收增5.53%, 利润增133%; 过往5年营收增3.85%, 利润增-1.33%
Income profile:
</v>
      </c>
      <c r="D31" t="s">
        <v>148</v>
      </c>
      <c r="E31" t="s">
        <v>7</v>
      </c>
      <c r="F31">
        <v>8.6300000000000008</v>
      </c>
      <c r="G31">
        <v>3.6</v>
      </c>
      <c r="H31" t="s">
        <v>3400</v>
      </c>
      <c r="I31">
        <v>12662766200</v>
      </c>
      <c r="K31">
        <v>1.05</v>
      </c>
      <c r="L31" t="s">
        <v>100</v>
      </c>
      <c r="M31" t="s">
        <v>2244</v>
      </c>
      <c r="N31" t="s">
        <v>3401</v>
      </c>
      <c r="O31" t="s">
        <v>1659</v>
      </c>
      <c r="P31">
        <v>5.55</v>
      </c>
      <c r="Q31" t="s">
        <v>2245</v>
      </c>
      <c r="R31">
        <v>155040260</v>
      </c>
      <c r="S31" s="5">
        <v>1.33</v>
      </c>
      <c r="T31" t="s">
        <v>2246</v>
      </c>
      <c r="U31">
        <v>1247201700</v>
      </c>
      <c r="V31">
        <v>1467296200</v>
      </c>
      <c r="W31">
        <v>1.55</v>
      </c>
      <c r="X31">
        <v>7.0000000000000007E-2</v>
      </c>
      <c r="Y31">
        <v>11.26</v>
      </c>
      <c r="Z31" t="s">
        <v>3402</v>
      </c>
      <c r="AA31" t="s">
        <v>634</v>
      </c>
      <c r="AB31" t="s">
        <v>3403</v>
      </c>
      <c r="AC31" t="s">
        <v>3404</v>
      </c>
      <c r="AD31" t="s">
        <v>81</v>
      </c>
      <c r="AE31">
        <v>62732181</v>
      </c>
      <c r="AF31" t="s">
        <v>2248</v>
      </c>
      <c r="AG31" t="s">
        <v>3405</v>
      </c>
      <c r="AH31" t="s">
        <v>2249</v>
      </c>
      <c r="AI31" t="s">
        <v>3406</v>
      </c>
      <c r="AJ31" t="s">
        <v>2250</v>
      </c>
      <c r="AK31" t="s">
        <v>3407</v>
      </c>
      <c r="AL31" t="s">
        <v>2251</v>
      </c>
      <c r="AM31" t="s">
        <v>81</v>
      </c>
      <c r="AN31" t="s">
        <v>1096</v>
      </c>
      <c r="AO31" t="s">
        <v>2566</v>
      </c>
      <c r="AP31" t="s">
        <v>81</v>
      </c>
      <c r="AQ31" t="s">
        <v>2818</v>
      </c>
      <c r="AR31" t="s">
        <v>81</v>
      </c>
      <c r="AS31" t="s">
        <v>3408</v>
      </c>
      <c r="AT31" t="s">
        <v>3409</v>
      </c>
      <c r="AU31" t="s">
        <v>1549</v>
      </c>
      <c r="AV31" t="s">
        <v>277</v>
      </c>
      <c r="AW31" t="s">
        <v>3410</v>
      </c>
      <c r="AX31" t="s">
        <v>1654</v>
      </c>
      <c r="AY31" t="s">
        <v>1213</v>
      </c>
      <c r="AZ31" t="s">
        <v>698</v>
      </c>
      <c r="BA31" t="s">
        <v>702</v>
      </c>
      <c r="BB31" t="s">
        <v>703</v>
      </c>
      <c r="BC31" t="s">
        <v>1416</v>
      </c>
      <c r="BD31" t="s">
        <v>226</v>
      </c>
      <c r="BE31" t="s">
        <v>699</v>
      </c>
      <c r="BF31" t="s">
        <v>704</v>
      </c>
      <c r="BG31" t="s">
        <v>469</v>
      </c>
      <c r="BH31" t="s">
        <v>2245</v>
      </c>
      <c r="BI31" t="s">
        <v>1873</v>
      </c>
      <c r="BJ31" t="s">
        <v>1654</v>
      </c>
      <c r="BK31" t="s">
        <v>2246</v>
      </c>
      <c r="BL31" t="s">
        <v>1874</v>
      </c>
      <c r="BM31" t="s">
        <v>1416</v>
      </c>
      <c r="BN31">
        <v>1.08</v>
      </c>
      <c r="BO31">
        <v>4.8600000000000003</v>
      </c>
      <c r="BP31">
        <v>2.2599999999999998</v>
      </c>
      <c r="BQ31">
        <v>1.1399999999999999</v>
      </c>
      <c r="BR31">
        <v>6.12</v>
      </c>
      <c r="BS31">
        <v>2.09</v>
      </c>
      <c r="BT31" t="s">
        <v>1526</v>
      </c>
      <c r="BU31" t="s">
        <v>1354</v>
      </c>
      <c r="BV31">
        <v>33.06</v>
      </c>
      <c r="BW31">
        <v>32.61</v>
      </c>
      <c r="BX31">
        <v>31.94</v>
      </c>
      <c r="BY31">
        <v>-14.73</v>
      </c>
      <c r="BZ31">
        <v>9.98</v>
      </c>
      <c r="CA31">
        <v>3.67</v>
      </c>
      <c r="CB31">
        <v>-0.46</v>
      </c>
      <c r="CC31">
        <v>-12.39</v>
      </c>
      <c r="CD31" t="s">
        <v>3411</v>
      </c>
      <c r="CE31" t="s">
        <v>368</v>
      </c>
      <c r="CF31" s="7">
        <v>5.5342044581091467E-2</v>
      </c>
      <c r="CG31" s="8">
        <v>1.3300309588217614</v>
      </c>
      <c r="CH31" s="7">
        <v>-0.23927921056747437</v>
      </c>
      <c r="CI31" s="7">
        <v>0.12474467605352402</v>
      </c>
      <c r="CJ31" s="7">
        <v>0.19373603165149689</v>
      </c>
      <c r="CK31" s="7">
        <v>0.15286482870578766</v>
      </c>
      <c r="CL31" s="7">
        <v>-3.9460048079490662E-2</v>
      </c>
      <c r="CM31" s="8">
        <v>-2.0770289897918701</v>
      </c>
      <c r="CN31" s="8">
        <v>2.0165975093841553</v>
      </c>
      <c r="CO31" s="8">
        <v>-0.7646484375</v>
      </c>
      <c r="CP31" s="8">
        <v>-3.3050045371055603E-2</v>
      </c>
      <c r="CQ31" s="8">
        <v>0.79187816381454468</v>
      </c>
      <c r="CR31">
        <v>26.574535571878279</v>
      </c>
      <c r="CS31">
        <v>6.8986680705344341</v>
      </c>
      <c r="CT31">
        <v>0</v>
      </c>
      <c r="CU31" s="7">
        <v>3.852125555276871E-2</v>
      </c>
      <c r="CV31" s="8">
        <v>-1.3250359892845153E-2</v>
      </c>
      <c r="CW31">
        <v>0.06</v>
      </c>
      <c r="CX31" t="e">
        <v>#VALUE!</v>
      </c>
      <c r="CY31" t="s">
        <v>1362</v>
      </c>
      <c r="CZ31">
        <v>3.852125555276871E-2</v>
      </c>
      <c r="DA31" t="e">
        <v>#VALUE!</v>
      </c>
      <c r="DB31" t="s">
        <v>1362</v>
      </c>
      <c r="DC31">
        <v>3.6595192775130271E-2</v>
      </c>
      <c r="DD31" t="e">
        <v>#VALUE!</v>
      </c>
      <c r="DE31" t="s">
        <v>1362</v>
      </c>
      <c r="DF31">
        <v>3.3898704886436468E-2</v>
      </c>
      <c r="DG31" t="e">
        <v>#VALUE!</v>
      </c>
      <c r="DH31" t="s">
        <v>1362</v>
      </c>
      <c r="DI31">
        <v>3.0817004442214968E-2</v>
      </c>
      <c r="DJ31" t="e">
        <v>#VALUE!</v>
      </c>
      <c r="DK31" t="s">
        <v>1362</v>
      </c>
      <c r="DL31">
        <v>2.6964878886938097E-2</v>
      </c>
      <c r="DM31">
        <v>-783000000</v>
      </c>
      <c r="DN31">
        <v>3.852125555276871E-2</v>
      </c>
      <c r="DO31">
        <v>7738766200</v>
      </c>
      <c r="DP31">
        <v>5825316500</v>
      </c>
      <c r="DQ31">
        <v>905</v>
      </c>
      <c r="DR31">
        <v>1.6820789028322757E-2</v>
      </c>
      <c r="DS31">
        <v>1.3432813187146064</v>
      </c>
      <c r="DT31" s="9">
        <v>-0.35666666666666669</v>
      </c>
      <c r="DU31">
        <v>-0.54166666666666685</v>
      </c>
      <c r="DV31">
        <v>-0.89833333333333354</v>
      </c>
      <c r="DW31">
        <v>-2.1238999999999999</v>
      </c>
      <c r="DX31">
        <v>0.42585172413793243</v>
      </c>
      <c r="DY31">
        <v>-2.0168320286206898</v>
      </c>
      <c r="DZ31">
        <v>3456</v>
      </c>
      <c r="EA31">
        <v>-2.0054481752130373</v>
      </c>
      <c r="EB31">
        <v>2</v>
      </c>
      <c r="EC31">
        <v>1.0740026451373622E-2</v>
      </c>
      <c r="ED31">
        <v>7.9056975680847519E-2</v>
      </c>
      <c r="EE31" s="10">
        <v>-2.0449999999999999</v>
      </c>
      <c r="EF31">
        <v>-2.0182000000000002</v>
      </c>
      <c r="EG31">
        <v>29.135851724137932</v>
      </c>
      <c r="EH31" t="s">
        <v>1370</v>
      </c>
      <c r="EI31">
        <v>0</v>
      </c>
      <c r="EJ31">
        <v>0</v>
      </c>
      <c r="EK31" s="11">
        <v>45470</v>
      </c>
      <c r="EL31" s="12">
        <v>-0.44</v>
      </c>
      <c r="EM31" s="12">
        <v>-2.89</v>
      </c>
      <c r="EN31" s="12">
        <v>-0.46</v>
      </c>
      <c r="EO31" s="12">
        <v>2.99</v>
      </c>
      <c r="EP31" s="12">
        <v>-2.68</v>
      </c>
    </row>
    <row r="32" spans="1:146" ht="192" x14ac:dyDescent="0.25">
      <c r="A32" s="6" t="s">
        <v>1469</v>
      </c>
      <c r="B32" s="6"/>
      <c r="C32" s="6" t="str">
        <f>"公司是主要从事大容量注射剂（输液）、小容量注射剂（水针）、注射用无菌粉针（含分装粉针及冻干粉针）、片剂、胶囊剂、颗粒剂、口服液、腹膜透析液等25种剂型药品及抗生素中间体、原料药、医药包材等产品的研发、生产和销售。主要产品涵盖麻醉镇痛、中枢神经、抗感染、肠外营养等领域。"&amp;CHAR(10)&amp;Basic_Fundamental_Information_Constructure(F32)&amp;CHAR(10)&amp;Basic_Fundamental_Information_Concatenate("输液 43.99亿 48.21% 57.94% 65.10%
非输液 41.40亿 45.37% 35.36% 42.22%
研发项目 3.85亿 4.22% 5.52% 70.87%")</f>
        <v>公司是主要从事大容量注射剂（输液）、小容量注射剂（水针）、注射用无菌粉针（含分装粉针及冻干粉针）、片剂、胶囊剂、颗粒剂、口服液、腹膜透析液等25种剂型药品及抗生素中间体、原料药、医药包材等产品的研发、生产和销售。主要产品涵盖麻醉镇痛、中枢神经、抗感染、肠外营养等领域。
市值498.25533亿, 利润24.56亿; PE18.68; 平均PE36.26; 平均PEG6.25, PB2.24; ROIC7.0633%; ROE10.5167%; 股利率2.5715%; 毛利53.5733%; 净利8.7967%; 上一年度营收增12.69%, 利润增44.05%; 当季营收增10.31%, 利润增26.07%; 过往5年营收增5.81%, 利润增19.48%
Income profile:
输液 43.99亿 48.21% 57.94% 65.10%
非输液 41.40亿 45.37% 35.36% 42.22%
研发项目 3.85亿 4.22% 5.52% 70.87%</v>
      </c>
      <c r="D32" t="s">
        <v>157</v>
      </c>
      <c r="E32" t="s">
        <v>73</v>
      </c>
      <c r="F32">
        <v>31.11</v>
      </c>
      <c r="G32">
        <v>5.82</v>
      </c>
      <c r="H32" t="s">
        <v>3412</v>
      </c>
      <c r="I32">
        <v>49825533000</v>
      </c>
      <c r="J32">
        <v>18.68</v>
      </c>
      <c r="K32">
        <v>2.2400000000000002</v>
      </c>
      <c r="L32" t="s">
        <v>100</v>
      </c>
      <c r="M32" t="s">
        <v>2252</v>
      </c>
      <c r="N32" t="s">
        <v>3413</v>
      </c>
      <c r="O32" t="s">
        <v>2253</v>
      </c>
      <c r="P32">
        <v>10.32</v>
      </c>
      <c r="Q32" t="s">
        <v>2254</v>
      </c>
      <c r="R32">
        <v>1026188180</v>
      </c>
      <c r="S32" s="5">
        <v>0.26</v>
      </c>
      <c r="T32" t="s">
        <v>2255</v>
      </c>
      <c r="U32">
        <v>1308880420</v>
      </c>
      <c r="V32">
        <v>1601592200</v>
      </c>
      <c r="W32">
        <v>1.46</v>
      </c>
      <c r="X32">
        <v>0.17</v>
      </c>
      <c r="Y32">
        <v>20.67</v>
      </c>
      <c r="Z32" t="s">
        <v>3414</v>
      </c>
      <c r="AA32" t="s">
        <v>3415</v>
      </c>
      <c r="AB32" t="s">
        <v>2789</v>
      </c>
      <c r="AC32" t="s">
        <v>1372</v>
      </c>
      <c r="AD32" t="s">
        <v>81</v>
      </c>
      <c r="AE32">
        <v>16831296</v>
      </c>
      <c r="AF32" t="s">
        <v>2256</v>
      </c>
      <c r="AG32" t="s">
        <v>3416</v>
      </c>
      <c r="AH32" t="s">
        <v>2257</v>
      </c>
      <c r="AI32" t="s">
        <v>3417</v>
      </c>
      <c r="AJ32" t="s">
        <v>2258</v>
      </c>
      <c r="AK32" t="s">
        <v>81</v>
      </c>
      <c r="AL32" t="s">
        <v>2259</v>
      </c>
      <c r="AM32" t="s">
        <v>81</v>
      </c>
      <c r="AN32" t="s">
        <v>3418</v>
      </c>
      <c r="AO32" t="s">
        <v>3419</v>
      </c>
      <c r="AP32" t="s">
        <v>323</v>
      </c>
      <c r="AQ32" t="s">
        <v>3420</v>
      </c>
      <c r="AR32" t="s">
        <v>81</v>
      </c>
      <c r="AS32" t="s">
        <v>3421</v>
      </c>
      <c r="AT32" t="s">
        <v>2349</v>
      </c>
      <c r="AU32" t="s">
        <v>3422</v>
      </c>
      <c r="AV32" t="s">
        <v>3423</v>
      </c>
      <c r="AW32" t="s">
        <v>2987</v>
      </c>
      <c r="AX32" t="s">
        <v>2260</v>
      </c>
      <c r="AY32" t="s">
        <v>1214</v>
      </c>
      <c r="AZ32" t="s">
        <v>706</v>
      </c>
      <c r="BA32" t="s">
        <v>709</v>
      </c>
      <c r="BB32" t="s">
        <v>710</v>
      </c>
      <c r="BC32" t="s">
        <v>1838</v>
      </c>
      <c r="BD32" t="s">
        <v>762</v>
      </c>
      <c r="BE32" t="s">
        <v>707</v>
      </c>
      <c r="BF32" t="s">
        <v>711</v>
      </c>
      <c r="BG32" t="s">
        <v>712</v>
      </c>
      <c r="BH32" t="s">
        <v>2254</v>
      </c>
      <c r="BI32" t="s">
        <v>2261</v>
      </c>
      <c r="BJ32" t="s">
        <v>2260</v>
      </c>
      <c r="BK32" t="s">
        <v>2255</v>
      </c>
      <c r="BL32" t="s">
        <v>2203</v>
      </c>
      <c r="BM32" t="s">
        <v>1838</v>
      </c>
      <c r="BN32">
        <v>8.18</v>
      </c>
      <c r="BO32">
        <v>8.07</v>
      </c>
      <c r="BP32">
        <v>4.9400000000000004</v>
      </c>
      <c r="BQ32">
        <v>11.76</v>
      </c>
      <c r="BR32">
        <v>11.72</v>
      </c>
      <c r="BS32">
        <v>8.07</v>
      </c>
      <c r="BT32" t="s">
        <v>1529</v>
      </c>
      <c r="BU32" t="s">
        <v>1354</v>
      </c>
      <c r="BV32">
        <v>52.43</v>
      </c>
      <c r="BW32">
        <v>52.63</v>
      </c>
      <c r="BX32">
        <v>55.66</v>
      </c>
      <c r="BY32">
        <v>12.34</v>
      </c>
      <c r="BZ32">
        <v>9.0299999999999994</v>
      </c>
      <c r="CA32">
        <v>5.0199999999999996</v>
      </c>
      <c r="CB32">
        <v>2.57</v>
      </c>
      <c r="CC32">
        <v>-4.13</v>
      </c>
      <c r="CD32" t="s">
        <v>3424</v>
      </c>
      <c r="CE32" t="s">
        <v>1932</v>
      </c>
      <c r="CF32" s="7">
        <v>0.10305072720822987</v>
      </c>
      <c r="CG32" s="8">
        <v>0.26067343980343982</v>
      </c>
      <c r="CH32" s="7">
        <v>0.12690414488315582</v>
      </c>
      <c r="CI32" s="7">
        <v>0.10192738473415375</v>
      </c>
      <c r="CJ32" s="7">
        <v>4.9380447715520859E-2</v>
      </c>
      <c r="CK32" s="7">
        <v>-6.6454961895942688E-2</v>
      </c>
      <c r="CL32" s="7">
        <v>7.8522488474845886E-2</v>
      </c>
      <c r="CM32" s="8">
        <v>0.44046926498413086</v>
      </c>
      <c r="CN32" s="8">
        <v>0.54578405618667603</v>
      </c>
      <c r="CO32" s="8">
        <v>0.33051878213882446</v>
      </c>
      <c r="CP32" s="8">
        <v>-0.11620469391345978</v>
      </c>
      <c r="CQ32" s="8">
        <v>-0.22671058773994446</v>
      </c>
      <c r="CR32">
        <v>36.263124454148475</v>
      </c>
      <c r="CS32">
        <v>6.2462426670632487</v>
      </c>
      <c r="CT32">
        <v>2.5715204114432657</v>
      </c>
      <c r="CU32" s="7">
        <v>5.8055900782346723E-2</v>
      </c>
      <c r="CV32" s="8">
        <v>0.19477136433124542</v>
      </c>
      <c r="CW32">
        <v>0.06</v>
      </c>
      <c r="CX32">
        <v>15.252947477660486</v>
      </c>
      <c r="CY32">
        <v>2451495558.7938147</v>
      </c>
      <c r="CZ32">
        <v>5.8055900782346723E-2</v>
      </c>
      <c r="DA32">
        <v>5.121686541029856</v>
      </c>
      <c r="DB32">
        <v>7300824191.4940004</v>
      </c>
      <c r="DC32">
        <v>5.5153105743229382E-2</v>
      </c>
      <c r="DD32">
        <v>2.6133174495739153</v>
      </c>
      <c r="DE32">
        <v>14308454185.731096</v>
      </c>
      <c r="DF32">
        <v>5.1089192688465117E-2</v>
      </c>
      <c r="DG32">
        <v>1.6330612246079745</v>
      </c>
      <c r="DH32">
        <v>22897202160.302525</v>
      </c>
      <c r="DI32">
        <v>4.644472062587738E-2</v>
      </c>
      <c r="DJ32">
        <v>0.91861988408592377</v>
      </c>
      <c r="DK32">
        <v>40705120417.905586</v>
      </c>
      <c r="DL32">
        <v>4.0639130547642704E-2</v>
      </c>
      <c r="DM32">
        <v>2456000000</v>
      </c>
      <c r="DN32">
        <v>5.8055900782346723E-2</v>
      </c>
      <c r="DO32">
        <v>37392533000</v>
      </c>
      <c r="DP32">
        <v>9516487000</v>
      </c>
      <c r="DQ32">
        <v>926</v>
      </c>
      <c r="DR32">
        <v>4.499482642588315E-2</v>
      </c>
      <c r="DS32">
        <v>6.5902075472194399E-2</v>
      </c>
      <c r="DT32" s="9">
        <v>-0.44</v>
      </c>
      <c r="DU32">
        <v>0.56999999999999995</v>
      </c>
      <c r="DV32">
        <v>0.12999999999999995</v>
      </c>
      <c r="DW32">
        <v>6.383582089552239</v>
      </c>
      <c r="DX32">
        <v>0.5362798076923061</v>
      </c>
      <c r="DY32">
        <v>6.0484386725028703</v>
      </c>
      <c r="DZ32">
        <v>1405</v>
      </c>
      <c r="EA32">
        <v>6.0351204073626485</v>
      </c>
      <c r="EB32">
        <v>6</v>
      </c>
      <c r="EC32">
        <v>3.2800109790744485E-2</v>
      </c>
      <c r="ED32">
        <v>0.25974152471521778</v>
      </c>
      <c r="EE32" s="10">
        <v>2.3610000000000003E-2</v>
      </c>
      <c r="EF32">
        <v>3.4510000000000006E-2</v>
      </c>
      <c r="EG32">
        <v>41.126279807692306</v>
      </c>
      <c r="EH32">
        <v>-1</v>
      </c>
      <c r="EI32">
        <v>0</v>
      </c>
      <c r="EJ32">
        <v>1</v>
      </c>
      <c r="EK32" s="11">
        <v>45470</v>
      </c>
      <c r="EL32" s="12">
        <v>2.37</v>
      </c>
      <c r="EM32" s="12">
        <v>-2.7</v>
      </c>
      <c r="EN32" s="12">
        <v>-1.01</v>
      </c>
      <c r="EO32" s="12">
        <v>2.34</v>
      </c>
      <c r="EP32" s="12">
        <v>-1.0900000000000001</v>
      </c>
    </row>
    <row r="33" spans="1:146" ht="108" x14ac:dyDescent="0.25">
      <c r="A33" s="6"/>
      <c r="B33" s="6"/>
      <c r="C33" s="6" t="str">
        <f>""&amp;CHAR(10)&amp;Basic_Fundamental_Information_Constructure(F33)&amp;CHAR(10)&amp;Basic_Fundamental_Information_Concatenate("")</f>
        <v xml:space="preserve">
市值4.5731372亿, 利润-7.67亿; PE; 平均PE-3.11; 平均PEG-.48, PB.123; ROIC1.385%; ROE-1.9333%; 股利率0%; 毛利36.9633%; 净利-11.0933%; 上一年度营收增-6.69%, 利润增-1276.55%; 当季营收增-24.49%, 利润增-116.74%; 过往5年营收增-6.45%, 利润增-293.38%
Income profile:
</v>
      </c>
      <c r="D33" t="s">
        <v>189</v>
      </c>
      <c r="E33" t="s">
        <v>3425</v>
      </c>
      <c r="F33" t="s">
        <v>81</v>
      </c>
      <c r="G33" t="s">
        <v>81</v>
      </c>
      <c r="H33" t="s">
        <v>81</v>
      </c>
      <c r="I33">
        <v>457313720</v>
      </c>
      <c r="K33">
        <v>0.123</v>
      </c>
      <c r="L33" t="s">
        <v>100</v>
      </c>
      <c r="M33" t="s">
        <v>2262</v>
      </c>
      <c r="N33" t="s">
        <v>2735</v>
      </c>
      <c r="O33" t="s">
        <v>841</v>
      </c>
      <c r="P33">
        <v>-24.42</v>
      </c>
      <c r="Q33" t="s">
        <v>527</v>
      </c>
      <c r="R33">
        <v>-10067347</v>
      </c>
      <c r="S33" s="5">
        <v>-1.167</v>
      </c>
      <c r="T33" t="s">
        <v>2263</v>
      </c>
      <c r="U33">
        <v>1202552950</v>
      </c>
      <c r="V33">
        <v>1235983020</v>
      </c>
      <c r="W33">
        <v>2.2799999999999998</v>
      </c>
      <c r="X33">
        <v>0.08</v>
      </c>
      <c r="Y33">
        <v>-2.4500000000000002</v>
      </c>
      <c r="Z33" t="s">
        <v>2880</v>
      </c>
      <c r="AA33" t="s">
        <v>3426</v>
      </c>
      <c r="AB33" t="s">
        <v>3427</v>
      </c>
      <c r="AC33" t="s">
        <v>3428</v>
      </c>
      <c r="AD33" t="s">
        <v>81</v>
      </c>
      <c r="AE33">
        <v>22363870</v>
      </c>
      <c r="AF33" t="s">
        <v>2264</v>
      </c>
      <c r="AG33" t="s">
        <v>3429</v>
      </c>
      <c r="AH33" t="s">
        <v>2265</v>
      </c>
      <c r="AI33" t="s">
        <v>2042</v>
      </c>
      <c r="AJ33" t="s">
        <v>2266</v>
      </c>
      <c r="AK33" t="s">
        <v>81</v>
      </c>
      <c r="AL33" t="s">
        <v>2267</v>
      </c>
      <c r="AM33" t="s">
        <v>81</v>
      </c>
      <c r="AN33" t="s">
        <v>1808</v>
      </c>
      <c r="AO33" t="s">
        <v>1064</v>
      </c>
      <c r="AP33" t="s">
        <v>3430</v>
      </c>
      <c r="AQ33" t="s">
        <v>434</v>
      </c>
      <c r="AR33" t="s">
        <v>3431</v>
      </c>
      <c r="AS33" t="s">
        <v>3432</v>
      </c>
      <c r="AT33" t="s">
        <v>1678</v>
      </c>
      <c r="AU33" t="s">
        <v>3433</v>
      </c>
      <c r="AV33" t="s">
        <v>848</v>
      </c>
      <c r="AW33" t="s">
        <v>2015</v>
      </c>
      <c r="AX33" t="s">
        <v>1655</v>
      </c>
      <c r="AY33" t="s">
        <v>1215</v>
      </c>
      <c r="AZ33" t="s">
        <v>713</v>
      </c>
      <c r="BA33" t="s">
        <v>1216</v>
      </c>
      <c r="BB33" t="s">
        <v>717</v>
      </c>
      <c r="BC33" t="s">
        <v>1656</v>
      </c>
      <c r="BD33" t="s">
        <v>1087</v>
      </c>
      <c r="BE33" t="s">
        <v>309</v>
      </c>
      <c r="BF33" t="s">
        <v>1217</v>
      </c>
      <c r="BG33" t="s">
        <v>337</v>
      </c>
      <c r="BH33" t="s">
        <v>527</v>
      </c>
      <c r="BI33" t="s">
        <v>761</v>
      </c>
      <c r="BJ33" t="s">
        <v>1655</v>
      </c>
      <c r="BK33" t="s">
        <v>2263</v>
      </c>
      <c r="BL33" t="s">
        <v>1878</v>
      </c>
      <c r="BM33" t="s">
        <v>1656</v>
      </c>
      <c r="BN33">
        <v>1.41</v>
      </c>
      <c r="BO33">
        <v>1.36</v>
      </c>
      <c r="BP33" t="s">
        <v>81</v>
      </c>
      <c r="BQ33">
        <v>1.48</v>
      </c>
      <c r="BR33">
        <v>1.44</v>
      </c>
      <c r="BS33">
        <v>-8.7200000000000006</v>
      </c>
      <c r="BT33" t="s">
        <v>1526</v>
      </c>
      <c r="BU33" t="s">
        <v>1354</v>
      </c>
      <c r="BV33">
        <v>33.36</v>
      </c>
      <c r="BW33">
        <v>33.42</v>
      </c>
      <c r="BX33">
        <v>44.11</v>
      </c>
      <c r="BY33">
        <v>-24.95</v>
      </c>
      <c r="BZ33">
        <v>1.19</v>
      </c>
      <c r="CA33">
        <v>-9.52</v>
      </c>
      <c r="CB33">
        <v>-5.13</v>
      </c>
      <c r="CC33">
        <v>-73.38</v>
      </c>
      <c r="CD33" t="s">
        <v>3434</v>
      </c>
      <c r="CE33" t="s">
        <v>3435</v>
      </c>
      <c r="CF33" s="7">
        <v>-0.24485125858123569</v>
      </c>
      <c r="CG33" s="8">
        <v>-1.1673957366854559</v>
      </c>
      <c r="CH33" s="7">
        <v>-6.6858790814876556E-2</v>
      </c>
      <c r="CI33" s="7">
        <v>-0.20594960451126099</v>
      </c>
      <c r="CJ33" s="7">
        <v>3.0417339876294136E-2</v>
      </c>
      <c r="CK33" s="7">
        <v>-0.15819773077964783</v>
      </c>
      <c r="CL33" s="7">
        <v>7.7877677977085114E-2</v>
      </c>
      <c r="CM33" s="8">
        <v>-12.765536308288574</v>
      </c>
      <c r="CN33" s="8">
        <v>1.1578459739685059</v>
      </c>
      <c r="CO33" s="8">
        <v>-2.6653225421905518</v>
      </c>
      <c r="CP33" s="8">
        <v>1.647519588470459</v>
      </c>
      <c r="CQ33" s="8">
        <v>-2.0435967445373535</v>
      </c>
      <c r="CR33">
        <v>-3.1081246964237814</v>
      </c>
      <c r="CS33">
        <v>-0.48156456609990389</v>
      </c>
      <c r="CT33">
        <v>0</v>
      </c>
      <c r="CU33" s="7">
        <v>-6.4542221650481221E-2</v>
      </c>
      <c r="CV33" s="8">
        <v>-2.9338180065155028</v>
      </c>
      <c r="CW33">
        <v>0.06</v>
      </c>
      <c r="CX33" t="e">
        <v>#VALUE!</v>
      </c>
      <c r="CY33" t="s">
        <v>1361</v>
      </c>
      <c r="CZ33">
        <v>-6.4542221650481221E-2</v>
      </c>
      <c r="DA33" t="e">
        <v>#VALUE!</v>
      </c>
      <c r="DB33" t="s">
        <v>1362</v>
      </c>
      <c r="DC33">
        <v>-6.131511056795716E-2</v>
      </c>
      <c r="DD33" t="e">
        <v>#VALUE!</v>
      </c>
      <c r="DE33" t="s">
        <v>1362</v>
      </c>
      <c r="DF33">
        <v>-5.6797155052423477E-2</v>
      </c>
      <c r="DG33" t="e">
        <v>#VALUE!</v>
      </c>
      <c r="DH33" t="s">
        <v>1362</v>
      </c>
      <c r="DI33">
        <v>-5.1633777320384981E-2</v>
      </c>
      <c r="DJ33" t="e">
        <v>#VALUE!</v>
      </c>
      <c r="DK33" t="s">
        <v>1362</v>
      </c>
      <c r="DL33">
        <v>-4.5179555155336851E-2</v>
      </c>
      <c r="DM33">
        <v>-767000000</v>
      </c>
      <c r="DN33">
        <v>-6.4542221650481221E-2</v>
      </c>
      <c r="DO33">
        <v>1652313720</v>
      </c>
      <c r="DP33">
        <v>1029453400</v>
      </c>
      <c r="DQ33">
        <v>938</v>
      </c>
      <c r="DR33">
        <v>-0.18030903693075445</v>
      </c>
      <c r="DS33">
        <v>1.7664222698300469</v>
      </c>
      <c r="DT33" s="9">
        <v>-0.70666666666666667</v>
      </c>
      <c r="DU33">
        <v>-2.4150000000000005</v>
      </c>
      <c r="DV33">
        <v>-3.121666666666667</v>
      </c>
      <c r="DW33">
        <v>-8.0699100572363047</v>
      </c>
      <c r="DX33">
        <v>0.42350108801333397</v>
      </c>
      <c r="DY33">
        <v>-8.0296069853026495</v>
      </c>
      <c r="DZ33">
        <v>4945</v>
      </c>
      <c r="EA33">
        <v>-8.0009559985469547</v>
      </c>
      <c r="EB33">
        <v>8</v>
      </c>
      <c r="EC33">
        <v>7.4007489196736701E-3</v>
      </c>
      <c r="ED33">
        <v>1.747515916521248E-2</v>
      </c>
      <c r="EE33" s="10">
        <v>-9.0243099999999998</v>
      </c>
      <c r="EF33">
        <v>-9.0708099999999998</v>
      </c>
      <c r="EG33">
        <v>0.42350108801333397</v>
      </c>
      <c r="EH33" t="s">
        <v>3436</v>
      </c>
      <c r="EI33">
        <v>0</v>
      </c>
      <c r="EJ33">
        <v>0</v>
      </c>
      <c r="EK33" s="11">
        <v>45470</v>
      </c>
      <c r="EL33" s="12">
        <v>-5.77</v>
      </c>
      <c r="EM33" s="12">
        <v>-4.08</v>
      </c>
      <c r="EN33" s="12">
        <v>-4.26</v>
      </c>
      <c r="EO33" s="12">
        <v>-4.4400000000000004</v>
      </c>
      <c r="EP33" s="12">
        <v>-4.6500000000000004</v>
      </c>
    </row>
    <row r="34" spans="1:146" ht="108" x14ac:dyDescent="0.25">
      <c r="A34" s="6"/>
      <c r="B34" s="6"/>
      <c r="C34" s="6" t="str">
        <f>""&amp;CHAR(10)&amp;Basic_Fundamental_Information_Constructure(F34)&amp;CHAR(10)&amp;Basic_Fundamental_Information_Concatenate("")</f>
        <v xml:space="preserve">
市值43.820919亿, 利润1.20亿; PE28.72; 平均PE-11.62; 平均PEG-.95, PB2.42; ROIC5.665%; ROE-.3567%; 股利率0%; 毛利69.6233%; 净利-.9033%; 上一年度营收增-15.51%, 利润增141.24%; 当季营收增-12.92%, 利润增473.32%; 过往5年营收增-12.22%, 利润增-558.25%
Income profile:
</v>
      </c>
      <c r="D34" t="s">
        <v>134</v>
      </c>
      <c r="E34" t="s">
        <v>30</v>
      </c>
      <c r="F34">
        <v>1.93</v>
      </c>
      <c r="G34">
        <v>2.12</v>
      </c>
      <c r="H34" t="s">
        <v>3437</v>
      </c>
      <c r="I34">
        <v>4382091900</v>
      </c>
      <c r="J34">
        <v>28.72</v>
      </c>
      <c r="K34">
        <v>2.42</v>
      </c>
      <c r="L34" t="s">
        <v>100</v>
      </c>
      <c r="M34" t="s">
        <v>1937</v>
      </c>
      <c r="N34" t="s">
        <v>2012</v>
      </c>
      <c r="O34" t="s">
        <v>1275</v>
      </c>
      <c r="P34">
        <v>-12.92</v>
      </c>
      <c r="Q34" t="s">
        <v>1708</v>
      </c>
      <c r="R34">
        <v>115000000</v>
      </c>
      <c r="S34" s="5">
        <v>1.607</v>
      </c>
      <c r="T34" t="s">
        <v>298</v>
      </c>
      <c r="U34">
        <v>2190743600</v>
      </c>
      <c r="V34">
        <v>2270514000</v>
      </c>
      <c r="W34">
        <v>1.66</v>
      </c>
      <c r="X34">
        <v>0.19</v>
      </c>
      <c r="Y34">
        <v>9.4</v>
      </c>
      <c r="Z34" t="s">
        <v>563</v>
      </c>
      <c r="AA34" t="s">
        <v>1144</v>
      </c>
      <c r="AB34" t="s">
        <v>279</v>
      </c>
      <c r="AC34" t="s">
        <v>3438</v>
      </c>
      <c r="AD34" t="s">
        <v>81</v>
      </c>
      <c r="AE34">
        <v>1324953</v>
      </c>
      <c r="AF34" t="s">
        <v>2270</v>
      </c>
      <c r="AG34" t="s">
        <v>3439</v>
      </c>
      <c r="AH34" t="s">
        <v>2271</v>
      </c>
      <c r="AI34" t="s">
        <v>1010</v>
      </c>
      <c r="AJ34" t="s">
        <v>2272</v>
      </c>
      <c r="AK34" t="s">
        <v>3440</v>
      </c>
      <c r="AL34" t="s">
        <v>2273</v>
      </c>
      <c r="AM34" t="s">
        <v>81</v>
      </c>
      <c r="AN34" t="s">
        <v>3441</v>
      </c>
      <c r="AO34" t="s">
        <v>1189</v>
      </c>
      <c r="AP34" t="s">
        <v>81</v>
      </c>
      <c r="AQ34" t="s">
        <v>3442</v>
      </c>
      <c r="AR34" t="s">
        <v>81</v>
      </c>
      <c r="AS34" t="s">
        <v>1753</v>
      </c>
      <c r="AT34" t="s">
        <v>3443</v>
      </c>
      <c r="AU34" t="s">
        <v>773</v>
      </c>
      <c r="AV34" t="s">
        <v>3444</v>
      </c>
      <c r="AW34" t="s">
        <v>1929</v>
      </c>
      <c r="AX34" t="s">
        <v>1657</v>
      </c>
      <c r="AY34" t="s">
        <v>1218</v>
      </c>
      <c r="AZ34" t="s">
        <v>719</v>
      </c>
      <c r="BA34" t="s">
        <v>720</v>
      </c>
      <c r="BB34" t="s">
        <v>721</v>
      </c>
      <c r="BC34" t="s">
        <v>1658</v>
      </c>
      <c r="BD34" t="s">
        <v>1219</v>
      </c>
      <c r="BE34" t="s">
        <v>310</v>
      </c>
      <c r="BF34" t="s">
        <v>722</v>
      </c>
      <c r="BG34" t="s">
        <v>355</v>
      </c>
      <c r="BH34" t="s">
        <v>1708</v>
      </c>
      <c r="BI34" t="s">
        <v>421</v>
      </c>
      <c r="BJ34" t="s">
        <v>1657</v>
      </c>
      <c r="BK34" t="s">
        <v>298</v>
      </c>
      <c r="BL34" t="s">
        <v>1881</v>
      </c>
      <c r="BM34" t="s">
        <v>1658</v>
      </c>
      <c r="BN34">
        <v>8.76</v>
      </c>
      <c r="BO34" t="s">
        <v>81</v>
      </c>
      <c r="BP34">
        <v>2.57</v>
      </c>
      <c r="BQ34">
        <v>13.07</v>
      </c>
      <c r="BR34">
        <v>-16.55</v>
      </c>
      <c r="BS34">
        <v>2.41</v>
      </c>
      <c r="BT34" t="s">
        <v>1526</v>
      </c>
      <c r="BU34" t="s">
        <v>1354</v>
      </c>
      <c r="BV34">
        <v>58.39</v>
      </c>
      <c r="BW34">
        <v>76.86</v>
      </c>
      <c r="BX34">
        <v>73.62</v>
      </c>
      <c r="BY34">
        <v>4.9000000000000004</v>
      </c>
      <c r="BZ34">
        <v>-9.32</v>
      </c>
      <c r="CA34">
        <v>1.71</v>
      </c>
      <c r="CB34">
        <v>13.53</v>
      </c>
      <c r="CC34">
        <v>-5.39</v>
      </c>
      <c r="CD34" t="s">
        <v>1433</v>
      </c>
      <c r="CE34" t="s">
        <v>411</v>
      </c>
      <c r="CF34" s="7">
        <v>-0.12922173274596183</v>
      </c>
      <c r="CG34" s="8">
        <v>4.7332017189634374</v>
      </c>
      <c r="CH34" s="7">
        <v>-0.15508370101451874</v>
      </c>
      <c r="CI34" s="7">
        <v>-1.1764685623347759E-2</v>
      </c>
      <c r="CJ34" s="7">
        <v>2.9459860175848007E-2</v>
      </c>
      <c r="CK34" s="7">
        <v>-0.39552828669548035</v>
      </c>
      <c r="CL34" s="7">
        <v>-7.7905461192131042E-2</v>
      </c>
      <c r="CM34" s="8">
        <v>1.4123711585998535</v>
      </c>
      <c r="CN34" s="8">
        <v>-7.4606366157531738</v>
      </c>
      <c r="CO34" s="8">
        <v>-0.88739502429962158</v>
      </c>
      <c r="CP34" s="8">
        <v>1.1502629518508911</v>
      </c>
      <c r="CQ34" s="8">
        <v>-22.126985549926758</v>
      </c>
      <c r="CR34">
        <v>-11.623801768202593</v>
      </c>
      <c r="CS34">
        <v>-0.95148803967397733</v>
      </c>
      <c r="CT34">
        <v>0</v>
      </c>
      <c r="CU34" s="7">
        <v>-0.12216445486992597</v>
      </c>
      <c r="CV34" s="8">
        <v>-5.5824766159057617</v>
      </c>
      <c r="CW34">
        <v>0.06</v>
      </c>
      <c r="CX34">
        <v>33.034099166666664</v>
      </c>
      <c r="CY34" t="s">
        <v>2276</v>
      </c>
      <c r="CZ34">
        <v>-0.12216445486992597</v>
      </c>
      <c r="DA34">
        <v>11.01136638888889</v>
      </c>
      <c r="DB34" t="s">
        <v>2277</v>
      </c>
      <c r="DC34">
        <v>-0.11605623212642967</v>
      </c>
      <c r="DD34">
        <v>5.5056831944444449</v>
      </c>
      <c r="DE34" t="s">
        <v>2278</v>
      </c>
      <c r="DF34">
        <v>-0.10750472028553486</v>
      </c>
      <c r="DG34">
        <v>3.3034099166666668</v>
      </c>
      <c r="DH34" t="s">
        <v>2279</v>
      </c>
      <c r="DI34">
        <v>-9.7731563895940787E-2</v>
      </c>
      <c r="DJ34">
        <v>1.6517049583333334</v>
      </c>
      <c r="DK34" t="s">
        <v>2280</v>
      </c>
      <c r="DL34">
        <v>-8.5515118408948168E-2</v>
      </c>
      <c r="DM34">
        <v>120000000</v>
      </c>
      <c r="DN34">
        <v>-0.12216445486992597</v>
      </c>
      <c r="DO34">
        <v>3964091900</v>
      </c>
      <c r="DP34">
        <v>-65638710</v>
      </c>
      <c r="DQ34">
        <v>940</v>
      </c>
      <c r="DR34">
        <v>-7.0572778760358557E-3</v>
      </c>
      <c r="DS34">
        <v>10.315678334869199</v>
      </c>
      <c r="DT34" s="9">
        <v>-0.72333333333333327</v>
      </c>
      <c r="DU34">
        <v>-0.43333333333333357</v>
      </c>
      <c r="DV34">
        <v>-1.1566666666666667</v>
      </c>
      <c r="DW34">
        <v>5.3983739837398375</v>
      </c>
      <c r="DX34">
        <v>0.7421554770318044</v>
      </c>
      <c r="DY34">
        <v>5.1323221006061654</v>
      </c>
      <c r="DZ34">
        <v>3868</v>
      </c>
      <c r="EA34">
        <v>5.0321612620259994</v>
      </c>
      <c r="EB34">
        <v>5</v>
      </c>
      <c r="EC34">
        <v>0.12420095185495443</v>
      </c>
      <c r="ED34">
        <v>0.37392414228672449</v>
      </c>
      <c r="EE34" s="10">
        <v>3.2099999999999997E-2</v>
      </c>
      <c r="EF34">
        <v>9.099999999999997E-3</v>
      </c>
      <c r="EG34">
        <v>41.332155477031804</v>
      </c>
      <c r="EH34" t="s">
        <v>1360</v>
      </c>
      <c r="EI34">
        <v>1</v>
      </c>
      <c r="EJ34">
        <v>0</v>
      </c>
      <c r="EK34" s="11">
        <v>45470</v>
      </c>
      <c r="EL34" s="12">
        <v>-0.56999999999999995</v>
      </c>
      <c r="EM34" s="12">
        <v>-4</v>
      </c>
      <c r="EN34" s="12">
        <v>0</v>
      </c>
      <c r="EO34" s="12">
        <v>3.57</v>
      </c>
      <c r="EP34" s="12">
        <v>-2.2999999999999998</v>
      </c>
    </row>
    <row r="35" spans="1:146" ht="108" x14ac:dyDescent="0.25">
      <c r="A35" s="6"/>
      <c r="B35" s="6"/>
      <c r="C35" s="6" t="str">
        <f>""&amp;CHAR(10)&amp;Basic_Fundamental_Information_Constructure(F35)&amp;CHAR(10)&amp;Basic_Fundamental_Information_Concatenate("")</f>
        <v xml:space="preserve">
市值70.389亿, 利润1.82亿; PE35.19; 平均PE40.69; 平均PEG5.05, PB2.91; ROIC9.7833%; ROE10.3533%; 股利率2.1818%; 毛利42.1033%; 净利11.2267%; 上一年度营收增-21.27%, 利润增-43.65%; 当季营收增-24.18%, 利润增112.68%; 过往5年营收增8.06%, 利润增28.15%
Income profile:
</v>
      </c>
      <c r="D35" t="s">
        <v>163</v>
      </c>
      <c r="E35" t="s">
        <v>22</v>
      </c>
      <c r="F35">
        <v>5.5</v>
      </c>
      <c r="G35">
        <v>5.36</v>
      </c>
      <c r="H35" t="s">
        <v>3445</v>
      </c>
      <c r="I35">
        <v>7038900000</v>
      </c>
      <c r="J35">
        <v>35.19</v>
      </c>
      <c r="K35">
        <v>2.91</v>
      </c>
      <c r="L35" t="s">
        <v>100</v>
      </c>
      <c r="M35" t="s">
        <v>456</v>
      </c>
      <c r="N35" t="s">
        <v>3446</v>
      </c>
      <c r="O35" t="s">
        <v>1745</v>
      </c>
      <c r="P35">
        <v>-24.19</v>
      </c>
      <c r="Q35" t="s">
        <v>2282</v>
      </c>
      <c r="R35">
        <v>182792300</v>
      </c>
      <c r="S35" s="5">
        <v>0.21129999999999999</v>
      </c>
      <c r="T35" t="s">
        <v>278</v>
      </c>
      <c r="U35">
        <v>910228740</v>
      </c>
      <c r="V35">
        <v>1279800000</v>
      </c>
      <c r="W35">
        <v>1.1200000000000001</v>
      </c>
      <c r="X35">
        <v>0.17</v>
      </c>
      <c r="Y35">
        <v>21.98</v>
      </c>
      <c r="Z35" t="s">
        <v>376</v>
      </c>
      <c r="AA35" t="s">
        <v>1854</v>
      </c>
      <c r="AB35" t="s">
        <v>3447</v>
      </c>
      <c r="AC35" t="s">
        <v>3448</v>
      </c>
      <c r="AD35" t="s">
        <v>81</v>
      </c>
      <c r="AE35">
        <v>-131256</v>
      </c>
      <c r="AF35" t="s">
        <v>2283</v>
      </c>
      <c r="AG35">
        <v>1829.56</v>
      </c>
      <c r="AH35" t="s">
        <v>2284</v>
      </c>
      <c r="AI35" t="s">
        <v>3449</v>
      </c>
      <c r="AJ35" t="s">
        <v>2285</v>
      </c>
      <c r="AK35" t="s">
        <v>3450</v>
      </c>
      <c r="AL35" t="s">
        <v>2286</v>
      </c>
      <c r="AM35" t="s">
        <v>81</v>
      </c>
      <c r="AN35" t="s">
        <v>3451</v>
      </c>
      <c r="AO35" t="s">
        <v>3452</v>
      </c>
      <c r="AP35" t="s">
        <v>81</v>
      </c>
      <c r="AQ35" t="s">
        <v>3453</v>
      </c>
      <c r="AR35" t="s">
        <v>81</v>
      </c>
      <c r="AS35" t="s">
        <v>311</v>
      </c>
      <c r="AT35" t="s">
        <v>81</v>
      </c>
      <c r="AU35" t="s">
        <v>350</v>
      </c>
      <c r="AV35" t="s">
        <v>3454</v>
      </c>
      <c r="AW35" t="s">
        <v>1698</v>
      </c>
      <c r="AX35" t="s">
        <v>1185</v>
      </c>
      <c r="AY35" t="s">
        <v>652</v>
      </c>
      <c r="AZ35" t="s">
        <v>724</v>
      </c>
      <c r="BA35" t="s">
        <v>726</v>
      </c>
      <c r="BB35" t="s">
        <v>727</v>
      </c>
      <c r="BC35" t="s">
        <v>1375</v>
      </c>
      <c r="BD35" t="s">
        <v>463</v>
      </c>
      <c r="BE35" t="s">
        <v>725</v>
      </c>
      <c r="BF35" t="s">
        <v>251</v>
      </c>
      <c r="BG35" t="s">
        <v>308</v>
      </c>
      <c r="BH35" t="s">
        <v>2282</v>
      </c>
      <c r="BI35" t="s">
        <v>747</v>
      </c>
      <c r="BJ35" t="s">
        <v>1185</v>
      </c>
      <c r="BK35" t="s">
        <v>278</v>
      </c>
      <c r="BL35" t="s">
        <v>1884</v>
      </c>
      <c r="BM35" t="s">
        <v>1375</v>
      </c>
      <c r="BN35">
        <v>7.23</v>
      </c>
      <c r="BO35">
        <v>13.48</v>
      </c>
      <c r="BP35">
        <v>8.64</v>
      </c>
      <c r="BQ35">
        <v>8.0299999999999994</v>
      </c>
      <c r="BR35">
        <v>14.36</v>
      </c>
      <c r="BS35">
        <v>8.67</v>
      </c>
      <c r="BT35" t="s">
        <v>1535</v>
      </c>
      <c r="BU35" t="s">
        <v>1354</v>
      </c>
      <c r="BV35">
        <v>43.26</v>
      </c>
      <c r="BW35">
        <v>38.590000000000003</v>
      </c>
      <c r="BX35">
        <v>44.46</v>
      </c>
      <c r="BY35">
        <v>9.85</v>
      </c>
      <c r="BZ35">
        <v>13.89</v>
      </c>
      <c r="CA35">
        <v>9.94</v>
      </c>
      <c r="CB35">
        <v>2.04</v>
      </c>
      <c r="CC35">
        <v>-2.31</v>
      </c>
      <c r="CD35" t="s">
        <v>3455</v>
      </c>
      <c r="CE35" t="s">
        <v>1080</v>
      </c>
      <c r="CF35" s="7">
        <v>-0.24177631578947359</v>
      </c>
      <c r="CG35" s="8">
        <v>1.1268075134850861</v>
      </c>
      <c r="CH35" s="7">
        <v>-0.2126736044883728</v>
      </c>
      <c r="CI35" s="7">
        <v>0.22879995405673981</v>
      </c>
      <c r="CJ35" s="7">
        <v>0.12410075962543488</v>
      </c>
      <c r="CK35" s="7">
        <v>-4.1791424155235291E-3</v>
      </c>
      <c r="CL35" s="7">
        <v>0.26701971888542175</v>
      </c>
      <c r="CM35" s="8">
        <v>-0.43653249740600586</v>
      </c>
      <c r="CN35" s="8">
        <v>0.7845304012298584</v>
      </c>
      <c r="CO35" s="8">
        <v>2.3712120056152344</v>
      </c>
      <c r="CP35" s="8">
        <v>-1.5019011497497559</v>
      </c>
      <c r="CQ35" s="8">
        <v>0.19004525244235992</v>
      </c>
      <c r="CR35">
        <v>40.687283236994219</v>
      </c>
      <c r="CS35">
        <v>5.0472023290576677</v>
      </c>
      <c r="CT35">
        <v>2.1818181818181817</v>
      </c>
      <c r="CU35" s="7">
        <v>8.0613537132740026E-2</v>
      </c>
      <c r="CV35" s="8">
        <v>0.28147080242633821</v>
      </c>
      <c r="CW35">
        <v>0.06</v>
      </c>
      <c r="CX35">
        <v>26.398180097688961</v>
      </c>
      <c r="CY35">
        <v>185539305.43222517</v>
      </c>
      <c r="CZ35">
        <v>8.0613537132740026E-2</v>
      </c>
      <c r="DA35">
        <v>8.6955928396703559</v>
      </c>
      <c r="DB35">
        <v>563262343.38562655</v>
      </c>
      <c r="DC35">
        <v>7.6582860276103018E-2</v>
      </c>
      <c r="DD35">
        <v>4.326265501227974</v>
      </c>
      <c r="DE35">
        <v>1132131164.5366592</v>
      </c>
      <c r="DF35">
        <v>7.0939912676811226E-2</v>
      </c>
      <c r="DG35">
        <v>2.6291065154591489</v>
      </c>
      <c r="DH35">
        <v>1862952288.6198575</v>
      </c>
      <c r="DI35">
        <v>6.4490829706192021E-2</v>
      </c>
      <c r="DJ35">
        <v>1.3938388439912421</v>
      </c>
      <c r="DK35">
        <v>3513964344.669085</v>
      </c>
      <c r="DL35">
        <v>5.6429475992918011E-2</v>
      </c>
      <c r="DM35">
        <v>182000000</v>
      </c>
      <c r="DN35">
        <v>8.0613537132740026E-2</v>
      </c>
      <c r="DO35">
        <v>4897900000</v>
      </c>
      <c r="DP35">
        <v>1371634200</v>
      </c>
      <c r="DQ35">
        <v>1043</v>
      </c>
      <c r="DR35">
        <v>-0.32238985292221362</v>
      </c>
      <c r="DS35">
        <v>0.84533671105874797</v>
      </c>
      <c r="DT35" s="9">
        <v>-0.35666666666666669</v>
      </c>
      <c r="DU35">
        <v>0.43666666666666676</v>
      </c>
      <c r="DV35">
        <v>8.0000000000000071E-2</v>
      </c>
      <c r="DW35">
        <v>-2.3099999999999999E-2</v>
      </c>
      <c r="DX35">
        <v>0.56991398963730666</v>
      </c>
      <c r="DY35">
        <v>-5.773013160621762E-3</v>
      </c>
      <c r="DZ35">
        <v>2034</v>
      </c>
      <c r="EA35">
        <v>-3.4751053780963876E-3</v>
      </c>
      <c r="EB35">
        <v>0</v>
      </c>
      <c r="EC35">
        <v>7.5376465072667598E-2</v>
      </c>
      <c r="ED35">
        <v>0.30160962650414125</v>
      </c>
      <c r="EE35" s="10">
        <v>-4.0124000000000004</v>
      </c>
      <c r="EF35">
        <v>-4.0256100000000004</v>
      </c>
      <c r="EG35">
        <v>32.249913989637307</v>
      </c>
      <c r="EH35" t="s">
        <v>3135</v>
      </c>
      <c r="EI35">
        <v>0</v>
      </c>
      <c r="EJ35">
        <v>0</v>
      </c>
      <c r="EK35" s="11">
        <v>45470</v>
      </c>
      <c r="EL35" s="12">
        <v>0.36</v>
      </c>
      <c r="EM35" s="12">
        <v>-1.82</v>
      </c>
      <c r="EN35" s="12">
        <v>-0.56000000000000005</v>
      </c>
      <c r="EO35" s="12">
        <v>2.98</v>
      </c>
      <c r="EP35" s="12">
        <v>-3.8</v>
      </c>
    </row>
    <row r="36" spans="1:146" ht="108" x14ac:dyDescent="0.25">
      <c r="A36" s="6"/>
      <c r="B36" s="6"/>
      <c r="C36" s="6" t="str">
        <f>""&amp;CHAR(10)&amp;Basic_Fundamental_Information_Constructure(F36)&amp;CHAR(10)&amp;Basic_Fundamental_Information_Concatenate("")</f>
        <v xml:space="preserve">
市值348.4961亿, 利润2.95亿; PE97.26; 平均PE87.82; 平均PEG160.18, PB8.11; ROIC8.88%; ROE8.9933%; 股利率.6394%; 毛利68.8367%; 净利13.4867%; 上一年度营收增11.28%, 利润增6.5%; 当季营收增20.51%, 利润增219.86%; 过往5年营收增.55%, 利润增3.65%
Income profile:
</v>
      </c>
      <c r="D36" t="s">
        <v>132</v>
      </c>
      <c r="E36" t="s">
        <v>29</v>
      </c>
      <c r="F36">
        <v>31.28</v>
      </c>
      <c r="G36">
        <v>5.04</v>
      </c>
      <c r="H36" t="s">
        <v>3456</v>
      </c>
      <c r="I36">
        <v>34849610000</v>
      </c>
      <c r="J36">
        <v>97.26</v>
      </c>
      <c r="K36">
        <v>8.11</v>
      </c>
      <c r="L36" t="s">
        <v>100</v>
      </c>
      <c r="M36" t="s">
        <v>1826</v>
      </c>
      <c r="N36" t="s">
        <v>3457</v>
      </c>
      <c r="O36" t="s">
        <v>981</v>
      </c>
      <c r="P36">
        <v>20.6</v>
      </c>
      <c r="Q36" t="s">
        <v>2288</v>
      </c>
      <c r="R36">
        <v>91955910</v>
      </c>
      <c r="S36" s="5">
        <v>2.1989999999999998</v>
      </c>
      <c r="T36" t="s">
        <v>398</v>
      </c>
      <c r="U36">
        <v>517073210</v>
      </c>
      <c r="V36">
        <v>1114117970</v>
      </c>
      <c r="W36">
        <v>1.6</v>
      </c>
      <c r="X36">
        <v>0.11</v>
      </c>
      <c r="Y36">
        <v>12.06</v>
      </c>
      <c r="Z36" t="s">
        <v>1871</v>
      </c>
      <c r="AA36" t="s">
        <v>1411</v>
      </c>
      <c r="AB36" t="s">
        <v>422</v>
      </c>
      <c r="AC36" t="s">
        <v>3458</v>
      </c>
      <c r="AD36" t="s">
        <v>81</v>
      </c>
      <c r="AE36">
        <v>3999138</v>
      </c>
      <c r="AF36" t="s">
        <v>2290</v>
      </c>
      <c r="AG36" t="s">
        <v>3459</v>
      </c>
      <c r="AH36" t="s">
        <v>2291</v>
      </c>
      <c r="AI36" t="s">
        <v>2627</v>
      </c>
      <c r="AJ36" t="s">
        <v>2292</v>
      </c>
      <c r="AK36" t="s">
        <v>3460</v>
      </c>
      <c r="AL36" t="s">
        <v>2293</v>
      </c>
      <c r="AM36" t="s">
        <v>81</v>
      </c>
      <c r="AN36" t="s">
        <v>3461</v>
      </c>
      <c r="AO36" t="s">
        <v>1918</v>
      </c>
      <c r="AP36" t="s">
        <v>81</v>
      </c>
      <c r="AQ36" t="s">
        <v>266</v>
      </c>
      <c r="AR36" t="s">
        <v>3462</v>
      </c>
      <c r="AS36" t="s">
        <v>3463</v>
      </c>
      <c r="AT36" t="s">
        <v>711</v>
      </c>
      <c r="AU36" t="s">
        <v>3464</v>
      </c>
      <c r="AV36" t="s">
        <v>3465</v>
      </c>
      <c r="AW36" t="s">
        <v>273</v>
      </c>
      <c r="AX36" t="s">
        <v>1662</v>
      </c>
      <c r="AY36" t="s">
        <v>1220</v>
      </c>
      <c r="AZ36" t="s">
        <v>733</v>
      </c>
      <c r="BA36" t="s">
        <v>735</v>
      </c>
      <c r="BB36" t="s">
        <v>736</v>
      </c>
      <c r="BC36" t="s">
        <v>256</v>
      </c>
      <c r="BD36" t="s">
        <v>356</v>
      </c>
      <c r="BE36" t="s">
        <v>639</v>
      </c>
      <c r="BF36" t="s">
        <v>737</v>
      </c>
      <c r="BG36" t="s">
        <v>697</v>
      </c>
      <c r="BH36" t="s">
        <v>2288</v>
      </c>
      <c r="BI36" t="s">
        <v>501</v>
      </c>
      <c r="BJ36" t="s">
        <v>1662</v>
      </c>
      <c r="BK36" t="s">
        <v>398</v>
      </c>
      <c r="BL36" t="s">
        <v>1885</v>
      </c>
      <c r="BM36" t="s">
        <v>256</v>
      </c>
      <c r="BN36">
        <v>4.0199999999999996</v>
      </c>
      <c r="BO36">
        <v>9.33</v>
      </c>
      <c r="BP36">
        <v>13.29</v>
      </c>
      <c r="BQ36">
        <v>5.2</v>
      </c>
      <c r="BR36">
        <v>9.48</v>
      </c>
      <c r="BS36">
        <v>12.3</v>
      </c>
      <c r="BT36" t="s">
        <v>1539</v>
      </c>
      <c r="BU36" t="s">
        <v>1354</v>
      </c>
      <c r="BV36">
        <v>71.02</v>
      </c>
      <c r="BW36">
        <v>69.510000000000005</v>
      </c>
      <c r="BX36">
        <v>65.98</v>
      </c>
      <c r="BY36">
        <v>8.81</v>
      </c>
      <c r="BZ36">
        <v>12.99</v>
      </c>
      <c r="CA36">
        <v>18.66</v>
      </c>
      <c r="CB36">
        <v>1.89</v>
      </c>
      <c r="CC36">
        <v>4.2300000000000004</v>
      </c>
      <c r="CD36" t="s">
        <v>3466</v>
      </c>
      <c r="CE36" t="s">
        <v>3467</v>
      </c>
      <c r="CF36" s="7">
        <v>0.20512820512820512</v>
      </c>
      <c r="CG36" s="8">
        <v>2.1985554380643637</v>
      </c>
      <c r="CH36" s="7">
        <v>0.1127694845199585</v>
      </c>
      <c r="CI36" s="7">
        <v>8.7270155549049377E-2</v>
      </c>
      <c r="CJ36" s="7">
        <v>-0.16726724803447723</v>
      </c>
      <c r="CK36" s="7">
        <v>-0.15417832136154175</v>
      </c>
      <c r="CL36" s="7">
        <v>0.14881816506385803</v>
      </c>
      <c r="CM36" s="8">
        <v>6.4981952309608459E-2</v>
      </c>
      <c r="CN36" s="8">
        <v>-0.19710144400596619</v>
      </c>
      <c r="CO36" s="8">
        <v>-0.4583987295627594</v>
      </c>
      <c r="CP36" s="8">
        <v>0.28947368264198303</v>
      </c>
      <c r="CQ36" s="8">
        <v>0.48348349332809448</v>
      </c>
      <c r="CR36">
        <v>87.819260814783703</v>
      </c>
      <c r="CS36">
        <v>160.18259447685068</v>
      </c>
      <c r="CT36">
        <v>0.63938618925831203</v>
      </c>
      <c r="CU36" s="7">
        <v>5.4824471473693846E-3</v>
      </c>
      <c r="CV36" s="8">
        <v>3.648779094219208E-2</v>
      </c>
      <c r="CW36">
        <v>0.06</v>
      </c>
      <c r="CX36">
        <v>118.0998681216912</v>
      </c>
      <c r="CY36">
        <v>279827662.1778056</v>
      </c>
      <c r="CZ36">
        <v>5.4824471473693846E-3</v>
      </c>
      <c r="DA36">
        <v>41.48476906700855</v>
      </c>
      <c r="DB36">
        <v>796620319.77614796</v>
      </c>
      <c r="DC36">
        <v>5.2083247900009148E-3</v>
      </c>
      <c r="DD36">
        <v>22.418846521587451</v>
      </c>
      <c r="DE36">
        <v>1474099480.0146363</v>
      </c>
      <c r="DF36">
        <v>4.8245534896850586E-3</v>
      </c>
      <c r="DG36">
        <v>14.888685035607862</v>
      </c>
      <c r="DH36">
        <v>2219645987.6048927</v>
      </c>
      <c r="DI36">
        <v>4.385957717895508E-3</v>
      </c>
      <c r="DJ36">
        <v>9.4480787694630024</v>
      </c>
      <c r="DK36">
        <v>3497812709.4804392</v>
      </c>
      <c r="DL36">
        <v>3.8377130031585689E-3</v>
      </c>
      <c r="DM36">
        <v>295000000</v>
      </c>
      <c r="DN36">
        <v>5.4824471473693846E-3</v>
      </c>
      <c r="DO36">
        <v>33047610000</v>
      </c>
      <c r="DP36">
        <v>1335652000</v>
      </c>
      <c r="DQ36">
        <v>1143</v>
      </c>
      <c r="DR36">
        <v>0.19964575798083573</v>
      </c>
      <c r="DS36">
        <v>2.1620676471221718</v>
      </c>
      <c r="DT36" s="9">
        <v>-0.69</v>
      </c>
      <c r="DU36">
        <v>-6.6666666666666707E-2</v>
      </c>
      <c r="DV36">
        <v>-0.7566666666666666</v>
      </c>
      <c r="DW36">
        <v>1.0423</v>
      </c>
      <c r="DX36">
        <v>0.4098468392856387</v>
      </c>
      <c r="DY36">
        <v>1.0059155213017825</v>
      </c>
      <c r="DZ36">
        <v>3281</v>
      </c>
      <c r="EA36">
        <v>1.0021173167242583</v>
      </c>
      <c r="EB36">
        <v>1</v>
      </c>
      <c r="EC36">
        <v>1.2024399893666557E-2</v>
      </c>
      <c r="ED36">
        <v>8.5982636111685731E-2</v>
      </c>
      <c r="EE36" s="10">
        <v>3.0779100000000001</v>
      </c>
      <c r="EF36">
        <v>3.0712099999999998</v>
      </c>
      <c r="EG36">
        <v>27.139846839285639</v>
      </c>
      <c r="EH36" t="s">
        <v>3468</v>
      </c>
      <c r="EI36">
        <v>0</v>
      </c>
      <c r="EJ36">
        <v>0</v>
      </c>
      <c r="EK36" s="11">
        <v>45470</v>
      </c>
      <c r="EL36" s="12">
        <v>2.37</v>
      </c>
      <c r="EM36" s="12">
        <v>-1.75</v>
      </c>
      <c r="EN36" s="12">
        <v>-4.57</v>
      </c>
      <c r="EO36" s="12">
        <v>-1.3</v>
      </c>
      <c r="EP36" s="12">
        <v>0.67</v>
      </c>
    </row>
    <row r="37" spans="1:146" ht="108" x14ac:dyDescent="0.25">
      <c r="A37" s="6"/>
      <c r="B37" s="6"/>
      <c r="C37" s="6" t="str">
        <f>""&amp;CHAR(10)&amp;Basic_Fundamental_Information_Constructure(F37)&amp;CHAR(10)&amp;Basic_Fundamental_Information_Concatenate("")</f>
        <v xml:space="preserve">
市值99.363782亿, 利润2.10亿; PE44.37; 平均PE39.17; 平均PEG4.9, PB1.98; ROIC5.68%; ROE5.3767%; 股利率1.0373%; 毛利42.92%; 净利8.0933%; 上一年度营收增-8.57%, 利润增-31.6%; 当季营收增-23.97%, 利润增28.38%; 过往5年营收增7.99%, 利润增26.36%
Income profile:
</v>
      </c>
      <c r="D37" t="s">
        <v>149</v>
      </c>
      <c r="E37" t="s">
        <v>70</v>
      </c>
      <c r="F37">
        <v>12.05</v>
      </c>
      <c r="G37">
        <v>3.43</v>
      </c>
      <c r="H37" t="s">
        <v>3469</v>
      </c>
      <c r="I37">
        <v>9936378200</v>
      </c>
      <c r="J37">
        <v>44.37</v>
      </c>
      <c r="K37">
        <v>1.98</v>
      </c>
      <c r="L37" t="s">
        <v>100</v>
      </c>
      <c r="M37" t="s">
        <v>2295</v>
      </c>
      <c r="N37" t="s">
        <v>3470</v>
      </c>
      <c r="O37" t="s">
        <v>1777</v>
      </c>
      <c r="P37">
        <v>-23.9</v>
      </c>
      <c r="Q37" t="s">
        <v>2296</v>
      </c>
      <c r="R37">
        <v>64327511</v>
      </c>
      <c r="S37" s="5">
        <v>0.2838</v>
      </c>
      <c r="T37" t="s">
        <v>391</v>
      </c>
      <c r="U37">
        <v>765744050</v>
      </c>
      <c r="V37">
        <v>824595710</v>
      </c>
      <c r="W37">
        <v>1.46</v>
      </c>
      <c r="X37">
        <v>0.08</v>
      </c>
      <c r="Y37">
        <v>10.19</v>
      </c>
      <c r="Z37" t="s">
        <v>1920</v>
      </c>
      <c r="AA37" t="s">
        <v>392</v>
      </c>
      <c r="AB37" t="s">
        <v>393</v>
      </c>
      <c r="AC37" t="s">
        <v>3471</v>
      </c>
      <c r="AD37" t="s">
        <v>81</v>
      </c>
      <c r="AE37">
        <v>3758493</v>
      </c>
      <c r="AF37" t="s">
        <v>2297</v>
      </c>
      <c r="AG37" t="s">
        <v>3472</v>
      </c>
      <c r="AH37" t="s">
        <v>2298</v>
      </c>
      <c r="AI37" t="s">
        <v>1958</v>
      </c>
      <c r="AJ37" t="s">
        <v>2299</v>
      </c>
      <c r="AK37" t="s">
        <v>3473</v>
      </c>
      <c r="AL37" t="s">
        <v>2300</v>
      </c>
      <c r="AM37" t="s">
        <v>81</v>
      </c>
      <c r="AN37" t="s">
        <v>275</v>
      </c>
      <c r="AO37" t="s">
        <v>1745</v>
      </c>
      <c r="AP37" t="s">
        <v>351</v>
      </c>
      <c r="AQ37" t="s">
        <v>395</v>
      </c>
      <c r="AR37" t="s">
        <v>3474</v>
      </c>
      <c r="AS37" t="s">
        <v>3475</v>
      </c>
      <c r="AT37" t="s">
        <v>398</v>
      </c>
      <c r="AU37" t="s">
        <v>1929</v>
      </c>
      <c r="AV37" t="s">
        <v>3476</v>
      </c>
      <c r="AW37" t="s">
        <v>3180</v>
      </c>
      <c r="AX37" t="s">
        <v>1664</v>
      </c>
      <c r="AY37" t="s">
        <v>1221</v>
      </c>
      <c r="AZ37" t="s">
        <v>739</v>
      </c>
      <c r="BA37" t="s">
        <v>740</v>
      </c>
      <c r="BB37" t="s">
        <v>741</v>
      </c>
      <c r="BC37" t="s">
        <v>680</v>
      </c>
      <c r="BD37" t="s">
        <v>584</v>
      </c>
      <c r="BE37" t="s">
        <v>466</v>
      </c>
      <c r="BF37" t="s">
        <v>246</v>
      </c>
      <c r="BG37" t="s">
        <v>345</v>
      </c>
      <c r="BH37" t="s">
        <v>2296</v>
      </c>
      <c r="BI37" t="s">
        <v>1886</v>
      </c>
      <c r="BJ37" t="s">
        <v>1664</v>
      </c>
      <c r="BK37" t="s">
        <v>391</v>
      </c>
      <c r="BL37" t="s">
        <v>1887</v>
      </c>
      <c r="BM37" t="s">
        <v>680</v>
      </c>
      <c r="BN37">
        <v>5.53</v>
      </c>
      <c r="BO37">
        <v>6.52</v>
      </c>
      <c r="BP37">
        <v>4.99</v>
      </c>
      <c r="BQ37">
        <v>5.91</v>
      </c>
      <c r="BR37">
        <v>6.79</v>
      </c>
      <c r="BS37">
        <v>3.43</v>
      </c>
      <c r="BT37" t="s">
        <v>2301</v>
      </c>
      <c r="BU37" t="s">
        <v>1354</v>
      </c>
      <c r="BV37">
        <v>44.87</v>
      </c>
      <c r="BW37">
        <v>42.94</v>
      </c>
      <c r="BX37">
        <v>40.950000000000003</v>
      </c>
      <c r="BY37">
        <v>7.76</v>
      </c>
      <c r="BZ37">
        <v>9.85</v>
      </c>
      <c r="CA37">
        <v>6.67</v>
      </c>
      <c r="CB37">
        <v>-1.71</v>
      </c>
      <c r="CC37">
        <v>-8.19</v>
      </c>
      <c r="CD37" t="s">
        <v>3477</v>
      </c>
      <c r="CE37" t="s">
        <v>705</v>
      </c>
      <c r="CF37" s="7">
        <v>-0.23971797884841364</v>
      </c>
      <c r="CG37" s="8">
        <v>0.28381313040597445</v>
      </c>
      <c r="CH37" s="7">
        <v>-8.5682407021522522E-2</v>
      </c>
      <c r="CI37" s="7">
        <v>-8.4100186824798584E-2</v>
      </c>
      <c r="CJ37" s="7">
        <v>0.14419418573379517</v>
      </c>
      <c r="CK37" s="7">
        <v>0.14233215153217316</v>
      </c>
      <c r="CL37" s="7">
        <v>0.28289756178855896</v>
      </c>
      <c r="CM37" s="8">
        <v>-0.31596091389656067</v>
      </c>
      <c r="CN37" s="8">
        <v>1.0197368860244751</v>
      </c>
      <c r="CO37" s="8">
        <v>-0.63636362552642822</v>
      </c>
      <c r="CP37" s="8">
        <v>1.6967742443084717</v>
      </c>
      <c r="CQ37" s="8">
        <v>-0.4464285671710968</v>
      </c>
      <c r="CR37">
        <v>39.171004730617611</v>
      </c>
      <c r="CS37">
        <v>4.9007702932771426</v>
      </c>
      <c r="CT37">
        <v>1.0373443983402488</v>
      </c>
      <c r="CU37" s="7">
        <v>7.9928261041641233E-2</v>
      </c>
      <c r="CV37" s="8">
        <v>0.26355160474777223</v>
      </c>
      <c r="CW37">
        <v>0.06</v>
      </c>
      <c r="CX37">
        <v>31.649637123103734</v>
      </c>
      <c r="CY37">
        <v>213948051.7157968</v>
      </c>
      <c r="CZ37">
        <v>7.9928261041641233E-2</v>
      </c>
      <c r="DA37">
        <v>10.431493910105194</v>
      </c>
      <c r="DB37">
        <v>649128327.96081412</v>
      </c>
      <c r="DC37">
        <v>7.5931847989559167E-2</v>
      </c>
      <c r="DD37">
        <v>5.1939254143616731</v>
      </c>
      <c r="DE37">
        <v>1303711097.058985</v>
      </c>
      <c r="DF37">
        <v>7.0336869716644282E-2</v>
      </c>
      <c r="DG37">
        <v>3.1591135290742622</v>
      </c>
      <c r="DH37">
        <v>2143442499.8281925</v>
      </c>
      <c r="DI37">
        <v>6.3942608833312986E-2</v>
      </c>
      <c r="DJ37">
        <v>1.677950985157203</v>
      </c>
      <c r="DK37">
        <v>4035504171.3960476</v>
      </c>
      <c r="DL37">
        <v>5.5949782729148856E-2</v>
      </c>
      <c r="DM37">
        <v>210000000</v>
      </c>
      <c r="DN37">
        <v>7.9928261041641233E-2</v>
      </c>
      <c r="DO37">
        <v>6771378200</v>
      </c>
      <c r="DP37">
        <v>805589400</v>
      </c>
      <c r="DQ37">
        <v>1165</v>
      </c>
      <c r="DR37">
        <v>-0.31964623989005486</v>
      </c>
      <c r="DS37">
        <v>2.0261525658202217E-2</v>
      </c>
      <c r="DT37" s="9">
        <v>-0.34</v>
      </c>
      <c r="DU37">
        <v>0.21999999999999997</v>
      </c>
      <c r="DV37">
        <v>-0.12000000000000005</v>
      </c>
      <c r="DW37">
        <v>-2.0819000000000001</v>
      </c>
      <c r="DX37">
        <v>0.3961965346534646</v>
      </c>
      <c r="DY37">
        <v>-2.0111544961881189</v>
      </c>
      <c r="DZ37">
        <v>1984</v>
      </c>
      <c r="EA37">
        <v>-2.0068236702708533</v>
      </c>
      <c r="EB37">
        <v>2</v>
      </c>
      <c r="EC37">
        <v>6.6727730126075968E-2</v>
      </c>
      <c r="ED37">
        <v>0.4899370626121739</v>
      </c>
      <c r="EE37" s="10">
        <v>-1.1008100000000001</v>
      </c>
      <c r="EF37">
        <v>-1.1323099999999999</v>
      </c>
      <c r="EG37">
        <v>26.136196534653465</v>
      </c>
      <c r="EH37" t="s">
        <v>1365</v>
      </c>
      <c r="EI37">
        <v>0</v>
      </c>
      <c r="EJ37">
        <v>0</v>
      </c>
      <c r="EK37" s="11">
        <v>45470</v>
      </c>
      <c r="EL37" s="12">
        <v>2.56</v>
      </c>
      <c r="EM37" s="12">
        <v>-1.1000000000000001</v>
      </c>
      <c r="EN37" s="12">
        <v>-2.86</v>
      </c>
      <c r="EO37" s="12">
        <v>3.76</v>
      </c>
      <c r="EP37" s="12">
        <v>-3.15</v>
      </c>
    </row>
    <row r="38" spans="1:146" ht="96" x14ac:dyDescent="0.25">
      <c r="A38" s="6"/>
      <c r="B38" s="6"/>
      <c r="C38" s="6" t="str">
        <f>""&amp;CHAR(10)&amp;Basic_Fundamental_Information_Constructure(F38)&amp;CHAR(10)&amp;Basic_Fundamental_Information_Concatenate("")</f>
        <v xml:space="preserve">
市值6.6528亿, 利润-4.52亿; PE; 平均PE-5.03; 平均PEG-.84, PB2.15; ROIC0%; ROE-25.3833%; 股利率0%; 毛利16.87%; 净利-16.2333%; 上一年度营收增-2.26%, 利润增-42.14%; 当季营收增-29.98%, 利润增-2.92%; 过往5年营收增-6%, 利润增-123.94%
Income profile:
</v>
      </c>
      <c r="D38" t="s">
        <v>1413</v>
      </c>
      <c r="E38" t="s">
        <v>1465</v>
      </c>
      <c r="F38">
        <v>1.54</v>
      </c>
      <c r="G38">
        <v>4.76</v>
      </c>
      <c r="H38" t="s">
        <v>3478</v>
      </c>
      <c r="I38">
        <v>665280000</v>
      </c>
      <c r="K38">
        <v>2.15</v>
      </c>
      <c r="L38" t="s">
        <v>100</v>
      </c>
      <c r="M38" t="s">
        <v>2302</v>
      </c>
      <c r="N38" t="s">
        <v>323</v>
      </c>
      <c r="O38" t="s">
        <v>1005</v>
      </c>
      <c r="P38">
        <v>-30.01</v>
      </c>
      <c r="Q38" t="s">
        <v>2303</v>
      </c>
      <c r="R38">
        <v>-35416918</v>
      </c>
      <c r="S38" s="5">
        <v>-2.92E-2</v>
      </c>
      <c r="T38" t="s">
        <v>2304</v>
      </c>
      <c r="U38">
        <v>431858080</v>
      </c>
      <c r="V38">
        <v>432000000</v>
      </c>
      <c r="W38">
        <v>7.31</v>
      </c>
      <c r="X38">
        <v>0.09</v>
      </c>
      <c r="Y38">
        <v>-6.71</v>
      </c>
      <c r="Z38" t="s">
        <v>1995</v>
      </c>
      <c r="AA38" t="s">
        <v>471</v>
      </c>
      <c r="AB38" t="s">
        <v>3479</v>
      </c>
      <c r="AC38" t="s">
        <v>3480</v>
      </c>
      <c r="AD38" t="s">
        <v>81</v>
      </c>
      <c r="AE38">
        <v>39829014</v>
      </c>
      <c r="AF38" t="s">
        <v>236</v>
      </c>
      <c r="AG38" t="s">
        <v>3481</v>
      </c>
      <c r="AH38" t="s">
        <v>2306</v>
      </c>
      <c r="AI38" t="s">
        <v>3482</v>
      </c>
      <c r="AJ38" t="s">
        <v>2307</v>
      </c>
      <c r="AK38" t="s">
        <v>3483</v>
      </c>
      <c r="AL38" t="s">
        <v>2308</v>
      </c>
      <c r="AM38" t="s">
        <v>81</v>
      </c>
      <c r="AN38" t="s">
        <v>777</v>
      </c>
      <c r="AO38" t="s">
        <v>1265</v>
      </c>
      <c r="AP38" t="s">
        <v>81</v>
      </c>
      <c r="AQ38" t="s">
        <v>420</v>
      </c>
      <c r="AR38" t="s">
        <v>81</v>
      </c>
      <c r="AS38" t="s">
        <v>3484</v>
      </c>
      <c r="AT38" t="s">
        <v>81</v>
      </c>
      <c r="AU38" t="s">
        <v>3485</v>
      </c>
      <c r="AV38" t="s">
        <v>3486</v>
      </c>
      <c r="AW38" t="s">
        <v>3487</v>
      </c>
      <c r="AX38" t="s">
        <v>1616</v>
      </c>
      <c r="AY38" t="s">
        <v>1414</v>
      </c>
      <c r="AZ38" t="s">
        <v>1417</v>
      </c>
      <c r="BA38" t="s">
        <v>1418</v>
      </c>
      <c r="BB38" t="s">
        <v>1419</v>
      </c>
      <c r="BC38" t="s">
        <v>1667</v>
      </c>
      <c r="BD38" t="s">
        <v>1415</v>
      </c>
      <c r="BE38" t="s">
        <v>1420</v>
      </c>
      <c r="BF38" t="s">
        <v>259</v>
      </c>
      <c r="BG38" t="s">
        <v>267</v>
      </c>
      <c r="BH38" t="s">
        <v>2303</v>
      </c>
      <c r="BI38" t="s">
        <v>1889</v>
      </c>
      <c r="BJ38" t="s">
        <v>1616</v>
      </c>
      <c r="BK38" t="s">
        <v>2304</v>
      </c>
      <c r="BL38" t="s">
        <v>1890</v>
      </c>
      <c r="BM38" t="s">
        <v>1667</v>
      </c>
      <c r="BN38" t="s">
        <v>81</v>
      </c>
      <c r="BO38" t="s">
        <v>81</v>
      </c>
      <c r="BP38" t="s">
        <v>81</v>
      </c>
      <c r="BQ38">
        <v>-17.8</v>
      </c>
      <c r="BR38">
        <v>-33.06</v>
      </c>
      <c r="BS38">
        <v>-25.29</v>
      </c>
      <c r="BT38" t="s">
        <v>1526</v>
      </c>
      <c r="BU38" t="s">
        <v>1354</v>
      </c>
      <c r="BV38">
        <v>19.05</v>
      </c>
      <c r="BW38">
        <v>15.27</v>
      </c>
      <c r="BX38">
        <v>16.29</v>
      </c>
      <c r="BY38">
        <v>-20.16</v>
      </c>
      <c r="BZ38">
        <v>-14.04</v>
      </c>
      <c r="CA38">
        <v>-14.5</v>
      </c>
      <c r="CB38">
        <v>-8.8800000000000008</v>
      </c>
      <c r="CC38">
        <v>-19.37</v>
      </c>
      <c r="CD38" t="s">
        <v>3488</v>
      </c>
      <c r="CE38" t="s">
        <v>313</v>
      </c>
      <c r="CF38" s="7">
        <v>-0.29979879275653926</v>
      </c>
      <c r="CG38" s="8">
        <v>-2.9184600989172572E-2</v>
      </c>
      <c r="CH38" s="7">
        <v>-2.2628761827945709E-2</v>
      </c>
      <c r="CI38" s="7">
        <v>-0.16552832722663879</v>
      </c>
      <c r="CJ38" s="7">
        <v>-2.3921642452478409E-2</v>
      </c>
      <c r="CK38" s="7">
        <v>-0.19811317324638367</v>
      </c>
      <c r="CL38" s="7">
        <v>0.10994766652584076</v>
      </c>
      <c r="CM38" s="8">
        <v>-0.42138364911079407</v>
      </c>
      <c r="CN38" s="8">
        <v>4.5045044273138046E-2</v>
      </c>
      <c r="CO38" s="8">
        <v>-5.5345110893249512</v>
      </c>
      <c r="CP38" s="8">
        <v>-0.41250559687614441</v>
      </c>
      <c r="CQ38" s="8">
        <v>0.12612612545490265</v>
      </c>
      <c r="CR38">
        <v>-5.0300719589819689</v>
      </c>
      <c r="CS38">
        <v>-0.8376633617809558</v>
      </c>
      <c r="CT38">
        <v>0</v>
      </c>
      <c r="CU38" s="7">
        <v>-6.0048847645521167E-2</v>
      </c>
      <c r="CV38" s="8">
        <v>-1.2394458331167697</v>
      </c>
      <c r="CW38">
        <v>0.06</v>
      </c>
      <c r="CX38" t="e">
        <v>#VALUE!</v>
      </c>
      <c r="CY38" t="s">
        <v>1361</v>
      </c>
      <c r="CZ38">
        <v>-6.0048847645521167E-2</v>
      </c>
      <c r="DA38" t="e">
        <v>#VALUE!</v>
      </c>
      <c r="DB38" t="s">
        <v>1362</v>
      </c>
      <c r="DC38">
        <v>-5.7046405263245108E-2</v>
      </c>
      <c r="DD38" t="e">
        <v>#VALUE!</v>
      </c>
      <c r="DE38" t="s">
        <v>1362</v>
      </c>
      <c r="DF38">
        <v>-5.2842985928058625E-2</v>
      </c>
      <c r="DG38" t="e">
        <v>#VALUE!</v>
      </c>
      <c r="DH38" t="s">
        <v>1362</v>
      </c>
      <c r="DI38">
        <v>-4.8039078116416938E-2</v>
      </c>
      <c r="DJ38" t="e">
        <v>#VALUE!</v>
      </c>
      <c r="DK38" t="s">
        <v>1362</v>
      </c>
      <c r="DL38">
        <v>-4.2034193351864813E-2</v>
      </c>
      <c r="DM38">
        <v>-451999999.99999994</v>
      </c>
      <c r="DN38">
        <v>-6.0048847645521167E-2</v>
      </c>
      <c r="DO38">
        <v>3437280000</v>
      </c>
      <c r="DP38">
        <v>-1477037400</v>
      </c>
      <c r="DQ38">
        <v>1224</v>
      </c>
      <c r="DR38">
        <v>-0.2397499451110181</v>
      </c>
      <c r="DS38">
        <v>1.2102612321275972</v>
      </c>
      <c r="DT38" s="9">
        <v>-0.70666666666666667</v>
      </c>
      <c r="DU38">
        <v>-2.6983333333333337</v>
      </c>
      <c r="DV38">
        <v>-3.4050000000000002</v>
      </c>
      <c r="DW38">
        <v>-9.4584408879710899</v>
      </c>
      <c r="DX38">
        <v>0.3089407999999999</v>
      </c>
      <c r="DY38">
        <v>-9.072864961486836</v>
      </c>
      <c r="DZ38">
        <v>5012</v>
      </c>
      <c r="EA38">
        <v>-9.0013974102202958</v>
      </c>
      <c r="EB38">
        <v>9</v>
      </c>
      <c r="EC38">
        <v>9.1979629629629633E-2</v>
      </c>
      <c r="ED38">
        <v>0.57870370370370372</v>
      </c>
      <c r="EE38" s="10">
        <v>-7.0209999999999999</v>
      </c>
      <c r="EF38">
        <v>-7.01431</v>
      </c>
      <c r="EG38">
        <v>15.1589408</v>
      </c>
      <c r="EH38" t="s">
        <v>3489</v>
      </c>
      <c r="EI38">
        <v>0</v>
      </c>
      <c r="EJ38">
        <v>0</v>
      </c>
      <c r="EK38" s="11">
        <v>45470</v>
      </c>
      <c r="EL38" s="12">
        <v>4.97</v>
      </c>
      <c r="EM38" s="12">
        <v>1.18</v>
      </c>
      <c r="EN38" s="12">
        <v>-5.26</v>
      </c>
      <c r="EO38" s="12">
        <v>4.9400000000000004</v>
      </c>
      <c r="EP38" s="12">
        <v>-3.53</v>
      </c>
    </row>
    <row r="39" spans="1:146" ht="108" x14ac:dyDescent="0.25">
      <c r="A39" s="6"/>
      <c r="B39" s="6"/>
      <c r="C39" s="6" t="str">
        <f>""&amp;CHAR(10)&amp;Basic_Fundamental_Information_Constructure(F39)&amp;CHAR(10)&amp;Basic_Fundamental_Information_Concatenate("")</f>
        <v xml:space="preserve">
市值91.330979亿, 利润-1.49亿; PE; 平均PE25.16; 平均PEG1.54, PB3.14; ROIC11.47%; ROE-.39%; 股利率0%; 毛利86.2933%; 净利-5.4467%; 上一年度营收增-22.96%, 利润增34.07%; 当季营收增32.15%, 利润增145.99%; 过往5年营收增-16.38%, 利润增-32.75%
Income profile:
</v>
      </c>
      <c r="D39" t="s">
        <v>179</v>
      </c>
      <c r="E39" t="s">
        <v>180</v>
      </c>
      <c r="F39">
        <v>9.84</v>
      </c>
      <c r="G39">
        <v>7.78</v>
      </c>
      <c r="H39" t="s">
        <v>3490</v>
      </c>
      <c r="I39">
        <v>9133097900</v>
      </c>
      <c r="K39">
        <v>3.14</v>
      </c>
      <c r="L39" t="s">
        <v>100</v>
      </c>
      <c r="M39" t="s">
        <v>2310</v>
      </c>
      <c r="N39" t="s">
        <v>3491</v>
      </c>
      <c r="O39" t="s">
        <v>1858</v>
      </c>
      <c r="P39">
        <v>32.47</v>
      </c>
      <c r="Q39" t="s">
        <v>2311</v>
      </c>
      <c r="R39">
        <v>31544742</v>
      </c>
      <c r="S39" s="5">
        <v>1.46</v>
      </c>
      <c r="T39" t="s">
        <v>2122</v>
      </c>
      <c r="U39">
        <v>928151580</v>
      </c>
      <c r="V39">
        <v>928160350</v>
      </c>
      <c r="W39">
        <v>1.21</v>
      </c>
      <c r="X39">
        <v>0.12</v>
      </c>
      <c r="Y39">
        <v>5.89</v>
      </c>
      <c r="Z39" t="s">
        <v>338</v>
      </c>
      <c r="AA39" t="s">
        <v>3492</v>
      </c>
      <c r="AB39" t="s">
        <v>564</v>
      </c>
      <c r="AC39" t="s">
        <v>3493</v>
      </c>
      <c r="AD39" t="s">
        <v>81</v>
      </c>
      <c r="AE39">
        <v>-4641756</v>
      </c>
      <c r="AF39" t="s">
        <v>2312</v>
      </c>
      <c r="AG39" t="s">
        <v>3494</v>
      </c>
      <c r="AH39" t="s">
        <v>2313</v>
      </c>
      <c r="AI39" t="s">
        <v>3495</v>
      </c>
      <c r="AJ39" t="s">
        <v>2314</v>
      </c>
      <c r="AK39" t="s">
        <v>81</v>
      </c>
      <c r="AL39" t="s">
        <v>2315</v>
      </c>
      <c r="AM39" t="s">
        <v>81</v>
      </c>
      <c r="AN39" t="s">
        <v>3496</v>
      </c>
      <c r="AO39" t="s">
        <v>3497</v>
      </c>
      <c r="AP39" t="s">
        <v>81</v>
      </c>
      <c r="AQ39" t="s">
        <v>3498</v>
      </c>
      <c r="AR39" t="s">
        <v>3499</v>
      </c>
      <c r="AS39" t="s">
        <v>1619</v>
      </c>
      <c r="AT39" t="s">
        <v>81</v>
      </c>
      <c r="AU39" t="s">
        <v>499</v>
      </c>
      <c r="AV39" t="s">
        <v>3500</v>
      </c>
      <c r="AW39" t="s">
        <v>3501</v>
      </c>
      <c r="AX39" t="s">
        <v>1477</v>
      </c>
      <c r="AY39" t="s">
        <v>1088</v>
      </c>
      <c r="AZ39" t="s">
        <v>742</v>
      </c>
      <c r="BA39" t="s">
        <v>744</v>
      </c>
      <c r="BB39" t="s">
        <v>745</v>
      </c>
      <c r="BC39" t="s">
        <v>1448</v>
      </c>
      <c r="BD39" t="s">
        <v>1092</v>
      </c>
      <c r="BE39" t="s">
        <v>642</v>
      </c>
      <c r="BF39" t="s">
        <v>327</v>
      </c>
      <c r="BG39" t="s">
        <v>729</v>
      </c>
      <c r="BH39" t="s">
        <v>2311</v>
      </c>
      <c r="BI39" t="s">
        <v>450</v>
      </c>
      <c r="BJ39" t="s">
        <v>1477</v>
      </c>
      <c r="BK39" t="s">
        <v>2122</v>
      </c>
      <c r="BL39" t="s">
        <v>1891</v>
      </c>
      <c r="BM39" t="s">
        <v>1448</v>
      </c>
      <c r="BN39" t="s">
        <v>81</v>
      </c>
      <c r="BO39" t="s">
        <v>81</v>
      </c>
      <c r="BP39">
        <v>11.47</v>
      </c>
      <c r="BQ39">
        <v>-6.41</v>
      </c>
      <c r="BR39">
        <v>-7.29</v>
      </c>
      <c r="BS39">
        <v>12.53</v>
      </c>
      <c r="BT39" t="s">
        <v>1526</v>
      </c>
      <c r="BU39" t="s">
        <v>1354</v>
      </c>
      <c r="BV39">
        <v>80.81</v>
      </c>
      <c r="BW39">
        <v>86.99</v>
      </c>
      <c r="BX39">
        <v>91.08</v>
      </c>
      <c r="BY39">
        <v>-14.37</v>
      </c>
      <c r="BZ39">
        <v>-14.22</v>
      </c>
      <c r="CA39">
        <v>12.25</v>
      </c>
      <c r="CB39">
        <v>1.97</v>
      </c>
      <c r="CC39">
        <v>-5.93</v>
      </c>
      <c r="CD39" t="s">
        <v>3502</v>
      </c>
      <c r="CE39" t="s">
        <v>267</v>
      </c>
      <c r="CF39" s="7">
        <v>0.32153392330383496</v>
      </c>
      <c r="CG39" s="8">
        <v>1.4598948844749764</v>
      </c>
      <c r="CH39" s="7">
        <v>-0.22957815229892731</v>
      </c>
      <c r="CI39" s="7">
        <v>-0.39716771245002747</v>
      </c>
      <c r="CJ39" s="7">
        <v>-0.17869415879249573</v>
      </c>
      <c r="CK39" s="7">
        <v>-0.16286788880825043</v>
      </c>
      <c r="CL39" s="7">
        <v>0.14928790926933289</v>
      </c>
      <c r="CM39" s="8">
        <v>0.34070795774459839</v>
      </c>
      <c r="CN39" s="8">
        <v>-1.5947368144989014</v>
      </c>
      <c r="CO39" s="8">
        <v>-0.47368422150611877</v>
      </c>
      <c r="CP39" s="8">
        <v>-7.5544171035289764E-2</v>
      </c>
      <c r="CQ39" s="8">
        <v>0.16567164659500122</v>
      </c>
      <c r="CR39">
        <v>25.160049311294767</v>
      </c>
      <c r="CS39">
        <v>1.5359850319080597</v>
      </c>
      <c r="CT39">
        <v>0</v>
      </c>
      <c r="CU39" s="7">
        <v>-0.16380400061607361</v>
      </c>
      <c r="CV39" s="8">
        <v>-0.32751712054014204</v>
      </c>
      <c r="CW39">
        <v>0.06</v>
      </c>
      <c r="CX39" t="e">
        <v>#VALUE!</v>
      </c>
      <c r="CY39" t="s">
        <v>1362</v>
      </c>
      <c r="CZ39">
        <v>-0.16380400061607361</v>
      </c>
      <c r="DA39" t="e">
        <v>#VALUE!</v>
      </c>
      <c r="DB39" t="s">
        <v>1362</v>
      </c>
      <c r="DC39">
        <v>-0.15561380058526991</v>
      </c>
      <c r="DD39" t="e">
        <v>#VALUE!</v>
      </c>
      <c r="DE39" t="s">
        <v>1362</v>
      </c>
      <c r="DF39">
        <v>-0.14414752054214477</v>
      </c>
      <c r="DG39" t="e">
        <v>#VALUE!</v>
      </c>
      <c r="DH39" t="s">
        <v>1362</v>
      </c>
      <c r="DI39">
        <v>-0.13104320049285889</v>
      </c>
      <c r="DJ39" t="e">
        <v>#VALUE!</v>
      </c>
      <c r="DK39" t="s">
        <v>1362</v>
      </c>
      <c r="DL39">
        <v>-0.11466280043125152</v>
      </c>
      <c r="DM39">
        <v>-149000000</v>
      </c>
      <c r="DN39">
        <v>-0.16380400061607361</v>
      </c>
      <c r="DO39">
        <v>6610097900</v>
      </c>
      <c r="DP39">
        <v>1754310200</v>
      </c>
      <c r="DQ39">
        <v>1234</v>
      </c>
      <c r="DR39">
        <v>0.4853379239199086</v>
      </c>
      <c r="DS39">
        <v>1.7874120050151183</v>
      </c>
      <c r="DT39" s="9">
        <v>-1.0066666666666666</v>
      </c>
      <c r="DU39">
        <v>-0.40000000000000008</v>
      </c>
      <c r="DV39">
        <v>-1.4066666666666667</v>
      </c>
      <c r="DW39">
        <v>-1.0592999999999999</v>
      </c>
      <c r="DX39">
        <v>0.58761171171171123</v>
      </c>
      <c r="DY39">
        <v>-1.0087533745045045</v>
      </c>
      <c r="DZ39">
        <v>3953</v>
      </c>
      <c r="EA39">
        <v>-1.0019819284347773</v>
      </c>
      <c r="EB39">
        <v>1</v>
      </c>
      <c r="EC39">
        <v>1.7653091946881808E-2</v>
      </c>
      <c r="ED39">
        <v>0.11959140465330158</v>
      </c>
      <c r="EE39" s="10">
        <v>2.0118999999999998</v>
      </c>
      <c r="EF39">
        <v>2.0093100000000002</v>
      </c>
      <c r="EG39">
        <v>44.147611711711711</v>
      </c>
      <c r="EH39" t="s">
        <v>3503</v>
      </c>
      <c r="EI39">
        <v>0</v>
      </c>
      <c r="EJ39">
        <v>0</v>
      </c>
      <c r="EK39" s="11">
        <v>45470</v>
      </c>
      <c r="EL39" s="12">
        <v>-1.67</v>
      </c>
      <c r="EM39" s="12">
        <v>-4.21</v>
      </c>
      <c r="EN39" s="12">
        <v>0.42</v>
      </c>
      <c r="EO39" s="12">
        <v>3.33</v>
      </c>
      <c r="EP39" s="12">
        <v>-2.12</v>
      </c>
    </row>
    <row r="40" spans="1:146" ht="108" x14ac:dyDescent="0.25">
      <c r="A40" s="6"/>
      <c r="B40" s="6"/>
      <c r="C40" s="6" t="str">
        <f>""&amp;CHAR(10)&amp;Basic_Fundamental_Information_Constructure(F40)&amp;CHAR(10)&amp;Basic_Fundamental_Information_Concatenate("")</f>
        <v xml:space="preserve">
市值201.82234亿, 利润10.45亿; PE17.72; 平均PE34.54; 平均PEG5.23, PB2.47; ROIC9.82%; ROE10.7733%; 股利率1.7312%; 毛利89.21%; 净利21.0967%; 上一年度营收增16.76%, 利润增16.5%; 当季营收增23.5%, 利润增33.88%; 过往5年营收增6.6%, 利润增50.24%
Income profile:
</v>
      </c>
      <c r="D40" t="s">
        <v>135</v>
      </c>
      <c r="E40" t="s">
        <v>71</v>
      </c>
      <c r="F40">
        <v>21.95</v>
      </c>
      <c r="G40">
        <v>4.18</v>
      </c>
      <c r="H40" t="s">
        <v>3504</v>
      </c>
      <c r="I40">
        <v>20182234000</v>
      </c>
      <c r="J40">
        <v>17.72</v>
      </c>
      <c r="K40">
        <v>2.4700000000000002</v>
      </c>
      <c r="L40" t="s">
        <v>100</v>
      </c>
      <c r="M40" t="s">
        <v>753</v>
      </c>
      <c r="N40" t="s">
        <v>3505</v>
      </c>
      <c r="O40" t="s">
        <v>2269</v>
      </c>
      <c r="P40">
        <v>23.5</v>
      </c>
      <c r="Q40" t="s">
        <v>2316</v>
      </c>
      <c r="R40">
        <v>373521470</v>
      </c>
      <c r="S40" s="5">
        <v>0.3372</v>
      </c>
      <c r="T40" t="s">
        <v>1109</v>
      </c>
      <c r="U40">
        <v>685011530</v>
      </c>
      <c r="V40">
        <v>919463950</v>
      </c>
      <c r="W40">
        <v>1.08</v>
      </c>
      <c r="X40">
        <v>0.13</v>
      </c>
      <c r="Y40">
        <v>33.99</v>
      </c>
      <c r="Z40" t="s">
        <v>451</v>
      </c>
      <c r="AA40" t="s">
        <v>291</v>
      </c>
      <c r="AB40" t="s">
        <v>3506</v>
      </c>
      <c r="AC40" t="s">
        <v>3507</v>
      </c>
      <c r="AD40" t="s">
        <v>81</v>
      </c>
      <c r="AE40">
        <v>-16298988</v>
      </c>
      <c r="AF40" t="s">
        <v>2317</v>
      </c>
      <c r="AG40" t="s">
        <v>3508</v>
      </c>
      <c r="AH40" t="s">
        <v>2318</v>
      </c>
      <c r="AI40" t="s">
        <v>3509</v>
      </c>
      <c r="AJ40" t="s">
        <v>2319</v>
      </c>
      <c r="AK40" t="s">
        <v>81</v>
      </c>
      <c r="AL40" t="s">
        <v>2320</v>
      </c>
      <c r="AM40" t="s">
        <v>81</v>
      </c>
      <c r="AN40" t="s">
        <v>396</v>
      </c>
      <c r="AO40" t="s">
        <v>81</v>
      </c>
      <c r="AP40" t="s">
        <v>81</v>
      </c>
      <c r="AQ40" t="s">
        <v>1812</v>
      </c>
      <c r="AR40" t="s">
        <v>3510</v>
      </c>
      <c r="AS40" t="s">
        <v>1852</v>
      </c>
      <c r="AT40" t="s">
        <v>81</v>
      </c>
      <c r="AU40" t="s">
        <v>525</v>
      </c>
      <c r="AV40" t="s">
        <v>3511</v>
      </c>
      <c r="AW40" t="s">
        <v>3512</v>
      </c>
      <c r="AX40" t="s">
        <v>1668</v>
      </c>
      <c r="AY40" t="s">
        <v>1222</v>
      </c>
      <c r="AZ40" t="s">
        <v>748</v>
      </c>
      <c r="BA40" t="s">
        <v>329</v>
      </c>
      <c r="BB40" t="s">
        <v>751</v>
      </c>
      <c r="BC40" t="s">
        <v>1488</v>
      </c>
      <c r="BD40" t="s">
        <v>1223</v>
      </c>
      <c r="BE40" t="s">
        <v>749</v>
      </c>
      <c r="BF40" t="s">
        <v>753</v>
      </c>
      <c r="BG40" t="s">
        <v>502</v>
      </c>
      <c r="BH40" t="s">
        <v>2316</v>
      </c>
      <c r="BI40" t="s">
        <v>1460</v>
      </c>
      <c r="BJ40" t="s">
        <v>1668</v>
      </c>
      <c r="BK40" t="s">
        <v>1109</v>
      </c>
      <c r="BL40" t="s">
        <v>375</v>
      </c>
      <c r="BM40" t="s">
        <v>1488</v>
      </c>
      <c r="BN40">
        <v>10.7</v>
      </c>
      <c r="BO40">
        <v>12.49</v>
      </c>
      <c r="BP40">
        <v>6.27</v>
      </c>
      <c r="BQ40">
        <v>11.38</v>
      </c>
      <c r="BR40">
        <v>13.82</v>
      </c>
      <c r="BS40">
        <v>7.12</v>
      </c>
      <c r="BT40" t="s">
        <v>2321</v>
      </c>
      <c r="BU40" t="s">
        <v>1354</v>
      </c>
      <c r="BV40">
        <v>88.92</v>
      </c>
      <c r="BW40">
        <v>88.55</v>
      </c>
      <c r="BX40">
        <v>90.16</v>
      </c>
      <c r="BY40">
        <v>26.06</v>
      </c>
      <c r="BZ40">
        <v>25.55</v>
      </c>
      <c r="CA40">
        <v>11.68</v>
      </c>
      <c r="CB40">
        <v>1.39</v>
      </c>
      <c r="CC40">
        <v>-0.68</v>
      </c>
      <c r="CD40" t="s">
        <v>3513</v>
      </c>
      <c r="CE40" t="s">
        <v>305</v>
      </c>
      <c r="CF40" s="7">
        <v>0.23502824858757063</v>
      </c>
      <c r="CG40" s="8">
        <v>0.33878663082437277</v>
      </c>
      <c r="CH40" s="7">
        <v>0.16760106384754181</v>
      </c>
      <c r="CI40" s="7">
        <v>-5.991678312420845E-2</v>
      </c>
      <c r="CJ40" s="7">
        <v>9.4081901013851166E-2</v>
      </c>
      <c r="CK40" s="7">
        <v>1.1667218059301376E-2</v>
      </c>
      <c r="CL40" s="7">
        <v>0.11655811220407486</v>
      </c>
      <c r="CM40" s="8">
        <v>0.16499441862106323</v>
      </c>
      <c r="CN40" s="8">
        <v>1.1306413412094116</v>
      </c>
      <c r="CO40" s="8">
        <v>2.5592591762542725</v>
      </c>
      <c r="CP40" s="8">
        <v>-1.3760445117950439</v>
      </c>
      <c r="CQ40" s="8">
        <v>3.309352695941925E-2</v>
      </c>
      <c r="CR40">
        <v>34.538905875641753</v>
      </c>
      <c r="CS40">
        <v>5.2333021637815742</v>
      </c>
      <c r="CT40">
        <v>1.7312072892938497</v>
      </c>
      <c r="CU40" s="7">
        <v>6.5998302400112147E-2</v>
      </c>
      <c r="CV40" s="8">
        <v>0.50238879024982452</v>
      </c>
      <c r="CW40">
        <v>0.06</v>
      </c>
      <c r="CX40">
        <v>12.101124363579268</v>
      </c>
      <c r="CY40">
        <v>1050913420.7623744</v>
      </c>
      <c r="CZ40">
        <v>6.5998302400112147E-2</v>
      </c>
      <c r="DA40">
        <v>4.0359508532486723</v>
      </c>
      <c r="DB40">
        <v>3150988320.3269114</v>
      </c>
      <c r="DC40">
        <v>6.269838728010653E-2</v>
      </c>
      <c r="DD40">
        <v>2.0411782991988159</v>
      </c>
      <c r="DE40">
        <v>6230339605.8010464</v>
      </c>
      <c r="DF40">
        <v>5.8078506112098686E-2</v>
      </c>
      <c r="DG40">
        <v>1.2632117189447869</v>
      </c>
      <c r="DH40">
        <v>10067381270.515154</v>
      </c>
      <c r="DI40">
        <v>5.279864192008972E-2</v>
      </c>
      <c r="DJ40">
        <v>0.69625647827411974</v>
      </c>
      <c r="DK40">
        <v>18265157160.940857</v>
      </c>
      <c r="DL40">
        <v>4.61988116800785E-2</v>
      </c>
      <c r="DM40">
        <v>1044999999.9999999</v>
      </c>
      <c r="DN40">
        <v>6.5998302400112147E-2</v>
      </c>
      <c r="DO40">
        <v>12717234000</v>
      </c>
      <c r="DP40">
        <v>5102165900</v>
      </c>
      <c r="DQ40">
        <v>1250</v>
      </c>
      <c r="DR40">
        <v>0.16902994618745848</v>
      </c>
      <c r="DS40">
        <v>-0.16360215942545175</v>
      </c>
      <c r="DT40" s="9">
        <v>-0.27333333333333337</v>
      </c>
      <c r="DU40">
        <v>0.48333333333333339</v>
      </c>
      <c r="DV40">
        <v>0.21000000000000002</v>
      </c>
      <c r="DW40">
        <v>-6.8000000000000005E-3</v>
      </c>
      <c r="DX40">
        <v>0.5016122950819667</v>
      </c>
      <c r="DY40">
        <v>-8.2696360655737714E-4</v>
      </c>
      <c r="DZ40">
        <v>1241</v>
      </c>
      <c r="EA40">
        <v>-6.2612958782201405E-4</v>
      </c>
      <c r="EB40">
        <v>0</v>
      </c>
      <c r="EC40">
        <v>3.2272499645037742E-2</v>
      </c>
      <c r="ED40">
        <v>0.26537201376954472</v>
      </c>
      <c r="EE40" s="10">
        <v>-3.0968</v>
      </c>
      <c r="EF40">
        <v>-3.07</v>
      </c>
      <c r="EG40">
        <v>38.121612295081967</v>
      </c>
      <c r="EH40" t="s">
        <v>2069</v>
      </c>
      <c r="EI40">
        <v>0</v>
      </c>
      <c r="EJ40">
        <v>1</v>
      </c>
      <c r="EK40" s="11">
        <v>45470</v>
      </c>
      <c r="EL40" s="12">
        <v>2.48</v>
      </c>
      <c r="EM40" s="12">
        <v>-2.15</v>
      </c>
      <c r="EN40" s="12">
        <v>-1.28</v>
      </c>
      <c r="EO40" s="12">
        <v>3.62</v>
      </c>
      <c r="EP40" s="12">
        <v>-2.68</v>
      </c>
    </row>
    <row r="41" spans="1:146" ht="108" x14ac:dyDescent="0.25">
      <c r="A41" s="6"/>
      <c r="B41" s="6"/>
      <c r="C41" s="6" t="str">
        <f>""&amp;CHAR(10)&amp;Basic_Fundamental_Information_Constructure(F41)&amp;CHAR(10)&amp;Basic_Fundamental_Information_Concatenate("")</f>
        <v xml:space="preserve">
市值42.959745亿, 利润-6.61亿; PE; 平均PE-1982.76; 平均PEG-141.73, PB1.84; ROIC7.58%; ROE-10.1%; 股利率0%; 毛利41.07%; 净利-20.3633%; 上一年度营收增-34.11%, 利润增46.04%; 当季营收增4.08%, 利润增59.37%; 过往5年营收增-13.99%, 利润增-70.95%
Income profile:
</v>
      </c>
      <c r="D41" t="s">
        <v>104</v>
      </c>
      <c r="E41" t="s">
        <v>208</v>
      </c>
      <c r="F41">
        <v>3.95</v>
      </c>
      <c r="G41">
        <v>10.029999999999999</v>
      </c>
      <c r="H41" t="s">
        <v>3514</v>
      </c>
      <c r="I41">
        <v>4295974500</v>
      </c>
      <c r="K41">
        <v>1.84</v>
      </c>
      <c r="L41" t="s">
        <v>100</v>
      </c>
      <c r="M41" t="s">
        <v>1256</v>
      </c>
      <c r="N41" t="s">
        <v>2486</v>
      </c>
      <c r="O41" t="s">
        <v>544</v>
      </c>
      <c r="P41">
        <v>3.97</v>
      </c>
      <c r="Q41" t="s">
        <v>1101</v>
      </c>
      <c r="R41">
        <v>-36661627</v>
      </c>
      <c r="S41" s="5">
        <v>0.59370000000000001</v>
      </c>
      <c r="T41" t="s">
        <v>2322</v>
      </c>
      <c r="U41">
        <v>1085939090</v>
      </c>
      <c r="V41">
        <v>1087588490</v>
      </c>
      <c r="W41">
        <v>2.11</v>
      </c>
      <c r="X41">
        <v>0.13</v>
      </c>
      <c r="Y41">
        <v>-7.21</v>
      </c>
      <c r="Z41" t="s">
        <v>2116</v>
      </c>
      <c r="AA41" t="s">
        <v>315</v>
      </c>
      <c r="AB41" t="s">
        <v>264</v>
      </c>
      <c r="AC41" t="s">
        <v>3515</v>
      </c>
      <c r="AD41" t="s">
        <v>81</v>
      </c>
      <c r="AE41">
        <v>13595527</v>
      </c>
      <c r="AF41" t="s">
        <v>2324</v>
      </c>
      <c r="AG41" t="s">
        <v>3516</v>
      </c>
      <c r="AH41" t="s">
        <v>2325</v>
      </c>
      <c r="AI41" t="s">
        <v>3517</v>
      </c>
      <c r="AJ41" t="s">
        <v>2326</v>
      </c>
      <c r="AK41" t="s">
        <v>81</v>
      </c>
      <c r="AL41" t="s">
        <v>2327</v>
      </c>
      <c r="AM41" t="s">
        <v>81</v>
      </c>
      <c r="AN41" t="s">
        <v>3518</v>
      </c>
      <c r="AO41" t="s">
        <v>1095</v>
      </c>
      <c r="AP41" t="s">
        <v>81</v>
      </c>
      <c r="AQ41" t="s">
        <v>3519</v>
      </c>
      <c r="AR41" t="s">
        <v>81</v>
      </c>
      <c r="AS41" t="s">
        <v>3520</v>
      </c>
      <c r="AT41" t="s">
        <v>716</v>
      </c>
      <c r="AU41" t="s">
        <v>3521</v>
      </c>
      <c r="AV41" t="s">
        <v>3522</v>
      </c>
      <c r="AW41" t="s">
        <v>3523</v>
      </c>
      <c r="AX41" t="s">
        <v>1670</v>
      </c>
      <c r="AY41" t="s">
        <v>1224</v>
      </c>
      <c r="AZ41" t="s">
        <v>755</v>
      </c>
      <c r="BA41" t="s">
        <v>757</v>
      </c>
      <c r="BB41" t="s">
        <v>758</v>
      </c>
      <c r="BC41" t="s">
        <v>2328</v>
      </c>
      <c r="BD41" t="s">
        <v>525</v>
      </c>
      <c r="BE41" t="s">
        <v>1001</v>
      </c>
      <c r="BF41" t="s">
        <v>331</v>
      </c>
      <c r="BG41" t="s">
        <v>759</v>
      </c>
      <c r="BH41" t="s">
        <v>1101</v>
      </c>
      <c r="BI41" t="s">
        <v>82</v>
      </c>
      <c r="BJ41" t="s">
        <v>1670</v>
      </c>
      <c r="BK41" t="s">
        <v>2322</v>
      </c>
      <c r="BL41" t="s">
        <v>1893</v>
      </c>
      <c r="BM41" t="s">
        <v>2328</v>
      </c>
      <c r="BN41" t="s">
        <v>81</v>
      </c>
      <c r="BO41" t="s">
        <v>81</v>
      </c>
      <c r="BP41">
        <v>7.58</v>
      </c>
      <c r="BQ41">
        <v>-7.49</v>
      </c>
      <c r="BR41">
        <v>-32.44</v>
      </c>
      <c r="BS41">
        <v>9.6300000000000008</v>
      </c>
      <c r="BT41" t="s">
        <v>1526</v>
      </c>
      <c r="BU41" t="s">
        <v>1354</v>
      </c>
      <c r="BV41">
        <v>46.28</v>
      </c>
      <c r="BW41">
        <v>26.74</v>
      </c>
      <c r="BX41">
        <v>50.19</v>
      </c>
      <c r="BY41">
        <v>-32.53</v>
      </c>
      <c r="BZ41">
        <v>-35.07</v>
      </c>
      <c r="CA41">
        <v>6.51</v>
      </c>
      <c r="CB41">
        <v>10.34</v>
      </c>
      <c r="CC41">
        <v>-17.190000000000001</v>
      </c>
      <c r="CD41" t="s">
        <v>3524</v>
      </c>
      <c r="CE41" t="s">
        <v>1629</v>
      </c>
      <c r="CF41" s="7">
        <v>4.0785498489425982E-2</v>
      </c>
      <c r="CG41" s="8">
        <v>0.59370990889354591</v>
      </c>
      <c r="CH41" s="7">
        <v>-0.3411371111869812</v>
      </c>
      <c r="CI41" s="7">
        <v>-0.44612535834312439</v>
      </c>
      <c r="CJ41" s="7">
        <v>6.2664061784744263E-2</v>
      </c>
      <c r="CK41" s="7">
        <v>-0.19673213362693787</v>
      </c>
      <c r="CL41" s="7">
        <v>0.22186450660228729</v>
      </c>
      <c r="CM41" s="8">
        <v>0.46040812134742737</v>
      </c>
      <c r="CN41" s="8">
        <v>-4.0172410011291504</v>
      </c>
      <c r="CO41" s="8">
        <v>0.26479750871658325</v>
      </c>
      <c r="CP41" s="8">
        <v>-0.4936908483505249</v>
      </c>
      <c r="CQ41" s="8">
        <v>0.23828125</v>
      </c>
      <c r="CR41">
        <v>-1982.7574615384617</v>
      </c>
      <c r="CS41">
        <v>-141.73364845302339</v>
      </c>
      <c r="CT41">
        <v>0</v>
      </c>
      <c r="CU41" s="7">
        <v>-0.13989320695400237</v>
      </c>
      <c r="CV41" s="8">
        <v>-0.70948899388313291</v>
      </c>
      <c r="CW41">
        <v>0.06</v>
      </c>
      <c r="CX41" t="e">
        <v>#VALUE!</v>
      </c>
      <c r="CY41" t="s">
        <v>1361</v>
      </c>
      <c r="CZ41">
        <v>-0.13989320695400237</v>
      </c>
      <c r="DA41" t="e">
        <v>#VALUE!</v>
      </c>
      <c r="DB41" t="s">
        <v>1362</v>
      </c>
      <c r="DC41">
        <v>-0.13289854660630224</v>
      </c>
      <c r="DD41" t="e">
        <v>#VALUE!</v>
      </c>
      <c r="DE41" t="s">
        <v>1362</v>
      </c>
      <c r="DF41">
        <v>-0.12310602211952208</v>
      </c>
      <c r="DG41" t="e">
        <v>#VALUE!</v>
      </c>
      <c r="DH41" t="s">
        <v>1362</v>
      </c>
      <c r="DI41">
        <v>-0.1119145655632019</v>
      </c>
      <c r="DJ41" t="e">
        <v>#VALUE!</v>
      </c>
      <c r="DK41" t="s">
        <v>1362</v>
      </c>
      <c r="DL41">
        <v>-9.7925244867801658E-2</v>
      </c>
      <c r="DM41">
        <v>-661000000</v>
      </c>
      <c r="DN41">
        <v>-0.13989320695400237</v>
      </c>
      <c r="DO41">
        <v>4416974500</v>
      </c>
      <c r="DP41">
        <v>-136104900</v>
      </c>
      <c r="DQ41">
        <v>1267</v>
      </c>
      <c r="DR41">
        <v>0.18067870544342834</v>
      </c>
      <c r="DS41">
        <v>1.3031989027766788</v>
      </c>
      <c r="DT41" s="9">
        <v>-0.77333333333333332</v>
      </c>
      <c r="DU41">
        <v>-0.86833333333333329</v>
      </c>
      <c r="DV41">
        <v>-1.6416666666666666</v>
      </c>
      <c r="DW41">
        <v>7.3755902651652745</v>
      </c>
      <c r="DX41">
        <v>1.0090671053984503</v>
      </c>
      <c r="DY41">
        <v>7.0710117642506374</v>
      </c>
      <c r="DZ41">
        <v>4126</v>
      </c>
      <c r="EA41">
        <v>7.0136742810220403</v>
      </c>
      <c r="EB41">
        <v>7</v>
      </c>
      <c r="EC41">
        <v>6.7624014667532942E-2</v>
      </c>
      <c r="ED41">
        <v>0.35767204560982435</v>
      </c>
      <c r="EE41" s="10">
        <v>-3.0857100000000002</v>
      </c>
      <c r="EF41">
        <v>-3.0630099999999998</v>
      </c>
      <c r="EG41">
        <v>82.189067105398451</v>
      </c>
      <c r="EH41" t="s">
        <v>1991</v>
      </c>
      <c r="EI41">
        <v>1</v>
      </c>
      <c r="EJ41">
        <v>0</v>
      </c>
      <c r="EK41" s="11">
        <v>45470</v>
      </c>
      <c r="EL41" s="12">
        <v>0</v>
      </c>
      <c r="EM41" s="12">
        <v>-4.1900000000000004</v>
      </c>
      <c r="EN41" s="12">
        <v>-2.19</v>
      </c>
      <c r="EO41" s="12">
        <v>-1.68</v>
      </c>
      <c r="EP41" s="12">
        <v>2.27</v>
      </c>
    </row>
    <row r="42" spans="1:146" ht="108" x14ac:dyDescent="0.25">
      <c r="A42" s="6"/>
      <c r="B42" s="6"/>
      <c r="C42" s="6" t="str">
        <f>""&amp;CHAR(10)&amp;Basic_Fundamental_Information_Constructure(F42)&amp;CHAR(10)&amp;Basic_Fundamental_Information_Concatenate("")</f>
        <v xml:space="preserve">
市值15.216084亿, 利润1538.65万; PE43.57; 平均PE44.39; 平均PEG5.78, PB2.03; ROIC4.9267%; ROE5.0867%; 股利率.3759%; 毛利43.67%; 净利4.5767%; 上一年度营收增-22.17%, 利润增-65.14%; 当季营收增-6.43%, 利润增233.58%; 过往5年营收增7.68%, 利润增.01%
Income profile:
</v>
      </c>
      <c r="D42" t="s">
        <v>1089</v>
      </c>
      <c r="E42" t="s">
        <v>1090</v>
      </c>
      <c r="F42">
        <v>7.98</v>
      </c>
      <c r="G42">
        <v>4.3099999999999996</v>
      </c>
      <c r="H42" t="s">
        <v>3525</v>
      </c>
      <c r="I42">
        <v>1521608400</v>
      </c>
      <c r="J42">
        <v>43.57</v>
      </c>
      <c r="K42">
        <v>2.0299999999999998</v>
      </c>
      <c r="L42" t="s">
        <v>100</v>
      </c>
      <c r="M42" t="s">
        <v>746</v>
      </c>
      <c r="N42" t="s">
        <v>3526</v>
      </c>
      <c r="O42" t="s">
        <v>613</v>
      </c>
      <c r="P42">
        <v>-6.42</v>
      </c>
      <c r="Q42" t="s">
        <v>883</v>
      </c>
      <c r="R42">
        <v>27899080</v>
      </c>
      <c r="S42" s="5">
        <v>2.3359999999999999</v>
      </c>
      <c r="T42" t="s">
        <v>2329</v>
      </c>
      <c r="U42">
        <v>176031680</v>
      </c>
      <c r="V42">
        <v>190677750</v>
      </c>
      <c r="W42">
        <v>1.24</v>
      </c>
      <c r="X42">
        <v>0.17</v>
      </c>
      <c r="Y42">
        <v>17.489999999999998</v>
      </c>
      <c r="Z42" t="s">
        <v>402</v>
      </c>
      <c r="AA42" t="s">
        <v>3527</v>
      </c>
      <c r="AB42" t="s">
        <v>3528</v>
      </c>
      <c r="AC42" t="s">
        <v>3529</v>
      </c>
      <c r="AD42" t="s">
        <v>81</v>
      </c>
      <c r="AE42">
        <v>-559101</v>
      </c>
      <c r="AF42" t="s">
        <v>2331</v>
      </c>
      <c r="AG42" t="s">
        <v>3530</v>
      </c>
      <c r="AH42" t="s">
        <v>2332</v>
      </c>
      <c r="AI42" t="s">
        <v>1987</v>
      </c>
      <c r="AJ42" t="s">
        <v>2333</v>
      </c>
      <c r="AK42" t="s">
        <v>3531</v>
      </c>
      <c r="AL42" t="s">
        <v>2334</v>
      </c>
      <c r="AM42" t="s">
        <v>81</v>
      </c>
      <c r="AN42" t="s">
        <v>3532</v>
      </c>
      <c r="AO42" t="s">
        <v>3533</v>
      </c>
      <c r="AP42" t="s">
        <v>81</v>
      </c>
      <c r="AQ42" t="s">
        <v>349</v>
      </c>
      <c r="AR42" t="s">
        <v>81</v>
      </c>
      <c r="AS42" t="s">
        <v>746</v>
      </c>
      <c r="AT42" t="s">
        <v>81</v>
      </c>
      <c r="AU42" t="s">
        <v>3534</v>
      </c>
      <c r="AV42" t="s">
        <v>1867</v>
      </c>
      <c r="AW42" t="s">
        <v>3535</v>
      </c>
      <c r="AX42" t="s">
        <v>877</v>
      </c>
      <c r="AY42" t="s">
        <v>1225</v>
      </c>
      <c r="AZ42" t="s">
        <v>884</v>
      </c>
      <c r="BA42" t="s">
        <v>563</v>
      </c>
      <c r="BB42" t="s">
        <v>1069</v>
      </c>
      <c r="BC42" t="s">
        <v>1671</v>
      </c>
      <c r="BD42" t="s">
        <v>1226</v>
      </c>
      <c r="BE42" t="s">
        <v>1091</v>
      </c>
      <c r="BF42" t="s">
        <v>1093</v>
      </c>
      <c r="BG42" t="s">
        <v>1094</v>
      </c>
      <c r="BH42" t="s">
        <v>883</v>
      </c>
      <c r="BI42" t="s">
        <v>350</v>
      </c>
      <c r="BJ42" t="s">
        <v>877</v>
      </c>
      <c r="BK42" t="s">
        <v>2329</v>
      </c>
      <c r="BL42" t="s">
        <v>1894</v>
      </c>
      <c r="BM42" t="s">
        <v>1671</v>
      </c>
      <c r="BN42">
        <v>3.02</v>
      </c>
      <c r="BO42">
        <v>5.89</v>
      </c>
      <c r="BP42">
        <v>5.87</v>
      </c>
      <c r="BQ42">
        <v>3.16</v>
      </c>
      <c r="BR42">
        <v>6.04</v>
      </c>
      <c r="BS42">
        <v>6.06</v>
      </c>
      <c r="BT42" t="s">
        <v>1536</v>
      </c>
      <c r="BU42" t="s">
        <v>1354</v>
      </c>
      <c r="BV42">
        <v>51.19</v>
      </c>
      <c r="BW42">
        <v>43.91</v>
      </c>
      <c r="BX42">
        <v>35.909999999999997</v>
      </c>
      <c r="BY42">
        <v>2.36</v>
      </c>
      <c r="BZ42">
        <v>5.38</v>
      </c>
      <c r="CA42">
        <v>5.99</v>
      </c>
      <c r="CB42">
        <v>0.63</v>
      </c>
      <c r="CC42">
        <v>-10.64</v>
      </c>
      <c r="CD42" t="s">
        <v>3536</v>
      </c>
      <c r="CE42" t="s">
        <v>267</v>
      </c>
      <c r="CF42" s="7">
        <v>-6.4327485380116955E-2</v>
      </c>
      <c r="CG42" s="8">
        <v>2.3358139534883722</v>
      </c>
      <c r="CH42" s="7">
        <v>-0.22170361876487732</v>
      </c>
      <c r="CI42" s="7">
        <v>0.18206895887851715</v>
      </c>
      <c r="CJ42" s="7">
        <v>0.20232172310352325</v>
      </c>
      <c r="CK42" s="7">
        <v>9.0415909886360168E-2</v>
      </c>
      <c r="CL42" s="7">
        <v>0.13087934255599976</v>
      </c>
      <c r="CM42" s="8">
        <v>-0.65137964487075806</v>
      </c>
      <c r="CN42" s="8">
        <v>3.9054535329341888E-2</v>
      </c>
      <c r="CO42" s="8">
        <v>3.3712815493345261E-2</v>
      </c>
      <c r="CP42" s="8">
        <v>0.10078491270542145</v>
      </c>
      <c r="CQ42" s="8">
        <v>0.47808355093002319</v>
      </c>
      <c r="CR42">
        <v>44.389024162556588</v>
      </c>
      <c r="CS42">
        <v>5.7800870446747759</v>
      </c>
      <c r="CT42">
        <v>0.37593984962406013</v>
      </c>
      <c r="CU42" s="7">
        <v>7.6796463131904608E-2</v>
      </c>
      <c r="CV42" s="8">
        <v>5.1233917474746704E-5</v>
      </c>
      <c r="CW42">
        <v>0.06</v>
      </c>
      <c r="CX42">
        <v>60.498377174085888</v>
      </c>
      <c r="CY42">
        <v>15630310.169791557</v>
      </c>
      <c r="CZ42">
        <v>7.6796463131904608E-2</v>
      </c>
      <c r="DA42">
        <v>19.992920790153271</v>
      </c>
      <c r="DB42">
        <v>47297161.326509245</v>
      </c>
      <c r="DC42">
        <v>7.2956639975309379E-2</v>
      </c>
      <c r="DD42">
        <v>9.9897778119013889</v>
      </c>
      <c r="DE42">
        <v>94657600.780013651</v>
      </c>
      <c r="DF42">
        <v>6.7580887556076052E-2</v>
      </c>
      <c r="DG42">
        <v>6.1000282153080736</v>
      </c>
      <c r="DH42">
        <v>155017053.46657047</v>
      </c>
      <c r="DI42">
        <v>6.1437170505523692E-2</v>
      </c>
      <c r="DJ42">
        <v>3.2675630609893633</v>
      </c>
      <c r="DK42">
        <v>289392548.0090614</v>
      </c>
      <c r="DL42">
        <v>5.375752419233322E-2</v>
      </c>
      <c r="DM42">
        <v>15386500</v>
      </c>
      <c r="DN42">
        <v>7.6796463131904608E-2</v>
      </c>
      <c r="DO42">
        <v>945608400</v>
      </c>
      <c r="DP42">
        <v>327681820</v>
      </c>
      <c r="DQ42">
        <v>1297</v>
      </c>
      <c r="DR42">
        <v>-0.14112394851202156</v>
      </c>
      <c r="DS42">
        <v>2.3357627195708974</v>
      </c>
      <c r="DT42" s="9">
        <v>-0.32333333333333331</v>
      </c>
      <c r="DU42">
        <v>0.20666666666666669</v>
      </c>
      <c r="DV42">
        <v>-0.11666666666666661</v>
      </c>
      <c r="DW42">
        <v>-2.1063999999999998</v>
      </c>
      <c r="DX42">
        <v>0.49131891891892165</v>
      </c>
      <c r="DY42">
        <v>-2.0139723329729731</v>
      </c>
      <c r="DZ42">
        <v>1978</v>
      </c>
      <c r="EA42">
        <v>-2.0085638643583859</v>
      </c>
      <c r="EB42">
        <v>2</v>
      </c>
      <c r="EC42">
        <v>7.6445206637900873E-2</v>
      </c>
      <c r="ED42">
        <v>0.5821339930851922</v>
      </c>
      <c r="EE42" s="10">
        <v>-1.0828</v>
      </c>
      <c r="EF42">
        <v>-1.0751999999999999</v>
      </c>
      <c r="EG42">
        <v>36.131318918918922</v>
      </c>
      <c r="EH42" t="s">
        <v>1355</v>
      </c>
      <c r="EI42">
        <v>0</v>
      </c>
      <c r="EJ42">
        <v>0</v>
      </c>
      <c r="EK42" s="11">
        <v>45470</v>
      </c>
      <c r="EL42" s="12">
        <v>1.02</v>
      </c>
      <c r="EM42" s="12">
        <v>-5.0599999999999996</v>
      </c>
      <c r="EN42" s="12">
        <v>1.47</v>
      </c>
      <c r="EO42" s="12">
        <v>3.81</v>
      </c>
      <c r="EP42" s="12">
        <v>-0.76</v>
      </c>
    </row>
    <row r="43" spans="1:146" ht="96" x14ac:dyDescent="0.25">
      <c r="A43" s="6"/>
      <c r="B43" s="6"/>
      <c r="C43" s="6" t="str">
        <f>""&amp;CHAR(10)&amp;Basic_Fundamental_Information_Constructure(F43)&amp;CHAR(10)&amp;Basic_Fundamental_Information_Concatenate("")</f>
        <v xml:space="preserve">
市值10.7484亿, 利润-9307.37万; PE; 平均PE-6.73; 平均PEG-.3, PB.519; ROIC0%; ROE-3.6067%; 股利率0%; 毛利48.3033%; 净利-13.6933%; 上一年度营收增-4.61%, 利润增-2.77%; 当季营收增-5.73%, 利润增-28.76%; 过往5年营收增-22.4%, 利润增-539.48%
Income profile:
</v>
      </c>
      <c r="D43" t="s">
        <v>212</v>
      </c>
      <c r="E43" t="s">
        <v>213</v>
      </c>
      <c r="F43">
        <v>3.38</v>
      </c>
      <c r="G43">
        <v>1.2</v>
      </c>
      <c r="H43" t="s">
        <v>3537</v>
      </c>
      <c r="I43">
        <v>1074840000</v>
      </c>
      <c r="K43">
        <v>0.51900000000000002</v>
      </c>
      <c r="L43" t="s">
        <v>100</v>
      </c>
      <c r="M43" t="s">
        <v>615</v>
      </c>
      <c r="N43" t="s">
        <v>2725</v>
      </c>
      <c r="O43" t="s">
        <v>339</v>
      </c>
      <c r="P43">
        <v>-5.98</v>
      </c>
      <c r="Q43" t="s">
        <v>2335</v>
      </c>
      <c r="R43">
        <v>-20461696</v>
      </c>
      <c r="S43" s="5">
        <v>-0.28760000000000002</v>
      </c>
      <c r="T43" t="s">
        <v>2336</v>
      </c>
      <c r="U43">
        <v>214885810</v>
      </c>
      <c r="V43">
        <v>318000000</v>
      </c>
      <c r="W43">
        <v>1.39</v>
      </c>
      <c r="X43">
        <v>0.05</v>
      </c>
      <c r="Y43">
        <v>-14.01</v>
      </c>
      <c r="Z43" t="s">
        <v>674</v>
      </c>
      <c r="AA43" t="s">
        <v>3538</v>
      </c>
      <c r="AB43" t="s">
        <v>3539</v>
      </c>
      <c r="AC43" t="s">
        <v>3540</v>
      </c>
      <c r="AD43" t="s">
        <v>81</v>
      </c>
      <c r="AE43">
        <v>1589197</v>
      </c>
      <c r="AF43" t="s">
        <v>2337</v>
      </c>
      <c r="AG43" t="s">
        <v>3541</v>
      </c>
      <c r="AH43" t="s">
        <v>2338</v>
      </c>
      <c r="AI43" t="s">
        <v>732</v>
      </c>
      <c r="AJ43" t="s">
        <v>2339</v>
      </c>
      <c r="AK43" t="s">
        <v>3542</v>
      </c>
      <c r="AL43" t="s">
        <v>2340</v>
      </c>
      <c r="AM43" t="s">
        <v>81</v>
      </c>
      <c r="AN43" t="s">
        <v>3543</v>
      </c>
      <c r="AO43" t="s">
        <v>233</v>
      </c>
      <c r="AP43" t="s">
        <v>81</v>
      </c>
      <c r="AQ43" t="s">
        <v>3544</v>
      </c>
      <c r="AR43" t="s">
        <v>3545</v>
      </c>
      <c r="AS43" t="s">
        <v>1086</v>
      </c>
      <c r="AT43" t="s">
        <v>320</v>
      </c>
      <c r="AU43" t="s">
        <v>3546</v>
      </c>
      <c r="AV43" t="s">
        <v>3547</v>
      </c>
      <c r="AW43" t="s">
        <v>348</v>
      </c>
      <c r="AX43" t="s">
        <v>969</v>
      </c>
      <c r="AY43" t="s">
        <v>321</v>
      </c>
      <c r="AZ43" t="s">
        <v>632</v>
      </c>
      <c r="BA43" t="s">
        <v>765</v>
      </c>
      <c r="BB43" t="s">
        <v>766</v>
      </c>
      <c r="BC43" t="s">
        <v>1672</v>
      </c>
      <c r="BD43" t="s">
        <v>1227</v>
      </c>
      <c r="BE43" t="s">
        <v>764</v>
      </c>
      <c r="BF43" t="s">
        <v>509</v>
      </c>
      <c r="BG43" t="s">
        <v>767</v>
      </c>
      <c r="BH43" t="s">
        <v>2335</v>
      </c>
      <c r="BI43" t="s">
        <v>86</v>
      </c>
      <c r="BJ43" t="s">
        <v>969</v>
      </c>
      <c r="BK43" t="s">
        <v>2336</v>
      </c>
      <c r="BL43" t="s">
        <v>1895</v>
      </c>
      <c r="BM43" t="s">
        <v>1672</v>
      </c>
      <c r="BN43" t="s">
        <v>81</v>
      </c>
      <c r="BO43" t="s">
        <v>81</v>
      </c>
      <c r="BP43" t="s">
        <v>81</v>
      </c>
      <c r="BQ43">
        <v>-3.82</v>
      </c>
      <c r="BR43">
        <v>-4.0599999999999996</v>
      </c>
      <c r="BS43">
        <v>-2.94</v>
      </c>
      <c r="BT43" t="s">
        <v>1526</v>
      </c>
      <c r="BU43" t="s">
        <v>1354</v>
      </c>
      <c r="BV43">
        <v>47.08</v>
      </c>
      <c r="BW43">
        <v>56.57</v>
      </c>
      <c r="BX43">
        <v>41.26</v>
      </c>
      <c r="BY43">
        <v>-16.18</v>
      </c>
      <c r="BZ43">
        <v>-15.08</v>
      </c>
      <c r="CA43">
        <v>-9.82</v>
      </c>
      <c r="CB43">
        <v>3.05</v>
      </c>
      <c r="CC43">
        <v>-19.71</v>
      </c>
      <c r="CD43" t="s">
        <v>3548</v>
      </c>
      <c r="CE43" t="s">
        <v>3549</v>
      </c>
      <c r="CF43" s="7">
        <v>-5.7324840764331211E-2</v>
      </c>
      <c r="CG43" s="8">
        <v>-0.28756314577329189</v>
      </c>
      <c r="CH43" s="7">
        <v>-4.6128500252962112E-2</v>
      </c>
      <c r="CI43" s="7">
        <v>-0.17639076709747314</v>
      </c>
      <c r="CJ43" s="7">
        <v>-0.3873649537563324</v>
      </c>
      <c r="CK43" s="7">
        <v>-0.28392854332923889</v>
      </c>
      <c r="CL43" s="7">
        <v>-0.22616307437419891</v>
      </c>
      <c r="CM43" s="8">
        <v>-2.7718747034668922E-2</v>
      </c>
      <c r="CN43" s="8">
        <v>-0.33563697338104248</v>
      </c>
      <c r="CO43" s="8">
        <v>0.86190342903137207</v>
      </c>
      <c r="CP43" s="8">
        <v>-1.1919642686843872</v>
      </c>
      <c r="CQ43" s="8">
        <v>-26.280740737915039</v>
      </c>
      <c r="CR43">
        <v>-6.7347130585161379</v>
      </c>
      <c r="CS43">
        <v>-0.30066331902618049</v>
      </c>
      <c r="CT43">
        <v>0</v>
      </c>
      <c r="CU43" s="7">
        <v>-0.22399516776204109</v>
      </c>
      <c r="CV43" s="8">
        <v>-5.3948314595967535</v>
      </c>
      <c r="CW43">
        <v>0.06</v>
      </c>
      <c r="CX43" t="s">
        <v>2341</v>
      </c>
      <c r="CY43" t="s">
        <v>1361</v>
      </c>
      <c r="CZ43">
        <v>-0.22399516776204109</v>
      </c>
      <c r="DA43" t="s">
        <v>2341</v>
      </c>
      <c r="DB43" t="s">
        <v>1362</v>
      </c>
      <c r="DC43">
        <v>-0.21279540937393904</v>
      </c>
      <c r="DD43" t="s">
        <v>2341</v>
      </c>
      <c r="DE43" t="s">
        <v>1362</v>
      </c>
      <c r="DF43">
        <v>-0.19711574763059617</v>
      </c>
      <c r="DG43" t="s">
        <v>2341</v>
      </c>
      <c r="DH43" t="s">
        <v>1362</v>
      </c>
      <c r="DI43">
        <v>-0.17919613420963287</v>
      </c>
      <c r="DJ43" t="s">
        <v>2341</v>
      </c>
      <c r="DK43" t="s">
        <v>1362</v>
      </c>
      <c r="DL43">
        <v>-0.15679661743342876</v>
      </c>
      <c r="DM43">
        <v>-93073700.000000015</v>
      </c>
      <c r="DN43">
        <v>-0.22399516776204109</v>
      </c>
      <c r="DO43">
        <v>-286160000.00000024</v>
      </c>
      <c r="DP43">
        <v>319958150.00000006</v>
      </c>
      <c r="DQ43">
        <v>1340</v>
      </c>
      <c r="DR43">
        <v>0.16667032699770989</v>
      </c>
      <c r="DS43">
        <v>5.1072683138234618</v>
      </c>
      <c r="DT43" s="9">
        <v>-0.94</v>
      </c>
      <c r="DU43">
        <v>-3.2983333333333338</v>
      </c>
      <c r="DV43">
        <v>-4.2383333333333333</v>
      </c>
      <c r="DW43">
        <v>6.1340070298769769</v>
      </c>
      <c r="DX43">
        <v>0.17275997121210032</v>
      </c>
      <c r="DY43">
        <v>6.0110904179348372</v>
      </c>
      <c r="DZ43">
        <v>5075</v>
      </c>
      <c r="EA43">
        <v>6.0000759617666768</v>
      </c>
      <c r="EB43">
        <v>6</v>
      </c>
      <c r="EC43">
        <v>1.7872327044025159E-2</v>
      </c>
      <c r="ED43">
        <v>0.21595377358490567</v>
      </c>
      <c r="EE43" s="10">
        <v>1.0677099999999999</v>
      </c>
      <c r="EF43">
        <v>1.0737099999999999</v>
      </c>
      <c r="EG43">
        <v>9.0827599712121003</v>
      </c>
      <c r="EH43" t="s">
        <v>1363</v>
      </c>
      <c r="EI43">
        <v>0</v>
      </c>
      <c r="EJ43">
        <v>0</v>
      </c>
      <c r="EK43" s="11">
        <v>45470</v>
      </c>
      <c r="EL43" s="12">
        <v>0.57999999999999996</v>
      </c>
      <c r="EM43" s="12">
        <v>-4.9000000000000004</v>
      </c>
      <c r="EN43" s="12">
        <v>-1.82</v>
      </c>
      <c r="EO43" s="12">
        <v>2.16</v>
      </c>
      <c r="EP43" s="12">
        <v>-0.6</v>
      </c>
    </row>
    <row r="44" spans="1:146" ht="108" x14ac:dyDescent="0.25">
      <c r="A44" s="6"/>
      <c r="B44" s="6"/>
      <c r="C44" s="6" t="str">
        <f>""&amp;CHAR(10)&amp;Basic_Fundamental_Information_Constructure(F44)&amp;CHAR(10)&amp;Basic_Fundamental_Information_Concatenate("")</f>
        <v xml:space="preserve">
市值15.7696亿, 利润953.37万; PE198.1; 平均PE-315.88; 平均PEG-42.32, PB2.93; ROIC.94%; ROE-3.3633%; 股利率.2232%; 毛利55.2933%; 净利-6.8333%; 上一年度营收增17.8%, 利润增125.55%; 当季营收增-12.52%, 利润增-49.21%; 过往5年营收增7.46%, 利润增-53.7%
Income profile:
</v>
      </c>
      <c r="D44" t="s">
        <v>125</v>
      </c>
      <c r="E44" t="s">
        <v>23</v>
      </c>
      <c r="F44">
        <v>8.9600000000000009</v>
      </c>
      <c r="G44">
        <v>3.34</v>
      </c>
      <c r="H44" t="s">
        <v>3550</v>
      </c>
      <c r="I44">
        <v>1576960000</v>
      </c>
      <c r="J44">
        <v>198.1</v>
      </c>
      <c r="K44">
        <v>2.93</v>
      </c>
      <c r="L44" t="s">
        <v>100</v>
      </c>
      <c r="M44" t="s">
        <v>619</v>
      </c>
      <c r="N44" t="s">
        <v>2648</v>
      </c>
      <c r="O44" t="s">
        <v>2342</v>
      </c>
      <c r="P44">
        <v>-12.52</v>
      </c>
      <c r="Q44" t="s">
        <v>1211</v>
      </c>
      <c r="R44">
        <v>1624091</v>
      </c>
      <c r="S44" s="5">
        <v>-0.49209999999999998</v>
      </c>
      <c r="T44" t="s">
        <v>2343</v>
      </c>
      <c r="U44">
        <v>101262561</v>
      </c>
      <c r="V44">
        <v>176000000</v>
      </c>
      <c r="W44">
        <v>1.46</v>
      </c>
      <c r="X44">
        <v>0.09</v>
      </c>
      <c r="Y44">
        <v>2.34</v>
      </c>
      <c r="Z44" t="s">
        <v>3551</v>
      </c>
      <c r="AA44" t="s">
        <v>3552</v>
      </c>
      <c r="AB44" t="s">
        <v>3553</v>
      </c>
      <c r="AC44" t="s">
        <v>3554</v>
      </c>
      <c r="AD44" t="s">
        <v>81</v>
      </c>
      <c r="AE44">
        <v>1460758</v>
      </c>
      <c r="AF44" t="s">
        <v>2344</v>
      </c>
      <c r="AG44" t="s">
        <v>3555</v>
      </c>
      <c r="AH44" t="s">
        <v>2345</v>
      </c>
      <c r="AI44" t="s">
        <v>3556</v>
      </c>
      <c r="AJ44" t="s">
        <v>2346</v>
      </c>
      <c r="AK44" t="s">
        <v>3557</v>
      </c>
      <c r="AL44" t="s">
        <v>2347</v>
      </c>
      <c r="AM44" t="s">
        <v>81</v>
      </c>
      <c r="AN44" t="s">
        <v>3558</v>
      </c>
      <c r="AO44" t="s">
        <v>3559</v>
      </c>
      <c r="AP44" t="s">
        <v>81</v>
      </c>
      <c r="AQ44" t="s">
        <v>3560</v>
      </c>
      <c r="AR44" t="s">
        <v>81</v>
      </c>
      <c r="AS44" t="s">
        <v>237</v>
      </c>
      <c r="AT44" t="s">
        <v>3561</v>
      </c>
      <c r="AU44" t="s">
        <v>3562</v>
      </c>
      <c r="AV44" t="s">
        <v>3563</v>
      </c>
      <c r="AW44" t="s">
        <v>3564</v>
      </c>
      <c r="AX44" t="s">
        <v>89</v>
      </c>
      <c r="AY44" t="s">
        <v>481</v>
      </c>
      <c r="AZ44" t="s">
        <v>595</v>
      </c>
      <c r="BA44" t="s">
        <v>285</v>
      </c>
      <c r="BB44" t="s">
        <v>315</v>
      </c>
      <c r="BC44" t="s">
        <v>1673</v>
      </c>
      <c r="BD44" t="s">
        <v>1228</v>
      </c>
      <c r="BE44" t="s">
        <v>768</v>
      </c>
      <c r="BF44" t="s">
        <v>769</v>
      </c>
      <c r="BG44" t="s">
        <v>770</v>
      </c>
      <c r="BH44" t="s">
        <v>1211</v>
      </c>
      <c r="BI44" t="s">
        <v>1896</v>
      </c>
      <c r="BJ44" t="s">
        <v>89</v>
      </c>
      <c r="BK44" t="s">
        <v>2343</v>
      </c>
      <c r="BL44" t="s">
        <v>1897</v>
      </c>
      <c r="BM44" t="s">
        <v>1673</v>
      </c>
      <c r="BN44">
        <v>0.94</v>
      </c>
      <c r="BO44" t="s">
        <v>81</v>
      </c>
      <c r="BP44" t="s">
        <v>81</v>
      </c>
      <c r="BQ44">
        <v>0.82</v>
      </c>
      <c r="BR44">
        <v>-6.85</v>
      </c>
      <c r="BS44">
        <v>-4.0599999999999996</v>
      </c>
      <c r="BT44" t="s">
        <v>2348</v>
      </c>
      <c r="BU44" t="s">
        <v>1354</v>
      </c>
      <c r="BV44">
        <v>46.19</v>
      </c>
      <c r="BW44">
        <v>53.47</v>
      </c>
      <c r="BX44">
        <v>66.22</v>
      </c>
      <c r="BY44">
        <v>3.07</v>
      </c>
      <c r="BZ44">
        <v>-14.12</v>
      </c>
      <c r="CA44">
        <v>-9.4499999999999993</v>
      </c>
      <c r="CB44">
        <v>1.24</v>
      </c>
      <c r="CC44">
        <v>-9.77</v>
      </c>
      <c r="CD44" t="s">
        <v>3565</v>
      </c>
      <c r="CE44" t="s">
        <v>3566</v>
      </c>
      <c r="CF44" s="7">
        <v>-0.1251879065012502</v>
      </c>
      <c r="CG44" s="8">
        <v>-0.49205886032401325</v>
      </c>
      <c r="CH44" s="7">
        <v>0.17803029716014862</v>
      </c>
      <c r="CI44" s="7">
        <v>6.8825908005237579E-2</v>
      </c>
      <c r="CJ44" s="7">
        <v>1.0413223505020142</v>
      </c>
      <c r="CK44" s="7">
        <v>-0.58703070878982544</v>
      </c>
      <c r="CL44" s="7">
        <v>-0.32798165082931519</v>
      </c>
      <c r="CM44" s="8">
        <v>1.2555109262466431</v>
      </c>
      <c r="CN44" s="8">
        <v>-0.59854590892791748</v>
      </c>
      <c r="CO44" s="8">
        <v>0.65277093648910522</v>
      </c>
      <c r="CP44" s="8">
        <v>-3.4459271430969238</v>
      </c>
      <c r="CQ44" s="8">
        <v>-0.54875224828720093</v>
      </c>
      <c r="CR44">
        <v>-315.87845281733871</v>
      </c>
      <c r="CS44">
        <v>-42.324097970611419</v>
      </c>
      <c r="CT44">
        <v>0.2232142857142857</v>
      </c>
      <c r="CU44" s="7">
        <v>7.4633239209651953E-2</v>
      </c>
      <c r="CV44" s="8">
        <v>-0.53698868751525874</v>
      </c>
      <c r="CW44">
        <v>0.06</v>
      </c>
      <c r="CX44">
        <v>136.25633349814893</v>
      </c>
      <c r="CY44">
        <v>9665312.1817481685</v>
      </c>
      <c r="CZ44">
        <v>7.4633239209651953E-2</v>
      </c>
      <c r="DA44">
        <v>45.111503966323042</v>
      </c>
      <c r="DB44">
        <v>29193440.346904557</v>
      </c>
      <c r="DC44">
        <v>7.0901577249169345E-2</v>
      </c>
      <c r="DD44">
        <v>22.595521954130035</v>
      </c>
      <c r="DE44">
        <v>58284114.997364976</v>
      </c>
      <c r="DF44">
        <v>6.5677250504493717E-2</v>
      </c>
      <c r="DG44">
        <v>13.834779069492804</v>
      </c>
      <c r="DH44">
        <v>95191979.097377881</v>
      </c>
      <c r="DI44">
        <v>5.9706591367721565E-2</v>
      </c>
      <c r="DJ44">
        <v>7.4539015550187315</v>
      </c>
      <c r="DK44">
        <v>176680626.95479086</v>
      </c>
      <c r="DL44">
        <v>5.2243267446756364E-2</v>
      </c>
      <c r="DM44">
        <v>9533700</v>
      </c>
      <c r="DN44">
        <v>7.4633239209651953E-2</v>
      </c>
      <c r="DO44">
        <v>1316960000</v>
      </c>
      <c r="DP44">
        <v>31100640</v>
      </c>
      <c r="DQ44">
        <v>1364</v>
      </c>
      <c r="DR44">
        <v>-0.19982114571090215</v>
      </c>
      <c r="DS44">
        <v>4.4929827191245497E-2</v>
      </c>
      <c r="DT44" s="9">
        <v>-0.2233333333333333</v>
      </c>
      <c r="DU44">
        <v>-1.3533333333333335</v>
      </c>
      <c r="DV44">
        <v>-1.5766666666666669</v>
      </c>
      <c r="DW44">
        <v>-2.0977000000000001</v>
      </c>
      <c r="DX44">
        <v>0.46458251995525929</v>
      </c>
      <c r="DY44">
        <v>-2.0131487121996292</v>
      </c>
      <c r="DZ44">
        <v>4079</v>
      </c>
      <c r="EA44">
        <v>-2.0026529006414515</v>
      </c>
      <c r="EB44">
        <v>2</v>
      </c>
      <c r="EC44">
        <v>4.4028977272727275E-2</v>
      </c>
      <c r="ED44">
        <v>0.32715227272727271</v>
      </c>
      <c r="EE44" s="10">
        <v>5.6100000000000004E-3</v>
      </c>
      <c r="EF44">
        <v>2.341E-2</v>
      </c>
      <c r="EG44">
        <v>33.134582519955259</v>
      </c>
      <c r="EH44">
        <v>-1</v>
      </c>
      <c r="EI44">
        <v>0</v>
      </c>
      <c r="EJ44">
        <v>0</v>
      </c>
      <c r="EK44" s="11">
        <v>45470</v>
      </c>
      <c r="EL44" s="12">
        <v>0.67</v>
      </c>
      <c r="EM44" s="12">
        <v>-5.36</v>
      </c>
      <c r="EN44" s="12">
        <v>1.53</v>
      </c>
      <c r="EO44" s="12">
        <v>4.53</v>
      </c>
      <c r="EP44" s="12">
        <v>-1.78</v>
      </c>
    </row>
    <row r="45" spans="1:146" ht="108" x14ac:dyDescent="0.25">
      <c r="A45" s="6"/>
      <c r="B45" s="6"/>
      <c r="C45" s="6" t="str">
        <f>""&amp;CHAR(10)&amp;Basic_Fundamental_Information_Constructure(F45)&amp;CHAR(10)&amp;Basic_Fundamental_Information_Concatenate("")</f>
        <v xml:space="preserve">
市值28.854773亿, 利润7366.31万; PE54.15; 平均PE19.96; 平均PEG2.23, PB1.33; ROIC5.96%; ROE7.4967%; 股利率2.193%; 毛利63.8667%; 净利15.15%; 上一年度营收增15.47%, 利润增143.86%; 当季营收增-27.78%, 利润增-52.02%; 过往5年营收增-8.96%, 利润增210.38%
Income profile:
</v>
      </c>
      <c r="D45" t="s">
        <v>178</v>
      </c>
      <c r="E45" t="s">
        <v>50</v>
      </c>
      <c r="F45">
        <v>9.1199999999999992</v>
      </c>
      <c r="G45">
        <v>1.79</v>
      </c>
      <c r="H45" t="s">
        <v>3567</v>
      </c>
      <c r="I45">
        <v>2885477300</v>
      </c>
      <c r="J45">
        <v>54.15</v>
      </c>
      <c r="K45">
        <v>1.33</v>
      </c>
      <c r="L45" t="s">
        <v>100</v>
      </c>
      <c r="M45" t="s">
        <v>2349</v>
      </c>
      <c r="N45" t="s">
        <v>3568</v>
      </c>
      <c r="O45" t="s">
        <v>481</v>
      </c>
      <c r="P45">
        <v>-27.86</v>
      </c>
      <c r="Q45" t="s">
        <v>1853</v>
      </c>
      <c r="R45">
        <v>18789453</v>
      </c>
      <c r="S45" s="5">
        <v>-0.5202</v>
      </c>
      <c r="T45" t="s">
        <v>2350</v>
      </c>
      <c r="U45">
        <v>170890730</v>
      </c>
      <c r="V45">
        <v>316390050</v>
      </c>
      <c r="W45">
        <v>1.67</v>
      </c>
      <c r="X45">
        <v>7.0000000000000007E-2</v>
      </c>
      <c r="Y45">
        <v>7.06</v>
      </c>
      <c r="Z45" t="s">
        <v>481</v>
      </c>
      <c r="AA45" t="s">
        <v>359</v>
      </c>
      <c r="AB45" t="s">
        <v>3569</v>
      </c>
      <c r="AC45" t="s">
        <v>3570</v>
      </c>
      <c r="AD45" t="s">
        <v>81</v>
      </c>
      <c r="AE45">
        <v>-6659002</v>
      </c>
      <c r="AF45" t="s">
        <v>2351</v>
      </c>
      <c r="AG45" t="s">
        <v>3571</v>
      </c>
      <c r="AH45" t="s">
        <v>2352</v>
      </c>
      <c r="AI45" t="s">
        <v>3572</v>
      </c>
      <c r="AJ45" t="s">
        <v>2353</v>
      </c>
      <c r="AK45" t="s">
        <v>3573</v>
      </c>
      <c r="AL45" t="s">
        <v>2354</v>
      </c>
      <c r="AM45" t="s">
        <v>81</v>
      </c>
      <c r="AN45" t="s">
        <v>1001</v>
      </c>
      <c r="AO45" t="s">
        <v>85</v>
      </c>
      <c r="AP45" t="s">
        <v>3574</v>
      </c>
      <c r="AQ45" t="s">
        <v>265</v>
      </c>
      <c r="AR45" t="s">
        <v>81</v>
      </c>
      <c r="AS45" t="s">
        <v>3575</v>
      </c>
      <c r="AT45" t="s">
        <v>3576</v>
      </c>
      <c r="AU45" t="s">
        <v>3577</v>
      </c>
      <c r="AV45" t="s">
        <v>3578</v>
      </c>
      <c r="AW45" t="s">
        <v>264</v>
      </c>
      <c r="AX45" t="s">
        <v>783</v>
      </c>
      <c r="AY45" t="s">
        <v>1070</v>
      </c>
      <c r="AZ45" t="s">
        <v>771</v>
      </c>
      <c r="BA45" t="s">
        <v>342</v>
      </c>
      <c r="BB45" t="s">
        <v>775</v>
      </c>
      <c r="BC45" t="s">
        <v>2355</v>
      </c>
      <c r="BD45" t="s">
        <v>1199</v>
      </c>
      <c r="BE45" t="s">
        <v>772</v>
      </c>
      <c r="BF45" t="s">
        <v>343</v>
      </c>
      <c r="BG45" t="s">
        <v>777</v>
      </c>
      <c r="BH45" t="s">
        <v>1853</v>
      </c>
      <c r="BI45" t="s">
        <v>354</v>
      </c>
      <c r="BJ45" t="s">
        <v>783</v>
      </c>
      <c r="BK45" t="s">
        <v>2350</v>
      </c>
      <c r="BL45" t="s">
        <v>1900</v>
      </c>
      <c r="BM45" t="s">
        <v>2355</v>
      </c>
      <c r="BN45">
        <v>1.94</v>
      </c>
      <c r="BO45">
        <v>0.86</v>
      </c>
      <c r="BP45">
        <v>15.08</v>
      </c>
      <c r="BQ45">
        <v>2.92</v>
      </c>
      <c r="BR45">
        <v>1.46</v>
      </c>
      <c r="BS45">
        <v>18.11</v>
      </c>
      <c r="BT45" t="s">
        <v>1539</v>
      </c>
      <c r="BU45" t="s">
        <v>1354</v>
      </c>
      <c r="BV45">
        <v>59.86</v>
      </c>
      <c r="BW45">
        <v>64.45</v>
      </c>
      <c r="BX45">
        <v>67.290000000000006</v>
      </c>
      <c r="BY45">
        <v>5.9</v>
      </c>
      <c r="BZ45">
        <v>2.58</v>
      </c>
      <c r="CA45">
        <v>36.97</v>
      </c>
      <c r="CB45">
        <v>-0.65</v>
      </c>
      <c r="CC45">
        <v>-23.43</v>
      </c>
      <c r="CD45" t="s">
        <v>3579</v>
      </c>
      <c r="CE45" t="s">
        <v>589</v>
      </c>
      <c r="CF45" s="7">
        <v>-0.27777777777777768</v>
      </c>
      <c r="CG45" s="8">
        <v>-0.52023417033076469</v>
      </c>
      <c r="CH45" s="7">
        <v>0.15466932952404022</v>
      </c>
      <c r="CI45" s="7">
        <v>8.6680762469768524E-2</v>
      </c>
      <c r="CJ45" s="7">
        <v>-0.29350265860557556</v>
      </c>
      <c r="CK45" s="7">
        <v>-0.36298760771751404</v>
      </c>
      <c r="CL45" s="7">
        <v>-3.267369419336319E-2</v>
      </c>
      <c r="CM45" s="8">
        <v>1.4385861158370972</v>
      </c>
      <c r="CN45" s="8">
        <v>-0.91393935680389404</v>
      </c>
      <c r="CO45" s="8">
        <v>10.969390869140625</v>
      </c>
      <c r="CP45" s="8">
        <v>-0.83432316780090332</v>
      </c>
      <c r="CQ45" s="8">
        <v>-0.14077669382095337</v>
      </c>
      <c r="CR45">
        <v>19.964206213318523</v>
      </c>
      <c r="CS45">
        <v>2.2290741328736918</v>
      </c>
      <c r="CT45">
        <v>2.192982456140351</v>
      </c>
      <c r="CU45" s="7">
        <v>-8.9562773704528809E-2</v>
      </c>
      <c r="CV45" s="8">
        <v>2.1037875533103945</v>
      </c>
      <c r="CW45">
        <v>0.06</v>
      </c>
      <c r="CX45">
        <v>27.320019114047604</v>
      </c>
      <c r="CY45" t="s">
        <v>2356</v>
      </c>
      <c r="CZ45">
        <v>-8.9562773704528809E-2</v>
      </c>
      <c r="DA45">
        <v>9.1066730380158685</v>
      </c>
      <c r="DB45" t="s">
        <v>2357</v>
      </c>
      <c r="DC45">
        <v>-8.5084635019302371E-2</v>
      </c>
      <c r="DD45">
        <v>4.5533365190079342</v>
      </c>
      <c r="DE45" t="s">
        <v>2358</v>
      </c>
      <c r="DF45">
        <v>-7.8815240859985355E-2</v>
      </c>
      <c r="DG45">
        <v>2.7320019114047605</v>
      </c>
      <c r="DH45" t="s">
        <v>2359</v>
      </c>
      <c r="DI45">
        <v>-7.1650218963623044E-2</v>
      </c>
      <c r="DJ45">
        <v>1.3660009557023802</v>
      </c>
      <c r="DK45" t="s">
        <v>2360</v>
      </c>
      <c r="DL45">
        <v>-6.2693941593170169E-2</v>
      </c>
      <c r="DM45">
        <v>73663100</v>
      </c>
      <c r="DN45">
        <v>-8.9562773704528809E-2</v>
      </c>
      <c r="DO45">
        <v>2012477300</v>
      </c>
      <c r="DP45">
        <v>414637100</v>
      </c>
      <c r="DQ45">
        <v>1366</v>
      </c>
      <c r="DR45">
        <v>-0.18821500407324887</v>
      </c>
      <c r="DS45">
        <v>-2.6240217236411594</v>
      </c>
      <c r="DT45" s="9">
        <v>-0.52333333333333332</v>
      </c>
      <c r="DU45">
        <v>-1.6666666666666646E-2</v>
      </c>
      <c r="DV45">
        <v>-0.53999999999999992</v>
      </c>
      <c r="DW45">
        <v>-3.0840297619047621</v>
      </c>
      <c r="DX45">
        <v>0.41970604651162657</v>
      </c>
      <c r="DY45">
        <v>-3.0058573824916945</v>
      </c>
      <c r="DZ45">
        <v>2935</v>
      </c>
      <c r="EA45">
        <v>-3.0024931129000851</v>
      </c>
      <c r="EB45">
        <v>3</v>
      </c>
      <c r="EC45">
        <v>4.736811413633267E-2</v>
      </c>
      <c r="ED45">
        <v>0.67954096533693142</v>
      </c>
      <c r="EE45" s="10">
        <v>-1.0101100000000001</v>
      </c>
      <c r="EF45">
        <v>-1.0315099999999999</v>
      </c>
      <c r="EG45">
        <v>35.069706046511627</v>
      </c>
      <c r="EH45" t="s">
        <v>1365</v>
      </c>
      <c r="EI45">
        <v>0</v>
      </c>
      <c r="EJ45">
        <v>0</v>
      </c>
      <c r="EK45" s="11">
        <v>45470</v>
      </c>
      <c r="EL45" s="12">
        <v>1.48</v>
      </c>
      <c r="EM45" s="12">
        <v>-5.63</v>
      </c>
      <c r="EN45" s="12">
        <v>0.88</v>
      </c>
      <c r="EO45" s="12">
        <v>2.19</v>
      </c>
      <c r="EP45" s="12">
        <v>-2.14</v>
      </c>
    </row>
    <row r="46" spans="1:146" ht="108" x14ac:dyDescent="0.25">
      <c r="A46" s="6"/>
      <c r="B46" s="6"/>
      <c r="C46" s="6" t="str">
        <f>""&amp;CHAR(10)&amp;Basic_Fundamental_Information_Constructure(F46)&amp;CHAR(10)&amp;Basic_Fundamental_Information_Concatenate("")</f>
        <v xml:space="preserve">
市值31.546948亿, 利润6689.86万; PE56.82; 平均PE26.15; 平均PEG4.87, PB2.61; ROIC8.6333%; ROE10.71%; 股利率2.1231%; 毛利56.0733%; 净利9.42%; 上一年度营收增-5.83%, 利润增-56.84%; 当季营收增-14.76%, 利润增-28.14%; 过往5年营收增5.37%, 利润增-3.54%
Income profile:
</v>
      </c>
      <c r="D46" t="s">
        <v>167</v>
      </c>
      <c r="E46" t="s">
        <v>18</v>
      </c>
      <c r="F46">
        <v>9.42</v>
      </c>
      <c r="G46">
        <v>3.18</v>
      </c>
      <c r="H46" t="s">
        <v>3580</v>
      </c>
      <c r="I46">
        <v>3154694800</v>
      </c>
      <c r="J46">
        <v>56.82</v>
      </c>
      <c r="K46">
        <v>2.61</v>
      </c>
      <c r="L46" t="s">
        <v>100</v>
      </c>
      <c r="M46" t="s">
        <v>1369</v>
      </c>
      <c r="N46" t="s">
        <v>3581</v>
      </c>
      <c r="O46" t="s">
        <v>230</v>
      </c>
      <c r="P46">
        <v>-14.82</v>
      </c>
      <c r="Q46" t="s">
        <v>2361</v>
      </c>
      <c r="R46">
        <v>29055821</v>
      </c>
      <c r="S46" s="5">
        <v>-0.28139999999999998</v>
      </c>
      <c r="T46" t="s">
        <v>2362</v>
      </c>
      <c r="U46">
        <v>258084840</v>
      </c>
      <c r="V46">
        <v>334893290</v>
      </c>
      <c r="W46">
        <v>1.85</v>
      </c>
      <c r="X46">
        <v>0.14000000000000001</v>
      </c>
      <c r="Y46">
        <v>9.49</v>
      </c>
      <c r="Z46" t="s">
        <v>1144</v>
      </c>
      <c r="AA46" t="s">
        <v>247</v>
      </c>
      <c r="AB46" t="s">
        <v>3582</v>
      </c>
      <c r="AC46" t="s">
        <v>3583</v>
      </c>
      <c r="AD46" t="s">
        <v>81</v>
      </c>
      <c r="AE46">
        <v>2508695</v>
      </c>
      <c r="AF46" t="s">
        <v>2363</v>
      </c>
      <c r="AG46" t="s">
        <v>3584</v>
      </c>
      <c r="AH46" t="s">
        <v>2364</v>
      </c>
      <c r="AI46" t="s">
        <v>91</v>
      </c>
      <c r="AJ46" t="s">
        <v>2365</v>
      </c>
      <c r="AK46" t="s">
        <v>3585</v>
      </c>
      <c r="AL46" t="s">
        <v>2366</v>
      </c>
      <c r="AM46" t="s">
        <v>81</v>
      </c>
      <c r="AN46" t="s">
        <v>267</v>
      </c>
      <c r="AO46" t="s">
        <v>3586</v>
      </c>
      <c r="AP46" t="s">
        <v>3587</v>
      </c>
      <c r="AQ46" t="s">
        <v>267</v>
      </c>
      <c r="AR46" t="s">
        <v>81</v>
      </c>
      <c r="AS46" t="s">
        <v>378</v>
      </c>
      <c r="AT46" t="s">
        <v>830</v>
      </c>
      <c r="AU46" t="s">
        <v>3588</v>
      </c>
      <c r="AV46" t="s">
        <v>3589</v>
      </c>
      <c r="AW46" t="s">
        <v>3590</v>
      </c>
      <c r="AX46" t="s">
        <v>1674</v>
      </c>
      <c r="AY46" t="s">
        <v>1064</v>
      </c>
      <c r="AZ46" t="s">
        <v>460</v>
      </c>
      <c r="BA46" t="s">
        <v>778</v>
      </c>
      <c r="BB46" t="s">
        <v>779</v>
      </c>
      <c r="BC46" t="s">
        <v>246</v>
      </c>
      <c r="BD46" t="s">
        <v>296</v>
      </c>
      <c r="BE46" t="s">
        <v>306</v>
      </c>
      <c r="BF46" t="s">
        <v>325</v>
      </c>
      <c r="BG46" t="s">
        <v>348</v>
      </c>
      <c r="BH46" t="s">
        <v>2361</v>
      </c>
      <c r="BI46" t="s">
        <v>1098</v>
      </c>
      <c r="BJ46" t="s">
        <v>1674</v>
      </c>
      <c r="BK46" t="s">
        <v>2362</v>
      </c>
      <c r="BL46" t="s">
        <v>1902</v>
      </c>
      <c r="BM46" t="s">
        <v>246</v>
      </c>
      <c r="BN46">
        <v>4.28</v>
      </c>
      <c r="BO46">
        <v>10.47</v>
      </c>
      <c r="BP46">
        <v>11.15</v>
      </c>
      <c r="BQ46">
        <v>5.52</v>
      </c>
      <c r="BR46">
        <v>13.55</v>
      </c>
      <c r="BS46">
        <v>13.06</v>
      </c>
      <c r="BT46" t="s">
        <v>1539</v>
      </c>
      <c r="BU46" t="s">
        <v>1354</v>
      </c>
      <c r="BV46">
        <v>50.56</v>
      </c>
      <c r="BW46">
        <v>56.22</v>
      </c>
      <c r="BX46">
        <v>61.44</v>
      </c>
      <c r="BY46">
        <v>5.18</v>
      </c>
      <c r="BZ46">
        <v>11.33</v>
      </c>
      <c r="CA46">
        <v>11.75</v>
      </c>
      <c r="CB46">
        <v>1.73</v>
      </c>
      <c r="CC46">
        <v>-11.38</v>
      </c>
      <c r="CD46" t="s">
        <v>3591</v>
      </c>
      <c r="CE46" t="s">
        <v>3592</v>
      </c>
      <c r="CF46" s="7">
        <v>-0.14763231197771587</v>
      </c>
      <c r="CG46" s="8">
        <v>-0.28136750255366405</v>
      </c>
      <c r="CH46" s="7">
        <v>-5.8309037238359451E-2</v>
      </c>
      <c r="CI46" s="7">
        <v>0.15294118225574493</v>
      </c>
      <c r="CJ46" s="7">
        <v>-5.0279282033443451E-2</v>
      </c>
      <c r="CK46" s="7">
        <v>-7.8676514327526093E-2</v>
      </c>
      <c r="CL46" s="7">
        <v>0.30268198251724243</v>
      </c>
      <c r="CM46" s="8">
        <v>-0.56839615106582642</v>
      </c>
      <c r="CN46" s="8">
        <v>0.1071428582072258</v>
      </c>
      <c r="CO46" s="8">
        <v>2.9411764815449715E-2</v>
      </c>
      <c r="CP46" s="8">
        <v>0.1428571492433548</v>
      </c>
      <c r="CQ46" s="8">
        <v>0.11214952915906906</v>
      </c>
      <c r="CR46">
        <v>26.147541658458795</v>
      </c>
      <c r="CS46">
        <v>4.8717588800211988</v>
      </c>
      <c r="CT46">
        <v>2.1231422505307855</v>
      </c>
      <c r="CU46" s="7">
        <v>5.3671666234731671E-2</v>
      </c>
      <c r="CV46" s="8">
        <v>-3.5366969928145406E-2</v>
      </c>
      <c r="CW46">
        <v>0.06</v>
      </c>
      <c r="CX46">
        <v>45.048579358128599</v>
      </c>
      <c r="CY46">
        <v>66499206.915821522</v>
      </c>
      <c r="CZ46">
        <v>5.3671666234731671E-2</v>
      </c>
      <c r="DA46">
        <v>15.183254634140573</v>
      </c>
      <c r="DB46">
        <v>197302546.27120447</v>
      </c>
      <c r="DC46">
        <v>5.0988082922995087E-2</v>
      </c>
      <c r="DD46">
        <v>7.784988657038582</v>
      </c>
      <c r="DE46">
        <v>384804003.18779212</v>
      </c>
      <c r="DF46">
        <v>4.7231066286563872E-2</v>
      </c>
      <c r="DG46">
        <v>4.8906992402123617</v>
      </c>
      <c r="DH46">
        <v>612528935.61083555</v>
      </c>
      <c r="DI46">
        <v>4.2937332987785341E-2</v>
      </c>
      <c r="DJ46">
        <v>2.7815126956749534</v>
      </c>
      <c r="DK46">
        <v>1077002022.9129581</v>
      </c>
      <c r="DL46">
        <v>3.7570166364312166E-2</v>
      </c>
      <c r="DM46">
        <v>66898600</v>
      </c>
      <c r="DN46">
        <v>5.3671666234731671E-2</v>
      </c>
      <c r="DO46">
        <v>2995694800</v>
      </c>
      <c r="DP46">
        <v>454628320</v>
      </c>
      <c r="DQ46">
        <v>1387</v>
      </c>
      <c r="DR46">
        <v>-0.20130397821244755</v>
      </c>
      <c r="DS46">
        <v>-0.24600053262551863</v>
      </c>
      <c r="DT46" s="9">
        <v>-0.19000000000000003</v>
      </c>
      <c r="DU46">
        <v>-0.38666666666666666</v>
      </c>
      <c r="DV46">
        <v>-0.57666666666666666</v>
      </c>
      <c r="DW46">
        <v>-2.1137999999999999</v>
      </c>
      <c r="DX46">
        <v>0.41999865553965665</v>
      </c>
      <c r="DY46">
        <v>-2.0159318470004131</v>
      </c>
      <c r="DZ46">
        <v>3000</v>
      </c>
      <c r="EA46">
        <v>-2.0065785121665112</v>
      </c>
      <c r="EB46">
        <v>2</v>
      </c>
      <c r="EC46">
        <v>2.176544056765067E-2</v>
      </c>
      <c r="ED46">
        <v>0.15546892563896994</v>
      </c>
      <c r="EE46" s="10">
        <v>-3.0056099999999999</v>
      </c>
      <c r="EF46">
        <v>-3.02461</v>
      </c>
      <c r="EG46">
        <v>28.139998655539657</v>
      </c>
      <c r="EH46" t="s">
        <v>1991</v>
      </c>
      <c r="EI46">
        <v>0</v>
      </c>
      <c r="EJ46">
        <v>0</v>
      </c>
      <c r="EK46" s="11">
        <v>45470</v>
      </c>
      <c r="EL46" s="12">
        <v>0.43</v>
      </c>
      <c r="EM46" s="12">
        <v>-4.34</v>
      </c>
      <c r="EN46" s="12">
        <v>2.44</v>
      </c>
      <c r="EO46" s="12">
        <v>2.4900000000000002</v>
      </c>
      <c r="EP46" s="12">
        <v>-1.9</v>
      </c>
    </row>
    <row r="47" spans="1:146" ht="108" x14ac:dyDescent="0.25">
      <c r="A47" s="6"/>
      <c r="B47" s="6"/>
      <c r="C47" s="6" t="str">
        <f>""&amp;CHAR(10)&amp;Basic_Fundamental_Information_Constructure(F47)&amp;CHAR(10)&amp;Basic_Fundamental_Information_Concatenate("")</f>
        <v xml:space="preserve">
市值28.806785亿, 利润1.38亿; PE24.1; 平均PE22.45; 平均PEG4.02, PB1.8; ROIC7.1533%; ROE8.4567%; 股利率1.4706%; 毛利55.5067%; 净利9.9733%; 上一年度营收增3.7%, 利润增8.66%; 当季营收增-4%, 利润增-40.05%; 过往5年营收增5.59%, 利润增7.37%
Income profile:
</v>
      </c>
      <c r="D47" t="s">
        <v>141</v>
      </c>
      <c r="E47" t="s">
        <v>20</v>
      </c>
      <c r="F47">
        <v>14.28</v>
      </c>
      <c r="G47">
        <v>5.93</v>
      </c>
      <c r="H47" t="s">
        <v>3593</v>
      </c>
      <c r="I47">
        <v>2880678500</v>
      </c>
      <c r="J47">
        <v>24.1</v>
      </c>
      <c r="K47">
        <v>1.8</v>
      </c>
      <c r="L47" t="s">
        <v>100</v>
      </c>
      <c r="M47" t="s">
        <v>439</v>
      </c>
      <c r="N47" t="s">
        <v>3594</v>
      </c>
      <c r="O47" t="s">
        <v>743</v>
      </c>
      <c r="P47">
        <v>-3.89</v>
      </c>
      <c r="Q47" t="s">
        <v>2367</v>
      </c>
      <c r="R47">
        <v>28218694</v>
      </c>
      <c r="S47" s="5">
        <v>-0.40050000000000002</v>
      </c>
      <c r="T47" t="s">
        <v>238</v>
      </c>
      <c r="U47">
        <v>185275470</v>
      </c>
      <c r="V47">
        <v>201728190</v>
      </c>
      <c r="W47">
        <v>1.68</v>
      </c>
      <c r="X47">
        <v>0.13</v>
      </c>
      <c r="Y47">
        <v>11.62</v>
      </c>
      <c r="Z47" t="s">
        <v>392</v>
      </c>
      <c r="AA47" t="s">
        <v>1499</v>
      </c>
      <c r="AB47" t="s">
        <v>3595</v>
      </c>
      <c r="AC47" t="s">
        <v>3596</v>
      </c>
      <c r="AD47" t="s">
        <v>81</v>
      </c>
      <c r="AE47">
        <v>-3793966</v>
      </c>
      <c r="AF47" t="s">
        <v>2368</v>
      </c>
      <c r="AG47" t="s">
        <v>3597</v>
      </c>
      <c r="AH47" t="s">
        <v>2369</v>
      </c>
      <c r="AI47" t="s">
        <v>2430</v>
      </c>
      <c r="AJ47" t="s">
        <v>2370</v>
      </c>
      <c r="AK47" t="s">
        <v>81</v>
      </c>
      <c r="AL47" t="s">
        <v>2371</v>
      </c>
      <c r="AM47" t="s">
        <v>81</v>
      </c>
      <c r="AN47" t="s">
        <v>3598</v>
      </c>
      <c r="AO47" t="s">
        <v>279</v>
      </c>
      <c r="AP47" t="s">
        <v>286</v>
      </c>
      <c r="AQ47" t="s">
        <v>328</v>
      </c>
      <c r="AR47">
        <v>4845.66</v>
      </c>
      <c r="AS47" t="s">
        <v>1611</v>
      </c>
      <c r="AT47" t="s">
        <v>385</v>
      </c>
      <c r="AU47" t="s">
        <v>825</v>
      </c>
      <c r="AV47" t="s">
        <v>3599</v>
      </c>
      <c r="AW47" t="s">
        <v>3600</v>
      </c>
      <c r="AX47" t="s">
        <v>1547</v>
      </c>
      <c r="AY47" t="s">
        <v>535</v>
      </c>
      <c r="AZ47" t="s">
        <v>780</v>
      </c>
      <c r="BA47" t="s">
        <v>678</v>
      </c>
      <c r="BB47" t="s">
        <v>708</v>
      </c>
      <c r="BC47" t="s">
        <v>271</v>
      </c>
      <c r="BD47" t="s">
        <v>298</v>
      </c>
      <c r="BE47" t="s">
        <v>307</v>
      </c>
      <c r="BF47" t="s">
        <v>274</v>
      </c>
      <c r="BG47" t="s">
        <v>335</v>
      </c>
      <c r="BH47" t="s">
        <v>2367</v>
      </c>
      <c r="BI47" t="s">
        <v>946</v>
      </c>
      <c r="BJ47" t="s">
        <v>1547</v>
      </c>
      <c r="BK47" t="s">
        <v>238</v>
      </c>
      <c r="BL47" t="s">
        <v>1903</v>
      </c>
      <c r="BM47" t="s">
        <v>271</v>
      </c>
      <c r="BN47">
        <v>6</v>
      </c>
      <c r="BO47">
        <v>7.04</v>
      </c>
      <c r="BP47">
        <v>8.42</v>
      </c>
      <c r="BQ47">
        <v>7.13</v>
      </c>
      <c r="BR47">
        <v>9.11</v>
      </c>
      <c r="BS47">
        <v>9.1300000000000008</v>
      </c>
      <c r="BT47" t="s">
        <v>2372</v>
      </c>
      <c r="BU47" t="s">
        <v>1354</v>
      </c>
      <c r="BV47">
        <v>44.61</v>
      </c>
      <c r="BW47">
        <v>57.25</v>
      </c>
      <c r="BX47">
        <v>64.66</v>
      </c>
      <c r="BY47">
        <v>11.26</v>
      </c>
      <c r="BZ47">
        <v>8.42</v>
      </c>
      <c r="CA47">
        <v>10.24</v>
      </c>
      <c r="CB47">
        <v>-1.38</v>
      </c>
      <c r="CC47">
        <v>-21.28</v>
      </c>
      <c r="CD47" t="s">
        <v>3601</v>
      </c>
      <c r="CE47" t="s">
        <v>3602</v>
      </c>
      <c r="CF47" s="7">
        <v>-0.04</v>
      </c>
      <c r="CG47" s="8">
        <v>-0.40049768218533177</v>
      </c>
      <c r="CH47" s="7">
        <v>3.6989796906709671E-2</v>
      </c>
      <c r="CI47" s="7">
        <v>0.13623188436031342</v>
      </c>
      <c r="CJ47" s="7">
        <v>6.976744532585144E-2</v>
      </c>
      <c r="CK47" s="7">
        <v>-7.5931228697299957E-2</v>
      </c>
      <c r="CL47" s="7">
        <v>0.11235053837299347</v>
      </c>
      <c r="CM47" s="8">
        <v>8.6614176630973816E-2</v>
      </c>
      <c r="CN47" s="8">
        <v>5.833333358168602E-2</v>
      </c>
      <c r="CO47" s="8">
        <v>-0.26829269528388977</v>
      </c>
      <c r="CP47" s="8">
        <v>0.46428570151329041</v>
      </c>
      <c r="CQ47" s="8">
        <v>2.7522936463356018E-2</v>
      </c>
      <c r="CR47">
        <v>22.446845454545457</v>
      </c>
      <c r="CS47">
        <v>4.0168517733962581</v>
      </c>
      <c r="CT47">
        <v>1.4705882352941178</v>
      </c>
      <c r="CU47" s="7">
        <v>5.5881687253713605E-2</v>
      </c>
      <c r="CV47" s="8">
        <v>7.3692690581083298E-2</v>
      </c>
      <c r="CW47">
        <v>0.06</v>
      </c>
      <c r="CX47">
        <v>16.009144391233875</v>
      </c>
      <c r="CY47">
        <v>137463842.30284196</v>
      </c>
      <c r="CZ47">
        <v>5.5881687253713605E-2</v>
      </c>
      <c r="DA47">
        <v>5.3855838630006021</v>
      </c>
      <c r="DB47">
        <v>408623940.50138921</v>
      </c>
      <c r="DC47">
        <v>5.3087602891027923E-2</v>
      </c>
      <c r="DD47">
        <v>2.7546157301069845</v>
      </c>
      <c r="DE47">
        <v>798905805.97045004</v>
      </c>
      <c r="DF47">
        <v>4.9175884783267974E-2</v>
      </c>
      <c r="DG47">
        <v>1.7258991403855886</v>
      </c>
      <c r="DH47">
        <v>1275091022.7050345</v>
      </c>
      <c r="DI47">
        <v>4.470534980297089E-2</v>
      </c>
      <c r="DJ47">
        <v>0.97617312814879276</v>
      </c>
      <c r="DK47">
        <v>2254393648.5665712</v>
      </c>
      <c r="DL47">
        <v>3.9117181077599518E-2</v>
      </c>
      <c r="DM47">
        <v>138000000</v>
      </c>
      <c r="DN47">
        <v>5.5881687253713605E-2</v>
      </c>
      <c r="DO47">
        <v>2200678500</v>
      </c>
      <c r="DP47">
        <v>802721400</v>
      </c>
      <c r="DQ47">
        <v>1402</v>
      </c>
      <c r="DR47">
        <v>-9.5881687253713599E-2</v>
      </c>
      <c r="DS47">
        <v>-0.47419037276641507</v>
      </c>
      <c r="DT47" s="9">
        <v>-0.44</v>
      </c>
      <c r="DU47">
        <v>-0.23666666666666669</v>
      </c>
      <c r="DV47">
        <v>-0.67666666666666675</v>
      </c>
      <c r="DW47">
        <v>-3.0597142857142856</v>
      </c>
      <c r="DX47">
        <v>0.59795688941426528</v>
      </c>
      <c r="DY47">
        <v>-3.0243608542535947</v>
      </c>
      <c r="DZ47">
        <v>3168</v>
      </c>
      <c r="EA47">
        <v>-3.009258078074458</v>
      </c>
      <c r="EB47">
        <v>3</v>
      </c>
      <c r="EC47">
        <v>0.12676909459208452</v>
      </c>
      <c r="ED47">
        <v>0.31074139910738308</v>
      </c>
      <c r="EE47" s="10">
        <v>-4.0707000000000004</v>
      </c>
      <c r="EF47">
        <v>-4.0316000000000001</v>
      </c>
      <c r="EG47">
        <v>19.407956889414265</v>
      </c>
      <c r="EH47" t="s">
        <v>2022</v>
      </c>
      <c r="EI47">
        <v>0</v>
      </c>
      <c r="EJ47">
        <v>0</v>
      </c>
      <c r="EK47" s="11">
        <v>45470</v>
      </c>
      <c r="EL47" s="12">
        <v>-0.67</v>
      </c>
      <c r="EM47" s="12">
        <v>-3.93</v>
      </c>
      <c r="EN47" s="12">
        <v>3.38</v>
      </c>
      <c r="EO47" s="12">
        <v>4.5</v>
      </c>
      <c r="EP47" s="12">
        <v>-3.91</v>
      </c>
    </row>
    <row r="48" spans="1:146" ht="108" x14ac:dyDescent="0.25">
      <c r="A48" s="6"/>
      <c r="B48" s="6"/>
      <c r="C48" s="6" t="str">
        <f>""&amp;CHAR(10)&amp;Basic_Fundamental_Information_Constructure(F48)&amp;CHAR(10)&amp;Basic_Fundamental_Information_Concatenate("")</f>
        <v xml:space="preserve">
市值32.413942亿, 利润2.27亿; PE16.98; 平均PE20.7; 平均PEG2.74, PB1.89; ROIC12.96%; ROE13.2367%; 股利率2.9551%; 毛利42.9233%; 净利9.3367%; 上一年度营收增-26.29%, 利润增8.61%; 当季营收增-58.87%, 利润增-54.08%; 过往5年营收增7.55%, 利润增20.13%
Income profile:
</v>
      </c>
      <c r="D48" t="s">
        <v>464</v>
      </c>
      <c r="E48" t="s">
        <v>465</v>
      </c>
      <c r="F48">
        <v>16.920000000000002</v>
      </c>
      <c r="G48">
        <v>3.74</v>
      </c>
      <c r="H48" t="s">
        <v>3603</v>
      </c>
      <c r="I48">
        <v>3241394200</v>
      </c>
      <c r="J48">
        <v>16.98</v>
      </c>
      <c r="K48">
        <v>1.89</v>
      </c>
      <c r="L48" t="s">
        <v>100</v>
      </c>
      <c r="M48" t="s">
        <v>1888</v>
      </c>
      <c r="N48" t="s">
        <v>1604</v>
      </c>
      <c r="O48" t="s">
        <v>627</v>
      </c>
      <c r="P48">
        <v>-58.9</v>
      </c>
      <c r="Q48" t="s">
        <v>2373</v>
      </c>
      <c r="R48">
        <v>30372220</v>
      </c>
      <c r="S48" s="5">
        <v>-0.54079999999999995</v>
      </c>
      <c r="T48" t="s">
        <v>425</v>
      </c>
      <c r="U48">
        <v>137108500</v>
      </c>
      <c r="V48">
        <v>191571760</v>
      </c>
      <c r="W48">
        <v>1.31</v>
      </c>
      <c r="X48">
        <v>0.13</v>
      </c>
      <c r="Y48">
        <v>8.23</v>
      </c>
      <c r="Z48" t="s">
        <v>341</v>
      </c>
      <c r="AA48" t="s">
        <v>393</v>
      </c>
      <c r="AB48" t="s">
        <v>839</v>
      </c>
      <c r="AC48" t="s">
        <v>3604</v>
      </c>
      <c r="AD48" t="s">
        <v>81</v>
      </c>
      <c r="AE48">
        <v>-440982</v>
      </c>
      <c r="AF48" t="s">
        <v>2374</v>
      </c>
      <c r="AG48" t="s">
        <v>3605</v>
      </c>
      <c r="AH48" t="s">
        <v>2375</v>
      </c>
      <c r="AI48" t="s">
        <v>92</v>
      </c>
      <c r="AJ48" t="s">
        <v>2376</v>
      </c>
      <c r="AK48" t="s">
        <v>3606</v>
      </c>
      <c r="AL48" t="s">
        <v>2377</v>
      </c>
      <c r="AM48" t="s">
        <v>81</v>
      </c>
      <c r="AN48" t="s">
        <v>534</v>
      </c>
      <c r="AO48" t="s">
        <v>81</v>
      </c>
      <c r="AP48" t="s">
        <v>81</v>
      </c>
      <c r="AQ48" t="s">
        <v>341</v>
      </c>
      <c r="AR48" t="s">
        <v>81</v>
      </c>
      <c r="AS48" t="s">
        <v>287</v>
      </c>
      <c r="AT48" t="s">
        <v>3607</v>
      </c>
      <c r="AU48" t="s">
        <v>3608</v>
      </c>
      <c r="AV48" t="s">
        <v>3609</v>
      </c>
      <c r="AW48" t="s">
        <v>3610</v>
      </c>
      <c r="AX48" t="s">
        <v>1675</v>
      </c>
      <c r="AY48" t="s">
        <v>1232</v>
      </c>
      <c r="AZ48" t="s">
        <v>781</v>
      </c>
      <c r="BA48" t="s">
        <v>782</v>
      </c>
      <c r="BB48" t="s">
        <v>557</v>
      </c>
      <c r="BC48" t="s">
        <v>289</v>
      </c>
      <c r="BD48" t="s">
        <v>395</v>
      </c>
      <c r="BE48" t="s">
        <v>263</v>
      </c>
      <c r="BF48" t="s">
        <v>233</v>
      </c>
      <c r="BG48" t="s">
        <v>784</v>
      </c>
      <c r="BH48" t="s">
        <v>2373</v>
      </c>
      <c r="BI48" t="s">
        <v>1905</v>
      </c>
      <c r="BJ48" t="s">
        <v>1675</v>
      </c>
      <c r="BK48" t="s">
        <v>425</v>
      </c>
      <c r="BL48" t="s">
        <v>1906</v>
      </c>
      <c r="BM48" t="s">
        <v>289</v>
      </c>
      <c r="BN48">
        <v>10.43</v>
      </c>
      <c r="BO48">
        <v>14.76</v>
      </c>
      <c r="BP48">
        <v>13.69</v>
      </c>
      <c r="BQ48">
        <v>10.61</v>
      </c>
      <c r="BR48">
        <v>15.13</v>
      </c>
      <c r="BS48">
        <v>13.97</v>
      </c>
      <c r="BT48" t="s">
        <v>2378</v>
      </c>
      <c r="BU48" t="s">
        <v>1354</v>
      </c>
      <c r="BV48">
        <v>51.48</v>
      </c>
      <c r="BW48">
        <v>37.380000000000003</v>
      </c>
      <c r="BX48">
        <v>39.909999999999997</v>
      </c>
      <c r="BY48">
        <v>12.3</v>
      </c>
      <c r="BZ48">
        <v>8.1300000000000008</v>
      </c>
      <c r="CA48">
        <v>7.58</v>
      </c>
      <c r="CB48">
        <v>-7.44</v>
      </c>
      <c r="CC48">
        <v>-16.309999999999999</v>
      </c>
      <c r="CD48" t="s">
        <v>3611</v>
      </c>
      <c r="CE48" t="s">
        <v>3612</v>
      </c>
      <c r="CF48" s="7">
        <v>-0.58866995073891615</v>
      </c>
      <c r="CG48" s="8">
        <v>-0.54080073539083517</v>
      </c>
      <c r="CH48" s="7">
        <v>-0.26289257407188416</v>
      </c>
      <c r="CI48" s="7">
        <v>0.13462390005588531</v>
      </c>
      <c r="CJ48" s="7">
        <v>0.20010556280612946</v>
      </c>
      <c r="CK48" s="7">
        <v>0.14787878096103668</v>
      </c>
      <c r="CL48" s="7">
        <v>0.1578947901725769</v>
      </c>
      <c r="CM48" s="8">
        <v>8.6124405264854431E-2</v>
      </c>
      <c r="CN48" s="8">
        <v>0.21511627733707428</v>
      </c>
      <c r="CO48" s="8">
        <v>0.27407407760620117</v>
      </c>
      <c r="CP48" s="8">
        <v>0.28571429848670959</v>
      </c>
      <c r="CQ48" s="8">
        <v>0.14548666775226593</v>
      </c>
      <c r="CR48">
        <v>20.697146139774841</v>
      </c>
      <c r="CS48">
        <v>2.7405419521422267</v>
      </c>
      <c r="CT48">
        <v>2.9550827423167845</v>
      </c>
      <c r="CU48" s="7">
        <v>7.5522091984748838E-2</v>
      </c>
      <c r="CV48" s="8">
        <v>0.20130314528942109</v>
      </c>
      <c r="CW48">
        <v>0.06</v>
      </c>
      <c r="CX48">
        <v>8.4333096171219637</v>
      </c>
      <c r="CY48">
        <v>230324070.64201695</v>
      </c>
      <c r="CZ48">
        <v>7.5522091984748838E-2</v>
      </c>
      <c r="DA48">
        <v>2.7899773539795096</v>
      </c>
      <c r="DB48">
        <v>696204288.98085797</v>
      </c>
      <c r="DC48">
        <v>7.1745987385511398E-2</v>
      </c>
      <c r="DD48">
        <v>1.3960539954727917</v>
      </c>
      <c r="DE48">
        <v>1391346041.2698314</v>
      </c>
      <c r="DF48">
        <v>6.6459440946578976E-2</v>
      </c>
      <c r="DG48">
        <v>0.85382768186304325</v>
      </c>
      <c r="DH48">
        <v>2274925305.4922228</v>
      </c>
      <c r="DI48">
        <v>6.0417673587799071E-2</v>
      </c>
      <c r="DJ48">
        <v>0.45893228134871444</v>
      </c>
      <c r="DK48">
        <v>4232420073.5927181</v>
      </c>
      <c r="DL48">
        <v>5.2865464389324185E-2</v>
      </c>
      <c r="DM48">
        <v>227000000</v>
      </c>
      <c r="DN48">
        <v>7.5522091984748838E-2</v>
      </c>
      <c r="DO48">
        <v>1942394200</v>
      </c>
      <c r="DP48">
        <v>619856410</v>
      </c>
      <c r="DQ48">
        <v>1476</v>
      </c>
      <c r="DR48">
        <v>-0.66419204272366494</v>
      </c>
      <c r="DS48">
        <v>-0.74210388068025623</v>
      </c>
      <c r="DT48" s="9">
        <v>-0.37333333333333335</v>
      </c>
      <c r="DU48">
        <v>0.17999999999999997</v>
      </c>
      <c r="DV48">
        <v>-0.19333333333333338</v>
      </c>
      <c r="DW48">
        <v>-9.4561618638871856</v>
      </c>
      <c r="DX48">
        <v>0.41857101374908723</v>
      </c>
      <c r="DY48">
        <v>-9.0768956678291364</v>
      </c>
      <c r="DZ48">
        <v>2190</v>
      </c>
      <c r="EA48">
        <v>-9.0439403816166486</v>
      </c>
      <c r="EB48">
        <v>9</v>
      </c>
      <c r="EC48">
        <v>4.4242951048734949E-2</v>
      </c>
      <c r="ED48">
        <v>0.26245883004885479</v>
      </c>
      <c r="EE48" s="10">
        <v>0.1328</v>
      </c>
      <c r="EF48">
        <v>8.6499999999999994E-2</v>
      </c>
      <c r="EG48">
        <v>25.168571013749087</v>
      </c>
      <c r="EH48" t="s">
        <v>1360</v>
      </c>
      <c r="EI48">
        <v>0</v>
      </c>
      <c r="EJ48">
        <v>0</v>
      </c>
      <c r="EK48" s="11">
        <v>45470</v>
      </c>
      <c r="EL48" s="12">
        <v>0.54</v>
      </c>
      <c r="EM48" s="12">
        <v>-4.5599999999999996</v>
      </c>
      <c r="EN48" s="12">
        <v>3.37</v>
      </c>
      <c r="EO48" s="12">
        <v>3.32</v>
      </c>
      <c r="EP48" s="12">
        <v>-4.63</v>
      </c>
    </row>
    <row r="49" spans="1:146" ht="108" x14ac:dyDescent="0.25">
      <c r="A49" s="6"/>
      <c r="B49" s="6"/>
      <c r="C49" s="6" t="str">
        <f>""&amp;CHAR(10)&amp;Basic_Fundamental_Information_Constructure(F49)&amp;CHAR(10)&amp;Basic_Fundamental_Information_Concatenate("")</f>
        <v xml:space="preserve">
市值25.764233亿, 利润-892.73万; PE; 平均PE-27.48; 平均PEG-3.06, PB1.24; ROIC0%; ROE-3.6867%; 股利率0%; 毛利71.4333%; 净利-6.13%; 上一年度营收增1.24%, 利润增87.01%; 当季营收增-20.26%, 利润增-25.9%; 过往5年营收增-8.99%, 利润增-36.21%
Income profile:
</v>
      </c>
      <c r="D49" t="s">
        <v>131</v>
      </c>
      <c r="E49" t="s">
        <v>76</v>
      </c>
      <c r="F49">
        <v>2.44</v>
      </c>
      <c r="G49">
        <v>6.09</v>
      </c>
      <c r="H49" t="s">
        <v>3613</v>
      </c>
      <c r="I49">
        <v>2576423300</v>
      </c>
      <c r="K49">
        <v>1.24</v>
      </c>
      <c r="L49" t="s">
        <v>100</v>
      </c>
      <c r="M49" t="s">
        <v>1030</v>
      </c>
      <c r="N49" t="s">
        <v>1990</v>
      </c>
      <c r="O49" t="s">
        <v>463</v>
      </c>
      <c r="P49">
        <v>-20.09</v>
      </c>
      <c r="Q49" t="s">
        <v>1605</v>
      </c>
      <c r="R49">
        <v>-4575299</v>
      </c>
      <c r="S49" s="5">
        <v>-0.25900000000000001</v>
      </c>
      <c r="T49" t="s">
        <v>2379</v>
      </c>
      <c r="U49">
        <v>1055822770</v>
      </c>
      <c r="V49">
        <v>1055911210</v>
      </c>
      <c r="W49">
        <v>1.4</v>
      </c>
      <c r="X49">
        <v>0.06</v>
      </c>
      <c r="Y49">
        <v>0.02</v>
      </c>
      <c r="Z49" t="s">
        <v>428</v>
      </c>
      <c r="AA49" t="s">
        <v>3614</v>
      </c>
      <c r="AB49" t="s">
        <v>3615</v>
      </c>
      <c r="AC49" t="s">
        <v>3616</v>
      </c>
      <c r="AD49" t="s">
        <v>81</v>
      </c>
      <c r="AE49">
        <v>-5429467</v>
      </c>
      <c r="AF49" t="s">
        <v>2380</v>
      </c>
      <c r="AG49">
        <v>4271.79</v>
      </c>
      <c r="AH49" t="s">
        <v>2381</v>
      </c>
      <c r="AI49" t="s">
        <v>2465</v>
      </c>
      <c r="AJ49" t="s">
        <v>2382</v>
      </c>
      <c r="AK49" t="s">
        <v>3617</v>
      </c>
      <c r="AL49" t="s">
        <v>2383</v>
      </c>
      <c r="AM49" t="s">
        <v>81</v>
      </c>
      <c r="AN49" t="s">
        <v>3618</v>
      </c>
      <c r="AO49" t="s">
        <v>268</v>
      </c>
      <c r="AP49" t="s">
        <v>81</v>
      </c>
      <c r="AQ49" t="s">
        <v>3619</v>
      </c>
      <c r="AR49" t="s">
        <v>81</v>
      </c>
      <c r="AS49" t="s">
        <v>2575</v>
      </c>
      <c r="AT49" t="s">
        <v>3620</v>
      </c>
      <c r="AU49" t="s">
        <v>3621</v>
      </c>
      <c r="AV49" t="s">
        <v>3622</v>
      </c>
      <c r="AW49" t="s">
        <v>3623</v>
      </c>
      <c r="AX49" t="s">
        <v>1460</v>
      </c>
      <c r="AY49" t="s">
        <v>1072</v>
      </c>
      <c r="AZ49" t="s">
        <v>785</v>
      </c>
      <c r="BA49" t="s">
        <v>787</v>
      </c>
      <c r="BB49" t="s">
        <v>788</v>
      </c>
      <c r="BC49" t="s">
        <v>2384</v>
      </c>
      <c r="BD49" t="s">
        <v>472</v>
      </c>
      <c r="BE49" t="s">
        <v>668</v>
      </c>
      <c r="BF49" t="s">
        <v>789</v>
      </c>
      <c r="BG49" t="s">
        <v>790</v>
      </c>
      <c r="BH49" t="s">
        <v>1605</v>
      </c>
      <c r="BI49" t="s">
        <v>425</v>
      </c>
      <c r="BJ49" t="s">
        <v>1460</v>
      </c>
      <c r="BK49" t="s">
        <v>2379</v>
      </c>
      <c r="BL49" t="s">
        <v>1907</v>
      </c>
      <c r="BM49" t="s">
        <v>2384</v>
      </c>
      <c r="BN49" t="s">
        <v>81</v>
      </c>
      <c r="BO49" t="s">
        <v>81</v>
      </c>
      <c r="BP49" t="s">
        <v>81</v>
      </c>
      <c r="BQ49">
        <v>-2.6</v>
      </c>
      <c r="BR49">
        <v>-3.22</v>
      </c>
      <c r="BS49">
        <v>-5.24</v>
      </c>
      <c r="BT49" t="s">
        <v>1526</v>
      </c>
      <c r="BU49" t="s">
        <v>1354</v>
      </c>
      <c r="BV49">
        <v>69.33</v>
      </c>
      <c r="BW49">
        <v>73.5</v>
      </c>
      <c r="BX49">
        <v>71.47</v>
      </c>
      <c r="BY49">
        <v>-1.1200000000000001</v>
      </c>
      <c r="BZ49">
        <v>-8.6199999999999992</v>
      </c>
      <c r="CA49">
        <v>-8.65</v>
      </c>
      <c r="CB49">
        <v>4.2699999999999996</v>
      </c>
      <c r="CC49">
        <v>-11.91</v>
      </c>
      <c r="CD49" t="s">
        <v>3624</v>
      </c>
      <c r="CE49" t="s">
        <v>804</v>
      </c>
      <c r="CF49" s="7">
        <v>-0.20264317180616739</v>
      </c>
      <c r="CG49" s="8">
        <v>-0.25899094686442292</v>
      </c>
      <c r="CH49" s="7">
        <v>1.2429378926753998E-2</v>
      </c>
      <c r="CI49" s="7">
        <v>-0.27755099534988403</v>
      </c>
      <c r="CJ49" s="7">
        <v>-0.2266414612531662</v>
      </c>
      <c r="CK49" s="7">
        <v>-0.14792902767658234</v>
      </c>
      <c r="CL49" s="7">
        <v>0.19014088809490204</v>
      </c>
      <c r="CM49" s="8">
        <v>0.87006372213363647</v>
      </c>
      <c r="CN49" s="8">
        <v>0.31975048780441284</v>
      </c>
      <c r="CO49" s="8">
        <v>0.69113147258758545</v>
      </c>
      <c r="CP49" s="8">
        <v>-1.1096774339675903</v>
      </c>
      <c r="CQ49" s="8">
        <v>-2.5815794467926025</v>
      </c>
      <c r="CR49">
        <v>-27.47553770760565</v>
      </c>
      <c r="CS49">
        <v>-3.0558851419858035</v>
      </c>
      <c r="CT49">
        <v>0</v>
      </c>
      <c r="CU49" s="7">
        <v>-8.9910243451595304E-2</v>
      </c>
      <c r="CV49" s="8">
        <v>-0.36206223964691164</v>
      </c>
      <c r="CW49">
        <v>0.06</v>
      </c>
      <c r="CX49" t="e">
        <v>#VALUE!</v>
      </c>
      <c r="CY49" t="s">
        <v>1361</v>
      </c>
      <c r="CZ49">
        <v>-8.9910243451595304E-2</v>
      </c>
      <c r="DA49" t="e">
        <v>#VALUE!</v>
      </c>
      <c r="DB49" t="s">
        <v>1362</v>
      </c>
      <c r="DC49">
        <v>-8.5414731279015541E-2</v>
      </c>
      <c r="DD49" t="e">
        <v>#VALUE!</v>
      </c>
      <c r="DE49" t="s">
        <v>1362</v>
      </c>
      <c r="DF49">
        <v>-7.9121014237403864E-2</v>
      </c>
      <c r="DG49" t="e">
        <v>#VALUE!</v>
      </c>
      <c r="DH49" t="s">
        <v>1362</v>
      </c>
      <c r="DI49">
        <v>-7.1928194761276251E-2</v>
      </c>
      <c r="DJ49" t="e">
        <v>#VALUE!</v>
      </c>
      <c r="DK49" t="s">
        <v>1362</v>
      </c>
      <c r="DL49">
        <v>-6.2937170416116711E-2</v>
      </c>
      <c r="DM49">
        <v>-8927300</v>
      </c>
      <c r="DN49">
        <v>-8.9910243451595304E-2</v>
      </c>
      <c r="DO49">
        <v>1223423300</v>
      </c>
      <c r="DP49">
        <v>1091967300</v>
      </c>
      <c r="DQ49">
        <v>1504</v>
      </c>
      <c r="DR49">
        <v>-0.11273292835457209</v>
      </c>
      <c r="DS49">
        <v>0.10307129278248872</v>
      </c>
      <c r="DT49" s="9">
        <v>-0.62333333333333341</v>
      </c>
      <c r="DU49">
        <v>-2.4449999999999998</v>
      </c>
      <c r="DV49">
        <v>-3.0683333333333334</v>
      </c>
      <c r="DW49">
        <v>6.2639060568603213</v>
      </c>
      <c r="DX49">
        <v>0.61245236363636302</v>
      </c>
      <c r="DY49">
        <v>6.0507893444207212</v>
      </c>
      <c r="DZ49">
        <v>4933</v>
      </c>
      <c r="EA49">
        <v>6.001759239522988</v>
      </c>
      <c r="EB49">
        <v>6</v>
      </c>
      <c r="EC49">
        <v>5.0122017361668117E-2</v>
      </c>
      <c r="ED49">
        <v>0.26043856471606169</v>
      </c>
      <c r="EE49" s="10">
        <v>-5.0257100000000001</v>
      </c>
      <c r="EF49">
        <v>-5.0546100000000003</v>
      </c>
      <c r="EG49">
        <v>42.192452363636363</v>
      </c>
      <c r="EH49" t="s">
        <v>3162</v>
      </c>
      <c r="EI49">
        <v>0</v>
      </c>
      <c r="EJ49">
        <v>0</v>
      </c>
      <c r="EK49" s="11">
        <v>45470</v>
      </c>
      <c r="EL49" s="12">
        <v>0.84</v>
      </c>
      <c r="EM49" s="12">
        <v>-4.17</v>
      </c>
      <c r="EN49" s="12">
        <v>0.87</v>
      </c>
      <c r="EO49" s="12">
        <v>4.3099999999999996</v>
      </c>
      <c r="EP49" s="12">
        <v>-2.89</v>
      </c>
    </row>
    <row r="50" spans="1:146" ht="108" x14ac:dyDescent="0.25">
      <c r="A50" s="6"/>
      <c r="B50" s="6"/>
      <c r="C50" s="6" t="str">
        <f>""&amp;CHAR(10)&amp;Basic_Fundamental_Information_Constructure(F50)&amp;CHAR(10)&amp;Basic_Fundamental_Information_Concatenate("")</f>
        <v xml:space="preserve">
市值22.23547亿, 利润-7175.71万; PE; 平均PE18.26; 平均PEG2.03, PB1.43; ROIC5.2%; ROE2.5733%; 股利率0%; 毛利55.23%; 净利.99%; 上一年度营收增16.32%, 利润增-735.92%; 当季营收增10.64%, 利润增-8.35%; 过往5年营收增9.01%, 利润增-154.54%
Income profile:
</v>
      </c>
      <c r="D50" t="s">
        <v>190</v>
      </c>
      <c r="E50" t="s">
        <v>63</v>
      </c>
      <c r="F50">
        <v>4.5199999999999996</v>
      </c>
      <c r="G50">
        <v>4.63</v>
      </c>
      <c r="H50" t="s">
        <v>3625</v>
      </c>
      <c r="I50">
        <v>2223547000</v>
      </c>
      <c r="K50">
        <v>1.43</v>
      </c>
      <c r="L50" t="s">
        <v>100</v>
      </c>
      <c r="M50" t="s">
        <v>2385</v>
      </c>
      <c r="N50" t="s">
        <v>1877</v>
      </c>
      <c r="O50" t="s">
        <v>311</v>
      </c>
      <c r="P50">
        <v>10.35</v>
      </c>
      <c r="Q50" t="s">
        <v>1968</v>
      </c>
      <c r="R50">
        <v>11526165</v>
      </c>
      <c r="S50" s="5">
        <v>-8.3500000000000005E-2</v>
      </c>
      <c r="T50" t="s">
        <v>2386</v>
      </c>
      <c r="U50">
        <v>491176250</v>
      </c>
      <c r="V50">
        <v>491935180</v>
      </c>
      <c r="W50">
        <v>1.59</v>
      </c>
      <c r="X50">
        <v>7.0000000000000007E-2</v>
      </c>
      <c r="Y50">
        <v>5.6</v>
      </c>
      <c r="Z50" t="s">
        <v>390</v>
      </c>
      <c r="AA50" t="s">
        <v>3626</v>
      </c>
      <c r="AB50" t="s">
        <v>3627</v>
      </c>
      <c r="AC50" t="s">
        <v>3628</v>
      </c>
      <c r="AD50" t="s">
        <v>81</v>
      </c>
      <c r="AE50">
        <v>12719348</v>
      </c>
      <c r="AF50" t="s">
        <v>2387</v>
      </c>
      <c r="AG50" t="s">
        <v>3629</v>
      </c>
      <c r="AH50" t="s">
        <v>2388</v>
      </c>
      <c r="AI50" t="s">
        <v>862</v>
      </c>
      <c r="AJ50" t="s">
        <v>2389</v>
      </c>
      <c r="AK50" t="s">
        <v>3630</v>
      </c>
      <c r="AL50" t="s">
        <v>2390</v>
      </c>
      <c r="AM50" t="s">
        <v>81</v>
      </c>
      <c r="AN50" t="s">
        <v>349</v>
      </c>
      <c r="AO50" t="s">
        <v>390</v>
      </c>
      <c r="AP50" t="s">
        <v>3631</v>
      </c>
      <c r="AQ50" t="s">
        <v>3632</v>
      </c>
      <c r="AR50" t="s">
        <v>81</v>
      </c>
      <c r="AS50" t="s">
        <v>848</v>
      </c>
      <c r="AT50" t="s">
        <v>320</v>
      </c>
      <c r="AU50" t="s">
        <v>3633</v>
      </c>
      <c r="AV50" t="s">
        <v>3634</v>
      </c>
      <c r="AW50" t="s">
        <v>3635</v>
      </c>
      <c r="AX50" t="s">
        <v>1676</v>
      </c>
      <c r="AY50" t="s">
        <v>1406</v>
      </c>
      <c r="AZ50" t="s">
        <v>489</v>
      </c>
      <c r="BA50" t="s">
        <v>791</v>
      </c>
      <c r="BB50" t="s">
        <v>747</v>
      </c>
      <c r="BC50" t="s">
        <v>2391</v>
      </c>
      <c r="BD50" t="s">
        <v>355</v>
      </c>
      <c r="BE50" t="s">
        <v>467</v>
      </c>
      <c r="BF50" t="s">
        <v>354</v>
      </c>
      <c r="BG50" t="s">
        <v>339</v>
      </c>
      <c r="BH50" t="s">
        <v>1968</v>
      </c>
      <c r="BI50" t="s">
        <v>92</v>
      </c>
      <c r="BJ50" t="s">
        <v>1676</v>
      </c>
      <c r="BK50" t="s">
        <v>2386</v>
      </c>
      <c r="BL50" t="s">
        <v>1908</v>
      </c>
      <c r="BM50" t="s">
        <v>2391</v>
      </c>
      <c r="BN50" t="s">
        <v>81</v>
      </c>
      <c r="BO50" t="s">
        <v>81</v>
      </c>
      <c r="BP50">
        <v>5.2</v>
      </c>
      <c r="BQ50">
        <v>0.11</v>
      </c>
      <c r="BR50">
        <v>0.61</v>
      </c>
      <c r="BS50">
        <v>7</v>
      </c>
      <c r="BT50" t="s">
        <v>1526</v>
      </c>
      <c r="BU50" t="s">
        <v>1354</v>
      </c>
      <c r="BV50">
        <v>47.01</v>
      </c>
      <c r="BW50">
        <v>55.39</v>
      </c>
      <c r="BX50">
        <v>63.29</v>
      </c>
      <c r="BY50">
        <v>-9.34</v>
      </c>
      <c r="BZ50">
        <v>-0.6</v>
      </c>
      <c r="CA50">
        <v>12.91</v>
      </c>
      <c r="CB50">
        <v>2.4900000000000002</v>
      </c>
      <c r="CC50">
        <v>-8.32</v>
      </c>
      <c r="CD50" t="s">
        <v>3636</v>
      </c>
      <c r="CE50" t="s">
        <v>264</v>
      </c>
      <c r="CF50" s="7">
        <v>0.10638297872340426</v>
      </c>
      <c r="CG50" s="8">
        <v>-8.3486533981122782E-2</v>
      </c>
      <c r="CH50" s="7">
        <v>0.16318537294864655</v>
      </c>
      <c r="CI50" s="7">
        <v>-0.1093023270368576</v>
      </c>
      <c r="CJ50" s="7">
        <v>3.9903264492750168E-2</v>
      </c>
      <c r="CK50" s="7">
        <v>9.7680101171135902E-3</v>
      </c>
      <c r="CL50" s="7">
        <v>0.34703946113586426</v>
      </c>
      <c r="CM50" s="8">
        <v>-7.3592472076416016</v>
      </c>
      <c r="CN50" s="8">
        <v>-0.91044521331787109</v>
      </c>
      <c r="CO50" s="8">
        <v>-0.2800000011920929</v>
      </c>
      <c r="CP50" s="8">
        <v>-0.48830410838127136</v>
      </c>
      <c r="CQ50" s="8">
        <v>1.3108108043670654</v>
      </c>
      <c r="CR50">
        <v>18.262549710701919</v>
      </c>
      <c r="CS50">
        <v>2.0264981957277368</v>
      </c>
      <c r="CT50">
        <v>0</v>
      </c>
      <c r="CU50" s="7">
        <v>9.0118756331503388E-2</v>
      </c>
      <c r="CV50" s="8">
        <v>-1.5454371452331543</v>
      </c>
      <c r="CW50">
        <v>0.06</v>
      </c>
      <c r="CX50" t="e">
        <v>#VALUE!</v>
      </c>
      <c r="CY50" t="s">
        <v>1362</v>
      </c>
      <c r="CZ50">
        <v>9.0118756331503388E-2</v>
      </c>
      <c r="DA50" t="e">
        <v>#VALUE!</v>
      </c>
      <c r="DB50" t="s">
        <v>1362</v>
      </c>
      <c r="DC50">
        <v>8.5612818514928218E-2</v>
      </c>
      <c r="DD50" t="e">
        <v>#VALUE!</v>
      </c>
      <c r="DE50" t="s">
        <v>1362</v>
      </c>
      <c r="DF50">
        <v>7.9304505571722986E-2</v>
      </c>
      <c r="DG50" t="e">
        <v>#VALUE!</v>
      </c>
      <c r="DH50" t="s">
        <v>1362</v>
      </c>
      <c r="DI50">
        <v>7.2095005065202708E-2</v>
      </c>
      <c r="DJ50" t="e">
        <v>#VALUE!</v>
      </c>
      <c r="DK50" t="s">
        <v>1362</v>
      </c>
      <c r="DL50">
        <v>6.3083129432052368E-2</v>
      </c>
      <c r="DM50">
        <v>-71757100</v>
      </c>
      <c r="DN50">
        <v>9.0118756331503388E-2</v>
      </c>
      <c r="DO50">
        <v>1457547000.0000002</v>
      </c>
      <c r="DP50">
        <v>885434430</v>
      </c>
      <c r="DQ50">
        <v>1514</v>
      </c>
      <c r="DR50">
        <v>1.6264222391900868E-2</v>
      </c>
      <c r="DS50">
        <v>1.4619506112520315</v>
      </c>
      <c r="DT50" s="9">
        <v>-0.17333333333333334</v>
      </c>
      <c r="DU50">
        <v>-1.54</v>
      </c>
      <c r="DV50">
        <v>-1.7133333333333334</v>
      </c>
      <c r="DW50">
        <v>-2.0832000000000002</v>
      </c>
      <c r="DX50">
        <v>0.39360343137254916</v>
      </c>
      <c r="DY50">
        <v>-2.0111158054901961</v>
      </c>
      <c r="DZ50">
        <v>4193</v>
      </c>
      <c r="EA50">
        <v>-2.0019947541359118</v>
      </c>
      <c r="EB50">
        <v>2</v>
      </c>
      <c r="EC50">
        <v>5.5403844059292537E-2</v>
      </c>
      <c r="ED50">
        <v>0.41468878074546328</v>
      </c>
      <c r="EE50" s="10">
        <v>-2.0177999999999998</v>
      </c>
      <c r="EF50">
        <v>-2.0066099999999998</v>
      </c>
      <c r="EG50">
        <v>26.133603431372549</v>
      </c>
      <c r="EH50" t="s">
        <v>1368</v>
      </c>
      <c r="EI50">
        <v>0</v>
      </c>
      <c r="EJ50">
        <v>0</v>
      </c>
      <c r="EK50" s="11">
        <v>45470</v>
      </c>
      <c r="EL50" s="12">
        <v>1.1299999999999999</v>
      </c>
      <c r="EM50" s="12">
        <v>-4.04</v>
      </c>
      <c r="EN50" s="12">
        <v>1.17</v>
      </c>
      <c r="EO50" s="12">
        <v>4.16</v>
      </c>
      <c r="EP50" s="12">
        <v>-2.44</v>
      </c>
    </row>
    <row r="51" spans="1:146" ht="108" x14ac:dyDescent="0.25">
      <c r="A51" s="6"/>
      <c r="B51" s="6"/>
      <c r="C51" s="6" t="str">
        <f>""&amp;CHAR(10)&amp;Basic_Fundamental_Information_Constructure(F51)&amp;CHAR(10)&amp;Basic_Fundamental_Information_Concatenate("")</f>
        <v xml:space="preserve">
市值17.1亿, 利润1152.99万; PE; 平均PE-60.62; 平均PEG-202.54, PB1.31; ROIC.89%; ROE-4.7133%; 股利率0%; 毛利53.7567%; 净利-11.6633%; 上一年度营收增38.06%, 利润增106.13%; 当季营收增-40%, 利润增-401.69%; 过往5年营收增-.3%, 利润增-369.99%
Income profile:
</v>
      </c>
      <c r="D51" t="s">
        <v>199</v>
      </c>
      <c r="E51" t="s">
        <v>26</v>
      </c>
      <c r="F51">
        <v>3.8</v>
      </c>
      <c r="G51">
        <v>6.15</v>
      </c>
      <c r="H51" t="s">
        <v>3637</v>
      </c>
      <c r="I51">
        <v>1710000000</v>
      </c>
      <c r="K51">
        <v>1.31</v>
      </c>
      <c r="L51" t="s">
        <v>100</v>
      </c>
      <c r="M51" t="s">
        <v>2392</v>
      </c>
      <c r="N51" t="s">
        <v>3638</v>
      </c>
      <c r="O51" t="s">
        <v>233</v>
      </c>
      <c r="P51">
        <v>-40.01</v>
      </c>
      <c r="Q51" t="s">
        <v>1303</v>
      </c>
      <c r="R51">
        <v>-46504959</v>
      </c>
      <c r="S51" s="5">
        <v>-4.0170000000000003</v>
      </c>
      <c r="T51" t="s">
        <v>2393</v>
      </c>
      <c r="U51">
        <v>435663110</v>
      </c>
      <c r="V51">
        <v>450000000</v>
      </c>
      <c r="W51">
        <v>1.59</v>
      </c>
      <c r="X51">
        <v>0.05</v>
      </c>
      <c r="Y51">
        <v>-45.19</v>
      </c>
      <c r="Z51" t="s">
        <v>247</v>
      </c>
      <c r="AA51" t="s">
        <v>3639</v>
      </c>
      <c r="AB51" t="s">
        <v>3640</v>
      </c>
      <c r="AC51" t="s">
        <v>3641</v>
      </c>
      <c r="AD51" t="s">
        <v>81</v>
      </c>
      <c r="AE51">
        <v>4421000</v>
      </c>
      <c r="AF51" t="s">
        <v>236</v>
      </c>
      <c r="AG51">
        <v>5660.97</v>
      </c>
      <c r="AH51" t="s">
        <v>2394</v>
      </c>
      <c r="AI51" t="s">
        <v>349</v>
      </c>
      <c r="AJ51" t="s">
        <v>2395</v>
      </c>
      <c r="AK51" t="s">
        <v>3642</v>
      </c>
      <c r="AL51" t="s">
        <v>2396</v>
      </c>
      <c r="AM51" t="s">
        <v>81</v>
      </c>
      <c r="AN51" t="s">
        <v>267</v>
      </c>
      <c r="AO51" t="s">
        <v>241</v>
      </c>
      <c r="AP51" t="s">
        <v>81</v>
      </c>
      <c r="AQ51" t="s">
        <v>3643</v>
      </c>
      <c r="AR51" t="s">
        <v>3644</v>
      </c>
      <c r="AS51" t="s">
        <v>840</v>
      </c>
      <c r="AT51" t="s">
        <v>2287</v>
      </c>
      <c r="AU51" t="s">
        <v>3645</v>
      </c>
      <c r="AV51" t="s">
        <v>3646</v>
      </c>
      <c r="AW51" t="s">
        <v>3647</v>
      </c>
      <c r="AX51" t="s">
        <v>429</v>
      </c>
      <c r="AY51" t="s">
        <v>806</v>
      </c>
      <c r="AZ51" t="s">
        <v>792</v>
      </c>
      <c r="BA51" t="s">
        <v>358</v>
      </c>
      <c r="BB51" t="s">
        <v>794</v>
      </c>
      <c r="BC51" t="s">
        <v>1677</v>
      </c>
      <c r="BD51" t="s">
        <v>1234</v>
      </c>
      <c r="BE51" t="s">
        <v>793</v>
      </c>
      <c r="BF51" t="s">
        <v>795</v>
      </c>
      <c r="BG51" t="s">
        <v>796</v>
      </c>
      <c r="BH51" t="s">
        <v>1303</v>
      </c>
      <c r="BI51" t="s">
        <v>467</v>
      </c>
      <c r="BJ51" t="s">
        <v>429</v>
      </c>
      <c r="BK51" t="s">
        <v>2393</v>
      </c>
      <c r="BL51" t="s">
        <v>1911</v>
      </c>
      <c r="BM51" t="s">
        <v>1677</v>
      </c>
      <c r="BN51" t="s">
        <v>81</v>
      </c>
      <c r="BO51" t="s">
        <v>81</v>
      </c>
      <c r="BP51">
        <v>0.89</v>
      </c>
      <c r="BQ51">
        <v>-1.57</v>
      </c>
      <c r="BR51">
        <v>-13.3</v>
      </c>
      <c r="BS51">
        <v>0.73</v>
      </c>
      <c r="BT51" t="s">
        <v>1526</v>
      </c>
      <c r="BU51" t="s">
        <v>1354</v>
      </c>
      <c r="BV51">
        <v>60.01</v>
      </c>
      <c r="BW51">
        <v>50.8</v>
      </c>
      <c r="BX51">
        <v>50.46</v>
      </c>
      <c r="BY51">
        <v>0.7</v>
      </c>
      <c r="BZ51">
        <v>-36.950000000000003</v>
      </c>
      <c r="CA51">
        <v>1.26</v>
      </c>
      <c r="CB51">
        <v>8.26</v>
      </c>
      <c r="CC51">
        <v>-10.38</v>
      </c>
      <c r="CD51" t="s">
        <v>3648</v>
      </c>
      <c r="CE51" t="s">
        <v>289</v>
      </c>
      <c r="CF51" s="7">
        <v>-0.4</v>
      </c>
      <c r="CG51" s="8">
        <v>-4.0169227425768907</v>
      </c>
      <c r="CH51" s="7">
        <v>0.38059702515602112</v>
      </c>
      <c r="CI51" s="7">
        <v>-0.359617680311203</v>
      </c>
      <c r="CJ51" s="7">
        <v>-9.219089150428772E-2</v>
      </c>
      <c r="CK51" s="7">
        <v>-8.5317462682723999E-2</v>
      </c>
      <c r="CL51" s="7">
        <v>0.14156284928321838</v>
      </c>
      <c r="CM51" s="8">
        <v>1.0613292455673218</v>
      </c>
      <c r="CN51" s="8">
        <v>-18.110353469848633</v>
      </c>
      <c r="CO51" s="8">
        <v>0.17648003995418549</v>
      </c>
      <c r="CP51" s="8">
        <v>1.3529192209243774</v>
      </c>
      <c r="CQ51" s="8">
        <v>-2.9798445701599121</v>
      </c>
      <c r="CR51">
        <v>-60.62393014421523</v>
      </c>
      <c r="CS51">
        <v>-202.53668912173302</v>
      </c>
      <c r="CT51">
        <v>0</v>
      </c>
      <c r="CU51" s="7">
        <v>-2.9932320117950439E-3</v>
      </c>
      <c r="CV51" s="8">
        <v>-3.699893906712532</v>
      </c>
      <c r="CW51">
        <v>0.06</v>
      </c>
      <c r="CX51" t="e">
        <v>#VALUE!</v>
      </c>
      <c r="CY51" t="s">
        <v>2076</v>
      </c>
      <c r="CZ51">
        <v>-2.9932320117950439E-3</v>
      </c>
      <c r="DA51">
        <v>33.564905159628445</v>
      </c>
      <c r="DB51" t="s">
        <v>2397</v>
      </c>
      <c r="DC51">
        <v>-2.8435704112052917E-3</v>
      </c>
      <c r="DD51">
        <v>16.782452579814223</v>
      </c>
      <c r="DE51" t="s">
        <v>2398</v>
      </c>
      <c r="DF51">
        <v>-2.6340441703796387E-3</v>
      </c>
      <c r="DG51">
        <v>10.069471547888533</v>
      </c>
      <c r="DH51" t="s">
        <v>2399</v>
      </c>
      <c r="DI51">
        <v>-2.3945856094360353E-3</v>
      </c>
      <c r="DJ51">
        <v>5.0347357739442664</v>
      </c>
      <c r="DK51" t="s">
        <v>2400</v>
      </c>
      <c r="DL51">
        <v>-2.0952624082565307E-3</v>
      </c>
      <c r="DM51">
        <v>11529900</v>
      </c>
      <c r="DN51">
        <v>-2.9932320117950439E-3</v>
      </c>
      <c r="DO51">
        <v>1161000000</v>
      </c>
      <c r="DP51">
        <v>178053860</v>
      </c>
      <c r="DQ51">
        <v>1579</v>
      </c>
      <c r="DR51">
        <v>-0.397006767988205</v>
      </c>
      <c r="DS51">
        <v>-0.3170288358643587</v>
      </c>
      <c r="DT51" s="9">
        <v>-0.42333333333333334</v>
      </c>
      <c r="DU51">
        <v>-1.5316666666666665</v>
      </c>
      <c r="DV51">
        <v>-1.9549999999999998</v>
      </c>
      <c r="DW51">
        <v>7.4431330472103001</v>
      </c>
      <c r="DX51">
        <v>0.79810765550239582</v>
      </c>
      <c r="DY51">
        <v>7.1232386928352875</v>
      </c>
      <c r="DZ51">
        <v>4355</v>
      </c>
      <c r="EA51">
        <v>7.018208456573511</v>
      </c>
      <c r="EB51">
        <v>7</v>
      </c>
      <c r="EC51">
        <v>0.12916555555555556</v>
      </c>
      <c r="ED51">
        <v>0.46444444444444444</v>
      </c>
      <c r="EE51" s="10">
        <v>-4.0846999999999998</v>
      </c>
      <c r="EF51">
        <v>-4.0651999999999999</v>
      </c>
      <c r="EG51">
        <v>52.278107655502396</v>
      </c>
      <c r="EH51" t="s">
        <v>2022</v>
      </c>
      <c r="EI51">
        <v>1</v>
      </c>
      <c r="EJ51">
        <v>0</v>
      </c>
      <c r="EK51" s="11">
        <v>45470</v>
      </c>
      <c r="EL51" s="12">
        <v>0.84</v>
      </c>
      <c r="EM51" s="12">
        <v>-4.46</v>
      </c>
      <c r="EN51" s="12">
        <v>0.28999999999999998</v>
      </c>
      <c r="EO51" s="12">
        <v>4.3600000000000003</v>
      </c>
      <c r="EP51" s="12">
        <v>-1.95</v>
      </c>
    </row>
    <row r="52" spans="1:146" ht="252" x14ac:dyDescent="0.25">
      <c r="A52" s="6" t="s">
        <v>1171</v>
      </c>
      <c r="B52" s="6"/>
      <c r="C52" s="6" t="str">
        <f>"公司的主营业务是从事大输液（包括非PVC软袋、直立式软袋、塑瓶、玻瓶大输液）、腹膜透析液、呼吸系统用药、精麻领域用药以及原料药、配套医药包材、医疗器械、大健康产品的研发、生产与销售;"&amp;CHAR(10)&amp;Basic_Fundamental_Information_Constructure(F52)&amp;CHAR(10)&amp;Basic_Fundamental_Information_Concatenate("医药原料 19.18亿 75.95% 利润比例27.25% 毛利4.98%
基础输液 3.44亿 13.64% 利润比例52.23% 毛利53.13%
腹透液 1.08亿 4.29% 利润比例11.05% 毛利35.72%
医疗器械 6966.48万 2.76% 利润比例1.79% 毛利8.99%
治疗输液 4350.40万 1.72% 利润比例7.06% 毛利56.88%
其他 4123.96万 1.63% 利润比例0.62% 毛利5.24%")</f>
        <v>公司的主营业务是从事大输液（包括非PVC软袋、直立式软袋、塑瓶、玻瓶大输液）、腹膜透析液、呼吸系统用药、精麻领域用药以及原料药、配套医药包材、医疗器械、大健康产品的研发、生产与销售;
市值37.476152亿, 利润1.88亿; PE18.95; 平均PE33.34; 平均PEG8.77, PB1.37; ROIC4.6267%; ROE6.1067%; 股利率.6625%; 毛利45.5233%; 净利10.5367%; 上一年度营收增1.05%, 利润增3.87%; 当季营收增.99%, 利润增23.65%; 过往5年营收增3.8%, 利润增42.77%
Income profile:
医药原料 19.18亿 75.95% 利润比例27.25% 毛利4.98%
基础输液 3.44亿 13.64% 利润比例52.23% 毛利53.13%
腹透液 1.08亿 4.29% 利润比例11.05% 毛利35.72%
医疗器械 6966.48万 2.76% 利润比例1.79% 毛利8.99%
治疗输液 4350.40万 1.72% 利润比例7.06% 毛利56.88%
其他 4123.96万 1.63% 利润比例0.62% 毛利5.24%</v>
      </c>
      <c r="D52" t="s">
        <v>109</v>
      </c>
      <c r="E52" t="s">
        <v>36</v>
      </c>
      <c r="F52">
        <v>3.17</v>
      </c>
      <c r="G52">
        <v>3.93</v>
      </c>
      <c r="H52" t="s">
        <v>3649</v>
      </c>
      <c r="I52">
        <v>3747615200</v>
      </c>
      <c r="J52">
        <v>18.95</v>
      </c>
      <c r="K52">
        <v>1.37</v>
      </c>
      <c r="L52" t="s">
        <v>100</v>
      </c>
      <c r="M52" t="s">
        <v>1864</v>
      </c>
      <c r="N52" t="s">
        <v>3650</v>
      </c>
      <c r="O52" t="s">
        <v>876</v>
      </c>
      <c r="P52">
        <v>0.86</v>
      </c>
      <c r="Q52" t="s">
        <v>2401</v>
      </c>
      <c r="R52">
        <v>50822917</v>
      </c>
      <c r="S52" s="5">
        <v>0.23649999999999999</v>
      </c>
      <c r="T52" t="s">
        <v>92</v>
      </c>
      <c r="U52">
        <v>1180437360</v>
      </c>
      <c r="V52">
        <v>1182212980</v>
      </c>
      <c r="W52">
        <v>1.77</v>
      </c>
      <c r="X52">
        <v>0.08</v>
      </c>
      <c r="Y52">
        <v>12.88</v>
      </c>
      <c r="Z52" t="s">
        <v>3518</v>
      </c>
      <c r="AA52" t="s">
        <v>1606</v>
      </c>
      <c r="AB52" t="s">
        <v>3651</v>
      </c>
      <c r="AC52" t="s">
        <v>3652</v>
      </c>
      <c r="AD52" t="s">
        <v>81</v>
      </c>
      <c r="AE52">
        <v>16011776</v>
      </c>
      <c r="AF52" t="s">
        <v>236</v>
      </c>
      <c r="AG52" t="s">
        <v>3653</v>
      </c>
      <c r="AH52" t="s">
        <v>2402</v>
      </c>
      <c r="AI52" t="s">
        <v>274</v>
      </c>
      <c r="AJ52" t="s">
        <v>2403</v>
      </c>
      <c r="AK52" t="s">
        <v>3654</v>
      </c>
      <c r="AL52" t="s">
        <v>2404</v>
      </c>
      <c r="AM52" t="s">
        <v>81</v>
      </c>
      <c r="AN52" t="s">
        <v>3655</v>
      </c>
      <c r="AO52" t="s">
        <v>1917</v>
      </c>
      <c r="AP52" t="s">
        <v>81</v>
      </c>
      <c r="AQ52" t="s">
        <v>377</v>
      </c>
      <c r="AR52" t="s">
        <v>81</v>
      </c>
      <c r="AS52" t="s">
        <v>3656</v>
      </c>
      <c r="AT52" t="s">
        <v>437</v>
      </c>
      <c r="AU52" t="s">
        <v>267</v>
      </c>
      <c r="AV52" t="s">
        <v>3657</v>
      </c>
      <c r="AW52" t="s">
        <v>3658</v>
      </c>
      <c r="AX52" t="s">
        <v>1530</v>
      </c>
      <c r="AY52" t="s">
        <v>1235</v>
      </c>
      <c r="AZ52" t="s">
        <v>483</v>
      </c>
      <c r="BA52" t="s">
        <v>799</v>
      </c>
      <c r="BB52" t="s">
        <v>800</v>
      </c>
      <c r="BC52" t="s">
        <v>463</v>
      </c>
      <c r="BD52" t="s">
        <v>312</v>
      </c>
      <c r="BE52" t="s">
        <v>797</v>
      </c>
      <c r="BF52" t="s">
        <v>802</v>
      </c>
      <c r="BG52" t="s">
        <v>803</v>
      </c>
      <c r="BH52" t="s">
        <v>2401</v>
      </c>
      <c r="BI52" t="s">
        <v>1692</v>
      </c>
      <c r="BJ52" t="s">
        <v>1530</v>
      </c>
      <c r="BK52" t="s">
        <v>92</v>
      </c>
      <c r="BL52" t="s">
        <v>1913</v>
      </c>
      <c r="BM52" t="s">
        <v>463</v>
      </c>
      <c r="BN52">
        <v>4</v>
      </c>
      <c r="BO52">
        <v>4.95</v>
      </c>
      <c r="BP52">
        <v>4.93</v>
      </c>
      <c r="BQ52">
        <v>5.29</v>
      </c>
      <c r="BR52">
        <v>7.39</v>
      </c>
      <c r="BS52">
        <v>5.64</v>
      </c>
      <c r="BT52" t="s">
        <v>1679</v>
      </c>
      <c r="BU52" t="s">
        <v>1354</v>
      </c>
      <c r="BV52">
        <v>42.72</v>
      </c>
      <c r="BW52">
        <v>43.27</v>
      </c>
      <c r="BX52">
        <v>50.58</v>
      </c>
      <c r="BY52">
        <v>11.82</v>
      </c>
      <c r="BZ52">
        <v>11.2</v>
      </c>
      <c r="CA52">
        <v>8.59</v>
      </c>
      <c r="CB52">
        <v>2.59</v>
      </c>
      <c r="CC52">
        <v>-8.3800000000000008</v>
      </c>
      <c r="CD52" t="s">
        <v>3659</v>
      </c>
      <c r="CE52" t="s">
        <v>718</v>
      </c>
      <c r="CF52" s="7">
        <v>9.9255583126550868E-3</v>
      </c>
      <c r="CG52" s="8">
        <v>0.23648007804802093</v>
      </c>
      <c r="CH52" s="7">
        <v>1.0500269010663033E-2</v>
      </c>
      <c r="CI52" s="7">
        <v>3.7155751138925552E-2</v>
      </c>
      <c r="CJ52" s="7">
        <v>0.1852695643901825</v>
      </c>
      <c r="CK52" s="7">
        <v>-9.9179252982139587E-2</v>
      </c>
      <c r="CL52" s="7">
        <v>5.6358382105827332E-2</v>
      </c>
      <c r="CM52" s="8">
        <v>3.8674034178256989E-2</v>
      </c>
      <c r="CN52" s="8">
        <v>0.39230769872665405</v>
      </c>
      <c r="CO52" s="8">
        <v>0.37385863065719604</v>
      </c>
      <c r="CP52" s="8">
        <v>1.2494069337844849</v>
      </c>
      <c r="CQ52" s="8">
        <v>8.4325730800628662E-2</v>
      </c>
      <c r="CR52">
        <v>33.337570442634011</v>
      </c>
      <c r="CS52">
        <v>8.7682124762175278</v>
      </c>
      <c r="CT52">
        <v>0.66246056782334384</v>
      </c>
      <c r="CU52" s="7">
        <v>3.8020942732691763E-2</v>
      </c>
      <c r="CV52" s="8">
        <v>0.42771460562944413</v>
      </c>
      <c r="CW52">
        <v>0.06</v>
      </c>
      <c r="CX52">
        <v>18.085725947349026</v>
      </c>
      <c r="CY52">
        <v>184101827.57900572</v>
      </c>
      <c r="CZ52">
        <v>3.8020942732691763E-2</v>
      </c>
      <c r="DA52">
        <v>6.1777664613293313</v>
      </c>
      <c r="DB52">
        <v>538967476.48883021</v>
      </c>
      <c r="DC52">
        <v>3.6119895596057175E-2</v>
      </c>
      <c r="DD52">
        <v>3.2227213223892166</v>
      </c>
      <c r="DE52">
        <v>1033168824.3932726</v>
      </c>
      <c r="DF52">
        <v>3.3458429604768754E-2</v>
      </c>
      <c r="DG52">
        <v>2.0625908041279106</v>
      </c>
      <c r="DH52">
        <v>1614287813.8195729</v>
      </c>
      <c r="DI52">
        <v>3.0416754186153413E-2</v>
      </c>
      <c r="DJ52">
        <v>1.2183445070167633</v>
      </c>
      <c r="DK52">
        <v>2732901228.5309114</v>
      </c>
      <c r="DL52">
        <v>2.6614659912884232E-2</v>
      </c>
      <c r="DM52">
        <v>188000000</v>
      </c>
      <c r="DN52">
        <v>3.8020942732691763E-2</v>
      </c>
      <c r="DO52">
        <v>3329615200</v>
      </c>
      <c r="DP52">
        <v>1103864900</v>
      </c>
      <c r="DQ52">
        <v>1600</v>
      </c>
      <c r="DR52">
        <v>-2.8095384420036677E-2</v>
      </c>
      <c r="DS52">
        <v>-0.1912345275814232</v>
      </c>
      <c r="DT52" s="9">
        <v>-0.3066666666666667</v>
      </c>
      <c r="DU52">
        <v>0.73666666666666669</v>
      </c>
      <c r="DV52">
        <v>0.43</v>
      </c>
      <c r="DW52">
        <v>6.2360984503190515</v>
      </c>
      <c r="DX52">
        <v>0.54634029850746602</v>
      </c>
      <c r="DY52">
        <v>6.0369117022000296</v>
      </c>
      <c r="DZ52">
        <v>814</v>
      </c>
      <c r="EA52">
        <v>6.031031834178342</v>
      </c>
      <c r="EB52">
        <v>6</v>
      </c>
      <c r="EC52">
        <v>4.4301662125211992E-2</v>
      </c>
      <c r="ED52">
        <v>0.28336687692263368</v>
      </c>
      <c r="EE52" s="10">
        <v>-3.0338099999999999</v>
      </c>
      <c r="EF52">
        <v>-3.0560100000000001</v>
      </c>
      <c r="EG52">
        <v>39.156340298507466</v>
      </c>
      <c r="EH52" t="s">
        <v>1991</v>
      </c>
      <c r="EI52">
        <v>0</v>
      </c>
      <c r="EJ52">
        <v>1</v>
      </c>
      <c r="EK52" s="11">
        <v>45470</v>
      </c>
      <c r="EL52" s="12">
        <v>1.91</v>
      </c>
      <c r="EM52" s="12">
        <v>-5.31</v>
      </c>
      <c r="EN52" s="12">
        <v>0.66</v>
      </c>
      <c r="EO52" s="12">
        <v>3.28</v>
      </c>
      <c r="EP52" s="12">
        <v>-2.2200000000000002</v>
      </c>
    </row>
    <row r="53" spans="1:146" ht="108" x14ac:dyDescent="0.25">
      <c r="A53" s="6"/>
      <c r="B53" s="6"/>
      <c r="C53" s="6" t="str">
        <f>""&amp;CHAR(10)&amp;Basic_Fundamental_Information_Constructure(F53)&amp;CHAR(10)&amp;Basic_Fundamental_Information_Concatenate("")</f>
        <v xml:space="preserve">
市值29.090962亿, 利润2174.79万; PE83.93; 平均PE-15.72; 平均PEG-1.42, PB4.29; ROIC6.2467%; ROE9.3733%; 股利率0%; 毛利30.1233%; 净利10.1933%; 上一年度营收增.6%, 利润增2009.89%; 当季营收增36.57%, 利润增104.46%; 过往5年营收增-11.1%, 利润增428.35%
Income profile:
</v>
      </c>
      <c r="D53" t="s">
        <v>200</v>
      </c>
      <c r="E53" t="s">
        <v>201</v>
      </c>
      <c r="F53">
        <v>2.2599999999999998</v>
      </c>
      <c r="G53">
        <v>20.21</v>
      </c>
      <c r="H53" t="s">
        <v>3660</v>
      </c>
      <c r="I53">
        <v>2909096200</v>
      </c>
      <c r="J53">
        <v>83.93</v>
      </c>
      <c r="K53">
        <v>4.29</v>
      </c>
      <c r="L53" t="s">
        <v>100</v>
      </c>
      <c r="M53" t="s">
        <v>1409</v>
      </c>
      <c r="N53" t="s">
        <v>332</v>
      </c>
      <c r="O53" t="s">
        <v>2405</v>
      </c>
      <c r="P53">
        <v>36.57</v>
      </c>
      <c r="Q53" t="s">
        <v>430</v>
      </c>
      <c r="R53">
        <v>551008</v>
      </c>
      <c r="S53" s="14">
        <v>1.0449999999999999</v>
      </c>
      <c r="T53" t="s">
        <v>2406</v>
      </c>
      <c r="U53">
        <v>1119800000</v>
      </c>
      <c r="V53">
        <v>1287210710</v>
      </c>
      <c r="W53">
        <v>1.23</v>
      </c>
      <c r="X53">
        <v>7.0000000000000007E-2</v>
      </c>
      <c r="Y53">
        <v>1.64</v>
      </c>
      <c r="Z53" t="s">
        <v>3661</v>
      </c>
      <c r="AA53" t="s">
        <v>3662</v>
      </c>
      <c r="AB53" t="s">
        <v>3663</v>
      </c>
      <c r="AC53" t="s">
        <v>3664</v>
      </c>
      <c r="AD53" t="s">
        <v>81</v>
      </c>
      <c r="AE53">
        <v>-4999114</v>
      </c>
      <c r="AF53" t="s">
        <v>236</v>
      </c>
      <c r="AG53" t="s">
        <v>3665</v>
      </c>
      <c r="AH53" t="s">
        <v>2407</v>
      </c>
      <c r="AI53" t="s">
        <v>399</v>
      </c>
      <c r="AJ53" t="s">
        <v>2408</v>
      </c>
      <c r="AK53" t="s">
        <v>3666</v>
      </c>
      <c r="AL53" t="s">
        <v>2409</v>
      </c>
      <c r="AM53" t="s">
        <v>81</v>
      </c>
      <c r="AN53" t="s">
        <v>3667</v>
      </c>
      <c r="AO53" t="s">
        <v>3668</v>
      </c>
      <c r="AP53" t="s">
        <v>3669</v>
      </c>
      <c r="AQ53" t="s">
        <v>3670</v>
      </c>
      <c r="AR53" t="s">
        <v>81</v>
      </c>
      <c r="AS53" t="s">
        <v>3300</v>
      </c>
      <c r="AT53" t="s">
        <v>81</v>
      </c>
      <c r="AU53" t="s">
        <v>3671</v>
      </c>
      <c r="AV53" t="s">
        <v>3672</v>
      </c>
      <c r="AW53" t="s">
        <v>1448</v>
      </c>
      <c r="AX53" t="s">
        <v>1372</v>
      </c>
      <c r="AY53" t="s">
        <v>344</v>
      </c>
      <c r="AZ53" t="s">
        <v>409</v>
      </c>
      <c r="BA53" t="s">
        <v>806</v>
      </c>
      <c r="BB53" t="s">
        <v>634</v>
      </c>
      <c r="BC53" t="s">
        <v>1680</v>
      </c>
      <c r="BD53" t="s">
        <v>1236</v>
      </c>
      <c r="BE53" t="s">
        <v>805</v>
      </c>
      <c r="BF53" t="s">
        <v>363</v>
      </c>
      <c r="BG53" t="s">
        <v>808</v>
      </c>
      <c r="BH53" t="s">
        <v>430</v>
      </c>
      <c r="BI53" t="s">
        <v>1915</v>
      </c>
      <c r="BJ53" t="s">
        <v>1372</v>
      </c>
      <c r="BK53" t="s">
        <v>2406</v>
      </c>
      <c r="BL53" t="s">
        <v>1916</v>
      </c>
      <c r="BM53" t="s">
        <v>1680</v>
      </c>
      <c r="BN53">
        <v>1.76</v>
      </c>
      <c r="BO53">
        <v>-0.56000000000000005</v>
      </c>
      <c r="BP53">
        <v>17.54</v>
      </c>
      <c r="BQ53">
        <v>4.08</v>
      </c>
      <c r="BR53">
        <v>-0.4</v>
      </c>
      <c r="BS53">
        <v>24.44</v>
      </c>
      <c r="BT53" t="s">
        <v>1526</v>
      </c>
      <c r="BU53" t="s">
        <v>1354</v>
      </c>
      <c r="BV53">
        <v>24.8</v>
      </c>
      <c r="BW53">
        <v>28.67</v>
      </c>
      <c r="BX53">
        <v>36.9</v>
      </c>
      <c r="BY53">
        <v>7.06</v>
      </c>
      <c r="BZ53">
        <v>1.36</v>
      </c>
      <c r="CA53">
        <v>22.16</v>
      </c>
      <c r="CB53">
        <v>20.86</v>
      </c>
      <c r="CC53">
        <v>-1.74</v>
      </c>
      <c r="CD53" t="s">
        <v>259</v>
      </c>
      <c r="CE53" t="s">
        <v>294</v>
      </c>
      <c r="CF53" s="7">
        <v>0.36565884351354949</v>
      </c>
      <c r="CG53" s="8">
        <v>1.0445752469400467</v>
      </c>
      <c r="CH53" s="7">
        <v>5.9523810632526875E-3</v>
      </c>
      <c r="CI53" s="7">
        <v>0.13131313025951385</v>
      </c>
      <c r="CJ53" s="7">
        <v>3.4843206405639648E-2</v>
      </c>
      <c r="CK53" s="7">
        <v>-0.65710872411727905</v>
      </c>
      <c r="CL53" s="7">
        <v>-7.0000000298023224E-2</v>
      </c>
      <c r="CM53" s="8">
        <v>20.098884582519531</v>
      </c>
      <c r="CN53" s="8">
        <v>-1.0213173627853394</v>
      </c>
      <c r="CO53" s="8">
        <v>-4.3876715004444122E-2</v>
      </c>
      <c r="CP53" s="8">
        <v>1.4858078956604004</v>
      </c>
      <c r="CQ53" s="8">
        <v>0.89777779579162598</v>
      </c>
      <c r="CR53">
        <v>-15.723338566766085</v>
      </c>
      <c r="CS53">
        <v>-1.4165169709300944</v>
      </c>
      <c r="CT53">
        <v>0</v>
      </c>
      <c r="CU53" s="7">
        <v>-0.11100000133737922</v>
      </c>
      <c r="CV53" s="8">
        <v>4.2834552392363552</v>
      </c>
      <c r="CW53">
        <v>0.06</v>
      </c>
      <c r="CX53">
        <v>116.38347610573895</v>
      </c>
      <c r="CY53" t="s">
        <v>2410</v>
      </c>
      <c r="CZ53">
        <v>-0.11100000133737922</v>
      </c>
      <c r="DA53">
        <v>38.794492035246314</v>
      </c>
      <c r="DB53" t="s">
        <v>2411</v>
      </c>
      <c r="DC53">
        <v>-0.10545000127051025</v>
      </c>
      <c r="DD53">
        <v>19.397246017623157</v>
      </c>
      <c r="DE53" t="s">
        <v>2412</v>
      </c>
      <c r="DF53">
        <v>-9.768000117689371E-2</v>
      </c>
      <c r="DG53">
        <v>11.638347610573895</v>
      </c>
      <c r="DH53" t="s">
        <v>2413</v>
      </c>
      <c r="DI53">
        <v>-8.8800001069903378E-2</v>
      </c>
      <c r="DJ53">
        <v>5.8191738052869475</v>
      </c>
      <c r="DK53" t="s">
        <v>2414</v>
      </c>
      <c r="DL53">
        <v>-7.7700000936165456E-2</v>
      </c>
      <c r="DM53">
        <v>21747900</v>
      </c>
      <c r="DN53">
        <v>-0.11100000133737922</v>
      </c>
      <c r="DO53">
        <v>2531096200</v>
      </c>
      <c r="DP53">
        <v>690181090</v>
      </c>
      <c r="DQ53">
        <v>1601</v>
      </c>
      <c r="DR53">
        <v>0.47665884485092869</v>
      </c>
      <c r="DS53">
        <v>-3.2388799922963085</v>
      </c>
      <c r="DT53" s="9">
        <v>-0.67333333333333334</v>
      </c>
      <c r="DU53">
        <v>3.9999999999999959E-2</v>
      </c>
      <c r="DV53">
        <v>-0.63333333333333341</v>
      </c>
      <c r="DW53">
        <v>5.0834132310642381</v>
      </c>
      <c r="DX53">
        <v>1.6872222222222286</v>
      </c>
      <c r="DY53">
        <v>5.0289629274528602</v>
      </c>
      <c r="DZ53">
        <v>3086</v>
      </c>
      <c r="EA53">
        <v>5.0114718131437552</v>
      </c>
      <c r="EB53">
        <v>5</v>
      </c>
      <c r="EC53">
        <v>9.7109198229091795E-2</v>
      </c>
      <c r="ED53">
        <v>0.27967449089978441</v>
      </c>
      <c r="EE53" s="10">
        <v>-4.0743</v>
      </c>
      <c r="EF53">
        <v>-4.0484999999999998</v>
      </c>
      <c r="EG53">
        <v>134.34722222222223</v>
      </c>
      <c r="EH53" t="s">
        <v>2022</v>
      </c>
      <c r="EI53">
        <v>1</v>
      </c>
      <c r="EJ53">
        <v>0</v>
      </c>
      <c r="EK53" s="11">
        <v>45470</v>
      </c>
      <c r="EL53" s="12">
        <v>0.51</v>
      </c>
      <c r="EM53" s="12">
        <v>-4.55</v>
      </c>
      <c r="EN53" s="12">
        <v>-0.53</v>
      </c>
      <c r="EO53" s="12">
        <v>3.19</v>
      </c>
      <c r="EP53" s="12">
        <v>-2.58</v>
      </c>
    </row>
    <row r="54" spans="1:146" ht="108" x14ac:dyDescent="0.25">
      <c r="A54" s="6"/>
      <c r="B54" s="6"/>
      <c r="C54" s="6" t="str">
        <f>""&amp;CHAR(10)&amp;Basic_Fundamental_Information_Constructure(F54)&amp;CHAR(10)&amp;Basic_Fundamental_Information_Concatenate("")</f>
        <v xml:space="preserve">
市值40.997037亿, 利润-4398.41万; PE; 平均PE8.85; 平均PEG3.08, PB.801; ROIC17.63%; ROE12.3967%; 股利率0%; 毛利53.1167%; 净利16.1267%; 上一年度营收增-2.76%, 利润增14.24%; 当季营收增-17.77%, 利润增5952.94%; 过往5年营收增2.87%, 利润增218.33%
Income profile:
</v>
      </c>
      <c r="D54" t="s">
        <v>202</v>
      </c>
      <c r="E54" t="s">
        <v>42</v>
      </c>
      <c r="F54">
        <v>3.99</v>
      </c>
      <c r="G54">
        <v>5.28</v>
      </c>
      <c r="H54" t="s">
        <v>3673</v>
      </c>
      <c r="I54">
        <v>4099703700</v>
      </c>
      <c r="K54">
        <v>0.80100000000000005</v>
      </c>
      <c r="L54" t="s">
        <v>100</v>
      </c>
      <c r="M54" t="s">
        <v>1950</v>
      </c>
      <c r="N54" t="s">
        <v>3674</v>
      </c>
      <c r="O54" t="s">
        <v>1914</v>
      </c>
      <c r="P54">
        <v>-17.79</v>
      </c>
      <c r="Q54" t="s">
        <v>2415</v>
      </c>
      <c r="R54">
        <v>23101558</v>
      </c>
      <c r="S54" s="5">
        <v>59.53</v>
      </c>
      <c r="T54" t="s">
        <v>2416</v>
      </c>
      <c r="U54">
        <v>1023537160</v>
      </c>
      <c r="V54">
        <v>1027494660</v>
      </c>
      <c r="W54">
        <v>1.18</v>
      </c>
      <c r="X54">
        <v>0.13</v>
      </c>
      <c r="Y54">
        <v>2.86</v>
      </c>
      <c r="Z54" t="s">
        <v>2659</v>
      </c>
      <c r="AA54" t="s">
        <v>283</v>
      </c>
      <c r="AB54" t="s">
        <v>410</v>
      </c>
      <c r="AC54" t="s">
        <v>3675</v>
      </c>
      <c r="AD54" t="s">
        <v>81</v>
      </c>
      <c r="AE54">
        <v>-448960</v>
      </c>
      <c r="AF54" t="s">
        <v>2417</v>
      </c>
      <c r="AG54" t="s">
        <v>3676</v>
      </c>
      <c r="AH54" t="s">
        <v>2418</v>
      </c>
      <c r="AI54" t="s">
        <v>83</v>
      </c>
      <c r="AJ54" t="s">
        <v>2419</v>
      </c>
      <c r="AK54" t="s">
        <v>3677</v>
      </c>
      <c r="AL54" t="s">
        <v>2420</v>
      </c>
      <c r="AM54" t="s">
        <v>81</v>
      </c>
      <c r="AN54" t="s">
        <v>3678</v>
      </c>
      <c r="AO54" t="s">
        <v>2421</v>
      </c>
      <c r="AP54" t="s">
        <v>3679</v>
      </c>
      <c r="AQ54" t="s">
        <v>732</v>
      </c>
      <c r="AR54" t="s">
        <v>81</v>
      </c>
      <c r="AS54" t="s">
        <v>420</v>
      </c>
      <c r="AT54" t="s">
        <v>81</v>
      </c>
      <c r="AU54" t="s">
        <v>3680</v>
      </c>
      <c r="AV54" t="s">
        <v>3681</v>
      </c>
      <c r="AW54" t="s">
        <v>3682</v>
      </c>
      <c r="AX54" t="s">
        <v>1681</v>
      </c>
      <c r="AY54" t="s">
        <v>1237</v>
      </c>
      <c r="AZ54" t="s">
        <v>809</v>
      </c>
      <c r="BA54" t="s">
        <v>810</v>
      </c>
      <c r="BB54" t="s">
        <v>553</v>
      </c>
      <c r="BC54" t="s">
        <v>1682</v>
      </c>
      <c r="BD54" t="s">
        <v>1238</v>
      </c>
      <c r="BE54" t="s">
        <v>438</v>
      </c>
      <c r="BF54" t="s">
        <v>268</v>
      </c>
      <c r="BG54" t="s">
        <v>811</v>
      </c>
      <c r="BH54" t="s">
        <v>2415</v>
      </c>
      <c r="BI54" t="s">
        <v>835</v>
      </c>
      <c r="BJ54" t="s">
        <v>1681</v>
      </c>
      <c r="BK54" t="s">
        <v>2416</v>
      </c>
      <c r="BL54" t="s">
        <v>1919</v>
      </c>
      <c r="BM54" t="s">
        <v>1682</v>
      </c>
      <c r="BN54">
        <v>-0.02</v>
      </c>
      <c r="BO54" t="s">
        <v>81</v>
      </c>
      <c r="BP54">
        <v>35.28</v>
      </c>
      <c r="BQ54">
        <v>-0.02</v>
      </c>
      <c r="BR54">
        <v>-0.8</v>
      </c>
      <c r="BS54">
        <v>38.01</v>
      </c>
      <c r="BT54" t="s">
        <v>1526</v>
      </c>
      <c r="BU54" t="s">
        <v>1354</v>
      </c>
      <c r="BV54">
        <v>50.37</v>
      </c>
      <c r="BW54">
        <v>49.31</v>
      </c>
      <c r="BX54">
        <v>59.67</v>
      </c>
      <c r="BY54">
        <v>-1.32</v>
      </c>
      <c r="BZ54">
        <v>-1.53</v>
      </c>
      <c r="CA54">
        <v>51.23</v>
      </c>
      <c r="CB54">
        <v>4.45</v>
      </c>
      <c r="CC54">
        <v>-11.92</v>
      </c>
      <c r="CD54" t="s">
        <v>335</v>
      </c>
      <c r="CE54" t="s">
        <v>2629</v>
      </c>
      <c r="CF54" s="7">
        <v>-0.17770767613038907</v>
      </c>
      <c r="CG54" s="8">
        <v>59.529409678236632</v>
      </c>
      <c r="CH54" s="7">
        <v>-2.762136422097683E-2</v>
      </c>
      <c r="CI54" s="7">
        <v>-0.26796233654022217</v>
      </c>
      <c r="CJ54" s="7">
        <v>5.0742600113153458E-2</v>
      </c>
      <c r="CK54" s="7">
        <v>0.10206863284111023</v>
      </c>
      <c r="CL54" s="7">
        <v>0.28625732660293579</v>
      </c>
      <c r="CM54" s="8">
        <v>0.1424429714679718</v>
      </c>
      <c r="CN54" s="8">
        <v>-1.0195988416671753</v>
      </c>
      <c r="CO54" s="8">
        <v>8.9885492324829102</v>
      </c>
      <c r="CP54" s="8">
        <v>0.83216780424118042</v>
      </c>
      <c r="CQ54" s="8">
        <v>1.9727891683578491</v>
      </c>
      <c r="CR54">
        <v>8.8491538680126691</v>
      </c>
      <c r="CS54">
        <v>3.0836542413837367</v>
      </c>
      <c r="CT54">
        <v>0</v>
      </c>
      <c r="CU54" s="7">
        <v>2.8696971759200097E-2</v>
      </c>
      <c r="CV54" s="8">
        <v>2.1832700669765472</v>
      </c>
      <c r="CW54">
        <v>0.06</v>
      </c>
      <c r="CX54" t="e">
        <v>#VALUE!</v>
      </c>
      <c r="CY54" t="s">
        <v>1362</v>
      </c>
      <c r="CZ54">
        <v>2.8696971759200097E-2</v>
      </c>
      <c r="DA54" t="e">
        <v>#VALUE!</v>
      </c>
      <c r="DB54" t="s">
        <v>1362</v>
      </c>
      <c r="DC54">
        <v>2.7262123171240091E-2</v>
      </c>
      <c r="DD54" t="e">
        <v>#VALUE!</v>
      </c>
      <c r="DE54" t="s">
        <v>1362</v>
      </c>
      <c r="DF54">
        <v>2.5253335148096086E-2</v>
      </c>
      <c r="DG54" t="e">
        <v>#VALUE!</v>
      </c>
      <c r="DH54" t="s">
        <v>1362</v>
      </c>
      <c r="DI54">
        <v>2.295757740736008E-2</v>
      </c>
      <c r="DJ54" t="e">
        <v>#VALUE!</v>
      </c>
      <c r="DK54" t="s">
        <v>1362</v>
      </c>
      <c r="DL54">
        <v>2.0087880231440067E-2</v>
      </c>
      <c r="DM54">
        <v>-43984100</v>
      </c>
      <c r="DN54">
        <v>2.8696971759200097E-2</v>
      </c>
      <c r="DO54">
        <v>53703700</v>
      </c>
      <c r="DP54">
        <v>3405280200</v>
      </c>
      <c r="DQ54">
        <v>1647</v>
      </c>
      <c r="DR54">
        <v>-0.20640464788958918</v>
      </c>
      <c r="DS54">
        <v>57.346139611260085</v>
      </c>
      <c r="DT54" s="9">
        <v>-0.49</v>
      </c>
      <c r="DU54">
        <v>0.38533333333333325</v>
      </c>
      <c r="DV54">
        <v>-0.10466666666666674</v>
      </c>
      <c r="DW54">
        <v>6.2718387293830178</v>
      </c>
      <c r="DX54">
        <v>0.50154471544715551</v>
      </c>
      <c r="DY54">
        <v>6.0602244339486768</v>
      </c>
      <c r="DZ54">
        <v>1949</v>
      </c>
      <c r="EA54">
        <v>6.0372542927028903</v>
      </c>
      <c r="EB54">
        <v>6</v>
      </c>
      <c r="EC54">
        <v>0.10608327638413227</v>
      </c>
      <c r="ED54">
        <v>0.47883460533021166</v>
      </c>
      <c r="EE54" s="10">
        <v>-5.0343099999999996</v>
      </c>
      <c r="EF54">
        <v>-5.0524100000000001</v>
      </c>
      <c r="EG54">
        <v>28.221544715447155</v>
      </c>
      <c r="EH54" t="s">
        <v>3162</v>
      </c>
      <c r="EI54">
        <v>0</v>
      </c>
      <c r="EJ54">
        <v>0</v>
      </c>
      <c r="EK54" s="11">
        <v>45470</v>
      </c>
      <c r="EL54" s="12">
        <v>0.51</v>
      </c>
      <c r="EM54" s="12">
        <v>-5.0999999999999996</v>
      </c>
      <c r="EN54" s="12">
        <v>0.81</v>
      </c>
      <c r="EO54" s="12">
        <v>3.2</v>
      </c>
      <c r="EP54" s="12">
        <v>-1.81</v>
      </c>
    </row>
    <row r="55" spans="1:146" ht="108" x14ac:dyDescent="0.25">
      <c r="A55" s="6"/>
      <c r="B55" s="6"/>
      <c r="C55" s="6" t="str">
        <f>""&amp;CHAR(10)&amp;Basic_Fundamental_Information_Constructure(F55)&amp;CHAR(10)&amp;Basic_Fundamental_Information_Concatenate("")</f>
        <v xml:space="preserve">
市值45.565984亿, 利润2.32亿; PE16.98; 平均PE96.95; 平均PEG483.56, PB1.07; ROIC4.695%; ROE1.3267%; 股利率1.3055%; 毛利58.19%; 净利-2.57%; 上一年度营收增9.33%, 利润增13.17%; 当季营收增17.08%, 利润增42.4%; 过往5年营收增.2%, 利润增18.56%
Income profile:
</v>
      </c>
      <c r="D55" t="s">
        <v>161</v>
      </c>
      <c r="E55" t="s">
        <v>11</v>
      </c>
      <c r="F55">
        <v>3.83</v>
      </c>
      <c r="G55">
        <v>4.08</v>
      </c>
      <c r="H55" t="s">
        <v>1881</v>
      </c>
      <c r="I55">
        <v>4556598400</v>
      </c>
      <c r="J55">
        <v>16.98</v>
      </c>
      <c r="K55">
        <v>1.07</v>
      </c>
      <c r="L55" t="s">
        <v>100</v>
      </c>
      <c r="M55" t="s">
        <v>2423</v>
      </c>
      <c r="N55" t="s">
        <v>3683</v>
      </c>
      <c r="O55" t="s">
        <v>1738</v>
      </c>
      <c r="P55">
        <v>17.13</v>
      </c>
      <c r="Q55" t="s">
        <v>2424</v>
      </c>
      <c r="R55">
        <v>122500110</v>
      </c>
      <c r="S55" s="5">
        <v>0.42399999999999999</v>
      </c>
      <c r="T55" t="s">
        <v>328</v>
      </c>
      <c r="U55">
        <v>967876870</v>
      </c>
      <c r="V55">
        <v>1189712380</v>
      </c>
      <c r="W55">
        <v>1.41</v>
      </c>
      <c r="X55">
        <v>0.14000000000000001</v>
      </c>
      <c r="Y55">
        <v>15.11</v>
      </c>
      <c r="Z55" t="s">
        <v>2089</v>
      </c>
      <c r="AA55" t="s">
        <v>1431</v>
      </c>
      <c r="AB55" t="s">
        <v>311</v>
      </c>
      <c r="AC55" t="s">
        <v>3684</v>
      </c>
      <c r="AD55" t="s">
        <v>81</v>
      </c>
      <c r="AE55">
        <v>-756152</v>
      </c>
      <c r="AF55" t="s">
        <v>2426</v>
      </c>
      <c r="AG55" t="s">
        <v>3685</v>
      </c>
      <c r="AH55" t="s">
        <v>2427</v>
      </c>
      <c r="AI55" t="s">
        <v>1609</v>
      </c>
      <c r="AJ55" t="s">
        <v>2428</v>
      </c>
      <c r="AK55" t="s">
        <v>3686</v>
      </c>
      <c r="AL55" t="s">
        <v>2429</v>
      </c>
      <c r="AM55" t="s">
        <v>81</v>
      </c>
      <c r="AN55" t="s">
        <v>352</v>
      </c>
      <c r="AO55" t="s">
        <v>450</v>
      </c>
      <c r="AP55" t="s">
        <v>312</v>
      </c>
      <c r="AQ55" t="s">
        <v>413</v>
      </c>
      <c r="AR55" t="s">
        <v>3687</v>
      </c>
      <c r="AS55" t="s">
        <v>2808</v>
      </c>
      <c r="AT55" t="s">
        <v>1935</v>
      </c>
      <c r="AU55" t="s">
        <v>246</v>
      </c>
      <c r="AV55" t="s">
        <v>3688</v>
      </c>
      <c r="AW55" t="s">
        <v>1883</v>
      </c>
      <c r="AX55" t="s">
        <v>1683</v>
      </c>
      <c r="AY55" t="s">
        <v>1239</v>
      </c>
      <c r="AZ55" t="s">
        <v>812</v>
      </c>
      <c r="BA55" t="s">
        <v>814</v>
      </c>
      <c r="BB55" t="s">
        <v>815</v>
      </c>
      <c r="BC55" t="s">
        <v>1073</v>
      </c>
      <c r="BD55" t="s">
        <v>1240</v>
      </c>
      <c r="BE55" t="s">
        <v>289</v>
      </c>
      <c r="BF55" t="s">
        <v>285</v>
      </c>
      <c r="BG55" t="s">
        <v>816</v>
      </c>
      <c r="BH55" t="s">
        <v>2424</v>
      </c>
      <c r="BI55" t="s">
        <v>1871</v>
      </c>
      <c r="BJ55" t="s">
        <v>1683</v>
      </c>
      <c r="BK55" t="s">
        <v>328</v>
      </c>
      <c r="BL55" t="s">
        <v>1921</v>
      </c>
      <c r="BM55" t="s">
        <v>1073</v>
      </c>
      <c r="BN55">
        <v>5.16</v>
      </c>
      <c r="BO55">
        <v>4.2300000000000004</v>
      </c>
      <c r="BP55" t="s">
        <v>81</v>
      </c>
      <c r="BQ55">
        <v>6.23</v>
      </c>
      <c r="BR55">
        <v>5.33</v>
      </c>
      <c r="BS55">
        <v>-7.58</v>
      </c>
      <c r="BT55" t="s">
        <v>1546</v>
      </c>
      <c r="BU55" t="s">
        <v>1354</v>
      </c>
      <c r="BV55">
        <v>53.36</v>
      </c>
      <c r="BW55">
        <v>58.37</v>
      </c>
      <c r="BX55">
        <v>62.84</v>
      </c>
      <c r="BY55">
        <v>8.85</v>
      </c>
      <c r="BZ55">
        <v>8.2899999999999991</v>
      </c>
      <c r="CA55">
        <v>-24.85</v>
      </c>
      <c r="CB55">
        <v>2.41</v>
      </c>
      <c r="CC55">
        <v>-5.9</v>
      </c>
      <c r="CD55" t="s">
        <v>3689</v>
      </c>
      <c r="CE55" t="s">
        <v>534</v>
      </c>
      <c r="CF55" s="7">
        <v>0.170767004341534</v>
      </c>
      <c r="CG55" s="8">
        <v>0.42403406983921799</v>
      </c>
      <c r="CH55" s="7">
        <v>9.3311257660388947E-2</v>
      </c>
      <c r="CI55" s="7">
        <v>-1.2637509033083916E-2</v>
      </c>
      <c r="CJ55" s="7">
        <v>3.5895243287086487E-2</v>
      </c>
      <c r="CK55" s="7">
        <v>-0.14850771427154541</v>
      </c>
      <c r="CL55" s="7">
        <v>4.1963282972574234E-2</v>
      </c>
      <c r="CM55" s="8">
        <v>0.13170731067657471</v>
      </c>
      <c r="CN55" s="8">
        <v>1.6902357339859009</v>
      </c>
      <c r="CO55" s="8">
        <v>-2.4210526943206787</v>
      </c>
      <c r="CP55" s="8">
        <v>-0.28668943047523499</v>
      </c>
      <c r="CQ55" s="8">
        <v>1.8138889074325562</v>
      </c>
      <c r="CR55">
        <v>96.948902127659579</v>
      </c>
      <c r="CS55">
        <v>483.55686521824879</v>
      </c>
      <c r="CT55">
        <v>1.3054830287206267</v>
      </c>
      <c r="CU55" s="7">
        <v>2.0049121230840683E-3</v>
      </c>
      <c r="CV55" s="8">
        <v>0.18561796545982362</v>
      </c>
      <c r="CW55">
        <v>0.06</v>
      </c>
      <c r="CX55">
        <v>9.5920373597365316</v>
      </c>
      <c r="CY55">
        <v>219306735.48354289</v>
      </c>
      <c r="CZ55">
        <v>2.0049121230840683E-3</v>
      </c>
      <c r="DA55">
        <v>3.3795020069881989</v>
      </c>
      <c r="DB55">
        <v>622458100.52787054</v>
      </c>
      <c r="DC55">
        <v>1.9046665169298648E-3</v>
      </c>
      <c r="DD55">
        <v>1.8331348420165987</v>
      </c>
      <c r="DE55">
        <v>1147541551.1091752</v>
      </c>
      <c r="DF55">
        <v>1.7643226683139801E-3</v>
      </c>
      <c r="DG55">
        <v>1.2220583839612642</v>
      </c>
      <c r="DH55">
        <v>1721356710.6190555</v>
      </c>
      <c r="DI55">
        <v>1.6039296984672548E-3</v>
      </c>
      <c r="DJ55">
        <v>0.78101595387952294</v>
      </c>
      <c r="DK55">
        <v>2693412842.0179429</v>
      </c>
      <c r="DL55">
        <v>1.4034384861588477E-3</v>
      </c>
      <c r="DM55">
        <v>231999999.99999997</v>
      </c>
      <c r="DN55">
        <v>2.0049121230840683E-3</v>
      </c>
      <c r="DO55">
        <v>2103598400.0000005</v>
      </c>
      <c r="DP55">
        <v>933460500</v>
      </c>
      <c r="DQ55">
        <v>1681</v>
      </c>
      <c r="DR55">
        <v>0.16876209221844993</v>
      </c>
      <c r="DS55">
        <v>0.23841610437939437</v>
      </c>
      <c r="DT55" s="9">
        <v>-0.44</v>
      </c>
      <c r="DU55">
        <v>0.3899999999999999</v>
      </c>
      <c r="DV55">
        <v>-5.00000000000001E-2</v>
      </c>
      <c r="DW55">
        <v>-1.0589999999999999</v>
      </c>
      <c r="DX55">
        <v>0.5357766927835067</v>
      </c>
      <c r="DY55">
        <v>-1.0086008248742269</v>
      </c>
      <c r="DZ55">
        <v>1831</v>
      </c>
      <c r="EA55">
        <v>-1.0055190028889609</v>
      </c>
      <c r="EB55">
        <v>1</v>
      </c>
      <c r="EC55">
        <v>5.9427556767964372E-2</v>
      </c>
      <c r="ED55">
        <v>0.40766155598044623</v>
      </c>
      <c r="EE55" s="10">
        <v>-2.05341</v>
      </c>
      <c r="EF55">
        <v>-2.0718100000000002</v>
      </c>
      <c r="EG55">
        <v>39.145776692783507</v>
      </c>
      <c r="EH55" t="s">
        <v>1368</v>
      </c>
      <c r="EI55">
        <v>0</v>
      </c>
      <c r="EJ55">
        <v>0</v>
      </c>
      <c r="EK55" s="11">
        <v>45470</v>
      </c>
      <c r="EL55" s="12">
        <v>1.6</v>
      </c>
      <c r="EM55" s="12">
        <v>-4.2</v>
      </c>
      <c r="EN55" s="12">
        <v>1.64</v>
      </c>
      <c r="EO55" s="12">
        <v>2.7</v>
      </c>
      <c r="EP55" s="12">
        <v>-1.84</v>
      </c>
    </row>
    <row r="56" spans="1:146" ht="108" x14ac:dyDescent="0.25">
      <c r="A56" s="6"/>
      <c r="B56" s="6"/>
      <c r="C56" s="6" t="str">
        <f>""&amp;CHAR(10)&amp;Basic_Fundamental_Information_Constructure(F56)&amp;CHAR(10)&amp;Basic_Fundamental_Information_Concatenate("")</f>
        <v xml:space="preserve">
市值91.680451亿, 利润-5.14亿; PE; 平均PE-20.46; 平均PEG-1.36, PB12.26; ROIC2.84%; ROE-12.99%; 股利率0%; 毛利66.23%; 净利-56.1733%; 上一年度营收增-38.78%, 利润增-38.54%; 当季营收增-14.77%, 利润增-175.79%; 过往5年营收增-15%, 利润增-273.21%
Income profile:
</v>
      </c>
      <c r="D56" t="s">
        <v>203</v>
      </c>
      <c r="E56" t="s">
        <v>19</v>
      </c>
      <c r="F56">
        <v>10.38</v>
      </c>
      <c r="G56">
        <v>2.17</v>
      </c>
      <c r="H56" t="s">
        <v>3690</v>
      </c>
      <c r="I56">
        <v>9168045100</v>
      </c>
      <c r="K56">
        <v>12.26</v>
      </c>
      <c r="L56" t="s">
        <v>100</v>
      </c>
      <c r="M56" t="s">
        <v>2431</v>
      </c>
      <c r="N56" t="s">
        <v>3691</v>
      </c>
      <c r="O56" t="s">
        <v>290</v>
      </c>
      <c r="P56">
        <v>-14.73</v>
      </c>
      <c r="Q56" t="s">
        <v>863</v>
      </c>
      <c r="R56">
        <v>-14102003</v>
      </c>
      <c r="S56" s="5">
        <v>-1.758</v>
      </c>
      <c r="T56" t="s">
        <v>2432</v>
      </c>
      <c r="U56">
        <v>666033810</v>
      </c>
      <c r="V56">
        <v>883241340</v>
      </c>
      <c r="W56">
        <v>3.86</v>
      </c>
      <c r="X56">
        <v>0.05</v>
      </c>
      <c r="Y56">
        <v>-9.5500000000000007</v>
      </c>
      <c r="Z56" t="s">
        <v>402</v>
      </c>
      <c r="AA56" t="s">
        <v>3692</v>
      </c>
      <c r="AB56" t="s">
        <v>3693</v>
      </c>
      <c r="AC56" t="s">
        <v>3694</v>
      </c>
      <c r="AD56" t="s">
        <v>81</v>
      </c>
      <c r="AE56">
        <v>30389708</v>
      </c>
      <c r="AF56" t="s">
        <v>236</v>
      </c>
      <c r="AG56">
        <v>858.03</v>
      </c>
      <c r="AH56" t="s">
        <v>2433</v>
      </c>
      <c r="AI56" t="s">
        <v>3695</v>
      </c>
      <c r="AJ56" t="s">
        <v>2434</v>
      </c>
      <c r="AK56" t="s">
        <v>3696</v>
      </c>
      <c r="AL56" t="s">
        <v>2435</v>
      </c>
      <c r="AM56" t="s">
        <v>81</v>
      </c>
      <c r="AN56" t="s">
        <v>3697</v>
      </c>
      <c r="AO56" t="s">
        <v>566</v>
      </c>
      <c r="AP56" t="s">
        <v>81</v>
      </c>
      <c r="AQ56" t="s">
        <v>381</v>
      </c>
      <c r="AR56" t="s">
        <v>3698</v>
      </c>
      <c r="AS56" t="s">
        <v>783</v>
      </c>
      <c r="AT56" t="s">
        <v>3699</v>
      </c>
      <c r="AU56" t="s">
        <v>3700</v>
      </c>
      <c r="AV56" t="s">
        <v>3701</v>
      </c>
      <c r="AW56" t="s">
        <v>3702</v>
      </c>
      <c r="AX56" t="s">
        <v>847</v>
      </c>
      <c r="AY56" t="s">
        <v>954</v>
      </c>
      <c r="AZ56" t="s">
        <v>642</v>
      </c>
      <c r="BA56" t="s">
        <v>369</v>
      </c>
      <c r="BB56" t="s">
        <v>819</v>
      </c>
      <c r="BC56" t="s">
        <v>1685</v>
      </c>
      <c r="BD56" t="s">
        <v>1241</v>
      </c>
      <c r="BE56" t="s">
        <v>817</v>
      </c>
      <c r="BF56" t="s">
        <v>820</v>
      </c>
      <c r="BG56" t="s">
        <v>821</v>
      </c>
      <c r="BH56" t="s">
        <v>863</v>
      </c>
      <c r="BI56" t="s">
        <v>270</v>
      </c>
      <c r="BJ56" t="s">
        <v>847</v>
      </c>
      <c r="BK56" t="s">
        <v>2432</v>
      </c>
      <c r="BL56" t="s">
        <v>1922</v>
      </c>
      <c r="BM56" t="s">
        <v>1685</v>
      </c>
      <c r="BN56" t="s">
        <v>81</v>
      </c>
      <c r="BO56" t="s">
        <v>81</v>
      </c>
      <c r="BP56">
        <v>2.84</v>
      </c>
      <c r="BQ56">
        <v>-15.08</v>
      </c>
      <c r="BR56">
        <v>-25.78</v>
      </c>
      <c r="BS56">
        <v>1.89</v>
      </c>
      <c r="BT56" t="s">
        <v>1526</v>
      </c>
      <c r="BU56" t="s">
        <v>1354</v>
      </c>
      <c r="BV56">
        <v>49.31</v>
      </c>
      <c r="BW56">
        <v>77.34</v>
      </c>
      <c r="BX56">
        <v>72.040000000000006</v>
      </c>
      <c r="BY56">
        <v>-119.49</v>
      </c>
      <c r="BZ56">
        <v>-52.89</v>
      </c>
      <c r="CA56">
        <v>3.86</v>
      </c>
      <c r="CB56">
        <v>-4.33</v>
      </c>
      <c r="CC56">
        <v>-12.85</v>
      </c>
      <c r="CD56" t="s">
        <v>3703</v>
      </c>
      <c r="CE56" t="s">
        <v>2659</v>
      </c>
      <c r="CF56" s="7">
        <v>-0.14772727272727273</v>
      </c>
      <c r="CG56" s="8">
        <v>-1.7579440061056886</v>
      </c>
      <c r="CH56" s="7">
        <v>-0.38778409361839294</v>
      </c>
      <c r="CI56" s="7">
        <v>-4.3478261679410934E-2</v>
      </c>
      <c r="CJ56" s="7">
        <v>1.9390581175684929E-2</v>
      </c>
      <c r="CK56" s="7">
        <v>0.17589576542377472</v>
      </c>
      <c r="CL56" s="7">
        <v>-0.51424050331115723</v>
      </c>
      <c r="CM56" s="8">
        <v>-0.38544473052024841</v>
      </c>
      <c r="CN56" s="8">
        <v>-13.042405128479004</v>
      </c>
      <c r="CO56" s="8">
        <v>1.05058753490448</v>
      </c>
      <c r="CP56" s="8">
        <v>0.31186440587043762</v>
      </c>
      <c r="CQ56" s="8">
        <v>-1.5953079462051392</v>
      </c>
      <c r="CR56">
        <v>-20.455313904301821</v>
      </c>
      <c r="CS56">
        <v>-1.3632940342455937</v>
      </c>
      <c r="CT56">
        <v>0</v>
      </c>
      <c r="CU56" s="7">
        <v>-0.15004330240190028</v>
      </c>
      <c r="CV56" s="8">
        <v>-2.7321411728858949</v>
      </c>
      <c r="CW56">
        <v>0.06</v>
      </c>
      <c r="CX56" t="e">
        <v>#VALUE!</v>
      </c>
      <c r="CY56" t="s">
        <v>1361</v>
      </c>
      <c r="CZ56">
        <v>-0.15004330240190028</v>
      </c>
      <c r="DA56" t="e">
        <v>#VALUE!</v>
      </c>
      <c r="DB56" t="s">
        <v>1362</v>
      </c>
      <c r="DC56">
        <v>-0.14254113728180526</v>
      </c>
      <c r="DD56" t="e">
        <v>#VALUE!</v>
      </c>
      <c r="DE56" t="s">
        <v>1362</v>
      </c>
      <c r="DF56">
        <v>-0.13203810611367225</v>
      </c>
      <c r="DG56" t="e">
        <v>#VALUE!</v>
      </c>
      <c r="DH56" t="s">
        <v>1362</v>
      </c>
      <c r="DI56">
        <v>-0.12003464192152023</v>
      </c>
      <c r="DJ56" t="e">
        <v>#VALUE!</v>
      </c>
      <c r="DK56" t="s">
        <v>1362</v>
      </c>
      <c r="DL56">
        <v>-0.10503031168133019</v>
      </c>
      <c r="DM56">
        <v>-513999999.99999994</v>
      </c>
      <c r="DN56">
        <v>-0.15004330240190028</v>
      </c>
      <c r="DO56">
        <v>10888045100</v>
      </c>
      <c r="DP56">
        <v>-606933169.99999988</v>
      </c>
      <c r="DQ56">
        <v>1686</v>
      </c>
      <c r="DR56">
        <v>2.3160296746275455E-3</v>
      </c>
      <c r="DS56">
        <v>0.97419716678020629</v>
      </c>
      <c r="DT56" s="9">
        <v>-0.59</v>
      </c>
      <c r="DU56">
        <v>-2.8483333333333332</v>
      </c>
      <c r="DV56">
        <v>-3.438333333333333</v>
      </c>
      <c r="DW56">
        <v>-8.3369649805447477</v>
      </c>
      <c r="DX56">
        <v>0.35648615849056697</v>
      </c>
      <c r="DY56">
        <v>-8.0325124565186101</v>
      </c>
      <c r="DZ56">
        <v>5018</v>
      </c>
      <c r="EA56">
        <v>-8.0005853514676541</v>
      </c>
      <c r="EB56">
        <v>8</v>
      </c>
      <c r="EC56">
        <v>8.6846591668818404E-2</v>
      </c>
      <c r="ED56">
        <v>0.90009373881888277</v>
      </c>
      <c r="EE56" s="10">
        <v>-6.0026099999999998</v>
      </c>
      <c r="EF56">
        <v>-6.0534100000000004</v>
      </c>
      <c r="EG56">
        <v>26.096486158490567</v>
      </c>
      <c r="EH56" t="s">
        <v>3704</v>
      </c>
      <c r="EI56">
        <v>0</v>
      </c>
      <c r="EJ56">
        <v>0</v>
      </c>
      <c r="EK56" s="11">
        <v>45470</v>
      </c>
      <c r="EL56" s="12">
        <v>-0.51</v>
      </c>
      <c r="EM56" s="12">
        <v>-8.0299999999999994</v>
      </c>
      <c r="EN56" s="12">
        <v>5.2</v>
      </c>
      <c r="EO56" s="12">
        <v>0.71</v>
      </c>
      <c r="EP56" s="12">
        <v>-5.08</v>
      </c>
    </row>
    <row r="57" spans="1:146" ht="96" x14ac:dyDescent="0.25">
      <c r="A57" s="6"/>
      <c r="B57" s="6"/>
      <c r="C57" s="6" t="str">
        <f>""&amp;CHAR(10)&amp;Basic_Fundamental_Information_Constructure(F57)&amp;CHAR(10)&amp;Basic_Fundamental_Information_Concatenate("")</f>
        <v xml:space="preserve">
市值27.758585亿, 利润-3.99亿; PE; 平均PE-23.63; 平均PEG-2.11, PB2.7; ROIC0%; ROE-12.3667%; 股利率0%; 毛利81.55%; 净利-56.3133%; 上一年度营收增-33.7%, 利润增-102.54%; 当季营收增46.09%, 利润增92.26%; 过往5年营收增-11.19%, 利润增-163.23%
Income profile:
</v>
      </c>
      <c r="D57" t="s">
        <v>1424</v>
      </c>
      <c r="E57" t="s">
        <v>1425</v>
      </c>
      <c r="F57">
        <v>5.81</v>
      </c>
      <c r="G57">
        <v>3.94</v>
      </c>
      <c r="H57" t="s">
        <v>3705</v>
      </c>
      <c r="I57">
        <v>2775858500</v>
      </c>
      <c r="K57">
        <v>2.7</v>
      </c>
      <c r="L57" t="s">
        <v>100</v>
      </c>
      <c r="M57" t="s">
        <v>1678</v>
      </c>
      <c r="N57" t="s">
        <v>695</v>
      </c>
      <c r="O57" t="s">
        <v>2437</v>
      </c>
      <c r="P57">
        <v>46.09</v>
      </c>
      <c r="Q57" t="s">
        <v>392</v>
      </c>
      <c r="R57">
        <v>-3769396</v>
      </c>
      <c r="S57" s="5">
        <v>0.92259999999999998</v>
      </c>
      <c r="T57" t="s">
        <v>2438</v>
      </c>
      <c r="U57">
        <v>471639180</v>
      </c>
      <c r="V57">
        <v>477772560</v>
      </c>
      <c r="W57">
        <v>1.27</v>
      </c>
      <c r="X57">
        <v>7.0000000000000007E-2</v>
      </c>
      <c r="Y57">
        <v>-3.97</v>
      </c>
      <c r="Z57" t="s">
        <v>3706</v>
      </c>
      <c r="AA57" t="s">
        <v>3707</v>
      </c>
      <c r="AB57" t="s">
        <v>3708</v>
      </c>
      <c r="AC57" t="s">
        <v>3709</v>
      </c>
      <c r="AD57" t="s">
        <v>81</v>
      </c>
      <c r="AE57">
        <v>88819</v>
      </c>
      <c r="AF57" t="s">
        <v>2439</v>
      </c>
      <c r="AG57" t="s">
        <v>3710</v>
      </c>
      <c r="AH57" t="s">
        <v>2440</v>
      </c>
      <c r="AI57" t="s">
        <v>3711</v>
      </c>
      <c r="AJ57" t="s">
        <v>2441</v>
      </c>
      <c r="AK57" t="s">
        <v>3712</v>
      </c>
      <c r="AL57" t="s">
        <v>2442</v>
      </c>
      <c r="AM57" t="s">
        <v>81</v>
      </c>
      <c r="AN57">
        <v>0</v>
      </c>
      <c r="AO57" t="s">
        <v>2443</v>
      </c>
      <c r="AP57" t="s">
        <v>81</v>
      </c>
      <c r="AQ57" t="s">
        <v>3713</v>
      </c>
      <c r="AR57" t="s">
        <v>81</v>
      </c>
      <c r="AS57" t="s">
        <v>303</v>
      </c>
      <c r="AT57" t="s">
        <v>81</v>
      </c>
      <c r="AU57" t="s">
        <v>3714</v>
      </c>
      <c r="AV57" t="s">
        <v>3715</v>
      </c>
      <c r="AW57" t="s">
        <v>3716</v>
      </c>
      <c r="AX57" t="s">
        <v>436</v>
      </c>
      <c r="AY57" t="s">
        <v>1426</v>
      </c>
      <c r="AZ57" t="s">
        <v>946</v>
      </c>
      <c r="BA57" t="s">
        <v>1428</v>
      </c>
      <c r="BB57" t="s">
        <v>996</v>
      </c>
      <c r="BC57" t="s">
        <v>1687</v>
      </c>
      <c r="BD57" t="s">
        <v>1427</v>
      </c>
      <c r="BE57" t="s">
        <v>1405</v>
      </c>
      <c r="BF57" t="s">
        <v>1429</v>
      </c>
      <c r="BG57" t="s">
        <v>324</v>
      </c>
      <c r="BH57" t="s">
        <v>392</v>
      </c>
      <c r="BI57" t="s">
        <v>1923</v>
      </c>
      <c r="BJ57" t="s">
        <v>436</v>
      </c>
      <c r="BK57" t="s">
        <v>2438</v>
      </c>
      <c r="BL57" t="s">
        <v>1924</v>
      </c>
      <c r="BM57" t="s">
        <v>1687</v>
      </c>
      <c r="BN57" t="s">
        <v>81</v>
      </c>
      <c r="BO57" t="s">
        <v>81</v>
      </c>
      <c r="BP57" t="s">
        <v>81</v>
      </c>
      <c r="BQ57">
        <v>-14.71</v>
      </c>
      <c r="BR57">
        <v>-13.6</v>
      </c>
      <c r="BS57">
        <v>-8.7899999999999991</v>
      </c>
      <c r="BT57" t="s">
        <v>1526</v>
      </c>
      <c r="BU57" t="s">
        <v>1354</v>
      </c>
      <c r="BV57">
        <v>82.23</v>
      </c>
      <c r="BW57">
        <v>81.52</v>
      </c>
      <c r="BX57">
        <v>80.900000000000006</v>
      </c>
      <c r="BY57">
        <v>-109.53</v>
      </c>
      <c r="BZ57">
        <v>-35.89</v>
      </c>
      <c r="CA57">
        <v>-23.52</v>
      </c>
      <c r="CB57">
        <v>2.65</v>
      </c>
      <c r="CC57">
        <v>-9.08</v>
      </c>
      <c r="CD57" t="s">
        <v>3717</v>
      </c>
      <c r="CE57" t="s">
        <v>312</v>
      </c>
      <c r="CF57" s="7">
        <v>0.46089650123351977</v>
      </c>
      <c r="CG57" s="8">
        <v>0.92263938429964087</v>
      </c>
      <c r="CH57" s="7">
        <v>-0.3369763195514679</v>
      </c>
      <c r="CI57" s="7">
        <v>-5.9931505471467972E-2</v>
      </c>
      <c r="CJ57" s="7">
        <v>0.3741176426410675</v>
      </c>
      <c r="CK57" s="7">
        <v>-0.35703480243682861</v>
      </c>
      <c r="CL57" s="7">
        <v>-0.17990075051784515</v>
      </c>
      <c r="CM57" s="8">
        <v>-1.0253807306289673</v>
      </c>
      <c r="CN57" s="8">
        <v>-0.43795621395111084</v>
      </c>
      <c r="CO57" s="8">
        <v>-3.0075188726186752E-2</v>
      </c>
      <c r="CP57" s="8">
        <v>-5.8719015121459961</v>
      </c>
      <c r="CQ57" s="8">
        <v>-0.79627311229705811</v>
      </c>
      <c r="CR57">
        <v>-23.634364721698834</v>
      </c>
      <c r="CS57">
        <v>-2.1112451357528141</v>
      </c>
      <c r="CT57">
        <v>0</v>
      </c>
      <c r="CU57" s="7">
        <v>-0.11194514706730843</v>
      </c>
      <c r="CV57" s="8">
        <v>-1.6323173515498639</v>
      </c>
      <c r="CW57">
        <v>0.06</v>
      </c>
      <c r="CX57" t="e">
        <v>#VALUE!</v>
      </c>
      <c r="CY57" t="s">
        <v>1361</v>
      </c>
      <c r="CZ57">
        <v>-0.11194514706730843</v>
      </c>
      <c r="DA57" t="e">
        <v>#VALUE!</v>
      </c>
      <c r="DB57" t="s">
        <v>1362</v>
      </c>
      <c r="DC57">
        <v>-0.106347889713943</v>
      </c>
      <c r="DD57" t="e">
        <v>#VALUE!</v>
      </c>
      <c r="DE57" t="s">
        <v>1362</v>
      </c>
      <c r="DF57">
        <v>-9.851172941923142E-2</v>
      </c>
      <c r="DG57" t="e">
        <v>#VALUE!</v>
      </c>
      <c r="DH57" t="s">
        <v>1362</v>
      </c>
      <c r="DI57">
        <v>-8.9556117653846745E-2</v>
      </c>
      <c r="DJ57" t="e">
        <v>#VALUE!</v>
      </c>
      <c r="DK57" t="s">
        <v>1362</v>
      </c>
      <c r="DL57">
        <v>-7.8361602947115902E-2</v>
      </c>
      <c r="DM57">
        <v>-399000000</v>
      </c>
      <c r="DN57">
        <v>-0.11194514706730843</v>
      </c>
      <c r="DO57">
        <v>2058858500</v>
      </c>
      <c r="DP57">
        <v>25129960</v>
      </c>
      <c r="DQ57">
        <v>1690</v>
      </c>
      <c r="DR57">
        <v>0.57284164830082818</v>
      </c>
      <c r="DS57">
        <v>2.5549567358495047</v>
      </c>
      <c r="DT57" s="9">
        <v>-0.69</v>
      </c>
      <c r="DU57">
        <v>-2.6016666666666666</v>
      </c>
      <c r="DV57">
        <v>-3.2916666666666665</v>
      </c>
      <c r="DW57">
        <v>6.2259164535379368</v>
      </c>
      <c r="DX57">
        <v>0.48827538461538639</v>
      </c>
      <c r="DY57">
        <v>6.0357570135746608</v>
      </c>
      <c r="DZ57">
        <v>4984</v>
      </c>
      <c r="EA57">
        <v>6.0008816797867723</v>
      </c>
      <c r="EB57">
        <v>6</v>
      </c>
      <c r="EC57">
        <v>4.3066098228830889E-2</v>
      </c>
      <c r="ED57">
        <v>0.27209599479718971</v>
      </c>
      <c r="EE57" s="10">
        <v>-4.0952000000000002</v>
      </c>
      <c r="EF57">
        <v>-4.09</v>
      </c>
      <c r="EG57">
        <v>33.158275384615386</v>
      </c>
      <c r="EH57" t="s">
        <v>2022</v>
      </c>
      <c r="EI57">
        <v>0</v>
      </c>
      <c r="EJ57">
        <v>0</v>
      </c>
      <c r="EK57" s="11">
        <v>45470</v>
      </c>
      <c r="EL57" s="12">
        <v>0.85</v>
      </c>
      <c r="EM57" s="12">
        <v>-6.09</v>
      </c>
      <c r="EN57" s="12">
        <v>2.16</v>
      </c>
      <c r="EO57" s="12">
        <v>2.12</v>
      </c>
      <c r="EP57" s="12">
        <v>-0.52</v>
      </c>
    </row>
    <row r="58" spans="1:146" ht="108" x14ac:dyDescent="0.25">
      <c r="A58" s="6"/>
      <c r="B58" s="6"/>
      <c r="C58" s="6" t="str">
        <f>""&amp;CHAR(10)&amp;Basic_Fundamental_Information_Constructure(F58)&amp;CHAR(10)&amp;Basic_Fundamental_Information_Concatenate("")</f>
        <v xml:space="preserve">
市值57.043764亿, 利润1.75亿; PE27.49; 平均PE64.09; 平均PEG18.34, PB1.52; ROIC4.6567%; ROE4.8633%; 股利率1.3459%; 毛利47.5233%; 净利5.8433%; 上一年度营收增.91%, 利润增-35.9%; 当季营收增12.29%, 利润增65.43%; 过往5年营收增3.5%, 利润增-25.01%
Income profile:
</v>
      </c>
      <c r="D58" t="s">
        <v>186</v>
      </c>
      <c r="E58" t="s">
        <v>67</v>
      </c>
      <c r="F58">
        <v>14.86</v>
      </c>
      <c r="G58">
        <v>3.48</v>
      </c>
      <c r="H58" t="s">
        <v>3718</v>
      </c>
      <c r="I58">
        <v>5704376400</v>
      </c>
      <c r="J58">
        <v>27.49</v>
      </c>
      <c r="K58">
        <v>1.52</v>
      </c>
      <c r="L58" t="s">
        <v>100</v>
      </c>
      <c r="M58" t="s">
        <v>607</v>
      </c>
      <c r="N58" t="s">
        <v>3719</v>
      </c>
      <c r="O58" t="s">
        <v>2444</v>
      </c>
      <c r="P58">
        <v>12.32</v>
      </c>
      <c r="Q58" t="s">
        <v>2445</v>
      </c>
      <c r="R58">
        <v>82971350</v>
      </c>
      <c r="S58" s="5">
        <v>0.65429999999999999</v>
      </c>
      <c r="T58" t="s">
        <v>467</v>
      </c>
      <c r="U58">
        <v>370192230</v>
      </c>
      <c r="V58">
        <v>383874590</v>
      </c>
      <c r="W58">
        <v>1.55</v>
      </c>
      <c r="X58">
        <v>0.16</v>
      </c>
      <c r="Y58">
        <v>9.57</v>
      </c>
      <c r="Z58" t="s">
        <v>523</v>
      </c>
      <c r="AA58" t="s">
        <v>351</v>
      </c>
      <c r="AB58" t="s">
        <v>395</v>
      </c>
      <c r="AC58" t="s">
        <v>3720</v>
      </c>
      <c r="AD58" t="s">
        <v>81</v>
      </c>
      <c r="AE58">
        <v>-541602</v>
      </c>
      <c r="AF58" t="s">
        <v>2446</v>
      </c>
      <c r="AG58" t="s">
        <v>3721</v>
      </c>
      <c r="AH58" t="s">
        <v>2447</v>
      </c>
      <c r="AI58" t="s">
        <v>903</v>
      </c>
      <c r="AJ58" t="s">
        <v>2448</v>
      </c>
      <c r="AK58" t="s">
        <v>3722</v>
      </c>
      <c r="AL58" t="s">
        <v>2449</v>
      </c>
      <c r="AM58" t="s">
        <v>81</v>
      </c>
      <c r="AN58" t="s">
        <v>3723</v>
      </c>
      <c r="AO58" t="s">
        <v>3724</v>
      </c>
      <c r="AP58" t="s">
        <v>313</v>
      </c>
      <c r="AQ58" t="s">
        <v>480</v>
      </c>
      <c r="AR58" t="s">
        <v>81</v>
      </c>
      <c r="AS58" t="s">
        <v>1300</v>
      </c>
      <c r="AT58" t="s">
        <v>3207</v>
      </c>
      <c r="AU58" t="s">
        <v>3725</v>
      </c>
      <c r="AV58" t="s">
        <v>3726</v>
      </c>
      <c r="AW58" t="s">
        <v>3727</v>
      </c>
      <c r="AX58" t="s">
        <v>1688</v>
      </c>
      <c r="AY58" t="s">
        <v>1085</v>
      </c>
      <c r="AZ58" t="s">
        <v>823</v>
      </c>
      <c r="BA58" t="s">
        <v>826</v>
      </c>
      <c r="BB58" t="s">
        <v>827</v>
      </c>
      <c r="BC58" t="s">
        <v>579</v>
      </c>
      <c r="BD58" t="s">
        <v>253</v>
      </c>
      <c r="BE58" t="s">
        <v>824</v>
      </c>
      <c r="BF58" t="s">
        <v>91</v>
      </c>
      <c r="BG58" t="s">
        <v>89</v>
      </c>
      <c r="BH58" t="s">
        <v>2445</v>
      </c>
      <c r="BI58" t="s">
        <v>1686</v>
      </c>
      <c r="BJ58" t="s">
        <v>1688</v>
      </c>
      <c r="BK58" t="s">
        <v>467</v>
      </c>
      <c r="BL58" t="s">
        <v>1927</v>
      </c>
      <c r="BM58" t="s">
        <v>579</v>
      </c>
      <c r="BN58">
        <v>3.54</v>
      </c>
      <c r="BO58">
        <v>7.15</v>
      </c>
      <c r="BP58">
        <v>3.28</v>
      </c>
      <c r="BQ58">
        <v>3.61</v>
      </c>
      <c r="BR58">
        <v>7.81</v>
      </c>
      <c r="BS58">
        <v>3.17</v>
      </c>
      <c r="BT58" t="s">
        <v>2450</v>
      </c>
      <c r="BU58" t="s">
        <v>1354</v>
      </c>
      <c r="BV58">
        <v>43.73</v>
      </c>
      <c r="BW58">
        <v>46.22</v>
      </c>
      <c r="BX58">
        <v>52.62</v>
      </c>
      <c r="BY58">
        <v>5.46</v>
      </c>
      <c r="BZ58">
        <v>8.15</v>
      </c>
      <c r="CA58">
        <v>3.92</v>
      </c>
      <c r="CB58">
        <v>-0.4</v>
      </c>
      <c r="CC58">
        <v>-11.12</v>
      </c>
      <c r="CD58" t="s">
        <v>3728</v>
      </c>
      <c r="CE58" t="s">
        <v>355</v>
      </c>
      <c r="CF58" s="7">
        <v>0.12289156626506008</v>
      </c>
      <c r="CG58" s="8">
        <v>0.65430856928662717</v>
      </c>
      <c r="CH58" s="7">
        <v>9.1272834688425064E-3</v>
      </c>
      <c r="CI58" s="7">
        <v>0.11727215349674225</v>
      </c>
      <c r="CJ58" s="7">
        <v>5.9419315308332443E-2</v>
      </c>
      <c r="CK58" s="7">
        <v>5.9749484062194824E-2</v>
      </c>
      <c r="CL58" s="7">
        <v>-7.0811152458190918E-2</v>
      </c>
      <c r="CM58" s="8">
        <v>-0.35897436738014221</v>
      </c>
      <c r="CN58" s="8">
        <v>1.5277777910232544</v>
      </c>
      <c r="CO58" s="8">
        <v>1.2208589315414429</v>
      </c>
      <c r="CP58" s="8">
        <v>-3.4088668823242187</v>
      </c>
      <c r="CQ58" s="8">
        <v>-0.23106060922145844</v>
      </c>
      <c r="CR58">
        <v>64.09411685393259</v>
      </c>
      <c r="CS58">
        <v>18.338059731732073</v>
      </c>
      <c r="CT58">
        <v>1.3458950201884254</v>
      </c>
      <c r="CU58" s="7">
        <v>3.4951416775584221E-2</v>
      </c>
      <c r="CV58" s="8">
        <v>-0.25005302727222445</v>
      </c>
      <c r="CW58">
        <v>0.06</v>
      </c>
      <c r="CX58">
        <v>23.529601292933087</v>
      </c>
      <c r="CY58">
        <v>170864620.69408229</v>
      </c>
      <c r="CZ58">
        <v>3.4951416775584221E-2</v>
      </c>
      <c r="DA58">
        <v>8.0584629472304687</v>
      </c>
      <c r="DB58">
        <v>498901146.07795298</v>
      </c>
      <c r="DC58">
        <v>3.3203845936805011E-2</v>
      </c>
      <c r="DD58">
        <v>4.2179848104689075</v>
      </c>
      <c r="DE58">
        <v>953150990.49706161</v>
      </c>
      <c r="DF58">
        <v>3.0757246762514113E-2</v>
      </c>
      <c r="DG58">
        <v>2.70927402233644</v>
      </c>
      <c r="DH58">
        <v>1483931254.9613876</v>
      </c>
      <c r="DI58">
        <v>2.7961133420467379E-2</v>
      </c>
      <c r="DJ58">
        <v>1.6118477289196811</v>
      </c>
      <c r="DK58">
        <v>2494265635.5601296</v>
      </c>
      <c r="DL58">
        <v>2.4465991742908953E-2</v>
      </c>
      <c r="DM58">
        <v>175000000</v>
      </c>
      <c r="DN58">
        <v>3.4951416775584221E-2</v>
      </c>
      <c r="DO58">
        <v>4020376400</v>
      </c>
      <c r="DP58">
        <v>859818600</v>
      </c>
      <c r="DQ58">
        <v>1718</v>
      </c>
      <c r="DR58">
        <v>8.7940149489475858E-2</v>
      </c>
      <c r="DS58">
        <v>0.90436159655885162</v>
      </c>
      <c r="DT58" s="9">
        <v>-0.44</v>
      </c>
      <c r="DU58">
        <v>-0.12999999999999992</v>
      </c>
      <c r="DV58">
        <v>-0.56999999999999995</v>
      </c>
      <c r="DW58">
        <v>-2.1112000000000002</v>
      </c>
      <c r="DX58">
        <v>0.48239841269841433</v>
      </c>
      <c r="DY58">
        <v>-2.0147227034920636</v>
      </c>
      <c r="DZ58">
        <v>2989</v>
      </c>
      <c r="EA58">
        <v>-2.0061109303535551</v>
      </c>
      <c r="EB58">
        <v>2</v>
      </c>
      <c r="EC58">
        <v>4.3457421862697396E-2</v>
      </c>
      <c r="ED58">
        <v>0.32823219687450528</v>
      </c>
      <c r="EE58" s="10">
        <v>-1.1078999999999999</v>
      </c>
      <c r="EF58">
        <v>-1.0766</v>
      </c>
      <c r="EG58">
        <v>35.132398412698414</v>
      </c>
      <c r="EH58" t="s">
        <v>1355</v>
      </c>
      <c r="EI58">
        <v>0</v>
      </c>
      <c r="EJ58">
        <v>0</v>
      </c>
      <c r="EK58" s="11">
        <v>45470</v>
      </c>
      <c r="EL58" s="12">
        <v>0.66</v>
      </c>
      <c r="EM58" s="12">
        <v>-3.72</v>
      </c>
      <c r="EN58" s="12">
        <v>0.54</v>
      </c>
      <c r="EO58" s="12">
        <v>3.23</v>
      </c>
      <c r="EP58" s="12">
        <v>-3.13</v>
      </c>
    </row>
    <row r="59" spans="1:146" ht="108" x14ac:dyDescent="0.25">
      <c r="A59" s="6"/>
      <c r="B59" s="6"/>
      <c r="C59" s="6" t="str">
        <f>""&amp;CHAR(10)&amp;Basic_Fundamental_Information_Constructure(F59)&amp;CHAR(10)&amp;Basic_Fundamental_Information_Concatenate("")</f>
        <v xml:space="preserve">
市值19.256999亿, 利润2519.56万; PE42.2; 平均PE-26.58; 平均PEG-4.39, PB3.11; ROIC.19%; ROE-12.1667%; 股利率0%; 毛利69.0667%; 净利-4.5767%; 上一年度营收增-3.62%, 利润增121.17%; 当季营收增3.28%, 利润增947.75%; 过往5年营收增-6.05%, 利润增-983.42%
Income profile:
</v>
      </c>
      <c r="D59" t="s">
        <v>133</v>
      </c>
      <c r="E59" t="s">
        <v>52</v>
      </c>
      <c r="F59">
        <v>7.97</v>
      </c>
      <c r="G59">
        <v>2.0499999999999998</v>
      </c>
      <c r="H59" t="s">
        <v>3729</v>
      </c>
      <c r="I59">
        <v>1925699900</v>
      </c>
      <c r="J59">
        <v>42.2</v>
      </c>
      <c r="K59">
        <v>3.11</v>
      </c>
      <c r="L59" t="s">
        <v>100</v>
      </c>
      <c r="M59" t="s">
        <v>1776</v>
      </c>
      <c r="N59" t="s">
        <v>1095</v>
      </c>
      <c r="O59" t="s">
        <v>412</v>
      </c>
      <c r="P59">
        <v>3.44</v>
      </c>
      <c r="Q59" t="s">
        <v>2042</v>
      </c>
      <c r="R59">
        <v>18284352</v>
      </c>
      <c r="S59" s="5">
        <v>9.4770000000000003</v>
      </c>
      <c r="T59" t="s">
        <v>2451</v>
      </c>
      <c r="U59">
        <v>225021600</v>
      </c>
      <c r="V59">
        <v>241618560</v>
      </c>
      <c r="W59">
        <v>1.84</v>
      </c>
      <c r="X59">
        <v>0.13</v>
      </c>
      <c r="Y59">
        <v>13.16</v>
      </c>
      <c r="Z59" t="s">
        <v>270</v>
      </c>
      <c r="AA59" t="s">
        <v>3730</v>
      </c>
      <c r="AB59" t="s">
        <v>3731</v>
      </c>
      <c r="AC59" t="s">
        <v>3732</v>
      </c>
      <c r="AD59" t="s">
        <v>81</v>
      </c>
      <c r="AE59">
        <v>3743632</v>
      </c>
      <c r="AF59" t="s">
        <v>236</v>
      </c>
      <c r="AG59" t="s">
        <v>3733</v>
      </c>
      <c r="AH59" t="s">
        <v>2452</v>
      </c>
      <c r="AI59" t="s">
        <v>377</v>
      </c>
      <c r="AJ59" t="s">
        <v>2453</v>
      </c>
      <c r="AK59" t="s">
        <v>81</v>
      </c>
      <c r="AL59" t="s">
        <v>2454</v>
      </c>
      <c r="AM59" t="s">
        <v>81</v>
      </c>
      <c r="AN59" t="s">
        <v>3734</v>
      </c>
      <c r="AO59" t="s">
        <v>3735</v>
      </c>
      <c r="AP59" t="s">
        <v>81</v>
      </c>
      <c r="AQ59" t="s">
        <v>3736</v>
      </c>
      <c r="AR59" t="s">
        <v>3737</v>
      </c>
      <c r="AS59" t="s">
        <v>1666</v>
      </c>
      <c r="AT59" t="s">
        <v>238</v>
      </c>
      <c r="AU59" t="s">
        <v>3738</v>
      </c>
      <c r="AV59" t="s">
        <v>3739</v>
      </c>
      <c r="AW59" t="s">
        <v>3740</v>
      </c>
      <c r="AX59" t="s">
        <v>707</v>
      </c>
      <c r="AY59" t="s">
        <v>920</v>
      </c>
      <c r="AZ59" t="s">
        <v>750</v>
      </c>
      <c r="BA59" t="s">
        <v>700</v>
      </c>
      <c r="BB59" t="s">
        <v>831</v>
      </c>
      <c r="BC59" t="s">
        <v>1160</v>
      </c>
      <c r="BD59" t="s">
        <v>1242</v>
      </c>
      <c r="BE59" t="s">
        <v>829</v>
      </c>
      <c r="BF59" t="s">
        <v>833</v>
      </c>
      <c r="BG59" t="s">
        <v>834</v>
      </c>
      <c r="BH59" t="s">
        <v>2042</v>
      </c>
      <c r="BI59" t="s">
        <v>231</v>
      </c>
      <c r="BJ59" t="s">
        <v>707</v>
      </c>
      <c r="BK59" t="s">
        <v>2451</v>
      </c>
      <c r="BL59" t="s">
        <v>1928</v>
      </c>
      <c r="BM59" t="s">
        <v>1160</v>
      </c>
      <c r="BN59">
        <v>0.19</v>
      </c>
      <c r="BO59" t="s">
        <v>81</v>
      </c>
      <c r="BP59" t="s">
        <v>81</v>
      </c>
      <c r="BQ59">
        <v>-2.41</v>
      </c>
      <c r="BR59">
        <v>-19.78</v>
      </c>
      <c r="BS59">
        <v>-14.31</v>
      </c>
      <c r="BT59" t="s">
        <v>1526</v>
      </c>
      <c r="BU59" t="s">
        <v>1354</v>
      </c>
      <c r="BV59">
        <v>67.790000000000006</v>
      </c>
      <c r="BW59">
        <v>69.739999999999995</v>
      </c>
      <c r="BX59">
        <v>69.67</v>
      </c>
      <c r="BY59">
        <v>6.1</v>
      </c>
      <c r="BZ59">
        <v>-11.82</v>
      </c>
      <c r="CA59">
        <v>-8.01</v>
      </c>
      <c r="CB59">
        <v>1.4</v>
      </c>
      <c r="CC59">
        <v>-12.99</v>
      </c>
      <c r="CD59" t="s">
        <v>3741</v>
      </c>
      <c r="CE59" t="s">
        <v>526</v>
      </c>
      <c r="CF59" s="7">
        <v>3.2786885245901641E-2</v>
      </c>
      <c r="CG59" s="8">
        <v>9.4775370919881308</v>
      </c>
      <c r="CH59" s="7">
        <v>-3.6188177764415741E-2</v>
      </c>
      <c r="CI59" s="7">
        <v>-0.10860215127468109</v>
      </c>
      <c r="CJ59" s="7">
        <v>9.6698112785816193E-2</v>
      </c>
      <c r="CK59" s="7">
        <v>-0.25088340044021606</v>
      </c>
      <c r="CL59" s="7">
        <v>-3.5211266949772835E-3</v>
      </c>
      <c r="CM59" s="8">
        <v>1.2117277383804321</v>
      </c>
      <c r="CN59" s="8">
        <v>-0.3014339804649353</v>
      </c>
      <c r="CO59" s="8">
        <v>0.65100151300430298</v>
      </c>
      <c r="CP59" s="8">
        <v>-50.463829040527344</v>
      </c>
      <c r="CQ59" s="8">
        <v>-0.26850894093513489</v>
      </c>
      <c r="CR59">
        <v>-26.579458072744199</v>
      </c>
      <c r="CS59">
        <v>-4.3933461522609161</v>
      </c>
      <c r="CT59">
        <v>0</v>
      </c>
      <c r="CU59" s="7">
        <v>-6.0499348677694798E-2</v>
      </c>
      <c r="CV59" s="8">
        <v>-9.8342085421085361</v>
      </c>
      <c r="CW59">
        <v>0.06</v>
      </c>
      <c r="CX59">
        <v>70.555966121068764</v>
      </c>
      <c r="CY59" t="s">
        <v>2455</v>
      </c>
      <c r="CZ59">
        <v>-6.0499348677694798E-2</v>
      </c>
      <c r="DA59">
        <v>23.518655373689587</v>
      </c>
      <c r="DB59" t="s">
        <v>2456</v>
      </c>
      <c r="DC59">
        <v>-5.7474381243810053E-2</v>
      </c>
      <c r="DD59">
        <v>11.759327686844793</v>
      </c>
      <c r="DE59" t="s">
        <v>2457</v>
      </c>
      <c r="DF59">
        <v>-5.3239426836371423E-2</v>
      </c>
      <c r="DG59">
        <v>7.0555966121068758</v>
      </c>
      <c r="DH59" t="s">
        <v>2458</v>
      </c>
      <c r="DI59">
        <v>-4.8399478942155842E-2</v>
      </c>
      <c r="DJ59">
        <v>3.5277983060534379</v>
      </c>
      <c r="DK59" t="s">
        <v>2459</v>
      </c>
      <c r="DL59">
        <v>-4.2349544074386354E-2</v>
      </c>
      <c r="DM59">
        <v>25195600</v>
      </c>
      <c r="DN59">
        <v>-6.0499348677694798E-2</v>
      </c>
      <c r="DO59">
        <v>1777699900</v>
      </c>
      <c r="DP59">
        <v>-29744000</v>
      </c>
      <c r="DQ59">
        <v>1739</v>
      </c>
      <c r="DR59">
        <v>9.3286233923596446E-2</v>
      </c>
      <c r="DS59">
        <v>19.311745634096667</v>
      </c>
      <c r="DT59" s="9">
        <v>-0.55666666666666664</v>
      </c>
      <c r="DU59">
        <v>-1.5733333333333335</v>
      </c>
      <c r="DV59">
        <v>-2.13</v>
      </c>
      <c r="DW59">
        <v>-2.1299000000000001</v>
      </c>
      <c r="DX59">
        <v>0.2616006593406584</v>
      </c>
      <c r="DY59">
        <v>-2.0105999256483518</v>
      </c>
      <c r="DZ59">
        <v>4480</v>
      </c>
      <c r="EA59">
        <v>-2.0013068401484269</v>
      </c>
      <c r="EB59">
        <v>2</v>
      </c>
      <c r="EC59">
        <v>0.15366493368721343</v>
      </c>
      <c r="ED59">
        <v>1.8831334811365485</v>
      </c>
      <c r="EE59" s="10">
        <v>3.1048100000000001</v>
      </c>
      <c r="EF59">
        <v>3.1287099999999999</v>
      </c>
      <c r="EG59">
        <v>18.081600659340658</v>
      </c>
      <c r="EH59" t="s">
        <v>3468</v>
      </c>
      <c r="EI59">
        <v>0</v>
      </c>
      <c r="EJ59">
        <v>0</v>
      </c>
      <c r="EK59" s="11">
        <v>45470</v>
      </c>
      <c r="EL59" s="12">
        <v>-3.63</v>
      </c>
      <c r="EM59" s="12">
        <v>-5.47</v>
      </c>
      <c r="EN59" s="12">
        <v>-0.13</v>
      </c>
      <c r="EO59" s="12">
        <v>2.4500000000000002</v>
      </c>
      <c r="EP59" s="12">
        <v>-2.39</v>
      </c>
    </row>
    <row r="60" spans="1:146" ht="108" x14ac:dyDescent="0.25">
      <c r="A60" s="6"/>
      <c r="B60" s="6"/>
      <c r="C60" s="6" t="str">
        <f>""&amp;CHAR(10)&amp;Basic_Fundamental_Information_Constructure(F60)&amp;CHAR(10)&amp;Basic_Fundamental_Information_Concatenate("")</f>
        <v xml:space="preserve">
市值88.32175亿, 利润-12.40亿; PE; 平均PE-143.04; 平均PEG-176.55, PB5.05; ROIC3.795%; ROE-1.7033%; 股利率0%; 毛利41.7%; 净利-26.7567%; 上一年度营收增-39.64%, 利润增-7180.25%; 当季营收增-41.43%, 利润增-1457.81%; 过往5年营收增.81%, 利润增-1441.42%
Income profile:
</v>
      </c>
      <c r="D60" t="s">
        <v>1099</v>
      </c>
      <c r="E60" t="s">
        <v>1100</v>
      </c>
      <c r="F60">
        <v>9.61</v>
      </c>
      <c r="G60">
        <v>4.2300000000000004</v>
      </c>
      <c r="H60" t="s">
        <v>3742</v>
      </c>
      <c r="I60">
        <v>8832175000</v>
      </c>
      <c r="K60">
        <v>5.05</v>
      </c>
      <c r="L60" t="s">
        <v>100</v>
      </c>
      <c r="M60" t="s">
        <v>2460</v>
      </c>
      <c r="N60" t="s">
        <v>1781</v>
      </c>
      <c r="O60" t="s">
        <v>1925</v>
      </c>
      <c r="P60">
        <v>-41.36</v>
      </c>
      <c r="Q60" t="s">
        <v>1981</v>
      </c>
      <c r="R60">
        <v>-61665098</v>
      </c>
      <c r="S60" s="5">
        <v>-14.58</v>
      </c>
      <c r="T60" t="s">
        <v>2461</v>
      </c>
      <c r="U60">
        <v>915844860</v>
      </c>
      <c r="V60">
        <v>919060880</v>
      </c>
      <c r="W60">
        <v>2.69</v>
      </c>
      <c r="X60">
        <v>0.06</v>
      </c>
      <c r="Y60">
        <v>-21.07</v>
      </c>
      <c r="Z60" t="s">
        <v>3743</v>
      </c>
      <c r="AA60" t="s">
        <v>2186</v>
      </c>
      <c r="AB60" t="s">
        <v>3744</v>
      </c>
      <c r="AC60" t="s">
        <v>3745</v>
      </c>
      <c r="AD60" t="s">
        <v>81</v>
      </c>
      <c r="AE60">
        <v>22807073</v>
      </c>
      <c r="AF60" t="s">
        <v>236</v>
      </c>
      <c r="AG60" t="s">
        <v>3746</v>
      </c>
      <c r="AH60" t="s">
        <v>2462</v>
      </c>
      <c r="AI60" t="s">
        <v>2287</v>
      </c>
      <c r="AJ60" t="s">
        <v>2463</v>
      </c>
      <c r="AK60" t="s">
        <v>3747</v>
      </c>
      <c r="AL60" t="s">
        <v>2464</v>
      </c>
      <c r="AM60" t="s">
        <v>81</v>
      </c>
      <c r="AN60" t="s">
        <v>3748</v>
      </c>
      <c r="AO60" t="s">
        <v>1786</v>
      </c>
      <c r="AP60" t="s">
        <v>613</v>
      </c>
      <c r="AQ60" t="s">
        <v>1954</v>
      </c>
      <c r="AR60" t="s">
        <v>3749</v>
      </c>
      <c r="AS60" t="s">
        <v>3750</v>
      </c>
      <c r="AT60" t="s">
        <v>1965</v>
      </c>
      <c r="AU60" t="s">
        <v>349</v>
      </c>
      <c r="AV60" t="s">
        <v>3751</v>
      </c>
      <c r="AW60" t="s">
        <v>3752</v>
      </c>
      <c r="AX60" t="s">
        <v>1475</v>
      </c>
      <c r="AY60" t="s">
        <v>1131</v>
      </c>
      <c r="AZ60" t="s">
        <v>1101</v>
      </c>
      <c r="BA60" t="s">
        <v>1102</v>
      </c>
      <c r="BB60" t="s">
        <v>442</v>
      </c>
      <c r="BC60" t="s">
        <v>1690</v>
      </c>
      <c r="BD60" t="s">
        <v>554</v>
      </c>
      <c r="BE60" t="s">
        <v>763</v>
      </c>
      <c r="BF60" t="s">
        <v>444</v>
      </c>
      <c r="BG60" t="s">
        <v>296</v>
      </c>
      <c r="BH60" t="s">
        <v>1981</v>
      </c>
      <c r="BI60" t="s">
        <v>1246</v>
      </c>
      <c r="BJ60" t="s">
        <v>1475</v>
      </c>
      <c r="BK60" t="s">
        <v>2461</v>
      </c>
      <c r="BL60" t="s">
        <v>1931</v>
      </c>
      <c r="BM60" t="s">
        <v>1690</v>
      </c>
      <c r="BN60" t="s">
        <v>81</v>
      </c>
      <c r="BO60">
        <v>1.19</v>
      </c>
      <c r="BP60">
        <v>6.4</v>
      </c>
      <c r="BQ60">
        <v>-13.57</v>
      </c>
      <c r="BR60">
        <v>0.56999999999999995</v>
      </c>
      <c r="BS60">
        <v>7.89</v>
      </c>
      <c r="BT60" t="s">
        <v>1526</v>
      </c>
      <c r="BU60" t="s">
        <v>1354</v>
      </c>
      <c r="BV60">
        <v>22.5</v>
      </c>
      <c r="BW60">
        <v>44.42</v>
      </c>
      <c r="BX60">
        <v>58.18</v>
      </c>
      <c r="BY60">
        <v>-88.49</v>
      </c>
      <c r="BZ60">
        <v>0.43</v>
      </c>
      <c r="CA60">
        <v>7.79</v>
      </c>
      <c r="CB60">
        <v>-4.09</v>
      </c>
      <c r="CC60">
        <v>-9</v>
      </c>
      <c r="CD60" t="s">
        <v>3753</v>
      </c>
      <c r="CE60" t="s">
        <v>1945</v>
      </c>
      <c r="CF60" s="7">
        <v>-0.41434262948207162</v>
      </c>
      <c r="CG60" s="8">
        <v>-14.578134537047232</v>
      </c>
      <c r="CH60" s="7">
        <v>-0.39640411734580994</v>
      </c>
      <c r="CI60" s="7">
        <v>-0.21293801069259644</v>
      </c>
      <c r="CJ60" s="7">
        <v>0.25549915432929993</v>
      </c>
      <c r="CK60" s="7">
        <v>0.14147751033306122</v>
      </c>
      <c r="CL60" s="7">
        <v>0.25287365913391113</v>
      </c>
      <c r="CM60" s="8">
        <v>-71.802520751953125</v>
      </c>
      <c r="CN60" s="8">
        <v>-0.92515593767166138</v>
      </c>
      <c r="CO60" s="8">
        <v>-7.5098812580108643E-2</v>
      </c>
      <c r="CP60" s="8">
        <v>0.12444444745779037</v>
      </c>
      <c r="CQ60" s="8">
        <v>0.6071428656578064</v>
      </c>
      <c r="CR60">
        <v>-143.03638594118814</v>
      </c>
      <c r="CS60">
        <v>-176.55240287197097</v>
      </c>
      <c r="CT60">
        <v>0</v>
      </c>
      <c r="CU60" s="7">
        <v>8.1016391515731818E-3</v>
      </c>
      <c r="CV60" s="8">
        <v>-14.414237637817859</v>
      </c>
      <c r="CW60">
        <v>0.06</v>
      </c>
      <c r="CX60" t="e">
        <v>#VALUE!</v>
      </c>
      <c r="CY60" t="s">
        <v>1361</v>
      </c>
      <c r="CZ60">
        <v>8.1016391515731818E-3</v>
      </c>
      <c r="DA60" t="e">
        <v>#VALUE!</v>
      </c>
      <c r="DB60" t="s">
        <v>1362</v>
      </c>
      <c r="DC60">
        <v>7.6965571939945224E-3</v>
      </c>
      <c r="DD60" t="e">
        <v>#VALUE!</v>
      </c>
      <c r="DE60" t="s">
        <v>1362</v>
      </c>
      <c r="DF60">
        <v>7.1294424533844001E-3</v>
      </c>
      <c r="DG60" t="e">
        <v>#VALUE!</v>
      </c>
      <c r="DH60" t="s">
        <v>1362</v>
      </c>
      <c r="DI60">
        <v>6.4813113212585458E-3</v>
      </c>
      <c r="DJ60" t="e">
        <v>#VALUE!</v>
      </c>
      <c r="DK60" t="s">
        <v>1362</v>
      </c>
      <c r="DL60">
        <v>5.6711474061012269E-3</v>
      </c>
      <c r="DM60">
        <v>-1240000000</v>
      </c>
      <c r="DN60">
        <v>8.1016391515731818E-3</v>
      </c>
      <c r="DO60">
        <v>9891175000</v>
      </c>
      <c r="DP60">
        <v>369260100</v>
      </c>
      <c r="DQ60">
        <v>1740</v>
      </c>
      <c r="DR60">
        <v>-0.42244426863364481</v>
      </c>
      <c r="DS60">
        <v>-0.16389689922937301</v>
      </c>
      <c r="DT60" s="9">
        <v>-0.52333333333333332</v>
      </c>
      <c r="DU60">
        <v>-1.7483333333333333</v>
      </c>
      <c r="DV60">
        <v>-2.2716666666666665</v>
      </c>
      <c r="DW60">
        <v>-8.4544444444444444</v>
      </c>
      <c r="DX60">
        <v>0.50154326788685266</v>
      </c>
      <c r="DY60">
        <v>-8.0643235517396938</v>
      </c>
      <c r="DZ60">
        <v>4560</v>
      </c>
      <c r="EA60">
        <v>-8.0069232785629811</v>
      </c>
      <c r="EB60">
        <v>8</v>
      </c>
      <c r="EC60">
        <v>9.2559156690468644E-2</v>
      </c>
      <c r="ED60">
        <v>0.6539283882913175</v>
      </c>
      <c r="EE60" s="10">
        <v>9.0836000000000006</v>
      </c>
      <c r="EF60">
        <v>9.0479000000000003</v>
      </c>
      <c r="EG60">
        <v>36.141543267886853</v>
      </c>
      <c r="EH60" t="s">
        <v>2466</v>
      </c>
      <c r="EI60">
        <v>0</v>
      </c>
      <c r="EJ60">
        <v>0</v>
      </c>
      <c r="EK60" s="11">
        <v>45470</v>
      </c>
      <c r="EL60" s="12">
        <v>-0.19</v>
      </c>
      <c r="EM60" s="12">
        <v>-8.82</v>
      </c>
      <c r="EN60" s="12">
        <v>2.2400000000000002</v>
      </c>
      <c r="EO60" s="12">
        <v>5.88</v>
      </c>
      <c r="EP60" s="12">
        <v>-3.57</v>
      </c>
    </row>
    <row r="61" spans="1:146" ht="108" x14ac:dyDescent="0.25">
      <c r="A61" s="6"/>
      <c r="B61" s="6"/>
      <c r="C61" s="6" t="str">
        <f>""&amp;CHAR(10)&amp;Basic_Fundamental_Information_Constructure(F61)&amp;CHAR(10)&amp;Basic_Fundamental_Information_Concatenate("")</f>
        <v xml:space="preserve">
市值45.996089亿, 利润-1.95亿; PE; 平均PE-74.18; 平均PEG-15.59, PB.957; ROIC.655%; ROE-4.3767%; 股利率0%; 毛利21.9933%; 净利-15.3933%; 上一年度营收增-4.7%, 利润增-524.42%; 当季营收增-49.54%, 利润增-88.87%; 过往5年营收增-4.76%, 利润增-187.31%
Income profile:
</v>
      </c>
      <c r="D61" t="s">
        <v>111</v>
      </c>
      <c r="E61" t="s">
        <v>16</v>
      </c>
      <c r="F61">
        <v>2.23</v>
      </c>
      <c r="G61">
        <v>5.69</v>
      </c>
      <c r="H61" t="s">
        <v>3754</v>
      </c>
      <c r="I61">
        <v>4599608900</v>
      </c>
      <c r="K61">
        <v>0.95699999999999996</v>
      </c>
      <c r="L61" t="s">
        <v>100</v>
      </c>
      <c r="M61" t="s">
        <v>1970</v>
      </c>
      <c r="N61" t="s">
        <v>2036</v>
      </c>
      <c r="O61" t="s">
        <v>300</v>
      </c>
      <c r="P61">
        <v>-49.57</v>
      </c>
      <c r="Q61" t="s">
        <v>1821</v>
      </c>
      <c r="R61">
        <v>2901462</v>
      </c>
      <c r="S61" s="5">
        <v>-0.88870000000000005</v>
      </c>
      <c r="T61" t="s">
        <v>2467</v>
      </c>
      <c r="U61">
        <v>1422396800</v>
      </c>
      <c r="V61">
        <v>2062604900</v>
      </c>
      <c r="W61">
        <v>1.1399999999999999</v>
      </c>
      <c r="X61">
        <v>0.05</v>
      </c>
      <c r="Y61">
        <v>-0.1</v>
      </c>
      <c r="Z61" t="s">
        <v>1421</v>
      </c>
      <c r="AA61" t="s">
        <v>474</v>
      </c>
      <c r="AB61" t="s">
        <v>3755</v>
      </c>
      <c r="AC61" t="s">
        <v>3756</v>
      </c>
      <c r="AD61" t="s">
        <v>81</v>
      </c>
      <c r="AE61">
        <v>-1196989</v>
      </c>
      <c r="AF61" t="s">
        <v>2469</v>
      </c>
      <c r="AG61" t="s">
        <v>3757</v>
      </c>
      <c r="AH61" t="s">
        <v>2470</v>
      </c>
      <c r="AI61" t="s">
        <v>84</v>
      </c>
      <c r="AJ61" t="s">
        <v>2471</v>
      </c>
      <c r="AK61" t="s">
        <v>3758</v>
      </c>
      <c r="AL61" t="s">
        <v>2472</v>
      </c>
      <c r="AM61" t="s">
        <v>81</v>
      </c>
      <c r="AN61" t="s">
        <v>308</v>
      </c>
      <c r="AO61" t="s">
        <v>1199</v>
      </c>
      <c r="AP61" t="s">
        <v>81</v>
      </c>
      <c r="AQ61" t="s">
        <v>86</v>
      </c>
      <c r="AR61" t="s">
        <v>81</v>
      </c>
      <c r="AS61" t="s">
        <v>281</v>
      </c>
      <c r="AT61" t="s">
        <v>81</v>
      </c>
      <c r="AU61" t="s">
        <v>3759</v>
      </c>
      <c r="AV61" t="s">
        <v>1984</v>
      </c>
      <c r="AW61" t="s">
        <v>246</v>
      </c>
      <c r="AX61" t="s">
        <v>1691</v>
      </c>
      <c r="AY61" t="s">
        <v>1207</v>
      </c>
      <c r="AZ61" t="s">
        <v>836</v>
      </c>
      <c r="BA61" t="s">
        <v>838</v>
      </c>
      <c r="BB61" t="s">
        <v>484</v>
      </c>
      <c r="BC61" t="s">
        <v>2473</v>
      </c>
      <c r="BD61" t="s">
        <v>1243</v>
      </c>
      <c r="BE61" t="s">
        <v>390</v>
      </c>
      <c r="BF61" t="s">
        <v>773</v>
      </c>
      <c r="BG61" t="s">
        <v>273</v>
      </c>
      <c r="BH61" t="s">
        <v>1821</v>
      </c>
      <c r="BI61" t="s">
        <v>1820</v>
      </c>
      <c r="BJ61" t="s">
        <v>1691</v>
      </c>
      <c r="BK61" t="s">
        <v>2467</v>
      </c>
      <c r="BL61" t="s">
        <v>1933</v>
      </c>
      <c r="BM61" t="s">
        <v>2473</v>
      </c>
      <c r="BN61">
        <v>0.49</v>
      </c>
      <c r="BO61">
        <v>0.82</v>
      </c>
      <c r="BP61" t="s">
        <v>81</v>
      </c>
      <c r="BQ61">
        <v>0.78</v>
      </c>
      <c r="BR61">
        <v>0.92</v>
      </c>
      <c r="BS61">
        <v>-14.83</v>
      </c>
      <c r="BT61" t="s">
        <v>1526</v>
      </c>
      <c r="BU61" t="s">
        <v>1353</v>
      </c>
      <c r="BV61">
        <v>20.420000000000002</v>
      </c>
      <c r="BW61">
        <v>22.22</v>
      </c>
      <c r="BX61">
        <v>23.34</v>
      </c>
      <c r="BY61">
        <v>-12.44</v>
      </c>
      <c r="BZ61">
        <v>1.97</v>
      </c>
      <c r="CA61">
        <v>-35.71</v>
      </c>
      <c r="CB61">
        <v>7.21</v>
      </c>
      <c r="CC61">
        <v>-9.7200000000000006</v>
      </c>
      <c r="CD61" t="s">
        <v>3760</v>
      </c>
      <c r="CE61" t="s">
        <v>88</v>
      </c>
      <c r="CF61" s="7">
        <v>-0.49542961608775138</v>
      </c>
      <c r="CG61" s="8">
        <v>-0.88874293010824845</v>
      </c>
      <c r="CH61" s="7">
        <v>-4.7033738344907761E-2</v>
      </c>
      <c r="CI61" s="7">
        <v>-0.16286352276802063</v>
      </c>
      <c r="CJ61" s="7">
        <v>-6.1712868511676788E-2</v>
      </c>
      <c r="CK61" s="7">
        <v>-0.13192415237426758</v>
      </c>
      <c r="CL61" s="7">
        <v>0.16567550599575043</v>
      </c>
      <c r="CM61" s="8">
        <v>-5.2442140579223633</v>
      </c>
      <c r="CN61" s="8">
        <v>1.0580846071243286</v>
      </c>
      <c r="CO61" s="8">
        <v>-5.1197915077209473</v>
      </c>
      <c r="CP61" s="8">
        <v>0.20754717290401459</v>
      </c>
      <c r="CQ61" s="8">
        <v>-0.26728111505508423</v>
      </c>
      <c r="CR61">
        <v>-74.176253463532689</v>
      </c>
      <c r="CS61">
        <v>-15.592498773843642</v>
      </c>
      <c r="CT61">
        <v>0</v>
      </c>
      <c r="CU61" s="7">
        <v>-4.7571755200624469E-2</v>
      </c>
      <c r="CV61" s="8">
        <v>-1.8731309801340104</v>
      </c>
      <c r="CW61">
        <v>0.06</v>
      </c>
      <c r="CX61" t="e">
        <v>#VALUE!</v>
      </c>
      <c r="CY61" t="s">
        <v>1362</v>
      </c>
      <c r="CZ61">
        <v>-4.7571755200624469E-2</v>
      </c>
      <c r="DA61" t="e">
        <v>#VALUE!</v>
      </c>
      <c r="DB61" t="s">
        <v>1362</v>
      </c>
      <c r="DC61">
        <v>-4.5193167440593242E-2</v>
      </c>
      <c r="DD61" t="e">
        <v>#VALUE!</v>
      </c>
      <c r="DE61" t="s">
        <v>1362</v>
      </c>
      <c r="DF61">
        <v>-4.1863144576549535E-2</v>
      </c>
      <c r="DG61" t="e">
        <v>#VALUE!</v>
      </c>
      <c r="DH61" t="s">
        <v>1362</v>
      </c>
      <c r="DI61">
        <v>-3.8057404160499575E-2</v>
      </c>
      <c r="DJ61" t="e">
        <v>#VALUE!</v>
      </c>
      <c r="DK61" t="s">
        <v>1362</v>
      </c>
      <c r="DL61">
        <v>-3.3300228640437128E-2</v>
      </c>
      <c r="DM61">
        <v>-195000000</v>
      </c>
      <c r="DN61">
        <v>-4.7571755200624469E-2</v>
      </c>
      <c r="DO61">
        <v>492608900</v>
      </c>
      <c r="DP61">
        <v>1105441100</v>
      </c>
      <c r="DQ61">
        <v>1752</v>
      </c>
      <c r="DR61">
        <v>-0.44785786088712692</v>
      </c>
      <c r="DS61">
        <v>0.98438805002576191</v>
      </c>
      <c r="DT61" s="9">
        <v>-0.49</v>
      </c>
      <c r="DU61">
        <v>-1.5566666666666666</v>
      </c>
      <c r="DV61">
        <v>-2.0466666666666669</v>
      </c>
      <c r="DW61">
        <v>7.4258712344949789</v>
      </c>
      <c r="DX61">
        <v>0.66483722943722623</v>
      </c>
      <c r="DY61">
        <v>7.0829755714260143</v>
      </c>
      <c r="DZ61">
        <v>4413</v>
      </c>
      <c r="EA61">
        <v>7.0113178029909848</v>
      </c>
      <c r="EB61">
        <v>7</v>
      </c>
      <c r="EC61">
        <v>4.3641319769966609E-2</v>
      </c>
      <c r="ED61">
        <v>0.22398860780365643</v>
      </c>
      <c r="EE61" s="10">
        <v>-1.04911</v>
      </c>
      <c r="EF61">
        <v>-1.0817099999999999</v>
      </c>
      <c r="EG61">
        <v>47.194837229437226</v>
      </c>
      <c r="EH61" t="s">
        <v>1365</v>
      </c>
      <c r="EI61">
        <v>1</v>
      </c>
      <c r="EJ61">
        <v>0</v>
      </c>
      <c r="EK61" s="11">
        <v>45470</v>
      </c>
      <c r="EL61" s="12">
        <v>-0.46</v>
      </c>
      <c r="EM61" s="12">
        <v>-5.05</v>
      </c>
      <c r="EN61" s="12">
        <v>0</v>
      </c>
      <c r="EO61" s="12">
        <v>3.86</v>
      </c>
      <c r="EP61" s="12">
        <v>-3.26</v>
      </c>
    </row>
    <row r="62" spans="1:146" ht="108" x14ac:dyDescent="0.25">
      <c r="A62" s="6"/>
      <c r="B62" s="6"/>
      <c r="C62" s="6" t="str">
        <f>""&amp;CHAR(10)&amp;Basic_Fundamental_Information_Constructure(F62)&amp;CHAR(10)&amp;Basic_Fundamental_Information_Concatenate("")</f>
        <v xml:space="preserve">
市值30.385169亿, 利润-1074.97万; PE134.7; 平均PE62.33; 平均PEG5.03, PB1.16; ROIC.465%; ROE-.9967%; 股利率.9677%; 毛利37.8267%; 净利-.3867%; 上一年度营收增-32.2%, 利润增-158.96%; 当季营收增9.94%, 利润增243.53%; 过往5年营收增-12.4%, 利润增-35.65%
Income profile:
</v>
      </c>
      <c r="D62" t="s">
        <v>1105</v>
      </c>
      <c r="E62" t="s">
        <v>1106</v>
      </c>
      <c r="F62">
        <v>6.2</v>
      </c>
      <c r="G62">
        <v>3.16</v>
      </c>
      <c r="H62" t="s">
        <v>3761</v>
      </c>
      <c r="I62">
        <v>3038516900</v>
      </c>
      <c r="J62">
        <v>134.69999999999999</v>
      </c>
      <c r="K62">
        <v>1.1599999999999999</v>
      </c>
      <c r="L62" t="s">
        <v>100</v>
      </c>
      <c r="M62" t="s">
        <v>294</v>
      </c>
      <c r="N62" t="s">
        <v>3762</v>
      </c>
      <c r="O62" t="s">
        <v>304</v>
      </c>
      <c r="P62">
        <v>9.94</v>
      </c>
      <c r="Q62" t="s">
        <v>1482</v>
      </c>
      <c r="R62">
        <v>19630210</v>
      </c>
      <c r="S62" s="5">
        <v>2.4350000000000001</v>
      </c>
      <c r="T62" t="s">
        <v>2474</v>
      </c>
      <c r="U62">
        <v>486256680</v>
      </c>
      <c r="V62">
        <v>490083370</v>
      </c>
      <c r="W62">
        <v>1.1000000000000001</v>
      </c>
      <c r="X62">
        <v>7.0000000000000007E-2</v>
      </c>
      <c r="Y62">
        <v>10.08</v>
      </c>
      <c r="Z62" t="s">
        <v>242</v>
      </c>
      <c r="AA62" t="s">
        <v>3763</v>
      </c>
      <c r="AB62" t="s">
        <v>3764</v>
      </c>
      <c r="AC62" t="s">
        <v>3765</v>
      </c>
      <c r="AD62" t="s">
        <v>81</v>
      </c>
      <c r="AE62">
        <v>-4299410</v>
      </c>
      <c r="AF62" t="s">
        <v>2475</v>
      </c>
      <c r="AG62" t="s">
        <v>3766</v>
      </c>
      <c r="AH62" t="s">
        <v>2476</v>
      </c>
      <c r="AI62" t="s">
        <v>351</v>
      </c>
      <c r="AJ62" t="s">
        <v>2477</v>
      </c>
      <c r="AK62" t="s">
        <v>3767</v>
      </c>
      <c r="AL62" t="s">
        <v>2478</v>
      </c>
      <c r="AM62" t="s">
        <v>81</v>
      </c>
      <c r="AN62" t="s">
        <v>375</v>
      </c>
      <c r="AO62" t="s">
        <v>3768</v>
      </c>
      <c r="AP62" t="s">
        <v>3769</v>
      </c>
      <c r="AQ62" t="s">
        <v>3770</v>
      </c>
      <c r="AR62" t="s">
        <v>81</v>
      </c>
      <c r="AS62" t="s">
        <v>1404</v>
      </c>
      <c r="AT62" t="s">
        <v>81</v>
      </c>
      <c r="AU62" t="s">
        <v>3771</v>
      </c>
      <c r="AV62" t="s">
        <v>3772</v>
      </c>
      <c r="AW62" t="s">
        <v>266</v>
      </c>
      <c r="AX62" t="s">
        <v>1693</v>
      </c>
      <c r="AY62" t="s">
        <v>1244</v>
      </c>
      <c r="AZ62" t="s">
        <v>1107</v>
      </c>
      <c r="BA62" t="s">
        <v>1108</v>
      </c>
      <c r="BB62" t="s">
        <v>927</v>
      </c>
      <c r="BC62" t="s">
        <v>1694</v>
      </c>
      <c r="BD62" t="s">
        <v>1160</v>
      </c>
      <c r="BE62" t="s">
        <v>592</v>
      </c>
      <c r="BF62" t="s">
        <v>265</v>
      </c>
      <c r="BG62" t="s">
        <v>349</v>
      </c>
      <c r="BH62" t="s">
        <v>1482</v>
      </c>
      <c r="BI62" t="s">
        <v>463</v>
      </c>
      <c r="BJ62" t="s">
        <v>1693</v>
      </c>
      <c r="BK62" t="s">
        <v>2474</v>
      </c>
      <c r="BL62" t="s">
        <v>1936</v>
      </c>
      <c r="BM62" t="s">
        <v>1694</v>
      </c>
      <c r="BN62">
        <v>-0.08</v>
      </c>
      <c r="BO62">
        <v>1.01</v>
      </c>
      <c r="BP62" t="s">
        <v>81</v>
      </c>
      <c r="BQ62">
        <v>0.46</v>
      </c>
      <c r="BR62">
        <v>0.65</v>
      </c>
      <c r="BS62">
        <v>-4.0999999999999996</v>
      </c>
      <c r="BT62" t="s">
        <v>1531</v>
      </c>
      <c r="BU62" t="s">
        <v>1353</v>
      </c>
      <c r="BV62">
        <v>43.6</v>
      </c>
      <c r="BW62">
        <v>31.68</v>
      </c>
      <c r="BX62">
        <v>38.200000000000003</v>
      </c>
      <c r="BY62">
        <v>0.15</v>
      </c>
      <c r="BZ62">
        <v>3.2</v>
      </c>
      <c r="CA62">
        <v>-4.51</v>
      </c>
      <c r="CB62">
        <v>0.98</v>
      </c>
      <c r="CC62">
        <v>-12.55</v>
      </c>
      <c r="CD62" t="s">
        <v>3773</v>
      </c>
      <c r="CE62" t="s">
        <v>239</v>
      </c>
      <c r="CF62" s="7">
        <v>9.9447513812154692E-2</v>
      </c>
      <c r="CG62" s="8">
        <v>2.4352611299178921</v>
      </c>
      <c r="CH62" s="7">
        <v>-0.32197615504264832</v>
      </c>
      <c r="CI62" s="7">
        <v>-0.37949261069297791</v>
      </c>
      <c r="CJ62" s="7">
        <v>-1.201041042804718E-2</v>
      </c>
      <c r="CK62" s="7">
        <v>-6.4941436052322388E-2</v>
      </c>
      <c r="CL62" s="7">
        <v>0.15837104618549347</v>
      </c>
      <c r="CM62" s="8">
        <v>-1.5896061658859253</v>
      </c>
      <c r="CN62" s="8">
        <v>1.1532100439071655</v>
      </c>
      <c r="CO62" s="8">
        <v>-1.7345678806304932</v>
      </c>
      <c r="CP62" s="8">
        <v>0.265625</v>
      </c>
      <c r="CQ62" s="8">
        <v>0.12280701845884323</v>
      </c>
      <c r="CR62">
        <v>62.332323699587974</v>
      </c>
      <c r="CS62">
        <v>5.0263984618708397</v>
      </c>
      <c r="CT62">
        <v>0.96774193548387089</v>
      </c>
      <c r="CU62" s="7">
        <v>-0.12400991320610047</v>
      </c>
      <c r="CV62" s="8">
        <v>-0.35650639683008195</v>
      </c>
      <c r="CW62">
        <v>0.06</v>
      </c>
      <c r="CX62" t="e">
        <v>#VALUE!</v>
      </c>
      <c r="CY62" t="s">
        <v>1362</v>
      </c>
      <c r="CZ62">
        <v>-0.12400991320610047</v>
      </c>
      <c r="DA62" t="e">
        <v>#VALUE!</v>
      </c>
      <c r="DB62" t="s">
        <v>1362</v>
      </c>
      <c r="DC62">
        <v>-0.11780941754579544</v>
      </c>
      <c r="DD62" t="e">
        <v>#VALUE!</v>
      </c>
      <c r="DE62" t="s">
        <v>1362</v>
      </c>
      <c r="DF62">
        <v>-0.10912872362136841</v>
      </c>
      <c r="DG62" t="e">
        <v>#VALUE!</v>
      </c>
      <c r="DH62" t="s">
        <v>1362</v>
      </c>
      <c r="DI62">
        <v>-9.9207930564880378E-2</v>
      </c>
      <c r="DJ62" t="e">
        <v>#VALUE!</v>
      </c>
      <c r="DK62" t="s">
        <v>1362</v>
      </c>
      <c r="DL62">
        <v>-8.6806939244270326E-2</v>
      </c>
      <c r="DM62">
        <v>-10749700</v>
      </c>
      <c r="DN62">
        <v>-0.12400991320610047</v>
      </c>
      <c r="DO62">
        <v>725516900</v>
      </c>
      <c r="DP62">
        <v>1294463100</v>
      </c>
      <c r="DQ62">
        <v>1854</v>
      </c>
      <c r="DR62">
        <v>0.22345742701825516</v>
      </c>
      <c r="DS62">
        <v>2.7917675267479742</v>
      </c>
      <c r="DT62" s="9">
        <v>-0.65666666666666662</v>
      </c>
      <c r="DU62">
        <v>-0.4166666666666668</v>
      </c>
      <c r="DV62">
        <v>-1.0733333333333335</v>
      </c>
      <c r="DW62">
        <v>-2.1255000000000002</v>
      </c>
      <c r="DX62">
        <v>0.303821119592876</v>
      </c>
      <c r="DY62">
        <v>-2.013029550508906</v>
      </c>
      <c r="DZ62">
        <v>3636</v>
      </c>
      <c r="EA62">
        <v>-2.0037584261154846</v>
      </c>
      <c r="EB62">
        <v>2</v>
      </c>
      <c r="EC62">
        <v>8.3254610332931717E-2</v>
      </c>
      <c r="ED62">
        <v>0.80190437802449821</v>
      </c>
      <c r="EE62" s="10">
        <v>-3.0860099999999999</v>
      </c>
      <c r="EF62">
        <v>-3.10981</v>
      </c>
      <c r="EG62">
        <v>20.103821119592876</v>
      </c>
      <c r="EH62" t="s">
        <v>1991</v>
      </c>
      <c r="EI62">
        <v>0</v>
      </c>
      <c r="EJ62">
        <v>0</v>
      </c>
      <c r="EK62" s="11">
        <v>45470</v>
      </c>
      <c r="EL62" s="12">
        <v>1.29</v>
      </c>
      <c r="EM62" s="12">
        <v>-4.3</v>
      </c>
      <c r="EN62" s="12">
        <v>0.83</v>
      </c>
      <c r="EO62" s="12">
        <v>3.96</v>
      </c>
      <c r="EP62" s="12">
        <v>-2.38</v>
      </c>
    </row>
    <row r="63" spans="1:146" ht="108" x14ac:dyDescent="0.25">
      <c r="A63" s="6"/>
      <c r="B63" s="6"/>
      <c r="C63" s="6" t="str">
        <f>""&amp;CHAR(10)&amp;Basic_Fundamental_Information_Constructure(F63)&amp;CHAR(10)&amp;Basic_Fundamental_Information_Concatenate("")</f>
        <v xml:space="preserve">
市值82.718002亿, 利润1.92亿; PE35.66; 平均PE25.14; 平均PEG1.69, PB3.02; ROIC10.79%; ROE12.5067%; 股利率.465%; 毛利64.86%; 净利30.0967%; 上一年度营收增-22.78%, 利润增-50%; 当季营收增4.1%, 利润增76.41%; 过往5年营收增14.85%, 利润增.37%
Income profile:
</v>
      </c>
      <c r="D63" t="s">
        <v>176</v>
      </c>
      <c r="E63" t="s">
        <v>57</v>
      </c>
      <c r="F63">
        <v>15.27</v>
      </c>
      <c r="G63">
        <v>-3.9</v>
      </c>
      <c r="H63" t="s">
        <v>3774</v>
      </c>
      <c r="I63">
        <v>8271800200</v>
      </c>
      <c r="J63">
        <v>35.659999999999997</v>
      </c>
      <c r="K63">
        <v>3.02</v>
      </c>
      <c r="L63" t="s">
        <v>100</v>
      </c>
      <c r="M63" t="s">
        <v>1969</v>
      </c>
      <c r="N63" t="s">
        <v>3775</v>
      </c>
      <c r="O63" t="s">
        <v>774</v>
      </c>
      <c r="P63">
        <v>4.1500000000000004</v>
      </c>
      <c r="Q63" t="s">
        <v>1880</v>
      </c>
      <c r="R63">
        <v>91483092</v>
      </c>
      <c r="S63" s="5">
        <v>0.7641</v>
      </c>
      <c r="T63" t="s">
        <v>390</v>
      </c>
      <c r="U63">
        <v>532918700</v>
      </c>
      <c r="V63">
        <v>541702700</v>
      </c>
      <c r="W63">
        <v>1.84</v>
      </c>
      <c r="X63">
        <v>0.06</v>
      </c>
      <c r="Y63">
        <v>27.7</v>
      </c>
      <c r="Z63" t="s">
        <v>473</v>
      </c>
      <c r="AA63" t="s">
        <v>238</v>
      </c>
      <c r="AB63" t="s">
        <v>3776</v>
      </c>
      <c r="AC63" t="s">
        <v>3777</v>
      </c>
      <c r="AD63" t="s">
        <v>81</v>
      </c>
      <c r="AE63">
        <v>7527764</v>
      </c>
      <c r="AF63" t="s">
        <v>2479</v>
      </c>
      <c r="AG63" t="s">
        <v>3778</v>
      </c>
      <c r="AH63" t="s">
        <v>2480</v>
      </c>
      <c r="AI63" t="s">
        <v>3779</v>
      </c>
      <c r="AJ63" t="s">
        <v>2481</v>
      </c>
      <c r="AK63" t="s">
        <v>81</v>
      </c>
      <c r="AL63" t="s">
        <v>2482</v>
      </c>
      <c r="AM63" t="s">
        <v>81</v>
      </c>
      <c r="AN63" t="s">
        <v>1661</v>
      </c>
      <c r="AO63" t="s">
        <v>3780</v>
      </c>
      <c r="AP63" t="s">
        <v>3781</v>
      </c>
      <c r="AQ63" t="s">
        <v>663</v>
      </c>
      <c r="AR63" t="s">
        <v>3782</v>
      </c>
      <c r="AS63" t="s">
        <v>3783</v>
      </c>
      <c r="AT63" t="s">
        <v>81</v>
      </c>
      <c r="AU63" t="s">
        <v>267</v>
      </c>
      <c r="AV63" t="s">
        <v>3784</v>
      </c>
      <c r="AW63" t="s">
        <v>333</v>
      </c>
      <c r="AX63" t="s">
        <v>1695</v>
      </c>
      <c r="AY63" t="s">
        <v>1245</v>
      </c>
      <c r="AZ63" t="s">
        <v>451</v>
      </c>
      <c r="BA63" t="s">
        <v>753</v>
      </c>
      <c r="BB63" t="s">
        <v>841</v>
      </c>
      <c r="BC63" t="s">
        <v>487</v>
      </c>
      <c r="BD63" t="s">
        <v>1663</v>
      </c>
      <c r="BE63" t="s">
        <v>251</v>
      </c>
      <c r="BF63" t="s">
        <v>376</v>
      </c>
      <c r="BG63" t="s">
        <v>680</v>
      </c>
      <c r="BH63" t="s">
        <v>1880</v>
      </c>
      <c r="BI63" t="s">
        <v>1002</v>
      </c>
      <c r="BJ63" t="s">
        <v>1695</v>
      </c>
      <c r="BK63" t="s">
        <v>390</v>
      </c>
      <c r="BL63" t="s">
        <v>1938</v>
      </c>
      <c r="BM63" t="s">
        <v>487</v>
      </c>
      <c r="BN63">
        <v>3.81</v>
      </c>
      <c r="BO63">
        <v>12.32</v>
      </c>
      <c r="BP63">
        <v>16.239999999999998</v>
      </c>
      <c r="BQ63">
        <v>5.67</v>
      </c>
      <c r="BR63">
        <v>15.89</v>
      </c>
      <c r="BS63">
        <v>15.96</v>
      </c>
      <c r="BT63" t="s">
        <v>2484</v>
      </c>
      <c r="BU63" t="s">
        <v>1353</v>
      </c>
      <c r="BV63">
        <v>59.87</v>
      </c>
      <c r="BW63">
        <v>66.05</v>
      </c>
      <c r="BX63">
        <v>68.66</v>
      </c>
      <c r="BY63">
        <v>17.57</v>
      </c>
      <c r="BZ63">
        <v>27.07</v>
      </c>
      <c r="CA63">
        <v>45.65</v>
      </c>
      <c r="CB63">
        <v>6.49</v>
      </c>
      <c r="CC63">
        <v>37.200000000000003</v>
      </c>
      <c r="CD63" t="s">
        <v>2527</v>
      </c>
      <c r="CE63" t="s">
        <v>780</v>
      </c>
      <c r="CF63" s="7">
        <v>4.1009463722397478E-2</v>
      </c>
      <c r="CG63" s="8">
        <v>0.76405657594076304</v>
      </c>
      <c r="CH63" s="7">
        <v>-0.22778557240962982</v>
      </c>
      <c r="CI63" s="7">
        <v>0.26947188377380371</v>
      </c>
      <c r="CJ63" s="7">
        <v>0.6949923038482666</v>
      </c>
      <c r="CK63" s="7">
        <v>-8.2172699272632599E-2</v>
      </c>
      <c r="CL63" s="7">
        <v>8.7878786027431488E-2</v>
      </c>
      <c r="CM63" s="8">
        <v>-0.5</v>
      </c>
      <c r="CN63" s="8">
        <v>-0.20661157369613647</v>
      </c>
      <c r="CO63" s="8">
        <v>0.84030419588088989</v>
      </c>
      <c r="CP63" s="8">
        <v>-0.23546510934829712</v>
      </c>
      <c r="CQ63" s="8">
        <v>0.1205211728811264</v>
      </c>
      <c r="CR63">
        <v>25.142249848024317</v>
      </c>
      <c r="CS63">
        <v>1.6933437462679433</v>
      </c>
      <c r="CT63">
        <v>0.46496398166339226</v>
      </c>
      <c r="CU63" s="7">
        <v>0.14847694039344789</v>
      </c>
      <c r="CV63" s="8">
        <v>3.7497371435165406E-3</v>
      </c>
      <c r="CW63">
        <v>0.06</v>
      </c>
      <c r="CX63">
        <v>36.69637336360325</v>
      </c>
      <c r="CY63">
        <v>208026011.8448509</v>
      </c>
      <c r="CZ63">
        <v>0.14847694039344789</v>
      </c>
      <c r="DA63">
        <v>11.416493601036159</v>
      </c>
      <c r="DB63">
        <v>668664168.4192034</v>
      </c>
      <c r="DC63">
        <v>0.14105309337377547</v>
      </c>
      <c r="DD63">
        <v>5.2548822422827097</v>
      </c>
      <c r="DE63">
        <v>1452706235.4653058</v>
      </c>
      <c r="DF63">
        <v>0.13065970754623416</v>
      </c>
      <c r="DG63">
        <v>2.9195577195315785</v>
      </c>
      <c r="DH63">
        <v>2614711176.6041012</v>
      </c>
      <c r="DI63">
        <v>0.11878155231475832</v>
      </c>
      <c r="DJ63">
        <v>1.2629207892957</v>
      </c>
      <c r="DK63">
        <v>6044559773.4258404</v>
      </c>
      <c r="DL63">
        <v>0.10393385827541352</v>
      </c>
      <c r="DM63">
        <v>192000000</v>
      </c>
      <c r="DN63">
        <v>0.14847694039344789</v>
      </c>
      <c r="DO63">
        <v>7633800200</v>
      </c>
      <c r="DP63">
        <v>1286331200</v>
      </c>
      <c r="DQ63">
        <v>1873</v>
      </c>
      <c r="DR63">
        <v>-0.10746747667105042</v>
      </c>
      <c r="DS63">
        <v>0.76030683879724648</v>
      </c>
      <c r="DT63" s="9">
        <v>-0.19000000000000003</v>
      </c>
      <c r="DU63">
        <v>-0.16666666666666666</v>
      </c>
      <c r="DV63">
        <v>-0.35666666666666669</v>
      </c>
      <c r="DW63">
        <v>9.1744623655913973</v>
      </c>
      <c r="DX63">
        <v>0.58821705426356741</v>
      </c>
      <c r="DY63">
        <v>9.0642400183379177</v>
      </c>
      <c r="DZ63">
        <v>2584</v>
      </c>
      <c r="EA63">
        <v>9.0317554376363169</v>
      </c>
      <c r="EB63">
        <v>9</v>
      </c>
      <c r="EC63">
        <v>0.87686474518218205</v>
      </c>
      <c r="ED63">
        <v>2.3813800448105575</v>
      </c>
      <c r="EE63" s="10">
        <v>4.9500000000000002E-2</v>
      </c>
      <c r="EF63">
        <v>1.9400000000000004E-2</v>
      </c>
      <c r="EG63">
        <v>22.368217054263567</v>
      </c>
      <c r="EH63" t="s">
        <v>1360</v>
      </c>
      <c r="EI63">
        <v>1</v>
      </c>
      <c r="EJ63">
        <v>0</v>
      </c>
      <c r="EK63" s="11">
        <v>45470</v>
      </c>
      <c r="EL63" s="12">
        <v>1.84</v>
      </c>
      <c r="EM63" s="12">
        <v>3.61</v>
      </c>
      <c r="EN63" s="12">
        <v>14.64</v>
      </c>
      <c r="EO63" s="12">
        <v>1.04</v>
      </c>
      <c r="EP63" s="12">
        <v>-3.01</v>
      </c>
    </row>
    <row r="64" spans="1:146" ht="108" x14ac:dyDescent="0.25">
      <c r="A64" s="6"/>
      <c r="B64" s="6"/>
      <c r="C64" s="6" t="str">
        <f>""&amp;CHAR(10)&amp;Basic_Fundamental_Information_Constructure(F64)&amp;CHAR(10)&amp;Basic_Fundamental_Information_Concatenate("")</f>
        <v xml:space="preserve">
市值31.215499亿, 利润1.26亿; PE43.02; 平均PE-2490.86; 平均PEG-393.04, PB1.25; ROIC5.9933%; ROE6.4067%; 股利率1.4157%; 毛利59.82%; 净利11.1333%; 上一年度营收增-2.74%, 利润增-42.47%; 当季营收增-13.57%, 利润增-37.19%; 过往5年营收增6.34%, 利润增-79.24%
Income profile:
</v>
      </c>
      <c r="D64" t="s">
        <v>181</v>
      </c>
      <c r="E64" t="s">
        <v>182</v>
      </c>
      <c r="F64">
        <v>7.77</v>
      </c>
      <c r="G64">
        <v>5.28</v>
      </c>
      <c r="H64" t="s">
        <v>3785</v>
      </c>
      <c r="I64">
        <v>3121549900</v>
      </c>
      <c r="J64">
        <v>43.02</v>
      </c>
      <c r="K64">
        <v>1.25</v>
      </c>
      <c r="L64" t="s">
        <v>100</v>
      </c>
      <c r="M64" t="s">
        <v>2485</v>
      </c>
      <c r="N64" t="s">
        <v>3786</v>
      </c>
      <c r="O64" t="s">
        <v>1995</v>
      </c>
      <c r="P64">
        <v>-13.58</v>
      </c>
      <c r="Q64" t="s">
        <v>2487</v>
      </c>
      <c r="R64">
        <v>89816225</v>
      </c>
      <c r="S64" s="5">
        <v>-0.37390000000000001</v>
      </c>
      <c r="T64" t="s">
        <v>355</v>
      </c>
      <c r="U64">
        <v>334782470</v>
      </c>
      <c r="V64">
        <v>401743870</v>
      </c>
      <c r="W64">
        <v>1.24</v>
      </c>
      <c r="X64">
        <v>0.12</v>
      </c>
      <c r="Y64">
        <v>24.68</v>
      </c>
      <c r="Z64" t="s">
        <v>481</v>
      </c>
      <c r="AA64" t="s">
        <v>386</v>
      </c>
      <c r="AB64" t="s">
        <v>3787</v>
      </c>
      <c r="AC64" t="s">
        <v>3788</v>
      </c>
      <c r="AD64" t="s">
        <v>81</v>
      </c>
      <c r="AE64">
        <v>-1432159</v>
      </c>
      <c r="AF64" t="s">
        <v>2488</v>
      </c>
      <c r="AG64" t="s">
        <v>3789</v>
      </c>
      <c r="AH64" t="s">
        <v>2489</v>
      </c>
      <c r="AI64" t="s">
        <v>760</v>
      </c>
      <c r="AJ64" t="s">
        <v>2490</v>
      </c>
      <c r="AK64" t="s">
        <v>81</v>
      </c>
      <c r="AL64" t="s">
        <v>2491</v>
      </c>
      <c r="AM64" t="s">
        <v>81</v>
      </c>
      <c r="AN64" t="s">
        <v>3790</v>
      </c>
      <c r="AO64" t="s">
        <v>349</v>
      </c>
      <c r="AP64" t="s">
        <v>2599</v>
      </c>
      <c r="AQ64" t="s">
        <v>364</v>
      </c>
      <c r="AR64" t="s">
        <v>3791</v>
      </c>
      <c r="AS64" t="s">
        <v>2525</v>
      </c>
      <c r="AT64" t="s">
        <v>81</v>
      </c>
      <c r="AU64" t="s">
        <v>3792</v>
      </c>
      <c r="AV64" t="s">
        <v>3793</v>
      </c>
      <c r="AW64" t="s">
        <v>3794</v>
      </c>
      <c r="AX64" t="s">
        <v>1696</v>
      </c>
      <c r="AY64" t="s">
        <v>1229</v>
      </c>
      <c r="AZ64" t="s">
        <v>843</v>
      </c>
      <c r="BA64" t="s">
        <v>845</v>
      </c>
      <c r="BB64" t="s">
        <v>846</v>
      </c>
      <c r="BC64" t="s">
        <v>279</v>
      </c>
      <c r="BD64" t="s">
        <v>1247</v>
      </c>
      <c r="BE64" t="s">
        <v>844</v>
      </c>
      <c r="BF64" t="s">
        <v>298</v>
      </c>
      <c r="BG64" t="s">
        <v>255</v>
      </c>
      <c r="BH64" t="s">
        <v>2487</v>
      </c>
      <c r="BI64" t="s">
        <v>701</v>
      </c>
      <c r="BJ64" t="s">
        <v>1696</v>
      </c>
      <c r="BK64" t="s">
        <v>355</v>
      </c>
      <c r="BL64" t="s">
        <v>268</v>
      </c>
      <c r="BM64" t="s">
        <v>279</v>
      </c>
      <c r="BN64">
        <v>5.5</v>
      </c>
      <c r="BO64">
        <v>9.4499999999999993</v>
      </c>
      <c r="BP64">
        <v>3.03</v>
      </c>
      <c r="BQ64">
        <v>5.92</v>
      </c>
      <c r="BR64">
        <v>10.06</v>
      </c>
      <c r="BS64">
        <v>3.24</v>
      </c>
      <c r="BT64" t="s">
        <v>2492</v>
      </c>
      <c r="BU64" t="s">
        <v>1354</v>
      </c>
      <c r="BV64">
        <v>61.39</v>
      </c>
      <c r="BW64">
        <v>61.33</v>
      </c>
      <c r="BX64">
        <v>56.74</v>
      </c>
      <c r="BY64">
        <v>9.98</v>
      </c>
      <c r="BZ64">
        <v>17.149999999999999</v>
      </c>
      <c r="CA64">
        <v>6.27</v>
      </c>
      <c r="CB64">
        <v>3.6</v>
      </c>
      <c r="CC64">
        <v>-9.44</v>
      </c>
      <c r="CD64" t="s">
        <v>3795</v>
      </c>
      <c r="CE64" t="s">
        <v>233</v>
      </c>
      <c r="CF64" s="7">
        <v>-0.1357142857142857</v>
      </c>
      <c r="CG64" s="8">
        <v>-0.37191451048951046</v>
      </c>
      <c r="CH64" s="7">
        <v>-2.7353279292583466E-2</v>
      </c>
      <c r="CI64" s="7">
        <v>0.17931695282459259</v>
      </c>
      <c r="CJ64" s="7">
        <v>0.35649934411048889</v>
      </c>
      <c r="CK64" s="7">
        <v>-0.22763419151306152</v>
      </c>
      <c r="CL64" s="7">
        <v>3.6045312881469727E-2</v>
      </c>
      <c r="CM64" s="8">
        <v>-0.42465752363204956</v>
      </c>
      <c r="CN64" s="8">
        <v>2.2941842079162598</v>
      </c>
      <c r="CO64" s="8">
        <v>1.0966290235519409</v>
      </c>
      <c r="CP64" s="8">
        <v>-6.7333331108093262</v>
      </c>
      <c r="CQ64" s="8">
        <v>-0.19463087618350983</v>
      </c>
      <c r="CR64">
        <v>-2490.863309926588</v>
      </c>
      <c r="CS64">
        <v>-393.03669868762267</v>
      </c>
      <c r="CT64">
        <v>1.4157014157014158</v>
      </c>
      <c r="CU64" s="7">
        <v>6.3374827802181247E-2</v>
      </c>
      <c r="CV64" s="8">
        <v>-0.792361655831337</v>
      </c>
      <c r="CW64">
        <v>0.06</v>
      </c>
      <c r="CX64">
        <v>10.162485157841479</v>
      </c>
      <c r="CY64">
        <v>126401158.7764857</v>
      </c>
      <c r="CZ64">
        <v>6.3374827802181247E-2</v>
      </c>
      <c r="DA64">
        <v>3.3969591061695508</v>
      </c>
      <c r="DB64">
        <v>378147001.43637377</v>
      </c>
      <c r="DC64">
        <v>6.0206086412072181E-2</v>
      </c>
      <c r="DD64">
        <v>1.7230472760201117</v>
      </c>
      <c r="DE64">
        <v>745510536.98715031</v>
      </c>
      <c r="DF64">
        <v>5.5769848465919494E-2</v>
      </c>
      <c r="DG64">
        <v>1.0697711096398226</v>
      </c>
      <c r="DH64">
        <v>1200770789.5874012</v>
      </c>
      <c r="DI64">
        <v>5.0699862241744997E-2</v>
      </c>
      <c r="DJ64">
        <v>0.59365009390107915</v>
      </c>
      <c r="DK64">
        <v>2163816553.2136621</v>
      </c>
      <c r="DL64">
        <v>4.4362379461526873E-2</v>
      </c>
      <c r="DM64">
        <v>126000000</v>
      </c>
      <c r="DN64">
        <v>6.3374827802181247E-2</v>
      </c>
      <c r="DO64">
        <v>1284549900</v>
      </c>
      <c r="DP64">
        <v>826736200</v>
      </c>
      <c r="DQ64">
        <v>1905</v>
      </c>
      <c r="DR64">
        <v>-0.19908911351646696</v>
      </c>
      <c r="DS64">
        <v>0.42044714534182653</v>
      </c>
      <c r="DT64" s="9">
        <v>-0.27333333333333337</v>
      </c>
      <c r="DU64">
        <v>-0.75666666666666671</v>
      </c>
      <c r="DV64">
        <v>-1.03</v>
      </c>
      <c r="DW64">
        <v>6.2760736196319016</v>
      </c>
      <c r="DX64">
        <v>0.50875809523809779</v>
      </c>
      <c r="DY64">
        <v>6.0355467134092899</v>
      </c>
      <c r="DZ64">
        <v>3585</v>
      </c>
      <c r="EA64">
        <v>6.0106083635908352</v>
      </c>
      <c r="EB64">
        <v>6</v>
      </c>
      <c r="EC64">
        <v>3.365228696582228E-2</v>
      </c>
      <c r="ED64">
        <v>0.26136055293139882</v>
      </c>
      <c r="EE64" s="10">
        <v>-6.0192100000000002</v>
      </c>
      <c r="EF64">
        <v>-6.0398100000000001</v>
      </c>
      <c r="EG64">
        <v>38.128758095238098</v>
      </c>
      <c r="EH64" t="s">
        <v>3704</v>
      </c>
      <c r="EI64">
        <v>0</v>
      </c>
      <c r="EJ64">
        <v>0</v>
      </c>
      <c r="EK64" s="11">
        <v>45470</v>
      </c>
      <c r="EL64" s="12">
        <v>1.4</v>
      </c>
      <c r="EM64" s="12">
        <v>-4.7699999999999996</v>
      </c>
      <c r="EN64" s="12">
        <v>-0.13</v>
      </c>
      <c r="EO64" s="12">
        <v>2.37</v>
      </c>
      <c r="EP64" s="12">
        <v>-2.06</v>
      </c>
    </row>
    <row r="65" spans="1:146" ht="96" x14ac:dyDescent="0.25">
      <c r="A65" s="6"/>
      <c r="B65" s="6"/>
      <c r="C65" s="6" t="str">
        <f>""&amp;CHAR(10)&amp;Basic_Fundamental_Information_Constructure(F65)&amp;CHAR(10)&amp;Basic_Fundamental_Information_Concatenate("")</f>
        <v xml:space="preserve">
市值26.040155亿, 利润-3.49亿; PE; 平均PE-33.33; 平均PEG-26.19, PB5.19; ROIC0%; ROE-13.6167%; 股利率0%; 毛利59.6333%; 净利-44.7833%; 上一年度营收增9.59%, 利润增-174.8%; 当季营收增36.01%, 利润增76.87%; 过往5年营收增1.27%, 利润增-154.2%
Income profile:
</v>
      </c>
      <c r="D65" t="s">
        <v>103</v>
      </c>
      <c r="E65" t="s">
        <v>24</v>
      </c>
      <c r="F65">
        <v>16.350000000000001</v>
      </c>
      <c r="G65">
        <v>3.55</v>
      </c>
      <c r="H65" t="s">
        <v>3796</v>
      </c>
      <c r="I65">
        <v>2604015500</v>
      </c>
      <c r="K65">
        <v>5.19</v>
      </c>
      <c r="L65" t="s">
        <v>100</v>
      </c>
      <c r="M65" t="s">
        <v>1109</v>
      </c>
      <c r="N65" t="s">
        <v>3797</v>
      </c>
      <c r="O65" t="s">
        <v>298</v>
      </c>
      <c r="P65">
        <v>36.06</v>
      </c>
      <c r="Q65" t="s">
        <v>1548</v>
      </c>
      <c r="R65">
        <v>-14642717</v>
      </c>
      <c r="S65" s="5">
        <v>0.76870000000000005</v>
      </c>
      <c r="T65" t="s">
        <v>2493</v>
      </c>
      <c r="U65">
        <v>135546250</v>
      </c>
      <c r="V65">
        <v>159267000</v>
      </c>
      <c r="W65">
        <v>2.87</v>
      </c>
      <c r="X65">
        <v>7.0000000000000007E-2</v>
      </c>
      <c r="Y65">
        <v>-12.25</v>
      </c>
      <c r="Z65" t="s">
        <v>306</v>
      </c>
      <c r="AA65" t="s">
        <v>3798</v>
      </c>
      <c r="AB65" t="s">
        <v>3799</v>
      </c>
      <c r="AC65" t="s">
        <v>3800</v>
      </c>
      <c r="AD65" t="s">
        <v>81</v>
      </c>
      <c r="AE65">
        <v>8658867</v>
      </c>
      <c r="AF65" t="s">
        <v>2494</v>
      </c>
      <c r="AG65" t="s">
        <v>3801</v>
      </c>
      <c r="AH65" t="s">
        <v>2495</v>
      </c>
      <c r="AI65" t="s">
        <v>91</v>
      </c>
      <c r="AJ65" t="s">
        <v>2496</v>
      </c>
      <c r="AK65" t="s">
        <v>81</v>
      </c>
      <c r="AL65" t="s">
        <v>2497</v>
      </c>
      <c r="AM65" t="s">
        <v>81</v>
      </c>
      <c r="AN65" t="s">
        <v>3802</v>
      </c>
      <c r="AO65" t="s">
        <v>1812</v>
      </c>
      <c r="AP65" t="s">
        <v>81</v>
      </c>
      <c r="AQ65" t="s">
        <v>289</v>
      </c>
      <c r="AR65">
        <v>3853.22</v>
      </c>
      <c r="AS65" t="s">
        <v>1233</v>
      </c>
      <c r="AT65" t="s">
        <v>284</v>
      </c>
      <c r="AU65" t="s">
        <v>3803</v>
      </c>
      <c r="AV65" t="s">
        <v>3804</v>
      </c>
      <c r="AW65" t="s">
        <v>3805</v>
      </c>
      <c r="AX65" t="s">
        <v>1080</v>
      </c>
      <c r="AY65" t="s">
        <v>988</v>
      </c>
      <c r="AZ65" t="s">
        <v>848</v>
      </c>
      <c r="BA65" t="s">
        <v>659</v>
      </c>
      <c r="BB65" t="s">
        <v>633</v>
      </c>
      <c r="BC65" t="s">
        <v>1697</v>
      </c>
      <c r="BD65" t="s">
        <v>1248</v>
      </c>
      <c r="BE65" t="s">
        <v>849</v>
      </c>
      <c r="BF65" t="s">
        <v>850</v>
      </c>
      <c r="BG65" t="s">
        <v>851</v>
      </c>
      <c r="BH65" t="s">
        <v>1548</v>
      </c>
      <c r="BI65" t="s">
        <v>1939</v>
      </c>
      <c r="BJ65" t="s">
        <v>1080</v>
      </c>
      <c r="BK65" t="s">
        <v>2493</v>
      </c>
      <c r="BL65" t="s">
        <v>1940</v>
      </c>
      <c r="BM65" t="s">
        <v>1697</v>
      </c>
      <c r="BN65" t="s">
        <v>81</v>
      </c>
      <c r="BO65" t="s">
        <v>81</v>
      </c>
      <c r="BP65" t="s">
        <v>81</v>
      </c>
      <c r="BQ65">
        <v>-23.58</v>
      </c>
      <c r="BR65">
        <v>-12.87</v>
      </c>
      <c r="BS65">
        <v>-4.4000000000000004</v>
      </c>
      <c r="BT65" t="s">
        <v>1526</v>
      </c>
      <c r="BU65" t="s">
        <v>1354</v>
      </c>
      <c r="BV65">
        <v>57.41</v>
      </c>
      <c r="BW65">
        <v>58.84</v>
      </c>
      <c r="BX65">
        <v>62.65</v>
      </c>
      <c r="BY65">
        <v>-88.69</v>
      </c>
      <c r="BZ65">
        <v>-36.44</v>
      </c>
      <c r="CA65">
        <v>-9.2200000000000006</v>
      </c>
      <c r="CB65">
        <v>4.07</v>
      </c>
      <c r="CC65">
        <v>-6.09</v>
      </c>
      <c r="CD65" t="s">
        <v>3806</v>
      </c>
      <c r="CE65" t="s">
        <v>3807</v>
      </c>
      <c r="CF65" s="7">
        <v>0.3600646484062876</v>
      </c>
      <c r="CG65" s="8">
        <v>0.76870814931351916</v>
      </c>
      <c r="CH65" s="7">
        <v>9.5854923129081726E-2</v>
      </c>
      <c r="CI65" s="7">
        <v>4.3243244290351868E-2</v>
      </c>
      <c r="CJ65" s="7">
        <v>5.4347827099263668E-3</v>
      </c>
      <c r="CK65" s="7">
        <v>-0.11325301229953766</v>
      </c>
      <c r="CL65" s="7">
        <v>3.2338310033082962E-2</v>
      </c>
      <c r="CM65" s="8">
        <v>-1.7480314970016479</v>
      </c>
      <c r="CN65" s="8">
        <v>-2.6403663158416748</v>
      </c>
      <c r="CO65" s="8">
        <v>-3.3533070087432861</v>
      </c>
      <c r="CP65" s="8">
        <v>0.38006311655044556</v>
      </c>
      <c r="CQ65" s="8">
        <v>-0.34835967421531677</v>
      </c>
      <c r="CR65">
        <v>-33.325298537355721</v>
      </c>
      <c r="CS65">
        <v>-26.19161927342795</v>
      </c>
      <c r="CT65">
        <v>0</v>
      </c>
      <c r="CU65" s="7">
        <v>1.2723649572581052E-2</v>
      </c>
      <c r="CV65" s="8">
        <v>-1.542000275850296</v>
      </c>
      <c r="CW65">
        <v>0.06</v>
      </c>
      <c r="CX65" t="e">
        <v>#VALUE!</v>
      </c>
      <c r="CY65" t="s">
        <v>1361</v>
      </c>
      <c r="CZ65">
        <v>1.2723649572581052E-2</v>
      </c>
      <c r="DA65" t="e">
        <v>#VALUE!</v>
      </c>
      <c r="DB65" t="s">
        <v>1362</v>
      </c>
      <c r="DC65">
        <v>1.2087467093951998E-2</v>
      </c>
      <c r="DD65" t="e">
        <v>#VALUE!</v>
      </c>
      <c r="DE65" t="s">
        <v>1362</v>
      </c>
      <c r="DF65">
        <v>1.1196811623871325E-2</v>
      </c>
      <c r="DG65" t="e">
        <v>#VALUE!</v>
      </c>
      <c r="DH65" t="s">
        <v>1362</v>
      </c>
      <c r="DI65">
        <v>1.0178919658064842E-2</v>
      </c>
      <c r="DJ65" t="e">
        <v>#VALUE!</v>
      </c>
      <c r="DK65" t="s">
        <v>1362</v>
      </c>
      <c r="DL65">
        <v>8.9065547008067361E-3</v>
      </c>
      <c r="DM65">
        <v>-349000000</v>
      </c>
      <c r="DN65">
        <v>1.2723649572581052E-2</v>
      </c>
      <c r="DO65">
        <v>3094015500</v>
      </c>
      <c r="DP65">
        <v>-120723750</v>
      </c>
      <c r="DQ65">
        <v>1907</v>
      </c>
      <c r="DR65">
        <v>0.34734099883370656</v>
      </c>
      <c r="DS65">
        <v>2.3107084251638152</v>
      </c>
      <c r="DT65" s="9">
        <v>-0.44</v>
      </c>
      <c r="DU65">
        <v>-2.3716666666666666</v>
      </c>
      <c r="DV65">
        <v>-2.8116666666666665</v>
      </c>
      <c r="DW65">
        <v>6.4005905511811028</v>
      </c>
      <c r="DX65">
        <v>0.48773757250779098</v>
      </c>
      <c r="DY65">
        <v>6.0711999921364876</v>
      </c>
      <c r="DZ65">
        <v>4839</v>
      </c>
      <c r="EA65">
        <v>6.0037759682718175</v>
      </c>
      <c r="EB65">
        <v>6</v>
      </c>
      <c r="EC65">
        <v>5.4465143438377064E-2</v>
      </c>
      <c r="ED65">
        <v>0.30643573370503618</v>
      </c>
      <c r="EE65" s="10">
        <v>-3.0219999999999998</v>
      </c>
      <c r="EF65">
        <v>-3.0028999999999999</v>
      </c>
      <c r="EG65">
        <v>31.177737572507791</v>
      </c>
      <c r="EH65" t="s">
        <v>2069</v>
      </c>
      <c r="EI65">
        <v>0</v>
      </c>
      <c r="EJ65">
        <v>0</v>
      </c>
      <c r="EK65" s="11">
        <v>45470</v>
      </c>
      <c r="EL65" s="12">
        <v>7.29</v>
      </c>
      <c r="EM65" s="12">
        <v>-7.08</v>
      </c>
      <c r="EN65" s="12">
        <v>-2.25</v>
      </c>
      <c r="EO65" s="12">
        <v>3.64</v>
      </c>
      <c r="EP65" s="12">
        <v>-1.91</v>
      </c>
    </row>
    <row r="66" spans="1:146" ht="108" x14ac:dyDescent="0.25">
      <c r="A66" s="6"/>
      <c r="B66" s="6"/>
      <c r="C66" s="6" t="str">
        <f>""&amp;CHAR(10)&amp;Basic_Fundamental_Information_Constructure(F66)&amp;CHAR(10)&amp;Basic_Fundamental_Information_Concatenate("")</f>
        <v xml:space="preserve">
市值26.047073亿, 利润1.62亿; PE16.08; 平均PE24.78; 平均PEG1.72, PB3.03; ROIC13.75%; ROE16.8133%; 股利率2.2502%; 毛利30.1167%; 净利17.3567%; 上一年度营收增19.01%, 利润增23.66%; 当季营收增-4.03%, 利润增.86%; 过往5年营收增14.41%, 利润增19.43%
Income profile:
</v>
      </c>
      <c r="D66" t="s">
        <v>151</v>
      </c>
      <c r="E66" t="s">
        <v>10</v>
      </c>
      <c r="F66">
        <v>11.11</v>
      </c>
      <c r="G66">
        <v>2.4</v>
      </c>
      <c r="H66" t="s">
        <v>3808</v>
      </c>
      <c r="I66">
        <v>2604707300</v>
      </c>
      <c r="J66">
        <v>16.079999999999998</v>
      </c>
      <c r="K66">
        <v>3.03</v>
      </c>
      <c r="L66" t="s">
        <v>100</v>
      </c>
      <c r="M66" t="s">
        <v>969</v>
      </c>
      <c r="N66" t="s">
        <v>583</v>
      </c>
      <c r="O66" t="s">
        <v>415</v>
      </c>
      <c r="P66">
        <v>-4.05</v>
      </c>
      <c r="Q66" t="s">
        <v>2211</v>
      </c>
      <c r="R66">
        <v>49815076</v>
      </c>
      <c r="S66" s="5">
        <v>8.6400000000000001E-3</v>
      </c>
      <c r="T66" t="s">
        <v>592</v>
      </c>
      <c r="U66">
        <v>186799780</v>
      </c>
      <c r="V66">
        <v>234447100</v>
      </c>
      <c r="W66">
        <v>1.6</v>
      </c>
      <c r="X66">
        <v>0.15</v>
      </c>
      <c r="Y66">
        <v>21.25</v>
      </c>
      <c r="Z66" t="s">
        <v>418</v>
      </c>
      <c r="AA66" t="s">
        <v>839</v>
      </c>
      <c r="AB66" t="s">
        <v>3809</v>
      </c>
      <c r="AC66" t="s">
        <v>3810</v>
      </c>
      <c r="AD66" t="s">
        <v>81</v>
      </c>
      <c r="AE66">
        <v>2751660</v>
      </c>
      <c r="AF66" t="s">
        <v>2499</v>
      </c>
      <c r="AG66" t="s">
        <v>3811</v>
      </c>
      <c r="AH66" t="s">
        <v>2500</v>
      </c>
      <c r="AI66" t="s">
        <v>93</v>
      </c>
      <c r="AJ66" t="s">
        <v>2501</v>
      </c>
      <c r="AK66" t="s">
        <v>3812</v>
      </c>
      <c r="AL66" t="s">
        <v>2502</v>
      </c>
      <c r="AM66" t="s">
        <v>81</v>
      </c>
      <c r="AN66" t="s">
        <v>3813</v>
      </c>
      <c r="AO66" t="s">
        <v>3814</v>
      </c>
      <c r="AP66" t="s">
        <v>595</v>
      </c>
      <c r="AQ66" t="s">
        <v>3815</v>
      </c>
      <c r="AR66" t="s">
        <v>3816</v>
      </c>
      <c r="AS66" t="s">
        <v>599</v>
      </c>
      <c r="AT66" t="s">
        <v>81</v>
      </c>
      <c r="AU66" t="s">
        <v>3817</v>
      </c>
      <c r="AV66" t="s">
        <v>3818</v>
      </c>
      <c r="AW66" t="s">
        <v>3819</v>
      </c>
      <c r="AX66" t="s">
        <v>546</v>
      </c>
      <c r="AY66" t="s">
        <v>1084</v>
      </c>
      <c r="AZ66" t="s">
        <v>322</v>
      </c>
      <c r="BA66" t="s">
        <v>842</v>
      </c>
      <c r="BB66" t="s">
        <v>338</v>
      </c>
      <c r="BC66" t="s">
        <v>277</v>
      </c>
      <c r="BD66" t="s">
        <v>1250</v>
      </c>
      <c r="BE66" t="s">
        <v>852</v>
      </c>
      <c r="BF66" t="s">
        <v>853</v>
      </c>
      <c r="BG66" t="s">
        <v>854</v>
      </c>
      <c r="BH66" t="s">
        <v>2211</v>
      </c>
      <c r="BI66" t="s">
        <v>309</v>
      </c>
      <c r="BJ66" t="s">
        <v>546</v>
      </c>
      <c r="BK66" t="s">
        <v>592</v>
      </c>
      <c r="BL66" t="s">
        <v>1941</v>
      </c>
      <c r="BM66" t="s">
        <v>277</v>
      </c>
      <c r="BN66">
        <v>12.54</v>
      </c>
      <c r="BO66">
        <v>16.72</v>
      </c>
      <c r="BP66">
        <v>11.99</v>
      </c>
      <c r="BQ66">
        <v>16.29</v>
      </c>
      <c r="BR66">
        <v>19.39</v>
      </c>
      <c r="BS66">
        <v>14.76</v>
      </c>
      <c r="BT66" t="s">
        <v>1538</v>
      </c>
      <c r="BU66" t="s">
        <v>1353</v>
      </c>
      <c r="BV66">
        <v>31.69</v>
      </c>
      <c r="BW66">
        <v>29.77</v>
      </c>
      <c r="BX66">
        <v>28.89</v>
      </c>
      <c r="BY66">
        <v>19.62</v>
      </c>
      <c r="BZ66">
        <v>18.579999999999998</v>
      </c>
      <c r="CA66">
        <v>13.87</v>
      </c>
      <c r="CB66">
        <v>-2.2000000000000002</v>
      </c>
      <c r="CC66">
        <v>-12.24</v>
      </c>
      <c r="CD66" t="s">
        <v>3820</v>
      </c>
      <c r="CE66" t="s">
        <v>3821</v>
      </c>
      <c r="CF66" s="7">
        <v>-4.0322580645161289E-2</v>
      </c>
      <c r="CG66" s="8">
        <v>8.6412368921384222E-3</v>
      </c>
      <c r="CH66" s="7">
        <v>0.19007092714309692</v>
      </c>
      <c r="CI66" s="7">
        <v>0.14262561500072479</v>
      </c>
      <c r="CJ66" s="7">
        <v>0.16195857524871826</v>
      </c>
      <c r="CK66" s="7">
        <v>0.14439655840396881</v>
      </c>
      <c r="CL66" s="7">
        <v>8.1585079431533813E-2</v>
      </c>
      <c r="CM66" s="8">
        <v>0.23664122819900513</v>
      </c>
      <c r="CN66" s="8">
        <v>0.46773120760917664</v>
      </c>
      <c r="CO66" s="8">
        <v>-4.9915585666894913E-2</v>
      </c>
      <c r="CP66" s="8">
        <v>0.1134532168507576</v>
      </c>
      <c r="CQ66" s="8">
        <v>0.20341025292873383</v>
      </c>
      <c r="CR66">
        <v>24.780146699731716</v>
      </c>
      <c r="CS66">
        <v>1.7193229820681388</v>
      </c>
      <c r="CT66">
        <v>2.2502250225022502</v>
      </c>
      <c r="CU66" s="7">
        <v>0.14412735104560853</v>
      </c>
      <c r="CV66" s="8">
        <v>0.19426406398415566</v>
      </c>
      <c r="CW66">
        <v>0.06</v>
      </c>
      <c r="CX66">
        <v>12.86025004241707</v>
      </c>
      <c r="CY66">
        <v>174857198.93338543</v>
      </c>
      <c r="CZ66">
        <v>0.14412735104560853</v>
      </c>
      <c r="DA66">
        <v>4.0154817675027896</v>
      </c>
      <c r="DB66">
        <v>560009341.3942858</v>
      </c>
      <c r="DC66">
        <v>0.1369209834933281</v>
      </c>
      <c r="DD66">
        <v>1.8576552118729588</v>
      </c>
      <c r="DE66">
        <v>1210508433.2268353</v>
      </c>
      <c r="DF66">
        <v>0.12683206892013552</v>
      </c>
      <c r="DG66">
        <v>1.0382895129252225</v>
      </c>
      <c r="DH66">
        <v>2165780615.1432753</v>
      </c>
      <c r="DI66">
        <v>0.11530188083648683</v>
      </c>
      <c r="DJ66">
        <v>0.45550960917542099</v>
      </c>
      <c r="DK66">
        <v>4936684659.7828894</v>
      </c>
      <c r="DL66">
        <v>0.10088914573192596</v>
      </c>
      <c r="DM66">
        <v>162000000</v>
      </c>
      <c r="DN66">
        <v>0.14412735104560853</v>
      </c>
      <c r="DO66">
        <v>2248707300</v>
      </c>
      <c r="DP66">
        <v>705225720</v>
      </c>
      <c r="DQ66">
        <v>1923</v>
      </c>
      <c r="DR66">
        <v>-0.18444993169076981</v>
      </c>
      <c r="DS66">
        <v>-0.18562282709201725</v>
      </c>
      <c r="DT66" s="9">
        <v>-0.14000000000000001</v>
      </c>
      <c r="DU66">
        <v>0.41666666666666669</v>
      </c>
      <c r="DV66">
        <v>0.27666666666666667</v>
      </c>
      <c r="DW66">
        <v>-2.1223999999999998</v>
      </c>
      <c r="DX66">
        <v>0.39735666216708765</v>
      </c>
      <c r="DY66">
        <v>-2.0180364554492516</v>
      </c>
      <c r="DZ66">
        <v>1099</v>
      </c>
      <c r="EA66">
        <v>-2.0141573821540018</v>
      </c>
      <c r="EB66">
        <v>2</v>
      </c>
      <c r="EC66">
        <v>5.1031981201729519E-2</v>
      </c>
      <c r="ED66">
        <v>0.34631607727286878</v>
      </c>
      <c r="EE66" s="10">
        <v>-2.0416099999999999</v>
      </c>
      <c r="EF66">
        <v>-2.0657100000000002</v>
      </c>
      <c r="EG66">
        <v>25.147356662167088</v>
      </c>
      <c r="EH66" t="s">
        <v>1368</v>
      </c>
      <c r="EI66">
        <v>0</v>
      </c>
      <c r="EJ66">
        <v>1</v>
      </c>
      <c r="EK66" s="11">
        <v>45470</v>
      </c>
      <c r="EL66" s="12">
        <v>0.42</v>
      </c>
      <c r="EM66" s="12">
        <v>-4.95</v>
      </c>
      <c r="EN66" s="12">
        <v>-0.62</v>
      </c>
      <c r="EO66" s="12">
        <v>3.11</v>
      </c>
      <c r="EP66" s="12">
        <v>-2.41</v>
      </c>
    </row>
    <row r="67" spans="1:146" ht="96" x14ac:dyDescent="0.25">
      <c r="A67" s="6"/>
      <c r="B67" s="6"/>
      <c r="C67" s="6" t="str">
        <f>""&amp;CHAR(10)&amp;Basic_Fundamental_Information_Constructure(F67)&amp;CHAR(10)&amp;Basic_Fundamental_Information_Concatenate("")</f>
        <v xml:space="preserve">
市值48.400425亿, 利润-2.01亿; PE; 平均PE55.12; 平均PEG7.79, PB1.95; ROIC1.22%; ROE-2.1867%; 股利率0%; 毛利19.7233%; 净利-7.0233%; 上一年度营收增-2.25%, 利润增-42.55%; 当季营收增-14.57%, 利润增104.87%; 过往5年营收增7.08%, 利润增-90.97%
Income profile:
</v>
      </c>
      <c r="D67" t="s">
        <v>164</v>
      </c>
      <c r="E67" t="s">
        <v>209</v>
      </c>
      <c r="F67">
        <v>8.8000000000000007</v>
      </c>
      <c r="G67">
        <v>3.77</v>
      </c>
      <c r="H67" t="s">
        <v>3822</v>
      </c>
      <c r="I67">
        <v>4840042500</v>
      </c>
      <c r="K67">
        <v>1.95</v>
      </c>
      <c r="L67" t="s">
        <v>100</v>
      </c>
      <c r="M67" t="s">
        <v>2503</v>
      </c>
      <c r="N67" t="s">
        <v>2281</v>
      </c>
      <c r="O67" t="s">
        <v>414</v>
      </c>
      <c r="P67">
        <v>-14.45</v>
      </c>
      <c r="Q67" t="s">
        <v>1816</v>
      </c>
      <c r="R67">
        <v>1468451</v>
      </c>
      <c r="S67" s="5">
        <v>1.0489999999999999</v>
      </c>
      <c r="T67" t="s">
        <v>1984</v>
      </c>
      <c r="U67">
        <v>442741220</v>
      </c>
      <c r="V67">
        <v>550004830</v>
      </c>
      <c r="W67">
        <v>1.91</v>
      </c>
      <c r="X67">
        <v>7.0000000000000007E-2</v>
      </c>
      <c r="Y67">
        <v>-0.22</v>
      </c>
      <c r="Z67" t="s">
        <v>1005</v>
      </c>
      <c r="AA67" t="s">
        <v>1371</v>
      </c>
      <c r="AB67" t="s">
        <v>3823</v>
      </c>
      <c r="AC67" t="s">
        <v>3824</v>
      </c>
      <c r="AD67" t="s">
        <v>81</v>
      </c>
      <c r="AE67">
        <v>6728185</v>
      </c>
      <c r="AF67" t="s">
        <v>2504</v>
      </c>
      <c r="AG67" t="s">
        <v>3825</v>
      </c>
      <c r="AH67" t="s">
        <v>2505</v>
      </c>
      <c r="AI67" t="s">
        <v>232</v>
      </c>
      <c r="AJ67" t="s">
        <v>2506</v>
      </c>
      <c r="AK67" t="s">
        <v>3826</v>
      </c>
      <c r="AL67" t="s">
        <v>2507</v>
      </c>
      <c r="AM67" t="s">
        <v>81</v>
      </c>
      <c r="AN67" t="s">
        <v>756</v>
      </c>
      <c r="AO67" t="s">
        <v>862</v>
      </c>
      <c r="AP67" t="s">
        <v>314</v>
      </c>
      <c r="AQ67" t="s">
        <v>262</v>
      </c>
      <c r="AR67" t="s">
        <v>3827</v>
      </c>
      <c r="AS67" t="s">
        <v>1775</v>
      </c>
      <c r="AT67" t="s">
        <v>1484</v>
      </c>
      <c r="AU67" t="s">
        <v>3828</v>
      </c>
      <c r="AV67" t="s">
        <v>3829</v>
      </c>
      <c r="AW67" t="s">
        <v>3830</v>
      </c>
      <c r="AX67" t="s">
        <v>1494</v>
      </c>
      <c r="AY67" t="s">
        <v>893</v>
      </c>
      <c r="AZ67" t="s">
        <v>855</v>
      </c>
      <c r="BA67" t="s">
        <v>857</v>
      </c>
      <c r="BB67" t="s">
        <v>858</v>
      </c>
      <c r="BC67" t="s">
        <v>1698</v>
      </c>
      <c r="BD67" t="s">
        <v>1251</v>
      </c>
      <c r="BE67" t="s">
        <v>319</v>
      </c>
      <c r="BF67" t="s">
        <v>230</v>
      </c>
      <c r="BG67" t="s">
        <v>470</v>
      </c>
      <c r="BH67" t="s">
        <v>1816</v>
      </c>
      <c r="BI67" t="s">
        <v>1077</v>
      </c>
      <c r="BJ67" t="s">
        <v>1494</v>
      </c>
      <c r="BK67" t="s">
        <v>1984</v>
      </c>
      <c r="BL67" t="s">
        <v>1942</v>
      </c>
      <c r="BM67" t="s">
        <v>1698</v>
      </c>
      <c r="BN67" t="s">
        <v>81</v>
      </c>
      <c r="BO67" t="s">
        <v>81</v>
      </c>
      <c r="BP67">
        <v>1.22</v>
      </c>
      <c r="BQ67">
        <v>-3.09</v>
      </c>
      <c r="BR67">
        <v>-5.1100000000000003</v>
      </c>
      <c r="BS67">
        <v>1.64</v>
      </c>
      <c r="BT67" t="s">
        <v>1526</v>
      </c>
      <c r="BU67" t="s">
        <v>1353</v>
      </c>
      <c r="BV67">
        <v>10.63</v>
      </c>
      <c r="BW67">
        <v>18.04</v>
      </c>
      <c r="BX67">
        <v>30.5</v>
      </c>
      <c r="BY67">
        <v>-13.87</v>
      </c>
      <c r="BZ67">
        <v>-9.9700000000000006</v>
      </c>
      <c r="CA67">
        <v>2.77</v>
      </c>
      <c r="CB67">
        <v>-1.46</v>
      </c>
      <c r="CC67">
        <v>-14.56</v>
      </c>
      <c r="CD67" t="s">
        <v>3831</v>
      </c>
      <c r="CE67" t="s">
        <v>346</v>
      </c>
      <c r="CF67" s="7">
        <v>-0.14572864321608039</v>
      </c>
      <c r="CG67" s="8">
        <v>1.0487098507640917</v>
      </c>
      <c r="CH67" s="7">
        <v>-2.246512658894062E-2</v>
      </c>
      <c r="CI67" s="7">
        <v>0.15174829959869385</v>
      </c>
      <c r="CJ67" s="7">
        <v>-4.2196877300739288E-2</v>
      </c>
      <c r="CK67" s="7">
        <v>0.10265874117612839</v>
      </c>
      <c r="CL67" s="7">
        <v>0.16423037648200989</v>
      </c>
      <c r="CM67" s="8">
        <v>-0.42553192377090454</v>
      </c>
      <c r="CN67" s="8">
        <v>-3.8875277042388916</v>
      </c>
      <c r="CO67" s="8">
        <v>-0.84692573547363281</v>
      </c>
      <c r="CP67" s="8">
        <v>4.2483661323785782E-2</v>
      </c>
      <c r="CQ67" s="8">
        <v>0.56923079490661621</v>
      </c>
      <c r="CR67">
        <v>55.122556449348906</v>
      </c>
      <c r="CS67">
        <v>7.7862125966605484</v>
      </c>
      <c r="CT67">
        <v>0</v>
      </c>
      <c r="CU67" s="7">
        <v>7.0795082673430446E-2</v>
      </c>
      <c r="CV67" s="8">
        <v>-0.90965418145060539</v>
      </c>
      <c r="CW67">
        <v>0.06</v>
      </c>
      <c r="CX67" t="e">
        <v>#VALUE!</v>
      </c>
      <c r="CY67" t="s">
        <v>1362</v>
      </c>
      <c r="CZ67">
        <v>7.0795082673430446E-2</v>
      </c>
      <c r="DA67" t="e">
        <v>#VALUE!</v>
      </c>
      <c r="DB67" t="s">
        <v>1362</v>
      </c>
      <c r="DC67">
        <v>6.7255328539758921E-2</v>
      </c>
      <c r="DD67" t="e">
        <v>#VALUE!</v>
      </c>
      <c r="DE67" t="s">
        <v>1362</v>
      </c>
      <c r="DF67">
        <v>6.2299672752618794E-2</v>
      </c>
      <c r="DG67" t="e">
        <v>#VALUE!</v>
      </c>
      <c r="DH67" t="s">
        <v>1362</v>
      </c>
      <c r="DI67">
        <v>5.6636066138744362E-2</v>
      </c>
      <c r="DJ67" t="e">
        <v>#VALUE!</v>
      </c>
      <c r="DK67" t="s">
        <v>1362</v>
      </c>
      <c r="DL67">
        <v>4.9556557871401306E-2</v>
      </c>
      <c r="DM67">
        <v>-200999999.99999997</v>
      </c>
      <c r="DN67">
        <v>7.0795082673430446E-2</v>
      </c>
      <c r="DO67">
        <v>4714042500</v>
      </c>
      <c r="DP67">
        <v>561701400</v>
      </c>
      <c r="DQ67">
        <v>1968</v>
      </c>
      <c r="DR67">
        <v>-0.21652372588951085</v>
      </c>
      <c r="DS67">
        <v>1.9583640322146971</v>
      </c>
      <c r="DT67" s="9">
        <v>-0.19000000000000003</v>
      </c>
      <c r="DU67">
        <v>-1.0266666666666668</v>
      </c>
      <c r="DV67">
        <v>-1.2166666666666668</v>
      </c>
      <c r="DW67">
        <v>-2.1456</v>
      </c>
      <c r="DX67">
        <v>0.42823730158730128</v>
      </c>
      <c r="DY67">
        <v>-2.0186713511111112</v>
      </c>
      <c r="DZ67">
        <v>3778</v>
      </c>
      <c r="EA67">
        <v>-2.0048669744970646</v>
      </c>
      <c r="EB67">
        <v>2</v>
      </c>
      <c r="EC67">
        <v>5.8755484020022154E-2</v>
      </c>
      <c r="ED67">
        <v>0.4581777945477315</v>
      </c>
      <c r="EE67" s="10">
        <v>-2.0905100000000001</v>
      </c>
      <c r="EF67">
        <v>-2.11571</v>
      </c>
      <c r="EG67">
        <v>30.128237301587301</v>
      </c>
      <c r="EH67" t="s">
        <v>1368</v>
      </c>
      <c r="EI67">
        <v>0</v>
      </c>
      <c r="EJ67">
        <v>0</v>
      </c>
      <c r="EK67" s="11">
        <v>45470</v>
      </c>
      <c r="EL67" s="12">
        <v>0.65</v>
      </c>
      <c r="EM67" s="12">
        <v>-5.39</v>
      </c>
      <c r="EN67" s="12">
        <v>-1.03</v>
      </c>
      <c r="EO67" s="12">
        <v>5.07</v>
      </c>
      <c r="EP67" s="12">
        <v>-2.52</v>
      </c>
    </row>
    <row r="68" spans="1:146" ht="144" x14ac:dyDescent="0.25">
      <c r="A68" s="6" t="s">
        <v>1385</v>
      </c>
      <c r="B68" s="6" t="s">
        <v>1386</v>
      </c>
      <c r="C68" s="6" t="str">
        <f>"公司主营业务为抗癌药物的生产与销售。公司主要产品和服务有埃克替尼、烧伤止痛膏、谷维素片、谷维素双维B片、糠甾醇片、技术服务。"&amp;CHAR(10)&amp;Basic_Fundamental_Information_Constructure(F68)&amp;CHAR(10)&amp;Basic_Fundamental_Information_Concatenate("药品销售 12.36亿 98.62% 99.46% 89.69%
其他业务 1727.81万 1.38% 0.54% 34.67%")</f>
        <v>公司主营业务为抗癌药物的生产与销售。公司主要产品和服务有埃克替尼、烧伤止痛膏、谷维素片、谷维素双维B片、糠甾醇片、技术服务。
市值137.47261亿, 利润3.48亿; PE34.82; 平均PE43.87; 平均PEG2.87, PB2.49; ROIC6.1967%; ROE5.9567%; 股利率.5175%; 毛利88.15%; 净利11.91%; 上一年度营收增3.32%, 利润增140%; 当季营收增38.35%, 利润增90.95%; 过往5年营收增15.31%, 利润增48.34%
Income profile:
药品销售 12.36亿 98.62% 99.46% 89.69%
其他业务 1727.81万 1.38% 0.54% 34.67%</v>
      </c>
      <c r="D68" t="s">
        <v>108</v>
      </c>
      <c r="E68" t="s">
        <v>46</v>
      </c>
      <c r="F68">
        <v>32.85</v>
      </c>
      <c r="G68">
        <v>4.62</v>
      </c>
      <c r="H68" t="s">
        <v>3832</v>
      </c>
      <c r="I68">
        <v>13747261000</v>
      </c>
      <c r="J68">
        <v>34.82</v>
      </c>
      <c r="K68">
        <v>2.4900000000000002</v>
      </c>
      <c r="L68" t="s">
        <v>100</v>
      </c>
      <c r="M68" t="s">
        <v>2509</v>
      </c>
      <c r="N68" t="s">
        <v>3833</v>
      </c>
      <c r="O68" t="s">
        <v>954</v>
      </c>
      <c r="P68">
        <v>38.4</v>
      </c>
      <c r="Q68" t="s">
        <v>2255</v>
      </c>
      <c r="R68">
        <v>98140742</v>
      </c>
      <c r="S68" s="5">
        <v>0.90949999999999998</v>
      </c>
      <c r="T68" t="s">
        <v>1005</v>
      </c>
      <c r="U68">
        <v>417156000</v>
      </c>
      <c r="V68">
        <v>418485890</v>
      </c>
      <c r="W68">
        <v>1.66</v>
      </c>
      <c r="X68">
        <v>0.08</v>
      </c>
      <c r="Y68">
        <v>12.75</v>
      </c>
      <c r="Z68" t="s">
        <v>2436</v>
      </c>
      <c r="AA68" t="s">
        <v>334</v>
      </c>
      <c r="AB68" t="s">
        <v>243</v>
      </c>
      <c r="AC68" t="s">
        <v>291</v>
      </c>
      <c r="AD68" t="s">
        <v>81</v>
      </c>
      <c r="AE68">
        <v>9947530</v>
      </c>
      <c r="AF68" t="s">
        <v>2510</v>
      </c>
      <c r="AG68" t="s">
        <v>81</v>
      </c>
      <c r="AH68" t="s">
        <v>2511</v>
      </c>
      <c r="AI68" t="s">
        <v>3834</v>
      </c>
      <c r="AJ68" t="s">
        <v>2512</v>
      </c>
      <c r="AK68" t="s">
        <v>81</v>
      </c>
      <c r="AL68" t="s">
        <v>2513</v>
      </c>
      <c r="AM68" t="s">
        <v>81</v>
      </c>
      <c r="AN68" t="s">
        <v>1990</v>
      </c>
      <c r="AO68" t="s">
        <v>252</v>
      </c>
      <c r="AP68" t="s">
        <v>81</v>
      </c>
      <c r="AQ68" t="s">
        <v>2880</v>
      </c>
      <c r="AR68" t="s">
        <v>3835</v>
      </c>
      <c r="AS68" t="s">
        <v>828</v>
      </c>
      <c r="AT68" t="s">
        <v>3836</v>
      </c>
      <c r="AU68" t="s">
        <v>481</v>
      </c>
      <c r="AV68" t="s">
        <v>764</v>
      </c>
      <c r="AW68" t="s">
        <v>3837</v>
      </c>
      <c r="AX68" t="s">
        <v>1408</v>
      </c>
      <c r="AY68" t="s">
        <v>1252</v>
      </c>
      <c r="AZ68" t="s">
        <v>859</v>
      </c>
      <c r="BA68" t="s">
        <v>383</v>
      </c>
      <c r="BB68" t="s">
        <v>860</v>
      </c>
      <c r="BC68" t="s">
        <v>266</v>
      </c>
      <c r="BD68" t="s">
        <v>434</v>
      </c>
      <c r="BE68" t="s">
        <v>437</v>
      </c>
      <c r="BF68" t="s">
        <v>384</v>
      </c>
      <c r="BG68" t="s">
        <v>352</v>
      </c>
      <c r="BH68" t="s">
        <v>2255</v>
      </c>
      <c r="BI68" t="s">
        <v>1757</v>
      </c>
      <c r="BJ68" t="s">
        <v>1408</v>
      </c>
      <c r="BK68" t="s">
        <v>1005</v>
      </c>
      <c r="BL68" t="s">
        <v>1943</v>
      </c>
      <c r="BM68" t="s">
        <v>266</v>
      </c>
      <c r="BN68">
        <v>4.46</v>
      </c>
      <c r="BO68">
        <v>6.51</v>
      </c>
      <c r="BP68">
        <v>7.62</v>
      </c>
      <c r="BQ68">
        <v>6.04</v>
      </c>
      <c r="BR68">
        <v>3.09</v>
      </c>
      <c r="BS68">
        <v>8.74</v>
      </c>
      <c r="BT68" t="s">
        <v>1739</v>
      </c>
      <c r="BU68" t="s">
        <v>1354</v>
      </c>
      <c r="BV68">
        <v>83.53</v>
      </c>
      <c r="BW68">
        <v>88.69</v>
      </c>
      <c r="BX68">
        <v>92.23</v>
      </c>
      <c r="BY68">
        <v>13.58</v>
      </c>
      <c r="BZ68">
        <v>5.25</v>
      </c>
      <c r="CA68">
        <v>16.899999999999999</v>
      </c>
      <c r="CB68">
        <v>0.92</v>
      </c>
      <c r="CC68">
        <v>-13.35</v>
      </c>
      <c r="CD68" t="s">
        <v>3838</v>
      </c>
      <c r="CE68" t="s">
        <v>238</v>
      </c>
      <c r="CF68" s="7">
        <v>0.38345864661654133</v>
      </c>
      <c r="CG68" s="8">
        <v>0.90947183482240135</v>
      </c>
      <c r="CH68" s="7">
        <v>3.3235199749469757E-2</v>
      </c>
      <c r="CI68" s="7">
        <v>5.8325823396444321E-2</v>
      </c>
      <c r="CJ68" s="7">
        <v>0.20106959342956543</v>
      </c>
      <c r="CK68" s="7">
        <v>0.20334620773792267</v>
      </c>
      <c r="CL68" s="7">
        <v>0.26960784196853638</v>
      </c>
      <c r="CM68" s="8">
        <v>1.3999999761581421</v>
      </c>
      <c r="CN68" s="8">
        <v>-0.62140989303588867</v>
      </c>
      <c r="CO68" s="8">
        <v>-0.36798679828643799</v>
      </c>
      <c r="CP68" s="8">
        <v>1.6233766078948975</v>
      </c>
      <c r="CQ68" s="8">
        <v>0.38323354721069336</v>
      </c>
      <c r="CR68">
        <v>43.874237234042553</v>
      </c>
      <c r="CS68">
        <v>2.8654072610360499</v>
      </c>
      <c r="CT68">
        <v>0.51750380517503802</v>
      </c>
      <c r="CU68" s="7">
        <v>0.1531169332563877</v>
      </c>
      <c r="CV68" s="8">
        <v>0.48344268798828127</v>
      </c>
      <c r="CW68">
        <v>0.06</v>
      </c>
      <c r="CX68">
        <v>31.511335686921026</v>
      </c>
      <c r="CY68">
        <v>378570464.88039899</v>
      </c>
      <c r="CZ68">
        <v>0.1531169332563877</v>
      </c>
      <c r="DA68">
        <v>9.7654930174404093</v>
      </c>
      <c r="DB68">
        <v>1221572835.9741049</v>
      </c>
      <c r="DC68">
        <v>0.1454610865935683</v>
      </c>
      <c r="DD68">
        <v>4.4707068115304285</v>
      </c>
      <c r="DE68">
        <v>2668316555.5015073</v>
      </c>
      <c r="DF68">
        <v>0.13474290126562119</v>
      </c>
      <c r="DG68">
        <v>2.4679875680414796</v>
      </c>
      <c r="DH68">
        <v>4833598497.2026024</v>
      </c>
      <c r="DI68">
        <v>0.12249354660511017</v>
      </c>
      <c r="DJ68">
        <v>1.0515004031077295</v>
      </c>
      <c r="DK68">
        <v>11344989469.088972</v>
      </c>
      <c r="DL68">
        <v>0.10718185327947138</v>
      </c>
      <c r="DM68">
        <v>348000000</v>
      </c>
      <c r="DN68">
        <v>0.1531169332563877</v>
      </c>
      <c r="DO68">
        <v>11929261000</v>
      </c>
      <c r="DP68">
        <v>-128477620</v>
      </c>
      <c r="DQ68">
        <v>2026</v>
      </c>
      <c r="DR68">
        <v>0.23034171336015363</v>
      </c>
      <c r="DS68">
        <v>0.42602914683412008</v>
      </c>
      <c r="DT68" s="9">
        <v>-9.000000000000008E-2</v>
      </c>
      <c r="DU68">
        <v>0.67333333333333334</v>
      </c>
      <c r="DV68">
        <v>0.58333333333333326</v>
      </c>
      <c r="DW68">
        <v>-2.1335000000000002</v>
      </c>
      <c r="DX68">
        <v>0.53185724637680976</v>
      </c>
      <c r="DY68">
        <v>-2.0229429423913046</v>
      </c>
      <c r="DZ68">
        <v>595</v>
      </c>
      <c r="EA68">
        <v>-2.0202715038936869</v>
      </c>
      <c r="EB68">
        <v>2</v>
      </c>
      <c r="EC68">
        <v>5.6671683721522842E-2</v>
      </c>
      <c r="ED68">
        <v>0.32976022202325628</v>
      </c>
      <c r="EE68" s="10">
        <v>-4.0051100000000002</v>
      </c>
      <c r="EF68">
        <v>-4.0444100000000001</v>
      </c>
      <c r="EG68">
        <v>36.17185724637681</v>
      </c>
      <c r="EH68" t="s">
        <v>3135</v>
      </c>
      <c r="EI68">
        <v>0</v>
      </c>
      <c r="EJ68">
        <v>1</v>
      </c>
      <c r="EK68" s="11">
        <v>45470</v>
      </c>
      <c r="EL68" s="12">
        <v>1.24</v>
      </c>
      <c r="EM68" s="12">
        <v>-5</v>
      </c>
      <c r="EN68" s="12">
        <v>-2.94</v>
      </c>
      <c r="EO68" s="12">
        <v>4.09</v>
      </c>
      <c r="EP68" s="12">
        <v>-3.93</v>
      </c>
    </row>
    <row r="69" spans="1:146" ht="108" x14ac:dyDescent="0.25">
      <c r="A69" s="6"/>
      <c r="B69" s="6"/>
      <c r="C69" s="6" t="str">
        <f>""&amp;CHAR(10)&amp;Basic_Fundamental_Information_Constructure(F69)&amp;CHAR(10)&amp;Basic_Fundamental_Information_Concatenate("")</f>
        <v xml:space="preserve">
市值283.44042亿, 利润2.40亿; PE111; 平均PE216.77; 平均PEG7.68, PB16.32; ROIC14.6067%; ROE17.1967%; 股利率1.8462%; 毛利78.0667%; 净利17.88%; 上一年度营收增17.44%, 利润增13.21%; 当季营收增21.95%, 利润增79.59%; 过往5年营收增28.22%, 利润增90.29%
Income profile:
</v>
      </c>
      <c r="D69" t="s">
        <v>105</v>
      </c>
      <c r="E69" t="s">
        <v>54</v>
      </c>
      <c r="F69">
        <v>162.5</v>
      </c>
      <c r="G69">
        <v>4.49</v>
      </c>
      <c r="H69" t="s">
        <v>3839</v>
      </c>
      <c r="I69">
        <v>28344042000</v>
      </c>
      <c r="J69">
        <v>111</v>
      </c>
      <c r="K69">
        <v>16.32</v>
      </c>
      <c r="L69" t="s">
        <v>100</v>
      </c>
      <c r="M69" t="s">
        <v>627</v>
      </c>
      <c r="N69" t="s">
        <v>2107</v>
      </c>
      <c r="O69" t="s">
        <v>1188</v>
      </c>
      <c r="P69">
        <v>22.1</v>
      </c>
      <c r="Q69" t="s">
        <v>1859</v>
      </c>
      <c r="R69">
        <v>34748965</v>
      </c>
      <c r="S69" s="5">
        <v>0.79590000000000005</v>
      </c>
      <c r="T69" t="s">
        <v>240</v>
      </c>
      <c r="U69">
        <v>133989107</v>
      </c>
      <c r="V69">
        <v>174424870</v>
      </c>
      <c r="W69">
        <v>1.22</v>
      </c>
      <c r="X69">
        <v>0.17</v>
      </c>
      <c r="Y69">
        <v>9.93</v>
      </c>
      <c r="Z69" t="s">
        <v>1808</v>
      </c>
      <c r="AA69" t="s">
        <v>3840</v>
      </c>
      <c r="AB69" t="s">
        <v>290</v>
      </c>
      <c r="AC69" t="s">
        <v>3841</v>
      </c>
      <c r="AD69" t="s">
        <v>81</v>
      </c>
      <c r="AE69">
        <v>-1194332</v>
      </c>
      <c r="AF69" t="s">
        <v>236</v>
      </c>
      <c r="AG69" t="s">
        <v>81</v>
      </c>
      <c r="AH69" t="s">
        <v>2514</v>
      </c>
      <c r="AI69" t="s">
        <v>870</v>
      </c>
      <c r="AJ69" t="s">
        <v>2515</v>
      </c>
      <c r="AK69" t="s">
        <v>3842</v>
      </c>
      <c r="AL69" t="s">
        <v>2516</v>
      </c>
      <c r="AM69" t="s">
        <v>81</v>
      </c>
      <c r="AN69" t="s">
        <v>3843</v>
      </c>
      <c r="AO69" t="s">
        <v>477</v>
      </c>
      <c r="AP69" t="s">
        <v>81</v>
      </c>
      <c r="AQ69" t="s">
        <v>3844</v>
      </c>
      <c r="AR69" t="s">
        <v>3845</v>
      </c>
      <c r="AS69" t="s">
        <v>1808</v>
      </c>
      <c r="AT69" t="s">
        <v>81</v>
      </c>
      <c r="AU69" t="s">
        <v>3846</v>
      </c>
      <c r="AV69" t="s">
        <v>3847</v>
      </c>
      <c r="AW69" t="s">
        <v>3848</v>
      </c>
      <c r="AX69" t="s">
        <v>1699</v>
      </c>
      <c r="AY69" t="s">
        <v>783</v>
      </c>
      <c r="AZ69" t="s">
        <v>544</v>
      </c>
      <c r="BA69" t="s">
        <v>862</v>
      </c>
      <c r="BB69" t="s">
        <v>863</v>
      </c>
      <c r="BC69" t="s">
        <v>1045</v>
      </c>
      <c r="BD69" t="s">
        <v>470</v>
      </c>
      <c r="BE69" t="s">
        <v>861</v>
      </c>
      <c r="BF69" t="s">
        <v>864</v>
      </c>
      <c r="BG69" t="s">
        <v>865</v>
      </c>
      <c r="BH69" t="s">
        <v>1859</v>
      </c>
      <c r="BI69" t="s">
        <v>409</v>
      </c>
      <c r="BJ69" t="s">
        <v>1699</v>
      </c>
      <c r="BK69" t="s">
        <v>240</v>
      </c>
      <c r="BL69" t="s">
        <v>1946</v>
      </c>
      <c r="BM69" t="s">
        <v>1045</v>
      </c>
      <c r="BN69">
        <v>11.08</v>
      </c>
      <c r="BO69">
        <v>13.53</v>
      </c>
      <c r="BP69">
        <v>19.21</v>
      </c>
      <c r="BQ69">
        <v>11.19</v>
      </c>
      <c r="BR69">
        <v>14.86</v>
      </c>
      <c r="BS69">
        <v>25.54</v>
      </c>
      <c r="BT69" t="s">
        <v>2517</v>
      </c>
      <c r="BU69" t="s">
        <v>1354</v>
      </c>
      <c r="BV69">
        <v>77.37</v>
      </c>
      <c r="BW69">
        <v>78.739999999999995</v>
      </c>
      <c r="BX69">
        <v>78.09</v>
      </c>
      <c r="BY69">
        <v>16.36</v>
      </c>
      <c r="BZ69">
        <v>16.940000000000001</v>
      </c>
      <c r="CA69">
        <v>20.34</v>
      </c>
      <c r="CB69">
        <v>-0.91</v>
      </c>
      <c r="CC69">
        <v>-17.22</v>
      </c>
      <c r="CD69" t="s">
        <v>3849</v>
      </c>
      <c r="CE69" t="s">
        <v>253</v>
      </c>
      <c r="CF69" s="7">
        <v>0.21951219512195122</v>
      </c>
      <c r="CG69" s="8">
        <v>0.79587711183350307</v>
      </c>
      <c r="CH69" s="7">
        <v>0.17440000176429749</v>
      </c>
      <c r="CI69" s="7">
        <v>0.21595330536365509</v>
      </c>
      <c r="CJ69" s="7">
        <v>0.49201741814613342</v>
      </c>
      <c r="CK69" s="7">
        <v>0.2712177038192749</v>
      </c>
      <c r="CL69" s="7">
        <v>0.25754061341285706</v>
      </c>
      <c r="CM69" s="8">
        <v>0.1320754736661911</v>
      </c>
      <c r="CN69" s="8">
        <v>8.7179489433765411E-2</v>
      </c>
      <c r="CO69" s="8">
        <v>1.2164480686187744</v>
      </c>
      <c r="CP69" s="8">
        <v>1.4510806798934937</v>
      </c>
      <c r="CQ69" s="8">
        <v>1.6279075145721436</v>
      </c>
      <c r="CR69">
        <v>216.77184244193762</v>
      </c>
      <c r="CS69">
        <v>7.6807944529630952</v>
      </c>
      <c r="CT69">
        <v>1.8461538461538463</v>
      </c>
      <c r="CU69" s="7">
        <v>0.28222580850124357</v>
      </c>
      <c r="CV69" s="8">
        <v>0.9029382452368736</v>
      </c>
      <c r="CW69">
        <v>0.06</v>
      </c>
      <c r="CX69">
        <v>92.799256868608936</v>
      </c>
      <c r="CY69">
        <v>290315277.39650798</v>
      </c>
      <c r="CZ69">
        <v>0.28222580850124357</v>
      </c>
      <c r="DA69">
        <v>25.866463919815022</v>
      </c>
      <c r="DB69">
        <v>1041543292.6400812</v>
      </c>
      <c r="DC69">
        <v>0.26811451807618136</v>
      </c>
      <c r="DD69">
        <v>10.153805636251423</v>
      </c>
      <c r="DE69">
        <v>2653295027.0206356</v>
      </c>
      <c r="DF69">
        <v>0.24835871148109434</v>
      </c>
      <c r="DG69">
        <v>4.6338239619559607</v>
      </c>
      <c r="DH69">
        <v>5813997730.8564062</v>
      </c>
      <c r="DI69">
        <v>0.22578064680099486</v>
      </c>
      <c r="DJ69">
        <v>1.2307535891393295</v>
      </c>
      <c r="DK69">
        <v>21889874819.572918</v>
      </c>
      <c r="DL69">
        <v>0.1975580659508705</v>
      </c>
      <c r="DM69">
        <v>240000000</v>
      </c>
      <c r="DN69">
        <v>0.28222580850124357</v>
      </c>
      <c r="DO69">
        <v>26941042000</v>
      </c>
      <c r="DP69">
        <v>663918040</v>
      </c>
      <c r="DQ69">
        <v>2041</v>
      </c>
      <c r="DR69">
        <v>-6.2713613379292349E-2</v>
      </c>
      <c r="DS69">
        <v>-0.10706113340337053</v>
      </c>
      <c r="DT69" s="9">
        <v>0.22666666666666657</v>
      </c>
      <c r="DU69">
        <v>1.1399999999999999</v>
      </c>
      <c r="DV69">
        <v>1.3666666666666665</v>
      </c>
      <c r="DW69">
        <v>-3.0137976190476192</v>
      </c>
      <c r="DX69">
        <v>0.57563055555555387</v>
      </c>
      <c r="DY69">
        <v>-3.0021473311177247</v>
      </c>
      <c r="DZ69">
        <v>76</v>
      </c>
      <c r="EA69">
        <v>-3.0021153942948389</v>
      </c>
      <c r="EB69">
        <v>3</v>
      </c>
      <c r="EC69">
        <v>9.6362978513327827E-2</v>
      </c>
      <c r="ED69">
        <v>0.61917775830935118</v>
      </c>
      <c r="EE69" s="10">
        <v>7.2609999999999994E-2</v>
      </c>
      <c r="EF69">
        <v>0.10550999999999999</v>
      </c>
      <c r="EG69">
        <v>42.155630555555554</v>
      </c>
      <c r="EH69">
        <v>-1</v>
      </c>
      <c r="EI69">
        <v>0</v>
      </c>
      <c r="EJ69">
        <v>1</v>
      </c>
      <c r="EK69" s="11">
        <v>45470</v>
      </c>
      <c r="EL69" s="12">
        <v>0.4</v>
      </c>
      <c r="EM69" s="12">
        <v>-0.21</v>
      </c>
      <c r="EN69" s="12">
        <v>-1.68</v>
      </c>
      <c r="EO69" s="12">
        <v>2.99</v>
      </c>
      <c r="EP69" s="12">
        <v>-3.29</v>
      </c>
    </row>
    <row r="70" spans="1:146" ht="108" x14ac:dyDescent="0.25">
      <c r="A70" s="6"/>
      <c r="B70" s="6"/>
      <c r="C70" s="6" t="str">
        <f>""&amp;CHAR(10)&amp;Basic_Fundamental_Information_Constructure(F70)&amp;CHAR(10)&amp;Basic_Fundamental_Information_Concatenate("")</f>
        <v xml:space="preserve">
市值23.048808亿, 利润4560.40万; PE69.17; 平均PE110.56; 平均PEG22.36, PB1.14; ROIC2.88%; ROE2.5933%; 股利率3.7037%; 毛利21.7267%; 净利3.3367%; 上一年度营收增-2.44%, 利润增8.67%; 当季营收增-27.16%, 利润增-80%; 过往5年营收增4.94%, 利润增-67.37%
Income profile:
</v>
      </c>
      <c r="D70" t="s">
        <v>165</v>
      </c>
      <c r="E70" t="s">
        <v>21</v>
      </c>
      <c r="F70">
        <v>12.15</v>
      </c>
      <c r="G70">
        <v>4.2</v>
      </c>
      <c r="H70" t="s">
        <v>3850</v>
      </c>
      <c r="I70">
        <v>2304880800</v>
      </c>
      <c r="J70">
        <v>69.17</v>
      </c>
      <c r="K70">
        <v>1.1399999999999999</v>
      </c>
      <c r="L70" t="s">
        <v>100</v>
      </c>
      <c r="M70" t="s">
        <v>1841</v>
      </c>
      <c r="N70" t="s">
        <v>3299</v>
      </c>
      <c r="O70" t="s">
        <v>305</v>
      </c>
      <c r="P70">
        <v>-27</v>
      </c>
      <c r="Q70" t="s">
        <v>2518</v>
      </c>
      <c r="R70">
        <v>3070729</v>
      </c>
      <c r="S70" s="5">
        <v>-0.8</v>
      </c>
      <c r="T70" t="s">
        <v>2519</v>
      </c>
      <c r="U70">
        <v>185478130</v>
      </c>
      <c r="V70">
        <v>189702130</v>
      </c>
      <c r="W70">
        <v>1.63</v>
      </c>
      <c r="X70">
        <v>7.0000000000000007E-2</v>
      </c>
      <c r="Y70">
        <v>1.52</v>
      </c>
      <c r="Z70" t="s">
        <v>415</v>
      </c>
      <c r="AA70" t="s">
        <v>467</v>
      </c>
      <c r="AB70" t="s">
        <v>3851</v>
      </c>
      <c r="AC70" t="s">
        <v>3852</v>
      </c>
      <c r="AD70" t="s">
        <v>81</v>
      </c>
      <c r="AE70">
        <v>10349458</v>
      </c>
      <c r="AF70" t="s">
        <v>2520</v>
      </c>
      <c r="AG70">
        <v>100.09</v>
      </c>
      <c r="AH70" t="s">
        <v>2521</v>
      </c>
      <c r="AI70" t="s">
        <v>1199</v>
      </c>
      <c r="AJ70" t="s">
        <v>2522</v>
      </c>
      <c r="AK70" t="s">
        <v>81</v>
      </c>
      <c r="AL70" t="s">
        <v>2523</v>
      </c>
      <c r="AM70" t="s">
        <v>81</v>
      </c>
      <c r="AN70" t="s">
        <v>244</v>
      </c>
      <c r="AO70" t="s">
        <v>3699</v>
      </c>
      <c r="AP70" t="s">
        <v>3853</v>
      </c>
      <c r="AQ70" t="s">
        <v>470</v>
      </c>
      <c r="AR70" t="s">
        <v>81</v>
      </c>
      <c r="AS70" t="s">
        <v>3854</v>
      </c>
      <c r="AT70" t="s">
        <v>3855</v>
      </c>
      <c r="AU70" t="s">
        <v>3856</v>
      </c>
      <c r="AV70" t="s">
        <v>3857</v>
      </c>
      <c r="AW70" t="s">
        <v>288</v>
      </c>
      <c r="AX70" t="s">
        <v>801</v>
      </c>
      <c r="AY70" t="s">
        <v>632</v>
      </c>
      <c r="AZ70" t="s">
        <v>866</v>
      </c>
      <c r="BA70" t="s">
        <v>856</v>
      </c>
      <c r="BB70" t="s">
        <v>868</v>
      </c>
      <c r="BC70" t="s">
        <v>2524</v>
      </c>
      <c r="BD70" t="s">
        <v>1254</v>
      </c>
      <c r="BE70" t="s">
        <v>867</v>
      </c>
      <c r="BF70" t="s">
        <v>871</v>
      </c>
      <c r="BG70" t="s">
        <v>355</v>
      </c>
      <c r="BH70" t="s">
        <v>2518</v>
      </c>
      <c r="BI70" t="s">
        <v>718</v>
      </c>
      <c r="BJ70" t="s">
        <v>801</v>
      </c>
      <c r="BK70" t="s">
        <v>2519</v>
      </c>
      <c r="BL70" t="s">
        <v>1947</v>
      </c>
      <c r="BM70" t="s">
        <v>2524</v>
      </c>
      <c r="BN70">
        <v>3.42</v>
      </c>
      <c r="BO70">
        <v>2.95</v>
      </c>
      <c r="BP70">
        <v>2.27</v>
      </c>
      <c r="BQ70">
        <v>3.12</v>
      </c>
      <c r="BR70">
        <v>2.4700000000000002</v>
      </c>
      <c r="BS70">
        <v>2.19</v>
      </c>
      <c r="BT70" t="s">
        <v>2150</v>
      </c>
      <c r="BU70" t="s">
        <v>1353</v>
      </c>
      <c r="BV70">
        <v>22.31</v>
      </c>
      <c r="BW70">
        <v>20.79</v>
      </c>
      <c r="BX70">
        <v>22.08</v>
      </c>
      <c r="BY70">
        <v>3.79</v>
      </c>
      <c r="BZ70">
        <v>3.24</v>
      </c>
      <c r="CA70">
        <v>2.98</v>
      </c>
      <c r="CB70">
        <v>0</v>
      </c>
      <c r="CC70">
        <v>-10.73</v>
      </c>
      <c r="CD70" t="s">
        <v>3858</v>
      </c>
      <c r="CE70" t="s">
        <v>3859</v>
      </c>
      <c r="CF70" s="7">
        <v>-0.27164179104477609</v>
      </c>
      <c r="CG70" s="8">
        <v>-0.80001895135818069</v>
      </c>
      <c r="CH70" s="7">
        <v>-2.4390242993831635E-2</v>
      </c>
      <c r="CI70" s="7">
        <v>9.0606756508350372E-2</v>
      </c>
      <c r="CJ70" s="7">
        <v>0.31763425469398499</v>
      </c>
      <c r="CK70" s="7">
        <v>-5.4865423589944839E-2</v>
      </c>
      <c r="CL70" s="7">
        <v>-8.1749051809310913E-2</v>
      </c>
      <c r="CM70" s="8">
        <v>8.6652971804141998E-2</v>
      </c>
      <c r="CN70" s="8">
        <v>0.15914753079414368</v>
      </c>
      <c r="CO70" s="8">
        <v>1.2011411190032959</v>
      </c>
      <c r="CP70" s="8">
        <v>-4.2544140815734863</v>
      </c>
      <c r="CQ70" s="8">
        <v>-0.56103569269180298</v>
      </c>
      <c r="CR70">
        <v>110.55794919187792</v>
      </c>
      <c r="CS70">
        <v>22.358762125020519</v>
      </c>
      <c r="CT70">
        <v>3.7037037037037037</v>
      </c>
      <c r="CU70" s="7">
        <v>4.9447258561849596E-2</v>
      </c>
      <c r="CV70" s="8">
        <v>-0.67370163053274157</v>
      </c>
      <c r="CW70">
        <v>0.06</v>
      </c>
      <c r="CX70">
        <v>31.226600503000217</v>
      </c>
      <c r="CY70">
        <v>45149993.188164696</v>
      </c>
      <c r="CZ70">
        <v>4.9447258561849596E-2</v>
      </c>
      <c r="DA70">
        <v>10.562707874500035</v>
      </c>
      <c r="DB70">
        <v>133477212.16485256</v>
      </c>
      <c r="DC70">
        <v>4.6974895633757112E-2</v>
      </c>
      <c r="DD70">
        <v>5.4412633338299452</v>
      </c>
      <c r="DE70">
        <v>259109091.67625716</v>
      </c>
      <c r="DF70">
        <v>4.3513587534427647E-2</v>
      </c>
      <c r="DG70">
        <v>3.4356984542734539</v>
      </c>
      <c r="DH70">
        <v>410362206.91787899</v>
      </c>
      <c r="DI70">
        <v>3.9557806849479682E-2</v>
      </c>
      <c r="DJ70">
        <v>1.9745031712120915</v>
      </c>
      <c r="DK70">
        <v>714043320.14038455</v>
      </c>
      <c r="DL70">
        <v>3.4613080993294715E-2</v>
      </c>
      <c r="DM70">
        <v>45604000</v>
      </c>
      <c r="DN70">
        <v>4.9447258561849596E-2</v>
      </c>
      <c r="DO70">
        <v>1409880800</v>
      </c>
      <c r="DP70">
        <v>400405900</v>
      </c>
      <c r="DQ70">
        <v>2050</v>
      </c>
      <c r="DR70">
        <v>-0.32108904960662571</v>
      </c>
      <c r="DS70">
        <v>-0.12631732082543912</v>
      </c>
      <c r="DT70" s="9">
        <v>-0.3066666666666667</v>
      </c>
      <c r="DU70">
        <v>-0.77333333333333332</v>
      </c>
      <c r="DV70">
        <v>-1.08</v>
      </c>
      <c r="DW70">
        <v>-2.1073</v>
      </c>
      <c r="DX70">
        <v>0.41735063122592292</v>
      </c>
      <c r="DY70">
        <v>-2.0136647227305415</v>
      </c>
      <c r="DZ70">
        <v>3644</v>
      </c>
      <c r="EA70">
        <v>-2.003920251178664</v>
      </c>
      <c r="EB70">
        <v>2</v>
      </c>
      <c r="EC70">
        <v>3.7712280826788819E-2</v>
      </c>
      <c r="ED70">
        <v>0.29612951631064977</v>
      </c>
      <c r="EE70" s="10">
        <v>-4.0147000000000004</v>
      </c>
      <c r="EF70">
        <v>-4.0054100000000004</v>
      </c>
      <c r="EG70">
        <v>29.127350631225923</v>
      </c>
      <c r="EH70" t="s">
        <v>3135</v>
      </c>
      <c r="EI70">
        <v>0</v>
      </c>
      <c r="EJ70">
        <v>0</v>
      </c>
      <c r="EK70" s="11">
        <v>45470</v>
      </c>
      <c r="EL70" s="12">
        <v>0.64</v>
      </c>
      <c r="EM70" s="12">
        <v>-5.98</v>
      </c>
      <c r="EN70" s="12">
        <v>0.85</v>
      </c>
      <c r="EO70" s="12">
        <v>4.37</v>
      </c>
      <c r="EP70" s="12">
        <v>-2.0099999999999998</v>
      </c>
    </row>
    <row r="71" spans="1:146" ht="108" x14ac:dyDescent="0.25">
      <c r="A71" s="6"/>
      <c r="B71" s="6"/>
      <c r="C71" s="6" t="str">
        <f>""&amp;CHAR(10)&amp;Basic_Fundamental_Information_Constructure(F71)&amp;CHAR(10)&amp;Basic_Fundamental_Information_Concatenate("")</f>
        <v xml:space="preserve">
市值18.768亿, 利润3631.56万; PE50.1; 平均PE19.07; 平均PEG4.26, PB1.88; ROIC11.7333%; ROE13.6433%; 股利率.3197%; 毛利79.2667%; 净利20.7867%; 上一年度营收增-1.52%, 利润增11.92%; 当季营收增-10.26%, 利润增9.37%; 过往5年营收增-4.48%, 利润增62.95%
Income profile:
</v>
      </c>
      <c r="D71" t="s">
        <v>153</v>
      </c>
      <c r="E71" t="s">
        <v>66</v>
      </c>
      <c r="F71">
        <v>15.64</v>
      </c>
      <c r="G71">
        <v>4.55</v>
      </c>
      <c r="H71" t="s">
        <v>3860</v>
      </c>
      <c r="I71">
        <v>1876800000</v>
      </c>
      <c r="J71">
        <v>50.1</v>
      </c>
      <c r="K71">
        <v>1.88</v>
      </c>
      <c r="L71" t="s">
        <v>100</v>
      </c>
      <c r="M71" t="s">
        <v>1223</v>
      </c>
      <c r="N71" t="s">
        <v>987</v>
      </c>
      <c r="O71" t="s">
        <v>233</v>
      </c>
      <c r="P71">
        <v>-10.78</v>
      </c>
      <c r="Q71" t="s">
        <v>2525</v>
      </c>
      <c r="R71">
        <v>13357813</v>
      </c>
      <c r="S71" s="5">
        <v>9.3700000000000006E-2</v>
      </c>
      <c r="T71" t="s">
        <v>2526</v>
      </c>
      <c r="U71">
        <v>82118621</v>
      </c>
      <c r="V71">
        <v>120000000</v>
      </c>
      <c r="W71">
        <v>1.41</v>
      </c>
      <c r="X71">
        <v>7.0000000000000007E-2</v>
      </c>
      <c r="Y71">
        <v>12.78</v>
      </c>
      <c r="Z71" t="s">
        <v>3861</v>
      </c>
      <c r="AA71" t="s">
        <v>3862</v>
      </c>
      <c r="AB71" t="s">
        <v>3863</v>
      </c>
      <c r="AC71" t="s">
        <v>3864</v>
      </c>
      <c r="AD71" t="s">
        <v>81</v>
      </c>
      <c r="AE71">
        <v>2043148</v>
      </c>
      <c r="AF71" t="s">
        <v>2528</v>
      </c>
      <c r="AG71">
        <v>150.19999999999999</v>
      </c>
      <c r="AH71" t="s">
        <v>2529</v>
      </c>
      <c r="AI71" t="s">
        <v>3865</v>
      </c>
      <c r="AJ71" t="s">
        <v>2530</v>
      </c>
      <c r="AK71" t="s">
        <v>81</v>
      </c>
      <c r="AL71" t="s">
        <v>2531</v>
      </c>
      <c r="AM71" t="s">
        <v>81</v>
      </c>
      <c r="AN71" t="s">
        <v>946</v>
      </c>
      <c r="AO71" t="s">
        <v>763</v>
      </c>
      <c r="AP71" t="s">
        <v>3866</v>
      </c>
      <c r="AQ71" t="s">
        <v>3867</v>
      </c>
      <c r="AR71" t="s">
        <v>81</v>
      </c>
      <c r="AS71" t="s">
        <v>1432</v>
      </c>
      <c r="AT71" t="s">
        <v>81</v>
      </c>
      <c r="AU71" t="s">
        <v>3868</v>
      </c>
      <c r="AV71" t="s">
        <v>3869</v>
      </c>
      <c r="AW71" t="s">
        <v>3870</v>
      </c>
      <c r="AX71" t="s">
        <v>1701</v>
      </c>
      <c r="AY71" t="s">
        <v>681</v>
      </c>
      <c r="AZ71" t="s">
        <v>87</v>
      </c>
      <c r="BA71" t="s">
        <v>873</v>
      </c>
      <c r="BB71" t="s">
        <v>667</v>
      </c>
      <c r="BC71" t="s">
        <v>1702</v>
      </c>
      <c r="BD71" t="s">
        <v>371</v>
      </c>
      <c r="BE71" t="s">
        <v>872</v>
      </c>
      <c r="BF71" t="s">
        <v>874</v>
      </c>
      <c r="BG71" t="s">
        <v>875</v>
      </c>
      <c r="BH71" t="s">
        <v>2525</v>
      </c>
      <c r="BI71" t="s">
        <v>435</v>
      </c>
      <c r="BJ71" t="s">
        <v>1701</v>
      </c>
      <c r="BK71" t="s">
        <v>2526</v>
      </c>
      <c r="BL71" t="s">
        <v>1948</v>
      </c>
      <c r="BM71" t="s">
        <v>1702</v>
      </c>
      <c r="BN71">
        <v>2.35</v>
      </c>
      <c r="BO71">
        <v>3.46</v>
      </c>
      <c r="BP71">
        <v>29.39</v>
      </c>
      <c r="BQ71">
        <v>2.33</v>
      </c>
      <c r="BR71">
        <v>3.42</v>
      </c>
      <c r="BS71">
        <v>35.18</v>
      </c>
      <c r="BT71" t="s">
        <v>1546</v>
      </c>
      <c r="BU71" t="s">
        <v>1354</v>
      </c>
      <c r="BV71">
        <v>81.349999999999994</v>
      </c>
      <c r="BW71">
        <v>75.3</v>
      </c>
      <c r="BX71">
        <v>81.150000000000006</v>
      </c>
      <c r="BY71">
        <v>7.01</v>
      </c>
      <c r="BZ71">
        <v>6.1</v>
      </c>
      <c r="CA71">
        <v>49.25</v>
      </c>
      <c r="CB71">
        <v>2.69</v>
      </c>
      <c r="CC71">
        <v>-8.48</v>
      </c>
      <c r="CD71" t="s">
        <v>3871</v>
      </c>
      <c r="CE71" t="s">
        <v>3872</v>
      </c>
      <c r="CF71" s="7">
        <v>-0.10256410256410256</v>
      </c>
      <c r="CG71" s="8">
        <v>9.3665607755162028E-2</v>
      </c>
      <c r="CH71" s="7">
        <v>-1.5209125354886055E-2</v>
      </c>
      <c r="CI71" s="7">
        <v>-8.9965395629405975E-2</v>
      </c>
      <c r="CJ71" s="7">
        <v>-0.18130311369895935</v>
      </c>
      <c r="CK71" s="7">
        <v>-0.23675675690174103</v>
      </c>
      <c r="CL71" s="7">
        <v>0.29915729165077209</v>
      </c>
      <c r="CM71" s="8">
        <v>0.11916274577379227</v>
      </c>
      <c r="CN71" s="8">
        <v>-0.88654232025146484</v>
      </c>
      <c r="CO71" s="8">
        <v>4.1783356666564941</v>
      </c>
      <c r="CP71" s="8">
        <v>-0.43212911486625671</v>
      </c>
      <c r="CQ71" s="8">
        <v>0.16864287853240967</v>
      </c>
      <c r="CR71">
        <v>19.070715829263168</v>
      </c>
      <c r="CS71">
        <v>4.2553915225744925</v>
      </c>
      <c r="CT71">
        <v>0.31969309462915602</v>
      </c>
      <c r="CU71" s="7">
        <v>-4.481541998684406E-2</v>
      </c>
      <c r="CV71" s="8">
        <v>0.62949397116899486</v>
      </c>
      <c r="CW71">
        <v>0.06</v>
      </c>
      <c r="CX71">
        <v>35.709171815968894</v>
      </c>
      <c r="CY71" t="s">
        <v>2532</v>
      </c>
      <c r="CZ71">
        <v>-4.481541998684406E-2</v>
      </c>
      <c r="DA71">
        <v>11.903057271989631</v>
      </c>
      <c r="DB71" t="s">
        <v>2533</v>
      </c>
      <c r="DC71">
        <v>-4.2574648987501858E-2</v>
      </c>
      <c r="DD71">
        <v>5.9515286359948156</v>
      </c>
      <c r="DE71" t="s">
        <v>2534</v>
      </c>
      <c r="DF71">
        <v>-3.9437569588422774E-2</v>
      </c>
      <c r="DG71">
        <v>3.5709171815968896</v>
      </c>
      <c r="DH71" t="s">
        <v>2535</v>
      </c>
      <c r="DI71">
        <v>-3.5852335989475251E-2</v>
      </c>
      <c r="DJ71">
        <v>1.7854585907984448</v>
      </c>
      <c r="DK71" t="s">
        <v>2536</v>
      </c>
      <c r="DL71">
        <v>-3.1370793990790839E-2</v>
      </c>
      <c r="DM71">
        <v>36315600</v>
      </c>
      <c r="DN71">
        <v>-4.481541998684406E-2</v>
      </c>
      <c r="DO71">
        <v>1296800000</v>
      </c>
      <c r="DP71">
        <v>-36558040</v>
      </c>
      <c r="DQ71">
        <v>2051</v>
      </c>
      <c r="DR71">
        <v>-5.7748682577258501E-2</v>
      </c>
      <c r="DS71">
        <v>-0.53582836341383278</v>
      </c>
      <c r="DT71" s="9">
        <v>-0.59</v>
      </c>
      <c r="DU71">
        <v>5.3333333333333344E-2</v>
      </c>
      <c r="DV71">
        <v>-0.53666666666666663</v>
      </c>
      <c r="DW71">
        <v>6.2408236347359001</v>
      </c>
      <c r="DX71">
        <v>0.50495064849896065</v>
      </c>
      <c r="DY71">
        <v>6.0373157783762048</v>
      </c>
      <c r="DZ71">
        <v>2932</v>
      </c>
      <c r="EA71">
        <v>6.0159048464390166</v>
      </c>
      <c r="EB71">
        <v>6</v>
      </c>
      <c r="EC71">
        <v>5.040583333333333E-2</v>
      </c>
      <c r="ED71">
        <v>0.32530249999999999</v>
      </c>
      <c r="EE71" s="10">
        <v>-5.0080999999999998</v>
      </c>
      <c r="EF71">
        <v>-5.0080099999999996</v>
      </c>
      <c r="EG71">
        <v>35.154950648498961</v>
      </c>
      <c r="EH71" t="s">
        <v>3162</v>
      </c>
      <c r="EI71">
        <v>0</v>
      </c>
      <c r="EJ71">
        <v>0</v>
      </c>
      <c r="EK71" s="11">
        <v>45470</v>
      </c>
      <c r="EL71" s="12">
        <v>1.43</v>
      </c>
      <c r="EM71" s="12">
        <v>-4.3499999999999996</v>
      </c>
      <c r="EN71" s="12">
        <v>1.07</v>
      </c>
      <c r="EO71" s="12">
        <v>2.5099999999999998</v>
      </c>
      <c r="EP71" s="12">
        <v>-1.61</v>
      </c>
    </row>
    <row r="72" spans="1:146" x14ac:dyDescent="0.25">
      <c r="A72" s="6"/>
      <c r="B72" s="6"/>
      <c r="C72" s="6" t="str">
        <f>""&amp;CHAR(10)&amp;Basic_Fundamental_Information_Constructure(F72)&amp;CHAR(10)&amp;Basic_Fundamental_Information_Concatenate("")</f>
        <v xml:space="preserve">
市值55.794233亿, 利润8592.29万; PE64.71; 平均PE21.27; 平均PEG1.16, PB1.92; ROIC9.455%; ROE15.1167%; 股利率0%; 毛利70.46%; 净利16.08%; 上一年度营收增-19.46%, 利润增-70.87%; 当季营收增42.33%, 利润增.44%; 过往5年营收增18.37%, 利润增.47%
Income profile:
</v>
      </c>
      <c r="D72" t="s">
        <v>129</v>
      </c>
      <c r="E72" t="s">
        <v>6</v>
      </c>
      <c r="F72" t="s">
        <v>81</v>
      </c>
      <c r="G72" t="s">
        <v>81</v>
      </c>
      <c r="H72" t="s">
        <v>81</v>
      </c>
      <c r="I72">
        <v>5579423300</v>
      </c>
      <c r="J72">
        <v>64.709999999999994</v>
      </c>
      <c r="K72">
        <v>1.92</v>
      </c>
      <c r="L72" t="s">
        <v>100</v>
      </c>
      <c r="M72" t="s">
        <v>3873</v>
      </c>
      <c r="N72" t="s">
        <v>3874</v>
      </c>
      <c r="O72" t="s">
        <v>230</v>
      </c>
      <c r="P72">
        <v>42.69</v>
      </c>
      <c r="Q72" t="s">
        <v>3875</v>
      </c>
      <c r="R72">
        <v>66690483</v>
      </c>
      <c r="S72" s="5">
        <v>4.45E-3</v>
      </c>
      <c r="T72" t="s">
        <v>3876</v>
      </c>
      <c r="U72">
        <v>338292700</v>
      </c>
      <c r="V72">
        <v>451775170</v>
      </c>
      <c r="W72">
        <v>2.2200000000000002</v>
      </c>
      <c r="X72">
        <v>0.05</v>
      </c>
      <c r="Y72">
        <v>21.77</v>
      </c>
      <c r="Z72" t="s">
        <v>286</v>
      </c>
      <c r="AA72" t="s">
        <v>3877</v>
      </c>
      <c r="AB72" t="s">
        <v>3878</v>
      </c>
      <c r="AC72" t="s">
        <v>3879</v>
      </c>
      <c r="AD72" t="s">
        <v>81</v>
      </c>
      <c r="AE72">
        <v>9107303</v>
      </c>
      <c r="AF72" t="s">
        <v>236</v>
      </c>
      <c r="AG72" t="s">
        <v>3880</v>
      </c>
      <c r="AH72" t="s">
        <v>3881</v>
      </c>
      <c r="AI72" t="s">
        <v>1466</v>
      </c>
      <c r="AJ72" t="s">
        <v>3882</v>
      </c>
      <c r="AK72" t="s">
        <v>81</v>
      </c>
      <c r="AL72" t="s">
        <v>3883</v>
      </c>
      <c r="AM72" t="s">
        <v>81</v>
      </c>
      <c r="AN72" t="s">
        <v>1774</v>
      </c>
      <c r="AO72" t="s">
        <v>575</v>
      </c>
      <c r="AP72" t="s">
        <v>1614</v>
      </c>
      <c r="AQ72" t="s">
        <v>3083</v>
      </c>
      <c r="AR72" t="s">
        <v>81</v>
      </c>
      <c r="AS72" t="s">
        <v>2549</v>
      </c>
      <c r="AT72" t="s">
        <v>3232</v>
      </c>
      <c r="AU72" t="s">
        <v>1345</v>
      </c>
      <c r="AV72" t="s">
        <v>3884</v>
      </c>
      <c r="AW72" t="s">
        <v>398</v>
      </c>
      <c r="AX72" t="s">
        <v>1530</v>
      </c>
      <c r="AY72" t="s">
        <v>3885</v>
      </c>
      <c r="AZ72" t="s">
        <v>486</v>
      </c>
      <c r="BA72" t="s">
        <v>388</v>
      </c>
      <c r="BB72" t="s">
        <v>501</v>
      </c>
      <c r="BC72" t="s">
        <v>398</v>
      </c>
      <c r="BD72" t="s">
        <v>1173</v>
      </c>
      <c r="BE72" t="s">
        <v>876</v>
      </c>
      <c r="BF72" t="s">
        <v>254</v>
      </c>
      <c r="BG72" t="s">
        <v>463</v>
      </c>
      <c r="BH72" t="s">
        <v>3875</v>
      </c>
      <c r="BI72" t="s">
        <v>589</v>
      </c>
      <c r="BJ72" t="s">
        <v>1530</v>
      </c>
      <c r="BK72" t="s">
        <v>3876</v>
      </c>
      <c r="BL72" t="s">
        <v>3886</v>
      </c>
      <c r="BM72" t="s">
        <v>398</v>
      </c>
      <c r="BN72" t="s">
        <v>81</v>
      </c>
      <c r="BO72">
        <v>7.74</v>
      </c>
      <c r="BP72">
        <v>11.17</v>
      </c>
      <c r="BQ72">
        <v>11.85</v>
      </c>
      <c r="BR72">
        <v>15.62</v>
      </c>
      <c r="BS72">
        <v>17.88</v>
      </c>
      <c r="BT72" t="s">
        <v>1526</v>
      </c>
      <c r="BU72" t="s">
        <v>1354</v>
      </c>
      <c r="BV72">
        <v>73.05</v>
      </c>
      <c r="BW72">
        <v>65.17</v>
      </c>
      <c r="BX72">
        <v>73.16</v>
      </c>
      <c r="BY72">
        <v>6.59</v>
      </c>
      <c r="BZ72">
        <v>18.22</v>
      </c>
      <c r="CA72">
        <v>23.43</v>
      </c>
      <c r="CB72">
        <v>0</v>
      </c>
      <c r="CC72">
        <v>0</v>
      </c>
      <c r="CD72" t="s">
        <v>81</v>
      </c>
      <c r="CE72" t="s">
        <v>81</v>
      </c>
      <c r="CF72" s="7">
        <v>0.42325581395348838</v>
      </c>
      <c r="CG72" s="8">
        <v>4.4473546280452882E-3</v>
      </c>
      <c r="CH72" s="7">
        <v>-0.1945645809173584</v>
      </c>
      <c r="CI72" s="7">
        <v>0.24634332954883575</v>
      </c>
      <c r="CJ72" s="7">
        <v>9.2514827847480774E-2</v>
      </c>
      <c r="CK72" s="7">
        <v>0.25157886743545532</v>
      </c>
      <c r="CL72" s="7">
        <v>0.52243590354919434</v>
      </c>
      <c r="CM72" s="8">
        <v>-0.7087358832359314</v>
      </c>
      <c r="CN72" s="8">
        <v>-2.9605263844132423E-2</v>
      </c>
      <c r="CO72" s="8">
        <v>-0.25307124853134155</v>
      </c>
      <c r="CP72" s="8">
        <v>0.35215947031974792</v>
      </c>
      <c r="CQ72" s="8">
        <v>0.66298341751098633</v>
      </c>
      <c r="CR72">
        <v>21.269491536084772</v>
      </c>
      <c r="CS72">
        <v>1.158080049845549</v>
      </c>
      <c r="CT72">
        <v>0</v>
      </c>
      <c r="CU72" s="7">
        <v>0.18366166949272156</v>
      </c>
      <c r="CV72" s="8">
        <v>4.7460984438657764E-3</v>
      </c>
      <c r="CW72">
        <v>0.06</v>
      </c>
      <c r="CX72">
        <v>62.393130614548895</v>
      </c>
      <c r="CY72">
        <v>95946833.265713379</v>
      </c>
      <c r="CZ72">
        <v>0.18366166949272156</v>
      </c>
      <c r="DA72">
        <v>18.85113567490232</v>
      </c>
      <c r="DB72">
        <v>317563005.39336175</v>
      </c>
      <c r="DC72">
        <v>0.17447858601808547</v>
      </c>
      <c r="DD72">
        <v>8.326375721538259</v>
      </c>
      <c r="DE72">
        <v>718971074.59547067</v>
      </c>
      <c r="DF72">
        <v>0.16162226915359498</v>
      </c>
      <c r="DG72">
        <v>4.4026817942794532</v>
      </c>
      <c r="DH72">
        <v>1359722001.2080712</v>
      </c>
      <c r="DI72">
        <v>0.14692933559417726</v>
      </c>
      <c r="DJ72">
        <v>1.691292098778086</v>
      </c>
      <c r="DK72">
        <v>3539556120.6281476</v>
      </c>
      <c r="DL72">
        <v>0.12856316864490508</v>
      </c>
      <c r="DM72">
        <v>85922900.000000015</v>
      </c>
      <c r="DN72">
        <v>0.18366166949272156</v>
      </c>
      <c r="DO72">
        <v>5986423300</v>
      </c>
      <c r="DP72">
        <v>571558000</v>
      </c>
      <c r="DQ72">
        <v>2097</v>
      </c>
      <c r="DR72">
        <v>0.23959414446076682</v>
      </c>
      <c r="DS72">
        <v>-2.9874381582048817E-4</v>
      </c>
      <c r="DT72" s="9">
        <v>-0.24000000000000007</v>
      </c>
      <c r="DU72">
        <v>-0.15000000000000002</v>
      </c>
      <c r="DV72">
        <v>-0.39000000000000012</v>
      </c>
      <c r="DW72">
        <v>0</v>
      </c>
      <c r="DX72" t="e">
        <v>#VALUE!</v>
      </c>
      <c r="DY72" t="e">
        <v>#VALUE!</v>
      </c>
      <c r="DZ72" t="s">
        <v>1462</v>
      </c>
      <c r="EA72" t="e">
        <v>#VALUE!</v>
      </c>
      <c r="EB72" t="e">
        <v>#VALUE!</v>
      </c>
      <c r="EC72">
        <v>0</v>
      </c>
      <c r="ED72">
        <v>0</v>
      </c>
      <c r="EE72" s="10">
        <v>-3.1250100000000001</v>
      </c>
      <c r="EF72">
        <v>-3.1250100000000001</v>
      </c>
      <c r="EG72" t="e">
        <v>#VALUE!</v>
      </c>
      <c r="EH72" t="s">
        <v>1991</v>
      </c>
      <c r="EI72" t="e">
        <v>#VALUE!</v>
      </c>
      <c r="EJ72">
        <v>0</v>
      </c>
      <c r="EK72" s="11">
        <v>45470</v>
      </c>
      <c r="EL72" s="12">
        <v>0</v>
      </c>
      <c r="EM72" s="12">
        <v>0</v>
      </c>
      <c r="EN72" s="12">
        <v>0</v>
      </c>
      <c r="EO72" s="12">
        <v>0</v>
      </c>
      <c r="EP72" s="12">
        <v>0</v>
      </c>
    </row>
    <row r="73" spans="1:146" ht="108" x14ac:dyDescent="0.25">
      <c r="A73" s="6"/>
      <c r="B73" s="6"/>
      <c r="C73" s="6" t="str">
        <f>""&amp;CHAR(10)&amp;Basic_Fundamental_Information_Constructure(F73)&amp;CHAR(10)&amp;Basic_Fundamental_Information_Concatenate("")</f>
        <v xml:space="preserve">
市值41.225375亿, 利润1.06亿; PE35.4; 平均PE57.39; 平均PEG2.43, PB1.82; ROIC4.7967%; ROE7.9467%; 股利率.409%; 毛利31.98%; 净利14.12%; 上一年度营收增.28%, 利润增4.95%; 当季营收增-6.79%, 利润增31.62%; 过往5年营收增23.6%, 利润增37.44%
Income profile:
</v>
      </c>
      <c r="D73" t="s">
        <v>121</v>
      </c>
      <c r="E73" t="s">
        <v>49</v>
      </c>
      <c r="F73">
        <v>9.7799999999999994</v>
      </c>
      <c r="G73">
        <v>5.16</v>
      </c>
      <c r="H73" t="s">
        <v>3887</v>
      </c>
      <c r="I73">
        <v>4122537500</v>
      </c>
      <c r="J73">
        <v>35.4</v>
      </c>
      <c r="K73">
        <v>1.82</v>
      </c>
      <c r="L73" t="s">
        <v>100</v>
      </c>
      <c r="M73" t="s">
        <v>1423</v>
      </c>
      <c r="N73" t="s">
        <v>3888</v>
      </c>
      <c r="O73" t="s">
        <v>777</v>
      </c>
      <c r="P73">
        <v>-6.47</v>
      </c>
      <c r="Q73" t="s">
        <v>642</v>
      </c>
      <c r="R73">
        <v>43562751</v>
      </c>
      <c r="S73" s="5">
        <v>0.31619999999999998</v>
      </c>
      <c r="T73" t="s">
        <v>359</v>
      </c>
      <c r="U73">
        <v>364441470</v>
      </c>
      <c r="V73">
        <v>421527350</v>
      </c>
      <c r="W73">
        <v>1.49</v>
      </c>
      <c r="X73">
        <v>0.06</v>
      </c>
      <c r="Y73">
        <v>21.1</v>
      </c>
      <c r="Z73" t="s">
        <v>302</v>
      </c>
      <c r="AA73" t="s">
        <v>277</v>
      </c>
      <c r="AB73" t="s">
        <v>3889</v>
      </c>
      <c r="AC73" t="s">
        <v>3890</v>
      </c>
      <c r="AD73" t="s">
        <v>81</v>
      </c>
      <c r="AE73">
        <v>-5567941</v>
      </c>
      <c r="AF73" t="s">
        <v>236</v>
      </c>
      <c r="AG73">
        <v>0</v>
      </c>
      <c r="AH73" t="s">
        <v>2537</v>
      </c>
      <c r="AI73" t="s">
        <v>84</v>
      </c>
      <c r="AJ73" t="s">
        <v>2538</v>
      </c>
      <c r="AK73" t="s">
        <v>81</v>
      </c>
      <c r="AL73" t="s">
        <v>2539</v>
      </c>
      <c r="AM73" t="s">
        <v>81</v>
      </c>
      <c r="AN73" t="s">
        <v>1757</v>
      </c>
      <c r="AO73" t="s">
        <v>734</v>
      </c>
      <c r="AP73" t="s">
        <v>3891</v>
      </c>
      <c r="AQ73" t="s">
        <v>3892</v>
      </c>
      <c r="AR73" t="s">
        <v>81</v>
      </c>
      <c r="AS73" t="s">
        <v>2880</v>
      </c>
      <c r="AT73" t="s">
        <v>3519</v>
      </c>
      <c r="AU73" t="s">
        <v>3893</v>
      </c>
      <c r="AV73" t="s">
        <v>2122</v>
      </c>
      <c r="AW73" t="s">
        <v>290</v>
      </c>
      <c r="AX73" t="s">
        <v>1704</v>
      </c>
      <c r="AY73" t="s">
        <v>786</v>
      </c>
      <c r="AZ73" t="s">
        <v>283</v>
      </c>
      <c r="BA73" t="s">
        <v>389</v>
      </c>
      <c r="BB73" t="s">
        <v>728</v>
      </c>
      <c r="BC73" t="s">
        <v>288</v>
      </c>
      <c r="BD73" t="s">
        <v>1255</v>
      </c>
      <c r="BE73" t="s">
        <v>879</v>
      </c>
      <c r="BF73" t="s">
        <v>880</v>
      </c>
      <c r="BG73" t="s">
        <v>881</v>
      </c>
      <c r="BH73" t="s">
        <v>642</v>
      </c>
      <c r="BI73" t="s">
        <v>308</v>
      </c>
      <c r="BJ73" t="s">
        <v>1704</v>
      </c>
      <c r="BK73" t="s">
        <v>359</v>
      </c>
      <c r="BL73" t="s">
        <v>1951</v>
      </c>
      <c r="BM73" t="s">
        <v>288</v>
      </c>
      <c r="BN73">
        <v>3.11</v>
      </c>
      <c r="BO73">
        <v>5.8</v>
      </c>
      <c r="BP73">
        <v>5.48</v>
      </c>
      <c r="BQ73">
        <v>5.1100000000000003</v>
      </c>
      <c r="BR73">
        <v>9.18</v>
      </c>
      <c r="BS73">
        <v>9.5500000000000007</v>
      </c>
      <c r="BT73" t="s">
        <v>2540</v>
      </c>
      <c r="BU73" t="s">
        <v>1353</v>
      </c>
      <c r="BV73">
        <v>33.299999999999997</v>
      </c>
      <c r="BW73">
        <v>32.43</v>
      </c>
      <c r="BX73">
        <v>30.21</v>
      </c>
      <c r="BY73">
        <v>14.68</v>
      </c>
      <c r="BZ73">
        <v>13.98</v>
      </c>
      <c r="CA73">
        <v>13.7</v>
      </c>
      <c r="CB73">
        <v>-3.83</v>
      </c>
      <c r="CC73">
        <v>-4.7699999999999996</v>
      </c>
      <c r="CD73" t="s">
        <v>3894</v>
      </c>
      <c r="CE73" t="s">
        <v>296</v>
      </c>
      <c r="CF73" s="7">
        <v>-6.7873303167420809E-2</v>
      </c>
      <c r="CG73" s="8">
        <v>0.31623437523605213</v>
      </c>
      <c r="CH73" s="7">
        <v>2.7777778450399637E-3</v>
      </c>
      <c r="CI73" s="7">
        <v>0.21621622145175934</v>
      </c>
      <c r="CJ73" s="7">
        <v>0.3609195351600647</v>
      </c>
      <c r="CK73" s="7">
        <v>5.3268764168024063E-2</v>
      </c>
      <c r="CL73" s="7">
        <v>0.54681646823883057</v>
      </c>
      <c r="CM73" s="8">
        <v>4.9504950642585754E-2</v>
      </c>
      <c r="CN73" s="8">
        <v>0.24507209658622742</v>
      </c>
      <c r="CO73" s="8">
        <v>0.158008873462677</v>
      </c>
      <c r="CP73" s="8">
        <v>0.45005419850349426</v>
      </c>
      <c r="CQ73" s="8">
        <v>0.96933245658874512</v>
      </c>
      <c r="CR73">
        <v>57.388848544468701</v>
      </c>
      <c r="CS73">
        <v>2.4317334117645184</v>
      </c>
      <c r="CT73">
        <v>0.40899795501022501</v>
      </c>
      <c r="CU73" s="7">
        <v>0.23599975337274373</v>
      </c>
      <c r="CV73" s="8">
        <v>0.37439451515674593</v>
      </c>
      <c r="CW73">
        <v>0.06</v>
      </c>
      <c r="CX73">
        <v>23.030243268515946</v>
      </c>
      <c r="CY73">
        <v>123599975.33727437</v>
      </c>
      <c r="CZ73">
        <v>0.23599975337274373</v>
      </c>
      <c r="DA73">
        <v>6.664989917733922</v>
      </c>
      <c r="DB73">
        <v>427088042.91302139</v>
      </c>
      <c r="DC73">
        <v>0.22419976570410655</v>
      </c>
      <c r="DD73">
        <v>2.7661784547029198</v>
      </c>
      <c r="DE73">
        <v>1029050564.3843974</v>
      </c>
      <c r="DF73">
        <v>0.20767978296801448</v>
      </c>
      <c r="DG73">
        <v>1.3545412301861131</v>
      </c>
      <c r="DH73">
        <v>2101477191.3652916</v>
      </c>
      <c r="DI73">
        <v>0.18879980269819499</v>
      </c>
      <c r="DJ73">
        <v>0.43020243799713909</v>
      </c>
      <c r="DK73">
        <v>6616739582.5379534</v>
      </c>
      <c r="DL73">
        <v>0.16519982736092059</v>
      </c>
      <c r="DM73">
        <v>106000000</v>
      </c>
      <c r="DN73">
        <v>0.23599975337274373</v>
      </c>
      <c r="DO73">
        <v>2846537500</v>
      </c>
      <c r="DP73">
        <v>612774480</v>
      </c>
      <c r="DQ73">
        <v>2103</v>
      </c>
      <c r="DR73">
        <v>-0.30387305654016455</v>
      </c>
      <c r="DS73">
        <v>-5.8160139920693799E-2</v>
      </c>
      <c r="DT73" s="9">
        <v>-5.6666666666666719E-2</v>
      </c>
      <c r="DU73">
        <v>0.82</v>
      </c>
      <c r="DV73">
        <v>0.7633333333333332</v>
      </c>
      <c r="DW73">
        <v>-8.8029350104821802</v>
      </c>
      <c r="DX73">
        <v>0.58096999999999888</v>
      </c>
      <c r="DY73">
        <v>-8.1292484486373162</v>
      </c>
      <c r="DZ73">
        <v>392</v>
      </c>
      <c r="EA73">
        <v>-8.119333499152809</v>
      </c>
      <c r="EB73">
        <v>8</v>
      </c>
      <c r="EC73">
        <v>5.3462248653616429E-2</v>
      </c>
      <c r="ED73">
        <v>0.33212554298078167</v>
      </c>
      <c r="EE73" s="10">
        <v>3.7700000000000004E-2</v>
      </c>
      <c r="EF73">
        <v>1.6399999999999998E-2</v>
      </c>
      <c r="EG73">
        <v>42.160969999999999</v>
      </c>
      <c r="EH73" t="s">
        <v>1360</v>
      </c>
      <c r="EI73">
        <v>0</v>
      </c>
      <c r="EJ73">
        <v>1</v>
      </c>
      <c r="EK73" s="11">
        <v>45470</v>
      </c>
      <c r="EL73" s="12">
        <v>6.62</v>
      </c>
      <c r="EM73" s="12">
        <v>-9.99</v>
      </c>
      <c r="EN73" s="12">
        <v>-0.1</v>
      </c>
      <c r="EO73" s="12">
        <v>3.3</v>
      </c>
      <c r="EP73" s="12">
        <v>-2.13</v>
      </c>
    </row>
    <row r="74" spans="1:146" ht="108" x14ac:dyDescent="0.25">
      <c r="A74" s="6"/>
      <c r="B74" s="6"/>
      <c r="C74" s="6" t="str">
        <f>""&amp;CHAR(10)&amp;Basic_Fundamental_Information_Constructure(F74)&amp;CHAR(10)&amp;Basic_Fundamental_Information_Concatenate("")</f>
        <v xml:space="preserve">
市值59.469296亿, 利润2735.93万; PE; 平均PE23.32; 平均PEG1.81, PB1.7; ROIC3.42%; ROE1.44%; 股利率.2926%; 毛利33.8667%; 净利1.5533%; 上一年度营收增-5.25%, 利润增122.99%; 当季营收增-11.33%, 利润增-59.48%; 过往5年营收增12.87%, 利润增33.36%
Income profile:
</v>
      </c>
      <c r="D74" t="s">
        <v>152</v>
      </c>
      <c r="E74" t="s">
        <v>69</v>
      </c>
      <c r="F74">
        <v>17.09</v>
      </c>
      <c r="G74">
        <v>4.21</v>
      </c>
      <c r="H74" t="s">
        <v>3895</v>
      </c>
      <c r="I74">
        <v>5946929600</v>
      </c>
      <c r="K74">
        <v>1.7</v>
      </c>
      <c r="L74" t="s">
        <v>100</v>
      </c>
      <c r="M74" t="s">
        <v>2541</v>
      </c>
      <c r="N74" t="s">
        <v>3896</v>
      </c>
      <c r="O74" t="s">
        <v>544</v>
      </c>
      <c r="P74">
        <v>-11.29</v>
      </c>
      <c r="Q74" t="s">
        <v>2542</v>
      </c>
      <c r="R74">
        <v>40517331</v>
      </c>
      <c r="S74" s="5">
        <v>-0.5958</v>
      </c>
      <c r="T74" t="s">
        <v>2543</v>
      </c>
      <c r="U74">
        <v>211164480</v>
      </c>
      <c r="V74">
        <v>347977160</v>
      </c>
      <c r="W74">
        <v>1.76</v>
      </c>
      <c r="X74">
        <v>0.11</v>
      </c>
      <c r="Y74">
        <v>5.88</v>
      </c>
      <c r="Z74" t="s">
        <v>1945</v>
      </c>
      <c r="AA74" t="s">
        <v>830</v>
      </c>
      <c r="AB74" t="s">
        <v>3897</v>
      </c>
      <c r="AC74" t="s">
        <v>3898</v>
      </c>
      <c r="AD74" t="s">
        <v>81</v>
      </c>
      <c r="AE74">
        <v>-2651350</v>
      </c>
      <c r="AF74" t="s">
        <v>2544</v>
      </c>
      <c r="AG74" t="s">
        <v>3899</v>
      </c>
      <c r="AH74" t="s">
        <v>2545</v>
      </c>
      <c r="AI74" t="s">
        <v>1111</v>
      </c>
      <c r="AJ74" t="s">
        <v>2546</v>
      </c>
      <c r="AK74" t="s">
        <v>81</v>
      </c>
      <c r="AL74" t="s">
        <v>2547</v>
      </c>
      <c r="AM74" t="s">
        <v>81</v>
      </c>
      <c r="AN74" t="s">
        <v>379</v>
      </c>
      <c r="AO74" t="s">
        <v>3900</v>
      </c>
      <c r="AP74" t="s">
        <v>2818</v>
      </c>
      <c r="AQ74" t="s">
        <v>515</v>
      </c>
      <c r="AR74" t="s">
        <v>3901</v>
      </c>
      <c r="AS74" t="s">
        <v>3902</v>
      </c>
      <c r="AT74" t="s">
        <v>227</v>
      </c>
      <c r="AU74" t="s">
        <v>3903</v>
      </c>
      <c r="AV74" t="s">
        <v>3904</v>
      </c>
      <c r="AW74" t="s">
        <v>3905</v>
      </c>
      <c r="AX74" t="s">
        <v>1705</v>
      </c>
      <c r="AY74" t="s">
        <v>1256</v>
      </c>
      <c r="AZ74" t="s">
        <v>882</v>
      </c>
      <c r="BA74" t="s">
        <v>885</v>
      </c>
      <c r="BB74" t="s">
        <v>488</v>
      </c>
      <c r="BC74" t="s">
        <v>1160</v>
      </c>
      <c r="BD74" t="s">
        <v>1073</v>
      </c>
      <c r="BE74" t="s">
        <v>883</v>
      </c>
      <c r="BF74" t="s">
        <v>654</v>
      </c>
      <c r="BG74" t="s">
        <v>307</v>
      </c>
      <c r="BH74" t="s">
        <v>2542</v>
      </c>
      <c r="BI74" t="s">
        <v>843</v>
      </c>
      <c r="BJ74" t="s">
        <v>1705</v>
      </c>
      <c r="BK74" t="s">
        <v>2543</v>
      </c>
      <c r="BL74" t="s">
        <v>477</v>
      </c>
      <c r="BM74" t="s">
        <v>1160</v>
      </c>
      <c r="BN74">
        <v>1.66</v>
      </c>
      <c r="BO74" t="s">
        <v>81</v>
      </c>
      <c r="BP74">
        <v>5.18</v>
      </c>
      <c r="BQ74">
        <v>1.96</v>
      </c>
      <c r="BR74">
        <v>-3.29</v>
      </c>
      <c r="BS74">
        <v>5.65</v>
      </c>
      <c r="BT74" t="s">
        <v>1546</v>
      </c>
      <c r="BU74" t="s">
        <v>1353</v>
      </c>
      <c r="BV74">
        <v>39.17</v>
      </c>
      <c r="BW74">
        <v>25.78</v>
      </c>
      <c r="BX74">
        <v>36.65</v>
      </c>
      <c r="BY74">
        <v>1.08</v>
      </c>
      <c r="BZ74">
        <v>-4.46</v>
      </c>
      <c r="CA74">
        <v>8.0399999999999991</v>
      </c>
      <c r="CB74">
        <v>-4.1500000000000004</v>
      </c>
      <c r="CC74">
        <v>-15.98</v>
      </c>
      <c r="CD74" t="s">
        <v>3906</v>
      </c>
      <c r="CE74" t="s">
        <v>3907</v>
      </c>
      <c r="CF74" s="7">
        <v>-0.11325611325611326</v>
      </c>
      <c r="CG74" s="8">
        <v>-0.59482668999999999</v>
      </c>
      <c r="CH74" s="7">
        <v>-5.2493438124656677E-2</v>
      </c>
      <c r="CI74" s="7">
        <v>4.7937184572219849E-2</v>
      </c>
      <c r="CJ74" s="7">
        <v>-1.6235070303082466E-2</v>
      </c>
      <c r="CK74" s="7">
        <v>0.22548554837703705</v>
      </c>
      <c r="CL74" s="7">
        <v>0.43899112939834595</v>
      </c>
      <c r="CM74" s="8">
        <v>1.2299100160598755</v>
      </c>
      <c r="CN74" s="8">
        <v>-1.580487847328186</v>
      </c>
      <c r="CO74" s="8">
        <v>-0.69265365600585938</v>
      </c>
      <c r="CP74" s="8">
        <v>0.138225257396698</v>
      </c>
      <c r="CQ74" s="8">
        <v>2.5731706619262695</v>
      </c>
      <c r="CR74">
        <v>23.315817141765336</v>
      </c>
      <c r="CS74">
        <v>1.8111191282960328</v>
      </c>
      <c r="CT74">
        <v>0.29256875365710944</v>
      </c>
      <c r="CU74" s="7">
        <v>0.12873707078397273</v>
      </c>
      <c r="CV74" s="8">
        <v>0.33363288640975952</v>
      </c>
      <c r="CW74">
        <v>0.06</v>
      </c>
      <c r="CX74">
        <v>181.78175764845142</v>
      </c>
      <c r="CY74">
        <v>29133449.189339574</v>
      </c>
      <c r="CZ74">
        <v>0.12873707078397273</v>
      </c>
      <c r="DA74">
        <v>57.495989173153617</v>
      </c>
      <c r="DB74">
        <v>92109548.442603514</v>
      </c>
      <c r="DC74">
        <v>0.12230021724477409</v>
      </c>
      <c r="DD74">
        <v>27.077383530758471</v>
      </c>
      <c r="DE74">
        <v>195584983.09055987</v>
      </c>
      <c r="DF74">
        <v>0.113288622289896</v>
      </c>
      <c r="DG74">
        <v>15.4542849466287</v>
      </c>
      <c r="DH74">
        <v>342683574.0566107</v>
      </c>
      <c r="DI74">
        <v>0.10298965662717818</v>
      </c>
      <c r="DJ74">
        <v>7.1187475068231842</v>
      </c>
      <c r="DK74">
        <v>743941205.23644817</v>
      </c>
      <c r="DL74">
        <v>9.011594954878091E-2</v>
      </c>
      <c r="DM74">
        <v>27359300</v>
      </c>
      <c r="DN74">
        <v>0.12873707078397273</v>
      </c>
      <c r="DO74">
        <v>5295929600</v>
      </c>
      <c r="DP74">
        <v>389946500</v>
      </c>
      <c r="DQ74">
        <v>2168</v>
      </c>
      <c r="DR74">
        <v>-0.24199318404008599</v>
      </c>
      <c r="DS74">
        <v>-0.92845957640975951</v>
      </c>
      <c r="DT74" s="9">
        <v>-0.22333333333333338</v>
      </c>
      <c r="DU74">
        <v>-0.43500000000000005</v>
      </c>
      <c r="DV74">
        <v>-0.65833333333333344</v>
      </c>
      <c r="DW74">
        <v>-8.2596996245306631</v>
      </c>
      <c r="DX74">
        <v>0.88748102172935428</v>
      </c>
      <c r="DY74">
        <v>-8.04868875094974</v>
      </c>
      <c r="DZ74">
        <v>3130</v>
      </c>
      <c r="EA74">
        <v>-8.0188656999766117</v>
      </c>
      <c r="EB74">
        <v>8</v>
      </c>
      <c r="EC74">
        <v>2.6614677813911695E-2</v>
      </c>
      <c r="ED74">
        <v>0.14195931710000737</v>
      </c>
      <c r="EE74" s="10">
        <v>-1.0658000000000001</v>
      </c>
      <c r="EF74">
        <v>-1.0291999999999999</v>
      </c>
      <c r="EG74">
        <v>70.187481021729354</v>
      </c>
      <c r="EH74" t="s">
        <v>1355</v>
      </c>
      <c r="EI74">
        <v>0</v>
      </c>
      <c r="EJ74">
        <v>0</v>
      </c>
      <c r="EK74" s="11">
        <v>45470</v>
      </c>
      <c r="EL74" s="12">
        <v>1.54</v>
      </c>
      <c r="EM74" s="12">
        <v>-2.7</v>
      </c>
      <c r="EN74" s="12">
        <v>0.28000000000000003</v>
      </c>
      <c r="EO74" s="12">
        <v>2.82</v>
      </c>
      <c r="EP74" s="12">
        <v>-3.66</v>
      </c>
    </row>
    <row r="75" spans="1:146" ht="108" x14ac:dyDescent="0.25">
      <c r="A75" s="6"/>
      <c r="B75" s="6"/>
      <c r="C75" s="6" t="str">
        <f>""&amp;CHAR(10)&amp;Basic_Fundamental_Information_Constructure(F75)&amp;CHAR(10)&amp;Basic_Fundamental_Information_Concatenate("")</f>
        <v xml:space="preserve">
市值127.226766亿, 利润3.68亿; PE30.51; 平均PE72.61; 平均PEG2.48, PB6.25; ROIC16.5433%; ROE19.2933%; 股利率1.2275%; 毛利77.81%; 净利12.6067%; 上一年度营收增15.78%, 利润增36.3%; 当季营收增17.73%, 利润增63.44%; 过往5年营收增29.26%, 利润增48.5%
Income profile:
</v>
      </c>
      <c r="D75" t="s">
        <v>137</v>
      </c>
      <c r="E75" t="s">
        <v>48</v>
      </c>
      <c r="F75">
        <v>26.15</v>
      </c>
      <c r="G75">
        <v>2.0299999999999998</v>
      </c>
      <c r="H75" t="s">
        <v>3908</v>
      </c>
      <c r="I75">
        <v>12722676600</v>
      </c>
      <c r="J75">
        <v>30.51</v>
      </c>
      <c r="K75">
        <v>6.25</v>
      </c>
      <c r="L75" t="s">
        <v>100</v>
      </c>
      <c r="M75" t="s">
        <v>2548</v>
      </c>
      <c r="N75" t="s">
        <v>3909</v>
      </c>
      <c r="O75" t="s">
        <v>469</v>
      </c>
      <c r="P75">
        <v>17.739999999999998</v>
      </c>
      <c r="Q75" t="s">
        <v>2550</v>
      </c>
      <c r="R75">
        <v>125669473</v>
      </c>
      <c r="S75" s="5">
        <v>0.63439999999999996</v>
      </c>
      <c r="T75" t="s">
        <v>848</v>
      </c>
      <c r="U75">
        <v>294205110</v>
      </c>
      <c r="V75">
        <v>486526830</v>
      </c>
      <c r="W75">
        <v>1.4</v>
      </c>
      <c r="X75">
        <v>0.2</v>
      </c>
      <c r="Y75">
        <v>21.27</v>
      </c>
      <c r="Z75" t="s">
        <v>1825</v>
      </c>
      <c r="AA75" t="s">
        <v>592</v>
      </c>
      <c r="AB75" t="s">
        <v>407</v>
      </c>
      <c r="AC75" t="s">
        <v>3910</v>
      </c>
      <c r="AD75" t="s">
        <v>81</v>
      </c>
      <c r="AE75">
        <v>4032530</v>
      </c>
      <c r="AF75" t="s">
        <v>2551</v>
      </c>
      <c r="AG75" t="s">
        <v>3911</v>
      </c>
      <c r="AH75" t="s">
        <v>2552</v>
      </c>
      <c r="AI75" t="s">
        <v>2002</v>
      </c>
      <c r="AJ75" t="s">
        <v>2553</v>
      </c>
      <c r="AK75" t="s">
        <v>3912</v>
      </c>
      <c r="AL75" t="s">
        <v>2554</v>
      </c>
      <c r="AM75" t="s">
        <v>81</v>
      </c>
      <c r="AN75" t="s">
        <v>3913</v>
      </c>
      <c r="AO75" t="s">
        <v>3914</v>
      </c>
      <c r="AP75" t="s">
        <v>81</v>
      </c>
      <c r="AQ75" t="s">
        <v>374</v>
      </c>
      <c r="AR75" t="s">
        <v>81</v>
      </c>
      <c r="AS75" t="s">
        <v>1111</v>
      </c>
      <c r="AT75" t="s">
        <v>3915</v>
      </c>
      <c r="AU75" t="s">
        <v>415</v>
      </c>
      <c r="AV75" t="s">
        <v>974</v>
      </c>
      <c r="AW75" t="s">
        <v>3916</v>
      </c>
      <c r="AX75" t="s">
        <v>1706</v>
      </c>
      <c r="AY75" t="s">
        <v>1258</v>
      </c>
      <c r="AZ75" t="s">
        <v>887</v>
      </c>
      <c r="BA75" t="s">
        <v>889</v>
      </c>
      <c r="BB75" t="s">
        <v>316</v>
      </c>
      <c r="BC75" t="s">
        <v>471</v>
      </c>
      <c r="BD75" t="s">
        <v>264</v>
      </c>
      <c r="BE75" t="s">
        <v>888</v>
      </c>
      <c r="BF75" t="s">
        <v>890</v>
      </c>
      <c r="BG75" t="s">
        <v>891</v>
      </c>
      <c r="BH75" t="s">
        <v>2550</v>
      </c>
      <c r="BI75" t="s">
        <v>1246</v>
      </c>
      <c r="BJ75" t="s">
        <v>1706</v>
      </c>
      <c r="BK75" t="s">
        <v>848</v>
      </c>
      <c r="BL75" t="s">
        <v>1952</v>
      </c>
      <c r="BM75" t="s">
        <v>471</v>
      </c>
      <c r="BN75">
        <v>14.14</v>
      </c>
      <c r="BO75">
        <v>17.12</v>
      </c>
      <c r="BP75">
        <v>18.37</v>
      </c>
      <c r="BQ75">
        <v>18.399999999999999</v>
      </c>
      <c r="BR75">
        <v>18.600000000000001</v>
      </c>
      <c r="BS75">
        <v>20.88</v>
      </c>
      <c r="BT75" t="s">
        <v>2555</v>
      </c>
      <c r="BU75" t="s">
        <v>1354</v>
      </c>
      <c r="BV75">
        <v>77.150000000000006</v>
      </c>
      <c r="BW75">
        <v>77.78</v>
      </c>
      <c r="BX75">
        <v>78.5</v>
      </c>
      <c r="BY75">
        <v>13.68</v>
      </c>
      <c r="BZ75">
        <v>11.59</v>
      </c>
      <c r="CA75">
        <v>12.55</v>
      </c>
      <c r="CB75">
        <v>-2.21</v>
      </c>
      <c r="CC75">
        <v>3.74</v>
      </c>
      <c r="CD75" t="s">
        <v>3917</v>
      </c>
      <c r="CE75" t="s">
        <v>355</v>
      </c>
      <c r="CF75" s="7">
        <v>0.1772908366533866</v>
      </c>
      <c r="CG75" s="8">
        <v>0.63439531541607874</v>
      </c>
      <c r="CH75" s="7">
        <v>0.15778151154518127</v>
      </c>
      <c r="CI75" s="7">
        <v>0.42874699831008911</v>
      </c>
      <c r="CJ75" s="7">
        <v>0.66462165117263794</v>
      </c>
      <c r="CK75" s="7">
        <v>5.8441556990146637E-2</v>
      </c>
      <c r="CL75" s="7">
        <v>0.15355804562568665</v>
      </c>
      <c r="CM75" s="8">
        <v>0.36296296119689941</v>
      </c>
      <c r="CN75" s="8">
        <v>0.32352942228317261</v>
      </c>
      <c r="CO75" s="8">
        <v>1.4799476861953735</v>
      </c>
      <c r="CP75" s="8">
        <v>0.49384284019470215</v>
      </c>
      <c r="CQ75" s="8">
        <v>-0.2350364625453949</v>
      </c>
      <c r="CR75">
        <v>72.610370654460183</v>
      </c>
      <c r="CS75">
        <v>2.4813034338205959</v>
      </c>
      <c r="CT75">
        <v>1.2275334608030593</v>
      </c>
      <c r="CU75" s="7">
        <v>0.29262995272874831</v>
      </c>
      <c r="CV75" s="8">
        <v>0.48504928946495057</v>
      </c>
      <c r="CW75">
        <v>0.06</v>
      </c>
      <c r="CX75">
        <v>25.656526436152607</v>
      </c>
      <c r="CY75">
        <v>448762096.79639566</v>
      </c>
      <c r="CZ75">
        <v>0.29262995272874831</v>
      </c>
      <c r="DA75">
        <v>7.0916453768012317</v>
      </c>
      <c r="DB75">
        <v>1623555040.9309068</v>
      </c>
      <c r="DC75">
        <v>0.27799845509231086</v>
      </c>
      <c r="DD75">
        <v>2.7489241903779797</v>
      </c>
      <c r="DE75">
        <v>4188430019.3876424</v>
      </c>
      <c r="DF75">
        <v>0.25751435840129849</v>
      </c>
      <c r="DG75">
        <v>1.2344127959461131</v>
      </c>
      <c r="DH75">
        <v>9327249877.684042</v>
      </c>
      <c r="DI75">
        <v>0.23410396218299867</v>
      </c>
      <c r="DJ75">
        <v>0.31458295801784941</v>
      </c>
      <c r="DK75">
        <v>36599810341.114265</v>
      </c>
      <c r="DL75">
        <v>0.2048409669101238</v>
      </c>
      <c r="DM75">
        <v>368000000</v>
      </c>
      <c r="DN75">
        <v>0.29262995272874831</v>
      </c>
      <c r="DO75">
        <v>11513676600</v>
      </c>
      <c r="DP75">
        <v>1126571900</v>
      </c>
      <c r="DQ75">
        <v>2170</v>
      </c>
      <c r="DR75">
        <v>-0.11533911607536171</v>
      </c>
      <c r="DS75">
        <v>0.14934602595112817</v>
      </c>
      <c r="DT75" s="9">
        <v>0.24333333333333326</v>
      </c>
      <c r="DU75">
        <v>1.04</v>
      </c>
      <c r="DV75">
        <v>1.2833333333333332</v>
      </c>
      <c r="DW75">
        <v>1.0374000000000001</v>
      </c>
      <c r="DX75">
        <v>0.36796031746031588</v>
      </c>
      <c r="DY75">
        <v>1.0044117158730159</v>
      </c>
      <c r="DZ75">
        <v>94</v>
      </c>
      <c r="EA75">
        <v>1.00433056102134</v>
      </c>
      <c r="EB75">
        <v>1</v>
      </c>
      <c r="EC75">
        <v>3.0549188828907954E-2</v>
      </c>
      <c r="ED75">
        <v>0.25897852334269006</v>
      </c>
      <c r="EE75" s="10">
        <v>2.0219100000000001</v>
      </c>
      <c r="EF75">
        <v>2.0317099999999999</v>
      </c>
      <c r="EG75">
        <v>25.117960317460316</v>
      </c>
      <c r="EH75" t="s">
        <v>3503</v>
      </c>
      <c r="EI75">
        <v>0</v>
      </c>
      <c r="EJ75">
        <v>1</v>
      </c>
      <c r="EK75" s="11">
        <v>45470</v>
      </c>
      <c r="EL75" s="12">
        <v>5.75</v>
      </c>
      <c r="EM75" s="12">
        <v>-2.68</v>
      </c>
      <c r="EN75" s="12">
        <v>-3.17</v>
      </c>
      <c r="EO75" s="12">
        <v>5.73</v>
      </c>
      <c r="EP75" s="12">
        <v>-0.98</v>
      </c>
    </row>
    <row r="76" spans="1:146" ht="108" x14ac:dyDescent="0.25">
      <c r="A76" s="6"/>
      <c r="B76" s="6"/>
      <c r="C76" s="6" t="str">
        <f>""&amp;CHAR(10)&amp;Basic_Fundamental_Information_Constructure(F76)&amp;CHAR(10)&amp;Basic_Fundamental_Information_Concatenate("")</f>
        <v xml:space="preserve">
市值90.419927亿, 利润1.85亿; PE51.96; 平均PE39.86; 平均PEG3.24, PB3.45; ROIC9.7033%; ROE14.2067%; 股利率1.0547%; 毛利84.4633%; 净利10.2967%; 上一年度营收增9.78%, 利润增-36.43%; 当季营收增-12.99%, 利润增-9.45%; 过往5年营收增12.31%, 利润增4.08%
Income profile:
</v>
      </c>
      <c r="D76" t="s">
        <v>160</v>
      </c>
      <c r="E76" t="s">
        <v>55</v>
      </c>
      <c r="F76">
        <v>19.91</v>
      </c>
      <c r="G76">
        <v>4.1900000000000004</v>
      </c>
      <c r="H76" t="s">
        <v>3918</v>
      </c>
      <c r="I76">
        <v>9041992700</v>
      </c>
      <c r="J76">
        <v>51.96</v>
      </c>
      <c r="K76">
        <v>3.45</v>
      </c>
      <c r="L76" t="s">
        <v>100</v>
      </c>
      <c r="M76" t="s">
        <v>2181</v>
      </c>
      <c r="N76" t="s">
        <v>2550</v>
      </c>
      <c r="O76" t="s">
        <v>1993</v>
      </c>
      <c r="P76">
        <v>-13.01</v>
      </c>
      <c r="Q76" t="s">
        <v>2556</v>
      </c>
      <c r="R76">
        <v>100512059</v>
      </c>
      <c r="S76" s="5">
        <v>-9.5299999999999996E-2</v>
      </c>
      <c r="T76" t="s">
        <v>696</v>
      </c>
      <c r="U76">
        <v>417666480</v>
      </c>
      <c r="V76">
        <v>454143280</v>
      </c>
      <c r="W76">
        <v>1.73</v>
      </c>
      <c r="X76">
        <v>0.14000000000000001</v>
      </c>
      <c r="Y76">
        <v>15.33</v>
      </c>
      <c r="Z76" t="s">
        <v>497</v>
      </c>
      <c r="AA76" t="s">
        <v>302</v>
      </c>
      <c r="AB76" t="s">
        <v>1854</v>
      </c>
      <c r="AC76" t="s">
        <v>3919</v>
      </c>
      <c r="AD76" t="s">
        <v>81</v>
      </c>
      <c r="AE76">
        <v>11492115</v>
      </c>
      <c r="AF76" t="s">
        <v>2557</v>
      </c>
      <c r="AG76" t="s">
        <v>3920</v>
      </c>
      <c r="AH76" t="s">
        <v>2558</v>
      </c>
      <c r="AI76" t="s">
        <v>681</v>
      </c>
      <c r="AJ76" t="s">
        <v>2559</v>
      </c>
      <c r="AK76" t="s">
        <v>81</v>
      </c>
      <c r="AL76" t="s">
        <v>2560</v>
      </c>
      <c r="AM76" t="s">
        <v>81</v>
      </c>
      <c r="AN76" t="s">
        <v>382</v>
      </c>
      <c r="AO76" t="s">
        <v>3921</v>
      </c>
      <c r="AP76" t="s">
        <v>81</v>
      </c>
      <c r="AQ76" t="s">
        <v>86</v>
      </c>
      <c r="AR76" t="s">
        <v>81</v>
      </c>
      <c r="AS76" t="s">
        <v>3922</v>
      </c>
      <c r="AT76" t="s">
        <v>240</v>
      </c>
      <c r="AU76" t="s">
        <v>3923</v>
      </c>
      <c r="AV76" t="s">
        <v>3924</v>
      </c>
      <c r="AW76" t="s">
        <v>1995</v>
      </c>
      <c r="AX76" t="s">
        <v>1707</v>
      </c>
      <c r="AY76" t="s">
        <v>1259</v>
      </c>
      <c r="AZ76" t="s">
        <v>726</v>
      </c>
      <c r="BA76" t="s">
        <v>394</v>
      </c>
      <c r="BB76" t="s">
        <v>893</v>
      </c>
      <c r="BC76" t="s">
        <v>417</v>
      </c>
      <c r="BD76" t="s">
        <v>680</v>
      </c>
      <c r="BE76" t="s">
        <v>798</v>
      </c>
      <c r="BF76" t="s">
        <v>360</v>
      </c>
      <c r="BG76" t="s">
        <v>311</v>
      </c>
      <c r="BH76" t="s">
        <v>2556</v>
      </c>
      <c r="BI76" t="s">
        <v>449</v>
      </c>
      <c r="BJ76" t="s">
        <v>1707</v>
      </c>
      <c r="BK76" t="s">
        <v>696</v>
      </c>
      <c r="BL76" t="s">
        <v>267</v>
      </c>
      <c r="BM76" t="s">
        <v>417</v>
      </c>
      <c r="BN76">
        <v>7.7</v>
      </c>
      <c r="BO76">
        <v>8.5399999999999991</v>
      </c>
      <c r="BP76">
        <v>12.87</v>
      </c>
      <c r="BQ76">
        <v>12.75</v>
      </c>
      <c r="BR76">
        <v>14.64</v>
      </c>
      <c r="BS76">
        <v>15.23</v>
      </c>
      <c r="BT76" t="s">
        <v>2372</v>
      </c>
      <c r="BU76" t="s">
        <v>1354</v>
      </c>
      <c r="BV76">
        <v>81.040000000000006</v>
      </c>
      <c r="BW76">
        <v>86.83</v>
      </c>
      <c r="BX76">
        <v>85.52</v>
      </c>
      <c r="BY76">
        <v>6.06</v>
      </c>
      <c r="BZ76">
        <v>11.49</v>
      </c>
      <c r="CA76">
        <v>13.34</v>
      </c>
      <c r="CB76">
        <v>1.32</v>
      </c>
      <c r="CC76">
        <v>-7.87</v>
      </c>
      <c r="CD76" t="s">
        <v>3925</v>
      </c>
      <c r="CE76" t="s">
        <v>3926</v>
      </c>
      <c r="CF76" s="7">
        <v>-0.12988826815642457</v>
      </c>
      <c r="CG76" s="8">
        <v>-9.448595495495507E-2</v>
      </c>
      <c r="CH76" s="7">
        <v>9.7807042300701141E-2</v>
      </c>
      <c r="CI76" s="7">
        <v>3.6834895610809326E-2</v>
      </c>
      <c r="CJ76" s="7">
        <v>0.31283581256866455</v>
      </c>
      <c r="CK76" s="7">
        <v>2.3213274776935577E-2</v>
      </c>
      <c r="CL76" s="7">
        <v>0.14475519955158234</v>
      </c>
      <c r="CM76" s="8">
        <v>-0.36426118016242981</v>
      </c>
      <c r="CN76" s="8">
        <v>-5.2117262035608292E-2</v>
      </c>
      <c r="CO76" s="8">
        <v>0.35840708017349243</v>
      </c>
      <c r="CP76" s="8">
        <v>0.56944441795349121</v>
      </c>
      <c r="CQ76" s="8">
        <v>-0.30769231915473938</v>
      </c>
      <c r="CR76">
        <v>39.861834092578981</v>
      </c>
      <c r="CS76">
        <v>3.2384498016028735</v>
      </c>
      <c r="CT76">
        <v>1.054746358613762</v>
      </c>
      <c r="CU76" s="7">
        <v>0.12308924496173859</v>
      </c>
      <c r="CV76" s="8">
        <v>4.0756147354841232E-2</v>
      </c>
      <c r="CW76">
        <v>0.06</v>
      </c>
      <c r="CX76">
        <v>41.609902381569597</v>
      </c>
      <c r="CY76">
        <v>196010858.79049212</v>
      </c>
      <c r="CZ76">
        <v>0.12308924496173859</v>
      </c>
      <c r="DA76">
        <v>13.223419325762212</v>
      </c>
      <c r="DB76">
        <v>616783942.11626351</v>
      </c>
      <c r="DC76">
        <v>0.11693478271365165</v>
      </c>
      <c r="DD76">
        <v>6.2681681539365854</v>
      </c>
      <c r="DE76">
        <v>1301176436.193373</v>
      </c>
      <c r="DF76">
        <v>0.10831853556632996</v>
      </c>
      <c r="DG76">
        <v>3.6047467046289823</v>
      </c>
      <c r="DH76">
        <v>2262570263.1273932</v>
      </c>
      <c r="DI76">
        <v>9.8471395969390876E-2</v>
      </c>
      <c r="DJ76">
        <v>1.6896923664697965</v>
      </c>
      <c r="DK76">
        <v>4826909833.9125328</v>
      </c>
      <c r="DL76">
        <v>8.6162471473217012E-2</v>
      </c>
      <c r="DM76">
        <v>185000000</v>
      </c>
      <c r="DN76">
        <v>0.12308924496173859</v>
      </c>
      <c r="DO76">
        <v>8155992700</v>
      </c>
      <c r="DP76">
        <v>75628200</v>
      </c>
      <c r="DQ76">
        <v>2187</v>
      </c>
      <c r="DR76">
        <v>-0.25297751311816319</v>
      </c>
      <c r="DS76">
        <v>-0.1352421023097963</v>
      </c>
      <c r="DT76" s="9">
        <v>-0.3066666666666667</v>
      </c>
      <c r="DU76">
        <v>-1.6666666666666663E-2</v>
      </c>
      <c r="DV76">
        <v>-0.32333333333333336</v>
      </c>
      <c r="DW76">
        <v>-2.0787</v>
      </c>
      <c r="DX76">
        <v>0.42008842576717681</v>
      </c>
      <c r="DY76">
        <v>-2.0102379591078767</v>
      </c>
      <c r="DZ76">
        <v>2508</v>
      </c>
      <c r="EA76">
        <v>-2.0052131447355568</v>
      </c>
      <c r="EB76">
        <v>2</v>
      </c>
      <c r="EC76">
        <v>2.2107340220910019E-2</v>
      </c>
      <c r="ED76">
        <v>0.16994086095471897</v>
      </c>
      <c r="EE76" s="10">
        <v>-4.0107999999999997</v>
      </c>
      <c r="EF76">
        <v>-4.0181100000000001</v>
      </c>
      <c r="EG76">
        <v>29.130088425767177</v>
      </c>
      <c r="EH76" t="s">
        <v>3135</v>
      </c>
      <c r="EI76">
        <v>0</v>
      </c>
      <c r="EJ76">
        <v>0</v>
      </c>
      <c r="EK76" s="11">
        <v>45470</v>
      </c>
      <c r="EL76" s="12">
        <v>0.71</v>
      </c>
      <c r="EM76" s="12">
        <v>-5.55</v>
      </c>
      <c r="EN76" s="12">
        <v>-1.0900000000000001</v>
      </c>
      <c r="EO76" s="12">
        <v>2.82</v>
      </c>
      <c r="EP76" s="12">
        <v>-2.89</v>
      </c>
    </row>
    <row r="77" spans="1:146" ht="108" x14ac:dyDescent="0.25">
      <c r="A77" s="6"/>
      <c r="B77" s="6"/>
      <c r="C77" s="6" t="str">
        <f>""&amp;CHAR(10)&amp;Basic_Fundamental_Information_Constructure(F77)&amp;CHAR(10)&amp;Basic_Fundamental_Information_Concatenate("")</f>
        <v xml:space="preserve">
市值346.0917亿, 利润7.56亿; PE49.07; 平均PE77.72; 平均PEG4.63, PB7.85; ROIC13.67%; ROE14.74%; 股利率1.2987%; 毛利45.48%; 净利26.6533%; 上一年度营收增-4.72%, 利润增4.13%; 当季营收增-27.12%, 利润增-38.71%; 过往5年营收增16.77%, 利润增30.33%
Income profile:
</v>
      </c>
      <c r="D77" t="s">
        <v>139</v>
      </c>
      <c r="E77" t="s">
        <v>140</v>
      </c>
      <c r="F77">
        <v>24.64</v>
      </c>
      <c r="G77">
        <v>7.18</v>
      </c>
      <c r="H77" t="s">
        <v>3927</v>
      </c>
      <c r="I77">
        <v>34609170000</v>
      </c>
      <c r="J77">
        <v>49.07</v>
      </c>
      <c r="K77">
        <v>7.85</v>
      </c>
      <c r="L77" t="s">
        <v>100</v>
      </c>
      <c r="M77" t="s">
        <v>2235</v>
      </c>
      <c r="N77" t="s">
        <v>3928</v>
      </c>
      <c r="O77" t="s">
        <v>2002</v>
      </c>
      <c r="P77">
        <v>-27.08</v>
      </c>
      <c r="Q77" t="s">
        <v>2561</v>
      </c>
      <c r="R77">
        <v>79061261</v>
      </c>
      <c r="S77" s="5">
        <v>-0.3886</v>
      </c>
      <c r="T77" t="s">
        <v>1899</v>
      </c>
      <c r="U77">
        <v>1247072430</v>
      </c>
      <c r="V77">
        <v>1404592900</v>
      </c>
      <c r="W77">
        <v>1.18</v>
      </c>
      <c r="X77">
        <v>0.09</v>
      </c>
      <c r="Y77">
        <v>5.72</v>
      </c>
      <c r="Z77" t="s">
        <v>1230</v>
      </c>
      <c r="AA77" t="s">
        <v>375</v>
      </c>
      <c r="AB77" t="s">
        <v>3929</v>
      </c>
      <c r="AC77" t="s">
        <v>3930</v>
      </c>
      <c r="AD77" t="s">
        <v>81</v>
      </c>
      <c r="AE77">
        <v>-16152433</v>
      </c>
      <c r="AF77" t="s">
        <v>2562</v>
      </c>
      <c r="AG77" t="s">
        <v>3931</v>
      </c>
      <c r="AH77" t="s">
        <v>2563</v>
      </c>
      <c r="AI77" t="s">
        <v>3932</v>
      </c>
      <c r="AJ77" t="s">
        <v>2564</v>
      </c>
      <c r="AK77" t="s">
        <v>3933</v>
      </c>
      <c r="AL77" t="s">
        <v>2565</v>
      </c>
      <c r="AM77" t="s">
        <v>81</v>
      </c>
      <c r="AN77" t="s">
        <v>299</v>
      </c>
      <c r="AO77" t="s">
        <v>81</v>
      </c>
      <c r="AP77" t="s">
        <v>3934</v>
      </c>
      <c r="AQ77" t="s">
        <v>3935</v>
      </c>
      <c r="AR77" t="s">
        <v>81</v>
      </c>
      <c r="AS77" t="s">
        <v>3936</v>
      </c>
      <c r="AT77" t="s">
        <v>81</v>
      </c>
      <c r="AU77" t="s">
        <v>3937</v>
      </c>
      <c r="AV77" t="s">
        <v>3938</v>
      </c>
      <c r="AW77" t="s">
        <v>3939</v>
      </c>
      <c r="AX77" t="s">
        <v>1708</v>
      </c>
      <c r="AY77" t="s">
        <v>1710</v>
      </c>
      <c r="AZ77" t="s">
        <v>483</v>
      </c>
      <c r="BA77" t="s">
        <v>397</v>
      </c>
      <c r="BB77" t="s">
        <v>894</v>
      </c>
      <c r="BC77" t="s">
        <v>1709</v>
      </c>
      <c r="BD77" t="s">
        <v>239</v>
      </c>
      <c r="BE77" t="s">
        <v>244</v>
      </c>
      <c r="BF77" t="s">
        <v>579</v>
      </c>
      <c r="BG77" t="s">
        <v>249</v>
      </c>
      <c r="BH77" t="s">
        <v>2561</v>
      </c>
      <c r="BI77" t="s">
        <v>2567</v>
      </c>
      <c r="BJ77" t="s">
        <v>1708</v>
      </c>
      <c r="BK77" t="s">
        <v>1899</v>
      </c>
      <c r="BL77" t="s">
        <v>334</v>
      </c>
      <c r="BM77" t="s">
        <v>1709</v>
      </c>
      <c r="BN77">
        <v>11.94</v>
      </c>
      <c r="BO77">
        <v>19.239999999999998</v>
      </c>
      <c r="BP77">
        <v>9.83</v>
      </c>
      <c r="BQ77">
        <v>12.82</v>
      </c>
      <c r="BR77">
        <v>20.11</v>
      </c>
      <c r="BS77">
        <v>11.29</v>
      </c>
      <c r="BT77" t="s">
        <v>2568</v>
      </c>
      <c r="BU77" t="s">
        <v>1353</v>
      </c>
      <c r="BV77">
        <v>45.33</v>
      </c>
      <c r="BW77">
        <v>43.21</v>
      </c>
      <c r="BX77">
        <v>47.9</v>
      </c>
      <c r="BY77">
        <v>30.19</v>
      </c>
      <c r="BZ77">
        <v>27.66</v>
      </c>
      <c r="CA77">
        <v>22.11</v>
      </c>
      <c r="CB77">
        <v>-2.34</v>
      </c>
      <c r="CC77">
        <v>-20.41</v>
      </c>
      <c r="CD77" t="s">
        <v>3940</v>
      </c>
      <c r="CE77" t="s">
        <v>455</v>
      </c>
      <c r="CF77" s="7">
        <v>-0.27121001390820582</v>
      </c>
      <c r="CG77" s="8">
        <v>-0.387122007751938</v>
      </c>
      <c r="CH77" s="7">
        <v>-4.7220010310411453E-2</v>
      </c>
      <c r="CI77" s="7">
        <v>0.41945940256118774</v>
      </c>
      <c r="CJ77" s="7">
        <v>0.40470772981643677</v>
      </c>
      <c r="CK77" s="7">
        <v>4.7732699662446976E-2</v>
      </c>
      <c r="CL77" s="7">
        <v>1.3709626160562038E-2</v>
      </c>
      <c r="CM77" s="8">
        <v>4.1322313249111176E-2</v>
      </c>
      <c r="CN77" s="8">
        <v>0.84732824563980103</v>
      </c>
      <c r="CO77" s="8">
        <v>0.31000000238418579</v>
      </c>
      <c r="CP77" s="8">
        <v>9.890110045671463E-2</v>
      </c>
      <c r="CQ77" s="8">
        <v>0.21875</v>
      </c>
      <c r="CR77">
        <v>77.715202095808394</v>
      </c>
      <c r="CS77">
        <v>4.6347912829399274</v>
      </c>
      <c r="CT77">
        <v>1.2987012987012987</v>
      </c>
      <c r="CU77" s="7">
        <v>0.16767788957804441</v>
      </c>
      <c r="CV77" s="8">
        <v>0.3032603323459625</v>
      </c>
      <c r="CW77">
        <v>0.06</v>
      </c>
      <c r="CX77">
        <v>37.36826840955132</v>
      </c>
      <c r="CY77">
        <v>832796683.51037884</v>
      </c>
      <c r="CZ77">
        <v>0.16767788957804441</v>
      </c>
      <c r="DA77">
        <v>11.44098838111546</v>
      </c>
      <c r="DB77">
        <v>2720059575.5666595</v>
      </c>
      <c r="DC77">
        <v>0.15929399509914219</v>
      </c>
      <c r="DD77">
        <v>5.1493025600153475</v>
      </c>
      <c r="DE77">
        <v>6043569908.2143745</v>
      </c>
      <c r="DF77">
        <v>0.14755654282867908</v>
      </c>
      <c r="DG77">
        <v>2.7853110882958139</v>
      </c>
      <c r="DH77">
        <v>11172960223.642668</v>
      </c>
      <c r="DI77">
        <v>0.13414231166243554</v>
      </c>
      <c r="DJ77">
        <v>1.1304089073196679</v>
      </c>
      <c r="DK77">
        <v>27530011306.961098</v>
      </c>
      <c r="DL77">
        <v>0.11737452270463108</v>
      </c>
      <c r="DM77">
        <v>756000000</v>
      </c>
      <c r="DN77">
        <v>0.16767788957804441</v>
      </c>
      <c r="DO77">
        <v>31120170000</v>
      </c>
      <c r="DP77">
        <v>2696882400</v>
      </c>
      <c r="DQ77">
        <v>2223</v>
      </c>
      <c r="DR77">
        <v>-0.43888790348625023</v>
      </c>
      <c r="DS77">
        <v>-0.69038234009790056</v>
      </c>
      <c r="DT77" s="9">
        <v>-0.15666666666666665</v>
      </c>
      <c r="DU77">
        <v>0.31333333333333335</v>
      </c>
      <c r="DV77">
        <v>0.1566666666666667</v>
      </c>
      <c r="DW77">
        <v>-3.0498750000000001</v>
      </c>
      <c r="DX77">
        <v>0.54231290322580983</v>
      </c>
      <c r="DY77">
        <v>-3.0100903560483872</v>
      </c>
      <c r="DZ77">
        <v>890</v>
      </c>
      <c r="EA77">
        <v>-3.0083329359147148</v>
      </c>
      <c r="EB77">
        <v>3</v>
      </c>
      <c r="EC77">
        <v>4.465137193844565E-2</v>
      </c>
      <c r="ED77">
        <v>0.2207045187256749</v>
      </c>
      <c r="EE77" s="10">
        <v>0.10920999999999999</v>
      </c>
      <c r="EF77">
        <v>0.14151000000000002</v>
      </c>
      <c r="EG77">
        <v>34.20231290322581</v>
      </c>
      <c r="EH77">
        <v>-1</v>
      </c>
      <c r="EI77">
        <v>0</v>
      </c>
      <c r="EJ77">
        <v>1</v>
      </c>
      <c r="EK77" s="11">
        <v>45470</v>
      </c>
      <c r="EL77" s="12">
        <v>-0.79</v>
      </c>
      <c r="EM77" s="12">
        <v>-3.45</v>
      </c>
      <c r="EN77" s="12">
        <v>-2.41</v>
      </c>
      <c r="EO77" s="12">
        <v>1.76</v>
      </c>
      <c r="EP77" s="12">
        <v>-3.23</v>
      </c>
    </row>
    <row r="78" spans="1:146" ht="108" x14ac:dyDescent="0.25">
      <c r="A78" s="6"/>
      <c r="B78" s="6"/>
      <c r="C78" s="6" t="str">
        <f>""&amp;CHAR(10)&amp;Basic_Fundamental_Information_Constructure(F78)&amp;CHAR(10)&amp;Basic_Fundamental_Information_Concatenate("")</f>
        <v xml:space="preserve">
市值19.436091亿, 利润-1.55亿; PE86.28; 平均PE72.66; 平均PEG4.97, PB2.26; ROIC5.0667%; ROE6.1567%; 股利率.0949%; 毛利23.78%; 净利7.8333%; 上一年度营收增37.36%, 利润增-485.52%; 当季营收增-42.18%, 利润增131.95%; 过往5年营收增14.61%, 利润增-102.18%
Income profile:
</v>
      </c>
      <c r="D78" t="s">
        <v>895</v>
      </c>
      <c r="E78" t="s">
        <v>896</v>
      </c>
      <c r="F78">
        <v>16.86</v>
      </c>
      <c r="G78">
        <v>2.8</v>
      </c>
      <c r="H78" t="s">
        <v>3941</v>
      </c>
      <c r="I78">
        <v>1943609100</v>
      </c>
      <c r="J78">
        <v>86.28</v>
      </c>
      <c r="K78">
        <v>2.2599999999999998</v>
      </c>
      <c r="L78" t="s">
        <v>100</v>
      </c>
      <c r="M78" t="s">
        <v>2569</v>
      </c>
      <c r="N78" t="s">
        <v>3942</v>
      </c>
      <c r="O78" t="s">
        <v>370</v>
      </c>
      <c r="P78">
        <v>2.35</v>
      </c>
      <c r="Q78" t="s">
        <v>3943</v>
      </c>
      <c r="R78">
        <v>3547307</v>
      </c>
      <c r="S78" s="5">
        <v>-0.1186</v>
      </c>
      <c r="T78" t="s">
        <v>789</v>
      </c>
      <c r="U78">
        <v>75132181</v>
      </c>
      <c r="V78">
        <v>115279306</v>
      </c>
      <c r="W78">
        <v>2.41</v>
      </c>
      <c r="X78">
        <v>0.05</v>
      </c>
      <c r="Y78">
        <v>2.37</v>
      </c>
      <c r="Z78" t="s">
        <v>370</v>
      </c>
      <c r="AA78" t="s">
        <v>3944</v>
      </c>
      <c r="AB78" t="s">
        <v>3945</v>
      </c>
      <c r="AC78" t="s">
        <v>3946</v>
      </c>
      <c r="AD78" t="s">
        <v>81</v>
      </c>
      <c r="AE78">
        <v>2885025</v>
      </c>
      <c r="AF78" t="s">
        <v>2571</v>
      </c>
      <c r="AG78" t="s">
        <v>3947</v>
      </c>
      <c r="AH78" t="s">
        <v>2572</v>
      </c>
      <c r="AI78" t="s">
        <v>435</v>
      </c>
      <c r="AJ78" t="s">
        <v>2573</v>
      </c>
      <c r="AK78" t="s">
        <v>3948</v>
      </c>
      <c r="AL78" t="s">
        <v>2574</v>
      </c>
      <c r="AM78" t="s">
        <v>81</v>
      </c>
      <c r="AN78" t="s">
        <v>3949</v>
      </c>
      <c r="AO78" t="s">
        <v>343</v>
      </c>
      <c r="AP78" t="s">
        <v>317</v>
      </c>
      <c r="AQ78" t="s">
        <v>3950</v>
      </c>
      <c r="AR78" t="s">
        <v>3951</v>
      </c>
      <c r="AS78" t="s">
        <v>667</v>
      </c>
      <c r="AT78" t="s">
        <v>627</v>
      </c>
      <c r="AU78" t="s">
        <v>3952</v>
      </c>
      <c r="AV78" t="s">
        <v>3953</v>
      </c>
      <c r="AW78" t="s">
        <v>3954</v>
      </c>
      <c r="AX78" t="s">
        <v>656</v>
      </c>
      <c r="AY78" t="s">
        <v>469</v>
      </c>
      <c r="AZ78" t="s">
        <v>558</v>
      </c>
      <c r="BA78" t="s">
        <v>491</v>
      </c>
      <c r="BB78" t="s">
        <v>330</v>
      </c>
      <c r="BC78" t="s">
        <v>2576</v>
      </c>
      <c r="BD78" t="s">
        <v>1261</v>
      </c>
      <c r="BE78" t="s">
        <v>897</v>
      </c>
      <c r="BF78" t="s">
        <v>898</v>
      </c>
      <c r="BG78" t="s">
        <v>899</v>
      </c>
      <c r="BH78" t="s">
        <v>731</v>
      </c>
      <c r="BI78" t="s">
        <v>400</v>
      </c>
      <c r="BJ78" t="s">
        <v>656</v>
      </c>
      <c r="BK78" t="s">
        <v>2570</v>
      </c>
      <c r="BL78" t="s">
        <v>3955</v>
      </c>
      <c r="BM78" t="s">
        <v>2576</v>
      </c>
      <c r="BN78">
        <v>1.68</v>
      </c>
      <c r="BO78">
        <v>3.75</v>
      </c>
      <c r="BP78">
        <v>9.77</v>
      </c>
      <c r="BQ78">
        <v>2.42</v>
      </c>
      <c r="BR78">
        <v>4.91</v>
      </c>
      <c r="BS78">
        <v>11.14</v>
      </c>
      <c r="BT78" t="s">
        <v>2577</v>
      </c>
      <c r="BU78" t="s">
        <v>1353</v>
      </c>
      <c r="BV78">
        <v>22.09</v>
      </c>
      <c r="BW78">
        <v>22.86</v>
      </c>
      <c r="BX78">
        <v>26.39</v>
      </c>
      <c r="BY78">
        <v>3.76</v>
      </c>
      <c r="BZ78">
        <v>6.53</v>
      </c>
      <c r="CA78">
        <v>13.21</v>
      </c>
      <c r="CB78">
        <v>3.18</v>
      </c>
      <c r="CC78">
        <v>-15.72</v>
      </c>
      <c r="CD78" t="s">
        <v>3956</v>
      </c>
      <c r="CE78" t="s">
        <v>386</v>
      </c>
      <c r="CF78" s="7">
        <v>-0.4218009478672986</v>
      </c>
      <c r="CG78" s="8">
        <v>1.3195397836289442</v>
      </c>
      <c r="CH78" s="7">
        <v>0.37355372309684753</v>
      </c>
      <c r="CI78" s="7">
        <v>2.3688662797212601E-2</v>
      </c>
      <c r="CJ78" s="7">
        <v>0.26282051205635071</v>
      </c>
      <c r="CK78" s="7">
        <v>6.4516128040850163E-3</v>
      </c>
      <c r="CL78" s="7">
        <v>6.4073227345943451E-2</v>
      </c>
      <c r="CM78" s="8">
        <v>-4.8552227020263672</v>
      </c>
      <c r="CN78" s="8">
        <v>-0.48672422766685486</v>
      </c>
      <c r="CO78" s="8">
        <v>0.46993440389633179</v>
      </c>
      <c r="CP78" s="8">
        <v>-0.26998454332351685</v>
      </c>
      <c r="CQ78" s="8">
        <v>3.2803688198328018E-2</v>
      </c>
      <c r="CR78">
        <v>72.658917897103152</v>
      </c>
      <c r="CS78">
        <v>4.9726346411191882</v>
      </c>
      <c r="CT78">
        <v>9.4899169632265717E-2</v>
      </c>
      <c r="CU78" s="7">
        <v>0.14611754762008786</v>
      </c>
      <c r="CV78" s="8">
        <v>-1.0218386761844158</v>
      </c>
      <c r="CW78">
        <v>0.06</v>
      </c>
      <c r="CX78" t="e">
        <v>#VALUE!</v>
      </c>
      <c r="CY78" t="s">
        <v>1362</v>
      </c>
      <c r="CZ78">
        <v>0.14611754762008786</v>
      </c>
      <c r="DA78" t="e">
        <v>#VALUE!</v>
      </c>
      <c r="DB78" t="s">
        <v>1362</v>
      </c>
      <c r="DC78">
        <v>0.13881167023908345</v>
      </c>
      <c r="DD78" t="e">
        <v>#VALUE!</v>
      </c>
      <c r="DE78" t="s">
        <v>1362</v>
      </c>
      <c r="DF78">
        <v>0.1285834419056773</v>
      </c>
      <c r="DG78" t="e">
        <v>#VALUE!</v>
      </c>
      <c r="DH78" t="s">
        <v>1362</v>
      </c>
      <c r="DI78">
        <v>0.1168940380960703</v>
      </c>
      <c r="DJ78" t="e">
        <v>#VALUE!</v>
      </c>
      <c r="DK78" t="s">
        <v>1362</v>
      </c>
      <c r="DL78">
        <v>0.10228228333406149</v>
      </c>
      <c r="DM78">
        <v>-155000000</v>
      </c>
      <c r="DN78">
        <v>0.14611754762008786</v>
      </c>
      <c r="DO78">
        <v>2340609100</v>
      </c>
      <c r="DP78">
        <v>60701690</v>
      </c>
      <c r="DQ78">
        <v>2417</v>
      </c>
      <c r="DR78">
        <v>-0.56791849548738649</v>
      </c>
      <c r="DS78">
        <v>2.34137845981336</v>
      </c>
      <c r="DT78" s="9">
        <v>-0.14000000000000001</v>
      </c>
      <c r="DU78">
        <v>-1.3233333333333333</v>
      </c>
      <c r="DV78">
        <v>-1.4633333333333334</v>
      </c>
      <c r="DW78">
        <v>6.1682539682539685</v>
      </c>
      <c r="DX78">
        <v>0.32517872340425613</v>
      </c>
      <c r="DY78">
        <v>6.0311570550489702</v>
      </c>
      <c r="DZ78">
        <v>4268</v>
      </c>
      <c r="EA78">
        <v>6.0051339022213766</v>
      </c>
      <c r="EB78">
        <v>6</v>
      </c>
      <c r="EC78">
        <v>0.22649511786616758</v>
      </c>
      <c r="ED78">
        <v>1.2231163154295881</v>
      </c>
      <c r="EE78" s="10">
        <v>-3.0677099999999999</v>
      </c>
      <c r="EF78">
        <v>-3.0883099999999999</v>
      </c>
      <c r="EG78">
        <v>14.185178723404256</v>
      </c>
      <c r="EH78" t="s">
        <v>1991</v>
      </c>
      <c r="EI78">
        <v>0</v>
      </c>
      <c r="EJ78">
        <v>0</v>
      </c>
      <c r="EK78" s="11">
        <v>45470</v>
      </c>
      <c r="EL78" s="12">
        <v>-0.89</v>
      </c>
      <c r="EM78" s="12">
        <v>-5.4</v>
      </c>
      <c r="EN78" s="12">
        <v>-0.16</v>
      </c>
      <c r="EO78" s="12">
        <v>2.02</v>
      </c>
      <c r="EP78" s="12">
        <v>-2.06</v>
      </c>
    </row>
    <row r="79" spans="1:146" ht="108" x14ac:dyDescent="0.25">
      <c r="A79" s="6"/>
      <c r="B79" s="6"/>
      <c r="C79" s="6" t="str">
        <f>""&amp;CHAR(10)&amp;Basic_Fundamental_Information_Constructure(F79)&amp;CHAR(10)&amp;Basic_Fundamental_Information_Concatenate("")</f>
        <v xml:space="preserve">
市值17.026812亿, 利润3474.05万; PE26.68; 平均PE28.45; 平均PEG2.73, PB1.34; ROIC4.2367%; ROE5.5867%; 股利率.6227%; 毛利15.98%; 净利8.4033%; 上一年度营收增-8.83%, 利润增-41.91%; 当季营收增39.26%, 利润增91.19%; 过往5年营收增10.44%, 利润增3.08%
Income profile:
</v>
      </c>
      <c r="D79" t="s">
        <v>1112</v>
      </c>
      <c r="E79" t="s">
        <v>1113</v>
      </c>
      <c r="F79">
        <v>16.059999999999999</v>
      </c>
      <c r="G79">
        <v>3.75</v>
      </c>
      <c r="H79" t="s">
        <v>3957</v>
      </c>
      <c r="I79">
        <v>1702681200</v>
      </c>
      <c r="J79">
        <v>26.68</v>
      </c>
      <c r="K79">
        <v>1.34</v>
      </c>
      <c r="L79" t="s">
        <v>100</v>
      </c>
      <c r="M79" t="s">
        <v>470</v>
      </c>
      <c r="N79" t="s">
        <v>1959</v>
      </c>
      <c r="O79" t="s">
        <v>92</v>
      </c>
      <c r="P79">
        <v>10.41</v>
      </c>
      <c r="Q79" t="s">
        <v>1958</v>
      </c>
      <c r="R79">
        <v>16585418</v>
      </c>
      <c r="S79" s="5">
        <v>0.33810000000000001</v>
      </c>
      <c r="T79" t="s">
        <v>3958</v>
      </c>
      <c r="U79">
        <v>45625350</v>
      </c>
      <c r="V79">
        <v>106020000</v>
      </c>
      <c r="W79">
        <v>1.1599999999999999</v>
      </c>
      <c r="X79">
        <v>0.13</v>
      </c>
      <c r="Y79">
        <v>8.81</v>
      </c>
      <c r="Z79" t="s">
        <v>241</v>
      </c>
      <c r="AA79" t="s">
        <v>773</v>
      </c>
      <c r="AB79" t="s">
        <v>3959</v>
      </c>
      <c r="AC79" t="s">
        <v>3960</v>
      </c>
      <c r="AD79" t="s">
        <v>81</v>
      </c>
      <c r="AE79">
        <v>-4591547</v>
      </c>
      <c r="AF79" t="s">
        <v>236</v>
      </c>
      <c r="AG79" t="s">
        <v>81</v>
      </c>
      <c r="AH79" t="s">
        <v>2580</v>
      </c>
      <c r="AI79" t="s">
        <v>1275</v>
      </c>
      <c r="AJ79" t="s">
        <v>2581</v>
      </c>
      <c r="AK79" t="s">
        <v>81</v>
      </c>
      <c r="AL79" t="s">
        <v>2582</v>
      </c>
      <c r="AM79" t="s">
        <v>81</v>
      </c>
      <c r="AN79" t="s">
        <v>3961</v>
      </c>
      <c r="AO79" t="s">
        <v>3533</v>
      </c>
      <c r="AP79" t="s">
        <v>3962</v>
      </c>
      <c r="AQ79" t="s">
        <v>435</v>
      </c>
      <c r="AR79" t="s">
        <v>81</v>
      </c>
      <c r="AS79" t="s">
        <v>284</v>
      </c>
      <c r="AT79" t="s">
        <v>81</v>
      </c>
      <c r="AU79" t="s">
        <v>3963</v>
      </c>
      <c r="AV79" t="s">
        <v>3964</v>
      </c>
      <c r="AW79" t="s">
        <v>3965</v>
      </c>
      <c r="AX79" t="s">
        <v>878</v>
      </c>
      <c r="AY79" t="s">
        <v>1042</v>
      </c>
      <c r="AZ79" t="s">
        <v>1097</v>
      </c>
      <c r="BA79" t="s">
        <v>915</v>
      </c>
      <c r="BB79" t="s">
        <v>1041</v>
      </c>
      <c r="BC79" t="s">
        <v>2583</v>
      </c>
      <c r="BD79" t="s">
        <v>1262</v>
      </c>
      <c r="BE79" t="s">
        <v>1114</v>
      </c>
      <c r="BF79" t="s">
        <v>1115</v>
      </c>
      <c r="BG79" t="s">
        <v>1116</v>
      </c>
      <c r="BH79" t="s">
        <v>2164</v>
      </c>
      <c r="BI79" t="s">
        <v>263</v>
      </c>
      <c r="BJ79" t="s">
        <v>878</v>
      </c>
      <c r="BK79" t="s">
        <v>2579</v>
      </c>
      <c r="BL79" t="s">
        <v>3966</v>
      </c>
      <c r="BM79" t="s">
        <v>2583</v>
      </c>
      <c r="BN79">
        <v>3.05</v>
      </c>
      <c r="BO79">
        <v>3.64</v>
      </c>
      <c r="BP79">
        <v>6.02</v>
      </c>
      <c r="BQ79">
        <v>3.76</v>
      </c>
      <c r="BR79">
        <v>4.84</v>
      </c>
      <c r="BS79">
        <v>8.16</v>
      </c>
      <c r="BT79" t="s">
        <v>1525</v>
      </c>
      <c r="BU79" t="s">
        <v>1353</v>
      </c>
      <c r="BV79">
        <v>17.11</v>
      </c>
      <c r="BW79">
        <v>14.22</v>
      </c>
      <c r="BX79">
        <v>16.61</v>
      </c>
      <c r="BY79">
        <v>8.5399999999999991</v>
      </c>
      <c r="BZ79">
        <v>7.84</v>
      </c>
      <c r="CA79">
        <v>8.83</v>
      </c>
      <c r="CB79">
        <v>1.01</v>
      </c>
      <c r="CC79">
        <v>-10.33</v>
      </c>
      <c r="CD79" t="s">
        <v>3967</v>
      </c>
      <c r="CE79" t="s">
        <v>3968</v>
      </c>
      <c r="CF79" s="7">
        <v>0.3925925925925926</v>
      </c>
      <c r="CG79" s="8">
        <v>0.91186374639769452</v>
      </c>
      <c r="CH79" s="7">
        <v>-8.8274046778678894E-2</v>
      </c>
      <c r="CI79" s="7">
        <v>0.2222222238779068</v>
      </c>
      <c r="CJ79" s="7">
        <v>-6.399999838322401E-3</v>
      </c>
      <c r="CK79" s="7">
        <v>0.11806797981262207</v>
      </c>
      <c r="CL79" s="7">
        <v>0.27625569701194763</v>
      </c>
      <c r="CM79" s="8">
        <v>-0.4190833568572998</v>
      </c>
      <c r="CN79" s="8">
        <v>9.0798161923885345E-2</v>
      </c>
      <c r="CO79" s="8">
        <v>-0.40221753716468811</v>
      </c>
      <c r="CP79" s="8">
        <v>0.25422981381416321</v>
      </c>
      <c r="CQ79" s="8">
        <v>0.63020730018615723</v>
      </c>
      <c r="CR79">
        <v>28.452224983435968</v>
      </c>
      <c r="CS79">
        <v>2.7259781075275136</v>
      </c>
      <c r="CT79">
        <v>0.62266500622665011</v>
      </c>
      <c r="CU79" s="7">
        <v>0.10437437081709504</v>
      </c>
      <c r="CV79" s="8">
        <v>3.0786876380443574E-2</v>
      </c>
      <c r="CW79">
        <v>0.06</v>
      </c>
      <c r="CX79">
        <v>17.341737265784669</v>
      </c>
      <c r="CY79">
        <v>36194828.14091631</v>
      </c>
      <c r="CZ79">
        <v>0.10437437081709504</v>
      </c>
      <c r="DA79">
        <v>5.5986675835317135</v>
      </c>
      <c r="DB79">
        <v>112112603.6927612</v>
      </c>
      <c r="DC79">
        <v>9.9155652276240278E-2</v>
      </c>
      <c r="DD79">
        <v>2.7114260531121661</v>
      </c>
      <c r="DE79">
        <v>231494862.00427616</v>
      </c>
      <c r="DF79">
        <v>9.184944631904364E-2</v>
      </c>
      <c r="DG79">
        <v>1.5983298104501205</v>
      </c>
      <c r="DH79">
        <v>392710688.30483294</v>
      </c>
      <c r="DI79">
        <v>8.3499496653676036E-2</v>
      </c>
      <c r="DJ79">
        <v>0.79239433050397989</v>
      </c>
      <c r="DK79">
        <v>792132371.26618659</v>
      </c>
      <c r="DL79">
        <v>7.3062059571966528E-2</v>
      </c>
      <c r="DM79">
        <v>34740500</v>
      </c>
      <c r="DN79">
        <v>0.10437437081709504</v>
      </c>
      <c r="DO79">
        <v>627681200</v>
      </c>
      <c r="DP79">
        <v>693590970</v>
      </c>
      <c r="DQ79">
        <v>2510</v>
      </c>
      <c r="DR79">
        <v>0.28821822177549755</v>
      </c>
      <c r="DS79">
        <v>0.88107687001725099</v>
      </c>
      <c r="DT79" s="9">
        <v>-0.19000000000000003</v>
      </c>
      <c r="DU79">
        <v>1.6666666666666646E-2</v>
      </c>
      <c r="DV79">
        <v>-0.17333333333333339</v>
      </c>
      <c r="DW79">
        <v>-2.1032999999999999</v>
      </c>
      <c r="DX79">
        <v>0.4303093409138094</v>
      </c>
      <c r="DY79">
        <v>-2.0144939549163965</v>
      </c>
      <c r="DZ79">
        <v>2350</v>
      </c>
      <c r="EA79">
        <v>-2.0078284374890907</v>
      </c>
      <c r="EB79">
        <v>2</v>
      </c>
      <c r="EC79">
        <v>3.3147519335974346E-2</v>
      </c>
      <c r="ED79">
        <v>0.23624599132239199</v>
      </c>
      <c r="EE79" s="10">
        <v>-5.0720000000000001</v>
      </c>
      <c r="EF79">
        <v>-5.0537999999999998</v>
      </c>
      <c r="EG79">
        <v>29.140309340913809</v>
      </c>
      <c r="EH79" t="s">
        <v>2309</v>
      </c>
      <c r="EI79">
        <v>0</v>
      </c>
      <c r="EJ79">
        <v>0</v>
      </c>
      <c r="EK79" s="11">
        <v>45470</v>
      </c>
      <c r="EL79" s="12">
        <v>-0.49</v>
      </c>
      <c r="EM79" s="12">
        <v>-5.21</v>
      </c>
      <c r="EN79" s="12">
        <v>1.78</v>
      </c>
      <c r="EO79" s="12">
        <v>5.31</v>
      </c>
      <c r="EP79" s="12">
        <v>-1.82</v>
      </c>
    </row>
    <row r="80" spans="1:146" ht="108" x14ac:dyDescent="0.25">
      <c r="A80" s="6"/>
      <c r="B80" s="6"/>
      <c r="C80" s="6" t="str">
        <f>""&amp;CHAR(10)&amp;Basic_Fundamental_Information_Constructure(F80)&amp;CHAR(10)&amp;Basic_Fundamental_Information_Concatenate("")</f>
        <v xml:space="preserve">
市值12.856亿, 利润9334.11万; PE68.64; 平均PE19.81; 平均PEG3.29, PB1.72; ROIC5.0367%; ROE7.4933%; 股利率.7778%; 毛利78.0467%; 净利7.3933%; 上一年度营收增8.48%, 利润增355.27%; 当季营收增-30.57%, 利润增-109.64%; 过往5年营收增6.02%, 利润增70.69%
Income profile:
</v>
      </c>
      <c r="D80" t="s">
        <v>1117</v>
      </c>
      <c r="E80" t="s">
        <v>1263</v>
      </c>
      <c r="F80">
        <v>16.07</v>
      </c>
      <c r="G80">
        <v>4.83</v>
      </c>
      <c r="H80" t="s">
        <v>3969</v>
      </c>
      <c r="I80">
        <v>1285600000</v>
      </c>
      <c r="J80">
        <v>68.64</v>
      </c>
      <c r="K80">
        <v>1.72</v>
      </c>
      <c r="L80" t="s">
        <v>100</v>
      </c>
      <c r="M80" t="s">
        <v>716</v>
      </c>
      <c r="N80" t="s">
        <v>2042</v>
      </c>
      <c r="O80" t="s">
        <v>2584</v>
      </c>
      <c r="P80">
        <v>0.48</v>
      </c>
      <c r="Q80" t="s">
        <v>283</v>
      </c>
      <c r="R80">
        <v>-2537276</v>
      </c>
      <c r="S80" s="5">
        <v>-4.9700000000000001E-2</v>
      </c>
      <c r="T80" t="s">
        <v>3970</v>
      </c>
      <c r="U80">
        <v>27423729</v>
      </c>
      <c r="V80">
        <v>80000000</v>
      </c>
      <c r="W80">
        <v>1.4</v>
      </c>
      <c r="X80">
        <v>7.0000000000000007E-2</v>
      </c>
      <c r="Y80">
        <v>-4.5599999999999996</v>
      </c>
      <c r="Z80" t="s">
        <v>3971</v>
      </c>
      <c r="AA80" t="s">
        <v>3972</v>
      </c>
      <c r="AB80" t="s">
        <v>3973</v>
      </c>
      <c r="AC80" t="s">
        <v>3974</v>
      </c>
      <c r="AD80" t="s">
        <v>81</v>
      </c>
      <c r="AE80">
        <v>150342</v>
      </c>
      <c r="AF80" t="s">
        <v>2586</v>
      </c>
      <c r="AG80">
        <v>1767.29</v>
      </c>
      <c r="AH80" t="s">
        <v>2587</v>
      </c>
      <c r="AI80" t="s">
        <v>1651</v>
      </c>
      <c r="AJ80" t="s">
        <v>2588</v>
      </c>
      <c r="AK80" t="s">
        <v>3975</v>
      </c>
      <c r="AL80" t="s">
        <v>2589</v>
      </c>
      <c r="AM80" t="s">
        <v>81</v>
      </c>
      <c r="AN80" t="s">
        <v>3976</v>
      </c>
      <c r="AO80" t="s">
        <v>3977</v>
      </c>
      <c r="AP80" t="s">
        <v>81</v>
      </c>
      <c r="AQ80" t="s">
        <v>3978</v>
      </c>
      <c r="AR80" t="s">
        <v>81</v>
      </c>
      <c r="AS80" t="s">
        <v>355</v>
      </c>
      <c r="AT80" t="s">
        <v>92</v>
      </c>
      <c r="AU80" t="s">
        <v>3979</v>
      </c>
      <c r="AV80" t="s">
        <v>3980</v>
      </c>
      <c r="AW80" t="s">
        <v>3981</v>
      </c>
      <c r="AX80" t="s">
        <v>1492</v>
      </c>
      <c r="AY80" t="s">
        <v>295</v>
      </c>
      <c r="AZ80" t="s">
        <v>475</v>
      </c>
      <c r="BA80" t="s">
        <v>714</v>
      </c>
      <c r="BB80" t="s">
        <v>963</v>
      </c>
      <c r="BC80" t="s">
        <v>1711</v>
      </c>
      <c r="BD80" t="s">
        <v>1264</v>
      </c>
      <c r="BE80" t="s">
        <v>1118</v>
      </c>
      <c r="BF80" t="s">
        <v>1119</v>
      </c>
      <c r="BG80" t="s">
        <v>1120</v>
      </c>
      <c r="BH80" t="s">
        <v>627</v>
      </c>
      <c r="BI80" t="s">
        <v>381</v>
      </c>
      <c r="BJ80" t="s">
        <v>1492</v>
      </c>
      <c r="BK80" t="s">
        <v>2585</v>
      </c>
      <c r="BL80" t="s">
        <v>3982</v>
      </c>
      <c r="BM80" t="s">
        <v>1711</v>
      </c>
      <c r="BN80">
        <v>1.58</v>
      </c>
      <c r="BO80">
        <v>1.39</v>
      </c>
      <c r="BP80">
        <v>12.14</v>
      </c>
      <c r="BQ80">
        <v>2.54</v>
      </c>
      <c r="BR80">
        <v>2.69</v>
      </c>
      <c r="BS80">
        <v>17.25</v>
      </c>
      <c r="BT80" t="s">
        <v>2301</v>
      </c>
      <c r="BU80" t="s">
        <v>1354</v>
      </c>
      <c r="BV80">
        <v>68.55</v>
      </c>
      <c r="BW80">
        <v>76.98</v>
      </c>
      <c r="BX80">
        <v>88.61</v>
      </c>
      <c r="BY80">
        <v>5.1100000000000003</v>
      </c>
      <c r="BZ80">
        <v>4.63</v>
      </c>
      <c r="CA80">
        <v>12.44</v>
      </c>
      <c r="CB80">
        <v>1.07</v>
      </c>
      <c r="CC80">
        <v>-13.35</v>
      </c>
      <c r="CD80" t="s">
        <v>3983</v>
      </c>
      <c r="CE80" t="s">
        <v>3984</v>
      </c>
      <c r="CF80" s="7">
        <v>-0.30568672566371674</v>
      </c>
      <c r="CG80" s="8">
        <v>-1.0963831201637992</v>
      </c>
      <c r="CH80" s="7">
        <v>8.4788031876087189E-2</v>
      </c>
      <c r="CI80" s="7">
        <v>-0.24339622259140015</v>
      </c>
      <c r="CJ80" s="7">
        <v>8.1632651388645172E-2</v>
      </c>
      <c r="CK80" s="7">
        <v>9.1314032673835754E-2</v>
      </c>
      <c r="CL80" s="7">
        <v>0.2865329384803772</v>
      </c>
      <c r="CM80" s="8">
        <v>3.5527360439300537</v>
      </c>
      <c r="CN80" s="8">
        <v>-0.70073235034942627</v>
      </c>
      <c r="CO80" s="8">
        <v>-0.25525659322738647</v>
      </c>
      <c r="CP80" s="8">
        <v>0.28286850452423096</v>
      </c>
      <c r="CQ80" s="8">
        <v>0.65499716997146606</v>
      </c>
      <c r="CR80">
        <v>19.810371475284036</v>
      </c>
      <c r="CS80">
        <v>3.2921655863024966</v>
      </c>
      <c r="CT80">
        <v>0.77784691972619791</v>
      </c>
      <c r="CU80" s="7">
        <v>6.0174286365509033E-2</v>
      </c>
      <c r="CV80" s="8">
        <v>0.70692255496978762</v>
      </c>
      <c r="CW80">
        <v>0.06</v>
      </c>
      <c r="CX80">
        <v>7.9009004922183443</v>
      </c>
      <c r="CY80">
        <v>93356447.246293977</v>
      </c>
      <c r="CZ80">
        <v>6.0174286365509033E-2</v>
      </c>
      <c r="DA80">
        <v>2.6482038260959531</v>
      </c>
      <c r="DB80">
        <v>278528409.60787672</v>
      </c>
      <c r="DC80">
        <v>5.7165572047233576E-2</v>
      </c>
      <c r="DD80">
        <v>1.3480534316854071</v>
      </c>
      <c r="DE80">
        <v>547159320.73835814</v>
      </c>
      <c r="DF80">
        <v>5.2953372001647951E-2</v>
      </c>
      <c r="DG80">
        <v>0.84023086227628796</v>
      </c>
      <c r="DH80">
        <v>877853972.18301594</v>
      </c>
      <c r="DI80">
        <v>4.8139429092407232E-2</v>
      </c>
      <c r="DJ80">
        <v>0.47010797837678853</v>
      </c>
      <c r="DK80">
        <v>1569001237.8577807</v>
      </c>
      <c r="DL80">
        <v>4.2122000455856318E-2</v>
      </c>
      <c r="DM80">
        <v>93341100</v>
      </c>
      <c r="DN80">
        <v>6.0174286365509033E-2</v>
      </c>
      <c r="DO80">
        <v>737600000</v>
      </c>
      <c r="DP80">
        <v>556373220</v>
      </c>
      <c r="DQ80">
        <v>2519</v>
      </c>
      <c r="DR80">
        <v>-0.36586101202922577</v>
      </c>
      <c r="DS80">
        <v>-1.8033056751335867</v>
      </c>
      <c r="DT80" s="9">
        <v>-0.49</v>
      </c>
      <c r="DU80">
        <v>-0.71500000000000019</v>
      </c>
      <c r="DV80">
        <v>-1.2050000000000001</v>
      </c>
      <c r="DW80">
        <v>-2.1335000000000002</v>
      </c>
      <c r="DX80">
        <v>0.55449197025068997</v>
      </c>
      <c r="DY80">
        <v>-2.0246296780284676</v>
      </c>
      <c r="DZ80">
        <v>2683</v>
      </c>
      <c r="EA80">
        <v>-2.0116978920890589</v>
      </c>
      <c r="EB80">
        <v>2</v>
      </c>
      <c r="EC80">
        <v>7.37675E-2</v>
      </c>
      <c r="ED80">
        <v>0.39984124999999998</v>
      </c>
      <c r="EE80" s="10">
        <v>-2.0360100000000001</v>
      </c>
      <c r="EF80">
        <v>-2.0441099999999999</v>
      </c>
      <c r="EG80">
        <v>37.18449197025069</v>
      </c>
      <c r="EH80" t="s">
        <v>1368</v>
      </c>
      <c r="EI80">
        <v>0</v>
      </c>
      <c r="EJ80">
        <v>0</v>
      </c>
      <c r="EK80" s="11">
        <v>45470</v>
      </c>
      <c r="EL80" s="12">
        <v>-0.81</v>
      </c>
      <c r="EM80" s="12">
        <v>-4.62</v>
      </c>
      <c r="EN80" s="12">
        <v>4.2699999999999996</v>
      </c>
      <c r="EO80" s="12">
        <v>1.04</v>
      </c>
      <c r="EP80" s="12">
        <v>-0.81</v>
      </c>
    </row>
    <row r="81" spans="1:146" ht="108" x14ac:dyDescent="0.25">
      <c r="A81" s="6"/>
      <c r="B81" s="6"/>
      <c r="C81" s="6" t="str">
        <f>""&amp;CHAR(10)&amp;Basic_Fundamental_Information_Constructure(F81)&amp;CHAR(10)&amp;Basic_Fundamental_Information_Concatenate("")</f>
        <v xml:space="preserve">
市值37.204083亿, 利润3.81亿; PE; 平均PE22.98; 平均PEG.05, PB2.32; ROIC16.67%; ROE18.1467%; 股利率.8503%; 毛利51.97%; 净利26.2267%; 上一年度营收增2094.27%, 利润增32.75%; 当季营收增-97.56%, 利润增-98.74%; 过往5年营收增436.25%, 利润增81.81%
Income profile:
</v>
      </c>
      <c r="D81" t="s">
        <v>1121</v>
      </c>
      <c r="E81" t="s">
        <v>1122</v>
      </c>
      <c r="F81">
        <v>29.4</v>
      </c>
      <c r="G81">
        <v>3.85</v>
      </c>
      <c r="H81" t="s">
        <v>3985</v>
      </c>
      <c r="I81">
        <v>3720408300</v>
      </c>
      <c r="K81">
        <v>2.3199999999999998</v>
      </c>
      <c r="L81" t="s">
        <v>100</v>
      </c>
      <c r="M81" t="s">
        <v>1606</v>
      </c>
      <c r="N81" t="s">
        <v>3986</v>
      </c>
      <c r="O81" t="s">
        <v>253</v>
      </c>
      <c r="P81">
        <v>-80.34</v>
      </c>
      <c r="Q81" t="s">
        <v>3987</v>
      </c>
      <c r="R81">
        <v>2068382</v>
      </c>
      <c r="S81" s="5">
        <v>-0.99319999999999997</v>
      </c>
      <c r="T81" t="s">
        <v>403</v>
      </c>
      <c r="U81">
        <v>78882417</v>
      </c>
      <c r="V81">
        <v>126544500</v>
      </c>
      <c r="W81">
        <v>1.1299999999999999</v>
      </c>
      <c r="X81">
        <v>0.06</v>
      </c>
      <c r="Y81">
        <v>1.91</v>
      </c>
      <c r="Z81" t="s">
        <v>274</v>
      </c>
      <c r="AA81" t="s">
        <v>3988</v>
      </c>
      <c r="AB81" t="s">
        <v>3989</v>
      </c>
      <c r="AC81" t="s">
        <v>3990</v>
      </c>
      <c r="AD81" t="s">
        <v>81</v>
      </c>
      <c r="AE81">
        <v>-728897</v>
      </c>
      <c r="AF81" t="s">
        <v>2591</v>
      </c>
      <c r="AG81" t="s">
        <v>3991</v>
      </c>
      <c r="AH81" t="s">
        <v>2592</v>
      </c>
      <c r="AI81" t="s">
        <v>285</v>
      </c>
      <c r="AJ81" t="s">
        <v>2593</v>
      </c>
      <c r="AK81" t="s">
        <v>3992</v>
      </c>
      <c r="AL81" t="s">
        <v>2594</v>
      </c>
      <c r="AM81" t="s">
        <v>81</v>
      </c>
      <c r="AN81" t="s">
        <v>294</v>
      </c>
      <c r="AO81" t="s">
        <v>81</v>
      </c>
      <c r="AP81" t="s">
        <v>3993</v>
      </c>
      <c r="AQ81" t="s">
        <v>348</v>
      </c>
      <c r="AR81" t="s">
        <v>81</v>
      </c>
      <c r="AS81" t="s">
        <v>395</v>
      </c>
      <c r="AT81" t="s">
        <v>81</v>
      </c>
      <c r="AU81" t="s">
        <v>3994</v>
      </c>
      <c r="AV81" t="s">
        <v>359</v>
      </c>
      <c r="AW81" t="s">
        <v>81</v>
      </c>
      <c r="AX81" t="s">
        <v>1007</v>
      </c>
      <c r="AY81" t="s">
        <v>1246</v>
      </c>
      <c r="AZ81" t="s">
        <v>813</v>
      </c>
      <c r="BA81" t="s">
        <v>1080</v>
      </c>
      <c r="BB81" t="s">
        <v>840</v>
      </c>
      <c r="BC81" t="s">
        <v>409</v>
      </c>
      <c r="BD81" t="s">
        <v>1266</v>
      </c>
      <c r="BE81" t="s">
        <v>381</v>
      </c>
      <c r="BF81" t="s">
        <v>1124</v>
      </c>
      <c r="BG81" t="s">
        <v>1125</v>
      </c>
      <c r="BH81" t="s">
        <v>1996</v>
      </c>
      <c r="BI81" t="s">
        <v>3995</v>
      </c>
      <c r="BJ81" t="s">
        <v>1007</v>
      </c>
      <c r="BK81" t="s">
        <v>599</v>
      </c>
      <c r="BL81" t="s">
        <v>307</v>
      </c>
      <c r="BM81" t="s">
        <v>409</v>
      </c>
      <c r="BN81">
        <v>20.14</v>
      </c>
      <c r="BO81">
        <v>22.07</v>
      </c>
      <c r="BP81">
        <v>7.8</v>
      </c>
      <c r="BQ81">
        <v>20.51</v>
      </c>
      <c r="BR81">
        <v>23.23</v>
      </c>
      <c r="BS81">
        <v>10.7</v>
      </c>
      <c r="BT81" t="s">
        <v>1538</v>
      </c>
      <c r="BU81" t="s">
        <v>1353</v>
      </c>
      <c r="BV81">
        <v>57.88</v>
      </c>
      <c r="BW81">
        <v>60.11</v>
      </c>
      <c r="BX81">
        <v>37.92</v>
      </c>
      <c r="BY81">
        <v>29.09</v>
      </c>
      <c r="BZ81">
        <v>36.51</v>
      </c>
      <c r="CA81">
        <v>13.08</v>
      </c>
      <c r="CB81">
        <v>-0.91</v>
      </c>
      <c r="CC81">
        <v>-19.8</v>
      </c>
      <c r="CD81" t="s">
        <v>3996</v>
      </c>
      <c r="CE81" t="s">
        <v>3997</v>
      </c>
      <c r="CF81" s="7">
        <v>-0.97564825253664034</v>
      </c>
      <c r="CG81" s="8">
        <v>-0.98738791463414632</v>
      </c>
      <c r="CH81" s="7">
        <v>20.942676544189453</v>
      </c>
      <c r="CI81" s="7">
        <v>0.56374502182006836</v>
      </c>
      <c r="CJ81" s="7">
        <v>-4.9242425709962845E-2</v>
      </c>
      <c r="CK81" s="7">
        <v>0.36787563562393188</v>
      </c>
      <c r="CL81" s="7">
        <v>-1.2787723913788795E-2</v>
      </c>
      <c r="CM81" s="8">
        <v>0.32752612233161926</v>
      </c>
      <c r="CN81" s="8">
        <v>3.3676095008850098</v>
      </c>
      <c r="CO81" s="8">
        <v>-0.41848671436309814</v>
      </c>
      <c r="CP81" s="8">
        <v>0.84484374523162842</v>
      </c>
      <c r="CQ81" s="8">
        <v>-3.1118759885430336E-2</v>
      </c>
      <c r="CR81">
        <v>22.984828897655525</v>
      </c>
      <c r="CS81">
        <v>5.2687849554679346E-2</v>
      </c>
      <c r="CT81">
        <v>0.85034013605442182</v>
      </c>
      <c r="CU81" s="7">
        <v>4.3624534104019403</v>
      </c>
      <c r="CV81" s="8">
        <v>0.81807477883994584</v>
      </c>
      <c r="CW81">
        <v>0.06</v>
      </c>
      <c r="CX81">
        <v>1.2199594750938225</v>
      </c>
      <c r="CY81">
        <v>1927447876.7576785</v>
      </c>
      <c r="CZ81">
        <v>4.3624534104019403</v>
      </c>
      <c r="DA81">
        <v>4.3245623102775646E-2</v>
      </c>
      <c r="DB81">
        <v>54373324542.272095</v>
      </c>
      <c r="DC81">
        <v>4.144330739881843</v>
      </c>
      <c r="DD81">
        <v>5.3259223876983292E-4</v>
      </c>
      <c r="DE81">
        <v>4415025471327.2187</v>
      </c>
      <c r="DF81">
        <v>3.8389590011537074</v>
      </c>
      <c r="DG81">
        <v>2.5356030376180755E-6</v>
      </c>
      <c r="DH81">
        <v>927356634739203.25</v>
      </c>
      <c r="DI81">
        <v>3.4899627283215526</v>
      </c>
      <c r="DJ81">
        <v>1.0181420012791525E-11</v>
      </c>
      <c r="DK81">
        <v>2.3095091814754576E+20</v>
      </c>
      <c r="DL81">
        <v>3.0537173872813579</v>
      </c>
      <c r="DM81">
        <v>381000000</v>
      </c>
      <c r="DN81">
        <v>4.3624534104019403</v>
      </c>
      <c r="DO81">
        <v>2351408300</v>
      </c>
      <c r="DP81">
        <v>613429080</v>
      </c>
      <c r="DQ81">
        <v>2532</v>
      </c>
      <c r="DR81">
        <v>-5.3381016629385805</v>
      </c>
      <c r="DS81">
        <v>-1.8054626934740923</v>
      </c>
      <c r="DT81" s="9">
        <v>0.12666666666666662</v>
      </c>
      <c r="DU81">
        <v>0.19333333333333327</v>
      </c>
      <c r="DV81">
        <v>0.3199999999999999</v>
      </c>
      <c r="DW81">
        <v>-3.0429761904761903</v>
      </c>
      <c r="DX81">
        <v>0.47149241057212693</v>
      </c>
      <c r="DY81">
        <v>-3.006080804787683</v>
      </c>
      <c r="DZ81">
        <v>3289</v>
      </c>
      <c r="EA81">
        <v>-3.0021669560701314</v>
      </c>
      <c r="EB81">
        <v>3</v>
      </c>
      <c r="EC81">
        <v>9.0591056900932096E-2</v>
      </c>
      <c r="ED81">
        <v>0.64025382375369932</v>
      </c>
      <c r="EE81" s="10">
        <v>-1.0116000000000001</v>
      </c>
      <c r="EF81">
        <v>-1.0054000000000001</v>
      </c>
      <c r="EG81">
        <v>33.141492410572127</v>
      </c>
      <c r="EH81" t="s">
        <v>1355</v>
      </c>
      <c r="EI81">
        <v>0</v>
      </c>
      <c r="EJ81">
        <v>0</v>
      </c>
      <c r="EK81" s="11">
        <v>45470</v>
      </c>
      <c r="EL81" s="12">
        <v>0.45</v>
      </c>
      <c r="EM81" s="12">
        <v>-4.4400000000000004</v>
      </c>
      <c r="EN81" s="12">
        <v>1.95</v>
      </c>
      <c r="EO81" s="12">
        <v>3.65</v>
      </c>
      <c r="EP81" s="12">
        <v>-0.62</v>
      </c>
    </row>
    <row r="82" spans="1:146" ht="108" x14ac:dyDescent="0.25">
      <c r="A82" s="6"/>
      <c r="B82" s="6"/>
      <c r="C82" s="6" t="str">
        <f>""&amp;CHAR(10)&amp;Basic_Fundamental_Information_Constructure(F82)&amp;CHAR(10)&amp;Basic_Fundamental_Information_Concatenate("")</f>
        <v xml:space="preserve">
市值19.013168亿, 利润3715.20万; PE34.59; 平均PE41.39; 平均PEG.44, PB2.03; ROIC6.2767%; ROE6.48%; 股利率1.105%; 毛利81.85%; 净利18.85%; 上一年度营收增479.22%, 利润增-8.77%; 当季营收增-77%, 利润增111.88%; 过往5年营收增94.49%, 利润增-.56%
Income profile:
</v>
      </c>
      <c r="D82" t="s">
        <v>1267</v>
      </c>
      <c r="E82" t="s">
        <v>1268</v>
      </c>
      <c r="F82">
        <v>23.53</v>
      </c>
      <c r="G82">
        <v>2.66</v>
      </c>
      <c r="H82" t="s">
        <v>3998</v>
      </c>
      <c r="I82">
        <v>1901316800</v>
      </c>
      <c r="J82">
        <v>34.590000000000003</v>
      </c>
      <c r="K82">
        <v>2.0299999999999998</v>
      </c>
      <c r="L82" t="s">
        <v>100</v>
      </c>
      <c r="M82" t="s">
        <v>2595</v>
      </c>
      <c r="N82" t="s">
        <v>1284</v>
      </c>
      <c r="O82" t="s">
        <v>2596</v>
      </c>
      <c r="P82">
        <v>20.32</v>
      </c>
      <c r="Q82" t="s">
        <v>3266</v>
      </c>
      <c r="R82">
        <v>14042844</v>
      </c>
      <c r="S82" s="5">
        <v>0.46660000000000001</v>
      </c>
      <c r="T82" t="s">
        <v>3999</v>
      </c>
      <c r="U82">
        <v>58028134</v>
      </c>
      <c r="V82">
        <v>80803943</v>
      </c>
      <c r="W82">
        <v>1.07</v>
      </c>
      <c r="X82">
        <v>0.06</v>
      </c>
      <c r="Y82">
        <v>21.05</v>
      </c>
      <c r="Z82" t="s">
        <v>4000</v>
      </c>
      <c r="AA82" t="s">
        <v>4001</v>
      </c>
      <c r="AB82" t="s">
        <v>4002</v>
      </c>
      <c r="AC82" t="s">
        <v>4003</v>
      </c>
      <c r="AD82" t="s">
        <v>81</v>
      </c>
      <c r="AE82">
        <v>-1997291</v>
      </c>
      <c r="AF82" t="s">
        <v>2598</v>
      </c>
      <c r="AG82" t="s">
        <v>81</v>
      </c>
      <c r="AH82" t="s">
        <v>2600</v>
      </c>
      <c r="AI82" t="s">
        <v>409</v>
      </c>
      <c r="AJ82" t="s">
        <v>2601</v>
      </c>
      <c r="AK82" t="s">
        <v>4004</v>
      </c>
      <c r="AL82" t="s">
        <v>2602</v>
      </c>
      <c r="AM82" t="s">
        <v>81</v>
      </c>
      <c r="AN82" t="s">
        <v>4005</v>
      </c>
      <c r="AO82" t="s">
        <v>81</v>
      </c>
      <c r="AP82" t="s">
        <v>81</v>
      </c>
      <c r="AQ82" t="s">
        <v>4006</v>
      </c>
      <c r="AR82" t="s">
        <v>81</v>
      </c>
      <c r="AS82" t="s">
        <v>4007</v>
      </c>
      <c r="AT82" t="s">
        <v>81</v>
      </c>
      <c r="AU82" t="s">
        <v>4008</v>
      </c>
      <c r="AV82" t="s">
        <v>4009</v>
      </c>
      <c r="AW82" t="s">
        <v>4010</v>
      </c>
      <c r="AX82" t="s">
        <v>478</v>
      </c>
      <c r="AY82" t="s">
        <v>371</v>
      </c>
      <c r="AZ82" t="s">
        <v>371</v>
      </c>
      <c r="BA82" t="s">
        <v>566</v>
      </c>
      <c r="BB82" t="s">
        <v>345</v>
      </c>
      <c r="BC82" t="s">
        <v>1712</v>
      </c>
      <c r="BD82" t="s">
        <v>1269</v>
      </c>
      <c r="BE82" t="s">
        <v>1270</v>
      </c>
      <c r="BF82" t="s">
        <v>1271</v>
      </c>
      <c r="BG82" t="s">
        <v>1272</v>
      </c>
      <c r="BH82" t="s">
        <v>444</v>
      </c>
      <c r="BI82" t="s">
        <v>503</v>
      </c>
      <c r="BJ82" t="s">
        <v>478</v>
      </c>
      <c r="BK82" t="s">
        <v>2597</v>
      </c>
      <c r="BL82" t="s">
        <v>4011</v>
      </c>
      <c r="BM82" t="s">
        <v>1712</v>
      </c>
      <c r="BN82">
        <v>3.94</v>
      </c>
      <c r="BO82">
        <v>4.91</v>
      </c>
      <c r="BP82">
        <v>9.98</v>
      </c>
      <c r="BQ82">
        <v>4.29</v>
      </c>
      <c r="BR82">
        <v>4.71</v>
      </c>
      <c r="BS82">
        <v>10.44</v>
      </c>
      <c r="BT82" t="s">
        <v>2603</v>
      </c>
      <c r="BU82" t="s">
        <v>1354</v>
      </c>
      <c r="BV82">
        <v>80.27</v>
      </c>
      <c r="BW82">
        <v>81.63</v>
      </c>
      <c r="BX82">
        <v>83.65</v>
      </c>
      <c r="BY82">
        <v>22.4</v>
      </c>
      <c r="BZ82">
        <v>15.94</v>
      </c>
      <c r="CA82">
        <v>18.21</v>
      </c>
      <c r="CB82">
        <v>0.43</v>
      </c>
      <c r="CC82">
        <v>-6.55</v>
      </c>
      <c r="CD82" t="s">
        <v>4012</v>
      </c>
      <c r="CE82" t="s">
        <v>4013</v>
      </c>
      <c r="CF82" s="7">
        <v>-0.76998103448275867</v>
      </c>
      <c r="CG82" s="8">
        <v>1.1187790820483419</v>
      </c>
      <c r="CH82" s="7">
        <v>4.7921562194824219</v>
      </c>
      <c r="CI82" s="7">
        <v>-0.10839160531759262</v>
      </c>
      <c r="CJ82" s="7">
        <v>0</v>
      </c>
      <c r="CK82" s="7">
        <v>-0.11999999731779099</v>
      </c>
      <c r="CL82" s="7">
        <v>0.1607142835855484</v>
      </c>
      <c r="CM82" s="8">
        <v>-8.7690003216266632E-2</v>
      </c>
      <c r="CN82" s="8">
        <v>-0.2171529233455658</v>
      </c>
      <c r="CO82" s="8">
        <v>4.5769806951284409E-2</v>
      </c>
      <c r="CP82" s="8">
        <v>-8.9192233979701996E-2</v>
      </c>
      <c r="CQ82" s="8">
        <v>0.32043606042861938</v>
      </c>
      <c r="CR82">
        <v>41.391431812030177</v>
      </c>
      <c r="CS82">
        <v>0.43805288037417484</v>
      </c>
      <c r="CT82">
        <v>1.1049723756906078</v>
      </c>
      <c r="CU82" s="7">
        <v>0.94489578008651731</v>
      </c>
      <c r="CV82" s="8">
        <v>-5.5658586323261263E-3</v>
      </c>
      <c r="CW82">
        <v>0.06</v>
      </c>
      <c r="CX82">
        <v>15.398258107319633</v>
      </c>
      <c r="CY82">
        <v>68166762.284692734</v>
      </c>
      <c r="CZ82">
        <v>0.94489578008651731</v>
      </c>
      <c r="DA82">
        <v>2.6323827280229204</v>
      </c>
      <c r="DB82">
        <v>398744980.66941452</v>
      </c>
      <c r="DC82">
        <v>0.89765099108219137</v>
      </c>
      <c r="DD82">
        <v>0.46474205615119707</v>
      </c>
      <c r="DE82">
        <v>2258563403.3054066</v>
      </c>
      <c r="DF82">
        <v>0.83150828647613528</v>
      </c>
      <c r="DG82">
        <v>7.2432825153559893E-2</v>
      </c>
      <c r="DH82">
        <v>14491349712.988688</v>
      </c>
      <c r="DI82">
        <v>0.75591662406921389</v>
      </c>
      <c r="DJ82">
        <v>1.2773495686906084E-3</v>
      </c>
      <c r="DK82">
        <v>821740129505.80139</v>
      </c>
      <c r="DL82">
        <v>0.66142704606056213</v>
      </c>
      <c r="DM82">
        <v>37152000</v>
      </c>
      <c r="DN82">
        <v>0.94489578008651731</v>
      </c>
      <c r="DO82">
        <v>1049649400</v>
      </c>
      <c r="DP82">
        <v>509176890</v>
      </c>
      <c r="DQ82">
        <v>2569</v>
      </c>
      <c r="DR82">
        <v>-1.7148768145692759</v>
      </c>
      <c r="DS82">
        <v>1.124344940680668</v>
      </c>
      <c r="DT82" s="9">
        <v>-4.0000000000000036E-2</v>
      </c>
      <c r="DU82">
        <v>0.17</v>
      </c>
      <c r="DV82">
        <v>0.12999999999999998</v>
      </c>
      <c r="DW82">
        <v>-2.0655000000000001</v>
      </c>
      <c r="DX82">
        <v>0.42122415022581283</v>
      </c>
      <c r="DY82">
        <v>-2.0164551818397909</v>
      </c>
      <c r="DZ82">
        <v>3093</v>
      </c>
      <c r="EA82">
        <v>-2.0064951275481131</v>
      </c>
      <c r="EB82">
        <v>2</v>
      </c>
      <c r="EC82">
        <v>3.9239421769306483E-2</v>
      </c>
      <c r="ED82">
        <v>0.15619287291462991</v>
      </c>
      <c r="EE82" s="10">
        <v>-4.0148999999999999</v>
      </c>
      <c r="EF82">
        <v>-4.1226000000000003</v>
      </c>
      <c r="EG82">
        <v>17.251224150225813</v>
      </c>
      <c r="EH82" t="s">
        <v>2022</v>
      </c>
      <c r="EI82">
        <v>0</v>
      </c>
      <c r="EJ82">
        <v>0</v>
      </c>
      <c r="EK82" s="11">
        <v>45470</v>
      </c>
      <c r="EL82" s="12">
        <v>-3.78</v>
      </c>
      <c r="EM82" s="12">
        <v>-5.07</v>
      </c>
      <c r="EN82" s="12">
        <v>19.989999999999998</v>
      </c>
      <c r="EO82" s="12">
        <v>20.010000000000002</v>
      </c>
      <c r="EP82" s="12">
        <v>10.77</v>
      </c>
    </row>
    <row r="83" spans="1:146" ht="108" x14ac:dyDescent="0.25">
      <c r="A83" s="6"/>
      <c r="B83" s="6"/>
      <c r="C83" s="6" t="str">
        <f>""&amp;CHAR(10)&amp;Basic_Fundamental_Information_Constructure(F83)&amp;CHAR(10)&amp;Basic_Fundamental_Information_Concatenate("")</f>
        <v xml:space="preserve">
市值42.7104亿, 利润7111.28万; PE24.61; 平均PE40.37; 平均PEG6.21, PB1.78; ROIC5.4333%; ROE9.2767%; 股利率3.2367%; 毛利34.33%; 净利24.4933%; 上一年度营收增28.54%, 利润增-43.56%; 当季营收增-40.77%, 利润增10.62%; 过往5年营收增6.5%, 利润增21.96%
Income profile:
</v>
      </c>
      <c r="D83" t="s">
        <v>1273</v>
      </c>
      <c r="E83" t="s">
        <v>1274</v>
      </c>
      <c r="F83">
        <v>14.83</v>
      </c>
      <c r="G83">
        <v>4.07</v>
      </c>
      <c r="H83" t="s">
        <v>4014</v>
      </c>
      <c r="I83">
        <v>4271040000</v>
      </c>
      <c r="J83">
        <v>24.61</v>
      </c>
      <c r="K83">
        <v>1.78</v>
      </c>
      <c r="L83" t="s">
        <v>100</v>
      </c>
      <c r="M83" t="s">
        <v>418</v>
      </c>
      <c r="N83" t="s">
        <v>4015</v>
      </c>
      <c r="O83" t="s">
        <v>238</v>
      </c>
      <c r="P83">
        <v>-28.57</v>
      </c>
      <c r="Q83" t="s">
        <v>82</v>
      </c>
      <c r="R83">
        <v>37381597</v>
      </c>
      <c r="S83" s="5">
        <v>-6.3700000000000007E-2</v>
      </c>
      <c r="T83" t="s">
        <v>4016</v>
      </c>
      <c r="U83">
        <v>72000000</v>
      </c>
      <c r="V83">
        <v>288000000</v>
      </c>
      <c r="W83">
        <v>1.06</v>
      </c>
      <c r="X83">
        <v>0.05</v>
      </c>
      <c r="Y83">
        <v>27.08</v>
      </c>
      <c r="Z83" t="s">
        <v>4017</v>
      </c>
      <c r="AA83" t="s">
        <v>4018</v>
      </c>
      <c r="AB83" t="s">
        <v>4019</v>
      </c>
      <c r="AC83" t="s">
        <v>4020</v>
      </c>
      <c r="AD83" t="s">
        <v>81</v>
      </c>
      <c r="AE83">
        <v>-17739443</v>
      </c>
      <c r="AF83" t="s">
        <v>2604</v>
      </c>
      <c r="AG83" t="s">
        <v>4021</v>
      </c>
      <c r="AH83" t="s">
        <v>2605</v>
      </c>
      <c r="AI83" t="s">
        <v>2847</v>
      </c>
      <c r="AJ83" t="s">
        <v>2606</v>
      </c>
      <c r="AK83" t="s">
        <v>4022</v>
      </c>
      <c r="AL83" t="s">
        <v>2607</v>
      </c>
      <c r="AM83" t="s">
        <v>81</v>
      </c>
      <c r="AN83" t="s">
        <v>422</v>
      </c>
      <c r="AO83" t="s">
        <v>81</v>
      </c>
      <c r="AP83" t="s">
        <v>2608</v>
      </c>
      <c r="AQ83" t="s">
        <v>4023</v>
      </c>
      <c r="AR83" t="s">
        <v>81</v>
      </c>
      <c r="AS83" t="s">
        <v>380</v>
      </c>
      <c r="AT83" t="s">
        <v>81</v>
      </c>
      <c r="AU83" t="s">
        <v>4024</v>
      </c>
      <c r="AV83" t="s">
        <v>4025</v>
      </c>
      <c r="AW83" t="s">
        <v>81</v>
      </c>
      <c r="AX83" t="s">
        <v>536</v>
      </c>
      <c r="AY83" t="s">
        <v>1137</v>
      </c>
      <c r="AZ83" t="s">
        <v>1275</v>
      </c>
      <c r="BA83" t="s">
        <v>841</v>
      </c>
      <c r="BB83" t="s">
        <v>351</v>
      </c>
      <c r="BC83" t="s">
        <v>355</v>
      </c>
      <c r="BD83" t="s">
        <v>370</v>
      </c>
      <c r="BE83" t="s">
        <v>382</v>
      </c>
      <c r="BF83" t="s">
        <v>477</v>
      </c>
      <c r="BG83" t="s">
        <v>1276</v>
      </c>
      <c r="BH83" t="s">
        <v>293</v>
      </c>
      <c r="BI83" t="s">
        <v>2784</v>
      </c>
      <c r="BJ83" t="s">
        <v>536</v>
      </c>
      <c r="BK83" t="s">
        <v>270</v>
      </c>
      <c r="BL83" t="s">
        <v>4026</v>
      </c>
      <c r="BM83" t="s">
        <v>355</v>
      </c>
      <c r="BN83">
        <v>4.83</v>
      </c>
      <c r="BO83">
        <v>3.29</v>
      </c>
      <c r="BP83">
        <v>8.18</v>
      </c>
      <c r="BQ83">
        <v>6.28</v>
      </c>
      <c r="BR83">
        <v>5.57</v>
      </c>
      <c r="BS83">
        <v>15.98</v>
      </c>
      <c r="BT83" t="s">
        <v>2609</v>
      </c>
      <c r="BU83" t="s">
        <v>1353</v>
      </c>
      <c r="BV83">
        <v>40.17</v>
      </c>
      <c r="BW83">
        <v>28.88</v>
      </c>
      <c r="BX83">
        <v>33.94</v>
      </c>
      <c r="BY83">
        <v>26.56</v>
      </c>
      <c r="BZ83">
        <v>24.42</v>
      </c>
      <c r="CA83">
        <v>22.5</v>
      </c>
      <c r="CB83">
        <v>1.51</v>
      </c>
      <c r="CC83">
        <v>-10.39</v>
      </c>
      <c r="CD83" t="s">
        <v>4027</v>
      </c>
      <c r="CE83" t="s">
        <v>4028</v>
      </c>
      <c r="CF83" s="7">
        <v>-0.40772532188841204</v>
      </c>
      <c r="CG83" s="8">
        <v>0.10615094853274074</v>
      </c>
      <c r="CH83" s="7">
        <v>0.28543689846992493</v>
      </c>
      <c r="CI83" s="7">
        <v>-4.8059150576591492E-2</v>
      </c>
      <c r="CJ83" s="7">
        <v>-8.7689712643623352E-2</v>
      </c>
      <c r="CK83" s="7">
        <v>-0.10151515156030655</v>
      </c>
      <c r="CL83" s="7">
        <v>0.27659574151039124</v>
      </c>
      <c r="CM83" s="8">
        <v>-0.43561270833015442</v>
      </c>
      <c r="CN83" s="8">
        <v>3.2786883413791656E-2</v>
      </c>
      <c r="CO83" s="8">
        <v>-0.2738095223903656</v>
      </c>
      <c r="CP83" s="8">
        <v>0.68000000715255737</v>
      </c>
      <c r="CQ83" s="8">
        <v>1.0948814153671265</v>
      </c>
      <c r="CR83">
        <v>40.365933147483133</v>
      </c>
      <c r="CS83">
        <v>6.2145678515974829</v>
      </c>
      <c r="CT83">
        <v>3.236682400539447</v>
      </c>
      <c r="CU83" s="7">
        <v>6.4953725039958957E-2</v>
      </c>
      <c r="CV83" s="8">
        <v>0.21964921504259111</v>
      </c>
      <c r="CW83">
        <v>0.06</v>
      </c>
      <c r="CX83">
        <v>28.91785494213153</v>
      </c>
      <c r="CY83">
        <v>71445133.262284517</v>
      </c>
      <c r="CZ83">
        <v>6.4953725039958957E-2</v>
      </c>
      <c r="DA83">
        <v>9.6532259768559729</v>
      </c>
      <c r="DB83">
        <v>214025860.88354507</v>
      </c>
      <c r="DC83">
        <v>6.1706038787961007E-2</v>
      </c>
      <c r="DD83">
        <v>4.8878084049942565</v>
      </c>
      <c r="DE83">
        <v>422692509.36451709</v>
      </c>
      <c r="DF83">
        <v>5.715927803516388E-2</v>
      </c>
      <c r="DG83">
        <v>3.0287743904188491</v>
      </c>
      <c r="DH83">
        <v>682137304.95597839</v>
      </c>
      <c r="DI83">
        <v>5.1962980031967171E-2</v>
      </c>
      <c r="DJ83">
        <v>1.6739264663622724</v>
      </c>
      <c r="DK83">
        <v>1234247765.0705035</v>
      </c>
      <c r="DL83">
        <v>4.5467607527971264E-2</v>
      </c>
      <c r="DM83">
        <v>71112800</v>
      </c>
      <c r="DN83">
        <v>6.4953725039958957E-2</v>
      </c>
      <c r="DO83">
        <v>2066040000</v>
      </c>
      <c r="DP83">
        <v>1929714800</v>
      </c>
      <c r="DQ83">
        <v>2635</v>
      </c>
      <c r="DR83">
        <v>-0.47267904692837098</v>
      </c>
      <c r="DS83">
        <v>-0.11349826650985037</v>
      </c>
      <c r="DT83" s="9">
        <v>-0.17333333333333334</v>
      </c>
      <c r="DU83">
        <v>0.13333333333333328</v>
      </c>
      <c r="DV83">
        <v>-4.0000000000000063E-2</v>
      </c>
      <c r="DW83">
        <v>-2.1038999999999999</v>
      </c>
      <c r="DX83">
        <v>0.45376402237628954</v>
      </c>
      <c r="DY83">
        <v>-2.0180540819248964</v>
      </c>
      <c r="DZ83">
        <v>3084</v>
      </c>
      <c r="EA83">
        <v>-2.0071580371780509</v>
      </c>
      <c r="EB83">
        <v>2</v>
      </c>
      <c r="EC83">
        <v>3.2442708333333334E-2</v>
      </c>
      <c r="ED83">
        <v>0.18670555555555557</v>
      </c>
      <c r="EE83" s="10">
        <v>1.0014000000000001</v>
      </c>
      <c r="EF83">
        <v>1.0237099999999999</v>
      </c>
      <c r="EG83">
        <v>28.17376402237629</v>
      </c>
      <c r="EH83" t="s">
        <v>1363</v>
      </c>
      <c r="EI83">
        <v>0</v>
      </c>
      <c r="EJ83">
        <v>0</v>
      </c>
      <c r="EK83" s="11">
        <v>45470</v>
      </c>
      <c r="EL83" s="12">
        <v>-2.64</v>
      </c>
      <c r="EM83" s="12">
        <v>-6.7</v>
      </c>
      <c r="EN83" s="12">
        <v>1.56</v>
      </c>
      <c r="EO83" s="12">
        <v>6.97</v>
      </c>
      <c r="EP83" s="12">
        <v>-2.5099999999999998</v>
      </c>
    </row>
    <row r="84" spans="1:146" ht="108" x14ac:dyDescent="0.25">
      <c r="C84" s="6" t="str">
        <f>""&amp;CHAR(10)&amp;Basic_Fundamental_Information_Constructure(F84)&amp;CHAR(10)&amp;Basic_Fundamental_Information_Concatenate("")</f>
        <v xml:space="preserve">
市值54.240922亿, 利润662.03万; PE101.2; 平均PE21.43; 平均PEG21.9, PB1.23; ROIC18.3367%; ROE12.8%; 股利率.3687%; 毛利23.3167%; 净利18.87%; 上一年度营收增-58.67%, 利润增-98.48%; 当季营收增126.6%, 利润增159.53%; 过往5年营收增-.98%, 利润增485.39%
Income profile:
</v>
      </c>
      <c r="D84" t="s">
        <v>1713</v>
      </c>
      <c r="E84" t="s">
        <v>1714</v>
      </c>
      <c r="F84">
        <v>13.56</v>
      </c>
      <c r="G84">
        <v>3.27</v>
      </c>
      <c r="H84" t="s">
        <v>4029</v>
      </c>
      <c r="I84">
        <v>5424092200</v>
      </c>
      <c r="J84">
        <v>101.2</v>
      </c>
      <c r="K84">
        <v>1.23</v>
      </c>
      <c r="L84" t="s">
        <v>100</v>
      </c>
      <c r="M84" t="s">
        <v>1898</v>
      </c>
      <c r="N84" t="s">
        <v>4030</v>
      </c>
      <c r="O84" t="s">
        <v>458</v>
      </c>
      <c r="P84" s="5">
        <v>-15.45</v>
      </c>
      <c r="Q84" t="s">
        <v>1601</v>
      </c>
      <c r="R84">
        <v>31199062</v>
      </c>
      <c r="S84">
        <v>-0.5181</v>
      </c>
      <c r="T84" t="s">
        <v>4031</v>
      </c>
      <c r="U84">
        <v>148945550</v>
      </c>
      <c r="V84">
        <v>400006800</v>
      </c>
      <c r="W84">
        <v>1.28</v>
      </c>
      <c r="X84">
        <v>0.08</v>
      </c>
      <c r="Y84">
        <v>7.32</v>
      </c>
      <c r="Z84" t="s">
        <v>239</v>
      </c>
      <c r="AA84" t="s">
        <v>1098</v>
      </c>
      <c r="AB84" t="s">
        <v>4032</v>
      </c>
      <c r="AC84" t="s">
        <v>4033</v>
      </c>
      <c r="AD84" t="s">
        <v>81</v>
      </c>
      <c r="AE84">
        <v>-1657712</v>
      </c>
      <c r="AF84" t="s">
        <v>2613</v>
      </c>
      <c r="AG84" t="s">
        <v>4034</v>
      </c>
      <c r="AH84" t="s">
        <v>2614</v>
      </c>
      <c r="AI84" t="s">
        <v>524</v>
      </c>
      <c r="AJ84" t="s">
        <v>2615</v>
      </c>
      <c r="AK84" t="s">
        <v>1045</v>
      </c>
      <c r="AL84" t="s">
        <v>2616</v>
      </c>
      <c r="AM84" t="s">
        <v>81</v>
      </c>
      <c r="AN84" t="s">
        <v>480</v>
      </c>
      <c r="AO84" t="s">
        <v>81</v>
      </c>
      <c r="AP84" t="s">
        <v>3506</v>
      </c>
      <c r="AQ84" t="s">
        <v>226</v>
      </c>
      <c r="AR84" t="s">
        <v>81</v>
      </c>
      <c r="AS84" t="s">
        <v>3050</v>
      </c>
      <c r="AT84" t="s">
        <v>579</v>
      </c>
      <c r="AU84" t="s">
        <v>4035</v>
      </c>
      <c r="AV84" t="s">
        <v>564</v>
      </c>
      <c r="AW84" t="s">
        <v>4036</v>
      </c>
      <c r="AX84" t="s">
        <v>1715</v>
      </c>
      <c r="AY84" t="s">
        <v>1716</v>
      </c>
      <c r="AZ84" t="s">
        <v>539</v>
      </c>
      <c r="BA84" t="s">
        <v>1493</v>
      </c>
      <c r="BB84" t="s">
        <v>1717</v>
      </c>
      <c r="BC84" t="s">
        <v>283</v>
      </c>
      <c r="BD84" t="s">
        <v>737</v>
      </c>
      <c r="BE84" t="s">
        <v>564</v>
      </c>
      <c r="BF84" t="s">
        <v>408</v>
      </c>
      <c r="BG84" t="s">
        <v>1718</v>
      </c>
      <c r="BH84" t="s">
        <v>2610</v>
      </c>
      <c r="BI84" t="s">
        <v>92</v>
      </c>
      <c r="BJ84" t="s">
        <v>1715</v>
      </c>
      <c r="BK84" t="s">
        <v>2611</v>
      </c>
      <c r="BL84" t="s">
        <v>4037</v>
      </c>
      <c r="BM84" t="s">
        <v>283</v>
      </c>
      <c r="BN84">
        <v>2.59</v>
      </c>
      <c r="BO84">
        <v>20.329999999999998</v>
      </c>
      <c r="BP84">
        <v>32.090000000000003</v>
      </c>
      <c r="BQ84">
        <v>2.67</v>
      </c>
      <c r="BR84">
        <v>22.93</v>
      </c>
      <c r="BS84" t="s">
        <v>81</v>
      </c>
      <c r="BT84" t="s">
        <v>1546</v>
      </c>
      <c r="BU84" t="s">
        <v>1353</v>
      </c>
      <c r="BV84">
        <v>12.99</v>
      </c>
      <c r="BW84">
        <v>23.32</v>
      </c>
      <c r="BX84">
        <v>33.64</v>
      </c>
      <c r="BY84">
        <v>4.24</v>
      </c>
      <c r="BZ84">
        <v>21.07</v>
      </c>
      <c r="CA84">
        <v>31.3</v>
      </c>
      <c r="CB84">
        <v>0.74</v>
      </c>
      <c r="CC84" s="7">
        <v>-12.91</v>
      </c>
      <c r="CD84" s="8" t="s">
        <v>4038</v>
      </c>
      <c r="CE84" s="7" t="s">
        <v>4039</v>
      </c>
      <c r="CF84" s="7">
        <v>1.2659574468085106</v>
      </c>
      <c r="CG84" s="7">
        <v>1.5952719710518655</v>
      </c>
      <c r="CH84" s="7">
        <v>-0.58672481775283813</v>
      </c>
      <c r="CI84" s="7">
        <v>0.30798479914665222</v>
      </c>
      <c r="CJ84" s="8">
        <v>0.21105135977268219</v>
      </c>
      <c r="CK84" s="8">
        <v>-0.18664166331291199</v>
      </c>
      <c r="CL84" s="8">
        <v>0.20541766285896301</v>
      </c>
      <c r="CM84" s="8">
        <v>-0.98478096723556519</v>
      </c>
      <c r="CN84" s="8">
        <v>-0.1194332018494606</v>
      </c>
      <c r="CO84">
        <v>0.92217898368835449</v>
      </c>
      <c r="CP84">
        <v>-0.18152865767478943</v>
      </c>
      <c r="CQ84">
        <v>24.633281707763672</v>
      </c>
      <c r="CR84" s="7">
        <v>21.42681941179956</v>
      </c>
      <c r="CS84" s="8">
        <v>21.903142994002032</v>
      </c>
      <c r="CT84">
        <v>0.36873156342182889</v>
      </c>
      <c r="CU84">
        <v>-9.7825318574905392E-3</v>
      </c>
      <c r="CV84">
        <v>4.8539435729384426</v>
      </c>
      <c r="CW84">
        <v>0.06</v>
      </c>
      <c r="CX84">
        <v>350.75331933598176</v>
      </c>
      <c r="CY84" t="s">
        <v>4040</v>
      </c>
      <c r="CZ84">
        <v>-9.7825318574905392E-3</v>
      </c>
      <c r="DA84">
        <v>116.91777311199392</v>
      </c>
      <c r="DB84" t="s">
        <v>4041</v>
      </c>
      <c r="DC84">
        <v>-9.2934052646160125E-3</v>
      </c>
      <c r="DD84">
        <v>58.458886555996962</v>
      </c>
      <c r="DE84" t="s">
        <v>4042</v>
      </c>
      <c r="DF84">
        <v>-8.6086280345916751E-3</v>
      </c>
      <c r="DG84">
        <v>35.075331933598179</v>
      </c>
      <c r="DH84" t="s">
        <v>4043</v>
      </c>
      <c r="DI84">
        <v>-7.8260254859924324E-3</v>
      </c>
      <c r="DJ84">
        <v>17.537665966799089</v>
      </c>
      <c r="DK84" t="s">
        <v>4044</v>
      </c>
      <c r="DL84">
        <v>-6.8477723002433773E-3</v>
      </c>
      <c r="DM84">
        <v>6620300</v>
      </c>
      <c r="DN84">
        <v>-9.7825318574905392E-3</v>
      </c>
      <c r="DO84">
        <v>2322092200</v>
      </c>
      <c r="DP84">
        <v>2204763300</v>
      </c>
      <c r="DQ84" s="9">
        <v>2662</v>
      </c>
      <c r="DR84">
        <v>1.2757399786660011</v>
      </c>
      <c r="DS84">
        <v>-3.2586716018865771</v>
      </c>
      <c r="DT84">
        <v>-0.34</v>
      </c>
      <c r="DU84">
        <v>0.73833333333333329</v>
      </c>
      <c r="DV84">
        <v>0.39833333333333326</v>
      </c>
      <c r="DW84">
        <v>-2.1291000000000002</v>
      </c>
      <c r="DX84">
        <v>0.45900052981446166</v>
      </c>
      <c r="DY84">
        <v>-2.0192359683990468</v>
      </c>
      <c r="DZ84">
        <v>2064</v>
      </c>
      <c r="EA84">
        <v>-2.0114662934918779</v>
      </c>
      <c r="EB84" s="10">
        <v>2</v>
      </c>
      <c r="EC84" s="10">
        <v>2.8544514743249365E-2</v>
      </c>
      <c r="ED84">
        <v>0.19157324325486466</v>
      </c>
      <c r="EE84">
        <v>-5.0915999999999997</v>
      </c>
      <c r="EF84">
        <v>-5.0590000000000002</v>
      </c>
      <c r="EG84">
        <v>31.149000529814462</v>
      </c>
      <c r="EH84" s="11" t="s">
        <v>2309</v>
      </c>
      <c r="EI84" s="12">
        <v>0</v>
      </c>
      <c r="EJ84" s="12">
        <v>0</v>
      </c>
      <c r="EK84" s="12">
        <v>45470</v>
      </c>
      <c r="EL84" s="12">
        <v>0.85</v>
      </c>
      <c r="EM84" s="12">
        <v>-5.24</v>
      </c>
      <c r="EN84" s="12">
        <v>-0.42</v>
      </c>
      <c r="EO84" s="12">
        <v>4.93</v>
      </c>
      <c r="EP84" s="12">
        <v>-3.26</v>
      </c>
    </row>
    <row r="85" spans="1:146" ht="156" x14ac:dyDescent="0.25">
      <c r="A85" s="6"/>
      <c r="B85" s="6" t="s">
        <v>1471</v>
      </c>
      <c r="C85" s="6" t="str">
        <f>"公司主要从事医药中间体、原料药以及保健品原料的研发、生产与销售，主要产品包括硫辛酸系列、磷脂酰胆碱系列、肌肽系列等三大系列产品。"&amp;CHAR(10)&amp;Basic_Fundamental_Information_Constructure(F85)&amp;CHAR(10)&amp;Basic_Fundamental_Information_Concatenate("硫辛酸系列产品 2.16亿 79.15% 87.78% 50.26%
肌肽系列产品 2869.71万 10.54% 6.59% 28.36%
磷脂酰胆碱系列产品 1482.92万 5.44% 2.50% 20.83%")</f>
        <v>公司主要从事医药中间体、原料药以及保健品原料的研发、生产与销售，主要产品包括硫辛酸系列、磷脂酰胆碱系列、肌肽系列等三大系列产品。
市值22.926667亿, 利润-2755.18万; PE34.55; 平均PE21.17; 平均PEG4.35, PB1.18; ROIC11.7867%; ROE11.5033%; 股利率2.4011%; 毛利41.31%; 净利25.7233%; 上一年度营收增-68.66%, 利润增-115.57%; 当季营收增58.37%, 利润增-45.47%; 过往5年营收增-4.87%, 利润增-5.97%
Income profile:
硫辛酸系列产品 2.16亿 79.15% 87.78% 50.26%
肌肽系列产品 2869.71万 10.54% 6.59% 28.36%
磷脂酰胆碱系列产品 1482.92万 5.44% 2.50% 20.83%</v>
      </c>
      <c r="D85" t="s">
        <v>1277</v>
      </c>
      <c r="E85" t="s">
        <v>1278</v>
      </c>
      <c r="F85">
        <v>25.01</v>
      </c>
      <c r="G85">
        <v>3.48</v>
      </c>
      <c r="H85" t="s">
        <v>4045</v>
      </c>
      <c r="I85">
        <v>2292666700</v>
      </c>
      <c r="J85">
        <v>34.549999999999997</v>
      </c>
      <c r="K85">
        <v>1.18</v>
      </c>
      <c r="L85" t="s">
        <v>100</v>
      </c>
      <c r="M85" t="s">
        <v>241</v>
      </c>
      <c r="N85" t="s">
        <v>4046</v>
      </c>
      <c r="O85" t="s">
        <v>2617</v>
      </c>
      <c r="P85">
        <v>-38.47</v>
      </c>
      <c r="Q85" t="s">
        <v>746</v>
      </c>
      <c r="R85">
        <v>5786807</v>
      </c>
      <c r="S85" s="5">
        <v>-0.88790000000000002</v>
      </c>
      <c r="T85" t="s">
        <v>4047</v>
      </c>
      <c r="U85">
        <v>33845750</v>
      </c>
      <c r="V85">
        <v>91670000</v>
      </c>
      <c r="W85">
        <v>1.08</v>
      </c>
      <c r="X85">
        <v>0.05</v>
      </c>
      <c r="Y85">
        <v>6.01</v>
      </c>
      <c r="Z85" t="s">
        <v>4048</v>
      </c>
      <c r="AA85" t="s">
        <v>4049</v>
      </c>
      <c r="AB85" t="s">
        <v>4050</v>
      </c>
      <c r="AC85" t="s">
        <v>4051</v>
      </c>
      <c r="AD85" t="s">
        <v>81</v>
      </c>
      <c r="AE85">
        <v>-2902976</v>
      </c>
      <c r="AF85" t="s">
        <v>2618</v>
      </c>
      <c r="AG85">
        <v>2320</v>
      </c>
      <c r="AH85" t="s">
        <v>2619</v>
      </c>
      <c r="AI85" t="s">
        <v>1918</v>
      </c>
      <c r="AJ85" t="s">
        <v>2620</v>
      </c>
      <c r="AK85" t="s">
        <v>81</v>
      </c>
      <c r="AL85" t="s">
        <v>2621</v>
      </c>
      <c r="AM85" t="s">
        <v>81</v>
      </c>
      <c r="AN85" t="s">
        <v>4052</v>
      </c>
      <c r="AO85" t="s">
        <v>81</v>
      </c>
      <c r="AP85" t="s">
        <v>4053</v>
      </c>
      <c r="AQ85" t="s">
        <v>4054</v>
      </c>
      <c r="AR85" t="s">
        <v>81</v>
      </c>
      <c r="AS85" t="s">
        <v>4055</v>
      </c>
      <c r="AT85" t="s">
        <v>81</v>
      </c>
      <c r="AU85" t="s">
        <v>4056</v>
      </c>
      <c r="AV85" t="s">
        <v>4057</v>
      </c>
      <c r="AW85" t="s">
        <v>4058</v>
      </c>
      <c r="AX85" t="s">
        <v>870</v>
      </c>
      <c r="AY85" t="s">
        <v>347</v>
      </c>
      <c r="AZ85" t="s">
        <v>937</v>
      </c>
      <c r="BA85" t="s">
        <v>461</v>
      </c>
      <c r="BB85" t="s">
        <v>353</v>
      </c>
      <c r="BC85" t="s">
        <v>343</v>
      </c>
      <c r="BD85" t="s">
        <v>298</v>
      </c>
      <c r="BE85" t="s">
        <v>386</v>
      </c>
      <c r="BF85" t="s">
        <v>372</v>
      </c>
      <c r="BG85" t="s">
        <v>1279</v>
      </c>
      <c r="BH85" t="s">
        <v>1069</v>
      </c>
      <c r="BI85" t="s">
        <v>4059</v>
      </c>
      <c r="BJ85" t="s">
        <v>870</v>
      </c>
      <c r="BK85" t="s">
        <v>274</v>
      </c>
      <c r="BL85" t="s">
        <v>4060</v>
      </c>
      <c r="BM85" t="s">
        <v>343</v>
      </c>
      <c r="BN85">
        <v>5.23</v>
      </c>
      <c r="BO85">
        <v>12.95</v>
      </c>
      <c r="BP85">
        <v>17.18</v>
      </c>
      <c r="BQ85">
        <v>5.57</v>
      </c>
      <c r="BR85">
        <v>11.33</v>
      </c>
      <c r="BS85">
        <v>17.61</v>
      </c>
      <c r="BT85" t="s">
        <v>4061</v>
      </c>
      <c r="BU85" t="s">
        <v>1353</v>
      </c>
      <c r="BV85">
        <v>38.4</v>
      </c>
      <c r="BW85">
        <v>45.24</v>
      </c>
      <c r="BX85">
        <v>40.29</v>
      </c>
      <c r="BY85">
        <v>22.93</v>
      </c>
      <c r="BZ85">
        <v>31.2</v>
      </c>
      <c r="CA85">
        <v>23.04</v>
      </c>
      <c r="CB85">
        <v>0.6</v>
      </c>
      <c r="CC85">
        <v>-18.27</v>
      </c>
      <c r="CD85" t="s">
        <v>4062</v>
      </c>
      <c r="CE85" t="s">
        <v>94</v>
      </c>
      <c r="CF85" s="7">
        <v>0.58372806757850249</v>
      </c>
      <c r="CG85" s="8">
        <v>-0.45465616842422713</v>
      </c>
      <c r="CH85" s="7">
        <v>-0.68661969900131226</v>
      </c>
      <c r="CI85" s="7">
        <v>8.812260627746582E-2</v>
      </c>
      <c r="CJ85" s="7">
        <v>9.4339624047279358E-2</v>
      </c>
      <c r="CK85" s="7">
        <v>5.5309735238552094E-2</v>
      </c>
      <c r="CL85" s="7">
        <v>0.20533333718776703</v>
      </c>
      <c r="CM85" s="8">
        <v>-1.1556599140167236</v>
      </c>
      <c r="CN85" s="8">
        <v>0.47499999403953552</v>
      </c>
      <c r="CO85" s="8">
        <v>-0.14893616735935211</v>
      </c>
      <c r="CP85" s="8">
        <v>-3.4246575087308884E-2</v>
      </c>
      <c r="CQ85" s="8">
        <v>0.56537318229675293</v>
      </c>
      <c r="CR85">
        <v>21.172305098514475</v>
      </c>
      <c r="CS85">
        <v>4.3472388952225893</v>
      </c>
      <c r="CT85">
        <v>2.4011203518592561</v>
      </c>
      <c r="CU85" s="7">
        <v>-4.870287925004959E-2</v>
      </c>
      <c r="CV85" s="8">
        <v>-5.9693896025419232E-2</v>
      </c>
      <c r="CW85">
        <v>0.06</v>
      </c>
      <c r="CX85" t="e">
        <v>#VALUE!</v>
      </c>
      <c r="CY85" t="s">
        <v>1362</v>
      </c>
      <c r="CZ85">
        <v>-4.870287925004959E-2</v>
      </c>
      <c r="DA85" t="e">
        <v>#VALUE!</v>
      </c>
      <c r="DB85" t="s">
        <v>1362</v>
      </c>
      <c r="DC85">
        <v>-4.6267735287547108E-2</v>
      </c>
      <c r="DD85" t="e">
        <v>#VALUE!</v>
      </c>
      <c r="DE85" t="s">
        <v>1362</v>
      </c>
      <c r="DF85">
        <v>-4.2858533740043642E-2</v>
      </c>
      <c r="DG85" t="e">
        <v>#VALUE!</v>
      </c>
      <c r="DH85" t="s">
        <v>1362</v>
      </c>
      <c r="DI85">
        <v>-3.8962303400039672E-2</v>
      </c>
      <c r="DJ85" t="e">
        <v>#VALUE!</v>
      </c>
      <c r="DK85" t="s">
        <v>1362</v>
      </c>
      <c r="DL85">
        <v>-3.4092015475034709E-2</v>
      </c>
      <c r="DM85">
        <v>-27551800</v>
      </c>
      <c r="DN85">
        <v>-4.870287925004959E-2</v>
      </c>
      <c r="DO85">
        <v>511666699.99999976</v>
      </c>
      <c r="DP85">
        <v>1533800000</v>
      </c>
      <c r="DQ85">
        <v>2669</v>
      </c>
      <c r="DR85">
        <v>0.63243094682855205</v>
      </c>
      <c r="DS85">
        <v>-0.39496227239880788</v>
      </c>
      <c r="DT85" s="9">
        <v>-0.67333333333333334</v>
      </c>
      <c r="DU85">
        <v>-0.72000000000000008</v>
      </c>
      <c r="DV85">
        <v>-1.3933333333333335</v>
      </c>
      <c r="DW85">
        <v>-3.0256726190476191</v>
      </c>
      <c r="DX85">
        <v>0.31854607843137189</v>
      </c>
      <c r="DY85">
        <v>-3.0030433883111578</v>
      </c>
      <c r="DZ85">
        <v>237</v>
      </c>
      <c r="EA85">
        <v>-3.0029022370333212</v>
      </c>
      <c r="EB85">
        <v>3</v>
      </c>
      <c r="EC85">
        <v>0.13190465801243592</v>
      </c>
      <c r="ED85">
        <v>1.1126868113886768</v>
      </c>
      <c r="EE85" s="10">
        <v>-2.0335000000000001</v>
      </c>
      <c r="EF85">
        <v>-2.0070000000000001</v>
      </c>
      <c r="EG85">
        <v>20.118546078431372</v>
      </c>
      <c r="EH85" t="s">
        <v>1370</v>
      </c>
      <c r="EI85">
        <v>0</v>
      </c>
      <c r="EJ85">
        <v>1</v>
      </c>
      <c r="EK85" s="11">
        <v>45470</v>
      </c>
      <c r="EL85" s="12">
        <v>1.4</v>
      </c>
      <c r="EM85" s="12">
        <v>-6.86</v>
      </c>
      <c r="EN85" s="12">
        <v>-0.51</v>
      </c>
      <c r="EO85" s="12">
        <v>5.4</v>
      </c>
      <c r="EP85" s="12">
        <v>-2.65</v>
      </c>
    </row>
    <row r="86" spans="1:146" ht="108" x14ac:dyDescent="0.25">
      <c r="A86" s="6"/>
      <c r="B86" s="6"/>
      <c r="C86" s="6" t="str">
        <f>""&amp;CHAR(10)&amp;Basic_Fundamental_Information_Constructure(F86)&amp;CHAR(10)&amp;Basic_Fundamental_Information_Concatenate("")</f>
        <v xml:space="preserve">
市值53.059538亿, 利润8862.82万; PE34.53; 平均PE47.24; 平均PEG5.29, PB2.89; ROIC11.8733%; ROE12.4967%; 股利率2.4058%; 毛利56.31%; 净利20.2767%; 上一年度营收增-6.77%, 利润增-49.36%; 当季营收增18.12%, 利润增62.63%; 过往5年营收增8.93%, 利润增27.6%
Income profile:
</v>
      </c>
      <c r="D86" t="s">
        <v>1280</v>
      </c>
      <c r="E86" t="s">
        <v>1281</v>
      </c>
      <c r="F86">
        <v>12.47</v>
      </c>
      <c r="G86">
        <v>2.63</v>
      </c>
      <c r="H86" t="s">
        <v>4063</v>
      </c>
      <c r="I86">
        <v>5305953800</v>
      </c>
      <c r="J86">
        <v>34.53</v>
      </c>
      <c r="K86">
        <v>2.89</v>
      </c>
      <c r="L86" t="s">
        <v>100</v>
      </c>
      <c r="M86" t="s">
        <v>310</v>
      </c>
      <c r="N86" t="s">
        <v>906</v>
      </c>
      <c r="O86" t="s">
        <v>412</v>
      </c>
      <c r="P86">
        <v>-2.41</v>
      </c>
      <c r="Q86" t="s">
        <v>4064</v>
      </c>
      <c r="R86">
        <v>45467803</v>
      </c>
      <c r="S86" s="5">
        <v>-0.12540000000000001</v>
      </c>
      <c r="T86" t="s">
        <v>4065</v>
      </c>
      <c r="U86">
        <v>267691930</v>
      </c>
      <c r="V86">
        <v>425497500</v>
      </c>
      <c r="W86">
        <v>1.22</v>
      </c>
      <c r="X86">
        <v>0.08</v>
      </c>
      <c r="Y86">
        <v>22.44</v>
      </c>
      <c r="Z86" t="s">
        <v>93</v>
      </c>
      <c r="AA86" t="s">
        <v>4066</v>
      </c>
      <c r="AB86" t="s">
        <v>4067</v>
      </c>
      <c r="AC86" t="s">
        <v>4068</v>
      </c>
      <c r="AD86" t="s">
        <v>81</v>
      </c>
      <c r="AE86">
        <v>1591264</v>
      </c>
      <c r="AF86" t="s">
        <v>2623</v>
      </c>
      <c r="AG86">
        <v>969.33</v>
      </c>
      <c r="AH86" t="s">
        <v>2624</v>
      </c>
      <c r="AI86" t="s">
        <v>1548</v>
      </c>
      <c r="AJ86" t="s">
        <v>2625</v>
      </c>
      <c r="AK86" t="s">
        <v>81</v>
      </c>
      <c r="AL86" t="s">
        <v>2626</v>
      </c>
      <c r="AM86" t="s">
        <v>81</v>
      </c>
      <c r="AN86" t="s">
        <v>478</v>
      </c>
      <c r="AO86" t="s">
        <v>4069</v>
      </c>
      <c r="AP86" t="s">
        <v>81</v>
      </c>
      <c r="AQ86" t="s">
        <v>349</v>
      </c>
      <c r="AR86">
        <v>6372.28</v>
      </c>
      <c r="AS86" t="s">
        <v>468</v>
      </c>
      <c r="AT86" t="s">
        <v>4070</v>
      </c>
      <c r="AU86" t="s">
        <v>4071</v>
      </c>
      <c r="AV86" t="s">
        <v>4072</v>
      </c>
      <c r="AW86" t="s">
        <v>4073</v>
      </c>
      <c r="AX86" t="s">
        <v>1720</v>
      </c>
      <c r="AY86" t="s">
        <v>448</v>
      </c>
      <c r="AZ86" t="s">
        <v>689</v>
      </c>
      <c r="BA86" t="s">
        <v>492</v>
      </c>
      <c r="BB86" t="s">
        <v>497</v>
      </c>
      <c r="BC86" t="s">
        <v>467</v>
      </c>
      <c r="BD86" t="s">
        <v>298</v>
      </c>
      <c r="BE86" t="s">
        <v>825</v>
      </c>
      <c r="BF86" t="s">
        <v>1282</v>
      </c>
      <c r="BG86" t="s">
        <v>1283</v>
      </c>
      <c r="BH86" t="s">
        <v>1988</v>
      </c>
      <c r="BI86" t="s">
        <v>613</v>
      </c>
      <c r="BJ86" t="s">
        <v>1720</v>
      </c>
      <c r="BK86" t="s">
        <v>613</v>
      </c>
      <c r="BL86" t="s">
        <v>4074</v>
      </c>
      <c r="BM86" t="s">
        <v>467</v>
      </c>
      <c r="BN86">
        <v>7</v>
      </c>
      <c r="BO86">
        <v>12.51</v>
      </c>
      <c r="BP86">
        <v>16.11</v>
      </c>
      <c r="BQ86">
        <v>7.66</v>
      </c>
      <c r="BR86">
        <v>11.35</v>
      </c>
      <c r="BS86">
        <v>18.48</v>
      </c>
      <c r="BT86" t="s">
        <v>1532</v>
      </c>
      <c r="BU86" t="s">
        <v>1354</v>
      </c>
      <c r="BV86">
        <v>60.6</v>
      </c>
      <c r="BW86">
        <v>58.21</v>
      </c>
      <c r="BX86">
        <v>50.12</v>
      </c>
      <c r="BY86">
        <v>20.18</v>
      </c>
      <c r="BZ86">
        <v>22.29</v>
      </c>
      <c r="CA86">
        <v>18.36</v>
      </c>
      <c r="CB86">
        <v>-0.48</v>
      </c>
      <c r="CC86">
        <v>-11.69</v>
      </c>
      <c r="CD86" t="s">
        <v>4075</v>
      </c>
      <c r="CE86" t="s">
        <v>4076</v>
      </c>
      <c r="CF86" s="7">
        <v>0.18124999999999999</v>
      </c>
      <c r="CG86" s="8">
        <v>0.62633607800495061</v>
      </c>
      <c r="CH86" s="7">
        <v>-6.768837571144104E-2</v>
      </c>
      <c r="CI86" s="7">
        <v>0.197247713804245</v>
      </c>
      <c r="CJ86" s="7">
        <v>-7.7574044466018677E-2</v>
      </c>
      <c r="CK86" s="7">
        <v>0.42943549156188965</v>
      </c>
      <c r="CL86" s="7">
        <v>-3.501945361495018E-2</v>
      </c>
      <c r="CM86" s="8">
        <v>-0.49355313181877136</v>
      </c>
      <c r="CN86" s="8">
        <v>0.4583333432674408</v>
      </c>
      <c r="CO86" s="8">
        <v>-0.25465837121009827</v>
      </c>
      <c r="CP86" s="8">
        <v>1.9323804378509521</v>
      </c>
      <c r="CQ86" s="8">
        <v>-0.26245668530464172</v>
      </c>
      <c r="CR86">
        <v>47.235804208587147</v>
      </c>
      <c r="CS86">
        <v>5.2907328974651575</v>
      </c>
      <c r="CT86">
        <v>2.4057738572574179</v>
      </c>
      <c r="CU86" s="7">
        <v>8.9280266314744949E-2</v>
      </c>
      <c r="CV86" s="8">
        <v>0.2760091185569763</v>
      </c>
      <c r="CW86">
        <v>0.06</v>
      </c>
      <c r="CX86">
        <v>42.096033419077273</v>
      </c>
      <c r="CY86">
        <v>91076367.263204217</v>
      </c>
      <c r="CZ86">
        <v>8.9280266314744949E-2</v>
      </c>
      <c r="DA86">
        <v>13.764978318882774</v>
      </c>
      <c r="DB86">
        <v>278529592.35980695</v>
      </c>
      <c r="DC86">
        <v>8.4816252999007705E-2</v>
      </c>
      <c r="DD86">
        <v>6.7817042647823218</v>
      </c>
      <c r="DE86">
        <v>565337804.52649415</v>
      </c>
      <c r="DF86">
        <v>7.8566634356975557E-2</v>
      </c>
      <c r="DG86">
        <v>4.0762737734707439</v>
      </c>
      <c r="DH86">
        <v>940553557.74977279</v>
      </c>
      <c r="DI86">
        <v>7.1424213051795957E-2</v>
      </c>
      <c r="DJ86">
        <v>2.109983707742483</v>
      </c>
      <c r="DK86">
        <v>1817053745.9277492</v>
      </c>
      <c r="DL86">
        <v>6.249618642032146E-2</v>
      </c>
      <c r="DM86">
        <v>88628200</v>
      </c>
      <c r="DN86">
        <v>8.9280266314744949E-2</v>
      </c>
      <c r="DO86">
        <v>3833953800</v>
      </c>
      <c r="DP86">
        <v>941745370</v>
      </c>
      <c r="DQ86">
        <v>2674</v>
      </c>
      <c r="DR86">
        <v>9.1969733685255045E-2</v>
      </c>
      <c r="DS86">
        <v>0.35032695944797432</v>
      </c>
      <c r="DT86" s="9">
        <v>-0.17333333333333334</v>
      </c>
      <c r="DU86">
        <v>0.40499999999999997</v>
      </c>
      <c r="DV86">
        <v>0.23166666666666663</v>
      </c>
      <c r="DW86">
        <v>-2.1168999999999998</v>
      </c>
      <c r="DX86">
        <v>0.50359295514886526</v>
      </c>
      <c r="DY86">
        <v>-2.0144480164569019</v>
      </c>
      <c r="DZ86">
        <v>2300</v>
      </c>
      <c r="EA86">
        <v>-2.0079449953510555</v>
      </c>
      <c r="EB86">
        <v>2</v>
      </c>
      <c r="EC86">
        <v>1.4331929094765541E-2</v>
      </c>
      <c r="ED86">
        <v>0.11596072832390319</v>
      </c>
      <c r="EE86" s="10">
        <v>5.0545</v>
      </c>
      <c r="EF86">
        <v>5.0374999999999996</v>
      </c>
      <c r="EG86">
        <v>38.123592955148865</v>
      </c>
      <c r="EH86" t="s">
        <v>3020</v>
      </c>
      <c r="EI86">
        <v>0</v>
      </c>
      <c r="EJ86">
        <v>0</v>
      </c>
      <c r="EK86" s="11">
        <v>45470</v>
      </c>
      <c r="EL86" s="12">
        <v>-0.09</v>
      </c>
      <c r="EM86" s="12">
        <v>-4.91</v>
      </c>
      <c r="EN86" s="12">
        <v>-0.5</v>
      </c>
      <c r="EO86" s="12">
        <v>8.36</v>
      </c>
      <c r="EP86" s="12">
        <v>-1.7</v>
      </c>
    </row>
    <row r="87" spans="1:146" ht="108" x14ac:dyDescent="0.25">
      <c r="C87" s="6" t="str">
        <f>""&amp;CHAR(10)&amp;Basic_Fundamental_Information_Constructure(F87)&amp;CHAR(10)&amp;Basic_Fundamental_Information_Concatenate("")</f>
        <v xml:space="preserve">
市值36.127224亿, 利润1.94亿; PE21.48; 平均PE31.12; 平均PEG.82, PB2.4; ROIC16.4367%; ROE22.1533%; 股利率3.1008%; 毛利38.51%; 净利22.49%; 上一年度营收增104.94%, 利润增46.97%; 当季营收增-39.14%, 利润增45.29%; 过往5年营收增38%, 利润增69.74%
Income profile:
</v>
      </c>
      <c r="D87" t="s">
        <v>1485</v>
      </c>
      <c r="E87" t="s">
        <v>1486</v>
      </c>
      <c r="F87">
        <v>12.9</v>
      </c>
      <c r="G87">
        <v>2.87</v>
      </c>
      <c r="H87" t="s">
        <v>4077</v>
      </c>
      <c r="I87">
        <v>3612722400</v>
      </c>
      <c r="J87">
        <v>21.48</v>
      </c>
      <c r="K87">
        <v>2.4</v>
      </c>
      <c r="L87" t="s">
        <v>100</v>
      </c>
      <c r="M87" t="s">
        <v>613</v>
      </c>
      <c r="N87" t="s">
        <v>4078</v>
      </c>
      <c r="O87" t="s">
        <v>696</v>
      </c>
      <c r="P87" s="5">
        <v>6.98</v>
      </c>
      <c r="Q87" t="s">
        <v>4079</v>
      </c>
      <c r="R87">
        <v>55918070</v>
      </c>
      <c r="S87">
        <v>0.19689999999999999</v>
      </c>
      <c r="T87" t="s">
        <v>404</v>
      </c>
      <c r="U87">
        <v>70056000</v>
      </c>
      <c r="V87">
        <v>280056000</v>
      </c>
      <c r="W87">
        <v>1.1499999999999999</v>
      </c>
      <c r="X87">
        <v>0.11</v>
      </c>
      <c r="Y87">
        <v>30.01</v>
      </c>
      <c r="Z87" t="s">
        <v>271</v>
      </c>
      <c r="AA87" t="s">
        <v>364</v>
      </c>
      <c r="AB87" t="s">
        <v>4080</v>
      </c>
      <c r="AC87" t="s">
        <v>4081</v>
      </c>
      <c r="AD87" t="s">
        <v>81</v>
      </c>
      <c r="AE87">
        <v>-1146460</v>
      </c>
      <c r="AF87" t="s">
        <v>2630</v>
      </c>
      <c r="AG87">
        <v>1700.48</v>
      </c>
      <c r="AH87" t="s">
        <v>2632</v>
      </c>
      <c r="AI87" t="s">
        <v>226</v>
      </c>
      <c r="AJ87" t="s">
        <v>2633</v>
      </c>
      <c r="AK87" t="s">
        <v>595</v>
      </c>
      <c r="AL87" t="s">
        <v>2634</v>
      </c>
      <c r="AM87" t="s">
        <v>81</v>
      </c>
      <c r="AN87" t="s">
        <v>268</v>
      </c>
      <c r="AO87" t="s">
        <v>81</v>
      </c>
      <c r="AP87" t="s">
        <v>81</v>
      </c>
      <c r="AQ87" t="s">
        <v>259</v>
      </c>
      <c r="AR87" t="s">
        <v>81</v>
      </c>
      <c r="AS87" t="s">
        <v>467</v>
      </c>
      <c r="AT87" t="s">
        <v>81</v>
      </c>
      <c r="AU87" t="s">
        <v>4082</v>
      </c>
      <c r="AV87" t="s">
        <v>4083</v>
      </c>
      <c r="AW87" t="s">
        <v>4084</v>
      </c>
      <c r="AX87" t="s">
        <v>1721</v>
      </c>
      <c r="AY87" t="s">
        <v>497</v>
      </c>
      <c r="AZ87" t="s">
        <v>1409</v>
      </c>
      <c r="BA87" t="s">
        <v>876</v>
      </c>
      <c r="BB87" t="s">
        <v>398</v>
      </c>
      <c r="BC87" t="s">
        <v>377</v>
      </c>
      <c r="BD87" t="s">
        <v>291</v>
      </c>
      <c r="BE87" t="s">
        <v>365</v>
      </c>
      <c r="BF87" t="s">
        <v>335</v>
      </c>
      <c r="BG87" t="s">
        <v>1487</v>
      </c>
      <c r="BH87" t="s">
        <v>2628</v>
      </c>
      <c r="BI87" t="s">
        <v>1173</v>
      </c>
      <c r="BJ87" t="s">
        <v>1721</v>
      </c>
      <c r="BK87" t="s">
        <v>773</v>
      </c>
      <c r="BL87" t="s">
        <v>4085</v>
      </c>
      <c r="BM87" t="s">
        <v>377</v>
      </c>
      <c r="BN87">
        <v>9.66</v>
      </c>
      <c r="BO87">
        <v>14.46</v>
      </c>
      <c r="BP87">
        <v>25.19</v>
      </c>
      <c r="BQ87">
        <v>9.81</v>
      </c>
      <c r="BR87">
        <v>24.53</v>
      </c>
      <c r="BS87">
        <v>32.119999999999997</v>
      </c>
      <c r="BT87" t="s">
        <v>1729</v>
      </c>
      <c r="BU87" t="s">
        <v>1353</v>
      </c>
      <c r="BV87">
        <v>39.840000000000003</v>
      </c>
      <c r="BW87">
        <v>35.6</v>
      </c>
      <c r="BX87">
        <v>40.090000000000003</v>
      </c>
      <c r="BY87">
        <v>24.13</v>
      </c>
      <c r="BZ87">
        <v>20.99</v>
      </c>
      <c r="CA87">
        <v>22.35</v>
      </c>
      <c r="CB87">
        <v>-0.62</v>
      </c>
      <c r="CC87" s="7">
        <v>-15.47</v>
      </c>
      <c r="CD87" s="8" t="s">
        <v>4086</v>
      </c>
      <c r="CE87" s="7" t="s">
        <v>373</v>
      </c>
      <c r="CF87" s="7">
        <v>-0.39144736842105265</v>
      </c>
      <c r="CG87" s="7">
        <v>0.45293442081987617</v>
      </c>
      <c r="CH87" s="7">
        <v>1.0494416952133179</v>
      </c>
      <c r="CI87" s="7">
        <v>0.21984435617923737</v>
      </c>
      <c r="CJ87" s="8">
        <v>0.18706697225570679</v>
      </c>
      <c r="CK87" s="8">
        <v>6.3882060348987579E-2</v>
      </c>
      <c r="CL87" s="8">
        <v>0.37966102361679077</v>
      </c>
      <c r="CM87" s="8">
        <v>0.46969696879386902</v>
      </c>
      <c r="CN87" s="8">
        <v>0.14782609045505524</v>
      </c>
      <c r="CO87">
        <v>-2.5423727929592133E-2</v>
      </c>
      <c r="CP87">
        <v>8.2568809390068054E-2</v>
      </c>
      <c r="CQ87">
        <v>2.8121485710144043</v>
      </c>
      <c r="CR87" s="7">
        <v>31.117654962841993</v>
      </c>
      <c r="CS87" s="8">
        <v>0.81893043619950068</v>
      </c>
      <c r="CT87">
        <v>3.1007751937984493</v>
      </c>
      <c r="CU87">
        <v>0.37997922152280805</v>
      </c>
      <c r="CV87">
        <v>0.69736334234476094</v>
      </c>
      <c r="CW87">
        <v>0.06</v>
      </c>
      <c r="CX87">
        <v>8.974906327760225</v>
      </c>
      <c r="CY87">
        <v>252562234.88247621</v>
      </c>
      <c r="CZ87">
        <v>0.37997922152280805</v>
      </c>
      <c r="DA87">
        <v>2.3141254199823065</v>
      </c>
      <c r="DB87">
        <v>979515794.79098892</v>
      </c>
      <c r="DC87">
        <v>0.36098026044666764</v>
      </c>
      <c r="DD87">
        <v>0.80631710394637013</v>
      </c>
      <c r="DE87">
        <v>2811204659.9358315</v>
      </c>
      <c r="DF87">
        <v>0.33438171494007107</v>
      </c>
      <c r="DG87">
        <v>0.31514235850155953</v>
      </c>
      <c r="DH87">
        <v>7192693520.4071674</v>
      </c>
      <c r="DI87">
        <v>0.30398337721824648</v>
      </c>
      <c r="DJ87">
        <v>5.6128576777796063E-2</v>
      </c>
      <c r="DK87">
        <v>40384462427.643349</v>
      </c>
      <c r="DL87">
        <v>0.2659854550659656</v>
      </c>
      <c r="DM87">
        <v>194000000</v>
      </c>
      <c r="DN87">
        <v>0.37997922152280805</v>
      </c>
      <c r="DO87">
        <v>2266722400</v>
      </c>
      <c r="DP87">
        <v>1067798050</v>
      </c>
      <c r="DQ87" s="9">
        <v>2684</v>
      </c>
      <c r="DR87">
        <v>-0.77142658994386071</v>
      </c>
      <c r="DS87">
        <v>-0.24442892152488477</v>
      </c>
      <c r="DT87">
        <v>0.27666666666666662</v>
      </c>
      <c r="DU87">
        <v>0.90333333333333332</v>
      </c>
      <c r="DV87">
        <v>1.18</v>
      </c>
      <c r="DW87">
        <v>-2.1547000000000001</v>
      </c>
      <c r="DX87">
        <v>0.38010245398773068</v>
      </c>
      <c r="DY87">
        <v>-2.0154858496319017</v>
      </c>
      <c r="DZ87">
        <v>1318</v>
      </c>
      <c r="EA87">
        <v>-2.0114916520164718</v>
      </c>
      <c r="EB87" s="10">
        <v>2</v>
      </c>
      <c r="EC87">
        <v>5.8262276116205332E-2</v>
      </c>
      <c r="ED87">
        <v>0.58202645185248669</v>
      </c>
      <c r="EE87">
        <v>1.0869</v>
      </c>
      <c r="EF87">
        <v>1.0773999999999999</v>
      </c>
      <c r="EG87">
        <v>28.100102453987731</v>
      </c>
      <c r="EH87" s="11" t="s">
        <v>1364</v>
      </c>
      <c r="EI87" s="12">
        <v>0</v>
      </c>
      <c r="EJ87" s="12">
        <v>1</v>
      </c>
      <c r="EK87" s="12">
        <v>45470</v>
      </c>
      <c r="EL87" s="12">
        <v>0.47</v>
      </c>
      <c r="EM87" s="12">
        <v>-3.78</v>
      </c>
      <c r="EN87" s="12">
        <v>2.36</v>
      </c>
      <c r="EO87" s="12">
        <v>1.25</v>
      </c>
      <c r="EP87" s="12">
        <v>-0.95</v>
      </c>
    </row>
    <row r="88" spans="1:146" ht="108" x14ac:dyDescent="0.25">
      <c r="C88" s="6" t="str">
        <f>""&amp;CHAR(10)&amp;Basic_Fundamental_Information_Constructure(F88)&amp;CHAR(10)&amp;Basic_Fundamental_Information_Concatenate("")</f>
        <v xml:space="preserve">
市值23.791313亿, 利润4240.95万; PE35.79; 平均PE43.18; 平均PEG.85, PB1.76; ROIC15.29%; ROE12.77%; 股利率1.3655%; 毛利43.43%; 净利18.7967%; 上一年度营收增200.45%, 利润增-53.54%; 当季营收增-53.65%, 利润增17.19%; 过往5年营收增50.63%, 利润增31.25%
Income profile:
</v>
      </c>
      <c r="D88" t="s">
        <v>1722</v>
      </c>
      <c r="E88" t="s">
        <v>1723</v>
      </c>
      <c r="F88">
        <v>21.97</v>
      </c>
      <c r="G88">
        <v>4.32</v>
      </c>
      <c r="H88" t="s">
        <v>4087</v>
      </c>
      <c r="I88">
        <v>2379131300</v>
      </c>
      <c r="J88">
        <v>35.79</v>
      </c>
      <c r="K88">
        <v>1.76</v>
      </c>
      <c r="L88" t="s">
        <v>100</v>
      </c>
      <c r="M88" t="s">
        <v>229</v>
      </c>
      <c r="N88" t="s">
        <v>4088</v>
      </c>
      <c r="O88" t="s">
        <v>372</v>
      </c>
      <c r="P88" s="5">
        <v>17.75</v>
      </c>
      <c r="Q88" t="s">
        <v>1476</v>
      </c>
      <c r="R88">
        <v>21532537</v>
      </c>
      <c r="S88">
        <v>-0.32900000000000001</v>
      </c>
      <c r="T88" t="s">
        <v>4089</v>
      </c>
      <c r="U88">
        <v>62552000</v>
      </c>
      <c r="V88">
        <v>108290000</v>
      </c>
      <c r="W88">
        <v>1.1100000000000001</v>
      </c>
      <c r="X88">
        <v>0.1</v>
      </c>
      <c r="Y88">
        <v>14.71</v>
      </c>
      <c r="Z88" t="s">
        <v>317</v>
      </c>
      <c r="AA88" t="s">
        <v>4090</v>
      </c>
      <c r="AB88" t="s">
        <v>4091</v>
      </c>
      <c r="AC88" t="s">
        <v>4092</v>
      </c>
      <c r="AD88" t="s">
        <v>81</v>
      </c>
      <c r="AE88">
        <v>-930329</v>
      </c>
      <c r="AF88" t="s">
        <v>2636</v>
      </c>
      <c r="AG88" t="s">
        <v>81</v>
      </c>
      <c r="AH88" t="s">
        <v>2637</v>
      </c>
      <c r="AI88" t="s">
        <v>1700</v>
      </c>
      <c r="AJ88" t="s">
        <v>2638</v>
      </c>
      <c r="AK88" t="s">
        <v>4093</v>
      </c>
      <c r="AL88" t="s">
        <v>2639</v>
      </c>
      <c r="AM88" t="s">
        <v>81</v>
      </c>
      <c r="AN88" t="s">
        <v>4094</v>
      </c>
      <c r="AO88" t="s">
        <v>81</v>
      </c>
      <c r="AP88" t="s">
        <v>81</v>
      </c>
      <c r="AQ88" t="s">
        <v>4095</v>
      </c>
      <c r="AR88" t="s">
        <v>81</v>
      </c>
      <c r="AS88" t="s">
        <v>355</v>
      </c>
      <c r="AT88" t="s">
        <v>81</v>
      </c>
      <c r="AU88" t="s">
        <v>4096</v>
      </c>
      <c r="AV88" t="s">
        <v>289</v>
      </c>
      <c r="AW88" t="s">
        <v>4097</v>
      </c>
      <c r="AX88" t="s">
        <v>738</v>
      </c>
      <c r="AY88" t="s">
        <v>1223</v>
      </c>
      <c r="AZ88" t="s">
        <v>337</v>
      </c>
      <c r="BA88" t="s">
        <v>1211</v>
      </c>
      <c r="BB88" t="s">
        <v>1374</v>
      </c>
      <c r="BC88" t="s">
        <v>1724</v>
      </c>
      <c r="BD88" t="s">
        <v>1725</v>
      </c>
      <c r="BE88" t="s">
        <v>1726</v>
      </c>
      <c r="BF88" t="s">
        <v>1727</v>
      </c>
      <c r="BG88" t="s">
        <v>1728</v>
      </c>
      <c r="BH88" t="s">
        <v>1858</v>
      </c>
      <c r="BI88" t="s">
        <v>1123</v>
      </c>
      <c r="BJ88" t="s">
        <v>738</v>
      </c>
      <c r="BK88" t="s">
        <v>2635</v>
      </c>
      <c r="BL88" t="s">
        <v>4098</v>
      </c>
      <c r="BM88" t="s">
        <v>1724</v>
      </c>
      <c r="BN88">
        <v>6.9</v>
      </c>
      <c r="BO88">
        <v>18.670000000000002</v>
      </c>
      <c r="BP88">
        <v>20.3</v>
      </c>
      <c r="BQ88">
        <v>6.34</v>
      </c>
      <c r="BR88">
        <v>19.2</v>
      </c>
      <c r="BS88" t="s">
        <v>81</v>
      </c>
      <c r="BT88" t="s">
        <v>1532</v>
      </c>
      <c r="BU88" t="s">
        <v>1353</v>
      </c>
      <c r="BV88">
        <v>47.25</v>
      </c>
      <c r="BW88">
        <v>40.94</v>
      </c>
      <c r="BX88">
        <v>42.1</v>
      </c>
      <c r="BY88">
        <v>17.21</v>
      </c>
      <c r="BZ88">
        <v>20.61</v>
      </c>
      <c r="CA88">
        <v>18.57</v>
      </c>
      <c r="CB88">
        <v>-2.14</v>
      </c>
      <c r="CC88" s="7">
        <v>-14.51</v>
      </c>
      <c r="CD88" s="8" t="s">
        <v>4099</v>
      </c>
      <c r="CE88" s="7" t="s">
        <v>4100</v>
      </c>
      <c r="CF88" s="7">
        <v>-0.53650793650793649</v>
      </c>
      <c r="CG88" s="7">
        <v>0.17188976935050235</v>
      </c>
      <c r="CH88" s="7">
        <v>2.0045149326324463</v>
      </c>
      <c r="CI88" s="7">
        <v>5.225653201341629E-2</v>
      </c>
      <c r="CJ88" s="8">
        <v>0.14713896811008453</v>
      </c>
      <c r="CK88" s="8">
        <v>0.18006430566310883</v>
      </c>
      <c r="CL88" s="8">
        <v>0.14760147035121918</v>
      </c>
      <c r="CM88" s="8">
        <v>-0.53538298606872559</v>
      </c>
      <c r="CN88" s="8">
        <v>0.1676536500453949</v>
      </c>
      <c r="CO88">
        <v>0.13868756592273712</v>
      </c>
      <c r="CP88">
        <v>1.2773349285125732</v>
      </c>
      <c r="CQ88">
        <v>0.51434701681137085</v>
      </c>
      <c r="CR88" s="7">
        <v>43.183141897829735</v>
      </c>
      <c r="CS88" s="8">
        <v>0.85289041957789102</v>
      </c>
      <c r="CT88">
        <v>1.3654984069185254</v>
      </c>
      <c r="CU88">
        <v>0.50631524175405507</v>
      </c>
      <c r="CV88">
        <v>0.31252803504467008</v>
      </c>
      <c r="CW88">
        <v>0.06</v>
      </c>
      <c r="CX88">
        <v>19.34970261855705</v>
      </c>
      <c r="CY88">
        <v>60266109.665253393</v>
      </c>
      <c r="CZ88">
        <v>0.50631524175405507</v>
      </c>
      <c r="DA88">
        <v>4.5250225152113401</v>
      </c>
      <c r="DB88">
        <v>257707292.30184531</v>
      </c>
      <c r="DC88">
        <v>0.48099947966635231</v>
      </c>
      <c r="DD88">
        <v>1.3500247487069619</v>
      </c>
      <c r="DE88">
        <v>863785127.72962654</v>
      </c>
      <c r="DF88">
        <v>0.44555741274356847</v>
      </c>
      <c r="DG88">
        <v>0.4288983977050399</v>
      </c>
      <c r="DH88">
        <v>2718898709.437396</v>
      </c>
      <c r="DI88">
        <v>0.40505219340324405</v>
      </c>
      <c r="DJ88">
        <v>4.4749084618177448E-2</v>
      </c>
      <c r="DK88">
        <v>26059333055.637695</v>
      </c>
      <c r="DL88">
        <v>0.35442066922783855</v>
      </c>
      <c r="DM88">
        <v>42409500</v>
      </c>
      <c r="DN88">
        <v>0.50631524175405507</v>
      </c>
      <c r="DO88">
        <v>1166131300</v>
      </c>
      <c r="DP88">
        <v>704437540</v>
      </c>
      <c r="DQ88" s="9">
        <v>2688</v>
      </c>
      <c r="DR88">
        <v>-1.0428231782619917</v>
      </c>
      <c r="DS88">
        <v>-0.14063826569416774</v>
      </c>
      <c r="DT88">
        <v>-2.3333333333333355E-2</v>
      </c>
      <c r="DU88">
        <v>0.53666666666666663</v>
      </c>
      <c r="DV88">
        <v>0.51333333333333331</v>
      </c>
      <c r="DW88">
        <v>-2.1451000000000002</v>
      </c>
      <c r="DX88">
        <v>0.47902451948552199</v>
      </c>
      <c r="DY88">
        <v>-2.0216234577773498</v>
      </c>
      <c r="DZ88">
        <v>499</v>
      </c>
      <c r="EA88">
        <v>-2.0195118911568217</v>
      </c>
      <c r="EB88" s="10">
        <v>2</v>
      </c>
      <c r="EC88" s="10">
        <v>5.7135469572444364E-2</v>
      </c>
      <c r="ED88">
        <v>0.38339643549727581</v>
      </c>
      <c r="EE88">
        <v>-3.06921</v>
      </c>
      <c r="EF88">
        <v>-3.0684100000000001</v>
      </c>
      <c r="EG88">
        <v>33.149024519485522</v>
      </c>
      <c r="EH88" s="11" t="s">
        <v>1991</v>
      </c>
      <c r="EI88" s="12">
        <v>0</v>
      </c>
      <c r="EJ88" s="12">
        <v>1</v>
      </c>
      <c r="EK88" s="12">
        <v>45470</v>
      </c>
      <c r="EL88" s="12">
        <v>-0.99</v>
      </c>
      <c r="EM88" s="12">
        <v>-5.3</v>
      </c>
      <c r="EN88" s="12">
        <v>-0.11</v>
      </c>
      <c r="EO88" s="12">
        <v>2.92</v>
      </c>
      <c r="EP88" s="12">
        <v>0.08</v>
      </c>
    </row>
    <row r="89" spans="1:146" ht="108" x14ac:dyDescent="0.25">
      <c r="C89" s="6" t="str">
        <f>""&amp;CHAR(10)&amp;Basic_Fundamental_Information_Constructure(F89)&amp;CHAR(10)&amp;Basic_Fundamental_Information_Concatenate("")</f>
        <v xml:space="preserve">
市值273.04982亿, 利润-2.22亿; PE24.43; 平均PE161.99; 平均PEG10.98, PB3.72; ROIC5.41%; ROE6.8133%; 股利率1.8316%; 毛利26.1933%; 净利11.24%; 上一年度营收增-90.53%, 利润增-153.88%; 当季营收增7813.91%, 利润增1489.13%; 过往5年营收增-14.76%, 利润增27.95%
Income profile:
</v>
      </c>
      <c r="D89" t="s">
        <v>1540</v>
      </c>
      <c r="E89" t="s">
        <v>1541</v>
      </c>
      <c r="F89">
        <v>12.26</v>
      </c>
      <c r="G89">
        <v>2.59</v>
      </c>
      <c r="H89" t="s">
        <v>4101</v>
      </c>
      <c r="I89">
        <v>27304982000</v>
      </c>
      <c r="J89">
        <v>24.43</v>
      </c>
      <c r="K89">
        <v>3.72</v>
      </c>
      <c r="L89" t="s">
        <v>100</v>
      </c>
      <c r="M89" t="s">
        <v>2640</v>
      </c>
      <c r="N89" t="s">
        <v>4102</v>
      </c>
      <c r="O89" t="s">
        <v>2641</v>
      </c>
      <c r="P89">
        <v>19.96</v>
      </c>
      <c r="Q89" t="s">
        <v>2232</v>
      </c>
      <c r="R89">
        <v>750000000</v>
      </c>
      <c r="S89">
        <v>1.01</v>
      </c>
      <c r="T89" t="s">
        <v>4103</v>
      </c>
      <c r="U89">
        <v>617272360</v>
      </c>
      <c r="V89">
        <v>2227160000</v>
      </c>
      <c r="W89">
        <v>1.44</v>
      </c>
      <c r="X89">
        <v>0.15</v>
      </c>
      <c r="Y89">
        <v>23.15</v>
      </c>
      <c r="Z89" t="s">
        <v>972</v>
      </c>
      <c r="AA89" t="s">
        <v>4104</v>
      </c>
      <c r="AB89" t="s">
        <v>4105</v>
      </c>
      <c r="AC89" t="s">
        <v>4106</v>
      </c>
      <c r="AD89" t="s">
        <v>81</v>
      </c>
      <c r="AE89">
        <v>12667069</v>
      </c>
      <c r="AF89" t="s">
        <v>2644</v>
      </c>
      <c r="AG89" t="s">
        <v>4107</v>
      </c>
      <c r="AH89" t="s">
        <v>2645</v>
      </c>
      <c r="AI89" t="s">
        <v>837</v>
      </c>
      <c r="AJ89" t="s">
        <v>2646</v>
      </c>
      <c r="AK89" t="s">
        <v>81</v>
      </c>
      <c r="AL89" t="s">
        <v>2647</v>
      </c>
      <c r="AM89" t="s">
        <v>81</v>
      </c>
      <c r="AN89" t="s">
        <v>399</v>
      </c>
      <c r="AO89" t="s">
        <v>1886</v>
      </c>
      <c r="AP89" t="s">
        <v>285</v>
      </c>
      <c r="AQ89" t="s">
        <v>1958</v>
      </c>
      <c r="AR89" t="s">
        <v>81</v>
      </c>
      <c r="AS89" t="s">
        <v>4108</v>
      </c>
      <c r="AT89" t="s">
        <v>1615</v>
      </c>
      <c r="AU89" t="s">
        <v>1374</v>
      </c>
      <c r="AV89" t="s">
        <v>4109</v>
      </c>
      <c r="AW89" t="s">
        <v>4110</v>
      </c>
      <c r="AX89" t="s">
        <v>1730</v>
      </c>
      <c r="AY89" t="s">
        <v>1542</v>
      </c>
      <c r="AZ89" t="s">
        <v>1473</v>
      </c>
      <c r="BA89" t="s">
        <v>1480</v>
      </c>
      <c r="BB89" t="s">
        <v>1544</v>
      </c>
      <c r="BC89" t="s">
        <v>1367</v>
      </c>
      <c r="BD89" t="s">
        <v>267</v>
      </c>
      <c r="BE89" t="s">
        <v>1404</v>
      </c>
      <c r="BF89" t="s">
        <v>1545</v>
      </c>
      <c r="BG89" t="s">
        <v>1432</v>
      </c>
      <c r="BH89" t="s">
        <v>2642</v>
      </c>
      <c r="BI89" t="s">
        <v>4111</v>
      </c>
      <c r="BJ89" t="s">
        <v>1730</v>
      </c>
      <c r="BK89" t="s">
        <v>2643</v>
      </c>
      <c r="BL89" t="s">
        <v>4112</v>
      </c>
      <c r="BM89" t="s">
        <v>1367</v>
      </c>
      <c r="BN89">
        <v>7.42</v>
      </c>
      <c r="BO89">
        <v>5.89</v>
      </c>
      <c r="BP89">
        <v>2.92</v>
      </c>
      <c r="BQ89">
        <v>9.81</v>
      </c>
      <c r="BR89">
        <v>8.27</v>
      </c>
      <c r="BS89">
        <v>2.36</v>
      </c>
      <c r="BT89" t="s">
        <v>4113</v>
      </c>
      <c r="BU89" t="s">
        <v>1354</v>
      </c>
      <c r="BV89">
        <v>31.57</v>
      </c>
      <c r="BW89">
        <v>24.8</v>
      </c>
      <c r="BX89">
        <v>22.21</v>
      </c>
      <c r="BY89">
        <v>19.5</v>
      </c>
      <c r="BZ89">
        <v>10.77</v>
      </c>
      <c r="CA89">
        <v>3.45</v>
      </c>
      <c r="CB89">
        <v>-4.07</v>
      </c>
      <c r="CC89" s="7">
        <v>-13.6</v>
      </c>
      <c r="CD89" s="8" t="s">
        <v>825</v>
      </c>
      <c r="CE89" s="7" t="s">
        <v>4114</v>
      </c>
      <c r="CF89" s="7">
        <v>78.139083171383135</v>
      </c>
      <c r="CG89" s="7">
        <v>14.891255547241382</v>
      </c>
      <c r="CH89" s="7">
        <v>-0.90526038408279419</v>
      </c>
      <c r="CI89" s="7">
        <v>0.1822400838136673</v>
      </c>
      <c r="CJ89" s="8">
        <v>-0.11427786946296692</v>
      </c>
      <c r="CK89" s="8">
        <v>0.16099263727664948</v>
      </c>
      <c r="CL89" s="8">
        <v>-6.1510860919952393E-2</v>
      </c>
      <c r="CM89" s="8">
        <v>-1.5388349294662476</v>
      </c>
      <c r="CN89" s="8">
        <v>2.7117116451263428</v>
      </c>
      <c r="CO89">
        <v>-0.51528382301330566</v>
      </c>
      <c r="CP89">
        <v>1.5057665109634399</v>
      </c>
      <c r="CQ89">
        <v>-0.76566874980926514</v>
      </c>
      <c r="CR89" s="7">
        <v>161.98501229793635</v>
      </c>
      <c r="CS89" s="8">
        <v>10.977325372026487</v>
      </c>
      <c r="CT89">
        <v>1.8316435562805871</v>
      </c>
      <c r="CU89">
        <v>-0.14756327867507935</v>
      </c>
      <c r="CV89">
        <v>0.27953813076019285</v>
      </c>
      <c r="CW89">
        <v>0.06</v>
      </c>
      <c r="CX89" t="e">
        <v>#VALUE!</v>
      </c>
      <c r="CY89" t="s">
        <v>1362</v>
      </c>
      <c r="CZ89">
        <v>-0.14756327867507935</v>
      </c>
      <c r="DA89" t="e">
        <v>#VALUE!</v>
      </c>
      <c r="DB89" t="s">
        <v>1362</v>
      </c>
      <c r="DC89">
        <v>-0.14018511474132536</v>
      </c>
      <c r="DD89" t="e">
        <v>#VALUE!</v>
      </c>
      <c r="DE89" t="s">
        <v>1362</v>
      </c>
      <c r="DF89">
        <v>-0.12985568523406982</v>
      </c>
      <c r="DG89" t="e">
        <v>#VALUE!</v>
      </c>
      <c r="DH89" t="s">
        <v>1362</v>
      </c>
      <c r="DI89">
        <v>-0.11805062294006348</v>
      </c>
      <c r="DJ89" t="e">
        <v>#VALUE!</v>
      </c>
      <c r="DK89" t="s">
        <v>1362</v>
      </c>
      <c r="DL89">
        <v>-0.10329429507255554</v>
      </c>
      <c r="DM89">
        <v>-222000000.00000003</v>
      </c>
      <c r="DN89">
        <v>-0.14756327867507935</v>
      </c>
      <c r="DO89">
        <v>23136982000</v>
      </c>
      <c r="DP89">
        <v>1888764700</v>
      </c>
      <c r="DQ89" s="9">
        <v>2706</v>
      </c>
      <c r="DR89">
        <v>78.286646450058214</v>
      </c>
      <c r="DS89">
        <v>14.61171741648119</v>
      </c>
      <c r="DT89">
        <v>-0.50666666666666671</v>
      </c>
      <c r="DU89">
        <v>2.4999999999999873E-2</v>
      </c>
      <c r="DV89">
        <v>-0.48166666666666685</v>
      </c>
      <c r="DW89">
        <v>-8.2992647058823525</v>
      </c>
      <c r="DX89">
        <v>0.27881918257975957</v>
      </c>
      <c r="DY89">
        <v>-8.0355583877279138</v>
      </c>
      <c r="DZ89">
        <v>2843</v>
      </c>
      <c r="EA89">
        <v>-8.0157751203481755</v>
      </c>
      <c r="EB89" s="10">
        <v>8</v>
      </c>
      <c r="EC89">
        <v>7.2289373013164751E-2</v>
      </c>
      <c r="ED89">
        <v>0.60839813933439901</v>
      </c>
      <c r="EE89">
        <v>-5.0069999999999997</v>
      </c>
      <c r="EF89">
        <v>-5.0107100000000004</v>
      </c>
      <c r="EG89">
        <v>16.11881918257976</v>
      </c>
      <c r="EH89" s="11" t="s">
        <v>3162</v>
      </c>
      <c r="EI89" s="12">
        <v>0</v>
      </c>
      <c r="EJ89" s="12">
        <v>0</v>
      </c>
      <c r="EK89" s="12">
        <v>45470</v>
      </c>
      <c r="EL89" s="12">
        <v>-1.46</v>
      </c>
      <c r="EM89" s="12">
        <v>-5.54</v>
      </c>
      <c r="EN89" s="12">
        <v>2.4900000000000002</v>
      </c>
      <c r="EO89" s="12">
        <v>5.2</v>
      </c>
      <c r="EP89" s="12">
        <v>-1.77</v>
      </c>
    </row>
    <row r="90" spans="1:146" ht="108" x14ac:dyDescent="0.25">
      <c r="C90" s="6" t="str">
        <f>""&amp;CHAR(10)&amp;Basic_Fundamental_Information_Constructure(F90)&amp;CHAR(10)&amp;Basic_Fundamental_Information_Concatenate("")</f>
        <v xml:space="preserve">
市值46.13813亿, 利润1.39亿; PE51.71; 平均PE66.56; 平均PEG3.36, PB3.01; ROIC11.7333%; ROE12.775%; 股利率.7728%; 毛利62.7667%; 净利14.5%; 上一年度营收增37.84%, 利润增75.93%; 当季营收增57.72%, 利润增150.85%; 过往5年营收增19.81%, 利润增34.86%
Income profile:
</v>
      </c>
      <c r="D90" t="s">
        <v>1960</v>
      </c>
      <c r="E90" t="s">
        <v>1992</v>
      </c>
      <c r="F90">
        <v>12.94</v>
      </c>
      <c r="G90">
        <v>1.81</v>
      </c>
      <c r="H90" t="s">
        <v>4115</v>
      </c>
      <c r="I90">
        <v>4613813000</v>
      </c>
      <c r="J90">
        <v>51.71</v>
      </c>
      <c r="K90">
        <v>3.01</v>
      </c>
      <c r="L90" t="s">
        <v>100</v>
      </c>
      <c r="M90" t="s">
        <v>467</v>
      </c>
      <c r="N90" t="s">
        <v>4116</v>
      </c>
      <c r="O90" t="s">
        <v>1411</v>
      </c>
      <c r="P90">
        <v>5.78</v>
      </c>
      <c r="Q90" t="s">
        <v>3526</v>
      </c>
      <c r="R90">
        <v>58872271</v>
      </c>
      <c r="S90">
        <v>6.5100000000000005E-2</v>
      </c>
      <c r="T90" t="s">
        <v>229</v>
      </c>
      <c r="U90">
        <v>89138600</v>
      </c>
      <c r="V90">
        <v>356554330</v>
      </c>
      <c r="W90">
        <v>1.1299999999999999</v>
      </c>
      <c r="X90">
        <v>0.14000000000000001</v>
      </c>
      <c r="Y90">
        <v>25.09</v>
      </c>
      <c r="Z90" t="s">
        <v>350</v>
      </c>
      <c r="AA90" t="s">
        <v>4117</v>
      </c>
      <c r="AB90" t="s">
        <v>4118</v>
      </c>
      <c r="AC90" t="s">
        <v>4119</v>
      </c>
      <c r="AD90" t="s">
        <v>81</v>
      </c>
      <c r="AE90">
        <v>-6727049</v>
      </c>
      <c r="AF90" t="s">
        <v>2650</v>
      </c>
      <c r="AG90">
        <v>805.97</v>
      </c>
      <c r="AH90" t="s">
        <v>2651</v>
      </c>
      <c r="AI90" t="s">
        <v>759</v>
      </c>
      <c r="AJ90" t="s">
        <v>2652</v>
      </c>
      <c r="AK90" t="s">
        <v>4120</v>
      </c>
      <c r="AL90" t="s">
        <v>2653</v>
      </c>
      <c r="AM90" t="s">
        <v>81</v>
      </c>
      <c r="AN90" t="s">
        <v>4121</v>
      </c>
      <c r="AO90" t="s">
        <v>81</v>
      </c>
      <c r="AP90" t="s">
        <v>4122</v>
      </c>
      <c r="AQ90" t="s">
        <v>4123</v>
      </c>
      <c r="AR90" t="s">
        <v>81</v>
      </c>
      <c r="AS90" t="s">
        <v>470</v>
      </c>
      <c r="AT90" t="s">
        <v>81</v>
      </c>
      <c r="AU90" t="s">
        <v>324</v>
      </c>
      <c r="AV90" t="s">
        <v>4124</v>
      </c>
      <c r="AW90" t="s">
        <v>4125</v>
      </c>
      <c r="AX90" t="s">
        <v>1820</v>
      </c>
      <c r="AY90" t="s">
        <v>475</v>
      </c>
      <c r="AZ90" t="s">
        <v>440</v>
      </c>
      <c r="BA90" t="s">
        <v>1188</v>
      </c>
      <c r="BB90" t="s">
        <v>1211</v>
      </c>
      <c r="BC90" t="s">
        <v>2654</v>
      </c>
      <c r="BD90" t="s">
        <v>1961</v>
      </c>
      <c r="BE90" t="s">
        <v>1962</v>
      </c>
      <c r="BF90" t="s">
        <v>1963</v>
      </c>
      <c r="BG90" t="s">
        <v>1964</v>
      </c>
      <c r="BH90" t="s">
        <v>250</v>
      </c>
      <c r="BI90" t="s">
        <v>255</v>
      </c>
      <c r="BJ90" t="s">
        <v>1820</v>
      </c>
      <c r="BK90" t="s">
        <v>2649</v>
      </c>
      <c r="BL90" t="s">
        <v>4126</v>
      </c>
      <c r="BM90" t="s">
        <v>2654</v>
      </c>
      <c r="BN90">
        <v>7.51</v>
      </c>
      <c r="BO90">
        <v>13.76</v>
      </c>
      <c r="BP90">
        <v>13.93</v>
      </c>
      <c r="BQ90">
        <v>11.3</v>
      </c>
      <c r="BR90">
        <v>14.25</v>
      </c>
      <c r="BS90" t="s">
        <v>81</v>
      </c>
      <c r="BT90" t="s">
        <v>1525</v>
      </c>
      <c r="BU90" t="s">
        <v>1354</v>
      </c>
      <c r="BV90">
        <v>62.07</v>
      </c>
      <c r="BW90">
        <v>60.52</v>
      </c>
      <c r="BX90">
        <v>65.709999999999994</v>
      </c>
      <c r="BY90">
        <v>14.72</v>
      </c>
      <c r="BZ90">
        <v>14.44</v>
      </c>
      <c r="CA90">
        <v>14.34</v>
      </c>
      <c r="CB90">
        <v>2.54</v>
      </c>
      <c r="CC90" s="7">
        <v>1.25</v>
      </c>
      <c r="CD90" s="8" t="s">
        <v>4127</v>
      </c>
      <c r="CE90" s="7" t="s">
        <v>584</v>
      </c>
      <c r="CF90" s="7">
        <v>0.57718120805369133</v>
      </c>
      <c r="CG90" s="7">
        <v>1.5084586804150066</v>
      </c>
      <c r="CH90" s="7">
        <v>0.37842777371406555</v>
      </c>
      <c r="CI90" s="7">
        <v>0.11632653325796127</v>
      </c>
      <c r="CJ90" s="8">
        <v>0.11617311835289001</v>
      </c>
      <c r="CK90" s="8">
        <v>0.25428572297096252</v>
      </c>
      <c r="CL90" s="8">
        <v>0.12540192902088165</v>
      </c>
      <c r="CM90" s="8">
        <v>0.75926882028579712</v>
      </c>
      <c r="CN90" s="8">
        <v>0.12511041760444641</v>
      </c>
      <c r="CO90">
        <v>0.38458681106567383</v>
      </c>
      <c r="CP90">
        <v>0.16084246337413788</v>
      </c>
      <c r="CQ90">
        <v>0.31317192316055298</v>
      </c>
      <c r="CR90" s="7">
        <v>66.558867578213565</v>
      </c>
      <c r="CS90" s="8">
        <v>3.3594717616502909</v>
      </c>
      <c r="CT90">
        <v>0.77279752704791349</v>
      </c>
      <c r="CU90">
        <v>0.1981230154633522</v>
      </c>
      <c r="CV90">
        <v>0.34859608709812162</v>
      </c>
      <c r="CW90">
        <v>0.06</v>
      </c>
      <c r="CX90">
        <v>20.729196913110083</v>
      </c>
      <c r="CY90">
        <v>157112357.68811882</v>
      </c>
      <c r="CZ90">
        <v>0.1981230154633522</v>
      </c>
      <c r="DA90">
        <v>6.1885891486853977</v>
      </c>
      <c r="DB90">
        <v>526260981.58282554</v>
      </c>
      <c r="DC90">
        <v>0.18821686469018459</v>
      </c>
      <c r="DD90">
        <v>2.6870925975418416</v>
      </c>
      <c r="DE90">
        <v>1212021127.5857556</v>
      </c>
      <c r="DF90">
        <v>0.17434825360774994</v>
      </c>
      <c r="DG90">
        <v>1.3915023176969983</v>
      </c>
      <c r="DH90">
        <v>2340501311.8412757</v>
      </c>
      <c r="DI90">
        <v>0.15849841237068177</v>
      </c>
      <c r="DJ90">
        <v>0.5079382604665319</v>
      </c>
      <c r="DK90">
        <v>6411828471.0600014</v>
      </c>
      <c r="DL90">
        <v>0.13868611082434654</v>
      </c>
      <c r="DM90">
        <v>139000000</v>
      </c>
      <c r="DN90">
        <v>0.1981230154633522</v>
      </c>
      <c r="DO90">
        <v>3256813000</v>
      </c>
      <c r="DP90">
        <v>976882820</v>
      </c>
      <c r="DQ90" s="9">
        <v>2809</v>
      </c>
      <c r="DR90">
        <v>0.37905819259033913</v>
      </c>
      <c r="DS90">
        <v>1.1598625933168849</v>
      </c>
      <c r="DT90">
        <v>-0.1566666666666667</v>
      </c>
      <c r="DU90">
        <v>1.1233333333333333</v>
      </c>
      <c r="DV90">
        <v>0.96666666666666656</v>
      </c>
      <c r="DW90">
        <v>4.4921259842519685</v>
      </c>
      <c r="DX90">
        <v>0.48807500000000081</v>
      </c>
      <c r="DY90">
        <v>4.1860605314960626</v>
      </c>
      <c r="DZ90">
        <v>2719</v>
      </c>
      <c r="EA90">
        <v>4.0870588514299584</v>
      </c>
      <c r="EB90" s="10">
        <v>4</v>
      </c>
      <c r="EC90" s="10">
        <v>0.1611743152859762</v>
      </c>
      <c r="ED90">
        <v>0.42630249364802275</v>
      </c>
      <c r="EE90">
        <v>6.0243000000000002</v>
      </c>
      <c r="EF90">
        <v>6.0290999999999997</v>
      </c>
      <c r="EG90">
        <v>11.378075000000001</v>
      </c>
      <c r="EH90" s="11" t="s">
        <v>2055</v>
      </c>
      <c r="EI90">
        <v>0</v>
      </c>
      <c r="EJ90">
        <v>0</v>
      </c>
      <c r="EK90">
        <v>45470</v>
      </c>
      <c r="EL90">
        <v>7.52</v>
      </c>
      <c r="EM90">
        <v>2.75</v>
      </c>
      <c r="EN90" s="12">
        <v>-2.5499999999999998</v>
      </c>
      <c r="EO90" s="12">
        <v>-1.1499999999999999</v>
      </c>
      <c r="EP90" s="12">
        <v>0.48</v>
      </c>
    </row>
    <row r="91" spans="1:146" ht="108" x14ac:dyDescent="0.25">
      <c r="A91" s="6"/>
      <c r="B91" s="6"/>
      <c r="C91" s="6" t="str">
        <f>""&amp;CHAR(10)&amp;Basic_Fundamental_Information_Constructure(F91)&amp;CHAR(10)&amp;Basic_Fundamental_Information_Concatenate("")</f>
        <v xml:space="preserve">
市值197.32686亿, 利润3.42亿; PE14.36; 平均PE25.93; 平均PEG8.24, PB1.71; ROIC9.5933%; ROE10.6%; 股利率1.3541%; 毛利55.4033%; 净利12.17%; 上一年度营收增-14.15%, 利润增-71.02%; 当季营收增27.99%, 利润增220.08%; 过往5年营收增-3.15%, 利润增-71.02%
Income profile:
</v>
      </c>
      <c r="D91" t="s">
        <v>191</v>
      </c>
      <c r="E91" t="s">
        <v>39</v>
      </c>
      <c r="F91">
        <v>18.98</v>
      </c>
      <c r="G91">
        <v>2.37</v>
      </c>
      <c r="H91" t="s">
        <v>4128</v>
      </c>
      <c r="I91">
        <v>19732686000</v>
      </c>
      <c r="J91">
        <v>14.36</v>
      </c>
      <c r="K91">
        <v>1.71</v>
      </c>
      <c r="L91" t="s">
        <v>100</v>
      </c>
      <c r="M91" t="s">
        <v>2655</v>
      </c>
      <c r="N91" t="s">
        <v>4129</v>
      </c>
      <c r="O91" t="s">
        <v>2656</v>
      </c>
      <c r="P91">
        <v>2.2599999999999998</v>
      </c>
      <c r="Q91" t="s">
        <v>4130</v>
      </c>
      <c r="R91">
        <v>416107570</v>
      </c>
      <c r="S91" s="5">
        <v>0.11</v>
      </c>
      <c r="T91" t="s">
        <v>354</v>
      </c>
      <c r="U91">
        <v>1026853050</v>
      </c>
      <c r="V91">
        <v>1039656800</v>
      </c>
      <c r="W91">
        <v>1.28</v>
      </c>
      <c r="X91" t="s">
        <v>81</v>
      </c>
      <c r="Y91">
        <v>14.27</v>
      </c>
      <c r="Z91" t="s">
        <v>81</v>
      </c>
      <c r="AA91" t="s">
        <v>81</v>
      </c>
      <c r="AB91" t="s">
        <v>81</v>
      </c>
      <c r="AC91" t="s">
        <v>81</v>
      </c>
      <c r="AD91" t="s">
        <v>81</v>
      </c>
      <c r="AE91">
        <v>-13666044</v>
      </c>
      <c r="AF91" t="s">
        <v>2661</v>
      </c>
      <c r="AG91" t="s">
        <v>4131</v>
      </c>
      <c r="AH91" t="s">
        <v>2662</v>
      </c>
      <c r="AI91" t="s">
        <v>4132</v>
      </c>
      <c r="AJ91" t="s">
        <v>2663</v>
      </c>
      <c r="AK91" t="s">
        <v>81</v>
      </c>
      <c r="AL91" t="s">
        <v>2664</v>
      </c>
      <c r="AM91" t="s">
        <v>81</v>
      </c>
      <c r="AN91" t="s">
        <v>2814</v>
      </c>
      <c r="AO91" t="s">
        <v>81</v>
      </c>
      <c r="AP91" t="s">
        <v>4133</v>
      </c>
      <c r="AQ91" t="s">
        <v>639</v>
      </c>
      <c r="AR91" t="s">
        <v>81</v>
      </c>
      <c r="AS91" t="s">
        <v>81</v>
      </c>
      <c r="AT91" t="s">
        <v>81</v>
      </c>
      <c r="AU91" t="s">
        <v>620</v>
      </c>
      <c r="AV91" t="s">
        <v>4134</v>
      </c>
      <c r="AW91" t="s">
        <v>4135</v>
      </c>
      <c r="AX91" t="s">
        <v>2665</v>
      </c>
      <c r="AY91" t="s">
        <v>81</v>
      </c>
      <c r="AZ91" t="s">
        <v>900</v>
      </c>
      <c r="BA91" t="s">
        <v>901</v>
      </c>
      <c r="BB91" t="s">
        <v>902</v>
      </c>
      <c r="BC91" t="s">
        <v>985</v>
      </c>
      <c r="BD91" t="s">
        <v>81</v>
      </c>
      <c r="BE91" t="s">
        <v>81</v>
      </c>
      <c r="BF91" t="s">
        <v>81</v>
      </c>
      <c r="BG91" t="s">
        <v>81</v>
      </c>
      <c r="BH91" t="s">
        <v>2657</v>
      </c>
      <c r="BI91" t="s">
        <v>4136</v>
      </c>
      <c r="BJ91" t="s">
        <v>2665</v>
      </c>
      <c r="BK91" t="s">
        <v>2658</v>
      </c>
      <c r="BL91" t="s">
        <v>312</v>
      </c>
      <c r="BM91" t="s">
        <v>985</v>
      </c>
      <c r="BN91">
        <v>8.9700000000000006</v>
      </c>
      <c r="BO91">
        <v>10.41</v>
      </c>
      <c r="BP91">
        <v>9.4</v>
      </c>
      <c r="BQ91">
        <v>10.31</v>
      </c>
      <c r="BR91">
        <v>11.71</v>
      </c>
      <c r="BS91">
        <v>9.7799999999999994</v>
      </c>
      <c r="BT91" t="s">
        <v>2666</v>
      </c>
      <c r="BU91" t="s">
        <v>1354</v>
      </c>
      <c r="BV91">
        <v>55.24</v>
      </c>
      <c r="BW91">
        <v>55.2</v>
      </c>
      <c r="BX91">
        <v>55.77</v>
      </c>
      <c r="BY91">
        <v>12.97</v>
      </c>
      <c r="BZ91">
        <v>12.87</v>
      </c>
      <c r="CA91">
        <v>10.67</v>
      </c>
      <c r="CB91">
        <v>-3.06</v>
      </c>
      <c r="CC91">
        <v>-12.29</v>
      </c>
      <c r="CD91" t="s">
        <v>4137</v>
      </c>
      <c r="CE91" t="s">
        <v>510</v>
      </c>
      <c r="CF91" s="7">
        <v>0.27990970654627539</v>
      </c>
      <c r="CG91" s="8">
        <v>2.2008274615384615</v>
      </c>
      <c r="CH91" s="7">
        <v>-0.14150647819042206</v>
      </c>
      <c r="CI91" s="7" t="s">
        <v>81</v>
      </c>
      <c r="CJ91" s="7" t="s">
        <v>81</v>
      </c>
      <c r="CK91" s="7">
        <v>-9.3486852943897247E-2</v>
      </c>
      <c r="CL91" s="7">
        <v>0.14054714143276215</v>
      </c>
      <c r="CM91" s="8">
        <v>-0.71016949415206909</v>
      </c>
      <c r="CN91" s="8" t="s">
        <v>81</v>
      </c>
      <c r="CO91" s="8" t="s">
        <v>81</v>
      </c>
      <c r="CP91" s="8" t="s">
        <v>81</v>
      </c>
      <c r="CQ91" s="8" t="s">
        <v>81</v>
      </c>
      <c r="CR91">
        <v>25.929942181340341</v>
      </c>
      <c r="CS91">
        <v>8.2364176670155782</v>
      </c>
      <c r="CT91">
        <v>1.3540569020021074</v>
      </c>
      <c r="CU91" s="7">
        <v>-3.1482063233852386E-2</v>
      </c>
      <c r="CV91" s="8">
        <v>-0.71016949415206909</v>
      </c>
      <c r="CW91">
        <v>0.06</v>
      </c>
      <c r="CX91">
        <v>32.659900584795324</v>
      </c>
      <c r="CY91" t="s">
        <v>4138</v>
      </c>
      <c r="CZ91">
        <v>-3.1482063233852386E-2</v>
      </c>
      <c r="DA91">
        <v>10.886633528265108</v>
      </c>
      <c r="DB91" t="s">
        <v>4139</v>
      </c>
      <c r="DC91">
        <v>-2.9907960072159765E-2</v>
      </c>
      <c r="DD91">
        <v>5.4433167641325539</v>
      </c>
      <c r="DE91" t="s">
        <v>4140</v>
      </c>
      <c r="DF91">
        <v>-2.7704215645790099E-2</v>
      </c>
      <c r="DG91">
        <v>3.2659900584795323</v>
      </c>
      <c r="DH91" t="s">
        <v>4141</v>
      </c>
      <c r="DI91">
        <v>-2.5185650587081911E-2</v>
      </c>
      <c r="DJ91">
        <v>1.6329950292397661</v>
      </c>
      <c r="DK91" t="s">
        <v>4142</v>
      </c>
      <c r="DL91">
        <v>-2.2037444263696668E-2</v>
      </c>
      <c r="DM91">
        <v>342000000</v>
      </c>
      <c r="DN91">
        <v>-3.1482063233852386E-2</v>
      </c>
      <c r="DO91">
        <v>11169686000</v>
      </c>
      <c r="DP91">
        <v>7866918800</v>
      </c>
      <c r="DQ91">
        <v>2891</v>
      </c>
      <c r="DR91">
        <v>0.31139176978012778</v>
      </c>
      <c r="DS91">
        <v>2.9109969556905306</v>
      </c>
      <c r="DT91" s="9">
        <v>-0.66</v>
      </c>
      <c r="DU91">
        <v>-2.3199999999999998</v>
      </c>
      <c r="DV91">
        <v>-2.98</v>
      </c>
      <c r="DW91">
        <v>-8.2489829129373469</v>
      </c>
      <c r="DX91">
        <v>0.41127635658914596</v>
      </c>
      <c r="DY91">
        <v>-8.0476245444396088</v>
      </c>
      <c r="DZ91">
        <v>1735</v>
      </c>
      <c r="EA91">
        <v>-8.0314545670222461</v>
      </c>
      <c r="EB91">
        <v>8</v>
      </c>
      <c r="EC91">
        <v>4.7466914081646945E-2</v>
      </c>
      <c r="ED91">
        <v>0.24815881548603347</v>
      </c>
      <c r="EE91" s="10">
        <v>5.5199999999999999E-2</v>
      </c>
      <c r="EF91">
        <v>5.3499999999999999E-2</v>
      </c>
      <c r="EG91">
        <v>22.191276356589146</v>
      </c>
      <c r="EH91" t="s">
        <v>1360</v>
      </c>
      <c r="EI91">
        <v>0</v>
      </c>
      <c r="EJ91">
        <v>0</v>
      </c>
      <c r="EK91" s="11">
        <v>45470</v>
      </c>
      <c r="EL91" s="12">
        <v>0</v>
      </c>
      <c r="EM91" s="12">
        <v>-1.89</v>
      </c>
      <c r="EN91" s="12">
        <v>-0.87</v>
      </c>
      <c r="EO91" s="12">
        <v>1.06</v>
      </c>
      <c r="EP91" s="12">
        <v>-0.17</v>
      </c>
    </row>
    <row r="92" spans="1:146" ht="108" x14ac:dyDescent="0.25">
      <c r="A92" s="6"/>
      <c r="B92" s="6"/>
      <c r="C92" s="6" t="str">
        <f>""&amp;CHAR(10)&amp;Basic_Fundamental_Information_Constructure(F92)&amp;CHAR(10)&amp;Basic_Fundamental_Information_Concatenate("")</f>
        <v xml:space="preserve">
市值279.11608亿, 利润-4289.06万; PE14.27; 平均PE22.87; 平均PEG.8, PB1.59; ROIC9.5267%; ROE13.2133%; 股利率2.6901%; 毛利44.03%; 净利11.36%; 上一年度营收增-97.47%, 利润增-101.73%; 当季营收增5795.37%, 利润增10290.99%; 过往5年营收增-28.54%, 利润增-101.73%
Income profile:
</v>
      </c>
      <c r="D92" t="s">
        <v>193</v>
      </c>
      <c r="E92" t="s">
        <v>64</v>
      </c>
      <c r="F92">
        <v>17.100000000000001</v>
      </c>
      <c r="G92">
        <v>7.21</v>
      </c>
      <c r="H92" t="s">
        <v>4143</v>
      </c>
      <c r="I92">
        <v>27911608000</v>
      </c>
      <c r="J92">
        <v>14.27</v>
      </c>
      <c r="K92">
        <v>1.59</v>
      </c>
      <c r="L92" t="s">
        <v>100</v>
      </c>
      <c r="M92" t="s">
        <v>2667</v>
      </c>
      <c r="N92" t="s">
        <v>4144</v>
      </c>
      <c r="O92" t="s">
        <v>2668</v>
      </c>
      <c r="P92">
        <v>2.27</v>
      </c>
      <c r="Q92" t="s">
        <v>2850</v>
      </c>
      <c r="R92">
        <v>486392050</v>
      </c>
      <c r="S92" s="5">
        <v>-0.26889999999999997</v>
      </c>
      <c r="T92" t="s">
        <v>4145</v>
      </c>
      <c r="U92">
        <v>1536290700</v>
      </c>
      <c r="V92">
        <v>1632257800</v>
      </c>
      <c r="W92">
        <v>1.81</v>
      </c>
      <c r="X92" t="s">
        <v>81</v>
      </c>
      <c r="Y92">
        <v>10.18</v>
      </c>
      <c r="Z92" t="s">
        <v>81</v>
      </c>
      <c r="AA92" t="s">
        <v>81</v>
      </c>
      <c r="AB92" t="s">
        <v>81</v>
      </c>
      <c r="AC92" t="s">
        <v>81</v>
      </c>
      <c r="AD92" t="s">
        <v>81</v>
      </c>
      <c r="AE92">
        <v>80454285</v>
      </c>
      <c r="AF92" t="s">
        <v>2671</v>
      </c>
      <c r="AG92" t="s">
        <v>4146</v>
      </c>
      <c r="AH92" t="s">
        <v>2672</v>
      </c>
      <c r="AI92" t="s">
        <v>4147</v>
      </c>
      <c r="AJ92" t="s">
        <v>2673</v>
      </c>
      <c r="AK92" t="s">
        <v>81</v>
      </c>
      <c r="AL92" t="s">
        <v>2674</v>
      </c>
      <c r="AM92" t="s">
        <v>81</v>
      </c>
      <c r="AN92" t="s">
        <v>4148</v>
      </c>
      <c r="AO92" t="s">
        <v>81</v>
      </c>
      <c r="AP92" t="s">
        <v>3950</v>
      </c>
      <c r="AQ92" t="s">
        <v>4149</v>
      </c>
      <c r="AR92" t="s">
        <v>2675</v>
      </c>
      <c r="AS92" t="s">
        <v>81</v>
      </c>
      <c r="AT92" t="s">
        <v>81</v>
      </c>
      <c r="AU92" t="s">
        <v>910</v>
      </c>
      <c r="AV92" t="s">
        <v>4150</v>
      </c>
      <c r="AW92" t="s">
        <v>4151</v>
      </c>
      <c r="AX92" t="s">
        <v>1731</v>
      </c>
      <c r="AY92" t="s">
        <v>81</v>
      </c>
      <c r="AZ92" t="s">
        <v>1733</v>
      </c>
      <c r="BA92" t="s">
        <v>904</v>
      </c>
      <c r="BB92" t="s">
        <v>905</v>
      </c>
      <c r="BC92" t="s">
        <v>1732</v>
      </c>
      <c r="BD92" t="s">
        <v>81</v>
      </c>
      <c r="BE92" t="s">
        <v>81</v>
      </c>
      <c r="BF92" t="s">
        <v>81</v>
      </c>
      <c r="BG92" t="s">
        <v>81</v>
      </c>
      <c r="BH92" t="s">
        <v>2669</v>
      </c>
      <c r="BI92" t="s">
        <v>253</v>
      </c>
      <c r="BJ92" t="s">
        <v>1731</v>
      </c>
      <c r="BK92" t="s">
        <v>2670</v>
      </c>
      <c r="BL92" t="s">
        <v>4152</v>
      </c>
      <c r="BM92" t="s">
        <v>1732</v>
      </c>
      <c r="BN92">
        <v>8.49</v>
      </c>
      <c r="BO92">
        <v>11.87</v>
      </c>
      <c r="BP92">
        <v>8.2200000000000006</v>
      </c>
      <c r="BQ92">
        <v>11.11</v>
      </c>
      <c r="BR92">
        <v>17.63</v>
      </c>
      <c r="BS92">
        <v>10.9</v>
      </c>
      <c r="BT92" t="s">
        <v>2676</v>
      </c>
      <c r="BU92" t="s">
        <v>1354</v>
      </c>
      <c r="BV92">
        <v>45.81</v>
      </c>
      <c r="BW92">
        <v>43.53</v>
      </c>
      <c r="BX92">
        <v>42.75</v>
      </c>
      <c r="BY92">
        <v>11.48</v>
      </c>
      <c r="BZ92">
        <v>13.75</v>
      </c>
      <c r="CA92">
        <v>8.85</v>
      </c>
      <c r="CB92">
        <v>-0.41</v>
      </c>
      <c r="CC92">
        <v>-11.76</v>
      </c>
      <c r="CD92" t="s">
        <v>4153</v>
      </c>
      <c r="CE92" t="s">
        <v>963</v>
      </c>
      <c r="CF92" s="7">
        <v>57.953703703703702</v>
      </c>
      <c r="CG92" s="8">
        <v>102.90994253241898</v>
      </c>
      <c r="CH92" s="7">
        <v>-0.97470676898956299</v>
      </c>
      <c r="CI92" s="7" t="s">
        <v>81</v>
      </c>
      <c r="CJ92" s="7" t="s">
        <v>81</v>
      </c>
      <c r="CK92" s="7">
        <v>-5.1680658012628555E-2</v>
      </c>
      <c r="CL92" s="7">
        <v>0.1702800840139389</v>
      </c>
      <c r="CM92" s="8">
        <v>-1.0172667503356934</v>
      </c>
      <c r="CN92" s="8" t="s">
        <v>81</v>
      </c>
      <c r="CO92" s="8" t="s">
        <v>81</v>
      </c>
      <c r="CP92" s="8" t="s">
        <v>81</v>
      </c>
      <c r="CQ92" s="8" t="s">
        <v>81</v>
      </c>
      <c r="CR92">
        <v>22.867969784557793</v>
      </c>
      <c r="CS92">
        <v>0.80134704970769954</v>
      </c>
      <c r="CT92">
        <v>2.6900584795321634</v>
      </c>
      <c r="CU92" s="7">
        <v>-0.28536911432941753</v>
      </c>
      <c r="CV92" s="8">
        <v>-1.0172667503356934</v>
      </c>
      <c r="CW92">
        <v>0.06</v>
      </c>
      <c r="CX92" t="e">
        <v>#VALUE!</v>
      </c>
      <c r="CY92" t="s">
        <v>1362</v>
      </c>
      <c r="CZ92">
        <v>-0.28536911432941753</v>
      </c>
      <c r="DA92" t="e">
        <v>#VALUE!</v>
      </c>
      <c r="DB92" t="s">
        <v>1362</v>
      </c>
      <c r="DC92">
        <v>-0.27110065861294663</v>
      </c>
      <c r="DD92" t="e">
        <v>#VALUE!</v>
      </c>
      <c r="DE92" t="s">
        <v>1362</v>
      </c>
      <c r="DF92">
        <v>-0.25112482060988744</v>
      </c>
      <c r="DG92" t="e">
        <v>#VALUE!</v>
      </c>
      <c r="DH92" t="s">
        <v>1362</v>
      </c>
      <c r="DI92">
        <v>-0.22829529146353403</v>
      </c>
      <c r="DJ92" t="e">
        <v>#VALUE!</v>
      </c>
      <c r="DK92" t="s">
        <v>1362</v>
      </c>
      <c r="DL92">
        <v>-0.19975838003059226</v>
      </c>
      <c r="DM92">
        <v>-42890600.000000007</v>
      </c>
      <c r="DN92">
        <v>-0.28536911432941753</v>
      </c>
      <c r="DO92">
        <v>23647608000</v>
      </c>
      <c r="DP92">
        <v>20001987000</v>
      </c>
      <c r="DQ92">
        <v>2903</v>
      </c>
      <c r="DR92">
        <v>58.239072818033122</v>
      </c>
      <c r="DS92">
        <v>103.92720928275467</v>
      </c>
      <c r="DT92" s="9">
        <v>-1.1599999999999999</v>
      </c>
      <c r="DU92">
        <v>-3.57</v>
      </c>
      <c r="DV92">
        <v>-4.7299999999999995</v>
      </c>
      <c r="DW92">
        <v>-2.1175999999999999</v>
      </c>
      <c r="DX92">
        <v>0.60754411461318114</v>
      </c>
      <c r="DY92">
        <v>-2.0267591878785098</v>
      </c>
      <c r="DZ92">
        <v>4647</v>
      </c>
      <c r="EA92">
        <v>-2.0024245604672699</v>
      </c>
      <c r="EB92">
        <v>2</v>
      </c>
      <c r="EC92">
        <v>4.8652179821104237E-2</v>
      </c>
      <c r="ED92">
        <v>0.21381426389875424</v>
      </c>
      <c r="EE92" s="10">
        <v>4.0416999999999996</v>
      </c>
      <c r="EF92">
        <v>4.0205099999999998</v>
      </c>
      <c r="EG92">
        <v>38.227544114613181</v>
      </c>
      <c r="EH92" t="s">
        <v>1994</v>
      </c>
      <c r="EI92">
        <v>0</v>
      </c>
      <c r="EJ92">
        <v>0</v>
      </c>
      <c r="EK92" s="11">
        <v>45470</v>
      </c>
      <c r="EL92" s="12">
        <v>0</v>
      </c>
      <c r="EM92" s="12">
        <v>-0.43</v>
      </c>
      <c r="EN92" s="12">
        <v>-2.15</v>
      </c>
      <c r="EO92" s="12">
        <v>-3.65</v>
      </c>
      <c r="EP92" s="12">
        <v>-6.22</v>
      </c>
    </row>
    <row r="93" spans="1:146" ht="252" x14ac:dyDescent="0.25">
      <c r="A93" s="6"/>
      <c r="B93" s="6"/>
      <c r="C93" s="6" t="str">
        <f>"公司主营业务是制药、医疗器械与医学诊断、医疗健康服务。主要产品为心血管系统疾病治疗领域核心产品、中枢神经系统疾病治疗领域核心产品、血液系统疾病治疗领域核心产品、代谢及消化系统疾病治疗领域核心产品、抗感染疾病治疗领域核心产品、抗肿瘤治疗领域核心产品、原料药和中间体核心产品。"&amp;CHAR(10)&amp;Basic_Fundamental_Information_Constructure(F93)&amp;CHAR(10)&amp;Basic_Fundamental_Information_Concatenate("制药及其他 116.28亿 54.49% 38.49% 32.32%
抗感染核心产品 36.29亿 17.01% 19.75% 53.13%
抗肿瘤及免疫调节核心产品 25.50亿 11.95% 21.07% 80.67%
代谢及消化系统核心产品 13.83亿 6.48% 11.20% 79.10%
心血管系统核心产品 10.95亿 5.13% 3.98% 35.53%
中枢神经系统核心产品 4.22亿 1.98% 3.90% 90.28%")</f>
        <v>公司主营业务是制药、医疗器械与医学诊断、医疗健康服务。主要产品为心血管系统疾病治疗领域核心产品、中枢神经系统疾病治疗领域核心产品、血液系统疾病治疗领域核心产品、代谢及消化系统疾病治疗领域核心产品、抗感染疾病治疗领域核心产品、抗肿瘤治疗领域核心产品、原料药和中间体核心产品。
市值596.47939亿, 利润3.40亿; PE29.69; 平均PE29.3; 平均PEG1.19, PB1.29; ROIC5.7667%; ROE8.8267%; 股利率1.2097%; 毛利47.7533%; 净利9.5867%; 上一年度营收增-94.92%, 利润增-90.89%; 当季营收增1272.57%, 利润增311.98%; 过往5年营收增-24.73%, 利润增-90.89%
Income profile:
制药及其他 116.28亿 54.49% 38.49% 32.32%
抗感染核心产品 36.29亿 17.01% 19.75% 53.13%
抗肿瘤及免疫调节核心产品 25.50亿 11.95% 21.07% 80.67%
代谢及消化系统核心产品 13.83亿 6.48% 11.20% 79.10%
心血管系统核心产品 10.95亿 5.13% 3.98% 35.53%
中枢神经系统核心产品 4.22亿 1.98% 3.90% 90.28%</v>
      </c>
      <c r="D93" t="s">
        <v>1126</v>
      </c>
      <c r="E93" t="s">
        <v>1127</v>
      </c>
      <c r="F93">
        <v>22.32</v>
      </c>
      <c r="G93">
        <v>2.81</v>
      </c>
      <c r="H93" t="s">
        <v>4154</v>
      </c>
      <c r="I93">
        <v>59647939000</v>
      </c>
      <c r="J93">
        <v>29.69</v>
      </c>
      <c r="K93">
        <v>1.29</v>
      </c>
      <c r="L93" t="s">
        <v>100</v>
      </c>
      <c r="M93" t="s">
        <v>2677</v>
      </c>
      <c r="N93" t="s">
        <v>4155</v>
      </c>
      <c r="O93" t="s">
        <v>2678</v>
      </c>
      <c r="P93">
        <v>-6.56</v>
      </c>
      <c r="Q93" t="s">
        <v>4156</v>
      </c>
      <c r="R93">
        <v>609733630</v>
      </c>
      <c r="S93" s="5">
        <v>-0.38219999999999998</v>
      </c>
      <c r="T93" t="s">
        <v>414</v>
      </c>
      <c r="U93">
        <v>2118488800</v>
      </c>
      <c r="V93">
        <v>2672398700</v>
      </c>
      <c r="W93">
        <v>1.98</v>
      </c>
      <c r="X93" t="s">
        <v>81</v>
      </c>
      <c r="Y93">
        <v>7.74</v>
      </c>
      <c r="Z93" t="s">
        <v>81</v>
      </c>
      <c r="AA93" t="s">
        <v>81</v>
      </c>
      <c r="AB93" t="s">
        <v>81</v>
      </c>
      <c r="AC93" t="s">
        <v>81</v>
      </c>
      <c r="AD93" t="s">
        <v>81</v>
      </c>
      <c r="AE93">
        <v>280218160</v>
      </c>
      <c r="AF93" t="s">
        <v>2681</v>
      </c>
      <c r="AG93" t="s">
        <v>4157</v>
      </c>
      <c r="AH93" t="s">
        <v>2682</v>
      </c>
      <c r="AI93" t="s">
        <v>4158</v>
      </c>
      <c r="AJ93" t="s">
        <v>2683</v>
      </c>
      <c r="AK93" t="s">
        <v>81</v>
      </c>
      <c r="AL93" t="s">
        <v>2684</v>
      </c>
      <c r="AM93" t="s">
        <v>81</v>
      </c>
      <c r="AN93" t="s">
        <v>4159</v>
      </c>
      <c r="AO93" t="s">
        <v>81</v>
      </c>
      <c r="AP93" t="s">
        <v>1834</v>
      </c>
      <c r="AQ93" t="s">
        <v>4160</v>
      </c>
      <c r="AR93" t="s">
        <v>81</v>
      </c>
      <c r="AS93" t="s">
        <v>81</v>
      </c>
      <c r="AT93" t="s">
        <v>81</v>
      </c>
      <c r="AU93" t="s">
        <v>2422</v>
      </c>
      <c r="AV93" t="s">
        <v>4161</v>
      </c>
      <c r="AW93" t="s">
        <v>4162</v>
      </c>
      <c r="AX93" t="s">
        <v>1734</v>
      </c>
      <c r="AY93" t="s">
        <v>81</v>
      </c>
      <c r="AZ93" t="s">
        <v>1128</v>
      </c>
      <c r="BA93" t="s">
        <v>1129</v>
      </c>
      <c r="BB93" t="s">
        <v>1130</v>
      </c>
      <c r="BC93" t="s">
        <v>1735</v>
      </c>
      <c r="BD93" t="s">
        <v>81</v>
      </c>
      <c r="BE93" t="s">
        <v>81</v>
      </c>
      <c r="BF93" t="s">
        <v>81</v>
      </c>
      <c r="BG93" t="s">
        <v>81</v>
      </c>
      <c r="BH93" t="s">
        <v>2679</v>
      </c>
      <c r="BI93" t="s">
        <v>1303</v>
      </c>
      <c r="BJ93" t="s">
        <v>1734</v>
      </c>
      <c r="BK93" t="s">
        <v>2680</v>
      </c>
      <c r="BL93" t="s">
        <v>339</v>
      </c>
      <c r="BM93" t="s">
        <v>1735</v>
      </c>
      <c r="BN93">
        <v>3.77</v>
      </c>
      <c r="BO93">
        <v>5.81</v>
      </c>
      <c r="BP93">
        <v>7.72</v>
      </c>
      <c r="BQ93">
        <v>5.05</v>
      </c>
      <c r="BR93">
        <v>9.0399999999999991</v>
      </c>
      <c r="BS93">
        <v>12.39</v>
      </c>
      <c r="BT93" t="s">
        <v>2685</v>
      </c>
      <c r="BU93" t="s">
        <v>1354</v>
      </c>
      <c r="BV93">
        <v>47.84</v>
      </c>
      <c r="BW93">
        <v>47.28</v>
      </c>
      <c r="BX93">
        <v>48.14</v>
      </c>
      <c r="BY93">
        <v>6.99</v>
      </c>
      <c r="BZ93">
        <v>8.98</v>
      </c>
      <c r="CA93">
        <v>12.79</v>
      </c>
      <c r="CB93">
        <v>0.81</v>
      </c>
      <c r="CC93">
        <v>-3.79</v>
      </c>
      <c r="CD93" t="s">
        <v>4163</v>
      </c>
      <c r="CE93" t="s">
        <v>410</v>
      </c>
      <c r="CF93" s="7">
        <v>12.725675675675676</v>
      </c>
      <c r="CG93" s="8">
        <v>3.1198218243243243</v>
      </c>
      <c r="CH93" s="7">
        <v>-0.94924002885818481</v>
      </c>
      <c r="CI93" s="7" t="s">
        <v>81</v>
      </c>
      <c r="CJ93" s="7" t="s">
        <v>81</v>
      </c>
      <c r="CK93" s="7">
        <v>6.024136021733284E-2</v>
      </c>
      <c r="CL93" s="7">
        <v>0.14716275036334991</v>
      </c>
      <c r="CM93" s="8">
        <v>-0.90887159109115601</v>
      </c>
      <c r="CN93" s="8" t="s">
        <v>81</v>
      </c>
      <c r="CO93" s="8" t="s">
        <v>81</v>
      </c>
      <c r="CP93" s="8" t="s">
        <v>81</v>
      </c>
      <c r="CQ93" s="8" t="s">
        <v>81</v>
      </c>
      <c r="CR93">
        <v>29.303826578236304</v>
      </c>
      <c r="CS93">
        <v>1.1850528879598337</v>
      </c>
      <c r="CT93">
        <v>1.2096774193548387</v>
      </c>
      <c r="CU93" s="7">
        <v>-0.24727863942583403</v>
      </c>
      <c r="CV93" s="8">
        <v>-0.90887159109115601</v>
      </c>
      <c r="CW93">
        <v>0.06</v>
      </c>
      <c r="CX93">
        <v>173.42629117647058</v>
      </c>
      <c r="CY93" t="s">
        <v>4164</v>
      </c>
      <c r="CZ93">
        <v>-0.24727863942583403</v>
      </c>
      <c r="DA93">
        <v>57.808763725490195</v>
      </c>
      <c r="DB93" t="s">
        <v>4165</v>
      </c>
      <c r="DC93">
        <v>-0.23491470745454232</v>
      </c>
      <c r="DD93">
        <v>28.904381862745097</v>
      </c>
      <c r="DE93" t="s">
        <v>4166</v>
      </c>
      <c r="DF93">
        <v>-0.21760520269473393</v>
      </c>
      <c r="DG93">
        <v>17.342629117647057</v>
      </c>
      <c r="DH93" t="s">
        <v>4167</v>
      </c>
      <c r="DI93">
        <v>-0.19782291154066722</v>
      </c>
      <c r="DJ93">
        <v>8.6713145588235285</v>
      </c>
      <c r="DK93" t="s">
        <v>4168</v>
      </c>
      <c r="DL93">
        <v>-0.17309504759808381</v>
      </c>
      <c r="DM93">
        <v>340000000</v>
      </c>
      <c r="DN93">
        <v>-0.24727863942583403</v>
      </c>
      <c r="DO93">
        <v>58964939000</v>
      </c>
      <c r="DP93">
        <v>33839365000</v>
      </c>
      <c r="DQ93">
        <v>2997</v>
      </c>
      <c r="DR93">
        <v>12.972954315101511</v>
      </c>
      <c r="DS93">
        <v>4.0286934154154803</v>
      </c>
      <c r="DT93" s="9">
        <v>-1.1599999999999999</v>
      </c>
      <c r="DU93">
        <v>-2.3199999999999998</v>
      </c>
      <c r="DV93">
        <v>-3.4799999999999995</v>
      </c>
      <c r="DW93">
        <v>-1.0379</v>
      </c>
      <c r="DX93">
        <v>0.56032150943395997</v>
      </c>
      <c r="DY93">
        <v>-1.0053181852075472</v>
      </c>
      <c r="DZ93">
        <v>2780</v>
      </c>
      <c r="EA93">
        <v>-1.0024249259361224</v>
      </c>
      <c r="EB93">
        <v>1</v>
      </c>
      <c r="EC93">
        <v>1.3914540521217886E-2</v>
      </c>
      <c r="ED93">
        <v>9.9161850363121334E-2</v>
      </c>
      <c r="EE93" s="10">
        <v>-2.0303100000000001</v>
      </c>
      <c r="EF93">
        <v>-2.06501</v>
      </c>
      <c r="EG93">
        <v>42.14032150943396</v>
      </c>
      <c r="EH93" t="s">
        <v>1368</v>
      </c>
      <c r="EI93">
        <v>0</v>
      </c>
      <c r="EJ93">
        <v>0</v>
      </c>
      <c r="EK93" s="11">
        <v>45470</v>
      </c>
      <c r="EL93" s="12">
        <v>-0.13</v>
      </c>
      <c r="EM93" s="12">
        <v>-2.78</v>
      </c>
      <c r="EN93" s="12">
        <v>-0.39</v>
      </c>
      <c r="EO93" s="12">
        <v>1.83</v>
      </c>
      <c r="EP93" s="12">
        <v>-3.47</v>
      </c>
    </row>
    <row r="94" spans="1:146" ht="108" x14ac:dyDescent="0.25">
      <c r="A94" s="6"/>
      <c r="B94" s="6"/>
      <c r="C94" s="6" t="str">
        <f>""&amp;CHAR(10)&amp;Basic_Fundamental_Information_Constructure(F94)&amp;CHAR(10)&amp;Basic_Fundamental_Information_Concatenate("")</f>
        <v xml:space="preserve">
市值63.749582亿, 利润2.84亿; PE; 平均PE61.38; 平均PEG21.83, PB3.64; ROIC1.565%; ROE-.81%; 股利率0%; 毛利27.2367%; 净利-2.0067%; 上一年度营收增-21.13%, 利润增472.37%; 当季营收增93.13%, 利润增-95.27%; 过往5年营收增-2.81%, 利润增472.37%
Income profile:
</v>
      </c>
      <c r="D94" t="s">
        <v>120</v>
      </c>
      <c r="E94" t="s">
        <v>37</v>
      </c>
      <c r="F94">
        <v>8.9499999999999993</v>
      </c>
      <c r="G94">
        <v>1.36</v>
      </c>
      <c r="H94" t="s">
        <v>4169</v>
      </c>
      <c r="I94">
        <v>6374958200</v>
      </c>
      <c r="K94">
        <v>3.64</v>
      </c>
      <c r="L94" t="s">
        <v>100</v>
      </c>
      <c r="M94" t="s">
        <v>2686</v>
      </c>
      <c r="N94" t="s">
        <v>598</v>
      </c>
      <c r="O94" t="s">
        <v>453</v>
      </c>
      <c r="P94">
        <v>14.97</v>
      </c>
      <c r="Q94" t="s">
        <v>4170</v>
      </c>
      <c r="R94">
        <v>5059108</v>
      </c>
      <c r="S94" s="5">
        <v>-0.82030000000000003</v>
      </c>
      <c r="T94" t="s">
        <v>468</v>
      </c>
      <c r="U94">
        <v>710879480</v>
      </c>
      <c r="V94">
        <v>712285830</v>
      </c>
      <c r="W94">
        <v>2.5</v>
      </c>
      <c r="X94" t="s">
        <v>81</v>
      </c>
      <c r="Y94">
        <v>0.66</v>
      </c>
      <c r="Z94" t="s">
        <v>81</v>
      </c>
      <c r="AA94" t="s">
        <v>81</v>
      </c>
      <c r="AB94" t="s">
        <v>81</v>
      </c>
      <c r="AC94" t="s">
        <v>81</v>
      </c>
      <c r="AD94" t="s">
        <v>81</v>
      </c>
      <c r="AE94">
        <v>21804302</v>
      </c>
      <c r="AF94" t="s">
        <v>2689</v>
      </c>
      <c r="AG94">
        <v>9018</v>
      </c>
      <c r="AH94" t="s">
        <v>2690</v>
      </c>
      <c r="AI94" t="s">
        <v>4171</v>
      </c>
      <c r="AJ94" t="s">
        <v>2691</v>
      </c>
      <c r="AK94" t="s">
        <v>81</v>
      </c>
      <c r="AL94" t="s">
        <v>2692</v>
      </c>
      <c r="AM94" t="s">
        <v>81</v>
      </c>
      <c r="AN94" t="s">
        <v>4172</v>
      </c>
      <c r="AO94" t="s">
        <v>81</v>
      </c>
      <c r="AP94" t="s">
        <v>81</v>
      </c>
      <c r="AQ94" t="s">
        <v>763</v>
      </c>
      <c r="AR94" t="s">
        <v>4173</v>
      </c>
      <c r="AS94" t="s">
        <v>81</v>
      </c>
      <c r="AT94" t="s">
        <v>81</v>
      </c>
      <c r="AU94" t="s">
        <v>4174</v>
      </c>
      <c r="AV94" t="s">
        <v>4175</v>
      </c>
      <c r="AW94" t="s">
        <v>4176</v>
      </c>
      <c r="AX94" t="s">
        <v>1736</v>
      </c>
      <c r="AY94" t="s">
        <v>81</v>
      </c>
      <c r="AZ94" t="s">
        <v>906</v>
      </c>
      <c r="BA94" t="s">
        <v>907</v>
      </c>
      <c r="BB94" t="s">
        <v>908</v>
      </c>
      <c r="BC94" t="s">
        <v>2693</v>
      </c>
      <c r="BD94" t="s">
        <v>81</v>
      </c>
      <c r="BE94" t="s">
        <v>81</v>
      </c>
      <c r="BF94" t="s">
        <v>81</v>
      </c>
      <c r="BG94" t="s">
        <v>81</v>
      </c>
      <c r="BH94" t="s">
        <v>2687</v>
      </c>
      <c r="BI94" t="s">
        <v>392</v>
      </c>
      <c r="BJ94" t="s">
        <v>1736</v>
      </c>
      <c r="BK94" t="s">
        <v>2688</v>
      </c>
      <c r="BL94" t="s">
        <v>348</v>
      </c>
      <c r="BM94" t="s">
        <v>2693</v>
      </c>
      <c r="BN94">
        <v>1.45</v>
      </c>
      <c r="BO94" t="s">
        <v>81</v>
      </c>
      <c r="BP94">
        <v>1.68</v>
      </c>
      <c r="BQ94">
        <v>0.6</v>
      </c>
      <c r="BR94">
        <v>-4.25</v>
      </c>
      <c r="BS94">
        <v>1.22</v>
      </c>
      <c r="BT94" t="s">
        <v>1526</v>
      </c>
      <c r="BU94" t="s">
        <v>1354</v>
      </c>
      <c r="BV94">
        <v>24.27</v>
      </c>
      <c r="BW94">
        <v>28.61</v>
      </c>
      <c r="BX94">
        <v>28.83</v>
      </c>
      <c r="BY94">
        <v>-3.32</v>
      </c>
      <c r="BZ94">
        <v>-3.86</v>
      </c>
      <c r="CA94">
        <v>1.1599999999999999</v>
      </c>
      <c r="CB94">
        <v>-0.11</v>
      </c>
      <c r="CC94">
        <v>-15.49</v>
      </c>
      <c r="CD94" t="s">
        <v>4177</v>
      </c>
      <c r="CE94" t="s">
        <v>1086</v>
      </c>
      <c r="CF94" s="7">
        <v>0.93131868131868134</v>
      </c>
      <c r="CG94" s="8">
        <v>-0.95271861682242986</v>
      </c>
      <c r="CH94" s="7">
        <v>-0.21125370264053345</v>
      </c>
      <c r="CI94" s="7" t="s">
        <v>81</v>
      </c>
      <c r="CJ94" s="7" t="s">
        <v>81</v>
      </c>
      <c r="CK94" s="7">
        <v>-0.11279620975255966</v>
      </c>
      <c r="CL94" s="7">
        <v>0.23971797525882721</v>
      </c>
      <c r="CM94" s="8">
        <v>4.7236766815185547</v>
      </c>
      <c r="CN94" s="8" t="s">
        <v>81</v>
      </c>
      <c r="CO94" s="8" t="s">
        <v>81</v>
      </c>
      <c r="CP94" s="8" t="s">
        <v>81</v>
      </c>
      <c r="CQ94" s="8" t="s">
        <v>81</v>
      </c>
      <c r="CR94">
        <v>61.376963413794648</v>
      </c>
      <c r="CS94">
        <v>21.834063878815794</v>
      </c>
      <c r="CT94">
        <v>0</v>
      </c>
      <c r="CU94" s="7">
        <v>-2.8110645711421967E-2</v>
      </c>
      <c r="CV94" s="8">
        <v>4.7236766815185547</v>
      </c>
      <c r="CW94">
        <v>0.06</v>
      </c>
      <c r="CX94">
        <v>25.256895070422534</v>
      </c>
      <c r="CY94" t="s">
        <v>4178</v>
      </c>
      <c r="CZ94">
        <v>-2.8110645711421967E-2</v>
      </c>
      <c r="DA94">
        <v>8.4189650234741791</v>
      </c>
      <c r="DB94" t="s">
        <v>4179</v>
      </c>
      <c r="DC94">
        <v>-2.6705113425850868E-2</v>
      </c>
      <c r="DD94">
        <v>4.2094825117370895</v>
      </c>
      <c r="DE94" t="s">
        <v>4180</v>
      </c>
      <c r="DF94">
        <v>-2.473736822605133E-2</v>
      </c>
      <c r="DG94">
        <v>2.5256895070422534</v>
      </c>
      <c r="DH94" t="s">
        <v>4181</v>
      </c>
      <c r="DI94">
        <v>-2.2488516569137574E-2</v>
      </c>
      <c r="DJ94">
        <v>1.2628447535211267</v>
      </c>
      <c r="DK94" t="s">
        <v>4182</v>
      </c>
      <c r="DL94">
        <v>-1.9677451997995376E-2</v>
      </c>
      <c r="DM94">
        <v>284000000</v>
      </c>
      <c r="DN94">
        <v>-2.8110645711421967E-2</v>
      </c>
      <c r="DO94">
        <v>7172958200</v>
      </c>
      <c r="DP94">
        <v>2992346500</v>
      </c>
      <c r="DQ94">
        <v>3001</v>
      </c>
      <c r="DR94">
        <v>0.95942932703010331</v>
      </c>
      <c r="DS94">
        <v>-5.6763952983409842</v>
      </c>
      <c r="DT94" s="9">
        <v>-0.91</v>
      </c>
      <c r="DU94">
        <v>-0.42000000000000015</v>
      </c>
      <c r="DV94">
        <v>-1.33</v>
      </c>
      <c r="DW94">
        <v>-2.1549</v>
      </c>
      <c r="DX94">
        <v>0.45445701754386308</v>
      </c>
      <c r="DY94">
        <v>-2.0177293920175439</v>
      </c>
      <c r="DZ94">
        <v>3770</v>
      </c>
      <c r="EA94">
        <v>-2.0046491947756375</v>
      </c>
      <c r="EB94">
        <v>2</v>
      </c>
      <c r="EC94">
        <v>7.3274516776502485E-2</v>
      </c>
      <c r="ED94">
        <v>0.64019243510712542</v>
      </c>
      <c r="EE94" s="10">
        <v>-1.1069</v>
      </c>
      <c r="EF94">
        <v>-1.0852999999999999</v>
      </c>
      <c r="EG94">
        <v>34.114457017543863</v>
      </c>
      <c r="EH94" t="s">
        <v>1355</v>
      </c>
      <c r="EI94">
        <v>0</v>
      </c>
      <c r="EJ94">
        <v>0</v>
      </c>
      <c r="EK94" s="11">
        <v>45470</v>
      </c>
      <c r="EL94" s="12">
        <v>-2.09</v>
      </c>
      <c r="EM94" s="12">
        <v>-1.74</v>
      </c>
      <c r="EN94" s="12">
        <v>-1.05</v>
      </c>
      <c r="EO94" s="12">
        <v>1.46</v>
      </c>
      <c r="EP94" s="12">
        <v>-2.16</v>
      </c>
    </row>
    <row r="95" spans="1:146" ht="108" x14ac:dyDescent="0.25">
      <c r="A95" s="6"/>
      <c r="B95" s="6"/>
      <c r="C95" s="6" t="str">
        <f>""&amp;CHAR(10)&amp;Basic_Fundamental_Information_Constructure(F95)&amp;CHAR(10)&amp;Basic_Fundamental_Information_Concatenate("")</f>
        <v xml:space="preserve">
市值106.357135亿, 利润6618.35万; PE24.98; 平均PE35.09; 平均PEG2.21, PB1.1; ROIC4.9067%; ROE7.2767%; 股利率1.3562%; 毛利35.9033%; 净利5.9033%; 上一年度营收增-54.4%, 利润增-87.74%; 当季营收增205.16%, 利润增1551.99%; 过往5年营收增-15.89%, 利润增-87.74%
Income profile:
</v>
      </c>
      <c r="D95" t="s">
        <v>118</v>
      </c>
      <c r="E95" t="s">
        <v>44</v>
      </c>
      <c r="F95">
        <v>11.06</v>
      </c>
      <c r="G95">
        <v>1.19</v>
      </c>
      <c r="H95" t="s">
        <v>4183</v>
      </c>
      <c r="I95">
        <v>10635713500</v>
      </c>
      <c r="J95">
        <v>24.98</v>
      </c>
      <c r="K95">
        <v>1.1000000000000001</v>
      </c>
      <c r="L95" t="s">
        <v>100</v>
      </c>
      <c r="M95" t="s">
        <v>1934</v>
      </c>
      <c r="N95" t="s">
        <v>4184</v>
      </c>
      <c r="O95" t="s">
        <v>2694</v>
      </c>
      <c r="P95">
        <v>12.01</v>
      </c>
      <c r="Q95" t="s">
        <v>4185</v>
      </c>
      <c r="R95">
        <v>109649638</v>
      </c>
      <c r="S95" s="5">
        <v>-3.44E-2</v>
      </c>
      <c r="T95" t="s">
        <v>4186</v>
      </c>
      <c r="U95">
        <v>961633480</v>
      </c>
      <c r="V95">
        <v>961637750</v>
      </c>
      <c r="W95">
        <v>1.28</v>
      </c>
      <c r="X95" t="s">
        <v>81</v>
      </c>
      <c r="Y95">
        <v>3.53</v>
      </c>
      <c r="Z95" t="s">
        <v>81</v>
      </c>
      <c r="AA95" t="s">
        <v>81</v>
      </c>
      <c r="AB95" t="s">
        <v>81</v>
      </c>
      <c r="AC95" t="s">
        <v>81</v>
      </c>
      <c r="AD95" t="s">
        <v>81</v>
      </c>
      <c r="AE95">
        <v>2006908</v>
      </c>
      <c r="AF95" t="s">
        <v>2696</v>
      </c>
      <c r="AG95" t="s">
        <v>4187</v>
      </c>
      <c r="AH95" t="s">
        <v>2697</v>
      </c>
      <c r="AI95" t="s">
        <v>785</v>
      </c>
      <c r="AJ95" t="s">
        <v>2698</v>
      </c>
      <c r="AK95" t="s">
        <v>81</v>
      </c>
      <c r="AL95" t="s">
        <v>2699</v>
      </c>
      <c r="AM95" t="s">
        <v>81</v>
      </c>
      <c r="AN95" t="s">
        <v>4188</v>
      </c>
      <c r="AO95" t="s">
        <v>81</v>
      </c>
      <c r="AP95" t="s">
        <v>4189</v>
      </c>
      <c r="AQ95" t="s">
        <v>762</v>
      </c>
      <c r="AR95" t="s">
        <v>81</v>
      </c>
      <c r="AS95" t="s">
        <v>81</v>
      </c>
      <c r="AT95" t="s">
        <v>81</v>
      </c>
      <c r="AU95" t="s">
        <v>4190</v>
      </c>
      <c r="AV95" t="s">
        <v>4191</v>
      </c>
      <c r="AW95" t="s">
        <v>4192</v>
      </c>
      <c r="AX95" t="s">
        <v>1737</v>
      </c>
      <c r="AY95" t="s">
        <v>81</v>
      </c>
      <c r="AZ95" t="s">
        <v>909</v>
      </c>
      <c r="BA95" t="s">
        <v>911</v>
      </c>
      <c r="BB95" t="s">
        <v>912</v>
      </c>
      <c r="BC95" t="s">
        <v>964</v>
      </c>
      <c r="BD95" t="s">
        <v>81</v>
      </c>
      <c r="BE95" t="s">
        <v>81</v>
      </c>
      <c r="BF95" t="s">
        <v>81</v>
      </c>
      <c r="BG95" t="s">
        <v>81</v>
      </c>
      <c r="BH95" t="s">
        <v>2695</v>
      </c>
      <c r="BI95" t="s">
        <v>321</v>
      </c>
      <c r="BJ95" t="s">
        <v>1737</v>
      </c>
      <c r="BK95" t="s">
        <v>85</v>
      </c>
      <c r="BL95" t="s">
        <v>4193</v>
      </c>
      <c r="BM95" t="s">
        <v>964</v>
      </c>
      <c r="BN95">
        <v>1.57</v>
      </c>
      <c r="BO95">
        <v>3.67</v>
      </c>
      <c r="BP95">
        <v>9.48</v>
      </c>
      <c r="BQ95">
        <v>3.2</v>
      </c>
      <c r="BR95">
        <v>5.99</v>
      </c>
      <c r="BS95">
        <v>12.64</v>
      </c>
      <c r="BT95" t="s">
        <v>1528</v>
      </c>
      <c r="BU95" t="s">
        <v>1353</v>
      </c>
      <c r="BV95">
        <v>32.39</v>
      </c>
      <c r="BW95">
        <v>34.47</v>
      </c>
      <c r="BX95">
        <v>40.85</v>
      </c>
      <c r="BY95">
        <v>3.55</v>
      </c>
      <c r="BZ95">
        <v>4.47</v>
      </c>
      <c r="CA95">
        <v>9.69</v>
      </c>
      <c r="CB95">
        <v>0.73</v>
      </c>
      <c r="CC95">
        <v>8.5399999999999991</v>
      </c>
      <c r="CD95" t="s">
        <v>382</v>
      </c>
      <c r="CE95" t="s">
        <v>1945</v>
      </c>
      <c r="CF95" s="7">
        <v>2.0515603799185889</v>
      </c>
      <c r="CG95" s="8">
        <v>15.519861488141743</v>
      </c>
      <c r="CH95" s="7">
        <v>-0.54398715496063232</v>
      </c>
      <c r="CI95" s="7" t="s">
        <v>81</v>
      </c>
      <c r="CJ95" s="7" t="s">
        <v>81</v>
      </c>
      <c r="CK95" s="7">
        <v>4.0176082402467728E-2</v>
      </c>
      <c r="CL95" s="7">
        <v>2.6971852406859398E-2</v>
      </c>
      <c r="CM95" s="8">
        <v>-0.8774380087852478</v>
      </c>
      <c r="CN95" s="8" t="s">
        <v>81</v>
      </c>
      <c r="CO95" s="8" t="s">
        <v>81</v>
      </c>
      <c r="CP95" s="8" t="s">
        <v>81</v>
      </c>
      <c r="CQ95" s="8" t="s">
        <v>81</v>
      </c>
      <c r="CR95">
        <v>35.090739025394129</v>
      </c>
      <c r="CS95">
        <v>2.2077088592414569</v>
      </c>
      <c r="CT95">
        <v>1.3562386980108498</v>
      </c>
      <c r="CU95" s="7">
        <v>-0.15894640671710172</v>
      </c>
      <c r="CV95" s="8">
        <v>-0.8774380087852478</v>
      </c>
      <c r="CW95">
        <v>0.06</v>
      </c>
      <c r="CX95">
        <v>50.808940294786467</v>
      </c>
      <c r="CY95" t="s">
        <v>4194</v>
      </c>
      <c r="CZ95">
        <v>-0.15894640671710172</v>
      </c>
      <c r="DA95">
        <v>16.936313431595487</v>
      </c>
      <c r="DB95" t="s">
        <v>4195</v>
      </c>
      <c r="DC95">
        <v>-0.15099908638124662</v>
      </c>
      <c r="DD95">
        <v>8.4681567157977433</v>
      </c>
      <c r="DE95" t="s">
        <v>4196</v>
      </c>
      <c r="DF95">
        <v>-0.13987283791104951</v>
      </c>
      <c r="DG95">
        <v>5.0808940294786469</v>
      </c>
      <c r="DH95" t="s">
        <v>4197</v>
      </c>
      <c r="DI95">
        <v>-0.12715712537368137</v>
      </c>
      <c r="DJ95">
        <v>2.5404470147393234</v>
      </c>
      <c r="DK95" t="s">
        <v>4198</v>
      </c>
      <c r="DL95">
        <v>-0.1112624847019712</v>
      </c>
      <c r="DM95">
        <v>66183500</v>
      </c>
      <c r="DN95">
        <v>-0.15894640671710172</v>
      </c>
      <c r="DO95">
        <v>3362713500</v>
      </c>
      <c r="DP95">
        <v>5666395100</v>
      </c>
      <c r="DQ95">
        <v>3013</v>
      </c>
      <c r="DR95">
        <v>2.2105067866356904</v>
      </c>
      <c r="DS95">
        <v>16.397299496926991</v>
      </c>
      <c r="DT95" s="9">
        <v>-0.91</v>
      </c>
      <c r="DU95">
        <v>-2.3199999999999998</v>
      </c>
      <c r="DV95">
        <v>-3.23</v>
      </c>
      <c r="DW95">
        <v>2.0853999999999999</v>
      </c>
      <c r="DX95">
        <v>0.42953410981697149</v>
      </c>
      <c r="DY95">
        <v>2.0238722129783695</v>
      </c>
      <c r="DZ95">
        <v>1750</v>
      </c>
      <c r="EA95">
        <v>2.0156967975748183</v>
      </c>
      <c r="EB95">
        <v>2</v>
      </c>
      <c r="EC95">
        <v>0.17470196027558194</v>
      </c>
      <c r="ED95">
        <v>0.62497546503348067</v>
      </c>
      <c r="EE95" s="10">
        <v>3.0933999999999999</v>
      </c>
      <c r="EF95">
        <v>3.0569000000000002</v>
      </c>
      <c r="EG95">
        <v>15.279534109816971</v>
      </c>
      <c r="EH95" t="s">
        <v>2294</v>
      </c>
      <c r="EI95">
        <v>1</v>
      </c>
      <c r="EJ95">
        <v>0</v>
      </c>
      <c r="EK95" s="11">
        <v>45470</v>
      </c>
      <c r="EL95" s="12">
        <v>-0.55000000000000004</v>
      </c>
      <c r="EM95" s="12">
        <v>-4.58</v>
      </c>
      <c r="EN95" s="12">
        <v>1.45</v>
      </c>
      <c r="EO95" s="12">
        <v>5.87</v>
      </c>
      <c r="EP95" s="12">
        <v>-3.65</v>
      </c>
    </row>
    <row r="96" spans="1:146" ht="108" x14ac:dyDescent="0.25">
      <c r="A96" s="6"/>
      <c r="B96" s="6"/>
      <c r="C96" s="6" t="str">
        <f>""&amp;CHAR(10)&amp;Basic_Fundamental_Information_Constructure(F96)&amp;CHAR(10)&amp;Basic_Fundamental_Information_Concatenate("")</f>
        <v xml:space="preserve">
市值86.242183亿, 利润2.27亿; PE; 平均PE24.09; 平均PEG2.84, PB1.08; ROIC4.4867%; ROE6.3933%; 股利率0%; 毛利40.9967%; 净利2.45%; 上一年度营收增-36.67%, 利润增-53.58%; 当季营收增143.05%, 利润增869.1%; 过往5年营收增-8.48%, 利润增-53.58%
Income profile:
</v>
      </c>
      <c r="D96" t="s">
        <v>175</v>
      </c>
      <c r="E96" t="s">
        <v>62</v>
      </c>
      <c r="F96">
        <v>7.14</v>
      </c>
      <c r="G96">
        <v>3.48</v>
      </c>
      <c r="H96" t="s">
        <v>4199</v>
      </c>
      <c r="I96">
        <v>8624218300</v>
      </c>
      <c r="K96">
        <v>1.08</v>
      </c>
      <c r="L96" t="s">
        <v>100</v>
      </c>
      <c r="M96" t="s">
        <v>2700</v>
      </c>
      <c r="N96" t="s">
        <v>4200</v>
      </c>
      <c r="O96" t="s">
        <v>2702</v>
      </c>
      <c r="P96">
        <v>-11</v>
      </c>
      <c r="Q96" t="s">
        <v>4201</v>
      </c>
      <c r="R96">
        <v>248531290</v>
      </c>
      <c r="S96" s="5">
        <v>6.9900000000000004E-2</v>
      </c>
      <c r="T96" t="s">
        <v>425</v>
      </c>
      <c r="U96">
        <v>1191816860</v>
      </c>
      <c r="V96">
        <v>1207873720</v>
      </c>
      <c r="W96">
        <v>2.1</v>
      </c>
      <c r="X96" t="s">
        <v>81</v>
      </c>
      <c r="Y96">
        <v>9.0399999999999991</v>
      </c>
      <c r="Z96" t="s">
        <v>81</v>
      </c>
      <c r="AA96" t="s">
        <v>81</v>
      </c>
      <c r="AB96" t="s">
        <v>81</v>
      </c>
      <c r="AC96" t="s">
        <v>81</v>
      </c>
      <c r="AD96" t="s">
        <v>81</v>
      </c>
      <c r="AE96">
        <v>37947103</v>
      </c>
      <c r="AF96" t="s">
        <v>2705</v>
      </c>
      <c r="AG96" t="s">
        <v>4202</v>
      </c>
      <c r="AH96" t="s">
        <v>2706</v>
      </c>
      <c r="AI96" t="s">
        <v>4203</v>
      </c>
      <c r="AJ96" t="s">
        <v>2707</v>
      </c>
      <c r="AK96" t="s">
        <v>81</v>
      </c>
      <c r="AL96" t="s">
        <v>2708</v>
      </c>
      <c r="AM96" t="s">
        <v>81</v>
      </c>
      <c r="AN96" t="s">
        <v>1971</v>
      </c>
      <c r="AO96" t="s">
        <v>81</v>
      </c>
      <c r="AP96" t="s">
        <v>2525</v>
      </c>
      <c r="AQ96" t="s">
        <v>1910</v>
      </c>
      <c r="AR96" t="s">
        <v>2709</v>
      </c>
      <c r="AS96" t="s">
        <v>81</v>
      </c>
      <c r="AT96" t="s">
        <v>81</v>
      </c>
      <c r="AU96" t="s">
        <v>1123</v>
      </c>
      <c r="AV96" t="s">
        <v>4204</v>
      </c>
      <c r="AW96" t="s">
        <v>4205</v>
      </c>
      <c r="AX96" t="s">
        <v>1740</v>
      </c>
      <c r="AY96" t="s">
        <v>81</v>
      </c>
      <c r="AZ96" t="s">
        <v>914</v>
      </c>
      <c r="BA96" t="s">
        <v>916</v>
      </c>
      <c r="BB96" t="s">
        <v>917</v>
      </c>
      <c r="BC96" t="s">
        <v>1069</v>
      </c>
      <c r="BD96" t="s">
        <v>81</v>
      </c>
      <c r="BE96" t="s">
        <v>81</v>
      </c>
      <c r="BF96" t="s">
        <v>81</v>
      </c>
      <c r="BG96" t="s">
        <v>81</v>
      </c>
      <c r="BH96" t="s">
        <v>2703</v>
      </c>
      <c r="BI96" t="s">
        <v>4188</v>
      </c>
      <c r="BJ96" t="s">
        <v>1740</v>
      </c>
      <c r="BK96" t="s">
        <v>2704</v>
      </c>
      <c r="BL96" t="s">
        <v>4206</v>
      </c>
      <c r="BM96" t="s">
        <v>1069</v>
      </c>
      <c r="BN96">
        <v>3.97</v>
      </c>
      <c r="BO96">
        <v>4.5999999999999996</v>
      </c>
      <c r="BP96">
        <v>4.8899999999999997</v>
      </c>
      <c r="BQ96">
        <v>5.31</v>
      </c>
      <c r="BR96">
        <v>6.38</v>
      </c>
      <c r="BS96">
        <v>7.49</v>
      </c>
      <c r="BT96" t="s">
        <v>1526</v>
      </c>
      <c r="BU96" t="s">
        <v>1354</v>
      </c>
      <c r="BV96">
        <v>40.340000000000003</v>
      </c>
      <c r="BW96">
        <v>41.86</v>
      </c>
      <c r="BX96">
        <v>40.79</v>
      </c>
      <c r="BY96">
        <v>-0.94</v>
      </c>
      <c r="BZ96">
        <v>4.08</v>
      </c>
      <c r="CA96">
        <v>4.21</v>
      </c>
      <c r="CB96">
        <v>1.71</v>
      </c>
      <c r="CC96">
        <v>-9.6199999999999992</v>
      </c>
      <c r="CD96" t="s">
        <v>4207</v>
      </c>
      <c r="CE96" t="s">
        <v>444</v>
      </c>
      <c r="CF96" s="7">
        <v>1.4304812834224598</v>
      </c>
      <c r="CG96" s="8">
        <v>8.6910145600272326</v>
      </c>
      <c r="CH96" s="7">
        <v>-0.36670267581939697</v>
      </c>
      <c r="CI96" s="7" t="s">
        <v>81</v>
      </c>
      <c r="CJ96" s="7" t="s">
        <v>81</v>
      </c>
      <c r="CK96" s="7">
        <v>2.5469688698649406E-2</v>
      </c>
      <c r="CL96" s="7">
        <v>8.6875453591346741E-2</v>
      </c>
      <c r="CM96" s="8">
        <v>-0.53578734397888184</v>
      </c>
      <c r="CN96" s="8" t="s">
        <v>81</v>
      </c>
      <c r="CO96" s="8" t="s">
        <v>81</v>
      </c>
      <c r="CP96" s="8" t="s">
        <v>81</v>
      </c>
      <c r="CQ96" s="8" t="s">
        <v>81</v>
      </c>
      <c r="CR96">
        <v>24.089995251396648</v>
      </c>
      <c r="CS96">
        <v>2.8412756151307925</v>
      </c>
      <c r="CT96">
        <v>0</v>
      </c>
      <c r="CU96" s="7">
        <v>-8.4785844509800271E-2</v>
      </c>
      <c r="CV96" s="8">
        <v>-0.53578734397888184</v>
      </c>
      <c r="CW96">
        <v>0.06</v>
      </c>
      <c r="CX96">
        <v>42.282899999999998</v>
      </c>
      <c r="CY96" t="s">
        <v>4208</v>
      </c>
      <c r="CZ96">
        <v>-8.4785844509800271E-2</v>
      </c>
      <c r="DA96">
        <v>14.0943</v>
      </c>
      <c r="DB96" t="s">
        <v>4209</v>
      </c>
      <c r="DC96">
        <v>-8.0546552284310249E-2</v>
      </c>
      <c r="DD96">
        <v>7.0471500000000002</v>
      </c>
      <c r="DE96" t="s">
        <v>4210</v>
      </c>
      <c r="DF96">
        <v>-7.4611543168624242E-2</v>
      </c>
      <c r="DG96">
        <v>4.2282900000000003</v>
      </c>
      <c r="DH96" t="s">
        <v>4211</v>
      </c>
      <c r="DI96">
        <v>-6.7828675607840214E-2</v>
      </c>
      <c r="DJ96">
        <v>2.1141450000000002</v>
      </c>
      <c r="DK96" t="s">
        <v>4212</v>
      </c>
      <c r="DL96">
        <v>-5.9350091156860185E-2</v>
      </c>
      <c r="DM96">
        <v>227000000</v>
      </c>
      <c r="DN96">
        <v>-8.4785844509800271E-2</v>
      </c>
      <c r="DO96">
        <v>9598218300</v>
      </c>
      <c r="DP96">
        <v>6374059000</v>
      </c>
      <c r="DQ96">
        <v>3053</v>
      </c>
      <c r="DR96">
        <v>1.51526712793226</v>
      </c>
      <c r="DS96">
        <v>9.2268019040061144</v>
      </c>
      <c r="DT96" s="9">
        <v>-0.91</v>
      </c>
      <c r="DU96">
        <v>-1.1599999999999999</v>
      </c>
      <c r="DV96">
        <v>-2.0699999999999998</v>
      </c>
      <c r="DW96">
        <v>-2.0962000000000001</v>
      </c>
      <c r="DX96">
        <v>0.51065466666666404</v>
      </c>
      <c r="DY96">
        <v>-2.0164169789333335</v>
      </c>
      <c r="DZ96">
        <v>4168</v>
      </c>
      <c r="EA96">
        <v>-2.0030263785039533</v>
      </c>
      <c r="EB96">
        <v>2</v>
      </c>
      <c r="EC96">
        <v>3.1789167496747921E-2</v>
      </c>
      <c r="ED96">
        <v>0.18627775095562141</v>
      </c>
      <c r="EE96" s="10">
        <v>1.7299999999999999E-2</v>
      </c>
      <c r="EF96">
        <v>3.209999999999998E-3</v>
      </c>
      <c r="EG96">
        <v>34.170654666666664</v>
      </c>
      <c r="EH96">
        <v>-1</v>
      </c>
      <c r="EI96">
        <v>0</v>
      </c>
      <c r="EJ96">
        <v>0</v>
      </c>
      <c r="EK96" s="11">
        <v>45470</v>
      </c>
      <c r="EL96" s="12">
        <v>-0.49</v>
      </c>
      <c r="EM96" s="12">
        <v>-5.15</v>
      </c>
      <c r="EN96" s="12">
        <v>1.55</v>
      </c>
      <c r="EO96" s="12">
        <v>-0.51</v>
      </c>
      <c r="EP96" s="12">
        <v>-2.0499999999999998</v>
      </c>
    </row>
    <row r="97" spans="1:146" ht="228" x14ac:dyDescent="0.25">
      <c r="A97" s="6" t="s">
        <v>1470</v>
      </c>
      <c r="B97" s="6"/>
      <c r="C97" s="6" t="str">
        <f>"公司主营业务涉及药品研发、生产和销售，主要产品是艾瑞昔布片、甲磺酸阿帕替尼片、硫培非格司亭注射液、马来酸吡咯替尼片、注射用卡瑞利珠单抗、注射用甲苯磺酸瑞马唑仑、氟唑帕利胶囊、海曲泊帕乙醇胺片、碘克沙醇注射液、酒石酸布托啡诺注射液、托伐普坦片、多西他赛注射液、厄贝沙坦片、注射用顺苯磺酸阿曲库铵。公司是国内最大的抗肿瘤药、手术用药和造影剂的研究和生产基地之一。"&amp;CHAR(10)&amp;Basic_Fundamental_Information_Constructure(F97)&amp;CHAR(10)&amp;Basic_Fundamental_Information_Concatenate("抗肿瘤 130.72亿 50.46% 53.48% 90.68%
麻醉 49.16亿 18.98% 19.76% 89.08%
其他 45.23亿 17.46% 15.69% 76.89%
造影剂 32.70亿 12.62% 10.66% 72.24%")</f>
        <v>公司主营业务涉及药品研发、生产和销售，主要产品是艾瑞昔布片、甲磺酸阿帕替尼片、硫培非格司亭注射液、马来酸吡咯替尼片、注射用卡瑞利珠单抗、注射用甲苯磺酸瑞马唑仑、氟唑帕利胶囊、海曲泊帕乙醇胺片、碘克沙醇注射液、酒石酸布托啡诺注射液、托伐普坦片、多西他赛注射液、厄贝沙坦片、注射用顺苯磺酸阿曲库铵。公司是国内最大的抗肿瘤药、手术用药和造影剂的研究和生产基地之一。
市值2553.5146亿, 利润-5.42亿; PE57.61; 平均PE64.88; 平均PEG10.64, PB6.1; ROIC9.79%; ROE11.2533%; 股利率.4996%; 毛利84.5733%; 净利17.9967%; 上一年度营收增-58.82%, 利润增-113.88%; 当季营收增122.23%, 利润增8456.24%; 过往5年营收增-6.1%, 利润增-21.25%
Income profile:
抗肿瘤 130.72亿 50.46% 53.48% 90.68%
麻醉 49.16亿 18.98% 19.76% 89.08%
其他 45.23亿 17.46% 15.69% 76.89%
造影剂 32.70亿 12.62% 10.66% 72.24%</v>
      </c>
      <c r="D97" t="s">
        <v>119</v>
      </c>
      <c r="E97" t="s">
        <v>78</v>
      </c>
      <c r="F97">
        <v>40.03</v>
      </c>
      <c r="G97">
        <v>4.1100000000000003</v>
      </c>
      <c r="H97" t="s">
        <v>4213</v>
      </c>
      <c r="I97">
        <v>255351460000</v>
      </c>
      <c r="J97">
        <v>57.61</v>
      </c>
      <c r="K97">
        <v>6.1</v>
      </c>
      <c r="L97" t="s">
        <v>100</v>
      </c>
      <c r="M97" t="s">
        <v>2710</v>
      </c>
      <c r="N97" t="s">
        <v>4214</v>
      </c>
      <c r="O97" t="s">
        <v>2711</v>
      </c>
      <c r="P97">
        <v>9.1999999999999993</v>
      </c>
      <c r="Q97" t="s">
        <v>4215</v>
      </c>
      <c r="R97">
        <v>1368929200</v>
      </c>
      <c r="S97" s="5">
        <v>0.1048</v>
      </c>
      <c r="T97" t="s">
        <v>4216</v>
      </c>
      <c r="U97">
        <v>6379002300</v>
      </c>
      <c r="V97">
        <v>6379002300</v>
      </c>
      <c r="W97">
        <v>1.0900000000000001</v>
      </c>
      <c r="X97">
        <v>0.13</v>
      </c>
      <c r="Y97">
        <v>22.8</v>
      </c>
      <c r="Z97" t="s">
        <v>4217</v>
      </c>
      <c r="AA97" t="s">
        <v>4218</v>
      </c>
      <c r="AB97" t="s">
        <v>4219</v>
      </c>
      <c r="AC97" t="s">
        <v>1689</v>
      </c>
      <c r="AD97" t="s">
        <v>81</v>
      </c>
      <c r="AE97">
        <v>-148635540</v>
      </c>
      <c r="AF97" t="s">
        <v>2714</v>
      </c>
      <c r="AG97" t="s">
        <v>4220</v>
      </c>
      <c r="AH97" t="s">
        <v>2715</v>
      </c>
      <c r="AI97" t="s">
        <v>4221</v>
      </c>
      <c r="AJ97" t="s">
        <v>2716</v>
      </c>
      <c r="AK97" t="s">
        <v>341</v>
      </c>
      <c r="AL97" t="s">
        <v>2717</v>
      </c>
      <c r="AM97" t="s">
        <v>81</v>
      </c>
      <c r="AN97" t="s">
        <v>1302</v>
      </c>
      <c r="AO97" t="s">
        <v>81</v>
      </c>
      <c r="AP97" t="s">
        <v>264</v>
      </c>
      <c r="AQ97" t="s">
        <v>708</v>
      </c>
      <c r="AR97" t="s">
        <v>81</v>
      </c>
      <c r="AS97" t="s">
        <v>4222</v>
      </c>
      <c r="AT97" t="s">
        <v>81</v>
      </c>
      <c r="AU97" t="s">
        <v>708</v>
      </c>
      <c r="AV97" t="s">
        <v>4223</v>
      </c>
      <c r="AW97" t="s">
        <v>4224</v>
      </c>
      <c r="AX97" t="s">
        <v>1741</v>
      </c>
      <c r="AY97" t="s">
        <v>1285</v>
      </c>
      <c r="AZ97" t="s">
        <v>918</v>
      </c>
      <c r="BA97" t="s">
        <v>921</v>
      </c>
      <c r="BB97" t="s">
        <v>922</v>
      </c>
      <c r="BC97" t="s">
        <v>1742</v>
      </c>
      <c r="BD97" t="s">
        <v>1286</v>
      </c>
      <c r="BE97" t="s">
        <v>919</v>
      </c>
      <c r="BF97" t="s">
        <v>923</v>
      </c>
      <c r="BG97" t="s">
        <v>924</v>
      </c>
      <c r="BH97" t="s">
        <v>2712</v>
      </c>
      <c r="BI97" t="s">
        <v>4225</v>
      </c>
      <c r="BJ97" t="s">
        <v>1741</v>
      </c>
      <c r="BK97" t="s">
        <v>2713</v>
      </c>
      <c r="BL97" t="s">
        <v>4226</v>
      </c>
      <c r="BM97" t="s">
        <v>1742</v>
      </c>
      <c r="BN97">
        <v>7.8</v>
      </c>
      <c r="BO97">
        <v>9.17</v>
      </c>
      <c r="BP97">
        <v>12.4</v>
      </c>
      <c r="BQ97">
        <v>8.91</v>
      </c>
      <c r="BR97">
        <v>10.89</v>
      </c>
      <c r="BS97">
        <v>13.96</v>
      </c>
      <c r="BT97" t="s">
        <v>1539</v>
      </c>
      <c r="BU97" t="s">
        <v>1354</v>
      </c>
      <c r="BV97">
        <v>84.55</v>
      </c>
      <c r="BW97">
        <v>83.61</v>
      </c>
      <c r="BX97">
        <v>85.56</v>
      </c>
      <c r="BY97">
        <v>18.75</v>
      </c>
      <c r="BZ97">
        <v>17.93</v>
      </c>
      <c r="CA97">
        <v>17.309999999999999</v>
      </c>
      <c r="CB97">
        <v>4.08</v>
      </c>
      <c r="CC97">
        <v>-7.02</v>
      </c>
      <c r="CD97" t="s">
        <v>412</v>
      </c>
      <c r="CE97" t="s">
        <v>560</v>
      </c>
      <c r="CF97" s="7">
        <v>1.2223045572434235</v>
      </c>
      <c r="CG97" s="8">
        <v>84.562353117655888</v>
      </c>
      <c r="CH97" s="7">
        <v>-0.58820211887359619</v>
      </c>
      <c r="CI97" s="7">
        <v>-0.17876164615154266</v>
      </c>
      <c r="CJ97" s="7">
        <v>-6.5945528447628021E-2</v>
      </c>
      <c r="CK97" s="7">
        <v>0.19090554118156433</v>
      </c>
      <c r="CL97" s="7">
        <v>0.33706507086753845</v>
      </c>
      <c r="CM97" s="8">
        <v>-1.1387609243392944</v>
      </c>
      <c r="CN97" s="8">
        <v>-0.1377483457326889</v>
      </c>
      <c r="CO97" s="8">
        <v>-0.28413403034210205</v>
      </c>
      <c r="CP97" s="8">
        <v>0.18768769502639771</v>
      </c>
      <c r="CQ97" s="8">
        <v>0.3103787899017334</v>
      </c>
      <c r="CR97">
        <v>64.87587906504065</v>
      </c>
      <c r="CS97">
        <v>10.637528627420322</v>
      </c>
      <c r="CT97">
        <v>0.49962528103922055</v>
      </c>
      <c r="CU97" s="7">
        <v>-6.0987736284732821E-2</v>
      </c>
      <c r="CV97" s="8">
        <v>-0.21251536309719085</v>
      </c>
      <c r="CW97">
        <v>0.06</v>
      </c>
      <c r="CX97" t="e">
        <v>#VALUE!</v>
      </c>
      <c r="CY97" t="s">
        <v>1362</v>
      </c>
      <c r="CZ97">
        <v>-6.0987736284732821E-2</v>
      </c>
      <c r="DA97" t="e">
        <v>#VALUE!</v>
      </c>
      <c r="DB97" t="s">
        <v>1362</v>
      </c>
      <c r="DC97">
        <v>-5.7938349470496177E-2</v>
      </c>
      <c r="DD97" t="e">
        <v>#VALUE!</v>
      </c>
      <c r="DE97" t="s">
        <v>1362</v>
      </c>
      <c r="DF97">
        <v>-5.3669207930564886E-2</v>
      </c>
      <c r="DG97" t="e">
        <v>#VALUE!</v>
      </c>
      <c r="DH97" t="s">
        <v>1362</v>
      </c>
      <c r="DI97">
        <v>-4.8790189027786257E-2</v>
      </c>
      <c r="DJ97" t="e">
        <v>#VALUE!</v>
      </c>
      <c r="DK97" t="s">
        <v>1362</v>
      </c>
      <c r="DL97">
        <v>-4.2691415399312975E-2</v>
      </c>
      <c r="DM97">
        <v>-542000000</v>
      </c>
      <c r="DN97">
        <v>-6.0987736284732821E-2</v>
      </c>
      <c r="DO97">
        <v>215663460000</v>
      </c>
      <c r="DP97">
        <v>30014252000</v>
      </c>
      <c r="DQ97">
        <v>3059</v>
      </c>
      <c r="DR97">
        <v>1.2832922935281563</v>
      </c>
      <c r="DS97">
        <v>84.774868480753085</v>
      </c>
      <c r="DT97" s="9">
        <v>-0.54</v>
      </c>
      <c r="DU97">
        <v>-0.88666666666666671</v>
      </c>
      <c r="DV97">
        <v>-1.4266666666666667</v>
      </c>
      <c r="DW97">
        <v>6.3675675675675674</v>
      </c>
      <c r="DX97">
        <v>0.58133414932680549</v>
      </c>
      <c r="DY97">
        <v>6.0850309305633665</v>
      </c>
      <c r="DZ97">
        <v>2781</v>
      </c>
      <c r="EA97">
        <v>6.0387548018164541</v>
      </c>
      <c r="EB97">
        <v>6</v>
      </c>
      <c r="EC97">
        <v>2.9628457729196932E-2</v>
      </c>
      <c r="ED97">
        <v>0.12807645483996768</v>
      </c>
      <c r="EE97" s="10">
        <v>1.03071</v>
      </c>
      <c r="EF97">
        <v>1.0517099999999999</v>
      </c>
      <c r="EG97">
        <v>35.231334149326806</v>
      </c>
      <c r="EH97" t="s">
        <v>1363</v>
      </c>
      <c r="EI97">
        <v>0</v>
      </c>
      <c r="EJ97">
        <v>0</v>
      </c>
      <c r="EK97" s="11">
        <v>45470</v>
      </c>
      <c r="EL97" s="12">
        <v>-1.1399999999999999</v>
      </c>
      <c r="EM97" s="12">
        <v>-2.0099999999999998</v>
      </c>
      <c r="EN97" s="12">
        <v>2.93</v>
      </c>
      <c r="EO97" s="12">
        <v>1.85</v>
      </c>
      <c r="EP97" s="12">
        <v>-2.1</v>
      </c>
    </row>
    <row r="98" spans="1:146" ht="108" x14ac:dyDescent="0.25">
      <c r="A98" s="6"/>
      <c r="B98" s="6"/>
      <c r="C98" s="6" t="str">
        <f>""&amp;CHAR(10)&amp;Basic_Fundamental_Information_Constructure(F98)&amp;CHAR(10)&amp;Basic_Fundamental_Information_Concatenate("")</f>
        <v xml:space="preserve">
市值205.01772亿, 利润-2.68亿; PE14.44; 平均PE23.32; 平均PEG2.18, PB1.43; ROIC9.5967%; ROE10.65%; 股利率1.6453%; 毛利63.25%; 净利16.8133%; 上一年度营收增-98.75%, 利润增-117.83%; 当季营收增7602.36%, 利润增1631.41%; 过往5年营收增-10.71%, 利润增-6.58%
Income profile:
</v>
      </c>
      <c r="D98" t="s">
        <v>168</v>
      </c>
      <c r="E98" t="s">
        <v>1132</v>
      </c>
      <c r="F98">
        <v>10.94</v>
      </c>
      <c r="G98">
        <v>2.15</v>
      </c>
      <c r="H98" t="s">
        <v>4227</v>
      </c>
      <c r="I98">
        <v>20501772000</v>
      </c>
      <c r="J98">
        <v>14.44</v>
      </c>
      <c r="K98">
        <v>1.43</v>
      </c>
      <c r="L98" t="s">
        <v>100</v>
      </c>
      <c r="M98" t="s">
        <v>2718</v>
      </c>
      <c r="N98" t="s">
        <v>4228</v>
      </c>
      <c r="O98" t="s">
        <v>2719</v>
      </c>
      <c r="P98">
        <v>-4.8099999999999996</v>
      </c>
      <c r="Q98" t="s">
        <v>1481</v>
      </c>
      <c r="R98">
        <v>439798110</v>
      </c>
      <c r="S98" s="5">
        <v>-4.9599999999999998E-2</v>
      </c>
      <c r="T98" t="s">
        <v>4229</v>
      </c>
      <c r="U98">
        <v>1874019300</v>
      </c>
      <c r="V98">
        <v>1874019300</v>
      </c>
      <c r="W98">
        <v>1.55</v>
      </c>
      <c r="X98">
        <v>0.12</v>
      </c>
      <c r="Y98">
        <v>21.32</v>
      </c>
      <c r="Z98" t="s">
        <v>4230</v>
      </c>
      <c r="AA98" t="s">
        <v>2158</v>
      </c>
      <c r="AB98" t="s">
        <v>1410</v>
      </c>
      <c r="AC98" t="s">
        <v>1987</v>
      </c>
      <c r="AD98" t="s">
        <v>81</v>
      </c>
      <c r="AE98">
        <v>-73644644</v>
      </c>
      <c r="AF98" t="s">
        <v>2721</v>
      </c>
      <c r="AG98" t="s">
        <v>4231</v>
      </c>
      <c r="AH98" t="s">
        <v>2722</v>
      </c>
      <c r="AI98" t="s">
        <v>4232</v>
      </c>
      <c r="AJ98" t="s">
        <v>2723</v>
      </c>
      <c r="AK98" t="s">
        <v>4233</v>
      </c>
      <c r="AL98" t="s">
        <v>2724</v>
      </c>
      <c r="AM98" t="s">
        <v>81</v>
      </c>
      <c r="AN98" t="s">
        <v>656</v>
      </c>
      <c r="AO98" t="s">
        <v>778</v>
      </c>
      <c r="AP98" t="s">
        <v>2268</v>
      </c>
      <c r="AQ98" t="s">
        <v>1543</v>
      </c>
      <c r="AR98" t="s">
        <v>81</v>
      </c>
      <c r="AS98" t="s">
        <v>4234</v>
      </c>
      <c r="AT98" t="s">
        <v>4235</v>
      </c>
      <c r="AU98" t="s">
        <v>2289</v>
      </c>
      <c r="AV98" t="s">
        <v>2322</v>
      </c>
      <c r="AW98" t="s">
        <v>4236</v>
      </c>
      <c r="AX98" t="s">
        <v>1743</v>
      </c>
      <c r="AY98" t="s">
        <v>1287</v>
      </c>
      <c r="AZ98" t="s">
        <v>925</v>
      </c>
      <c r="BA98" t="s">
        <v>928</v>
      </c>
      <c r="BB98" t="s">
        <v>929</v>
      </c>
      <c r="BC98" t="s">
        <v>1744</v>
      </c>
      <c r="BD98" t="s">
        <v>1288</v>
      </c>
      <c r="BE98" t="s">
        <v>926</v>
      </c>
      <c r="BF98" t="s">
        <v>930</v>
      </c>
      <c r="BG98" t="s">
        <v>500</v>
      </c>
      <c r="BH98" t="s">
        <v>2720</v>
      </c>
      <c r="BI98" t="s">
        <v>4237</v>
      </c>
      <c r="BJ98" t="s">
        <v>1743</v>
      </c>
      <c r="BK98" t="s">
        <v>2311</v>
      </c>
      <c r="BL98" t="s">
        <v>4238</v>
      </c>
      <c r="BM98" t="s">
        <v>1744</v>
      </c>
      <c r="BN98">
        <v>7.16</v>
      </c>
      <c r="BO98">
        <v>10.5</v>
      </c>
      <c r="BP98">
        <v>11.13</v>
      </c>
      <c r="BQ98">
        <v>8.2200000000000006</v>
      </c>
      <c r="BR98">
        <v>12.23</v>
      </c>
      <c r="BS98">
        <v>11.5</v>
      </c>
      <c r="BT98" t="s">
        <v>2726</v>
      </c>
      <c r="BU98" t="s">
        <v>1354</v>
      </c>
      <c r="BV98">
        <v>62.16</v>
      </c>
      <c r="BW98">
        <v>63.53</v>
      </c>
      <c r="BX98">
        <v>64.06</v>
      </c>
      <c r="BY98">
        <v>17.13</v>
      </c>
      <c r="BZ98">
        <v>16.88</v>
      </c>
      <c r="CA98">
        <v>16.43</v>
      </c>
      <c r="CB98">
        <v>-2.06</v>
      </c>
      <c r="CC98">
        <v>-12.9</v>
      </c>
      <c r="CD98" t="s">
        <v>4239</v>
      </c>
      <c r="CE98" t="s">
        <v>356</v>
      </c>
      <c r="CF98" s="7">
        <v>76.023554299831048</v>
      </c>
      <c r="CG98" s="8">
        <v>16.314104497101173</v>
      </c>
      <c r="CH98" s="7">
        <v>-0.98751682043075562</v>
      </c>
      <c r="CI98" s="7">
        <v>7.7904932200908661E-2</v>
      </c>
      <c r="CJ98" s="7">
        <v>0.1761573851108551</v>
      </c>
      <c r="CK98" s="7">
        <v>0.12871448695659637</v>
      </c>
      <c r="CL98" s="7">
        <v>6.9261021912097931E-2</v>
      </c>
      <c r="CM98" s="8">
        <v>-1.1783100366592407</v>
      </c>
      <c r="CN98" s="8">
        <v>0.13177715241909027</v>
      </c>
      <c r="CO98" s="8">
        <v>0.18571428954601288</v>
      </c>
      <c r="CP98" s="8">
        <v>0.25279641151428223</v>
      </c>
      <c r="CQ98" s="8">
        <v>0.27896994352340698</v>
      </c>
      <c r="CR98">
        <v>23.315131159969674</v>
      </c>
      <c r="CS98">
        <v>2.177035085438995</v>
      </c>
      <c r="CT98">
        <v>1.6453382084095065</v>
      </c>
      <c r="CU98" s="7">
        <v>-0.10709579885005951</v>
      </c>
      <c r="CV98" s="8">
        <v>-6.5810447931289678E-2</v>
      </c>
      <c r="CW98">
        <v>0.06</v>
      </c>
      <c r="CX98" t="e">
        <v>#VALUE!</v>
      </c>
      <c r="CY98" t="s">
        <v>1362</v>
      </c>
      <c r="CZ98">
        <v>-0.10709579885005951</v>
      </c>
      <c r="DA98" t="e">
        <v>#VALUE!</v>
      </c>
      <c r="DB98" t="s">
        <v>1362</v>
      </c>
      <c r="DC98">
        <v>-0.10174100890755654</v>
      </c>
      <c r="DD98" t="e">
        <v>#VALUE!</v>
      </c>
      <c r="DE98" t="s">
        <v>1362</v>
      </c>
      <c r="DF98">
        <v>-9.4244302988052378E-2</v>
      </c>
      <c r="DG98" t="e">
        <v>#VALUE!</v>
      </c>
      <c r="DH98" t="s">
        <v>1362</v>
      </c>
      <c r="DI98">
        <v>-8.567663908004762E-2</v>
      </c>
      <c r="DJ98" t="e">
        <v>#VALUE!</v>
      </c>
      <c r="DK98" t="s">
        <v>1362</v>
      </c>
      <c r="DL98">
        <v>-7.4967059195041652E-2</v>
      </c>
      <c r="DM98">
        <v>-268000000.00000003</v>
      </c>
      <c r="DN98">
        <v>-0.10709579885005951</v>
      </c>
      <c r="DO98">
        <v>10683772000</v>
      </c>
      <c r="DP98">
        <v>13578751000</v>
      </c>
      <c r="DQ98">
        <v>3143</v>
      </c>
      <c r="DR98">
        <v>76.130650098681102</v>
      </c>
      <c r="DS98">
        <v>16.379914945032464</v>
      </c>
      <c r="DT98" s="9">
        <v>-0.64</v>
      </c>
      <c r="DU98">
        <v>-0.40000000000000008</v>
      </c>
      <c r="DV98">
        <v>-1.04</v>
      </c>
      <c r="DW98">
        <v>-2.129</v>
      </c>
      <c r="DX98">
        <v>0.52532493913043488</v>
      </c>
      <c r="DY98">
        <v>-2.0264869171478259</v>
      </c>
      <c r="DZ98">
        <v>1988</v>
      </c>
      <c r="EA98">
        <v>-2.0161824178738774</v>
      </c>
      <c r="EB98">
        <v>2</v>
      </c>
      <c r="EC98">
        <v>3.7799557347141514E-2</v>
      </c>
      <c r="ED98">
        <v>0.18409628972337691</v>
      </c>
      <c r="EE98" s="10">
        <v>-1.0208999999999999</v>
      </c>
      <c r="EF98">
        <v>-1.0085999999999999</v>
      </c>
      <c r="EG98">
        <v>32.205324939130435</v>
      </c>
      <c r="EH98" t="s">
        <v>1355</v>
      </c>
      <c r="EI98">
        <v>0</v>
      </c>
      <c r="EJ98">
        <v>0</v>
      </c>
      <c r="EK98" s="11">
        <v>45470</v>
      </c>
      <c r="EL98" s="12">
        <v>-1.0900000000000001</v>
      </c>
      <c r="EM98" s="12">
        <v>-3.54</v>
      </c>
      <c r="EN98" s="12">
        <v>0.13</v>
      </c>
      <c r="EO98" s="12">
        <v>3.16</v>
      </c>
      <c r="EP98" s="12">
        <v>-1.23</v>
      </c>
    </row>
    <row r="99" spans="1:146" ht="108" x14ac:dyDescent="0.25">
      <c r="A99" s="6"/>
      <c r="B99" s="6"/>
      <c r="C99" s="6" t="str">
        <f>""&amp;CHAR(10)&amp;Basic_Fundamental_Information_Constructure(F99)&amp;CHAR(10)&amp;Basic_Fundamental_Information_Concatenate("")</f>
        <v xml:space="preserve">
市值145.78547亿, 利润-827.95万; PE17.27; 平均PE27.35; 平均PEG1.62, PB1.15; ROIC5.87%; ROE6.3%; 股利率.92%; 毛利40.0433%; 净利6.8567%; 上一年度营收增-99.06%, 利润增-101.32%; 当季营收增11817.8%, 利润增19959.54%; 过往5年营收增-16.88%, 利润增-22.28%
Income profile:
</v>
      </c>
      <c r="D99" t="s">
        <v>187</v>
      </c>
      <c r="E99" t="s">
        <v>1133</v>
      </c>
      <c r="F99">
        <v>10.87</v>
      </c>
      <c r="G99">
        <v>4.22</v>
      </c>
      <c r="H99" t="s">
        <v>4240</v>
      </c>
      <c r="I99">
        <v>14578547000</v>
      </c>
      <c r="J99">
        <v>17.27</v>
      </c>
      <c r="K99">
        <v>1.1499999999999999</v>
      </c>
      <c r="L99" t="s">
        <v>100</v>
      </c>
      <c r="M99" t="s">
        <v>2727</v>
      </c>
      <c r="N99" t="s">
        <v>4241</v>
      </c>
      <c r="O99" t="s">
        <v>2728</v>
      </c>
      <c r="P99">
        <v>-8.6</v>
      </c>
      <c r="Q99" t="s">
        <v>370</v>
      </c>
      <c r="R99">
        <v>331257150</v>
      </c>
      <c r="S99" s="5">
        <v>0.84830000000000005</v>
      </c>
      <c r="T99" t="s">
        <v>4242</v>
      </c>
      <c r="U99">
        <v>1196069910</v>
      </c>
      <c r="V99">
        <v>1341172690</v>
      </c>
      <c r="W99">
        <v>1.34</v>
      </c>
      <c r="X99">
        <v>0.16</v>
      </c>
      <c r="Y99">
        <v>13.63</v>
      </c>
      <c r="Z99" t="s">
        <v>4243</v>
      </c>
      <c r="AA99" t="s">
        <v>1710</v>
      </c>
      <c r="AB99" t="s">
        <v>4244</v>
      </c>
      <c r="AC99" t="s">
        <v>261</v>
      </c>
      <c r="AD99" t="s">
        <v>81</v>
      </c>
      <c r="AE99">
        <v>-21074377</v>
      </c>
      <c r="AF99" t="s">
        <v>2730</v>
      </c>
      <c r="AG99" t="s">
        <v>4245</v>
      </c>
      <c r="AH99" t="s">
        <v>2731</v>
      </c>
      <c r="AI99" t="s">
        <v>4246</v>
      </c>
      <c r="AJ99" t="s">
        <v>2732</v>
      </c>
      <c r="AK99" t="s">
        <v>360</v>
      </c>
      <c r="AL99" t="s">
        <v>2733</v>
      </c>
      <c r="AM99" t="s">
        <v>81</v>
      </c>
      <c r="AN99" t="s">
        <v>274</v>
      </c>
      <c r="AO99" t="s">
        <v>2734</v>
      </c>
      <c r="AP99" t="s">
        <v>1721</v>
      </c>
      <c r="AQ99" t="s">
        <v>4247</v>
      </c>
      <c r="AR99" t="s">
        <v>4248</v>
      </c>
      <c r="AS99" t="s">
        <v>4249</v>
      </c>
      <c r="AT99" t="s">
        <v>81</v>
      </c>
      <c r="AU99" t="s">
        <v>648</v>
      </c>
      <c r="AV99" t="s">
        <v>2748</v>
      </c>
      <c r="AW99" t="s">
        <v>4250</v>
      </c>
      <c r="AX99" t="s">
        <v>1746</v>
      </c>
      <c r="AY99" t="s">
        <v>1289</v>
      </c>
      <c r="AZ99" t="s">
        <v>932</v>
      </c>
      <c r="BA99" t="s">
        <v>933</v>
      </c>
      <c r="BB99" t="s">
        <v>934</v>
      </c>
      <c r="BC99" t="s">
        <v>1747</v>
      </c>
      <c r="BD99" t="s">
        <v>870</v>
      </c>
      <c r="BE99" t="s">
        <v>399</v>
      </c>
      <c r="BF99" t="s">
        <v>935</v>
      </c>
      <c r="BG99" t="s">
        <v>87</v>
      </c>
      <c r="BH99" t="s">
        <v>2729</v>
      </c>
      <c r="BI99" t="s">
        <v>4251</v>
      </c>
      <c r="BJ99" t="s">
        <v>1746</v>
      </c>
      <c r="BK99" t="s">
        <v>1958</v>
      </c>
      <c r="BL99" t="s">
        <v>4252</v>
      </c>
      <c r="BM99" t="s">
        <v>1747</v>
      </c>
      <c r="BN99">
        <v>4.9000000000000004</v>
      </c>
      <c r="BO99">
        <v>6.19</v>
      </c>
      <c r="BP99">
        <v>6.52</v>
      </c>
      <c r="BQ99">
        <v>5.01</v>
      </c>
      <c r="BR99">
        <v>7.09</v>
      </c>
      <c r="BS99">
        <v>6.8</v>
      </c>
      <c r="BT99" t="s">
        <v>1525</v>
      </c>
      <c r="BU99" t="s">
        <v>1354</v>
      </c>
      <c r="BV99">
        <v>38.33</v>
      </c>
      <c r="BW99">
        <v>38.08</v>
      </c>
      <c r="BX99">
        <v>43.72</v>
      </c>
      <c r="BY99">
        <v>7.99</v>
      </c>
      <c r="BZ99">
        <v>6.69</v>
      </c>
      <c r="CA99">
        <v>5.89</v>
      </c>
      <c r="CB99">
        <v>1.78</v>
      </c>
      <c r="CC99">
        <v>-3.81</v>
      </c>
      <c r="CD99" t="s">
        <v>4253</v>
      </c>
      <c r="CE99" t="s">
        <v>3950</v>
      </c>
      <c r="CF99" s="7">
        <v>118.17800377797707</v>
      </c>
      <c r="CG99" s="8">
        <v>199.59541366906475</v>
      </c>
      <c r="CH99" s="7">
        <v>-0.99058568477630615</v>
      </c>
      <c r="CI99" s="7">
        <v>-7.0706374943256378E-2</v>
      </c>
      <c r="CJ99" s="7">
        <v>0.11062437295913696</v>
      </c>
      <c r="CK99" s="7">
        <v>2.9264708980917931E-2</v>
      </c>
      <c r="CL99" s="7">
        <v>7.7555000782012939E-2</v>
      </c>
      <c r="CM99" s="8">
        <v>-1.0131839513778687</v>
      </c>
      <c r="CN99" s="8">
        <v>0.10563380271196365</v>
      </c>
      <c r="CO99" s="8">
        <v>-0.12480739504098892</v>
      </c>
      <c r="CP99" s="8">
        <v>-1.0670731775462627E-2</v>
      </c>
      <c r="CQ99" s="8">
        <v>-7.0821531116962433E-2</v>
      </c>
      <c r="CR99">
        <v>27.345709636087307</v>
      </c>
      <c r="CS99">
        <v>1.6202983464738752</v>
      </c>
      <c r="CT99">
        <v>0.91996320147194122</v>
      </c>
      <c r="CU99" s="7">
        <v>-0.16876959539949893</v>
      </c>
      <c r="CV99" s="8">
        <v>-0.22276996131986379</v>
      </c>
      <c r="CW99">
        <v>0.06</v>
      </c>
      <c r="CX99" t="e">
        <v>#VALUE!</v>
      </c>
      <c r="CY99" t="s">
        <v>1362</v>
      </c>
      <c r="CZ99">
        <v>-0.16876959539949893</v>
      </c>
      <c r="DA99" t="e">
        <v>#VALUE!</v>
      </c>
      <c r="DB99" t="s">
        <v>1362</v>
      </c>
      <c r="DC99">
        <v>-0.16033111562952398</v>
      </c>
      <c r="DD99" t="e">
        <v>#VALUE!</v>
      </c>
      <c r="DE99" t="s">
        <v>1362</v>
      </c>
      <c r="DF99">
        <v>-0.14851724395155905</v>
      </c>
      <c r="DG99" t="e">
        <v>#VALUE!</v>
      </c>
      <c r="DH99" t="s">
        <v>1362</v>
      </c>
      <c r="DI99">
        <v>-0.13501567631959915</v>
      </c>
      <c r="DJ99" t="e">
        <v>#VALUE!</v>
      </c>
      <c r="DK99" t="s">
        <v>1362</v>
      </c>
      <c r="DL99">
        <v>-0.11813871677964924</v>
      </c>
      <c r="DM99">
        <v>-8279500</v>
      </c>
      <c r="DN99">
        <v>-0.16876959539949893</v>
      </c>
      <c r="DO99">
        <v>4828547000.0000019</v>
      </c>
      <c r="DP99">
        <v>6348495500</v>
      </c>
      <c r="DQ99">
        <v>3170</v>
      </c>
      <c r="DR99">
        <v>118.34677337337656</v>
      </c>
      <c r="DS99">
        <v>199.81818363038462</v>
      </c>
      <c r="DT99" s="9">
        <v>-0.77333333333333332</v>
      </c>
      <c r="DU99">
        <v>-0.97000000000000008</v>
      </c>
      <c r="DV99">
        <v>-1.7433333333333334</v>
      </c>
      <c r="DW99">
        <v>-1.0381</v>
      </c>
      <c r="DX99">
        <v>0.38459153439153299</v>
      </c>
      <c r="DY99">
        <v>-1.0070329374603175</v>
      </c>
      <c r="DZ99">
        <v>3142</v>
      </c>
      <c r="EA99">
        <v>-1.0027085755228777</v>
      </c>
      <c r="EB99">
        <v>1</v>
      </c>
      <c r="EC99">
        <v>5.202581332013255E-2</v>
      </c>
      <c r="ED99">
        <v>0.28184289973873539</v>
      </c>
      <c r="EE99" s="10">
        <v>1.0477099999999999</v>
      </c>
      <c r="EF99">
        <v>1.0624100000000001</v>
      </c>
      <c r="EG99">
        <v>20.184591534391533</v>
      </c>
      <c r="EH99" t="s">
        <v>1363</v>
      </c>
      <c r="EI99">
        <v>0</v>
      </c>
      <c r="EJ99">
        <v>0</v>
      </c>
      <c r="EK99" s="11">
        <v>45470</v>
      </c>
      <c r="EL99" s="12">
        <v>0.36</v>
      </c>
      <c r="EM99" s="12">
        <v>-4.13</v>
      </c>
      <c r="EN99" s="12">
        <v>-0.86</v>
      </c>
      <c r="EO99" s="12">
        <v>1.36</v>
      </c>
      <c r="EP99" s="12">
        <v>-1.47</v>
      </c>
    </row>
    <row r="100" spans="1:146" ht="108" x14ac:dyDescent="0.25">
      <c r="A100" s="6"/>
      <c r="B100" s="6"/>
      <c r="C100" s="6" t="str">
        <f>""&amp;CHAR(10)&amp;Basic_Fundamental_Information_Constructure(F100)&amp;CHAR(10)&amp;Basic_Fundamental_Information_Concatenate("")</f>
        <v xml:space="preserve">
市值38.50643亿, 利润29.78亿; PE35.79; 平均PE6.79; 平均PEG.02, PB1.28; ROIC2.8067%; ROE2.5967%; 股利率2.4716%; 毛利47.71%; 净利2.5667%; 上一年度营收增1560.72%, 利润增8310.96%; 当季营收增-93.53%, 利润增-89.36%; 过往5年营收增322.03%, 利润增1651.93%
Income profile:
</v>
      </c>
      <c r="D100" t="s">
        <v>144</v>
      </c>
      <c r="E100" t="s">
        <v>1467</v>
      </c>
      <c r="F100">
        <v>3.52</v>
      </c>
      <c r="G100">
        <v>3.23</v>
      </c>
      <c r="H100" t="s">
        <v>4254</v>
      </c>
      <c r="I100">
        <v>3850643000</v>
      </c>
      <c r="J100">
        <v>35.79</v>
      </c>
      <c r="K100">
        <v>1.28</v>
      </c>
      <c r="L100" t="s">
        <v>100</v>
      </c>
      <c r="M100" t="s">
        <v>1754</v>
      </c>
      <c r="N100" t="s">
        <v>4255</v>
      </c>
      <c r="O100" t="s">
        <v>1611</v>
      </c>
      <c r="P100">
        <v>-12.8</v>
      </c>
      <c r="Q100" t="s">
        <v>4256</v>
      </c>
      <c r="R100">
        <v>58012016</v>
      </c>
      <c r="S100" s="5">
        <v>-0.14030000000000001</v>
      </c>
      <c r="T100" t="s">
        <v>4257</v>
      </c>
      <c r="U100">
        <v>1091886680</v>
      </c>
      <c r="V100">
        <v>1093932680</v>
      </c>
      <c r="W100">
        <v>1.6</v>
      </c>
      <c r="X100">
        <v>0.14000000000000001</v>
      </c>
      <c r="Y100">
        <v>8.39</v>
      </c>
      <c r="Z100" t="s">
        <v>878</v>
      </c>
      <c r="AA100" t="s">
        <v>480</v>
      </c>
      <c r="AB100" t="s">
        <v>402</v>
      </c>
      <c r="AC100" t="s">
        <v>4258</v>
      </c>
      <c r="AD100" t="s">
        <v>81</v>
      </c>
      <c r="AE100">
        <v>3460842</v>
      </c>
      <c r="AF100" t="s">
        <v>2736</v>
      </c>
      <c r="AG100" t="s">
        <v>4259</v>
      </c>
      <c r="AH100" t="s">
        <v>2737</v>
      </c>
      <c r="AI100" t="s">
        <v>496</v>
      </c>
      <c r="AJ100" t="s">
        <v>2738</v>
      </c>
      <c r="AK100" t="s">
        <v>2975</v>
      </c>
      <c r="AL100" t="s">
        <v>2739</v>
      </c>
      <c r="AM100" t="s">
        <v>81</v>
      </c>
      <c r="AN100" t="s">
        <v>4260</v>
      </c>
      <c r="AO100" t="s">
        <v>308</v>
      </c>
      <c r="AP100" t="s">
        <v>4261</v>
      </c>
      <c r="AQ100" t="s">
        <v>1967</v>
      </c>
      <c r="AR100" t="s">
        <v>2020</v>
      </c>
      <c r="AS100" t="s">
        <v>2622</v>
      </c>
      <c r="AT100" t="s">
        <v>732</v>
      </c>
      <c r="AU100" t="s">
        <v>4262</v>
      </c>
      <c r="AV100" t="s">
        <v>4263</v>
      </c>
      <c r="AW100" t="s">
        <v>4264</v>
      </c>
      <c r="AX100" t="s">
        <v>1748</v>
      </c>
      <c r="AY100" t="s">
        <v>1290</v>
      </c>
      <c r="AZ100" t="s">
        <v>938</v>
      </c>
      <c r="BA100" t="s">
        <v>940</v>
      </c>
      <c r="BB100" t="s">
        <v>941</v>
      </c>
      <c r="BC100" t="s">
        <v>1749</v>
      </c>
      <c r="BD100" t="s">
        <v>1291</v>
      </c>
      <c r="BE100" t="s">
        <v>939</v>
      </c>
      <c r="BF100" t="s">
        <v>592</v>
      </c>
      <c r="BG100" t="s">
        <v>266</v>
      </c>
      <c r="BH100" t="s">
        <v>742</v>
      </c>
      <c r="BI100" t="s">
        <v>4265</v>
      </c>
      <c r="BJ100" t="s">
        <v>1748</v>
      </c>
      <c r="BK100" t="s">
        <v>435</v>
      </c>
      <c r="BL100" t="s">
        <v>318</v>
      </c>
      <c r="BM100" t="s">
        <v>1749</v>
      </c>
      <c r="BN100">
        <v>4.08</v>
      </c>
      <c r="BO100">
        <v>1.6</v>
      </c>
      <c r="BP100">
        <v>2.74</v>
      </c>
      <c r="BQ100">
        <v>4.9800000000000004</v>
      </c>
      <c r="BR100">
        <v>1.19</v>
      </c>
      <c r="BS100">
        <v>1.62</v>
      </c>
      <c r="BT100" t="s">
        <v>2740</v>
      </c>
      <c r="BU100" t="s">
        <v>1354</v>
      </c>
      <c r="BV100">
        <v>46.43</v>
      </c>
      <c r="BW100">
        <v>49.07</v>
      </c>
      <c r="BX100">
        <v>47.63</v>
      </c>
      <c r="BY100">
        <v>4.3</v>
      </c>
      <c r="BZ100">
        <v>0.5</v>
      </c>
      <c r="CA100">
        <v>2.9</v>
      </c>
      <c r="CB100">
        <v>2.62</v>
      </c>
      <c r="CC100">
        <v>-10.27</v>
      </c>
      <c r="CD100" t="s">
        <v>4266</v>
      </c>
      <c r="CE100" t="s">
        <v>284</v>
      </c>
      <c r="CF100" s="7">
        <v>-0.93526635198921104</v>
      </c>
      <c r="CG100" s="8">
        <v>-0.89355593394495414</v>
      </c>
      <c r="CH100" s="7">
        <v>15.607210159301758</v>
      </c>
      <c r="CI100" s="7">
        <v>-1.6004268079996109E-2</v>
      </c>
      <c r="CJ100" s="7">
        <v>0.20275907218456268</v>
      </c>
      <c r="CK100" s="7">
        <v>-6.3119962811470032E-2</v>
      </c>
      <c r="CL100" s="7">
        <v>0.37082818150520325</v>
      </c>
      <c r="CM100" s="8">
        <v>83.109565734863281</v>
      </c>
      <c r="CN100" s="8">
        <v>-0.27249526977539063</v>
      </c>
      <c r="CO100" s="8">
        <v>0.43230485916137695</v>
      </c>
      <c r="CP100" s="8">
        <v>-0.79025429487228394</v>
      </c>
      <c r="CQ100" s="8">
        <v>0.11724138259887695</v>
      </c>
      <c r="CR100">
        <v>6.7891560901343588</v>
      </c>
      <c r="CS100">
        <v>2.1082144735373658E-2</v>
      </c>
      <c r="CT100">
        <v>2.4715909090909092</v>
      </c>
      <c r="CU100" s="7">
        <v>3.2203346364200116</v>
      </c>
      <c r="CV100" s="8">
        <v>16.519272482395174</v>
      </c>
      <c r="CW100">
        <v>0.06</v>
      </c>
      <c r="CX100">
        <v>0.20348263250729381</v>
      </c>
      <c r="CY100">
        <v>11856751459.678106</v>
      </c>
      <c r="CZ100">
        <v>3.2203346364200116</v>
      </c>
      <c r="DA100">
        <v>1.0851725207390608E-2</v>
      </c>
      <c r="DB100">
        <v>222328058800.90479</v>
      </c>
      <c r="DC100">
        <v>3.0593179045990109</v>
      </c>
      <c r="DD100">
        <v>2.6194278568068591E-4</v>
      </c>
      <c r="DE100">
        <v>9210572429893.3926</v>
      </c>
      <c r="DF100">
        <v>2.8338944800496102</v>
      </c>
      <c r="DG100">
        <v>2.9830182136099259E-6</v>
      </c>
      <c r="DH100">
        <v>808792580947844.12</v>
      </c>
      <c r="DI100">
        <v>2.5762677091360096</v>
      </c>
      <c r="DJ100">
        <v>9.875148463677537E-11</v>
      </c>
      <c r="DK100">
        <v>2.4431460538280591E+19</v>
      </c>
      <c r="DL100">
        <v>2.2542342454940081</v>
      </c>
      <c r="DM100">
        <v>2978000000</v>
      </c>
      <c r="DN100">
        <v>3.2203346364200116</v>
      </c>
      <c r="DO100">
        <v>2412642999.9999995</v>
      </c>
      <c r="DP100">
        <v>295907600</v>
      </c>
      <c r="DQ100">
        <v>3211</v>
      </c>
      <c r="DR100">
        <v>-4.1556009884092227</v>
      </c>
      <c r="DS100">
        <v>-17.412828416340126</v>
      </c>
      <c r="DT100" s="9">
        <v>9.3333333333333268E-2</v>
      </c>
      <c r="DU100">
        <v>-0.39000000000000007</v>
      </c>
      <c r="DV100">
        <v>-0.2966666666666668</v>
      </c>
      <c r="DW100">
        <v>6.2032583397982934</v>
      </c>
      <c r="DX100">
        <v>0.47117409638554081</v>
      </c>
      <c r="DY100">
        <v>6.0286948124538497</v>
      </c>
      <c r="DZ100">
        <v>2252</v>
      </c>
      <c r="EA100">
        <v>6.0160488794507048</v>
      </c>
      <c r="EB100">
        <v>6</v>
      </c>
      <c r="EC100">
        <v>2.1422616243624786E-2</v>
      </c>
      <c r="ED100">
        <v>0.15174608368039613</v>
      </c>
      <c r="EE100" s="10">
        <v>-2.0366</v>
      </c>
      <c r="EF100">
        <v>-2.032</v>
      </c>
      <c r="EG100">
        <v>33.141174096385541</v>
      </c>
      <c r="EH100" t="s">
        <v>1370</v>
      </c>
      <c r="EI100">
        <v>0</v>
      </c>
      <c r="EJ100">
        <v>0</v>
      </c>
      <c r="EK100" s="11">
        <v>45470</v>
      </c>
      <c r="EL100" s="12">
        <v>2.82</v>
      </c>
      <c r="EM100" s="12">
        <v>-1.4</v>
      </c>
      <c r="EN100" s="12">
        <v>-1.94</v>
      </c>
      <c r="EO100" s="12">
        <v>0.46</v>
      </c>
      <c r="EP100" s="12">
        <v>-0.46</v>
      </c>
    </row>
    <row r="101" spans="1:146" ht="108" x14ac:dyDescent="0.25">
      <c r="A101" s="6"/>
      <c r="B101" s="6"/>
      <c r="C101" s="6" t="str">
        <f>""&amp;CHAR(10)&amp;Basic_Fundamental_Information_Constructure(F101)&amp;CHAR(10)&amp;Basic_Fundamental_Information_Concatenate("")</f>
        <v xml:space="preserve">
市值23.43596亿, 利润9.53亿; PE17.18; 平均PE9.57; 平均PEG.15, PB1.69; ROIC8.1967%; ROE9.7633%; 股利率1.827%; 毛利52.04%; 净利7.99%; 上一年度营收增245.88%, 利润增575.89%; 当季营收增-58.06%, 利润增-86.03%; 过往5年营收增63.49%, 利润增129.5%
Income profile:
</v>
      </c>
      <c r="D101" t="s">
        <v>136</v>
      </c>
      <c r="E101" t="s">
        <v>32</v>
      </c>
      <c r="F101">
        <v>8.2100000000000009</v>
      </c>
      <c r="G101">
        <v>3.66</v>
      </c>
      <c r="H101" t="s">
        <v>4267</v>
      </c>
      <c r="I101">
        <v>2343596000</v>
      </c>
      <c r="J101">
        <v>17.18</v>
      </c>
      <c r="K101">
        <v>1.69</v>
      </c>
      <c r="L101" t="s">
        <v>100</v>
      </c>
      <c r="M101" t="s">
        <v>2741</v>
      </c>
      <c r="N101" t="s">
        <v>383</v>
      </c>
      <c r="O101" t="s">
        <v>813</v>
      </c>
      <c r="P101">
        <v>17</v>
      </c>
      <c r="Q101" t="s">
        <v>4268</v>
      </c>
      <c r="R101">
        <v>32545358</v>
      </c>
      <c r="S101" s="5">
        <v>4.58E-2</v>
      </c>
      <c r="T101" t="s">
        <v>1373</v>
      </c>
      <c r="U101">
        <v>285456270</v>
      </c>
      <c r="V101">
        <v>285456270</v>
      </c>
      <c r="W101">
        <v>1.82</v>
      </c>
      <c r="X101">
        <v>0.19</v>
      </c>
      <c r="Y101">
        <v>7</v>
      </c>
      <c r="Z101" t="s">
        <v>1618</v>
      </c>
      <c r="AA101" t="s">
        <v>405</v>
      </c>
      <c r="AB101" t="s">
        <v>479</v>
      </c>
      <c r="AC101" t="s">
        <v>4269</v>
      </c>
      <c r="AD101" t="s">
        <v>81</v>
      </c>
      <c r="AE101">
        <v>5898589</v>
      </c>
      <c r="AF101" t="s">
        <v>2743</v>
      </c>
      <c r="AG101" t="s">
        <v>4270</v>
      </c>
      <c r="AH101" t="s">
        <v>2744</v>
      </c>
      <c r="AI101" t="s">
        <v>299</v>
      </c>
      <c r="AJ101" t="s">
        <v>2745</v>
      </c>
      <c r="AK101" t="s">
        <v>81</v>
      </c>
      <c r="AL101" t="s">
        <v>2746</v>
      </c>
      <c r="AM101" t="s">
        <v>81</v>
      </c>
      <c r="AN101" t="s">
        <v>1812</v>
      </c>
      <c r="AO101" t="s">
        <v>1967</v>
      </c>
      <c r="AP101" t="s">
        <v>4271</v>
      </c>
      <c r="AQ101" t="s">
        <v>343</v>
      </c>
      <c r="AR101" t="s">
        <v>229</v>
      </c>
      <c r="AS101" t="s">
        <v>3402</v>
      </c>
      <c r="AT101" t="s">
        <v>2747</v>
      </c>
      <c r="AU101" t="s">
        <v>4272</v>
      </c>
      <c r="AV101" t="s">
        <v>4273</v>
      </c>
      <c r="AW101" t="s">
        <v>4274</v>
      </c>
      <c r="AX101" t="s">
        <v>1751</v>
      </c>
      <c r="AY101" t="s">
        <v>892</v>
      </c>
      <c r="AZ101" t="s">
        <v>459</v>
      </c>
      <c r="BA101" t="s">
        <v>780</v>
      </c>
      <c r="BB101" t="s">
        <v>942</v>
      </c>
      <c r="BC101" t="s">
        <v>386</v>
      </c>
      <c r="BD101" t="s">
        <v>325</v>
      </c>
      <c r="BE101" t="s">
        <v>393</v>
      </c>
      <c r="BF101" t="s">
        <v>943</v>
      </c>
      <c r="BG101" t="s">
        <v>944</v>
      </c>
      <c r="BH101" t="s">
        <v>2742</v>
      </c>
      <c r="BI101" t="s">
        <v>4275</v>
      </c>
      <c r="BJ101" t="s">
        <v>1751</v>
      </c>
      <c r="BK101" t="s">
        <v>263</v>
      </c>
      <c r="BL101" t="s">
        <v>2784</v>
      </c>
      <c r="BM101" t="s">
        <v>386</v>
      </c>
      <c r="BN101">
        <v>5.52</v>
      </c>
      <c r="BO101">
        <v>9.6999999999999993</v>
      </c>
      <c r="BP101">
        <v>9.3699999999999992</v>
      </c>
      <c r="BQ101">
        <v>6.94</v>
      </c>
      <c r="BR101">
        <v>11.64</v>
      </c>
      <c r="BS101">
        <v>10.71</v>
      </c>
      <c r="BT101" t="s">
        <v>1528</v>
      </c>
      <c r="BU101" t="s">
        <v>1354</v>
      </c>
      <c r="BV101">
        <v>48.14</v>
      </c>
      <c r="BW101">
        <v>53.35</v>
      </c>
      <c r="BX101">
        <v>54.63</v>
      </c>
      <c r="BY101">
        <v>6.96</v>
      </c>
      <c r="BZ101">
        <v>8.51</v>
      </c>
      <c r="CA101">
        <v>8.5</v>
      </c>
      <c r="CB101">
        <v>1.23</v>
      </c>
      <c r="CC101">
        <v>-8.7799999999999994</v>
      </c>
      <c r="CD101" t="s">
        <v>4276</v>
      </c>
      <c r="CE101" t="s">
        <v>370</v>
      </c>
      <c r="CF101" s="7">
        <v>-0.58061953931691823</v>
      </c>
      <c r="CG101" s="8">
        <v>-0.8603203519313305</v>
      </c>
      <c r="CH101" s="7">
        <v>2.4588234424591064</v>
      </c>
      <c r="CI101" s="7">
        <v>0.18772786855697632</v>
      </c>
      <c r="CJ101" s="7">
        <v>0.18759018182754517</v>
      </c>
      <c r="CK101" s="7">
        <v>7.4418604373931885E-2</v>
      </c>
      <c r="CL101" s="7">
        <v>0.26594701409339905</v>
      </c>
      <c r="CM101" s="8">
        <v>5.7588653564453125</v>
      </c>
      <c r="CN101" s="8">
        <v>0.18487395346164703</v>
      </c>
      <c r="CO101" s="8">
        <v>0.1553398072719574</v>
      </c>
      <c r="CP101" s="8">
        <v>0.29185199737548828</v>
      </c>
      <c r="CQ101" s="8">
        <v>8.3931006491184235E-2</v>
      </c>
      <c r="CR101">
        <v>9.5703379454787374</v>
      </c>
      <c r="CS101">
        <v>0.15073738394503905</v>
      </c>
      <c r="CT101">
        <v>1.8270401948842874</v>
      </c>
      <c r="CU101" s="7">
        <v>0.63490142226219182</v>
      </c>
      <c r="CV101" s="8">
        <v>1.2949724242091178</v>
      </c>
      <c r="CW101">
        <v>0.06</v>
      </c>
      <c r="CX101">
        <v>1.447473288778174</v>
      </c>
      <c r="CY101">
        <v>1469868920.2036495</v>
      </c>
      <c r="CZ101">
        <v>0.63490142226219182</v>
      </c>
      <c r="DA101">
        <v>0.30754101900941677</v>
      </c>
      <c r="DB101">
        <v>6918088542.6371498</v>
      </c>
      <c r="DC101">
        <v>0.60315635114908217</v>
      </c>
      <c r="DD101">
        <v>7.8406188091976595E-2</v>
      </c>
      <c r="DE101">
        <v>27135562278.632439</v>
      </c>
      <c r="DF101">
        <v>0.55871325159072882</v>
      </c>
      <c r="DG101">
        <v>2.013164752411873E-2</v>
      </c>
      <c r="DH101">
        <v>105684147184.22984</v>
      </c>
      <c r="DI101">
        <v>0.50792113780975345</v>
      </c>
      <c r="DJ101">
        <v>1.2217751231266226E-3</v>
      </c>
      <c r="DK101">
        <v>1741397381340.772</v>
      </c>
      <c r="DL101">
        <v>0.44443099558353422</v>
      </c>
      <c r="DM101">
        <v>952999999.99999988</v>
      </c>
      <c r="DN101">
        <v>0.63490142226219182</v>
      </c>
      <c r="DO101">
        <v>2127596000</v>
      </c>
      <c r="DP101">
        <v>118483970</v>
      </c>
      <c r="DQ101">
        <v>3233</v>
      </c>
      <c r="DR101">
        <v>-1.21552096157911</v>
      </c>
      <c r="DS101">
        <v>-2.1552927761404481</v>
      </c>
      <c r="DT101" s="9">
        <v>0.24333333333333326</v>
      </c>
      <c r="DU101">
        <v>0.26</v>
      </c>
      <c r="DV101">
        <v>0.5033333333333333</v>
      </c>
      <c r="DW101">
        <v>-2.0878000000000001</v>
      </c>
      <c r="DX101">
        <v>0.44533606557377214</v>
      </c>
      <c r="DY101">
        <v>-2.0145165065573769</v>
      </c>
      <c r="DZ101">
        <v>983</v>
      </c>
      <c r="EA101">
        <v>-2.0117239965875333</v>
      </c>
      <c r="EB101">
        <v>2</v>
      </c>
      <c r="EC101">
        <v>7.0662311954121731E-2</v>
      </c>
      <c r="ED101">
        <v>0.4273859530218061</v>
      </c>
      <c r="EE101" s="10">
        <v>2.0264000000000002</v>
      </c>
      <c r="EF101">
        <v>2.0059</v>
      </c>
      <c r="EG101">
        <v>28.165336065573772</v>
      </c>
      <c r="EH101" t="s">
        <v>1809</v>
      </c>
      <c r="EI101">
        <v>0</v>
      </c>
      <c r="EJ101">
        <v>1</v>
      </c>
      <c r="EK101" s="11">
        <v>45470</v>
      </c>
      <c r="EL101" s="12">
        <v>0.52</v>
      </c>
      <c r="EM101" s="12">
        <v>-2.08</v>
      </c>
      <c r="EN101" s="12">
        <v>2.13</v>
      </c>
      <c r="EO101" s="12">
        <v>1.56</v>
      </c>
      <c r="EP101" s="12">
        <v>-2.0499999999999998</v>
      </c>
    </row>
    <row r="102" spans="1:146" ht="108" x14ac:dyDescent="0.25">
      <c r="A102" s="6"/>
      <c r="B102" s="6"/>
      <c r="C102" s="6" t="str">
        <f>""&amp;CHAR(10)&amp;Basic_Fundamental_Information_Constructure(F102)&amp;CHAR(10)&amp;Basic_Fundamental_Information_Concatenate("")</f>
        <v xml:space="preserve">
市值260.9358亿, 利润31.17亿; PE28.11; 平均PE24.54; 平均PEG.25, PB3.26; ROIC6.6167%; ROE11.04%; 股利率1.1242%; 毛利60.9267%; 净利10.4333%; 上一年度营收增445.19%, 利润增166.87%; 当季营收增-69.8%, 利润增-1.5%; 过往5年营收增99.63%, 利润增149.92%
Income profile:
</v>
      </c>
      <c r="D102" t="s">
        <v>113</v>
      </c>
      <c r="E102" t="s">
        <v>8</v>
      </c>
      <c r="F102">
        <v>17.79</v>
      </c>
      <c r="G102">
        <v>10.02</v>
      </c>
      <c r="H102" t="s">
        <v>4277</v>
      </c>
      <c r="I102">
        <v>26093580000</v>
      </c>
      <c r="J102">
        <v>28.11</v>
      </c>
      <c r="K102">
        <v>3.26</v>
      </c>
      <c r="L102" t="s">
        <v>100</v>
      </c>
      <c r="M102" t="s">
        <v>2749</v>
      </c>
      <c r="N102" t="s">
        <v>4278</v>
      </c>
      <c r="O102" t="s">
        <v>1478</v>
      </c>
      <c r="P102">
        <v>21.36</v>
      </c>
      <c r="Q102" t="s">
        <v>4279</v>
      </c>
      <c r="R102">
        <v>756500000</v>
      </c>
      <c r="S102" s="5">
        <v>0.56620000000000004</v>
      </c>
      <c r="T102" t="s">
        <v>938</v>
      </c>
      <c r="U102">
        <v>1466755500</v>
      </c>
      <c r="V102">
        <v>1466755500</v>
      </c>
      <c r="W102">
        <v>2.37</v>
      </c>
      <c r="X102">
        <v>0.13</v>
      </c>
      <c r="Y102">
        <v>10.96</v>
      </c>
      <c r="Z102" t="s">
        <v>4280</v>
      </c>
      <c r="AA102" t="s">
        <v>845</v>
      </c>
      <c r="AB102" t="s">
        <v>1811</v>
      </c>
      <c r="AC102" t="s">
        <v>498</v>
      </c>
      <c r="AD102" t="s">
        <v>81</v>
      </c>
      <c r="AE102">
        <v>41712157</v>
      </c>
      <c r="AF102" t="s">
        <v>2751</v>
      </c>
      <c r="AG102" t="s">
        <v>4281</v>
      </c>
      <c r="AH102" t="s">
        <v>2752</v>
      </c>
      <c r="AI102" t="s">
        <v>4282</v>
      </c>
      <c r="AJ102" t="s">
        <v>2753</v>
      </c>
      <c r="AK102" t="s">
        <v>81</v>
      </c>
      <c r="AL102" t="s">
        <v>2754</v>
      </c>
      <c r="AM102" t="s">
        <v>81</v>
      </c>
      <c r="AN102" t="s">
        <v>1620</v>
      </c>
      <c r="AO102" t="s">
        <v>1383</v>
      </c>
      <c r="AP102" t="s">
        <v>330</v>
      </c>
      <c r="AQ102" t="s">
        <v>4283</v>
      </c>
      <c r="AR102" t="s">
        <v>81</v>
      </c>
      <c r="AS102" t="s">
        <v>4284</v>
      </c>
      <c r="AT102" t="s">
        <v>4285</v>
      </c>
      <c r="AU102" t="s">
        <v>1601</v>
      </c>
      <c r="AV102" t="s">
        <v>4286</v>
      </c>
      <c r="AW102" t="s">
        <v>2269</v>
      </c>
      <c r="AX102" t="s">
        <v>1752</v>
      </c>
      <c r="AY102" t="s">
        <v>1293</v>
      </c>
      <c r="AZ102" t="s">
        <v>945</v>
      </c>
      <c r="BA102" t="s">
        <v>947</v>
      </c>
      <c r="BB102" t="s">
        <v>948</v>
      </c>
      <c r="BC102" t="s">
        <v>1753</v>
      </c>
      <c r="BD102" t="s">
        <v>1065</v>
      </c>
      <c r="BE102" t="s">
        <v>920</v>
      </c>
      <c r="BF102" t="s">
        <v>949</v>
      </c>
      <c r="BG102" t="s">
        <v>253</v>
      </c>
      <c r="BH102" t="s">
        <v>2750</v>
      </c>
      <c r="BI102" t="s">
        <v>4287</v>
      </c>
      <c r="BJ102" t="s">
        <v>1752</v>
      </c>
      <c r="BK102" t="s">
        <v>1686</v>
      </c>
      <c r="BL102" t="s">
        <v>1474</v>
      </c>
      <c r="BM102" t="s">
        <v>1753</v>
      </c>
      <c r="BN102">
        <v>5.14</v>
      </c>
      <c r="BO102">
        <v>9.85</v>
      </c>
      <c r="BP102">
        <v>4.8600000000000003</v>
      </c>
      <c r="BQ102">
        <v>9.14</v>
      </c>
      <c r="BR102">
        <v>16.55</v>
      </c>
      <c r="BS102">
        <v>7.43</v>
      </c>
      <c r="BT102" t="s">
        <v>2755</v>
      </c>
      <c r="BU102" t="s">
        <v>1354</v>
      </c>
      <c r="BV102">
        <v>60.42</v>
      </c>
      <c r="BW102">
        <v>62.36</v>
      </c>
      <c r="BX102">
        <v>60</v>
      </c>
      <c r="BY102">
        <v>9.84</v>
      </c>
      <c r="BZ102">
        <v>14.23</v>
      </c>
      <c r="CA102">
        <v>7.23</v>
      </c>
      <c r="CB102">
        <v>4.34</v>
      </c>
      <c r="CC102">
        <v>2.1800000000000002</v>
      </c>
      <c r="CD102" t="s">
        <v>4288</v>
      </c>
      <c r="CE102" t="s">
        <v>245</v>
      </c>
      <c r="CF102" s="7">
        <v>-0.69800604229607255</v>
      </c>
      <c r="CG102" s="8">
        <v>-1.4973958333333334E-2</v>
      </c>
      <c r="CH102" s="7">
        <v>4.4518508911132812</v>
      </c>
      <c r="CI102" s="7">
        <v>0.24413007497787476</v>
      </c>
      <c r="CJ102" s="7">
        <v>2.4518048390746117E-2</v>
      </c>
      <c r="CK102" s="7">
        <v>0.20360057055950165</v>
      </c>
      <c r="CL102" s="7">
        <v>5.750739574432373E-2</v>
      </c>
      <c r="CM102" s="8">
        <v>1.6686643362045288</v>
      </c>
      <c r="CN102" s="8">
        <v>1.3934426307678223</v>
      </c>
      <c r="CO102" s="8">
        <v>-0.47526881098747253</v>
      </c>
      <c r="CP102" s="8">
        <v>0.63157892227172852</v>
      </c>
      <c r="CQ102" s="8">
        <v>4.2777776718139648</v>
      </c>
      <c r="CR102">
        <v>24.535571227080396</v>
      </c>
      <c r="CS102">
        <v>0.24626161118003839</v>
      </c>
      <c r="CT102">
        <v>1.1242270938729624</v>
      </c>
      <c r="CU102" s="7">
        <v>0.99632139615714554</v>
      </c>
      <c r="CV102" s="8">
        <v>1.4992389500141143</v>
      </c>
      <c r="CW102">
        <v>0.06</v>
      </c>
      <c r="CX102">
        <v>4.7616832292565272</v>
      </c>
      <c r="CY102">
        <v>5870314897.945116</v>
      </c>
      <c r="CZ102">
        <v>0.99632139615714554</v>
      </c>
      <c r="DA102">
        <v>0.78660084004442377</v>
      </c>
      <c r="DB102">
        <v>35535914248.987274</v>
      </c>
      <c r="DC102">
        <v>0.94650532634928819</v>
      </c>
      <c r="DD102">
        <v>0.13094309121416126</v>
      </c>
      <c r="DE102">
        <v>213471209063.50635</v>
      </c>
      <c r="DF102">
        <v>0.87676282861828814</v>
      </c>
      <c r="DG102">
        <v>1.8848817358237731E-2</v>
      </c>
      <c r="DH102">
        <v>1482988532847.3162</v>
      </c>
      <c r="DI102">
        <v>0.79705711692571646</v>
      </c>
      <c r="DJ102">
        <v>2.7394567533451633E-4</v>
      </c>
      <c r="DK102">
        <v>102036945704169.17</v>
      </c>
      <c r="DL102">
        <v>0.69742497731000186</v>
      </c>
      <c r="DM102">
        <v>3117000000</v>
      </c>
      <c r="DN102">
        <v>0.99632139615714554</v>
      </c>
      <c r="DO102">
        <v>27952580000</v>
      </c>
      <c r="DP102">
        <v>2198797100</v>
      </c>
      <c r="DQ102">
        <v>3240</v>
      </c>
      <c r="DR102">
        <v>-1.6943274384532181</v>
      </c>
      <c r="DS102">
        <v>-1.5142129083474476</v>
      </c>
      <c r="DT102" s="9">
        <v>0.12666666666666662</v>
      </c>
      <c r="DU102">
        <v>1.3066666666666666</v>
      </c>
      <c r="DV102">
        <v>1.4333333333333333</v>
      </c>
      <c r="DW102">
        <v>4.5023041474654377</v>
      </c>
      <c r="DX102">
        <v>1.1606498348623915</v>
      </c>
      <c r="DY102">
        <v>4.1309254930875579</v>
      </c>
      <c r="DZ102">
        <v>4220</v>
      </c>
      <c r="EA102">
        <v>4.0228030702246436</v>
      </c>
      <c r="EB102">
        <v>4</v>
      </c>
      <c r="EC102">
        <v>5.8109548592113681E-2</v>
      </c>
      <c r="ED102">
        <v>0.22294104232095943</v>
      </c>
      <c r="EE102" s="10">
        <v>3.0262000000000002</v>
      </c>
      <c r="EF102">
        <v>3.0110999999999999</v>
      </c>
      <c r="EG102">
        <v>90.260649834862392</v>
      </c>
      <c r="EH102" t="s">
        <v>2294</v>
      </c>
      <c r="EI102">
        <v>0</v>
      </c>
      <c r="EJ102">
        <v>0</v>
      </c>
      <c r="EK102" s="11">
        <v>45470</v>
      </c>
      <c r="EL102" s="12">
        <v>-1.56</v>
      </c>
      <c r="EM102" s="12">
        <v>-5.0199999999999996</v>
      </c>
      <c r="EN102" s="12">
        <v>-1.54</v>
      </c>
      <c r="EO102" s="12">
        <v>3.74</v>
      </c>
      <c r="EP102" s="12">
        <v>-1.51</v>
      </c>
    </row>
    <row r="103" spans="1:146" ht="108" x14ac:dyDescent="0.25">
      <c r="A103" s="6"/>
      <c r="B103" s="6"/>
      <c r="C103" s="6" t="str">
        <f>""&amp;CHAR(10)&amp;Basic_Fundamental_Information_Constructure(F103)&amp;CHAR(10)&amp;Basic_Fundamental_Information_Concatenate("")</f>
        <v xml:space="preserve">
市值29.801197亿, 利润423.69万; PE52.14; 平均PE-624.81; 平均PEG-48.32, PB1.26; ROIC2.5%; ROE2.6233%; 股利率1.7921%; 毛利54.3433%; 净利2.4833%; 上一年度营收增-93.39%, 利润增-91.27%; 当季营收增2382.39%, 利润增848.46%; 过往5年营收增-12.93%, 利润增-105.6%
Income profile:
</v>
      </c>
      <c r="D103" t="s">
        <v>154</v>
      </c>
      <c r="E103" t="s">
        <v>155</v>
      </c>
      <c r="F103">
        <v>5.58</v>
      </c>
      <c r="G103">
        <v>3.91</v>
      </c>
      <c r="H103" t="s">
        <v>4289</v>
      </c>
      <c r="I103">
        <v>2980119700</v>
      </c>
      <c r="J103">
        <v>52.14</v>
      </c>
      <c r="K103">
        <v>1.26</v>
      </c>
      <c r="L103" t="s">
        <v>100</v>
      </c>
      <c r="M103" t="s">
        <v>1253</v>
      </c>
      <c r="N103" t="s">
        <v>4290</v>
      </c>
      <c r="O103" t="s">
        <v>657</v>
      </c>
      <c r="P103">
        <v>-1.42</v>
      </c>
      <c r="Q103" t="s">
        <v>839</v>
      </c>
      <c r="R103">
        <v>23944714</v>
      </c>
      <c r="S103" s="5">
        <v>6.4700000000000001E-3</v>
      </c>
      <c r="T103" t="s">
        <v>4291</v>
      </c>
      <c r="U103">
        <v>479319980</v>
      </c>
      <c r="V103">
        <v>534071630</v>
      </c>
      <c r="W103">
        <v>1.36</v>
      </c>
      <c r="X103">
        <v>0.17</v>
      </c>
      <c r="Y103">
        <v>4.37</v>
      </c>
      <c r="Z103" t="s">
        <v>1004</v>
      </c>
      <c r="AA103" t="s">
        <v>456</v>
      </c>
      <c r="AB103" t="s">
        <v>1045</v>
      </c>
      <c r="AC103" t="s">
        <v>4292</v>
      </c>
      <c r="AD103" t="s">
        <v>81</v>
      </c>
      <c r="AE103">
        <v>1647172</v>
      </c>
      <c r="AF103" t="s">
        <v>236</v>
      </c>
      <c r="AG103" t="s">
        <v>4293</v>
      </c>
      <c r="AH103" t="s">
        <v>2757</v>
      </c>
      <c r="AI103" t="s">
        <v>4294</v>
      </c>
      <c r="AJ103" t="s">
        <v>2758</v>
      </c>
      <c r="AK103" t="s">
        <v>4295</v>
      </c>
      <c r="AL103" t="s">
        <v>2759</v>
      </c>
      <c r="AM103" t="s">
        <v>81</v>
      </c>
      <c r="AN103" t="s">
        <v>4296</v>
      </c>
      <c r="AO103" t="s">
        <v>4297</v>
      </c>
      <c r="AP103" t="s">
        <v>4298</v>
      </c>
      <c r="AQ103" t="s">
        <v>1812</v>
      </c>
      <c r="AR103" t="s">
        <v>81</v>
      </c>
      <c r="AS103" t="s">
        <v>4299</v>
      </c>
      <c r="AT103" t="s">
        <v>241</v>
      </c>
      <c r="AU103" t="s">
        <v>4300</v>
      </c>
      <c r="AV103" t="s">
        <v>4301</v>
      </c>
      <c r="AW103" t="s">
        <v>4302</v>
      </c>
      <c r="AX103" t="s">
        <v>1754</v>
      </c>
      <c r="AY103" t="s">
        <v>1294</v>
      </c>
      <c r="AZ103" t="s">
        <v>476</v>
      </c>
      <c r="BA103" t="s">
        <v>950</v>
      </c>
      <c r="BB103" t="s">
        <v>951</v>
      </c>
      <c r="BC103" t="s">
        <v>2760</v>
      </c>
      <c r="BD103" t="s">
        <v>1295</v>
      </c>
      <c r="BE103" t="s">
        <v>821</v>
      </c>
      <c r="BF103" t="s">
        <v>952</v>
      </c>
      <c r="BG103" t="s">
        <v>359</v>
      </c>
      <c r="BH103" t="s">
        <v>1620</v>
      </c>
      <c r="BI103" t="s">
        <v>4303</v>
      </c>
      <c r="BJ103" t="s">
        <v>1754</v>
      </c>
      <c r="BK103" t="s">
        <v>2756</v>
      </c>
      <c r="BL103" t="s">
        <v>4304</v>
      </c>
      <c r="BM103" t="s">
        <v>2760</v>
      </c>
      <c r="BN103">
        <v>2.71</v>
      </c>
      <c r="BO103">
        <v>2.11</v>
      </c>
      <c r="BP103">
        <v>2.68</v>
      </c>
      <c r="BQ103">
        <v>2.82</v>
      </c>
      <c r="BR103">
        <v>2.0699999999999998</v>
      </c>
      <c r="BS103">
        <v>2.98</v>
      </c>
      <c r="BT103" t="s">
        <v>1525</v>
      </c>
      <c r="BU103" t="s">
        <v>1354</v>
      </c>
      <c r="BV103">
        <v>49.93</v>
      </c>
      <c r="BW103">
        <v>52.9</v>
      </c>
      <c r="BX103">
        <v>60.2</v>
      </c>
      <c r="BY103">
        <v>2.4900000000000002</v>
      </c>
      <c r="BZ103">
        <v>2.0099999999999998</v>
      </c>
      <c r="CA103">
        <v>2.95</v>
      </c>
      <c r="CB103">
        <v>4.3</v>
      </c>
      <c r="CC103">
        <v>-9.1199999999999992</v>
      </c>
      <c r="CD103" t="s">
        <v>4305</v>
      </c>
      <c r="CE103" t="s">
        <v>298</v>
      </c>
      <c r="CF103" s="7">
        <v>23.823858534226705</v>
      </c>
      <c r="CG103" s="8">
        <v>8.4845942735683924</v>
      </c>
      <c r="CH103" s="7">
        <v>-0.93386358022689819</v>
      </c>
      <c r="CI103" s="7">
        <v>3.7342540919780731E-2</v>
      </c>
      <c r="CJ103" s="7">
        <v>0.26608026027679443</v>
      </c>
      <c r="CK103" s="7">
        <v>-5.6535236537456512E-2</v>
      </c>
      <c r="CL103" s="7">
        <v>4.0474940091371536E-2</v>
      </c>
      <c r="CM103" s="8">
        <v>-0.91272777318954468</v>
      </c>
      <c r="CN103" s="8">
        <v>-0.30269521474838257</v>
      </c>
      <c r="CO103" s="8">
        <v>1.2041715383529663</v>
      </c>
      <c r="CP103" s="8">
        <v>-5.0607419013977051</v>
      </c>
      <c r="CQ103" s="8">
        <v>-0.20778490602970123</v>
      </c>
      <c r="CR103">
        <v>-624.81325193848556</v>
      </c>
      <c r="CS103">
        <v>-48.322676917285811</v>
      </c>
      <c r="CT103">
        <v>1.7921146953405018</v>
      </c>
      <c r="CU103" s="7">
        <v>-0.12930021509528161</v>
      </c>
      <c r="CV103" s="8">
        <v>-1.0559556514024735</v>
      </c>
      <c r="CW103">
        <v>0.06</v>
      </c>
      <c r="CX103">
        <v>342.9676650381175</v>
      </c>
      <c r="CY103" t="s">
        <v>4306</v>
      </c>
      <c r="CZ103">
        <v>-0.12930021509528161</v>
      </c>
      <c r="DA103">
        <v>114.32255501270583</v>
      </c>
      <c r="DB103" t="s">
        <v>4307</v>
      </c>
      <c r="DC103">
        <v>-0.12283520434051752</v>
      </c>
      <c r="DD103">
        <v>57.161277506352917</v>
      </c>
      <c r="DE103" t="s">
        <v>4308</v>
      </c>
      <c r="DF103">
        <v>-0.11378418928384781</v>
      </c>
      <c r="DG103">
        <v>34.296766503811746</v>
      </c>
      <c r="DH103" t="s">
        <v>4309</v>
      </c>
      <c r="DI103">
        <v>-0.1034401720762253</v>
      </c>
      <c r="DJ103">
        <v>17.148383251905873</v>
      </c>
      <c r="DK103" t="s">
        <v>4310</v>
      </c>
      <c r="DL103">
        <v>-9.0510150566697117E-2</v>
      </c>
      <c r="DM103">
        <v>4236900</v>
      </c>
      <c r="DN103">
        <v>-0.12930021509528161</v>
      </c>
      <c r="DO103">
        <v>1453119700</v>
      </c>
      <c r="DP103">
        <v>1128019200</v>
      </c>
      <c r="DQ103">
        <v>3319</v>
      </c>
      <c r="DR103">
        <v>23.953158749321986</v>
      </c>
      <c r="DS103">
        <v>9.5405499249708665</v>
      </c>
      <c r="DT103" s="9">
        <v>-0.64</v>
      </c>
      <c r="DU103">
        <v>-1.4066666666666665</v>
      </c>
      <c r="DV103">
        <v>-2.0466666666666664</v>
      </c>
      <c r="DW103">
        <v>6.3204172876304021</v>
      </c>
      <c r="DX103">
        <v>0.46969999999999884</v>
      </c>
      <c r="DY103">
        <v>6.0543748137108793</v>
      </c>
      <c r="DZ103">
        <v>1809</v>
      </c>
      <c r="EA103">
        <v>6.0351254912054033</v>
      </c>
      <c r="EB103">
        <v>6</v>
      </c>
      <c r="EC103">
        <v>3.8129716794730324E-2</v>
      </c>
      <c r="ED103">
        <v>0.22468896166605967</v>
      </c>
      <c r="EE103" s="10">
        <v>5.0928000000000004</v>
      </c>
      <c r="EF103">
        <v>5.0810000000000004</v>
      </c>
      <c r="EG103">
        <v>30.169699999999999</v>
      </c>
      <c r="EH103" t="s">
        <v>3020</v>
      </c>
      <c r="EI103">
        <v>0</v>
      </c>
      <c r="EJ103">
        <v>0</v>
      </c>
      <c r="EK103" s="11">
        <v>45470</v>
      </c>
      <c r="EL103" s="12">
        <v>1.63</v>
      </c>
      <c r="EM103" s="12">
        <v>-2.2000000000000002</v>
      </c>
      <c r="EN103" s="12">
        <v>0.79</v>
      </c>
      <c r="EO103" s="12">
        <v>1.63</v>
      </c>
      <c r="EP103" s="12">
        <v>-1.18</v>
      </c>
    </row>
    <row r="104" spans="1:146" ht="108" x14ac:dyDescent="0.25">
      <c r="A104" s="6"/>
      <c r="B104" s="6"/>
      <c r="C104" s="6" t="str">
        <f>""&amp;CHAR(10)&amp;Basic_Fundamental_Information_Constructure(F104)&amp;CHAR(10)&amp;Basic_Fundamental_Information_Concatenate("")</f>
        <v xml:space="preserve">
市值20.54136亿, 利润-3.47亿; PE; 平均PE-25.8; 平均PEG-.09, PB2.6; ROIC-.93%; ROE-4.0833%; 股利率0%; 毛利43.4467%; 净利-3.03%; 上一年度营收增1378.83%, 利润增-5496.59%; 当季营收增-94.1%, 利润增88.33%; 过往5年营收增274.28%, 利润增-1385.02%
Income profile:
</v>
      </c>
      <c r="D104" t="s">
        <v>110</v>
      </c>
      <c r="E104" t="s">
        <v>59</v>
      </c>
      <c r="F104">
        <v>3</v>
      </c>
      <c r="G104">
        <v>2.39</v>
      </c>
      <c r="H104" t="s">
        <v>4311</v>
      </c>
      <c r="I104">
        <v>2054136000</v>
      </c>
      <c r="K104">
        <v>2.6</v>
      </c>
      <c r="L104" t="s">
        <v>100</v>
      </c>
      <c r="M104" t="s">
        <v>2761</v>
      </c>
      <c r="N104" t="s">
        <v>1686</v>
      </c>
      <c r="O104" t="s">
        <v>246</v>
      </c>
      <c r="P104">
        <v>-8.5399999999999991</v>
      </c>
      <c r="Q104" t="s">
        <v>4312</v>
      </c>
      <c r="R104">
        <v>-11103708</v>
      </c>
      <c r="S104" s="5">
        <v>-70.510000000000005</v>
      </c>
      <c r="T104" t="s">
        <v>4150</v>
      </c>
      <c r="U104">
        <v>684712010</v>
      </c>
      <c r="V104">
        <v>684712010</v>
      </c>
      <c r="W104">
        <v>2.06</v>
      </c>
      <c r="X104">
        <v>0.09</v>
      </c>
      <c r="Y104">
        <v>-7.17</v>
      </c>
      <c r="Z104" t="s">
        <v>387</v>
      </c>
      <c r="AA104" t="s">
        <v>4313</v>
      </c>
      <c r="AB104" t="s">
        <v>4314</v>
      </c>
      <c r="AC104" t="s">
        <v>4315</v>
      </c>
      <c r="AD104" t="s">
        <v>81</v>
      </c>
      <c r="AE104">
        <v>3859617</v>
      </c>
      <c r="AF104" t="s">
        <v>2763</v>
      </c>
      <c r="AG104" t="s">
        <v>4316</v>
      </c>
      <c r="AH104" t="s">
        <v>2764</v>
      </c>
      <c r="AI104" t="s">
        <v>1411</v>
      </c>
      <c r="AJ104" t="s">
        <v>2765</v>
      </c>
      <c r="AK104" t="s">
        <v>4317</v>
      </c>
      <c r="AL104" t="s">
        <v>2766</v>
      </c>
      <c r="AM104" t="s">
        <v>81</v>
      </c>
      <c r="AN104" t="s">
        <v>4318</v>
      </c>
      <c r="AO104" t="s">
        <v>848</v>
      </c>
      <c r="AP104" t="s">
        <v>4319</v>
      </c>
      <c r="AQ104" t="s">
        <v>4320</v>
      </c>
      <c r="AR104" t="s">
        <v>4321</v>
      </c>
      <c r="AS104" t="s">
        <v>1704</v>
      </c>
      <c r="AT104" t="s">
        <v>4322</v>
      </c>
      <c r="AU104" t="s">
        <v>4323</v>
      </c>
      <c r="AV104" t="s">
        <v>4324</v>
      </c>
      <c r="AW104" t="s">
        <v>4325</v>
      </c>
      <c r="AX104" t="s">
        <v>1534</v>
      </c>
      <c r="AY104" t="s">
        <v>1067</v>
      </c>
      <c r="AZ104" t="s">
        <v>416</v>
      </c>
      <c r="BA104" t="s">
        <v>953</v>
      </c>
      <c r="BB104" t="s">
        <v>358</v>
      </c>
      <c r="BC104" t="s">
        <v>2767</v>
      </c>
      <c r="BD104" t="s">
        <v>2015</v>
      </c>
      <c r="BE104" t="s">
        <v>4326</v>
      </c>
      <c r="BF104" t="s">
        <v>4327</v>
      </c>
      <c r="BG104" t="s">
        <v>1378</v>
      </c>
      <c r="BH104" t="s">
        <v>1810</v>
      </c>
      <c r="BI104" t="s">
        <v>4243</v>
      </c>
      <c r="BJ104" t="s">
        <v>1534</v>
      </c>
      <c r="BK104" t="s">
        <v>2762</v>
      </c>
      <c r="BL104" t="s">
        <v>4328</v>
      </c>
      <c r="BM104" t="s">
        <v>2767</v>
      </c>
      <c r="BN104">
        <v>1</v>
      </c>
      <c r="BO104">
        <v>-2.86</v>
      </c>
      <c r="BP104" t="s">
        <v>81</v>
      </c>
      <c r="BQ104">
        <v>-1.25</v>
      </c>
      <c r="BR104">
        <v>-0.4</v>
      </c>
      <c r="BS104">
        <v>-10.6</v>
      </c>
      <c r="BT104" t="s">
        <v>1526</v>
      </c>
      <c r="BU104" t="s">
        <v>1354</v>
      </c>
      <c r="BV104">
        <v>43.3</v>
      </c>
      <c r="BW104">
        <v>41.48</v>
      </c>
      <c r="BX104">
        <v>45.56</v>
      </c>
      <c r="BY104">
        <v>1</v>
      </c>
      <c r="BZ104">
        <v>-0.28000000000000003</v>
      </c>
      <c r="CA104">
        <v>-9.81</v>
      </c>
      <c r="CB104">
        <v>1.01</v>
      </c>
      <c r="CC104">
        <v>-23.47</v>
      </c>
      <c r="CD104" t="s">
        <v>4329</v>
      </c>
      <c r="CE104" t="s">
        <v>251</v>
      </c>
      <c r="CF104" s="7">
        <v>-0.94099733536353258</v>
      </c>
      <c r="CG104" s="8">
        <v>0.88332972932079601</v>
      </c>
      <c r="CH104" s="7">
        <v>13.788338661193848</v>
      </c>
      <c r="CI104" s="7">
        <v>-0.24207492172718048</v>
      </c>
      <c r="CJ104" s="7">
        <v>0.1074468120932579</v>
      </c>
      <c r="CK104" s="7">
        <v>-0.32857143878936768</v>
      </c>
      <c r="CL104" s="7">
        <v>0.3888888955116272</v>
      </c>
      <c r="CM104" s="8">
        <v>-54.965938568115234</v>
      </c>
      <c r="CN104" s="8">
        <v>0.94150751829147339</v>
      </c>
      <c r="CO104" s="8">
        <v>-0.77402889728546143</v>
      </c>
      <c r="CP104" s="8">
        <v>-13.582866668701172</v>
      </c>
      <c r="CQ104" s="8">
        <v>-0.86990135908126831</v>
      </c>
      <c r="CR104">
        <v>-25.800186140916963</v>
      </c>
      <c r="CS104">
        <v>-9.4064946219067427E-2</v>
      </c>
      <c r="CT104">
        <v>0</v>
      </c>
      <c r="CU104" s="7">
        <v>2.7428056016564368</v>
      </c>
      <c r="CV104" s="8">
        <v>-13.850245594978333</v>
      </c>
      <c r="CW104">
        <v>0.06</v>
      </c>
      <c r="CX104" t="e">
        <v>#VALUE!</v>
      </c>
      <c r="CY104" t="s">
        <v>1361</v>
      </c>
      <c r="CZ104">
        <v>2.7428056016564368</v>
      </c>
      <c r="DA104" t="e">
        <v>#VALUE!</v>
      </c>
      <c r="DB104" t="s">
        <v>1362</v>
      </c>
      <c r="DC104">
        <v>2.605665321573615</v>
      </c>
      <c r="DD104" t="e">
        <v>#VALUE!</v>
      </c>
      <c r="DE104" t="s">
        <v>1362</v>
      </c>
      <c r="DF104">
        <v>2.4136689294576645</v>
      </c>
      <c r="DG104" t="e">
        <v>#VALUE!</v>
      </c>
      <c r="DH104" t="s">
        <v>1362</v>
      </c>
      <c r="DI104">
        <v>2.1942444813251494</v>
      </c>
      <c r="DJ104" t="e">
        <v>#VALUE!</v>
      </c>
      <c r="DK104" t="s">
        <v>1362</v>
      </c>
      <c r="DL104">
        <v>1.9199639211595056</v>
      </c>
      <c r="DM104">
        <v>-347000000</v>
      </c>
      <c r="DN104">
        <v>2.7428056016564368</v>
      </c>
      <c r="DO104">
        <v>2176136000</v>
      </c>
      <c r="DP104">
        <v>269098410</v>
      </c>
      <c r="DQ104">
        <v>3329</v>
      </c>
      <c r="DR104">
        <v>-3.6838029370199692</v>
      </c>
      <c r="DS104">
        <v>14.733575324299128</v>
      </c>
      <c r="DT104" s="9">
        <v>-0.3066666666666667</v>
      </c>
      <c r="DU104">
        <v>-3.2983333333333333</v>
      </c>
      <c r="DV104">
        <v>-3.605</v>
      </c>
      <c r="DW104">
        <v>-3.084482142857143</v>
      </c>
      <c r="DX104">
        <v>0.36656007604562912</v>
      </c>
      <c r="DY104">
        <v>-3.0132265307102117</v>
      </c>
      <c r="DZ104">
        <v>2571</v>
      </c>
      <c r="EA104">
        <v>-3.0065718515603184</v>
      </c>
      <c r="EB104">
        <v>3</v>
      </c>
      <c r="EC104">
        <v>6.0135209253887628E-2</v>
      </c>
      <c r="ED104">
        <v>0.38410309175093921</v>
      </c>
      <c r="EE104" s="10">
        <v>1.1028</v>
      </c>
      <c r="EF104">
        <v>1.0759000000000001</v>
      </c>
      <c r="EG104">
        <v>21.156560076045629</v>
      </c>
      <c r="EH104" t="s">
        <v>1364</v>
      </c>
      <c r="EI104">
        <v>0</v>
      </c>
      <c r="EJ104">
        <v>0</v>
      </c>
      <c r="EK104" s="11">
        <v>45470</v>
      </c>
      <c r="EL104" s="12">
        <v>0.17</v>
      </c>
      <c r="EM104" s="12">
        <v>-1.85</v>
      </c>
      <c r="EN104" s="12">
        <v>0.69</v>
      </c>
      <c r="EO104" s="12">
        <v>1.19</v>
      </c>
      <c r="EP104" s="12">
        <v>-2.69</v>
      </c>
    </row>
    <row r="105" spans="1:146" ht="108" x14ac:dyDescent="0.25">
      <c r="A105" s="6"/>
      <c r="B105" s="6"/>
      <c r="C105" s="6" t="str">
        <f>""&amp;CHAR(10)&amp;Basic_Fundamental_Information_Constructure(F105)&amp;CHAR(10)&amp;Basic_Fundamental_Information_Concatenate("")</f>
        <v xml:space="preserve">
市值67.496065亿, 利润-3.90亿; PE15.01; 平均PE-175.93; 平均PEG-83.13, PB1.38; ROIC6.8633%; ROE9.3167%; 股利率0%; 毛利24.8633%; 净利3.3233%; 上一年度营收增-16.53%, 利润增-183.87%; 当季营收增29.8%, 利润增1024.02%; 过往5年营收增2.12%, 利润增-427.89%
Income profile:
</v>
      </c>
      <c r="D105" t="s">
        <v>114</v>
      </c>
      <c r="E105" t="s">
        <v>34</v>
      </c>
      <c r="F105">
        <v>2.68</v>
      </c>
      <c r="G105">
        <v>2.68</v>
      </c>
      <c r="H105" t="s">
        <v>4330</v>
      </c>
      <c r="I105">
        <v>6749606500</v>
      </c>
      <c r="J105">
        <v>15.01</v>
      </c>
      <c r="K105">
        <v>1.38</v>
      </c>
      <c r="L105" t="s">
        <v>100</v>
      </c>
      <c r="M105" t="s">
        <v>2768</v>
      </c>
      <c r="N105" t="s">
        <v>3833</v>
      </c>
      <c r="O105" t="s">
        <v>2769</v>
      </c>
      <c r="P105">
        <v>5.36</v>
      </c>
      <c r="Q105" t="s">
        <v>4331</v>
      </c>
      <c r="R105">
        <v>176741390</v>
      </c>
      <c r="S105" s="5">
        <v>0.44519999999999998</v>
      </c>
      <c r="T105" t="s">
        <v>4332</v>
      </c>
      <c r="U105">
        <v>2518509900</v>
      </c>
      <c r="V105">
        <v>2518509900</v>
      </c>
      <c r="W105">
        <v>2.52</v>
      </c>
      <c r="X105">
        <v>0.28999999999999998</v>
      </c>
      <c r="Y105">
        <v>4.59</v>
      </c>
      <c r="Z105" t="s">
        <v>4333</v>
      </c>
      <c r="AA105" t="s">
        <v>4334</v>
      </c>
      <c r="AB105" t="s">
        <v>3355</v>
      </c>
      <c r="AC105" t="s">
        <v>311</v>
      </c>
      <c r="AD105" t="s">
        <v>81</v>
      </c>
      <c r="AE105">
        <v>3228228</v>
      </c>
      <c r="AF105" t="s">
        <v>236</v>
      </c>
      <c r="AG105" t="s">
        <v>4335</v>
      </c>
      <c r="AH105" t="s">
        <v>2771</v>
      </c>
      <c r="AI105" t="s">
        <v>4336</v>
      </c>
      <c r="AJ105" t="s">
        <v>2772</v>
      </c>
      <c r="AK105" t="s">
        <v>4337</v>
      </c>
      <c r="AL105" t="s">
        <v>2773</v>
      </c>
      <c r="AM105" t="s">
        <v>81</v>
      </c>
      <c r="AN105" t="s">
        <v>4338</v>
      </c>
      <c r="AO105" t="s">
        <v>4339</v>
      </c>
      <c r="AP105" t="s">
        <v>4340</v>
      </c>
      <c r="AQ105" t="s">
        <v>4341</v>
      </c>
      <c r="AR105" t="s">
        <v>4342</v>
      </c>
      <c r="AS105" t="s">
        <v>4343</v>
      </c>
      <c r="AT105" t="s">
        <v>4344</v>
      </c>
      <c r="AU105" t="s">
        <v>4345</v>
      </c>
      <c r="AV105" t="s">
        <v>4346</v>
      </c>
      <c r="AW105" t="s">
        <v>355</v>
      </c>
      <c r="AX105" t="s">
        <v>1755</v>
      </c>
      <c r="AY105" t="s">
        <v>1296</v>
      </c>
      <c r="AZ105" t="s">
        <v>955</v>
      </c>
      <c r="BA105" t="s">
        <v>957</v>
      </c>
      <c r="BB105" t="s">
        <v>958</v>
      </c>
      <c r="BC105" t="s">
        <v>491</v>
      </c>
      <c r="BD105" t="s">
        <v>452</v>
      </c>
      <c r="BE105" t="s">
        <v>956</v>
      </c>
      <c r="BF105" t="s">
        <v>959</v>
      </c>
      <c r="BG105" t="s">
        <v>269</v>
      </c>
      <c r="BH105" t="s">
        <v>2770</v>
      </c>
      <c r="BI105" t="s">
        <v>4347</v>
      </c>
      <c r="BJ105" t="s">
        <v>1755</v>
      </c>
      <c r="BK105" t="s">
        <v>515</v>
      </c>
      <c r="BL105" t="s">
        <v>4348</v>
      </c>
      <c r="BM105" t="s">
        <v>491</v>
      </c>
      <c r="BN105">
        <v>5.03</v>
      </c>
      <c r="BO105">
        <v>8.0399999999999991</v>
      </c>
      <c r="BP105">
        <v>7.52</v>
      </c>
      <c r="BQ105">
        <v>6.49</v>
      </c>
      <c r="BR105">
        <v>11.33</v>
      </c>
      <c r="BS105">
        <v>10.130000000000001</v>
      </c>
      <c r="BT105" t="s">
        <v>1526</v>
      </c>
      <c r="BU105" t="s">
        <v>1354</v>
      </c>
      <c r="BV105">
        <v>26.21</v>
      </c>
      <c r="BW105">
        <v>24.67</v>
      </c>
      <c r="BX105">
        <v>23.71</v>
      </c>
      <c r="BY105">
        <v>3.07</v>
      </c>
      <c r="BZ105">
        <v>3.7</v>
      </c>
      <c r="CA105">
        <v>3.2</v>
      </c>
      <c r="CB105">
        <v>1.52</v>
      </c>
      <c r="CC105">
        <v>-9.76</v>
      </c>
      <c r="CD105" t="s">
        <v>595</v>
      </c>
      <c r="CE105" t="s">
        <v>2988</v>
      </c>
      <c r="CF105" s="7">
        <v>0.29802569727358197</v>
      </c>
      <c r="CG105" s="8">
        <v>10.240230857288221</v>
      </c>
      <c r="CH105" s="7">
        <v>-0.16532701253890991</v>
      </c>
      <c r="CI105" s="7">
        <v>7.8659631311893463E-2</v>
      </c>
      <c r="CJ105" s="7">
        <v>0.18668892979621887</v>
      </c>
      <c r="CK105" s="7">
        <v>-8.7695613503456116E-2</v>
      </c>
      <c r="CL105" s="7">
        <v>9.3489952385425568E-2</v>
      </c>
      <c r="CM105" s="8">
        <v>-1.8387097120285034</v>
      </c>
      <c r="CN105" s="8">
        <v>0.25336927175521851</v>
      </c>
      <c r="CO105" s="8">
        <v>1.3441557884216309</v>
      </c>
      <c r="CP105" s="8">
        <v>-20.314807891845703</v>
      </c>
      <c r="CQ105" s="8">
        <v>-0.83869338035583496</v>
      </c>
      <c r="CR105">
        <v>-175.93296172387863</v>
      </c>
      <c r="CS105">
        <v>-83.131638339782327</v>
      </c>
      <c r="CT105">
        <v>0</v>
      </c>
      <c r="CU105" s="7">
        <v>2.1163177490234376E-2</v>
      </c>
      <c r="CV105" s="8">
        <v>-4.2789371848106388</v>
      </c>
      <c r="CW105">
        <v>0.06</v>
      </c>
      <c r="CX105" t="e">
        <v>#VALUE!</v>
      </c>
      <c r="CY105" t="s">
        <v>1362</v>
      </c>
      <c r="CZ105">
        <v>2.1163177490234376E-2</v>
      </c>
      <c r="DA105" t="e">
        <v>#VALUE!</v>
      </c>
      <c r="DB105" t="s">
        <v>1362</v>
      </c>
      <c r="DC105">
        <v>2.0105018615722656E-2</v>
      </c>
      <c r="DD105" t="e">
        <v>#VALUE!</v>
      </c>
      <c r="DE105" t="s">
        <v>1362</v>
      </c>
      <c r="DF105">
        <v>1.8623596191406251E-2</v>
      </c>
      <c r="DG105" t="e">
        <v>#VALUE!</v>
      </c>
      <c r="DH105" t="s">
        <v>1362</v>
      </c>
      <c r="DI105">
        <v>1.6930541992187503E-2</v>
      </c>
      <c r="DJ105" t="e">
        <v>#VALUE!</v>
      </c>
      <c r="DK105" t="s">
        <v>1362</v>
      </c>
      <c r="DL105">
        <v>1.4814224243164063E-2</v>
      </c>
      <c r="DM105">
        <v>-390000000</v>
      </c>
      <c r="DN105">
        <v>2.1163177490234376E-2</v>
      </c>
      <c r="DO105">
        <v>9825606500</v>
      </c>
      <c r="DP105">
        <v>2389467600</v>
      </c>
      <c r="DQ105">
        <v>3359</v>
      </c>
      <c r="DR105">
        <v>0.27686251978334758</v>
      </c>
      <c r="DS105">
        <v>14.51916804209886</v>
      </c>
      <c r="DT105" s="9">
        <v>-0.47333333333333333</v>
      </c>
      <c r="DU105">
        <v>-1.6233333333333333</v>
      </c>
      <c r="DV105">
        <v>-2.0966666666666667</v>
      </c>
      <c r="DW105">
        <v>-2.0975999999999999</v>
      </c>
      <c r="DX105">
        <v>0.46285329744280118</v>
      </c>
      <c r="DY105">
        <v>-2.0158944818304172</v>
      </c>
      <c r="DZ105">
        <v>3327</v>
      </c>
      <c r="EA105">
        <v>-2.0055459610770319</v>
      </c>
      <c r="EB105">
        <v>2</v>
      </c>
      <c r="EC105">
        <v>4.8044282057418161E-2</v>
      </c>
      <c r="ED105">
        <v>0.29501571544348504</v>
      </c>
      <c r="EE105" s="10">
        <v>4.9110000000000008E-2</v>
      </c>
      <c r="EF105">
        <v>6.1210000000000001E-2</v>
      </c>
      <c r="EG105">
        <v>30.162853297442801</v>
      </c>
      <c r="EH105">
        <v>-1</v>
      </c>
      <c r="EI105">
        <v>0</v>
      </c>
      <c r="EJ105">
        <v>0</v>
      </c>
      <c r="EK105" s="11">
        <v>45470</v>
      </c>
      <c r="EL105" s="12">
        <v>-0.43</v>
      </c>
      <c r="EM105" s="12">
        <v>-1.71</v>
      </c>
      <c r="EN105" s="12">
        <v>-0.43</v>
      </c>
      <c r="EO105" s="12">
        <v>-0.66</v>
      </c>
      <c r="EP105" s="12">
        <v>-1.21</v>
      </c>
    </row>
    <row r="106" spans="1:146" ht="108" x14ac:dyDescent="0.25">
      <c r="A106" s="6"/>
      <c r="B106" s="6"/>
      <c r="C106" s="6" t="str">
        <f>""&amp;CHAR(10)&amp;Basic_Fundamental_Information_Constructure(F106)&amp;CHAR(10)&amp;Basic_Fundamental_Information_Concatenate("")</f>
        <v xml:space="preserve">
市值24.31067亿, 利润-2.38亿; PE48.99; 平均PE442.87; 平均PEG8.8, PB1.44; ROIC4.4867%; ROE6.0933%; 股利率0%; 毛利62.5767%; 净利4.7833%; 上一年度营收增109.95%, 利润增-363.47%; 当季营收增-39.61%, 利润增141.69%; 过往5年营收增50.34%, 利润增-32.95%
Income profile:
</v>
      </c>
      <c r="D106" t="s">
        <v>494</v>
      </c>
      <c r="E106" t="s">
        <v>495</v>
      </c>
      <c r="F106">
        <v>8.24</v>
      </c>
      <c r="G106">
        <v>-0.36</v>
      </c>
      <c r="H106" t="s">
        <v>4349</v>
      </c>
      <c r="I106">
        <v>2431067000</v>
      </c>
      <c r="J106">
        <v>48.99</v>
      </c>
      <c r="K106">
        <v>1.44</v>
      </c>
      <c r="L106" t="s">
        <v>100</v>
      </c>
      <c r="M106" t="s">
        <v>2775</v>
      </c>
      <c r="N106" t="s">
        <v>4350</v>
      </c>
      <c r="O106" t="s">
        <v>257</v>
      </c>
      <c r="P106">
        <v>-6.88</v>
      </c>
      <c r="Q106" t="s">
        <v>4351</v>
      </c>
      <c r="R106">
        <v>12671739</v>
      </c>
      <c r="S106" s="5">
        <v>-0.47760000000000002</v>
      </c>
      <c r="T106" t="s">
        <v>4352</v>
      </c>
      <c r="U106">
        <v>294842130</v>
      </c>
      <c r="V106">
        <v>295032400</v>
      </c>
      <c r="W106">
        <v>1.97</v>
      </c>
      <c r="X106">
        <v>0.09</v>
      </c>
      <c r="Y106">
        <v>2.86</v>
      </c>
      <c r="Z106" t="s">
        <v>1001</v>
      </c>
      <c r="AA106" t="s">
        <v>339</v>
      </c>
      <c r="AB106" t="s">
        <v>4353</v>
      </c>
      <c r="AC106" t="s">
        <v>4354</v>
      </c>
      <c r="AD106" t="s">
        <v>81</v>
      </c>
      <c r="AE106">
        <v>10744738</v>
      </c>
      <c r="AF106" t="s">
        <v>236</v>
      </c>
      <c r="AG106" t="s">
        <v>4355</v>
      </c>
      <c r="AH106" t="s">
        <v>2778</v>
      </c>
      <c r="AI106" t="s">
        <v>4356</v>
      </c>
      <c r="AJ106" t="s">
        <v>2779</v>
      </c>
      <c r="AK106" t="s">
        <v>348</v>
      </c>
      <c r="AL106" t="s">
        <v>2780</v>
      </c>
      <c r="AM106" t="s">
        <v>81</v>
      </c>
      <c r="AN106" t="s">
        <v>290</v>
      </c>
      <c r="AO106" t="s">
        <v>230</v>
      </c>
      <c r="AP106" t="s">
        <v>81</v>
      </c>
      <c r="AQ106" t="s">
        <v>619</v>
      </c>
      <c r="AR106" t="s">
        <v>4357</v>
      </c>
      <c r="AS106" t="s">
        <v>2838</v>
      </c>
      <c r="AT106" t="s">
        <v>89</v>
      </c>
      <c r="AU106" t="s">
        <v>4358</v>
      </c>
      <c r="AV106" t="s">
        <v>4359</v>
      </c>
      <c r="AW106" t="s">
        <v>4360</v>
      </c>
      <c r="AX106" t="s">
        <v>1756</v>
      </c>
      <c r="AY106" t="s">
        <v>1231</v>
      </c>
      <c r="AZ106" t="s">
        <v>234</v>
      </c>
      <c r="BA106" t="s">
        <v>433</v>
      </c>
      <c r="BB106" t="s">
        <v>540</v>
      </c>
      <c r="BC106" t="s">
        <v>2781</v>
      </c>
      <c r="BD106" t="s">
        <v>1297</v>
      </c>
      <c r="BE106" t="s">
        <v>960</v>
      </c>
      <c r="BF106" t="s">
        <v>961</v>
      </c>
      <c r="BG106" t="s">
        <v>962</v>
      </c>
      <c r="BH106" t="s">
        <v>2776</v>
      </c>
      <c r="BI106" t="s">
        <v>980</v>
      </c>
      <c r="BJ106" t="s">
        <v>1756</v>
      </c>
      <c r="BK106" t="s">
        <v>2777</v>
      </c>
      <c r="BL106" t="s">
        <v>4361</v>
      </c>
      <c r="BM106" t="s">
        <v>2781</v>
      </c>
      <c r="BN106">
        <v>3.51</v>
      </c>
      <c r="BO106">
        <v>4.09</v>
      </c>
      <c r="BP106">
        <v>5.86</v>
      </c>
      <c r="BQ106">
        <v>4.05</v>
      </c>
      <c r="BR106">
        <v>5.37</v>
      </c>
      <c r="BS106">
        <v>8.86</v>
      </c>
      <c r="BT106" t="s">
        <v>1526</v>
      </c>
      <c r="BU106" t="s">
        <v>1354</v>
      </c>
      <c r="BV106">
        <v>61.64</v>
      </c>
      <c r="BW106">
        <v>63.29</v>
      </c>
      <c r="BX106">
        <v>62.8</v>
      </c>
      <c r="BY106">
        <v>3.79</v>
      </c>
      <c r="BZ106">
        <v>5.0999999999999996</v>
      </c>
      <c r="CA106">
        <v>5.46</v>
      </c>
      <c r="CB106">
        <v>1.98</v>
      </c>
      <c r="CC106">
        <v>-4.07</v>
      </c>
      <c r="CD106" t="s">
        <v>4362</v>
      </c>
      <c r="CE106" t="s">
        <v>3797</v>
      </c>
      <c r="CF106" s="7">
        <v>-0.39605734767025091</v>
      </c>
      <c r="CG106" s="8">
        <v>1.416937754175386</v>
      </c>
      <c r="CH106" s="7">
        <v>1.0994951725006104</v>
      </c>
      <c r="CI106" s="7">
        <v>-5.9661015868186951E-2</v>
      </c>
      <c r="CJ106" s="7">
        <v>1.9797980785369873</v>
      </c>
      <c r="CK106" s="7">
        <v>-0.57216936349868774</v>
      </c>
      <c r="CL106" s="7">
        <v>6.9316022098064423E-2</v>
      </c>
      <c r="CM106" s="8">
        <v>-3.6346900463104248</v>
      </c>
      <c r="CN106" s="8">
        <v>5.4320082068443298E-2</v>
      </c>
      <c r="CO106" s="8">
        <v>0.88362854719161987</v>
      </c>
      <c r="CP106" s="8">
        <v>0.5227544903755188</v>
      </c>
      <c r="CQ106" s="8">
        <v>0.52663213014602661</v>
      </c>
      <c r="CR106">
        <v>442.86973867579951</v>
      </c>
      <c r="CS106">
        <v>8.7983441805771374</v>
      </c>
      <c r="CT106">
        <v>0</v>
      </c>
      <c r="CU106" s="7">
        <v>0.50335577875375748</v>
      </c>
      <c r="CV106" s="8">
        <v>-0.32947095930576326</v>
      </c>
      <c r="CW106">
        <v>0.06</v>
      </c>
      <c r="CX106" t="e">
        <v>#VALUE!</v>
      </c>
      <c r="CY106" t="s">
        <v>1362</v>
      </c>
      <c r="CZ106">
        <v>0.50335577875375748</v>
      </c>
      <c r="DA106" t="e">
        <v>#VALUE!</v>
      </c>
      <c r="DB106" t="s">
        <v>1362</v>
      </c>
      <c r="DC106">
        <v>0.47818798981606958</v>
      </c>
      <c r="DD106" t="e">
        <v>#VALUE!</v>
      </c>
      <c r="DE106" t="s">
        <v>1362</v>
      </c>
      <c r="DF106">
        <v>0.44295308530330657</v>
      </c>
      <c r="DG106" t="e">
        <v>#VALUE!</v>
      </c>
      <c r="DH106" t="s">
        <v>1362</v>
      </c>
      <c r="DI106">
        <v>0.402684623003006</v>
      </c>
      <c r="DJ106" t="e">
        <v>#VALUE!</v>
      </c>
      <c r="DK106" t="s">
        <v>1362</v>
      </c>
      <c r="DL106">
        <v>0.35234904512763021</v>
      </c>
      <c r="DM106">
        <v>-238000000</v>
      </c>
      <c r="DN106">
        <v>0.50335577875375748</v>
      </c>
      <c r="DO106">
        <v>2459067000</v>
      </c>
      <c r="DP106">
        <v>-674624310</v>
      </c>
      <c r="DQ106">
        <v>3452</v>
      </c>
      <c r="DR106">
        <v>-0.89941312642400839</v>
      </c>
      <c r="DS106">
        <v>1.7464087134811492</v>
      </c>
      <c r="DT106" s="9">
        <v>0.21000000000000005</v>
      </c>
      <c r="DU106">
        <v>-0.48666666666666664</v>
      </c>
      <c r="DV106">
        <v>-0.27666666666666662</v>
      </c>
      <c r="DW106">
        <v>-1.0407</v>
      </c>
      <c r="DX106">
        <v>0.22017117117117102</v>
      </c>
      <c r="DY106">
        <v>-1.0040769666666667</v>
      </c>
      <c r="DZ106">
        <v>3819</v>
      </c>
      <c r="EA106">
        <v>-1.0010300125179388</v>
      </c>
      <c r="EB106">
        <v>1</v>
      </c>
      <c r="EC106">
        <v>0.18843693099469752</v>
      </c>
      <c r="ED106">
        <v>1.8811493246165505</v>
      </c>
      <c r="EE106" s="10">
        <v>2.0097</v>
      </c>
      <c r="EF106">
        <v>2.01071</v>
      </c>
      <c r="EG106">
        <v>12.100171171171171</v>
      </c>
      <c r="EH106" t="s">
        <v>3503</v>
      </c>
      <c r="EI106">
        <v>0</v>
      </c>
      <c r="EJ106">
        <v>0</v>
      </c>
      <c r="EK106" s="11">
        <v>45470</v>
      </c>
      <c r="EL106" s="12">
        <v>1.02</v>
      </c>
      <c r="EM106" s="12">
        <v>-1.1000000000000001</v>
      </c>
      <c r="EN106" s="12">
        <v>-1.2</v>
      </c>
      <c r="EO106" s="12">
        <v>1.03</v>
      </c>
      <c r="EP106" s="12">
        <v>-2.04</v>
      </c>
    </row>
    <row r="107" spans="1:146" ht="108" x14ac:dyDescent="0.25">
      <c r="A107" s="6"/>
      <c r="B107" s="6"/>
      <c r="C107" s="6" t="str">
        <f>""&amp;CHAR(10)&amp;Basic_Fundamental_Information_Constructure(F107)&amp;CHAR(10)&amp;Basic_Fundamental_Information_Concatenate("")</f>
        <v xml:space="preserve">
市值62.532238亿, 利润2.14亿; PE23.35; 平均PE39.45; 平均PEG6.85, PB1.7; ROIC3.1533%; ROE4.0967%; 股利率1.2912%; 毛利23.4267%; 净利2.8133%; 上一年度营收增-84.79%, 利润增55.07%; 当季营收增710.36%, 利润增-5.16%; 过往5年营收增-5.76%, 利润增22.52%
Income profile:
</v>
      </c>
      <c r="D107" t="s">
        <v>123</v>
      </c>
      <c r="E107" t="s">
        <v>17</v>
      </c>
      <c r="F107">
        <v>6.97</v>
      </c>
      <c r="G107">
        <v>2.35</v>
      </c>
      <c r="H107" t="s">
        <v>4363</v>
      </c>
      <c r="I107">
        <v>6253223800</v>
      </c>
      <c r="J107">
        <v>23.35</v>
      </c>
      <c r="K107">
        <v>1.7</v>
      </c>
      <c r="L107" t="s">
        <v>100</v>
      </c>
      <c r="M107" t="s">
        <v>2782</v>
      </c>
      <c r="N107" t="s">
        <v>3068</v>
      </c>
      <c r="O107" t="s">
        <v>1877</v>
      </c>
      <c r="P107">
        <v>7.72</v>
      </c>
      <c r="Q107" t="s">
        <v>1986</v>
      </c>
      <c r="R107">
        <v>67307574</v>
      </c>
      <c r="S107" s="5">
        <v>0.47320000000000001</v>
      </c>
      <c r="T107" t="s">
        <v>1481</v>
      </c>
      <c r="U107">
        <v>897162660</v>
      </c>
      <c r="V107">
        <v>897162660</v>
      </c>
      <c r="W107">
        <v>2.34</v>
      </c>
      <c r="X107">
        <v>0.2</v>
      </c>
      <c r="Y107">
        <v>3.95</v>
      </c>
      <c r="Z107" t="s">
        <v>1781</v>
      </c>
      <c r="AA107" t="s">
        <v>982</v>
      </c>
      <c r="AB107" t="s">
        <v>333</v>
      </c>
      <c r="AC107" t="s">
        <v>4364</v>
      </c>
      <c r="AD107" t="s">
        <v>81</v>
      </c>
      <c r="AE107">
        <v>17584958</v>
      </c>
      <c r="AF107" t="s">
        <v>2785</v>
      </c>
      <c r="AG107" t="s">
        <v>4365</v>
      </c>
      <c r="AH107" t="s">
        <v>2786</v>
      </c>
      <c r="AI107" t="s">
        <v>4366</v>
      </c>
      <c r="AJ107" t="s">
        <v>2787</v>
      </c>
      <c r="AK107" t="s">
        <v>81</v>
      </c>
      <c r="AL107" t="s">
        <v>2788</v>
      </c>
      <c r="AM107" t="s">
        <v>81</v>
      </c>
      <c r="AN107" t="s">
        <v>278</v>
      </c>
      <c r="AO107" t="s">
        <v>316</v>
      </c>
      <c r="AP107" t="s">
        <v>4367</v>
      </c>
      <c r="AQ107" t="s">
        <v>2761</v>
      </c>
      <c r="AR107" t="s">
        <v>81</v>
      </c>
      <c r="AS107" t="s">
        <v>1644</v>
      </c>
      <c r="AT107" t="s">
        <v>1143</v>
      </c>
      <c r="AU107" t="s">
        <v>373</v>
      </c>
      <c r="AV107" t="s">
        <v>4368</v>
      </c>
      <c r="AW107" t="s">
        <v>4369</v>
      </c>
      <c r="AX107" t="s">
        <v>1758</v>
      </c>
      <c r="AY107" t="s">
        <v>1759</v>
      </c>
      <c r="AZ107" t="s">
        <v>965</v>
      </c>
      <c r="BA107" t="s">
        <v>966</v>
      </c>
      <c r="BB107" t="s">
        <v>733</v>
      </c>
      <c r="BC107" t="s">
        <v>238</v>
      </c>
      <c r="BD107" t="s">
        <v>1760</v>
      </c>
      <c r="BE107" t="s">
        <v>260</v>
      </c>
      <c r="BF107" t="s">
        <v>595</v>
      </c>
      <c r="BG107" t="s">
        <v>825</v>
      </c>
      <c r="BH107" t="s">
        <v>2783</v>
      </c>
      <c r="BI107" t="s">
        <v>286</v>
      </c>
      <c r="BJ107" t="s">
        <v>1758</v>
      </c>
      <c r="BK107" t="s">
        <v>1499</v>
      </c>
      <c r="BL107" t="s">
        <v>4370</v>
      </c>
      <c r="BM107" t="s">
        <v>238</v>
      </c>
      <c r="BN107">
        <v>3.68</v>
      </c>
      <c r="BO107">
        <v>3.61</v>
      </c>
      <c r="BP107">
        <v>2.17</v>
      </c>
      <c r="BQ107">
        <v>5.58</v>
      </c>
      <c r="BR107">
        <v>4.1500000000000004</v>
      </c>
      <c r="BS107">
        <v>2.56</v>
      </c>
      <c r="BT107" t="s">
        <v>2790</v>
      </c>
      <c r="BU107" t="s">
        <v>1354</v>
      </c>
      <c r="BV107">
        <v>24.65</v>
      </c>
      <c r="BW107">
        <v>22.19</v>
      </c>
      <c r="BX107">
        <v>23.44</v>
      </c>
      <c r="BY107">
        <v>4.18</v>
      </c>
      <c r="BZ107">
        <v>2.5499999999999998</v>
      </c>
      <c r="CA107">
        <v>1.71</v>
      </c>
      <c r="CB107">
        <v>-0.43</v>
      </c>
      <c r="CC107">
        <v>-17.02</v>
      </c>
      <c r="CD107" t="s">
        <v>247</v>
      </c>
      <c r="CE107" t="s">
        <v>4371</v>
      </c>
      <c r="CF107" s="7">
        <v>7.1036036036036014</v>
      </c>
      <c r="CG107" s="8">
        <v>-5.1630659458179927E-2</v>
      </c>
      <c r="CH107" s="7">
        <v>-0.84789180755615234</v>
      </c>
      <c r="CI107" s="7">
        <v>0.14155156910419464</v>
      </c>
      <c r="CJ107" s="7">
        <v>0.17098699510097504</v>
      </c>
      <c r="CK107" s="7">
        <v>0.12643986940383911</v>
      </c>
      <c r="CL107" s="7">
        <v>0.12102104723453522</v>
      </c>
      <c r="CM107" s="8">
        <v>0.55072462558746338</v>
      </c>
      <c r="CN107" s="8">
        <v>0.5488440990447998</v>
      </c>
      <c r="CO107" s="8">
        <v>-0.60921621322631836</v>
      </c>
      <c r="CP107" s="8">
        <v>0.88429754972457886</v>
      </c>
      <c r="CQ107" s="8">
        <v>-0.24844720959663391</v>
      </c>
      <c r="CR107">
        <v>39.448421914571014</v>
      </c>
      <c r="CS107">
        <v>6.8512458051636145</v>
      </c>
      <c r="CT107">
        <v>1.2912482065997131</v>
      </c>
      <c r="CU107" s="7">
        <v>-5.7578465342521666E-2</v>
      </c>
      <c r="CV107" s="8">
        <v>0.22524057030677797</v>
      </c>
      <c r="CW107">
        <v>0.06</v>
      </c>
      <c r="CX107">
        <v>35.052447663551405</v>
      </c>
      <c r="CY107" t="s">
        <v>4372</v>
      </c>
      <c r="CZ107">
        <v>-5.7578465342521666E-2</v>
      </c>
      <c r="DA107">
        <v>11.6841492211838</v>
      </c>
      <c r="DB107" t="s">
        <v>4373</v>
      </c>
      <c r="DC107">
        <v>-5.4699542075395582E-2</v>
      </c>
      <c r="DD107">
        <v>5.8420746105918999</v>
      </c>
      <c r="DE107" t="s">
        <v>4374</v>
      </c>
      <c r="DF107">
        <v>-5.0669049501419067E-2</v>
      </c>
      <c r="DG107">
        <v>3.50524476635514</v>
      </c>
      <c r="DH107" t="s">
        <v>4375</v>
      </c>
      <c r="DI107">
        <v>-4.6062772274017338E-2</v>
      </c>
      <c r="DJ107">
        <v>1.75262238317757</v>
      </c>
      <c r="DK107" t="s">
        <v>4376</v>
      </c>
      <c r="DL107">
        <v>-4.0304925739765164E-2</v>
      </c>
      <c r="DM107">
        <v>214000000</v>
      </c>
      <c r="DN107">
        <v>-5.7578465342521666E-2</v>
      </c>
      <c r="DO107">
        <v>7501223800</v>
      </c>
      <c r="DP107">
        <v>272471700</v>
      </c>
      <c r="DQ107">
        <v>3464</v>
      </c>
      <c r="DR107">
        <v>7.1611820689461227</v>
      </c>
      <c r="DS107">
        <v>-0.27687122976495787</v>
      </c>
      <c r="DT107" s="9">
        <v>-0.64</v>
      </c>
      <c r="DU107">
        <v>0.18333333333333332</v>
      </c>
      <c r="DV107">
        <v>-0.45666666666666667</v>
      </c>
      <c r="DW107">
        <v>-3.0115357142857144</v>
      </c>
      <c r="DX107">
        <v>0.33461538461538609</v>
      </c>
      <c r="DY107">
        <v>-3.000976098901099</v>
      </c>
      <c r="DZ107">
        <v>853</v>
      </c>
      <c r="EA107">
        <v>-3.0008131610610524</v>
      </c>
      <c r="EB107">
        <v>3</v>
      </c>
      <c r="EC107">
        <v>0.17165226203239445</v>
      </c>
      <c r="ED107">
        <v>2.0286176422010254</v>
      </c>
      <c r="EE107" s="10">
        <v>3.4910000000000004E-2</v>
      </c>
      <c r="EF107">
        <v>5.7509999999999999E-2</v>
      </c>
      <c r="EG107">
        <v>25.084615384615386</v>
      </c>
      <c r="EH107">
        <v>-1</v>
      </c>
      <c r="EI107">
        <v>0</v>
      </c>
      <c r="EJ107">
        <v>1</v>
      </c>
      <c r="EK107" s="11">
        <v>45470</v>
      </c>
      <c r="EL107" s="12">
        <v>0.41</v>
      </c>
      <c r="EM107" s="12">
        <v>-2.86</v>
      </c>
      <c r="EN107" s="12">
        <v>0.42</v>
      </c>
      <c r="EO107" s="12">
        <v>1.88</v>
      </c>
      <c r="EP107" s="12">
        <v>-2.2599999999999998</v>
      </c>
    </row>
    <row r="108" spans="1:146" ht="108" x14ac:dyDescent="0.25">
      <c r="A108" s="6"/>
      <c r="B108" s="6"/>
      <c r="C108" s="6" t="str">
        <f>""&amp;CHAR(10)&amp;Basic_Fundamental_Information_Constructure(F108)&amp;CHAR(10)&amp;Basic_Fundamental_Information_Concatenate("")</f>
        <v xml:space="preserve">
市值73.090114亿, 利润2.60亿; PE414.8; 平均PE4363.07; 平均PEG337.85, PB1.37; ROIC1%; ROE-3.7567%; 股利率.2347%; 毛利33.6067%; 净利-1.8767%; 上一年度营收增-80.7%, 利润增137.74%; 当季营收增341.03%, 利润增-83.94%; 过往5年营收增-12.91%, 利润增-750.33%
Income profile:
</v>
      </c>
      <c r="D108" t="s">
        <v>116</v>
      </c>
      <c r="E108" t="s">
        <v>38</v>
      </c>
      <c r="F108">
        <v>4.26</v>
      </c>
      <c r="G108">
        <v>3.9</v>
      </c>
      <c r="H108" t="s">
        <v>4377</v>
      </c>
      <c r="I108">
        <v>7309011400</v>
      </c>
      <c r="J108">
        <v>414.8</v>
      </c>
      <c r="K108">
        <v>1.37</v>
      </c>
      <c r="L108" t="s">
        <v>100</v>
      </c>
      <c r="M108" t="s">
        <v>2791</v>
      </c>
      <c r="N108" t="s">
        <v>4378</v>
      </c>
      <c r="O108" t="s">
        <v>2792</v>
      </c>
      <c r="P108">
        <v>-3.86</v>
      </c>
      <c r="Q108" t="s">
        <v>1195</v>
      </c>
      <c r="R108">
        <v>18152447</v>
      </c>
      <c r="S108" s="14">
        <v>2.3490000000000002</v>
      </c>
      <c r="T108" t="s">
        <v>1987</v>
      </c>
      <c r="U108">
        <v>1715730400</v>
      </c>
      <c r="V108">
        <v>1715730400</v>
      </c>
      <c r="W108">
        <v>3.31</v>
      </c>
      <c r="X108">
        <v>0.12</v>
      </c>
      <c r="Y108">
        <v>1.28</v>
      </c>
      <c r="Z108" t="s">
        <v>4379</v>
      </c>
      <c r="AA108" t="s">
        <v>585</v>
      </c>
      <c r="AB108" t="s">
        <v>337</v>
      </c>
      <c r="AC108" t="s">
        <v>324</v>
      </c>
      <c r="AD108" t="s">
        <v>81</v>
      </c>
      <c r="AE108">
        <v>114911633</v>
      </c>
      <c r="AF108" t="s">
        <v>2795</v>
      </c>
      <c r="AG108" t="s">
        <v>4380</v>
      </c>
      <c r="AH108" t="s">
        <v>2796</v>
      </c>
      <c r="AI108" t="s">
        <v>4381</v>
      </c>
      <c r="AJ108" t="s">
        <v>2797</v>
      </c>
      <c r="AK108" t="s">
        <v>81</v>
      </c>
      <c r="AL108" t="s">
        <v>2798</v>
      </c>
      <c r="AM108" t="s">
        <v>81</v>
      </c>
      <c r="AN108" t="s">
        <v>1614</v>
      </c>
      <c r="AO108" t="s">
        <v>4382</v>
      </c>
      <c r="AP108" t="s">
        <v>1957</v>
      </c>
      <c r="AQ108" t="s">
        <v>4383</v>
      </c>
      <c r="AR108" t="s">
        <v>81</v>
      </c>
      <c r="AS108" t="s">
        <v>4384</v>
      </c>
      <c r="AT108" t="s">
        <v>4385</v>
      </c>
      <c r="AU108" t="s">
        <v>2180</v>
      </c>
      <c r="AV108" t="s">
        <v>1974</v>
      </c>
      <c r="AW108" t="s">
        <v>824</v>
      </c>
      <c r="AX108" t="s">
        <v>1761</v>
      </c>
      <c r="AY108" t="s">
        <v>1298</v>
      </c>
      <c r="AZ108" t="s">
        <v>967</v>
      </c>
      <c r="BA108" t="s">
        <v>970</v>
      </c>
      <c r="BB108" t="s">
        <v>971</v>
      </c>
      <c r="BC108" t="s">
        <v>1762</v>
      </c>
      <c r="BD108" t="s">
        <v>1299</v>
      </c>
      <c r="BE108" t="s">
        <v>968</v>
      </c>
      <c r="BF108" t="s">
        <v>395</v>
      </c>
      <c r="BG108" t="s">
        <v>302</v>
      </c>
      <c r="BH108" t="s">
        <v>2793</v>
      </c>
      <c r="BI108" t="s">
        <v>2206</v>
      </c>
      <c r="BJ108" t="s">
        <v>1761</v>
      </c>
      <c r="BK108" t="s">
        <v>2794</v>
      </c>
      <c r="BL108" t="s">
        <v>381</v>
      </c>
      <c r="BM108" t="s">
        <v>1762</v>
      </c>
      <c r="BN108">
        <v>1.1100000000000001</v>
      </c>
      <c r="BO108" t="s">
        <v>81</v>
      </c>
      <c r="BP108">
        <v>0.89</v>
      </c>
      <c r="BQ108">
        <v>0.53</v>
      </c>
      <c r="BR108">
        <v>-12.11</v>
      </c>
      <c r="BS108">
        <v>0.31</v>
      </c>
      <c r="BT108" t="s">
        <v>1750</v>
      </c>
      <c r="BU108" t="s">
        <v>1354</v>
      </c>
      <c r="BV108">
        <v>31.98</v>
      </c>
      <c r="BW108">
        <v>33.380000000000003</v>
      </c>
      <c r="BX108">
        <v>35.46</v>
      </c>
      <c r="BY108">
        <v>0.49</v>
      </c>
      <c r="BZ108">
        <v>-6.46</v>
      </c>
      <c r="CA108">
        <v>0.34</v>
      </c>
      <c r="CB108">
        <v>3.4</v>
      </c>
      <c r="CC108">
        <v>-14.29</v>
      </c>
      <c r="CD108" t="s">
        <v>4386</v>
      </c>
      <c r="CE108" t="s">
        <v>405</v>
      </c>
      <c r="CF108" s="7">
        <v>3.4103448275862069</v>
      </c>
      <c r="CG108" s="8">
        <v>-0.83935887610619464</v>
      </c>
      <c r="CH108" s="7">
        <v>-0.80695241689682007</v>
      </c>
      <c r="CI108" s="7">
        <v>1.1073595844209194E-2</v>
      </c>
      <c r="CJ108" s="7">
        <v>-9.64064821600914E-2</v>
      </c>
      <c r="CK108" s="7">
        <v>3.1421612948179245E-3</v>
      </c>
      <c r="CL108" s="7">
        <v>0.24343393743038177</v>
      </c>
      <c r="CM108" s="8">
        <v>1.3773584365844727</v>
      </c>
      <c r="CN108" s="8">
        <v>-37.791011810302734</v>
      </c>
      <c r="CO108" s="8">
        <v>-0.80757635831832886</v>
      </c>
      <c r="CP108" s="8">
        <v>-0.43416395783424377</v>
      </c>
      <c r="CQ108" s="8">
        <v>0.13907285034656525</v>
      </c>
      <c r="CR108">
        <v>4363.0679321872012</v>
      </c>
      <c r="CS108">
        <v>337.85083919085173</v>
      </c>
      <c r="CT108">
        <v>0.23474178403755872</v>
      </c>
      <c r="CU108" s="7">
        <v>-0.12914184089750053</v>
      </c>
      <c r="CV108" s="8">
        <v>-7.5032641679048542</v>
      </c>
      <c r="CW108">
        <v>0.06</v>
      </c>
      <c r="CX108">
        <v>60.350043846153845</v>
      </c>
      <c r="CY108" t="s">
        <v>4387</v>
      </c>
      <c r="CZ108">
        <v>-0.12914184089750053</v>
      </c>
      <c r="DA108">
        <v>20.116681282051282</v>
      </c>
      <c r="DB108" t="s">
        <v>4388</v>
      </c>
      <c r="DC108">
        <v>-0.12268474885262549</v>
      </c>
      <c r="DD108">
        <v>10.058340641025641</v>
      </c>
      <c r="DE108" t="s">
        <v>4389</v>
      </c>
      <c r="DF108">
        <v>-0.11364481998980046</v>
      </c>
      <c r="DG108">
        <v>6.0350043846153847</v>
      </c>
      <c r="DH108" t="s">
        <v>4390</v>
      </c>
      <c r="DI108">
        <v>-0.10331347271800043</v>
      </c>
      <c r="DJ108">
        <v>3.0175021923076923</v>
      </c>
      <c r="DK108" t="s">
        <v>4391</v>
      </c>
      <c r="DL108">
        <v>-9.0399288628250363E-2</v>
      </c>
      <c r="DM108">
        <v>260000000</v>
      </c>
      <c r="DN108">
        <v>-0.12914184089750053</v>
      </c>
      <c r="DO108">
        <v>15691011400</v>
      </c>
      <c r="DP108">
        <v>-1886223300</v>
      </c>
      <c r="DQ108">
        <v>3485</v>
      </c>
      <c r="DR108">
        <v>3.5394866684837076</v>
      </c>
      <c r="DS108">
        <v>6.6639052917986596</v>
      </c>
      <c r="DT108" s="9">
        <v>-0.67333333333333334</v>
      </c>
      <c r="DU108">
        <v>-1.2066666666666666</v>
      </c>
      <c r="DV108">
        <v>-1.88</v>
      </c>
      <c r="DW108">
        <v>6.1921989824759756</v>
      </c>
      <c r="DX108">
        <v>0.45204907063197042</v>
      </c>
      <c r="DY108">
        <v>6.0369116359609212</v>
      </c>
      <c r="DZ108">
        <v>4365</v>
      </c>
      <c r="EA108">
        <v>6.0053814420334417</v>
      </c>
      <c r="EB108">
        <v>6</v>
      </c>
      <c r="EC108">
        <v>3.0110325025423573E-2</v>
      </c>
      <c r="ED108">
        <v>0.15678453910940787</v>
      </c>
      <c r="EE108" s="10">
        <v>-3.0983100000000001</v>
      </c>
      <c r="EF108">
        <v>-4.04711</v>
      </c>
      <c r="EG108">
        <v>26.19204907063197</v>
      </c>
      <c r="EH108" t="s">
        <v>3135</v>
      </c>
      <c r="EI108">
        <v>0</v>
      </c>
      <c r="EJ108">
        <v>0</v>
      </c>
      <c r="EK108" s="11">
        <v>45470</v>
      </c>
      <c r="EL108" s="12">
        <v>-9.91</v>
      </c>
      <c r="EM108" s="12">
        <v>-10</v>
      </c>
      <c r="EN108" s="12">
        <v>-10</v>
      </c>
      <c r="EO108" s="12">
        <v>0</v>
      </c>
      <c r="EP108" s="12">
        <v>-9.8800000000000008</v>
      </c>
    </row>
    <row r="109" spans="1:146" ht="108" x14ac:dyDescent="0.25">
      <c r="A109" s="6"/>
      <c r="B109" s="6"/>
      <c r="C109" s="6" t="str">
        <f>""&amp;CHAR(10)&amp;Basic_Fundamental_Information_Constructure(F109)&amp;CHAR(10)&amp;Basic_Fundamental_Information_Concatenate("")</f>
        <v xml:space="preserve">
市值56.731665亿, 利润3.34亿; PE33.04; 平均PE34.45; 平均PEG.15, PB1.44; ROIC3.3067%; ROE3.4267%; 股利率1.383%; 毛利46.5633%; 净利12.0733%; 上一年度营收增1110.28%, 利润增103.66%; 当季营收增-88.95%, 利润增539.42%; 过往5年营收增230.52%, 利润增26.06%
Income profile:
</v>
      </c>
      <c r="D109" t="s">
        <v>122</v>
      </c>
      <c r="E109" t="s">
        <v>35</v>
      </c>
      <c r="F109">
        <v>4.7</v>
      </c>
      <c r="G109">
        <v>3.75</v>
      </c>
      <c r="H109" t="s">
        <v>4392</v>
      </c>
      <c r="I109">
        <v>5673166500</v>
      </c>
      <c r="J109">
        <v>33.04</v>
      </c>
      <c r="K109">
        <v>1.44</v>
      </c>
      <c r="L109" t="s">
        <v>100</v>
      </c>
      <c r="M109" t="s">
        <v>1909</v>
      </c>
      <c r="N109" t="s">
        <v>2217</v>
      </c>
      <c r="O109" t="s">
        <v>289</v>
      </c>
      <c r="P109">
        <v>-26.13</v>
      </c>
      <c r="Q109" t="s">
        <v>4393</v>
      </c>
      <c r="R109">
        <v>32194760</v>
      </c>
      <c r="S109" s="5">
        <v>0.2137</v>
      </c>
      <c r="T109" t="s">
        <v>627</v>
      </c>
      <c r="U109">
        <v>738206110</v>
      </c>
      <c r="V109">
        <v>1207056690</v>
      </c>
      <c r="W109">
        <v>1.19</v>
      </c>
      <c r="X109">
        <v>0.04</v>
      </c>
      <c r="Y109">
        <v>16.600000000000001</v>
      </c>
      <c r="Z109" t="s">
        <v>304</v>
      </c>
      <c r="AA109" t="s">
        <v>4394</v>
      </c>
      <c r="AB109" t="s">
        <v>4395</v>
      </c>
      <c r="AC109" t="s">
        <v>4396</v>
      </c>
      <c r="AD109" t="s">
        <v>81</v>
      </c>
      <c r="AE109">
        <v>-2396709</v>
      </c>
      <c r="AF109" t="s">
        <v>2800</v>
      </c>
      <c r="AG109">
        <v>1061.94</v>
      </c>
      <c r="AH109" t="s">
        <v>2801</v>
      </c>
      <c r="AI109" t="s">
        <v>4397</v>
      </c>
      <c r="AJ109" t="s">
        <v>2802</v>
      </c>
      <c r="AK109" t="s">
        <v>4398</v>
      </c>
      <c r="AL109" t="s">
        <v>2803</v>
      </c>
      <c r="AM109" t="s">
        <v>81</v>
      </c>
      <c r="AN109" t="s">
        <v>304</v>
      </c>
      <c r="AO109" t="s">
        <v>1973</v>
      </c>
      <c r="AP109" t="s">
        <v>81</v>
      </c>
      <c r="AQ109" t="s">
        <v>4399</v>
      </c>
      <c r="AR109" t="s">
        <v>4400</v>
      </c>
      <c r="AS109" t="s">
        <v>430</v>
      </c>
      <c r="AT109" t="s">
        <v>2804</v>
      </c>
      <c r="AU109" t="s">
        <v>4401</v>
      </c>
      <c r="AV109" t="s">
        <v>4402</v>
      </c>
      <c r="AW109" t="s">
        <v>4403</v>
      </c>
      <c r="AX109" t="s">
        <v>1763</v>
      </c>
      <c r="AY109" t="s">
        <v>1300</v>
      </c>
      <c r="AZ109" t="s">
        <v>685</v>
      </c>
      <c r="BA109" t="s">
        <v>570</v>
      </c>
      <c r="BB109" t="s">
        <v>972</v>
      </c>
      <c r="BC109" t="s">
        <v>307</v>
      </c>
      <c r="BD109" t="s">
        <v>377</v>
      </c>
      <c r="BE109" t="s">
        <v>325</v>
      </c>
      <c r="BF109" t="s">
        <v>364</v>
      </c>
      <c r="BG109" t="s">
        <v>263</v>
      </c>
      <c r="BH109" t="s">
        <v>2799</v>
      </c>
      <c r="BI109" t="s">
        <v>1244</v>
      </c>
      <c r="BJ109" t="s">
        <v>1763</v>
      </c>
      <c r="BK109" t="s">
        <v>284</v>
      </c>
      <c r="BL109" t="s">
        <v>4404</v>
      </c>
      <c r="BM109" t="s">
        <v>307</v>
      </c>
      <c r="BN109">
        <v>3.11</v>
      </c>
      <c r="BO109">
        <v>4.68</v>
      </c>
      <c r="BP109">
        <v>2.13</v>
      </c>
      <c r="BQ109">
        <v>3.24</v>
      </c>
      <c r="BR109">
        <v>3.92</v>
      </c>
      <c r="BS109">
        <v>3.12</v>
      </c>
      <c r="BT109" t="s">
        <v>2805</v>
      </c>
      <c r="BU109" t="s">
        <v>1354</v>
      </c>
      <c r="BV109">
        <v>46.59</v>
      </c>
      <c r="BW109">
        <v>46.17</v>
      </c>
      <c r="BX109">
        <v>46.93</v>
      </c>
      <c r="BY109">
        <v>16.239999999999998</v>
      </c>
      <c r="BZ109">
        <v>13.78</v>
      </c>
      <c r="CA109">
        <v>6.2</v>
      </c>
      <c r="CB109">
        <v>2.84</v>
      </c>
      <c r="CC109">
        <v>-16.37</v>
      </c>
      <c r="CD109" t="s">
        <v>4405</v>
      </c>
      <c r="CE109" t="s">
        <v>4406</v>
      </c>
      <c r="CF109" s="7">
        <v>-0.88953488372093026</v>
      </c>
      <c r="CG109" s="8">
        <v>5.394192651439921</v>
      </c>
      <c r="CH109" s="7">
        <v>11.102778434753418</v>
      </c>
      <c r="CI109" s="7">
        <v>-4.6988788992166519E-2</v>
      </c>
      <c r="CJ109" s="7">
        <v>0.61950701475143433</v>
      </c>
      <c r="CK109" s="7">
        <v>-0.16097122430801392</v>
      </c>
      <c r="CL109" s="7">
        <v>1.1828876100480556E-2</v>
      </c>
      <c r="CM109" s="8">
        <v>1.0365853309631348</v>
      </c>
      <c r="CN109" s="8">
        <v>0.24242424964904785</v>
      </c>
      <c r="CO109" s="8">
        <v>0.10924369841814041</v>
      </c>
      <c r="CP109" s="8">
        <v>0.14423076808452606</v>
      </c>
      <c r="CQ109" s="8">
        <v>-0.22962963581085205</v>
      </c>
      <c r="CR109">
        <v>34.452428137651822</v>
      </c>
      <c r="CS109">
        <v>0.14945326604239073</v>
      </c>
      <c r="CT109">
        <v>1.3829787234042552</v>
      </c>
      <c r="CU109" s="7">
        <v>2.3052308624610305</v>
      </c>
      <c r="CV109" s="8">
        <v>0.26057088226079939</v>
      </c>
      <c r="CW109">
        <v>0.06</v>
      </c>
      <c r="CX109">
        <v>2.2326037832798189</v>
      </c>
      <c r="CY109">
        <v>1041459535.9075321</v>
      </c>
      <c r="CZ109">
        <v>2.3052308624610305</v>
      </c>
      <c r="DA109">
        <v>0.17704629210754672</v>
      </c>
      <c r="DB109">
        <v>13133099102.621019</v>
      </c>
      <c r="DC109">
        <v>2.1899693193379788</v>
      </c>
      <c r="DD109">
        <v>8.3330386406062652E-3</v>
      </c>
      <c r="DE109">
        <v>279029847367.9986</v>
      </c>
      <c r="DF109">
        <v>2.0286031589657068</v>
      </c>
      <c r="DG109">
        <v>2.2578379425914591E-4</v>
      </c>
      <c r="DH109">
        <v>10298199246892.203</v>
      </c>
      <c r="DI109">
        <v>1.8441846899688246</v>
      </c>
      <c r="DJ109">
        <v>5.9971487343979995E-8</v>
      </c>
      <c r="DK109">
        <v>3.8771199497912792E+16</v>
      </c>
      <c r="DL109">
        <v>1.6136616037227212</v>
      </c>
      <c r="DM109">
        <v>334000000</v>
      </c>
      <c r="DN109">
        <v>2.3052308624610305</v>
      </c>
      <c r="DO109">
        <v>2325166500.0000005</v>
      </c>
      <c r="DP109">
        <v>694639710</v>
      </c>
      <c r="DQ109">
        <v>3518</v>
      </c>
      <c r="DR109">
        <v>-3.194765746181961</v>
      </c>
      <c r="DS109">
        <v>5.1336217691791219</v>
      </c>
      <c r="DT109" s="9">
        <v>1.0000000000000011E-2</v>
      </c>
      <c r="DU109">
        <v>0.60333333333333328</v>
      </c>
      <c r="DV109">
        <v>0.61333333333333329</v>
      </c>
      <c r="DW109">
        <v>6.1478396668401878</v>
      </c>
      <c r="DX109">
        <v>0.42081284063211855</v>
      </c>
      <c r="DY109">
        <v>6.0237745167826766</v>
      </c>
      <c r="DZ109">
        <v>1756</v>
      </c>
      <c r="EA109">
        <v>6.0156046436964967</v>
      </c>
      <c r="EB109">
        <v>6</v>
      </c>
      <c r="EC109">
        <v>1.2364208014124009E-2</v>
      </c>
      <c r="ED109">
        <v>7.688570120099332E-2</v>
      </c>
      <c r="EE109" s="10">
        <v>-3.0031099999999999</v>
      </c>
      <c r="EF109">
        <v>-3.0179100000000001</v>
      </c>
      <c r="EG109">
        <v>26.160812840632119</v>
      </c>
      <c r="EH109" t="s">
        <v>1991</v>
      </c>
      <c r="EI109">
        <v>0</v>
      </c>
      <c r="EJ109">
        <v>0</v>
      </c>
      <c r="EK109" s="11">
        <v>45470</v>
      </c>
      <c r="EL109" s="12">
        <v>0.33</v>
      </c>
      <c r="EM109" s="12">
        <v>-3.33</v>
      </c>
      <c r="EN109" s="12">
        <v>-2.0299999999999998</v>
      </c>
      <c r="EO109" s="12">
        <v>5.36</v>
      </c>
      <c r="EP109" s="12">
        <v>-1.48</v>
      </c>
    </row>
    <row r="110" spans="1:146" ht="108" x14ac:dyDescent="0.25">
      <c r="A110" s="6"/>
      <c r="B110" s="6"/>
      <c r="C110" s="6" t="str">
        <f>""&amp;CHAR(10)&amp;Basic_Fundamental_Information_Constructure(F110)&amp;CHAR(10)&amp;Basic_Fundamental_Information_Concatenate("")</f>
        <v xml:space="preserve">
市值67.104亿, 利润1.24亿; PE13.22; 平均PE25.83; 平均PEG.54, PB1.94; ROIC18.3867%; ROE20.3233%; 股利率3.5765%; 毛利68.1633%; 净利13.1833%; 上一年度营收增186.88%, 利润增-71.75%; 当季营收增-66.46%, 利润增294.61%; 过往5年营收增47.52%, 利润增3.41%
Income profile:
</v>
      </c>
      <c r="D110" t="s">
        <v>1380</v>
      </c>
      <c r="E110" t="s">
        <v>1381</v>
      </c>
      <c r="F110">
        <v>13.98</v>
      </c>
      <c r="G110">
        <v>2.42</v>
      </c>
      <c r="H110" t="s">
        <v>4407</v>
      </c>
      <c r="I110">
        <v>6710400000</v>
      </c>
      <c r="J110">
        <v>13.22</v>
      </c>
      <c r="K110">
        <v>1.94</v>
      </c>
      <c r="L110" t="s">
        <v>100</v>
      </c>
      <c r="M110" t="s">
        <v>2806</v>
      </c>
      <c r="N110" t="s">
        <v>4408</v>
      </c>
      <c r="O110" t="s">
        <v>1095</v>
      </c>
      <c r="P110">
        <v>-2.0099999999999998</v>
      </c>
      <c r="Q110" t="s">
        <v>4409</v>
      </c>
      <c r="R110">
        <v>132577292</v>
      </c>
      <c r="S110" s="5">
        <v>0.16600000000000001</v>
      </c>
      <c r="T110" t="s">
        <v>317</v>
      </c>
      <c r="U110">
        <v>205346410</v>
      </c>
      <c r="V110">
        <v>480000000</v>
      </c>
      <c r="W110">
        <v>1.3</v>
      </c>
      <c r="X110">
        <v>0.18</v>
      </c>
      <c r="Y110">
        <v>16.63</v>
      </c>
      <c r="Z110" t="s">
        <v>3423</v>
      </c>
      <c r="AA110" t="s">
        <v>579</v>
      </c>
      <c r="AB110" t="s">
        <v>1464</v>
      </c>
      <c r="AC110" t="s">
        <v>4410</v>
      </c>
      <c r="AD110" t="s">
        <v>81</v>
      </c>
      <c r="AE110">
        <v>-18653190</v>
      </c>
      <c r="AF110" t="s">
        <v>2809</v>
      </c>
      <c r="AG110" t="s">
        <v>4411</v>
      </c>
      <c r="AH110" t="s">
        <v>2810</v>
      </c>
      <c r="AI110" t="s">
        <v>1683</v>
      </c>
      <c r="AJ110" t="s">
        <v>2811</v>
      </c>
      <c r="AK110" t="s">
        <v>81</v>
      </c>
      <c r="AL110" t="s">
        <v>2812</v>
      </c>
      <c r="AM110" t="s">
        <v>81</v>
      </c>
      <c r="AN110" t="s">
        <v>371</v>
      </c>
      <c r="AO110" t="s">
        <v>4412</v>
      </c>
      <c r="AP110" t="s">
        <v>81</v>
      </c>
      <c r="AQ110" t="s">
        <v>325</v>
      </c>
      <c r="AR110" t="s">
        <v>4413</v>
      </c>
      <c r="AS110" t="s">
        <v>2323</v>
      </c>
      <c r="AT110" t="s">
        <v>4414</v>
      </c>
      <c r="AU110" t="s">
        <v>360</v>
      </c>
      <c r="AV110" t="s">
        <v>4415</v>
      </c>
      <c r="AW110" t="s">
        <v>4416</v>
      </c>
      <c r="AX110" t="s">
        <v>1764</v>
      </c>
      <c r="AY110" t="s">
        <v>1382</v>
      </c>
      <c r="AZ110" t="s">
        <v>603</v>
      </c>
      <c r="BA110" t="s">
        <v>1383</v>
      </c>
      <c r="BB110" t="s">
        <v>1066</v>
      </c>
      <c r="BC110" t="s">
        <v>440</v>
      </c>
      <c r="BD110" t="s">
        <v>408</v>
      </c>
      <c r="BE110" t="s">
        <v>251</v>
      </c>
      <c r="BF110" t="s">
        <v>279</v>
      </c>
      <c r="BG110" t="s">
        <v>237</v>
      </c>
      <c r="BH110" t="s">
        <v>2807</v>
      </c>
      <c r="BI110" t="s">
        <v>3093</v>
      </c>
      <c r="BJ110" t="s">
        <v>1764</v>
      </c>
      <c r="BK110" t="s">
        <v>1069</v>
      </c>
      <c r="BL110" t="s">
        <v>4417</v>
      </c>
      <c r="BM110" t="s">
        <v>440</v>
      </c>
      <c r="BN110">
        <v>10.39</v>
      </c>
      <c r="BO110">
        <v>18.11</v>
      </c>
      <c r="BP110">
        <v>26.66</v>
      </c>
      <c r="BQ110">
        <v>11.59</v>
      </c>
      <c r="BR110">
        <v>20.25</v>
      </c>
      <c r="BS110">
        <v>29.13</v>
      </c>
      <c r="BT110" t="s">
        <v>2813</v>
      </c>
      <c r="BU110" t="s">
        <v>1354</v>
      </c>
      <c r="BV110">
        <v>66.63</v>
      </c>
      <c r="BW110">
        <v>68.23</v>
      </c>
      <c r="BX110">
        <v>69.63</v>
      </c>
      <c r="BY110">
        <v>14.74</v>
      </c>
      <c r="BZ110">
        <v>13.55</v>
      </c>
      <c r="CA110">
        <v>11.26</v>
      </c>
      <c r="CB110">
        <v>0.94</v>
      </c>
      <c r="CC110">
        <v>-4.38</v>
      </c>
      <c r="CD110" t="s">
        <v>4418</v>
      </c>
      <c r="CE110" t="s">
        <v>4419</v>
      </c>
      <c r="CF110" s="7">
        <v>-0.66457811194653305</v>
      </c>
      <c r="CG110" s="8">
        <v>2.9461168143489429</v>
      </c>
      <c r="CH110" s="7">
        <v>1.8688269853591919</v>
      </c>
      <c r="CI110" s="7">
        <v>0.14164899289608002</v>
      </c>
      <c r="CJ110" s="7">
        <v>0.11952664703130722</v>
      </c>
      <c r="CK110" s="7">
        <v>4.5360878109931946E-2</v>
      </c>
      <c r="CL110" s="7">
        <v>0.20049501955509186</v>
      </c>
      <c r="CM110" s="8">
        <v>-0.71753984689712524</v>
      </c>
      <c r="CN110" s="8">
        <v>0.39808917045593262</v>
      </c>
      <c r="CO110" s="8">
        <v>0.19391635060310364</v>
      </c>
      <c r="CP110" s="8">
        <v>0.20091323554515839</v>
      </c>
      <c r="CQ110" s="8">
        <v>9.4999998807907104E-2</v>
      </c>
      <c r="CR110">
        <v>25.825785760102629</v>
      </c>
      <c r="CS110">
        <v>0.54350428509561366</v>
      </c>
      <c r="CT110">
        <v>3.5765379113018598</v>
      </c>
      <c r="CU110" s="7">
        <v>0.4751717045903206</v>
      </c>
      <c r="CV110" s="8">
        <v>3.40757817029953E-2</v>
      </c>
      <c r="CW110">
        <v>0.06</v>
      </c>
      <c r="CX110">
        <v>25.0360358038185</v>
      </c>
      <c r="CY110">
        <v>172567256.00867897</v>
      </c>
      <c r="CZ110">
        <v>0.4751717045903206</v>
      </c>
      <c r="DA110">
        <v>5.9955497176092125</v>
      </c>
      <c r="DB110">
        <v>720601146.43212473</v>
      </c>
      <c r="DC110">
        <v>0.45141311936080453</v>
      </c>
      <c r="DD110">
        <v>1.8585178663298254</v>
      </c>
      <c r="DE110">
        <v>2324648085.5908394</v>
      </c>
      <c r="DF110">
        <v>0.41815110003948214</v>
      </c>
      <c r="DG110">
        <v>0.62163251310356538</v>
      </c>
      <c r="DH110">
        <v>6950086922.625638</v>
      </c>
      <c r="DI110">
        <v>0.38013736367225648</v>
      </c>
      <c r="DJ110">
        <v>7.4033968183305654E-2</v>
      </c>
      <c r="DK110">
        <v>58356996200.755203</v>
      </c>
      <c r="DL110">
        <v>0.33262019321322439</v>
      </c>
      <c r="DM110">
        <v>124000000</v>
      </c>
      <c r="DN110">
        <v>0.4751717045903206</v>
      </c>
      <c r="DO110">
        <v>4320400000</v>
      </c>
      <c r="DP110">
        <v>2243420800</v>
      </c>
      <c r="DQ110">
        <v>3652</v>
      </c>
      <c r="DR110">
        <v>-1.1397498165368536</v>
      </c>
      <c r="DS110">
        <v>2.9120410326459476</v>
      </c>
      <c r="DT110" s="9">
        <v>-4.0000000000000036E-2</v>
      </c>
      <c r="DU110">
        <v>6.6666666666666652E-2</v>
      </c>
      <c r="DV110">
        <v>2.6666666666666616E-2</v>
      </c>
      <c r="DW110">
        <v>-1.0438000000000001</v>
      </c>
      <c r="DX110">
        <v>0.52320308167461549</v>
      </c>
      <c r="DY110">
        <v>-1.0058342949773482</v>
      </c>
      <c r="DZ110">
        <v>1757</v>
      </c>
      <c r="EA110">
        <v>-1.0038282565673284</v>
      </c>
      <c r="EB110">
        <v>1</v>
      </c>
      <c r="EC110">
        <v>1.6263125E-2</v>
      </c>
      <c r="ED110">
        <v>0.12209270833333333</v>
      </c>
      <c r="EE110" s="10">
        <v>6.6E-3</v>
      </c>
      <c r="EF110">
        <v>9.0000000000000063E-4</v>
      </c>
      <c r="EG110">
        <v>39.133203081674615</v>
      </c>
      <c r="EH110" t="s">
        <v>1360</v>
      </c>
      <c r="EI110">
        <v>0</v>
      </c>
      <c r="EJ110">
        <v>0</v>
      </c>
      <c r="EK110" s="11">
        <v>45470</v>
      </c>
      <c r="EL110" s="12">
        <v>-1.17</v>
      </c>
      <c r="EM110" s="12">
        <v>0.32</v>
      </c>
      <c r="EN110" s="12">
        <v>-0.72</v>
      </c>
      <c r="EO110" s="12">
        <v>-0.41</v>
      </c>
      <c r="EP110" s="12">
        <v>-0.56999999999999995</v>
      </c>
    </row>
    <row r="111" spans="1:146" ht="108" x14ac:dyDescent="0.25">
      <c r="A111" s="6"/>
      <c r="B111" s="6"/>
      <c r="C111" s="6" t="str">
        <f>""&amp;CHAR(10)&amp;Basic_Fundamental_Information_Constructure(F111)&amp;CHAR(10)&amp;Basic_Fundamental_Information_Concatenate("")</f>
        <v xml:space="preserve">
市值27.451302亿, 利润1.54亿; PE382.4; 平均PE-262.55; 平均PEG-1.53, PB1.59; ROIC3.24%; ROE3.4833%; 股利率.2901%; 毛利59.6133%; 净利5.97%; 上一年度营收增838.55%, 利润增244.12%; 当季营收增-85.26%, 利润增-85.84%; 过往5年营收增171.24%, 利润增-376.47%
Income profile:
</v>
      </c>
      <c r="D111" t="s">
        <v>194</v>
      </c>
      <c r="E111" t="s">
        <v>77</v>
      </c>
      <c r="F111">
        <v>7.24</v>
      </c>
      <c r="G111">
        <v>2.99</v>
      </c>
      <c r="H111" t="s">
        <v>4420</v>
      </c>
      <c r="I111">
        <v>2745130200</v>
      </c>
      <c r="J111">
        <v>382.4</v>
      </c>
      <c r="K111">
        <v>1.59</v>
      </c>
      <c r="L111" t="s">
        <v>100</v>
      </c>
      <c r="M111" t="s">
        <v>1463</v>
      </c>
      <c r="N111" t="s">
        <v>1781</v>
      </c>
      <c r="O111" t="s">
        <v>238</v>
      </c>
      <c r="P111">
        <v>-15.02</v>
      </c>
      <c r="Q111" t="s">
        <v>4421</v>
      </c>
      <c r="R111">
        <v>4296555</v>
      </c>
      <c r="S111" s="5">
        <v>-0.80930000000000002</v>
      </c>
      <c r="T111" t="s">
        <v>247</v>
      </c>
      <c r="U111">
        <v>322592500</v>
      </c>
      <c r="V111">
        <v>379161630</v>
      </c>
      <c r="W111">
        <v>1.24</v>
      </c>
      <c r="X111">
        <v>0.06</v>
      </c>
      <c r="Y111">
        <v>3.08</v>
      </c>
      <c r="Z111" t="s">
        <v>324</v>
      </c>
      <c r="AA111" t="s">
        <v>4422</v>
      </c>
      <c r="AB111" t="s">
        <v>4423</v>
      </c>
      <c r="AC111" t="s">
        <v>4424</v>
      </c>
      <c r="AD111" t="s">
        <v>81</v>
      </c>
      <c r="AE111">
        <v>482447</v>
      </c>
      <c r="AF111" t="s">
        <v>2816</v>
      </c>
      <c r="AG111">
        <v>8087.89</v>
      </c>
      <c r="AH111" t="s">
        <v>2817</v>
      </c>
      <c r="AI111" t="s">
        <v>303</v>
      </c>
      <c r="AJ111" t="s">
        <v>2819</v>
      </c>
      <c r="AK111" t="s">
        <v>81</v>
      </c>
      <c r="AL111" t="s">
        <v>2820</v>
      </c>
      <c r="AM111" t="s">
        <v>81</v>
      </c>
      <c r="AN111" t="s">
        <v>300</v>
      </c>
      <c r="AO111" t="s">
        <v>368</v>
      </c>
      <c r="AP111" t="s">
        <v>81</v>
      </c>
      <c r="AQ111" t="s">
        <v>381</v>
      </c>
      <c r="AR111" t="s">
        <v>81</v>
      </c>
      <c r="AS111" t="s">
        <v>913</v>
      </c>
      <c r="AT111" t="s">
        <v>4425</v>
      </c>
      <c r="AU111" t="s">
        <v>4426</v>
      </c>
      <c r="AV111" t="s">
        <v>1017</v>
      </c>
      <c r="AW111" t="s">
        <v>4427</v>
      </c>
      <c r="AX111" t="s">
        <v>361</v>
      </c>
      <c r="AY111" t="s">
        <v>482</v>
      </c>
      <c r="AZ111" t="s">
        <v>401</v>
      </c>
      <c r="BA111" t="s">
        <v>936</v>
      </c>
      <c r="BB111" t="s">
        <v>969</v>
      </c>
      <c r="BC111" t="s">
        <v>2821</v>
      </c>
      <c r="BD111" t="s">
        <v>1301</v>
      </c>
      <c r="BE111" t="s">
        <v>910</v>
      </c>
      <c r="BF111" t="s">
        <v>973</v>
      </c>
      <c r="BG111" t="s">
        <v>974</v>
      </c>
      <c r="BH111" t="s">
        <v>2814</v>
      </c>
      <c r="BI111" t="s">
        <v>1284</v>
      </c>
      <c r="BJ111" t="s">
        <v>361</v>
      </c>
      <c r="BK111" t="s">
        <v>2815</v>
      </c>
      <c r="BL111" t="s">
        <v>4428</v>
      </c>
      <c r="BM111" t="s">
        <v>2821</v>
      </c>
      <c r="BN111">
        <v>4.3499999999999996</v>
      </c>
      <c r="BO111">
        <v>2.92</v>
      </c>
      <c r="BP111">
        <v>2.4500000000000002</v>
      </c>
      <c r="BQ111">
        <v>4.55</v>
      </c>
      <c r="BR111">
        <v>3.22</v>
      </c>
      <c r="BS111">
        <v>2.68</v>
      </c>
      <c r="BT111" t="s">
        <v>1679</v>
      </c>
      <c r="BU111" t="s">
        <v>1354</v>
      </c>
      <c r="BV111">
        <v>55.98</v>
      </c>
      <c r="BW111">
        <v>58.53</v>
      </c>
      <c r="BX111">
        <v>64.33</v>
      </c>
      <c r="BY111">
        <v>3.89</v>
      </c>
      <c r="BZ111">
        <v>8.36</v>
      </c>
      <c r="CA111">
        <v>5.66</v>
      </c>
      <c r="CB111">
        <v>-3.85</v>
      </c>
      <c r="CC111">
        <v>-12.87</v>
      </c>
      <c r="CD111" t="s">
        <v>4429</v>
      </c>
      <c r="CE111" t="s">
        <v>263</v>
      </c>
      <c r="CF111" s="7">
        <v>-0.85256410256410253</v>
      </c>
      <c r="CG111" s="8">
        <v>-0.85836731397453181</v>
      </c>
      <c r="CH111" s="7">
        <v>8.3854541778564453</v>
      </c>
      <c r="CI111" s="7">
        <v>-0.1269841343164444</v>
      </c>
      <c r="CJ111" s="7">
        <v>0.7597765326499939</v>
      </c>
      <c r="CK111" s="7">
        <v>-0.30620154738426208</v>
      </c>
      <c r="CL111" s="7">
        <v>-0.14991763234138489</v>
      </c>
      <c r="CM111" s="8">
        <v>2.4412176609039307</v>
      </c>
      <c r="CN111" s="8">
        <v>0.25508958101272583</v>
      </c>
      <c r="CO111" s="8">
        <v>1.1991961002349854</v>
      </c>
      <c r="CP111" s="8">
        <v>-23.781362533569336</v>
      </c>
      <c r="CQ111" s="8">
        <v>1.0623594522476196</v>
      </c>
      <c r="CR111">
        <v>-262.54532876384792</v>
      </c>
      <c r="CS111">
        <v>-1.5331781262228334</v>
      </c>
      <c r="CT111">
        <v>0.29005524861878451</v>
      </c>
      <c r="CU111" s="7">
        <v>1.7124254792928695</v>
      </c>
      <c r="CV111" s="8">
        <v>-3.7646999478340151</v>
      </c>
      <c r="CW111">
        <v>0.06</v>
      </c>
      <c r="CX111">
        <v>3.6748104250849321</v>
      </c>
      <c r="CY111">
        <v>394069362.08594513</v>
      </c>
      <c r="CZ111">
        <v>1.7124254792928695</v>
      </c>
      <c r="DA111">
        <v>0.39448174846777528</v>
      </c>
      <c r="DB111">
        <v>3670968823.3352981</v>
      </c>
      <c r="DC111">
        <v>1.6268042053282259</v>
      </c>
      <c r="DD111">
        <v>3.1193133511026483E-2</v>
      </c>
      <c r="DE111">
        <v>46424646612.950874</v>
      </c>
      <c r="DF111">
        <v>1.5069344217777252</v>
      </c>
      <c r="DG111">
        <v>1.6658067069837941E-3</v>
      </c>
      <c r="DH111">
        <v>869326671533.25867</v>
      </c>
      <c r="DI111">
        <v>1.3699403834342956</v>
      </c>
      <c r="DJ111">
        <v>2.240455712910274E-6</v>
      </c>
      <c r="DK111">
        <v>646355199817330.62</v>
      </c>
      <c r="DL111">
        <v>1.1986978355050086</v>
      </c>
      <c r="DM111">
        <v>154000000</v>
      </c>
      <c r="DN111">
        <v>1.7124254792928695</v>
      </c>
      <c r="DO111">
        <v>1448130200</v>
      </c>
      <c r="DP111">
        <v>19219520</v>
      </c>
      <c r="DQ111">
        <v>3977</v>
      </c>
      <c r="DR111">
        <v>-2.5649895818569721</v>
      </c>
      <c r="DS111">
        <v>2.906332633859483</v>
      </c>
      <c r="DT111" s="9">
        <v>1.0000000000000011E-2</v>
      </c>
      <c r="DU111">
        <v>-0.17333333333333337</v>
      </c>
      <c r="DV111">
        <v>-0.16333333333333336</v>
      </c>
      <c r="DW111">
        <v>-8.2991452991452999</v>
      </c>
      <c r="DX111">
        <v>0.50708518518518453</v>
      </c>
      <c r="DY111">
        <v>-8.0529742006964238</v>
      </c>
      <c r="DZ111">
        <v>2538</v>
      </c>
      <c r="EA111">
        <v>-8.02666333545816</v>
      </c>
      <c r="EB111">
        <v>8</v>
      </c>
      <c r="EC111">
        <v>6.305094742840936E-2</v>
      </c>
      <c r="ED111">
        <v>0.35604868562254044</v>
      </c>
      <c r="EE111" s="10">
        <v>1.0998000000000001</v>
      </c>
      <c r="EF111">
        <v>1.1085</v>
      </c>
      <c r="EG111">
        <v>33.177085185185184</v>
      </c>
      <c r="EH111" t="s">
        <v>1364</v>
      </c>
      <c r="EI111">
        <v>0</v>
      </c>
      <c r="EJ111">
        <v>0</v>
      </c>
      <c r="EK111" s="11">
        <v>45470</v>
      </c>
      <c r="EL111" s="12">
        <v>3.2</v>
      </c>
      <c r="EM111" s="12">
        <v>-0.12</v>
      </c>
      <c r="EN111" s="12">
        <v>-1.36</v>
      </c>
      <c r="EO111" s="12">
        <v>1.1299999999999999</v>
      </c>
      <c r="EP111" s="12">
        <v>0.87</v>
      </c>
    </row>
    <row r="112" spans="1:146" ht="108" x14ac:dyDescent="0.25">
      <c r="A112" s="6"/>
      <c r="B112" s="6"/>
      <c r="C112" s="6" t="str">
        <f>""&amp;CHAR(10)&amp;Basic_Fundamental_Information_Constructure(F112)&amp;CHAR(10)&amp;Basic_Fundamental_Information_Concatenate("")</f>
        <v xml:space="preserve">
市值59.781394亿, 利润3.15亿; PE21.92; 平均PE40.62; 平均PEG.74, PB2.64; ROIC11.9867%; ROE13.64%; 股利率1.2798%; 毛利53.78%; 净利29.1667%; 上一年度营收增140.52%, 利润增34.04%; 当季营收增-41.89%, 利润增-20.79%; 过往5年营收增54.62%, 利润增49.14%
Income profile:
</v>
      </c>
      <c r="D112" t="s">
        <v>115</v>
      </c>
      <c r="E112" t="s">
        <v>12</v>
      </c>
      <c r="F112">
        <v>10.08</v>
      </c>
      <c r="G112">
        <v>4.3499999999999996</v>
      </c>
      <c r="H112" t="s">
        <v>4430</v>
      </c>
      <c r="I112">
        <v>5978139400</v>
      </c>
      <c r="J112">
        <v>21.92</v>
      </c>
      <c r="K112">
        <v>2.64</v>
      </c>
      <c r="L112" t="s">
        <v>100</v>
      </c>
      <c r="M112" t="s">
        <v>1134</v>
      </c>
      <c r="N112" t="s">
        <v>4431</v>
      </c>
      <c r="O112" t="s">
        <v>254</v>
      </c>
      <c r="P112">
        <v>14.61</v>
      </c>
      <c r="Q112" t="s">
        <v>4432</v>
      </c>
      <c r="R112">
        <v>112480834</v>
      </c>
      <c r="S112" s="5">
        <v>0.20080000000000001</v>
      </c>
      <c r="T112" t="s">
        <v>1123</v>
      </c>
      <c r="U112">
        <v>593069390</v>
      </c>
      <c r="V112">
        <v>593069390</v>
      </c>
      <c r="W112">
        <v>1.35</v>
      </c>
      <c r="X112">
        <v>0.1</v>
      </c>
      <c r="Y112">
        <v>37.380000000000003</v>
      </c>
      <c r="Z112" t="s">
        <v>352</v>
      </c>
      <c r="AA112" t="s">
        <v>355</v>
      </c>
      <c r="AB112" t="s">
        <v>4433</v>
      </c>
      <c r="AC112" t="s">
        <v>4434</v>
      </c>
      <c r="AD112" t="s">
        <v>81</v>
      </c>
      <c r="AE112">
        <v>-5853506</v>
      </c>
      <c r="AF112" t="s">
        <v>236</v>
      </c>
      <c r="AG112" t="s">
        <v>81</v>
      </c>
      <c r="AH112" t="s">
        <v>2822</v>
      </c>
      <c r="AI112" t="s">
        <v>4435</v>
      </c>
      <c r="AJ112" t="s">
        <v>2823</v>
      </c>
      <c r="AK112" t="s">
        <v>81</v>
      </c>
      <c r="AL112" t="s">
        <v>2824</v>
      </c>
      <c r="AM112" t="s">
        <v>81</v>
      </c>
      <c r="AN112" t="s">
        <v>964</v>
      </c>
      <c r="AO112" t="s">
        <v>244</v>
      </c>
      <c r="AP112" t="s">
        <v>259</v>
      </c>
      <c r="AQ112" t="s">
        <v>422</v>
      </c>
      <c r="AR112" t="s">
        <v>81</v>
      </c>
      <c r="AS112" t="s">
        <v>664</v>
      </c>
      <c r="AT112" t="s">
        <v>81</v>
      </c>
      <c r="AU112" t="s">
        <v>4436</v>
      </c>
      <c r="AV112" t="s">
        <v>4437</v>
      </c>
      <c r="AW112" t="s">
        <v>4438</v>
      </c>
      <c r="AX112" t="s">
        <v>1665</v>
      </c>
      <c r="AY112" t="s">
        <v>949</v>
      </c>
      <c r="AZ112" t="s">
        <v>462</v>
      </c>
      <c r="BA112" t="s">
        <v>341</v>
      </c>
      <c r="BB112" t="s">
        <v>305</v>
      </c>
      <c r="BC112" t="s">
        <v>1411</v>
      </c>
      <c r="BD112" t="s">
        <v>372</v>
      </c>
      <c r="BE112" t="s">
        <v>975</v>
      </c>
      <c r="BF112" t="s">
        <v>976</v>
      </c>
      <c r="BG112" t="s">
        <v>977</v>
      </c>
      <c r="BH112" t="s">
        <v>560</v>
      </c>
      <c r="BI112" t="s">
        <v>2525</v>
      </c>
      <c r="BJ112" t="s">
        <v>1665</v>
      </c>
      <c r="BK112" t="s">
        <v>1624</v>
      </c>
      <c r="BL112" t="s">
        <v>479</v>
      </c>
      <c r="BM112" t="s">
        <v>1411</v>
      </c>
      <c r="BN112">
        <v>9.56</v>
      </c>
      <c r="BO112">
        <v>15.21</v>
      </c>
      <c r="BP112">
        <v>11.19</v>
      </c>
      <c r="BQ112">
        <v>11.29</v>
      </c>
      <c r="BR112">
        <v>17.36</v>
      </c>
      <c r="BS112">
        <v>12.27</v>
      </c>
      <c r="BT112" t="s">
        <v>2825</v>
      </c>
      <c r="BU112" t="s">
        <v>1353</v>
      </c>
      <c r="BV112">
        <v>55.05</v>
      </c>
      <c r="BW112">
        <v>51.5</v>
      </c>
      <c r="BX112">
        <v>54.79</v>
      </c>
      <c r="BY112">
        <v>31.09</v>
      </c>
      <c r="BZ112">
        <v>30.79</v>
      </c>
      <c r="CA112">
        <v>25.62</v>
      </c>
      <c r="CB112">
        <v>0.3</v>
      </c>
      <c r="CC112">
        <v>-11.03</v>
      </c>
      <c r="CD112" t="s">
        <v>4439</v>
      </c>
      <c r="CE112" t="s">
        <v>348</v>
      </c>
      <c r="CF112" s="7">
        <v>-0.41891891891891891</v>
      </c>
      <c r="CG112" s="8">
        <v>-0.20788145070422534</v>
      </c>
      <c r="CH112" s="7">
        <v>1.405228853225708</v>
      </c>
      <c r="CI112" s="7">
        <v>0.34210526943206787</v>
      </c>
      <c r="CJ112" s="7">
        <v>0.39364302158355713</v>
      </c>
      <c r="CK112" s="7">
        <v>0.32792207598686218</v>
      </c>
      <c r="CL112" s="7">
        <v>0.26229506731033325</v>
      </c>
      <c r="CM112" s="8">
        <v>0.3404255211353302</v>
      </c>
      <c r="CN112" s="8">
        <v>0.60958904027938843</v>
      </c>
      <c r="CO112" s="8">
        <v>0.68133032321929932</v>
      </c>
      <c r="CP112" s="8">
        <v>0.54001128673553467</v>
      </c>
      <c r="CQ112" s="8">
        <v>0.28548401594161987</v>
      </c>
      <c r="CR112">
        <v>40.617570619056998</v>
      </c>
      <c r="CS112">
        <v>0.74358625463557415</v>
      </c>
      <c r="CT112">
        <v>1.2797619047619049</v>
      </c>
      <c r="CU112" s="7">
        <v>0.54623885750770573</v>
      </c>
      <c r="CV112" s="8">
        <v>0.49136803746223451</v>
      </c>
      <c r="CW112">
        <v>0.06</v>
      </c>
      <c r="CX112">
        <v>9.8458838139803184</v>
      </c>
      <c r="CY112">
        <v>459495509.54238427</v>
      </c>
      <c r="CZ112">
        <v>0.54623885750770573</v>
      </c>
      <c r="DA112">
        <v>2.2341202578050186</v>
      </c>
      <c r="DB112">
        <v>2025020535.1277208</v>
      </c>
      <c r="DC112">
        <v>0.51892691463232044</v>
      </c>
      <c r="DD112">
        <v>0.6346838952414835</v>
      </c>
      <c r="DE112">
        <v>7128177402.8292665</v>
      </c>
      <c r="DF112">
        <v>0.48069019460678103</v>
      </c>
      <c r="DG112">
        <v>0.18873243164323292</v>
      </c>
      <c r="DH112">
        <v>23971181638.522671</v>
      </c>
      <c r="DI112">
        <v>0.4369910860061646</v>
      </c>
      <c r="DJ112">
        <v>1.6624633788846412E-2</v>
      </c>
      <c r="DK112">
        <v>272134680225.87531</v>
      </c>
      <c r="DL112">
        <v>0.382367200255394</v>
      </c>
      <c r="DM112">
        <v>315000000</v>
      </c>
      <c r="DN112">
        <v>0.54623885750770573</v>
      </c>
      <c r="DO112">
        <v>4524139400</v>
      </c>
      <c r="DP112">
        <v>1020690500</v>
      </c>
      <c r="DQ112">
        <v>4028</v>
      </c>
      <c r="DR112">
        <v>-0.96515777642662459</v>
      </c>
      <c r="DS112">
        <v>-0.69924948816645982</v>
      </c>
      <c r="DT112" s="9">
        <v>0.39333333333333331</v>
      </c>
      <c r="DU112">
        <v>0.73</v>
      </c>
      <c r="DV112">
        <v>1.1233333333333333</v>
      </c>
      <c r="DW112">
        <v>-2.1103000000000001</v>
      </c>
      <c r="DX112">
        <v>0.55446355140186598</v>
      </c>
      <c r="DY112">
        <v>-2.0181403297196261</v>
      </c>
      <c r="DZ112">
        <v>1678</v>
      </c>
      <c r="EA112">
        <v>-2.0121834856355689</v>
      </c>
      <c r="EB112">
        <v>2</v>
      </c>
      <c r="EC112">
        <v>2.967207597748385E-2</v>
      </c>
      <c r="ED112">
        <v>0.18041733699997567</v>
      </c>
      <c r="EE112" s="10">
        <v>2.1116999999999999</v>
      </c>
      <c r="EF112">
        <v>2.0674999999999999</v>
      </c>
      <c r="EG112">
        <v>39.164463551401866</v>
      </c>
      <c r="EH112" t="s">
        <v>1809</v>
      </c>
      <c r="EI112">
        <v>0</v>
      </c>
      <c r="EJ112">
        <v>0</v>
      </c>
      <c r="EK112" s="11">
        <v>45470</v>
      </c>
      <c r="EL112" s="12">
        <v>10</v>
      </c>
      <c r="EM112" s="12">
        <v>10</v>
      </c>
      <c r="EN112" s="12">
        <v>-4.4800000000000004</v>
      </c>
      <c r="EO112" s="12">
        <v>1.53</v>
      </c>
      <c r="EP112" s="12">
        <v>-4.42</v>
      </c>
    </row>
    <row r="113" spans="1:146" ht="108" x14ac:dyDescent="0.25">
      <c r="A113" s="6"/>
      <c r="B113" s="6"/>
      <c r="C113" s="6" t="str">
        <f>""&amp;CHAR(10)&amp;Basic_Fundamental_Information_Constructure(F113)&amp;CHAR(10)&amp;Basic_Fundamental_Information_Concatenate("")</f>
        <v xml:space="preserve">
市值111.984124亿, 利润9070.61万; PE21.75; 平均PE16.11; 平均PEG.16, PB2.57; ROIC22.4367%; ROE26.67%; 股利率1.9547%; 毛利39.5833%; 净利27.2533%; 上一年度营收增501.34%, 利润增-85.42%; 当季营收增-84.25%, 利润增209.3%; 过往5年营收增98.91%, 利润增-25.96%
Income profile:
</v>
      </c>
      <c r="D113" t="s">
        <v>1435</v>
      </c>
      <c r="E113" t="s">
        <v>1436</v>
      </c>
      <c r="F113">
        <v>25.58</v>
      </c>
      <c r="G113">
        <v>1.79</v>
      </c>
      <c r="H113" t="s">
        <v>4440</v>
      </c>
      <c r="I113">
        <v>11198412400</v>
      </c>
      <c r="J113">
        <v>21.75</v>
      </c>
      <c r="K113">
        <v>2.57</v>
      </c>
      <c r="L113" t="s">
        <v>100</v>
      </c>
      <c r="M113" t="s">
        <v>877</v>
      </c>
      <c r="N113" t="s">
        <v>4441</v>
      </c>
      <c r="O113" t="s">
        <v>737</v>
      </c>
      <c r="P113">
        <v>-14.46</v>
      </c>
      <c r="Q113" t="s">
        <v>4442</v>
      </c>
      <c r="R113">
        <v>147549000</v>
      </c>
      <c r="S113" s="5">
        <v>0.35870000000000002</v>
      </c>
      <c r="T113" t="s">
        <v>4443</v>
      </c>
      <c r="U113">
        <v>147065200</v>
      </c>
      <c r="V113">
        <v>437780000</v>
      </c>
      <c r="W113">
        <v>1.21</v>
      </c>
      <c r="X113">
        <v>0.1</v>
      </c>
      <c r="Y113">
        <v>29.84</v>
      </c>
      <c r="Z113" t="s">
        <v>774</v>
      </c>
      <c r="AA113" t="s">
        <v>732</v>
      </c>
      <c r="AB113" t="s">
        <v>4444</v>
      </c>
      <c r="AC113" t="s">
        <v>4445</v>
      </c>
      <c r="AD113" t="s">
        <v>81</v>
      </c>
      <c r="AE113">
        <v>-25732595</v>
      </c>
      <c r="AF113" t="s">
        <v>2827</v>
      </c>
      <c r="AG113" t="s">
        <v>2631</v>
      </c>
      <c r="AH113" t="s">
        <v>2828</v>
      </c>
      <c r="AI113" t="s">
        <v>4446</v>
      </c>
      <c r="AJ113" t="s">
        <v>2829</v>
      </c>
      <c r="AK113" t="s">
        <v>4447</v>
      </c>
      <c r="AL113" t="s">
        <v>2830</v>
      </c>
      <c r="AM113" t="s">
        <v>81</v>
      </c>
      <c r="AN113" t="s">
        <v>743</v>
      </c>
      <c r="AO113" t="s">
        <v>1614</v>
      </c>
      <c r="AP113" t="s">
        <v>4448</v>
      </c>
      <c r="AQ113" t="s">
        <v>4449</v>
      </c>
      <c r="AR113" t="s">
        <v>81</v>
      </c>
      <c r="AS113" t="s">
        <v>4450</v>
      </c>
      <c r="AT113" t="s">
        <v>81</v>
      </c>
      <c r="AU113" t="s">
        <v>4451</v>
      </c>
      <c r="AV113" t="s">
        <v>1160</v>
      </c>
      <c r="AW113" t="s">
        <v>4452</v>
      </c>
      <c r="AX113" t="s">
        <v>1498</v>
      </c>
      <c r="AY113" t="s">
        <v>1437</v>
      </c>
      <c r="AZ113" t="s">
        <v>1185</v>
      </c>
      <c r="BA113" t="s">
        <v>1439</v>
      </c>
      <c r="BB113" t="s">
        <v>529</v>
      </c>
      <c r="BC113" t="s">
        <v>1489</v>
      </c>
      <c r="BD113" t="s">
        <v>1438</v>
      </c>
      <c r="BE113" t="s">
        <v>431</v>
      </c>
      <c r="BF113" t="s">
        <v>818</v>
      </c>
      <c r="BG113" t="s">
        <v>1410</v>
      </c>
      <c r="BH113" t="s">
        <v>2826</v>
      </c>
      <c r="BI113" t="s">
        <v>4453</v>
      </c>
      <c r="BJ113" t="s">
        <v>1498</v>
      </c>
      <c r="BK113" t="s">
        <v>480</v>
      </c>
      <c r="BL113" t="s">
        <v>1985</v>
      </c>
      <c r="BM113" t="s">
        <v>1489</v>
      </c>
      <c r="BN113">
        <v>7.84</v>
      </c>
      <c r="BO113">
        <v>19.45</v>
      </c>
      <c r="BP113">
        <v>40.020000000000003</v>
      </c>
      <c r="BQ113">
        <v>9.67</v>
      </c>
      <c r="BR113">
        <v>21.78</v>
      </c>
      <c r="BS113">
        <v>48.56</v>
      </c>
      <c r="BT113" t="s">
        <v>2813</v>
      </c>
      <c r="BU113" t="s">
        <v>1353</v>
      </c>
      <c r="BV113">
        <v>38.270000000000003</v>
      </c>
      <c r="BW113">
        <v>37.229999999999997</v>
      </c>
      <c r="BX113">
        <v>43.25</v>
      </c>
      <c r="BY113">
        <v>25.28</v>
      </c>
      <c r="BZ113">
        <v>26.99</v>
      </c>
      <c r="CA113">
        <v>29.49</v>
      </c>
      <c r="CB113">
        <v>6.45</v>
      </c>
      <c r="CC113">
        <v>-1.27</v>
      </c>
      <c r="CD113" t="s">
        <v>4454</v>
      </c>
      <c r="CE113" t="s">
        <v>4455</v>
      </c>
      <c r="CF113" s="7">
        <v>-0.84252470513229205</v>
      </c>
      <c r="CG113" s="8">
        <v>2.0929555555555557</v>
      </c>
      <c r="CH113" s="7">
        <v>5.0134491920471191</v>
      </c>
      <c r="CI113" s="7">
        <v>-8.6042799055576324E-2</v>
      </c>
      <c r="CJ113" s="7">
        <v>9.4618000090122223E-2</v>
      </c>
      <c r="CK113" s="7">
        <v>0.13777782022953033</v>
      </c>
      <c r="CL113" s="7">
        <v>-0.21450735628604889</v>
      </c>
      <c r="CM113" s="8">
        <v>-0.85417026281356812</v>
      </c>
      <c r="CN113" s="8">
        <v>-0.16397848725318909</v>
      </c>
      <c r="CO113" s="8">
        <v>-0.1612175852060318</v>
      </c>
      <c r="CP113" s="8">
        <v>0.21840658783912659</v>
      </c>
      <c r="CQ113" s="8">
        <v>-0.3369763195514679</v>
      </c>
      <c r="CR113">
        <v>16.113959302791148</v>
      </c>
      <c r="CS113">
        <v>0.16292212869673597</v>
      </c>
      <c r="CT113">
        <v>1.9546520719311964</v>
      </c>
      <c r="CU113" s="7">
        <v>0.9890589714050293</v>
      </c>
      <c r="CV113" s="8">
        <v>-0.25958721339702606</v>
      </c>
      <c r="CW113">
        <v>0.06</v>
      </c>
      <c r="CX113">
        <v>45.241364638889159</v>
      </c>
      <c r="CY113">
        <v>170207341.47751105</v>
      </c>
      <c r="CZ113">
        <v>0.9890589714050293</v>
      </c>
      <c r="DA113">
        <v>7.5096311258056998</v>
      </c>
      <c r="DB113">
        <v>1025404879.5471071</v>
      </c>
      <c r="DC113">
        <v>0.93960602283477779</v>
      </c>
      <c r="DD113">
        <v>1.2604765375056013</v>
      </c>
      <c r="DE113">
        <v>6109127913.8274174</v>
      </c>
      <c r="DF113">
        <v>0.87037189483642574</v>
      </c>
      <c r="DG113">
        <v>0.18347749152909049</v>
      </c>
      <c r="DH113">
        <v>41969248303.021919</v>
      </c>
      <c r="DI113">
        <v>0.79124717712402348</v>
      </c>
      <c r="DJ113">
        <v>2.7399140101698068E-3</v>
      </c>
      <c r="DK113">
        <v>2810457690065.5234</v>
      </c>
      <c r="DL113">
        <v>0.69234127998352046</v>
      </c>
      <c r="DM113">
        <v>90706100</v>
      </c>
      <c r="DN113">
        <v>0.9890589714050293</v>
      </c>
      <c r="DO113">
        <v>7700412400</v>
      </c>
      <c r="DP113">
        <v>2727583700</v>
      </c>
      <c r="DQ113">
        <v>4033</v>
      </c>
      <c r="DR113">
        <v>-1.8315836765373215</v>
      </c>
      <c r="DS113">
        <v>2.3525427689525817</v>
      </c>
      <c r="DT113" s="9">
        <v>-0.24000000000000002</v>
      </c>
      <c r="DU113">
        <v>-0.82</v>
      </c>
      <c r="DV113">
        <v>-1.06</v>
      </c>
      <c r="DW113">
        <v>5.1968992248062014</v>
      </c>
      <c r="DX113">
        <v>0.471831762971335</v>
      </c>
      <c r="DY113">
        <v>5.0673064091431934</v>
      </c>
      <c r="DZ113">
        <v>1470</v>
      </c>
      <c r="EA113">
        <v>5.0479442914444661</v>
      </c>
      <c r="EB113">
        <v>5</v>
      </c>
      <c r="EC113">
        <v>2.1554890584311755E-2</v>
      </c>
      <c r="ED113">
        <v>6.3057014939010475E-2</v>
      </c>
      <c r="EE113" s="10">
        <v>1.0141</v>
      </c>
      <c r="EF113">
        <v>1.01491</v>
      </c>
      <c r="EG113">
        <v>13.341831762971335</v>
      </c>
      <c r="EH113" t="s">
        <v>1363</v>
      </c>
      <c r="EI113">
        <v>1</v>
      </c>
      <c r="EJ113">
        <v>1</v>
      </c>
      <c r="EK113" s="11">
        <v>45470</v>
      </c>
      <c r="EL113" s="12">
        <v>0.52</v>
      </c>
      <c r="EM113" s="12">
        <v>-3.05</v>
      </c>
      <c r="EN113" s="12">
        <v>-0.74</v>
      </c>
      <c r="EO113" s="12">
        <v>2.23</v>
      </c>
      <c r="EP113" s="12">
        <v>-2.9</v>
      </c>
    </row>
    <row r="114" spans="1:146" ht="108" x14ac:dyDescent="0.25">
      <c r="A114" s="6"/>
      <c r="B114" s="6"/>
      <c r="C114" s="6" t="str">
        <f>""&amp;CHAR(10)&amp;Basic_Fundamental_Information_Constructure(F114)&amp;CHAR(10)&amp;Basic_Fundamental_Information_Concatenate("")</f>
        <v xml:space="preserve">
市值28.442218亿, 利润5223.28万; PE23.61; 平均PE29.01; 平均PEG.61, PB1.76; ROIC5.7667%; ROE6.4867%; 股利率1.4286%; 毛利27.6433%; 净利9.1833%; 上一年度营收增194.6%, 利润增-45.03%; 当季营收增-62.03%, 利润增183.33%; 过往5年营收增47.27%, 利润增-11.51%
Income profile:
</v>
      </c>
      <c r="D114" t="s">
        <v>173</v>
      </c>
      <c r="E114" t="s">
        <v>14</v>
      </c>
      <c r="F114">
        <v>21</v>
      </c>
      <c r="G114">
        <v>3.09</v>
      </c>
      <c r="H114" t="s">
        <v>4456</v>
      </c>
      <c r="I114">
        <v>2844221800</v>
      </c>
      <c r="J114">
        <v>23.61</v>
      </c>
      <c r="K114">
        <v>1.76</v>
      </c>
      <c r="L114" t="s">
        <v>100</v>
      </c>
      <c r="M114" t="s">
        <v>2575</v>
      </c>
      <c r="N114" t="s">
        <v>1258</v>
      </c>
      <c r="O114" t="s">
        <v>774</v>
      </c>
      <c r="P114">
        <v>33.840000000000003</v>
      </c>
      <c r="Q114" t="s">
        <v>4457</v>
      </c>
      <c r="R114">
        <v>34603545</v>
      </c>
      <c r="S114" s="5">
        <v>0.31519999999999998</v>
      </c>
      <c r="T114" t="s">
        <v>4458</v>
      </c>
      <c r="U114">
        <v>134015272</v>
      </c>
      <c r="V114">
        <v>135439130</v>
      </c>
      <c r="W114">
        <v>1.41</v>
      </c>
      <c r="X114">
        <v>0.14000000000000001</v>
      </c>
      <c r="Y114">
        <v>10.16</v>
      </c>
      <c r="Z114" t="s">
        <v>503</v>
      </c>
      <c r="AA114" t="s">
        <v>305</v>
      </c>
      <c r="AB114" t="s">
        <v>4459</v>
      </c>
      <c r="AC114" t="s">
        <v>4460</v>
      </c>
      <c r="AD114" t="s">
        <v>81</v>
      </c>
      <c r="AE114">
        <v>2390183</v>
      </c>
      <c r="AF114" t="s">
        <v>236</v>
      </c>
      <c r="AG114" t="s">
        <v>81</v>
      </c>
      <c r="AH114" t="s">
        <v>2833</v>
      </c>
      <c r="AI114" t="s">
        <v>3300</v>
      </c>
      <c r="AJ114" t="s">
        <v>2834</v>
      </c>
      <c r="AK114" t="s">
        <v>81</v>
      </c>
      <c r="AL114" t="s">
        <v>2835</v>
      </c>
      <c r="AM114" t="s">
        <v>81</v>
      </c>
      <c r="AN114" t="s">
        <v>4461</v>
      </c>
      <c r="AO114" t="s">
        <v>376</v>
      </c>
      <c r="AP114" t="s">
        <v>81</v>
      </c>
      <c r="AQ114" t="s">
        <v>381</v>
      </c>
      <c r="AR114" t="s">
        <v>81</v>
      </c>
      <c r="AS114" t="s">
        <v>1210</v>
      </c>
      <c r="AT114" t="s">
        <v>4462</v>
      </c>
      <c r="AU114" t="s">
        <v>4463</v>
      </c>
      <c r="AV114" t="s">
        <v>4464</v>
      </c>
      <c r="AW114" t="s">
        <v>4465</v>
      </c>
      <c r="AX114" t="s">
        <v>1766</v>
      </c>
      <c r="AY114" t="s">
        <v>1302</v>
      </c>
      <c r="AZ114" t="s">
        <v>954</v>
      </c>
      <c r="BA114" t="s">
        <v>978</v>
      </c>
      <c r="BB114" t="s">
        <v>316</v>
      </c>
      <c r="BC114" t="s">
        <v>1767</v>
      </c>
      <c r="BD114" t="s">
        <v>288</v>
      </c>
      <c r="BE114" t="s">
        <v>477</v>
      </c>
      <c r="BF114" t="s">
        <v>265</v>
      </c>
      <c r="BG114" t="s">
        <v>274</v>
      </c>
      <c r="BH114" t="s">
        <v>2832</v>
      </c>
      <c r="BI114" t="s">
        <v>4466</v>
      </c>
      <c r="BJ114" t="s">
        <v>1766</v>
      </c>
      <c r="BK114" t="s">
        <v>274</v>
      </c>
      <c r="BL114" t="s">
        <v>4467</v>
      </c>
      <c r="BM114" t="s">
        <v>1767</v>
      </c>
      <c r="BN114">
        <v>4.29</v>
      </c>
      <c r="BO114">
        <v>5.96</v>
      </c>
      <c r="BP114">
        <v>7.05</v>
      </c>
      <c r="BQ114">
        <v>5.19</v>
      </c>
      <c r="BR114">
        <v>6.64</v>
      </c>
      <c r="BS114">
        <v>7.63</v>
      </c>
      <c r="BT114" t="s">
        <v>1532</v>
      </c>
      <c r="BU114" t="s">
        <v>1353</v>
      </c>
      <c r="BV114">
        <v>27.41</v>
      </c>
      <c r="BW114">
        <v>27.28</v>
      </c>
      <c r="BX114">
        <v>28.24</v>
      </c>
      <c r="BY114">
        <v>9.44</v>
      </c>
      <c r="BZ114">
        <v>8.5</v>
      </c>
      <c r="CA114">
        <v>9.61</v>
      </c>
      <c r="CB114">
        <v>3.65</v>
      </c>
      <c r="CC114">
        <v>-10.37</v>
      </c>
      <c r="CD114" t="s">
        <v>4468</v>
      </c>
      <c r="CE114" t="s">
        <v>4469</v>
      </c>
      <c r="CF114" s="7">
        <v>-0.620253164556962</v>
      </c>
      <c r="CG114" s="8">
        <v>1.8333370179317121</v>
      </c>
      <c r="CH114" s="7">
        <v>1.9459943771362305</v>
      </c>
      <c r="CI114" s="7">
        <v>6.6218867897987366E-2</v>
      </c>
      <c r="CJ114" s="7">
        <v>0.41576087474822998</v>
      </c>
      <c r="CK114" s="7">
        <v>-0.16458569467067719</v>
      </c>
      <c r="CL114" s="7">
        <v>9.9875159561634064E-2</v>
      </c>
      <c r="CM114" s="8">
        <v>-0.45034712553024292</v>
      </c>
      <c r="CN114" s="8">
        <v>-5.9121742844581604E-2</v>
      </c>
      <c r="CO114" s="8">
        <v>9.9999997764825821E-3</v>
      </c>
      <c r="CP114" s="8">
        <v>-0.21875</v>
      </c>
      <c r="CQ114" s="8">
        <v>0.1428571492433548</v>
      </c>
      <c r="CR114">
        <v>29.009769974747627</v>
      </c>
      <c r="CS114">
        <v>0.61376501044754772</v>
      </c>
      <c r="CT114">
        <v>1.4285714285714286</v>
      </c>
      <c r="CU114" s="7">
        <v>0.47265271693468092</v>
      </c>
      <c r="CV114" s="8">
        <v>-0.11507234387099743</v>
      </c>
      <c r="CW114">
        <v>0.06</v>
      </c>
      <c r="CX114">
        <v>26.213400896895077</v>
      </c>
      <c r="CY114">
        <v>72566768.710477173</v>
      </c>
      <c r="CZ114">
        <v>0.47265271693468092</v>
      </c>
      <c r="DA114">
        <v>6.2896316795288847</v>
      </c>
      <c r="DB114">
        <v>302437709.69788855</v>
      </c>
      <c r="DC114">
        <v>0.44902008108794683</v>
      </c>
      <c r="DD114">
        <v>1.9557236323759377</v>
      </c>
      <c r="DE114">
        <v>972643459.69428194</v>
      </c>
      <c r="DF114">
        <v>0.41593439090251921</v>
      </c>
      <c r="DG114">
        <v>0.65686990154945601</v>
      </c>
      <c r="DH114">
        <v>2895888204.8225207</v>
      </c>
      <c r="DI114">
        <v>0.37812217354774474</v>
      </c>
      <c r="DJ114">
        <v>7.9072442715522606E-2</v>
      </c>
      <c r="DK114">
        <v>24056697057.451309</v>
      </c>
      <c r="DL114">
        <v>0.33085690185427663</v>
      </c>
      <c r="DM114">
        <v>52232800</v>
      </c>
      <c r="DN114">
        <v>0.47265271693468092</v>
      </c>
      <c r="DO114">
        <v>1902221800</v>
      </c>
      <c r="DP114">
        <v>92214280</v>
      </c>
      <c r="DQ114">
        <v>4110</v>
      </c>
      <c r="DR114">
        <v>-1.0929058814916428</v>
      </c>
      <c r="DS114">
        <v>1.9484093618027096</v>
      </c>
      <c r="DT114" s="9">
        <v>-0.12333333333333336</v>
      </c>
      <c r="DU114">
        <v>-0.28333333333333333</v>
      </c>
      <c r="DV114">
        <v>-0.40666666666666668</v>
      </c>
      <c r="DW114">
        <v>6.2603423680456487</v>
      </c>
      <c r="DX114">
        <v>0.40497393515575353</v>
      </c>
      <c r="DY114">
        <v>6.0429497049442578</v>
      </c>
      <c r="DZ114">
        <v>3259</v>
      </c>
      <c r="EA114">
        <v>6.0155577111256013</v>
      </c>
      <c r="EB114">
        <v>6</v>
      </c>
      <c r="EC114">
        <v>2.3950242444705602E-2</v>
      </c>
      <c r="ED114">
        <v>0.14517591777206484</v>
      </c>
      <c r="EE114" s="10">
        <v>-4.0293000000000001</v>
      </c>
      <c r="EF114">
        <v>-4.0103</v>
      </c>
      <c r="EG114">
        <v>24.164973935155754</v>
      </c>
      <c r="EH114" t="s">
        <v>2022</v>
      </c>
      <c r="EI114">
        <v>0</v>
      </c>
      <c r="EJ114">
        <v>0</v>
      </c>
      <c r="EK114" s="11">
        <v>45470</v>
      </c>
      <c r="EL114" s="12">
        <v>-1.28</v>
      </c>
      <c r="EM114" s="12">
        <v>-3.05</v>
      </c>
      <c r="EN114" s="12">
        <v>1.26</v>
      </c>
      <c r="EO114" s="12">
        <v>2.33</v>
      </c>
      <c r="EP114" s="12">
        <v>-1.9</v>
      </c>
    </row>
    <row r="115" spans="1:146" ht="108" x14ac:dyDescent="0.25">
      <c r="A115" s="6"/>
      <c r="B115" s="6"/>
      <c r="C115" s="6" t="str">
        <f>""&amp;CHAR(10)&amp;Basic_Fundamental_Information_Constructure(F115)&amp;CHAR(10)&amp;Basic_Fundamental_Information_Concatenate("")</f>
        <v xml:space="preserve">
市值63.524351亿, 利润8.50亿; PE12.02; 平均PE12.74; 平均PEG.15, PB1.08; ROIC6.3%; ROE6.85%; 股利率3.1076%; 毛利56.7467%; 净利9.7567%; 上一年度营收增411.85%, 利润增142.86%; 当季营收增-78.46%, 利润增-37.6%; 过往5年营收增83.93%, 利润增22.23%
Income profile:
</v>
      </c>
      <c r="D115" t="s">
        <v>1138</v>
      </c>
      <c r="E115" t="s">
        <v>1139</v>
      </c>
      <c r="F115">
        <v>14.03</v>
      </c>
      <c r="G115">
        <v>2.86</v>
      </c>
      <c r="H115" t="s">
        <v>4470</v>
      </c>
      <c r="I115">
        <v>6352435100</v>
      </c>
      <c r="J115">
        <v>12.02</v>
      </c>
      <c r="K115">
        <v>1.08</v>
      </c>
      <c r="L115" t="s">
        <v>100</v>
      </c>
      <c r="M115" t="s">
        <v>2836</v>
      </c>
      <c r="N115" t="s">
        <v>4471</v>
      </c>
      <c r="O115" t="s">
        <v>776</v>
      </c>
      <c r="P115">
        <v>1.28</v>
      </c>
      <c r="Q115" t="s">
        <v>4472</v>
      </c>
      <c r="R115">
        <v>162863220</v>
      </c>
      <c r="S115" s="5">
        <v>4.4999999999999998E-2</v>
      </c>
      <c r="T115" t="s">
        <v>3921</v>
      </c>
      <c r="U115">
        <v>451284130</v>
      </c>
      <c r="V115">
        <v>452775130</v>
      </c>
      <c r="W115">
        <v>1.27</v>
      </c>
      <c r="X115">
        <v>0.15</v>
      </c>
      <c r="Y115">
        <v>14.12</v>
      </c>
      <c r="Z115" t="s">
        <v>1497</v>
      </c>
      <c r="AA115" t="s">
        <v>1978</v>
      </c>
      <c r="AB115" t="s">
        <v>414</v>
      </c>
      <c r="AC115" t="s">
        <v>4473</v>
      </c>
      <c r="AD115" t="s">
        <v>81</v>
      </c>
      <c r="AE115">
        <v>-10480572</v>
      </c>
      <c r="AF115" t="s">
        <v>2839</v>
      </c>
      <c r="AG115" t="s">
        <v>4474</v>
      </c>
      <c r="AH115" t="s">
        <v>2840</v>
      </c>
      <c r="AI115" t="s">
        <v>1882</v>
      </c>
      <c r="AJ115" t="s">
        <v>2841</v>
      </c>
      <c r="AK115" t="s">
        <v>356</v>
      </c>
      <c r="AL115" t="s">
        <v>2842</v>
      </c>
      <c r="AM115" t="s">
        <v>81</v>
      </c>
      <c r="AN115" t="s">
        <v>746</v>
      </c>
      <c r="AO115" t="s">
        <v>4475</v>
      </c>
      <c r="AP115" t="s">
        <v>4476</v>
      </c>
      <c r="AQ115" t="s">
        <v>1669</v>
      </c>
      <c r="AR115" t="s">
        <v>4477</v>
      </c>
      <c r="AS115" t="s">
        <v>4478</v>
      </c>
      <c r="AT115" t="s">
        <v>265</v>
      </c>
      <c r="AU115" t="s">
        <v>314</v>
      </c>
      <c r="AV115" t="s">
        <v>3658</v>
      </c>
      <c r="AW115" t="s">
        <v>4479</v>
      </c>
      <c r="AX115" t="s">
        <v>924</v>
      </c>
      <c r="AY115" t="s">
        <v>742</v>
      </c>
      <c r="AZ115" t="s">
        <v>1140</v>
      </c>
      <c r="BA115" t="s">
        <v>1141</v>
      </c>
      <c r="BB115" t="s">
        <v>541</v>
      </c>
      <c r="BC115" t="s">
        <v>1188</v>
      </c>
      <c r="BD115" t="s">
        <v>627</v>
      </c>
      <c r="BE115" t="s">
        <v>440</v>
      </c>
      <c r="BF115" t="s">
        <v>536</v>
      </c>
      <c r="BG115" t="s">
        <v>1136</v>
      </c>
      <c r="BH115" t="s">
        <v>2837</v>
      </c>
      <c r="BI115" t="s">
        <v>4480</v>
      </c>
      <c r="BJ115" t="s">
        <v>924</v>
      </c>
      <c r="BK115" t="s">
        <v>1459</v>
      </c>
      <c r="BL115" t="s">
        <v>473</v>
      </c>
      <c r="BM115" t="s">
        <v>1188</v>
      </c>
      <c r="BN115">
        <v>6.6</v>
      </c>
      <c r="BO115">
        <v>6.05</v>
      </c>
      <c r="BP115">
        <v>6.25</v>
      </c>
      <c r="BQ115">
        <v>7.06</v>
      </c>
      <c r="BR115">
        <v>6.76</v>
      </c>
      <c r="BS115">
        <v>6.73</v>
      </c>
      <c r="BT115" t="s">
        <v>2843</v>
      </c>
      <c r="BU115" t="s">
        <v>1354</v>
      </c>
      <c r="BV115">
        <v>58.79</v>
      </c>
      <c r="BW115">
        <v>55.99</v>
      </c>
      <c r="BX115">
        <v>55.46</v>
      </c>
      <c r="BY115">
        <v>11.77</v>
      </c>
      <c r="BZ115">
        <v>8.67</v>
      </c>
      <c r="CA115">
        <v>8.83</v>
      </c>
      <c r="CB115">
        <v>0.65</v>
      </c>
      <c r="CC115">
        <v>-8.68</v>
      </c>
      <c r="CD115" t="s">
        <v>4481</v>
      </c>
      <c r="CE115" t="s">
        <v>4482</v>
      </c>
      <c r="CF115" s="7">
        <v>-0.78462980318650422</v>
      </c>
      <c r="CG115" s="8">
        <v>-0.37600298850574715</v>
      </c>
      <c r="CH115" s="7">
        <v>4.1185441017150879</v>
      </c>
      <c r="CI115" s="7">
        <v>7.4808299541473389E-2</v>
      </c>
      <c r="CJ115" s="7">
        <v>2.9667990282177925E-2</v>
      </c>
      <c r="CK115" s="7">
        <v>-0.10673476010560989</v>
      </c>
      <c r="CL115" s="7">
        <v>8.0094523727893829E-2</v>
      </c>
      <c r="CM115" s="8">
        <v>1.4285714626312256</v>
      </c>
      <c r="CN115" s="8">
        <v>4.790419340133667E-2</v>
      </c>
      <c r="CO115" s="8">
        <v>-0.23917995393276215</v>
      </c>
      <c r="CP115" s="8">
        <v>-0.14757281541824341</v>
      </c>
      <c r="CQ115" s="8">
        <v>2.182539738714695E-2</v>
      </c>
      <c r="CR115">
        <v>12.738840441176469</v>
      </c>
      <c r="CS115">
        <v>0.15178367986405245</v>
      </c>
      <c r="CT115">
        <v>3.1076265146115469</v>
      </c>
      <c r="CU115" s="7">
        <v>0.83927603103220461</v>
      </c>
      <c r="CV115" s="8">
        <v>0.22230965681374074</v>
      </c>
      <c r="CW115">
        <v>0.06</v>
      </c>
      <c r="CX115">
        <v>1.3448009981214353</v>
      </c>
      <c r="CY115">
        <v>1474891156.9597869</v>
      </c>
      <c r="CZ115">
        <v>0.83927603103220461</v>
      </c>
      <c r="DA115">
        <v>0.24704864662488435</v>
      </c>
      <c r="DB115">
        <v>8028520403.1561594</v>
      </c>
      <c r="DC115">
        <v>0.79731222948059433</v>
      </c>
      <c r="DD115">
        <v>4.9316669832036718E-2</v>
      </c>
      <c r="DE115">
        <v>40218350240.500954</v>
      </c>
      <c r="DF115">
        <v>0.73856290730834007</v>
      </c>
      <c r="DG115">
        <v>9.0792295234653035E-3</v>
      </c>
      <c r="DH115">
        <v>218458526119.84357</v>
      </c>
      <c r="DI115">
        <v>0.67142082482576371</v>
      </c>
      <c r="DJ115">
        <v>2.4072356048235533E-4</v>
      </c>
      <c r="DK115">
        <v>8239472264474.8467</v>
      </c>
      <c r="DL115">
        <v>0.58749322172254315</v>
      </c>
      <c r="DM115">
        <v>850000000</v>
      </c>
      <c r="DN115">
        <v>0.83927603103220461</v>
      </c>
      <c r="DO115">
        <v>1983435100</v>
      </c>
      <c r="DP115">
        <v>3728438700</v>
      </c>
      <c r="DQ115">
        <v>4121</v>
      </c>
      <c r="DR115">
        <v>-1.6239058342187089</v>
      </c>
      <c r="DS115">
        <v>-0.59831264531948791</v>
      </c>
      <c r="DT115" s="9">
        <v>-0.14000000000000004</v>
      </c>
      <c r="DU115">
        <v>-2.0000000000000018E-2</v>
      </c>
      <c r="DV115">
        <v>-0.16000000000000006</v>
      </c>
      <c r="DW115">
        <v>-2.0868000000000002</v>
      </c>
      <c r="DX115">
        <v>0.42875607213840583</v>
      </c>
      <c r="DY115">
        <v>-2.0137800270616135</v>
      </c>
      <c r="DZ115">
        <v>1335</v>
      </c>
      <c r="EA115">
        <v>-2.0101799612832858</v>
      </c>
      <c r="EB115">
        <v>2</v>
      </c>
      <c r="EC115">
        <v>3.2495380212247967E-2</v>
      </c>
      <c r="ED115">
        <v>0.20468747919082922</v>
      </c>
      <c r="EE115" s="10">
        <v>1.0395000000000001</v>
      </c>
      <c r="EF115">
        <v>1.0155000000000001</v>
      </c>
      <c r="EG115">
        <v>27.158756072138406</v>
      </c>
      <c r="EH115" t="s">
        <v>1364</v>
      </c>
      <c r="EI115">
        <v>0</v>
      </c>
      <c r="EJ115">
        <v>1</v>
      </c>
      <c r="EK115" s="11">
        <v>45470</v>
      </c>
      <c r="EL115" s="12">
        <v>0.67</v>
      </c>
      <c r="EM115" s="12">
        <v>-2.11</v>
      </c>
      <c r="EN115" s="12">
        <v>0.28000000000000003</v>
      </c>
      <c r="EO115" s="12">
        <v>1.19</v>
      </c>
      <c r="EP115" s="12">
        <v>-2.4</v>
      </c>
    </row>
    <row r="116" spans="1:146" ht="108" x14ac:dyDescent="0.25">
      <c r="A116" s="6"/>
      <c r="B116" s="6"/>
      <c r="C116" s="6" t="str">
        <f>""&amp;CHAR(10)&amp;Basic_Fundamental_Information_Constructure(F116)&amp;CHAR(10)&amp;Basic_Fundamental_Information_Concatenate("")</f>
        <v xml:space="preserve">
市值41.605098亿, 利润1.15亿; PE88.62; 平均PE28.83; 平均PEG.4, PB1.55; ROIC6.055%; ROE4.82%; 股利率0%; 毛利28.5767%; 净利5.05%; 上一年度营收增255.8%, 利润增251.62%; 当季营收增-59%, 利润增-53.92%; 过往5年营收增72.03%, 利润增57.17%
Income profile:
</v>
      </c>
      <c r="D116" t="s">
        <v>130</v>
      </c>
      <c r="E116" t="s">
        <v>15</v>
      </c>
      <c r="F116">
        <v>9.49</v>
      </c>
      <c r="G116">
        <v>4.75</v>
      </c>
      <c r="H116" t="s">
        <v>4483</v>
      </c>
      <c r="I116">
        <v>4160509800</v>
      </c>
      <c r="J116">
        <v>88.62</v>
      </c>
      <c r="K116">
        <v>1.55</v>
      </c>
      <c r="L116" t="s">
        <v>100</v>
      </c>
      <c r="M116" t="s">
        <v>2844</v>
      </c>
      <c r="N116" t="s">
        <v>4484</v>
      </c>
      <c r="O116" t="s">
        <v>2436</v>
      </c>
      <c r="P116">
        <v>13.5</v>
      </c>
      <c r="Q116" t="s">
        <v>4485</v>
      </c>
      <c r="R116">
        <v>12282528</v>
      </c>
      <c r="S116" s="5">
        <v>0.28370000000000001</v>
      </c>
      <c r="T116" t="s">
        <v>291</v>
      </c>
      <c r="U116">
        <v>342514500</v>
      </c>
      <c r="V116">
        <v>438409880</v>
      </c>
      <c r="W116">
        <v>3.02</v>
      </c>
      <c r="X116">
        <v>0.12</v>
      </c>
      <c r="Y116">
        <v>1.96</v>
      </c>
      <c r="Z116" t="s">
        <v>1993</v>
      </c>
      <c r="AA116" t="s">
        <v>4461</v>
      </c>
      <c r="AB116" t="s">
        <v>4486</v>
      </c>
      <c r="AC116" t="s">
        <v>4487</v>
      </c>
      <c r="AD116" t="s">
        <v>81</v>
      </c>
      <c r="AE116">
        <v>30822591</v>
      </c>
      <c r="AF116" t="s">
        <v>2848</v>
      </c>
      <c r="AG116" t="s">
        <v>4488</v>
      </c>
      <c r="AH116" t="s">
        <v>2849</v>
      </c>
      <c r="AI116" t="s">
        <v>4489</v>
      </c>
      <c r="AJ116" t="s">
        <v>2851</v>
      </c>
      <c r="AK116" t="s">
        <v>81</v>
      </c>
      <c r="AL116" t="s">
        <v>2852</v>
      </c>
      <c r="AM116" t="s">
        <v>81</v>
      </c>
      <c r="AN116" t="s">
        <v>549</v>
      </c>
      <c r="AO116" t="s">
        <v>4490</v>
      </c>
      <c r="AP116" t="s">
        <v>4491</v>
      </c>
      <c r="AQ116" t="s">
        <v>2784</v>
      </c>
      <c r="AR116" t="s">
        <v>81</v>
      </c>
      <c r="AS116" t="s">
        <v>4492</v>
      </c>
      <c r="AT116" t="s">
        <v>1720</v>
      </c>
      <c r="AU116" t="s">
        <v>4493</v>
      </c>
      <c r="AV116" t="s">
        <v>4494</v>
      </c>
      <c r="AW116" t="s">
        <v>4495</v>
      </c>
      <c r="AX116" t="s">
        <v>1461</v>
      </c>
      <c r="AY116" t="s">
        <v>545</v>
      </c>
      <c r="AZ116" t="s">
        <v>982</v>
      </c>
      <c r="BA116" t="s">
        <v>983</v>
      </c>
      <c r="BB116" t="s">
        <v>837</v>
      </c>
      <c r="BC116" t="s">
        <v>2853</v>
      </c>
      <c r="BD116" t="s">
        <v>441</v>
      </c>
      <c r="BE116" t="s">
        <v>407</v>
      </c>
      <c r="BF116" t="s">
        <v>241</v>
      </c>
      <c r="BG116" t="s">
        <v>984</v>
      </c>
      <c r="BH116" t="s">
        <v>2845</v>
      </c>
      <c r="BI116" t="s">
        <v>3023</v>
      </c>
      <c r="BJ116" t="s">
        <v>1461</v>
      </c>
      <c r="BK116" t="s">
        <v>2846</v>
      </c>
      <c r="BL116" t="s">
        <v>4496</v>
      </c>
      <c r="BM116" t="s">
        <v>2853</v>
      </c>
      <c r="BN116">
        <v>2.5299999999999998</v>
      </c>
      <c r="BO116" t="s">
        <v>81</v>
      </c>
      <c r="BP116">
        <v>9.58</v>
      </c>
      <c r="BQ116">
        <v>2.23</v>
      </c>
      <c r="BR116">
        <v>-3.81</v>
      </c>
      <c r="BS116">
        <v>16.04</v>
      </c>
      <c r="BT116" t="s">
        <v>1526</v>
      </c>
      <c r="BU116" t="s">
        <v>1353</v>
      </c>
      <c r="BV116">
        <v>24.29</v>
      </c>
      <c r="BW116">
        <v>24.04</v>
      </c>
      <c r="BX116">
        <v>37.4</v>
      </c>
      <c r="BY116">
        <v>2.0299999999999998</v>
      </c>
      <c r="BZ116">
        <v>-3.37</v>
      </c>
      <c r="CA116">
        <v>16.489999999999998</v>
      </c>
      <c r="CB116">
        <v>-0.52</v>
      </c>
      <c r="CC116">
        <v>-17.62</v>
      </c>
      <c r="CD116" t="s">
        <v>4497</v>
      </c>
      <c r="CE116" t="s">
        <v>306</v>
      </c>
      <c r="CF116" s="7">
        <v>-0.59003831417624519</v>
      </c>
      <c r="CG116" s="8">
        <v>-0.53924508766796453</v>
      </c>
      <c r="CH116" s="7">
        <v>2.5579543113708496</v>
      </c>
      <c r="CI116" s="7">
        <v>6.5499968826770782E-2</v>
      </c>
      <c r="CJ116" s="7">
        <v>0.46305772662162781</v>
      </c>
      <c r="CK116" s="7">
        <v>4.4308733195066452E-2</v>
      </c>
      <c r="CL116" s="7">
        <v>0.470786452293396</v>
      </c>
      <c r="CM116" s="8">
        <v>2.5161502361297607</v>
      </c>
      <c r="CN116" s="8">
        <v>-1.2341048717498779</v>
      </c>
      <c r="CO116" s="8">
        <v>0.35564854741096497</v>
      </c>
      <c r="CP116" s="8">
        <v>0.40588235855102539</v>
      </c>
      <c r="CQ116" s="8">
        <v>0.8147580623626709</v>
      </c>
      <c r="CR116">
        <v>28.831482615914691</v>
      </c>
      <c r="CS116">
        <v>0.40025856619640232</v>
      </c>
      <c r="CT116">
        <v>0</v>
      </c>
      <c r="CU116" s="7">
        <v>0.72032143846154217</v>
      </c>
      <c r="CV116" s="8">
        <v>0.57166686654090881</v>
      </c>
      <c r="CW116">
        <v>0.06</v>
      </c>
      <c r="CX116">
        <v>32.938032455485079</v>
      </c>
      <c r="CY116">
        <v>186638646.62554464</v>
      </c>
      <c r="CZ116">
        <v>0.72032143846154217</v>
      </c>
      <c r="DA116">
        <v>6.5787593517036251</v>
      </c>
      <c r="DB116">
        <v>934448194.7660923</v>
      </c>
      <c r="DC116">
        <v>0.68430536653846508</v>
      </c>
      <c r="DD116">
        <v>1.5127440309676727</v>
      </c>
      <c r="DE116">
        <v>4063813622.2342644</v>
      </c>
      <c r="DF116">
        <v>0.63388286584615716</v>
      </c>
      <c r="DG116">
        <v>0.33753698304840507</v>
      </c>
      <c r="DH116">
        <v>18212848098.836048</v>
      </c>
      <c r="DI116">
        <v>0.57625715076923378</v>
      </c>
      <c r="DJ116">
        <v>1.44061834978084E-2</v>
      </c>
      <c r="DK116">
        <v>426727162050.60248</v>
      </c>
      <c r="DL116">
        <v>0.50422500692307948</v>
      </c>
      <c r="DM116">
        <v>114999999.99999999</v>
      </c>
      <c r="DN116">
        <v>0.72032143846154217</v>
      </c>
      <c r="DO116">
        <v>6147509800</v>
      </c>
      <c r="DP116">
        <v>-624115200</v>
      </c>
      <c r="DQ116">
        <v>4170</v>
      </c>
      <c r="DR116">
        <v>-1.3103597526377873</v>
      </c>
      <c r="DS116">
        <v>-1.1109119542088735</v>
      </c>
      <c r="DT116" s="9">
        <v>9.3333333333333268E-2</v>
      </c>
      <c r="DU116">
        <v>-0.18666666666666665</v>
      </c>
      <c r="DV116">
        <v>-9.3333333333333379E-2</v>
      </c>
      <c r="DW116">
        <v>-3.0183214285714284</v>
      </c>
      <c r="DX116">
        <v>0.49775294117646868</v>
      </c>
      <c r="DY116">
        <v>-3.0028902592436975</v>
      </c>
      <c r="DZ116">
        <v>2434</v>
      </c>
      <c r="EA116">
        <v>-3.0015135682458189</v>
      </c>
      <c r="EB116">
        <v>3</v>
      </c>
      <c r="EC116">
        <v>4.8936853339162888E-2</v>
      </c>
      <c r="ED116">
        <v>0.31021198701087666</v>
      </c>
      <c r="EE116" s="10">
        <v>-3.0323099999999998</v>
      </c>
      <c r="EF116">
        <v>-3.05471</v>
      </c>
      <c r="EG116">
        <v>34.157752941176469</v>
      </c>
      <c r="EH116" t="s">
        <v>1991</v>
      </c>
      <c r="EI116">
        <v>0</v>
      </c>
      <c r="EJ116">
        <v>0</v>
      </c>
      <c r="EK116" s="11">
        <v>45470</v>
      </c>
      <c r="EL116" s="12">
        <v>-0.7</v>
      </c>
      <c r="EM116" s="12">
        <v>-5.05</v>
      </c>
      <c r="EN116" s="12">
        <v>1.33</v>
      </c>
      <c r="EO116" s="12">
        <v>3.94</v>
      </c>
      <c r="EP116" s="12">
        <v>-2.2400000000000002</v>
      </c>
    </row>
    <row r="117" spans="1:146" ht="96" x14ac:dyDescent="0.25">
      <c r="A117" s="6"/>
      <c r="B117" s="6"/>
      <c r="C117" s="6" t="str">
        <f>""&amp;CHAR(10)&amp;Basic_Fundamental_Information_Constructure(F117)&amp;CHAR(10)&amp;Basic_Fundamental_Information_Concatenate("")</f>
        <v xml:space="preserve">
市值26.118885亿, 利润3.09亿; PE; 平均PE13.12; 平均PEG.67, PB1.25; ROIC6.7567%; ROE9.5667%; 股利率.1675%; 毛利36.0867%; 净利13.04%; 上一年度营收增36.99%, 利润增-8.85%; 当季营收增-24.21%, 利润增-70.36%; 过往5年营收增19.67%, 利润增35.98%
Income profile:
</v>
      </c>
      <c r="D117" t="s">
        <v>150</v>
      </c>
      <c r="E117" t="s">
        <v>72</v>
      </c>
      <c r="F117">
        <v>11.94</v>
      </c>
      <c r="G117">
        <v>6.61</v>
      </c>
      <c r="H117" t="s">
        <v>4498</v>
      </c>
      <c r="I117">
        <v>2611888500</v>
      </c>
      <c r="K117">
        <v>1.25</v>
      </c>
      <c r="L117" t="s">
        <v>100</v>
      </c>
      <c r="M117" t="s">
        <v>2854</v>
      </c>
      <c r="N117" t="s">
        <v>4499</v>
      </c>
      <c r="O117" t="s">
        <v>251</v>
      </c>
      <c r="P117">
        <v>6.68</v>
      </c>
      <c r="Q117" t="s">
        <v>4500</v>
      </c>
      <c r="R117">
        <v>14043260</v>
      </c>
      <c r="S117" s="5">
        <v>-0.67679999999999996</v>
      </c>
      <c r="T117" t="s">
        <v>567</v>
      </c>
      <c r="U117">
        <v>212258240</v>
      </c>
      <c r="V117">
        <v>218751130</v>
      </c>
      <c r="W117">
        <v>1.97</v>
      </c>
      <c r="X117">
        <v>0.06</v>
      </c>
      <c r="Y117">
        <v>6</v>
      </c>
      <c r="Z117" t="s">
        <v>240</v>
      </c>
      <c r="AA117" t="s">
        <v>382</v>
      </c>
      <c r="AB117" t="s">
        <v>4501</v>
      </c>
      <c r="AC117" t="s">
        <v>4502</v>
      </c>
      <c r="AD117" t="s">
        <v>81</v>
      </c>
      <c r="AE117">
        <v>1496194</v>
      </c>
      <c r="AF117" t="s">
        <v>2856</v>
      </c>
      <c r="AG117" t="s">
        <v>4503</v>
      </c>
      <c r="AH117" t="s">
        <v>2857</v>
      </c>
      <c r="AI117" t="s">
        <v>2590</v>
      </c>
      <c r="AJ117" t="s">
        <v>2858</v>
      </c>
      <c r="AK117" t="s">
        <v>81</v>
      </c>
      <c r="AL117" t="s">
        <v>2859</v>
      </c>
      <c r="AM117" t="s">
        <v>81</v>
      </c>
      <c r="AN117" t="s">
        <v>1135</v>
      </c>
      <c r="AO117" t="s">
        <v>2629</v>
      </c>
      <c r="AP117" t="s">
        <v>311</v>
      </c>
      <c r="AQ117" t="s">
        <v>1703</v>
      </c>
      <c r="AR117" t="s">
        <v>81</v>
      </c>
      <c r="AS117" t="s">
        <v>2578</v>
      </c>
      <c r="AT117" t="s">
        <v>409</v>
      </c>
      <c r="AU117" t="s">
        <v>4504</v>
      </c>
      <c r="AV117" t="s">
        <v>4505</v>
      </c>
      <c r="AW117" t="s">
        <v>4506</v>
      </c>
      <c r="AX117" t="s">
        <v>1770</v>
      </c>
      <c r="AY117" t="s">
        <v>730</v>
      </c>
      <c r="AZ117" t="s">
        <v>715</v>
      </c>
      <c r="BA117" t="s">
        <v>985</v>
      </c>
      <c r="BB117" t="s">
        <v>411</v>
      </c>
      <c r="BC117" t="s">
        <v>450</v>
      </c>
      <c r="BD117" t="s">
        <v>268</v>
      </c>
      <c r="BE117" t="s">
        <v>402</v>
      </c>
      <c r="BF117" t="s">
        <v>302</v>
      </c>
      <c r="BG117" t="s">
        <v>986</v>
      </c>
      <c r="BH117" t="s">
        <v>1892</v>
      </c>
      <c r="BI117" t="s">
        <v>1956</v>
      </c>
      <c r="BJ117" t="s">
        <v>1770</v>
      </c>
      <c r="BK117" t="s">
        <v>2855</v>
      </c>
      <c r="BL117" t="s">
        <v>4507</v>
      </c>
      <c r="BM117" t="s">
        <v>450</v>
      </c>
      <c r="BN117">
        <v>2.21</v>
      </c>
      <c r="BO117">
        <v>11.84</v>
      </c>
      <c r="BP117">
        <v>6.22</v>
      </c>
      <c r="BQ117">
        <v>2.59</v>
      </c>
      <c r="BR117">
        <v>17.57</v>
      </c>
      <c r="BS117">
        <v>8.5399999999999991</v>
      </c>
      <c r="BT117" t="s">
        <v>2348</v>
      </c>
      <c r="BU117" t="s">
        <v>1353</v>
      </c>
      <c r="BV117">
        <v>30.87</v>
      </c>
      <c r="BW117">
        <v>40.1</v>
      </c>
      <c r="BX117">
        <v>37.29</v>
      </c>
      <c r="BY117">
        <v>1.33</v>
      </c>
      <c r="BZ117">
        <v>25.23</v>
      </c>
      <c r="CA117">
        <v>12.56</v>
      </c>
      <c r="CB117">
        <v>6.89</v>
      </c>
      <c r="CC117">
        <v>-7.44</v>
      </c>
      <c r="CD117" t="s">
        <v>4508</v>
      </c>
      <c r="CE117" t="s">
        <v>4509</v>
      </c>
      <c r="CF117" s="7">
        <v>-0.24207492795389049</v>
      </c>
      <c r="CG117" s="8">
        <v>-0.70363678187117107</v>
      </c>
      <c r="CH117" s="7">
        <v>0.36993828415870667</v>
      </c>
      <c r="CI117" s="7">
        <v>0.15818755328655243</v>
      </c>
      <c r="CJ117" s="7">
        <v>5.4484549909830093E-2</v>
      </c>
      <c r="CK117" s="7">
        <v>1.1016895063221455E-2</v>
      </c>
      <c r="CL117" s="7">
        <v>0.38987043499946594</v>
      </c>
      <c r="CM117" s="8">
        <v>-8.849557489156723E-2</v>
      </c>
      <c r="CN117" s="8">
        <v>1.3706294298171997</v>
      </c>
      <c r="CO117" s="8">
        <v>-8.3333335816860199E-2</v>
      </c>
      <c r="CP117" s="8">
        <v>3.3112581819295883E-2</v>
      </c>
      <c r="CQ117" s="8">
        <v>0.56721591949462891</v>
      </c>
      <c r="CR117">
        <v>13.121230373830366</v>
      </c>
      <c r="CS117">
        <v>0.66706969123837045</v>
      </c>
      <c r="CT117">
        <v>0.16750418760469013</v>
      </c>
      <c r="CU117" s="7">
        <v>0.19669954348355531</v>
      </c>
      <c r="CV117" s="8">
        <v>0.3598258040845394</v>
      </c>
      <c r="CW117">
        <v>0.06</v>
      </c>
      <c r="CX117">
        <v>7.5903526518917577</v>
      </c>
      <c r="CY117">
        <v>348849206.54379106</v>
      </c>
      <c r="CZ117">
        <v>0.19669954348355531</v>
      </c>
      <c r="DA117">
        <v>2.2687221812645526</v>
      </c>
      <c r="DB117">
        <v>1167127699.4013016</v>
      </c>
      <c r="DC117">
        <v>0.18686456630937753</v>
      </c>
      <c r="DD117">
        <v>0.98674508975474695</v>
      </c>
      <c r="DE117">
        <v>2683457488.1524124</v>
      </c>
      <c r="DF117">
        <v>0.17309559826552867</v>
      </c>
      <c r="DG117">
        <v>0.51203964368156019</v>
      </c>
      <c r="DH117">
        <v>5171256820.979147</v>
      </c>
      <c r="DI117">
        <v>0.15735963478684425</v>
      </c>
      <c r="DJ117">
        <v>0.18786111940207448</v>
      </c>
      <c r="DK117">
        <v>14094925594.118229</v>
      </c>
      <c r="DL117">
        <v>0.1376896804384887</v>
      </c>
      <c r="DM117">
        <v>309000000</v>
      </c>
      <c r="DN117">
        <v>0.19669954348355531</v>
      </c>
      <c r="DO117">
        <v>2647888500</v>
      </c>
      <c r="DP117">
        <v>391935100</v>
      </c>
      <c r="DQ117">
        <v>4178</v>
      </c>
      <c r="DR117">
        <v>-0.4387744714374458</v>
      </c>
      <c r="DS117">
        <v>-1.0634625859557105</v>
      </c>
      <c r="DT117" s="9">
        <v>-2.3333333333333355E-2</v>
      </c>
      <c r="DU117">
        <v>-4.0000000000000036E-2</v>
      </c>
      <c r="DV117">
        <v>-6.3333333333333394E-2</v>
      </c>
      <c r="DW117">
        <v>7.4808094905792046</v>
      </c>
      <c r="DX117">
        <v>0.92838511426700165</v>
      </c>
      <c r="DY117">
        <v>7.0857692559176275</v>
      </c>
      <c r="DZ117">
        <v>2087</v>
      </c>
      <c r="EA117">
        <v>7.0507398161720136</v>
      </c>
      <c r="EB117">
        <v>7</v>
      </c>
      <c r="EC117">
        <v>6.0225517463612648E-2</v>
      </c>
      <c r="ED117">
        <v>0.33761517026220617</v>
      </c>
      <c r="EE117" s="10">
        <v>6.4999999999999997E-3</v>
      </c>
      <c r="EF117">
        <v>6.0999999999999987E-4</v>
      </c>
      <c r="EG117">
        <v>75.178385114267002</v>
      </c>
      <c r="EH117">
        <v>-1</v>
      </c>
      <c r="EI117">
        <v>1</v>
      </c>
      <c r="EJ117">
        <v>0</v>
      </c>
      <c r="EK117" s="11">
        <v>45470</v>
      </c>
      <c r="EL117" s="12">
        <v>-0.1</v>
      </c>
      <c r="EM117" s="12">
        <v>-2.34</v>
      </c>
      <c r="EN117" s="12">
        <v>2.19</v>
      </c>
      <c r="EO117" s="12">
        <v>0.31</v>
      </c>
      <c r="EP117" s="12">
        <v>-0.71</v>
      </c>
    </row>
    <row r="118" spans="1:146" ht="96" x14ac:dyDescent="0.25">
      <c r="A118" s="6"/>
      <c r="B118" s="6"/>
      <c r="C118" s="6" t="str">
        <f>""&amp;CHAR(10)&amp;Basic_Fundamental_Information_Constructure(F118)&amp;CHAR(10)&amp;Basic_Fundamental_Information_Concatenate("")</f>
        <v xml:space="preserve">
市值34.691596亿, 利润2.14亿; PE; 平均PE33.1; 平均PEG.72, PB4.23; ROIC2.9%; ROE-6.41%; 股利率0%; 毛利64.62%; 净利-45.2467%; 上一年度营收增357.79%, 利润增209.18%; 当季营收增-78.04%, 利润增-126.63%; 过往5年营收增45.99%, 利润增-51.49%
Income profile:
</v>
      </c>
      <c r="D118" t="s">
        <v>147</v>
      </c>
      <c r="E118" t="s">
        <v>25</v>
      </c>
      <c r="F118">
        <v>4.8099999999999996</v>
      </c>
      <c r="G118">
        <v>2.34</v>
      </c>
      <c r="H118" t="s">
        <v>4510</v>
      </c>
      <c r="I118">
        <v>3469159600</v>
      </c>
      <c r="K118">
        <v>4.2300000000000004</v>
      </c>
      <c r="L118" t="s">
        <v>100</v>
      </c>
      <c r="M118" t="s">
        <v>979</v>
      </c>
      <c r="N118" t="s">
        <v>866</v>
      </c>
      <c r="O118" t="s">
        <v>2860</v>
      </c>
      <c r="P118">
        <v>4.8499999999999996</v>
      </c>
      <c r="Q118" t="s">
        <v>2866</v>
      </c>
      <c r="R118">
        <v>-16041506</v>
      </c>
      <c r="S118" s="5">
        <v>0.30230000000000001</v>
      </c>
      <c r="T118" t="s">
        <v>1481</v>
      </c>
      <c r="U118">
        <v>721239010</v>
      </c>
      <c r="V118">
        <v>721239010</v>
      </c>
      <c r="W118">
        <v>1.62</v>
      </c>
      <c r="X118">
        <v>0.05</v>
      </c>
      <c r="Y118">
        <v>-20.87</v>
      </c>
      <c r="Z118" t="s">
        <v>4511</v>
      </c>
      <c r="AA118" t="s">
        <v>4512</v>
      </c>
      <c r="AB118" t="s">
        <v>4513</v>
      </c>
      <c r="AC118" t="s">
        <v>4514</v>
      </c>
      <c r="AD118" t="s">
        <v>81</v>
      </c>
      <c r="AE118">
        <v>-332165</v>
      </c>
      <c r="AF118" t="s">
        <v>2862</v>
      </c>
      <c r="AG118" t="s">
        <v>4515</v>
      </c>
      <c r="AH118" t="s">
        <v>2863</v>
      </c>
      <c r="AI118" t="s">
        <v>732</v>
      </c>
      <c r="AJ118" t="s">
        <v>2864</v>
      </c>
      <c r="AK118" t="s">
        <v>81</v>
      </c>
      <c r="AL118" t="s">
        <v>2865</v>
      </c>
      <c r="AM118" t="s">
        <v>81</v>
      </c>
      <c r="AN118" t="s">
        <v>798</v>
      </c>
      <c r="AO118" t="s">
        <v>4516</v>
      </c>
      <c r="AP118" t="s">
        <v>4517</v>
      </c>
      <c r="AQ118" t="s">
        <v>4518</v>
      </c>
      <c r="AR118" t="s">
        <v>4519</v>
      </c>
      <c r="AS118" t="s">
        <v>267</v>
      </c>
      <c r="AT118" t="s">
        <v>81</v>
      </c>
      <c r="AU118" t="s">
        <v>4520</v>
      </c>
      <c r="AV118" t="s">
        <v>4521</v>
      </c>
      <c r="AW118" t="s">
        <v>4522</v>
      </c>
      <c r="AX118" t="s">
        <v>1371</v>
      </c>
      <c r="AY118" t="s">
        <v>1303</v>
      </c>
      <c r="AZ118" t="s">
        <v>987</v>
      </c>
      <c r="BA118" t="s">
        <v>989</v>
      </c>
      <c r="BB118" t="s">
        <v>990</v>
      </c>
      <c r="BC118" t="s">
        <v>1771</v>
      </c>
      <c r="BD118" t="s">
        <v>1304</v>
      </c>
      <c r="BE118" t="s">
        <v>613</v>
      </c>
      <c r="BF118" t="s">
        <v>333</v>
      </c>
      <c r="BG118" t="s">
        <v>231</v>
      </c>
      <c r="BH118" t="s">
        <v>303</v>
      </c>
      <c r="BI118" t="s">
        <v>1188</v>
      </c>
      <c r="BJ118" t="s">
        <v>1371</v>
      </c>
      <c r="BK118" t="s">
        <v>2861</v>
      </c>
      <c r="BL118" t="s">
        <v>1979</v>
      </c>
      <c r="BM118" t="s">
        <v>1771</v>
      </c>
      <c r="BN118" t="s">
        <v>81</v>
      </c>
      <c r="BO118" t="s">
        <v>81</v>
      </c>
      <c r="BP118">
        <v>2.9</v>
      </c>
      <c r="BQ118">
        <v>-8.91</v>
      </c>
      <c r="BR118">
        <v>-14.89</v>
      </c>
      <c r="BS118">
        <v>4.57</v>
      </c>
      <c r="BT118" t="s">
        <v>1526</v>
      </c>
      <c r="BU118" t="s">
        <v>1354</v>
      </c>
      <c r="BV118">
        <v>46.67</v>
      </c>
      <c r="BW118">
        <v>67.81</v>
      </c>
      <c r="BX118">
        <v>79.38</v>
      </c>
      <c r="BY118">
        <v>-76.97</v>
      </c>
      <c r="BZ118">
        <v>-67.67</v>
      </c>
      <c r="CA118">
        <v>8.9</v>
      </c>
      <c r="CB118">
        <v>1.91</v>
      </c>
      <c r="CC118">
        <v>-3.61</v>
      </c>
      <c r="CD118" t="s">
        <v>4523</v>
      </c>
      <c r="CE118" t="s">
        <v>368</v>
      </c>
      <c r="CF118" s="7">
        <v>-0.78039542857142852</v>
      </c>
      <c r="CG118" s="8">
        <v>-1.2662654138096447</v>
      </c>
      <c r="CH118" s="7">
        <v>3.5778548717498779</v>
      </c>
      <c r="CI118" s="7">
        <v>-0.60945945978164673</v>
      </c>
      <c r="CJ118" s="7">
        <v>-0.26073926687240601</v>
      </c>
      <c r="CK118" s="7">
        <v>-0.38776761293411255</v>
      </c>
      <c r="CL118" s="7">
        <v>-2.0371479913592339E-2</v>
      </c>
      <c r="CM118" s="8">
        <v>2.09183669090271</v>
      </c>
      <c r="CN118" s="8">
        <v>-3.9740409851074219</v>
      </c>
      <c r="CO118" s="8">
        <v>-0.58810251951217651</v>
      </c>
      <c r="CP118" s="8">
        <v>-0.20792078971862793</v>
      </c>
      <c r="CQ118" s="8">
        <v>0.10382513701915741</v>
      </c>
      <c r="CR118">
        <v>33.097214899071972</v>
      </c>
      <c r="CS118">
        <v>0.71965578308528988</v>
      </c>
      <c r="CT118">
        <v>0</v>
      </c>
      <c r="CU118" s="7">
        <v>0.45990341044962407</v>
      </c>
      <c r="CV118" s="8">
        <v>-0.51488049328327179</v>
      </c>
      <c r="CW118">
        <v>0.06</v>
      </c>
      <c r="CX118">
        <v>11.027388023033245</v>
      </c>
      <c r="CY118">
        <v>294735216.82662219</v>
      </c>
      <c r="CZ118">
        <v>0.45990341044962407</v>
      </c>
      <c r="DA118">
        <v>2.6719413069206208</v>
      </c>
      <c r="DB118">
        <v>1216403815.3015301</v>
      </c>
      <c r="DC118">
        <v>0.43690823992714284</v>
      </c>
      <c r="DD118">
        <v>0.84394633885048753</v>
      </c>
      <c r="DE118">
        <v>3851144854.0993009</v>
      </c>
      <c r="DF118">
        <v>0.40471500119566917</v>
      </c>
      <c r="DG118">
        <v>0.28947606338231452</v>
      </c>
      <c r="DH118">
        <v>11227731792.481491</v>
      </c>
      <c r="DI118">
        <v>0.3679227283596993</v>
      </c>
      <c r="DJ118">
        <v>3.6785773941365049E-2</v>
      </c>
      <c r="DK118">
        <v>88353709920.052673</v>
      </c>
      <c r="DL118">
        <v>0.32193238731473683</v>
      </c>
      <c r="DM118">
        <v>214000000</v>
      </c>
      <c r="DN118">
        <v>0.45990341044962407</v>
      </c>
      <c r="DO118">
        <v>3250159600</v>
      </c>
      <c r="DP118">
        <v>635729110</v>
      </c>
      <c r="DQ118">
        <v>4245</v>
      </c>
      <c r="DR118">
        <v>-1.2402988390210525</v>
      </c>
      <c r="DS118">
        <v>-0.75138492052637296</v>
      </c>
      <c r="DT118" s="9">
        <v>-0.69</v>
      </c>
      <c r="DU118">
        <v>-1.5650000000000002</v>
      </c>
      <c r="DV118">
        <v>-2.2549999999999999</v>
      </c>
      <c r="DW118">
        <v>-1.0361</v>
      </c>
      <c r="DX118">
        <v>0.39864827586207213</v>
      </c>
      <c r="DY118">
        <v>-1.0028392027586206</v>
      </c>
      <c r="DZ118">
        <v>462</v>
      </c>
      <c r="EA118">
        <v>-1.0025825077146906</v>
      </c>
      <c r="EB118">
        <v>1</v>
      </c>
      <c r="EC118">
        <v>1.2649343523445855E-2</v>
      </c>
      <c r="ED118">
        <v>0.1608343397842554</v>
      </c>
      <c r="EE118" s="10">
        <v>2.1600000000000001E-2</v>
      </c>
      <c r="EF118">
        <v>2.1000000000000012E-3</v>
      </c>
      <c r="EG118">
        <v>32.078648275862072</v>
      </c>
      <c r="EH118" t="s">
        <v>1360</v>
      </c>
      <c r="EI118">
        <v>0</v>
      </c>
      <c r="EJ118">
        <v>1</v>
      </c>
      <c r="EK118" s="11">
        <v>45470</v>
      </c>
      <c r="EL118" s="12">
        <v>0.12</v>
      </c>
      <c r="EM118" s="12">
        <v>-4.9400000000000004</v>
      </c>
      <c r="EN118" s="12">
        <v>1.39</v>
      </c>
      <c r="EO118" s="12">
        <v>2.75</v>
      </c>
      <c r="EP118" s="12">
        <v>-1.95</v>
      </c>
    </row>
    <row r="119" spans="1:146" ht="108" x14ac:dyDescent="0.25">
      <c r="A119" s="6"/>
      <c r="B119" s="6"/>
      <c r="C119" s="6" t="str">
        <f>""&amp;CHAR(10)&amp;Basic_Fundamental_Information_Constructure(F119)&amp;CHAR(10)&amp;Basic_Fundamental_Information_Concatenate("")</f>
        <v xml:space="preserve">
市值35.074017亿, 利润6915.39万; PE14.1; 平均PE39.74; 平均PEG1.94, PB2.44; ROIC13.4933%; ROE13.6533%; 股利率3.536%; 毛利51.6667%; 净利12.7033%; 上一年度营收增26.66%, 利润增-60.93%; 当季营收增-20.7%, 利润增452.73%; 过往5年营收增20.47%, 利润增13.71%
Income profile:
</v>
      </c>
      <c r="D119" t="s">
        <v>112</v>
      </c>
      <c r="E119" t="s">
        <v>9</v>
      </c>
      <c r="F119">
        <v>8.06</v>
      </c>
      <c r="G119">
        <v>4.95</v>
      </c>
      <c r="H119" t="s">
        <v>4524</v>
      </c>
      <c r="I119">
        <v>3507401700</v>
      </c>
      <c r="J119">
        <v>14.1</v>
      </c>
      <c r="K119">
        <v>2.44</v>
      </c>
      <c r="L119" t="s">
        <v>100</v>
      </c>
      <c r="M119" t="s">
        <v>330</v>
      </c>
      <c r="N119" t="s">
        <v>4525</v>
      </c>
      <c r="O119" t="s">
        <v>498</v>
      </c>
      <c r="P119">
        <v>-9.2899999999999991</v>
      </c>
      <c r="Q119" t="s">
        <v>4526</v>
      </c>
      <c r="R119">
        <v>94914704</v>
      </c>
      <c r="S119" s="5">
        <v>0.57540000000000002</v>
      </c>
      <c r="T119" t="s">
        <v>4527</v>
      </c>
      <c r="U119">
        <v>435161500</v>
      </c>
      <c r="V119">
        <v>435161500</v>
      </c>
      <c r="W119">
        <v>1.32</v>
      </c>
      <c r="X119">
        <v>0.17</v>
      </c>
      <c r="Y119">
        <v>29.86</v>
      </c>
      <c r="Z119" t="s">
        <v>1812</v>
      </c>
      <c r="AA119" t="s">
        <v>360</v>
      </c>
      <c r="AB119" t="s">
        <v>4528</v>
      </c>
      <c r="AC119" t="s">
        <v>4529</v>
      </c>
      <c r="AD119" t="s">
        <v>81</v>
      </c>
      <c r="AE119">
        <v>-844591</v>
      </c>
      <c r="AF119" t="s">
        <v>2867</v>
      </c>
      <c r="AG119" t="s">
        <v>4530</v>
      </c>
      <c r="AH119" t="s">
        <v>2868</v>
      </c>
      <c r="AI119" t="s">
        <v>913</v>
      </c>
      <c r="AJ119" t="s">
        <v>2869</v>
      </c>
      <c r="AK119" t="s">
        <v>81</v>
      </c>
      <c r="AL119" t="s">
        <v>2870</v>
      </c>
      <c r="AM119" t="s">
        <v>81</v>
      </c>
      <c r="AN119" t="s">
        <v>4531</v>
      </c>
      <c r="AO119" t="s">
        <v>81</v>
      </c>
      <c r="AP119" t="s">
        <v>81</v>
      </c>
      <c r="AQ119" t="s">
        <v>357</v>
      </c>
      <c r="AR119" t="s">
        <v>4532</v>
      </c>
      <c r="AS119" t="s">
        <v>466</v>
      </c>
      <c r="AT119" t="s">
        <v>81</v>
      </c>
      <c r="AU119" t="s">
        <v>435</v>
      </c>
      <c r="AV119" t="s">
        <v>4533</v>
      </c>
      <c r="AW119" t="s">
        <v>4534</v>
      </c>
      <c r="AX119" t="s">
        <v>1491</v>
      </c>
      <c r="AY119" t="s">
        <v>1305</v>
      </c>
      <c r="AZ119" t="s">
        <v>449</v>
      </c>
      <c r="BA119" t="s">
        <v>756</v>
      </c>
      <c r="BB119" t="s">
        <v>457</v>
      </c>
      <c r="BC119" t="s">
        <v>343</v>
      </c>
      <c r="BD119" t="s">
        <v>1306</v>
      </c>
      <c r="BE119" t="s">
        <v>992</v>
      </c>
      <c r="BF119" t="s">
        <v>993</v>
      </c>
      <c r="BG119" t="s">
        <v>994</v>
      </c>
      <c r="BH119" t="s">
        <v>2866</v>
      </c>
      <c r="BI119" t="s">
        <v>1492</v>
      </c>
      <c r="BJ119" t="s">
        <v>1491</v>
      </c>
      <c r="BK119" t="s">
        <v>1481</v>
      </c>
      <c r="BL119" t="s">
        <v>4535</v>
      </c>
      <c r="BM119" t="s">
        <v>343</v>
      </c>
      <c r="BN119">
        <v>16.12</v>
      </c>
      <c r="BO119">
        <v>15.17</v>
      </c>
      <c r="BP119">
        <v>9.19</v>
      </c>
      <c r="BQ119">
        <v>15.97</v>
      </c>
      <c r="BR119">
        <v>15.55</v>
      </c>
      <c r="BS119">
        <v>9.44</v>
      </c>
      <c r="BT119" t="s">
        <v>2871</v>
      </c>
      <c r="BU119" t="s">
        <v>1354</v>
      </c>
      <c r="BV119">
        <v>50.81</v>
      </c>
      <c r="BW119">
        <v>52.6</v>
      </c>
      <c r="BX119">
        <v>51.59</v>
      </c>
      <c r="BY119">
        <v>16.18</v>
      </c>
      <c r="BZ119">
        <v>12.65</v>
      </c>
      <c r="CA119">
        <v>9.2799999999999994</v>
      </c>
      <c r="CB119">
        <v>4.34</v>
      </c>
      <c r="CC119">
        <v>-8.25</v>
      </c>
      <c r="CD119" t="s">
        <v>4536</v>
      </c>
      <c r="CE119" t="s">
        <v>4537</v>
      </c>
      <c r="CF119" s="7">
        <v>-0.20698254364089774</v>
      </c>
      <c r="CG119" s="8">
        <v>4.5272946657349173</v>
      </c>
      <c r="CH119" s="7">
        <v>0.26661896705627441</v>
      </c>
      <c r="CI119" s="7">
        <v>0.35299813747406006</v>
      </c>
      <c r="CJ119" s="7">
        <v>0.44413408637046814</v>
      </c>
      <c r="CK119" s="7">
        <v>-3.3738192170858383E-2</v>
      </c>
      <c r="CL119" s="7">
        <v>-6.7024128511548042E-3</v>
      </c>
      <c r="CM119" s="8">
        <v>-0.60929995775222778</v>
      </c>
      <c r="CN119" s="8">
        <v>0.84545886516571045</v>
      </c>
      <c r="CO119" s="8">
        <v>0.64161628484725952</v>
      </c>
      <c r="CP119" s="8">
        <v>4.9337439239025116E-2</v>
      </c>
      <c r="CQ119" s="8">
        <v>-0.24181774258613586</v>
      </c>
      <c r="CR119">
        <v>39.736161486848182</v>
      </c>
      <c r="CS119">
        <v>1.9415494198530117</v>
      </c>
      <c r="CT119">
        <v>3.5359801488833744</v>
      </c>
      <c r="CU119" s="7">
        <v>0.20466211717575788</v>
      </c>
      <c r="CV119" s="8">
        <v>0.1370589777827263</v>
      </c>
      <c r="CW119">
        <v>0.06</v>
      </c>
      <c r="CX119">
        <v>31.929647366507997</v>
      </c>
      <c r="CY119">
        <v>78591588.287698716</v>
      </c>
      <c r="CZ119">
        <v>0.20466211717575788</v>
      </c>
      <c r="DA119">
        <v>9.4811703390249047</v>
      </c>
      <c r="DB119">
        <v>264672145.97666228</v>
      </c>
      <c r="DC119">
        <v>0.19442901131696999</v>
      </c>
      <c r="DD119">
        <v>4.0849143043157206</v>
      </c>
      <c r="DE119">
        <v>614309508.85525596</v>
      </c>
      <c r="DF119">
        <v>0.18010266311466694</v>
      </c>
      <c r="DG119">
        <v>2.0953045737784208</v>
      </c>
      <c r="DH119">
        <v>1197630994.2734704</v>
      </c>
      <c r="DI119">
        <v>0.16372969374060631</v>
      </c>
      <c r="DJ119">
        <v>0.74709302007810829</v>
      </c>
      <c r="DK119">
        <v>3358887892.8860064</v>
      </c>
      <c r="DL119">
        <v>0.14326348202303052</v>
      </c>
      <c r="DM119">
        <v>69153900</v>
      </c>
      <c r="DN119">
        <v>0.20466211717575788</v>
      </c>
      <c r="DO119">
        <v>2509401700</v>
      </c>
      <c r="DP119">
        <v>913520400</v>
      </c>
      <c r="DQ119">
        <v>4246</v>
      </c>
      <c r="DR119">
        <v>-0.41164466081665563</v>
      </c>
      <c r="DS119">
        <v>4.3902356879521909</v>
      </c>
      <c r="DT119" s="9">
        <v>1.0000000000000011E-2</v>
      </c>
      <c r="DU119">
        <v>0.57333333333333336</v>
      </c>
      <c r="DV119">
        <v>0.58333333333333337</v>
      </c>
      <c r="DW119">
        <v>6.3447180301826851</v>
      </c>
      <c r="DX119">
        <v>0.50779748293484417</v>
      </c>
      <c r="DY119">
        <v>6.0888674405033534</v>
      </c>
      <c r="DZ119">
        <v>1983</v>
      </c>
      <c r="EA119">
        <v>6.0543813085037153</v>
      </c>
      <c r="EB119">
        <v>6</v>
      </c>
      <c r="EC119">
        <v>4.8757300450522394E-2</v>
      </c>
      <c r="ED119">
        <v>0.18913024245021676</v>
      </c>
      <c r="EE119" s="10">
        <v>-1.0719099999999999</v>
      </c>
      <c r="EF119">
        <v>-1.0940099999999999</v>
      </c>
      <c r="EG119">
        <v>25.257797482934844</v>
      </c>
      <c r="EH119" t="s">
        <v>1365</v>
      </c>
      <c r="EI119">
        <v>0</v>
      </c>
      <c r="EJ119">
        <v>0</v>
      </c>
      <c r="EK119" s="11">
        <v>45470</v>
      </c>
      <c r="EL119" s="12">
        <v>0.09</v>
      </c>
      <c r="EM119" s="12">
        <v>-1.65</v>
      </c>
      <c r="EN119" s="12">
        <v>0</v>
      </c>
      <c r="EO119" s="12">
        <v>3.89</v>
      </c>
      <c r="EP119" s="12">
        <v>-2.21</v>
      </c>
    </row>
    <row r="120" spans="1:146" ht="108" x14ac:dyDescent="0.25">
      <c r="A120" s="6"/>
      <c r="B120" s="6"/>
      <c r="C120" s="6" t="str">
        <f>""&amp;CHAR(10)&amp;Basic_Fundamental_Information_Constructure(F120)&amp;CHAR(10)&amp;Basic_Fundamental_Information_Concatenate("")</f>
        <v xml:space="preserve">
市值190.80644亿, 利润1.36亿; PE; 平均PE27.77; 平均PEG.3, PB3.22; ROIC12.4%; ROE18.9467%; 股利率.8467%; 毛利52.4967%; 净利17.7667%; 上一年度营收增378.4%, 利润增-87.53%; 当季营收增-79.54%, 利润增29.34%; 过往5年营收增93.78%, 利润增4.49%
Income profile:
</v>
      </c>
      <c r="D120" t="s">
        <v>124</v>
      </c>
      <c r="E120" t="s">
        <v>61</v>
      </c>
      <c r="F120">
        <v>11.81</v>
      </c>
      <c r="G120">
        <v>5.07</v>
      </c>
      <c r="H120" t="s">
        <v>4538</v>
      </c>
      <c r="I120">
        <v>19080644000</v>
      </c>
      <c r="K120">
        <v>3.22</v>
      </c>
      <c r="L120" t="s">
        <v>100</v>
      </c>
      <c r="M120" t="s">
        <v>2872</v>
      </c>
      <c r="N120" t="s">
        <v>4539</v>
      </c>
      <c r="O120" t="s">
        <v>2873</v>
      </c>
      <c r="P120">
        <v>-23.19</v>
      </c>
      <c r="Q120" t="s">
        <v>4540</v>
      </c>
      <c r="R120">
        <v>177190310</v>
      </c>
      <c r="S120" s="5">
        <v>-0.46679999999999999</v>
      </c>
      <c r="T120" t="s">
        <v>306</v>
      </c>
      <c r="U120">
        <v>1615634500</v>
      </c>
      <c r="V120">
        <v>1615634500</v>
      </c>
      <c r="W120">
        <v>1.61</v>
      </c>
      <c r="X120">
        <v>0.1</v>
      </c>
      <c r="Y120">
        <v>17.64</v>
      </c>
      <c r="Z120" t="s">
        <v>2425</v>
      </c>
      <c r="AA120" t="s">
        <v>4541</v>
      </c>
      <c r="AB120" t="s">
        <v>4542</v>
      </c>
      <c r="AC120" t="s">
        <v>4543</v>
      </c>
      <c r="AD120" t="s">
        <v>81</v>
      </c>
      <c r="AE120">
        <v>5594473</v>
      </c>
      <c r="AF120" t="s">
        <v>2875</v>
      </c>
      <c r="AG120" t="s">
        <v>4544</v>
      </c>
      <c r="AH120" t="s">
        <v>2876</v>
      </c>
      <c r="AI120" t="s">
        <v>2468</v>
      </c>
      <c r="AJ120" t="s">
        <v>2877</v>
      </c>
      <c r="AK120" t="s">
        <v>4545</v>
      </c>
      <c r="AL120" t="s">
        <v>2878</v>
      </c>
      <c r="AM120" t="s">
        <v>81</v>
      </c>
      <c r="AN120" t="s">
        <v>4546</v>
      </c>
      <c r="AO120" t="s">
        <v>4547</v>
      </c>
      <c r="AP120" t="s">
        <v>81</v>
      </c>
      <c r="AQ120" t="s">
        <v>2002</v>
      </c>
      <c r="AR120" t="s">
        <v>81</v>
      </c>
      <c r="AS120" t="s">
        <v>4548</v>
      </c>
      <c r="AT120" t="s">
        <v>81</v>
      </c>
      <c r="AU120" t="s">
        <v>3083</v>
      </c>
      <c r="AV120" t="s">
        <v>4549</v>
      </c>
      <c r="AW120" t="s">
        <v>1618</v>
      </c>
      <c r="AX120" t="s">
        <v>1772</v>
      </c>
      <c r="AY120" t="s">
        <v>1068</v>
      </c>
      <c r="AZ120" t="s">
        <v>995</v>
      </c>
      <c r="BA120" t="s">
        <v>997</v>
      </c>
      <c r="BB120" t="s">
        <v>998</v>
      </c>
      <c r="BC120" t="s">
        <v>1773</v>
      </c>
      <c r="BD120" t="s">
        <v>704</v>
      </c>
      <c r="BE120" t="s">
        <v>996</v>
      </c>
      <c r="BF120" t="s">
        <v>656</v>
      </c>
      <c r="BG120" t="s">
        <v>946</v>
      </c>
      <c r="BH120" t="s">
        <v>1997</v>
      </c>
      <c r="BI120" t="s">
        <v>4550</v>
      </c>
      <c r="BJ120" t="s">
        <v>1772</v>
      </c>
      <c r="BK120" t="s">
        <v>2874</v>
      </c>
      <c r="BL120" t="s">
        <v>93</v>
      </c>
      <c r="BM120" t="s">
        <v>1773</v>
      </c>
      <c r="BN120">
        <v>8.1300000000000008</v>
      </c>
      <c r="BO120">
        <v>13.38</v>
      </c>
      <c r="BP120">
        <v>15.69</v>
      </c>
      <c r="BQ120">
        <v>12.73</v>
      </c>
      <c r="BR120">
        <v>18.82</v>
      </c>
      <c r="BS120">
        <v>25.29</v>
      </c>
      <c r="BT120" t="s">
        <v>1525</v>
      </c>
      <c r="BU120" t="s">
        <v>1354</v>
      </c>
      <c r="BV120">
        <v>48.4</v>
      </c>
      <c r="BW120">
        <v>52.38</v>
      </c>
      <c r="BX120">
        <v>56.71</v>
      </c>
      <c r="BY120">
        <v>-4.82</v>
      </c>
      <c r="BZ120">
        <v>29.26</v>
      </c>
      <c r="CA120">
        <v>28.86</v>
      </c>
      <c r="CB120">
        <v>-0.59</v>
      </c>
      <c r="CC120">
        <v>-13.92</v>
      </c>
      <c r="CD120" t="s">
        <v>4551</v>
      </c>
      <c r="CE120" t="s">
        <v>252</v>
      </c>
      <c r="CF120" s="7">
        <v>-0.7954360228198859</v>
      </c>
      <c r="CG120" s="8">
        <v>0.29335992700729929</v>
      </c>
      <c r="CH120" s="7">
        <v>3.7840025424957275</v>
      </c>
      <c r="CI120" s="7">
        <v>7.0517687126994133E-3</v>
      </c>
      <c r="CJ120" s="7">
        <v>0.26483705639839172</v>
      </c>
      <c r="CK120" s="7">
        <v>0.18016190826892853</v>
      </c>
      <c r="CL120" s="7">
        <v>0.45294123888015747</v>
      </c>
      <c r="CM120" s="8">
        <v>-0.87534373998641968</v>
      </c>
      <c r="CN120" s="8">
        <v>3.021724708378315E-2</v>
      </c>
      <c r="CO120" s="8">
        <v>0.31389579176902771</v>
      </c>
      <c r="CP120" s="8">
        <v>0.33223140239715576</v>
      </c>
      <c r="CQ120" s="8">
        <v>0.42352941632270813</v>
      </c>
      <c r="CR120">
        <v>27.773863173216885</v>
      </c>
      <c r="CS120">
        <v>0.29616011583949048</v>
      </c>
      <c r="CT120">
        <v>0.84674005080440307</v>
      </c>
      <c r="CU120" s="7">
        <v>0.93779890295118096</v>
      </c>
      <c r="CV120" s="8">
        <v>4.4906023517251016E-2</v>
      </c>
      <c r="CW120">
        <v>0.06</v>
      </c>
      <c r="CX120">
        <v>67.68330648710652</v>
      </c>
      <c r="CY120">
        <v>248623255.47298166</v>
      </c>
      <c r="CZ120">
        <v>0.93779890295118096</v>
      </c>
      <c r="DA120">
        <v>11.625985001350157</v>
      </c>
      <c r="DB120">
        <v>1447416627.3262661</v>
      </c>
      <c r="DC120">
        <v>0.89090895780362189</v>
      </c>
      <c r="DD120">
        <v>2.0693776695616073</v>
      </c>
      <c r="DE120">
        <v>8131741367.2318668</v>
      </c>
      <c r="DF120">
        <v>0.8252630345970392</v>
      </c>
      <c r="DG120">
        <v>0.3261100228843446</v>
      </c>
      <c r="DH120">
        <v>51601124832.547539</v>
      </c>
      <c r="DI120">
        <v>0.75023912236094481</v>
      </c>
      <c r="DJ120">
        <v>5.9080515686456038E-3</v>
      </c>
      <c r="DK120">
        <v>2848256113623.8809</v>
      </c>
      <c r="DL120">
        <v>0.65645923206582668</v>
      </c>
      <c r="DM120">
        <v>136000000</v>
      </c>
      <c r="DN120">
        <v>0.93779890295118096</v>
      </c>
      <c r="DO120">
        <v>16827644000</v>
      </c>
      <c r="DP120">
        <v>4390704500</v>
      </c>
      <c r="DQ120">
        <v>4269</v>
      </c>
      <c r="DR120">
        <v>-1.7332349257710669</v>
      </c>
      <c r="DS120">
        <v>0.24845390349004828</v>
      </c>
      <c r="DT120" s="9">
        <v>0.20999999999999988</v>
      </c>
      <c r="DU120">
        <v>1.6666666666666607E-2</v>
      </c>
      <c r="DV120">
        <v>0.22666666666666649</v>
      </c>
      <c r="DW120">
        <v>-2.1391999999999998</v>
      </c>
      <c r="DX120">
        <v>0.41709333333333376</v>
      </c>
      <c r="DY120">
        <v>-2.0232593919999999</v>
      </c>
      <c r="DZ120">
        <v>2656</v>
      </c>
      <c r="EA120">
        <v>-2.0111699702481407</v>
      </c>
      <c r="EB120">
        <v>2</v>
      </c>
      <c r="EC120">
        <v>1.8616091696482095E-2</v>
      </c>
      <c r="ED120">
        <v>0.11141133715577378</v>
      </c>
      <c r="EE120" s="10">
        <v>1.1213</v>
      </c>
      <c r="EF120">
        <v>1.1044</v>
      </c>
      <c r="EG120">
        <v>25.167093333333334</v>
      </c>
      <c r="EH120" t="s">
        <v>1364</v>
      </c>
      <c r="EI120">
        <v>0</v>
      </c>
      <c r="EJ120">
        <v>0</v>
      </c>
      <c r="EK120" s="11">
        <v>45470</v>
      </c>
      <c r="EL120" s="12">
        <v>-1.88</v>
      </c>
      <c r="EM120" s="12">
        <v>-1.84</v>
      </c>
      <c r="EN120" s="12">
        <v>3.5</v>
      </c>
      <c r="EO120" s="12">
        <v>0</v>
      </c>
      <c r="EP120" s="12">
        <v>-1.69</v>
      </c>
    </row>
    <row r="121" spans="1:146" ht="108" x14ac:dyDescent="0.25">
      <c r="A121" s="6"/>
      <c r="B121" s="6"/>
      <c r="C121" s="6" t="str">
        <f>""&amp;CHAR(10)&amp;Basic_Fundamental_Information_Constructure(F121)&amp;CHAR(10)&amp;Basic_Fundamental_Information_Concatenate("")</f>
        <v xml:space="preserve">
市值20.620172亿, 利润-791.27万; PE13.23; 平均PE17.23; 平均PEG10.24, PB1.68; ROIC12.08%; ROE14.7667%; 股利率3.1746%; 毛利68.2833%; 净利24.47%; 上一年度营收增-30.38%, 利润增-104.88%; 当季营收增33.04%, 利润增638.15%; 过往5年营收增-1.68%, 利润增-9.08%
Income profile:
</v>
      </c>
      <c r="D121" t="s">
        <v>169</v>
      </c>
      <c r="E121" t="s">
        <v>47</v>
      </c>
      <c r="F121">
        <v>6.3</v>
      </c>
      <c r="G121">
        <v>3.45</v>
      </c>
      <c r="H121" t="s">
        <v>4552</v>
      </c>
      <c r="I121">
        <v>2062017200</v>
      </c>
      <c r="J121">
        <v>13.23</v>
      </c>
      <c r="K121">
        <v>1.68</v>
      </c>
      <c r="L121" t="s">
        <v>100</v>
      </c>
      <c r="M121" t="s">
        <v>2508</v>
      </c>
      <c r="N121" t="s">
        <v>4553</v>
      </c>
      <c r="O121" t="s">
        <v>320</v>
      </c>
      <c r="P121">
        <v>3.54</v>
      </c>
      <c r="Q121" t="s">
        <v>1086</v>
      </c>
      <c r="R121">
        <v>32684974</v>
      </c>
      <c r="S121" s="5">
        <v>-0.1777</v>
      </c>
      <c r="T121" t="s">
        <v>4554</v>
      </c>
      <c r="U121">
        <v>327304320</v>
      </c>
      <c r="V121">
        <v>327304320</v>
      </c>
      <c r="W121">
        <v>1.53</v>
      </c>
      <c r="X121">
        <v>0.08</v>
      </c>
      <c r="Y121">
        <v>21.38</v>
      </c>
      <c r="Z121" t="s">
        <v>271</v>
      </c>
      <c r="AA121" t="s">
        <v>4555</v>
      </c>
      <c r="AB121" t="s">
        <v>4556</v>
      </c>
      <c r="AC121" t="s">
        <v>4557</v>
      </c>
      <c r="AD121" t="s">
        <v>81</v>
      </c>
      <c r="AE121">
        <v>1541872</v>
      </c>
      <c r="AF121" t="s">
        <v>2881</v>
      </c>
      <c r="AG121" t="s">
        <v>4558</v>
      </c>
      <c r="AH121" t="s">
        <v>2882</v>
      </c>
      <c r="AI121" t="s">
        <v>346</v>
      </c>
      <c r="AJ121" t="s">
        <v>2883</v>
      </c>
      <c r="AK121" t="s">
        <v>81</v>
      </c>
      <c r="AL121" t="s">
        <v>2884</v>
      </c>
      <c r="AM121" t="s">
        <v>81</v>
      </c>
      <c r="AN121" t="s">
        <v>4559</v>
      </c>
      <c r="AO121" t="s">
        <v>393</v>
      </c>
      <c r="AP121" t="s">
        <v>81</v>
      </c>
      <c r="AQ121" t="s">
        <v>4560</v>
      </c>
      <c r="AR121" t="s">
        <v>81</v>
      </c>
      <c r="AS121" t="s">
        <v>732</v>
      </c>
      <c r="AT121" t="s">
        <v>1901</v>
      </c>
      <c r="AU121" t="s">
        <v>4561</v>
      </c>
      <c r="AV121" t="s">
        <v>4562</v>
      </c>
      <c r="AW121" t="s">
        <v>4563</v>
      </c>
      <c r="AX121" t="s">
        <v>1776</v>
      </c>
      <c r="AY121" t="s">
        <v>979</v>
      </c>
      <c r="AZ121" t="s">
        <v>1000</v>
      </c>
      <c r="BA121" t="s">
        <v>421</v>
      </c>
      <c r="BB121" t="s">
        <v>602</v>
      </c>
      <c r="BC121" t="s">
        <v>592</v>
      </c>
      <c r="BD121" t="s">
        <v>350</v>
      </c>
      <c r="BE121" t="s">
        <v>396</v>
      </c>
      <c r="BF121" t="s">
        <v>277</v>
      </c>
      <c r="BG121" t="s">
        <v>1003</v>
      </c>
      <c r="BH121" t="s">
        <v>2880</v>
      </c>
      <c r="BI121" t="s">
        <v>291</v>
      </c>
      <c r="BJ121" t="s">
        <v>1776</v>
      </c>
      <c r="BK121" t="s">
        <v>373</v>
      </c>
      <c r="BL121" t="s">
        <v>4564</v>
      </c>
      <c r="BM121" t="s">
        <v>592</v>
      </c>
      <c r="BN121">
        <v>7.46</v>
      </c>
      <c r="BO121">
        <v>12.61</v>
      </c>
      <c r="BP121">
        <v>16.170000000000002</v>
      </c>
      <c r="BQ121">
        <v>10.18</v>
      </c>
      <c r="BR121">
        <v>15.66</v>
      </c>
      <c r="BS121">
        <v>18.46</v>
      </c>
      <c r="BT121" t="s">
        <v>1539</v>
      </c>
      <c r="BU121" t="s">
        <v>1354</v>
      </c>
      <c r="BV121">
        <v>64.180000000000007</v>
      </c>
      <c r="BW121">
        <v>68.42</v>
      </c>
      <c r="BX121">
        <v>72.25</v>
      </c>
      <c r="BY121">
        <v>24.13</v>
      </c>
      <c r="BZ121">
        <v>24.61</v>
      </c>
      <c r="CA121">
        <v>24.67</v>
      </c>
      <c r="CB121">
        <v>0.8</v>
      </c>
      <c r="CC121">
        <v>-17.21</v>
      </c>
      <c r="CD121" t="s">
        <v>4565</v>
      </c>
      <c r="CE121" t="s">
        <v>370</v>
      </c>
      <c r="CF121" s="7">
        <v>0.3304347826086958</v>
      </c>
      <c r="CG121" s="8">
        <v>6.3814828108535302</v>
      </c>
      <c r="CH121" s="7">
        <v>-0.30381679534912109</v>
      </c>
      <c r="CI121" s="7">
        <v>-5.6195966899394989E-2</v>
      </c>
      <c r="CJ121" s="7">
        <v>-8.4432721138000488E-2</v>
      </c>
      <c r="CK121" s="7">
        <v>0.11306901276111603</v>
      </c>
      <c r="CL121" s="7">
        <v>0.24725274741649628</v>
      </c>
      <c r="CM121" s="8">
        <v>-1.0488438606262207</v>
      </c>
      <c r="CN121" s="8">
        <v>-5.2631579339504242E-2</v>
      </c>
      <c r="CO121" s="8">
        <v>3.6363635212182999E-2</v>
      </c>
      <c r="CP121" s="8">
        <v>0.25954198837280273</v>
      </c>
      <c r="CQ121" s="8">
        <v>0.35174736380577087</v>
      </c>
      <c r="CR121">
        <v>17.231367903209879</v>
      </c>
      <c r="CS121">
        <v>10.241681683785714</v>
      </c>
      <c r="CT121">
        <v>3.1746031746031749</v>
      </c>
      <c r="CU121" s="7">
        <v>-1.6824744641780853E-2</v>
      </c>
      <c r="CV121" s="8">
        <v>-9.0764490514993662E-2</v>
      </c>
      <c r="CW121">
        <v>0.06</v>
      </c>
      <c r="CX121" t="e">
        <v>#VALUE!</v>
      </c>
      <c r="CY121" t="s">
        <v>1362</v>
      </c>
      <c r="CZ121">
        <v>-1.6824744641780853E-2</v>
      </c>
      <c r="DA121" t="e">
        <v>#VALUE!</v>
      </c>
      <c r="DB121" t="s">
        <v>1362</v>
      </c>
      <c r="DC121">
        <v>-1.5983507409691809E-2</v>
      </c>
      <c r="DD121" t="e">
        <v>#VALUE!</v>
      </c>
      <c r="DE121" t="s">
        <v>1362</v>
      </c>
      <c r="DF121">
        <v>-1.4805775284767151E-2</v>
      </c>
      <c r="DG121" t="e">
        <v>#VALUE!</v>
      </c>
      <c r="DH121" t="s">
        <v>1362</v>
      </c>
      <c r="DI121">
        <v>-1.3459795713424684E-2</v>
      </c>
      <c r="DJ121" t="e">
        <v>#VALUE!</v>
      </c>
      <c r="DK121" t="s">
        <v>1362</v>
      </c>
      <c r="DL121">
        <v>-1.1777321249246596E-2</v>
      </c>
      <c r="DM121">
        <v>-7912700</v>
      </c>
      <c r="DN121">
        <v>-1.6824744641780853E-2</v>
      </c>
      <c r="DO121">
        <v>1529017200</v>
      </c>
      <c r="DP121">
        <v>200204350</v>
      </c>
      <c r="DQ121">
        <v>4318</v>
      </c>
      <c r="DR121">
        <v>0.34725952725047665</v>
      </c>
      <c r="DS121">
        <v>6.4722473013685242</v>
      </c>
      <c r="DT121" s="9">
        <v>-0.50666666666666671</v>
      </c>
      <c r="DU121">
        <v>-0.53333333333333333</v>
      </c>
      <c r="DV121">
        <v>-1.04</v>
      </c>
      <c r="DW121">
        <v>-3.0136845238095238</v>
      </c>
      <c r="DX121">
        <v>0.52099262295081672</v>
      </c>
      <c r="DY121">
        <v>-3.002066262143833</v>
      </c>
      <c r="DZ121">
        <v>4399</v>
      </c>
      <c r="EA121">
        <v>-3.0002874975311675</v>
      </c>
      <c r="EB121">
        <v>3</v>
      </c>
      <c r="EC121">
        <v>5.6281261426674722E-2</v>
      </c>
      <c r="ED121">
        <v>0.37274179576975947</v>
      </c>
      <c r="EE121" s="10">
        <v>-3.0518999999999998</v>
      </c>
      <c r="EF121">
        <v>-3.0213000000000001</v>
      </c>
      <c r="EG121">
        <v>37.150992622950817</v>
      </c>
      <c r="EH121" t="s">
        <v>2069</v>
      </c>
      <c r="EI121">
        <v>0</v>
      </c>
      <c r="EJ121">
        <v>0</v>
      </c>
      <c r="EK121" s="11">
        <v>45470</v>
      </c>
      <c r="EL121" s="12">
        <v>-1.1299999999999999</v>
      </c>
      <c r="EM121" s="12">
        <v>-4.9000000000000004</v>
      </c>
      <c r="EN121" s="12">
        <v>1.97</v>
      </c>
      <c r="EO121" s="12">
        <v>5.16</v>
      </c>
      <c r="EP121" s="12">
        <v>-3.06</v>
      </c>
    </row>
    <row r="122" spans="1:146" ht="108" x14ac:dyDescent="0.25">
      <c r="A122" s="6"/>
      <c r="B122" s="6"/>
      <c r="C122" s="6" t="str">
        <f>""&amp;CHAR(10)&amp;Basic_Fundamental_Information_Constructure(F122)&amp;CHAR(10)&amp;Basic_Fundamental_Information_Concatenate("")</f>
        <v xml:space="preserve">
市值108.738402亿, 利润17.91亿; PE33.38; 平均PE24.61; 平均PEG.17, PB5.29; ROIC12.2133%; ROE12.7233%; 股利率.8218%; 毛利52.2233%; 净利21.5%; 上一年度营收增642.06%, 利润增748.82%; 当季营收增-83.88%, 利润增-86.05%; 过往5年营收增140.81%, 利润增160.3%
Income profile:
</v>
      </c>
      <c r="D122" t="s">
        <v>504</v>
      </c>
      <c r="E122" t="s">
        <v>505</v>
      </c>
      <c r="F122">
        <v>26.77</v>
      </c>
      <c r="G122">
        <v>8.1199999999999992</v>
      </c>
      <c r="H122" t="s">
        <v>4566</v>
      </c>
      <c r="I122">
        <v>10873840200</v>
      </c>
      <c r="J122">
        <v>33.380000000000003</v>
      </c>
      <c r="K122">
        <v>5.29</v>
      </c>
      <c r="L122" t="s">
        <v>100</v>
      </c>
      <c r="M122" t="s">
        <v>969</v>
      </c>
      <c r="N122" t="s">
        <v>4567</v>
      </c>
      <c r="O122" t="s">
        <v>1372</v>
      </c>
      <c r="P122">
        <v>11.08</v>
      </c>
      <c r="Q122" t="s">
        <v>4568</v>
      </c>
      <c r="R122">
        <v>82184172</v>
      </c>
      <c r="S122" s="5">
        <v>0.79139999999999999</v>
      </c>
      <c r="T122" t="s">
        <v>4569</v>
      </c>
      <c r="U122">
        <v>395433000</v>
      </c>
      <c r="V122">
        <v>406195000</v>
      </c>
      <c r="W122">
        <v>1.31</v>
      </c>
      <c r="X122">
        <v>0.13</v>
      </c>
      <c r="Y122">
        <v>24.49</v>
      </c>
      <c r="Z122" t="s">
        <v>415</v>
      </c>
      <c r="AA122" t="s">
        <v>246</v>
      </c>
      <c r="AB122" t="s">
        <v>4570</v>
      </c>
      <c r="AC122" t="s">
        <v>4571</v>
      </c>
      <c r="AD122" t="s">
        <v>81</v>
      </c>
      <c r="AE122">
        <v>-11642387</v>
      </c>
      <c r="AF122" t="s">
        <v>2886</v>
      </c>
      <c r="AG122">
        <v>9235.4</v>
      </c>
      <c r="AH122" t="s">
        <v>2887</v>
      </c>
      <c r="AI122" t="s">
        <v>1210</v>
      </c>
      <c r="AJ122" t="s">
        <v>2888</v>
      </c>
      <c r="AK122" t="s">
        <v>81</v>
      </c>
      <c r="AL122" t="s">
        <v>2889</v>
      </c>
      <c r="AM122" t="s">
        <v>81</v>
      </c>
      <c r="AN122" t="s">
        <v>401</v>
      </c>
      <c r="AO122" t="s">
        <v>2890</v>
      </c>
      <c r="AP122" t="s">
        <v>298</v>
      </c>
      <c r="AQ122" t="s">
        <v>86</v>
      </c>
      <c r="AR122" t="s">
        <v>81</v>
      </c>
      <c r="AS122" t="s">
        <v>1069</v>
      </c>
      <c r="AT122" t="s">
        <v>4572</v>
      </c>
      <c r="AU122" t="s">
        <v>4573</v>
      </c>
      <c r="AV122" t="s">
        <v>2117</v>
      </c>
      <c r="AW122" t="s">
        <v>4574</v>
      </c>
      <c r="AX122" t="s">
        <v>358</v>
      </c>
      <c r="AY122" t="s">
        <v>1095</v>
      </c>
      <c r="AZ122" t="s">
        <v>496</v>
      </c>
      <c r="BA122" t="s">
        <v>250</v>
      </c>
      <c r="BB122" t="s">
        <v>657</v>
      </c>
      <c r="BC122" t="s">
        <v>400</v>
      </c>
      <c r="BD122" t="s">
        <v>387</v>
      </c>
      <c r="BE122" t="s">
        <v>86</v>
      </c>
      <c r="BF122" t="s">
        <v>242</v>
      </c>
      <c r="BG122" t="s">
        <v>93</v>
      </c>
      <c r="BH122" t="s">
        <v>2885</v>
      </c>
      <c r="BI122" t="s">
        <v>4575</v>
      </c>
      <c r="BJ122" t="s">
        <v>358</v>
      </c>
      <c r="BK122" t="s">
        <v>1371</v>
      </c>
      <c r="BL122" t="s">
        <v>4576</v>
      </c>
      <c r="BM122" t="s">
        <v>400</v>
      </c>
      <c r="BN122">
        <v>12.32</v>
      </c>
      <c r="BO122">
        <v>12.68</v>
      </c>
      <c r="BP122">
        <v>11.64</v>
      </c>
      <c r="BQ122">
        <v>13.14</v>
      </c>
      <c r="BR122">
        <v>13.34</v>
      </c>
      <c r="BS122">
        <v>11.69</v>
      </c>
      <c r="BT122" t="s">
        <v>1641</v>
      </c>
      <c r="BU122" t="s">
        <v>1353</v>
      </c>
      <c r="BV122">
        <v>55.92</v>
      </c>
      <c r="BW122">
        <v>51.62</v>
      </c>
      <c r="BX122">
        <v>49.13</v>
      </c>
      <c r="BY122">
        <v>22.9</v>
      </c>
      <c r="BZ122">
        <v>20.65</v>
      </c>
      <c r="CA122">
        <v>20.95</v>
      </c>
      <c r="CB122">
        <v>6.95</v>
      </c>
      <c r="CC122">
        <v>19.62</v>
      </c>
      <c r="CD122" t="s">
        <v>4577</v>
      </c>
      <c r="CE122" t="s">
        <v>4578</v>
      </c>
      <c r="CF122" s="7">
        <v>-0.83884892086330942</v>
      </c>
      <c r="CG122" s="8">
        <v>-0.86046829881154496</v>
      </c>
      <c r="CH122" s="7">
        <v>6.4206347465515137</v>
      </c>
      <c r="CI122" s="7">
        <v>0.25529265403747559</v>
      </c>
      <c r="CJ122" s="7">
        <v>0.11373092979192734</v>
      </c>
      <c r="CK122" s="7">
        <v>0.23883160948753357</v>
      </c>
      <c r="CL122" s="7">
        <v>1.2173913419246674E-2</v>
      </c>
      <c r="CM122" s="8">
        <v>7.4881515502929687</v>
      </c>
      <c r="CN122" s="8">
        <v>0.24852071702480316</v>
      </c>
      <c r="CO122" s="8">
        <v>7.6433122158050537E-2</v>
      </c>
      <c r="CP122" s="8">
        <v>-0.15591397881507874</v>
      </c>
      <c r="CQ122" s="8">
        <v>0.35766422748565674</v>
      </c>
      <c r="CR122">
        <v>24.610728479818938</v>
      </c>
      <c r="CS122">
        <v>0.17477562480366643</v>
      </c>
      <c r="CT122">
        <v>0.82181546507284287</v>
      </c>
      <c r="CU122" s="7">
        <v>1.4081327706575393</v>
      </c>
      <c r="CV122" s="8">
        <v>1.6029711276292802</v>
      </c>
      <c r="CW122">
        <v>0.06</v>
      </c>
      <c r="CX122">
        <v>2.3161024439273854</v>
      </c>
      <c r="CY122">
        <v>4068835653.0638232</v>
      </c>
      <c r="CZ122">
        <v>1.4081327706575393</v>
      </c>
      <c r="DA122">
        <v>0.2956746414244335</v>
      </c>
      <c r="DB122">
        <v>31872331541.859604</v>
      </c>
      <c r="DC122">
        <v>1.3377261321246623</v>
      </c>
      <c r="DD122">
        <v>3.154009490144432E-2</v>
      </c>
      <c r="DE122">
        <v>298789215106.90991</v>
      </c>
      <c r="DF122">
        <v>1.2391568381786346</v>
      </c>
      <c r="DG122">
        <v>2.5016852027149061E-3</v>
      </c>
      <c r="DH122">
        <v>3766996818693.6382</v>
      </c>
      <c r="DI122">
        <v>1.1265062165260316</v>
      </c>
      <c r="DJ122">
        <v>8.6609233277817623E-6</v>
      </c>
      <c r="DK122">
        <v>1088087244667207.6</v>
      </c>
      <c r="DL122">
        <v>0.98569293946027747</v>
      </c>
      <c r="DM122">
        <v>1791000000</v>
      </c>
      <c r="DN122">
        <v>1.4081327706575393</v>
      </c>
      <c r="DO122">
        <v>9423840200</v>
      </c>
      <c r="DP122">
        <v>864221900</v>
      </c>
      <c r="DQ122">
        <v>4460</v>
      </c>
      <c r="DR122">
        <v>-2.2469816915208485</v>
      </c>
      <c r="DS122">
        <v>-2.463439426440825</v>
      </c>
      <c r="DT122" s="9">
        <v>0.12666666666666662</v>
      </c>
      <c r="DU122">
        <v>-6.6666666666666714E-3</v>
      </c>
      <c r="DV122">
        <v>0.11999999999999995</v>
      </c>
      <c r="DW122">
        <v>9.3542303771661572</v>
      </c>
      <c r="DX122">
        <v>0.90211803905375831</v>
      </c>
      <c r="DY122">
        <v>9.0963924756077272</v>
      </c>
      <c r="DZ122">
        <v>256</v>
      </c>
      <c r="EA122">
        <v>9.0915634200782591</v>
      </c>
      <c r="EB122">
        <v>9</v>
      </c>
      <c r="EC122">
        <v>5.1591723187139185E-2</v>
      </c>
      <c r="ED122">
        <v>0.18959317569147824</v>
      </c>
      <c r="EE122" s="10">
        <v>-2.0243099999999998</v>
      </c>
      <c r="EF122">
        <v>-2.0255100000000001</v>
      </c>
      <c r="EG122">
        <v>63.272118039053758</v>
      </c>
      <c r="EH122" t="s">
        <v>1368</v>
      </c>
      <c r="EI122">
        <v>1</v>
      </c>
      <c r="EJ122">
        <v>1</v>
      </c>
      <c r="EK122" s="11">
        <v>45470</v>
      </c>
      <c r="EL122" s="12">
        <v>-2.5299999999999998</v>
      </c>
      <c r="EM122" s="12">
        <v>-2.04</v>
      </c>
      <c r="EN122" s="12">
        <v>-2.41</v>
      </c>
      <c r="EO122" s="12">
        <v>-1.26</v>
      </c>
      <c r="EP122" s="12">
        <v>-0.12</v>
      </c>
    </row>
    <row r="123" spans="1:146" ht="108" x14ac:dyDescent="0.25">
      <c r="A123" s="6"/>
      <c r="B123" s="6"/>
      <c r="C123" s="6" t="str">
        <f>""&amp;CHAR(10)&amp;Basic_Fundamental_Information_Constructure(F123)&amp;CHAR(10)&amp;Basic_Fundamental_Information_Concatenate("")</f>
        <v xml:space="preserve">
市值24.258855亿, 利润-2.07亿; PE19.87; 平均PE40.83; 平均PEG6.42, PB1.27; ROIC3.75%; ROE4.7733%; 股利率1.545%; 毛利25.8967%; 净利9.1367%; 上一年度营收增-82.8%, 利润增-299.04%; 当季营收增774.46%, 利润增152.76%; 过往5年营收增-6.36%, 利润增-53.03%
Income profile:
</v>
      </c>
      <c r="D123" t="s">
        <v>506</v>
      </c>
      <c r="E123" t="s">
        <v>1145</v>
      </c>
      <c r="F123">
        <v>21.14</v>
      </c>
      <c r="G123">
        <v>2.87</v>
      </c>
      <c r="H123" t="s">
        <v>4579</v>
      </c>
      <c r="I123">
        <v>2425885500</v>
      </c>
      <c r="J123">
        <v>19.87</v>
      </c>
      <c r="K123">
        <v>1.27</v>
      </c>
      <c r="L123" t="s">
        <v>100</v>
      </c>
      <c r="M123" t="s">
        <v>1288</v>
      </c>
      <c r="N123" t="s">
        <v>2891</v>
      </c>
      <c r="O123" t="s">
        <v>913</v>
      </c>
      <c r="P123">
        <v>-4.63</v>
      </c>
      <c r="Q123" t="s">
        <v>91</v>
      </c>
      <c r="R123">
        <v>24039198</v>
      </c>
      <c r="S123" s="5">
        <v>3.5299999999999998E-2</v>
      </c>
      <c r="T123" t="s">
        <v>2498</v>
      </c>
      <c r="U123">
        <v>114753335</v>
      </c>
      <c r="V123">
        <v>114753335</v>
      </c>
      <c r="W123">
        <v>1.68</v>
      </c>
      <c r="X123">
        <v>0.1</v>
      </c>
      <c r="Y123">
        <v>6.82</v>
      </c>
      <c r="Z123" t="s">
        <v>245</v>
      </c>
      <c r="AA123" t="s">
        <v>251</v>
      </c>
      <c r="AB123" t="s">
        <v>4580</v>
      </c>
      <c r="AC123" t="s">
        <v>4581</v>
      </c>
      <c r="AD123" t="s">
        <v>81</v>
      </c>
      <c r="AE123">
        <v>-1166034</v>
      </c>
      <c r="AF123" t="s">
        <v>2892</v>
      </c>
      <c r="AG123" t="s">
        <v>81</v>
      </c>
      <c r="AH123" t="s">
        <v>2893</v>
      </c>
      <c r="AI123" t="s">
        <v>2274</v>
      </c>
      <c r="AJ123" t="s">
        <v>2894</v>
      </c>
      <c r="AK123" t="s">
        <v>81</v>
      </c>
      <c r="AL123" t="s">
        <v>2895</v>
      </c>
      <c r="AM123" t="s">
        <v>81</v>
      </c>
      <c r="AN123" t="s">
        <v>2232</v>
      </c>
      <c r="AO123" t="s">
        <v>312</v>
      </c>
      <c r="AP123" t="s">
        <v>246</v>
      </c>
      <c r="AQ123" t="s">
        <v>441</v>
      </c>
      <c r="AR123" t="s">
        <v>81</v>
      </c>
      <c r="AS123" t="s">
        <v>399</v>
      </c>
      <c r="AT123" t="s">
        <v>4582</v>
      </c>
      <c r="AU123" t="s">
        <v>4583</v>
      </c>
      <c r="AV123" t="s">
        <v>4584</v>
      </c>
      <c r="AW123" t="s">
        <v>4585</v>
      </c>
      <c r="AX123" t="s">
        <v>985</v>
      </c>
      <c r="AY123" t="s">
        <v>667</v>
      </c>
      <c r="AZ123" t="s">
        <v>886</v>
      </c>
      <c r="BA123" t="s">
        <v>1006</v>
      </c>
      <c r="BB123" t="s">
        <v>877</v>
      </c>
      <c r="BC123" t="s">
        <v>364</v>
      </c>
      <c r="BD123" t="s">
        <v>1307</v>
      </c>
      <c r="BE123" t="s">
        <v>349</v>
      </c>
      <c r="BF123" t="s">
        <v>382</v>
      </c>
      <c r="BG123" t="s">
        <v>335</v>
      </c>
      <c r="BH123" t="s">
        <v>1983</v>
      </c>
      <c r="BI123" t="s">
        <v>4586</v>
      </c>
      <c r="BJ123" t="s">
        <v>985</v>
      </c>
      <c r="BK123" t="s">
        <v>595</v>
      </c>
      <c r="BL123" t="s">
        <v>4587</v>
      </c>
      <c r="BM123" t="s">
        <v>364</v>
      </c>
      <c r="BN123">
        <v>3.41</v>
      </c>
      <c r="BO123">
        <v>5.01</v>
      </c>
      <c r="BP123">
        <v>2.83</v>
      </c>
      <c r="BQ123">
        <v>4.58</v>
      </c>
      <c r="BR123">
        <v>5.8</v>
      </c>
      <c r="BS123">
        <v>3.94</v>
      </c>
      <c r="BT123" t="s">
        <v>4588</v>
      </c>
      <c r="BU123" t="s">
        <v>1353</v>
      </c>
      <c r="BV123">
        <v>26.64</v>
      </c>
      <c r="BW123">
        <v>22.82</v>
      </c>
      <c r="BX123">
        <v>28.23</v>
      </c>
      <c r="BY123">
        <v>8.94</v>
      </c>
      <c r="BZ123">
        <v>8.85</v>
      </c>
      <c r="CA123">
        <v>9.6199999999999992</v>
      </c>
      <c r="CB123">
        <v>-2.78</v>
      </c>
      <c r="CC123">
        <v>-14.63</v>
      </c>
      <c r="CD123" t="s">
        <v>4589</v>
      </c>
      <c r="CE123" t="s">
        <v>4590</v>
      </c>
      <c r="CF123" s="7">
        <v>7.7445934631067335</v>
      </c>
      <c r="CG123" s="8">
        <v>1.5275687574068384</v>
      </c>
      <c r="CH123" s="7">
        <v>-0.82796609401702881</v>
      </c>
      <c r="CI123" s="7">
        <v>0.65730339288711548</v>
      </c>
      <c r="CJ123" s="7">
        <v>-0.19274376332759857</v>
      </c>
      <c r="CK123" s="7">
        <v>-0.1072874516248703</v>
      </c>
      <c r="CL123" s="7">
        <v>0.15285880863666534</v>
      </c>
      <c r="CM123" s="8">
        <v>-2.990384578704834</v>
      </c>
      <c r="CN123" s="8">
        <v>0.51842337846755981</v>
      </c>
      <c r="CO123" s="8">
        <v>-0.39919215440750122</v>
      </c>
      <c r="CP123" s="8">
        <v>-0.3214285671710968</v>
      </c>
      <c r="CQ123" s="8">
        <v>0.54128438234329224</v>
      </c>
      <c r="CR123">
        <v>40.829272233522147</v>
      </c>
      <c r="CS123">
        <v>6.4230274247622869</v>
      </c>
      <c r="CT123">
        <v>1.5450331125827814</v>
      </c>
      <c r="CU123" s="7">
        <v>-6.3567021489143366E-2</v>
      </c>
      <c r="CV123" s="8">
        <v>-0.53025950789451604</v>
      </c>
      <c r="CW123">
        <v>0.06</v>
      </c>
      <c r="CX123" t="e">
        <v>#VALUE!</v>
      </c>
      <c r="CY123" t="s">
        <v>1362</v>
      </c>
      <c r="CZ123">
        <v>-6.3567021489143366E-2</v>
      </c>
      <c r="DA123" t="e">
        <v>#VALUE!</v>
      </c>
      <c r="DB123" t="s">
        <v>1362</v>
      </c>
      <c r="DC123">
        <v>-6.0388670414686194E-2</v>
      </c>
      <c r="DD123" t="e">
        <v>#VALUE!</v>
      </c>
      <c r="DE123" t="s">
        <v>1362</v>
      </c>
      <c r="DF123">
        <v>-5.5938978910446163E-2</v>
      </c>
      <c r="DG123" t="e">
        <v>#VALUE!</v>
      </c>
      <c r="DH123" t="s">
        <v>1362</v>
      </c>
      <c r="DI123">
        <v>-5.0853617191314697E-2</v>
      </c>
      <c r="DJ123" t="e">
        <v>#VALUE!</v>
      </c>
      <c r="DK123" t="s">
        <v>1362</v>
      </c>
      <c r="DL123">
        <v>-4.4496915042400352E-2</v>
      </c>
      <c r="DM123">
        <v>-206999999.99999997</v>
      </c>
      <c r="DN123">
        <v>-6.3567021489143366E-2</v>
      </c>
      <c r="DO123">
        <v>1738885500.0000002</v>
      </c>
      <c r="DP123">
        <v>964225600</v>
      </c>
      <c r="DQ123">
        <v>4477</v>
      </c>
      <c r="DR123">
        <v>7.8081604845958772</v>
      </c>
      <c r="DS123">
        <v>2.0578282653013544</v>
      </c>
      <c r="DT123" s="9">
        <v>-0.50666666666666671</v>
      </c>
      <c r="DU123">
        <v>-0.97000000000000008</v>
      </c>
      <c r="DV123">
        <v>-1.4766666666666668</v>
      </c>
      <c r="DW123">
        <v>-8.1900205058099793</v>
      </c>
      <c r="DX123">
        <v>0.37135022117681005</v>
      </c>
      <c r="DY123">
        <v>-8.0211588253500707</v>
      </c>
      <c r="DZ123">
        <v>4932</v>
      </c>
      <c r="EA123">
        <v>-8.0007370393174781</v>
      </c>
      <c r="EB123">
        <v>8</v>
      </c>
      <c r="EC123">
        <v>3.4900075017427597E-2</v>
      </c>
      <c r="ED123">
        <v>0.31342618495575747</v>
      </c>
      <c r="EE123" s="10">
        <v>1.024</v>
      </c>
      <c r="EF123">
        <v>1.1240999999999999</v>
      </c>
      <c r="EG123">
        <v>26.11135022117681</v>
      </c>
      <c r="EH123" t="s">
        <v>1364</v>
      </c>
      <c r="EI123">
        <v>0</v>
      </c>
      <c r="EJ123">
        <v>0</v>
      </c>
      <c r="EK123" s="11">
        <v>45470</v>
      </c>
      <c r="EL123" s="12">
        <v>-7.5</v>
      </c>
      <c r="EM123" s="12">
        <v>10.039999999999999</v>
      </c>
      <c r="EN123" s="12">
        <v>10</v>
      </c>
      <c r="EO123" s="12">
        <v>10.02</v>
      </c>
      <c r="EP123" s="12">
        <v>10.01</v>
      </c>
    </row>
    <row r="124" spans="1:146" ht="108" x14ac:dyDescent="0.25">
      <c r="A124" s="6"/>
      <c r="B124" s="6"/>
      <c r="C124" s="6" t="str">
        <f>""&amp;CHAR(10)&amp;Basic_Fundamental_Information_Constructure(F124)&amp;CHAR(10)&amp;Basic_Fundamental_Information_Concatenate("")</f>
        <v xml:space="preserve">
市值93.323525亿, 利润3.22亿; PE15.14; 平均PE17.05; 平均PEG9.28, PB1.23; ROIC10.5633%; ROE11.8033%; 股利率1.8056%; 毛利27.0333%; 净利14.39%; 上一年度营收增-51.49%, 利润增-65.04%; 当季营收增137.41%, 利润增371.44%; 过往5年营收增1.84%, 利润增31.8%
Income profile:
</v>
      </c>
      <c r="D124" t="s">
        <v>1146</v>
      </c>
      <c r="E124" t="s">
        <v>1147</v>
      </c>
      <c r="F124">
        <v>16.7</v>
      </c>
      <c r="G124">
        <v>2.83</v>
      </c>
      <c r="H124" t="s">
        <v>4591</v>
      </c>
      <c r="I124">
        <v>9332352500</v>
      </c>
      <c r="J124">
        <v>15.14</v>
      </c>
      <c r="K124">
        <v>1.23</v>
      </c>
      <c r="L124" t="s">
        <v>100</v>
      </c>
      <c r="M124" t="s">
        <v>2896</v>
      </c>
      <c r="N124" t="s">
        <v>4592</v>
      </c>
      <c r="O124" t="s">
        <v>771</v>
      </c>
      <c r="P124">
        <v>-5.07</v>
      </c>
      <c r="Q124" t="s">
        <v>4593</v>
      </c>
      <c r="R124">
        <v>198731130</v>
      </c>
      <c r="S124" s="5">
        <v>2.1100000000000001E-2</v>
      </c>
      <c r="T124" t="s">
        <v>2287</v>
      </c>
      <c r="U124">
        <v>301722190</v>
      </c>
      <c r="V124">
        <v>558823500</v>
      </c>
      <c r="W124">
        <v>1.37</v>
      </c>
      <c r="X124">
        <v>0.13</v>
      </c>
      <c r="Y124">
        <v>14.83</v>
      </c>
      <c r="Z124" t="s">
        <v>4594</v>
      </c>
      <c r="AA124" t="s">
        <v>846</v>
      </c>
      <c r="AB124" t="s">
        <v>4595</v>
      </c>
      <c r="AC124" t="s">
        <v>4596</v>
      </c>
      <c r="AD124" t="s">
        <v>81</v>
      </c>
      <c r="AE124">
        <v>-8966880</v>
      </c>
      <c r="AF124" t="s">
        <v>2898</v>
      </c>
      <c r="AG124" t="s">
        <v>4597</v>
      </c>
      <c r="AH124" t="s">
        <v>2899</v>
      </c>
      <c r="AI124" t="s">
        <v>4598</v>
      </c>
      <c r="AJ124" t="s">
        <v>2900</v>
      </c>
      <c r="AK124" t="s">
        <v>81</v>
      </c>
      <c r="AL124" t="s">
        <v>2901</v>
      </c>
      <c r="AM124" t="s">
        <v>81</v>
      </c>
      <c r="AN124" t="s">
        <v>2274</v>
      </c>
      <c r="AO124" t="s">
        <v>1422</v>
      </c>
      <c r="AP124" t="s">
        <v>4599</v>
      </c>
      <c r="AQ124" t="s">
        <v>1042</v>
      </c>
      <c r="AR124" t="s">
        <v>81</v>
      </c>
      <c r="AS124" t="s">
        <v>4600</v>
      </c>
      <c r="AT124" t="s">
        <v>524</v>
      </c>
      <c r="AU124" t="s">
        <v>4601</v>
      </c>
      <c r="AV124" t="s">
        <v>4602</v>
      </c>
      <c r="AW124" t="s">
        <v>4603</v>
      </c>
      <c r="AX124" t="s">
        <v>1778</v>
      </c>
      <c r="AY124" t="s">
        <v>1308</v>
      </c>
      <c r="AZ124" t="s">
        <v>1148</v>
      </c>
      <c r="BA124" t="s">
        <v>1149</v>
      </c>
      <c r="BB124" t="s">
        <v>1150</v>
      </c>
      <c r="BC124" t="s">
        <v>1769</v>
      </c>
      <c r="BD124" t="s">
        <v>87</v>
      </c>
      <c r="BE124" t="s">
        <v>1134</v>
      </c>
      <c r="BF124" t="s">
        <v>1123</v>
      </c>
      <c r="BG124" t="s">
        <v>400</v>
      </c>
      <c r="BH124" t="s">
        <v>2897</v>
      </c>
      <c r="BI124" t="s">
        <v>4604</v>
      </c>
      <c r="BJ124" t="s">
        <v>1778</v>
      </c>
      <c r="BK124" t="s">
        <v>1967</v>
      </c>
      <c r="BL124" t="s">
        <v>4605</v>
      </c>
      <c r="BM124" t="s">
        <v>1769</v>
      </c>
      <c r="BN124">
        <v>5.61</v>
      </c>
      <c r="BO124">
        <v>12.7</v>
      </c>
      <c r="BP124">
        <v>13.38</v>
      </c>
      <c r="BQ124">
        <v>6.75</v>
      </c>
      <c r="BR124">
        <v>13.66</v>
      </c>
      <c r="BS124">
        <v>15</v>
      </c>
      <c r="BT124" t="s">
        <v>4606</v>
      </c>
      <c r="BU124" t="s">
        <v>1353</v>
      </c>
      <c r="BV124">
        <v>23.41</v>
      </c>
      <c r="BW124">
        <v>27.55</v>
      </c>
      <c r="BX124">
        <v>30.14</v>
      </c>
      <c r="BY124">
        <v>11.4</v>
      </c>
      <c r="BZ124">
        <v>16.09</v>
      </c>
      <c r="CA124">
        <v>15.68</v>
      </c>
      <c r="CB124">
        <v>0.3</v>
      </c>
      <c r="CC124">
        <v>-5.53</v>
      </c>
      <c r="CD124" t="s">
        <v>4607</v>
      </c>
      <c r="CE124" t="s">
        <v>4608</v>
      </c>
      <c r="CF124" s="7">
        <v>1.374113475177305</v>
      </c>
      <c r="CG124" s="8">
        <v>3.7143626762568092</v>
      </c>
      <c r="CH124" s="7">
        <v>-0.51494491100311279</v>
      </c>
      <c r="CI124" s="7">
        <v>0.26992231607437134</v>
      </c>
      <c r="CJ124" s="7">
        <v>7.1088872849941254E-2</v>
      </c>
      <c r="CK124" s="7">
        <v>0.10625986009836197</v>
      </c>
      <c r="CL124" s="7">
        <v>0.1594998687505722</v>
      </c>
      <c r="CM124" s="8">
        <v>-0.65038001537322998</v>
      </c>
      <c r="CN124" s="8">
        <v>0.30453258752822876</v>
      </c>
      <c r="CO124" s="8">
        <v>-0.12839506566524506</v>
      </c>
      <c r="CP124" s="8">
        <v>1.5714285373687744</v>
      </c>
      <c r="CQ124" s="8">
        <v>0.49289098381996155</v>
      </c>
      <c r="CR124">
        <v>17.045392694063928</v>
      </c>
      <c r="CS124">
        <v>9.2813535585475719</v>
      </c>
      <c r="CT124">
        <v>1.8055688622754491</v>
      </c>
      <c r="CU124" s="7">
        <v>1.8365201354026795E-2</v>
      </c>
      <c r="CV124" s="8">
        <v>0.31801540553569796</v>
      </c>
      <c r="CW124">
        <v>0.06</v>
      </c>
      <c r="CX124">
        <v>15.022840551834387</v>
      </c>
      <c r="CY124">
        <v>309352447.95848733</v>
      </c>
      <c r="CZ124">
        <v>1.8365201354026795E-2</v>
      </c>
      <c r="DA124">
        <v>5.2188364805314489</v>
      </c>
      <c r="DB124">
        <v>890495902.16835976</v>
      </c>
      <c r="DC124">
        <v>1.7446941286325453E-2</v>
      </c>
      <c r="DD124">
        <v>2.7814444794174666</v>
      </c>
      <c r="DE124">
        <v>1670841368.3573942</v>
      </c>
      <c r="DF124">
        <v>1.6161377191543581E-2</v>
      </c>
      <c r="DG124">
        <v>1.8208753521928331</v>
      </c>
      <c r="DH124">
        <v>2552262841.2775831</v>
      </c>
      <c r="DI124">
        <v>1.4692161083221437E-2</v>
      </c>
      <c r="DJ124">
        <v>1.1244488882205954</v>
      </c>
      <c r="DK124">
        <v>4133004664.4932766</v>
      </c>
      <c r="DL124">
        <v>1.2855640947818756E-2</v>
      </c>
      <c r="DM124">
        <v>322000000</v>
      </c>
      <c r="DN124">
        <v>1.8365201354026795E-2</v>
      </c>
      <c r="DO124">
        <v>4647352500</v>
      </c>
      <c r="DP124">
        <v>3245999300</v>
      </c>
      <c r="DQ124">
        <v>4530</v>
      </c>
      <c r="DR124">
        <v>1.3557482738232782</v>
      </c>
      <c r="DS124">
        <v>3.3963472707211113</v>
      </c>
      <c r="DT124" s="9">
        <v>-0.35666666666666669</v>
      </c>
      <c r="DU124">
        <v>0.36999999999999994</v>
      </c>
      <c r="DV124">
        <v>1.3333333333333253E-2</v>
      </c>
      <c r="DW124">
        <v>-1.0552999999999999</v>
      </c>
      <c r="DX124">
        <v>0.39873290228345071</v>
      </c>
      <c r="DY124">
        <v>-1.0076719294962748</v>
      </c>
      <c r="DZ124">
        <v>873</v>
      </c>
      <c r="EA124">
        <v>-1.0063612456508251</v>
      </c>
      <c r="EB124">
        <v>1</v>
      </c>
      <c r="EC124">
        <v>1.3665137561323029E-2</v>
      </c>
      <c r="ED124">
        <v>9.8499615710506083E-2</v>
      </c>
      <c r="EE124" s="10">
        <v>-2.0318000000000001</v>
      </c>
      <c r="EF124">
        <v>-2.0085099999999998</v>
      </c>
      <c r="EG124">
        <v>26.138732902283451</v>
      </c>
      <c r="EH124" t="s">
        <v>1368</v>
      </c>
      <c r="EI124">
        <v>0</v>
      </c>
      <c r="EJ124">
        <v>1</v>
      </c>
      <c r="EK124" s="11">
        <v>45470</v>
      </c>
      <c r="EL124" s="12">
        <v>-0.15</v>
      </c>
      <c r="EM124" s="12">
        <v>-4.6500000000000004</v>
      </c>
      <c r="EN124" s="12">
        <v>2.33</v>
      </c>
      <c r="EO124" s="12">
        <v>2.44</v>
      </c>
      <c r="EP124" s="12">
        <v>-4.03</v>
      </c>
    </row>
    <row r="125" spans="1:146" ht="108" x14ac:dyDescent="0.25">
      <c r="A125" s="6"/>
      <c r="B125" s="6"/>
      <c r="C125" s="6" t="str">
        <f>""&amp;CHAR(10)&amp;Basic_Fundamental_Information_Constructure(F125)&amp;CHAR(10)&amp;Basic_Fundamental_Information_Concatenate("")</f>
        <v xml:space="preserve">
市值46.439996亿, 利润7529.51万; PE34.22; 平均PE-206.19; 平均PEG-.07, PB3.1; ROIC9.08%; ROE6.6833%; 股利率1.3735%; 毛利93.0033%; 净利2.45%; 上一年度营收增62.71%, 利润增-47.35%; 当季营收增-.7%, 利润增190.81%; 过往5年营收增2875.29%, 利润增280.57%
Income profile:
</v>
      </c>
      <c r="D125" t="s">
        <v>1151</v>
      </c>
      <c r="E125" t="s">
        <v>1779</v>
      </c>
      <c r="F125">
        <v>22.57</v>
      </c>
      <c r="G125">
        <v>3.72</v>
      </c>
      <c r="H125" t="s">
        <v>4609</v>
      </c>
      <c r="I125">
        <v>4643999600</v>
      </c>
      <c r="J125">
        <v>34.22</v>
      </c>
      <c r="K125">
        <v>3.1</v>
      </c>
      <c r="L125" t="s">
        <v>100</v>
      </c>
      <c r="M125" t="s">
        <v>335</v>
      </c>
      <c r="N125" t="s">
        <v>4610</v>
      </c>
      <c r="O125" t="s">
        <v>2902</v>
      </c>
      <c r="P125">
        <v>-25.65</v>
      </c>
      <c r="Q125" t="s">
        <v>487</v>
      </c>
      <c r="R125">
        <v>29178032</v>
      </c>
      <c r="S125" s="5">
        <v>-0.46970000000000001</v>
      </c>
      <c r="T125" t="s">
        <v>4611</v>
      </c>
      <c r="U125">
        <v>151046780</v>
      </c>
      <c r="V125">
        <v>205759840</v>
      </c>
      <c r="W125">
        <v>1.08</v>
      </c>
      <c r="X125">
        <v>0.04</v>
      </c>
      <c r="Y125">
        <v>42.47</v>
      </c>
      <c r="Z125" t="s">
        <v>4612</v>
      </c>
      <c r="AA125" t="s">
        <v>4613</v>
      </c>
      <c r="AB125" t="s">
        <v>4614</v>
      </c>
      <c r="AC125" t="s">
        <v>4615</v>
      </c>
      <c r="AD125" t="s">
        <v>81</v>
      </c>
      <c r="AE125">
        <v>-6613305</v>
      </c>
      <c r="AF125" t="s">
        <v>2903</v>
      </c>
      <c r="AG125" t="s">
        <v>81</v>
      </c>
      <c r="AH125" t="s">
        <v>2904</v>
      </c>
      <c r="AI125" t="s">
        <v>4616</v>
      </c>
      <c r="AJ125" t="s">
        <v>2905</v>
      </c>
      <c r="AK125" t="s">
        <v>2906</v>
      </c>
      <c r="AL125" t="s">
        <v>2907</v>
      </c>
      <c r="AM125" t="s">
        <v>81</v>
      </c>
      <c r="AN125" t="s">
        <v>4617</v>
      </c>
      <c r="AO125" t="s">
        <v>4618</v>
      </c>
      <c r="AP125" t="s">
        <v>81</v>
      </c>
      <c r="AQ125" t="s">
        <v>4619</v>
      </c>
      <c r="AR125" t="s">
        <v>81</v>
      </c>
      <c r="AS125" t="s">
        <v>274</v>
      </c>
      <c r="AT125" t="s">
        <v>81</v>
      </c>
      <c r="AU125" t="s">
        <v>4620</v>
      </c>
      <c r="AV125" t="s">
        <v>4621</v>
      </c>
      <c r="AW125" t="s">
        <v>4622</v>
      </c>
      <c r="AX125" t="s">
        <v>1606</v>
      </c>
      <c r="AY125" t="s">
        <v>1309</v>
      </c>
      <c r="AZ125" t="s">
        <v>81</v>
      </c>
      <c r="BA125">
        <v>0</v>
      </c>
      <c r="BB125">
        <v>0</v>
      </c>
      <c r="BC125" t="s">
        <v>268</v>
      </c>
      <c r="BD125" t="s">
        <v>1310</v>
      </c>
      <c r="BE125" t="s">
        <v>1152</v>
      </c>
      <c r="BF125" t="s">
        <v>1153</v>
      </c>
      <c r="BG125" t="s">
        <v>1154</v>
      </c>
      <c r="BH125" t="s">
        <v>294</v>
      </c>
      <c r="BI125" t="s">
        <v>4623</v>
      </c>
      <c r="BJ125" t="s">
        <v>1606</v>
      </c>
      <c r="BK125" t="s">
        <v>592</v>
      </c>
      <c r="BL125" t="s">
        <v>4624</v>
      </c>
      <c r="BM125" t="s">
        <v>268</v>
      </c>
      <c r="BN125">
        <v>8.18</v>
      </c>
      <c r="BO125">
        <v>9.98</v>
      </c>
      <c r="BP125" t="s">
        <v>81</v>
      </c>
      <c r="BQ125">
        <v>9.43</v>
      </c>
      <c r="BR125">
        <v>11.46</v>
      </c>
      <c r="BS125">
        <v>-0.84</v>
      </c>
      <c r="BT125" t="s">
        <v>2908</v>
      </c>
      <c r="BU125" t="s">
        <v>1354</v>
      </c>
      <c r="BV125">
        <v>93.45</v>
      </c>
      <c r="BW125">
        <v>92.81</v>
      </c>
      <c r="BX125">
        <v>92.75</v>
      </c>
      <c r="BY125">
        <v>44.84</v>
      </c>
      <c r="BZ125">
        <v>60.54</v>
      </c>
      <c r="CA125">
        <v>-98.03</v>
      </c>
      <c r="CB125">
        <v>-0.09</v>
      </c>
      <c r="CC125">
        <v>-16.41</v>
      </c>
      <c r="CD125" t="s">
        <v>4625</v>
      </c>
      <c r="CE125" t="s">
        <v>4626</v>
      </c>
      <c r="CF125" s="7">
        <v>-7.0443298492276389E-3</v>
      </c>
      <c r="CG125" s="8">
        <v>1.9081191631865886</v>
      </c>
      <c r="CH125" s="7">
        <v>0.62711864709854126</v>
      </c>
      <c r="CI125" s="7">
        <v>56.87860107421875</v>
      </c>
      <c r="CJ125" s="7" t="s">
        <v>81</v>
      </c>
      <c r="CK125" s="7" t="s">
        <v>81</v>
      </c>
      <c r="CL125" s="7" t="e">
        <v>#VALUE!</v>
      </c>
      <c r="CM125" s="8">
        <v>-0.47346082329750061</v>
      </c>
      <c r="CN125" s="8">
        <v>36.77593994140625</v>
      </c>
      <c r="CO125" s="8">
        <v>0.81704038381576538</v>
      </c>
      <c r="CP125" s="8">
        <v>0.93064475059509277</v>
      </c>
      <c r="CQ125" s="8">
        <v>-24.021844863891602</v>
      </c>
      <c r="CR125">
        <v>-206.18936360562063</v>
      </c>
      <c r="CS125">
        <v>-7.1710906186323767E-2</v>
      </c>
      <c r="CT125">
        <v>1.3735046521931769</v>
      </c>
      <c r="CU125" s="7">
        <v>28.752859860658646</v>
      </c>
      <c r="CV125" s="8">
        <v>2.8056638777256011</v>
      </c>
      <c r="CW125">
        <v>0.06</v>
      </c>
      <c r="CX125">
        <v>1.5396709983834602</v>
      </c>
      <c r="CY125">
        <v>2113438262.7304516</v>
      </c>
      <c r="CZ125">
        <v>28.752859860658646</v>
      </c>
      <c r="DA125">
        <v>2.1825350898155194E-3</v>
      </c>
      <c r="DB125">
        <v>1490926590451.77</v>
      </c>
      <c r="DC125">
        <v>27.315216867625711</v>
      </c>
      <c r="DD125">
        <v>1.7767956963320304E-7</v>
      </c>
      <c r="DE125">
        <v>1.8313864710036556E+16</v>
      </c>
      <c r="DF125">
        <v>25.302516677379607</v>
      </c>
      <c r="DG125">
        <v>1.165647169719248E-12</v>
      </c>
      <c r="DH125">
        <v>2.7915819508091307E+21</v>
      </c>
      <c r="DI125">
        <v>23.002287888526919</v>
      </c>
      <c r="DJ125">
        <v>4.1942593186830498E-25</v>
      </c>
      <c r="DK125">
        <v>7.7582222575158254E+33</v>
      </c>
      <c r="DL125">
        <v>20.12700190246105</v>
      </c>
      <c r="DM125">
        <v>75295100</v>
      </c>
      <c r="DN125">
        <v>28.752859860658646</v>
      </c>
      <c r="DO125">
        <v>3253999600</v>
      </c>
      <c r="DP125">
        <v>1341856700</v>
      </c>
      <c r="DQ125">
        <v>4619</v>
      </c>
      <c r="DR125">
        <v>-28.759904190507875</v>
      </c>
      <c r="DS125">
        <v>-0.89754471453901252</v>
      </c>
      <c r="DT125" s="9">
        <v>0.55333333333333323</v>
      </c>
      <c r="DU125">
        <v>-0.18333333333333354</v>
      </c>
      <c r="DV125">
        <v>0.36999999999999966</v>
      </c>
      <c r="DW125">
        <v>-3.0046369047619046</v>
      </c>
      <c r="DX125">
        <v>0.51550069367862883</v>
      </c>
      <c r="DY125">
        <v>-3.0008137800022361</v>
      </c>
      <c r="DZ125">
        <v>847</v>
      </c>
      <c r="EA125">
        <v>-3.0006788931799475</v>
      </c>
      <c r="EB125">
        <v>3</v>
      </c>
      <c r="EC125">
        <v>3.3567774936061383E-2</v>
      </c>
      <c r="ED125">
        <v>0.19126861684962429</v>
      </c>
      <c r="EE125" s="10">
        <v>3.0360999999999998</v>
      </c>
      <c r="EF125">
        <v>3.0276999999999998</v>
      </c>
      <c r="EG125">
        <v>34.175500693678629</v>
      </c>
      <c r="EH125" t="s">
        <v>2294</v>
      </c>
      <c r="EI125">
        <v>0</v>
      </c>
      <c r="EJ125">
        <v>1</v>
      </c>
      <c r="EK125" s="11">
        <v>45470</v>
      </c>
      <c r="EL125" s="12">
        <v>-2.2400000000000002</v>
      </c>
      <c r="EM125" s="12">
        <v>-4.22</v>
      </c>
      <c r="EN125" s="12">
        <v>-0.53</v>
      </c>
      <c r="EO125" s="12">
        <v>3.66</v>
      </c>
      <c r="EP125" s="12">
        <v>-0.84</v>
      </c>
    </row>
    <row r="126" spans="1:146" ht="108" x14ac:dyDescent="0.25">
      <c r="A126" s="6"/>
      <c r="B126" s="6"/>
      <c r="C126" s="6" t="str">
        <f>""&amp;CHAR(10)&amp;Basic_Fundamental_Information_Constructure(F126)&amp;CHAR(10)&amp;Basic_Fundamental_Information_Concatenate("")</f>
        <v xml:space="preserve">
市值26.1296亿, 利润-1566.44万; PE35.9; 平均PE63.2; 平均PEG5.32, PB2.91; ROIC6.89%; ROE7.2767%; 股利率.8573%; 毛利67.0667%; 净利16.1067%; 上一年度营收增21.46%, 利润增-124.29%; 当季营收增55.69%, 利润增175.22%; 过往5年营收增11.89%, 利润增-6.22%
Income profile:
</v>
      </c>
      <c r="D126" t="s">
        <v>1155</v>
      </c>
      <c r="E126" t="s">
        <v>1156</v>
      </c>
      <c r="F126">
        <v>23.33</v>
      </c>
      <c r="G126">
        <v>6.24</v>
      </c>
      <c r="H126" t="s">
        <v>4627</v>
      </c>
      <c r="I126">
        <v>2612960000</v>
      </c>
      <c r="J126">
        <v>35.9</v>
      </c>
      <c r="K126">
        <v>2.91</v>
      </c>
      <c r="L126" t="s">
        <v>100</v>
      </c>
      <c r="M126" t="s">
        <v>315</v>
      </c>
      <c r="N126" t="s">
        <v>1488</v>
      </c>
      <c r="O126" t="s">
        <v>364</v>
      </c>
      <c r="P126">
        <v>27.65</v>
      </c>
      <c r="Q126" t="s">
        <v>3270</v>
      </c>
      <c r="R126">
        <v>16472225</v>
      </c>
      <c r="S126" s="5">
        <v>0.17380000000000001</v>
      </c>
      <c r="T126" t="s">
        <v>4628</v>
      </c>
      <c r="U126">
        <v>112000000</v>
      </c>
      <c r="V126">
        <v>112000000</v>
      </c>
      <c r="W126">
        <v>1.51</v>
      </c>
      <c r="X126">
        <v>0.08</v>
      </c>
      <c r="Y126">
        <v>15.81</v>
      </c>
      <c r="Z126" t="s">
        <v>4629</v>
      </c>
      <c r="AA126" t="s">
        <v>4630</v>
      </c>
      <c r="AB126" t="s">
        <v>4631</v>
      </c>
      <c r="AC126" t="s">
        <v>4632</v>
      </c>
      <c r="AD126" t="s">
        <v>81</v>
      </c>
      <c r="AE126">
        <v>2023211</v>
      </c>
      <c r="AF126" t="s">
        <v>2910</v>
      </c>
      <c r="AG126" t="s">
        <v>4633</v>
      </c>
      <c r="AH126" t="s">
        <v>2911</v>
      </c>
      <c r="AI126" t="s">
        <v>396</v>
      </c>
      <c r="AJ126" t="s">
        <v>2912</v>
      </c>
      <c r="AK126" t="s">
        <v>4634</v>
      </c>
      <c r="AL126" t="s">
        <v>2913</v>
      </c>
      <c r="AM126" t="s">
        <v>81</v>
      </c>
      <c r="AN126" t="s">
        <v>375</v>
      </c>
      <c r="AO126" t="s">
        <v>4635</v>
      </c>
      <c r="AP126" t="s">
        <v>4636</v>
      </c>
      <c r="AQ126" t="s">
        <v>4637</v>
      </c>
      <c r="AR126" t="s">
        <v>81</v>
      </c>
      <c r="AS126" t="s">
        <v>620</v>
      </c>
      <c r="AT126" t="s">
        <v>302</v>
      </c>
      <c r="AU126" t="s">
        <v>4638</v>
      </c>
      <c r="AV126" t="s">
        <v>472</v>
      </c>
      <c r="AW126" t="s">
        <v>4639</v>
      </c>
      <c r="AX126" t="s">
        <v>1431</v>
      </c>
      <c r="AY126" t="s">
        <v>292</v>
      </c>
      <c r="AZ126" t="s">
        <v>367</v>
      </c>
      <c r="BA126" t="s">
        <v>245</v>
      </c>
      <c r="BB126" t="s">
        <v>619</v>
      </c>
      <c r="BC126" t="s">
        <v>1780</v>
      </c>
      <c r="BD126" t="s">
        <v>1311</v>
      </c>
      <c r="BE126" t="s">
        <v>1157</v>
      </c>
      <c r="BF126" t="s">
        <v>1158</v>
      </c>
      <c r="BG126" t="s">
        <v>1159</v>
      </c>
      <c r="BH126" t="s">
        <v>283</v>
      </c>
      <c r="BI126" t="s">
        <v>4640</v>
      </c>
      <c r="BJ126" t="s">
        <v>1431</v>
      </c>
      <c r="BK126" t="s">
        <v>2909</v>
      </c>
      <c r="BL126" t="s">
        <v>4641</v>
      </c>
      <c r="BM126" t="s">
        <v>1780</v>
      </c>
      <c r="BN126">
        <v>3.71</v>
      </c>
      <c r="BO126">
        <v>7.54</v>
      </c>
      <c r="BP126">
        <v>9.42</v>
      </c>
      <c r="BQ126">
        <v>4.17</v>
      </c>
      <c r="BR126">
        <v>8.02</v>
      </c>
      <c r="BS126">
        <v>9.64</v>
      </c>
      <c r="BT126" t="s">
        <v>1539</v>
      </c>
      <c r="BU126" t="s">
        <v>1354</v>
      </c>
      <c r="BV126">
        <v>63.76</v>
      </c>
      <c r="BW126">
        <v>65.47</v>
      </c>
      <c r="BX126">
        <v>71.97</v>
      </c>
      <c r="BY126">
        <v>16.170000000000002</v>
      </c>
      <c r="BZ126">
        <v>16.3</v>
      </c>
      <c r="CA126">
        <v>15.85</v>
      </c>
      <c r="CB126">
        <v>-4.93</v>
      </c>
      <c r="CC126">
        <v>-11.06</v>
      </c>
      <c r="CD126" t="s">
        <v>4642</v>
      </c>
      <c r="CE126" t="s">
        <v>4643</v>
      </c>
      <c r="CF126" s="7">
        <v>0.55689321958032745</v>
      </c>
      <c r="CG126" s="8">
        <v>1.7521976090014064</v>
      </c>
      <c r="CH126" s="7">
        <v>0.21464645862579346</v>
      </c>
      <c r="CI126" s="7">
        <v>2.3255813866853714E-2</v>
      </c>
      <c r="CJ126" s="7">
        <v>2.1108180284500122E-2</v>
      </c>
      <c r="CK126" s="7">
        <v>0.15902140736579895</v>
      </c>
      <c r="CL126" s="7">
        <v>0.17625899612903595</v>
      </c>
      <c r="CM126" s="8">
        <v>-1.2429176568984985</v>
      </c>
      <c r="CN126" s="8">
        <v>5.2758403122425079E-2</v>
      </c>
      <c r="CO126" s="8">
        <v>2.0917434245347977E-2</v>
      </c>
      <c r="CP126" s="8">
        <v>0.24653398990631104</v>
      </c>
      <c r="CQ126" s="8">
        <v>0.61184209585189819</v>
      </c>
      <c r="CR126">
        <v>63.200566306382711</v>
      </c>
      <c r="CS126">
        <v>5.3173093308925523</v>
      </c>
      <c r="CT126">
        <v>0.85726532361765972</v>
      </c>
      <c r="CU126" s="7">
        <v>0.11885817125439643</v>
      </c>
      <c r="CV126" s="8">
        <v>-6.217314675450325E-2</v>
      </c>
      <c r="CW126">
        <v>0.06</v>
      </c>
      <c r="CX126" t="e">
        <v>#VALUE!</v>
      </c>
      <c r="CY126" t="s">
        <v>1362</v>
      </c>
      <c r="CZ126">
        <v>0.11885817125439643</v>
      </c>
      <c r="DA126" t="e">
        <v>#VALUE!</v>
      </c>
      <c r="DB126" t="s">
        <v>1362</v>
      </c>
      <c r="DC126">
        <v>0.11291526269167661</v>
      </c>
      <c r="DD126" t="e">
        <v>#VALUE!</v>
      </c>
      <c r="DE126" t="s">
        <v>1362</v>
      </c>
      <c r="DF126">
        <v>0.10459519070386886</v>
      </c>
      <c r="DG126" t="e">
        <v>#VALUE!</v>
      </c>
      <c r="DH126" t="s">
        <v>1362</v>
      </c>
      <c r="DI126">
        <v>9.5086537003517158E-2</v>
      </c>
      <c r="DJ126" t="e">
        <v>#VALUE!</v>
      </c>
      <c r="DK126" t="s">
        <v>1362</v>
      </c>
      <c r="DL126">
        <v>8.3200719878077492E-2</v>
      </c>
      <c r="DM126">
        <v>-15664400</v>
      </c>
      <c r="DN126">
        <v>0.11885817125439643</v>
      </c>
      <c r="DO126">
        <v>2151960000</v>
      </c>
      <c r="DP126">
        <v>286915040</v>
      </c>
      <c r="DQ126">
        <v>4643</v>
      </c>
      <c r="DR126">
        <v>0.43803504832593099</v>
      </c>
      <c r="DS126">
        <v>1.8143707557559097</v>
      </c>
      <c r="DT126" s="9">
        <v>-5.6666666666666719E-2</v>
      </c>
      <c r="DU126">
        <v>-0.43333333333333335</v>
      </c>
      <c r="DV126">
        <v>-0.49000000000000005</v>
      </c>
      <c r="DW126">
        <v>-8.4457504520795652</v>
      </c>
      <c r="DX126">
        <v>0.6218056910753571</v>
      </c>
      <c r="DY126">
        <v>-8.0899549780290698</v>
      </c>
      <c r="DZ126">
        <v>4493</v>
      </c>
      <c r="EA126">
        <v>-8.0108614914763088</v>
      </c>
      <c r="EB126">
        <v>8</v>
      </c>
      <c r="EC126">
        <v>0.12704821428571428</v>
      </c>
      <c r="ED126">
        <v>0.62955714285714282</v>
      </c>
      <c r="EE126" s="10">
        <v>-2.008</v>
      </c>
      <c r="EF126">
        <v>-2.02901</v>
      </c>
      <c r="EG126">
        <v>42.201805691075357</v>
      </c>
      <c r="EH126" t="s">
        <v>1368</v>
      </c>
      <c r="EI126">
        <v>0</v>
      </c>
      <c r="EJ126">
        <v>0</v>
      </c>
      <c r="EK126" s="11">
        <v>45470</v>
      </c>
      <c r="EL126" s="12">
        <v>-3.15</v>
      </c>
      <c r="EM126" s="12">
        <v>-7.22</v>
      </c>
      <c r="EN126" s="12">
        <v>-5.64</v>
      </c>
      <c r="EO126" s="12">
        <v>4.05</v>
      </c>
      <c r="EP126" s="12">
        <v>-3.7</v>
      </c>
    </row>
    <row r="127" spans="1:146" ht="108" x14ac:dyDescent="0.25">
      <c r="A127" s="6"/>
      <c r="B127" s="6"/>
      <c r="C127" s="6" t="str">
        <f>""&amp;CHAR(10)&amp;Basic_Fundamental_Information_Constructure(F127)&amp;CHAR(10)&amp;Basic_Fundamental_Information_Concatenate("")</f>
        <v xml:space="preserve">
市值158.84743亿, 利润9054.61万; PE81.14; 平均PE102.62; 平均PEG7.87, PB6.75; ROIC7.46%; ROE12.2833%; 股利率.2553%; 毛利58.3433%; 净利19.35%; 上一年度营收增-44.84%, 利润增-62.27%; 当季营收增190.6%, 利润增321.91%; 过往5年营收增13.04%, 利润增16.88%
Income profile:
</v>
      </c>
      <c r="D127" t="s">
        <v>106</v>
      </c>
      <c r="E127" t="s">
        <v>107</v>
      </c>
      <c r="F127">
        <v>37.6</v>
      </c>
      <c r="G127">
        <v>5.41</v>
      </c>
      <c r="H127" t="s">
        <v>4644</v>
      </c>
      <c r="I127">
        <v>15884743000</v>
      </c>
      <c r="J127">
        <v>81.14</v>
      </c>
      <c r="K127">
        <v>6.75</v>
      </c>
      <c r="L127" t="s">
        <v>100</v>
      </c>
      <c r="M127" t="s">
        <v>2914</v>
      </c>
      <c r="N127" t="s">
        <v>2281</v>
      </c>
      <c r="O127" t="s">
        <v>414</v>
      </c>
      <c r="P127">
        <v>11.54</v>
      </c>
      <c r="Q127" t="s">
        <v>1836</v>
      </c>
      <c r="R127">
        <v>64069919</v>
      </c>
      <c r="S127" s="5">
        <v>-9.4700000000000006E-2</v>
      </c>
      <c r="T127" t="s">
        <v>4645</v>
      </c>
      <c r="U127">
        <v>422466560</v>
      </c>
      <c r="V127">
        <v>422466560</v>
      </c>
      <c r="W127">
        <v>2.06</v>
      </c>
      <c r="X127">
        <v>7.0000000000000007E-2</v>
      </c>
      <c r="Y127">
        <v>18.170000000000002</v>
      </c>
      <c r="Z127" t="s">
        <v>728</v>
      </c>
      <c r="AA127" t="s">
        <v>372</v>
      </c>
      <c r="AB127" t="s">
        <v>4646</v>
      </c>
      <c r="AC127" t="s">
        <v>4647</v>
      </c>
      <c r="AD127" t="s">
        <v>81</v>
      </c>
      <c r="AE127">
        <v>11669577</v>
      </c>
      <c r="AF127" t="s">
        <v>2915</v>
      </c>
      <c r="AG127">
        <v>6317.72</v>
      </c>
      <c r="AH127" t="s">
        <v>2916</v>
      </c>
      <c r="AI127" t="s">
        <v>2774</v>
      </c>
      <c r="AJ127" t="s">
        <v>2917</v>
      </c>
      <c r="AK127" t="s">
        <v>4648</v>
      </c>
      <c r="AL127" t="s">
        <v>2918</v>
      </c>
      <c r="AM127" t="s">
        <v>81</v>
      </c>
      <c r="AN127" t="s">
        <v>4649</v>
      </c>
      <c r="AO127" t="s">
        <v>366</v>
      </c>
      <c r="AP127" t="s">
        <v>4650</v>
      </c>
      <c r="AQ127" t="s">
        <v>395</v>
      </c>
      <c r="AR127" t="s">
        <v>81</v>
      </c>
      <c r="AS127" t="s">
        <v>4104</v>
      </c>
      <c r="AT127" t="s">
        <v>4651</v>
      </c>
      <c r="AU127" t="s">
        <v>339</v>
      </c>
      <c r="AV127" t="s">
        <v>3772</v>
      </c>
      <c r="AW127" t="s">
        <v>4652</v>
      </c>
      <c r="AX127" t="s">
        <v>1292</v>
      </c>
      <c r="AY127" t="s">
        <v>868</v>
      </c>
      <c r="AZ127" t="s">
        <v>1007</v>
      </c>
      <c r="BA127" t="s">
        <v>549</v>
      </c>
      <c r="BB127" t="s">
        <v>743</v>
      </c>
      <c r="BC127" t="s">
        <v>240</v>
      </c>
      <c r="BD127" t="s">
        <v>305</v>
      </c>
      <c r="BE127" t="s">
        <v>241</v>
      </c>
      <c r="BF127" t="s">
        <v>267</v>
      </c>
      <c r="BG127" t="s">
        <v>1008</v>
      </c>
      <c r="BH127" t="s">
        <v>985</v>
      </c>
      <c r="BI127" t="s">
        <v>435</v>
      </c>
      <c r="BJ127" t="s">
        <v>1292</v>
      </c>
      <c r="BK127" t="s">
        <v>333</v>
      </c>
      <c r="BL127" t="s">
        <v>4653</v>
      </c>
      <c r="BM127" t="s">
        <v>240</v>
      </c>
      <c r="BN127">
        <v>4.46</v>
      </c>
      <c r="BO127">
        <v>6.62</v>
      </c>
      <c r="BP127">
        <v>11.3</v>
      </c>
      <c r="BQ127">
        <v>8.2799999999999994</v>
      </c>
      <c r="BR127">
        <v>12.68</v>
      </c>
      <c r="BS127">
        <v>15.89</v>
      </c>
      <c r="BT127" t="s">
        <v>2919</v>
      </c>
      <c r="BU127" t="s">
        <v>1353</v>
      </c>
      <c r="BV127">
        <v>55.79</v>
      </c>
      <c r="BW127">
        <v>63.01</v>
      </c>
      <c r="BX127">
        <v>56.23</v>
      </c>
      <c r="BY127">
        <v>14.7</v>
      </c>
      <c r="BZ127">
        <v>20.78</v>
      </c>
      <c r="CA127">
        <v>22.57</v>
      </c>
      <c r="CB127">
        <v>7.72</v>
      </c>
      <c r="CC127">
        <v>-0.36</v>
      </c>
      <c r="CD127" t="s">
        <v>4654</v>
      </c>
      <c r="CE127" t="s">
        <v>289</v>
      </c>
      <c r="CF127" s="7">
        <v>1.9059829059829059</v>
      </c>
      <c r="CG127" s="8">
        <v>3.2191233141923927</v>
      </c>
      <c r="CH127" s="7">
        <v>-0.4483775794506073</v>
      </c>
      <c r="CI127" s="7">
        <v>-3.3269960433244705E-2</v>
      </c>
      <c r="CJ127" s="7">
        <v>0.3401273787021637</v>
      </c>
      <c r="CK127" s="7">
        <v>0.56063616275787354</v>
      </c>
      <c r="CL127" s="7">
        <v>0.23284313082695007</v>
      </c>
      <c r="CM127" s="8">
        <v>-0.62272459268569946</v>
      </c>
      <c r="CN127" s="8">
        <v>-1.6393441706895828E-2</v>
      </c>
      <c r="CO127" s="8">
        <v>0.43529412150382996</v>
      </c>
      <c r="CP127" s="8">
        <v>0.53153151273727417</v>
      </c>
      <c r="CQ127" s="8">
        <v>0.51635199785232544</v>
      </c>
      <c r="CR127">
        <v>102.62035313988798</v>
      </c>
      <c r="CS127">
        <v>7.8701522871247445</v>
      </c>
      <c r="CT127">
        <v>0.25531914893617019</v>
      </c>
      <c r="CU127" s="7">
        <v>0.13039182648062705</v>
      </c>
      <c r="CV127" s="8">
        <v>0.16881191954016686</v>
      </c>
      <c r="CW127">
        <v>0.06</v>
      </c>
      <c r="CX127">
        <v>165.95799552807838</v>
      </c>
      <c r="CY127">
        <v>96559029.584620282</v>
      </c>
      <c r="CZ127">
        <v>0.13039182648062705</v>
      </c>
      <c r="DA127">
        <v>52.418241340763323</v>
      </c>
      <c r="DB127">
        <v>305709283.45011592</v>
      </c>
      <c r="DC127">
        <v>0.12387223515659569</v>
      </c>
      <c r="DD127">
        <v>24.638923102228311</v>
      </c>
      <c r="DE127">
        <v>650383254.71906459</v>
      </c>
      <c r="DF127">
        <v>0.11474480730295181</v>
      </c>
      <c r="DG127">
        <v>14.031204841187085</v>
      </c>
      <c r="DH127">
        <v>1142078900.6629779</v>
      </c>
      <c r="DI127">
        <v>0.10431346118450165</v>
      </c>
      <c r="DJ127">
        <v>6.4299769878420099</v>
      </c>
      <c r="DK127">
        <v>2492192900.5811462</v>
      </c>
      <c r="DL127">
        <v>9.1274278536438935E-2</v>
      </c>
      <c r="DM127">
        <v>90546100</v>
      </c>
      <c r="DN127">
        <v>0.13039182648062705</v>
      </c>
      <c r="DO127">
        <v>16024743000</v>
      </c>
      <c r="DP127">
        <v>777422800</v>
      </c>
      <c r="DQ127">
        <v>4683</v>
      </c>
      <c r="DR127">
        <v>1.7755910795022789</v>
      </c>
      <c r="DS127">
        <v>3.0503113946522258</v>
      </c>
      <c r="DT127" s="9">
        <v>-0.25666666666666677</v>
      </c>
      <c r="DU127">
        <v>0.23666666666666661</v>
      </c>
      <c r="DV127">
        <v>-2.0000000000000157E-2</v>
      </c>
      <c r="DW127">
        <v>5.0466321243523318</v>
      </c>
      <c r="DX127">
        <v>0.48390047846889644</v>
      </c>
      <c r="DY127">
        <v>5.0076430274933683</v>
      </c>
      <c r="DZ127">
        <v>3594</v>
      </c>
      <c r="EA127">
        <v>5.0022674813463688</v>
      </c>
      <c r="EB127">
        <v>5</v>
      </c>
      <c r="EC127">
        <v>8.1083814065662382E-2</v>
      </c>
      <c r="ED127">
        <v>0.49471371177875001</v>
      </c>
      <c r="EE127" s="10">
        <v>-5.0450999999999997</v>
      </c>
      <c r="EF127">
        <v>-5.0056000000000003</v>
      </c>
      <c r="EG127">
        <v>32.163900478468896</v>
      </c>
      <c r="EH127" t="s">
        <v>2309</v>
      </c>
      <c r="EI127">
        <v>1</v>
      </c>
      <c r="EJ127">
        <v>0</v>
      </c>
      <c r="EK127" s="11">
        <v>45470</v>
      </c>
      <c r="EL127" s="12">
        <v>-3.37</v>
      </c>
      <c r="EM127" s="12">
        <v>-6.74</v>
      </c>
      <c r="EN127" s="12">
        <v>-6.53</v>
      </c>
      <c r="EO127" s="12">
        <v>4.68</v>
      </c>
      <c r="EP127" s="12">
        <v>-3.95</v>
      </c>
    </row>
    <row r="128" spans="1:146" ht="108" x14ac:dyDescent="0.25">
      <c r="A128" s="6"/>
      <c r="B128" s="6"/>
      <c r="C128" s="6" t="str">
        <f>""&amp;CHAR(10)&amp;Basic_Fundamental_Information_Constructure(F128)&amp;CHAR(10)&amp;Basic_Fundamental_Information_Concatenate("")</f>
        <v xml:space="preserve">
市值29.982亿, 利润-3.95亿; PE; 平均PE-13.27; 平均PEG0, PB1.3; ROIC0%; ROE-17.1133%; 股利率0%; 毛利79.0033%; 净利-2914.45%; 上一年度营收增2701049.41%, 利润增-59.92%; 当季营收增-84.31%, 利润增42.06%; 过往5年营收增2701049.41%, 利润增-58.15%
Income profile:
</v>
      </c>
      <c r="D128" t="s">
        <v>1312</v>
      </c>
      <c r="E128" t="s">
        <v>1313</v>
      </c>
      <c r="F128">
        <v>5.26</v>
      </c>
      <c r="G128">
        <v>3.75</v>
      </c>
      <c r="H128" t="s">
        <v>4655</v>
      </c>
      <c r="I128">
        <v>2998200000</v>
      </c>
      <c r="K128">
        <v>1.3</v>
      </c>
      <c r="L128" t="s">
        <v>100</v>
      </c>
      <c r="M128" t="s">
        <v>599</v>
      </c>
      <c r="N128" t="s">
        <v>4656</v>
      </c>
      <c r="O128" t="s">
        <v>2920</v>
      </c>
      <c r="P128" t="s">
        <v>4657</v>
      </c>
      <c r="Q128" t="s">
        <v>546</v>
      </c>
      <c r="R128">
        <v>-82848208</v>
      </c>
      <c r="S128" s="5">
        <v>-0.31640000000000001</v>
      </c>
      <c r="T128" t="s">
        <v>4658</v>
      </c>
      <c r="U128">
        <v>371480500</v>
      </c>
      <c r="V128">
        <v>570000000</v>
      </c>
      <c r="W128">
        <v>1.1100000000000001</v>
      </c>
      <c r="X128">
        <v>0.01</v>
      </c>
      <c r="Y128">
        <v>-341.16</v>
      </c>
      <c r="Z128" t="s">
        <v>435</v>
      </c>
      <c r="AA128" t="s">
        <v>4659</v>
      </c>
      <c r="AB128" t="s">
        <v>4660</v>
      </c>
      <c r="AC128" t="s">
        <v>4661</v>
      </c>
      <c r="AD128" t="s">
        <v>81</v>
      </c>
      <c r="AE128">
        <v>-10751873</v>
      </c>
      <c r="AF128" t="s">
        <v>2923</v>
      </c>
      <c r="AG128" t="s">
        <v>81</v>
      </c>
      <c r="AH128" t="s">
        <v>2924</v>
      </c>
      <c r="AI128" t="s">
        <v>4662</v>
      </c>
      <c r="AJ128" t="s">
        <v>2925</v>
      </c>
      <c r="AK128" t="s">
        <v>81</v>
      </c>
      <c r="AL128" t="s">
        <v>2926</v>
      </c>
      <c r="AM128" t="s">
        <v>81</v>
      </c>
      <c r="AN128">
        <v>0</v>
      </c>
      <c r="AO128" t="s">
        <v>688</v>
      </c>
      <c r="AP128" t="s">
        <v>81</v>
      </c>
      <c r="AQ128" t="s">
        <v>4663</v>
      </c>
      <c r="AR128">
        <v>2597.7600000000002</v>
      </c>
      <c r="AS128" t="s">
        <v>91</v>
      </c>
      <c r="AT128" t="s">
        <v>81</v>
      </c>
      <c r="AU128" t="s">
        <v>1926</v>
      </c>
      <c r="AV128" t="s">
        <v>3834</v>
      </c>
      <c r="AW128" t="s">
        <v>4664</v>
      </c>
      <c r="AX128" t="s">
        <v>1782</v>
      </c>
      <c r="AY128">
        <v>4574.88</v>
      </c>
      <c r="AZ128" t="s">
        <v>81</v>
      </c>
      <c r="BA128" t="s">
        <v>81</v>
      </c>
      <c r="BB128" t="s">
        <v>81</v>
      </c>
      <c r="BC128" t="s">
        <v>1018</v>
      </c>
      <c r="BD128" t="s">
        <v>1314</v>
      </c>
      <c r="BE128" t="s">
        <v>1018</v>
      </c>
      <c r="BF128" t="s">
        <v>1315</v>
      </c>
      <c r="BG128" t="s">
        <v>1316</v>
      </c>
      <c r="BH128" t="s">
        <v>2921</v>
      </c>
      <c r="BI128" t="s">
        <v>246</v>
      </c>
      <c r="BJ128" t="s">
        <v>1782</v>
      </c>
      <c r="BK128" t="s">
        <v>2922</v>
      </c>
      <c r="BL128" t="s">
        <v>1930</v>
      </c>
      <c r="BM128" t="s">
        <v>1018</v>
      </c>
      <c r="BN128" t="s">
        <v>81</v>
      </c>
      <c r="BO128" t="s">
        <v>81</v>
      </c>
      <c r="BP128" t="s">
        <v>81</v>
      </c>
      <c r="BQ128">
        <v>-10.15</v>
      </c>
      <c r="BR128">
        <v>-8.5299999999999994</v>
      </c>
      <c r="BS128">
        <v>-32.659999999999997</v>
      </c>
      <c r="BT128" t="s">
        <v>1526</v>
      </c>
      <c r="BU128" t="s">
        <v>1354</v>
      </c>
      <c r="BV128">
        <v>79</v>
      </c>
      <c r="BW128">
        <v>73.02</v>
      </c>
      <c r="BX128">
        <v>84.99</v>
      </c>
      <c r="BY128">
        <v>-2914.45</v>
      </c>
      <c r="BZ128" t="s">
        <v>2927</v>
      </c>
      <c r="CA128" t="s">
        <v>1783</v>
      </c>
      <c r="CB128">
        <v>2.94</v>
      </c>
      <c r="CC128">
        <v>-14.61</v>
      </c>
      <c r="CD128" t="s">
        <v>4665</v>
      </c>
      <c r="CE128" t="s">
        <v>479</v>
      </c>
      <c r="CF128" s="7">
        <v>-0.84309999999999996</v>
      </c>
      <c r="CG128" s="8">
        <v>0.42064190209790209</v>
      </c>
      <c r="CH128" s="7">
        <v>27010.494140625</v>
      </c>
      <c r="CI128" s="7" t="e">
        <v>#VALUE!</v>
      </c>
      <c r="CJ128" s="7" t="s">
        <v>81</v>
      </c>
      <c r="CK128" s="7" t="s">
        <v>81</v>
      </c>
      <c r="CL128" s="7" t="s">
        <v>81</v>
      </c>
      <c r="CM128" s="8">
        <v>-0.59919029474258423</v>
      </c>
      <c r="CN128" s="8">
        <v>-5.106382817029953E-2</v>
      </c>
      <c r="CO128" s="8">
        <v>4.8582997173070908E-2</v>
      </c>
      <c r="CP128" s="8">
        <v>-0.43604651093482971</v>
      </c>
      <c r="CQ128" s="8">
        <v>-1.8697277307510376</v>
      </c>
      <c r="CR128">
        <v>-13.266997852406012</v>
      </c>
      <c r="CS128">
        <v>-4.9117938321801561E-6</v>
      </c>
      <c r="CT128">
        <v>0</v>
      </c>
      <c r="CU128" s="7">
        <v>27010.494140625</v>
      </c>
      <c r="CV128" s="8">
        <v>-0.58148907348513601</v>
      </c>
      <c r="CW128">
        <v>0.06</v>
      </c>
      <c r="CX128" t="e">
        <v>#VALUE!</v>
      </c>
      <c r="CY128" t="s">
        <v>1361</v>
      </c>
      <c r="CZ128">
        <v>27010.494140625</v>
      </c>
      <c r="DA128" t="e">
        <v>#VALUE!</v>
      </c>
      <c r="DB128" t="s">
        <v>1362</v>
      </c>
      <c r="DC128">
        <v>25659.969433593749</v>
      </c>
      <c r="DD128" t="e">
        <v>#VALUE!</v>
      </c>
      <c r="DE128" t="s">
        <v>1362</v>
      </c>
      <c r="DF128">
        <v>23769.23484375</v>
      </c>
      <c r="DG128" t="e">
        <v>#VALUE!</v>
      </c>
      <c r="DH128" t="s">
        <v>1362</v>
      </c>
      <c r="DI128">
        <v>21608.395312500001</v>
      </c>
      <c r="DJ128" t="e">
        <v>#VALUE!</v>
      </c>
      <c r="DK128" t="s">
        <v>1362</v>
      </c>
      <c r="DL128">
        <v>18907.345898437499</v>
      </c>
      <c r="DM128">
        <v>-395000000</v>
      </c>
      <c r="DN128">
        <v>27010.494140625</v>
      </c>
      <c r="DO128">
        <v>941200000</v>
      </c>
      <c r="DP128">
        <v>2102728500</v>
      </c>
      <c r="DQ128">
        <v>4692</v>
      </c>
      <c r="DR128">
        <v>-27011.337240624998</v>
      </c>
      <c r="DS128">
        <v>1.0021309755830381</v>
      </c>
      <c r="DT128" s="9">
        <v>-0.42000000000000015</v>
      </c>
      <c r="DU128">
        <v>-3.2450000000000006</v>
      </c>
      <c r="DV128">
        <v>-3.6650000000000009</v>
      </c>
      <c r="DW128">
        <v>6.1675213675213678</v>
      </c>
      <c r="DX128">
        <v>0.44409225352112641</v>
      </c>
      <c r="DY128">
        <v>6.0241385313590952</v>
      </c>
      <c r="DZ128">
        <v>4386</v>
      </c>
      <c r="EA128">
        <v>6.0034200189244586</v>
      </c>
      <c r="EB128">
        <v>6</v>
      </c>
      <c r="EC128">
        <v>3.5896666666666667E-2</v>
      </c>
      <c r="ED128">
        <v>0.24912280701754386</v>
      </c>
      <c r="EE128" s="10">
        <v>-1.02071</v>
      </c>
      <c r="EF128">
        <v>-1.0555099999999999</v>
      </c>
      <c r="EG128">
        <v>30.144092253521126</v>
      </c>
      <c r="EH128" t="s">
        <v>1365</v>
      </c>
      <c r="EI128">
        <v>0</v>
      </c>
      <c r="EJ128">
        <v>0</v>
      </c>
      <c r="EK128" s="11">
        <v>45470</v>
      </c>
      <c r="EL128" s="12">
        <v>1.81</v>
      </c>
      <c r="EM128" s="12">
        <v>-3.82</v>
      </c>
      <c r="EN128" s="12">
        <v>-2.31</v>
      </c>
      <c r="EO128" s="12">
        <v>4.49</v>
      </c>
      <c r="EP128" s="12">
        <v>-3.48</v>
      </c>
    </row>
    <row r="129" spans="1:146" ht="96" x14ac:dyDescent="0.25">
      <c r="A129" s="6"/>
      <c r="B129" s="6"/>
      <c r="C129" s="6" t="str">
        <f>""&amp;CHAR(10)&amp;Basic_Fundamental_Information_Constructure(F129)&amp;CHAR(10)&amp;Basic_Fundamental_Information_Concatenate("")</f>
        <v xml:space="preserve">
市值15.5036亿, 利润3.32亿; PE; 平均PE25.54; 平均PEG.77, PB1.18; ROIC0%; ROE-5.64%; 股利率0%; 毛利85.8767%; 净利-12.57%; 上一年度营收增153.51%, 利润增521.15%; 当季营收增-70.91%, 利润增-94.87%; 过往5年营收增33.18%, 利润增91.35%
Income profile:
</v>
      </c>
      <c r="D129" t="s">
        <v>127</v>
      </c>
      <c r="E129" t="s">
        <v>128</v>
      </c>
      <c r="F129">
        <v>5.65</v>
      </c>
      <c r="G129">
        <v>4.24</v>
      </c>
      <c r="H129" t="s">
        <v>4666</v>
      </c>
      <c r="I129">
        <v>1550360000</v>
      </c>
      <c r="K129">
        <v>1.18</v>
      </c>
      <c r="L129" t="s">
        <v>100</v>
      </c>
      <c r="M129" t="s">
        <v>283</v>
      </c>
      <c r="N129" t="s">
        <v>3885</v>
      </c>
      <c r="O129" t="s">
        <v>274</v>
      </c>
      <c r="P129">
        <v>-63.12</v>
      </c>
      <c r="Q129" t="s">
        <v>4526</v>
      </c>
      <c r="R129">
        <v>3766509</v>
      </c>
      <c r="S129" s="5">
        <v>-0.69950000000000001</v>
      </c>
      <c r="T129" t="s">
        <v>272</v>
      </c>
      <c r="U129">
        <v>274400000</v>
      </c>
      <c r="V129">
        <v>274400000</v>
      </c>
      <c r="W129">
        <v>1.31</v>
      </c>
      <c r="X129">
        <v>7.0000000000000007E-2</v>
      </c>
      <c r="Y129">
        <v>4.18</v>
      </c>
      <c r="Z129" t="s">
        <v>4667</v>
      </c>
      <c r="AA129" t="s">
        <v>4668</v>
      </c>
      <c r="AB129" t="s">
        <v>4669</v>
      </c>
      <c r="AC129" t="s">
        <v>4670</v>
      </c>
      <c r="AD129" t="s">
        <v>81</v>
      </c>
      <c r="AE129">
        <v>-577893</v>
      </c>
      <c r="AF129" t="s">
        <v>236</v>
      </c>
      <c r="AG129" t="s">
        <v>4671</v>
      </c>
      <c r="AH129" t="s">
        <v>2929</v>
      </c>
      <c r="AI129" t="s">
        <v>2814</v>
      </c>
      <c r="AJ129" t="s">
        <v>2930</v>
      </c>
      <c r="AK129" t="s">
        <v>4672</v>
      </c>
      <c r="AL129" t="s">
        <v>2931</v>
      </c>
      <c r="AM129" t="s">
        <v>81</v>
      </c>
      <c r="AN129" t="s">
        <v>2932</v>
      </c>
      <c r="AO129" t="s">
        <v>262</v>
      </c>
      <c r="AP129" t="s">
        <v>81</v>
      </c>
      <c r="AQ129" t="s">
        <v>4673</v>
      </c>
      <c r="AR129" t="s">
        <v>81</v>
      </c>
      <c r="AS129" t="s">
        <v>840</v>
      </c>
      <c r="AT129" t="s">
        <v>81</v>
      </c>
      <c r="AU129" t="s">
        <v>4674</v>
      </c>
      <c r="AV129" t="s">
        <v>4675</v>
      </c>
      <c r="AW129" t="s">
        <v>4676</v>
      </c>
      <c r="AX129" t="s">
        <v>500</v>
      </c>
      <c r="AY129" t="s">
        <v>1438</v>
      </c>
      <c r="AZ129" t="s">
        <v>695</v>
      </c>
      <c r="BA129" t="s">
        <v>1009</v>
      </c>
      <c r="BB129" t="s">
        <v>1010</v>
      </c>
      <c r="BC129" t="s">
        <v>1784</v>
      </c>
      <c r="BD129" t="s">
        <v>1479</v>
      </c>
      <c r="BE129" t="s">
        <v>265</v>
      </c>
      <c r="BF129" t="s">
        <v>1011</v>
      </c>
      <c r="BG129" t="s">
        <v>1012</v>
      </c>
      <c r="BH129" t="s">
        <v>1828</v>
      </c>
      <c r="BI129" t="s">
        <v>991</v>
      </c>
      <c r="BJ129" t="s">
        <v>500</v>
      </c>
      <c r="BK129" t="s">
        <v>2928</v>
      </c>
      <c r="BL129" t="s">
        <v>4677</v>
      </c>
      <c r="BM129" t="s">
        <v>1784</v>
      </c>
      <c r="BN129" t="s">
        <v>81</v>
      </c>
      <c r="BO129" t="s">
        <v>81</v>
      </c>
      <c r="BP129" t="s">
        <v>81</v>
      </c>
      <c r="BQ129">
        <v>0.05</v>
      </c>
      <c r="BR129">
        <v>-5.82</v>
      </c>
      <c r="BS129">
        <v>-11.15</v>
      </c>
      <c r="BT129" t="s">
        <v>1526</v>
      </c>
      <c r="BU129" t="s">
        <v>1354</v>
      </c>
      <c r="BV129">
        <v>84.72</v>
      </c>
      <c r="BW129">
        <v>85.79</v>
      </c>
      <c r="BX129">
        <v>87.12</v>
      </c>
      <c r="BY129">
        <v>0.8</v>
      </c>
      <c r="BZ129">
        <v>-13.97</v>
      </c>
      <c r="CA129">
        <v>-24.54</v>
      </c>
      <c r="CB129">
        <v>0.36</v>
      </c>
      <c r="CC129">
        <v>-13.48</v>
      </c>
      <c r="CD129" t="s">
        <v>4678</v>
      </c>
      <c r="CE129" t="s">
        <v>688</v>
      </c>
      <c r="CF129" s="7">
        <v>-0.70909090909090911</v>
      </c>
      <c r="CG129" s="8">
        <v>-0.94872400470488294</v>
      </c>
      <c r="CH129" s="7">
        <v>1.5350500345230103</v>
      </c>
      <c r="CI129" s="7">
        <v>-6.0483869165182114E-2</v>
      </c>
      <c r="CJ129" s="7">
        <v>-0.27696794271469116</v>
      </c>
      <c r="CK129" s="7">
        <v>1.479289960116148E-2</v>
      </c>
      <c r="CL129" s="7">
        <v>0.44650498032569885</v>
      </c>
      <c r="CM129" s="8">
        <v>5.2114715576171875</v>
      </c>
      <c r="CN129" s="8">
        <v>0.51338082551956177</v>
      </c>
      <c r="CO129" s="8">
        <v>-2.265625</v>
      </c>
      <c r="CP129" s="8">
        <v>0.39930006861686707</v>
      </c>
      <c r="CQ129" s="8">
        <v>0.70898550748825073</v>
      </c>
      <c r="CR129">
        <v>25.543630334942023</v>
      </c>
      <c r="CS129">
        <v>0.76989843714049611</v>
      </c>
      <c r="CT129">
        <v>0</v>
      </c>
      <c r="CU129" s="7">
        <v>0.33177922051399944</v>
      </c>
      <c r="CV129" s="8">
        <v>0.91350259184837346</v>
      </c>
      <c r="CW129">
        <v>0.06</v>
      </c>
      <c r="CX129">
        <v>1.6454606947539074</v>
      </c>
      <c r="CY129">
        <v>417123303.02891308</v>
      </c>
      <c r="CZ129">
        <v>0.33177922051399944</v>
      </c>
      <c r="DA129">
        <v>0.44077500687778454</v>
      </c>
      <c r="DB129">
        <v>1557166330.4183438</v>
      </c>
      <c r="DC129">
        <v>0.31519025948829943</v>
      </c>
      <c r="DD129">
        <v>0.1629086177970713</v>
      </c>
      <c r="DE129">
        <v>4213159557.0651212</v>
      </c>
      <c r="DF129">
        <v>0.29196571405231952</v>
      </c>
      <c r="DG129">
        <v>6.8786211552801874E-2</v>
      </c>
      <c r="DH129">
        <v>9978162548.9453545</v>
      </c>
      <c r="DI129">
        <v>0.26542337641119956</v>
      </c>
      <c r="DJ129">
        <v>1.4960937697803883E-2</v>
      </c>
      <c r="DK129">
        <v>45876803570.992134</v>
      </c>
      <c r="DL129">
        <v>0.2322454543597996</v>
      </c>
      <c r="DM129">
        <v>332000000</v>
      </c>
      <c r="DN129">
        <v>0.33177922051399944</v>
      </c>
      <c r="DO129">
        <v>686360000</v>
      </c>
      <c r="DP129">
        <v>854613160</v>
      </c>
      <c r="DQ129">
        <v>4705</v>
      </c>
      <c r="DR129">
        <v>-1.0408701296049085</v>
      </c>
      <c r="DS129">
        <v>-1.8622265965532563</v>
      </c>
      <c r="DT129" s="9">
        <v>-0.14000000000000004</v>
      </c>
      <c r="DU129">
        <v>-0.77333333333333343</v>
      </c>
      <c r="DV129">
        <v>-0.91333333333333344</v>
      </c>
      <c r="DW129">
        <v>-2.1347999999999998</v>
      </c>
      <c r="DX129">
        <v>0.4418900000000005</v>
      </c>
      <c r="DY129">
        <v>-2.0164307720000001</v>
      </c>
      <c r="DZ129">
        <v>330</v>
      </c>
      <c r="EA129">
        <v>-2.0153696849628182</v>
      </c>
      <c r="EB129">
        <v>2</v>
      </c>
      <c r="EC129">
        <v>4.8862609329446062E-2</v>
      </c>
      <c r="ED129">
        <v>0.40087463556851316</v>
      </c>
      <c r="EE129" s="10">
        <v>-3.0081099999999998</v>
      </c>
      <c r="EF129">
        <v>-3.0499100000000001</v>
      </c>
      <c r="EG129">
        <v>32.12189</v>
      </c>
      <c r="EH129" t="s">
        <v>1991</v>
      </c>
      <c r="EI129">
        <v>0</v>
      </c>
      <c r="EJ129">
        <v>1</v>
      </c>
      <c r="EK129" s="11">
        <v>45470</v>
      </c>
      <c r="EL129" s="12">
        <v>1.28</v>
      </c>
      <c r="EM129" s="12">
        <v>-3.95</v>
      </c>
      <c r="EN129" s="12">
        <v>-2.25</v>
      </c>
      <c r="EO129" s="12">
        <v>1.7</v>
      </c>
      <c r="EP129" s="12">
        <v>-4.18</v>
      </c>
    </row>
    <row r="130" spans="1:146" x14ac:dyDescent="0.25">
      <c r="A130" s="6"/>
      <c r="B130" s="6"/>
      <c r="C130" s="6" t="e">
        <f>""&amp;CHAR(10)&amp;Basic_Fundamental_Information_Constructure(F130)&amp;CHAR(10)&amp;Basic_Fundamental_Information_Concatenate("")</f>
        <v>#VALUE!</v>
      </c>
      <c r="D130" t="s">
        <v>1317</v>
      </c>
      <c r="E130" t="s">
        <v>1318</v>
      </c>
      <c r="F130">
        <v>38.71</v>
      </c>
      <c r="G130">
        <v>7.77</v>
      </c>
      <c r="H130" t="s">
        <v>4679</v>
      </c>
      <c r="I130">
        <v>16089932000</v>
      </c>
      <c r="K130">
        <v>23.1</v>
      </c>
      <c r="L130" t="s">
        <v>100</v>
      </c>
      <c r="M130" t="s">
        <v>2330</v>
      </c>
      <c r="N130" t="s">
        <v>1765</v>
      </c>
      <c r="O130" t="s">
        <v>2933</v>
      </c>
      <c r="P130" t="s">
        <v>81</v>
      </c>
      <c r="Q130" t="s">
        <v>307</v>
      </c>
      <c r="R130">
        <v>-224234890</v>
      </c>
      <c r="S130" s="5">
        <v>6.3799999999999996E-2</v>
      </c>
      <c r="T130" t="s">
        <v>4680</v>
      </c>
      <c r="U130">
        <v>123084983</v>
      </c>
      <c r="V130">
        <v>415653120</v>
      </c>
      <c r="W130">
        <v>2.23</v>
      </c>
      <c r="X130">
        <v>0.05</v>
      </c>
      <c r="Y130">
        <v>-275.75</v>
      </c>
      <c r="Z130" t="s">
        <v>430</v>
      </c>
      <c r="AA130" t="s">
        <v>4681</v>
      </c>
      <c r="AB130" t="s">
        <v>4682</v>
      </c>
      <c r="AC130" t="s">
        <v>4683</v>
      </c>
      <c r="AD130" t="s">
        <v>81</v>
      </c>
      <c r="AE130">
        <v>3849702</v>
      </c>
      <c r="AF130" t="s">
        <v>236</v>
      </c>
      <c r="AG130" t="s">
        <v>81</v>
      </c>
      <c r="AH130" t="s">
        <v>2936</v>
      </c>
      <c r="AI130" t="s">
        <v>4684</v>
      </c>
      <c r="AJ130" t="s">
        <v>2937</v>
      </c>
      <c r="AK130" t="s">
        <v>81</v>
      </c>
      <c r="AL130" t="s">
        <v>2938</v>
      </c>
      <c r="AM130" t="s">
        <v>81</v>
      </c>
      <c r="AN130" t="s">
        <v>4685</v>
      </c>
      <c r="AO130" t="s">
        <v>410</v>
      </c>
      <c r="AP130" t="s">
        <v>81</v>
      </c>
      <c r="AQ130" t="s">
        <v>613</v>
      </c>
      <c r="AR130" t="s">
        <v>81</v>
      </c>
      <c r="AS130" t="s">
        <v>318</v>
      </c>
      <c r="AT130" t="s">
        <v>564</v>
      </c>
      <c r="AU130" t="s">
        <v>974</v>
      </c>
      <c r="AV130" t="s">
        <v>4686</v>
      </c>
      <c r="AW130" t="s">
        <v>311</v>
      </c>
      <c r="AX130">
        <v>0</v>
      </c>
      <c r="AY130" t="s">
        <v>1319</v>
      </c>
      <c r="AZ130" t="s">
        <v>1321</v>
      </c>
      <c r="BA130" t="s">
        <v>1322</v>
      </c>
      <c r="BB130" t="s">
        <v>1323</v>
      </c>
      <c r="BC130" t="s">
        <v>1785</v>
      </c>
      <c r="BD130" t="s">
        <v>1320</v>
      </c>
      <c r="BE130" t="s">
        <v>1324</v>
      </c>
      <c r="BF130" t="s">
        <v>1325</v>
      </c>
      <c r="BG130" t="s">
        <v>1249</v>
      </c>
      <c r="BH130" t="s">
        <v>2934</v>
      </c>
      <c r="BI130" t="s">
        <v>4687</v>
      </c>
      <c r="BJ130">
        <v>0</v>
      </c>
      <c r="BK130" t="s">
        <v>2935</v>
      </c>
      <c r="BL130" t="s">
        <v>4688</v>
      </c>
      <c r="BM130" t="s">
        <v>1785</v>
      </c>
      <c r="BN130" t="s">
        <v>81</v>
      </c>
      <c r="BO130" t="s">
        <v>81</v>
      </c>
      <c r="BP130" t="s">
        <v>81</v>
      </c>
      <c r="BQ130">
        <v>-58.35</v>
      </c>
      <c r="BR130">
        <v>-34.9</v>
      </c>
      <c r="BS130">
        <v>-86.44</v>
      </c>
      <c r="BT130" t="s">
        <v>1526</v>
      </c>
      <c r="BU130" t="s">
        <v>1354</v>
      </c>
      <c r="BV130">
        <v>96.48</v>
      </c>
      <c r="BW130" t="s">
        <v>81</v>
      </c>
      <c r="BX130">
        <v>12.42</v>
      </c>
      <c r="BY130">
        <v>-1213.42</v>
      </c>
      <c r="BZ130" t="s">
        <v>81</v>
      </c>
      <c r="CA130">
        <v>-6512.85</v>
      </c>
      <c r="CB130">
        <v>5.08</v>
      </c>
      <c r="CC130">
        <v>-3.42</v>
      </c>
      <c r="CD130" t="s">
        <v>4689</v>
      </c>
      <c r="CE130" t="s">
        <v>4690</v>
      </c>
      <c r="CF130" s="7">
        <v>1.0976513226626081</v>
      </c>
      <c r="CG130" s="8">
        <v>-34.078905871126196</v>
      </c>
      <c r="CH130" s="7" t="e">
        <v>#VALUE!</v>
      </c>
      <c r="CI130" s="7">
        <v>-1</v>
      </c>
      <c r="CJ130" s="7">
        <v>-0.62949913740158081</v>
      </c>
      <c r="CK130" s="7">
        <v>-0.32319620251655579</v>
      </c>
      <c r="CL130" s="7">
        <v>4.0546230971813202E-2</v>
      </c>
      <c r="CM130" s="8">
        <v>1.0112218856811523</v>
      </c>
      <c r="CN130" s="8">
        <v>-9.8507463932037354E-2</v>
      </c>
      <c r="CO130" s="8">
        <v>-0.14139693975448608</v>
      </c>
      <c r="CP130" s="8">
        <v>-0.31614348292350769</v>
      </c>
      <c r="CQ130" s="8">
        <v>-1.563218355178833</v>
      </c>
      <c r="CR130">
        <v>-37.063033567986253</v>
      </c>
      <c r="CS130">
        <v>-0.77531680755607146</v>
      </c>
      <c r="CT130">
        <v>0</v>
      </c>
      <c r="CU130" s="7">
        <v>-0.47803727723658085</v>
      </c>
      <c r="CV130" s="8">
        <v>-0.22160887122154235</v>
      </c>
      <c r="CW130">
        <v>0.06</v>
      </c>
      <c r="CX130" t="e">
        <v>#VALUE!</v>
      </c>
      <c r="CY130" t="s">
        <v>2076</v>
      </c>
      <c r="CZ130">
        <v>-0.47803727723658085</v>
      </c>
      <c r="DA130">
        <v>647.38868104238054</v>
      </c>
      <c r="DB130" t="s">
        <v>4691</v>
      </c>
      <c r="DC130">
        <v>-0.45413541337475177</v>
      </c>
      <c r="DD130">
        <v>323.69434052119027</v>
      </c>
      <c r="DE130" t="s">
        <v>4692</v>
      </c>
      <c r="DF130">
        <v>-0.42067280396819112</v>
      </c>
      <c r="DG130">
        <v>194.21660431271414</v>
      </c>
      <c r="DH130" t="s">
        <v>4693</v>
      </c>
      <c r="DI130">
        <v>-0.38242982178926471</v>
      </c>
      <c r="DJ130">
        <v>97.10830215635707</v>
      </c>
      <c r="DK130" t="s">
        <v>4694</v>
      </c>
      <c r="DL130">
        <v>-0.33462609406560656</v>
      </c>
      <c r="DM130">
        <v>8259299.9999999991</v>
      </c>
      <c r="DN130">
        <v>-0.47803727723658085</v>
      </c>
      <c r="DO130">
        <v>16040932000</v>
      </c>
      <c r="DP130">
        <v>433932670</v>
      </c>
      <c r="DQ130">
        <v>4708</v>
      </c>
      <c r="DR130">
        <v>1.575688599899189</v>
      </c>
      <c r="DS130">
        <v>-33.857296999904655</v>
      </c>
      <c r="DT130" s="9">
        <v>-1.3479999999999999</v>
      </c>
      <c r="DU130">
        <v>-2.5483333333333333</v>
      </c>
      <c r="DV130">
        <v>-3.8963333333333332</v>
      </c>
      <c r="DW130">
        <v>4.6732283464566926</v>
      </c>
      <c r="DX130">
        <v>0.60926805713709453</v>
      </c>
      <c r="DY130">
        <v>4.0937592038206407</v>
      </c>
      <c r="DZ130">
        <v>1143</v>
      </c>
      <c r="EA130">
        <v>4.072787233181308</v>
      </c>
      <c r="EB130">
        <v>4</v>
      </c>
      <c r="EC130">
        <v>1.8596275663707276E-2</v>
      </c>
      <c r="ED130">
        <v>0.13352865004357481</v>
      </c>
      <c r="EE130" s="10">
        <v>-4.0606999999999998</v>
      </c>
      <c r="EF130">
        <v>-4.0487000000000002</v>
      </c>
      <c r="EG130">
        <v>47.139268057137095</v>
      </c>
      <c r="EH130" t="s">
        <v>2022</v>
      </c>
      <c r="EI130">
        <v>0</v>
      </c>
      <c r="EJ130">
        <v>1</v>
      </c>
      <c r="EK130" s="11">
        <v>45470</v>
      </c>
      <c r="EL130" s="12">
        <v>-3.16</v>
      </c>
      <c r="EM130" s="12">
        <v>-3.95</v>
      </c>
      <c r="EN130" s="12">
        <v>-0.86</v>
      </c>
      <c r="EO130" s="12">
        <v>1.54</v>
      </c>
      <c r="EP130" s="12">
        <v>-1.2</v>
      </c>
    </row>
    <row r="131" spans="1:146" x14ac:dyDescent="0.25">
      <c r="A131" s="6"/>
      <c r="B131" s="6"/>
      <c r="C131" s="6" t="e">
        <f>""&amp;CHAR(10)&amp;Basic_Fundamental_Information_Constructure(F131)&amp;CHAR(10)&amp;Basic_Fundamental_Information_Concatenate("")</f>
        <v>#VALUE!</v>
      </c>
      <c r="D131" t="s">
        <v>1326</v>
      </c>
      <c r="E131" t="s">
        <v>1327</v>
      </c>
      <c r="F131">
        <v>41.9</v>
      </c>
      <c r="G131">
        <v>6.75</v>
      </c>
      <c r="H131" t="s">
        <v>4695</v>
      </c>
      <c r="I131">
        <v>6231340500</v>
      </c>
      <c r="K131">
        <v>6.44</v>
      </c>
      <c r="L131" t="s">
        <v>100</v>
      </c>
      <c r="M131" t="s">
        <v>2939</v>
      </c>
      <c r="N131" t="s">
        <v>641</v>
      </c>
      <c r="O131" t="s">
        <v>81</v>
      </c>
      <c r="P131" t="s">
        <v>81</v>
      </c>
      <c r="Q131" t="s">
        <v>452</v>
      </c>
      <c r="R131">
        <v>-53307597</v>
      </c>
      <c r="S131" s="5">
        <v>-0.1321</v>
      </c>
      <c r="T131" t="s">
        <v>291</v>
      </c>
      <c r="U131">
        <v>55766242</v>
      </c>
      <c r="V131">
        <v>148719340</v>
      </c>
      <c r="W131">
        <v>1.1000000000000001</v>
      </c>
      <c r="X131" t="s">
        <v>81</v>
      </c>
      <c r="Y131" t="s">
        <v>81</v>
      </c>
      <c r="Z131" t="s">
        <v>4696</v>
      </c>
      <c r="AA131" t="s">
        <v>81</v>
      </c>
      <c r="AB131" t="s">
        <v>81</v>
      </c>
      <c r="AC131" t="s">
        <v>4697</v>
      </c>
      <c r="AD131" t="s">
        <v>81</v>
      </c>
      <c r="AE131">
        <v>-2619208</v>
      </c>
      <c r="AF131" t="s">
        <v>2941</v>
      </c>
      <c r="AG131" t="s">
        <v>81</v>
      </c>
      <c r="AH131" t="s">
        <v>2942</v>
      </c>
      <c r="AI131" t="s">
        <v>1210</v>
      </c>
      <c r="AJ131" t="s">
        <v>236</v>
      </c>
      <c r="AK131" t="s">
        <v>81</v>
      </c>
      <c r="AL131" t="s">
        <v>2943</v>
      </c>
      <c r="AM131" t="s">
        <v>81</v>
      </c>
      <c r="AN131" t="s">
        <v>2944</v>
      </c>
      <c r="AO131" t="s">
        <v>81</v>
      </c>
      <c r="AP131" t="s">
        <v>81</v>
      </c>
      <c r="AQ131" t="s">
        <v>4698</v>
      </c>
      <c r="AR131" t="s">
        <v>81</v>
      </c>
      <c r="AS131" t="s">
        <v>4699</v>
      </c>
      <c r="AT131" t="s">
        <v>81</v>
      </c>
      <c r="AU131" t="s">
        <v>4700</v>
      </c>
      <c r="AV131" t="s">
        <v>4701</v>
      </c>
      <c r="AW131" t="s">
        <v>4702</v>
      </c>
      <c r="AX131" t="s">
        <v>1787</v>
      </c>
      <c r="AY131" t="s">
        <v>1328</v>
      </c>
      <c r="AZ131" t="s">
        <v>1330</v>
      </c>
      <c r="BA131" t="s">
        <v>1331</v>
      </c>
      <c r="BB131" t="s">
        <v>1332</v>
      </c>
      <c r="BC131" t="s">
        <v>1249</v>
      </c>
      <c r="BD131" t="s">
        <v>1329</v>
      </c>
      <c r="BE131" t="s">
        <v>1333</v>
      </c>
      <c r="BF131" t="s">
        <v>1334</v>
      </c>
      <c r="BG131" t="s">
        <v>1335</v>
      </c>
      <c r="BH131" t="s">
        <v>2940</v>
      </c>
      <c r="BI131" t="s">
        <v>4703</v>
      </c>
      <c r="BJ131" t="s">
        <v>1787</v>
      </c>
      <c r="BK131" t="s">
        <v>1768</v>
      </c>
      <c r="BL131" t="s">
        <v>4704</v>
      </c>
      <c r="BM131" t="s">
        <v>1249</v>
      </c>
      <c r="BN131" t="s">
        <v>81</v>
      </c>
      <c r="BO131" t="s">
        <v>81</v>
      </c>
      <c r="BP131" t="s">
        <v>81</v>
      </c>
      <c r="BQ131">
        <v>-11.95</v>
      </c>
      <c r="BR131">
        <v>-18.32</v>
      </c>
      <c r="BS131">
        <v>-195.94</v>
      </c>
      <c r="BT131" t="s">
        <v>1526</v>
      </c>
      <c r="BU131" t="s">
        <v>1354</v>
      </c>
      <c r="BV131">
        <v>97.87</v>
      </c>
      <c r="BW131">
        <v>99.37</v>
      </c>
      <c r="BX131">
        <v>99.93</v>
      </c>
      <c r="BY131">
        <v>-3548.79</v>
      </c>
      <c r="BZ131">
        <v>-9512.74</v>
      </c>
      <c r="CA131">
        <v>-1112</v>
      </c>
      <c r="CB131">
        <v>-4.03</v>
      </c>
      <c r="CC131">
        <v>-11.44</v>
      </c>
      <c r="CD131" t="s">
        <v>4705</v>
      </c>
      <c r="CE131" t="s">
        <v>4706</v>
      </c>
      <c r="CF131" s="7" t="s">
        <v>81</v>
      </c>
      <c r="CG131" s="8">
        <v>-5.5568669806724058</v>
      </c>
      <c r="CH131" s="7">
        <v>202.04290771484375</v>
      </c>
      <c r="CI131" s="7">
        <v>-0.85979664325714111</v>
      </c>
      <c r="CJ131" s="7">
        <v>0.8567194938659668</v>
      </c>
      <c r="CK131" s="7">
        <v>-0.39215940237045288</v>
      </c>
      <c r="CL131" s="7">
        <v>-0.42192631959915161</v>
      </c>
      <c r="CM131" s="8">
        <v>1.6609195470809937</v>
      </c>
      <c r="CN131" s="8">
        <v>-0.20000000298023224</v>
      </c>
      <c r="CO131" s="8">
        <v>0.56060606241226196</v>
      </c>
      <c r="CP131" s="8">
        <v>-7.3316082954406738</v>
      </c>
      <c r="CQ131" s="8">
        <v>-2.207531213760376</v>
      </c>
      <c r="CR131">
        <v>-63.80683589760131</v>
      </c>
      <c r="CS131">
        <v>-1.5854540865839858E-2</v>
      </c>
      <c r="CT131">
        <v>0</v>
      </c>
      <c r="CU131" s="7">
        <v>40.245148968696597</v>
      </c>
      <c r="CV131" s="8">
        <v>-1.5035227805376052</v>
      </c>
      <c r="CW131">
        <v>0.06</v>
      </c>
      <c r="CX131">
        <v>1.1966138429068045</v>
      </c>
      <c r="CY131">
        <v>4474709557.9246302</v>
      </c>
      <c r="CZ131">
        <v>40.245148968696597</v>
      </c>
      <c r="DA131">
        <v>8.935132223061112E-4</v>
      </c>
      <c r="DB131">
        <v>5992635885320.5498</v>
      </c>
      <c r="DC131">
        <v>38.232891520261767</v>
      </c>
      <c r="DD131">
        <v>2.749747488550973E-8</v>
      </c>
      <c r="DE131">
        <v>1.947269493760551E+17</v>
      </c>
      <c r="DF131">
        <v>35.415731092453008</v>
      </c>
      <c r="DG131">
        <v>4.9672114769920875E-14</v>
      </c>
      <c r="DH131">
        <v>1.0779688814945395E+23</v>
      </c>
      <c r="DI131">
        <v>32.196119174957282</v>
      </c>
      <c r="DJ131">
        <v>7.2253249626694674E-28</v>
      </c>
      <c r="DK131">
        <v>7.4107385171804476E+36</v>
      </c>
      <c r="DL131">
        <v>28.171604278087617</v>
      </c>
      <c r="DM131">
        <v>114999999.99999999</v>
      </c>
      <c r="DN131">
        <v>40.245148968696597</v>
      </c>
      <c r="DO131">
        <v>5354499400</v>
      </c>
      <c r="DP131">
        <v>729352030</v>
      </c>
      <c r="DQ131">
        <v>4712</v>
      </c>
      <c r="DR131" t="e">
        <v>#VALUE!</v>
      </c>
      <c r="DS131">
        <v>-4.0533442001348003</v>
      </c>
      <c r="DT131" s="9" t="e">
        <v>#VALUE!</v>
      </c>
      <c r="DU131">
        <v>-2.6816666666666666</v>
      </c>
      <c r="DV131" t="e">
        <v>#VALUE!</v>
      </c>
      <c r="DW131">
        <v>-8.3522727272727266</v>
      </c>
      <c r="DX131">
        <v>0.77090785093058367</v>
      </c>
      <c r="DY131">
        <v>-8.0707743565778198</v>
      </c>
      <c r="DZ131">
        <v>488</v>
      </c>
      <c r="EA131">
        <v>-8.0640154747754753</v>
      </c>
      <c r="EB131">
        <v>8</v>
      </c>
      <c r="EC131">
        <v>1.8421948349152173E-2</v>
      </c>
      <c r="ED131">
        <v>9.169352150164195E-2</v>
      </c>
      <c r="EE131" s="10">
        <v>-3.0773100000000002</v>
      </c>
      <c r="EF131">
        <v>-3.0684100000000001</v>
      </c>
      <c r="EG131">
        <v>57.200907850930584</v>
      </c>
      <c r="EH131" t="s">
        <v>1991</v>
      </c>
      <c r="EI131">
        <v>0</v>
      </c>
      <c r="EJ131">
        <v>1</v>
      </c>
      <c r="EK131" s="11">
        <v>45470</v>
      </c>
      <c r="EL131" s="12">
        <v>0.23</v>
      </c>
      <c r="EM131" s="12">
        <v>-0.93</v>
      </c>
      <c r="EN131" s="12">
        <v>2.11</v>
      </c>
      <c r="EO131" s="12">
        <v>-0.39</v>
      </c>
      <c r="EP131" s="12">
        <v>0.89</v>
      </c>
    </row>
    <row r="132" spans="1:146" ht="96" x14ac:dyDescent="0.25">
      <c r="A132" s="6"/>
      <c r="B132" s="6"/>
      <c r="C132" s="6" t="str">
        <f>""&amp;CHAR(10)&amp;Basic_Fundamental_Information_Constructure(F132)&amp;CHAR(10)&amp;Basic_Fundamental_Information_Concatenate("")</f>
        <v xml:space="preserve">
市值20.52691亿, 利润4071.85万; PE; 平均PE-9.88; 平均PEG-.03, PB1.6; ROIC0%; ROE-16.54%; 股利率0%; 毛利5.7233%; 净利-454.6267%; 上一年度营收增337.81%, 利润增111.41%; 当季营收增-64.57%, 利润增-493.02%; 过往5年营收增309.78%, 利润增12.7%
Income profile:
</v>
      </c>
      <c r="D132" t="s">
        <v>507</v>
      </c>
      <c r="E132" t="s">
        <v>508</v>
      </c>
      <c r="F132">
        <v>5.48</v>
      </c>
      <c r="G132">
        <v>5.59</v>
      </c>
      <c r="H132" t="s">
        <v>4707</v>
      </c>
      <c r="I132">
        <v>2052691000</v>
      </c>
      <c r="K132">
        <v>1.6</v>
      </c>
      <c r="L132" t="s">
        <v>100</v>
      </c>
      <c r="M132" t="s">
        <v>326</v>
      </c>
      <c r="N132" t="s">
        <v>4708</v>
      </c>
      <c r="O132" t="s">
        <v>2945</v>
      </c>
      <c r="P132">
        <v>106.93</v>
      </c>
      <c r="Q132" t="s">
        <v>452</v>
      </c>
      <c r="R132">
        <v>-55706178</v>
      </c>
      <c r="S132" s="5">
        <v>0.26419999999999999</v>
      </c>
      <c r="T132" t="s">
        <v>4709</v>
      </c>
      <c r="U132">
        <v>374578650</v>
      </c>
      <c r="V132">
        <v>374578650</v>
      </c>
      <c r="W132">
        <v>1.62</v>
      </c>
      <c r="X132">
        <v>0.01</v>
      </c>
      <c r="Y132">
        <v>-226.01</v>
      </c>
      <c r="Z132" t="s">
        <v>4710</v>
      </c>
      <c r="AA132" t="s">
        <v>4711</v>
      </c>
      <c r="AB132" t="s">
        <v>4712</v>
      </c>
      <c r="AC132" t="s">
        <v>4713</v>
      </c>
      <c r="AD132" t="s">
        <v>81</v>
      </c>
      <c r="AE132">
        <v>83789</v>
      </c>
      <c r="AF132" t="s">
        <v>2947</v>
      </c>
      <c r="AG132">
        <v>1106.19</v>
      </c>
      <c r="AH132" t="s">
        <v>2948</v>
      </c>
      <c r="AI132" t="s">
        <v>278</v>
      </c>
      <c r="AJ132" t="s">
        <v>2949</v>
      </c>
      <c r="AK132" t="s">
        <v>81</v>
      </c>
      <c r="AL132" t="s">
        <v>2950</v>
      </c>
      <c r="AM132" t="s">
        <v>81</v>
      </c>
      <c r="AN132" t="s">
        <v>546</v>
      </c>
      <c r="AO132" t="s">
        <v>303</v>
      </c>
      <c r="AP132" t="s">
        <v>81</v>
      </c>
      <c r="AQ132" t="s">
        <v>4714</v>
      </c>
      <c r="AR132" t="s">
        <v>81</v>
      </c>
      <c r="AS132" t="s">
        <v>1956</v>
      </c>
      <c r="AT132" t="s">
        <v>477</v>
      </c>
      <c r="AU132" t="s">
        <v>4715</v>
      </c>
      <c r="AV132" t="s">
        <v>2987</v>
      </c>
      <c r="AW132" t="s">
        <v>4716</v>
      </c>
      <c r="AX132" t="s">
        <v>1788</v>
      </c>
      <c r="AY132" t="s">
        <v>1336</v>
      </c>
      <c r="AZ132" t="s">
        <v>1013</v>
      </c>
      <c r="BA132" t="s">
        <v>1015</v>
      </c>
      <c r="BB132" t="s">
        <v>1016</v>
      </c>
      <c r="BC132" t="s">
        <v>1789</v>
      </c>
      <c r="BD132" t="s">
        <v>1082</v>
      </c>
      <c r="BE132" t="s">
        <v>1014</v>
      </c>
      <c r="BF132" t="s">
        <v>1017</v>
      </c>
      <c r="BG132" t="s">
        <v>1018</v>
      </c>
      <c r="BH132" t="s">
        <v>349</v>
      </c>
      <c r="BI132" t="s">
        <v>4717</v>
      </c>
      <c r="BJ132" t="s">
        <v>1788</v>
      </c>
      <c r="BK132" t="s">
        <v>2946</v>
      </c>
      <c r="BL132" t="s">
        <v>4718</v>
      </c>
      <c r="BM132" t="s">
        <v>1789</v>
      </c>
      <c r="BN132" t="s">
        <v>81</v>
      </c>
      <c r="BO132" t="s">
        <v>81</v>
      </c>
      <c r="BP132" t="s">
        <v>81</v>
      </c>
      <c r="BQ132">
        <v>-15.64</v>
      </c>
      <c r="BR132">
        <v>-20.96</v>
      </c>
      <c r="BS132">
        <v>-13.02</v>
      </c>
      <c r="BT132" t="s">
        <v>1526</v>
      </c>
      <c r="BU132" t="s">
        <v>1354</v>
      </c>
      <c r="BV132">
        <v>29</v>
      </c>
      <c r="BW132">
        <v>18.61</v>
      </c>
      <c r="BX132">
        <v>-30.44</v>
      </c>
      <c r="BY132">
        <v>-287.93</v>
      </c>
      <c r="BZ132">
        <v>-421.01</v>
      </c>
      <c r="CA132">
        <v>-654.94000000000005</v>
      </c>
      <c r="CB132">
        <v>-1.26</v>
      </c>
      <c r="CC132">
        <v>-14.24</v>
      </c>
      <c r="CD132" t="s">
        <v>4719</v>
      </c>
      <c r="CE132" t="s">
        <v>339</v>
      </c>
      <c r="CF132" s="7">
        <v>-0.64572116034185867</v>
      </c>
      <c r="CG132" s="8">
        <v>-4.9302267501277468</v>
      </c>
      <c r="CH132" s="7">
        <v>3.3780767917633057</v>
      </c>
      <c r="CI132" s="7">
        <v>1.0922057628631592</v>
      </c>
      <c r="CJ132" s="7">
        <v>-0.1312641054391861</v>
      </c>
      <c r="CK132" s="7">
        <v>1.2350335121154785</v>
      </c>
      <c r="CL132" s="7">
        <v>9.9151802062988281</v>
      </c>
      <c r="CM132" s="8">
        <v>1.1140574216842651</v>
      </c>
      <c r="CN132" s="8">
        <v>-0.3730769157409668</v>
      </c>
      <c r="CO132" s="8">
        <v>-0.12554112076759338</v>
      </c>
      <c r="CP132" s="8">
        <v>-0.203125</v>
      </c>
      <c r="CQ132" s="8">
        <v>0.22267206013202667</v>
      </c>
      <c r="CR132">
        <v>-9.8823147097987079</v>
      </c>
      <c r="CS132">
        <v>-3.1900595855452678E-2</v>
      </c>
      <c r="CT132">
        <v>0</v>
      </c>
      <c r="CU132" s="7">
        <v>3.0978464335203171</v>
      </c>
      <c r="CV132" s="8">
        <v>0.12699728906154634</v>
      </c>
      <c r="CW132">
        <v>0.06</v>
      </c>
      <c r="CX132">
        <v>9.9273086792235361</v>
      </c>
      <c r="CY132">
        <v>157413358.49367642</v>
      </c>
      <c r="CZ132">
        <v>3.0978464335203171</v>
      </c>
      <c r="DA132">
        <v>0.55599484966833712</v>
      </c>
      <c r="DB132">
        <v>2810621359.0506797</v>
      </c>
      <c r="DC132">
        <v>2.9429541118443012</v>
      </c>
      <c r="DD132">
        <v>1.4562585930628525E-2</v>
      </c>
      <c r="DE132">
        <v>107308620010.49519</v>
      </c>
      <c r="DF132">
        <v>2.7261048614978791</v>
      </c>
      <c r="DG132">
        <v>1.8434996018683536E-4</v>
      </c>
      <c r="DH132">
        <v>8476763425477.5039</v>
      </c>
      <c r="DI132">
        <v>2.4782771468162537</v>
      </c>
      <c r="DJ132">
        <v>7.8752499020988414E-9</v>
      </c>
      <c r="DK132">
        <v>1.9843065546193341E+17</v>
      </c>
      <c r="DL132">
        <v>2.168492503464222</v>
      </c>
      <c r="DM132">
        <v>40718500</v>
      </c>
      <c r="DN132">
        <v>3.0978464335203171</v>
      </c>
      <c r="DO132">
        <v>1562691000</v>
      </c>
      <c r="DP132">
        <v>698696660</v>
      </c>
      <c r="DQ132">
        <v>4734</v>
      </c>
      <c r="DR132">
        <v>-3.743567593862176</v>
      </c>
      <c r="DS132">
        <v>-5.0572240391892933</v>
      </c>
      <c r="DT132" s="9">
        <v>0.94666666666666677</v>
      </c>
      <c r="DU132">
        <v>-2.3983333333333339</v>
      </c>
      <c r="DV132">
        <v>-1.4516666666666671</v>
      </c>
      <c r="DW132">
        <v>-2.1423999999999999</v>
      </c>
      <c r="DX132">
        <v>0.46268108108108236</v>
      </c>
      <c r="DY132">
        <v>-2.0231657859459458</v>
      </c>
      <c r="DZ132">
        <v>1193</v>
      </c>
      <c r="EA132">
        <v>-2.0177574136106204</v>
      </c>
      <c r="EB132">
        <v>2</v>
      </c>
      <c r="EC132">
        <v>6.4277021661538911E-2</v>
      </c>
      <c r="ED132">
        <v>0.39511061295137884</v>
      </c>
      <c r="EE132" s="10">
        <v>-2.0135000000000001</v>
      </c>
      <c r="EF132">
        <v>-2.0172099999999999</v>
      </c>
      <c r="EG132">
        <v>30.162681081081082</v>
      </c>
      <c r="EH132" t="s">
        <v>1368</v>
      </c>
      <c r="EI132">
        <v>0</v>
      </c>
      <c r="EJ132">
        <v>1</v>
      </c>
      <c r="EK132" s="11">
        <v>45470</v>
      </c>
      <c r="EL132" s="12">
        <v>-0.92</v>
      </c>
      <c r="EM132" s="12">
        <v>-4.8099999999999996</v>
      </c>
      <c r="EN132" s="12">
        <v>-1.1499999999999999</v>
      </c>
      <c r="EO132" s="12">
        <v>5.1100000000000003</v>
      </c>
      <c r="EP132" s="12">
        <v>-3.07</v>
      </c>
    </row>
    <row r="133" spans="1:146" ht="96" x14ac:dyDescent="0.25">
      <c r="C133" s="6" t="str">
        <f>""&amp;CHAR(10)&amp;Basic_Fundamental_Information_Constructure(F133)&amp;CHAR(10)&amp;Basic_Fundamental_Information_Concatenate("")</f>
        <v xml:space="preserve">
市值1639.635亿, 利润2.78亿; PE; 平均PE-21.31; 平均PEG-.36, PB6.71; ROIC0%; ROE-32.22%; 股利率0%; 毛利83.59%; 净利-103.2%; 上一年度营收增-87.36%, 利润增102.04%; 当季营收增2078.46%, 利润增-3515.7%; 过往5年营收增58.78%, 利润增-6.77%
Income profile:
</v>
      </c>
      <c r="D133" t="s">
        <v>4720</v>
      </c>
      <c r="E133" t="s">
        <v>4721</v>
      </c>
      <c r="F133">
        <v>119.2</v>
      </c>
      <c r="G133">
        <v>4.7300000000000004</v>
      </c>
      <c r="H133" t="s">
        <v>4722</v>
      </c>
      <c r="I133">
        <v>163963500000</v>
      </c>
      <c r="K133">
        <v>6.71</v>
      </c>
      <c r="L133" t="s">
        <v>100</v>
      </c>
      <c r="M133" t="s">
        <v>4723</v>
      </c>
      <c r="N133" t="s">
        <v>4724</v>
      </c>
      <c r="O133" t="s">
        <v>4725</v>
      </c>
      <c r="P133" s="5">
        <v>74.78</v>
      </c>
      <c r="Q133" t="s">
        <v>2487</v>
      </c>
      <c r="R133">
        <v>-1908056000</v>
      </c>
      <c r="S133">
        <v>0.22009999999999999</v>
      </c>
      <c r="T133" t="s">
        <v>619</v>
      </c>
      <c r="U133">
        <v>115055260</v>
      </c>
      <c r="V133">
        <v>1375532700</v>
      </c>
      <c r="W133">
        <v>1.68</v>
      </c>
      <c r="X133">
        <v>0.13</v>
      </c>
      <c r="Y133">
        <v>-35.6</v>
      </c>
      <c r="Z133" t="s">
        <v>4726</v>
      </c>
      <c r="AA133" t="s">
        <v>1549</v>
      </c>
      <c r="AB133" t="s">
        <v>4727</v>
      </c>
      <c r="AC133" t="s">
        <v>4728</v>
      </c>
      <c r="AD133" t="s">
        <v>81</v>
      </c>
      <c r="AE133">
        <v>8280000</v>
      </c>
      <c r="AF133" t="s">
        <v>4729</v>
      </c>
      <c r="AG133" t="s">
        <v>4730</v>
      </c>
      <c r="AH133" t="s">
        <v>4731</v>
      </c>
      <c r="AI133" t="s">
        <v>4732</v>
      </c>
      <c r="AJ133" t="s">
        <v>4733</v>
      </c>
      <c r="AK133" t="s">
        <v>81</v>
      </c>
      <c r="AL133" t="s">
        <v>4734</v>
      </c>
      <c r="AM133" t="s">
        <v>81</v>
      </c>
      <c r="AN133" t="s">
        <v>4735</v>
      </c>
      <c r="AO133" t="s">
        <v>4736</v>
      </c>
      <c r="AP133" t="s">
        <v>81</v>
      </c>
      <c r="AQ133" t="s">
        <v>733</v>
      </c>
      <c r="AR133" t="s">
        <v>81</v>
      </c>
      <c r="AS133" t="s">
        <v>4737</v>
      </c>
      <c r="AT133" t="s">
        <v>3234</v>
      </c>
      <c r="AU133" t="s">
        <v>4738</v>
      </c>
      <c r="AV133" t="s">
        <v>4739</v>
      </c>
      <c r="AW133" t="s">
        <v>1966</v>
      </c>
      <c r="AX133" t="s">
        <v>4740</v>
      </c>
      <c r="AY133" t="s">
        <v>757</v>
      </c>
      <c r="AZ133" t="s">
        <v>2305</v>
      </c>
      <c r="BA133" t="s">
        <v>4741</v>
      </c>
      <c r="BB133" t="s">
        <v>4742</v>
      </c>
      <c r="BC133" t="s">
        <v>4743</v>
      </c>
      <c r="BD133" t="s">
        <v>4744</v>
      </c>
      <c r="BE133" t="s">
        <v>4745</v>
      </c>
      <c r="BF133" t="s">
        <v>4746</v>
      </c>
      <c r="BG133" t="s">
        <v>4747</v>
      </c>
      <c r="BH133" t="s">
        <v>4748</v>
      </c>
      <c r="BI133" t="s">
        <v>1499</v>
      </c>
      <c r="BJ133" t="s">
        <v>4740</v>
      </c>
      <c r="BK133" t="s">
        <v>4749</v>
      </c>
      <c r="BL133" t="s">
        <v>4750</v>
      </c>
      <c r="BM133" t="s">
        <v>4743</v>
      </c>
      <c r="BN133" t="s">
        <v>81</v>
      </c>
      <c r="BO133" t="s">
        <v>81</v>
      </c>
      <c r="BP133" t="s">
        <v>81</v>
      </c>
      <c r="BQ133">
        <v>-13</v>
      </c>
      <c r="BR133">
        <v>-38.83</v>
      </c>
      <c r="BS133">
        <v>-44.83</v>
      </c>
      <c r="BT133" t="s">
        <v>1526</v>
      </c>
      <c r="BU133" t="s">
        <v>1354</v>
      </c>
      <c r="BV133">
        <v>84.57</v>
      </c>
      <c r="BW133">
        <v>80.180000000000007</v>
      </c>
      <c r="BX133">
        <v>86.02</v>
      </c>
      <c r="BY133">
        <v>-38.549999999999997</v>
      </c>
      <c r="BZ133">
        <v>-142.6</v>
      </c>
      <c r="CA133">
        <v>-128.44999999999999</v>
      </c>
      <c r="CB133">
        <v>2.9</v>
      </c>
      <c r="CC133" s="7">
        <v>-5.6</v>
      </c>
      <c r="CD133" s="8" t="s">
        <v>4751</v>
      </c>
      <c r="CE133" s="7" t="s">
        <v>4752</v>
      </c>
      <c r="CF133" s="7">
        <v>20.784552845528456</v>
      </c>
      <c r="CG133" s="7">
        <v>-35.156967064914234</v>
      </c>
      <c r="CH133" s="7">
        <v>-0.87361490726470947</v>
      </c>
      <c r="CI133" s="7">
        <v>0.26050862669944763</v>
      </c>
      <c r="CJ133" s="8">
        <v>2.5797171592712402</v>
      </c>
      <c r="CK133" s="8">
        <v>-0.2823290228843689</v>
      </c>
      <c r="CL133" s="8">
        <v>1.2549617290496826</v>
      </c>
      <c r="CM133" s="8">
        <v>1.0203782320022583</v>
      </c>
      <c r="CN133" s="8">
        <v>-0.39946663379669189</v>
      </c>
      <c r="CO133">
        <v>0.14371053874492645</v>
      </c>
      <c r="CP133">
        <v>-0.64627635478973389</v>
      </c>
      <c r="CQ133">
        <v>-0.45670953392982483</v>
      </c>
      <c r="CR133" s="7">
        <v>-21.313336799688027</v>
      </c>
      <c r="CS133" s="8">
        <v>-0.36256499647376667</v>
      </c>
      <c r="CT133">
        <v>0</v>
      </c>
      <c r="CU133">
        <v>0.58784871697425845</v>
      </c>
      <c r="CV133">
        <v>-6.7672750353813177E-2</v>
      </c>
      <c r="CW133">
        <v>0.06</v>
      </c>
      <c r="CX133">
        <v>374.27978491015614</v>
      </c>
      <c r="CY133">
        <v>416435795.58381492</v>
      </c>
      <c r="CZ133">
        <v>0.58784871697425845</v>
      </c>
      <c r="DA133">
        <v>82.329624560063564</v>
      </c>
      <c r="DB133">
        <v>1893164226.5207927</v>
      </c>
      <c r="DC133">
        <v>0.55845628112554546</v>
      </c>
      <c r="DD133">
        <v>22.227947885149902</v>
      </c>
      <c r="DE133">
        <v>7012050811.2280416</v>
      </c>
      <c r="DF133">
        <v>0.5173068709373474</v>
      </c>
      <c r="DG133">
        <v>6.1693121838102014</v>
      </c>
      <c r="DH133">
        <v>25264323697.060478</v>
      </c>
      <c r="DI133">
        <v>0.47027897357940679</v>
      </c>
      <c r="DJ133">
        <v>0.45592188379623944</v>
      </c>
      <c r="DK133">
        <v>341864484990.71936</v>
      </c>
      <c r="DL133">
        <v>0.41149410188198088</v>
      </c>
      <c r="DM133">
        <v>278000000</v>
      </c>
      <c r="DN133">
        <v>0.58784871697425845</v>
      </c>
      <c r="DO133">
        <v>155863500000</v>
      </c>
      <c r="DP133">
        <v>14551386000</v>
      </c>
      <c r="DQ133" s="9">
        <v>4747</v>
      </c>
      <c r="DR133">
        <v>20.196704128554199</v>
      </c>
      <c r="DS133">
        <v>-35.089294314560419</v>
      </c>
      <c r="DT133">
        <v>-0.1583333333333333</v>
      </c>
      <c r="DU133">
        <v>-2.7149999999999999</v>
      </c>
      <c r="DV133">
        <v>-2.8733333333333331</v>
      </c>
      <c r="DW133">
        <v>6.341176470588235</v>
      </c>
      <c r="DX133">
        <v>0.55685970599160017</v>
      </c>
      <c r="DY133">
        <v>6.053516840867724</v>
      </c>
      <c r="DZ133">
        <v>1247</v>
      </c>
      <c r="EA133">
        <v>6.0404570560219213</v>
      </c>
      <c r="EB133" s="10">
        <v>6</v>
      </c>
      <c r="EC133" s="10">
        <v>4.2672922279492157E-3</v>
      </c>
      <c r="ED133">
        <v>2.7204515021707589E-2</v>
      </c>
      <c r="EE133">
        <v>2.0764</v>
      </c>
      <c r="EF133">
        <v>2.0600999999999998</v>
      </c>
      <c r="EG133">
        <v>40.1568597059916</v>
      </c>
      <c r="EH133" s="11" t="s">
        <v>1809</v>
      </c>
      <c r="EI133">
        <v>0</v>
      </c>
      <c r="EJ133">
        <v>1</v>
      </c>
      <c r="EK133">
        <v>45470</v>
      </c>
      <c r="EL133">
        <v>-0.27</v>
      </c>
      <c r="EM133">
        <v>-5.39</v>
      </c>
      <c r="EN133" s="12">
        <v>0.28000000000000003</v>
      </c>
      <c r="EO133" s="12">
        <v>3.3</v>
      </c>
      <c r="EP133" s="12">
        <v>-1.63</v>
      </c>
    </row>
    <row r="134" spans="1:146" ht="108" x14ac:dyDescent="0.25">
      <c r="A134" s="6"/>
      <c r="B134" s="6"/>
      <c r="C134" s="6" t="str">
        <f>""&amp;CHAR(10)&amp;Basic_Fundamental_Information_Constructure(F134)&amp;CHAR(10)&amp;Basic_Fundamental_Information_Concatenate("")</f>
        <v xml:space="preserve">
市值37.128546亿, 利润2.81亿; PE48.69; 平均PE37.18; 平均PEG.16, PB3.09; ROIC11.2833%; ROE11.8267%; 股利率.5006%; 毛利68.4167%; 净利33.56%; 上一年度营收增922.98%, 利润增202.37%; 当季营收增-75.87%, 利润增-24.6%; 过往5年营收增231.37%, 利润增569.02%
Income profile:
</v>
      </c>
      <c r="D134" t="s">
        <v>1440</v>
      </c>
      <c r="E134" t="s">
        <v>1441</v>
      </c>
      <c r="F134">
        <v>8.19</v>
      </c>
      <c r="G134">
        <v>3.54</v>
      </c>
      <c r="H134" t="s">
        <v>4753</v>
      </c>
      <c r="I134">
        <v>3712854600</v>
      </c>
      <c r="J134">
        <v>48.69</v>
      </c>
      <c r="K134">
        <v>3.09</v>
      </c>
      <c r="L134" t="s">
        <v>100</v>
      </c>
      <c r="M134" t="s">
        <v>302</v>
      </c>
      <c r="N134" t="s">
        <v>4754</v>
      </c>
      <c r="O134" t="s">
        <v>267</v>
      </c>
      <c r="P134">
        <v>162.65</v>
      </c>
      <c r="Q134" t="s">
        <v>3282</v>
      </c>
      <c r="R134">
        <v>22895905</v>
      </c>
      <c r="S134" s="5">
        <v>1.9670000000000001</v>
      </c>
      <c r="T134" t="s">
        <v>443</v>
      </c>
      <c r="U134">
        <v>140054600</v>
      </c>
      <c r="V134">
        <v>453340000</v>
      </c>
      <c r="W134">
        <v>1.1299999999999999</v>
      </c>
      <c r="X134">
        <v>0.08</v>
      </c>
      <c r="Y134">
        <v>20.55</v>
      </c>
      <c r="Z134" t="s">
        <v>4755</v>
      </c>
      <c r="AA134" t="s">
        <v>4756</v>
      </c>
      <c r="AB134" t="s">
        <v>4757</v>
      </c>
      <c r="AC134" t="s">
        <v>4758</v>
      </c>
      <c r="AD134" t="s">
        <v>81</v>
      </c>
      <c r="AE134">
        <v>-1285290</v>
      </c>
      <c r="AF134" t="s">
        <v>2953</v>
      </c>
      <c r="AG134">
        <v>128.32</v>
      </c>
      <c r="AH134" t="s">
        <v>2954</v>
      </c>
      <c r="AI134" t="s">
        <v>1404</v>
      </c>
      <c r="AJ134" t="s">
        <v>2955</v>
      </c>
      <c r="AK134" t="s">
        <v>81</v>
      </c>
      <c r="AL134" t="s">
        <v>2956</v>
      </c>
      <c r="AM134" t="s">
        <v>81</v>
      </c>
      <c r="AN134" t="s">
        <v>4759</v>
      </c>
      <c r="AO134" t="s">
        <v>81</v>
      </c>
      <c r="AP134" t="s">
        <v>81</v>
      </c>
      <c r="AQ134" t="s">
        <v>4760</v>
      </c>
      <c r="AR134" t="s">
        <v>81</v>
      </c>
      <c r="AS134" t="s">
        <v>4761</v>
      </c>
      <c r="AT134" t="s">
        <v>81</v>
      </c>
      <c r="AU134" t="s">
        <v>4762</v>
      </c>
      <c r="AV134" t="s">
        <v>4763</v>
      </c>
      <c r="AW134" t="s">
        <v>4764</v>
      </c>
      <c r="AX134" t="s">
        <v>309</v>
      </c>
      <c r="AY134" t="s">
        <v>1123</v>
      </c>
      <c r="AZ134" t="s">
        <v>319</v>
      </c>
      <c r="BA134" t="s">
        <v>229</v>
      </c>
      <c r="BB134" t="s">
        <v>1442</v>
      </c>
      <c r="BC134" t="s">
        <v>2957</v>
      </c>
      <c r="BD134" t="s">
        <v>263</v>
      </c>
      <c r="BE134" t="s">
        <v>374</v>
      </c>
      <c r="BF134" t="s">
        <v>1443</v>
      </c>
      <c r="BG134" t="s">
        <v>1444</v>
      </c>
      <c r="BH134" t="s">
        <v>244</v>
      </c>
      <c r="BI134" t="s">
        <v>2058</v>
      </c>
      <c r="BJ134" t="s">
        <v>309</v>
      </c>
      <c r="BK134" t="s">
        <v>2952</v>
      </c>
      <c r="BL134" t="s">
        <v>4765</v>
      </c>
      <c r="BM134" t="s">
        <v>2957</v>
      </c>
      <c r="BN134">
        <v>3.19</v>
      </c>
      <c r="BO134">
        <v>9.56</v>
      </c>
      <c r="BP134">
        <v>21.1</v>
      </c>
      <c r="BQ134">
        <v>3.67</v>
      </c>
      <c r="BR134">
        <v>10.59</v>
      </c>
      <c r="BS134">
        <v>21.22</v>
      </c>
      <c r="BT134" t="s">
        <v>2958</v>
      </c>
      <c r="BU134" t="s">
        <v>1354</v>
      </c>
      <c r="BV134">
        <v>55.89</v>
      </c>
      <c r="BW134">
        <v>71.23</v>
      </c>
      <c r="BX134">
        <v>78.13</v>
      </c>
      <c r="BY134">
        <v>20.37</v>
      </c>
      <c r="BZ134">
        <v>37.54</v>
      </c>
      <c r="CA134">
        <v>42.77</v>
      </c>
      <c r="CB134">
        <v>-0.36</v>
      </c>
      <c r="CC134">
        <v>-10.29</v>
      </c>
      <c r="CD134" t="s">
        <v>4766</v>
      </c>
      <c r="CE134" t="s">
        <v>4767</v>
      </c>
      <c r="CF134" s="7">
        <v>-0.75869565217391299</v>
      </c>
      <c r="CG134" s="8">
        <v>-0.24600939199046312</v>
      </c>
      <c r="CH134" s="7">
        <v>9.2298383712768555</v>
      </c>
      <c r="CI134" s="7">
        <v>-0.21269841492176056</v>
      </c>
      <c r="CJ134" s="7">
        <v>-1.2539184652268887E-2</v>
      </c>
      <c r="CK134" s="7">
        <v>1.294964075088501</v>
      </c>
      <c r="CL134" s="7">
        <v>1.2690801620483398</v>
      </c>
      <c r="CM134" s="8">
        <v>2.0237293243408203</v>
      </c>
      <c r="CN134" s="8">
        <v>-0.31161779165267944</v>
      </c>
      <c r="CO134" s="8">
        <v>9.7560971975326538E-2</v>
      </c>
      <c r="CP134" s="8">
        <v>25.517765045166016</v>
      </c>
      <c r="CQ134" s="8">
        <v>1.1237592697143555</v>
      </c>
      <c r="CR134">
        <v>37.184893508630076</v>
      </c>
      <c r="CS134">
        <v>0.16071412633120338</v>
      </c>
      <c r="CT134">
        <v>0.50061050061050061</v>
      </c>
      <c r="CU134" s="7">
        <v>2.3137290017679333</v>
      </c>
      <c r="CV134" s="8">
        <v>5.6902393639087681</v>
      </c>
      <c r="CW134">
        <v>0.06</v>
      </c>
      <c r="CX134">
        <v>3.0313076107615768</v>
      </c>
      <c r="CY134">
        <v>878450801.41206527</v>
      </c>
      <c r="CZ134">
        <v>2.3137290017679333</v>
      </c>
      <c r="DA134">
        <v>0.23941287817044976</v>
      </c>
      <c r="DB134">
        <v>11122436772.612471</v>
      </c>
      <c r="DC134">
        <v>2.1980425516795363</v>
      </c>
      <c r="DD134">
        <v>1.1191143586386752E-2</v>
      </c>
      <c r="DE134">
        <v>237943028739.18777</v>
      </c>
      <c r="DF134">
        <v>2.0360815215557815</v>
      </c>
      <c r="DG134">
        <v>3.0051903097340306E-4</v>
      </c>
      <c r="DH134">
        <v>8860851811530.2715</v>
      </c>
      <c r="DI134">
        <v>1.8509832014143468</v>
      </c>
      <c r="DJ134">
        <v>7.8127523640270524E-8</v>
      </c>
      <c r="DK134">
        <v>3.4083437896493652E+16</v>
      </c>
      <c r="DL134">
        <v>1.6196103012375531</v>
      </c>
      <c r="DM134">
        <v>281000000</v>
      </c>
      <c r="DN134">
        <v>2.3137290017679333</v>
      </c>
      <c r="DO134">
        <v>2662854600</v>
      </c>
      <c r="DP134">
        <v>850310860</v>
      </c>
      <c r="DQ134">
        <v>4754</v>
      </c>
      <c r="DR134">
        <v>-3.0724246539418463</v>
      </c>
      <c r="DS134">
        <v>-5.9362487558992312</v>
      </c>
      <c r="DT134" s="9">
        <v>0.14333333333333323</v>
      </c>
      <c r="DU134">
        <v>0.56500000000000006</v>
      </c>
      <c r="DV134">
        <v>0.70833333333333326</v>
      </c>
      <c r="DW134">
        <v>-2.1029</v>
      </c>
      <c r="DX134">
        <v>0.42206655957521816</v>
      </c>
      <c r="DY134">
        <v>-2.01358964898029</v>
      </c>
      <c r="DZ134">
        <v>10</v>
      </c>
      <c r="EA134">
        <v>-2.0135630547552799</v>
      </c>
      <c r="EB134">
        <v>2</v>
      </c>
      <c r="EC134">
        <v>1.4308686636961221E-2</v>
      </c>
      <c r="ED134">
        <v>0.1083445096395641</v>
      </c>
      <c r="EE134" s="10">
        <v>-3.0437099999999999</v>
      </c>
      <c r="EF134">
        <v>-3.0927099999999998</v>
      </c>
      <c r="EG134">
        <v>29.132066559575218</v>
      </c>
      <c r="EH134" t="s">
        <v>1991</v>
      </c>
      <c r="EI134">
        <v>0</v>
      </c>
      <c r="EJ134">
        <v>1</v>
      </c>
      <c r="EK134" s="11">
        <v>45470</v>
      </c>
      <c r="EL134" s="12">
        <v>-1.1100000000000001</v>
      </c>
      <c r="EM134" s="12">
        <v>-3.05</v>
      </c>
      <c r="EN134" s="12">
        <v>-1.33</v>
      </c>
      <c r="EO134" s="12">
        <v>3.22</v>
      </c>
      <c r="EP134" s="12">
        <v>-4.9000000000000004</v>
      </c>
    </row>
    <row r="135" spans="1:146" ht="96" x14ac:dyDescent="0.25">
      <c r="A135" s="6"/>
      <c r="B135" s="6"/>
      <c r="C135" s="6" t="str">
        <f>""&amp;CHAR(10)&amp;Basic_Fundamental_Information_Constructure(F135)&amp;CHAR(10)&amp;Basic_Fundamental_Information_Concatenate("")</f>
        <v xml:space="preserve">
市值143.8689亿, 利润7691.20万; PE; 平均PE-42.07; 平均PEG-.17, PB9.03; ROIC0%; ROE-31.2533%; 股利率0%; 毛利93.5%; 净利-159.9367%; 上一年度营收增82.12%, 利润增116.83%; 当季营收增-12.2%, 利润增-2026.42%; 过往5年营收增242.65%, 利润增20.01%
Income profile:
</v>
      </c>
      <c r="D135" t="s">
        <v>195</v>
      </c>
      <c r="E135" t="s">
        <v>214</v>
      </c>
      <c r="F135">
        <v>54.35</v>
      </c>
      <c r="G135">
        <v>6.26</v>
      </c>
      <c r="H135" t="s">
        <v>4768</v>
      </c>
      <c r="I135">
        <v>14386890000</v>
      </c>
      <c r="K135">
        <v>9.0299999999999994</v>
      </c>
      <c r="L135" t="s">
        <v>100</v>
      </c>
      <c r="M135" t="s">
        <v>1953</v>
      </c>
      <c r="N135" t="s">
        <v>4769</v>
      </c>
      <c r="O135" t="s">
        <v>253</v>
      </c>
      <c r="P135">
        <v>0.12</v>
      </c>
      <c r="Q135" t="s">
        <v>361</v>
      </c>
      <c r="R135">
        <v>-39499383</v>
      </c>
      <c r="S135" s="5">
        <v>0.30980000000000002</v>
      </c>
      <c r="T135" t="s">
        <v>4770</v>
      </c>
      <c r="U135">
        <v>264708190</v>
      </c>
      <c r="V135">
        <v>264708190</v>
      </c>
      <c r="W135">
        <v>1.94</v>
      </c>
      <c r="X135">
        <v>0.04</v>
      </c>
      <c r="Y135">
        <v>-41.23</v>
      </c>
      <c r="Z135" t="s">
        <v>773</v>
      </c>
      <c r="AA135" t="s">
        <v>4771</v>
      </c>
      <c r="AB135" t="s">
        <v>4772</v>
      </c>
      <c r="AC135" t="s">
        <v>4773</v>
      </c>
      <c r="AD135" t="s">
        <v>81</v>
      </c>
      <c r="AE135">
        <v>-6960830</v>
      </c>
      <c r="AF135" t="s">
        <v>2960</v>
      </c>
      <c r="AG135">
        <v>442.48</v>
      </c>
      <c r="AH135" t="s">
        <v>2961</v>
      </c>
      <c r="AI135" t="s">
        <v>2235</v>
      </c>
      <c r="AJ135" t="s">
        <v>2962</v>
      </c>
      <c r="AK135" t="s">
        <v>81</v>
      </c>
      <c r="AL135" t="s">
        <v>2963</v>
      </c>
      <c r="AM135" t="s">
        <v>81</v>
      </c>
      <c r="AN135" t="s">
        <v>246</v>
      </c>
      <c r="AO135" t="s">
        <v>1373</v>
      </c>
      <c r="AP135" t="s">
        <v>81</v>
      </c>
      <c r="AQ135" t="s">
        <v>370</v>
      </c>
      <c r="AR135" t="s">
        <v>4774</v>
      </c>
      <c r="AS135" t="s">
        <v>3581</v>
      </c>
      <c r="AT135" t="s">
        <v>81</v>
      </c>
      <c r="AU135" t="s">
        <v>4775</v>
      </c>
      <c r="AV135" t="s">
        <v>4776</v>
      </c>
      <c r="AW135" t="s">
        <v>4777</v>
      </c>
      <c r="AX135" t="s">
        <v>620</v>
      </c>
      <c r="AY135" t="s">
        <v>418</v>
      </c>
      <c r="AZ135" t="s">
        <v>1019</v>
      </c>
      <c r="BA135" t="s">
        <v>81</v>
      </c>
      <c r="BB135" t="s">
        <v>1021</v>
      </c>
      <c r="BC135" t="s">
        <v>2964</v>
      </c>
      <c r="BD135" t="s">
        <v>1337</v>
      </c>
      <c r="BE135" t="s">
        <v>1020</v>
      </c>
      <c r="BF135" t="s">
        <v>1022</v>
      </c>
      <c r="BG135" t="s">
        <v>1023</v>
      </c>
      <c r="BH135" t="s">
        <v>1080</v>
      </c>
      <c r="BI135" t="s">
        <v>374</v>
      </c>
      <c r="BJ135" t="s">
        <v>620</v>
      </c>
      <c r="BK135" t="s">
        <v>2959</v>
      </c>
      <c r="BL135" t="s">
        <v>4778</v>
      </c>
      <c r="BM135" t="s">
        <v>2964</v>
      </c>
      <c r="BN135" t="s">
        <v>81</v>
      </c>
      <c r="BO135" t="s">
        <v>81</v>
      </c>
      <c r="BP135" t="s">
        <v>81</v>
      </c>
      <c r="BQ135">
        <v>-15.4</v>
      </c>
      <c r="BR135">
        <v>-46.35</v>
      </c>
      <c r="BS135">
        <v>-32.01</v>
      </c>
      <c r="BT135" t="s">
        <v>1526</v>
      </c>
      <c r="BU135" t="s">
        <v>1354</v>
      </c>
      <c r="BV135">
        <v>92.44</v>
      </c>
      <c r="BW135">
        <v>91.35</v>
      </c>
      <c r="BX135">
        <v>96.71</v>
      </c>
      <c r="BY135">
        <v>-76.37</v>
      </c>
      <c r="BZ135">
        <v>-160.75</v>
      </c>
      <c r="CA135">
        <v>-242.69</v>
      </c>
      <c r="CB135">
        <v>0.24</v>
      </c>
      <c r="CC135">
        <v>-0.75</v>
      </c>
      <c r="CD135" t="s">
        <v>4779</v>
      </c>
      <c r="CE135" t="s">
        <v>4780</v>
      </c>
      <c r="CF135" s="7">
        <v>-0.12195121951219512</v>
      </c>
      <c r="CG135" s="8">
        <v>-20.264232832618024</v>
      </c>
      <c r="CH135" s="7">
        <v>0.82119202613830566</v>
      </c>
      <c r="CI135" s="7">
        <v>0.5894736647605896</v>
      </c>
      <c r="CJ135" s="7">
        <v>5.8689017295837402</v>
      </c>
      <c r="CK135" s="7" t="s">
        <v>81</v>
      </c>
      <c r="CL135" s="7" t="s">
        <v>81</v>
      </c>
      <c r="CM135" s="8">
        <v>1.1682976484298706</v>
      </c>
      <c r="CN135" s="8">
        <v>-1.3303769752383232E-2</v>
      </c>
      <c r="CO135" s="8">
        <v>-0.41379311680793762</v>
      </c>
      <c r="CP135" s="8">
        <v>0.3095238208770752</v>
      </c>
      <c r="CQ135" s="8">
        <v>-5.000000074505806E-2</v>
      </c>
      <c r="CR135">
        <v>-42.065125862048795</v>
      </c>
      <c r="CS135">
        <v>-0.17335559971746184</v>
      </c>
      <c r="CT135">
        <v>0</v>
      </c>
      <c r="CU135" s="7">
        <v>2.4265224734942117</v>
      </c>
      <c r="CV135" s="8">
        <v>0.20014491640031337</v>
      </c>
      <c r="CW135">
        <v>0.06</v>
      </c>
      <c r="CX135">
        <v>56.422266460277797</v>
      </c>
      <c r="CY135">
        <v>248623298.56734601</v>
      </c>
      <c r="CZ135">
        <v>2.4265224734942117</v>
      </c>
      <c r="DA135">
        <v>4.2261822270735481</v>
      </c>
      <c r="DB135">
        <v>3319281859.2003117</v>
      </c>
      <c r="DC135">
        <v>2.3051963498195009</v>
      </c>
      <c r="DD135">
        <v>0.18054245785854883</v>
      </c>
      <c r="DE135">
        <v>77698565569.493652</v>
      </c>
      <c r="DF135">
        <v>2.1353397766749063</v>
      </c>
      <c r="DG135">
        <v>4.312337487582741E-3</v>
      </c>
      <c r="DH135">
        <v>3252966642892.1509</v>
      </c>
      <c r="DI135">
        <v>1.9412179787953694</v>
      </c>
      <c r="DJ135">
        <v>8.4681082596992067E-7</v>
      </c>
      <c r="DK135">
        <v>1.6565553450421146E+16</v>
      </c>
      <c r="DL135">
        <v>1.6985657314459481</v>
      </c>
      <c r="DM135">
        <v>76912000</v>
      </c>
      <c r="DN135">
        <v>2.4265224734942117</v>
      </c>
      <c r="DO135">
        <v>14027890000</v>
      </c>
      <c r="DP135">
        <v>1514994200</v>
      </c>
      <c r="DQ135">
        <v>4769</v>
      </c>
      <c r="DR135">
        <v>-2.5484736930064069</v>
      </c>
      <c r="DS135">
        <v>-20.464377749018336</v>
      </c>
      <c r="DT135" s="9">
        <v>0.73750000000000016</v>
      </c>
      <c r="DU135">
        <v>-2.2483333333333335</v>
      </c>
      <c r="DV135">
        <v>-1.5108333333333333</v>
      </c>
      <c r="DW135">
        <v>-7.4999999999999997E-3</v>
      </c>
      <c r="DX135">
        <v>0.75664757995930498</v>
      </c>
      <c r="DY135">
        <v>-1.174856849694762E-3</v>
      </c>
      <c r="DZ135">
        <v>142</v>
      </c>
      <c r="EA135">
        <v>-1.1422091642433617E-3</v>
      </c>
      <c r="EB135">
        <v>0</v>
      </c>
      <c r="EC135">
        <v>3.4373700337719054E-2</v>
      </c>
      <c r="ED135">
        <v>0.21943333147342362</v>
      </c>
      <c r="EE135" s="10">
        <v>-2.0407099999999998</v>
      </c>
      <c r="EF135">
        <v>-2.0531100000000002</v>
      </c>
      <c r="EG135">
        <v>60.156647579959305</v>
      </c>
      <c r="EH135" t="s">
        <v>1368</v>
      </c>
      <c r="EI135">
        <v>0</v>
      </c>
      <c r="EJ135">
        <v>1</v>
      </c>
      <c r="EK135" s="11">
        <v>45470</v>
      </c>
      <c r="EL135" s="12">
        <v>-1.77</v>
      </c>
      <c r="EM135" s="12">
        <v>-3.02</v>
      </c>
      <c r="EN135" s="12">
        <v>-0.7</v>
      </c>
      <c r="EO135" s="12">
        <v>2.76</v>
      </c>
      <c r="EP135" s="12">
        <v>-1.24</v>
      </c>
    </row>
    <row r="136" spans="1:146" x14ac:dyDescent="0.25">
      <c r="A136" s="6"/>
      <c r="B136" s="6"/>
      <c r="C136" s="6" t="e">
        <f>""&amp;CHAR(10)&amp;Basic_Fundamental_Information_Constructure(F136)&amp;CHAR(10)&amp;Basic_Fundamental_Information_Concatenate("")</f>
        <v>#VALUE!</v>
      </c>
      <c r="D136" t="s">
        <v>1338</v>
      </c>
      <c r="E136" t="s">
        <v>1339</v>
      </c>
      <c r="F136">
        <v>25.3</v>
      </c>
      <c r="G136">
        <v>9.19</v>
      </c>
      <c r="H136" t="s">
        <v>4781</v>
      </c>
      <c r="I136">
        <v>2505094600</v>
      </c>
      <c r="K136">
        <v>1.89</v>
      </c>
      <c r="L136" t="s">
        <v>100</v>
      </c>
      <c r="M136" t="s">
        <v>317</v>
      </c>
      <c r="N136" t="s">
        <v>1684</v>
      </c>
      <c r="O136">
        <v>0</v>
      </c>
      <c r="P136" t="s">
        <v>81</v>
      </c>
      <c r="Q136" t="s">
        <v>4782</v>
      </c>
      <c r="R136">
        <v>-47214827</v>
      </c>
      <c r="S136" s="5">
        <v>0.37359999999999999</v>
      </c>
      <c r="T136" t="s">
        <v>4783</v>
      </c>
      <c r="U136">
        <v>72724459</v>
      </c>
      <c r="V136">
        <v>99015598</v>
      </c>
      <c r="W136">
        <v>1.08</v>
      </c>
      <c r="X136">
        <v>0</v>
      </c>
      <c r="Y136" t="s">
        <v>81</v>
      </c>
      <c r="Z136" t="s">
        <v>4784</v>
      </c>
      <c r="AA136" t="s">
        <v>81</v>
      </c>
      <c r="AB136" t="s">
        <v>4785</v>
      </c>
      <c r="AC136" t="s">
        <v>4786</v>
      </c>
      <c r="AD136" t="s">
        <v>81</v>
      </c>
      <c r="AE136">
        <v>-2824429</v>
      </c>
      <c r="AF136" t="s">
        <v>2966</v>
      </c>
      <c r="AG136" t="s">
        <v>81</v>
      </c>
      <c r="AH136" t="s">
        <v>2967</v>
      </c>
      <c r="AI136" t="s">
        <v>663</v>
      </c>
      <c r="AJ136" t="s">
        <v>236</v>
      </c>
      <c r="AK136" t="s">
        <v>81</v>
      </c>
      <c r="AL136" t="s">
        <v>2968</v>
      </c>
      <c r="AM136" t="s">
        <v>81</v>
      </c>
      <c r="AN136" t="s">
        <v>304</v>
      </c>
      <c r="AO136" t="s">
        <v>81</v>
      </c>
      <c r="AP136" t="s">
        <v>81</v>
      </c>
      <c r="AQ136" t="s">
        <v>4787</v>
      </c>
      <c r="AR136" t="s">
        <v>81</v>
      </c>
      <c r="AS136" t="s">
        <v>4788</v>
      </c>
      <c r="AT136" t="s">
        <v>81</v>
      </c>
      <c r="AU136" t="s">
        <v>4789</v>
      </c>
      <c r="AV136" t="s">
        <v>4790</v>
      </c>
      <c r="AW136" t="s">
        <v>4791</v>
      </c>
      <c r="AX136" t="s">
        <v>1790</v>
      </c>
      <c r="AY136" t="s">
        <v>81</v>
      </c>
      <c r="AZ136">
        <v>0</v>
      </c>
      <c r="BA136" t="s">
        <v>1342</v>
      </c>
      <c r="BB136" t="s">
        <v>1343</v>
      </c>
      <c r="BC136" t="s">
        <v>1791</v>
      </c>
      <c r="BD136" t="s">
        <v>1340</v>
      </c>
      <c r="BE136" t="s">
        <v>1344</v>
      </c>
      <c r="BF136" t="s">
        <v>1345</v>
      </c>
      <c r="BG136" t="s">
        <v>1346</v>
      </c>
      <c r="BH136" t="s">
        <v>81</v>
      </c>
      <c r="BI136" t="s">
        <v>4792</v>
      </c>
      <c r="BJ136" t="s">
        <v>1790</v>
      </c>
      <c r="BK136" t="s">
        <v>2965</v>
      </c>
      <c r="BL136" t="s">
        <v>4793</v>
      </c>
      <c r="BM136" t="s">
        <v>1791</v>
      </c>
      <c r="BN136" t="s">
        <v>81</v>
      </c>
      <c r="BO136" t="s">
        <v>81</v>
      </c>
      <c r="BP136" t="s">
        <v>81</v>
      </c>
      <c r="BQ136">
        <v>-15.93</v>
      </c>
      <c r="BR136">
        <v>-22.29</v>
      </c>
      <c r="BS136">
        <v>-34.5</v>
      </c>
      <c r="BT136" t="s">
        <v>1526</v>
      </c>
      <c r="BU136" t="s">
        <v>1354</v>
      </c>
      <c r="BV136" t="s">
        <v>81</v>
      </c>
      <c r="BW136">
        <v>53.57</v>
      </c>
      <c r="BX136" t="s">
        <v>81</v>
      </c>
      <c r="BY136" t="s">
        <v>81</v>
      </c>
      <c r="BZ136" t="s">
        <v>2969</v>
      </c>
      <c r="CA136" t="s">
        <v>81</v>
      </c>
      <c r="CB136">
        <v>7.39</v>
      </c>
      <c r="CC136">
        <v>-14.24</v>
      </c>
      <c r="CD136" t="s">
        <v>4794</v>
      </c>
      <c r="CE136" t="s">
        <v>4795</v>
      </c>
      <c r="CF136" s="7" t="s">
        <v>81</v>
      </c>
      <c r="CG136" s="8">
        <v>-1.0162194527653727</v>
      </c>
      <c r="CH136" s="7">
        <v>9890.5673828125</v>
      </c>
      <c r="CI136" s="7" t="s">
        <v>81</v>
      </c>
      <c r="CJ136" s="7" t="s">
        <v>81</v>
      </c>
      <c r="CK136" s="7">
        <v>-1</v>
      </c>
      <c r="CL136" s="7">
        <v>0.18658581376075745</v>
      </c>
      <c r="CM136" s="8">
        <v>20.082780838012695</v>
      </c>
      <c r="CN136" s="8">
        <v>1.3071895577013493E-2</v>
      </c>
      <c r="CO136" s="8">
        <v>0.37551021575927734</v>
      </c>
      <c r="CP136" s="8">
        <v>-3.375</v>
      </c>
      <c r="CQ136" s="8">
        <v>-1.9031562805175781</v>
      </c>
      <c r="CR136">
        <v>3.3294561143418315</v>
      </c>
      <c r="CS136">
        <v>1.0099713678127962E-5</v>
      </c>
      <c r="CT136">
        <v>0</v>
      </c>
      <c r="CU136" s="7">
        <v>3296.5846562087536</v>
      </c>
      <c r="CV136" s="8">
        <v>3.0386413337662814</v>
      </c>
      <c r="CW136">
        <v>0.06</v>
      </c>
      <c r="CX136">
        <v>7.2683735135262812E-5</v>
      </c>
      <c r="CY136">
        <v>17928283371444.383</v>
      </c>
      <c r="CZ136">
        <v>3296.5846562087536</v>
      </c>
      <c r="DA136">
        <v>8.7562565385326592E-12</v>
      </c>
      <c r="DB136">
        <v>1.4881868687442176E+20</v>
      </c>
      <c r="DC136">
        <v>3131.7554233983155</v>
      </c>
      <c r="DD136">
        <v>5.368146349724226E-22</v>
      </c>
      <c r="DE136">
        <v>2.4274572917836767E+30</v>
      </c>
      <c r="DF136">
        <v>2900.9944974637033</v>
      </c>
      <c r="DG136">
        <v>2.4775521622879511E-35</v>
      </c>
      <c r="DH136">
        <v>5.259605104728161E+43</v>
      </c>
      <c r="DI136">
        <v>2637.2677249670032</v>
      </c>
      <c r="DJ136">
        <v>3.9195527578649975E-68</v>
      </c>
      <c r="DK136">
        <v>3.3246002299247095E+76</v>
      </c>
      <c r="DL136">
        <v>2307.6092593461271</v>
      </c>
      <c r="DM136">
        <v>5763000000</v>
      </c>
      <c r="DN136">
        <v>3296.5846562087536</v>
      </c>
      <c r="DO136">
        <v>1303094600</v>
      </c>
      <c r="DP136">
        <v>980776640</v>
      </c>
      <c r="DQ136">
        <v>4802</v>
      </c>
      <c r="DR136" t="e">
        <v>#VALUE!</v>
      </c>
      <c r="DS136">
        <v>-4.0548607865316537</v>
      </c>
      <c r="DT136" s="9" t="e">
        <v>#VALUE!</v>
      </c>
      <c r="DU136">
        <v>-2.5649999999999999</v>
      </c>
      <c r="DV136" t="e">
        <v>#VALUE!</v>
      </c>
      <c r="DW136">
        <v>7.3416551086453996</v>
      </c>
      <c r="DX136">
        <v>0.68369384584205983</v>
      </c>
      <c r="DY136">
        <v>7.0832592473773843</v>
      </c>
      <c r="DZ136">
        <v>657</v>
      </c>
      <c r="EA136">
        <v>7.0725544870002919</v>
      </c>
      <c r="EB136">
        <v>7</v>
      </c>
      <c r="EC136">
        <v>5.4648965509454382E-2</v>
      </c>
      <c r="ED136">
        <v>0.22425254655332183</v>
      </c>
      <c r="EE136" s="10">
        <v>-3.1445099999999999</v>
      </c>
      <c r="EF136">
        <v>-4.0240099999999996</v>
      </c>
      <c r="EG136">
        <v>44.24369384584206</v>
      </c>
      <c r="EH136" t="s">
        <v>3135</v>
      </c>
      <c r="EI136">
        <v>1</v>
      </c>
      <c r="EJ136">
        <v>1</v>
      </c>
      <c r="EK136" s="11">
        <v>45470</v>
      </c>
      <c r="EL136" s="12">
        <v>-1.85</v>
      </c>
      <c r="EM136" s="12">
        <v>-6.46</v>
      </c>
      <c r="EN136" s="12">
        <v>-4.3899999999999997</v>
      </c>
      <c r="EO136" s="12">
        <v>0.43</v>
      </c>
      <c r="EP136" s="12">
        <v>-2.95</v>
      </c>
    </row>
    <row r="137" spans="1:146" ht="108" x14ac:dyDescent="0.25">
      <c r="A137" s="6"/>
      <c r="B137" s="6"/>
      <c r="C137" s="6" t="str">
        <f>""&amp;CHAR(10)&amp;Basic_Fundamental_Information_Constructure(F137)&amp;CHAR(10)&amp;Basic_Fundamental_Information_Concatenate("")</f>
        <v xml:space="preserve">
市值69.814649亿, 利润-2.76亿; PE67.77; 平均PE-270.38; 平均PEG-10.97, PB4.5; ROIC1.74%; ROE3.1333%; 股利率0%; 毛利92.8167%; 净利5.6367%; 上一年度营收增-32.08%, 利润增-1678.51%; 当季营收增113.84%, 利润增73.13%; 过往5年营收增24.64%, 利润增-341.2%
Income profile:
</v>
      </c>
      <c r="D137" t="s">
        <v>101</v>
      </c>
      <c r="E137" t="s">
        <v>102</v>
      </c>
      <c r="F137">
        <v>17.12</v>
      </c>
      <c r="G137">
        <v>5.35</v>
      </c>
      <c r="H137" t="s">
        <v>4796</v>
      </c>
      <c r="I137">
        <v>6981464900</v>
      </c>
      <c r="J137">
        <v>67.77</v>
      </c>
      <c r="K137">
        <v>4.5</v>
      </c>
      <c r="L137" t="s">
        <v>100</v>
      </c>
      <c r="M137" t="s">
        <v>855</v>
      </c>
      <c r="N137" t="s">
        <v>4797</v>
      </c>
      <c r="O137" t="s">
        <v>277</v>
      </c>
      <c r="P137">
        <v>22.6</v>
      </c>
      <c r="Q137" t="s">
        <v>294</v>
      </c>
      <c r="R137">
        <v>-18304646</v>
      </c>
      <c r="S137" s="5">
        <v>0.43640000000000001</v>
      </c>
      <c r="T137" t="s">
        <v>4798</v>
      </c>
      <c r="U137">
        <v>407795850</v>
      </c>
      <c r="V137">
        <v>407795850</v>
      </c>
      <c r="W137">
        <v>1.9</v>
      </c>
      <c r="X137">
        <v>0.04</v>
      </c>
      <c r="Y137">
        <v>-14.02</v>
      </c>
      <c r="Z137" t="s">
        <v>255</v>
      </c>
      <c r="AA137" t="s">
        <v>4799</v>
      </c>
      <c r="AB137" t="s">
        <v>4800</v>
      </c>
      <c r="AC137" t="s">
        <v>4801</v>
      </c>
      <c r="AD137" t="s">
        <v>81</v>
      </c>
      <c r="AE137">
        <v>4671963</v>
      </c>
      <c r="AF137" t="s">
        <v>2971</v>
      </c>
      <c r="AG137" t="s">
        <v>4802</v>
      </c>
      <c r="AH137" t="s">
        <v>2972</v>
      </c>
      <c r="AI137" t="s">
        <v>558</v>
      </c>
      <c r="AJ137" t="s">
        <v>2973</v>
      </c>
      <c r="AK137" t="s">
        <v>4803</v>
      </c>
      <c r="AL137" t="s">
        <v>2974</v>
      </c>
      <c r="AM137" t="s">
        <v>81</v>
      </c>
      <c r="AN137" t="s">
        <v>1490</v>
      </c>
      <c r="AO137" t="s">
        <v>267</v>
      </c>
      <c r="AP137" t="s">
        <v>3443</v>
      </c>
      <c r="AQ137" t="s">
        <v>4804</v>
      </c>
      <c r="AR137" t="s">
        <v>4805</v>
      </c>
      <c r="AS137" t="s">
        <v>2590</v>
      </c>
      <c r="AT137" t="s">
        <v>1430</v>
      </c>
      <c r="AU137" t="s">
        <v>4806</v>
      </c>
      <c r="AV137" t="s">
        <v>4807</v>
      </c>
      <c r="AW137" t="s">
        <v>4808</v>
      </c>
      <c r="AX137" t="s">
        <v>295</v>
      </c>
      <c r="AY137" t="s">
        <v>85</v>
      </c>
      <c r="AZ137" t="s">
        <v>405</v>
      </c>
      <c r="BA137" t="s">
        <v>235</v>
      </c>
      <c r="BB137" t="s">
        <v>339</v>
      </c>
      <c r="BC137" t="s">
        <v>1792</v>
      </c>
      <c r="BD137" t="s">
        <v>1347</v>
      </c>
      <c r="BE137" t="s">
        <v>1024</v>
      </c>
      <c r="BF137" t="s">
        <v>1025</v>
      </c>
      <c r="BG137" t="s">
        <v>1026</v>
      </c>
      <c r="BH137" t="s">
        <v>2002</v>
      </c>
      <c r="BI137" t="s">
        <v>4809</v>
      </c>
      <c r="BJ137" t="s">
        <v>295</v>
      </c>
      <c r="BK137" t="s">
        <v>2970</v>
      </c>
      <c r="BL137" t="s">
        <v>4810</v>
      </c>
      <c r="BM137" t="s">
        <v>1792</v>
      </c>
      <c r="BN137">
        <v>2.92</v>
      </c>
      <c r="BO137">
        <v>1.1299999999999999</v>
      </c>
      <c r="BP137">
        <v>1.17</v>
      </c>
      <c r="BQ137">
        <v>6.71</v>
      </c>
      <c r="BR137">
        <v>1.19</v>
      </c>
      <c r="BS137">
        <v>1.5</v>
      </c>
      <c r="BT137" t="s">
        <v>1526</v>
      </c>
      <c r="BU137" t="s">
        <v>1354</v>
      </c>
      <c r="BV137">
        <v>89.12</v>
      </c>
      <c r="BW137">
        <v>94.34</v>
      </c>
      <c r="BX137">
        <v>94.99</v>
      </c>
      <c r="BY137">
        <v>9.39</v>
      </c>
      <c r="BZ137">
        <v>2.42</v>
      </c>
      <c r="CA137">
        <v>5.0999999999999996</v>
      </c>
      <c r="CB137">
        <v>-2.73</v>
      </c>
      <c r="CC137">
        <v>-20</v>
      </c>
      <c r="CD137" t="s">
        <v>4811</v>
      </c>
      <c r="CE137" t="s">
        <v>4812</v>
      </c>
      <c r="CF137" s="7">
        <v>1.1383844913256678</v>
      </c>
      <c r="CG137" s="8">
        <v>0.73129138236779367</v>
      </c>
      <c r="CH137" s="7">
        <v>-0.32075470685958862</v>
      </c>
      <c r="CI137" s="7">
        <v>0.23255814611911774</v>
      </c>
      <c r="CJ137" s="7">
        <v>0.59851300716400146</v>
      </c>
      <c r="CK137" s="7">
        <v>0.54597699642181396</v>
      </c>
      <c r="CL137" s="7">
        <v>0.17567567527294159</v>
      </c>
      <c r="CM137" s="8">
        <v>-16.785139083862305</v>
      </c>
      <c r="CN137" s="8">
        <v>-0.20372706651687622</v>
      </c>
      <c r="CO137" s="8">
        <v>-0.29271724820137024</v>
      </c>
      <c r="CP137" s="8">
        <v>0.59850478172302246</v>
      </c>
      <c r="CQ137" s="8">
        <v>-0.37680011987686157</v>
      </c>
      <c r="CR137">
        <v>-270.38247994825855</v>
      </c>
      <c r="CS137">
        <v>-10.973590002046548</v>
      </c>
      <c r="CT137">
        <v>0</v>
      </c>
      <c r="CU137" s="7">
        <v>0.24639382362365722</v>
      </c>
      <c r="CV137" s="8">
        <v>-3.4119757473468781</v>
      </c>
      <c r="CW137">
        <v>0.06</v>
      </c>
      <c r="CX137" t="e">
        <v>#VALUE!</v>
      </c>
      <c r="CY137" t="s">
        <v>1361</v>
      </c>
      <c r="CZ137">
        <v>0.24639382362365722</v>
      </c>
      <c r="DA137" t="e">
        <v>#VALUE!</v>
      </c>
      <c r="DB137" t="s">
        <v>1362</v>
      </c>
      <c r="DC137">
        <v>0.23407413244247435</v>
      </c>
      <c r="DD137" t="e">
        <v>#VALUE!</v>
      </c>
      <c r="DE137" t="s">
        <v>1362</v>
      </c>
      <c r="DF137">
        <v>0.21682656478881834</v>
      </c>
      <c r="DG137" t="e">
        <v>#VALUE!</v>
      </c>
      <c r="DH137" t="s">
        <v>1362</v>
      </c>
      <c r="DI137">
        <v>0.19711505889892578</v>
      </c>
      <c r="DJ137" t="e">
        <v>#VALUE!</v>
      </c>
      <c r="DK137" t="s">
        <v>1362</v>
      </c>
      <c r="DL137">
        <v>0.17247567653656004</v>
      </c>
      <c r="DM137">
        <v>-276000000</v>
      </c>
      <c r="DN137">
        <v>0.24639382362365722</v>
      </c>
      <c r="DO137">
        <v>6785464900</v>
      </c>
      <c r="DP137">
        <v>752076110</v>
      </c>
      <c r="DQ137">
        <v>4820</v>
      </c>
      <c r="DR137">
        <v>0.89199066770201052</v>
      </c>
      <c r="DS137">
        <v>4.1432671297146717</v>
      </c>
      <c r="DT137" s="9">
        <v>-0.10666666666666676</v>
      </c>
      <c r="DU137">
        <v>-1.915</v>
      </c>
      <c r="DV137">
        <v>-2.0216666666666669</v>
      </c>
      <c r="DW137">
        <v>-8.1364999999999998</v>
      </c>
      <c r="DX137">
        <v>0.49738736641950498</v>
      </c>
      <c r="DY137">
        <v>-8.0296733755162624</v>
      </c>
      <c r="DZ137">
        <v>4649</v>
      </c>
      <c r="EA137">
        <v>-8.0026769914115459</v>
      </c>
      <c r="EB137">
        <v>8</v>
      </c>
      <c r="EC137">
        <v>4.6614500858701724E-2</v>
      </c>
      <c r="ED137">
        <v>0.21443057843771585</v>
      </c>
      <c r="EE137" s="10">
        <v>3.9299999999999995E-2</v>
      </c>
      <c r="EF137">
        <v>1.3400000000000002E-2</v>
      </c>
      <c r="EG137">
        <v>28.217387366419505</v>
      </c>
      <c r="EH137" t="s">
        <v>1360</v>
      </c>
      <c r="EI137">
        <v>0</v>
      </c>
      <c r="EJ137">
        <v>0</v>
      </c>
      <c r="EK137" s="11">
        <v>45470</v>
      </c>
      <c r="EL137" s="12">
        <v>-1.01</v>
      </c>
      <c r="EM137" s="12">
        <v>-5.05</v>
      </c>
      <c r="EN137" s="12">
        <v>-2.31</v>
      </c>
      <c r="EO137" s="12">
        <v>4.93</v>
      </c>
      <c r="EP137" s="12">
        <v>-2.59</v>
      </c>
    </row>
    <row r="138" spans="1:146" ht="108" x14ac:dyDescent="0.25">
      <c r="A138" s="6"/>
      <c r="B138" s="6"/>
      <c r="C138" s="6" t="str">
        <f>""&amp;CHAR(10)&amp;Basic_Fundamental_Information_Constructure(F138)&amp;CHAR(10)&amp;Basic_Fundamental_Information_Concatenate("")</f>
        <v xml:space="preserve">
市值35.580829亿, 利润1.53亿; PE42.81; 平均PE30.52; 平均PEG.48, PB2.76; ROIC14.05%; ROE14.2967%; 股利率.9779%; 毛利83.77%; 净利45.1833%; 上一年度营收增138.82%, 利润增-18.18%; 当季营收增-80.13%, 利润增-76.13%; 过往5年营收增62.94%, 利润增40.48%
Income profile:
</v>
      </c>
      <c r="D138" t="s">
        <v>423</v>
      </c>
      <c r="E138" t="s">
        <v>424</v>
      </c>
      <c r="F138">
        <v>58.7</v>
      </c>
      <c r="G138">
        <v>2.91</v>
      </c>
      <c r="H138" t="s">
        <v>4813</v>
      </c>
      <c r="I138">
        <v>3558082900</v>
      </c>
      <c r="J138">
        <v>42.81</v>
      </c>
      <c r="K138">
        <v>2.76</v>
      </c>
      <c r="L138" t="s">
        <v>100</v>
      </c>
      <c r="M138" t="s">
        <v>4814</v>
      </c>
      <c r="N138" t="s">
        <v>4708</v>
      </c>
      <c r="O138" t="s">
        <v>4815</v>
      </c>
      <c r="P138">
        <v>-30.2</v>
      </c>
      <c r="Q138" t="s">
        <v>2289</v>
      </c>
      <c r="R138">
        <v>14452079</v>
      </c>
      <c r="S138" s="5">
        <v>-0.69299999999999995</v>
      </c>
      <c r="T138" t="s">
        <v>320</v>
      </c>
      <c r="U138">
        <v>60614700</v>
      </c>
      <c r="V138">
        <v>60614700</v>
      </c>
      <c r="W138">
        <v>1.05</v>
      </c>
      <c r="X138">
        <v>0.05</v>
      </c>
      <c r="Y138">
        <v>22.31</v>
      </c>
      <c r="Z138" t="s">
        <v>4816</v>
      </c>
      <c r="AA138" t="s">
        <v>4817</v>
      </c>
      <c r="AB138" t="s">
        <v>4818</v>
      </c>
      <c r="AC138" t="s">
        <v>4819</v>
      </c>
      <c r="AD138" t="s">
        <v>81</v>
      </c>
      <c r="AE138">
        <v>-769735</v>
      </c>
      <c r="AF138" t="s">
        <v>4820</v>
      </c>
      <c r="AG138">
        <v>0.51</v>
      </c>
      <c r="AH138" t="s">
        <v>4821</v>
      </c>
      <c r="AI138" t="s">
        <v>368</v>
      </c>
      <c r="AJ138" t="s">
        <v>4822</v>
      </c>
      <c r="AK138" t="s">
        <v>81</v>
      </c>
      <c r="AL138" t="s">
        <v>4823</v>
      </c>
      <c r="AM138" t="s">
        <v>81</v>
      </c>
      <c r="AN138" t="s">
        <v>4824</v>
      </c>
      <c r="AO138" t="s">
        <v>1496</v>
      </c>
      <c r="AP138" t="s">
        <v>81</v>
      </c>
      <c r="AQ138" t="s">
        <v>4825</v>
      </c>
      <c r="AR138" t="s">
        <v>81</v>
      </c>
      <c r="AS138" t="s">
        <v>4826</v>
      </c>
      <c r="AT138" t="s">
        <v>81</v>
      </c>
      <c r="AU138" t="s">
        <v>4827</v>
      </c>
      <c r="AV138" t="s">
        <v>4828</v>
      </c>
      <c r="AW138" t="s">
        <v>4829</v>
      </c>
      <c r="AX138" t="s">
        <v>876</v>
      </c>
      <c r="AY138" t="s">
        <v>1199</v>
      </c>
      <c r="AZ138" t="s">
        <v>227</v>
      </c>
      <c r="BA138" t="s">
        <v>324</v>
      </c>
      <c r="BB138" t="s">
        <v>288</v>
      </c>
      <c r="BC138" t="s">
        <v>227</v>
      </c>
      <c r="BD138" t="s">
        <v>270</v>
      </c>
      <c r="BE138" t="s">
        <v>1027</v>
      </c>
      <c r="BF138" t="s">
        <v>1028</v>
      </c>
      <c r="BG138" t="s">
        <v>1029</v>
      </c>
      <c r="BH138" t="s">
        <v>456</v>
      </c>
      <c r="BI138" t="s">
        <v>1651</v>
      </c>
      <c r="BJ138" t="s">
        <v>876</v>
      </c>
      <c r="BK138" t="s">
        <v>368</v>
      </c>
      <c r="BL138" t="s">
        <v>4830</v>
      </c>
      <c r="BM138" t="s">
        <v>227</v>
      </c>
      <c r="BN138">
        <v>7.76</v>
      </c>
      <c r="BO138">
        <v>16.239999999999998</v>
      </c>
      <c r="BP138">
        <v>18.149999999999999</v>
      </c>
      <c r="BQ138">
        <v>7.97</v>
      </c>
      <c r="BR138">
        <v>16.45</v>
      </c>
      <c r="BS138">
        <v>18.47</v>
      </c>
      <c r="BT138" t="s">
        <v>4831</v>
      </c>
      <c r="BU138" t="s">
        <v>1353</v>
      </c>
      <c r="BV138">
        <v>81.25</v>
      </c>
      <c r="BW138">
        <v>84.85</v>
      </c>
      <c r="BX138">
        <v>85.21</v>
      </c>
      <c r="BY138">
        <v>39.619999999999997</v>
      </c>
      <c r="BZ138">
        <v>45.88</v>
      </c>
      <c r="CA138">
        <v>50.05</v>
      </c>
      <c r="CB138">
        <v>-0.14000000000000001</v>
      </c>
      <c r="CC138">
        <v>-15.11</v>
      </c>
      <c r="CD138" t="s">
        <v>4832</v>
      </c>
      <c r="CE138" t="s">
        <v>4833</v>
      </c>
      <c r="CF138" s="7">
        <v>-0.80126073619631899</v>
      </c>
      <c r="CG138" s="8">
        <v>-0.76130493738665683</v>
      </c>
      <c r="CH138" s="7">
        <v>1.3882063627243042</v>
      </c>
      <c r="CI138" s="7">
        <v>0.15954415500164032</v>
      </c>
      <c r="CJ138" s="7">
        <v>0.87700533866882324</v>
      </c>
      <c r="CK138" s="7">
        <v>0.39552238583564758</v>
      </c>
      <c r="CL138" s="7">
        <v>0.32673266530036926</v>
      </c>
      <c r="CM138" s="8">
        <v>-0.18181818723678589</v>
      </c>
      <c r="CN138" s="8">
        <v>6.25E-2</v>
      </c>
      <c r="CO138" s="8">
        <v>1.0541814565658569</v>
      </c>
      <c r="CP138" s="8">
        <v>0.39216354489326477</v>
      </c>
      <c r="CQ138" s="8">
        <v>0.69683510065078735</v>
      </c>
      <c r="CR138">
        <v>30.51998914069533</v>
      </c>
      <c r="CS138">
        <v>0.48490440671274948</v>
      </c>
      <c r="CT138">
        <v>0.97785349233390118</v>
      </c>
      <c r="CU138" s="7">
        <v>0.6294021815061569</v>
      </c>
      <c r="CV138" s="8">
        <v>0.40477238297462464</v>
      </c>
      <c r="CW138">
        <v>0.06</v>
      </c>
      <c r="CX138">
        <v>9.9346407720174401</v>
      </c>
      <c r="CY138">
        <v>235187296.00985095</v>
      </c>
      <c r="CZ138">
        <v>0.6294021815061569</v>
      </c>
      <c r="DA138">
        <v>2.1193140147797016</v>
      </c>
      <c r="DB138">
        <v>1102479992.9154787</v>
      </c>
      <c r="DC138">
        <v>0.597932072430849</v>
      </c>
      <c r="DD138">
        <v>0.54393335202856652</v>
      </c>
      <c r="DE138">
        <v>4295565424.1207304</v>
      </c>
      <c r="DF138">
        <v>0.55387391972541811</v>
      </c>
      <c r="DG138">
        <v>0.1409354168987613</v>
      </c>
      <c r="DH138">
        <v>16578524769.812746</v>
      </c>
      <c r="DI138">
        <v>0.50352174520492554</v>
      </c>
      <c r="DJ138">
        <v>8.7515704211646502E-3</v>
      </c>
      <c r="DK138">
        <v>266980803165.27472</v>
      </c>
      <c r="DL138">
        <v>0.44058152705430981</v>
      </c>
      <c r="DM138">
        <v>153000000</v>
      </c>
      <c r="DN138">
        <v>0.6294021815061569</v>
      </c>
      <c r="DO138">
        <v>2336501300</v>
      </c>
      <c r="DP138">
        <v>688970920</v>
      </c>
      <c r="DQ138">
        <v>4848</v>
      </c>
      <c r="DR138">
        <v>-1.4306629177024759</v>
      </c>
      <c r="DS138">
        <v>-1.1660773203612815</v>
      </c>
      <c r="DT138" s="9">
        <v>0.52666666666666662</v>
      </c>
      <c r="DU138">
        <v>-2.3333333333333355E-2</v>
      </c>
      <c r="DV138">
        <v>0.5033333333333333</v>
      </c>
      <c r="DW138">
        <v>-2.1511</v>
      </c>
      <c r="DX138">
        <v>0.35329376961132608</v>
      </c>
      <c r="DY138">
        <v>-2.0186296885882715</v>
      </c>
      <c r="DZ138">
        <v>2014</v>
      </c>
      <c r="EA138">
        <v>-2.0112871851016219</v>
      </c>
      <c r="EB138">
        <v>2</v>
      </c>
      <c r="EC138">
        <v>2.8328111827658969E-2</v>
      </c>
      <c r="ED138">
        <v>0.22976109755554347</v>
      </c>
      <c r="EE138" s="10">
        <v>-4.0344100000000003</v>
      </c>
      <c r="EF138">
        <v>-4.0738099999999999</v>
      </c>
      <c r="EG138">
        <v>23.123293769611326</v>
      </c>
      <c r="EH138" t="s">
        <v>3135</v>
      </c>
      <c r="EI138">
        <v>0</v>
      </c>
      <c r="EJ138">
        <v>0</v>
      </c>
      <c r="EK138" s="11">
        <v>45470</v>
      </c>
      <c r="EL138" s="12">
        <v>-0.85</v>
      </c>
      <c r="EM138" s="12">
        <v>-6.2</v>
      </c>
      <c r="EN138" s="12">
        <v>-1.46</v>
      </c>
      <c r="EO138" s="12">
        <v>2.74</v>
      </c>
      <c r="EP138" s="12">
        <v>-3.94</v>
      </c>
    </row>
    <row r="139" spans="1:146" ht="96" x14ac:dyDescent="0.25">
      <c r="A139" s="6"/>
      <c r="B139" s="6"/>
      <c r="C139" s="6" t="str">
        <f>""&amp;CHAR(10)&amp;Basic_Fundamental_Information_Constructure(F139)&amp;CHAR(10)&amp;Basic_Fundamental_Information_Concatenate("")</f>
        <v xml:space="preserve">
市值28.042992亿, 利润6.06亿; PE; 平均PE-87.94; 平均PEG-.03, PB3.78; ROIC0%; ROE-31.4267%; 股利率0%; 毛利85.2533%; 净利-1291.6033%; 上一年度营收增7299.39%, 利润增375.45%; 当季营收增-95.27%, 利润增-188.05%; 过往5年营收增2576.24%, 利润增52.92%
Income profile:
</v>
      </c>
      <c r="D139" t="s">
        <v>1445</v>
      </c>
      <c r="E139" t="s">
        <v>1446</v>
      </c>
      <c r="F139">
        <v>4.28</v>
      </c>
      <c r="G139">
        <v>5.42</v>
      </c>
      <c r="H139" t="s">
        <v>4834</v>
      </c>
      <c r="I139">
        <v>2804299200</v>
      </c>
      <c r="K139">
        <v>3.78</v>
      </c>
      <c r="L139" t="s">
        <v>100</v>
      </c>
      <c r="M139" t="s">
        <v>718</v>
      </c>
      <c r="N139" t="s">
        <v>664</v>
      </c>
      <c r="O139" t="s">
        <v>2976</v>
      </c>
      <c r="P139">
        <v>91.1</v>
      </c>
      <c r="Q139" t="s">
        <v>4835</v>
      </c>
      <c r="R139">
        <v>-102136624</v>
      </c>
      <c r="S139" s="5">
        <v>-0.81859999999999999</v>
      </c>
      <c r="T139" t="s">
        <v>437</v>
      </c>
      <c r="U139">
        <v>347047320</v>
      </c>
      <c r="V139">
        <v>655210080</v>
      </c>
      <c r="W139">
        <v>1.49</v>
      </c>
      <c r="X139">
        <v>0.03</v>
      </c>
      <c r="Y139">
        <v>-309.35000000000002</v>
      </c>
      <c r="Z139" t="s">
        <v>386</v>
      </c>
      <c r="AA139" t="s">
        <v>4836</v>
      </c>
      <c r="AB139" t="s">
        <v>4837</v>
      </c>
      <c r="AC139" t="s">
        <v>4838</v>
      </c>
      <c r="AD139" t="s">
        <v>81</v>
      </c>
      <c r="AE139">
        <v>2876904</v>
      </c>
      <c r="AF139" t="s">
        <v>236</v>
      </c>
      <c r="AG139" t="s">
        <v>81</v>
      </c>
      <c r="AH139" t="s">
        <v>2979</v>
      </c>
      <c r="AI139" t="s">
        <v>273</v>
      </c>
      <c r="AJ139" t="s">
        <v>2980</v>
      </c>
      <c r="AK139" t="s">
        <v>81</v>
      </c>
      <c r="AL139" t="s">
        <v>2981</v>
      </c>
      <c r="AM139" t="s">
        <v>81</v>
      </c>
      <c r="AN139">
        <v>0</v>
      </c>
      <c r="AO139" t="s">
        <v>81</v>
      </c>
      <c r="AP139" t="s">
        <v>81</v>
      </c>
      <c r="AQ139" t="s">
        <v>4839</v>
      </c>
      <c r="AR139" t="s">
        <v>81</v>
      </c>
      <c r="AS139" t="s">
        <v>238</v>
      </c>
      <c r="AT139" t="s">
        <v>268</v>
      </c>
      <c r="AU139" t="s">
        <v>472</v>
      </c>
      <c r="AV139" t="s">
        <v>839</v>
      </c>
      <c r="AW139" t="s">
        <v>4840</v>
      </c>
      <c r="AX139" t="s">
        <v>1793</v>
      </c>
      <c r="AY139" t="s">
        <v>1447</v>
      </c>
      <c r="AZ139">
        <v>0</v>
      </c>
      <c r="BA139">
        <v>0</v>
      </c>
      <c r="BB139" t="s">
        <v>1449</v>
      </c>
      <c r="BC139" t="s">
        <v>1794</v>
      </c>
      <c r="BD139" t="s">
        <v>1448</v>
      </c>
      <c r="BE139" t="s">
        <v>1450</v>
      </c>
      <c r="BF139" t="s">
        <v>363</v>
      </c>
      <c r="BG139" t="s">
        <v>1451</v>
      </c>
      <c r="BH139" t="s">
        <v>2977</v>
      </c>
      <c r="BI139" t="s">
        <v>2164</v>
      </c>
      <c r="BJ139" t="s">
        <v>1793</v>
      </c>
      <c r="BK139" t="s">
        <v>2978</v>
      </c>
      <c r="BL139" t="s">
        <v>368</v>
      </c>
      <c r="BM139" t="s">
        <v>1794</v>
      </c>
      <c r="BN139" t="s">
        <v>81</v>
      </c>
      <c r="BO139" t="s">
        <v>81</v>
      </c>
      <c r="BP139" t="s">
        <v>81</v>
      </c>
      <c r="BQ139">
        <v>-22.01</v>
      </c>
      <c r="BR139">
        <v>-29.52</v>
      </c>
      <c r="BS139">
        <v>-42.75</v>
      </c>
      <c r="BT139" t="s">
        <v>1526</v>
      </c>
      <c r="BU139" t="s">
        <v>1354</v>
      </c>
      <c r="BV139">
        <v>81.61</v>
      </c>
      <c r="BW139">
        <v>81.7</v>
      </c>
      <c r="BX139">
        <v>92.45</v>
      </c>
      <c r="BY139">
        <v>-463.91</v>
      </c>
      <c r="BZ139">
        <v>-456.99</v>
      </c>
      <c r="CA139">
        <v>-2953.91</v>
      </c>
      <c r="CB139">
        <v>-1.61</v>
      </c>
      <c r="CC139">
        <v>-4.8899999999999997</v>
      </c>
      <c r="CD139" t="s">
        <v>4841</v>
      </c>
      <c r="CE139" t="s">
        <v>595</v>
      </c>
      <c r="CF139" s="7">
        <v>-0.95269899713467043</v>
      </c>
      <c r="CG139" s="8">
        <v>-1.8804881379310348</v>
      </c>
      <c r="CH139" s="7">
        <v>72.993865966796875</v>
      </c>
      <c r="CI139" s="7">
        <v>5.2933030128479004</v>
      </c>
      <c r="CJ139" s="7" t="e">
        <v>#VALUE!</v>
      </c>
      <c r="CK139" s="7" t="e">
        <v>#VALUE!</v>
      </c>
      <c r="CL139" s="7">
        <v>-1</v>
      </c>
      <c r="CM139" s="8">
        <v>3.7545454502105713</v>
      </c>
      <c r="CN139" s="8">
        <v>2.6548672467470169E-2</v>
      </c>
      <c r="CO139" s="8">
        <v>-1.6179466247558594</v>
      </c>
      <c r="CP139" s="8">
        <v>0.24932870268821716</v>
      </c>
      <c r="CQ139" s="8">
        <v>0.23333333432674408</v>
      </c>
      <c r="CR139">
        <v>-87.942515230453381</v>
      </c>
      <c r="CS139">
        <v>-3.4136008495905028E-2</v>
      </c>
      <c r="CT139">
        <v>0</v>
      </c>
      <c r="CU139" s="7">
        <v>25.762389659881592</v>
      </c>
      <c r="CV139" s="8">
        <v>0.52916190698742871</v>
      </c>
      <c r="CW139">
        <v>0.06</v>
      </c>
      <c r="CX139">
        <v>0.15668614363869887</v>
      </c>
      <c r="CY139">
        <v>15300007673.479475</v>
      </c>
      <c r="CZ139">
        <v>25.762389659881592</v>
      </c>
      <c r="DA139">
        <v>2.7317141143990423E-4</v>
      </c>
      <c r="DB139">
        <v>8775805591674.7666</v>
      </c>
      <c r="DC139">
        <v>24.474270176887511</v>
      </c>
      <c r="DD139">
        <v>3.0471858912326824E-8</v>
      </c>
      <c r="DE139">
        <v>7.8672561687078992E+16</v>
      </c>
      <c r="DF139">
        <v>22.6709029006958</v>
      </c>
      <c r="DG139">
        <v>3.0334392925402393E-13</v>
      </c>
      <c r="DH139">
        <v>7.9029081145463517E+21</v>
      </c>
      <c r="DI139">
        <v>20.609911727905274</v>
      </c>
      <c r="DJ139">
        <v>3.0763035436310992E-25</v>
      </c>
      <c r="DK139">
        <v>7.7927914654688466E+33</v>
      </c>
      <c r="DL139">
        <v>18.033672761917114</v>
      </c>
      <c r="DM139">
        <v>606000000</v>
      </c>
      <c r="DN139">
        <v>25.762389659881592</v>
      </c>
      <c r="DO139">
        <v>2397299200</v>
      </c>
      <c r="DP139">
        <v>854871280</v>
      </c>
      <c r="DQ139">
        <v>4864</v>
      </c>
      <c r="DR139">
        <v>-26.715088657016263</v>
      </c>
      <c r="DS139">
        <v>-2.4096500449184637</v>
      </c>
      <c r="DT139" s="9">
        <v>0.31499999999999984</v>
      </c>
      <c r="DU139">
        <v>-2.3149999999999999</v>
      </c>
      <c r="DV139">
        <v>-2</v>
      </c>
      <c r="DW139">
        <v>-1.0488999999999999</v>
      </c>
      <c r="DX139">
        <v>0.55553057851239773</v>
      </c>
      <c r="DY139">
        <v>-1.0076054452892562</v>
      </c>
      <c r="DZ139">
        <v>1169</v>
      </c>
      <c r="EA139">
        <v>-1.0058655694491112</v>
      </c>
      <c r="EB139">
        <v>1</v>
      </c>
      <c r="EC139">
        <v>2.8722390839896726E-2</v>
      </c>
      <c r="ED139">
        <v>0.1846735935442263</v>
      </c>
      <c r="EE139" s="10">
        <v>-5.0552099999999998</v>
      </c>
      <c r="EF139">
        <v>-5.0729100000000003</v>
      </c>
      <c r="EG139">
        <v>40.155530578512398</v>
      </c>
      <c r="EH139" t="s">
        <v>3162</v>
      </c>
      <c r="EI139">
        <v>0</v>
      </c>
      <c r="EJ139">
        <v>1</v>
      </c>
      <c r="EK139" s="11">
        <v>45470</v>
      </c>
      <c r="EL139" s="12">
        <v>0.61</v>
      </c>
      <c r="EM139" s="12">
        <v>-3.96</v>
      </c>
      <c r="EN139" s="12">
        <v>0.09</v>
      </c>
      <c r="EO139" s="12">
        <v>1.69</v>
      </c>
      <c r="EP139" s="12">
        <v>-1.77</v>
      </c>
    </row>
    <row r="140" spans="1:146" x14ac:dyDescent="0.25">
      <c r="A140" s="6"/>
      <c r="B140" s="6"/>
      <c r="C140" s="6" t="e">
        <f>""&amp;CHAR(10)&amp;Basic_Fundamental_Information_Constructure(F140)&amp;CHAR(10)&amp;Basic_Fundamental_Information_Concatenate("")</f>
        <v>#VALUE!</v>
      </c>
      <c r="D140" t="s">
        <v>1452</v>
      </c>
      <c r="E140" t="s">
        <v>1453</v>
      </c>
      <c r="F140">
        <v>7.17</v>
      </c>
      <c r="G140">
        <v>6.38</v>
      </c>
      <c r="H140" t="s">
        <v>4842</v>
      </c>
      <c r="I140">
        <v>4135065700</v>
      </c>
      <c r="K140">
        <v>2.14</v>
      </c>
      <c r="L140" t="s">
        <v>100</v>
      </c>
      <c r="M140" t="s">
        <v>396</v>
      </c>
      <c r="N140" t="s">
        <v>4843</v>
      </c>
      <c r="O140" t="s">
        <v>2982</v>
      </c>
      <c r="P140" t="s">
        <v>81</v>
      </c>
      <c r="Q140" t="s">
        <v>2483</v>
      </c>
      <c r="R140">
        <v>-83177667</v>
      </c>
      <c r="S140" s="5">
        <v>0.29430000000000001</v>
      </c>
      <c r="T140" t="s">
        <v>4844</v>
      </c>
      <c r="U140">
        <v>396237790</v>
      </c>
      <c r="V140">
        <v>576717670</v>
      </c>
      <c r="W140">
        <v>1.07</v>
      </c>
      <c r="X140">
        <v>0</v>
      </c>
      <c r="Y140">
        <v>-966.5</v>
      </c>
      <c r="Z140" t="s">
        <v>4845</v>
      </c>
      <c r="AA140" t="s">
        <v>4846</v>
      </c>
      <c r="AB140" t="s">
        <v>81</v>
      </c>
      <c r="AC140" t="s">
        <v>4847</v>
      </c>
      <c r="AD140" t="s">
        <v>81</v>
      </c>
      <c r="AE140">
        <v>-8135149</v>
      </c>
      <c r="AF140" t="s">
        <v>236</v>
      </c>
      <c r="AG140" t="s">
        <v>81</v>
      </c>
      <c r="AH140" t="s">
        <v>2984</v>
      </c>
      <c r="AI140" t="s">
        <v>4848</v>
      </c>
      <c r="AJ140" t="s">
        <v>2985</v>
      </c>
      <c r="AK140" t="s">
        <v>81</v>
      </c>
      <c r="AL140" t="s">
        <v>2986</v>
      </c>
      <c r="AM140" t="s">
        <v>81</v>
      </c>
      <c r="AN140" t="s">
        <v>4849</v>
      </c>
      <c r="AO140" t="s">
        <v>81</v>
      </c>
      <c r="AP140" t="s">
        <v>81</v>
      </c>
      <c r="AQ140" t="s">
        <v>4850</v>
      </c>
      <c r="AR140" t="s">
        <v>81</v>
      </c>
      <c r="AS140" t="s">
        <v>306</v>
      </c>
      <c r="AT140" t="s">
        <v>81</v>
      </c>
      <c r="AU140" t="s">
        <v>4851</v>
      </c>
      <c r="AV140" t="s">
        <v>4852</v>
      </c>
      <c r="AW140" t="s">
        <v>4853</v>
      </c>
      <c r="AX140" t="s">
        <v>81</v>
      </c>
      <c r="AY140" t="s">
        <v>81</v>
      </c>
      <c r="AZ140" t="s">
        <v>81</v>
      </c>
      <c r="BA140" t="s">
        <v>1455</v>
      </c>
      <c r="BB140">
        <v>0</v>
      </c>
      <c r="BC140" t="s">
        <v>1795</v>
      </c>
      <c r="BD140" t="s">
        <v>1454</v>
      </c>
      <c r="BE140" t="s">
        <v>1456</v>
      </c>
      <c r="BF140" t="s">
        <v>1457</v>
      </c>
      <c r="BG140" t="s">
        <v>1377</v>
      </c>
      <c r="BH140" t="s">
        <v>242</v>
      </c>
      <c r="BI140" t="s">
        <v>401</v>
      </c>
      <c r="BJ140" t="s">
        <v>81</v>
      </c>
      <c r="BK140" t="s">
        <v>2983</v>
      </c>
      <c r="BL140" t="s">
        <v>4854</v>
      </c>
      <c r="BM140" t="s">
        <v>1795</v>
      </c>
      <c r="BN140" t="s">
        <v>81</v>
      </c>
      <c r="BO140" t="s">
        <v>81</v>
      </c>
      <c r="BP140" t="s">
        <v>81</v>
      </c>
      <c r="BQ140">
        <v>-11.39</v>
      </c>
      <c r="BR140">
        <v>-37.630000000000003</v>
      </c>
      <c r="BS140">
        <v>-42.22</v>
      </c>
      <c r="BT140" t="s">
        <v>1526</v>
      </c>
      <c r="BU140" t="s">
        <v>1354</v>
      </c>
      <c r="BV140" t="s">
        <v>81</v>
      </c>
      <c r="BW140" t="s">
        <v>81</v>
      </c>
      <c r="BX140" t="s">
        <v>81</v>
      </c>
      <c r="BY140">
        <v>-153.06</v>
      </c>
      <c r="BZ140" t="s">
        <v>81</v>
      </c>
      <c r="CA140" t="s">
        <v>81</v>
      </c>
      <c r="CB140">
        <v>-0.83</v>
      </c>
      <c r="CC140">
        <v>-16.63</v>
      </c>
      <c r="CD140" t="s">
        <v>4855</v>
      </c>
      <c r="CE140" t="s">
        <v>255</v>
      </c>
      <c r="CF140" s="7" t="s">
        <v>81</v>
      </c>
      <c r="CG140" s="8">
        <v>-2.4259525674894955</v>
      </c>
      <c r="CH140" s="7" t="s">
        <v>81</v>
      </c>
      <c r="CI140" s="7" t="s">
        <v>81</v>
      </c>
      <c r="CJ140" s="7" t="s">
        <v>81</v>
      </c>
      <c r="CK140" s="7" t="s">
        <v>81</v>
      </c>
      <c r="CL140" s="7" t="e">
        <v>#VALUE!</v>
      </c>
      <c r="CM140" s="8">
        <v>1.1248526573181152</v>
      </c>
      <c r="CN140" s="8">
        <v>-0.34916201233863831</v>
      </c>
      <c r="CO140" s="8">
        <v>0.66001898050308228</v>
      </c>
      <c r="CP140" s="8">
        <v>-10.085855484008789</v>
      </c>
      <c r="CQ140" s="8">
        <v>7.7806755900382996E-2</v>
      </c>
      <c r="CR140">
        <v>-12.211750155203909</v>
      </c>
      <c r="CS140">
        <v>0</v>
      </c>
      <c r="CT140">
        <v>0</v>
      </c>
      <c r="CU140" s="7" t="s">
        <v>81</v>
      </c>
      <c r="CV140" s="8">
        <v>-1.7144678205251693</v>
      </c>
      <c r="CW140">
        <v>0.06</v>
      </c>
      <c r="CX140" t="e">
        <v>#VALUE!</v>
      </c>
      <c r="CY140" t="e">
        <v>#VALUE!</v>
      </c>
      <c r="CZ140" t="s">
        <v>81</v>
      </c>
      <c r="DA140" t="e">
        <v>#VALUE!</v>
      </c>
      <c r="DB140" t="e">
        <v>#VALUE!</v>
      </c>
      <c r="DC140" t="e">
        <v>#VALUE!</v>
      </c>
      <c r="DD140" t="e">
        <v>#VALUE!</v>
      </c>
      <c r="DE140" t="e">
        <v>#VALUE!</v>
      </c>
      <c r="DF140" t="e">
        <v>#VALUE!</v>
      </c>
      <c r="DG140" t="e">
        <v>#VALUE!</v>
      </c>
      <c r="DH140" t="e">
        <v>#VALUE!</v>
      </c>
      <c r="DI140" t="e">
        <v>#VALUE!</v>
      </c>
      <c r="DJ140" t="e">
        <v>#VALUE!</v>
      </c>
      <c r="DK140" t="e">
        <v>#VALUE!</v>
      </c>
      <c r="DL140" t="e">
        <v>#VALUE!</v>
      </c>
      <c r="DM140">
        <v>60303800</v>
      </c>
      <c r="DN140" t="s">
        <v>81</v>
      </c>
      <c r="DO140">
        <v>2365065700</v>
      </c>
      <c r="DP140">
        <v>1903818100</v>
      </c>
      <c r="DQ140">
        <v>4872</v>
      </c>
      <c r="DR140" t="e">
        <v>#VALUE!</v>
      </c>
      <c r="DS140">
        <v>-0.71148474696432618</v>
      </c>
      <c r="DT140" s="9" t="e">
        <v>#VALUE!</v>
      </c>
      <c r="DU140">
        <v>-2.3483333333333336</v>
      </c>
      <c r="DV140" t="e">
        <v>#VALUE!</v>
      </c>
      <c r="DW140">
        <v>-3.0071249999999998</v>
      </c>
      <c r="DX140">
        <v>0.68883020134228246</v>
      </c>
      <c r="DY140">
        <v>-3.0014166651845637</v>
      </c>
      <c r="DZ140">
        <v>2565</v>
      </c>
      <c r="EA140">
        <v>-3.000705560253369</v>
      </c>
      <c r="EB140">
        <v>3</v>
      </c>
      <c r="EC140">
        <v>5.1369502862639881E-2</v>
      </c>
      <c r="ED140">
        <v>0.25835865233676647</v>
      </c>
      <c r="EE140" s="10">
        <v>-3.00841</v>
      </c>
      <c r="EF140">
        <v>-3.0342099999999999</v>
      </c>
      <c r="EG140">
        <v>49.198830201342282</v>
      </c>
      <c r="EH140" t="s">
        <v>1991</v>
      </c>
      <c r="EI140">
        <v>0</v>
      </c>
      <c r="EJ140">
        <v>0</v>
      </c>
      <c r="EK140" s="11">
        <v>45470</v>
      </c>
      <c r="EL140" s="12">
        <v>-4.2</v>
      </c>
      <c r="EM140" s="12">
        <v>-9.1999999999999993</v>
      </c>
      <c r="EN140" s="12">
        <v>-5.67</v>
      </c>
      <c r="EO140" s="12">
        <v>3.09</v>
      </c>
      <c r="EP140" s="12">
        <v>-2.58</v>
      </c>
    </row>
    <row r="141" spans="1:146" ht="108" x14ac:dyDescent="0.25">
      <c r="A141" s="6"/>
      <c r="B141" s="6"/>
      <c r="C141" s="6" t="str">
        <f>""&amp;CHAR(10)&amp;Basic_Fundamental_Information_Constructure(F141)&amp;CHAR(10)&amp;Basic_Fundamental_Information_Concatenate("")</f>
        <v xml:space="preserve">
市值66.962558亿, 利润-7.80亿; PE65.53; 平均PE535.7; 平均PEG1957.63, PB2.84; ROIC6.4033%; ROE6.8467%; 股利率1.0836%; 毛利92.15%; 净利14.8933%; 上一年度营收增-45.49%, 利润增-665.22%; 当季营收增20.33%, 利润增101.41%; 过往5年营收增.27%, 利润增-119.19%
Income profile:
</v>
      </c>
      <c r="D141" t="s">
        <v>204</v>
      </c>
      <c r="E141" t="s">
        <v>205</v>
      </c>
      <c r="F141">
        <v>6.46</v>
      </c>
      <c r="G141">
        <v>2.38</v>
      </c>
      <c r="H141" t="s">
        <v>4856</v>
      </c>
      <c r="I141">
        <v>6696255800</v>
      </c>
      <c r="J141">
        <v>65.53</v>
      </c>
      <c r="K141">
        <v>2.84</v>
      </c>
      <c r="L141" t="s">
        <v>100</v>
      </c>
      <c r="M141" t="s">
        <v>2525</v>
      </c>
      <c r="N141" t="s">
        <v>4857</v>
      </c>
      <c r="O141" t="s">
        <v>339</v>
      </c>
      <c r="P141">
        <v>-21.94</v>
      </c>
      <c r="Q141" t="s">
        <v>1527</v>
      </c>
      <c r="R141">
        <v>2347396</v>
      </c>
      <c r="S141" s="5">
        <v>-0.7329</v>
      </c>
      <c r="T141" t="s">
        <v>2995</v>
      </c>
      <c r="U141">
        <v>710572100</v>
      </c>
      <c r="V141">
        <v>1036572100</v>
      </c>
      <c r="W141">
        <v>1.2</v>
      </c>
      <c r="X141">
        <v>0.05</v>
      </c>
      <c r="Y141">
        <v>1.53</v>
      </c>
      <c r="Z141" t="s">
        <v>266</v>
      </c>
      <c r="AA141" t="s">
        <v>4858</v>
      </c>
      <c r="AB141" t="s">
        <v>4859</v>
      </c>
      <c r="AC141" t="s">
        <v>4860</v>
      </c>
      <c r="AD141" t="s">
        <v>81</v>
      </c>
      <c r="AE141">
        <v>-1230631</v>
      </c>
      <c r="AF141" t="s">
        <v>2989</v>
      </c>
      <c r="AG141" t="s">
        <v>4861</v>
      </c>
      <c r="AH141" t="s">
        <v>2990</v>
      </c>
      <c r="AI141" t="s">
        <v>4862</v>
      </c>
      <c r="AJ141" t="s">
        <v>2991</v>
      </c>
      <c r="AK141" t="s">
        <v>4863</v>
      </c>
      <c r="AL141" t="s">
        <v>2992</v>
      </c>
      <c r="AM141" t="s">
        <v>81</v>
      </c>
      <c r="AN141" t="s">
        <v>2784</v>
      </c>
      <c r="AO141" t="s">
        <v>81</v>
      </c>
      <c r="AP141" t="s">
        <v>81</v>
      </c>
      <c r="AQ141" t="s">
        <v>4864</v>
      </c>
      <c r="AR141" t="s">
        <v>81</v>
      </c>
      <c r="AS141" t="s">
        <v>1917</v>
      </c>
      <c r="AT141" t="s">
        <v>81</v>
      </c>
      <c r="AU141" t="s">
        <v>4865</v>
      </c>
      <c r="AV141" t="s">
        <v>4866</v>
      </c>
      <c r="AW141" t="s">
        <v>4867</v>
      </c>
      <c r="AX141" t="s">
        <v>512</v>
      </c>
      <c r="AY141" t="s">
        <v>1348</v>
      </c>
      <c r="AZ141" t="s">
        <v>282</v>
      </c>
      <c r="BA141" t="s">
        <v>695</v>
      </c>
      <c r="BB141" t="s">
        <v>664</v>
      </c>
      <c r="BC141" t="s">
        <v>238</v>
      </c>
      <c r="BD141" t="s">
        <v>576</v>
      </c>
      <c r="BE141" t="s">
        <v>396</v>
      </c>
      <c r="BF141" t="s">
        <v>425</v>
      </c>
      <c r="BG141" t="s">
        <v>274</v>
      </c>
      <c r="BH141" t="s">
        <v>1886</v>
      </c>
      <c r="BI141" t="s">
        <v>374</v>
      </c>
      <c r="BJ141" t="s">
        <v>512</v>
      </c>
      <c r="BK141" t="s">
        <v>335</v>
      </c>
      <c r="BL141" t="s">
        <v>1989</v>
      </c>
      <c r="BM141" t="s">
        <v>238</v>
      </c>
      <c r="BN141">
        <v>3.74</v>
      </c>
      <c r="BO141">
        <v>5.58</v>
      </c>
      <c r="BP141">
        <v>9.89</v>
      </c>
      <c r="BQ141">
        <v>3.91</v>
      </c>
      <c r="BR141">
        <v>6.21</v>
      </c>
      <c r="BS141">
        <v>10.42</v>
      </c>
      <c r="BT141" t="s">
        <v>1537</v>
      </c>
      <c r="BU141" t="s">
        <v>1354</v>
      </c>
      <c r="BV141">
        <v>91.7</v>
      </c>
      <c r="BW141">
        <v>91.85</v>
      </c>
      <c r="BX141">
        <v>92.9</v>
      </c>
      <c r="BY141">
        <v>12.75</v>
      </c>
      <c r="BZ141">
        <v>13.31</v>
      </c>
      <c r="CA141">
        <v>18.62</v>
      </c>
      <c r="CB141">
        <v>0.94</v>
      </c>
      <c r="CC141">
        <v>-11.26</v>
      </c>
      <c r="CD141" t="s">
        <v>4868</v>
      </c>
      <c r="CE141" t="s">
        <v>4869</v>
      </c>
      <c r="CF141" s="7">
        <v>0.2032520325203252</v>
      </c>
      <c r="CG141" s="8">
        <v>1.0140562634730539</v>
      </c>
      <c r="CH141" s="7">
        <v>-0.45489814877510071</v>
      </c>
      <c r="CI141" s="7">
        <v>-9.5614038407802582E-2</v>
      </c>
      <c r="CJ141" s="7">
        <v>0.36690646409988403</v>
      </c>
      <c r="CK141" s="7">
        <v>-0.18950437009334564</v>
      </c>
      <c r="CL141" s="7">
        <v>0.38679245114326477</v>
      </c>
      <c r="CM141" s="8">
        <v>-6.6521739959716797</v>
      </c>
      <c r="CN141" s="8">
        <v>-0.35211268067359924</v>
      </c>
      <c r="CO141" s="8">
        <v>0.29090908169746399</v>
      </c>
      <c r="CP141" s="8">
        <v>-0.27312776446342468</v>
      </c>
      <c r="CQ141" s="8">
        <v>1.0267857313156128</v>
      </c>
      <c r="CR141">
        <v>535.70046400000001</v>
      </c>
      <c r="CS141">
        <v>1957.6321029458427</v>
      </c>
      <c r="CT141">
        <v>1.0835913312693497</v>
      </c>
      <c r="CU141" s="7">
        <v>2.7364715933799744E-3</v>
      </c>
      <c r="CV141" s="8">
        <v>-1.1919439256191253</v>
      </c>
      <c r="CW141">
        <v>0.06</v>
      </c>
      <c r="CX141" t="e">
        <v>#VALUE!</v>
      </c>
      <c r="CY141" t="s">
        <v>1362</v>
      </c>
      <c r="CZ141">
        <v>2.7364715933799744E-3</v>
      </c>
      <c r="DA141" t="e">
        <v>#VALUE!</v>
      </c>
      <c r="DB141" t="s">
        <v>1362</v>
      </c>
      <c r="DC141">
        <v>2.5996480137109755E-3</v>
      </c>
      <c r="DD141" t="e">
        <v>#VALUE!</v>
      </c>
      <c r="DE141" t="s">
        <v>1362</v>
      </c>
      <c r="DF141">
        <v>2.4080950021743773E-3</v>
      </c>
      <c r="DG141" t="e">
        <v>#VALUE!</v>
      </c>
      <c r="DH141" t="s">
        <v>1362</v>
      </c>
      <c r="DI141">
        <v>2.1891772747039797E-3</v>
      </c>
      <c r="DJ141" t="e">
        <v>#VALUE!</v>
      </c>
      <c r="DK141" t="s">
        <v>1362</v>
      </c>
      <c r="DL141">
        <v>1.9155301153659819E-3</v>
      </c>
      <c r="DM141">
        <v>-780000000</v>
      </c>
      <c r="DN141">
        <v>2.7364715933799744E-3</v>
      </c>
      <c r="DO141">
        <v>4853255800</v>
      </c>
      <c r="DP141">
        <v>1380318800</v>
      </c>
      <c r="DQ141">
        <v>4932</v>
      </c>
      <c r="DR141">
        <v>0.20051556092694522</v>
      </c>
      <c r="DS141">
        <v>2.2060001890921792</v>
      </c>
      <c r="DT141" s="9">
        <v>-0.49</v>
      </c>
      <c r="DU141">
        <v>-1.1233333333333333</v>
      </c>
      <c r="DV141">
        <v>-1.6133333333333333</v>
      </c>
      <c r="DW141">
        <v>-2.1126</v>
      </c>
      <c r="DX141">
        <v>0.49408241097320682</v>
      </c>
      <c r="DY141">
        <v>-2.0150976794755833</v>
      </c>
      <c r="DZ141">
        <v>4616</v>
      </c>
      <c r="EA141">
        <v>-2.0014595408338431</v>
      </c>
      <c r="EB141">
        <v>2</v>
      </c>
      <c r="EC141">
        <v>6.9360346472763451E-3</v>
      </c>
      <c r="ED141">
        <v>5.1729638488244085E-2</v>
      </c>
      <c r="EE141" s="10">
        <v>8.1143000000000001</v>
      </c>
      <c r="EF141">
        <v>8.0929000000000002</v>
      </c>
      <c r="EG141">
        <v>36.134082410973207</v>
      </c>
      <c r="EH141" t="s">
        <v>4870</v>
      </c>
      <c r="EI141">
        <v>0</v>
      </c>
      <c r="EJ141">
        <v>0</v>
      </c>
      <c r="EK141" s="11">
        <v>45470</v>
      </c>
      <c r="EL141" s="12">
        <v>-0.67</v>
      </c>
      <c r="EM141" s="12">
        <v>-0.33</v>
      </c>
      <c r="EN141">
        <v>-2.91</v>
      </c>
      <c r="EO141">
        <v>0.94</v>
      </c>
      <c r="EP141">
        <v>-2.14</v>
      </c>
    </row>
    <row r="142" spans="1:146" ht="108" x14ac:dyDescent="0.25">
      <c r="C142" s="6" t="str">
        <f>""&amp;CHAR(10)&amp;Basic_Fundamental_Information_Constructure(F142)&amp;CHAR(10)&amp;Basic_Fundamental_Information_Concatenate("")</f>
        <v xml:space="preserve">
市值741.1282亿, 利润5747.70万; PE16.88; 平均PE-1807.23; 平均PEG-95.09, PB14.38; ROIC0%; ROE-83.2567%; 股利率0%; 毛利67.0933%; 净利-63.87%; 上一年度营收增-54.48%, 利润增120.38%; 当季营收增76387.89%, 利润增25752.2%; 过往5年营收增-19.01%, 利润增-22.33%
Income profile:
</v>
      </c>
      <c r="D142" t="s">
        <v>1796</v>
      </c>
      <c r="E142" t="s">
        <v>1797</v>
      </c>
      <c r="F142">
        <v>184.82</v>
      </c>
      <c r="G142">
        <v>5.36</v>
      </c>
      <c r="H142" t="s">
        <v>4871</v>
      </c>
      <c r="I142">
        <v>74112820000</v>
      </c>
      <c r="J142">
        <v>16.88</v>
      </c>
      <c r="K142">
        <v>14.38</v>
      </c>
      <c r="L142" t="s">
        <v>100</v>
      </c>
      <c r="M142" t="s">
        <v>2993</v>
      </c>
      <c r="N142" t="s">
        <v>4872</v>
      </c>
      <c r="O142" t="s">
        <v>2994</v>
      </c>
      <c r="P142" s="5">
        <v>4325.45</v>
      </c>
      <c r="Q142" t="s">
        <v>340</v>
      </c>
      <c r="R142">
        <v>5005155400</v>
      </c>
      <c r="S142">
        <v>31</v>
      </c>
      <c r="T142" t="s">
        <v>4873</v>
      </c>
      <c r="U142">
        <v>90450990</v>
      </c>
      <c r="V142">
        <v>401000000</v>
      </c>
      <c r="W142">
        <v>1.33</v>
      </c>
      <c r="X142">
        <v>1.32</v>
      </c>
      <c r="Y142">
        <v>91.63</v>
      </c>
      <c r="Z142" t="s">
        <v>292</v>
      </c>
      <c r="AA142" t="s">
        <v>4874</v>
      </c>
      <c r="AB142" t="s">
        <v>4875</v>
      </c>
      <c r="AC142" t="s">
        <v>4876</v>
      </c>
      <c r="AD142" t="s">
        <v>81</v>
      </c>
      <c r="AE142">
        <v>-9258898</v>
      </c>
      <c r="AF142" t="s">
        <v>236</v>
      </c>
      <c r="AG142" t="s">
        <v>4877</v>
      </c>
      <c r="AH142" t="s">
        <v>2996</v>
      </c>
      <c r="AI142" t="s">
        <v>4878</v>
      </c>
      <c r="AJ142" t="s">
        <v>2997</v>
      </c>
      <c r="AK142" t="s">
        <v>4879</v>
      </c>
      <c r="AL142" t="s">
        <v>2998</v>
      </c>
      <c r="AM142" t="s">
        <v>81</v>
      </c>
      <c r="AN142" t="s">
        <v>4880</v>
      </c>
      <c r="AO142" t="s">
        <v>353</v>
      </c>
      <c r="AP142" t="s">
        <v>4881</v>
      </c>
      <c r="AQ142" t="s">
        <v>822</v>
      </c>
      <c r="AR142" t="s">
        <v>81</v>
      </c>
      <c r="AS142" t="s">
        <v>4882</v>
      </c>
      <c r="AT142" t="s">
        <v>4883</v>
      </c>
      <c r="AU142" t="s">
        <v>4884</v>
      </c>
      <c r="AV142" t="s">
        <v>4885</v>
      </c>
      <c r="AW142" t="s">
        <v>4886</v>
      </c>
      <c r="AX142" t="s">
        <v>453</v>
      </c>
      <c r="AY142" t="s">
        <v>326</v>
      </c>
      <c r="AZ142" t="s">
        <v>1412</v>
      </c>
      <c r="BA142" t="s">
        <v>1458</v>
      </c>
      <c r="BB142" t="s">
        <v>1766</v>
      </c>
      <c r="BC142" t="s">
        <v>1798</v>
      </c>
      <c r="BD142" t="s">
        <v>1799</v>
      </c>
      <c r="BE142" t="s">
        <v>1800</v>
      </c>
      <c r="BF142" t="s">
        <v>1801</v>
      </c>
      <c r="BG142" t="s">
        <v>1802</v>
      </c>
      <c r="BH142" t="s">
        <v>1527</v>
      </c>
      <c r="BI142" t="s">
        <v>4887</v>
      </c>
      <c r="BJ142" t="s">
        <v>453</v>
      </c>
      <c r="BK142" t="s">
        <v>2995</v>
      </c>
      <c r="BL142" t="s">
        <v>4888</v>
      </c>
      <c r="BM142" t="s">
        <v>1798</v>
      </c>
      <c r="BN142" t="s">
        <v>81</v>
      </c>
      <c r="BO142" t="s">
        <v>81</v>
      </c>
      <c r="BP142" t="s">
        <v>81</v>
      </c>
      <c r="BQ142">
        <v>-76.16</v>
      </c>
      <c r="BR142">
        <v>-148.11000000000001</v>
      </c>
      <c r="BS142">
        <v>-25.5</v>
      </c>
      <c r="BT142" t="s">
        <v>1526</v>
      </c>
      <c r="BU142" t="s">
        <v>1354</v>
      </c>
      <c r="BV142">
        <v>59.19</v>
      </c>
      <c r="BW142">
        <v>66.91</v>
      </c>
      <c r="BX142">
        <v>75.180000000000007</v>
      </c>
      <c r="BY142">
        <v>-138.91</v>
      </c>
      <c r="BZ142">
        <v>-40.15</v>
      </c>
      <c r="CA142">
        <v>-12.55</v>
      </c>
      <c r="CB142">
        <v>1.89</v>
      </c>
      <c r="CC142" s="7">
        <v>1.55</v>
      </c>
      <c r="CD142" s="8" t="s">
        <v>4889</v>
      </c>
      <c r="CE142" s="7" t="s">
        <v>4890</v>
      </c>
      <c r="CF142" s="7">
        <v>763.87886850581151</v>
      </c>
      <c r="CG142" s="7">
        <v>257.52203817216423</v>
      </c>
      <c r="CH142" s="7">
        <v>-0.54480797052383423</v>
      </c>
      <c r="CI142" s="7">
        <v>-0.11794228106737137</v>
      </c>
      <c r="CJ142" s="8">
        <v>-0.21322803199291229</v>
      </c>
      <c r="CK142" s="8">
        <v>-0.16072912514209747</v>
      </c>
      <c r="CL142" s="8">
        <v>8.6408637464046478E-2</v>
      </c>
      <c r="CM142" s="8">
        <v>1.2038191556930542</v>
      </c>
      <c r="CN142" s="8">
        <v>-1.8202455043792725</v>
      </c>
      <c r="CO142">
        <v>-3.6381814479827881</v>
      </c>
      <c r="CP142">
        <v>3.9026114940643311</v>
      </c>
      <c r="CQ142">
        <v>-0.76449781656265259</v>
      </c>
      <c r="CR142" s="7">
        <v>-1807.2293739801546</v>
      </c>
      <c r="CS142" s="8">
        <v>-95.087430849764573</v>
      </c>
      <c r="CT142">
        <v>0</v>
      </c>
      <c r="CU142">
        <v>-0.19005975425243377</v>
      </c>
      <c r="CV142">
        <v>-0.22329882383346558</v>
      </c>
      <c r="CW142">
        <v>0.06</v>
      </c>
      <c r="CX142">
        <v>1221.8769246829168</v>
      </c>
      <c r="CY142" t="s">
        <v>4891</v>
      </c>
      <c r="CZ142">
        <v>-0.19005975425243377</v>
      </c>
      <c r="DA142">
        <v>407.2923082276389</v>
      </c>
      <c r="DB142" t="s">
        <v>4892</v>
      </c>
      <c r="DC142">
        <v>-0.18055676653981206</v>
      </c>
      <c r="DD142">
        <v>203.64615411381945</v>
      </c>
      <c r="DE142" t="s">
        <v>4893</v>
      </c>
      <c r="DF142">
        <v>-0.16725258374214172</v>
      </c>
      <c r="DG142">
        <v>122.18769246829166</v>
      </c>
      <c r="DH142" t="s">
        <v>4894</v>
      </c>
      <c r="DI142">
        <v>-0.15204780340194701</v>
      </c>
      <c r="DJ142">
        <v>61.093846234145829</v>
      </c>
      <c r="DK142" t="s">
        <v>4895</v>
      </c>
      <c r="DL142">
        <v>-0.13304182797670364</v>
      </c>
      <c r="DM142">
        <v>57477000</v>
      </c>
      <c r="DN142">
        <v>-0.19005975425243377</v>
      </c>
      <c r="DO142">
        <v>70229820000</v>
      </c>
      <c r="DP142">
        <v>4604182100</v>
      </c>
      <c r="DQ142" s="9">
        <v>4933</v>
      </c>
      <c r="DR142">
        <v>764.0689282600639</v>
      </c>
      <c r="DS142">
        <v>257.74533699599772</v>
      </c>
      <c r="DT142">
        <v>-0.85666666666666658</v>
      </c>
      <c r="DU142">
        <v>-0.32333333333333353</v>
      </c>
      <c r="DV142">
        <v>-1.1800000000000002</v>
      </c>
      <c r="DW142">
        <v>1.55E-2</v>
      </c>
      <c r="DX142">
        <v>0.53855874090702849</v>
      </c>
      <c r="DY142">
        <v>1.6826604840589311E-3</v>
      </c>
      <c r="DZ142">
        <v>1010</v>
      </c>
      <c r="EA142">
        <v>1.3500798404386726E-3</v>
      </c>
      <c r="EB142" s="10">
        <v>0</v>
      </c>
      <c r="EC142" s="10">
        <v>1.1034413965087283E-2</v>
      </c>
      <c r="ED142">
        <v>0.10164463840399003</v>
      </c>
      <c r="EE142">
        <v>-2.0280999999999998</v>
      </c>
      <c r="EF142">
        <v>-2.0038</v>
      </c>
      <c r="EG142">
        <v>43.108558740907029</v>
      </c>
      <c r="EH142" s="11" t="s">
        <v>1370</v>
      </c>
      <c r="EI142" s="12">
        <v>0</v>
      </c>
      <c r="EJ142" s="12">
        <v>1</v>
      </c>
      <c r="EK142" s="12">
        <v>45470</v>
      </c>
      <c r="EL142" s="12">
        <v>-2.12</v>
      </c>
      <c r="EM142" s="12">
        <v>-4.88</v>
      </c>
      <c r="EN142">
        <v>-3.48</v>
      </c>
      <c r="EO142">
        <v>3.94</v>
      </c>
      <c r="EP142">
        <v>-2.4300000000000002</v>
      </c>
    </row>
    <row r="143" spans="1:146" ht="108" x14ac:dyDescent="0.25">
      <c r="A143" s="6"/>
      <c r="B143" s="6"/>
      <c r="C143" s="6" t="str">
        <f>""&amp;CHAR(10)&amp;Basic_Fundamental_Information_Constructure(F143)&amp;CHAR(10)&amp;Basic_Fundamental_Information_Concatenate("")</f>
        <v xml:space="preserve">
市值57.002265亿, 利润-1.50亿; PE23.69; 平均PE45.54; 平均PEG7.42, PB2.17; ROIC8.9967%; ROE9.6067%; 股利率1.7962%; 毛利83.0833%; 净利21.3533%; 上一年度营收增-76.6%, 利润增-160.73%; 当季营收增489.82%, 利润增378.52%; 过往5年营收增-6.13%, 利润增-15.98%
Income profile:
</v>
      </c>
      <c r="D143" t="s">
        <v>426</v>
      </c>
      <c r="E143" t="s">
        <v>1384</v>
      </c>
      <c r="F143">
        <v>32.29</v>
      </c>
      <c r="G143">
        <v>2.77</v>
      </c>
      <c r="H143" t="s">
        <v>4896</v>
      </c>
      <c r="I143">
        <v>5700226500</v>
      </c>
      <c r="J143">
        <v>23.69</v>
      </c>
      <c r="K143">
        <v>2.17</v>
      </c>
      <c r="L143" t="s">
        <v>100</v>
      </c>
      <c r="M143" t="s">
        <v>2988</v>
      </c>
      <c r="N143" t="s">
        <v>1708</v>
      </c>
      <c r="O143" t="s">
        <v>1123</v>
      </c>
      <c r="P143">
        <v>13.37</v>
      </c>
      <c r="Q143" t="s">
        <v>1144</v>
      </c>
      <c r="R143">
        <v>75010085</v>
      </c>
      <c r="S143" s="5">
        <v>0.23</v>
      </c>
      <c r="T143" t="s">
        <v>1451</v>
      </c>
      <c r="U143">
        <v>176532260</v>
      </c>
      <c r="V143">
        <v>176532260</v>
      </c>
      <c r="W143">
        <v>1.28</v>
      </c>
      <c r="X143">
        <v>0.09</v>
      </c>
      <c r="Y143">
        <v>23.81</v>
      </c>
      <c r="Z143" t="s">
        <v>510</v>
      </c>
      <c r="AA143" t="s">
        <v>4897</v>
      </c>
      <c r="AB143" t="s">
        <v>368</v>
      </c>
      <c r="AC143" t="s">
        <v>4898</v>
      </c>
      <c r="AD143" t="s">
        <v>81</v>
      </c>
      <c r="AE143">
        <v>-944568</v>
      </c>
      <c r="AF143" t="s">
        <v>2999</v>
      </c>
      <c r="AG143">
        <v>269.18</v>
      </c>
      <c r="AH143" t="s">
        <v>3000</v>
      </c>
      <c r="AI143" t="s">
        <v>4899</v>
      </c>
      <c r="AJ143" t="s">
        <v>3001</v>
      </c>
      <c r="AK143" t="s">
        <v>4900</v>
      </c>
      <c r="AL143" t="s">
        <v>3002</v>
      </c>
      <c r="AM143" t="s">
        <v>81</v>
      </c>
      <c r="AN143" t="s">
        <v>1073</v>
      </c>
      <c r="AO143" t="s">
        <v>825</v>
      </c>
      <c r="AP143" t="s">
        <v>4901</v>
      </c>
      <c r="AQ143" t="s">
        <v>277</v>
      </c>
      <c r="AR143" t="s">
        <v>81</v>
      </c>
      <c r="AS143" t="s">
        <v>883</v>
      </c>
      <c r="AT143" t="s">
        <v>4902</v>
      </c>
      <c r="AU143" t="s">
        <v>4903</v>
      </c>
      <c r="AV143" t="s">
        <v>4904</v>
      </c>
      <c r="AW143" t="s">
        <v>4905</v>
      </c>
      <c r="AX143" t="s">
        <v>1803</v>
      </c>
      <c r="AY143" t="s">
        <v>1349</v>
      </c>
      <c r="AZ143" t="s">
        <v>792</v>
      </c>
      <c r="BA143" t="s">
        <v>427</v>
      </c>
      <c r="BB143" t="s">
        <v>1030</v>
      </c>
      <c r="BC143" t="s">
        <v>481</v>
      </c>
      <c r="BD143" t="s">
        <v>328</v>
      </c>
      <c r="BE143" t="s">
        <v>746</v>
      </c>
      <c r="BF143" t="s">
        <v>335</v>
      </c>
      <c r="BG143" t="s">
        <v>263</v>
      </c>
      <c r="BH143" t="s">
        <v>1245</v>
      </c>
      <c r="BI143" t="s">
        <v>4906</v>
      </c>
      <c r="BJ143" t="s">
        <v>1803</v>
      </c>
      <c r="BK143" t="s">
        <v>425</v>
      </c>
      <c r="BL143" t="s">
        <v>4907</v>
      </c>
      <c r="BM143" t="s">
        <v>481</v>
      </c>
      <c r="BN143">
        <v>6.97</v>
      </c>
      <c r="BO143">
        <v>9.74</v>
      </c>
      <c r="BP143">
        <v>10.28</v>
      </c>
      <c r="BQ143">
        <v>7.71</v>
      </c>
      <c r="BR143">
        <v>10.48</v>
      </c>
      <c r="BS143">
        <v>10.63</v>
      </c>
      <c r="BT143" t="s">
        <v>3003</v>
      </c>
      <c r="BU143" t="s">
        <v>1354</v>
      </c>
      <c r="BV143">
        <v>80.010000000000005</v>
      </c>
      <c r="BW143">
        <v>83.25</v>
      </c>
      <c r="BX143">
        <v>85.99</v>
      </c>
      <c r="BY143">
        <v>20.28</v>
      </c>
      <c r="BZ143">
        <v>21.06</v>
      </c>
      <c r="CA143">
        <v>22.72</v>
      </c>
      <c r="CB143">
        <v>-4.51</v>
      </c>
      <c r="CC143">
        <v>-17.09</v>
      </c>
      <c r="CD143" t="s">
        <v>4908</v>
      </c>
      <c r="CE143" t="s">
        <v>4909</v>
      </c>
      <c r="CF143" s="7">
        <v>4.8982136838557464</v>
      </c>
      <c r="CG143" s="8">
        <v>3.7852174962404619</v>
      </c>
      <c r="CH143" s="7">
        <v>-0.76601195335388184</v>
      </c>
      <c r="CI143" s="7">
        <v>0.14467258751392365</v>
      </c>
      <c r="CJ143" s="7">
        <v>0.10954447090625763</v>
      </c>
      <c r="CK143" s="7">
        <v>-2.6399156078696251E-2</v>
      </c>
      <c r="CL143" s="7">
        <v>0.23146943747997284</v>
      </c>
      <c r="CM143" s="8">
        <v>-1.6072874069213867</v>
      </c>
      <c r="CN143" s="8">
        <v>6.465516984462738E-2</v>
      </c>
      <c r="CO143" s="8">
        <v>0.30337077379226685</v>
      </c>
      <c r="CP143" s="8">
        <v>0.63302749395370483</v>
      </c>
      <c r="CQ143" s="8">
        <v>-0.19259259104728699</v>
      </c>
      <c r="CR143">
        <v>45.541090545938744</v>
      </c>
      <c r="CS143">
        <v>7.4237750308754693</v>
      </c>
      <c r="CT143">
        <v>1.7962217404769278</v>
      </c>
      <c r="CU143" s="7">
        <v>-6.1344922706484797E-2</v>
      </c>
      <c r="CV143" s="8">
        <v>-0.15976531207561492</v>
      </c>
      <c r="CW143">
        <v>0.06</v>
      </c>
      <c r="CX143" t="e">
        <v>#VALUE!</v>
      </c>
      <c r="CY143" t="s">
        <v>1362</v>
      </c>
      <c r="CZ143">
        <v>-6.1344922706484797E-2</v>
      </c>
      <c r="DA143" t="e">
        <v>#VALUE!</v>
      </c>
      <c r="DB143" t="s">
        <v>1362</v>
      </c>
      <c r="DC143">
        <v>-5.8277676571160557E-2</v>
      </c>
      <c r="DD143" t="e">
        <v>#VALUE!</v>
      </c>
      <c r="DE143" t="s">
        <v>1362</v>
      </c>
      <c r="DF143">
        <v>-5.398353198170662E-2</v>
      </c>
      <c r="DG143" t="e">
        <v>#VALUE!</v>
      </c>
      <c r="DH143" t="s">
        <v>1362</v>
      </c>
      <c r="DI143">
        <v>-4.9075938165187842E-2</v>
      </c>
      <c r="DJ143" t="e">
        <v>#VALUE!</v>
      </c>
      <c r="DK143" t="s">
        <v>1362</v>
      </c>
      <c r="DL143">
        <v>-4.2941445894539354E-2</v>
      </c>
      <c r="DM143">
        <v>-150000000</v>
      </c>
      <c r="DN143">
        <v>-6.1344922706484797E-2</v>
      </c>
      <c r="DO143">
        <v>3817226500</v>
      </c>
      <c r="DP143">
        <v>1236687300</v>
      </c>
      <c r="DQ143">
        <v>4940</v>
      </c>
      <c r="DR143">
        <v>4.959558606562231</v>
      </c>
      <c r="DS143">
        <v>3.9449828083160767</v>
      </c>
      <c r="DT143" s="9">
        <v>-0.67333333333333334</v>
      </c>
      <c r="DU143">
        <v>-0.70333333333333325</v>
      </c>
      <c r="DV143">
        <v>-1.3766666666666665</v>
      </c>
      <c r="DW143">
        <v>-8.2638970157987135</v>
      </c>
      <c r="DX143">
        <v>0.56609668307869865</v>
      </c>
      <c r="DY143">
        <v>-8.0913338818423011</v>
      </c>
      <c r="DZ143">
        <v>4849</v>
      </c>
      <c r="EA143">
        <v>-8.0046649986616121</v>
      </c>
      <c r="EB143">
        <v>8</v>
      </c>
      <c r="EC143">
        <v>2.7833439621743925E-2</v>
      </c>
      <c r="ED143">
        <v>8.0420995006804982E-2</v>
      </c>
      <c r="EE143" s="10">
        <v>4.0491099999999998</v>
      </c>
      <c r="EF143">
        <v>4.0881100000000004</v>
      </c>
      <c r="EG143">
        <v>22.346096683078699</v>
      </c>
      <c r="EH143" t="s">
        <v>1994</v>
      </c>
      <c r="EI143">
        <v>0</v>
      </c>
      <c r="EJ143">
        <v>0</v>
      </c>
      <c r="EK143" s="11">
        <v>45470</v>
      </c>
      <c r="EL143" s="12">
        <v>-1.66</v>
      </c>
      <c r="EM143" s="12">
        <v>-5.49</v>
      </c>
      <c r="EN143">
        <v>-5.63</v>
      </c>
      <c r="EO143">
        <v>1.65</v>
      </c>
      <c r="EP143">
        <v>-3.9</v>
      </c>
    </row>
    <row r="144" spans="1:146" ht="108" x14ac:dyDescent="0.25">
      <c r="C144" s="6" t="str">
        <f>""&amp;CHAR(10)&amp;Basic_Fundamental_Information_Constructure(F144)&amp;CHAR(10)&amp;Basic_Fundamental_Information_Concatenate("")</f>
        <v xml:space="preserve">
市值51.93336亿, 利润14.61亿; PE35.13; 平均PE11.74; 平均PEG.04, PB1.36; ROIC9.0333%; ROE13.9333%; 股利率1.7374%; 毛利88.5%; 净利18.7167%; 上一年度营收增314.2%, 利润增486.75%; 当季营收增-80.7%, 利润增-86.1%; 过往5年营收增324.85%, 利润增294.15%
Income profile:
</v>
      </c>
      <c r="D144" t="s">
        <v>1161</v>
      </c>
      <c r="E144" t="s">
        <v>1350</v>
      </c>
      <c r="F144">
        <v>12.26</v>
      </c>
      <c r="G144">
        <v>1.32</v>
      </c>
      <c r="H144" t="s">
        <v>4910</v>
      </c>
      <c r="I144">
        <v>5193336000</v>
      </c>
      <c r="J144">
        <v>35.130000000000003</v>
      </c>
      <c r="K144">
        <v>1.36</v>
      </c>
      <c r="L144" t="s">
        <v>100</v>
      </c>
      <c r="M144" t="s">
        <v>3004</v>
      </c>
      <c r="N144" t="s">
        <v>3719</v>
      </c>
      <c r="O144" t="s">
        <v>599</v>
      </c>
      <c r="P144">
        <v>2.0499999999999998</v>
      </c>
      <c r="Q144" t="s">
        <v>4911</v>
      </c>
      <c r="R144">
        <v>46435905</v>
      </c>
      <c r="S144" s="5">
        <v>0.2094</v>
      </c>
      <c r="T144" t="s">
        <v>2172</v>
      </c>
      <c r="U144">
        <v>291135370</v>
      </c>
      <c r="V144">
        <v>423600000</v>
      </c>
      <c r="W144">
        <v>1.26</v>
      </c>
      <c r="X144">
        <v>0.05</v>
      </c>
      <c r="Y144">
        <v>18.5</v>
      </c>
      <c r="Z144" t="s">
        <v>1854</v>
      </c>
      <c r="AA144" t="s">
        <v>4912</v>
      </c>
      <c r="AB144" t="s">
        <v>4913</v>
      </c>
      <c r="AC144" t="s">
        <v>4914</v>
      </c>
      <c r="AD144" t="s">
        <v>81</v>
      </c>
      <c r="AE144">
        <v>-7030583</v>
      </c>
      <c r="AF144" t="s">
        <v>3005</v>
      </c>
      <c r="AG144" t="s">
        <v>2951</v>
      </c>
      <c r="AH144" t="s">
        <v>3006</v>
      </c>
      <c r="AI144" t="s">
        <v>1815</v>
      </c>
      <c r="AJ144" t="s">
        <v>3007</v>
      </c>
      <c r="AK144" t="s">
        <v>81</v>
      </c>
      <c r="AL144" t="s">
        <v>3008</v>
      </c>
      <c r="AM144" t="s">
        <v>81</v>
      </c>
      <c r="AN144" t="s">
        <v>1482</v>
      </c>
      <c r="AO144" t="s">
        <v>1527</v>
      </c>
      <c r="AP144" t="s">
        <v>3009</v>
      </c>
      <c r="AQ144" t="s">
        <v>381</v>
      </c>
      <c r="AR144" t="s">
        <v>81</v>
      </c>
      <c r="AS144" t="s">
        <v>1818</v>
      </c>
      <c r="AT144" t="s">
        <v>81</v>
      </c>
      <c r="AU144" t="s">
        <v>4915</v>
      </c>
      <c r="AV144" t="s">
        <v>4916</v>
      </c>
      <c r="AW144" t="s">
        <v>377</v>
      </c>
      <c r="AX144" t="s">
        <v>855</v>
      </c>
      <c r="AY144" t="s">
        <v>807</v>
      </c>
      <c r="AZ144" t="s">
        <v>1143</v>
      </c>
      <c r="BA144" t="s">
        <v>1103</v>
      </c>
      <c r="BB144" t="s">
        <v>1162</v>
      </c>
      <c r="BC144" t="s">
        <v>419</v>
      </c>
      <c r="BD144" t="s">
        <v>830</v>
      </c>
      <c r="BE144" t="s">
        <v>379</v>
      </c>
      <c r="BF144" t="s">
        <v>343</v>
      </c>
      <c r="BG144" t="s">
        <v>1163</v>
      </c>
      <c r="BH144" t="s">
        <v>2465</v>
      </c>
      <c r="BI144" t="s">
        <v>4275</v>
      </c>
      <c r="BJ144" t="s">
        <v>855</v>
      </c>
      <c r="BK144" t="s">
        <v>296</v>
      </c>
      <c r="BL144" t="s">
        <v>627</v>
      </c>
      <c r="BM144" t="s">
        <v>419</v>
      </c>
      <c r="BN144">
        <v>1.32</v>
      </c>
      <c r="BO144">
        <v>5.44</v>
      </c>
      <c r="BP144">
        <v>20.34</v>
      </c>
      <c r="BQ144">
        <v>2.36</v>
      </c>
      <c r="BR144">
        <v>6.85</v>
      </c>
      <c r="BS144">
        <v>32.590000000000003</v>
      </c>
      <c r="BT144" t="s">
        <v>3010</v>
      </c>
      <c r="BU144" t="s">
        <v>1354</v>
      </c>
      <c r="BV144">
        <v>85.93</v>
      </c>
      <c r="BW144">
        <v>88.2</v>
      </c>
      <c r="BX144">
        <v>91.37</v>
      </c>
      <c r="BY144">
        <v>15.03</v>
      </c>
      <c r="BZ144">
        <v>16.670000000000002</v>
      </c>
      <c r="CA144">
        <v>24.45</v>
      </c>
      <c r="CB144">
        <v>-1.29</v>
      </c>
      <c r="CC144">
        <v>-10.75</v>
      </c>
      <c r="CD144" t="s">
        <v>4917</v>
      </c>
      <c r="CE144" t="s">
        <v>4918</v>
      </c>
      <c r="CF144" s="7">
        <v>-0.80698967434471802</v>
      </c>
      <c r="CG144" s="8">
        <v>-0.8609703443113772</v>
      </c>
      <c r="CH144" s="7">
        <v>3.1419963836669922</v>
      </c>
      <c r="CI144" s="7">
        <v>-0.18146933615207672</v>
      </c>
      <c r="CJ144" s="7">
        <v>0.33724340796470642</v>
      </c>
      <c r="CK144" s="7">
        <v>0.9292786717414856</v>
      </c>
      <c r="CL144" s="7">
        <v>12.015439033508301</v>
      </c>
      <c r="CM144" s="8">
        <v>4.8674697875976562</v>
      </c>
      <c r="CN144" s="8">
        <v>-0.44170403480529785</v>
      </c>
      <c r="CO144" s="8">
        <v>0.30029153823852539</v>
      </c>
      <c r="CP144" s="8">
        <v>0.93785309791564941</v>
      </c>
      <c r="CQ144" s="8">
        <v>9.0437726974487305</v>
      </c>
      <c r="CR144">
        <v>11.740795029260411</v>
      </c>
      <c r="CS144">
        <v>3.6142230528592743E-2</v>
      </c>
      <c r="CT144">
        <v>1.7373572593800979</v>
      </c>
      <c r="CU144" s="7">
        <v>3.2484976321458818</v>
      </c>
      <c r="CV144" s="8">
        <v>2.9415366172790529</v>
      </c>
      <c r="CW144">
        <v>0.06</v>
      </c>
      <c r="CX144">
        <v>0.39027463816068286</v>
      </c>
      <c r="CY144">
        <v>5855712302.4199371</v>
      </c>
      <c r="CZ144">
        <v>3.2484976321458818</v>
      </c>
      <c r="DA144">
        <v>2.0583602590080047E-2</v>
      </c>
      <c r="DB144">
        <v>111027017257.96935</v>
      </c>
      <c r="DC144">
        <v>3.0860727505385874</v>
      </c>
      <c r="DD144">
        <v>4.8775858688718455E-4</v>
      </c>
      <c r="DE144">
        <v>4685383428274.9053</v>
      </c>
      <c r="DF144">
        <v>2.858677916288376</v>
      </c>
      <c r="DG144">
        <v>5.4232107570272219E-6</v>
      </c>
      <c r="DH144">
        <v>421399075637754.81</v>
      </c>
      <c r="DI144">
        <v>2.5987981057167056</v>
      </c>
      <c r="DJ144">
        <v>1.6946357244166068E-10</v>
      </c>
      <c r="DK144">
        <v>1.3485706497700248E+19</v>
      </c>
      <c r="DL144">
        <v>2.2739483425021172</v>
      </c>
      <c r="DM144">
        <v>1461000000</v>
      </c>
      <c r="DN144">
        <v>3.2484976321458818</v>
      </c>
      <c r="DO144">
        <v>2285336000</v>
      </c>
      <c r="DP144">
        <v>2011856900</v>
      </c>
      <c r="DQ144">
        <v>4967</v>
      </c>
      <c r="DR144">
        <v>-4.0554873064905994</v>
      </c>
      <c r="DS144">
        <v>-3.8025069615904301</v>
      </c>
      <c r="DT144" s="9">
        <v>0.59833333333333327</v>
      </c>
      <c r="DU144">
        <v>0.59833333333333327</v>
      </c>
      <c r="DV144">
        <v>1.1966666666666665</v>
      </c>
      <c r="DW144">
        <v>-2.1074999999999999</v>
      </c>
      <c r="DX144">
        <v>0.66322312700735098</v>
      </c>
      <c r="DY144">
        <v>-2.0164714861532902</v>
      </c>
      <c r="DZ144">
        <v>37</v>
      </c>
      <c r="EA144">
        <v>-2.0163522209893623</v>
      </c>
      <c r="EB144">
        <v>2</v>
      </c>
      <c r="EC144">
        <v>1.2411000944287064E-2</v>
      </c>
      <c r="ED144">
        <v>8.099952785646837E-2</v>
      </c>
      <c r="EE144" s="10">
        <v>-3.0071099999999999</v>
      </c>
      <c r="EF144">
        <v>-3.0480100000000001</v>
      </c>
      <c r="EG144">
        <v>51.153223127007351</v>
      </c>
      <c r="EH144" t="s">
        <v>1991</v>
      </c>
      <c r="EI144">
        <v>0</v>
      </c>
      <c r="EJ144">
        <v>1</v>
      </c>
      <c r="EK144" s="11">
        <v>45470</v>
      </c>
      <c r="EL144" s="12">
        <v>-2.64</v>
      </c>
      <c r="EM144" s="12">
        <v>-4.66</v>
      </c>
      <c r="EN144">
        <v>-1.74</v>
      </c>
      <c r="EO144">
        <v>1.93</v>
      </c>
      <c r="EP144">
        <v>-4.09</v>
      </c>
    </row>
    <row r="145" spans="1:146" ht="108" x14ac:dyDescent="0.25">
      <c r="C145" s="6" t="str">
        <f>""&amp;CHAR(10)&amp;Basic_Fundamental_Information_Constructure(F145)&amp;CHAR(10)&amp;Basic_Fundamental_Information_Concatenate("")</f>
        <v xml:space="preserve">
市值44.612506亿, 利润-18.68亿; PE19.1; 平均PE-21.27; 平均PEG-.04, PB2.08; ROIC7.99%; ROE8.46%; 股利率0%; 毛利88.3767%; 净利23.8%; 上一年度营收增2409.31%, 利润增-1305.16%; 当季营收增-94.81%, 利润增114.92%; 过往5年营收增488.81%, 利润增-249.98%
Income profile:
</v>
      </c>
      <c r="D145" t="s">
        <v>206</v>
      </c>
      <c r="E145" t="s">
        <v>207</v>
      </c>
      <c r="F145">
        <v>22.7</v>
      </c>
      <c r="G145">
        <v>4.6100000000000003</v>
      </c>
      <c r="H145" t="s">
        <v>4919</v>
      </c>
      <c r="I145">
        <v>4461250600</v>
      </c>
      <c r="J145">
        <v>19.100000000000001</v>
      </c>
      <c r="K145">
        <v>2.08</v>
      </c>
      <c r="L145" t="s">
        <v>100</v>
      </c>
      <c r="M145" t="s">
        <v>1464</v>
      </c>
      <c r="N145" t="s">
        <v>2612</v>
      </c>
      <c r="O145" t="s">
        <v>404</v>
      </c>
      <c r="P145">
        <v>17.47</v>
      </c>
      <c r="Q145" t="s">
        <v>4920</v>
      </c>
      <c r="R145">
        <v>52512869</v>
      </c>
      <c r="S145" s="5">
        <v>0.38150000000000001</v>
      </c>
      <c r="T145" t="s">
        <v>4921</v>
      </c>
      <c r="U145">
        <v>189083980</v>
      </c>
      <c r="V145">
        <v>196530870</v>
      </c>
      <c r="W145">
        <v>1.1299999999999999</v>
      </c>
      <c r="X145">
        <v>0.09</v>
      </c>
      <c r="Y145">
        <v>26.99</v>
      </c>
      <c r="Z145" t="s">
        <v>324</v>
      </c>
      <c r="AA145" t="s">
        <v>4922</v>
      </c>
      <c r="AB145" t="s">
        <v>4923</v>
      </c>
      <c r="AC145" t="s">
        <v>4924</v>
      </c>
      <c r="AD145" t="s">
        <v>81</v>
      </c>
      <c r="AE145">
        <v>-673781</v>
      </c>
      <c r="AF145" t="s">
        <v>3011</v>
      </c>
      <c r="AG145" t="s">
        <v>81</v>
      </c>
      <c r="AH145" t="s">
        <v>3012</v>
      </c>
      <c r="AI145" t="s">
        <v>1615</v>
      </c>
      <c r="AJ145" t="s">
        <v>3013</v>
      </c>
      <c r="AK145" t="s">
        <v>4925</v>
      </c>
      <c r="AL145" t="s">
        <v>3014</v>
      </c>
      <c r="AM145" t="s">
        <v>81</v>
      </c>
      <c r="AN145" t="s">
        <v>1495</v>
      </c>
      <c r="AO145" t="s">
        <v>4926</v>
      </c>
      <c r="AP145" t="s">
        <v>81</v>
      </c>
      <c r="AQ145" t="s">
        <v>4927</v>
      </c>
      <c r="AR145" t="s">
        <v>81</v>
      </c>
      <c r="AS145" t="s">
        <v>773</v>
      </c>
      <c r="AT145" t="s">
        <v>81</v>
      </c>
      <c r="AU145" t="s">
        <v>4928</v>
      </c>
      <c r="AV145" t="s">
        <v>2831</v>
      </c>
      <c r="AW145" t="s">
        <v>4929</v>
      </c>
      <c r="AX145" t="s">
        <v>1776</v>
      </c>
      <c r="AY145" t="s">
        <v>1096</v>
      </c>
      <c r="AZ145" t="s">
        <v>731</v>
      </c>
      <c r="BA145" t="s">
        <v>228</v>
      </c>
      <c r="BB145" t="s">
        <v>534</v>
      </c>
      <c r="BC145" t="s">
        <v>246</v>
      </c>
      <c r="BD145" t="s">
        <v>291</v>
      </c>
      <c r="BE145" t="s">
        <v>312</v>
      </c>
      <c r="BF145" t="s">
        <v>381</v>
      </c>
      <c r="BG145" t="s">
        <v>1031</v>
      </c>
      <c r="BH145" t="s">
        <v>1862</v>
      </c>
      <c r="BI145" t="s">
        <v>4930</v>
      </c>
      <c r="BJ145" t="s">
        <v>1776</v>
      </c>
      <c r="BK145" t="s">
        <v>279</v>
      </c>
      <c r="BL145" t="s">
        <v>4931</v>
      </c>
      <c r="BM145" t="s">
        <v>246</v>
      </c>
      <c r="BN145">
        <v>8.31</v>
      </c>
      <c r="BO145">
        <v>8.7100000000000009</v>
      </c>
      <c r="BP145">
        <v>6.95</v>
      </c>
      <c r="BQ145">
        <v>8.8000000000000007</v>
      </c>
      <c r="BR145">
        <v>9.36</v>
      </c>
      <c r="BS145">
        <v>7.22</v>
      </c>
      <c r="BT145" t="s">
        <v>1526</v>
      </c>
      <c r="BU145" t="s">
        <v>1354</v>
      </c>
      <c r="BV145">
        <v>88.95</v>
      </c>
      <c r="BW145">
        <v>88.37</v>
      </c>
      <c r="BX145">
        <v>87.81</v>
      </c>
      <c r="BY145">
        <v>25.41</v>
      </c>
      <c r="BZ145">
        <v>23.56</v>
      </c>
      <c r="CA145">
        <v>22.43</v>
      </c>
      <c r="CB145">
        <v>0.89</v>
      </c>
      <c r="CC145">
        <v>-12.02</v>
      </c>
      <c r="CD145" t="s">
        <v>4932</v>
      </c>
      <c r="CE145" t="s">
        <v>4933</v>
      </c>
      <c r="CF145" s="7">
        <v>-0.94805890227576972</v>
      </c>
      <c r="CG145" s="8">
        <v>1.1491842869318183</v>
      </c>
      <c r="CH145" s="7">
        <v>24.093130111694336</v>
      </c>
      <c r="CI145" s="7">
        <v>0.28431373834609985</v>
      </c>
      <c r="CJ145" s="7">
        <v>-9.8939932882785797E-2</v>
      </c>
      <c r="CK145" s="7">
        <v>4.2357273399829865E-2</v>
      </c>
      <c r="CL145" s="7">
        <v>0.11958763003349304</v>
      </c>
      <c r="CM145" s="8">
        <v>-13.051612854003906</v>
      </c>
      <c r="CN145" s="8">
        <v>0.34782609343528748</v>
      </c>
      <c r="CO145" s="8">
        <v>-0.11538461595773697</v>
      </c>
      <c r="CP145" s="8">
        <v>0.15044248104095459</v>
      </c>
      <c r="CQ145" s="8">
        <v>0.16963297128677368</v>
      </c>
      <c r="CR145">
        <v>-21.271255737000139</v>
      </c>
      <c r="CS145">
        <v>-4.3516499826057202E-2</v>
      </c>
      <c r="CT145">
        <v>0</v>
      </c>
      <c r="CU145" s="7">
        <v>4.8880897641181944</v>
      </c>
      <c r="CV145" s="8">
        <v>-2.4998191848397253</v>
      </c>
      <c r="CW145">
        <v>0.06</v>
      </c>
      <c r="CX145" t="e">
        <v>#VALUE!</v>
      </c>
      <c r="CY145" t="s">
        <v>1362</v>
      </c>
      <c r="CZ145">
        <v>4.8880897641181944</v>
      </c>
      <c r="DA145" t="e">
        <v>#VALUE!</v>
      </c>
      <c r="DB145" t="s">
        <v>1362</v>
      </c>
      <c r="DC145">
        <v>4.6436852759122846</v>
      </c>
      <c r="DD145" t="e">
        <v>#VALUE!</v>
      </c>
      <c r="DE145" t="s">
        <v>1362</v>
      </c>
      <c r="DF145">
        <v>4.3015189924240111</v>
      </c>
      <c r="DG145" t="e">
        <v>#VALUE!</v>
      </c>
      <c r="DH145" t="s">
        <v>1362</v>
      </c>
      <c r="DI145">
        <v>3.9104718112945558</v>
      </c>
      <c r="DJ145" t="e">
        <v>#VALUE!</v>
      </c>
      <c r="DK145" t="s">
        <v>1362</v>
      </c>
      <c r="DL145">
        <v>3.4216628348827358</v>
      </c>
      <c r="DM145">
        <v>-1868000000</v>
      </c>
      <c r="DN145">
        <v>4.8880897641181944</v>
      </c>
      <c r="DO145">
        <v>2795250600</v>
      </c>
      <c r="DP145">
        <v>945740360</v>
      </c>
      <c r="DQ145">
        <v>4977</v>
      </c>
      <c r="DR145">
        <v>-5.8361486663939637</v>
      </c>
      <c r="DS145">
        <v>3.6490034717715436</v>
      </c>
      <c r="DT145" s="9">
        <v>1.0000000000000011E-2</v>
      </c>
      <c r="DU145">
        <v>-0.16333333333333336</v>
      </c>
      <c r="DV145">
        <v>-0.15333333333333335</v>
      </c>
      <c r="DW145">
        <v>-2.1202000000000001</v>
      </c>
      <c r="DX145">
        <v>0.42890973150023853</v>
      </c>
      <c r="DY145">
        <v>-2.0142929497263284</v>
      </c>
      <c r="DZ145">
        <v>4810</v>
      </c>
      <c r="EA145">
        <v>-2.0008391164222892</v>
      </c>
      <c r="EB145">
        <v>2</v>
      </c>
      <c r="EC145">
        <v>2.2462120073045013E-2</v>
      </c>
      <c r="ED145">
        <v>0.18890060375756745</v>
      </c>
      <c r="EE145" s="10">
        <v>-4.0096999999999996</v>
      </c>
      <c r="EF145">
        <v>-4.0181100000000001</v>
      </c>
      <c r="EG145">
        <v>31.118909731500239</v>
      </c>
      <c r="EH145" t="s">
        <v>3135</v>
      </c>
      <c r="EI145">
        <v>0</v>
      </c>
      <c r="EJ145">
        <v>0</v>
      </c>
      <c r="EK145" s="11">
        <v>45470</v>
      </c>
      <c r="EL145" s="12">
        <v>-2.2999999999999998</v>
      </c>
      <c r="EM145" s="12">
        <v>-4.3099999999999996</v>
      </c>
      <c r="EN145">
        <v>-1.23</v>
      </c>
      <c r="EO145">
        <v>4.25</v>
      </c>
      <c r="EP145">
        <v>-2.78</v>
      </c>
    </row>
    <row r="146" spans="1:146" ht="156" x14ac:dyDescent="0.25">
      <c r="A146" s="6" t="s">
        <v>1170</v>
      </c>
      <c r="B146" s="6" t="s">
        <v>1468</v>
      </c>
      <c r="C146" s="6" t="str">
        <f>"公司是一家专注于肿瘤治疗领域的创新药企业，主要产品包括艾氟替尼(第三代EGFR-TKI)、阿利沙坦酯等。目前，已在非小细胞肺癌小分子靶向药领域构建了丰富的研发管线。"&amp;CHAR(10)&amp;Basic_Fundamental_Information_Constructure(F146)&amp;CHAR(10)&amp;Basic_Fundamental_Information_Concatenate("技术授权 2.94亿 55.53% 56.08% 99.91%
抗肿瘤类产品 2.36亿 44.47% 43.92% 97.72%")</f>
        <v>公司是一家专注于肿瘤治疗领域的创新药企业，主要产品包括艾氟替尼(第三代EGFR-TKI)、阿利沙坦酯等。目前，已在非小细胞肺癌小分子靶向药领域构建了丰富的研发管线。
市值280.125亿, 利润8115.37万; PE30.6; 平均PE-291.81; 平均PEG-.02, PB6.48; ROIC7.27%; ROE5.6233%; 股利率.6426%; 毛利97.0233%; 净利17.29%; 上一年度营收增-31.98%, 利润增-38.05%; 当季营收增628.43%, 利润增2062.89%; 过往5年营收增18862.19%, 利润增79.58%
Income profile:
技术授权 2.94亿 55.53% 56.08% 99.91%
抗肿瘤类产品 2.36亿 44.47% 43.92% 97.72%</v>
      </c>
      <c r="D146" t="s">
        <v>511</v>
      </c>
      <c r="E146" t="s">
        <v>1804</v>
      </c>
      <c r="F146">
        <v>62.25</v>
      </c>
      <c r="G146">
        <v>4.99</v>
      </c>
      <c r="H146" t="s">
        <v>4934</v>
      </c>
      <c r="I146">
        <v>28012500000</v>
      </c>
      <c r="J146">
        <v>30.6</v>
      </c>
      <c r="K146">
        <v>6.48</v>
      </c>
      <c r="L146" t="s">
        <v>100</v>
      </c>
      <c r="M146" t="s">
        <v>1954</v>
      </c>
      <c r="N146" t="s">
        <v>4935</v>
      </c>
      <c r="O146" t="s">
        <v>2988</v>
      </c>
      <c r="P146">
        <v>168.65</v>
      </c>
      <c r="Q146" t="s">
        <v>2648</v>
      </c>
      <c r="R146">
        <v>306052560</v>
      </c>
      <c r="S146" s="5">
        <v>7.7750000000000004</v>
      </c>
      <c r="T146" t="s">
        <v>4936</v>
      </c>
      <c r="U146">
        <v>450000000</v>
      </c>
      <c r="V146">
        <v>450000000</v>
      </c>
      <c r="W146">
        <v>1.0900000000000001</v>
      </c>
      <c r="X146">
        <v>0.16</v>
      </c>
      <c r="Y146">
        <v>41.2</v>
      </c>
      <c r="Z146" t="s">
        <v>1978</v>
      </c>
      <c r="AA146" t="s">
        <v>4937</v>
      </c>
      <c r="AB146" t="s">
        <v>1808</v>
      </c>
      <c r="AC146" t="s">
        <v>4938</v>
      </c>
      <c r="AD146" t="s">
        <v>81</v>
      </c>
      <c r="AE146">
        <v>-23011018</v>
      </c>
      <c r="AF146" t="s">
        <v>3016</v>
      </c>
      <c r="AG146">
        <v>1.93</v>
      </c>
      <c r="AH146" t="s">
        <v>3017</v>
      </c>
      <c r="AI146" t="s">
        <v>4939</v>
      </c>
      <c r="AJ146" t="s">
        <v>3018</v>
      </c>
      <c r="AK146" t="s">
        <v>81</v>
      </c>
      <c r="AL146" t="s">
        <v>3019</v>
      </c>
      <c r="AM146" t="s">
        <v>81</v>
      </c>
      <c r="AN146" t="s">
        <v>4940</v>
      </c>
      <c r="AO146" t="s">
        <v>81</v>
      </c>
      <c r="AP146" t="s">
        <v>81</v>
      </c>
      <c r="AQ146" t="s">
        <v>4941</v>
      </c>
      <c r="AR146" t="s">
        <v>81</v>
      </c>
      <c r="AS146" t="s">
        <v>1376</v>
      </c>
      <c r="AT146" t="s">
        <v>81</v>
      </c>
      <c r="AU146" t="s">
        <v>649</v>
      </c>
      <c r="AV146" t="s">
        <v>1823</v>
      </c>
      <c r="AW146" t="s">
        <v>4942</v>
      </c>
      <c r="AX146" t="s">
        <v>1495</v>
      </c>
      <c r="AY146" t="s">
        <v>295</v>
      </c>
      <c r="AZ146" t="s">
        <v>1032</v>
      </c>
      <c r="BA146" t="s">
        <v>1034</v>
      </c>
      <c r="BB146" t="s">
        <v>1035</v>
      </c>
      <c r="BC146" t="s">
        <v>277</v>
      </c>
      <c r="BD146" t="s">
        <v>1351</v>
      </c>
      <c r="BE146" t="s">
        <v>1033</v>
      </c>
      <c r="BF146" t="s">
        <v>1036</v>
      </c>
      <c r="BG146" t="s">
        <v>1037</v>
      </c>
      <c r="BH146" t="s">
        <v>3015</v>
      </c>
      <c r="BI146" t="s">
        <v>94</v>
      </c>
      <c r="BJ146" t="s">
        <v>1495</v>
      </c>
      <c r="BK146" t="s">
        <v>754</v>
      </c>
      <c r="BL146" t="s">
        <v>4943</v>
      </c>
      <c r="BM146" t="s">
        <v>277</v>
      </c>
      <c r="BN146">
        <v>10.98</v>
      </c>
      <c r="BO146">
        <v>3.56</v>
      </c>
      <c r="BP146" t="s">
        <v>81</v>
      </c>
      <c r="BQ146">
        <v>12.01</v>
      </c>
      <c r="BR146">
        <v>4.24</v>
      </c>
      <c r="BS146">
        <v>0.62</v>
      </c>
      <c r="BT146" t="s">
        <v>1533</v>
      </c>
      <c r="BU146" t="s">
        <v>1354</v>
      </c>
      <c r="BV146">
        <v>96.14</v>
      </c>
      <c r="BW146">
        <v>95.99</v>
      </c>
      <c r="BX146">
        <v>98.94</v>
      </c>
      <c r="BY146">
        <v>31.92</v>
      </c>
      <c r="BZ146">
        <v>16.5</v>
      </c>
      <c r="CA146">
        <v>3.45</v>
      </c>
      <c r="CB146">
        <v>-2.34</v>
      </c>
      <c r="CC146">
        <v>9.5</v>
      </c>
      <c r="CD146" t="s">
        <v>4944</v>
      </c>
      <c r="CE146" t="s">
        <v>373</v>
      </c>
      <c r="CF146" s="7">
        <v>6.284313725490196</v>
      </c>
      <c r="CG146" s="8">
        <v>20.628850475611653</v>
      </c>
      <c r="CH146" s="7">
        <v>-0.31984829902648926</v>
      </c>
      <c r="CI146" s="7">
        <v>0.49245283007621765</v>
      </c>
      <c r="CJ146" s="7">
        <v>943.90997314453125</v>
      </c>
      <c r="CK146" s="7">
        <v>-0.10925837606191635</v>
      </c>
      <c r="CL146" s="7">
        <v>-0.86370128393173218</v>
      </c>
      <c r="CM146" s="8">
        <v>-0.38050612807273865</v>
      </c>
      <c r="CN146" s="8">
        <v>6.168419361114502</v>
      </c>
      <c r="CO146" s="8">
        <v>1.0587607622146606</v>
      </c>
      <c r="CP146" s="8">
        <v>0.21859297156333923</v>
      </c>
      <c r="CQ146" s="8">
        <v>-3.0865025520324707</v>
      </c>
      <c r="CR146">
        <v>-291.81435346387934</v>
      </c>
      <c r="CS146">
        <v>-1.5470860856974971E-2</v>
      </c>
      <c r="CT146">
        <v>0.64257028112449799</v>
      </c>
      <c r="CU146" s="7">
        <v>188.62192360311747</v>
      </c>
      <c r="CV146" s="8">
        <v>0.7957528829574585</v>
      </c>
      <c r="CW146">
        <v>0.06</v>
      </c>
      <c r="CX146">
        <v>1.6590698024335948</v>
      </c>
      <c r="CY146">
        <v>14517472359.91539</v>
      </c>
      <c r="CZ146">
        <v>188.62192360311747</v>
      </c>
      <c r="DA146">
        <v>6.0062670696187419E-5</v>
      </c>
      <c r="DB146">
        <v>401006144429219.81</v>
      </c>
      <c r="DC146">
        <v>179.19082742296158</v>
      </c>
      <c r="DD146">
        <v>1.929373871923314E-11</v>
      </c>
      <c r="DE146">
        <v>1.2483583586622405E+21</v>
      </c>
      <c r="DF146">
        <v>165.98729277074338</v>
      </c>
      <c r="DG146">
        <v>8.0715570665677817E-20</v>
      </c>
      <c r="DH146">
        <v>2.9839967433002031E+29</v>
      </c>
      <c r="DI146">
        <v>150.89753888249399</v>
      </c>
      <c r="DJ146">
        <v>3.1314790371777393E-40</v>
      </c>
      <c r="DK146">
        <v>7.6914134548086174E+49</v>
      </c>
      <c r="DL146">
        <v>132.03534652218221</v>
      </c>
      <c r="DM146">
        <v>81153700</v>
      </c>
      <c r="DN146">
        <v>188.62192360311747</v>
      </c>
      <c r="DO146">
        <v>24085500000</v>
      </c>
      <c r="DP146">
        <v>2742289400</v>
      </c>
      <c r="DQ146">
        <v>4987</v>
      </c>
      <c r="DR146">
        <v>-182.33760987762727</v>
      </c>
      <c r="DS146">
        <v>19.833097592654195</v>
      </c>
      <c r="DT146" s="9">
        <v>-0.2583333333333333</v>
      </c>
      <c r="DU146">
        <v>0.11666666666666659</v>
      </c>
      <c r="DV146">
        <v>-0.14166666666666672</v>
      </c>
      <c r="DW146">
        <v>2.0950000000000002</v>
      </c>
      <c r="DX146">
        <v>0.49228220858895838</v>
      </c>
      <c r="DY146">
        <v>2.0173168098159509</v>
      </c>
      <c r="DZ146">
        <v>1850</v>
      </c>
      <c r="EA146">
        <v>2.0110475146771036</v>
      </c>
      <c r="EB146">
        <v>2</v>
      </c>
      <c r="EC146">
        <v>6.6026666666666664E-2</v>
      </c>
      <c r="ED146">
        <v>0.36222222222222222</v>
      </c>
      <c r="EE146" s="10">
        <v>-3.0337999999999998</v>
      </c>
      <c r="EF146">
        <v>-3.0274999999999999</v>
      </c>
      <c r="EG146">
        <v>31.182282208588958</v>
      </c>
      <c r="EH146" t="s">
        <v>2069</v>
      </c>
      <c r="EI146">
        <v>1</v>
      </c>
      <c r="EJ146">
        <v>0</v>
      </c>
      <c r="EK146" s="11">
        <v>45470</v>
      </c>
      <c r="EL146" s="12">
        <v>-0.98</v>
      </c>
      <c r="EM146" s="12">
        <v>-5.19</v>
      </c>
      <c r="EN146">
        <v>-2.6</v>
      </c>
      <c r="EO146">
        <v>5.88</v>
      </c>
      <c r="EP146">
        <v>-0.63</v>
      </c>
    </row>
    <row r="147" spans="1:146" ht="96" x14ac:dyDescent="0.25">
      <c r="C147" s="6" t="str">
        <f>""&amp;CHAR(10)&amp;Basic_Fundamental_Information_Constructure(F147)&amp;CHAR(10)&amp;Basic_Fundamental_Information_Concatenate("")</f>
        <v xml:space="preserve">
市值78.21亿, 利润-2537.88万; PE46.32; 平均PE25.37; 平均PEG1.72, PB2.15; ROIC8.2367%; ROE8.9767%; 股利率1.1507%; 毛利65.52%; 净利7.6267%; 上一年度营收增-88.46%, 利润增-107.58%; 当季营收增937.38%, 利润增2088.43%; 过往5年营收增-14.74%, 利润增-12.27%
Income profile:
</v>
      </c>
      <c r="D147" t="s">
        <v>513</v>
      </c>
      <c r="E147" t="s">
        <v>514</v>
      </c>
      <c r="F147">
        <v>17.38</v>
      </c>
      <c r="G147">
        <v>7.62</v>
      </c>
      <c r="H147" t="s">
        <v>4945</v>
      </c>
      <c r="I147">
        <v>7821000000</v>
      </c>
      <c r="J147">
        <v>46.32</v>
      </c>
      <c r="K147">
        <v>2.15</v>
      </c>
      <c r="L147" t="s">
        <v>100</v>
      </c>
      <c r="M147" t="s">
        <v>3021</v>
      </c>
      <c r="N147" t="s">
        <v>2247</v>
      </c>
      <c r="O147" t="s">
        <v>641</v>
      </c>
      <c r="P147">
        <v>-14.24</v>
      </c>
      <c r="Q147" t="s">
        <v>2002</v>
      </c>
      <c r="R147">
        <v>69305424</v>
      </c>
      <c r="S147" s="5">
        <v>-0.18720000000000001</v>
      </c>
      <c r="T147" t="s">
        <v>4946</v>
      </c>
      <c r="U147">
        <v>450000000</v>
      </c>
      <c r="V147">
        <v>450000000</v>
      </c>
      <c r="W147">
        <v>1.68</v>
      </c>
      <c r="X147">
        <v>0.16</v>
      </c>
      <c r="Y147">
        <v>7.14</v>
      </c>
      <c r="Z147" t="s">
        <v>4947</v>
      </c>
      <c r="AA147" t="s">
        <v>1086</v>
      </c>
      <c r="AB147" t="s">
        <v>1925</v>
      </c>
      <c r="AC147" t="s">
        <v>4948</v>
      </c>
      <c r="AD147" t="s">
        <v>81</v>
      </c>
      <c r="AE147">
        <v>-539679</v>
      </c>
      <c r="AF147" t="s">
        <v>236</v>
      </c>
      <c r="AG147" t="s">
        <v>4949</v>
      </c>
      <c r="AH147" t="s">
        <v>3024</v>
      </c>
      <c r="AI147" t="s">
        <v>4950</v>
      </c>
      <c r="AJ147" t="s">
        <v>3025</v>
      </c>
      <c r="AK147" t="s">
        <v>335</v>
      </c>
      <c r="AL147" t="s">
        <v>3026</v>
      </c>
      <c r="AM147" t="s">
        <v>81</v>
      </c>
      <c r="AN147" t="s">
        <v>323</v>
      </c>
      <c r="AO147" t="s">
        <v>1376</v>
      </c>
      <c r="AP147" t="s">
        <v>384</v>
      </c>
      <c r="AQ147" t="s">
        <v>1660</v>
      </c>
      <c r="AR147" t="s">
        <v>81</v>
      </c>
      <c r="AS147" t="s">
        <v>4951</v>
      </c>
      <c r="AT147" t="s">
        <v>1260</v>
      </c>
      <c r="AU147" t="s">
        <v>372</v>
      </c>
      <c r="AV147" t="s">
        <v>4952</v>
      </c>
      <c r="AW147" t="s">
        <v>412</v>
      </c>
      <c r="AX147" t="s">
        <v>1805</v>
      </c>
      <c r="AY147" t="s">
        <v>1352</v>
      </c>
      <c r="AZ147" t="s">
        <v>1038</v>
      </c>
      <c r="BA147" t="s">
        <v>1039</v>
      </c>
      <c r="BB147" t="s">
        <v>1040</v>
      </c>
      <c r="BC147" t="s">
        <v>718</v>
      </c>
      <c r="BD147" t="s">
        <v>318</v>
      </c>
      <c r="BE147" t="s">
        <v>447</v>
      </c>
      <c r="BF147" t="s">
        <v>262</v>
      </c>
      <c r="BG147" t="s">
        <v>422</v>
      </c>
      <c r="BH147" t="s">
        <v>3022</v>
      </c>
      <c r="BI147" t="s">
        <v>4953</v>
      </c>
      <c r="BJ147" t="s">
        <v>1805</v>
      </c>
      <c r="BK147" t="s">
        <v>696</v>
      </c>
      <c r="BL147" t="s">
        <v>4954</v>
      </c>
      <c r="BM147" t="s">
        <v>718</v>
      </c>
      <c r="BN147">
        <v>3.53</v>
      </c>
      <c r="BO147">
        <v>7.73</v>
      </c>
      <c r="BP147">
        <v>13.45</v>
      </c>
      <c r="BQ147">
        <v>3.92</v>
      </c>
      <c r="BR147">
        <v>8.41</v>
      </c>
      <c r="BS147">
        <v>14.6</v>
      </c>
      <c r="BT147" t="s">
        <v>1539</v>
      </c>
      <c r="BU147" t="s">
        <v>1354</v>
      </c>
      <c r="BV147">
        <v>62.67</v>
      </c>
      <c r="BW147">
        <v>64.650000000000006</v>
      </c>
      <c r="BX147">
        <v>69.239999999999995</v>
      </c>
      <c r="BY147">
        <v>4.47</v>
      </c>
      <c r="BZ147">
        <v>7.46</v>
      </c>
      <c r="CA147">
        <v>10.95</v>
      </c>
      <c r="CB147">
        <v>-2.58</v>
      </c>
      <c r="CC147">
        <v>4.26</v>
      </c>
      <c r="CD147" t="s">
        <v>4955</v>
      </c>
      <c r="CE147" t="s">
        <v>4956</v>
      </c>
      <c r="CF147" s="7">
        <v>9.3737663737792332</v>
      </c>
      <c r="CG147" s="8">
        <v>20.884310840253875</v>
      </c>
      <c r="CH147" s="7">
        <v>-0.88463234901428223</v>
      </c>
      <c r="CI147" s="7">
        <v>-8.5380584001541138E-2</v>
      </c>
      <c r="CJ147" s="7">
        <v>0.14450341463088989</v>
      </c>
      <c r="CK147" s="7">
        <v>1.1893612332642078E-2</v>
      </c>
      <c r="CL147" s="7">
        <v>7.6575428247451782E-2</v>
      </c>
      <c r="CM147" s="8">
        <v>-1.075757622718811</v>
      </c>
      <c r="CN147" s="8">
        <v>-0.38532111048698425</v>
      </c>
      <c r="CO147" s="8">
        <v>0.23303167521953583</v>
      </c>
      <c r="CP147" s="8">
        <v>0.55087721347808838</v>
      </c>
      <c r="CQ147" s="8">
        <v>6.3432835042476654E-2</v>
      </c>
      <c r="CR147">
        <v>25.370600207220807</v>
      </c>
      <c r="CS147">
        <v>1.7211130847781382</v>
      </c>
      <c r="CT147">
        <v>1.1507479861910241</v>
      </c>
      <c r="CU147" s="7">
        <v>-0.14740809556096793</v>
      </c>
      <c r="CV147" s="8">
        <v>-0.12274740189313889</v>
      </c>
      <c r="CW147">
        <v>0.06</v>
      </c>
      <c r="CX147" t="e">
        <v>#VALUE!</v>
      </c>
      <c r="CY147" t="s">
        <v>1362</v>
      </c>
      <c r="CZ147">
        <v>-0.14740809556096793</v>
      </c>
      <c r="DA147" t="e">
        <v>#VALUE!</v>
      </c>
      <c r="DB147" t="s">
        <v>1362</v>
      </c>
      <c r="DC147">
        <v>-0.14003769078291953</v>
      </c>
      <c r="DD147" t="e">
        <v>#VALUE!</v>
      </c>
      <c r="DE147" t="s">
        <v>1362</v>
      </c>
      <c r="DF147">
        <v>-0.12971912409365177</v>
      </c>
      <c r="DG147" t="e">
        <v>#VALUE!</v>
      </c>
      <c r="DH147" t="s">
        <v>1362</v>
      </c>
      <c r="DI147">
        <v>-0.11792647644877435</v>
      </c>
      <c r="DJ147" t="e">
        <v>#VALUE!</v>
      </c>
      <c r="DK147" t="s">
        <v>1362</v>
      </c>
      <c r="DL147">
        <v>-0.10318566689267754</v>
      </c>
      <c r="DM147">
        <v>-25378800</v>
      </c>
      <c r="DN147">
        <v>-0.14740809556096793</v>
      </c>
      <c r="DO147">
        <v>6490000000</v>
      </c>
      <c r="DP147">
        <v>1590964199.9999998</v>
      </c>
      <c r="DQ147">
        <v>5045</v>
      </c>
      <c r="DR147">
        <v>9.5211744693402007</v>
      </c>
      <c r="DS147">
        <v>21.007058242147014</v>
      </c>
      <c r="DT147" s="9">
        <v>-0.77333333333333332</v>
      </c>
      <c r="DU147">
        <v>-0.65</v>
      </c>
      <c r="DV147">
        <v>-1.4233333333333333</v>
      </c>
      <c r="DW147">
        <v>-6.3771929824561404</v>
      </c>
      <c r="DX147">
        <v>0.77964854486467738</v>
      </c>
      <c r="DY147">
        <v>-6.0790779599050975</v>
      </c>
      <c r="DZ147">
        <v>4068</v>
      </c>
      <c r="EA147">
        <v>-6.0161250947595128</v>
      </c>
      <c r="EB147">
        <v>6</v>
      </c>
      <c r="EC147">
        <v>4.2042222222222224E-2</v>
      </c>
      <c r="ED147">
        <v>0.20053666666666667</v>
      </c>
      <c r="EE147" s="10">
        <v>-2.1238999999999999</v>
      </c>
      <c r="EF147">
        <v>-2.1172</v>
      </c>
      <c r="EG147">
        <v>57.209648544864677</v>
      </c>
      <c r="EH147" t="s">
        <v>1370</v>
      </c>
      <c r="EI147">
        <v>0</v>
      </c>
      <c r="EJ147">
        <v>0</v>
      </c>
      <c r="EK147" s="11">
        <v>45470</v>
      </c>
      <c r="EL147" s="12">
        <v>-2.8</v>
      </c>
      <c r="EM147" s="12">
        <v>-6.09</v>
      </c>
      <c r="EN147">
        <v>1.44</v>
      </c>
      <c r="EO147">
        <v>5.68</v>
      </c>
      <c r="EP147">
        <v>-0.67</v>
      </c>
    </row>
    <row r="148" spans="1:146" ht="108" x14ac:dyDescent="0.25">
      <c r="C148" s="6" t="str">
        <f>""&amp;CHAR(10)&amp;Basic_Fundamental_Information_Constructure(F148)&amp;CHAR(10)&amp;Basic_Fundamental_Information_Concatenate("")</f>
        <v xml:space="preserve">
市值68.486984亿, 利润1.70亿; PE93.69; 平均PE55.25; 平均PEG.72, PB4.04; ROIC14.7433%; ROE15.97%; 股利率.2948%; 毛利80.1933%; 净利30.38%; 上一年度营收增89.94%, 利润增-38.18%; 当季营收增-56.13%, 利润增-70.74%; 过往5年营收增76.25%, 利润增87.36%
Income profile:
</v>
      </c>
      <c r="D148" t="s">
        <v>1164</v>
      </c>
      <c r="E148" t="s">
        <v>1165</v>
      </c>
      <c r="F148">
        <v>16.96</v>
      </c>
      <c r="G148">
        <v>3.99</v>
      </c>
      <c r="H148" t="s">
        <v>4957</v>
      </c>
      <c r="I148">
        <v>6848698400</v>
      </c>
      <c r="J148">
        <v>93.69</v>
      </c>
      <c r="K148">
        <v>4.04</v>
      </c>
      <c r="L148" t="s">
        <v>100</v>
      </c>
      <c r="M148" t="s">
        <v>1431</v>
      </c>
      <c r="N148" t="s">
        <v>4958</v>
      </c>
      <c r="O148" t="s">
        <v>247</v>
      </c>
      <c r="P148">
        <v>16.64</v>
      </c>
      <c r="Q148" t="s">
        <v>1848</v>
      </c>
      <c r="R148">
        <v>16889348</v>
      </c>
      <c r="S148" s="5">
        <v>0.36659999999999998</v>
      </c>
      <c r="T148" t="s">
        <v>241</v>
      </c>
      <c r="U148">
        <v>403814770</v>
      </c>
      <c r="V148">
        <v>403814770</v>
      </c>
      <c r="W148">
        <v>1.25</v>
      </c>
      <c r="X148">
        <v>7.0000000000000007E-2</v>
      </c>
      <c r="Y148">
        <v>9.5</v>
      </c>
      <c r="Z148" t="s">
        <v>312</v>
      </c>
      <c r="AA148" t="s">
        <v>4959</v>
      </c>
      <c r="AB148" t="s">
        <v>4960</v>
      </c>
      <c r="AC148" t="s">
        <v>4961</v>
      </c>
      <c r="AD148" t="s">
        <v>81</v>
      </c>
      <c r="AE148">
        <v>625539</v>
      </c>
      <c r="AF148" t="s">
        <v>3028</v>
      </c>
      <c r="AG148" t="s">
        <v>3644</v>
      </c>
      <c r="AH148" t="s">
        <v>3029</v>
      </c>
      <c r="AI148" t="s">
        <v>1925</v>
      </c>
      <c r="AJ148" t="s">
        <v>3030</v>
      </c>
      <c r="AK148" t="s">
        <v>4962</v>
      </c>
      <c r="AL148" t="s">
        <v>3031</v>
      </c>
      <c r="AM148" t="s">
        <v>81</v>
      </c>
      <c r="AN148" t="s">
        <v>613</v>
      </c>
      <c r="AO148" t="s">
        <v>4963</v>
      </c>
      <c r="AP148" t="s">
        <v>81</v>
      </c>
      <c r="AQ148" t="s">
        <v>4964</v>
      </c>
      <c r="AR148" t="s">
        <v>81</v>
      </c>
      <c r="AS148" t="s">
        <v>1411</v>
      </c>
      <c r="AT148" t="s">
        <v>372</v>
      </c>
      <c r="AU148" t="s">
        <v>4965</v>
      </c>
      <c r="AV148" t="s">
        <v>4966</v>
      </c>
      <c r="AW148" t="s">
        <v>4967</v>
      </c>
      <c r="AX148" t="s">
        <v>87</v>
      </c>
      <c r="AY148" t="s">
        <v>830</v>
      </c>
      <c r="AZ148" t="s">
        <v>1073</v>
      </c>
      <c r="BA148" t="s">
        <v>312</v>
      </c>
      <c r="BB148" t="s">
        <v>1167</v>
      </c>
      <c r="BC148" t="s">
        <v>804</v>
      </c>
      <c r="BD148" t="s">
        <v>92</v>
      </c>
      <c r="BE148" t="s">
        <v>1166</v>
      </c>
      <c r="BF148" t="s">
        <v>1168</v>
      </c>
      <c r="BG148" t="s">
        <v>1169</v>
      </c>
      <c r="BH148" t="s">
        <v>1944</v>
      </c>
      <c r="BI148" t="s">
        <v>1199</v>
      </c>
      <c r="BJ148" t="s">
        <v>87</v>
      </c>
      <c r="BK148" t="s">
        <v>3027</v>
      </c>
      <c r="BL148" t="s">
        <v>4968</v>
      </c>
      <c r="BM148" t="s">
        <v>804</v>
      </c>
      <c r="BN148">
        <v>1.64</v>
      </c>
      <c r="BO148">
        <v>19.86</v>
      </c>
      <c r="BP148">
        <v>22.73</v>
      </c>
      <c r="BQ148">
        <v>2.4300000000000002</v>
      </c>
      <c r="BR148">
        <v>21.64</v>
      </c>
      <c r="BS148">
        <v>23.84</v>
      </c>
      <c r="BT148" t="s">
        <v>1546</v>
      </c>
      <c r="BU148" t="s">
        <v>1353</v>
      </c>
      <c r="BV148">
        <v>78.069999999999993</v>
      </c>
      <c r="BW148">
        <v>78.62</v>
      </c>
      <c r="BX148">
        <v>83.89</v>
      </c>
      <c r="BY148">
        <v>9.9499999999999993</v>
      </c>
      <c r="BZ148">
        <v>39.22</v>
      </c>
      <c r="CA148">
        <v>41.97</v>
      </c>
      <c r="CB148">
        <v>-2.36</v>
      </c>
      <c r="CC148">
        <v>-15.71</v>
      </c>
      <c r="CD148" t="s">
        <v>4969</v>
      </c>
      <c r="CE148" t="s">
        <v>4970</v>
      </c>
      <c r="CF148" s="7">
        <v>-0.56125356125356129</v>
      </c>
      <c r="CG148" s="8">
        <v>-0.70737806515550794</v>
      </c>
      <c r="CH148" s="7">
        <v>0.89943331480026245</v>
      </c>
      <c r="CI148" s="7">
        <v>0.58295965194702148</v>
      </c>
      <c r="CJ148" s="7">
        <v>1.1756097078323364</v>
      </c>
      <c r="CK148" s="7">
        <v>0.57692307233810425</v>
      </c>
      <c r="CL148" s="7">
        <v>0.57775032520294189</v>
      </c>
      <c r="CM148" s="8">
        <v>-0.38181817531585693</v>
      </c>
      <c r="CN148" s="8">
        <v>0.46276596188545227</v>
      </c>
      <c r="CO148" s="8">
        <v>1.5862258672714233</v>
      </c>
      <c r="CP148" s="8">
        <v>2.1030688285827637</v>
      </c>
      <c r="CQ148" s="8">
        <v>0.59797132015228271</v>
      </c>
      <c r="CR148">
        <v>55.247864553278475</v>
      </c>
      <c r="CS148">
        <v>0.72452869727467828</v>
      </c>
      <c r="CT148">
        <v>0.29481132075471694</v>
      </c>
      <c r="CU148" s="7">
        <v>0.7625352144241333</v>
      </c>
      <c r="CV148" s="8">
        <v>0.87364276051521306</v>
      </c>
      <c r="CW148">
        <v>0.06</v>
      </c>
      <c r="CX148">
        <v>19.151958787537911</v>
      </c>
      <c r="CY148">
        <v>282670741.93594587</v>
      </c>
      <c r="CZ148">
        <v>0.7625352144241333</v>
      </c>
      <c r="DA148">
        <v>3.7121884991338741</v>
      </c>
      <c r="DB148">
        <v>1458357624.1516619</v>
      </c>
      <c r="DC148">
        <v>0.72440845370292661</v>
      </c>
      <c r="DD148">
        <v>0.81154211580280655</v>
      </c>
      <c r="DE148">
        <v>6670877942.8465958</v>
      </c>
      <c r="DF148">
        <v>0.6710309886932373</v>
      </c>
      <c r="DG148">
        <v>0.16905073451463029</v>
      </c>
      <c r="DH148">
        <v>32024104571.586338</v>
      </c>
      <c r="DI148">
        <v>0.61002817153930666</v>
      </c>
      <c r="DJ148">
        <v>6.0814901495136109E-3</v>
      </c>
      <c r="DK148">
        <v>890192743374.41455</v>
      </c>
      <c r="DL148">
        <v>0.53377465009689329</v>
      </c>
      <c r="DM148">
        <v>170000000</v>
      </c>
      <c r="DN148">
        <v>0.7625352144241333</v>
      </c>
      <c r="DO148">
        <v>5413698400</v>
      </c>
      <c r="DP148">
        <v>1003611440</v>
      </c>
      <c r="DQ148">
        <v>5069</v>
      </c>
      <c r="DR148">
        <v>-1.3237887756776945</v>
      </c>
      <c r="DS148">
        <v>-1.581020825670721</v>
      </c>
      <c r="DT148" s="9">
        <v>0.52666666666666662</v>
      </c>
      <c r="DU148">
        <v>0.38500000000000018</v>
      </c>
      <c r="DV148">
        <v>0.91166666666666685</v>
      </c>
      <c r="DW148">
        <v>-2.1570999999999998</v>
      </c>
      <c r="DX148">
        <v>0.42340933997482</v>
      </c>
      <c r="DY148">
        <v>-2.0225296073100441</v>
      </c>
      <c r="DZ148">
        <v>22</v>
      </c>
      <c r="EA148">
        <v>-2.0224326109576327</v>
      </c>
      <c r="EB148">
        <v>2</v>
      </c>
      <c r="EC148">
        <v>3.2211798493650939E-2</v>
      </c>
      <c r="ED148">
        <v>0.22461436960317227</v>
      </c>
      <c r="EE148" s="10">
        <v>8.0930099999999996</v>
      </c>
      <c r="EF148">
        <v>8.12791</v>
      </c>
      <c r="EG148">
        <v>28.14340933997482</v>
      </c>
      <c r="EH148" t="s">
        <v>4971</v>
      </c>
      <c r="EI148">
        <v>0</v>
      </c>
      <c r="EJ148">
        <v>1</v>
      </c>
      <c r="EK148" s="11">
        <v>45470</v>
      </c>
      <c r="EL148" s="12">
        <v>-2.75</v>
      </c>
      <c r="EM148" s="12">
        <v>-5.92</v>
      </c>
      <c r="EN148">
        <v>-3.87</v>
      </c>
      <c r="EO148">
        <v>2.2799999999999998</v>
      </c>
      <c r="EP148">
        <v>-3.49</v>
      </c>
    </row>
    <row r="149" spans="1:146" ht="96" x14ac:dyDescent="0.25">
      <c r="C149" s="6" t="str">
        <f>""&amp;CHAR(10)&amp;Basic_Fundamental_Information_Constructure(F149)&amp;CHAR(10)&amp;Basic_Fundamental_Information_Concatenate("")</f>
        <v xml:space="preserve">
市值39.65864亿, 利润1.37亿; PE17.86; 平均PE28.65; 平均PEG1.38, PB2.22; ROIC11.1667%; ROE12.3933%; 股利率0%; 毛利68.2967%; 净利13.6333%; 上一年度营收增20.26%, 利润增-25.14%; 当季营收增13.37%, 利润增46.44%; 过往5年营收增20.69%, 利润增11.13%
Income profile:
</v>
      </c>
      <c r="D149" t="s">
        <v>1043</v>
      </c>
      <c r="E149" t="s">
        <v>1044</v>
      </c>
      <c r="F149">
        <v>42.28</v>
      </c>
      <c r="G149">
        <v>3.1</v>
      </c>
      <c r="H149" t="s">
        <v>4972</v>
      </c>
      <c r="I149">
        <v>3965864000</v>
      </c>
      <c r="J149">
        <v>17.86</v>
      </c>
      <c r="K149">
        <v>2.2200000000000002</v>
      </c>
      <c r="L149" t="s">
        <v>100</v>
      </c>
      <c r="M149" t="s">
        <v>462</v>
      </c>
      <c r="N149" t="s">
        <v>594</v>
      </c>
      <c r="O149" t="s">
        <v>1376</v>
      </c>
      <c r="P149">
        <v>4.38</v>
      </c>
      <c r="Q149" t="s">
        <v>4973</v>
      </c>
      <c r="R149">
        <v>60053058</v>
      </c>
      <c r="S149" s="5">
        <v>0.219</v>
      </c>
      <c r="T149" t="s">
        <v>93</v>
      </c>
      <c r="U149">
        <v>56488000</v>
      </c>
      <c r="V149">
        <v>93800000</v>
      </c>
      <c r="W149">
        <v>1.24</v>
      </c>
      <c r="X149">
        <v>0.17</v>
      </c>
      <c r="Y149">
        <v>14.11</v>
      </c>
      <c r="Z149" t="s">
        <v>2287</v>
      </c>
      <c r="AA149" t="s">
        <v>380</v>
      </c>
      <c r="AB149" t="s">
        <v>238</v>
      </c>
      <c r="AC149" t="s">
        <v>4974</v>
      </c>
      <c r="AD149" t="s">
        <v>81</v>
      </c>
      <c r="AE149">
        <v>-1173911</v>
      </c>
      <c r="AF149" t="s">
        <v>3032</v>
      </c>
      <c r="AG149">
        <v>1712.61</v>
      </c>
      <c r="AH149" t="s">
        <v>3033</v>
      </c>
      <c r="AI149" t="s">
        <v>88</v>
      </c>
      <c r="AJ149" t="s">
        <v>3034</v>
      </c>
      <c r="AK149" t="s">
        <v>4975</v>
      </c>
      <c r="AL149" t="s">
        <v>3035</v>
      </c>
      <c r="AM149" t="s">
        <v>81</v>
      </c>
      <c r="AN149" t="s">
        <v>4976</v>
      </c>
      <c r="AO149" t="s">
        <v>81</v>
      </c>
      <c r="AP149" t="s">
        <v>81</v>
      </c>
      <c r="AQ149" t="s">
        <v>393</v>
      </c>
      <c r="AR149" t="s">
        <v>4977</v>
      </c>
      <c r="AS149" t="s">
        <v>356</v>
      </c>
      <c r="AT149" t="s">
        <v>4978</v>
      </c>
      <c r="AU149" t="s">
        <v>4979</v>
      </c>
      <c r="AV149" t="s">
        <v>4980</v>
      </c>
      <c r="AW149" t="s">
        <v>4981</v>
      </c>
      <c r="AX149" t="s">
        <v>1806</v>
      </c>
      <c r="AY149" t="s">
        <v>280</v>
      </c>
      <c r="AZ149" t="s">
        <v>835</v>
      </c>
      <c r="BA149" t="s">
        <v>523</v>
      </c>
      <c r="BB149" t="s">
        <v>552</v>
      </c>
      <c r="BC149" t="s">
        <v>231</v>
      </c>
      <c r="BD149" t="s">
        <v>825</v>
      </c>
      <c r="BE149" t="s">
        <v>266</v>
      </c>
      <c r="BF149" t="s">
        <v>368</v>
      </c>
      <c r="BG149" t="s">
        <v>1046</v>
      </c>
      <c r="BH149" t="s">
        <v>1879</v>
      </c>
      <c r="BI149" t="s">
        <v>362</v>
      </c>
      <c r="BJ149" t="s">
        <v>1806</v>
      </c>
      <c r="BK149" t="s">
        <v>400</v>
      </c>
      <c r="BL149" t="s">
        <v>4982</v>
      </c>
      <c r="BM149" t="s">
        <v>231</v>
      </c>
      <c r="BN149">
        <v>8.1999999999999993</v>
      </c>
      <c r="BO149">
        <v>10.62</v>
      </c>
      <c r="BP149">
        <v>14.68</v>
      </c>
      <c r="BQ149">
        <v>9.44</v>
      </c>
      <c r="BR149">
        <v>11.93</v>
      </c>
      <c r="BS149">
        <v>15.81</v>
      </c>
      <c r="BT149" t="s">
        <v>1526</v>
      </c>
      <c r="BU149" t="s">
        <v>1354</v>
      </c>
      <c r="BV149">
        <v>64.790000000000006</v>
      </c>
      <c r="BW149">
        <v>67.709999999999994</v>
      </c>
      <c r="BX149">
        <v>72.39</v>
      </c>
      <c r="BY149">
        <v>13.47</v>
      </c>
      <c r="BZ149">
        <v>13.41</v>
      </c>
      <c r="CA149">
        <v>14.02</v>
      </c>
      <c r="CB149">
        <v>-0.35</v>
      </c>
      <c r="CC149">
        <v>0.36</v>
      </c>
      <c r="CD149" t="s">
        <v>4983</v>
      </c>
      <c r="CE149" t="s">
        <v>4984</v>
      </c>
      <c r="CF149" s="7">
        <v>0.1337386018237082</v>
      </c>
      <c r="CG149" s="8">
        <v>0.4643551435141271</v>
      </c>
      <c r="CH149" s="7">
        <v>0.20262965559959412</v>
      </c>
      <c r="CI149" s="7">
        <v>0.12728846073150635</v>
      </c>
      <c r="CJ149" s="7">
        <v>0.20609891414642334</v>
      </c>
      <c r="CK149" s="7">
        <v>0.15272727608680725</v>
      </c>
      <c r="CL149" s="7">
        <v>0.34584012627601624</v>
      </c>
      <c r="CM149" s="8">
        <v>-0.25136610865592957</v>
      </c>
      <c r="CN149" s="8">
        <v>0.13664595782756805</v>
      </c>
      <c r="CO149" s="8">
        <v>0.11034482717514038</v>
      </c>
      <c r="CP149" s="8">
        <v>0.25</v>
      </c>
      <c r="CQ149" s="8">
        <v>0.31089147925376892</v>
      </c>
      <c r="CR149">
        <v>28.652002060471812</v>
      </c>
      <c r="CS149">
        <v>1.3847106698585552</v>
      </c>
      <c r="CT149">
        <v>0</v>
      </c>
      <c r="CU149" s="7">
        <v>0.20691688656806945</v>
      </c>
      <c r="CV149" s="8">
        <v>0.11130323112010956</v>
      </c>
      <c r="CW149">
        <v>0.06</v>
      </c>
      <c r="CX149">
        <v>16.372149457468538</v>
      </c>
      <c r="CY149">
        <v>155988314.58474106</v>
      </c>
      <c r="CZ149">
        <v>0.20691688656806945</v>
      </c>
      <c r="DA149">
        <v>4.8525173080254831</v>
      </c>
      <c r="DB149">
        <v>526296731.75533336</v>
      </c>
      <c r="DC149">
        <v>0.19657104223966596</v>
      </c>
      <c r="DD149">
        <v>2.08508850778456</v>
      </c>
      <c r="DE149">
        <v>1224822826.6883123</v>
      </c>
      <c r="DF149">
        <v>0.18208686017990111</v>
      </c>
      <c r="DG149">
        <v>1.0659983339064509</v>
      </c>
      <c r="DH149">
        <v>2395748584.9355183</v>
      </c>
      <c r="DI149">
        <v>0.16553350925445556</v>
      </c>
      <c r="DJ149">
        <v>0.37700153602842268</v>
      </c>
      <c r="DK149">
        <v>6774147466.0927124</v>
      </c>
      <c r="DL149">
        <v>0.14484182059764861</v>
      </c>
      <c r="DM149">
        <v>137000000</v>
      </c>
      <c r="DN149">
        <v>0.20691688656806945</v>
      </c>
      <c r="DO149">
        <v>2553864000</v>
      </c>
      <c r="DP149">
        <v>1066675100</v>
      </c>
      <c r="DQ149">
        <v>5108</v>
      </c>
      <c r="DR149">
        <v>-7.3178284744361249E-2</v>
      </c>
      <c r="DS149">
        <v>0.35305191239401756</v>
      </c>
      <c r="DT149" s="9">
        <v>7.6666666666666591E-2</v>
      </c>
      <c r="DU149">
        <v>0.26999999999999996</v>
      </c>
      <c r="DV149">
        <v>0.34666666666666657</v>
      </c>
      <c r="DW149">
        <v>3.5999999999999999E-3</v>
      </c>
      <c r="DX149">
        <v>0.39987898376428022</v>
      </c>
      <c r="DY149">
        <v>5.0356434155141309E-4</v>
      </c>
      <c r="DZ149">
        <v>568</v>
      </c>
      <c r="EA149">
        <v>4.475908491832717E-4</v>
      </c>
      <c r="EB149">
        <v>0</v>
      </c>
      <c r="EC149">
        <v>3.9679104477611943E-2</v>
      </c>
      <c r="ED149">
        <v>0.28366737739872067</v>
      </c>
      <c r="EE149" s="10">
        <v>0.11041000000000001</v>
      </c>
      <c r="EF149">
        <v>0.13731000000000002</v>
      </c>
      <c r="EG149">
        <v>26.13987898376428</v>
      </c>
      <c r="EH149">
        <v>-1</v>
      </c>
      <c r="EI149">
        <v>0</v>
      </c>
      <c r="EJ149">
        <v>1</v>
      </c>
      <c r="EK149" s="11">
        <v>45470</v>
      </c>
      <c r="EL149" s="12">
        <v>-1.26</v>
      </c>
      <c r="EM149" s="12">
        <v>-5.32</v>
      </c>
      <c r="EN149">
        <v>-3.81</v>
      </c>
      <c r="EO149">
        <v>3.29</v>
      </c>
      <c r="EP149">
        <v>-2.69</v>
      </c>
    </row>
  </sheetData>
  <autoFilter ref="BU1:BU149"/>
  <sortState ref="A2:D97">
    <sortCondition ref="C2:C9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'Basic_Fundamental_Tabel_Update_Buttom &quot;化学制药&quot;,&quot;&quot;'" altText="更新基本面按钮_x000a_">
                <anchor moveWithCells="1" sizeWithCells="1">
                  <from>
                    <xdr:col>147</xdr:col>
                    <xdr:colOff>254000</xdr:colOff>
                    <xdr:row>0</xdr:row>
                    <xdr:rowOff>133350</xdr:rowOff>
                  </from>
                  <to>
                    <xdr:col>147</xdr:col>
                    <xdr:colOff>1695450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化学制药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