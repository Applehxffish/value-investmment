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医药生物\"/>
    </mc:Choice>
  </mc:AlternateContent>
  <bookViews>
    <workbookView xWindow="0" yWindow="0" windowWidth="3800" windowHeight="2950"/>
  </bookViews>
  <sheets>
    <sheet name="生物制品" sheetId="7" r:id="rId1"/>
    <sheet name="估值-增速与年化收益" sheetId="14" r:id="rId2"/>
  </sheets>
  <functionGroups builtInGroupCount="18"/>
  <definedNames>
    <definedName name="_xlnm._FilterDatabase" localSheetId="0" hidden="1">生物制品!$BU$1:$BU$61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51" i="7"/>
  <c r="C50" i="7"/>
  <c r="C46" i="7"/>
  <c r="C44" i="7"/>
  <c r="C42" i="7"/>
  <c r="C53" i="7"/>
  <c r="C49" i="7"/>
  <c r="C47" i="7"/>
  <c r="C52" i="7"/>
  <c r="C48" i="7"/>
  <c r="C43"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C3" i="7"/>
  <c r="C2" i="7"/>
</calcChain>
</file>

<file path=xl/sharedStrings.xml><?xml version="1.0" encoding="utf-8"?>
<sst xmlns="http://schemas.openxmlformats.org/spreadsheetml/2006/main" count="3072" uniqueCount="2113">
  <si>
    <t>&lt;-增速</t>
    <phoneticPr fontId="1" type="noConversion"/>
  </si>
  <si>
    <t>&lt;-估值</t>
    <phoneticPr fontId="1" type="noConversion"/>
  </si>
  <si>
    <t>&lt;-折合年化收益</t>
    <phoneticPr fontId="1" type="noConversion"/>
  </si>
  <si>
    <t>现价</t>
  </si>
  <si>
    <t>市净率</t>
  </si>
  <si>
    <t>--</t>
  </si>
  <si>
    <t>未名医药</t>
  </si>
  <si>
    <t>东宝生物</t>
  </si>
  <si>
    <t>康泰生物</t>
  </si>
  <si>
    <t>安科生物</t>
  </si>
  <si>
    <t>我武生物</t>
  </si>
  <si>
    <t>智飞生物</t>
  </si>
  <si>
    <t>天坛生物</t>
  </si>
  <si>
    <t>长春高新</t>
  </si>
  <si>
    <t>华兰生物</t>
  </si>
  <si>
    <t>卫光生物</t>
  </si>
  <si>
    <t>通化东宝</t>
  </si>
  <si>
    <t>海特生物</t>
  </si>
  <si>
    <t>沃森生物</t>
  </si>
  <si>
    <t>博雅生物</t>
  </si>
  <si>
    <t>康辰药业</t>
  </si>
  <si>
    <t>双鹭药业</t>
  </si>
  <si>
    <t>赛升药业</t>
  </si>
  <si>
    <t>双成药业</t>
  </si>
  <si>
    <t>上海莱士</t>
  </si>
  <si>
    <t>四环生物</t>
  </si>
  <si>
    <t>总市值</t>
  </si>
  <si>
    <t>TTM市盈率</t>
  </si>
  <si>
    <t>所属行业</t>
  </si>
  <si>
    <t>SZ300142</t>
  </si>
  <si>
    <t>生物制品</t>
  </si>
  <si>
    <t>SZ300601</t>
  </si>
  <si>
    <t>SH688278</t>
  </si>
  <si>
    <t>特宝生物</t>
  </si>
  <si>
    <t>SZ300683</t>
  </si>
  <si>
    <t>SZ300009</t>
  </si>
  <si>
    <t>SZ000518</t>
  </si>
  <si>
    <t>SZ300357</t>
  </si>
  <si>
    <t>SZ002693</t>
  </si>
  <si>
    <t>SZ000403</t>
  </si>
  <si>
    <t>SZ002252</t>
  </si>
  <si>
    <t>SZ300239</t>
  </si>
  <si>
    <t>SZ000661</t>
  </si>
  <si>
    <t>SH600161</t>
  </si>
  <si>
    <t>SZ002007</t>
  </si>
  <si>
    <t>SZ300122</t>
  </si>
  <si>
    <t>SZ300485</t>
  </si>
  <si>
    <t>SZ000534</t>
  </si>
  <si>
    <t>万泽股份</t>
  </si>
  <si>
    <t>SZ002880</t>
  </si>
  <si>
    <t>SH600867</t>
  </si>
  <si>
    <t>SZ300294</t>
  </si>
  <si>
    <t>SH600739</t>
  </si>
  <si>
    <t>辽宁成大</t>
  </si>
  <si>
    <t>SH603590</t>
  </si>
  <si>
    <t>SZ002581</t>
  </si>
  <si>
    <t>SZ002038</t>
  </si>
  <si>
    <t>SH688177</t>
  </si>
  <si>
    <t>代码</t>
  </si>
  <si>
    <t>预期多</t>
    <phoneticPr fontId="1" type="noConversion"/>
  </si>
  <si>
    <t>预期空</t>
    <phoneticPr fontId="1" type="noConversion"/>
  </si>
  <si>
    <t>已知和基本信息</t>
    <phoneticPr fontId="1" type="noConversion"/>
  </si>
  <si>
    <t>负债合计</t>
  </si>
  <si>
    <t>所有者权益合计</t>
  </si>
  <si>
    <t>主营业务收入</t>
  </si>
  <si>
    <t>净利润增长率</t>
  </si>
  <si>
    <t>总股本</t>
  </si>
  <si>
    <t>财务费用</t>
  </si>
  <si>
    <t>投资收益</t>
  </si>
  <si>
    <t>应收账款</t>
  </si>
  <si>
    <t>9.16亿</t>
  </si>
  <si>
    <t>1.60亿</t>
  </si>
  <si>
    <t>0亿</t>
  </si>
  <si>
    <t>4.08亿</t>
  </si>
  <si>
    <t>3.65亿</t>
  </si>
  <si>
    <t>1.17亿</t>
  </si>
  <si>
    <t>1.20亿</t>
  </si>
  <si>
    <t>1.34亿</t>
  </si>
  <si>
    <t>6.65亿</t>
  </si>
  <si>
    <t>4.18亿</t>
  </si>
  <si>
    <t>1433.08万</t>
  </si>
  <si>
    <t>5.49亿</t>
  </si>
  <si>
    <t>7067.56万</t>
  </si>
  <si>
    <t>1.28亿</t>
  </si>
  <si>
    <t>73.74亿</t>
  </si>
  <si>
    <t>17.75亿</t>
  </si>
  <si>
    <t>2.89亿</t>
  </si>
  <si>
    <t>3.37亿</t>
  </si>
  <si>
    <t>37.00亿</t>
  </si>
  <si>
    <t>12.83亿</t>
  </si>
  <si>
    <t>1.79亿</t>
  </si>
  <si>
    <t>20.30亿</t>
  </si>
  <si>
    <t>4.87亿</t>
  </si>
  <si>
    <t>1.06亿</t>
  </si>
  <si>
    <t>1.88亿</t>
  </si>
  <si>
    <t>25.85亿</t>
  </si>
  <si>
    <t>6.08亿</t>
  </si>
  <si>
    <t>1.42亿</t>
  </si>
  <si>
    <t>5.68亿</t>
  </si>
  <si>
    <t>6338.35万</t>
  </si>
  <si>
    <t>2.62亿</t>
  </si>
  <si>
    <t>1.90亿</t>
  </si>
  <si>
    <t>3.47亿</t>
  </si>
  <si>
    <t>2465.64万</t>
  </si>
  <si>
    <t>1.45亿</t>
  </si>
  <si>
    <t>5.71亿</t>
  </si>
  <si>
    <t>8.21亿</t>
  </si>
  <si>
    <t>1.71亿</t>
  </si>
  <si>
    <t>3.20亿</t>
  </si>
  <si>
    <t>2.60亿</t>
  </si>
  <si>
    <t>4.92亿</t>
  </si>
  <si>
    <t>17.13亿</t>
  </si>
  <si>
    <t>1.24亿</t>
  </si>
  <si>
    <t>1.39亿</t>
  </si>
  <si>
    <t>2.66亿</t>
  </si>
  <si>
    <t>1.07亿</t>
  </si>
  <si>
    <t>1.49亿</t>
  </si>
  <si>
    <t>105.87亿</t>
  </si>
  <si>
    <t>23.66亿</t>
  </si>
  <si>
    <t>6.36亿</t>
  </si>
  <si>
    <t>11.21亿</t>
  </si>
  <si>
    <t>1.02亿</t>
  </si>
  <si>
    <t>1.53亿</t>
  </si>
  <si>
    <t>4.26亿</t>
  </si>
  <si>
    <t>7.06亿</t>
  </si>
  <si>
    <t>6.39亿</t>
  </si>
  <si>
    <t>2.98亿</t>
  </si>
  <si>
    <t>1.38亿</t>
  </si>
  <si>
    <t>1.21亿</t>
  </si>
  <si>
    <t>6.68亿</t>
  </si>
  <si>
    <t>11.91亿</t>
  </si>
  <si>
    <t>19.43亿</t>
  </si>
  <si>
    <t>5.75亿</t>
  </si>
  <si>
    <t>3.45亿</t>
  </si>
  <si>
    <t>6.20亿</t>
  </si>
  <si>
    <t>6303.51万</t>
  </si>
  <si>
    <t>2.09亿</t>
  </si>
  <si>
    <t>SZ300841</t>
  </si>
  <si>
    <t>康华生物</t>
  </si>
  <si>
    <t>5.55亿</t>
  </si>
  <si>
    <t>1.87亿</t>
  </si>
  <si>
    <t>1.37亿</t>
  </si>
  <si>
    <t>2.33亿</t>
  </si>
  <si>
    <t>32.82亿</t>
  </si>
  <si>
    <t>2.77亿</t>
  </si>
  <si>
    <t>1.16亿</t>
  </si>
  <si>
    <t>177.46亿</t>
  </si>
  <si>
    <t>2.29亿</t>
  </si>
  <si>
    <t>27.77亿</t>
  </si>
  <si>
    <t>8.11亿</t>
  </si>
  <si>
    <t>3.96亿</t>
  </si>
  <si>
    <t>SH603087</t>
  </si>
  <si>
    <t>甘李药业</t>
  </si>
  <si>
    <t>28.95亿</t>
  </si>
  <si>
    <t>11.67亿</t>
  </si>
  <si>
    <t>8.62亿</t>
  </si>
  <si>
    <t>10.66亿</t>
  </si>
  <si>
    <t>70.00万</t>
  </si>
  <si>
    <t>-10.23亿</t>
  </si>
  <si>
    <t>1.00亿</t>
  </si>
  <si>
    <t>SH688180</t>
  </si>
  <si>
    <t>君实生物-U</t>
  </si>
  <si>
    <t>21.67亿</t>
  </si>
  <si>
    <t>23.87亿</t>
  </si>
  <si>
    <t>7.75亿</t>
  </si>
  <si>
    <t>-7.47亿</t>
  </si>
  <si>
    <t>SH688185</t>
  </si>
  <si>
    <t>228.34万</t>
  </si>
  <si>
    <t>-1.57亿</t>
  </si>
  <si>
    <t>9.30亿</t>
  </si>
  <si>
    <t>7.30亿</t>
  </si>
  <si>
    <t>6429.39万</t>
  </si>
  <si>
    <t>SH688336</t>
  </si>
  <si>
    <t>三生国健</t>
  </si>
  <si>
    <t>11.77亿</t>
  </si>
  <si>
    <t>1.70亿</t>
  </si>
  <si>
    <t>6.79亿</t>
  </si>
  <si>
    <t>1.92亿</t>
  </si>
  <si>
    <t>SH688488</t>
  </si>
  <si>
    <t>艾迪药业</t>
  </si>
  <si>
    <t>3364.89万</t>
  </si>
  <si>
    <t>SH688520</t>
  </si>
  <si>
    <t>神州细胞-U</t>
  </si>
  <si>
    <t>263.83万</t>
  </si>
  <si>
    <t>-7.95亿</t>
  </si>
  <si>
    <t>流动资产</t>
  </si>
  <si>
    <t>营业收入[20191231]</t>
  </si>
  <si>
    <t>营业收入[20181231]</t>
  </si>
  <si>
    <t>营业收入[20171231]</t>
  </si>
  <si>
    <t>净利润[20191231]</t>
  </si>
  <si>
    <t>净利润[20181231]</t>
  </si>
  <si>
    <t>净利润[20171231]</t>
  </si>
  <si>
    <t>派林生物</t>
  </si>
  <si>
    <t>10.50亿</t>
  </si>
  <si>
    <t>1.86亿</t>
  </si>
  <si>
    <t>8.60亿</t>
  </si>
  <si>
    <t>7998.28万</t>
  </si>
  <si>
    <t>5.05亿</t>
  </si>
  <si>
    <t>2729.51万</t>
  </si>
  <si>
    <t>-2943.96万</t>
  </si>
  <si>
    <t>1.57亿</t>
  </si>
  <si>
    <t>5.53亿</t>
  </si>
  <si>
    <t>7672.58万</t>
  </si>
  <si>
    <t>2.55亿</t>
  </si>
  <si>
    <t>85.77亿</t>
  </si>
  <si>
    <t>30.47亿</t>
  </si>
  <si>
    <t>53.75亿</t>
  </si>
  <si>
    <t>10.06亿</t>
  </si>
  <si>
    <t>50.23亿</t>
  </si>
  <si>
    <t>16.13亿</t>
  </si>
  <si>
    <t>32.17亿</t>
  </si>
  <si>
    <t>11.40亿</t>
  </si>
  <si>
    <t>11.13亿</t>
  </si>
  <si>
    <t>1.83亿</t>
  </si>
  <si>
    <t>3.57亿</t>
  </si>
  <si>
    <t>27.62亿</t>
  </si>
  <si>
    <t>13.24亿</t>
  </si>
  <si>
    <t>18.04亿</t>
  </si>
  <si>
    <t>-15.18亿</t>
  </si>
  <si>
    <t>2.76亿</t>
  </si>
  <si>
    <t>-1.96亿</t>
  </si>
  <si>
    <t>1.18亿</t>
  </si>
  <si>
    <t>-1.04亿</t>
  </si>
  <si>
    <t>2.63亿</t>
  </si>
  <si>
    <t>2.69亿</t>
  </si>
  <si>
    <t>-5332.94万</t>
  </si>
  <si>
    <t>-6945.60万</t>
  </si>
  <si>
    <t>9.05亿</t>
  </si>
  <si>
    <t>6.88亿</t>
  </si>
  <si>
    <t>6.23亿</t>
  </si>
  <si>
    <t>5.01亿</t>
  </si>
  <si>
    <t>1.55亿</t>
  </si>
  <si>
    <t>17.01亿</t>
  </si>
  <si>
    <t>3.59亿</t>
  </si>
  <si>
    <t>5.09亿</t>
  </si>
  <si>
    <t>14.62亿</t>
  </si>
  <si>
    <t>8.49亿</t>
  </si>
  <si>
    <t>2.78亿</t>
  </si>
  <si>
    <t>151.90亿</t>
  </si>
  <si>
    <t>33.01亿</t>
  </si>
  <si>
    <t>-5.13亿</t>
  </si>
  <si>
    <t>5.24亿</t>
  </si>
  <si>
    <t>52.28亿</t>
  </si>
  <si>
    <t>14.51亿</t>
  </si>
  <si>
    <t>4.32亿</t>
  </si>
  <si>
    <t>29.39亿</t>
  </si>
  <si>
    <t>10.03亿</t>
  </si>
  <si>
    <t>8.79亿</t>
  </si>
  <si>
    <t>5.91亿</t>
  </si>
  <si>
    <t>10.46亿</t>
  </si>
  <si>
    <t>2.57亿</t>
  </si>
  <si>
    <t>4.49亿</t>
  </si>
  <si>
    <t>1845.03万</t>
  </si>
  <si>
    <t>4.53亿</t>
  </si>
  <si>
    <t>3291.46万</t>
  </si>
  <si>
    <t>3397.72万</t>
  </si>
  <si>
    <t>4.69亿</t>
  </si>
  <si>
    <t>3.86亿</t>
  </si>
  <si>
    <t>1.29亿</t>
  </si>
  <si>
    <t>1.14亿</t>
  </si>
  <si>
    <t>4.03亿</t>
  </si>
  <si>
    <t>10.94亿</t>
  </si>
  <si>
    <t>14.28亿</t>
  </si>
  <si>
    <t>2.83亿</t>
  </si>
  <si>
    <t>2.82亿</t>
  </si>
  <si>
    <t>22.61亿</t>
  </si>
  <si>
    <t>2.21亿</t>
  </si>
  <si>
    <t>20.17亿</t>
  </si>
  <si>
    <t>4.36亿</t>
  </si>
  <si>
    <t>2.15亿</t>
  </si>
  <si>
    <t>-2502.57万</t>
  </si>
  <si>
    <t>9413.77万</t>
  </si>
  <si>
    <t>10.39亿</t>
  </si>
  <si>
    <t>5.59亿</t>
  </si>
  <si>
    <t>1.54亿</t>
  </si>
  <si>
    <t>34.46亿</t>
  </si>
  <si>
    <t>29.31亿</t>
  </si>
  <si>
    <t>169.45亿</t>
  </si>
  <si>
    <t>27.71亿</t>
  </si>
  <si>
    <t>1.03亿</t>
  </si>
  <si>
    <t>11.42亿</t>
  </si>
  <si>
    <t>192.75亿</t>
  </si>
  <si>
    <t>11.89亿</t>
  </si>
  <si>
    <t>7.66亿</t>
  </si>
  <si>
    <t>28.92亿</t>
  </si>
  <si>
    <t>26.93亿</t>
  </si>
  <si>
    <t>8.39亿</t>
  </si>
  <si>
    <t>8.37亿</t>
  </si>
  <si>
    <t>33.62亿</t>
  </si>
  <si>
    <t>12.31亿</t>
  </si>
  <si>
    <t>12.20亿</t>
  </si>
  <si>
    <t>9.34亿</t>
  </si>
  <si>
    <t>8.09亿</t>
  </si>
  <si>
    <t>10.22亿</t>
  </si>
  <si>
    <t>2.64亿</t>
  </si>
  <si>
    <t>SH688136</t>
  </si>
  <si>
    <t>科兴制药</t>
  </si>
  <si>
    <t>8.91亿</t>
  </si>
  <si>
    <t>9416.37万</t>
  </si>
  <si>
    <t>1.85亿</t>
  </si>
  <si>
    <t>-5.53亿</t>
  </si>
  <si>
    <t>-2.36亿</t>
  </si>
  <si>
    <t>15.95亿</t>
  </si>
  <si>
    <t>-16.69亿</t>
  </si>
  <si>
    <t>2.68亿</t>
  </si>
  <si>
    <t>292.76万</t>
  </si>
  <si>
    <t>-7.23亿</t>
  </si>
  <si>
    <t>-3.97亿</t>
  </si>
  <si>
    <t>281.19万</t>
  </si>
  <si>
    <t>-1.38亿</t>
  </si>
  <si>
    <t>7.94亿</t>
  </si>
  <si>
    <t>4.48亿</t>
  </si>
  <si>
    <t>1600.29万</t>
  </si>
  <si>
    <t>6.55亿</t>
  </si>
  <si>
    <t>-2.17亿</t>
  </si>
  <si>
    <t>3.70亿</t>
  </si>
  <si>
    <t>3.89亿</t>
  </si>
  <si>
    <t>3977.18万</t>
  </si>
  <si>
    <t>861.79万</t>
  </si>
  <si>
    <t>32.82万</t>
  </si>
  <si>
    <t>-7.13亿</t>
  </si>
  <si>
    <t>294.57万</t>
  </si>
  <si>
    <t>-4.53亿</t>
  </si>
  <si>
    <t>SH688687</t>
  </si>
  <si>
    <t>凯因科技</t>
  </si>
  <si>
    <t>7556.54万</t>
  </si>
  <si>
    <t>8.25亿</t>
  </si>
  <si>
    <t>5355.65万</t>
  </si>
  <si>
    <t>4485.12万</t>
  </si>
  <si>
    <t>1.2018年的炒股行为导致的减值和股价暴跌，依然情绪尚未消除。等待更好的基本面回升。或者等待风口，这个点位感觉赔率够，向下空间小；上海莱士</t>
    <phoneticPr fontId="1" type="noConversion"/>
  </si>
  <si>
    <t>1.04亿</t>
  </si>
  <si>
    <t>SH688276</t>
  </si>
  <si>
    <t>14.41亿</t>
  </si>
  <si>
    <t>9.76亿</t>
  </si>
  <si>
    <t>10.19亿</t>
  </si>
  <si>
    <t>6.91亿</t>
  </si>
  <si>
    <t>9348.02万</t>
  </si>
  <si>
    <t>SH688319</t>
  </si>
  <si>
    <t>欧林生物</t>
  </si>
  <si>
    <t>3613.02万</t>
  </si>
  <si>
    <t>7633.52万</t>
  </si>
  <si>
    <t>-3104.06万</t>
  </si>
  <si>
    <t>-1900.69万</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</si>
  <si>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</si>
  <si>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</si>
  <si>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</si>
  <si>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</si>
  <si>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</si>
  <si>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</si>
  <si>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</si>
  <si>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</si>
  <si>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</si>
  <si>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</si>
  <si>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</si>
  <si>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</si>
  <si>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</si>
  <si>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</si>
  <si>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</si>
  <si>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血液制品</t>
  </si>
  <si>
    <t>1.48亿</t>
  </si>
  <si>
    <t>1.80亿</t>
  </si>
  <si>
    <t>2.44亿</t>
  </si>
  <si>
    <t>25.13亿</t>
  </si>
  <si>
    <t>27.61亿</t>
  </si>
  <si>
    <t>23.88亿</t>
  </si>
  <si>
    <t>1.01亿</t>
  </si>
  <si>
    <t>8.08亿</t>
  </si>
  <si>
    <t>2.07亿</t>
  </si>
  <si>
    <t>百克生物</t>
  </si>
  <si>
    <t>3.51亿</t>
  </si>
  <si>
    <t>SH688670</t>
  </si>
  <si>
    <t>金迪克</t>
  </si>
  <si>
    <t>SH688739</t>
  </si>
  <si>
    <t>19.96亿</t>
  </si>
  <si>
    <t>9.18亿</t>
  </si>
  <si>
    <t>3.02亿</t>
  </si>
  <si>
    <t>16.77亿</t>
  </si>
  <si>
    <t>13.91亿</t>
  </si>
  <si>
    <t>6.98亿</t>
  </si>
  <si>
    <t>1.竞争对手为通化东宝；</t>
    <phoneticPr fontId="1" type="noConversion"/>
  </si>
  <si>
    <t>市场预期先行，次新股，市场博弈对手需观察；康希诺-U</t>
    <phoneticPr fontId="1" type="noConversion"/>
  </si>
  <si>
    <t>1. 核心技术专利为45万元一次性购买，总的研发投入低于行业；华熙生物</t>
    <phoneticPr fontId="1" type="noConversion"/>
  </si>
  <si>
    <t>1.为国内首个上市销售的人二倍体细胞狂犬病疫苗，打破了国内狂犬病疫苗一直沿用动物细胞制备的局限；</t>
    <phoneticPr fontId="1" type="noConversion"/>
  </si>
  <si>
    <t>1.2021年的目标是15亿销售额，6亿利润。而上半年才5.6亿的销售额，由此推算下半年业绩很难翻倍，所以股权激励的增速很可能达不到</t>
    <phoneticPr fontId="1" type="noConversion"/>
  </si>
  <si>
    <t>1.毛利大概80%，净利只有10%，销售费用太高；</t>
    <phoneticPr fontId="1" type="noConversion"/>
  </si>
  <si>
    <t>1.进入国家医保目录的丙肝泛基因型治疗药物只有吉利德、凯因科技和默沙东三个公司的产品，且凯因科技是国内目前唯一一家获批拥有丙肝高治愈率泛基因型全口服系列药物的医药企业，打破国外医药企业对国内丙肝治疗药物的垄断局面，将惠及千万患者。2.国金证券预计67亿为合理估值；然后2023年收入18亿左右，销售费用大概减少8%；</t>
    <phoneticPr fontId="1" type="noConversion"/>
  </si>
  <si>
    <t>流通股本</t>
  </si>
  <si>
    <t>净利润[20201231]</t>
  </si>
  <si>
    <t>投入资本回报率roic%[20201231]</t>
  </si>
  <si>
    <t>净资产收益率%[20201231]</t>
  </si>
  <si>
    <t>7.60亿</t>
  </si>
  <si>
    <t>19.72亿</t>
  </si>
  <si>
    <t>3.91亿</t>
  </si>
  <si>
    <t>-3478.99万</t>
  </si>
  <si>
    <t>6.56亿</t>
  </si>
  <si>
    <t>9529.24万</t>
  </si>
  <si>
    <t>2.70亿</t>
  </si>
  <si>
    <t>107.47亿</t>
  </si>
  <si>
    <t>37.57亿</t>
  </si>
  <si>
    <t>44.36亿</t>
  </si>
  <si>
    <t>12.99亿</t>
  </si>
  <si>
    <t>12.15亿</t>
  </si>
  <si>
    <t>42.88亿</t>
  </si>
  <si>
    <t>12.95亿</t>
  </si>
  <si>
    <t>2.71亿</t>
  </si>
  <si>
    <t>-2032.51万</t>
  </si>
  <si>
    <t>1.08亿</t>
  </si>
  <si>
    <t>9.07亿</t>
  </si>
  <si>
    <t>2.05亿</t>
  </si>
  <si>
    <t>21.69亿</t>
  </si>
  <si>
    <t>306.52亿</t>
  </si>
  <si>
    <t>102.09亿</t>
  </si>
  <si>
    <t>34.63亿</t>
  </si>
  <si>
    <t>4.28亿</t>
  </si>
  <si>
    <t>6.12亿</t>
  </si>
  <si>
    <t>3648.41万</t>
  </si>
  <si>
    <t>26.51亿</t>
  </si>
  <si>
    <t>3.38亿</t>
  </si>
  <si>
    <t>10.51亿</t>
  </si>
  <si>
    <t>4.02亿</t>
  </si>
  <si>
    <t>36.52亿</t>
  </si>
  <si>
    <t>12.63亿</t>
  </si>
  <si>
    <t>6.15亿</t>
  </si>
  <si>
    <t>2765.42万</t>
  </si>
  <si>
    <t>12.92亿</t>
  </si>
  <si>
    <t>8.29亿</t>
  </si>
  <si>
    <t>SZ301207</t>
  </si>
  <si>
    <t>华兰疫苗</t>
  </si>
  <si>
    <t>18.30亿</t>
  </si>
  <si>
    <t>6.21亿</t>
  </si>
  <si>
    <t>1.47亿</t>
  </si>
  <si>
    <t>24.26亿</t>
  </si>
  <si>
    <t>10.49亿</t>
  </si>
  <si>
    <t>8.03亿</t>
  </si>
  <si>
    <t>9.25亿</t>
  </si>
  <si>
    <t>3.75亿</t>
  </si>
  <si>
    <t>其他生物制品</t>
  </si>
  <si>
    <t>41.12亿</t>
  </si>
  <si>
    <t>8.10亿</t>
  </si>
  <si>
    <t>183.73亿</t>
  </si>
  <si>
    <t>21.59亿</t>
  </si>
  <si>
    <t>32.68亿</t>
  </si>
  <si>
    <t>13.08亿</t>
  </si>
  <si>
    <t>36.12亿</t>
  </si>
  <si>
    <t>14.53亿</t>
  </si>
  <si>
    <t>SH688062</t>
  </si>
  <si>
    <t>迈威生物-U</t>
  </si>
  <si>
    <t>1622.62万</t>
  </si>
  <si>
    <t>-7.70亿</t>
  </si>
  <si>
    <t>530.22万</t>
  </si>
  <si>
    <t>2942.57万</t>
  </si>
  <si>
    <t>3737.57万</t>
  </si>
  <si>
    <t>-6.43亿</t>
  </si>
  <si>
    <t>-9.28亿</t>
  </si>
  <si>
    <t>-2.25亿</t>
  </si>
  <si>
    <t>12.85亿</t>
  </si>
  <si>
    <t>9646.39万</t>
  </si>
  <si>
    <t>SH688163</t>
  </si>
  <si>
    <t>赛伦生物</t>
  </si>
  <si>
    <t>7648.28万</t>
  </si>
  <si>
    <t>1.44亿</t>
  </si>
  <si>
    <t>6317.38万</t>
  </si>
  <si>
    <t>6575.61万</t>
  </si>
  <si>
    <t>4206.32万</t>
  </si>
  <si>
    <t>20.88亿</t>
  </si>
  <si>
    <t>8193.65万</t>
  </si>
  <si>
    <t>40.25亿</t>
  </si>
  <si>
    <t>-7.21亿</t>
  </si>
  <si>
    <t>康希诺</t>
  </si>
  <si>
    <t>43.00亿</t>
  </si>
  <si>
    <t>19.14亿</t>
  </si>
  <si>
    <t>2489.00万</t>
  </si>
  <si>
    <t>21.20亿</t>
  </si>
  <si>
    <t>12.02亿</t>
  </si>
  <si>
    <t>11.32亿</t>
  </si>
  <si>
    <t>1.81亿</t>
  </si>
  <si>
    <t>9.29亿</t>
  </si>
  <si>
    <t>1805.85万</t>
  </si>
  <si>
    <t>2.56亿</t>
  </si>
  <si>
    <t>-2998.56万</t>
  </si>
  <si>
    <t>-8.67亿</t>
  </si>
  <si>
    <t>8246.02万</t>
  </si>
  <si>
    <t>11.44亿</t>
  </si>
  <si>
    <t>8.92亿</t>
  </si>
  <si>
    <t xml:space="preserve">    名称</t>
  </si>
  <si>
    <t>净利润?</t>
  </si>
  <si>
    <t>投入资本回报率roic%[20211231]</t>
  </si>
  <si>
    <t>净资产收益率%[20211231]</t>
  </si>
  <si>
    <t>单季营收增速</t>
  </si>
  <si>
    <t>单季利润增速</t>
  </si>
  <si>
    <t>-1-0</t>
  </si>
  <si>
    <t>亏损</t>
  </si>
  <si>
    <t>扭亏</t>
  </si>
  <si>
    <t/>
  </si>
  <si>
    <t>2.75亿</t>
  </si>
  <si>
    <t>-2-0</t>
  </si>
  <si>
    <t>1-1</t>
  </si>
  <si>
    <t>1.09亿</t>
  </si>
  <si>
    <t>3.85亿</t>
  </si>
  <si>
    <t>1.50亿</t>
  </si>
  <si>
    <t>2.28亿</t>
  </si>
  <si>
    <t>1.66亿</t>
  </si>
  <si>
    <t>6.78亿</t>
  </si>
  <si>
    <t>百奥泰</t>
  </si>
  <si>
    <r>
      <t>1.2001年5月国务院办公厅实行血液制品生产企业总量控制，目前国内正常生产的血液制品企业共</t>
    </r>
    <r>
      <rPr>
        <b/>
        <sz val="9"/>
        <color rgb="FFFF0000"/>
        <rFont val="宋体"/>
        <family val="3"/>
        <charset val="134"/>
        <scheme val="minor"/>
      </rPr>
      <t>28家。</t>
    </r>
    <r>
      <rPr>
        <sz val="9"/>
        <rFont val="宋体"/>
        <family val="3"/>
        <charset val="134"/>
        <scheme val="minor"/>
      </rPr>
      <t>2.2021年28家血液制品生产企业的单采血浆站共采集血浆约9455吨，较2020年增长约</t>
    </r>
    <r>
      <rPr>
        <b/>
        <sz val="9"/>
        <rFont val="宋体"/>
        <family val="3"/>
        <charset val="134"/>
        <scheme val="minor"/>
      </rPr>
      <t>13.4%</t>
    </r>
    <r>
      <rPr>
        <sz val="9"/>
        <rFont val="宋体"/>
        <family val="3"/>
        <charset val="134"/>
        <scheme val="minor"/>
      </rPr>
      <t>，较2019年增长约2.7%。3.2021年，</t>
    </r>
    <r>
      <rPr>
        <sz val="9"/>
        <color rgb="FFFF0000"/>
        <rFont val="宋体"/>
        <family val="3"/>
        <charset val="134"/>
        <scheme val="minor"/>
      </rPr>
      <t>前四家</t>
    </r>
    <r>
      <rPr>
        <sz val="9"/>
        <rFont val="宋体"/>
        <family val="3"/>
        <charset val="134"/>
        <scheme val="minor"/>
      </rPr>
      <t>公司采集血浆均在1000吨以上，合计采浆5600多吨，</t>
    </r>
    <r>
      <rPr>
        <sz val="9"/>
        <color rgb="FFFF0000"/>
        <rFont val="宋体"/>
        <family val="3"/>
        <charset val="134"/>
        <scheme val="minor"/>
      </rPr>
      <t>占国内血浆采集量的60%</t>
    </r>
    <r>
      <rPr>
        <sz val="9"/>
        <rFont val="宋体"/>
        <family val="3"/>
        <charset val="134"/>
        <scheme val="minor"/>
      </rPr>
      <t>左右。4.乙型肝炎人免疫球蛋白：主要用于乙型肝炎</t>
    </r>
    <r>
      <rPr>
        <b/>
        <sz val="9"/>
        <color rgb="FFFF0000"/>
        <rFont val="宋体"/>
        <family val="3"/>
        <charset val="134"/>
        <scheme val="minor"/>
      </rPr>
      <t>预防</t>
    </r>
    <r>
      <rPr>
        <sz val="9"/>
        <rFont val="宋体"/>
        <family val="3"/>
        <charset val="134"/>
        <scheme val="minor"/>
      </rPr>
      <t>。适用于：乙型肝炎表面抗原（HBsAg）阳性的母亲所生的婴儿；意
外感染的人群；与乙型肝炎患者和乙型肝炎病毒携带者密切接触者。</t>
    </r>
    <phoneticPr fontId="1" type="noConversion"/>
  </si>
  <si>
    <r>
      <t>1.公司是我国最大的流感疫苗生产基地，但疫苗属于</t>
    </r>
    <r>
      <rPr>
        <b/>
        <sz val="9"/>
        <color theme="1"/>
        <rFont val="宋体"/>
        <family val="3"/>
        <charset val="134"/>
        <scheme val="minor"/>
      </rPr>
      <t>签批</t>
    </r>
    <r>
      <rPr>
        <sz val="9"/>
        <color theme="1"/>
        <rFont val="宋体"/>
        <family val="2"/>
        <charset val="134"/>
        <scheme val="minor"/>
      </rPr>
      <t>，因此除非需求很大，引发销量超预期；2. 华兰疫苗单独上市，能否触发市场情绪提升;3.华兰涉足单抗行业，但比例较小；4.2021年虽然疫苗业务减速（但</t>
    </r>
    <r>
      <rPr>
        <sz val="9"/>
        <color rgb="FFFF0000"/>
        <rFont val="宋体"/>
        <family val="3"/>
        <charset val="134"/>
        <scheme val="minor"/>
      </rPr>
      <t>因下半年流感销售季节受到新冠疫苗加强针接种及12岁以下儿童补种新冠疫苗等因素影响，流感疫苗市场销售工作受到了较大的影响，导致公司营业收入和净利润出现了下滑</t>
    </r>
    <r>
      <rPr>
        <sz val="9"/>
        <color theme="1"/>
        <rFont val="宋体"/>
        <family val="2"/>
        <charset val="134"/>
        <scheme val="minor"/>
      </rPr>
      <t>），会不会随着2022年疫情控制，流感或者新疫苗业务给华兰带来新的增长机会；单独疫苗部分，毛利90%，净利30%；所以关键看疫苗每年H2的销售情况；如果能做到30亿营收，那么2022年会有很大利润预期，9亿（疫苗利润）+7亿血液利润=16亿；那么对应目前市值为21.35PE;</t>
    </r>
    <phoneticPr fontId="1" type="noConversion"/>
  </si>
  <si>
    <t>1.问：现在有很多人都担心疫情结束后，因缺少了新冠疫苗的销售会出现利润大幅下降的情况，请问21年新冠疫苗的销售利润有多少，今后会不会真的出现利润大幅下滑的情况？答：公司将一如既往积极配合国家疫情防控政策的执行与新冠疫苗接种计划的实施，全力推进新冠疫苗研发进展，做好疫苗保质保量生产、供应等工作，持续为新冠疫情防控贡献智飞力量。2.2021年5月底股价达到最高位230元，对应PE95，PB45；如今回落价格88元左右；</t>
    <phoneticPr fontId="1" type="noConversion"/>
  </si>
  <si>
    <t>1.疫苗业务过于单一；</t>
    <phoneticPr fontId="1" type="noConversion"/>
  </si>
  <si>
    <t>1.公司研发的雾化吸入用新冠疫苗克威莎®作为加强接种疫苗，展示出非常强的免疫原性和良好的安全性，可高效诱导黏膜免疫。</t>
    <phoneticPr fontId="1" type="noConversion"/>
  </si>
  <si>
    <t>细分行业</t>
  </si>
  <si>
    <t>3.03亿</t>
  </si>
  <si>
    <t>2.04亿</t>
  </si>
  <si>
    <t>2.34亿</t>
  </si>
  <si>
    <t>疫苗</t>
  </si>
  <si>
    <t>6.25亿</t>
  </si>
  <si>
    <t>3.29亿</t>
  </si>
  <si>
    <t>3.16亿</t>
  </si>
  <si>
    <t>1.74亿</t>
  </si>
  <si>
    <t>2.93亿</t>
  </si>
  <si>
    <t>7.19亿</t>
  </si>
  <si>
    <t>7.48亿</t>
  </si>
  <si>
    <t>1.51亿</t>
  </si>
  <si>
    <t>3.42亿</t>
  </si>
  <si>
    <t>SZ301047</t>
  </si>
  <si>
    <t>义翘神州</t>
  </si>
  <si>
    <t>9.65亿</t>
  </si>
  <si>
    <t>7.20亿</t>
  </si>
  <si>
    <t>15.96亿</t>
  </si>
  <si>
    <t>11.28亿</t>
  </si>
  <si>
    <t>3641.09万</t>
  </si>
  <si>
    <t>3635.35万</t>
  </si>
  <si>
    <t>SZ301080</t>
  </si>
  <si>
    <t>百普赛斯</t>
  </si>
  <si>
    <t>2.46亿</t>
  </si>
  <si>
    <t>6984.16万</t>
  </si>
  <si>
    <t>1110.21万</t>
  </si>
  <si>
    <t>1134.15万</t>
  </si>
  <si>
    <t>SZ301166</t>
  </si>
  <si>
    <t>优宁维</t>
  </si>
  <si>
    <t>11.10亿</t>
  </si>
  <si>
    <t>7.87亿</t>
  </si>
  <si>
    <t>6.04亿</t>
  </si>
  <si>
    <t>7648.78万</t>
  </si>
  <si>
    <t>5794.03万</t>
  </si>
  <si>
    <t>3986.56万</t>
  </si>
  <si>
    <t>2.42亿</t>
  </si>
  <si>
    <t>SH603392</t>
  </si>
  <si>
    <t>万泰生物</t>
  </si>
  <si>
    <t>57.50亿</t>
  </si>
  <si>
    <t>20.21亿</t>
  </si>
  <si>
    <t>23.54亿</t>
  </si>
  <si>
    <t>11.84亿</t>
  </si>
  <si>
    <t>9.83亿</t>
  </si>
  <si>
    <t>9.50亿</t>
  </si>
  <si>
    <t>6.77亿</t>
  </si>
  <si>
    <t>3.18亿</t>
  </si>
  <si>
    <t>SH688105</t>
  </si>
  <si>
    <t>诺唯赞</t>
  </si>
  <si>
    <t>18.69亿</t>
  </si>
  <si>
    <t>15.64亿</t>
  </si>
  <si>
    <t>8.22亿</t>
  </si>
  <si>
    <t>2579.48万</t>
  </si>
  <si>
    <t>103.87万</t>
  </si>
  <si>
    <t>9.43亿</t>
  </si>
  <si>
    <t>3.00亿</t>
  </si>
  <si>
    <t>成大生物</t>
  </si>
  <si>
    <t>1.钟睒睒是实控人75%的股份；1/4的市值流通；</t>
    <phoneticPr fontId="1" type="noConversion"/>
  </si>
  <si>
    <t>1.问：如何看待HPV疫苗的阶段性的渗透率峰值？答：远远未到。</t>
    <phoneticPr fontId="1" type="noConversion"/>
  </si>
  <si>
    <t>SH688137</t>
  </si>
  <si>
    <t>近岸蛋白</t>
  </si>
  <si>
    <t>3598.32万</t>
  </si>
  <si>
    <t>2600.46万</t>
  </si>
  <si>
    <t>8304.63万</t>
  </si>
  <si>
    <t>-849.83万</t>
  </si>
  <si>
    <t>-1238.25万</t>
  </si>
  <si>
    <t>5.72亿</t>
  </si>
  <si>
    <t>6.00亿</t>
  </si>
  <si>
    <t>3.30亿</t>
  </si>
  <si>
    <t>2.99亿</t>
  </si>
  <si>
    <t>1.96亿</t>
  </si>
  <si>
    <t>5.03亿</t>
  </si>
  <si>
    <t>14.47亿</t>
  </si>
  <si>
    <t>1.93亿</t>
  </si>
  <si>
    <t>8.96亿</t>
  </si>
  <si>
    <t>2.12亿</t>
  </si>
  <si>
    <t>5.47亿</t>
  </si>
  <si>
    <t>3.49亿</t>
  </si>
  <si>
    <t>8.81亿</t>
  </si>
  <si>
    <t>3.81亿</t>
  </si>
  <si>
    <r>
      <t>1.</t>
    </r>
    <r>
      <rPr>
        <sz val="9"/>
        <color rgb="FFFF0000"/>
        <rFont val="宋体"/>
        <family val="3"/>
        <charset val="134"/>
        <scheme val="minor"/>
      </rPr>
      <t>国资委</t>
    </r>
    <r>
      <rPr>
        <sz val="9"/>
        <color theme="1"/>
        <rFont val="宋体"/>
        <family val="2"/>
        <charset val="134"/>
        <scheme val="minor"/>
      </rPr>
      <t>-中国医药集团控股；</t>
    </r>
    <phoneticPr fontId="1" type="noConversion"/>
  </si>
  <si>
    <t>1. 还继续持有万丰奥威的大约1.83%，折合3.34亿人民币；2.2020年3月30日发行新股，每股7.5元，定增132亿进行GDS子公司（基立福子公司）45%股权收购，股本增肌17.66亿股；3.购买GDS后基立福成为公司第一大股东；4.GDS是全球知名的血液检测仪器及试剂的生产商，是全球血液核酸检测细分市场的龙头公司；5.出口业务占2.38%；6.53亿商誉一直存在，此次收购GDS45%股份的132亿作为“长期股权投资”项纪录，因此也贡献在投资收益项；7. 258亿净资产，2.8亿负债，市值只有554亿，净利润今年估计接近15亿，且未来5年GDS新增会5年累计91亿息税前利润</t>
    <phoneticPr fontId="1" type="noConversion"/>
  </si>
  <si>
    <t>1.国资委-华润控股；2.药品集采政策是大趋势，血液制品作为药品品类之一，也必然一定程度上受到政策影响，同时因血液制品原料属性特殊，整体影响相对有限。</t>
    <phoneticPr fontId="1" type="noConversion"/>
  </si>
  <si>
    <t>-1-1</t>
  </si>
  <si>
    <t>不分配不转增</t>
  </si>
  <si>
    <t>10派2元(含税)</t>
  </si>
  <si>
    <t>10派1元(含税)</t>
  </si>
  <si>
    <t>10派1.5元(含税)</t>
  </si>
  <si>
    <t>10派5元(含税)</t>
  </si>
  <si>
    <t>10派0.3元(含税)</t>
  </si>
  <si>
    <t>10派3元(含税)</t>
  </si>
  <si>
    <t>10派9元(含税)</t>
  </si>
  <si>
    <t>10派2.5元(含税)</t>
  </si>
  <si>
    <t>2.74亿</t>
  </si>
  <si>
    <t>2.67亿</t>
  </si>
  <si>
    <t>1.46亿</t>
  </si>
  <si>
    <t>2.97亿</t>
  </si>
  <si>
    <t>1.26亿</t>
  </si>
  <si>
    <t>1. 国内唯一医药级的原料生产；2. 扩展到其他部位等美容。3.是国内最早实现微生物发酵法生产透明质酸的企业之一，提高产率，降低成本；4.四大全球领先技术：微生物发酵；酶切技术和分子量精准控制；透明质酸“梯度 3D 交联”；玻璃酸钠注射液国内率先采用终端湿热灭菌；5. 从港股退回科创板后ToC相对比较成功，带动了估值和预期</t>
    <phoneticPr fontId="1" type="noConversion"/>
  </si>
  <si>
    <t xml:space="preserve">
</t>
    <phoneticPr fontId="1" type="noConversion"/>
  </si>
  <si>
    <t>涨幅%</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</si>
  <si>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</si>
  <si>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</si>
  <si>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</si>
  <si>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</si>
  <si>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</si>
  <si>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</si>
  <si>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</si>
  <si>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</si>
  <si>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</si>
  <si>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</si>
  <si>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</si>
  <si>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</si>
  <si>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</si>
  <si>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</si>
  <si>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</si>
  <si>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</si>
  <si>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</si>
  <si>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</si>
  <si>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</si>
  <si>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</si>
  <si>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</si>
  <si>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</si>
  <si>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</si>
  <si>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</si>
  <si>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</si>
  <si>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</si>
  <si>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</si>
  <si>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</si>
  <si>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</si>
  <si>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</si>
  <si>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</si>
  <si>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</si>
  <si>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</si>
  <si>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</si>
  <si>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</si>
  <si>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</si>
  <si>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投入资本回报率roic%[20230331]</t>
  </si>
  <si>
    <t>净资产收益率%[20230331]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</si>
  <si>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</si>
  <si>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</si>
  <si>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</si>
  <si>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</si>
  <si>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</si>
  <si>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</si>
  <si>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</si>
  <si>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</si>
  <si>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</si>
  <si>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</si>
  <si>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</si>
  <si>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</si>
  <si>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</si>
  <si>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</si>
  <si>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</si>
  <si>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</si>
  <si>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</si>
  <si>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</si>
  <si>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</si>
  <si>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</si>
  <si>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</si>
  <si>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</si>
  <si>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</si>
  <si>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</si>
  <si>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</si>
  <si>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</si>
  <si>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</si>
  <si>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</si>
  <si>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</si>
  <si>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</si>
  <si>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</si>
  <si>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</si>
  <si>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</si>
  <si>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</si>
  <si>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</si>
  <si>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</si>
  <si>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</si>
  <si>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</si>
  <si>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</si>
  <si>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</si>
  <si>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</si>
  <si>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</si>
  <si>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</si>
  <si>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</si>
  <si>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</si>
  <si>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</si>
  <si>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</si>
  <si>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</si>
  <si>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</si>
  <si>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</si>
  <si>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</si>
  <si>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24.05亿</t>
  </si>
  <si>
    <t>5.87亿</t>
  </si>
  <si>
    <t>1.35亿</t>
  </si>
  <si>
    <t>-4879.28万</t>
  </si>
  <si>
    <t>1.63亿</t>
  </si>
  <si>
    <t>10派0.5元(含税)</t>
  </si>
  <si>
    <t>126.27亿</t>
  </si>
  <si>
    <t>1.10亿</t>
  </si>
  <si>
    <t>45.17亿</t>
  </si>
  <si>
    <t>10.76亿</t>
  </si>
  <si>
    <t>8.00亿</t>
  </si>
  <si>
    <t>3.69亿</t>
  </si>
  <si>
    <t>4.62亿</t>
  </si>
  <si>
    <t>1.77亿</t>
  </si>
  <si>
    <t>7.03亿</t>
  </si>
  <si>
    <t>65.67亿</t>
  </si>
  <si>
    <t>18.80亿</t>
  </si>
  <si>
    <t>10.71亿</t>
  </si>
  <si>
    <t>1.11亿</t>
  </si>
  <si>
    <t>901.24万</t>
  </si>
  <si>
    <t>1.56亿</t>
  </si>
  <si>
    <t>23.31亿</t>
  </si>
  <si>
    <t>2.16亿</t>
  </si>
  <si>
    <t>382.64亿</t>
  </si>
  <si>
    <t>75.39亿</t>
  </si>
  <si>
    <t>4.47亿</t>
  </si>
  <si>
    <t>-2.70亿</t>
  </si>
  <si>
    <t>50.86亿</t>
  </si>
  <si>
    <t>7.29亿</t>
  </si>
  <si>
    <t>1.25亿</t>
  </si>
  <si>
    <t>10派0.1元(含税)</t>
  </si>
  <si>
    <t>4.55亿</t>
  </si>
  <si>
    <t>-2-1</t>
  </si>
  <si>
    <t>27.59亿</t>
  </si>
  <si>
    <t>1.58亿</t>
  </si>
  <si>
    <t>7.35亿</t>
  </si>
  <si>
    <t>1.19亿</t>
  </si>
  <si>
    <t>31.57亿</t>
  </si>
  <si>
    <t>-1.33亿</t>
  </si>
  <si>
    <t>6.89亿</t>
  </si>
  <si>
    <t>-1402.96万</t>
  </si>
  <si>
    <t>2.87亿</t>
  </si>
  <si>
    <t>5.69亿</t>
  </si>
  <si>
    <t>5.98亿</t>
  </si>
  <si>
    <t>5.45亿</t>
  </si>
  <si>
    <t>10派20元(含税)</t>
  </si>
  <si>
    <t>4.74亿</t>
  </si>
  <si>
    <t>11.95亿</t>
  </si>
  <si>
    <t>18.26亿</t>
  </si>
  <si>
    <t>5.20亿</t>
  </si>
  <si>
    <t>42.61亿</t>
  </si>
  <si>
    <t>7.05亿</t>
  </si>
  <si>
    <t>145.65亿</t>
  </si>
  <si>
    <t>12.24亿</t>
  </si>
  <si>
    <t>27.78亿</t>
  </si>
  <si>
    <t>15.82亿</t>
  </si>
  <si>
    <t>8.31亿</t>
  </si>
  <si>
    <t>17.12亿</t>
  </si>
  <si>
    <t>-4.40亿</t>
  </si>
  <si>
    <t>111.85亿</t>
  </si>
  <si>
    <t>47.36亿</t>
  </si>
  <si>
    <t>8.67亿</t>
  </si>
  <si>
    <t>2772.82万</t>
  </si>
  <si>
    <t>-9.55亿</t>
  </si>
  <si>
    <t>2.45亿</t>
  </si>
  <si>
    <t>35.69亿</t>
  </si>
  <si>
    <t>5.94亿</t>
  </si>
  <si>
    <t>9.75亿</t>
  </si>
  <si>
    <t>13.16亿</t>
  </si>
  <si>
    <t>-9029.52万</t>
  </si>
  <si>
    <t>2.65亿</t>
  </si>
  <si>
    <t>-4.80亿</t>
  </si>
  <si>
    <t>-23.88亿</t>
  </si>
  <si>
    <t>2.11亿</t>
  </si>
  <si>
    <t>-3.96亿</t>
  </si>
  <si>
    <t>10.35亿</t>
  </si>
  <si>
    <t>-9.09亿</t>
  </si>
  <si>
    <t>1.82亿</t>
  </si>
  <si>
    <t>1731.63万</t>
  </si>
  <si>
    <t>15.27亿</t>
  </si>
  <si>
    <t>2657.71万</t>
  </si>
  <si>
    <t>4929.74万</t>
  </si>
  <si>
    <t>SH688428</t>
  </si>
  <si>
    <t>诺诚健华-U</t>
  </si>
  <si>
    <t>-8.87亿</t>
  </si>
  <si>
    <t>10.43亿</t>
  </si>
  <si>
    <t>136.36万</t>
  </si>
  <si>
    <t>124.70万</t>
  </si>
  <si>
    <t>161.70万</t>
  </si>
  <si>
    <t>-6454.60万</t>
  </si>
  <si>
    <t>-3.91亿</t>
  </si>
  <si>
    <t>-21.41亿</t>
  </si>
  <si>
    <t>-5.50亿</t>
  </si>
  <si>
    <t>-1.24亿</t>
  </si>
  <si>
    <t>10.23亿</t>
  </si>
  <si>
    <t>-5.19亿</t>
  </si>
  <si>
    <t>4154.43万</t>
  </si>
  <si>
    <t>11.60亿</t>
  </si>
  <si>
    <t>8340.78万</t>
  </si>
  <si>
    <t>1.72亿</t>
  </si>
  <si>
    <t>18.15亿</t>
  </si>
  <si>
    <t>7.14亿</t>
  </si>
  <si>
    <t>SH688443</t>
  </si>
  <si>
    <t>47.52万</t>
  </si>
  <si>
    <t>-5.76亿</t>
  </si>
  <si>
    <t>2.02亿</t>
  </si>
  <si>
    <t>-3.22亿</t>
  </si>
  <si>
    <t>2-0</t>
  </si>
  <si>
    <t>SZ301393</t>
  </si>
  <si>
    <t>昊帆生物</t>
  </si>
  <si>
    <t>SH600211</t>
  </si>
  <si>
    <t>西藏药业</t>
  </si>
  <si>
    <t>25.55亿</t>
  </si>
  <si>
    <t>13.73亿</t>
  </si>
  <si>
    <t>12.56亿</t>
  </si>
  <si>
    <t>10.28亿</t>
  </si>
  <si>
    <t>1.75亿</t>
  </si>
  <si>
    <t>1.子公司金赛药业主打生长素，利润贡献占比将近98%；2.新的子公司百克生物主要产品为水痘（带状疱疹）疫苗，市值249亿，pe130；</t>
    <phoneticPr fontId="1" type="noConversion"/>
  </si>
  <si>
    <r>
      <t>1.新患者方面，受新冠</t>
    </r>
    <r>
      <rPr>
        <sz val="9"/>
        <color rgb="FFFF0000"/>
        <rFont val="宋体"/>
        <family val="3"/>
        <charset val="134"/>
        <scheme val="minor"/>
      </rPr>
      <t>疫情因素影响</t>
    </r>
    <r>
      <rPr>
        <sz val="9"/>
        <color theme="1"/>
        <rFont val="宋体"/>
        <family val="2"/>
        <charset val="134"/>
        <scheme val="minor"/>
      </rPr>
      <t>，上半年整体新患增幅较小。随着疫情的减缓，公司近期新患入组情况逐渐恢复；2.生长素比例：粉剂9%，水剂70%， 长效21%；</t>
    </r>
    <phoneticPr fontId="1" type="noConversion"/>
  </si>
  <si>
    <t>1.特瑞普利单抗作为最早获批的国产pd-1，其销额近三年并没有表现出应有的数额；</t>
    <phoneticPr fontId="1" type="noConversion"/>
  </si>
  <si>
    <t>1.凝血八因子（VIII,安佳因）贡献了绝大部分的营收和利润；重组八因子是目前最复杂最难表达的生物大分子之一；</t>
    <phoneticPr fontId="1" type="noConversion"/>
  </si>
  <si>
    <t>1.BTK抑制剂奥布替尼是公司的血瘤的药品，对比其他对手的靶向性更好；</t>
    <phoneticPr fontId="1" type="noConversion"/>
  </si>
  <si>
    <t>1.59亿</t>
  </si>
  <si>
    <t>1.营收利润双位数稳定增长；舌下含服，脱敏治疗。一个疗程2~3年，费用低的5000，高的36000；</t>
    <phoneticPr fontId="1" type="noConversion"/>
  </si>
  <si>
    <r>
      <t>1.国内</t>
    </r>
    <r>
      <rPr>
        <b/>
        <sz val="9"/>
        <color rgb="FFFF0000"/>
        <rFont val="宋体"/>
        <family val="3"/>
        <charset val="134"/>
        <scheme val="minor"/>
      </rPr>
      <t>样本医院市占率达到80%</t>
    </r>
    <r>
      <rPr>
        <sz val="9"/>
        <color theme="1"/>
        <rFont val="宋体"/>
        <family val="2"/>
        <charset val="134"/>
        <scheme val="minor"/>
      </rPr>
      <t>；所以营收增加只能取决于病人的增加和看病就医的比例增加；</t>
    </r>
    <phoneticPr fontId="1" type="noConversion"/>
  </si>
  <si>
    <r>
      <t>1.</t>
    </r>
    <r>
      <rPr>
        <b/>
        <sz val="9"/>
        <color rgb="FFFF0000"/>
        <rFont val="宋体"/>
        <family val="3"/>
        <charset val="134"/>
        <scheme val="minor"/>
      </rPr>
      <t>慢性乙肝</t>
    </r>
    <r>
      <rPr>
        <sz val="9"/>
        <color theme="1"/>
        <rFont val="宋体"/>
        <family val="2"/>
        <charset val="134"/>
        <scheme val="minor"/>
      </rPr>
      <t>人数多，国外竞品退出国内，派格宾进入市场独占期，但选择抗病毒治疗的比例低于0.6%；集采费用每支840元；2.肿瘤线营收稳定（特尔x都是用在化疗期间），</t>
    </r>
    <r>
      <rPr>
        <sz val="9"/>
        <color rgb="FFFF0000"/>
        <rFont val="宋体"/>
        <family val="3"/>
        <charset val="134"/>
        <scheme val="minor"/>
      </rPr>
      <t>成长激素</t>
    </r>
    <r>
      <rPr>
        <sz val="9"/>
        <color theme="1"/>
        <rFont val="宋体"/>
        <family val="2"/>
        <charset val="134"/>
        <scheme val="minor"/>
      </rPr>
      <t>为主要在研产品；</t>
    </r>
    <phoneticPr fontId="1" type="noConversion"/>
  </si>
  <si>
    <r>
      <t>1.问：1、公司产品发展历程？答：上市之初公司产品以中成药为主，2005年新活素上市销售，2016年</t>
    </r>
    <r>
      <rPr>
        <sz val="9"/>
        <color rgb="FFFF0000"/>
        <rFont val="宋体"/>
        <family val="3"/>
        <charset val="134"/>
        <scheme val="minor"/>
      </rPr>
      <t>收购海外产品依姆多</t>
    </r>
    <r>
      <rPr>
        <sz val="9"/>
        <color theme="1"/>
        <rFont val="宋体"/>
        <family val="2"/>
        <charset val="134"/>
        <scheme val="minor"/>
      </rPr>
      <t>，形成了生物药、化药、中成药多元化的产品体系。</t>
    </r>
    <r>
      <rPr>
        <b/>
        <sz val="9"/>
        <color rgb="FFFF0000"/>
        <rFont val="宋体"/>
        <family val="3"/>
        <charset val="134"/>
        <scheme val="minor"/>
      </rPr>
      <t>新活素</t>
    </r>
    <r>
      <rPr>
        <sz val="9"/>
        <color theme="1"/>
        <rFont val="宋体"/>
        <family val="2"/>
        <charset val="134"/>
        <scheme val="minor"/>
      </rPr>
      <t>（新活素，学名：重组人脑利纳肽。主要适用于心力衰竭患者的治疗）自2017年进入医保后，销量得到了大幅提升，近几年复合增长率达50%以上，占公司销售收入90%左右。</t>
    </r>
    <phoneticPr fontId="1" type="noConversion"/>
  </si>
  <si>
    <t>1.新活素太单一，然后收购子公司需要商誉重估，且医保集采谈判对价格和量的影响不确定；</t>
    <phoneticPr fontId="1" type="noConversion"/>
  </si>
  <si>
    <t>7.09亿</t>
  </si>
  <si>
    <t>3.63亿</t>
  </si>
  <si>
    <t>2.84亿</t>
  </si>
  <si>
    <t>1.43亿</t>
  </si>
  <si>
    <t>2.61亿</t>
  </si>
  <si>
    <t>5637.61万</t>
  </si>
  <si>
    <t>1.52亿</t>
  </si>
  <si>
    <t>5701.35万</t>
  </si>
  <si>
    <t>-1895.91万</t>
  </si>
  <si>
    <t>4.76亿</t>
  </si>
  <si>
    <t>1.15亿</t>
  </si>
  <si>
    <t>2.81亿</t>
  </si>
  <si>
    <t>5850.63万</t>
  </si>
  <si>
    <t>-3.32亿</t>
  </si>
  <si>
    <t>8.57亿</t>
  </si>
  <si>
    <t>1.91亿</t>
  </si>
  <si>
    <t>7.67亿</t>
  </si>
  <si>
    <t>3.52亿</t>
  </si>
  <si>
    <t>5.84亿</t>
  </si>
  <si>
    <t>1.72万</t>
  </si>
  <si>
    <t>1.65亿</t>
  </si>
  <si>
    <t>20.63亿</t>
  </si>
  <si>
    <t>7560.25万</t>
  </si>
  <si>
    <t>-2150.60万</t>
  </si>
  <si>
    <t>8148.52万</t>
  </si>
  <si>
    <t>1.27亿</t>
  </si>
  <si>
    <t>450.56万</t>
  </si>
  <si>
    <t>3.43亿</t>
  </si>
  <si>
    <t>-1.12亿</t>
  </si>
  <si>
    <t>4573.60万</t>
  </si>
  <si>
    <t>8.24亿</t>
  </si>
  <si>
    <t>2.86亿</t>
  </si>
  <si>
    <t>17.35亿</t>
  </si>
  <si>
    <t>111.73亿</t>
  </si>
  <si>
    <t>20.32亿</t>
  </si>
  <si>
    <t>2.73亿</t>
  </si>
  <si>
    <t>4.33亿</t>
  </si>
  <si>
    <t>8.33亿</t>
  </si>
  <si>
    <t>4.21亿</t>
  </si>
  <si>
    <t>5.18亿</t>
  </si>
  <si>
    <t>4.66亿</t>
  </si>
  <si>
    <t>3113.74万</t>
  </si>
  <si>
    <t>7.72亿</t>
  </si>
  <si>
    <t>6.24亿</t>
  </si>
  <si>
    <t>2214.50万</t>
  </si>
  <si>
    <t>8.06亿</t>
  </si>
  <si>
    <t>7047.81万</t>
  </si>
  <si>
    <t>2.72亿</t>
  </si>
  <si>
    <t>2.17亿</t>
  </si>
  <si>
    <t>1.33亿</t>
  </si>
  <si>
    <t>82.39万</t>
  </si>
  <si>
    <t>17.31亿</t>
  </si>
  <si>
    <t>11.81亿</t>
  </si>
  <si>
    <t>-147.20万</t>
  </si>
  <si>
    <t>5.02亿</t>
  </si>
  <si>
    <t>4.68亿</t>
  </si>
  <si>
    <t>6.60亿</t>
  </si>
  <si>
    <t>8.01亿</t>
  </si>
  <si>
    <t>12.48亿</t>
  </si>
  <si>
    <t>-1.23亿</t>
  </si>
  <si>
    <t>5.42亿</t>
  </si>
  <si>
    <t>2.10亿</t>
  </si>
  <si>
    <t>4040.21万</t>
  </si>
  <si>
    <t>5812.36万</t>
  </si>
  <si>
    <t>3971.39万</t>
  </si>
  <si>
    <t>8.85亿</t>
  </si>
  <si>
    <t>11.68亿</t>
  </si>
  <si>
    <t>2.30亿</t>
  </si>
  <si>
    <t>3.04亿</t>
  </si>
  <si>
    <t>3.07亿</t>
  </si>
  <si>
    <t>30.63亿</t>
  </si>
  <si>
    <t>4.63亿</t>
  </si>
  <si>
    <t>3.40亿</t>
  </si>
  <si>
    <t>4.20亿</t>
  </si>
  <si>
    <t>-3.78亿</t>
  </si>
  <si>
    <t>2.27亿</t>
  </si>
  <si>
    <t>14.57亿</t>
  </si>
  <si>
    <t>3.76亿</t>
  </si>
  <si>
    <t>4300.25万</t>
  </si>
  <si>
    <t>3.15亿</t>
  </si>
  <si>
    <t>2.52亿</t>
  </si>
  <si>
    <t>2.24亿</t>
  </si>
  <si>
    <t>8.48亿</t>
  </si>
  <si>
    <t>36.26亿</t>
  </si>
  <si>
    <t>5.60亿</t>
  </si>
  <si>
    <t>4.30亿</t>
  </si>
  <si>
    <t>6701.80万</t>
  </si>
  <si>
    <t>6813.60万</t>
  </si>
  <si>
    <t>9800.82万</t>
  </si>
  <si>
    <t>314079亿</t>
  </si>
  <si>
    <t>691.25万</t>
  </si>
  <si>
    <t>106429817亿</t>
  </si>
  <si>
    <t>922534910亿</t>
  </si>
  <si>
    <t>1784790500亿</t>
  </si>
  <si>
    <t>7.01亿</t>
  </si>
  <si>
    <t>12.26亿</t>
  </si>
  <si>
    <t>5227.61万</t>
  </si>
  <si>
    <t>3239.55万</t>
  </si>
  <si>
    <t>7446.72万</t>
  </si>
  <si>
    <t>-3.85亿</t>
  </si>
  <si>
    <t>1585.29万</t>
  </si>
  <si>
    <t>4.41亿</t>
  </si>
  <si>
    <t>1838.10万</t>
  </si>
  <si>
    <t>7357.17万</t>
  </si>
  <si>
    <t>4.13亿</t>
  </si>
  <si>
    <t>3.17亿</t>
  </si>
  <si>
    <t>4.19亿</t>
  </si>
  <si>
    <t>2.36亿</t>
  </si>
  <si>
    <t>3.61亿</t>
  </si>
  <si>
    <t>4.72亿</t>
  </si>
  <si>
    <t>智翔金泰-U</t>
  </si>
  <si>
    <t>3.92亿</t>
  </si>
  <si>
    <t>3919.02万</t>
  </si>
  <si>
    <t>108.77万</t>
  </si>
  <si>
    <t>3.11万</t>
  </si>
  <si>
    <t>-3.73亿</t>
  </si>
  <si>
    <t>-1.58亿</t>
  </si>
  <si>
    <t>2.39亿</t>
  </si>
  <si>
    <t>2.26亿</t>
  </si>
  <si>
    <t>4.81亿</t>
  </si>
  <si>
    <t>4.35亿</t>
  </si>
  <si>
    <t>3.50亿</t>
  </si>
  <si>
    <t>5.89亿</t>
  </si>
  <si>
    <t>6715.13万</t>
  </si>
  <si>
    <t>-1903.77万</t>
  </si>
  <si>
    <t>-2801.31万</t>
  </si>
  <si>
    <t>1000.00万</t>
  </si>
  <si>
    <t>4.14亿</t>
  </si>
  <si>
    <t>3.54亿</t>
  </si>
  <si>
    <t>2.53亿</t>
  </si>
  <si>
    <t>3.80亿</t>
  </si>
  <si>
    <t>2-1</t>
  </si>
  <si>
    <t>-3-0</t>
  </si>
  <si>
    <t>4-0</t>
  </si>
  <si>
    <t>141.23万</t>
  </si>
  <si>
    <t>1136.32万</t>
  </si>
  <si>
    <t>5007.32万</t>
  </si>
  <si>
    <t>436.24万</t>
  </si>
  <si>
    <t>12.09亿</t>
  </si>
  <si>
    <t>75.45亿</t>
  </si>
  <si>
    <t>23.29亿</t>
  </si>
  <si>
    <t>3395.65万</t>
  </si>
  <si>
    <t>3994.35万</t>
  </si>
  <si>
    <t>8645798亿</t>
  </si>
  <si>
    <t>10.79万</t>
  </si>
  <si>
    <t>107604743亿</t>
  </si>
  <si>
    <t>9.89亿</t>
  </si>
  <si>
    <t>485704460亿</t>
  </si>
  <si>
    <t>343.81万</t>
  </si>
  <si>
    <t>3441910500亿</t>
  </si>
  <si>
    <t>6.19亿</t>
  </si>
  <si>
    <t>8.59亿</t>
  </si>
  <si>
    <t>-5186.24万</t>
  </si>
  <si>
    <t>5159.91万</t>
  </si>
  <si>
    <t>10派1.999297元(含税)</t>
  </si>
  <si>
    <t>2479.12万</t>
  </si>
  <si>
    <t>900.64万</t>
  </si>
  <si>
    <t>5.10亿</t>
  </si>
  <si>
    <t>5639.89万</t>
  </si>
  <si>
    <t>2.35亿</t>
  </si>
  <si>
    <t>-7526.99万</t>
  </si>
  <si>
    <t>5697.91万</t>
  </si>
  <si>
    <t>1604.83万</t>
  </si>
  <si>
    <t>1771.18万</t>
  </si>
  <si>
    <t>1554.23万</t>
  </si>
  <si>
    <t>34745亿</t>
  </si>
  <si>
    <t>2.08万</t>
  </si>
  <si>
    <t>-3005169亿</t>
  </si>
  <si>
    <t>1649.94万</t>
  </si>
  <si>
    <t>65732317亿</t>
  </si>
  <si>
    <t>506025660亿</t>
  </si>
  <si>
    <t>403.30万</t>
  </si>
  <si>
    <t>1601.68万</t>
  </si>
  <si>
    <t>5004.44万</t>
  </si>
  <si>
    <t>199.91万</t>
  </si>
  <si>
    <t>541.29万</t>
  </si>
  <si>
    <t>-210.32万</t>
  </si>
  <si>
    <t>-584.59万</t>
  </si>
  <si>
    <t>4530.44万</t>
  </si>
  <si>
    <t>3.34亿</t>
  </si>
  <si>
    <t>208.58万</t>
  </si>
  <si>
    <t>18.16亿</t>
  </si>
  <si>
    <t>12.57亿</t>
  </si>
  <si>
    <t>2.90亿</t>
  </si>
  <si>
    <t>9.81亿</t>
  </si>
  <si>
    <t>6192.53万</t>
  </si>
  <si>
    <t>8310.06万</t>
  </si>
  <si>
    <t>3900.04万</t>
  </si>
  <si>
    <t>287712亿</t>
  </si>
  <si>
    <t>2.69万</t>
  </si>
  <si>
    <t>63270086亿</t>
  </si>
  <si>
    <t>389521310亿</t>
  </si>
  <si>
    <t>3400.31万</t>
  </si>
  <si>
    <t>956920780亿</t>
  </si>
  <si>
    <t>6.53亿</t>
  </si>
  <si>
    <t>-1667.40万</t>
  </si>
  <si>
    <t>-4508.22万</t>
  </si>
  <si>
    <t>2832.33万</t>
  </si>
  <si>
    <t>10派1.20元(含税)</t>
  </si>
  <si>
    <t>1089.84万</t>
  </si>
  <si>
    <t>9420.74万</t>
  </si>
  <si>
    <t>470.26万</t>
  </si>
  <si>
    <t>57.11亿</t>
  </si>
  <si>
    <t>258.28亿</t>
  </si>
  <si>
    <t>31.77亿</t>
  </si>
  <si>
    <t>145.66亿</t>
  </si>
  <si>
    <t>45.32亿</t>
  </si>
  <si>
    <t>21.03亿</t>
  </si>
  <si>
    <t>5.27亿</t>
  </si>
  <si>
    <t>9.28亿</t>
  </si>
  <si>
    <t>-37073823亿</t>
  </si>
  <si>
    <t>465.80万</t>
  </si>
  <si>
    <t>846699460亿</t>
  </si>
  <si>
    <t>75.78亿</t>
  </si>
  <si>
    <t>2960165800亿</t>
  </si>
  <si>
    <t>17706669000亿</t>
  </si>
  <si>
    <t>44.36万</t>
  </si>
  <si>
    <t>7.08亿</t>
  </si>
  <si>
    <t>351.38万</t>
  </si>
  <si>
    <t>38.59亿</t>
  </si>
  <si>
    <t>11.36亿</t>
  </si>
  <si>
    <t>-6.59亿</t>
  </si>
  <si>
    <t>41.41亿</t>
  </si>
  <si>
    <t>10派45元(含税)</t>
  </si>
  <si>
    <t>2037.34万</t>
  </si>
  <si>
    <t>1197.95万</t>
  </si>
  <si>
    <t>26.85亿</t>
  </si>
  <si>
    <t>137.08亿</t>
  </si>
  <si>
    <t>53.42亿</t>
  </si>
  <si>
    <t>14.82亿</t>
  </si>
  <si>
    <t>4472.76万</t>
  </si>
  <si>
    <t>7275.74万</t>
  </si>
  <si>
    <t>34260128亿</t>
  </si>
  <si>
    <t>24.02万</t>
  </si>
  <si>
    <t>221458780亿</t>
  </si>
  <si>
    <t>11.71亿</t>
  </si>
  <si>
    <t>2103541700亿</t>
  </si>
  <si>
    <t>9856286300亿</t>
  </si>
  <si>
    <t>7.25亿</t>
  </si>
  <si>
    <t>1986.34万</t>
  </si>
  <si>
    <t>24.61亿</t>
  </si>
  <si>
    <t>5018.65万</t>
  </si>
  <si>
    <t>-6414.27万</t>
  </si>
  <si>
    <t>5176.43万</t>
  </si>
  <si>
    <t>805.89万</t>
  </si>
  <si>
    <t>58.80亿</t>
  </si>
  <si>
    <t>10.18亿</t>
  </si>
  <si>
    <t>4.17亿</t>
  </si>
  <si>
    <t>5800.83万</t>
  </si>
  <si>
    <t>1703.50万</t>
  </si>
  <si>
    <t>3421.07万</t>
  </si>
  <si>
    <t>7460886亿</t>
  </si>
  <si>
    <t>101583927亿</t>
  </si>
  <si>
    <t>6.43亿</t>
  </si>
  <si>
    <t>197439900亿</t>
  </si>
  <si>
    <t>2675312700亿</t>
  </si>
  <si>
    <t>6018.94万</t>
  </si>
  <si>
    <t>3759.33万</t>
  </si>
  <si>
    <t>136.07万</t>
  </si>
  <si>
    <t>-2479.37万</t>
  </si>
  <si>
    <t>2961.96万</t>
  </si>
  <si>
    <t>0417000000</t>
  </si>
  <si>
    <t>01251000000</t>
  </si>
  <si>
    <t>02502000000</t>
  </si>
  <si>
    <t>04170000000</t>
  </si>
  <si>
    <t>08340000000</t>
  </si>
  <si>
    <t>3567.12万</t>
  </si>
  <si>
    <t>22.79亿</t>
  </si>
  <si>
    <t>304.60亿</t>
  </si>
  <si>
    <t>20.56亿</t>
  </si>
  <si>
    <t>79.64亿</t>
  </si>
  <si>
    <t>17.79亿</t>
  </si>
  <si>
    <t>14.42亿</t>
  </si>
  <si>
    <t>12.41亿</t>
  </si>
  <si>
    <t>6668.46万</t>
  </si>
  <si>
    <t>9558.76万</t>
  </si>
  <si>
    <t>268696550亿</t>
  </si>
  <si>
    <t>10.55万</t>
  </si>
  <si>
    <t>590499330亿</t>
  </si>
  <si>
    <t>49.27亿</t>
  </si>
  <si>
    <t>632186250亿</t>
  </si>
  <si>
    <t>9256010700亿</t>
  </si>
  <si>
    <t>18.10亿</t>
  </si>
  <si>
    <t>22.83亿</t>
  </si>
  <si>
    <t>7.51亿</t>
  </si>
  <si>
    <t>1.69亿</t>
  </si>
  <si>
    <t>-857.71万</t>
  </si>
  <si>
    <t>2.03亿</t>
  </si>
  <si>
    <t>12.07亿</t>
  </si>
  <si>
    <t>375.63万</t>
  </si>
  <si>
    <t>21.53亿</t>
  </si>
  <si>
    <t>8380.48万</t>
  </si>
  <si>
    <t>1664.95万</t>
  </si>
  <si>
    <t>4680.58万</t>
  </si>
  <si>
    <t>3542.53万</t>
  </si>
  <si>
    <t>-6740218亿</t>
  </si>
  <si>
    <t>166.29万</t>
  </si>
  <si>
    <t>-28329965亿</t>
  </si>
  <si>
    <t>121728156亿</t>
  </si>
  <si>
    <t>613.51万</t>
  </si>
  <si>
    <t>508532510亿</t>
  </si>
  <si>
    <t>2088.70万</t>
  </si>
  <si>
    <t>3688.81万</t>
  </si>
  <si>
    <t>7584.50万</t>
  </si>
  <si>
    <t>-1520.10万</t>
  </si>
  <si>
    <t>7874.72万</t>
  </si>
  <si>
    <t>-9.34万</t>
  </si>
  <si>
    <t>-1468.03万</t>
  </si>
  <si>
    <t>1357.05万</t>
  </si>
  <si>
    <t>534.59万</t>
  </si>
  <si>
    <t>5.04亿</t>
  </si>
  <si>
    <t>4276.17万</t>
  </si>
  <si>
    <t>-5074.16万</t>
  </si>
  <si>
    <t>5735.64万</t>
  </si>
  <si>
    <t>1708.10万</t>
  </si>
  <si>
    <t>1460.04万</t>
  </si>
  <si>
    <t>1916.19万</t>
  </si>
  <si>
    <t>183105亿</t>
  </si>
  <si>
    <t>-9052662亿</t>
  </si>
  <si>
    <t>1768.43万</t>
  </si>
  <si>
    <t>14324890亿</t>
  </si>
  <si>
    <t>131101296亿</t>
  </si>
  <si>
    <t>1601.96万</t>
  </si>
  <si>
    <t>1583.05万</t>
  </si>
  <si>
    <t>81.58万</t>
  </si>
  <si>
    <t>-2364.01万</t>
  </si>
  <si>
    <t>1345.70万</t>
  </si>
  <si>
    <t>2446.98万</t>
  </si>
  <si>
    <t>2163.92万</t>
  </si>
  <si>
    <t>-5-1</t>
  </si>
  <si>
    <t>65.12万</t>
  </si>
  <si>
    <t>20.92亿</t>
  </si>
  <si>
    <t>2.19亿</t>
  </si>
  <si>
    <t>521.94万</t>
  </si>
  <si>
    <t>1996.91万</t>
  </si>
  <si>
    <t>14.84万</t>
  </si>
  <si>
    <t>45522677亿</t>
  </si>
  <si>
    <t>72423944亿</t>
  </si>
  <si>
    <t>7774.90万</t>
  </si>
  <si>
    <t>1259342070亿</t>
  </si>
  <si>
    <t>10000.00万</t>
  </si>
  <si>
    <t>5631.13万</t>
  </si>
  <si>
    <t>6.09万</t>
  </si>
  <si>
    <t>5.30亿</t>
  </si>
  <si>
    <t>-1171.94万</t>
  </si>
  <si>
    <t>-4634.52万</t>
  </si>
  <si>
    <t>294.46万</t>
  </si>
  <si>
    <t>2187.35万</t>
  </si>
  <si>
    <t>1341.43万</t>
  </si>
  <si>
    <t>41.66亿</t>
  </si>
  <si>
    <t>28.66亿</t>
  </si>
  <si>
    <t>8.47亿</t>
  </si>
  <si>
    <t>5039.68万</t>
  </si>
  <si>
    <t>1303244亿</t>
  </si>
  <si>
    <t>2.00万</t>
  </si>
  <si>
    <t>204934340亿</t>
  </si>
  <si>
    <t>567630970亿</t>
  </si>
  <si>
    <t>2512247500亿</t>
  </si>
  <si>
    <t>2538.00万</t>
  </si>
  <si>
    <t>7.93亿</t>
  </si>
  <si>
    <t>-9674.32万</t>
  </si>
  <si>
    <t>-219.73万</t>
  </si>
  <si>
    <t>4788.81万</t>
  </si>
  <si>
    <t>1512.87万</t>
  </si>
  <si>
    <t>187.26亿</t>
  </si>
  <si>
    <t>326.64亿</t>
  </si>
  <si>
    <t>113.96亿</t>
  </si>
  <si>
    <t>529.18亿</t>
  </si>
  <si>
    <t>80.70亿</t>
  </si>
  <si>
    <t>93.23亿</t>
  </si>
  <si>
    <t>84.27亿</t>
  </si>
  <si>
    <t>4.95亿</t>
  </si>
  <si>
    <t>1.85万</t>
  </si>
  <si>
    <t>1454947300亿</t>
  </si>
  <si>
    <t>29.72亿</t>
  </si>
  <si>
    <t>30029039000亿</t>
  </si>
  <si>
    <t>45731274000亿</t>
  </si>
  <si>
    <t>13.58亿</t>
  </si>
  <si>
    <t>45.75亿</t>
  </si>
  <si>
    <t>141.79亿</t>
  </si>
  <si>
    <t>3561.82万</t>
  </si>
  <si>
    <t>202.12亿</t>
  </si>
  <si>
    <t>-42.74亿</t>
  </si>
  <si>
    <t>11.41亿</t>
  </si>
  <si>
    <t>10派8元(含税)</t>
  </si>
  <si>
    <t>6415.78万</t>
  </si>
  <si>
    <t>4.34亿</t>
  </si>
  <si>
    <t>1877.64万</t>
  </si>
  <si>
    <t>41.94亿</t>
  </si>
  <si>
    <t>114.34亿</t>
  </si>
  <si>
    <t>41.14亿</t>
  </si>
  <si>
    <t>6178.56万</t>
  </si>
  <si>
    <t>86840亿</t>
  </si>
  <si>
    <t>84033848亿</t>
  </si>
  <si>
    <t>3059377900亿</t>
  </si>
  <si>
    <t>8496107500亿</t>
  </si>
  <si>
    <t>19.18亿</t>
  </si>
  <si>
    <t>3312.46万</t>
  </si>
  <si>
    <t>18.74亿</t>
  </si>
  <si>
    <t>29.78亿</t>
  </si>
  <si>
    <t>-7559.34万</t>
  </si>
  <si>
    <t>-1.62亿</t>
  </si>
  <si>
    <t>-1422.43万</t>
  </si>
  <si>
    <t>7099.69万</t>
  </si>
  <si>
    <t>263.70万</t>
  </si>
  <si>
    <t>19.22亿</t>
  </si>
  <si>
    <t>362.73万</t>
  </si>
  <si>
    <t>1000.31万</t>
  </si>
  <si>
    <t>-1158672亿</t>
  </si>
  <si>
    <t>3.31万</t>
  </si>
  <si>
    <t>23622343亿</t>
  </si>
  <si>
    <t>168239600亿</t>
  </si>
  <si>
    <t>6165.87万</t>
  </si>
  <si>
    <t>1368295000亿</t>
  </si>
  <si>
    <t>600.58万</t>
  </si>
  <si>
    <t>8666.00万</t>
  </si>
  <si>
    <t>4476.67万</t>
  </si>
  <si>
    <t>-940.81万</t>
  </si>
  <si>
    <t>915.07万</t>
  </si>
  <si>
    <t>260.23万</t>
  </si>
  <si>
    <t>10派0.22元(含税)</t>
  </si>
  <si>
    <t>1651.78万</t>
  </si>
  <si>
    <t>550.60万</t>
  </si>
  <si>
    <t>5.08亿</t>
  </si>
  <si>
    <t>74.73亿</t>
  </si>
  <si>
    <t>26.52亿</t>
  </si>
  <si>
    <t>2.37亿</t>
  </si>
  <si>
    <t>3.01亿</t>
  </si>
  <si>
    <t>3795.72万</t>
  </si>
  <si>
    <t>1191885亿</t>
  </si>
  <si>
    <t>159.41万</t>
  </si>
  <si>
    <t>127306750亿</t>
  </si>
  <si>
    <t>18.60亿</t>
  </si>
  <si>
    <t>240863140亿</t>
  </si>
  <si>
    <t>6612770400亿</t>
  </si>
  <si>
    <t>4097.55万</t>
  </si>
  <si>
    <t>4819.45万</t>
  </si>
  <si>
    <t>6764.01万</t>
  </si>
  <si>
    <t>4.70亿</t>
  </si>
  <si>
    <t>-2.29亿</t>
  </si>
  <si>
    <t>-5.29万</t>
  </si>
  <si>
    <t>1995.62万</t>
  </si>
  <si>
    <t>557.38万</t>
  </si>
  <si>
    <t>2.58亿</t>
  </si>
  <si>
    <t>23.83亿</t>
  </si>
  <si>
    <t>3.10亿</t>
  </si>
  <si>
    <t>1.32亿</t>
  </si>
  <si>
    <t>1041.61万</t>
  </si>
  <si>
    <t>8096.18万</t>
  </si>
  <si>
    <t>1645.81万</t>
  </si>
  <si>
    <t>-363771亿</t>
  </si>
  <si>
    <t>11.74万</t>
  </si>
  <si>
    <t>72544442亿</t>
  </si>
  <si>
    <t>176256820亿</t>
  </si>
  <si>
    <t>1177.67万</t>
  </si>
  <si>
    <t>1595654000亿</t>
  </si>
  <si>
    <t>4917.32万</t>
  </si>
  <si>
    <t>748.96万</t>
  </si>
  <si>
    <t>1.62亿</t>
  </si>
  <si>
    <t>4377.13万</t>
  </si>
  <si>
    <t>-2511.69万</t>
  </si>
  <si>
    <t>66.61万</t>
  </si>
  <si>
    <t>10派1.85元(含税)</t>
  </si>
  <si>
    <t>2465.98万</t>
  </si>
  <si>
    <t>392.15万</t>
  </si>
  <si>
    <t>32.75亿</t>
  </si>
  <si>
    <t>4.77亿</t>
  </si>
  <si>
    <t>3716.11万</t>
  </si>
  <si>
    <t>4331.91万</t>
  </si>
  <si>
    <t>1382.05万</t>
  </si>
  <si>
    <t>-82973397亿</t>
  </si>
  <si>
    <t>15157836亿</t>
  </si>
  <si>
    <t>48515007亿</t>
  </si>
  <si>
    <t>439.77万</t>
  </si>
  <si>
    <t>1401590500亿</t>
  </si>
  <si>
    <t>105.25万</t>
  </si>
  <si>
    <t>1637.08万</t>
  </si>
  <si>
    <t>6713.55万</t>
  </si>
  <si>
    <t>4211.48万</t>
  </si>
  <si>
    <t>-3608.12万</t>
  </si>
  <si>
    <t>1467.54万</t>
  </si>
  <si>
    <t>8661.38万</t>
  </si>
  <si>
    <t>账面净赚</t>
  </si>
  <si>
    <t>开始亏损</t>
  </si>
  <si>
    <t>0309000000</t>
  </si>
  <si>
    <t>0618000000</t>
  </si>
  <si>
    <t>01030000000</t>
  </si>
  <si>
    <t>02060000000</t>
  </si>
  <si>
    <t>-5-0</t>
  </si>
  <si>
    <t>1061.68万</t>
  </si>
  <si>
    <t>55.44亿</t>
  </si>
  <si>
    <t>96.21亿</t>
  </si>
  <si>
    <t>4.52亿</t>
  </si>
  <si>
    <t>34.77亿</t>
  </si>
  <si>
    <t>8.61亿</t>
  </si>
  <si>
    <t>7196.21万</t>
  </si>
  <si>
    <t>7351.57万</t>
  </si>
  <si>
    <t>22.93万</t>
  </si>
  <si>
    <t>14383797亿</t>
  </si>
  <si>
    <t>8.76亿</t>
  </si>
  <si>
    <t>2715699500亿</t>
  </si>
  <si>
    <t>4994531500亿</t>
  </si>
  <si>
    <t>22.18亿</t>
  </si>
  <si>
    <t>9524.38万</t>
  </si>
  <si>
    <t>6.84亿</t>
  </si>
  <si>
    <t>25.50万</t>
  </si>
  <si>
    <t>27.45亿</t>
  </si>
  <si>
    <t>-7617.89万</t>
  </si>
  <si>
    <t>1.23亿</t>
  </si>
  <si>
    <t>3998.58万</t>
  </si>
  <si>
    <t>-4-0</t>
  </si>
  <si>
    <t>100.24万</t>
  </si>
  <si>
    <t>24.78亿</t>
  </si>
  <si>
    <t>6.02亿</t>
  </si>
  <si>
    <t>-1.21亿</t>
  </si>
  <si>
    <t>7925.13万</t>
  </si>
  <si>
    <t>2779.04万</t>
  </si>
  <si>
    <t>4943.55万</t>
  </si>
  <si>
    <t>239113亿</t>
  </si>
  <si>
    <t>-22635178亿</t>
  </si>
  <si>
    <t>50253056亿</t>
  </si>
  <si>
    <t>545.61万</t>
  </si>
  <si>
    <t>1470633700亿</t>
  </si>
  <si>
    <t>378.33万</t>
  </si>
  <si>
    <t>733.57万</t>
  </si>
  <si>
    <t>4174.46万</t>
  </si>
  <si>
    <t>3.11亿</t>
  </si>
  <si>
    <t>2266.69万</t>
  </si>
  <si>
    <t>914.43万</t>
  </si>
  <si>
    <t>-5126.93万</t>
  </si>
  <si>
    <t>-479.81万</t>
  </si>
  <si>
    <t>397.92万</t>
  </si>
  <si>
    <t>3201.60万</t>
  </si>
  <si>
    <t>232.84万</t>
  </si>
  <si>
    <t>6.95亿</t>
  </si>
  <si>
    <t>36.01亿</t>
  </si>
  <si>
    <t>96.03亿</t>
  </si>
  <si>
    <t>1293.24万</t>
  </si>
  <si>
    <t>7189.48万</t>
  </si>
  <si>
    <t>2497.43万</t>
  </si>
  <si>
    <t>91655亿</t>
  </si>
  <si>
    <t>148536310亿</t>
  </si>
  <si>
    <t>10.08亿</t>
  </si>
  <si>
    <t>1361642400亿</t>
  </si>
  <si>
    <t>2644447600亿</t>
  </si>
  <si>
    <t>1126.97万</t>
  </si>
  <si>
    <t>9858.99万</t>
  </si>
  <si>
    <t>-8578.98万</t>
  </si>
  <si>
    <t>-4453.23万</t>
  </si>
  <si>
    <t>15.77亿</t>
  </si>
  <si>
    <t>15.48亿</t>
  </si>
  <si>
    <t>8626.37万</t>
  </si>
  <si>
    <t>875.28万</t>
  </si>
  <si>
    <t>4380.04万</t>
  </si>
  <si>
    <t>66.69万</t>
  </si>
  <si>
    <t>63.14亿</t>
  </si>
  <si>
    <t>30.59亿</t>
  </si>
  <si>
    <t>2.96亿</t>
  </si>
  <si>
    <t>3442.12万</t>
  </si>
  <si>
    <t>3815.27万</t>
  </si>
  <si>
    <t>3439.88万</t>
  </si>
  <si>
    <t>19656298亿</t>
  </si>
  <si>
    <t>20671508亿</t>
  </si>
  <si>
    <t>15.44亿</t>
  </si>
  <si>
    <t>139243360亿</t>
  </si>
  <si>
    <t>46.79万</t>
  </si>
  <si>
    <t>5014109300亿</t>
  </si>
  <si>
    <t>907.45万</t>
  </si>
  <si>
    <t>1676.45万</t>
  </si>
  <si>
    <t>1713.72万</t>
  </si>
  <si>
    <t>-1.09亿</t>
  </si>
  <si>
    <t>6.46亿</t>
  </si>
  <si>
    <t>6513.99万</t>
  </si>
  <si>
    <t>280.70万</t>
  </si>
  <si>
    <t>2088.13万</t>
  </si>
  <si>
    <t>169.72万</t>
  </si>
  <si>
    <t>2.25亿</t>
  </si>
  <si>
    <t>26.21亿</t>
  </si>
  <si>
    <t>7.21亿</t>
  </si>
  <si>
    <t>6561.73万</t>
  </si>
  <si>
    <t>1082.80万</t>
  </si>
  <si>
    <t>4735.48万</t>
  </si>
  <si>
    <t>2316.84万</t>
  </si>
  <si>
    <t>54.45亿</t>
  </si>
  <si>
    <t>3.59万</t>
  </si>
  <si>
    <t>30281879亿</t>
  </si>
  <si>
    <t>18.64亿</t>
  </si>
  <si>
    <t>76320323亿</t>
  </si>
  <si>
    <t>2215133600亿</t>
  </si>
  <si>
    <t>3050.00万</t>
  </si>
  <si>
    <t>2160.43万</t>
  </si>
  <si>
    <t>4485.20万</t>
  </si>
  <si>
    <t>3206.29万</t>
  </si>
  <si>
    <t>-9870.83万</t>
  </si>
  <si>
    <t>796.34万</t>
  </si>
  <si>
    <t>5.44亿</t>
  </si>
  <si>
    <t>983.24万</t>
  </si>
  <si>
    <t>620.07万</t>
  </si>
  <si>
    <t>4750.01万</t>
  </si>
  <si>
    <t>66.17万</t>
  </si>
  <si>
    <t>21.21亿</t>
  </si>
  <si>
    <t>5.14亿</t>
  </si>
  <si>
    <t>5965.19万</t>
  </si>
  <si>
    <t>3213.69万</t>
  </si>
  <si>
    <t>988.90万</t>
  </si>
  <si>
    <t>2109392亿</t>
  </si>
  <si>
    <t>357534亿</t>
  </si>
  <si>
    <t>2.95亿</t>
  </si>
  <si>
    <t>384499090亿</t>
  </si>
  <si>
    <t>201.22万</t>
  </si>
  <si>
    <t>2043177500亿</t>
  </si>
  <si>
    <t>2193.71万</t>
  </si>
  <si>
    <t>8296.03万</t>
  </si>
  <si>
    <t>-5899.91万</t>
  </si>
  <si>
    <t>-5723.05万</t>
  </si>
  <si>
    <t>-306.95万</t>
  </si>
  <si>
    <t>9158.86万</t>
  </si>
  <si>
    <t>4031.88万</t>
  </si>
  <si>
    <t>1567.68万</t>
  </si>
  <si>
    <t>10派4.7元(含税)</t>
  </si>
  <si>
    <t>295.03万</t>
  </si>
  <si>
    <t>2157.87万</t>
  </si>
  <si>
    <t>216.77万</t>
  </si>
  <si>
    <t>17.32亿</t>
  </si>
  <si>
    <t>63.07亿</t>
  </si>
  <si>
    <t>3422.27万</t>
  </si>
  <si>
    <t>14.01亿</t>
  </si>
  <si>
    <t>5356.19万</t>
  </si>
  <si>
    <t>340.52万</t>
  </si>
  <si>
    <t>2042.16万</t>
  </si>
  <si>
    <t>1265.24万</t>
  </si>
  <si>
    <t>16051180亿</t>
  </si>
  <si>
    <t>14157031亿</t>
  </si>
  <si>
    <t>1576861200亿</t>
  </si>
  <si>
    <t>5313164800亿</t>
  </si>
  <si>
    <t>409.25万</t>
  </si>
  <si>
    <t>9642.91万</t>
  </si>
  <si>
    <t>-151.67万</t>
  </si>
  <si>
    <t>24.10亿</t>
  </si>
  <si>
    <t>2645.71万</t>
  </si>
  <si>
    <t>10派6元(含税)</t>
  </si>
  <si>
    <t>793.75万</t>
  </si>
  <si>
    <t>6292.08万</t>
  </si>
  <si>
    <t>204.21万</t>
  </si>
  <si>
    <t>7507.76万</t>
  </si>
  <si>
    <t>22.33亿</t>
  </si>
  <si>
    <t>9122.97万</t>
  </si>
  <si>
    <t>19.79亿</t>
  </si>
  <si>
    <t>5579.22万</t>
  </si>
  <si>
    <t>6149.46万</t>
  </si>
  <si>
    <t>5653.13万</t>
  </si>
  <si>
    <t>218.24万</t>
  </si>
  <si>
    <t>573.13万</t>
  </si>
  <si>
    <t>10.15万</t>
  </si>
  <si>
    <t>25769764亿</t>
  </si>
  <si>
    <t>73356797亿</t>
  </si>
  <si>
    <t>147.18万</t>
  </si>
  <si>
    <t>1981489800亿</t>
  </si>
  <si>
    <t>8158.28万</t>
  </si>
  <si>
    <t>1692.66万</t>
  </si>
  <si>
    <t>3474.69万</t>
  </si>
  <si>
    <t>7056.50万</t>
  </si>
  <si>
    <t>2329.58万</t>
  </si>
  <si>
    <t>-2241.13万</t>
  </si>
  <si>
    <t>-962.90万</t>
  </si>
  <si>
    <t>9897.38万</t>
  </si>
  <si>
    <t>1543.59万</t>
  </si>
  <si>
    <t>1021.01万</t>
  </si>
  <si>
    <t>6002.81万</t>
  </si>
  <si>
    <t>n/a</t>
  </si>
  <si>
    <t>49-1</t>
  </si>
  <si>
    <t>1144.50万</t>
  </si>
  <si>
    <t>14.34亿</t>
  </si>
  <si>
    <t>131.86亿</t>
  </si>
  <si>
    <t>12.22亿</t>
  </si>
  <si>
    <t>33.00亿</t>
  </si>
  <si>
    <t>6948.74万</t>
  </si>
  <si>
    <t>10234167亿</t>
  </si>
  <si>
    <t>10.20万</t>
  </si>
  <si>
    <t>313481080亿</t>
  </si>
  <si>
    <t>47.49亿</t>
  </si>
  <si>
    <t>20069281亿</t>
  </si>
  <si>
    <t>8015712300亿</t>
  </si>
  <si>
    <t>21.61亿</t>
  </si>
  <si>
    <t>8259.84万</t>
  </si>
  <si>
    <t>7749.14万</t>
  </si>
  <si>
    <t>203.29万</t>
  </si>
  <si>
    <t>-7.83亿</t>
  </si>
  <si>
    <t>-201.48万</t>
  </si>
  <si>
    <t>51.80亿</t>
  </si>
  <si>
    <t>11.92亿</t>
  </si>
  <si>
    <t>8869.61万</t>
  </si>
  <si>
    <t>10转2股派1.5元(含税)</t>
  </si>
  <si>
    <t>6549.66万</t>
  </si>
  <si>
    <t>3.98亿</t>
  </si>
  <si>
    <t>069487400</t>
  </si>
  <si>
    <t>0208462200</t>
  </si>
  <si>
    <t>0416924400</t>
  </si>
  <si>
    <t>0694874000</t>
  </si>
  <si>
    <t>01389748000</t>
  </si>
  <si>
    <t>3-0</t>
  </si>
  <si>
    <t>211.80万</t>
  </si>
  <si>
    <t>12.14亿</t>
  </si>
  <si>
    <t>36.92亿</t>
  </si>
  <si>
    <t>7.04亿</t>
  </si>
  <si>
    <t>6.50亿</t>
  </si>
  <si>
    <t>1741.16万</t>
  </si>
  <si>
    <t>2460697亿</t>
  </si>
  <si>
    <t>20.95万</t>
  </si>
  <si>
    <t>234860230亿</t>
  </si>
  <si>
    <t>21.75亿</t>
  </si>
  <si>
    <t>440478690亿</t>
  </si>
  <si>
    <t>3916998700亿</t>
  </si>
  <si>
    <t>6140.24万</t>
  </si>
  <si>
    <t>4108.21万</t>
  </si>
  <si>
    <t>704.34万</t>
  </si>
  <si>
    <t>-3.40亿</t>
  </si>
  <si>
    <t>2.59亿</t>
  </si>
  <si>
    <t>31.34亿</t>
  </si>
  <si>
    <t>9872.97万</t>
  </si>
  <si>
    <t>-69.57万</t>
  </si>
  <si>
    <t>10转3股派7.37元(含税)</t>
  </si>
  <si>
    <t>951.28万</t>
  </si>
  <si>
    <t>7845.05万</t>
  </si>
  <si>
    <t>017411600</t>
  </si>
  <si>
    <t>052234800</t>
  </si>
  <si>
    <t>0104469600</t>
  </si>
  <si>
    <t>0174116000</t>
  </si>
  <si>
    <t>0348232000</t>
  </si>
  <si>
    <t>655.28万</t>
  </si>
  <si>
    <t>152.77亿</t>
  </si>
  <si>
    <t>318.15亿</t>
  </si>
  <si>
    <t>87.49亿</t>
  </si>
  <si>
    <t>12.75亿</t>
  </si>
  <si>
    <t>25.83亿</t>
  </si>
  <si>
    <t>244029330亿</t>
  </si>
  <si>
    <t>95.86万</t>
  </si>
  <si>
    <t>78972742亿</t>
  </si>
  <si>
    <t>57.92亿</t>
  </si>
  <si>
    <t>1735285700亿</t>
  </si>
  <si>
    <t>11394059300亿</t>
  </si>
  <si>
    <t>4.96亿</t>
  </si>
  <si>
    <t>68.47亿</t>
  </si>
  <si>
    <t>2545.00万</t>
  </si>
  <si>
    <t>118.63亿</t>
  </si>
  <si>
    <t>12.19亿</t>
  </si>
  <si>
    <t>-3.57亿</t>
  </si>
  <si>
    <t>619.62万</t>
  </si>
  <si>
    <t>107.83亿</t>
  </si>
  <si>
    <t>24.67亿</t>
  </si>
  <si>
    <t>7.63亿</t>
  </si>
  <si>
    <t>3889.71万</t>
  </si>
  <si>
    <t>01275000000</t>
  </si>
  <si>
    <t>03825000000</t>
  </si>
  <si>
    <t>07650000000</t>
  </si>
  <si>
    <t>012750000000</t>
  </si>
  <si>
    <t>025500000000</t>
  </si>
  <si>
    <t>1613.91万</t>
  </si>
  <si>
    <t>74.31亿</t>
  </si>
  <si>
    <t>3.14亿</t>
  </si>
  <si>
    <t>-1.00亿</t>
  </si>
  <si>
    <t>3734.98万</t>
  </si>
  <si>
    <t>20241973亿</t>
  </si>
  <si>
    <t>10.65万</t>
  </si>
  <si>
    <t>215055970亿</t>
  </si>
  <si>
    <t>10.73亿</t>
  </si>
  <si>
    <t>830030320亿</t>
  </si>
  <si>
    <t>2879291600亿</t>
  </si>
  <si>
    <t>-1.39亿</t>
  </si>
  <si>
    <t>-4504.46万</t>
  </si>
  <si>
    <t>30.75亿</t>
  </si>
  <si>
    <t>7784.50万</t>
  </si>
  <si>
    <t>1003.89万</t>
  </si>
  <si>
    <t>7551.81万</t>
  </si>
  <si>
    <t>4.22亿</t>
  </si>
  <si>
    <t>962.00万</t>
  </si>
  <si>
    <t>9.73亿</t>
  </si>
  <si>
    <t>108.43亿</t>
  </si>
  <si>
    <t>4329.92万</t>
  </si>
  <si>
    <t>2265318亿</t>
  </si>
  <si>
    <t>51.98万</t>
  </si>
  <si>
    <t>17169319亿</t>
  </si>
  <si>
    <t>25.53亿</t>
  </si>
  <si>
    <t>269599230亿</t>
  </si>
  <si>
    <t>6215027700亿</t>
  </si>
  <si>
    <t>20.24亿</t>
  </si>
  <si>
    <t>6.82亿</t>
  </si>
  <si>
    <t>8128.84万</t>
  </si>
  <si>
    <t>-2889.98万</t>
  </si>
  <si>
    <t>-95.19万</t>
  </si>
  <si>
    <t>26.08亿</t>
  </si>
  <si>
    <t>3782.47万</t>
  </si>
  <si>
    <t>4944.28万</t>
  </si>
  <si>
    <t>0159000000</t>
  </si>
  <si>
    <t>0477000000</t>
  </si>
  <si>
    <t>0954000000</t>
  </si>
  <si>
    <t>01590000000</t>
  </si>
  <si>
    <t>03180000000</t>
  </si>
  <si>
    <t>216.21万</t>
  </si>
  <si>
    <t>28.31亿</t>
  </si>
  <si>
    <t>130.03亿</t>
  </si>
  <si>
    <t>7.53亿</t>
  </si>
  <si>
    <t>35.17亿</t>
  </si>
  <si>
    <t>10.48亿</t>
  </si>
  <si>
    <t>6.72亿</t>
  </si>
  <si>
    <t>7499.54万</t>
  </si>
  <si>
    <t>41533742亿</t>
  </si>
  <si>
    <t>6.22万</t>
  </si>
  <si>
    <t>49270400亿</t>
  </si>
  <si>
    <t>37.68亿</t>
  </si>
  <si>
    <t>2859861400亿</t>
  </si>
  <si>
    <t>194.12万</t>
  </si>
  <si>
    <t>9983203100亿</t>
  </si>
  <si>
    <t>8127.39万</t>
  </si>
  <si>
    <t>1326.60万</t>
  </si>
  <si>
    <t>23.78亿</t>
  </si>
  <si>
    <t>928.03万</t>
  </si>
  <si>
    <t>-5395.96万</t>
  </si>
  <si>
    <t>-576.51万</t>
  </si>
  <si>
    <t>55.11亿</t>
  </si>
  <si>
    <t>10派3.2元(含税)</t>
  </si>
  <si>
    <t>821.23万</t>
  </si>
  <si>
    <t>8433.34万</t>
  </si>
  <si>
    <t>79.05万</t>
  </si>
  <si>
    <t>34.53亿</t>
  </si>
  <si>
    <t>1.99亿</t>
  </si>
  <si>
    <t>18.36亿</t>
  </si>
  <si>
    <t>-6.07亿</t>
  </si>
  <si>
    <t>2245.66万</t>
  </si>
  <si>
    <t>9044.97万</t>
  </si>
  <si>
    <t>2616.34万</t>
  </si>
  <si>
    <t>-536926亿</t>
  </si>
  <si>
    <t>39656677亿</t>
  </si>
  <si>
    <t>253287980亿</t>
  </si>
  <si>
    <t>1089827670亿</t>
  </si>
  <si>
    <t>8843.48万</t>
  </si>
  <si>
    <t>4041.60万</t>
  </si>
  <si>
    <t>4503.15万</t>
  </si>
  <si>
    <t>1450.45万</t>
  </si>
  <si>
    <t>2508.46万</t>
  </si>
  <si>
    <t>9.20亿</t>
  </si>
  <si>
    <t>3.35亿</t>
  </si>
  <si>
    <t>-3965.01万</t>
  </si>
  <si>
    <t>384.26万</t>
  </si>
  <si>
    <t>2394.59万</t>
  </si>
  <si>
    <t>-9-1</t>
  </si>
  <si>
    <t>453.78万</t>
  </si>
  <si>
    <t>18.82亿</t>
  </si>
  <si>
    <t>23.96亿</t>
  </si>
  <si>
    <t>6755.51万</t>
  </si>
  <si>
    <t>32.99亿</t>
  </si>
  <si>
    <t>5.16亿</t>
  </si>
  <si>
    <t>88.45万</t>
  </si>
  <si>
    <t>4414.95万</t>
  </si>
  <si>
    <t>5098.00万</t>
  </si>
  <si>
    <t>249194亿</t>
  </si>
  <si>
    <t>-217856710亿</t>
  </si>
  <si>
    <t>17.22亿</t>
  </si>
  <si>
    <t>22746900亿</t>
  </si>
  <si>
    <t>2217103300亿</t>
  </si>
  <si>
    <t>11.65亿</t>
  </si>
  <si>
    <t>4448.30万</t>
  </si>
  <si>
    <t>-3.31亿</t>
  </si>
  <si>
    <t>-1.76亿</t>
  </si>
  <si>
    <t>18.41亿</t>
  </si>
  <si>
    <t>-10.53亿</t>
  </si>
  <si>
    <t>1846.69万</t>
  </si>
  <si>
    <t>8480.91万</t>
  </si>
  <si>
    <t>169.42万</t>
  </si>
  <si>
    <t>17.17亿</t>
  </si>
  <si>
    <t>39.98亿</t>
  </si>
  <si>
    <t>24.27亿</t>
  </si>
  <si>
    <t>8725.55万</t>
  </si>
  <si>
    <t>5387.49万</t>
  </si>
  <si>
    <t>529193亿</t>
  </si>
  <si>
    <t>9.37万</t>
  </si>
  <si>
    <t>-15952494亿</t>
  </si>
  <si>
    <t>13.65亿</t>
  </si>
  <si>
    <t>400469190亿</t>
  </si>
  <si>
    <t>3865117500亿</t>
  </si>
  <si>
    <t>8497.86万</t>
  </si>
  <si>
    <t>1503.65万</t>
  </si>
  <si>
    <t>-8149.69万</t>
  </si>
  <si>
    <t>-3.35亿</t>
  </si>
  <si>
    <t>12.86亿</t>
  </si>
  <si>
    <t>-7095.62万</t>
  </si>
  <si>
    <t>6037.35万</t>
  </si>
  <si>
    <t>753.99万</t>
  </si>
  <si>
    <t>4418.45万</t>
  </si>
  <si>
    <t>4-1</t>
  </si>
  <si>
    <t>74.63万</t>
  </si>
  <si>
    <t>14.00亿</t>
  </si>
  <si>
    <t>16.24亿</t>
  </si>
  <si>
    <t>1284.36万</t>
  </si>
  <si>
    <t>9868.33万</t>
  </si>
  <si>
    <t>1972.30万</t>
  </si>
  <si>
    <t>1786623亿</t>
  </si>
  <si>
    <t>13.08万</t>
  </si>
  <si>
    <t>10073188亿</t>
  </si>
  <si>
    <t>341934770亿</t>
  </si>
  <si>
    <t>1181.84万</t>
  </si>
  <si>
    <t>1160746560亿</t>
  </si>
  <si>
    <t>52.14万</t>
  </si>
  <si>
    <t>6.33亿</t>
  </si>
  <si>
    <t>-622.43万</t>
  </si>
  <si>
    <t>-2.24亿</t>
  </si>
  <si>
    <t>1658.79万</t>
  </si>
  <si>
    <t>12.59亿</t>
  </si>
  <si>
    <t>-1.90亿</t>
  </si>
  <si>
    <t>1114.13万</t>
  </si>
  <si>
    <t>473.78万</t>
  </si>
  <si>
    <t>3872.80万</t>
  </si>
  <si>
    <t>012843600</t>
  </si>
  <si>
    <t>038530800</t>
  </si>
  <si>
    <t>077061600</t>
  </si>
  <si>
    <t>0128436000</t>
  </si>
  <si>
    <t>0256872000</t>
  </si>
  <si>
    <t>20.53万</t>
  </si>
  <si>
    <t>21.89亿</t>
  </si>
  <si>
    <t>2608.71万</t>
  </si>
  <si>
    <t>9.24亿</t>
  </si>
  <si>
    <t>3523.13万</t>
  </si>
  <si>
    <t>827.53万</t>
  </si>
  <si>
    <t>1140.25万</t>
  </si>
  <si>
    <t>1180.69万</t>
  </si>
  <si>
    <t>4569887亿</t>
  </si>
  <si>
    <t>-11706042亿</t>
  </si>
  <si>
    <t>13.93亿</t>
  </si>
  <si>
    <t>59000401亿</t>
  </si>
  <si>
    <t>40.00万</t>
  </si>
  <si>
    <t>2064882400亿</t>
  </si>
  <si>
    <t>4133.18万</t>
  </si>
  <si>
    <t>2147.29万</t>
  </si>
  <si>
    <t>5735.37万</t>
  </si>
  <si>
    <t>755.81万</t>
  </si>
  <si>
    <t>5.28亿</t>
  </si>
  <si>
    <t>-671.38万</t>
  </si>
  <si>
    <t>9072.24万</t>
  </si>
  <si>
    <t>1943.05万</t>
  </si>
  <si>
    <t>85.67万</t>
  </si>
  <si>
    <t>702.33万</t>
  </si>
  <si>
    <t>75.67万</t>
  </si>
  <si>
    <t>4263.19万</t>
  </si>
  <si>
    <t>10.87亿</t>
  </si>
  <si>
    <t>2630.14万</t>
  </si>
  <si>
    <t>18.86亿</t>
  </si>
  <si>
    <t>-4744.80万</t>
  </si>
  <si>
    <t>2834.56万</t>
  </si>
  <si>
    <t>750.55万</t>
  </si>
  <si>
    <t>957.77万</t>
  </si>
  <si>
    <t>524.66万</t>
  </si>
  <si>
    <t>645458亿</t>
  </si>
  <si>
    <t>-5797308亿</t>
  </si>
  <si>
    <t>38499090亿</t>
  </si>
  <si>
    <t>940355040亿</t>
  </si>
  <si>
    <t>5965.55万</t>
  </si>
  <si>
    <t>339.85万</t>
  </si>
  <si>
    <t>1784.83万</t>
  </si>
  <si>
    <t>-2179.65万</t>
  </si>
  <si>
    <t>-504.61万</t>
  </si>
  <si>
    <t>6419.83万</t>
  </si>
  <si>
    <t>3.90亿</t>
  </si>
  <si>
    <t>3877.43万</t>
  </si>
  <si>
    <t>-4057.30万</t>
  </si>
  <si>
    <t>254.28万</t>
  </si>
  <si>
    <t>1991.55万</t>
  </si>
  <si>
    <t>-3-1</t>
  </si>
  <si>
    <t>266.91万</t>
  </si>
  <si>
    <t>10.74亿</t>
  </si>
  <si>
    <t>-8663.26万</t>
  </si>
  <si>
    <t>4863.07万</t>
  </si>
  <si>
    <t>4993.01万</t>
  </si>
  <si>
    <t>920.85万</t>
  </si>
  <si>
    <t>7.14万</t>
  </si>
  <si>
    <t>-122773184亿</t>
  </si>
  <si>
    <t>109222141亿</t>
  </si>
  <si>
    <t>962848040亿</t>
  </si>
  <si>
    <t>5.35亿</t>
  </si>
  <si>
    <t>-6480.32万</t>
  </si>
  <si>
    <t>7415.22万</t>
  </si>
  <si>
    <t>-3.95亿</t>
  </si>
  <si>
    <t>242.59万</t>
  </si>
  <si>
    <t>1038.18万</t>
  </si>
  <si>
    <t>7231.09万</t>
  </si>
  <si>
    <t>-6-0</t>
  </si>
  <si>
    <t>739.57万</t>
  </si>
  <si>
    <t>40.22亿</t>
  </si>
  <si>
    <t>70.19亿</t>
  </si>
  <si>
    <t>7.99亿</t>
  </si>
  <si>
    <t>-7397349亿</t>
  </si>
  <si>
    <t>-307067930亿</t>
  </si>
  <si>
    <t>45.59亿</t>
  </si>
  <si>
    <t>492079830亿</t>
  </si>
  <si>
    <t>6193826400亿</t>
  </si>
  <si>
    <t>13.94亿</t>
  </si>
  <si>
    <t>12.33亿</t>
  </si>
  <si>
    <t>467.23万</t>
  </si>
  <si>
    <t>11.15亿</t>
  </si>
  <si>
    <t>29.68亿</t>
  </si>
  <si>
    <t>16.59亿</t>
  </si>
  <si>
    <t>-3.77亿</t>
  </si>
  <si>
    <t>-7327.04万</t>
  </si>
  <si>
    <t>15.03亿</t>
  </si>
  <si>
    <t>-22.83亿</t>
  </si>
  <si>
    <t>1848.35万</t>
  </si>
  <si>
    <t>1820.27万</t>
  </si>
  <si>
    <t>220.39万</t>
  </si>
  <si>
    <t>40.31亿</t>
  </si>
  <si>
    <t>51.07亿</t>
  </si>
  <si>
    <t>37.88亿</t>
  </si>
  <si>
    <t>4623.27万</t>
  </si>
  <si>
    <t>4658.59万</t>
  </si>
  <si>
    <t>3706.87万</t>
  </si>
  <si>
    <t>-75386451亿</t>
  </si>
  <si>
    <t>-178676680亿</t>
  </si>
  <si>
    <t>595129620亿</t>
  </si>
  <si>
    <t>5023842300亿</t>
  </si>
  <si>
    <t>9.55亿</t>
  </si>
  <si>
    <t>7244.81万</t>
  </si>
  <si>
    <t>11.49亿</t>
  </si>
  <si>
    <t>-1.08亿</t>
  </si>
  <si>
    <t>8.63亿</t>
  </si>
  <si>
    <t>-14.83亿</t>
  </si>
  <si>
    <t>7250.14万</t>
  </si>
  <si>
    <t>611.68万</t>
  </si>
  <si>
    <t>3751.13万</t>
  </si>
  <si>
    <t>222.31万</t>
  </si>
  <si>
    <t>4.80亿</t>
  </si>
  <si>
    <t>20.05亿</t>
  </si>
  <si>
    <t>4.11亿</t>
  </si>
  <si>
    <t>3776.53万</t>
  </si>
  <si>
    <t>5439.35万</t>
  </si>
  <si>
    <t>1396404亿</t>
  </si>
  <si>
    <t>50.17万</t>
  </si>
  <si>
    <t>146409780亿</t>
  </si>
  <si>
    <t>394756820亿</t>
  </si>
  <si>
    <t>323.04万</t>
  </si>
  <si>
    <t>1336597210亿</t>
  </si>
  <si>
    <t>4381.19万</t>
  </si>
  <si>
    <t>3.48亿</t>
  </si>
  <si>
    <t>7866.38万</t>
  </si>
  <si>
    <t>-191.25万</t>
  </si>
  <si>
    <t>21.00亿</t>
  </si>
  <si>
    <t>8859.99万</t>
  </si>
  <si>
    <t>3985.18万</t>
  </si>
  <si>
    <t>10派4.1元(含税)</t>
  </si>
  <si>
    <t>670.08万</t>
  </si>
  <si>
    <t>5013.31万</t>
  </si>
  <si>
    <t>117.11万</t>
  </si>
  <si>
    <t>9.08亿</t>
  </si>
  <si>
    <t>7079.87万</t>
  </si>
  <si>
    <t>11.16亿</t>
  </si>
  <si>
    <t>5355.53万</t>
  </si>
  <si>
    <t>535.66万</t>
  </si>
  <si>
    <t>2392.38万</t>
  </si>
  <si>
    <t>2943.02万</t>
  </si>
  <si>
    <t>18658亿</t>
  </si>
  <si>
    <t>103.92万</t>
  </si>
  <si>
    <t>-27836938亿</t>
  </si>
  <si>
    <t>474254570亿</t>
  </si>
  <si>
    <t>30.00万</t>
  </si>
  <si>
    <t>884224120亿</t>
  </si>
  <si>
    <t>2920.00万</t>
  </si>
  <si>
    <t>4496.58万</t>
  </si>
  <si>
    <t>-6539.44万</t>
  </si>
  <si>
    <t>-6730.99万</t>
  </si>
  <si>
    <t>6395.31万</t>
  </si>
  <si>
    <t>1755.56万</t>
  </si>
  <si>
    <t>2149.48万</t>
  </si>
  <si>
    <t>10派0.38元(含税)</t>
  </si>
  <si>
    <t>673.95万</t>
  </si>
  <si>
    <t>SH688331</t>
  </si>
  <si>
    <t>荣昌生物</t>
  </si>
  <si>
    <t>616.86万</t>
  </si>
  <si>
    <t>20.91亿</t>
  </si>
  <si>
    <t>30.79亿</t>
  </si>
  <si>
    <t>7435.97万</t>
  </si>
  <si>
    <t>7425.99万</t>
  </si>
  <si>
    <t>45340亿</t>
  </si>
  <si>
    <t>6.87万</t>
  </si>
  <si>
    <t>-345576210亿</t>
  </si>
  <si>
    <t>296377190亿</t>
  </si>
  <si>
    <t>2202168600亿</t>
  </si>
  <si>
    <t>5.74亿</t>
  </si>
  <si>
    <t>-4.26亿</t>
  </si>
  <si>
    <t>-8136.25万</t>
  </si>
  <si>
    <t>14.26亿</t>
  </si>
  <si>
    <t>304.43万</t>
  </si>
  <si>
    <t>482.48万</t>
  </si>
  <si>
    <t>1327.53万</t>
  </si>
  <si>
    <t>-9.99亿</t>
  </si>
  <si>
    <t>-6.98亿</t>
  </si>
  <si>
    <t>-4.30亿</t>
  </si>
  <si>
    <t>10.83亿</t>
  </si>
  <si>
    <t>-15.11亿</t>
  </si>
  <si>
    <t>4941.68万</t>
  </si>
  <si>
    <t>1971.29万</t>
  </si>
  <si>
    <t>7100.38万</t>
  </si>
  <si>
    <t>271.74万</t>
  </si>
  <si>
    <t>49.68亿</t>
  </si>
  <si>
    <t>6.71亿</t>
  </si>
  <si>
    <t>6118.02万</t>
  </si>
  <si>
    <t>5138.54万</t>
  </si>
  <si>
    <t>1691.85万</t>
  </si>
  <si>
    <t>-3438800亿</t>
  </si>
  <si>
    <t>85758300亿</t>
  </si>
  <si>
    <t>6.28亿</t>
  </si>
  <si>
    <t>112650200亿</t>
  </si>
  <si>
    <t>351.44万</t>
  </si>
  <si>
    <t>2235648700亿</t>
  </si>
  <si>
    <t>5002.04万</t>
  </si>
  <si>
    <t>2389.97万</t>
  </si>
  <si>
    <t>-4.06亿</t>
  </si>
  <si>
    <t>-30.97万</t>
  </si>
  <si>
    <t>10.14亿</t>
  </si>
  <si>
    <t>2314.67万</t>
  </si>
  <si>
    <t>1015.62万</t>
  </si>
  <si>
    <t>6500.34万</t>
  </si>
  <si>
    <t>0108000000</t>
  </si>
  <si>
    <t>0324000000</t>
  </si>
  <si>
    <t>0648000000</t>
  </si>
  <si>
    <t>01080000000</t>
  </si>
  <si>
    <t>02160000000</t>
  </si>
  <si>
    <t>782.06万</t>
  </si>
  <si>
    <t>27.39亿</t>
  </si>
  <si>
    <t>70.54亿</t>
  </si>
  <si>
    <t>2429.04万</t>
  </si>
  <si>
    <t>8953.32万</t>
  </si>
  <si>
    <t>4240.86万</t>
  </si>
  <si>
    <t>-1339525亿</t>
  </si>
  <si>
    <t>3.10万</t>
  </si>
  <si>
    <t>-133949358亿</t>
  </si>
  <si>
    <t>82.02亿</t>
  </si>
  <si>
    <t>232958850亿</t>
  </si>
  <si>
    <t>8620713600亿</t>
  </si>
  <si>
    <t>20.55亿</t>
  </si>
  <si>
    <t>3310.00万</t>
  </si>
  <si>
    <t>-8404.35万</t>
  </si>
  <si>
    <t>-744.03万</t>
  </si>
  <si>
    <t>7.39亿</t>
  </si>
  <si>
    <t>4.75亿</t>
  </si>
  <si>
    <t>-6.31亿</t>
  </si>
  <si>
    <t>6425.10万</t>
  </si>
  <si>
    <t>4352.13万</t>
  </si>
  <si>
    <t>229.54万</t>
  </si>
  <si>
    <t>26.59亿</t>
  </si>
  <si>
    <t>4806.48万</t>
  </si>
  <si>
    <t>-258.71万</t>
  </si>
  <si>
    <t>1239.59万</t>
  </si>
  <si>
    <t>2790.01万</t>
  </si>
  <si>
    <t>11120亿</t>
  </si>
  <si>
    <t>-164649440亿</t>
  </si>
  <si>
    <t>27.58亿</t>
  </si>
  <si>
    <t>6014亿</t>
  </si>
  <si>
    <t>2899936000亿</t>
  </si>
  <si>
    <t>4926.18万</t>
  </si>
  <si>
    <t>63.06万</t>
  </si>
  <si>
    <t>7731.96万</t>
  </si>
  <si>
    <t>-1.45亿</t>
  </si>
  <si>
    <t>2057.74万</t>
  </si>
  <si>
    <t>-1002.85万</t>
  </si>
  <si>
    <t>121.15万</t>
  </si>
  <si>
    <t>3643.94万</t>
  </si>
  <si>
    <t>-8.01亿</t>
  </si>
  <si>
    <t>-122.28万</t>
  </si>
  <si>
    <t>-6.61万</t>
  </si>
  <si>
    <t>-12.13万</t>
  </si>
  <si>
    <t>751.48万</t>
  </si>
  <si>
    <t>6179.48万</t>
  </si>
  <si>
    <t>871.07万</t>
  </si>
  <si>
    <t>11.14亿</t>
  </si>
  <si>
    <t>9289.40万</t>
  </si>
  <si>
    <t>6727.90万</t>
  </si>
  <si>
    <t>5384.02万</t>
  </si>
  <si>
    <t>2119.15万</t>
  </si>
  <si>
    <t>2323.51万</t>
  </si>
  <si>
    <t>7573963亿</t>
  </si>
  <si>
    <t>-17379705亿</t>
  </si>
  <si>
    <t>210490210亿</t>
  </si>
  <si>
    <t>1493.08万</t>
  </si>
  <si>
    <t>876983380亿</t>
  </si>
  <si>
    <t>55.76万</t>
  </si>
  <si>
    <t>2312.68万</t>
  </si>
  <si>
    <t>8211.17万</t>
  </si>
  <si>
    <t>994.00万</t>
  </si>
  <si>
    <t>-7032.23万</t>
  </si>
  <si>
    <t>4602.96万</t>
  </si>
  <si>
    <t>3585.55万</t>
  </si>
  <si>
    <t>3621.62万</t>
  </si>
  <si>
    <t>-7606.95万</t>
  </si>
  <si>
    <t>-378.34万</t>
  </si>
  <si>
    <t>3704.63万</t>
  </si>
  <si>
    <t>193.13万</t>
  </si>
  <si>
    <t>33.24亿</t>
  </si>
  <si>
    <t>-5.22亿</t>
  </si>
  <si>
    <t>6.13亿</t>
  </si>
  <si>
    <t>23.38亿</t>
  </si>
  <si>
    <t>-2.96亿</t>
  </si>
  <si>
    <t>4.54亿</t>
  </si>
  <si>
    <t>2048.62万</t>
  </si>
  <si>
    <t>3699.92万</t>
  </si>
  <si>
    <t>19561亿</t>
  </si>
  <si>
    <t>17.76万</t>
  </si>
  <si>
    <t>156999270亿</t>
  </si>
  <si>
    <t>383809300亿</t>
  </si>
  <si>
    <t>8458.64万</t>
  </si>
  <si>
    <t>1124763080亿</t>
  </si>
  <si>
    <t>19.58亿</t>
  </si>
  <si>
    <t>11.20亿</t>
  </si>
  <si>
    <t>-554.94万</t>
  </si>
  <si>
    <t>18.87亿</t>
  </si>
  <si>
    <t>5.39亿</t>
  </si>
  <si>
    <t>-7159.36万</t>
  </si>
  <si>
    <t>623.53万</t>
  </si>
  <si>
    <t>4664.34万</t>
  </si>
  <si>
    <t>91.72万</t>
  </si>
  <si>
    <t>13.50亿</t>
  </si>
  <si>
    <t>501.81万</t>
  </si>
  <si>
    <t>2337.20万</t>
  </si>
  <si>
    <t>3408.29万</t>
  </si>
  <si>
    <t>63.10万</t>
  </si>
  <si>
    <t>445.39万</t>
  </si>
  <si>
    <t>2513.99万</t>
  </si>
  <si>
    <t>3655752亿</t>
  </si>
  <si>
    <t>-24423524亿</t>
  </si>
  <si>
    <t>8436.46万</t>
  </si>
  <si>
    <t>70292262亿</t>
  </si>
  <si>
    <t>670042340亿</t>
  </si>
  <si>
    <t>6.51亿</t>
  </si>
  <si>
    <t>6805.68万</t>
  </si>
  <si>
    <t>7976.24万</t>
  </si>
  <si>
    <t>2.01亿</t>
  </si>
  <si>
    <t>-4535.25万</t>
  </si>
  <si>
    <t>5571.11万</t>
  </si>
  <si>
    <t>356.23万</t>
  </si>
  <si>
    <t>7218.35万</t>
  </si>
  <si>
    <t>-7099.03万</t>
  </si>
  <si>
    <t>1369.09万</t>
  </si>
  <si>
    <t>297.09万</t>
  </si>
  <si>
    <t>1968.18万</t>
  </si>
  <si>
    <t>173.45万</t>
  </si>
  <si>
    <t>6.63亿</t>
  </si>
  <si>
    <t>2.13亿</t>
  </si>
  <si>
    <t>6405.23万</t>
  </si>
  <si>
    <t>4526.70万</t>
  </si>
  <si>
    <t>2142.93万</t>
  </si>
  <si>
    <t>186881亿</t>
  </si>
  <si>
    <t>1.52万</t>
  </si>
  <si>
    <t>20280955亿</t>
  </si>
  <si>
    <t>337038130亿</t>
  </si>
  <si>
    <t>2537.55万</t>
  </si>
  <si>
    <t>1764139400亿</t>
  </si>
  <si>
    <t>3551.21万</t>
  </si>
  <si>
    <t>5121.77万</t>
  </si>
  <si>
    <t>3.31亿</t>
  </si>
  <si>
    <t>7048.40万</t>
  </si>
  <si>
    <t>-2140.14万</t>
  </si>
  <si>
    <t>-4182.08万</t>
  </si>
  <si>
    <t>5339.96万</t>
  </si>
  <si>
    <t>14.12亿</t>
  </si>
  <si>
    <t>1181.81万</t>
  </si>
  <si>
    <t>950.58万</t>
  </si>
  <si>
    <t>6117.70万</t>
  </si>
  <si>
    <t>108.40万</t>
  </si>
  <si>
    <t>4.82亿</t>
  </si>
  <si>
    <t>96.64亿</t>
  </si>
  <si>
    <t>11.27亿</t>
  </si>
  <si>
    <t>-4827.43万</t>
  </si>
  <si>
    <t>6237.78万</t>
  </si>
  <si>
    <t>8610.38万</t>
  </si>
  <si>
    <t>5966.37万</t>
  </si>
  <si>
    <t>2821282亿</t>
  </si>
  <si>
    <t>68349711亿</t>
  </si>
  <si>
    <t>45.91亿</t>
  </si>
  <si>
    <t>1101472740亿</t>
  </si>
  <si>
    <t>7237358300亿</t>
  </si>
  <si>
    <t>4.38亿</t>
  </si>
  <si>
    <t>2.22亿</t>
  </si>
  <si>
    <t>3.26亿</t>
  </si>
  <si>
    <t>3325.27万</t>
  </si>
  <si>
    <t>2718.52万</t>
  </si>
  <si>
    <t>-1757.75万</t>
  </si>
  <si>
    <t>17.50亿</t>
  </si>
  <si>
    <t>-2814.11万</t>
  </si>
  <si>
    <t>448.22万</t>
  </si>
  <si>
    <t>2855.49万</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</si>
</sst>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sz val="9"/>
      <color rgb="FFFF0000"/>
      <name val="宋体"/>
      <family val="3"/>
      <charset val="134"/>
      <scheme val="minor"/>
    </font>
    <font>
      <sz val="11"/>
      <color rgb="FFFF0000"/>
      <name val="宋体"/>
      <family val="2"/>
      <charset val="134"/>
      <scheme val="minor"/>
    </font>
    <font>
      <sz val="11"/>
      <name val="宋体"/>
      <family val="2"/>
      <charset val="134"/>
      <scheme val="minor"/>
    </font>
    <font>
      <b/>
      <sz val="9"/>
      <color rgb="FFFF0000"/>
      <name val="宋体"/>
      <family val="3"/>
      <charset val="134"/>
      <scheme val="minor"/>
    </font>
    <font>
      <sz val="9"/>
      <name val="宋体"/>
      <family val="3"/>
      <charset val="134"/>
      <scheme val="minor"/>
    </font>
    <font>
      <b/>
      <sz val="9"/>
      <name val="宋体"/>
      <family val="3"/>
      <charset val="134"/>
      <scheme val="minor"/>
    </font>
    <font>
      <b/>
      <sz val="9"/>
      <color theme="1"/>
      <name val="宋体"/>
      <family val="3"/>
      <charset val="134"/>
      <scheme val="minor"/>
    </font>
    <font>
      <sz val="9"/>
      <color theme="1"/>
      <name val="宋体"/>
      <family val="3"/>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7">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0" fontId="3" fillId="0" borderId="0" xfId="0" applyFont="1" applyAlignment="1">
      <alignment vertical="center" wrapText="1"/>
    </xf>
    <xf numFmtId="0" fontId="3" fillId="0" borderId="0" xfId="0" applyFont="1" applyBorder="1" applyAlignment="1">
      <alignment vertical="center" wrapText="1"/>
    </xf>
    <xf numFmtId="0" fontId="0" fillId="4" borderId="0" xfId="0" applyFill="1">
      <alignment vertical="center"/>
    </xf>
    <xf numFmtId="0" fontId="0" fillId="5" borderId="0" xfId="0" applyFill="1">
      <alignment vertical="center"/>
    </xf>
    <xf numFmtId="0" fontId="6" fillId="0" borderId="0" xfId="0" applyFont="1">
      <alignment vertical="center"/>
    </xf>
    <xf numFmtId="0" fontId="5" fillId="0" borderId="0" xfId="0" applyFont="1">
      <alignment vertical="center"/>
    </xf>
    <xf numFmtId="0" fontId="6" fillId="0" borderId="0" xfId="0" applyFont="1" applyFill="1">
      <alignment vertical="center"/>
    </xf>
    <xf numFmtId="14" fontId="0" fillId="0" borderId="0" xfId="0" applyNumberFormat="1">
      <alignment vertical="center"/>
    </xf>
    <xf numFmtId="0" fontId="0" fillId="0" borderId="0" xfId="0" applyNumberFormat="1">
      <alignment vertical="center"/>
    </xf>
    <xf numFmtId="9" fontId="0" fillId="0" borderId="0" xfId="0" applyNumberFormat="1">
      <alignment vertical="center"/>
    </xf>
    <xf numFmtId="0" fontId="11" fillId="0" borderId="0" xfId="0" applyFont="1" applyAlignment="1">
      <alignment vertical="center" wrapText="1"/>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120650</xdr:colOff>
          <xdr:row>0</xdr:row>
          <xdr:rowOff>50800</xdr:rowOff>
        </xdr:from>
        <xdr:to>
          <xdr:col>147</xdr:col>
          <xdr:colOff>1397000</xdr:colOff>
          <xdr:row>0</xdr:row>
          <xdr:rowOff>361950</xdr:rowOff>
        </xdr:to>
        <xdr:sp macro="" textlink="">
          <xdr:nvSpPr>
            <xdr:cNvPr id="1026" name="Button 2" descr="更新基本面按钮&#10;"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61"/>
  <sheetViews>
    <sheetView tabSelected="1" zoomScale="85" zoomScaleNormal="85" workbookViewId="0">
      <pane xSplit="5" ySplit="1" topLeftCell="F2" activePane="bottomRight" state="frozen"/>
      <selection pane="topRight" activeCell="F1" sqref="F1"/>
      <selection pane="bottomLeft" activeCell="A2" sqref="A2"/>
      <selection pane="bottomRight" activeCell="D53" sqref="D53:EP53"/>
    </sheetView>
  </sheetViews>
  <sheetFormatPr defaultRowHeight="14" x14ac:dyDescent="0.25"/>
  <cols>
    <col min="1" max="1" width="36.453125" customWidth="1"/>
    <col min="2" max="2" width="35.26953125" customWidth="1"/>
    <col min="3" max="3" width="45.1796875" customWidth="1"/>
    <col min="9" max="9" width="14.453125" customWidth="1"/>
    <col min="16" max="16" width="12.36328125" customWidth="1"/>
    <col min="19" max="19" width="13" customWidth="1"/>
    <col min="32" max="32" width="10.6328125" customWidth="1"/>
    <col min="148" max="148" width="25.453125" customWidth="1"/>
  </cols>
  <sheetData>
    <row r="1" spans="1:146" ht="34.5" customHeight="1" x14ac:dyDescent="0.25">
      <c r="A1" s="3" t="s">
        <v>59</v>
      </c>
      <c r="B1" s="4" t="s">
        <v>60</v>
      </c>
      <c r="C1" s="3" t="s">
        <v>61</v>
      </c>
      <c r="D1" t="s">
        <v>58</v>
      </c>
      <c r="E1" t="s">
        <v>484</v>
      </c>
      <c r="F1" t="s">
        <v>3</v>
      </c>
      <c r="G1" t="s">
        <v>609</v>
      </c>
      <c r="H1" t="s">
        <v>610</v>
      </c>
      <c r="I1" t="s">
        <v>26</v>
      </c>
      <c r="J1" t="s">
        <v>27</v>
      </c>
      <c r="K1" t="s">
        <v>4</v>
      </c>
      <c r="L1" t="s">
        <v>28</v>
      </c>
      <c r="M1" t="s">
        <v>62</v>
      </c>
      <c r="N1" t="s">
        <v>63</v>
      </c>
      <c r="O1" t="s">
        <v>64</v>
      </c>
      <c r="P1" t="s">
        <v>611</v>
      </c>
      <c r="Q1" t="s">
        <v>612</v>
      </c>
      <c r="R1" t="s">
        <v>485</v>
      </c>
      <c r="S1" t="s">
        <v>65</v>
      </c>
      <c r="T1" t="s">
        <v>613</v>
      </c>
      <c r="U1" t="s">
        <v>386</v>
      </c>
      <c r="V1" t="s">
        <v>66</v>
      </c>
      <c r="W1" t="s">
        <v>614</v>
      </c>
      <c r="X1" t="s">
        <v>615</v>
      </c>
      <c r="Y1" t="s">
        <v>616</v>
      </c>
      <c r="Z1" t="s">
        <v>617</v>
      </c>
      <c r="AA1" t="s">
        <v>618</v>
      </c>
      <c r="AB1" t="s">
        <v>619</v>
      </c>
      <c r="AC1" t="s">
        <v>620</v>
      </c>
      <c r="AD1" t="s">
        <v>621</v>
      </c>
      <c r="AE1" t="s">
        <v>67</v>
      </c>
      <c r="AF1" t="s">
        <v>68</v>
      </c>
      <c r="AG1" t="s">
        <v>622</v>
      </c>
      <c r="AH1" t="s">
        <v>623</v>
      </c>
      <c r="AI1" t="s">
        <v>624</v>
      </c>
      <c r="AJ1" t="s">
        <v>69</v>
      </c>
      <c r="AK1" t="s">
        <v>625</v>
      </c>
      <c r="AL1" t="s">
        <v>185</v>
      </c>
      <c r="AM1" t="s">
        <v>626</v>
      </c>
      <c r="AN1" t="s">
        <v>627</v>
      </c>
      <c r="AO1" t="s">
        <v>628</v>
      </c>
      <c r="AP1" t="s">
        <v>629</v>
      </c>
      <c r="AQ1" t="s">
        <v>630</v>
      </c>
      <c r="AR1" t="s">
        <v>631</v>
      </c>
      <c r="AS1" t="s">
        <v>632</v>
      </c>
      <c r="AT1" t="s">
        <v>633</v>
      </c>
      <c r="AU1" t="s">
        <v>634</v>
      </c>
      <c r="AV1" t="s">
        <v>635</v>
      </c>
      <c r="AW1" t="s">
        <v>636</v>
      </c>
      <c r="AX1" t="s">
        <v>637</v>
      </c>
      <c r="AY1" t="s">
        <v>638</v>
      </c>
      <c r="AZ1" t="s">
        <v>186</v>
      </c>
      <c r="BA1" t="s">
        <v>187</v>
      </c>
      <c r="BB1" t="s">
        <v>188</v>
      </c>
      <c r="BC1" t="s">
        <v>639</v>
      </c>
      <c r="BD1" t="s">
        <v>387</v>
      </c>
      <c r="BE1" t="s">
        <v>189</v>
      </c>
      <c r="BF1" t="s">
        <v>190</v>
      </c>
      <c r="BG1" t="s">
        <v>191</v>
      </c>
      <c r="BH1" t="s">
        <v>640</v>
      </c>
      <c r="BI1" t="s">
        <v>641</v>
      </c>
      <c r="BJ1" t="s">
        <v>642</v>
      </c>
      <c r="BK1" t="s">
        <v>643</v>
      </c>
      <c r="BL1" t="s">
        <v>644</v>
      </c>
      <c r="BM1" t="s">
        <v>645</v>
      </c>
      <c r="BN1" t="s">
        <v>646</v>
      </c>
      <c r="BO1" t="s">
        <v>486</v>
      </c>
      <c r="BP1" t="s">
        <v>388</v>
      </c>
      <c r="BQ1" t="s">
        <v>647</v>
      </c>
      <c r="BR1" t="s">
        <v>487</v>
      </c>
      <c r="BS1" t="s">
        <v>389</v>
      </c>
      <c r="BT1" t="s">
        <v>648</v>
      </c>
      <c r="BU1" t="s">
        <v>509</v>
      </c>
      <c r="BV1" t="s">
        <v>649</v>
      </c>
      <c r="BW1" t="s">
        <v>650</v>
      </c>
      <c r="BX1" t="s">
        <v>356</v>
      </c>
      <c r="BY1" t="s">
        <v>651</v>
      </c>
      <c r="BZ1" t="s">
        <v>652</v>
      </c>
      <c r="CA1" t="s">
        <v>357</v>
      </c>
      <c r="CB1" t="s">
        <v>653</v>
      </c>
      <c r="CC1" t="s">
        <v>654</v>
      </c>
      <c r="CD1" t="s">
        <v>655</v>
      </c>
      <c r="CE1" t="s">
        <v>656</v>
      </c>
      <c r="CF1" s="1" t="s">
        <v>488</v>
      </c>
      <c r="CG1" s="1" t="s">
        <v>489</v>
      </c>
      <c r="CH1" s="1" t="s">
        <v>343</v>
      </c>
      <c r="CI1" s="1" t="s">
        <v>344</v>
      </c>
      <c r="CJ1" s="1" t="s">
        <v>345</v>
      </c>
      <c r="CK1" s="1" t="s">
        <v>346</v>
      </c>
      <c r="CL1" s="1" t="s">
        <v>347</v>
      </c>
      <c r="CM1" s="1" t="s">
        <v>348</v>
      </c>
      <c r="CN1" s="1" t="s">
        <v>349</v>
      </c>
      <c r="CO1" s="1" t="s">
        <v>350</v>
      </c>
      <c r="CP1" s="1" t="s">
        <v>351</v>
      </c>
      <c r="CQ1" s="1" t="s">
        <v>352</v>
      </c>
      <c r="CR1" s="1" t="s">
        <v>657</v>
      </c>
      <c r="CS1" s="1" t="s">
        <v>658</v>
      </c>
      <c r="CT1" s="1" t="s">
        <v>659</v>
      </c>
      <c r="CU1" s="1" t="s">
        <v>660</v>
      </c>
      <c r="CV1" s="1" t="s">
        <v>661</v>
      </c>
      <c r="CW1" s="1" t="s">
        <v>662</v>
      </c>
      <c r="CX1">
        <v>1</v>
      </c>
      <c r="CY1" t="s">
        <v>663</v>
      </c>
      <c r="CZ1" t="s">
        <v>664</v>
      </c>
      <c r="DA1">
        <v>3</v>
      </c>
      <c r="DB1" t="s">
        <v>665</v>
      </c>
      <c r="DC1" t="s">
        <v>666</v>
      </c>
      <c r="DD1">
        <v>6</v>
      </c>
      <c r="DE1" t="s">
        <v>667</v>
      </c>
      <c r="DF1" t="s">
        <v>668</v>
      </c>
      <c r="DG1">
        <v>10</v>
      </c>
      <c r="DH1" t="s">
        <v>669</v>
      </c>
      <c r="DI1" t="s">
        <v>670</v>
      </c>
      <c r="DJ1">
        <v>20</v>
      </c>
      <c r="DK1" t="s">
        <v>671</v>
      </c>
      <c r="DL1" t="s">
        <v>353</v>
      </c>
      <c r="DM1" t="s">
        <v>354</v>
      </c>
      <c r="DN1" s="2" t="s">
        <v>355</v>
      </c>
      <c r="DO1" t="s">
        <v>672</v>
      </c>
      <c r="DP1" t="s">
        <v>673</v>
      </c>
      <c r="DQ1" s="12" t="s">
        <v>674</v>
      </c>
      <c r="DR1" s="1" t="s">
        <v>675</v>
      </c>
      <c r="DS1" s="1" t="s">
        <v>676</v>
      </c>
      <c r="DT1" t="s">
        <v>677</v>
      </c>
      <c r="DU1" t="s">
        <v>678</v>
      </c>
      <c r="DV1" t="s">
        <v>679</v>
      </c>
      <c r="DW1" t="s">
        <v>680</v>
      </c>
      <c r="DX1" t="s">
        <v>681</v>
      </c>
      <c r="DY1" t="s">
        <v>682</v>
      </c>
      <c r="DZ1" t="s">
        <v>683</v>
      </c>
      <c r="EA1" t="s">
        <v>684</v>
      </c>
      <c r="EB1" t="s">
        <v>685</v>
      </c>
      <c r="EC1" t="s">
        <v>686</v>
      </c>
      <c r="ED1" t="s">
        <v>687</v>
      </c>
      <c r="EE1" t="s">
        <v>688</v>
      </c>
      <c r="EF1" t="s">
        <v>689</v>
      </c>
      <c r="EG1" t="s">
        <v>690</v>
      </c>
      <c r="EH1" t="s">
        <v>691</v>
      </c>
      <c r="EI1" t="s">
        <v>692</v>
      </c>
      <c r="EK1" s="13" t="s">
        <v>693</v>
      </c>
      <c r="EL1" t="s">
        <v>694</v>
      </c>
      <c r="EM1" t="s">
        <v>695</v>
      </c>
      <c r="EN1" t="s">
        <v>696</v>
      </c>
      <c r="EO1" t="s">
        <v>697</v>
      </c>
      <c r="EP1" t="s">
        <v>698</v>
      </c>
    </row>
    <row r="2" spans="1:146" ht="144" x14ac:dyDescent="0.25">
      <c r="A2" s="6"/>
      <c r="B2" s="6"/>
      <c r="C2" s="6" t="str">
        <f>"公司主营业务为血液制品的研究、开发、生产和销售，公司主要产品为人血白蛋白、静注人免疫球蛋白(pH4)、人免疫球蛋白、乙型肝炎人免疫球蛋白、破伤风人免疫球蛋白、狂犬病人免疫球蛋白、人凝血因子Ⅷ。"&amp;CHAR(10)&amp;Basic_Fundamental_Information_Constructure(F2)&amp;CHAR(10)&amp;Basic_Fundamental_Information_Concatenate("血液制品 9.90亿 99.94% 99.92% 47.36%
其他 57.16万 0.06% 0.08% 69.30%")</f>
        <v>公司主营业务为血液制品的研究、开发、生产和销售，公司主要产品为人血白蛋白、静注人免疫球蛋白(pH4)、人免疫球蛋白、乙型肝炎人免疫球蛋白、破伤风人免疫球蛋白、狂犬病人免疫球蛋白、人凝血因子Ⅷ。
市值199.09456亿, 利润6.12亿; PE29.38; 平均PE59.25; 平均PEG2.32, PB2.64; ROIC6.9267%; ROE6.8633%; 股利率.7361%; 毛利49.8933%; 净利23.5167%; 上一年度营收增-3.16%, 利润增4.26%; 当季营收增67.05%, 利润增116.31%; 过往5年营收增25.55%, 利润增56.18%
Income profile:
血液制品 9.90亿 99.94% 99.92% 47.36%
其他 57.16万 0.06% 0.08% 69.30%</v>
      </c>
      <c r="D2" t="s">
        <v>39</v>
      </c>
      <c r="E2" t="s">
        <v>192</v>
      </c>
      <c r="F2">
        <v>27.16</v>
      </c>
      <c r="G2">
        <v>3.11</v>
      </c>
      <c r="H2" t="s">
        <v>964</v>
      </c>
      <c r="I2">
        <v>19909456000</v>
      </c>
      <c r="J2">
        <v>29.38</v>
      </c>
      <c r="K2">
        <v>2.64</v>
      </c>
      <c r="L2" t="s">
        <v>30</v>
      </c>
      <c r="M2" t="s">
        <v>965</v>
      </c>
      <c r="N2" t="s">
        <v>966</v>
      </c>
      <c r="O2" t="s">
        <v>268</v>
      </c>
      <c r="P2">
        <v>67</v>
      </c>
      <c r="Q2" t="s">
        <v>967</v>
      </c>
      <c r="R2">
        <v>121948627</v>
      </c>
      <c r="S2" s="5">
        <v>1.163</v>
      </c>
      <c r="T2" t="s">
        <v>414</v>
      </c>
      <c r="U2">
        <v>687966270</v>
      </c>
      <c r="V2">
        <v>733043290</v>
      </c>
      <c r="W2">
        <v>1.1599999999999999</v>
      </c>
      <c r="X2">
        <v>0.05</v>
      </c>
      <c r="Y2">
        <v>27.97</v>
      </c>
      <c r="Z2" t="s">
        <v>605</v>
      </c>
      <c r="AA2" t="s">
        <v>584</v>
      </c>
      <c r="AB2" t="s">
        <v>968</v>
      </c>
      <c r="AC2" t="s">
        <v>969</v>
      </c>
      <c r="AD2" t="s">
        <v>5</v>
      </c>
      <c r="AE2">
        <v>-13457324</v>
      </c>
      <c r="AF2" t="s">
        <v>970</v>
      </c>
      <c r="AG2" t="s">
        <v>971</v>
      </c>
      <c r="AH2" t="s">
        <v>972</v>
      </c>
      <c r="AI2" t="s">
        <v>973</v>
      </c>
      <c r="AJ2" t="s">
        <v>974</v>
      </c>
      <c r="AK2" t="s">
        <v>975</v>
      </c>
      <c r="AL2" t="s">
        <v>976</v>
      </c>
      <c r="AM2" t="s">
        <v>5</v>
      </c>
      <c r="AN2" t="s">
        <v>977</v>
      </c>
      <c r="AO2" t="s">
        <v>219</v>
      </c>
      <c r="AP2" t="s">
        <v>5</v>
      </c>
      <c r="AQ2" t="s">
        <v>733</v>
      </c>
      <c r="AR2" t="s">
        <v>5</v>
      </c>
      <c r="AS2" t="s">
        <v>978</v>
      </c>
      <c r="AT2" t="s">
        <v>500</v>
      </c>
      <c r="AU2" t="s">
        <v>979</v>
      </c>
      <c r="AV2" t="s">
        <v>757</v>
      </c>
      <c r="AW2" t="s">
        <v>980</v>
      </c>
      <c r="AX2" t="s">
        <v>699</v>
      </c>
      <c r="AY2" t="s">
        <v>391</v>
      </c>
      <c r="AZ2" t="s">
        <v>193</v>
      </c>
      <c r="BA2" t="s">
        <v>70</v>
      </c>
      <c r="BB2" t="s">
        <v>195</v>
      </c>
      <c r="BC2" t="s">
        <v>700</v>
      </c>
      <c r="BD2" t="s">
        <v>392</v>
      </c>
      <c r="BE2" t="s">
        <v>194</v>
      </c>
      <c r="BF2" t="s">
        <v>71</v>
      </c>
      <c r="BG2" t="s">
        <v>196</v>
      </c>
      <c r="BH2" t="s">
        <v>967</v>
      </c>
      <c r="BI2" t="s">
        <v>831</v>
      </c>
      <c r="BJ2" t="s">
        <v>699</v>
      </c>
      <c r="BK2" t="s">
        <v>414</v>
      </c>
      <c r="BL2" t="s">
        <v>832</v>
      </c>
      <c r="BM2" t="s">
        <v>700</v>
      </c>
      <c r="BN2">
        <v>3.89</v>
      </c>
      <c r="BO2">
        <v>7.91</v>
      </c>
      <c r="BP2">
        <v>8.98</v>
      </c>
      <c r="BQ2">
        <v>4.66</v>
      </c>
      <c r="BR2">
        <v>8.9</v>
      </c>
      <c r="BS2">
        <v>7.03</v>
      </c>
      <c r="BT2" t="s">
        <v>981</v>
      </c>
      <c r="BU2" t="s">
        <v>358</v>
      </c>
      <c r="BV2">
        <v>51.48</v>
      </c>
      <c r="BW2">
        <v>52.13</v>
      </c>
      <c r="BX2">
        <v>46.07</v>
      </c>
      <c r="BY2">
        <v>26.26</v>
      </c>
      <c r="BZ2">
        <v>24.43</v>
      </c>
      <c r="CA2">
        <v>19.86</v>
      </c>
      <c r="CB2">
        <v>1.88</v>
      </c>
      <c r="CC2">
        <v>2.14</v>
      </c>
      <c r="CD2" t="s">
        <v>982</v>
      </c>
      <c r="CE2" t="s">
        <v>194</v>
      </c>
      <c r="CF2" s="8">
        <v>0.67049808429118796</v>
      </c>
      <c r="CG2" s="9">
        <v>1.163126342545866</v>
      </c>
      <c r="CH2" s="8">
        <v>-3.1600832939147949E-2</v>
      </c>
      <c r="CI2" s="8">
        <v>0.21957400441169739</v>
      </c>
      <c r="CJ2" s="8">
        <v>0.87809520959854126</v>
      </c>
      <c r="CK2" s="8">
        <v>0.14628821611404419</v>
      </c>
      <c r="CL2" s="8">
        <v>6.5116278827190399E-2</v>
      </c>
      <c r="CM2" s="9">
        <v>4.2589437216520309E-2</v>
      </c>
      <c r="CN2" s="9">
        <v>0.50127875804901123</v>
      </c>
      <c r="CO2" s="9">
        <v>1.102150559425354</v>
      </c>
      <c r="CP2" s="9">
        <v>0.16249999403953552</v>
      </c>
      <c r="CQ2" s="9">
        <v>1.0004301071166992</v>
      </c>
      <c r="CR2">
        <v>59.254838880569821</v>
      </c>
      <c r="CS2">
        <v>2.3192210180436788</v>
      </c>
      <c r="CT2">
        <v>0.73611818851251842</v>
      </c>
      <c r="CU2" s="8">
        <v>0.25549457520246505</v>
      </c>
      <c r="CV2" s="9">
        <v>0.56178977116942408</v>
      </c>
      <c r="CW2">
        <v>0.06</v>
      </c>
      <c r="CX2">
        <v>18.725354229271392</v>
      </c>
      <c r="CY2">
        <v>724870452.85274398</v>
      </c>
      <c r="CZ2">
        <v>0.25549457520246505</v>
      </c>
      <c r="DA2">
        <v>5.3337096680208669</v>
      </c>
      <c r="DB2">
        <v>2544843428.839385</v>
      </c>
      <c r="DC2">
        <v>0.24271984644234179</v>
      </c>
      <c r="DD2">
        <v>2.1624167954668718</v>
      </c>
      <c r="DE2">
        <v>6276984172.7341251</v>
      </c>
      <c r="DF2">
        <v>0.22483522617816923</v>
      </c>
      <c r="DG2">
        <v>1.0281671548704971</v>
      </c>
      <c r="DH2">
        <v>13201604365.303465</v>
      </c>
      <c r="DI2">
        <v>0.20439566016197205</v>
      </c>
      <c r="DJ2">
        <v>0.30315082734921145</v>
      </c>
      <c r="DK2">
        <v>44774596588.397888</v>
      </c>
      <c r="DL2">
        <v>0.17884620264172552</v>
      </c>
      <c r="DM2">
        <v>612000000</v>
      </c>
      <c r="DN2">
        <v>0.25549457520246505</v>
      </c>
      <c r="DO2">
        <v>13573456000</v>
      </c>
      <c r="DP2">
        <v>2582910500</v>
      </c>
      <c r="DQ2">
        <v>71</v>
      </c>
      <c r="DR2">
        <v>0.41500350908872291</v>
      </c>
      <c r="DS2">
        <v>0.60133657137644192</v>
      </c>
      <c r="DT2" s="10">
        <v>-2.3333333333333355E-2</v>
      </c>
      <c r="DU2">
        <v>0.95333333333333348</v>
      </c>
      <c r="DV2">
        <v>0.93000000000000016</v>
      </c>
      <c r="DW2">
        <v>2.1400000000000002E-2</v>
      </c>
      <c r="DX2">
        <v>0.34328602150537701</v>
      </c>
      <c r="DY2">
        <v>2.8523208602150543E-3</v>
      </c>
      <c r="DZ2">
        <v>247</v>
      </c>
      <c r="EA2">
        <v>2.7144493822359702E-3</v>
      </c>
      <c r="EB2">
        <v>0</v>
      </c>
      <c r="EC2">
        <v>3.3819557914512799E-2</v>
      </c>
      <c r="ED2">
        <v>0.25373671996915764</v>
      </c>
      <c r="EE2" s="11">
        <v>1.01311</v>
      </c>
      <c r="EF2">
        <v>1.0257099999999999</v>
      </c>
      <c r="EG2">
        <v>21.133286021505377</v>
      </c>
      <c r="EH2" t="s">
        <v>496</v>
      </c>
      <c r="EI2">
        <v>0</v>
      </c>
      <c r="EJ2">
        <v>1</v>
      </c>
      <c r="EK2" s="13">
        <v>45470</v>
      </c>
      <c r="EL2" s="14">
        <v>-0.5</v>
      </c>
      <c r="EM2" s="14">
        <v>-2.1800000000000002</v>
      </c>
      <c r="EN2" s="14">
        <v>-1.68</v>
      </c>
      <c r="EO2" s="14">
        <v>0.37</v>
      </c>
      <c r="EP2" s="14">
        <v>-1.26</v>
      </c>
    </row>
    <row r="3" spans="1:146" ht="96" x14ac:dyDescent="0.25">
      <c r="A3" s="6"/>
      <c r="B3" s="6"/>
      <c r="C3" s="6" t="str">
        <f>""&amp;CHAR(10)&amp;Basic_Fundamental_Information_Constructure(F3)&amp;CHAR(10)&amp;Basic_Fundamental_Information_Concatenate("")</f>
        <v xml:space="preserve">
市值21.002947亿, 利润-7526.99万; PE; 平均PE-85.92; 平均PEG-10.7, PB4.39; ROIC0%; ROE-7.3233%; 股利率0%; 毛利70.07%; 净利-21.5933%; 上一年度营收增-12.96%, 利润增-54.26%; 当季营收增-1.08%, 利润增84.35%; 过往5年营收增-8.03%, 利润增-16.57%
Income profile:
</v>
      </c>
      <c r="D3" t="s">
        <v>36</v>
      </c>
      <c r="E3" t="s">
        <v>25</v>
      </c>
      <c r="F3">
        <v>2.04</v>
      </c>
      <c r="G3">
        <v>2</v>
      </c>
      <c r="H3" t="s">
        <v>983</v>
      </c>
      <c r="I3">
        <v>2100294700</v>
      </c>
      <c r="K3">
        <v>4.3899999999999997</v>
      </c>
      <c r="L3" t="s">
        <v>30</v>
      </c>
      <c r="M3" t="s">
        <v>359</v>
      </c>
      <c r="N3" t="s">
        <v>984</v>
      </c>
      <c r="O3" t="s">
        <v>985</v>
      </c>
      <c r="P3">
        <v>-1.08</v>
      </c>
      <c r="Q3" t="s">
        <v>986</v>
      </c>
      <c r="R3">
        <v>-2967209</v>
      </c>
      <c r="S3" s="5">
        <v>0.84350000000000003</v>
      </c>
      <c r="T3" t="s">
        <v>987</v>
      </c>
      <c r="U3">
        <v>1029535690</v>
      </c>
      <c r="V3">
        <v>1029556220</v>
      </c>
      <c r="W3">
        <v>1.28</v>
      </c>
      <c r="X3">
        <v>0.09</v>
      </c>
      <c r="Y3">
        <v>-5.73</v>
      </c>
      <c r="Z3" t="s">
        <v>988</v>
      </c>
      <c r="AA3" t="s">
        <v>989</v>
      </c>
      <c r="AB3" t="s">
        <v>990</v>
      </c>
      <c r="AC3" t="s">
        <v>991</v>
      </c>
      <c r="AD3" t="s">
        <v>5</v>
      </c>
      <c r="AE3">
        <v>542908</v>
      </c>
      <c r="AF3" t="s">
        <v>992</v>
      </c>
      <c r="AG3" t="s">
        <v>993</v>
      </c>
      <c r="AH3" t="s">
        <v>994</v>
      </c>
      <c r="AI3" t="s">
        <v>995</v>
      </c>
      <c r="AJ3" t="s">
        <v>996</v>
      </c>
      <c r="AK3" t="s">
        <v>5</v>
      </c>
      <c r="AL3" t="s">
        <v>997</v>
      </c>
      <c r="AM3" t="s">
        <v>5</v>
      </c>
      <c r="AN3" t="s">
        <v>998</v>
      </c>
      <c r="AO3" t="s">
        <v>999</v>
      </c>
      <c r="AP3" t="s">
        <v>5</v>
      </c>
      <c r="AQ3" t="s">
        <v>1000</v>
      </c>
      <c r="AR3" t="s">
        <v>1001</v>
      </c>
      <c r="AS3" t="s">
        <v>837</v>
      </c>
      <c r="AT3" t="s">
        <v>5</v>
      </c>
      <c r="AU3" t="s">
        <v>1002</v>
      </c>
      <c r="AV3" t="s">
        <v>1003</v>
      </c>
      <c r="AW3" t="s">
        <v>1004</v>
      </c>
      <c r="AX3" t="s">
        <v>396</v>
      </c>
      <c r="AY3" t="s">
        <v>369</v>
      </c>
      <c r="AZ3" t="s">
        <v>197</v>
      </c>
      <c r="BA3" t="s">
        <v>79</v>
      </c>
      <c r="BB3" t="s">
        <v>150</v>
      </c>
      <c r="BC3" t="s">
        <v>702</v>
      </c>
      <c r="BD3" t="s">
        <v>393</v>
      </c>
      <c r="BE3" t="s">
        <v>198</v>
      </c>
      <c r="BF3" t="s">
        <v>80</v>
      </c>
      <c r="BG3" t="s">
        <v>199</v>
      </c>
      <c r="BH3" t="s">
        <v>986</v>
      </c>
      <c r="BI3" t="s">
        <v>834</v>
      </c>
      <c r="BJ3" t="s">
        <v>396</v>
      </c>
      <c r="BK3" t="s">
        <v>987</v>
      </c>
      <c r="BL3" t="s">
        <v>835</v>
      </c>
      <c r="BM3" t="s">
        <v>702</v>
      </c>
      <c r="BN3" t="s">
        <v>5</v>
      </c>
      <c r="BO3" t="s">
        <v>5</v>
      </c>
      <c r="BP3" t="s">
        <v>5</v>
      </c>
      <c r="BQ3">
        <v>-8</v>
      </c>
      <c r="BR3">
        <v>-8.39</v>
      </c>
      <c r="BS3">
        <v>-5.58</v>
      </c>
      <c r="BT3" t="s">
        <v>593</v>
      </c>
      <c r="BU3" t="s">
        <v>436</v>
      </c>
      <c r="BV3">
        <v>69.760000000000005</v>
      </c>
      <c r="BW3">
        <v>71.03</v>
      </c>
      <c r="BX3">
        <v>69.42</v>
      </c>
      <c r="BY3">
        <v>-34.159999999999997</v>
      </c>
      <c r="BZ3">
        <v>-19.72</v>
      </c>
      <c r="CA3">
        <v>-10.9</v>
      </c>
      <c r="CB3">
        <v>3.03</v>
      </c>
      <c r="CC3">
        <v>-11.69</v>
      </c>
      <c r="CD3" t="s">
        <v>1005</v>
      </c>
      <c r="CE3" t="s">
        <v>1006</v>
      </c>
      <c r="CF3" s="8">
        <v>-1.0779903005428538E-2</v>
      </c>
      <c r="CG3" s="9">
        <v>0.84349420594859459</v>
      </c>
      <c r="CH3" s="8">
        <v>-0.12962962687015533</v>
      </c>
      <c r="CI3" s="8">
        <v>-0.23076923191547394</v>
      </c>
      <c r="CJ3" s="8">
        <v>-0.30495050549507141</v>
      </c>
      <c r="CK3" s="8">
        <v>0.20813396573066711</v>
      </c>
      <c r="CL3" s="8">
        <v>5.55555559694767E-2</v>
      </c>
      <c r="CM3" s="9">
        <v>-0.54264366626739502</v>
      </c>
      <c r="CN3" s="9">
        <v>-0.4024989902973175</v>
      </c>
      <c r="CO3" s="9">
        <v>-2.2745840549468994</v>
      </c>
      <c r="CP3" s="9">
        <v>0.90464591979980469</v>
      </c>
      <c r="CQ3" s="9">
        <v>1.4867864847183228</v>
      </c>
      <c r="CR3">
        <v>-85.921361621585874</v>
      </c>
      <c r="CS3">
        <v>-10.695786896390258</v>
      </c>
      <c r="CT3">
        <v>0</v>
      </c>
      <c r="CU3" s="8">
        <v>-8.0331968516111379E-2</v>
      </c>
      <c r="CV3" s="9">
        <v>-0.1656588613986969</v>
      </c>
      <c r="CW3">
        <v>0.06</v>
      </c>
      <c r="CX3" t="e">
        <v>#VALUE!</v>
      </c>
      <c r="CY3" t="s">
        <v>491</v>
      </c>
      <c r="CZ3">
        <v>-8.0331968516111379E-2</v>
      </c>
      <c r="DA3" t="e">
        <v>#VALUE!</v>
      </c>
      <c r="DB3" t="s">
        <v>492</v>
      </c>
      <c r="DC3">
        <v>-7.6315370090305812E-2</v>
      </c>
      <c r="DD3" t="e">
        <v>#VALUE!</v>
      </c>
      <c r="DE3" t="s">
        <v>492</v>
      </c>
      <c r="DF3">
        <v>-7.069213229417802E-2</v>
      </c>
      <c r="DG3" t="e">
        <v>#VALUE!</v>
      </c>
      <c r="DH3" t="s">
        <v>492</v>
      </c>
      <c r="DI3">
        <v>-6.4265574812889109E-2</v>
      </c>
      <c r="DJ3" t="e">
        <v>#VALUE!</v>
      </c>
      <c r="DK3" t="s">
        <v>492</v>
      </c>
      <c r="DL3">
        <v>-5.623237796127796E-2</v>
      </c>
      <c r="DM3">
        <v>-75269900</v>
      </c>
      <c r="DN3">
        <v>-8.0331968516111379E-2</v>
      </c>
      <c r="DO3">
        <v>1738294700</v>
      </c>
      <c r="DP3">
        <v>391025660</v>
      </c>
      <c r="DQ3">
        <v>105</v>
      </c>
      <c r="DR3">
        <v>6.9552065510682839E-2</v>
      </c>
      <c r="DS3">
        <v>1.0091530673472915</v>
      </c>
      <c r="DT3" s="10">
        <v>-0.60666666666666669</v>
      </c>
      <c r="DU3">
        <v>-1.4183333333333332</v>
      </c>
      <c r="DV3">
        <v>-2.0249999999999999</v>
      </c>
      <c r="DW3">
        <v>6.2058423913043477</v>
      </c>
      <c r="DX3">
        <v>0.37564191616766407</v>
      </c>
      <c r="DY3">
        <v>6.0279208563850561</v>
      </c>
      <c r="DZ3">
        <v>4401</v>
      </c>
      <c r="EA3">
        <v>6.0038739505238761</v>
      </c>
      <c r="EB3">
        <v>6</v>
      </c>
      <c r="EC3">
        <v>4.4003813604273107E-2</v>
      </c>
      <c r="ED3">
        <v>0.32441161882349662</v>
      </c>
      <c r="EE3" s="11">
        <v>7.5999999999999991E-3</v>
      </c>
      <c r="EF3">
        <v>2.7799999999999998E-2</v>
      </c>
      <c r="EG3">
        <v>24.135641916167664</v>
      </c>
      <c r="EH3" t="s">
        <v>493</v>
      </c>
      <c r="EI3">
        <v>0</v>
      </c>
      <c r="EJ3">
        <v>0</v>
      </c>
      <c r="EK3" s="13">
        <v>45470</v>
      </c>
      <c r="EL3" s="14">
        <v>1.01</v>
      </c>
      <c r="EM3" s="14">
        <v>-4.4800000000000004</v>
      </c>
      <c r="EN3" s="14">
        <v>0.52</v>
      </c>
      <c r="EO3" s="14">
        <v>2.59</v>
      </c>
      <c r="EP3" s="14">
        <v>2.02</v>
      </c>
    </row>
    <row r="4" spans="1:146" ht="96" x14ac:dyDescent="0.25">
      <c r="A4" s="6"/>
      <c r="B4" s="6"/>
      <c r="C4" s="6" t="str">
        <f>""&amp;CHAR(10)&amp;Basic_Fundamental_Information_Constructure(F4)&amp;CHAR(10)&amp;Basic_Fundamental_Information_Concatenate("")</f>
        <v xml:space="preserve">
市值50.399911亿, 利润1.77亿; PE27.42; 平均PE45.36; 平均PEG5.44, PB4.33; ROIC6.7167%; ROE9.2167%; 股利率1.2158%; 毛利76.8133%; 净利15.36%; 上一年度营收增23.55%, 利润增73.53%; 当季营收增3.2%, 利润增12.41%; 过往5年营收增8.34%, 利润增12.41%
Income profile:
</v>
      </c>
      <c r="D4" t="s">
        <v>47</v>
      </c>
      <c r="E4" t="s">
        <v>48</v>
      </c>
      <c r="F4">
        <v>9.8699999999999992</v>
      </c>
      <c r="G4">
        <v>2.39</v>
      </c>
      <c r="H4" t="s">
        <v>1007</v>
      </c>
      <c r="I4">
        <v>5039991100</v>
      </c>
      <c r="J4">
        <v>27.42</v>
      </c>
      <c r="K4">
        <v>4.33</v>
      </c>
      <c r="L4" t="s">
        <v>30</v>
      </c>
      <c r="M4" t="s">
        <v>1008</v>
      </c>
      <c r="N4" t="s">
        <v>1009</v>
      </c>
      <c r="O4" t="s">
        <v>1010</v>
      </c>
      <c r="P4">
        <v>3.2</v>
      </c>
      <c r="Q4" t="s">
        <v>1011</v>
      </c>
      <c r="R4">
        <v>65768245</v>
      </c>
      <c r="S4" s="5">
        <v>0.1241</v>
      </c>
      <c r="T4" t="s">
        <v>712</v>
      </c>
      <c r="U4">
        <v>497734370</v>
      </c>
      <c r="V4">
        <v>510637400</v>
      </c>
      <c r="W4">
        <v>2.59</v>
      </c>
      <c r="X4">
        <v>0.09</v>
      </c>
      <c r="Y4">
        <v>21.59</v>
      </c>
      <c r="Z4" t="s">
        <v>772</v>
      </c>
      <c r="AA4" t="s">
        <v>1012</v>
      </c>
      <c r="AB4" t="s">
        <v>1013</v>
      </c>
      <c r="AC4" t="s">
        <v>1014</v>
      </c>
      <c r="AD4" t="s">
        <v>5</v>
      </c>
      <c r="AE4">
        <v>7497399</v>
      </c>
      <c r="AF4" t="s">
        <v>1015</v>
      </c>
      <c r="AG4" t="s">
        <v>1016</v>
      </c>
      <c r="AH4" t="s">
        <v>1017</v>
      </c>
      <c r="AI4" t="s">
        <v>945</v>
      </c>
      <c r="AJ4" t="s">
        <v>1018</v>
      </c>
      <c r="AK4" t="s">
        <v>1019</v>
      </c>
      <c r="AL4" t="s">
        <v>1020</v>
      </c>
      <c r="AM4" t="s">
        <v>5</v>
      </c>
      <c r="AN4" t="s">
        <v>1021</v>
      </c>
      <c r="AO4" t="s">
        <v>895</v>
      </c>
      <c r="AP4" t="s">
        <v>5</v>
      </c>
      <c r="AQ4" t="s">
        <v>203</v>
      </c>
      <c r="AR4" t="s">
        <v>5</v>
      </c>
      <c r="AS4" t="s">
        <v>286</v>
      </c>
      <c r="AT4" t="s">
        <v>978</v>
      </c>
      <c r="AU4" t="s">
        <v>1022</v>
      </c>
      <c r="AV4" t="s">
        <v>1023</v>
      </c>
      <c r="AW4" t="s">
        <v>1024</v>
      </c>
      <c r="AX4" t="s">
        <v>310</v>
      </c>
      <c r="AY4" t="s">
        <v>394</v>
      </c>
      <c r="AZ4" t="s">
        <v>201</v>
      </c>
      <c r="BA4" t="s">
        <v>81</v>
      </c>
      <c r="BB4" t="s">
        <v>124</v>
      </c>
      <c r="BC4" t="s">
        <v>121</v>
      </c>
      <c r="BD4" t="s">
        <v>395</v>
      </c>
      <c r="BE4" t="s">
        <v>202</v>
      </c>
      <c r="BF4" t="s">
        <v>82</v>
      </c>
      <c r="BG4" t="s">
        <v>104</v>
      </c>
      <c r="BH4" t="s">
        <v>1011</v>
      </c>
      <c r="BI4" t="s">
        <v>838</v>
      </c>
      <c r="BJ4" t="s">
        <v>310</v>
      </c>
      <c r="BK4" t="s">
        <v>712</v>
      </c>
      <c r="BL4" t="s">
        <v>839</v>
      </c>
      <c r="BM4" t="s">
        <v>121</v>
      </c>
      <c r="BN4">
        <v>6.66</v>
      </c>
      <c r="BO4">
        <v>7</v>
      </c>
      <c r="BP4">
        <v>6.49</v>
      </c>
      <c r="BQ4">
        <v>9.58</v>
      </c>
      <c r="BR4">
        <v>8.8699999999999992</v>
      </c>
      <c r="BS4">
        <v>9.1999999999999993</v>
      </c>
      <c r="BT4" t="s">
        <v>1025</v>
      </c>
      <c r="BU4" t="s">
        <v>436</v>
      </c>
      <c r="BV4">
        <v>74.23</v>
      </c>
      <c r="BW4">
        <v>76.849999999999994</v>
      </c>
      <c r="BX4">
        <v>79.36</v>
      </c>
      <c r="BY4">
        <v>19.239999999999998</v>
      </c>
      <c r="BZ4">
        <v>13.3</v>
      </c>
      <c r="CA4">
        <v>13.54</v>
      </c>
      <c r="CB4">
        <v>-0.6</v>
      </c>
      <c r="CC4">
        <v>-13.19</v>
      </c>
      <c r="CD4" t="s">
        <v>1026</v>
      </c>
      <c r="CE4" t="s">
        <v>1027</v>
      </c>
      <c r="CF4" s="8">
        <v>3.2028469750889681E-2</v>
      </c>
      <c r="CG4" s="9">
        <v>0.12412244493328069</v>
      </c>
      <c r="CH4" s="8">
        <v>0.23551636934280396</v>
      </c>
      <c r="CI4" s="8">
        <v>0.21036584675312042</v>
      </c>
      <c r="CJ4" s="8">
        <v>0.1862567812204361</v>
      </c>
      <c r="CK4" s="8">
        <v>7.2859744541347027E-3</v>
      </c>
      <c r="CL4" s="8">
        <v>-0.22237960994243622</v>
      </c>
      <c r="CM4" s="9">
        <v>0.73529410362243652</v>
      </c>
      <c r="CN4" s="9">
        <v>7.038966566324234E-2</v>
      </c>
      <c r="CO4" s="9">
        <v>0.24198639392852783</v>
      </c>
      <c r="CP4" s="9">
        <v>8.5605219006538391E-2</v>
      </c>
      <c r="CQ4" s="9">
        <v>-0.51258206367492676</v>
      </c>
      <c r="CR4">
        <v>45.35807382639527</v>
      </c>
      <c r="CS4">
        <v>5.4380264088748778</v>
      </c>
      <c r="CT4">
        <v>1.21580547112462</v>
      </c>
      <c r="CU4" s="8">
        <v>8.3409072365611792E-2</v>
      </c>
      <c r="CV4" s="9">
        <v>0.12413866370916367</v>
      </c>
      <c r="CW4">
        <v>0.06</v>
      </c>
      <c r="CX4">
        <v>30.949234245037225</v>
      </c>
      <c r="CY4">
        <v>180908873.40444651</v>
      </c>
      <c r="CZ4">
        <v>8.3409072365611792E-2</v>
      </c>
      <c r="DA4">
        <v>10.170567756071488</v>
      </c>
      <c r="DB4">
        <v>550509198.13769388</v>
      </c>
      <c r="DC4">
        <v>7.9238618747331194E-2</v>
      </c>
      <c r="DD4">
        <v>5.04417679536314</v>
      </c>
      <c r="DE4">
        <v>1109991050.5014164</v>
      </c>
      <c r="DF4">
        <v>7.3399983681738376E-2</v>
      </c>
      <c r="DG4">
        <v>3.054593418334838</v>
      </c>
      <c r="DH4">
        <v>1832974256.5386</v>
      </c>
      <c r="DI4">
        <v>6.6727257892489442E-2</v>
      </c>
      <c r="DJ4">
        <v>1.6070778810105295</v>
      </c>
      <c r="DK4">
        <v>3483957539.431355</v>
      </c>
      <c r="DL4">
        <v>5.8386350655928253E-2</v>
      </c>
      <c r="DM4">
        <v>177000000</v>
      </c>
      <c r="DN4">
        <v>8.3409072365611792E-2</v>
      </c>
      <c r="DO4">
        <v>5598991100</v>
      </c>
      <c r="DP4">
        <v>117920780</v>
      </c>
      <c r="DQ4">
        <v>119</v>
      </c>
      <c r="DR4">
        <v>-5.1380602614722111E-2</v>
      </c>
      <c r="DS4">
        <v>-1.6218775882981262E-5</v>
      </c>
      <c r="DT4" s="10">
        <v>-9.0000000000000011E-2</v>
      </c>
      <c r="DU4">
        <v>0.3666666666666667</v>
      </c>
      <c r="DV4">
        <v>0.27666666666666667</v>
      </c>
      <c r="DW4">
        <v>-2.1318999999999999</v>
      </c>
      <c r="DX4">
        <v>0.34568517972049007</v>
      </c>
      <c r="DY4">
        <v>-2.0152588752051326</v>
      </c>
      <c r="DZ4">
        <v>1097</v>
      </c>
      <c r="EA4">
        <v>-2.0119831440700975</v>
      </c>
      <c r="EB4">
        <v>2</v>
      </c>
      <c r="EC4">
        <v>2.1342737527646819E-2</v>
      </c>
      <c r="ED4">
        <v>0.18448981606125991</v>
      </c>
      <c r="EE4" s="11">
        <v>-2.0443099999999998</v>
      </c>
      <c r="EF4">
        <v>-2.07721</v>
      </c>
      <c r="EG4">
        <v>23.11568517972049</v>
      </c>
      <c r="EH4" t="s">
        <v>731</v>
      </c>
      <c r="EI4">
        <v>0</v>
      </c>
      <c r="EJ4">
        <v>1</v>
      </c>
      <c r="EK4" s="13">
        <v>45470</v>
      </c>
      <c r="EL4" s="14">
        <v>-0.39</v>
      </c>
      <c r="EM4" s="14">
        <v>-3.94</v>
      </c>
      <c r="EN4" s="14">
        <v>0.31</v>
      </c>
      <c r="EO4" s="14">
        <v>2.4500000000000002</v>
      </c>
      <c r="EP4" s="14">
        <v>-3.29</v>
      </c>
    </row>
    <row r="5" spans="1:146" ht="180" x14ac:dyDescent="0.25">
      <c r="A5" s="6" t="s">
        <v>816</v>
      </c>
      <c r="B5" s="6" t="s">
        <v>817</v>
      </c>
      <c r="C5" s="6" t="str">
        <f>"公司的主营业务以生物制药、中成药生产及销售、房地产开发为主导产业，辅以开发区基础设施建设、物业管理等。公司的主要产品为聚乙二醇重组人生长激素注射液、重组人生长激素、注射用重组人促卵泡激素、冻干水痘减毒活疫苗、人用狂犬病疫苗、血栓心脉宁片、银花泌炎灵片等。"&amp;CHAR(10)&amp;Basic_Fundamental_Information_Constructure(F5)&amp;CHAR(10)&amp;Basic_Fundamental_Information_Concatenate("基因工程/生物类药品 112.90亿 89.41% 94.42% 92.93%
中成药 6.58亿 5.21% 4.02% 67.93%
房地产 6.44亿 5.10% 1.51% 25.96%
服务业 3410.71万 0.27% 0.05% 16.15%")</f>
        <v>公司的主营业务以生物制药、中成药生产及销售、房地产开发为主导产业，辅以开发区基础设施建设、物业管理等。公司的主要产品为聚乙二醇重组人生长激素注射液、重组人生长激素、注射用重组人促卵泡激素、冻干水痘减毒活疫苗、人用狂犬病疫苗、血栓心脉宁片、银花泌炎灵片等。
市值366.16467亿, 利润45.32亿; PE8.08; 平均PE12.03; 平均PEG.54, PB1.6; ROIC19.7467%; ROE24.2267%; 股利率4.9702%; 毛利87.1933%; 净利34.1467%; 上一年度营收增15.36%, 利润增9.44%; 当季营收增14.36%, 利润增.2%; 过往5年营收增22.33%, 利润增38.21%
Income profile:
基因工程/生物类药品 112.90亿 89.41% 94.42% 92.93%
中成药 6.58亿 5.21% 4.02% 67.93%
房地产 6.44亿 5.10% 1.51% 25.96%
服务业 3410.71万 0.27% 0.05% 16.15%</v>
      </c>
      <c r="D5" t="s">
        <v>42</v>
      </c>
      <c r="E5" t="s">
        <v>13</v>
      </c>
      <c r="F5">
        <v>90.54</v>
      </c>
      <c r="G5">
        <v>0.88</v>
      </c>
      <c r="H5" t="s">
        <v>1028</v>
      </c>
      <c r="I5">
        <v>36616467000</v>
      </c>
      <c r="J5">
        <v>8.08</v>
      </c>
      <c r="K5">
        <v>1.6</v>
      </c>
      <c r="L5" t="s">
        <v>30</v>
      </c>
      <c r="M5" t="s">
        <v>1029</v>
      </c>
      <c r="N5" t="s">
        <v>1030</v>
      </c>
      <c r="O5" t="s">
        <v>1031</v>
      </c>
      <c r="P5">
        <v>14.39</v>
      </c>
      <c r="Q5" t="s">
        <v>1032</v>
      </c>
      <c r="R5">
        <v>858728240</v>
      </c>
      <c r="S5" s="5">
        <v>2.0200000000000001E-3</v>
      </c>
      <c r="T5" t="s">
        <v>1033</v>
      </c>
      <c r="U5">
        <v>401940440</v>
      </c>
      <c r="V5">
        <v>404423090</v>
      </c>
      <c r="W5">
        <v>1.19</v>
      </c>
      <c r="X5">
        <v>0.1</v>
      </c>
      <c r="Y5">
        <v>28.06</v>
      </c>
      <c r="Z5" t="s">
        <v>1034</v>
      </c>
      <c r="AA5" t="s">
        <v>1035</v>
      </c>
      <c r="AB5" t="s">
        <v>1036</v>
      </c>
      <c r="AC5" t="s">
        <v>934</v>
      </c>
      <c r="AD5" t="s">
        <v>5</v>
      </c>
      <c r="AE5">
        <v>-32557278</v>
      </c>
      <c r="AF5" t="s">
        <v>1037</v>
      </c>
      <c r="AG5" t="s">
        <v>1038</v>
      </c>
      <c r="AH5" t="s">
        <v>1039</v>
      </c>
      <c r="AI5" t="s">
        <v>1040</v>
      </c>
      <c r="AJ5" t="s">
        <v>1041</v>
      </c>
      <c r="AK5" t="s">
        <v>815</v>
      </c>
      <c r="AL5" t="s">
        <v>1042</v>
      </c>
      <c r="AM5" t="s">
        <v>5</v>
      </c>
      <c r="AN5" t="s">
        <v>897</v>
      </c>
      <c r="AO5" t="s">
        <v>127</v>
      </c>
      <c r="AP5" t="s">
        <v>1043</v>
      </c>
      <c r="AQ5" t="s">
        <v>1044</v>
      </c>
      <c r="AR5" t="s">
        <v>1045</v>
      </c>
      <c r="AS5" t="s">
        <v>1046</v>
      </c>
      <c r="AT5" t="s">
        <v>266</v>
      </c>
      <c r="AU5" t="s">
        <v>1047</v>
      </c>
      <c r="AV5" t="s">
        <v>1048</v>
      </c>
      <c r="AW5" t="s">
        <v>770</v>
      </c>
      <c r="AX5" t="s">
        <v>705</v>
      </c>
      <c r="AY5" t="s">
        <v>397</v>
      </c>
      <c r="AZ5" t="s">
        <v>204</v>
      </c>
      <c r="BA5" t="s">
        <v>84</v>
      </c>
      <c r="BB5" t="s">
        <v>206</v>
      </c>
      <c r="BC5" t="s">
        <v>1049</v>
      </c>
      <c r="BD5" t="s">
        <v>398</v>
      </c>
      <c r="BE5" t="s">
        <v>205</v>
      </c>
      <c r="BF5" t="s">
        <v>85</v>
      </c>
      <c r="BG5" t="s">
        <v>207</v>
      </c>
      <c r="BH5" t="s">
        <v>1032</v>
      </c>
      <c r="BI5" t="s">
        <v>753</v>
      </c>
      <c r="BJ5" t="s">
        <v>705</v>
      </c>
      <c r="BK5" t="s">
        <v>1033</v>
      </c>
      <c r="BL5" t="s">
        <v>841</v>
      </c>
      <c r="BM5" t="s">
        <v>1049</v>
      </c>
      <c r="BN5">
        <v>15.51</v>
      </c>
      <c r="BO5">
        <v>20.21</v>
      </c>
      <c r="BP5">
        <v>23.52</v>
      </c>
      <c r="BQ5">
        <v>18.16</v>
      </c>
      <c r="BR5">
        <v>25.71</v>
      </c>
      <c r="BS5">
        <v>28.81</v>
      </c>
      <c r="BT5" t="s">
        <v>1050</v>
      </c>
      <c r="BU5" t="s">
        <v>436</v>
      </c>
      <c r="BV5">
        <v>85.97</v>
      </c>
      <c r="BW5">
        <v>88</v>
      </c>
      <c r="BX5">
        <v>87.61</v>
      </c>
      <c r="BY5">
        <v>32.79</v>
      </c>
      <c r="BZ5">
        <v>33.380000000000003</v>
      </c>
      <c r="CA5">
        <v>36.270000000000003</v>
      </c>
      <c r="CB5">
        <v>-1.34</v>
      </c>
      <c r="CC5">
        <v>-19.86</v>
      </c>
      <c r="CD5" t="s">
        <v>1051</v>
      </c>
      <c r="CE5" t="s">
        <v>77</v>
      </c>
      <c r="CF5" s="8">
        <v>0.14362850971922247</v>
      </c>
      <c r="CG5" s="9">
        <v>2.0166161026837805E-3</v>
      </c>
      <c r="CH5" s="8">
        <v>0.15355977416038513</v>
      </c>
      <c r="CI5" s="8">
        <v>0.17493258416652679</v>
      </c>
      <c r="CJ5" s="8">
        <v>0.25300219655036926</v>
      </c>
      <c r="CK5" s="8">
        <v>0.16314072906970978</v>
      </c>
      <c r="CL5" s="8">
        <v>0.37190699577331543</v>
      </c>
      <c r="CM5" s="9">
        <v>9.4421595335006714E-2</v>
      </c>
      <c r="CN5" s="9">
        <v>0.10220921039581299</v>
      </c>
      <c r="CO5" s="9">
        <v>0.23301602900028229</v>
      </c>
      <c r="CP5" s="9">
        <v>0.71661967039108276</v>
      </c>
      <c r="CQ5" s="9">
        <v>0.76441359519958496</v>
      </c>
      <c r="CR5">
        <v>12.033015773907328</v>
      </c>
      <c r="CS5">
        <v>0.53885177446758203</v>
      </c>
      <c r="CT5">
        <v>4.9701789264413518</v>
      </c>
      <c r="CU5" s="8">
        <v>0.22330845594406129</v>
      </c>
      <c r="CV5" s="9">
        <v>0.38213602006435393</v>
      </c>
      <c r="CW5">
        <v>0.06</v>
      </c>
      <c r="CX5">
        <v>3.1546406939413028</v>
      </c>
      <c r="CY5">
        <v>5230220681.4514017</v>
      </c>
      <c r="CZ5">
        <v>0.22330845594406129</v>
      </c>
      <c r="DA5">
        <v>0.92249187647585185</v>
      </c>
      <c r="DB5">
        <v>17885758585.79055</v>
      </c>
      <c r="DC5">
        <v>0.21214303314685823</v>
      </c>
      <c r="DD5">
        <v>0.38872056373465913</v>
      </c>
      <c r="DE5">
        <v>42445572833.81218</v>
      </c>
      <c r="DF5">
        <v>0.19651144123077394</v>
      </c>
      <c r="DG5">
        <v>0.19398746056234933</v>
      </c>
      <c r="DH5">
        <v>85054296562.106522</v>
      </c>
      <c r="DI5">
        <v>0.17864676475524904</v>
      </c>
      <c r="DJ5">
        <v>6.4604707989048812E-2</v>
      </c>
      <c r="DK5">
        <v>255391093212.5386</v>
      </c>
      <c r="DL5">
        <v>0.15631591916084289</v>
      </c>
      <c r="DM5">
        <v>4532000000</v>
      </c>
      <c r="DN5">
        <v>0.22330845594406129</v>
      </c>
      <c r="DO5">
        <v>16499467000.000004</v>
      </c>
      <c r="DP5">
        <v>13847669000</v>
      </c>
      <c r="DQ5">
        <v>203</v>
      </c>
      <c r="DR5">
        <v>-7.9679946224838816E-2</v>
      </c>
      <c r="DS5">
        <v>-0.38011940396167015</v>
      </c>
      <c r="DT5" s="10">
        <v>0.22666666666666657</v>
      </c>
      <c r="DU5">
        <v>0.56666666666666654</v>
      </c>
      <c r="DV5">
        <v>0.79333333333333311</v>
      </c>
      <c r="DW5">
        <v>-3.043654761904762</v>
      </c>
      <c r="DX5">
        <v>0.4520402985074618</v>
      </c>
      <c r="DY5">
        <v>-3.0066372830312722</v>
      </c>
      <c r="DZ5">
        <v>362</v>
      </c>
      <c r="EA5">
        <v>-3.0061670880298395</v>
      </c>
      <c r="EB5">
        <v>3</v>
      </c>
      <c r="EC5">
        <v>5.0376451057727686E-2</v>
      </c>
      <c r="ED5">
        <v>0.33133617568670476</v>
      </c>
      <c r="EE5" s="11">
        <v>-1.0940099999999999</v>
      </c>
      <c r="EF5">
        <v>-1.1211100000000001</v>
      </c>
      <c r="EG5">
        <v>30.152040298507462</v>
      </c>
      <c r="EH5" t="s">
        <v>592</v>
      </c>
      <c r="EI5">
        <v>0</v>
      </c>
      <c r="EJ5">
        <v>1</v>
      </c>
      <c r="EK5" s="13">
        <v>45470</v>
      </c>
      <c r="EL5" s="14">
        <v>-0.19</v>
      </c>
      <c r="EM5" s="14">
        <v>-3.02</v>
      </c>
      <c r="EN5" s="14">
        <v>-1.87</v>
      </c>
      <c r="EO5" s="14">
        <v>2.58</v>
      </c>
      <c r="EP5" s="14">
        <v>-2.71</v>
      </c>
    </row>
    <row r="6" spans="1:146" ht="168" x14ac:dyDescent="0.25">
      <c r="A6" s="6" t="s">
        <v>505</v>
      </c>
      <c r="B6" s="6" t="s">
        <v>504</v>
      </c>
      <c r="C6" s="6" t="str">
        <f>"公司是一家主要从事血液制品、菌疫苗的生产和销售的公司.公司的主要产品包括人血白蛋白、静注人免疫球蛋白(PH4)、人凝血酶原复合物、人凝血因子Ⅷ等.公司目前生产规模、市场占有率均居行业前列,成为血液制品、疫苗产品行业的龙头企业;"&amp;CHAR(10)&amp;Basic_Fundamental_Information_Constructure(F6)&amp;CHAR(10)&amp;Basic_Fundamental_Information_Concatenate("血液制品 12.81亿 54.53% 42.27% 52.54%
疫苗制品 10.56亿 44.93% 58.81% 88.71%")</f>
        <v>公司是一家主要从事血液制品、菌疫苗的生产和销售的公司.公司的主要产品包括人血白蛋白、静注人免疫球蛋白(PH4)、人凝血酶原复合物、人凝血因子Ⅷ等.公司目前生产规模、市场占有率均居行业前列,成为血液制品、疫苗产品行业的龙头企业;
市值280.53499亿, 利润14.82亿; PE20.16; 平均PE21.33; 平均PEG1.8, PB2.41; ROIC11.9633%; ROE12.54%; 股利率1.9557%; 毛利68.13%; 净利31.1267%; 上一年度营收增18.26%, 利润增37.73%; 当季营收增-10.67%, 利润增-25.63%; 过往5年营收增11.83%, 利润增7.87%
Income profile:
血液制品 12.81亿 54.53% 42.27% 52.54%
疫苗制品 10.56亿 44.93% 58.81% 88.71%</v>
      </c>
      <c r="D6" t="s">
        <v>44</v>
      </c>
      <c r="E6" t="s">
        <v>14</v>
      </c>
      <c r="F6">
        <v>15.34</v>
      </c>
      <c r="G6">
        <v>2.2000000000000002</v>
      </c>
      <c r="H6" t="s">
        <v>1052</v>
      </c>
      <c r="I6">
        <v>28053499000</v>
      </c>
      <c r="J6">
        <v>20.16</v>
      </c>
      <c r="K6">
        <v>2.41</v>
      </c>
      <c r="L6" t="s">
        <v>30</v>
      </c>
      <c r="M6" t="s">
        <v>1053</v>
      </c>
      <c r="N6" t="s">
        <v>1054</v>
      </c>
      <c r="O6" t="s">
        <v>540</v>
      </c>
      <c r="P6">
        <v>-10.6</v>
      </c>
      <c r="Q6" t="s">
        <v>1055</v>
      </c>
      <c r="R6">
        <v>261773940</v>
      </c>
      <c r="S6" s="5">
        <v>-0.25559999999999999</v>
      </c>
      <c r="T6" t="s">
        <v>1056</v>
      </c>
      <c r="U6">
        <v>1573586900</v>
      </c>
      <c r="V6">
        <v>1828780900</v>
      </c>
      <c r="W6">
        <v>1.19</v>
      </c>
      <c r="X6">
        <v>0.05</v>
      </c>
      <c r="Y6">
        <v>34.85</v>
      </c>
      <c r="Z6" t="s">
        <v>743</v>
      </c>
      <c r="AA6" t="s">
        <v>586</v>
      </c>
      <c r="AB6" t="s">
        <v>1057</v>
      </c>
      <c r="AC6" t="s">
        <v>1058</v>
      </c>
      <c r="AD6" t="s">
        <v>5</v>
      </c>
      <c r="AE6">
        <v>-2933086</v>
      </c>
      <c r="AF6" t="s">
        <v>1059</v>
      </c>
      <c r="AG6" t="s">
        <v>1060</v>
      </c>
      <c r="AH6" t="s">
        <v>1061</v>
      </c>
      <c r="AI6" t="s">
        <v>1062</v>
      </c>
      <c r="AJ6" t="s">
        <v>1063</v>
      </c>
      <c r="AK6" t="s">
        <v>5</v>
      </c>
      <c r="AL6" t="s">
        <v>1064</v>
      </c>
      <c r="AM6" t="s">
        <v>5</v>
      </c>
      <c r="AN6" t="s">
        <v>1065</v>
      </c>
      <c r="AO6" t="s">
        <v>709</v>
      </c>
      <c r="AP6" t="s">
        <v>1066</v>
      </c>
      <c r="AQ6" t="s">
        <v>908</v>
      </c>
      <c r="AR6" t="s">
        <v>5</v>
      </c>
      <c r="AS6" t="s">
        <v>1067</v>
      </c>
      <c r="AT6" t="s">
        <v>5</v>
      </c>
      <c r="AU6" t="s">
        <v>1068</v>
      </c>
      <c r="AV6" t="s">
        <v>1069</v>
      </c>
      <c r="AW6" t="s">
        <v>582</v>
      </c>
      <c r="AX6" t="s">
        <v>707</v>
      </c>
      <c r="AY6" t="s">
        <v>399</v>
      </c>
      <c r="AZ6" t="s">
        <v>208</v>
      </c>
      <c r="BA6" t="s">
        <v>88</v>
      </c>
      <c r="BB6" t="s">
        <v>210</v>
      </c>
      <c r="BC6" t="s">
        <v>708</v>
      </c>
      <c r="BD6" t="s">
        <v>400</v>
      </c>
      <c r="BE6" t="s">
        <v>209</v>
      </c>
      <c r="BF6" t="s">
        <v>89</v>
      </c>
      <c r="BG6" t="s">
        <v>211</v>
      </c>
      <c r="BH6" t="s">
        <v>1055</v>
      </c>
      <c r="BI6" t="s">
        <v>587</v>
      </c>
      <c r="BJ6" t="s">
        <v>707</v>
      </c>
      <c r="BK6" t="s">
        <v>1056</v>
      </c>
      <c r="BL6" t="s">
        <v>844</v>
      </c>
      <c r="BM6" t="s">
        <v>708</v>
      </c>
      <c r="BN6">
        <v>9.39</v>
      </c>
      <c r="BO6">
        <v>10.74</v>
      </c>
      <c r="BP6">
        <v>15.76</v>
      </c>
      <c r="BQ6">
        <v>10.039999999999999</v>
      </c>
      <c r="BR6">
        <v>11.11</v>
      </c>
      <c r="BS6">
        <v>16.47</v>
      </c>
      <c r="BT6" t="s">
        <v>599</v>
      </c>
      <c r="BU6" t="s">
        <v>513</v>
      </c>
      <c r="BV6">
        <v>69.59</v>
      </c>
      <c r="BW6">
        <v>66.06</v>
      </c>
      <c r="BX6">
        <v>68.739999999999995</v>
      </c>
      <c r="BY6">
        <v>32.979999999999997</v>
      </c>
      <c r="BZ6">
        <v>27.62</v>
      </c>
      <c r="CA6">
        <v>32.78</v>
      </c>
      <c r="CB6">
        <v>-2.85</v>
      </c>
      <c r="CC6">
        <v>-17.170000000000002</v>
      </c>
      <c r="CD6" t="s">
        <v>1070</v>
      </c>
      <c r="CE6" t="s">
        <v>578</v>
      </c>
      <c r="CF6" s="8">
        <v>-0.10669693530079455</v>
      </c>
      <c r="CG6" s="9">
        <v>-0.25632403409090909</v>
      </c>
      <c r="CH6" s="8">
        <v>0.18264332413673401</v>
      </c>
      <c r="CI6" s="8">
        <v>1.8259795382618904E-2</v>
      </c>
      <c r="CJ6" s="8">
        <v>-0.11686249822378159</v>
      </c>
      <c r="CK6" s="8">
        <v>0.35756757855415344</v>
      </c>
      <c r="CL6" s="8">
        <v>0.15013989806175232</v>
      </c>
      <c r="CM6" s="9">
        <v>0.37732341885566711</v>
      </c>
      <c r="CN6" s="9">
        <v>-0.17167055606842041</v>
      </c>
      <c r="CO6" s="9">
        <v>-0.194668248295784</v>
      </c>
      <c r="CP6" s="9">
        <v>0.25720953941345215</v>
      </c>
      <c r="CQ6" s="9">
        <v>0.12543864548206329</v>
      </c>
      <c r="CR6">
        <v>21.325350817179778</v>
      </c>
      <c r="CS6">
        <v>1.8018943273705255</v>
      </c>
      <c r="CT6">
        <v>1.955671447196871</v>
      </c>
      <c r="CU6" s="8">
        <v>0.11834961958229542</v>
      </c>
      <c r="CV6" s="9">
        <v>7.872655987739563E-2</v>
      </c>
      <c r="CW6">
        <v>0.06</v>
      </c>
      <c r="CX6">
        <v>10.891995178142277</v>
      </c>
      <c r="CY6">
        <v>1563579373.79336</v>
      </c>
      <c r="CZ6">
        <v>0.11834961958229542</v>
      </c>
      <c r="DA6">
        <v>3.4752433249877979</v>
      </c>
      <c r="DB6">
        <v>4900519879.4417639</v>
      </c>
      <c r="DC6">
        <v>0.11243213860318065</v>
      </c>
      <c r="DD6">
        <v>1.6563396306764842</v>
      </c>
      <c r="DE6">
        <v>10282009006.235262</v>
      </c>
      <c r="DF6">
        <v>0.10414766523241997</v>
      </c>
      <c r="DG6">
        <v>0.95857822005624316</v>
      </c>
      <c r="DH6">
        <v>17766415555.530521</v>
      </c>
      <c r="DI6">
        <v>9.4679695665836339E-2</v>
      </c>
      <c r="DJ6">
        <v>0.45586690255406459</v>
      </c>
      <c r="DK6">
        <v>37358489735.894409</v>
      </c>
      <c r="DL6">
        <v>8.2844733707606796E-2</v>
      </c>
      <c r="DM6">
        <v>1482000000</v>
      </c>
      <c r="DN6">
        <v>0.11834961958229542</v>
      </c>
      <c r="DO6">
        <v>17030498999.999998</v>
      </c>
      <c r="DP6">
        <v>7395286300</v>
      </c>
      <c r="DQ6">
        <v>527</v>
      </c>
      <c r="DR6">
        <v>-0.22504655488308997</v>
      </c>
      <c r="DS6">
        <v>-0.33505059396830472</v>
      </c>
      <c r="DT6" s="10">
        <v>-5.6666666666666719E-2</v>
      </c>
      <c r="DU6">
        <v>-0.22</v>
      </c>
      <c r="DV6">
        <v>-0.27666666666666673</v>
      </c>
      <c r="DW6">
        <v>-8.1659871869539895</v>
      </c>
      <c r="DX6">
        <v>0.47312474916387898</v>
      </c>
      <c r="DY6">
        <v>-8.0287364901058282</v>
      </c>
      <c r="DZ6">
        <v>2380</v>
      </c>
      <c r="EA6">
        <v>-8.0153523714264008</v>
      </c>
      <c r="EB6">
        <v>8</v>
      </c>
      <c r="EC6">
        <v>2.8305359050939345E-2</v>
      </c>
      <c r="ED6">
        <v>0.16349689566420997</v>
      </c>
      <c r="EE6" s="11">
        <v>2.0865</v>
      </c>
      <c r="EF6">
        <v>2.0644999999999998</v>
      </c>
      <c r="EG6">
        <v>30.173124749163879</v>
      </c>
      <c r="EH6" t="s">
        <v>806</v>
      </c>
      <c r="EI6">
        <v>0</v>
      </c>
      <c r="EJ6">
        <v>0</v>
      </c>
      <c r="EK6" s="13">
        <v>45470</v>
      </c>
      <c r="EL6" s="14">
        <v>0.67</v>
      </c>
      <c r="EM6" s="14">
        <v>-2.54</v>
      </c>
      <c r="EN6" s="14">
        <v>-0.81</v>
      </c>
      <c r="EO6" s="14">
        <v>2.44</v>
      </c>
      <c r="EP6" s="14">
        <v>-2.2000000000000002</v>
      </c>
    </row>
    <row r="7" spans="1:146" ht="96" x14ac:dyDescent="0.25">
      <c r="A7" s="6"/>
      <c r="B7" s="6"/>
      <c r="C7" s="6" t="str">
        <f>""&amp;CHAR(10)&amp;Basic_Fundamental_Information_Constructure(F7)&amp;CHAR(10)&amp;Basic_Fundamental_Information_Concatenate("")</f>
        <v xml:space="preserve">
市值74.99655亿, 利润4.17亿; PE26.32; 平均PE18; 平均PEG1.53, PB1.28; ROIC5.7733%; ROE6.09%; 股利率2.0548%; 毛利83.8333%; 净利32.39%; 上一年度营收增-3.05%, 利润增78.21%; 当季营收增-17.51%, 利润增-65.28%; 过往5年营收增-11.79%, 利润增2.02%
Income profile:
</v>
      </c>
      <c r="D7" t="s">
        <v>56</v>
      </c>
      <c r="E7" t="s">
        <v>21</v>
      </c>
      <c r="F7">
        <v>7.3</v>
      </c>
      <c r="G7">
        <v>2.67</v>
      </c>
      <c r="H7" t="s">
        <v>1071</v>
      </c>
      <c r="I7">
        <v>7499655000</v>
      </c>
      <c r="J7">
        <v>26.32</v>
      </c>
      <c r="K7">
        <v>1.28</v>
      </c>
      <c r="L7" t="s">
        <v>30</v>
      </c>
      <c r="M7" t="s">
        <v>882</v>
      </c>
      <c r="N7" t="s">
        <v>1072</v>
      </c>
      <c r="O7" t="s">
        <v>763</v>
      </c>
      <c r="P7">
        <v>-17.350000000000001</v>
      </c>
      <c r="Q7" t="s">
        <v>1073</v>
      </c>
      <c r="R7">
        <v>70134618</v>
      </c>
      <c r="S7" s="5">
        <v>-0.65269999999999995</v>
      </c>
      <c r="T7" t="s">
        <v>1074</v>
      </c>
      <c r="U7">
        <v>851478140</v>
      </c>
      <c r="V7">
        <v>1027350000</v>
      </c>
      <c r="W7">
        <v>1.07</v>
      </c>
      <c r="X7">
        <v>0.04</v>
      </c>
      <c r="Y7">
        <v>28.43</v>
      </c>
      <c r="Z7" t="s">
        <v>141</v>
      </c>
      <c r="AA7" t="s">
        <v>1075</v>
      </c>
      <c r="AB7" t="s">
        <v>1076</v>
      </c>
      <c r="AC7" t="s">
        <v>1077</v>
      </c>
      <c r="AD7" t="s">
        <v>5</v>
      </c>
      <c r="AE7">
        <v>-2285954</v>
      </c>
      <c r="AF7" t="s">
        <v>1078</v>
      </c>
      <c r="AG7">
        <v>1500.01</v>
      </c>
      <c r="AH7" t="s">
        <v>1079</v>
      </c>
      <c r="AI7" t="s">
        <v>1080</v>
      </c>
      <c r="AJ7" t="s">
        <v>1081</v>
      </c>
      <c r="AK7" t="s">
        <v>5</v>
      </c>
      <c r="AL7" t="s">
        <v>1082</v>
      </c>
      <c r="AM7" t="s">
        <v>5</v>
      </c>
      <c r="AN7" t="s">
        <v>1083</v>
      </c>
      <c r="AO7" t="s">
        <v>5</v>
      </c>
      <c r="AP7" t="s">
        <v>1084</v>
      </c>
      <c r="AQ7" t="s">
        <v>266</v>
      </c>
      <c r="AR7" t="s">
        <v>1085</v>
      </c>
      <c r="AS7" t="s">
        <v>586</v>
      </c>
      <c r="AT7" t="s">
        <v>5</v>
      </c>
      <c r="AU7" t="s">
        <v>115</v>
      </c>
      <c r="AV7" t="s">
        <v>1086</v>
      </c>
      <c r="AW7" t="s">
        <v>5</v>
      </c>
      <c r="AX7" t="s">
        <v>193</v>
      </c>
      <c r="AY7" t="s">
        <v>401</v>
      </c>
      <c r="AZ7" t="s">
        <v>212</v>
      </c>
      <c r="BA7" t="s">
        <v>91</v>
      </c>
      <c r="BB7" t="s">
        <v>162</v>
      </c>
      <c r="BC7" t="s">
        <v>512</v>
      </c>
      <c r="BD7" t="s">
        <v>123</v>
      </c>
      <c r="BE7" t="s">
        <v>74</v>
      </c>
      <c r="BF7" t="s">
        <v>92</v>
      </c>
      <c r="BG7" t="s">
        <v>105</v>
      </c>
      <c r="BH7" t="s">
        <v>1073</v>
      </c>
      <c r="BI7" t="s">
        <v>605</v>
      </c>
      <c r="BJ7" t="s">
        <v>193</v>
      </c>
      <c r="BK7" t="s">
        <v>1074</v>
      </c>
      <c r="BL7" t="s">
        <v>804</v>
      </c>
      <c r="BM7" t="s">
        <v>512</v>
      </c>
      <c r="BN7">
        <v>5.47</v>
      </c>
      <c r="BO7">
        <v>3.98</v>
      </c>
      <c r="BP7">
        <v>7.87</v>
      </c>
      <c r="BQ7">
        <v>5.64</v>
      </c>
      <c r="BR7">
        <v>4.3600000000000003</v>
      </c>
      <c r="BS7">
        <v>8.27</v>
      </c>
      <c r="BT7" t="s">
        <v>596</v>
      </c>
      <c r="BU7" t="s">
        <v>436</v>
      </c>
      <c r="BV7">
        <v>81.56</v>
      </c>
      <c r="BW7">
        <v>85.05</v>
      </c>
      <c r="BX7">
        <v>84.89</v>
      </c>
      <c r="BY7">
        <v>40.75</v>
      </c>
      <c r="BZ7">
        <v>21.74</v>
      </c>
      <c r="CA7">
        <v>34.68</v>
      </c>
      <c r="CB7">
        <v>1.1100000000000001</v>
      </c>
      <c r="CC7">
        <v>-8.52</v>
      </c>
      <c r="CD7" t="s">
        <v>1087</v>
      </c>
      <c r="CE7" t="s">
        <v>109</v>
      </c>
      <c r="CF7" s="8">
        <v>-0.17508417508417498</v>
      </c>
      <c r="CG7" s="9">
        <v>-0.65279892079207924</v>
      </c>
      <c r="CH7" s="8">
        <v>-3.0476190149784088E-2</v>
      </c>
      <c r="CI7" s="8">
        <v>-0.1358025074005127</v>
      </c>
      <c r="CJ7" s="8">
        <v>9.1644324362277985E-2</v>
      </c>
      <c r="CK7" s="8">
        <v>-0.45172417163848877</v>
      </c>
      <c r="CL7" s="8">
        <v>-6.3221067190170288E-2</v>
      </c>
      <c r="CM7" s="9">
        <v>0.78205126523971558</v>
      </c>
      <c r="CN7" s="9">
        <v>-0.45070421695709229</v>
      </c>
      <c r="CO7" s="9">
        <v>0.16712328791618347</v>
      </c>
      <c r="CP7" s="9">
        <v>-0.25051334500312805</v>
      </c>
      <c r="CQ7" s="9">
        <v>-0.14711032807826996</v>
      </c>
      <c r="CR7">
        <v>17.999171999999998</v>
      </c>
      <c r="CS7">
        <v>1.5264411822546913</v>
      </c>
      <c r="CT7">
        <v>2.0547945205479454</v>
      </c>
      <c r="CU7" s="8">
        <v>-0.11791592240333557</v>
      </c>
      <c r="CV7" s="9">
        <v>2.016933262348175E-2</v>
      </c>
      <c r="CW7">
        <v>0.06</v>
      </c>
      <c r="CX7">
        <v>5.0063669064748204</v>
      </c>
      <c r="CY7" t="s">
        <v>1088</v>
      </c>
      <c r="CZ7">
        <v>-0.11791592240333557</v>
      </c>
      <c r="DA7">
        <v>1.66878896882494</v>
      </c>
      <c r="DB7" t="s">
        <v>1089</v>
      </c>
      <c r="DC7">
        <v>-0.11202012628316878</v>
      </c>
      <c r="DD7">
        <v>0.83439448441246999</v>
      </c>
      <c r="DE7" t="s">
        <v>1090</v>
      </c>
      <c r="DF7">
        <v>-0.1037660117149353</v>
      </c>
      <c r="DG7">
        <v>0.50063669064748206</v>
      </c>
      <c r="DH7" t="s">
        <v>1091</v>
      </c>
      <c r="DI7">
        <v>-9.4332737922668455E-2</v>
      </c>
      <c r="DJ7">
        <v>0.25031834532374103</v>
      </c>
      <c r="DK7" t="s">
        <v>1092</v>
      </c>
      <c r="DL7">
        <v>-8.2541145682334893E-2</v>
      </c>
      <c r="DM7">
        <v>417000000</v>
      </c>
      <c r="DN7">
        <v>-0.11791592240333557</v>
      </c>
      <c r="DO7">
        <v>2087655000</v>
      </c>
      <c r="DP7">
        <v>2326312700</v>
      </c>
      <c r="DQ7">
        <v>556</v>
      </c>
      <c r="DR7">
        <v>-5.7168252680839415E-2</v>
      </c>
      <c r="DS7">
        <v>-0.67296825341556099</v>
      </c>
      <c r="DT7" s="10">
        <v>-0.55666666666666664</v>
      </c>
      <c r="DU7">
        <v>-0.24</v>
      </c>
      <c r="DV7">
        <v>-0.79666666666666663</v>
      </c>
      <c r="DW7">
        <v>-2.0851999999999999</v>
      </c>
      <c r="DX7">
        <v>0.48392153846153974</v>
      </c>
      <c r="DY7">
        <v>-2.0097061150769231</v>
      </c>
      <c r="DZ7">
        <v>3335</v>
      </c>
      <c r="EA7">
        <v>-2.0033714978985397</v>
      </c>
      <c r="EB7">
        <v>2</v>
      </c>
      <c r="EC7">
        <v>2.8831070229230545E-2</v>
      </c>
      <c r="ED7">
        <v>0.25307830826884703</v>
      </c>
      <c r="EE7" s="11">
        <v>-1.1002099999999999</v>
      </c>
      <c r="EF7">
        <v>-1.12531</v>
      </c>
      <c r="EG7">
        <v>37.11392153846154</v>
      </c>
      <c r="EH7" t="s">
        <v>592</v>
      </c>
      <c r="EI7">
        <v>0</v>
      </c>
      <c r="EJ7">
        <v>0</v>
      </c>
      <c r="EK7" s="13">
        <v>45470</v>
      </c>
      <c r="EL7" s="14">
        <v>0.79</v>
      </c>
      <c r="EM7" s="14">
        <v>-3.81</v>
      </c>
      <c r="EN7" s="14">
        <v>-0.14000000000000001</v>
      </c>
      <c r="EO7" s="14">
        <v>3.56</v>
      </c>
      <c r="EP7" s="14">
        <v>-2.5099999999999998</v>
      </c>
    </row>
    <row r="8" spans="1:146" ht="168" x14ac:dyDescent="0.25">
      <c r="A8" s="6" t="s">
        <v>590</v>
      </c>
      <c r="B8" s="6" t="s">
        <v>329</v>
      </c>
      <c r="C8" s="6" t="str">
        <f>"公司是一家主要致力于血液制品的研发、生产和销售的企业。公司主要产品为人血白蛋白、静脉注射用人免疫球蛋白、凝血因子产品等。公司是目前国内少数可从血浆中提取六种组分的血液制品生产企业之一，也是国内同行业中凝血因子类产品种类最为齐全的生产企业之一。"&amp;CHAR(10)&amp;Basic_Fundamental_Information_Constructure(F8)&amp;CHAR(10)&amp;Basic_Fundamental_Information_Concatenate("白蛋白 21.45亿 65.12% 45.09% 30.90%
静丙 6.68亿 20.27% 27.25% 59.97%
其他血液制品 4.80亿 14.58% 27.63% 84.56%")</f>
        <v>公司是一家主要致力于血液制品的研发、生产和销售的企业。公司主要产品为人血白蛋白、静脉注射用人免疫球蛋白、凝血因子产品等。公司是目前国内少数可从血浆中提取六种组分的血液制品生产企业之一，也是国内同行业中凝血因子类产品种类最为齐全的生产企业之一。
市值509.70837亿, 利润17.79亿; PE28.04; 平均PE56.97; 平均PEG1.58, PB1.67; ROIC5.79%; ROE5.9867%; 股利率.3911%; 毛利45.5933%; 净利26.9667%; 上一年度营收增21.27%, 利润增-5.37%; 当季营收增-.34%, 利润增5.26%; 过往5年营收增35.96%, 利润增59.09%
Income profile:
白蛋白 21.45亿 65.12% 45.09% 30.90%
静丙 6.68亿 20.27% 27.25% 59.97%
其他血液制品 4.80亿 14.58% 27.63% 84.56%</v>
      </c>
      <c r="D8" t="s">
        <v>40</v>
      </c>
      <c r="E8" t="s">
        <v>24</v>
      </c>
      <c r="F8">
        <v>7.67</v>
      </c>
      <c r="G8">
        <v>0.13</v>
      </c>
      <c r="H8" t="s">
        <v>1093</v>
      </c>
      <c r="I8">
        <v>50970837000</v>
      </c>
      <c r="J8">
        <v>28.04</v>
      </c>
      <c r="K8">
        <v>1.67</v>
      </c>
      <c r="L8" t="s">
        <v>30</v>
      </c>
      <c r="M8" t="s">
        <v>1094</v>
      </c>
      <c r="N8" t="s">
        <v>1095</v>
      </c>
      <c r="O8" t="s">
        <v>1096</v>
      </c>
      <c r="P8">
        <v>-0.33</v>
      </c>
      <c r="Q8" t="s">
        <v>1097</v>
      </c>
      <c r="R8">
        <v>756816120</v>
      </c>
      <c r="S8" s="5">
        <v>5.3199999999999997E-2</v>
      </c>
      <c r="T8" t="s">
        <v>1098</v>
      </c>
      <c r="U8">
        <v>6642830900</v>
      </c>
      <c r="V8">
        <v>6645480800</v>
      </c>
      <c r="W8">
        <v>1.08</v>
      </c>
      <c r="X8">
        <v>0.06</v>
      </c>
      <c r="Y8">
        <v>36.82</v>
      </c>
      <c r="Z8" t="s">
        <v>1099</v>
      </c>
      <c r="AA8" t="s">
        <v>1100</v>
      </c>
      <c r="AB8" t="s">
        <v>1101</v>
      </c>
      <c r="AC8" t="s">
        <v>1102</v>
      </c>
      <c r="AD8" t="s">
        <v>5</v>
      </c>
      <c r="AE8">
        <v>-24612941</v>
      </c>
      <c r="AF8" t="s">
        <v>1103</v>
      </c>
      <c r="AG8" t="s">
        <v>1104</v>
      </c>
      <c r="AH8" t="s">
        <v>1105</v>
      </c>
      <c r="AI8" t="s">
        <v>1106</v>
      </c>
      <c r="AJ8" t="s">
        <v>1107</v>
      </c>
      <c r="AK8" t="s">
        <v>5</v>
      </c>
      <c r="AL8" t="s">
        <v>1108</v>
      </c>
      <c r="AM8" t="s">
        <v>5</v>
      </c>
      <c r="AN8" t="s">
        <v>77</v>
      </c>
      <c r="AO8" t="s">
        <v>5</v>
      </c>
      <c r="AP8" t="s">
        <v>5</v>
      </c>
      <c r="AQ8" t="s">
        <v>1109</v>
      </c>
      <c r="AR8" t="s">
        <v>5</v>
      </c>
      <c r="AS8" t="s">
        <v>1110</v>
      </c>
      <c r="AT8" t="s">
        <v>5</v>
      </c>
      <c r="AU8" t="s">
        <v>1111</v>
      </c>
      <c r="AV8" t="s">
        <v>1112</v>
      </c>
      <c r="AW8" t="s">
        <v>1113</v>
      </c>
      <c r="AX8" t="s">
        <v>714</v>
      </c>
      <c r="AY8" t="s">
        <v>402</v>
      </c>
      <c r="AZ8" t="s">
        <v>215</v>
      </c>
      <c r="BA8" t="s">
        <v>95</v>
      </c>
      <c r="BB8" t="s">
        <v>217</v>
      </c>
      <c r="BC8" t="s">
        <v>715</v>
      </c>
      <c r="BD8" t="s">
        <v>403</v>
      </c>
      <c r="BE8" t="s">
        <v>216</v>
      </c>
      <c r="BF8" t="s">
        <v>96</v>
      </c>
      <c r="BG8" t="s">
        <v>218</v>
      </c>
      <c r="BH8" t="s">
        <v>1097</v>
      </c>
      <c r="BI8" t="s">
        <v>848</v>
      </c>
      <c r="BJ8" t="s">
        <v>714</v>
      </c>
      <c r="BK8" t="s">
        <v>1098</v>
      </c>
      <c r="BL8" t="s">
        <v>519</v>
      </c>
      <c r="BM8" t="s">
        <v>715</v>
      </c>
      <c r="BN8">
        <v>5.95</v>
      </c>
      <c r="BO8">
        <v>6.55</v>
      </c>
      <c r="BP8">
        <v>4.87</v>
      </c>
      <c r="BQ8">
        <v>6.01</v>
      </c>
      <c r="BR8">
        <v>6.87</v>
      </c>
      <c r="BS8">
        <v>5.08</v>
      </c>
      <c r="BT8" t="s">
        <v>598</v>
      </c>
      <c r="BU8" t="s">
        <v>358</v>
      </c>
      <c r="BV8">
        <v>40.79</v>
      </c>
      <c r="BW8">
        <v>44.16</v>
      </c>
      <c r="BX8">
        <v>51.83</v>
      </c>
      <c r="BY8">
        <v>22.32</v>
      </c>
      <c r="BZ8">
        <v>28.52</v>
      </c>
      <c r="CA8">
        <v>30.06</v>
      </c>
      <c r="CB8">
        <v>-1.92</v>
      </c>
      <c r="CC8">
        <v>9.57</v>
      </c>
      <c r="CD8" t="s">
        <v>1114</v>
      </c>
      <c r="CE8" t="s">
        <v>1115</v>
      </c>
      <c r="CF8" s="8">
        <v>-3.3931168201649241E-3</v>
      </c>
      <c r="CG8" s="9">
        <v>5.2595438108484008E-2</v>
      </c>
      <c r="CH8" s="8">
        <v>0.21273034811019897</v>
      </c>
      <c r="CI8" s="8">
        <v>0.5314832329750061</v>
      </c>
      <c r="CJ8" s="8">
        <v>0.55249828100204468</v>
      </c>
      <c r="CK8" s="8">
        <v>6.8471930921077728E-2</v>
      </c>
      <c r="CL8" s="8">
        <v>0.43292680382728577</v>
      </c>
      <c r="CM8" s="9">
        <v>-5.3723368793725967E-2</v>
      </c>
      <c r="CN8" s="9">
        <v>0.45173737406730652</v>
      </c>
      <c r="CO8" s="9">
        <v>-2.1903274580836296E-2</v>
      </c>
      <c r="CP8" s="9">
        <v>1.1776316165924072</v>
      </c>
      <c r="CQ8" s="9">
        <v>1.4005270004272461</v>
      </c>
      <c r="CR8">
        <v>56.971874441132641</v>
      </c>
      <c r="CS8">
        <v>1.5842149682392734</v>
      </c>
      <c r="CT8">
        <v>0.39113428943937417</v>
      </c>
      <c r="CU8" s="8">
        <v>0.35962211936712263</v>
      </c>
      <c r="CV8" s="9">
        <v>0.59085386954247954</v>
      </c>
      <c r="CW8">
        <v>0.06</v>
      </c>
      <c r="CX8">
        <v>9.9874108278743758</v>
      </c>
      <c r="CY8">
        <v>2281856368.2585955</v>
      </c>
      <c r="CZ8">
        <v>0.35962211936712263</v>
      </c>
      <c r="DA8">
        <v>2.6168738833066527</v>
      </c>
      <c r="DB8">
        <v>8708802187.7473946</v>
      </c>
      <c r="DC8">
        <v>0.34164101339876646</v>
      </c>
      <c r="DD8">
        <v>0.93482816909247757</v>
      </c>
      <c r="DE8">
        <v>24378637436.786011</v>
      </c>
      <c r="DF8">
        <v>0.31646746504306794</v>
      </c>
      <c r="DG8">
        <v>0.3775540760868133</v>
      </c>
      <c r="DH8">
        <v>60361782439.768417</v>
      </c>
      <c r="DI8">
        <v>0.28769769549369811</v>
      </c>
      <c r="DJ8">
        <v>7.3202836466579838E-2</v>
      </c>
      <c r="DK8">
        <v>311324507355.72949</v>
      </c>
      <c r="DL8">
        <v>0.25173548355698583</v>
      </c>
      <c r="DM8">
        <v>1779000000</v>
      </c>
      <c r="DN8">
        <v>0.35962211936712263</v>
      </c>
      <c r="DO8">
        <v>22789836999.999996</v>
      </c>
      <c r="DP8">
        <v>6973010700</v>
      </c>
      <c r="DQ8">
        <v>761</v>
      </c>
      <c r="DR8">
        <v>-0.36301523618728754</v>
      </c>
      <c r="DS8">
        <v>-0.53825843143399554</v>
      </c>
      <c r="DT8" s="10">
        <v>0.10999999999999995</v>
      </c>
      <c r="DU8">
        <v>0.58333333333333326</v>
      </c>
      <c r="DV8">
        <v>0.69333333333333325</v>
      </c>
      <c r="DW8">
        <v>2.0956999999999999</v>
      </c>
      <c r="DX8">
        <v>0.3781855751749168</v>
      </c>
      <c r="DY8">
        <v>2.0160953595442392</v>
      </c>
      <c r="DZ8">
        <v>471</v>
      </c>
      <c r="EA8">
        <v>2.0146118146625684</v>
      </c>
      <c r="EB8">
        <v>2</v>
      </c>
      <c r="EC8">
        <v>3.0547074938505572E-2</v>
      </c>
      <c r="ED8">
        <v>0.18162718941269079</v>
      </c>
      <c r="EE8" s="11">
        <v>-2.0156100000000001</v>
      </c>
      <c r="EF8">
        <v>-2.0037099999999999</v>
      </c>
      <c r="EG8">
        <v>21.168185575174917</v>
      </c>
      <c r="EH8" t="s">
        <v>731</v>
      </c>
      <c r="EI8">
        <v>1</v>
      </c>
      <c r="EJ8">
        <v>1</v>
      </c>
      <c r="EK8" s="13">
        <v>45470</v>
      </c>
      <c r="EL8" s="14">
        <v>0</v>
      </c>
      <c r="EM8" s="14">
        <v>-2.98</v>
      </c>
      <c r="EN8" s="14">
        <v>1.2</v>
      </c>
      <c r="EO8" s="14">
        <v>-0.26</v>
      </c>
      <c r="EP8" s="14">
        <v>1.19</v>
      </c>
    </row>
    <row r="9" spans="1:146" ht="96" x14ac:dyDescent="0.25">
      <c r="A9" s="6"/>
      <c r="B9" s="6"/>
      <c r="C9" s="6" t="str">
        <f>""&amp;CHAR(10)&amp;Basic_Fundamental_Information_Constructure(F9)&amp;CHAR(10)&amp;Basic_Fundamental_Information_Concatenate("")</f>
        <v xml:space="preserve">
市值62.872801亿, 利润-3.32亿; PE; 平均PE-120.79; 平均PEG-53.46, PB3.07; ROIC4.2967%; ROE4.2133%; 股利率0%; 毛利79.3167%; 净利-1.9967%; 上一年度营收增20.45%, 利润增-2161.53%; 当季营收增10.85%, 利润增-28.82%; 过往5年营收增-2.26%, 利润增-455.39%
Income profile:
</v>
      </c>
      <c r="D9" t="s">
        <v>55</v>
      </c>
      <c r="E9" t="s">
        <v>6</v>
      </c>
      <c r="F9">
        <v>9.5299999999999994</v>
      </c>
      <c r="G9">
        <v>3.03</v>
      </c>
      <c r="H9" t="s">
        <v>1116</v>
      </c>
      <c r="I9">
        <v>6287280100</v>
      </c>
      <c r="K9">
        <v>3.07</v>
      </c>
      <c r="L9" t="s">
        <v>30</v>
      </c>
      <c r="M9" t="s">
        <v>703</v>
      </c>
      <c r="N9" t="s">
        <v>1117</v>
      </c>
      <c r="O9" t="s">
        <v>1118</v>
      </c>
      <c r="P9">
        <v>10.85</v>
      </c>
      <c r="Q9" t="s">
        <v>912</v>
      </c>
      <c r="R9">
        <v>-27704081</v>
      </c>
      <c r="S9" s="5">
        <v>-0.28820000000000001</v>
      </c>
      <c r="T9" t="s">
        <v>840</v>
      </c>
      <c r="U9">
        <v>400791160</v>
      </c>
      <c r="V9">
        <v>659735590</v>
      </c>
      <c r="W9">
        <v>1.05</v>
      </c>
      <c r="X9">
        <v>0.04</v>
      </c>
      <c r="Y9">
        <v>-32.28</v>
      </c>
      <c r="Z9" t="s">
        <v>93</v>
      </c>
      <c r="AA9" t="s">
        <v>1119</v>
      </c>
      <c r="AB9" t="s">
        <v>1120</v>
      </c>
      <c r="AC9" t="s">
        <v>1121</v>
      </c>
      <c r="AD9" t="s">
        <v>5</v>
      </c>
      <c r="AE9">
        <v>-277388</v>
      </c>
      <c r="AF9" t="s">
        <v>1122</v>
      </c>
      <c r="AG9" t="s">
        <v>1123</v>
      </c>
      <c r="AH9" t="s">
        <v>1124</v>
      </c>
      <c r="AI9" t="s">
        <v>269</v>
      </c>
      <c r="AJ9" t="s">
        <v>1125</v>
      </c>
      <c r="AK9" t="s">
        <v>1126</v>
      </c>
      <c r="AL9" t="s">
        <v>1127</v>
      </c>
      <c r="AM9" t="s">
        <v>5</v>
      </c>
      <c r="AN9" t="s">
        <v>1128</v>
      </c>
      <c r="AO9" t="s">
        <v>953</v>
      </c>
      <c r="AP9" t="s">
        <v>5</v>
      </c>
      <c r="AQ9" t="s">
        <v>1129</v>
      </c>
      <c r="AR9" t="s">
        <v>5</v>
      </c>
      <c r="AS9" t="s">
        <v>1130</v>
      </c>
      <c r="AT9" t="s">
        <v>5</v>
      </c>
      <c r="AU9" t="s">
        <v>1131</v>
      </c>
      <c r="AV9" t="s">
        <v>1132</v>
      </c>
      <c r="AW9" t="s">
        <v>1133</v>
      </c>
      <c r="AX9" t="s">
        <v>214</v>
      </c>
      <c r="AY9" t="s">
        <v>260</v>
      </c>
      <c r="AZ9" t="s">
        <v>144</v>
      </c>
      <c r="BA9" t="s">
        <v>98</v>
      </c>
      <c r="BB9" t="s">
        <v>78</v>
      </c>
      <c r="BC9" t="s">
        <v>1134</v>
      </c>
      <c r="BD9" t="s">
        <v>404</v>
      </c>
      <c r="BE9" t="s">
        <v>220</v>
      </c>
      <c r="BF9" t="s">
        <v>99</v>
      </c>
      <c r="BG9" t="s">
        <v>222</v>
      </c>
      <c r="BH9" t="s">
        <v>912</v>
      </c>
      <c r="BI9" t="s">
        <v>849</v>
      </c>
      <c r="BJ9" t="s">
        <v>214</v>
      </c>
      <c r="BK9" t="s">
        <v>840</v>
      </c>
      <c r="BL9" t="s">
        <v>850</v>
      </c>
      <c r="BM9" t="s">
        <v>1134</v>
      </c>
      <c r="BN9">
        <v>1.71</v>
      </c>
      <c r="BO9">
        <v>-0.05</v>
      </c>
      <c r="BP9">
        <v>11.23</v>
      </c>
      <c r="BQ9">
        <v>1.23</v>
      </c>
      <c r="BR9">
        <v>-0.62</v>
      </c>
      <c r="BS9">
        <v>12.03</v>
      </c>
      <c r="BT9" t="s">
        <v>593</v>
      </c>
      <c r="BU9" t="s">
        <v>436</v>
      </c>
      <c r="BV9">
        <v>80.599999999999994</v>
      </c>
      <c r="BW9">
        <v>78.66</v>
      </c>
      <c r="BX9">
        <v>78.69</v>
      </c>
      <c r="BY9">
        <v>-74.95</v>
      </c>
      <c r="BZ9">
        <v>-0.24</v>
      </c>
      <c r="CA9">
        <v>69.2</v>
      </c>
      <c r="CB9">
        <v>-1.24</v>
      </c>
      <c r="CC9">
        <v>-18.89</v>
      </c>
      <c r="CD9" t="s">
        <v>1135</v>
      </c>
      <c r="CE9" t="s">
        <v>121</v>
      </c>
      <c r="CF9" s="8">
        <v>0.10849244403293543</v>
      </c>
      <c r="CG9" s="9">
        <v>-0.28820240863014973</v>
      </c>
      <c r="CH9" s="8">
        <v>0.20448179543018341</v>
      </c>
      <c r="CI9" s="8">
        <v>-0.11414392292499542</v>
      </c>
      <c r="CJ9" s="8">
        <v>0.45487365126609802</v>
      </c>
      <c r="CK9" s="8">
        <v>-0.51232391595840454</v>
      </c>
      <c r="CL9" s="8">
        <v>-0.14586466550827026</v>
      </c>
      <c r="CM9" s="9">
        <v>-21.61534309387207</v>
      </c>
      <c r="CN9" s="9">
        <v>-1.0541708469390869</v>
      </c>
      <c r="CO9" s="9">
        <v>2.3826529979705811</v>
      </c>
      <c r="CP9" s="9">
        <v>-4.092287540435791</v>
      </c>
      <c r="CQ9" s="9">
        <v>1.6094567775726318</v>
      </c>
      <c r="CR9">
        <v>-120.79432322073106</v>
      </c>
      <c r="CS9">
        <v>-53.459669460687913</v>
      </c>
      <c r="CT9">
        <v>0</v>
      </c>
      <c r="CU9" s="8">
        <v>-2.2595411539077757E-2</v>
      </c>
      <c r="CV9" s="9">
        <v>-4.5539383411407472</v>
      </c>
      <c r="CW9">
        <v>0.06</v>
      </c>
      <c r="CX9" t="e">
        <v>#VALUE!</v>
      </c>
      <c r="CY9" t="s">
        <v>491</v>
      </c>
      <c r="CZ9">
        <v>-2.2595411539077757E-2</v>
      </c>
      <c r="DA9" t="e">
        <v>#VALUE!</v>
      </c>
      <c r="DB9" t="s">
        <v>492</v>
      </c>
      <c r="DC9">
        <v>-2.1465640962123868E-2</v>
      </c>
      <c r="DD9" t="e">
        <v>#VALUE!</v>
      </c>
      <c r="DE9" t="s">
        <v>492</v>
      </c>
      <c r="DF9">
        <v>-1.9883962154388427E-2</v>
      </c>
      <c r="DG9" t="e">
        <v>#VALUE!</v>
      </c>
      <c r="DH9" t="s">
        <v>492</v>
      </c>
      <c r="DI9">
        <v>-1.8076329231262206E-2</v>
      </c>
      <c r="DJ9" t="e">
        <v>#VALUE!</v>
      </c>
      <c r="DK9" t="s">
        <v>492</v>
      </c>
      <c r="DL9">
        <v>-1.581678807735443E-2</v>
      </c>
      <c r="DM9">
        <v>-332000000</v>
      </c>
      <c r="DN9">
        <v>-2.2595411539077757E-2</v>
      </c>
      <c r="DO9">
        <v>4297280100</v>
      </c>
      <c r="DP9">
        <v>432687510</v>
      </c>
      <c r="DQ9">
        <v>1074</v>
      </c>
      <c r="DR9">
        <v>0.13108785557201319</v>
      </c>
      <c r="DS9">
        <v>4.2657359325105979</v>
      </c>
      <c r="DT9" s="10">
        <v>-0.25666666666666665</v>
      </c>
      <c r="DU9">
        <v>-2.561666666666667</v>
      </c>
      <c r="DV9">
        <v>-2.8183333333333338</v>
      </c>
      <c r="DW9">
        <v>-3.0326845238095239</v>
      </c>
      <c r="DX9">
        <v>0.51304411764706004</v>
      </c>
      <c r="DY9">
        <v>-3.0043484836309524</v>
      </c>
      <c r="DZ9">
        <v>4841</v>
      </c>
      <c r="EA9">
        <v>-3.000228912347696</v>
      </c>
      <c r="EB9">
        <v>3</v>
      </c>
      <c r="EC9">
        <v>2.056960425615359E-2</v>
      </c>
      <c r="ED9">
        <v>0.15460739354686018</v>
      </c>
      <c r="EE9" s="11">
        <v>1.01281</v>
      </c>
      <c r="EF9">
        <v>1.01481</v>
      </c>
      <c r="EG9">
        <v>38.13304411764706</v>
      </c>
      <c r="EH9" t="s">
        <v>496</v>
      </c>
      <c r="EI9">
        <v>0</v>
      </c>
      <c r="EJ9">
        <v>0</v>
      </c>
      <c r="EK9" s="13">
        <v>45470</v>
      </c>
      <c r="EL9" s="14">
        <v>1.42</v>
      </c>
      <c r="EM9" s="14">
        <v>-4.2</v>
      </c>
      <c r="EN9" s="14">
        <v>-0.52</v>
      </c>
      <c r="EO9" s="14">
        <v>3.78</v>
      </c>
      <c r="EP9" s="14">
        <v>-0.2</v>
      </c>
    </row>
    <row r="10" spans="1:146" ht="96" x14ac:dyDescent="0.25">
      <c r="A10" s="6"/>
      <c r="B10" s="6"/>
      <c r="C10" s="6" t="str">
        <f>""&amp;CHAR(10)&amp;Basic_Fundamental_Information_Constructure(F10)&amp;CHAR(10)&amp;Basic_Fundamental_Information_Concatenate("")</f>
        <v xml:space="preserve">
市值18.588823亿, 利润-5074.16万; PE; 平均PE-69.63; 平均PEG-12.09, PB4.02; ROIC0%; ROE-.9067%; 股利率0%; 毛利70.2433%; 净利-15.4467%; 上一年度营收增-14.18%, 利润增-663.02%; 当季营收增-47.52%, 利润增-294.04%; 过往5年营收增-5.76%, 利润增-127.52%
Income profile:
</v>
      </c>
      <c r="D10" t="s">
        <v>38</v>
      </c>
      <c r="E10" t="s">
        <v>23</v>
      </c>
      <c r="F10">
        <v>4.46</v>
      </c>
      <c r="G10">
        <v>4.21</v>
      </c>
      <c r="H10" t="s">
        <v>1136</v>
      </c>
      <c r="I10">
        <v>1858882300</v>
      </c>
      <c r="K10">
        <v>4.0199999999999996</v>
      </c>
      <c r="L10" t="s">
        <v>30</v>
      </c>
      <c r="M10" t="s">
        <v>858</v>
      </c>
      <c r="N10" t="s">
        <v>1137</v>
      </c>
      <c r="O10" t="s">
        <v>1138</v>
      </c>
      <c r="P10">
        <v>-47.52</v>
      </c>
      <c r="Q10" t="s">
        <v>934</v>
      </c>
      <c r="R10">
        <v>-8742677</v>
      </c>
      <c r="S10" s="5">
        <v>-2.94</v>
      </c>
      <c r="T10" t="s">
        <v>1139</v>
      </c>
      <c r="U10">
        <v>411382100</v>
      </c>
      <c r="V10">
        <v>416789750</v>
      </c>
      <c r="W10">
        <v>1.59</v>
      </c>
      <c r="X10">
        <v>0.05</v>
      </c>
      <c r="Y10">
        <v>-33.19</v>
      </c>
      <c r="Z10" t="s">
        <v>1140</v>
      </c>
      <c r="AA10" t="s">
        <v>1141</v>
      </c>
      <c r="AB10" t="s">
        <v>1142</v>
      </c>
      <c r="AC10" t="s">
        <v>1143</v>
      </c>
      <c r="AD10" t="s">
        <v>5</v>
      </c>
      <c r="AE10">
        <v>1972472</v>
      </c>
      <c r="AF10" t="s">
        <v>1144</v>
      </c>
      <c r="AG10">
        <v>1</v>
      </c>
      <c r="AH10" t="s">
        <v>1145</v>
      </c>
      <c r="AI10" t="s">
        <v>1146</v>
      </c>
      <c r="AJ10" t="s">
        <v>1147</v>
      </c>
      <c r="AK10" t="s">
        <v>5</v>
      </c>
      <c r="AL10" t="s">
        <v>1148</v>
      </c>
      <c r="AM10" t="s">
        <v>5</v>
      </c>
      <c r="AN10" t="s">
        <v>1149</v>
      </c>
      <c r="AO10" t="s">
        <v>5</v>
      </c>
      <c r="AP10" t="s">
        <v>5</v>
      </c>
      <c r="AQ10" t="s">
        <v>1150</v>
      </c>
      <c r="AR10" t="s">
        <v>1151</v>
      </c>
      <c r="AS10" t="s">
        <v>258</v>
      </c>
      <c r="AT10" t="s">
        <v>231</v>
      </c>
      <c r="AU10" t="s">
        <v>1152</v>
      </c>
      <c r="AV10" t="s">
        <v>1153</v>
      </c>
      <c r="AW10" t="s">
        <v>1154</v>
      </c>
      <c r="AX10" t="s">
        <v>494</v>
      </c>
      <c r="AY10" t="s">
        <v>108</v>
      </c>
      <c r="AZ10" t="s">
        <v>224</v>
      </c>
      <c r="BA10" t="s">
        <v>102</v>
      </c>
      <c r="BB10" t="s">
        <v>87</v>
      </c>
      <c r="BC10" t="s">
        <v>718</v>
      </c>
      <c r="BD10" t="s">
        <v>405</v>
      </c>
      <c r="BE10" t="s">
        <v>225</v>
      </c>
      <c r="BF10" t="s">
        <v>103</v>
      </c>
      <c r="BG10" t="s">
        <v>226</v>
      </c>
      <c r="BH10" t="s">
        <v>934</v>
      </c>
      <c r="BI10" t="s">
        <v>851</v>
      </c>
      <c r="BJ10" t="s">
        <v>494</v>
      </c>
      <c r="BK10" t="s">
        <v>1139</v>
      </c>
      <c r="BL10" t="s">
        <v>853</v>
      </c>
      <c r="BM10" t="s">
        <v>718</v>
      </c>
      <c r="BN10" t="s">
        <v>5</v>
      </c>
      <c r="BO10" t="s">
        <v>5</v>
      </c>
      <c r="BP10" t="s">
        <v>5</v>
      </c>
      <c r="BQ10">
        <v>-0.31</v>
      </c>
      <c r="BR10">
        <v>1.8</v>
      </c>
      <c r="BS10">
        <v>-4.21</v>
      </c>
      <c r="BT10" t="s">
        <v>593</v>
      </c>
      <c r="BU10" t="s">
        <v>436</v>
      </c>
      <c r="BV10">
        <v>68.27</v>
      </c>
      <c r="BW10">
        <v>67.87</v>
      </c>
      <c r="BX10">
        <v>74.59</v>
      </c>
      <c r="BY10">
        <v>-30.51</v>
      </c>
      <c r="BZ10">
        <v>-3.09</v>
      </c>
      <c r="CA10">
        <v>-12.74</v>
      </c>
      <c r="CB10">
        <v>1.36</v>
      </c>
      <c r="CC10">
        <v>-17.100000000000001</v>
      </c>
      <c r="CD10" t="s">
        <v>1155</v>
      </c>
      <c r="CE10" t="s">
        <v>1112</v>
      </c>
      <c r="CF10" s="8">
        <v>-0.47522126717489804</v>
      </c>
      <c r="CG10" s="9">
        <v>-2.9404023881392045</v>
      </c>
      <c r="CH10" s="8">
        <v>-0.14181818068027496</v>
      </c>
      <c r="CI10" s="8">
        <v>-0.140625</v>
      </c>
      <c r="CJ10" s="8">
        <v>0.18959107995033264</v>
      </c>
      <c r="CK10" s="8">
        <v>-0.22478386759757996</v>
      </c>
      <c r="CL10" s="8">
        <v>2.9673591256141663E-2</v>
      </c>
      <c r="CM10" s="9">
        <v>-6.6301984786987305</v>
      </c>
      <c r="CN10" s="9">
        <v>1.4434123039245605</v>
      </c>
      <c r="CO10" s="9">
        <v>0.61887627840042114</v>
      </c>
      <c r="CP10" s="9">
        <v>-3.16290283203125</v>
      </c>
      <c r="CQ10" s="9">
        <v>1.3549931049346924</v>
      </c>
      <c r="CR10">
        <v>-69.628318307838583</v>
      </c>
      <c r="CS10">
        <v>-12.089829063082604</v>
      </c>
      <c r="CT10">
        <v>0</v>
      </c>
      <c r="CU10" s="8">
        <v>-5.7592475414276124E-2</v>
      </c>
      <c r="CV10" s="9">
        <v>-1.2751639246940614</v>
      </c>
      <c r="CW10">
        <v>0.06</v>
      </c>
      <c r="CX10" t="e">
        <v>#VALUE!</v>
      </c>
      <c r="CY10" t="s">
        <v>491</v>
      </c>
      <c r="CZ10">
        <v>-5.7592475414276124E-2</v>
      </c>
      <c r="DA10" t="e">
        <v>#VALUE!</v>
      </c>
      <c r="DB10" t="s">
        <v>492</v>
      </c>
      <c r="DC10">
        <v>-5.4712851643562314E-2</v>
      </c>
      <c r="DD10" t="e">
        <v>#VALUE!</v>
      </c>
      <c r="DE10" t="s">
        <v>492</v>
      </c>
      <c r="DF10">
        <v>-5.068137836456299E-2</v>
      </c>
      <c r="DG10" t="e">
        <v>#VALUE!</v>
      </c>
      <c r="DH10" t="s">
        <v>492</v>
      </c>
      <c r="DI10">
        <v>-4.6073980331420905E-2</v>
      </c>
      <c r="DJ10" t="e">
        <v>#VALUE!</v>
      </c>
      <c r="DK10" t="s">
        <v>492</v>
      </c>
      <c r="DL10">
        <v>-4.0314732789993285E-2</v>
      </c>
      <c r="DM10">
        <v>-50741600</v>
      </c>
      <c r="DN10">
        <v>-5.7592475414276124E-2</v>
      </c>
      <c r="DO10">
        <v>1640882300</v>
      </c>
      <c r="DP10">
        <v>2101296</v>
      </c>
      <c r="DQ10">
        <v>1181</v>
      </c>
      <c r="DR10">
        <v>-0.4176287917606219</v>
      </c>
      <c r="DS10">
        <v>-1.6652384634451431</v>
      </c>
      <c r="DT10" s="10">
        <v>-0.42333333333333334</v>
      </c>
      <c r="DU10">
        <v>-1.9483333333333335</v>
      </c>
      <c r="DV10">
        <v>-2.371666666666667</v>
      </c>
      <c r="DW10">
        <v>-3.0124404761904762</v>
      </c>
      <c r="DX10">
        <v>0.4480426035502984</v>
      </c>
      <c r="DY10">
        <v>-3.0015929109608339</v>
      </c>
      <c r="DZ10">
        <v>4614</v>
      </c>
      <c r="EA10">
        <v>-3.0001546152322063</v>
      </c>
      <c r="EB10">
        <v>3</v>
      </c>
      <c r="EC10">
        <v>5.1918743203257754E-2</v>
      </c>
      <c r="ED10">
        <v>0.40548022114267446</v>
      </c>
      <c r="EE10" s="11">
        <v>-5.0082100000000001</v>
      </c>
      <c r="EF10">
        <v>-5.0171099999999997</v>
      </c>
      <c r="EG10">
        <v>32.128042603550298</v>
      </c>
      <c r="EH10" t="s">
        <v>1156</v>
      </c>
      <c r="EI10">
        <v>0</v>
      </c>
      <c r="EJ10">
        <v>0</v>
      </c>
      <c r="EK10" s="13">
        <v>45470</v>
      </c>
      <c r="EL10" s="14">
        <v>1.1100000000000001</v>
      </c>
      <c r="EM10" s="14">
        <v>-5.93</v>
      </c>
      <c r="EN10" s="14">
        <v>1.87</v>
      </c>
      <c r="EO10" s="14">
        <v>2.75</v>
      </c>
      <c r="EP10" s="14">
        <v>-0.89</v>
      </c>
    </row>
    <row r="11" spans="1:146" ht="168" x14ac:dyDescent="0.25">
      <c r="A11" s="6"/>
      <c r="B11" s="6"/>
      <c r="C11" s="6" t="str">
        <f>"公司是一家从事生物制品生产、销售及研发的国家级高新技术企业。公司的主要产品为人血白蛋白,静注人免疫球蛋白(pH4)、冻干静注人免疫球蛋白(pH4)、人免疫球蛋白、乙型肝炎人免疫球蛋白、狂犬病人免疫球蛋白、破伤风人免疫球蛋白、组织胺人免疫球蛋白,人纤维蛋白原等。"&amp;CHAR(10)&amp;Basic_Fundamental_Information_Constructure(F11)&amp;CHAR(10)&amp;Basic_Fundamental_Information_Concatenate("静注人免疫球蛋白 8675.00万 37.42% 38.98% 35.14%
人血白蛋白 7021.96万 30.29% 34.86% 38.83%
狂犬病人免疫球蛋 2995.29万 12.92% 26.16% 68.30%")</f>
        <v>公司是一家从事生物制品生产、销售及研发的国家级高新技术企业。公司的主要产品为人血白蛋白,静注人免疫球蛋白(pH4)、冻干静注人免疫球蛋白(pH4)、人免疫球蛋白、乙型肝炎人免疫球蛋白、狂犬病人免疫球蛋白、破伤风人免疫球蛋白、组织胺人免疫球蛋白,人纤维蛋白原等。
市值64.1844亿, 利润2.19亿; PE29.21; 平均PE36.33; 平均PEG3, PB3.11; ROIC7.8567%; ROE8.88%; 股利率.7067%; 毛利39.42%; 净利20.49%; 上一年度营收增57.04%, 利润增85.59%; 当季营收增8.13%, 利润增2.4%; 过往5年营收增12.09%, 利润增14.22%
Income profile:
静注人免疫球蛋白 8675.00万 37.42% 38.98% 35.14%
人血白蛋白 7021.96万 30.29% 34.86% 38.83%
狂犬病人免疫球蛋 2995.29万 12.92% 26.16% 68.30%</v>
      </c>
      <c r="D11" t="s">
        <v>49</v>
      </c>
      <c r="E11" t="s">
        <v>15</v>
      </c>
      <c r="F11">
        <v>28.3</v>
      </c>
      <c r="G11">
        <v>3.59</v>
      </c>
      <c r="H11" t="s">
        <v>1157</v>
      </c>
      <c r="I11">
        <v>6418440000</v>
      </c>
      <c r="J11">
        <v>29.21</v>
      </c>
      <c r="K11">
        <v>3.11</v>
      </c>
      <c r="L11" t="s">
        <v>30</v>
      </c>
      <c r="M11" t="s">
        <v>755</v>
      </c>
      <c r="N11" t="s">
        <v>1158</v>
      </c>
      <c r="O11" t="s">
        <v>945</v>
      </c>
      <c r="P11">
        <v>8.5299999999999994</v>
      </c>
      <c r="Q11" t="s">
        <v>432</v>
      </c>
      <c r="R11">
        <v>46831857</v>
      </c>
      <c r="S11" s="5">
        <v>2.4E-2</v>
      </c>
      <c r="T11" t="s">
        <v>1159</v>
      </c>
      <c r="U11">
        <v>226800000</v>
      </c>
      <c r="V11">
        <v>226800000</v>
      </c>
      <c r="W11">
        <v>1.45</v>
      </c>
      <c r="X11">
        <v>0.08</v>
      </c>
      <c r="Y11">
        <v>20.68</v>
      </c>
      <c r="Z11" t="s">
        <v>798</v>
      </c>
      <c r="AA11" t="s">
        <v>83</v>
      </c>
      <c r="AB11" t="s">
        <v>1160</v>
      </c>
      <c r="AC11" t="s">
        <v>1161</v>
      </c>
      <c r="AD11" t="s">
        <v>5</v>
      </c>
      <c r="AE11">
        <v>4440120</v>
      </c>
      <c r="AF11" t="s">
        <v>72</v>
      </c>
      <c r="AG11" t="s">
        <v>1162</v>
      </c>
      <c r="AH11" t="s">
        <v>1163</v>
      </c>
      <c r="AI11" t="s">
        <v>87</v>
      </c>
      <c r="AJ11" t="s">
        <v>1164</v>
      </c>
      <c r="AK11" t="s">
        <v>1165</v>
      </c>
      <c r="AL11" t="s">
        <v>1166</v>
      </c>
      <c r="AM11" t="s">
        <v>5</v>
      </c>
      <c r="AN11" t="s">
        <v>497</v>
      </c>
      <c r="AO11" t="s">
        <v>1167</v>
      </c>
      <c r="AP11" t="s">
        <v>5</v>
      </c>
      <c r="AQ11" t="s">
        <v>1168</v>
      </c>
      <c r="AR11" t="s">
        <v>1169</v>
      </c>
      <c r="AS11" t="s">
        <v>515</v>
      </c>
      <c r="AT11" t="s">
        <v>1170</v>
      </c>
      <c r="AU11" t="s">
        <v>1171</v>
      </c>
      <c r="AV11" t="s">
        <v>1172</v>
      </c>
      <c r="AW11" t="s">
        <v>830</v>
      </c>
      <c r="AX11" t="s">
        <v>129</v>
      </c>
      <c r="AY11" t="s">
        <v>407</v>
      </c>
      <c r="AZ11" t="s">
        <v>227</v>
      </c>
      <c r="BA11" t="s">
        <v>106</v>
      </c>
      <c r="BB11" t="s">
        <v>228</v>
      </c>
      <c r="BC11" t="s">
        <v>221</v>
      </c>
      <c r="BD11" t="s">
        <v>408</v>
      </c>
      <c r="BE11" t="s">
        <v>101</v>
      </c>
      <c r="BF11" t="s">
        <v>107</v>
      </c>
      <c r="BG11" t="s">
        <v>200</v>
      </c>
      <c r="BH11" t="s">
        <v>432</v>
      </c>
      <c r="BI11" t="s">
        <v>136</v>
      </c>
      <c r="BJ11" t="s">
        <v>129</v>
      </c>
      <c r="BK11" t="s">
        <v>1159</v>
      </c>
      <c r="BL11" t="s">
        <v>856</v>
      </c>
      <c r="BM11" t="s">
        <v>221</v>
      </c>
      <c r="BN11">
        <v>6.57</v>
      </c>
      <c r="BO11">
        <v>5.65</v>
      </c>
      <c r="BP11">
        <v>11.35</v>
      </c>
      <c r="BQ11">
        <v>7.91</v>
      </c>
      <c r="BR11">
        <v>6.52</v>
      </c>
      <c r="BS11">
        <v>12.21</v>
      </c>
      <c r="BT11" t="s">
        <v>594</v>
      </c>
      <c r="BU11" t="s">
        <v>358</v>
      </c>
      <c r="BV11">
        <v>41.32</v>
      </c>
      <c r="BW11">
        <v>36.07</v>
      </c>
      <c r="BX11">
        <v>40.869999999999997</v>
      </c>
      <c r="BY11">
        <v>20.75</v>
      </c>
      <c r="BZ11">
        <v>18.13</v>
      </c>
      <c r="CA11">
        <v>22.59</v>
      </c>
      <c r="CB11">
        <v>1</v>
      </c>
      <c r="CC11">
        <v>-5.41</v>
      </c>
      <c r="CD11" t="s">
        <v>1173</v>
      </c>
      <c r="CE11" t="s">
        <v>1174</v>
      </c>
      <c r="CF11" s="8">
        <v>8.1339712918660143E-2</v>
      </c>
      <c r="CG11" s="9">
        <v>2.3960490641945074E-2</v>
      </c>
      <c r="CH11" s="8">
        <v>0.57035928964614868</v>
      </c>
      <c r="CI11" s="8">
        <v>-0.26350605487823486</v>
      </c>
      <c r="CJ11" s="8">
        <v>2.2099446505308151E-3</v>
      </c>
      <c r="CK11" s="8">
        <v>0.10231424868106842</v>
      </c>
      <c r="CL11" s="8">
        <v>0.19331395626068115</v>
      </c>
      <c r="CM11" s="9">
        <v>0.85593217611312866</v>
      </c>
      <c r="CN11" s="9">
        <v>-0.42439025640487671</v>
      </c>
      <c r="CO11" s="9">
        <v>7.8947365283966064E-2</v>
      </c>
      <c r="CP11" s="9">
        <v>0.1111111119389534</v>
      </c>
      <c r="CQ11" s="9">
        <v>8.917197585105896E-2</v>
      </c>
      <c r="CR11">
        <v>36.330792452830188</v>
      </c>
      <c r="CS11">
        <v>3.0040772361318417</v>
      </c>
      <c r="CT11">
        <v>0.70671378091872794</v>
      </c>
      <c r="CU11" s="8">
        <v>0.12093827687203884</v>
      </c>
      <c r="CV11" s="9">
        <v>0.14215447455644609</v>
      </c>
      <c r="CW11">
        <v>0.06</v>
      </c>
      <c r="CX11">
        <v>22.269693267886485</v>
      </c>
      <c r="CY11">
        <v>231590077.95752499</v>
      </c>
      <c r="CZ11">
        <v>0.12093827687203884</v>
      </c>
      <c r="DA11">
        <v>7.0900044792924604</v>
      </c>
      <c r="DB11">
        <v>727424082.03875792</v>
      </c>
      <c r="DC11">
        <v>0.11489136302843689</v>
      </c>
      <c r="DD11">
        <v>3.369134717331761</v>
      </c>
      <c r="DE11">
        <v>1530790672.5927882</v>
      </c>
      <c r="DF11">
        <v>0.10642568364739419</v>
      </c>
      <c r="DG11">
        <v>1.9431213428669587</v>
      </c>
      <c r="DH11">
        <v>2654203773.1881981</v>
      </c>
      <c r="DI11">
        <v>9.6750621497631084E-2</v>
      </c>
      <c r="DJ11">
        <v>0.91683482910069747</v>
      </c>
      <c r="DK11">
        <v>5625266227.1336441</v>
      </c>
      <c r="DL11">
        <v>8.4656793810427178E-2</v>
      </c>
      <c r="DM11">
        <v>219000000</v>
      </c>
      <c r="DN11">
        <v>0.12093827687203884</v>
      </c>
      <c r="DO11">
        <v>5157440000</v>
      </c>
      <c r="DP11">
        <v>930342070</v>
      </c>
      <c r="DQ11">
        <v>1347</v>
      </c>
      <c r="DR11">
        <v>-3.9598563953378699E-2</v>
      </c>
      <c r="DS11">
        <v>-0.11819398391450101</v>
      </c>
      <c r="DT11" s="10">
        <v>-0.32333333333333336</v>
      </c>
      <c r="DU11">
        <v>0.18333333333333335</v>
      </c>
      <c r="DV11">
        <v>-0.14000000000000001</v>
      </c>
      <c r="DW11">
        <v>-1.0541</v>
      </c>
      <c r="DX11">
        <v>0.4146195167668647</v>
      </c>
      <c r="DY11">
        <v>-1.0072829158570873</v>
      </c>
      <c r="DZ11">
        <v>2038</v>
      </c>
      <c r="EA11">
        <v>-1.0043783008831648</v>
      </c>
      <c r="EB11">
        <v>1</v>
      </c>
      <c r="EC11">
        <v>1.2983245149911816E-2</v>
      </c>
      <c r="ED11">
        <v>9.6444003527336855E-2</v>
      </c>
      <c r="EE11" s="11">
        <v>-1.0729</v>
      </c>
      <c r="EF11">
        <v>-1.0503</v>
      </c>
      <c r="EG11">
        <v>28.134619516766865</v>
      </c>
      <c r="EH11" t="s">
        <v>490</v>
      </c>
      <c r="EI11">
        <v>0</v>
      </c>
      <c r="EJ11">
        <v>0</v>
      </c>
      <c r="EK11" s="13">
        <v>45470</v>
      </c>
      <c r="EL11" s="14">
        <v>1.72</v>
      </c>
      <c r="EM11" s="14">
        <v>-2.29</v>
      </c>
      <c r="EN11" s="14">
        <v>1.1499999999999999</v>
      </c>
      <c r="EO11" s="14">
        <v>0.93</v>
      </c>
      <c r="EP11" s="14">
        <v>-2.2599999999999998</v>
      </c>
    </row>
    <row r="12" spans="1:146" ht="192" x14ac:dyDescent="0.25">
      <c r="A12" s="6"/>
      <c r="B12" s="6"/>
      <c r="C12" s="6" t="str">
        <f>"公司是一家医药高新技术企业,公司主营业务为基因工程药品、生物检测试剂的研发、生产、销售,主要产品有:注射用重组人干扰素α2b冻干粉针、重组人干扰素α2b注射液、重组人干扰素α2b乳膏、重组人干扰素α2b滴眼液、重组人干扰素α2b栓剂、注射用重组人生长激素、抗精子抗体检测试剂盒等。"&amp;CHAR(10)&amp;Basic_Fundamental_Information_Constructure(F12)&amp;CHAR(10)&amp;Basic_Fundamental_Information_Concatenate("生物制品 15.56亿 66.76% 74.08% 87.01%
中成药 4.04亿 17.35% 18.43% 83.29%
化学合成药 1.47亿 6.33% 1.66% 20.54%
技术服务 7639.18万 3.28% 2.13% 51.07%
原料药 7234.52万 3.10% 1.87% 47.28%")</f>
        <v>公司是一家医药高新技术企业,公司主营业务为基因工程药品、生物检测试剂的研发、生产、销售,主要产品有:注射用重组人干扰素α2b冻干粉针、重组人干扰素α2b注射液、重组人干扰素α2b乳膏、重组人干扰素α2b滴眼液、重组人干扰素α2b栓剂、注射用重组人生长激素、抗精子抗体检测试剂盒等。
市值142.99238亿, 利润8.47亿; PE16.26; 平均PE34.28; 平均PEG2.3, PB3.61; ROIC16.2267%; ROE16.9633%; 股利率2.9308%; 毛利78.94%; 净利23.6633%; 上一年度营收增22.95%, 利润增20.48%; 当季营收增10.44%, 利润增17.07%; 过往5年营收增14.88%, 利润增70.88%
Income profile:
生物制品 15.56亿 66.76% 74.08% 87.01%
中成药 4.04亿 17.35% 18.43% 83.29%
化学合成药 1.47亿 6.33% 1.66% 20.54%
技术服务 7639.18万 3.28% 2.13% 51.07%
原料药 7234.52万 3.10% 1.87% 47.28%</v>
      </c>
      <c r="D12" t="s">
        <v>35</v>
      </c>
      <c r="E12" t="s">
        <v>9</v>
      </c>
      <c r="F12">
        <v>8.5299999999999994</v>
      </c>
      <c r="G12">
        <v>3.14</v>
      </c>
      <c r="H12" t="s">
        <v>1175</v>
      </c>
      <c r="I12">
        <v>14299238000</v>
      </c>
      <c r="J12">
        <v>16.260000000000002</v>
      </c>
      <c r="K12">
        <v>3.61</v>
      </c>
      <c r="L12" t="s">
        <v>30</v>
      </c>
      <c r="M12" t="s">
        <v>1073</v>
      </c>
      <c r="N12" t="s">
        <v>1176</v>
      </c>
      <c r="O12" t="s">
        <v>394</v>
      </c>
      <c r="P12">
        <v>10.42</v>
      </c>
      <c r="Q12" t="s">
        <v>1177</v>
      </c>
      <c r="R12">
        <v>217749930</v>
      </c>
      <c r="S12" s="5">
        <v>0.1731</v>
      </c>
      <c r="T12" t="s">
        <v>1178</v>
      </c>
      <c r="U12">
        <v>1215524410</v>
      </c>
      <c r="V12">
        <v>1676346800</v>
      </c>
      <c r="W12">
        <v>1.23</v>
      </c>
      <c r="X12">
        <v>0.13</v>
      </c>
      <c r="Y12">
        <v>33.83</v>
      </c>
      <c r="Z12" t="s">
        <v>931</v>
      </c>
      <c r="AA12" t="s">
        <v>359</v>
      </c>
      <c r="AB12" t="s">
        <v>798</v>
      </c>
      <c r="AC12" t="s">
        <v>1179</v>
      </c>
      <c r="AD12" t="s">
        <v>5</v>
      </c>
      <c r="AE12">
        <v>-417040</v>
      </c>
      <c r="AF12" t="s">
        <v>1180</v>
      </c>
      <c r="AG12" t="s">
        <v>1181</v>
      </c>
      <c r="AH12" t="s">
        <v>1182</v>
      </c>
      <c r="AI12" t="s">
        <v>516</v>
      </c>
      <c r="AJ12" t="s">
        <v>1183</v>
      </c>
      <c r="AK12" t="s">
        <v>5</v>
      </c>
      <c r="AL12" t="s">
        <v>1184</v>
      </c>
      <c r="AM12" t="s">
        <v>5</v>
      </c>
      <c r="AN12" t="s">
        <v>883</v>
      </c>
      <c r="AO12" t="s">
        <v>5</v>
      </c>
      <c r="AP12" t="s">
        <v>1185</v>
      </c>
      <c r="AQ12" t="s">
        <v>116</v>
      </c>
      <c r="AR12" t="s">
        <v>5</v>
      </c>
      <c r="AS12" t="s">
        <v>1186</v>
      </c>
      <c r="AT12" t="s">
        <v>5</v>
      </c>
      <c r="AU12" t="s">
        <v>231</v>
      </c>
      <c r="AV12" t="s">
        <v>1187</v>
      </c>
      <c r="AW12" t="s">
        <v>1188</v>
      </c>
      <c r="AX12" t="s">
        <v>720</v>
      </c>
      <c r="AY12" t="s">
        <v>409</v>
      </c>
      <c r="AZ12" t="s">
        <v>232</v>
      </c>
      <c r="BA12" t="s">
        <v>111</v>
      </c>
      <c r="BB12" t="s">
        <v>235</v>
      </c>
      <c r="BC12" t="s">
        <v>713</v>
      </c>
      <c r="BD12" t="s">
        <v>367</v>
      </c>
      <c r="BE12" t="s">
        <v>233</v>
      </c>
      <c r="BF12" t="s">
        <v>112</v>
      </c>
      <c r="BG12" t="s">
        <v>223</v>
      </c>
      <c r="BH12" t="s">
        <v>1177</v>
      </c>
      <c r="BI12" t="s">
        <v>765</v>
      </c>
      <c r="BJ12" t="s">
        <v>720</v>
      </c>
      <c r="BK12" t="s">
        <v>1178</v>
      </c>
      <c r="BL12" t="s">
        <v>194</v>
      </c>
      <c r="BM12" t="s">
        <v>713</v>
      </c>
      <c r="BN12">
        <v>18.559999999999999</v>
      </c>
      <c r="BO12">
        <v>23.26</v>
      </c>
      <c r="BP12">
        <v>6.86</v>
      </c>
      <c r="BQ12">
        <v>19.600000000000001</v>
      </c>
      <c r="BR12">
        <v>23.82</v>
      </c>
      <c r="BS12">
        <v>7.47</v>
      </c>
      <c r="BT12" t="s">
        <v>601</v>
      </c>
      <c r="BU12" t="s">
        <v>436</v>
      </c>
      <c r="BV12">
        <v>78.349999999999994</v>
      </c>
      <c r="BW12">
        <v>78.41</v>
      </c>
      <c r="BX12">
        <v>80.06</v>
      </c>
      <c r="BY12">
        <v>29.96</v>
      </c>
      <c r="BZ12">
        <v>31.65</v>
      </c>
      <c r="CA12">
        <v>9.3800000000000008</v>
      </c>
      <c r="CB12">
        <v>-0.12</v>
      </c>
      <c r="CC12">
        <v>-10.59</v>
      </c>
      <c r="CD12" t="s">
        <v>1189</v>
      </c>
      <c r="CE12" t="s">
        <v>828</v>
      </c>
      <c r="CF12" s="8">
        <v>0.10437710437710437</v>
      </c>
      <c r="CG12" s="9">
        <v>0.17069854838709678</v>
      </c>
      <c r="CH12" s="8">
        <v>0.22951513528823853</v>
      </c>
      <c r="CI12" s="8">
        <v>7.4688859283924103E-2</v>
      </c>
      <c r="CJ12" s="8">
        <v>0.27513217926025391</v>
      </c>
      <c r="CK12" s="8">
        <v>-7.005179300904274E-3</v>
      </c>
      <c r="CL12" s="8">
        <v>0.17168258130550385</v>
      </c>
      <c r="CM12" s="9">
        <v>0.2048364132642746</v>
      </c>
      <c r="CN12" s="9">
        <v>2.3961353302001953</v>
      </c>
      <c r="CO12" s="9">
        <v>-0.42339831590652466</v>
      </c>
      <c r="CP12" s="9">
        <v>1.8951612710952759</v>
      </c>
      <c r="CQ12" s="9">
        <v>-0.52851712703704834</v>
      </c>
      <c r="CR12">
        <v>34.277038753495802</v>
      </c>
      <c r="CS12">
        <v>2.3035223997716767</v>
      </c>
      <c r="CT12">
        <v>2.9308323563892147</v>
      </c>
      <c r="CU12" s="8">
        <v>0.14880271516740323</v>
      </c>
      <c r="CV12" s="9">
        <v>0.70884351432323456</v>
      </c>
      <c r="CW12">
        <v>0.06</v>
      </c>
      <c r="CX12">
        <v>12.14786862753569</v>
      </c>
      <c r="CY12">
        <v>917958395.98753822</v>
      </c>
      <c r="CZ12">
        <v>0.14880271516740323</v>
      </c>
      <c r="DA12">
        <v>3.7782571001209795</v>
      </c>
      <c r="DB12">
        <v>2951423819.1050944</v>
      </c>
      <c r="DC12">
        <v>0.14136257940903307</v>
      </c>
      <c r="DD12">
        <v>1.7384292993138382</v>
      </c>
      <c r="DE12">
        <v>6414547893.5504704</v>
      </c>
      <c r="DF12">
        <v>0.13094638934731484</v>
      </c>
      <c r="DG12">
        <v>0.96541912683261888</v>
      </c>
      <c r="DH12">
        <v>11550670263.376047</v>
      </c>
      <c r="DI12">
        <v>0.1190421721339226</v>
      </c>
      <c r="DJ12">
        <v>0.4171711070935672</v>
      </c>
      <c r="DK12">
        <v>26730609599.717297</v>
      </c>
      <c r="DL12">
        <v>0.10416190061718225</v>
      </c>
      <c r="DM12">
        <v>847000000.00000012</v>
      </c>
      <c r="DN12">
        <v>0.14880271516740323</v>
      </c>
      <c r="DO12">
        <v>11151238000</v>
      </c>
      <c r="DP12">
        <v>1719247500</v>
      </c>
      <c r="DQ12">
        <v>1507</v>
      </c>
      <c r="DR12">
        <v>-4.4425610790298858E-2</v>
      </c>
      <c r="DS12">
        <v>-0.53814496593613781</v>
      </c>
      <c r="DT12" s="10">
        <v>-4.0000000000000036E-2</v>
      </c>
      <c r="DU12">
        <v>0.97500000000000009</v>
      </c>
      <c r="DV12">
        <v>0.93500000000000005</v>
      </c>
      <c r="DW12">
        <v>-2.1059000000000001</v>
      </c>
      <c r="DX12">
        <v>0.51192314049586429</v>
      </c>
      <c r="DY12">
        <v>-2.0139706605785124</v>
      </c>
      <c r="DZ12">
        <v>244</v>
      </c>
      <c r="EA12">
        <v>-2.0133035683708496</v>
      </c>
      <c r="EB12">
        <v>2</v>
      </c>
      <c r="EC12">
        <v>2.8566940921771086E-2</v>
      </c>
      <c r="ED12">
        <v>0.21654230496935359</v>
      </c>
      <c r="EE12" s="11">
        <v>-1.0075000000000001</v>
      </c>
      <c r="EF12">
        <v>-1.01851</v>
      </c>
      <c r="EG12">
        <v>38.131923140495864</v>
      </c>
      <c r="EH12" t="s">
        <v>592</v>
      </c>
      <c r="EI12">
        <v>0</v>
      </c>
      <c r="EJ12">
        <v>1</v>
      </c>
      <c r="EK12" s="13">
        <v>45470</v>
      </c>
      <c r="EL12" s="14">
        <v>0.56999999999999995</v>
      </c>
      <c r="EM12" s="14">
        <v>-2.72</v>
      </c>
      <c r="EN12" s="14">
        <v>-0.12</v>
      </c>
      <c r="EO12" s="14">
        <v>3.03</v>
      </c>
      <c r="EP12" s="14">
        <v>-2.6</v>
      </c>
    </row>
    <row r="13" spans="1:146" ht="144" x14ac:dyDescent="0.25">
      <c r="A13" s="6"/>
      <c r="B13" s="6" t="s">
        <v>506</v>
      </c>
      <c r="C13" s="6" t="str">
        <f>"公司是一家从事疫苗、生物制品的研发、生产和销售的公司；公司的主要产品为二类苗、治疗性生物制品、二类苗。"&amp;CHAR(10)&amp;Basic_Fundamental_Information_Constructure(F13)&amp;CHAR(10)&amp;Basic_Fundamental_Information_Concatenate("2021：
代理产品 209.31亿 68.29% 41.74% 29.98% 增速50%
自主产品 96.97亿 31.64% 58.14% 90.12% 增速707.61%
其他 2345.72万 0.08% 643.58万 0.04% 0.11% 72.56%")</f>
        <v>公司是一家从事疫苗、生物制品的研发、生产和销售的公司；公司的主要产品为二类苗、治疗性生物制品、二类苗。
市值652.30771亿, 利润80.70亿; PE8.7; 平均PE11.88; 平均PEG.19, PB2; ROIC41.4633%; ROE46.0933%; 股利率2.9358%; 毛利36.53%; 净利22.75%; 上一年度营收增38.3%, 利润增7.04%; 当季营收增2%, 利润增-28.26%; 过往5年营收增62.18%, 利润增58.55%
Income profile:
2021：
代理产品 209.31亿 68.29% 41.74% 29.98% 增速50%
自主产品 96.97亿 31.64% 58.14% 90.12% 增速707.61%
其他 2345.72万 0.08% 643.58万 0.04% 0.11% 72.56%</v>
      </c>
      <c r="D13" t="s">
        <v>45</v>
      </c>
      <c r="E13" t="s">
        <v>11</v>
      </c>
      <c r="F13">
        <v>27.25</v>
      </c>
      <c r="G13">
        <v>2.02</v>
      </c>
      <c r="H13" t="s">
        <v>1190</v>
      </c>
      <c r="I13">
        <v>65230771000</v>
      </c>
      <c r="J13">
        <v>8.6999999999999993</v>
      </c>
      <c r="K13">
        <v>2</v>
      </c>
      <c r="L13" t="s">
        <v>30</v>
      </c>
      <c r="M13" t="s">
        <v>1191</v>
      </c>
      <c r="N13" t="s">
        <v>1192</v>
      </c>
      <c r="O13" t="s">
        <v>1193</v>
      </c>
      <c r="P13">
        <v>2</v>
      </c>
      <c r="Q13" t="s">
        <v>1194</v>
      </c>
      <c r="R13">
        <v>1457744200</v>
      </c>
      <c r="S13" s="5">
        <v>-0.28260000000000002</v>
      </c>
      <c r="T13" t="s">
        <v>1195</v>
      </c>
      <c r="U13">
        <v>1414308200</v>
      </c>
      <c r="V13">
        <v>2393789700</v>
      </c>
      <c r="W13">
        <v>1.64</v>
      </c>
      <c r="X13">
        <v>0.22</v>
      </c>
      <c r="Y13">
        <v>12.79</v>
      </c>
      <c r="Z13" t="s">
        <v>1196</v>
      </c>
      <c r="AA13" t="s">
        <v>1197</v>
      </c>
      <c r="AB13" t="s">
        <v>1198</v>
      </c>
      <c r="AC13" t="s">
        <v>717</v>
      </c>
      <c r="AD13" t="s">
        <v>5</v>
      </c>
      <c r="AE13">
        <v>5963610</v>
      </c>
      <c r="AF13" t="s">
        <v>72</v>
      </c>
      <c r="AG13" t="s">
        <v>1199</v>
      </c>
      <c r="AH13" t="s">
        <v>1200</v>
      </c>
      <c r="AI13" t="s">
        <v>1201</v>
      </c>
      <c r="AJ13" t="s">
        <v>1202</v>
      </c>
      <c r="AK13" t="s">
        <v>5</v>
      </c>
      <c r="AL13" t="s">
        <v>1203</v>
      </c>
      <c r="AM13" t="s">
        <v>5</v>
      </c>
      <c r="AN13" t="s">
        <v>1204</v>
      </c>
      <c r="AO13" t="s">
        <v>1205</v>
      </c>
      <c r="AP13" t="s">
        <v>5</v>
      </c>
      <c r="AQ13" t="s">
        <v>1206</v>
      </c>
      <c r="AR13" t="s">
        <v>1207</v>
      </c>
      <c r="AS13" t="s">
        <v>1208</v>
      </c>
      <c r="AT13" t="s">
        <v>498</v>
      </c>
      <c r="AU13" t="s">
        <v>1209</v>
      </c>
      <c r="AV13" t="s">
        <v>301</v>
      </c>
      <c r="AW13" t="s">
        <v>1210</v>
      </c>
      <c r="AX13" t="s">
        <v>722</v>
      </c>
      <c r="AY13" t="s">
        <v>410</v>
      </c>
      <c r="AZ13" t="s">
        <v>238</v>
      </c>
      <c r="BA13" t="s">
        <v>117</v>
      </c>
      <c r="BB13" t="s">
        <v>242</v>
      </c>
      <c r="BC13" t="s">
        <v>723</v>
      </c>
      <c r="BD13" t="s">
        <v>411</v>
      </c>
      <c r="BE13" t="s">
        <v>239</v>
      </c>
      <c r="BF13" t="s">
        <v>118</v>
      </c>
      <c r="BG13" t="s">
        <v>243</v>
      </c>
      <c r="BH13" t="s">
        <v>1194</v>
      </c>
      <c r="BI13" t="s">
        <v>860</v>
      </c>
      <c r="BJ13" t="s">
        <v>722</v>
      </c>
      <c r="BK13" t="s">
        <v>1195</v>
      </c>
      <c r="BL13" t="s">
        <v>861</v>
      </c>
      <c r="BM13" t="s">
        <v>723</v>
      </c>
      <c r="BN13">
        <v>21.68</v>
      </c>
      <c r="BO13">
        <v>33.76</v>
      </c>
      <c r="BP13">
        <v>68.95</v>
      </c>
      <c r="BQ13">
        <v>24.14</v>
      </c>
      <c r="BR13">
        <v>36.130000000000003</v>
      </c>
      <c r="BS13">
        <v>78.010000000000005</v>
      </c>
      <c r="BT13" t="s">
        <v>1211</v>
      </c>
      <c r="BU13" t="s">
        <v>513</v>
      </c>
      <c r="BV13">
        <v>26.92</v>
      </c>
      <c r="BW13">
        <v>33.630000000000003</v>
      </c>
      <c r="BX13">
        <v>49.04</v>
      </c>
      <c r="BY13">
        <v>15.25</v>
      </c>
      <c r="BZ13">
        <v>19.7</v>
      </c>
      <c r="CA13">
        <v>33.299999999999997</v>
      </c>
      <c r="CB13">
        <v>-2.78</v>
      </c>
      <c r="CC13">
        <v>-20.28</v>
      </c>
      <c r="CD13" t="s">
        <v>1212</v>
      </c>
      <c r="CE13" t="s">
        <v>1213</v>
      </c>
      <c r="CF13" s="8">
        <v>1.9958829320683793E-2</v>
      </c>
      <c r="CG13" s="9">
        <v>-0.28260620078740156</v>
      </c>
      <c r="CH13" s="8">
        <v>0.38297095894813538</v>
      </c>
      <c r="CI13" s="8">
        <v>0.24833616614341736</v>
      </c>
      <c r="CJ13" s="8">
        <v>1.0179065465927124</v>
      </c>
      <c r="CK13" s="8">
        <v>0.43477848172187805</v>
      </c>
      <c r="CL13" s="8">
        <v>1.0250571966171265</v>
      </c>
      <c r="CM13" s="9">
        <v>7.0433788001537323E-2</v>
      </c>
      <c r="CN13" s="9">
        <v>-0.26153400540351868</v>
      </c>
      <c r="CO13" s="9">
        <v>2.0926992893218994</v>
      </c>
      <c r="CP13" s="9">
        <v>0.39518162608146667</v>
      </c>
      <c r="CQ13" s="9">
        <v>0.63059961795806885</v>
      </c>
      <c r="CR13">
        <v>11.883186361428224</v>
      </c>
      <c r="CS13">
        <v>0.19110642874387448</v>
      </c>
      <c r="CT13">
        <v>2.9357798165137616</v>
      </c>
      <c r="CU13" s="8">
        <v>0.62180987000465393</v>
      </c>
      <c r="CV13" s="9">
        <v>0.58547606319189072</v>
      </c>
      <c r="CW13">
        <v>0.06</v>
      </c>
      <c r="CX13">
        <v>4.1542110165657817</v>
      </c>
      <c r="CY13">
        <v>12347175142.393921</v>
      </c>
      <c r="CZ13">
        <v>0.62180987000465393</v>
      </c>
      <c r="DA13">
        <v>0.89115477929254006</v>
      </c>
      <c r="DB13">
        <v>57557645643.464684</v>
      </c>
      <c r="DC13">
        <v>0.59071937650442119</v>
      </c>
      <c r="DD13">
        <v>0.23084186843294185</v>
      </c>
      <c r="DE13">
        <v>222198734346.58252</v>
      </c>
      <c r="DF13">
        <v>0.54719268560409551</v>
      </c>
      <c r="DG13">
        <v>6.0567431954168742E-2</v>
      </c>
      <c r="DH13">
        <v>846870493680.71509</v>
      </c>
      <c r="DI13">
        <v>0.49744789600372319</v>
      </c>
      <c r="DJ13">
        <v>3.882106349717235E-3</v>
      </c>
      <c r="DK13">
        <v>13212613560608.937</v>
      </c>
      <c r="DL13">
        <v>0.43526690900325771</v>
      </c>
      <c r="DM13">
        <v>8070000000</v>
      </c>
      <c r="DN13">
        <v>0.62180987000465393</v>
      </c>
      <c r="DO13">
        <v>51292771000</v>
      </c>
      <c r="DP13">
        <v>25519274000</v>
      </c>
      <c r="DQ13">
        <v>1612</v>
      </c>
      <c r="DR13">
        <v>-0.60185104068397011</v>
      </c>
      <c r="DS13">
        <v>-0.86808226397929222</v>
      </c>
      <c r="DT13" s="10">
        <v>0.46</v>
      </c>
      <c r="DU13">
        <v>0.33166666666666661</v>
      </c>
      <c r="DV13">
        <v>0.79166666666666663</v>
      </c>
      <c r="DW13">
        <v>-8.1370808678500985</v>
      </c>
      <c r="DX13">
        <v>0.4478290322580662</v>
      </c>
      <c r="DY13">
        <v>-8.0202645320353749</v>
      </c>
      <c r="DZ13">
        <v>365</v>
      </c>
      <c r="EA13">
        <v>-8.0188170654614197</v>
      </c>
      <c r="EB13">
        <v>8</v>
      </c>
      <c r="EC13">
        <v>2.6801769595716785E-2</v>
      </c>
      <c r="ED13">
        <v>0.18130247615318923</v>
      </c>
      <c r="EE13" s="11">
        <v>1.0401100000000001</v>
      </c>
      <c r="EF13">
        <v>1.0681099999999999</v>
      </c>
      <c r="EG13">
        <v>30.147829032258066</v>
      </c>
      <c r="EH13" t="s">
        <v>496</v>
      </c>
      <c r="EI13">
        <v>0</v>
      </c>
      <c r="EJ13">
        <v>1</v>
      </c>
      <c r="EK13" s="13">
        <v>45470</v>
      </c>
      <c r="EL13" s="14">
        <v>0.49</v>
      </c>
      <c r="EM13" s="14">
        <v>-2.2599999999999998</v>
      </c>
      <c r="EN13" s="14">
        <v>-1.78</v>
      </c>
      <c r="EO13" s="14">
        <v>5.04</v>
      </c>
      <c r="EP13" s="14">
        <v>-2.8</v>
      </c>
    </row>
    <row r="14" spans="1:146" ht="228" x14ac:dyDescent="0.25">
      <c r="A14" s="6"/>
      <c r="B14" s="6" t="s">
        <v>507</v>
      </c>
      <c r="C14" s="6" t="str">
        <f>"公司是一家专业从事人用疫苗产品研发、生产、销售的生物制药企业，公司主要产品13价肺炎球菌多糖结合疫苗、23价肺炎球菌多糖疫苗、b型流感嗜血杆菌结合疫苗、冻干AC疫苗群脑膜炎球菌多糖结合疫苗、A群C群脑膜炎球菌多糖疫苗、ACYW135群脑膜炎球菌多糖疫苗、吸附无细胞百白破联合疫苗。"&amp;CHAR(10)&amp;Basic_Fundamental_Information_Constructure(F14)&amp;CHAR(10)&amp;Basic_Fundamental_Information_Concatenate("13价肺炎球菌多糖结合疫苗 27.46亿 79.31% 1.76亿 89.16% 99.50% 93.60%
23价肺炎球菌多糖疫苗 2.26亿 6.54%
b型流感嗜血杆菌 1.52亿 4.39%
冻干AC疫苗群脑膜炎球菌多糖结合疫苗 1.04亿 3.00%
A群C群脑膜炎球菌多糖疫苗 1.00亿 2.89%
ACYW135群脑膜炎球菌多糖疫苗 8814.57万 2.55%")</f>
        <v>公司是一家专业从事人用疫苗产品研发、生产、销售的生物制药企业，公司主要产品13价肺炎球菌多糖结合疫苗、23价肺炎球菌多糖疫苗、b型流感嗜血杆菌结合疫苗、冻干AC疫苗群脑膜炎球菌多糖结合疫苗、A群C群脑膜炎球菌多糖疫苗、ACYW135群脑膜炎球菌多糖疫苗、吸附无细胞百白破联合疫苗。
市值181.88598亿, 利润4.19亿; PE69.55; 平均PE28.97; 平均PEG.62, PB1.94; ROIC6.6233%; ROE6.6633%; 股利率.0883%; 毛利87.3667%; 净利16.0833%; 上一年度营收增-19.11%, 利润增-42.52%; 当季营收增-27.97%, 利润增-91.79%; 过往5年营收增47.06%, 利润增98.08%
Income profile:
13价肺炎球菌多糖结合疫苗 27.46亿 79.31% 1.76亿 89.16% 99.50% 93.60%
23价肺炎球菌多糖疫苗 2.26亿 6.54%
b型流感嗜血杆菌 1.52亿 4.39%
冻干AC疫苗群脑膜炎球菌多糖结合疫苗 1.04亿 3.00%
A群C群脑膜炎球菌多糖疫苗 1.00亿 2.89%
ACYW135群脑膜炎球菌多糖疫苗 8814.57万 2.55%</v>
      </c>
      <c r="D14" t="s">
        <v>29</v>
      </c>
      <c r="E14" t="s">
        <v>18</v>
      </c>
      <c r="F14">
        <v>11.33</v>
      </c>
      <c r="G14">
        <v>4.1399999999999997</v>
      </c>
      <c r="H14" t="s">
        <v>1214</v>
      </c>
      <c r="I14">
        <v>18188598000</v>
      </c>
      <c r="J14">
        <v>69.55</v>
      </c>
      <c r="K14">
        <v>1.94</v>
      </c>
      <c r="L14" t="s">
        <v>30</v>
      </c>
      <c r="M14" t="s">
        <v>1215</v>
      </c>
      <c r="N14" t="s">
        <v>1216</v>
      </c>
      <c r="O14" t="s">
        <v>576</v>
      </c>
      <c r="P14">
        <v>-28.02</v>
      </c>
      <c r="Q14" t="s">
        <v>1217</v>
      </c>
      <c r="R14">
        <v>14127534</v>
      </c>
      <c r="S14" s="5">
        <v>-0.91790000000000005</v>
      </c>
      <c r="T14" t="s">
        <v>933</v>
      </c>
      <c r="U14">
        <v>1566303300</v>
      </c>
      <c r="V14">
        <v>1605348500</v>
      </c>
      <c r="W14">
        <v>1.35</v>
      </c>
      <c r="X14">
        <v>0.04</v>
      </c>
      <c r="Y14">
        <v>6.39</v>
      </c>
      <c r="Z14" t="s">
        <v>711</v>
      </c>
      <c r="AA14" t="s">
        <v>259</v>
      </c>
      <c r="AB14" t="s">
        <v>888</v>
      </c>
      <c r="AC14" t="s">
        <v>1218</v>
      </c>
      <c r="AD14" t="s">
        <v>5</v>
      </c>
      <c r="AE14">
        <v>-14804368</v>
      </c>
      <c r="AF14" t="s">
        <v>1219</v>
      </c>
      <c r="AG14">
        <v>101.88</v>
      </c>
      <c r="AH14" t="s">
        <v>1220</v>
      </c>
      <c r="AI14" t="s">
        <v>437</v>
      </c>
      <c r="AJ14" t="s">
        <v>1221</v>
      </c>
      <c r="AK14" t="s">
        <v>5</v>
      </c>
      <c r="AL14" t="s">
        <v>1222</v>
      </c>
      <c r="AM14" t="s">
        <v>5</v>
      </c>
      <c r="AN14" t="s">
        <v>1223</v>
      </c>
      <c r="AO14" t="s">
        <v>108</v>
      </c>
      <c r="AP14" t="s">
        <v>1224</v>
      </c>
      <c r="AQ14" t="s">
        <v>1225</v>
      </c>
      <c r="AR14">
        <v>3963.31</v>
      </c>
      <c r="AS14" t="s">
        <v>1226</v>
      </c>
      <c r="AT14" t="s">
        <v>947</v>
      </c>
      <c r="AU14" t="s">
        <v>1227</v>
      </c>
      <c r="AV14" t="s">
        <v>1228</v>
      </c>
      <c r="AW14" t="s">
        <v>1229</v>
      </c>
      <c r="AX14" t="s">
        <v>726</v>
      </c>
      <c r="AY14" t="s">
        <v>412</v>
      </c>
      <c r="AZ14" t="s">
        <v>245</v>
      </c>
      <c r="BA14" t="s">
        <v>120</v>
      </c>
      <c r="BB14" t="s">
        <v>247</v>
      </c>
      <c r="BC14" t="s">
        <v>727</v>
      </c>
      <c r="BD14" t="s">
        <v>413</v>
      </c>
      <c r="BE14" t="s">
        <v>246</v>
      </c>
      <c r="BF14" t="s">
        <v>97</v>
      </c>
      <c r="BG14" t="s">
        <v>249</v>
      </c>
      <c r="BH14" t="s">
        <v>1217</v>
      </c>
      <c r="BI14" t="s">
        <v>864</v>
      </c>
      <c r="BJ14" t="s">
        <v>726</v>
      </c>
      <c r="BK14" t="s">
        <v>933</v>
      </c>
      <c r="BL14" t="s">
        <v>798</v>
      </c>
      <c r="BM14" t="s">
        <v>727</v>
      </c>
      <c r="BN14">
        <v>5.51</v>
      </c>
      <c r="BO14">
        <v>8.1199999999999992</v>
      </c>
      <c r="BP14">
        <v>6.24</v>
      </c>
      <c r="BQ14">
        <v>5.94</v>
      </c>
      <c r="BR14">
        <v>8.23</v>
      </c>
      <c r="BS14">
        <v>5.82</v>
      </c>
      <c r="BT14" t="s">
        <v>729</v>
      </c>
      <c r="BU14" t="s">
        <v>513</v>
      </c>
      <c r="BV14">
        <v>85.47</v>
      </c>
      <c r="BW14">
        <v>88.02</v>
      </c>
      <c r="BX14">
        <v>88.61</v>
      </c>
      <c r="BY14">
        <v>12.43</v>
      </c>
      <c r="BZ14">
        <v>18.45</v>
      </c>
      <c r="CA14">
        <v>17.37</v>
      </c>
      <c r="CB14">
        <v>-0.44</v>
      </c>
      <c r="CC14">
        <v>-18.96</v>
      </c>
      <c r="CD14" t="s">
        <v>1230</v>
      </c>
      <c r="CE14" t="s">
        <v>946</v>
      </c>
      <c r="CF14" s="8">
        <v>-0.27971188475390157</v>
      </c>
      <c r="CG14" s="9">
        <v>-0.91786317441860465</v>
      </c>
      <c r="CH14" s="8">
        <v>-0.19111290574073792</v>
      </c>
      <c r="CI14" s="8">
        <v>0.46866878867149353</v>
      </c>
      <c r="CJ14" s="8">
        <v>0.1782919317483902</v>
      </c>
      <c r="CK14" s="8">
        <v>1.6217664480209351</v>
      </c>
      <c r="CL14" s="8">
        <v>0.27531278133392334</v>
      </c>
      <c r="CM14" s="9">
        <v>-0.42524006962776184</v>
      </c>
      <c r="CN14" s="9">
        <v>0.70327103137969971</v>
      </c>
      <c r="CO14" s="9">
        <v>-0.57328015565872192</v>
      </c>
      <c r="CP14" s="9">
        <v>6.063380241394043</v>
      </c>
      <c r="CQ14" s="9">
        <v>-0.86424475908279419</v>
      </c>
      <c r="CR14">
        <v>28.970424210246879</v>
      </c>
      <c r="CS14">
        <v>0.61562521208856069</v>
      </c>
      <c r="CT14">
        <v>8.8261253309797005E-2</v>
      </c>
      <c r="CU14" s="8">
        <v>0.47058540880680083</v>
      </c>
      <c r="CV14" s="9">
        <v>0.98077725768089297</v>
      </c>
      <c r="CW14">
        <v>0.06</v>
      </c>
      <c r="CX14">
        <v>18.834760397282444</v>
      </c>
      <c r="CY14">
        <v>581297439.89627326</v>
      </c>
      <c r="CZ14">
        <v>0.47058540880680083</v>
      </c>
      <c r="DA14">
        <v>4.5263741564026185</v>
      </c>
      <c r="DB14">
        <v>2418845111.2714705</v>
      </c>
      <c r="DC14">
        <v>0.44705613836646074</v>
      </c>
      <c r="DD14">
        <v>1.4110298589599177</v>
      </c>
      <c r="DE14">
        <v>7759295758.6810436</v>
      </c>
      <c r="DF14">
        <v>0.41411515974998475</v>
      </c>
      <c r="DG14">
        <v>0.47554204397202626</v>
      </c>
      <c r="DH14">
        <v>23023406949.573635</v>
      </c>
      <c r="DI14">
        <v>0.3764683270454407</v>
      </c>
      <c r="DJ14">
        <v>5.7749665387690954E-2</v>
      </c>
      <c r="DK14">
        <v>189587211051.33255</v>
      </c>
      <c r="DL14">
        <v>0.32940978616476058</v>
      </c>
      <c r="DM14">
        <v>419000000.00000006</v>
      </c>
      <c r="DN14">
        <v>0.47058540880680083</v>
      </c>
      <c r="DO14">
        <v>10948598000</v>
      </c>
      <c r="DP14">
        <v>5518107500</v>
      </c>
      <c r="DQ14">
        <v>1632</v>
      </c>
      <c r="DR14">
        <v>-0.75029729356070241</v>
      </c>
      <c r="DS14">
        <v>-1.8986404320994976</v>
      </c>
      <c r="DT14" s="10">
        <v>9.999999999999936E-3</v>
      </c>
      <c r="DU14">
        <v>-0.19000000000000003</v>
      </c>
      <c r="DV14">
        <v>-0.1800000000000001</v>
      </c>
      <c r="DW14">
        <v>-3.0334761904761907</v>
      </c>
      <c r="DX14">
        <v>0.49760269438669125</v>
      </c>
      <c r="DY14">
        <v>-3.0049411759120881</v>
      </c>
      <c r="DZ14">
        <v>2155</v>
      </c>
      <c r="EA14">
        <v>-3.0028573727632524</v>
      </c>
      <c r="EB14">
        <v>3</v>
      </c>
      <c r="EC14">
        <v>4.4225225862172604E-2</v>
      </c>
      <c r="ED14">
        <v>0.29962341510270196</v>
      </c>
      <c r="EE14" s="11">
        <v>6.0509999999999994E-2</v>
      </c>
      <c r="EF14">
        <v>8.700999999999999E-2</v>
      </c>
      <c r="EG14">
        <v>35.147602694386691</v>
      </c>
      <c r="EH14">
        <v>-1</v>
      </c>
      <c r="EI14">
        <v>0</v>
      </c>
      <c r="EJ14">
        <v>0</v>
      </c>
      <c r="EK14" s="13">
        <v>45470</v>
      </c>
      <c r="EL14" s="14">
        <v>0.7</v>
      </c>
      <c r="EM14" s="14">
        <v>-2.79</v>
      </c>
      <c r="EN14" s="14">
        <v>-0.27</v>
      </c>
      <c r="EO14" s="14">
        <v>5.03</v>
      </c>
      <c r="EP14" s="14">
        <v>-2.65</v>
      </c>
    </row>
    <row r="15" spans="1:146" ht="96" x14ac:dyDescent="0.25">
      <c r="A15" s="6"/>
      <c r="B15" s="6"/>
      <c r="C15" s="6" t="str">
        <f>""&amp;CHAR(10)&amp;Basic_Fundamental_Information_Constructure(F15)&amp;CHAR(10)&amp;Basic_Fundamental_Information_Concatenate("")</f>
        <v xml:space="preserve">
市值28.077487亿, 利润1.20亿; PE24.48; 平均PE48.02; 平均PEG2.56, PB1.69; ROIC4.6133%; ROE5.48%; 股利率.4651%; 毛利21.9933%; 净利10.3867%; 上一年度营收增3.39%, 利润增10.09%; 当季营收增-7.28%, 利润增-16.62%; 过往5年营收增18.73%, 利润增51.9%
Income profile:
</v>
      </c>
      <c r="D15" t="s">
        <v>41</v>
      </c>
      <c r="E15" t="s">
        <v>7</v>
      </c>
      <c r="F15">
        <v>4.7300000000000004</v>
      </c>
      <c r="G15">
        <v>2.16</v>
      </c>
      <c r="H15" t="s">
        <v>1231</v>
      </c>
      <c r="I15">
        <v>2807748700</v>
      </c>
      <c r="J15">
        <v>24.48</v>
      </c>
      <c r="K15">
        <v>1.69</v>
      </c>
      <c r="L15" t="s">
        <v>30</v>
      </c>
      <c r="M15" t="s">
        <v>236</v>
      </c>
      <c r="N15" t="s">
        <v>1232</v>
      </c>
      <c r="O15" t="s">
        <v>545</v>
      </c>
      <c r="P15">
        <v>-7.48</v>
      </c>
      <c r="Q15" t="s">
        <v>766</v>
      </c>
      <c r="R15">
        <v>25961527</v>
      </c>
      <c r="S15" s="5">
        <v>-0.16619999999999999</v>
      </c>
      <c r="T15" t="s">
        <v>76</v>
      </c>
      <c r="U15">
        <v>589603190</v>
      </c>
      <c r="V15">
        <v>593604390</v>
      </c>
      <c r="W15">
        <v>1.43</v>
      </c>
      <c r="X15">
        <v>0.09</v>
      </c>
      <c r="Y15">
        <v>11.61</v>
      </c>
      <c r="Z15" t="s">
        <v>888</v>
      </c>
      <c r="AA15" t="s">
        <v>842</v>
      </c>
      <c r="AB15" t="s">
        <v>1233</v>
      </c>
      <c r="AC15" t="s">
        <v>1234</v>
      </c>
      <c r="AD15" t="s">
        <v>5</v>
      </c>
      <c r="AE15">
        <v>-1700412</v>
      </c>
      <c r="AF15" t="s">
        <v>1235</v>
      </c>
      <c r="AG15" t="s">
        <v>1236</v>
      </c>
      <c r="AH15" t="s">
        <v>1237</v>
      </c>
      <c r="AI15" t="s">
        <v>390</v>
      </c>
      <c r="AJ15" t="s">
        <v>1238</v>
      </c>
      <c r="AK15" t="s">
        <v>1239</v>
      </c>
      <c r="AL15" t="s">
        <v>1240</v>
      </c>
      <c r="AM15" t="s">
        <v>5</v>
      </c>
      <c r="AN15" t="s">
        <v>396</v>
      </c>
      <c r="AO15" t="s">
        <v>1241</v>
      </c>
      <c r="AP15" t="s">
        <v>1242</v>
      </c>
      <c r="AQ15" t="s">
        <v>406</v>
      </c>
      <c r="AR15" t="s">
        <v>5</v>
      </c>
      <c r="AS15" t="s">
        <v>829</v>
      </c>
      <c r="AT15" t="s">
        <v>1243</v>
      </c>
      <c r="AU15" t="s">
        <v>1244</v>
      </c>
      <c r="AV15" t="s">
        <v>1245</v>
      </c>
      <c r="AW15" t="s">
        <v>1246</v>
      </c>
      <c r="AX15" t="s">
        <v>563</v>
      </c>
      <c r="AY15" t="s">
        <v>414</v>
      </c>
      <c r="AZ15" t="s">
        <v>251</v>
      </c>
      <c r="BA15" t="s">
        <v>110</v>
      </c>
      <c r="BB15" t="s">
        <v>253</v>
      </c>
      <c r="BC15" t="s">
        <v>497</v>
      </c>
      <c r="BD15" t="s">
        <v>415</v>
      </c>
      <c r="BE15" t="s">
        <v>252</v>
      </c>
      <c r="BF15" t="s">
        <v>254</v>
      </c>
      <c r="BG15" t="s">
        <v>255</v>
      </c>
      <c r="BH15" t="s">
        <v>766</v>
      </c>
      <c r="BI15" t="s">
        <v>831</v>
      </c>
      <c r="BJ15" t="s">
        <v>563</v>
      </c>
      <c r="BK15" t="s">
        <v>76</v>
      </c>
      <c r="BL15" t="s">
        <v>868</v>
      </c>
      <c r="BM15" t="s">
        <v>497</v>
      </c>
      <c r="BN15">
        <v>4.66</v>
      </c>
      <c r="BO15">
        <v>6.5</v>
      </c>
      <c r="BP15">
        <v>2.68</v>
      </c>
      <c r="BQ15">
        <v>6.08</v>
      </c>
      <c r="BR15">
        <v>7.42</v>
      </c>
      <c r="BS15">
        <v>2.94</v>
      </c>
      <c r="BT15" t="s">
        <v>1247</v>
      </c>
      <c r="BU15" t="s">
        <v>436</v>
      </c>
      <c r="BV15">
        <v>25.53</v>
      </c>
      <c r="BW15">
        <v>24.74</v>
      </c>
      <c r="BX15">
        <v>15.71</v>
      </c>
      <c r="BY15">
        <v>13.07</v>
      </c>
      <c r="BZ15">
        <v>12.24</v>
      </c>
      <c r="CA15">
        <v>5.85</v>
      </c>
      <c r="CB15">
        <v>0.42</v>
      </c>
      <c r="CC15">
        <v>-7.94</v>
      </c>
      <c r="CD15" t="s">
        <v>1248</v>
      </c>
      <c r="CE15" t="s">
        <v>90</v>
      </c>
      <c r="CF15" s="8">
        <v>-7.2796934865900387E-2</v>
      </c>
      <c r="CG15" s="9">
        <v>-0.16622688471099054</v>
      </c>
      <c r="CH15" s="8">
        <v>3.3934254199266434E-2</v>
      </c>
      <c r="CI15" s="8">
        <v>0.54084968566894531</v>
      </c>
      <c r="CJ15" s="8">
        <v>0.36302894353866577</v>
      </c>
      <c r="CK15" s="8">
        <v>-8.739837259054184E-2</v>
      </c>
      <c r="CL15" s="8">
        <v>8.6092717945575714E-2</v>
      </c>
      <c r="CM15" s="9">
        <v>0.10091742873191833</v>
      </c>
      <c r="CN15" s="9">
        <v>1.9876029491424561</v>
      </c>
      <c r="CO15" s="9">
        <v>0.97742581367492676</v>
      </c>
      <c r="CP15" s="9">
        <v>-0.43944936990737915</v>
      </c>
      <c r="CQ15" s="9">
        <v>-3.1273912638425827E-2</v>
      </c>
      <c r="CR15">
        <v>48.019481441237851</v>
      </c>
      <c r="CS15">
        <v>2.5637539127552138</v>
      </c>
      <c r="CT15">
        <v>0.46511627906976738</v>
      </c>
      <c r="CU15" s="8">
        <v>0.18730144575238228</v>
      </c>
      <c r="CV15" s="9">
        <v>0.51904458180069923</v>
      </c>
      <c r="CW15">
        <v>0.06</v>
      </c>
      <c r="CX15">
        <v>12.906253564743393</v>
      </c>
      <c r="CY15">
        <v>134411484.42479798</v>
      </c>
      <c r="CZ15">
        <v>0.18730144575238228</v>
      </c>
      <c r="DA15">
        <v>3.8876978659115125</v>
      </c>
      <c r="DB15">
        <v>446214896.27853823</v>
      </c>
      <c r="DC15">
        <v>0.17793637346476315</v>
      </c>
      <c r="DD15">
        <v>1.7097985202397918</v>
      </c>
      <c r="DE15">
        <v>1014592467.7468483</v>
      </c>
      <c r="DF15">
        <v>0.1648252722620964</v>
      </c>
      <c r="DG15">
        <v>0.89936866874858079</v>
      </c>
      <c r="DH15">
        <v>1928851604.7749383</v>
      </c>
      <c r="DI15">
        <v>0.14984115660190583</v>
      </c>
      <c r="DJ15">
        <v>0.34112138131729974</v>
      </c>
      <c r="DK15">
        <v>5085429395.5452604</v>
      </c>
      <c r="DL15">
        <v>0.13111101202666758</v>
      </c>
      <c r="DM15">
        <v>120000000</v>
      </c>
      <c r="DN15">
        <v>0.18730144575238228</v>
      </c>
      <c r="DO15">
        <v>1734748700</v>
      </c>
      <c r="DP15">
        <v>1084295000</v>
      </c>
      <c r="DQ15">
        <v>1724</v>
      </c>
      <c r="DR15">
        <v>-0.26009838061828267</v>
      </c>
      <c r="DS15">
        <v>-0.6852714665116898</v>
      </c>
      <c r="DT15" s="10">
        <v>-0.15666666666666665</v>
      </c>
      <c r="DU15">
        <v>0.27999999999999997</v>
      </c>
      <c r="DV15">
        <v>0.12333333333333332</v>
      </c>
      <c r="DW15">
        <v>-2.0794000000000001</v>
      </c>
      <c r="DX15">
        <v>0.27227821229050192</v>
      </c>
      <c r="DY15">
        <v>-2.0073268900558658</v>
      </c>
      <c r="DZ15">
        <v>1436</v>
      </c>
      <c r="EA15">
        <v>-2.0052679049051374</v>
      </c>
      <c r="EB15">
        <v>2</v>
      </c>
      <c r="EC15">
        <v>2.7826276689092544E-2</v>
      </c>
      <c r="ED15">
        <v>0.30154763511772548</v>
      </c>
      <c r="EE15" s="11">
        <v>-3.0501999999999998</v>
      </c>
      <c r="EF15">
        <v>-3.0230999999999999</v>
      </c>
      <c r="EG15">
        <v>18.092278212290502</v>
      </c>
      <c r="EH15" t="s">
        <v>959</v>
      </c>
      <c r="EI15">
        <v>0</v>
      </c>
      <c r="EJ15">
        <v>1</v>
      </c>
      <c r="EK15" s="13">
        <v>45470</v>
      </c>
      <c r="EL15" s="14">
        <v>-0.97</v>
      </c>
      <c r="EM15" s="14">
        <v>-7.23</v>
      </c>
      <c r="EN15" s="14">
        <v>-1.05</v>
      </c>
      <c r="EO15" s="14">
        <v>2.13</v>
      </c>
      <c r="EP15" s="14">
        <v>-2.71</v>
      </c>
    </row>
    <row r="16" spans="1:146" ht="168" x14ac:dyDescent="0.25">
      <c r="A16" s="6" t="s">
        <v>591</v>
      </c>
      <c r="B16" s="6"/>
      <c r="C16" s="6" t="str">
        <f>"公司的主营业务为血液制品的研发、生产和销售。公司的主要产品为血液制品业务、天安药业的糖尿病用药业务、新百药业的生化类用药业务、博雅欣和化学药业务、复大医药经销业务。"&amp;CHAR(10)&amp;Basic_Fundamental_Information_Constructure(F16)&amp;CHAR(10)&amp;Basic_Fundamental_Information_Concatenate("血液制品业务 6.93亿 49.54% 61.32% 67.63%
药品经销 4.00亿 28.60% 6.91% 13.20%
生化制药业务 2.08亿 14.90% 21.92% 80.36%
糖尿病药品业务 1.01亿 7.24% 9.85% 74.40%")</f>
        <v>公司的主营业务为血液制品的研发、生产和销售。公司的主要产品为血液制品业务、天安药业的糖尿病用药业务、新百药业的生化类用药业务、博雅欣和化学药业务、复大医药经销业务。
市值177.49556亿, 利润2.37亿; PE80.98; 平均PE49.1; 平均PEG19.92, PB2.38; ROIC6.0033%; ROE6.77%; 股利率.8523%; 毛利54.8%; 净利13.01%; 上一年度营收增-3.88%, 利润增-45.14%; 当季营收增-44.42%, 利润增-10.57%; 过往5年营收增2.46%, 利润增-7.07%
Income profile:
血液制品业务 6.93亿 49.54% 61.32% 67.63%
药品经销 4.00亿 28.60% 6.91% 13.20%
生化制药业务 2.08亿 14.90% 21.92% 80.36%
糖尿病药品业务 1.01亿 7.24% 9.85% 74.40%</v>
      </c>
      <c r="D16" t="s">
        <v>51</v>
      </c>
      <c r="E16" t="s">
        <v>19</v>
      </c>
      <c r="F16">
        <v>35.200000000000003</v>
      </c>
      <c r="G16">
        <v>4.0199999999999996</v>
      </c>
      <c r="H16" t="s">
        <v>1249</v>
      </c>
      <c r="I16">
        <v>17749556000</v>
      </c>
      <c r="J16">
        <v>80.98</v>
      </c>
      <c r="K16">
        <v>2.38</v>
      </c>
      <c r="L16" t="s">
        <v>30</v>
      </c>
      <c r="M16" t="s">
        <v>1250</v>
      </c>
      <c r="N16" t="s">
        <v>1251</v>
      </c>
      <c r="O16" t="s">
        <v>311</v>
      </c>
      <c r="P16">
        <v>-44.36</v>
      </c>
      <c r="Q16" t="s">
        <v>1252</v>
      </c>
      <c r="R16">
        <v>152024890</v>
      </c>
      <c r="S16" s="5">
        <v>-0.1074</v>
      </c>
      <c r="T16" t="s">
        <v>1253</v>
      </c>
      <c r="U16">
        <v>425940160</v>
      </c>
      <c r="V16">
        <v>504248740</v>
      </c>
      <c r="W16">
        <v>1.07</v>
      </c>
      <c r="X16">
        <v>0.06</v>
      </c>
      <c r="Y16">
        <v>33.840000000000003</v>
      </c>
      <c r="Z16" t="s">
        <v>1254</v>
      </c>
      <c r="AA16" t="s">
        <v>460</v>
      </c>
      <c r="AB16" t="s">
        <v>330</v>
      </c>
      <c r="AC16" t="s">
        <v>1255</v>
      </c>
      <c r="AD16" t="s">
        <v>5</v>
      </c>
      <c r="AE16">
        <v>-8206815</v>
      </c>
      <c r="AF16" t="s">
        <v>1256</v>
      </c>
      <c r="AG16" t="s">
        <v>1257</v>
      </c>
      <c r="AH16" t="s">
        <v>1258</v>
      </c>
      <c r="AI16" t="s">
        <v>1259</v>
      </c>
      <c r="AJ16" t="s">
        <v>1260</v>
      </c>
      <c r="AK16" t="s">
        <v>5</v>
      </c>
      <c r="AL16" t="s">
        <v>1261</v>
      </c>
      <c r="AM16" t="s">
        <v>5</v>
      </c>
      <c r="AN16" t="s">
        <v>1262</v>
      </c>
      <c r="AO16" t="s">
        <v>5</v>
      </c>
      <c r="AP16" t="s">
        <v>1263</v>
      </c>
      <c r="AQ16" t="s">
        <v>1264</v>
      </c>
      <c r="AR16" t="s">
        <v>5</v>
      </c>
      <c r="AS16" t="s">
        <v>1265</v>
      </c>
      <c r="AT16" t="s">
        <v>871</v>
      </c>
      <c r="AU16" t="s">
        <v>112</v>
      </c>
      <c r="AV16" t="s">
        <v>1266</v>
      </c>
      <c r="AW16" t="s">
        <v>1267</v>
      </c>
      <c r="AX16" t="s">
        <v>732</v>
      </c>
      <c r="AY16" t="s">
        <v>416</v>
      </c>
      <c r="AZ16" t="s">
        <v>362</v>
      </c>
      <c r="BA16" t="s">
        <v>363</v>
      </c>
      <c r="BB16" t="s">
        <v>364</v>
      </c>
      <c r="BC16" t="s">
        <v>244</v>
      </c>
      <c r="BD16" t="s">
        <v>133</v>
      </c>
      <c r="BE16" t="s">
        <v>109</v>
      </c>
      <c r="BF16" t="s">
        <v>123</v>
      </c>
      <c r="BG16" t="s">
        <v>256</v>
      </c>
      <c r="BH16" t="s">
        <v>1252</v>
      </c>
      <c r="BI16" t="s">
        <v>872</v>
      </c>
      <c r="BJ16" t="s">
        <v>732</v>
      </c>
      <c r="BK16" t="s">
        <v>1253</v>
      </c>
      <c r="BL16" t="s">
        <v>175</v>
      </c>
      <c r="BM16" t="s">
        <v>244</v>
      </c>
      <c r="BN16">
        <v>6.11</v>
      </c>
      <c r="BO16">
        <v>5.95</v>
      </c>
      <c r="BP16">
        <v>5.95</v>
      </c>
      <c r="BQ16">
        <v>6.3</v>
      </c>
      <c r="BR16">
        <v>6.18</v>
      </c>
      <c r="BS16">
        <v>7.83</v>
      </c>
      <c r="BT16" t="s">
        <v>599</v>
      </c>
      <c r="BU16" t="s">
        <v>358</v>
      </c>
      <c r="BV16">
        <v>52.76</v>
      </c>
      <c r="BW16">
        <v>54.66</v>
      </c>
      <c r="BX16">
        <v>56.98</v>
      </c>
      <c r="BY16">
        <v>9.36</v>
      </c>
      <c r="BZ16">
        <v>16.149999999999999</v>
      </c>
      <c r="CA16">
        <v>13.52</v>
      </c>
      <c r="CB16">
        <v>6.67</v>
      </c>
      <c r="CC16">
        <v>7.91</v>
      </c>
      <c r="CD16" t="s">
        <v>1268</v>
      </c>
      <c r="CE16" t="s">
        <v>706</v>
      </c>
      <c r="CF16" s="8">
        <v>-0.44416873449131505</v>
      </c>
      <c r="CG16" s="9">
        <v>-0.10573594117647059</v>
      </c>
      <c r="CH16" s="8">
        <v>-3.8782190531492233E-2</v>
      </c>
      <c r="CI16" s="8">
        <v>4.0739342570304871E-2</v>
      </c>
      <c r="CJ16" s="8">
        <v>5.4914496839046478E-2</v>
      </c>
      <c r="CK16" s="8">
        <v>-8.9822530746459961E-2</v>
      </c>
      <c r="CL16" s="8">
        <v>0.15619762241840363</v>
      </c>
      <c r="CM16" s="9">
        <v>-0.4513888955116272</v>
      </c>
      <c r="CN16" s="9">
        <v>0.25217390060424805</v>
      </c>
      <c r="CO16" s="9">
        <v>0.32692307233810425</v>
      </c>
      <c r="CP16" s="9">
        <v>-0.38967135548591614</v>
      </c>
      <c r="CQ16" s="9">
        <v>-9.1684438288211823E-2</v>
      </c>
      <c r="CR16">
        <v>49.099739972337481</v>
      </c>
      <c r="CS16">
        <v>19.919285391769353</v>
      </c>
      <c r="CT16">
        <v>0.85227272727272718</v>
      </c>
      <c r="CU16" s="8">
        <v>2.4649348109960556E-2</v>
      </c>
      <c r="CV16" s="9">
        <v>-7.072954326868057E-2</v>
      </c>
      <c r="CW16">
        <v>0.06</v>
      </c>
      <c r="CX16">
        <v>47.074370492644242</v>
      </c>
      <c r="CY16">
        <v>229096127.8321327</v>
      </c>
      <c r="CZ16">
        <v>2.4649348109960556E-2</v>
      </c>
      <c r="DA16">
        <v>16.265248037193377</v>
      </c>
      <c r="DB16">
        <v>663042824.51390827</v>
      </c>
      <c r="DC16">
        <v>2.3416880704462528E-2</v>
      </c>
      <c r="DD16">
        <v>8.6098641349679674</v>
      </c>
      <c r="DE16">
        <v>1252581438.0972371</v>
      </c>
      <c r="DF16">
        <v>2.1691426336765289E-2</v>
      </c>
      <c r="DG16">
        <v>5.5963754634562362</v>
      </c>
      <c r="DH16">
        <v>1927060839.7206471</v>
      </c>
      <c r="DI16">
        <v>1.9719478487968446E-2</v>
      </c>
      <c r="DJ16">
        <v>3.4084736760522234</v>
      </c>
      <c r="DK16">
        <v>3164042625.8157091</v>
      </c>
      <c r="DL16">
        <v>1.7254543676972389E-2</v>
      </c>
      <c r="DM16">
        <v>237000000</v>
      </c>
      <c r="DN16">
        <v>2.4649348109960556E-2</v>
      </c>
      <c r="DO16">
        <v>10784556000</v>
      </c>
      <c r="DP16">
        <v>6142770400</v>
      </c>
      <c r="DQ16">
        <v>1778</v>
      </c>
      <c r="DR16">
        <v>-0.46881808260127561</v>
      </c>
      <c r="DS16">
        <v>-3.5006397907790018E-2</v>
      </c>
      <c r="DT16" s="10">
        <v>-0.34</v>
      </c>
      <c r="DU16">
        <v>0</v>
      </c>
      <c r="DV16">
        <v>-0.34</v>
      </c>
      <c r="DW16">
        <v>9.8432364096080907</v>
      </c>
      <c r="DX16">
        <v>0.56142000000000281</v>
      </c>
      <c r="DY16">
        <v>9.1529799494310993</v>
      </c>
      <c r="DZ16">
        <v>2546</v>
      </c>
      <c r="EA16">
        <v>9.0767594110257015</v>
      </c>
      <c r="EB16">
        <v>9</v>
      </c>
      <c r="EC16">
        <v>3.9576102857490532E-2</v>
      </c>
      <c r="ED16">
        <v>0.21814630612661523</v>
      </c>
      <c r="EE16" s="11">
        <v>1.29E-2</v>
      </c>
      <c r="EF16">
        <v>2.1099999999999995E-3</v>
      </c>
      <c r="EG16">
        <v>38.181420000000003</v>
      </c>
      <c r="EH16">
        <v>-1</v>
      </c>
      <c r="EI16">
        <v>1</v>
      </c>
      <c r="EJ16">
        <v>0</v>
      </c>
      <c r="EK16" s="13">
        <v>45470</v>
      </c>
      <c r="EL16" s="14">
        <v>4.1900000000000004</v>
      </c>
      <c r="EM16" s="14">
        <v>-0.09</v>
      </c>
      <c r="EN16" s="14">
        <v>1.22</v>
      </c>
      <c r="EO16" s="14">
        <v>0.54</v>
      </c>
      <c r="EP16" s="14">
        <v>-1.5</v>
      </c>
    </row>
    <row r="17" spans="1:146" ht="180" x14ac:dyDescent="0.25">
      <c r="A17" s="6" t="s">
        <v>822</v>
      </c>
      <c r="B17" s="6" t="s">
        <v>823</v>
      </c>
      <c r="C17" s="6" t="str">
        <f>"公司是一家过敏性疾病诊断及治疗产品的研发、生产和销售的高新技术企业，也是国内唯一一家生产标准化舌下脱敏药物的公司。公司主营创新药物，具备国际领先水平的生物制药技术，已经获准上市的产品包括“粉尘螨滴剂”（商品名：畅迪）和“粉尘螨皮肤点刺诊断试剂盒”（商品名：畅点）。"&amp;CHAR(10)&amp;Basic_Fundamental_Information_Constructure(F17)&amp;CHAR(10)&amp;Basic_Fundamental_Information_Concatenate("粉尘螨滴剂 8.79亿 98.11% 99.87% 95.74%
黄花蒿滴剂 830.58万 0.93%
点刺诊断试剂盒及相关产品 469.18万 0.52%
研发服务 393.36万 0.44% 0.13% 28.47%")</f>
        <v>公司是一家过敏性疾病诊断及治疗产品的研发、生产和销售的高新技术企业，也是国内唯一一家生产标准化舌下脱敏药物的公司。公司主营创新药物，具备国际领先水平的生物制药技术，已经获准上市的产品包括“粉尘螨滴剂”（商品名：畅迪）和“粉尘螨皮肤点刺诊断试剂盒”（商品名：畅点）。
市值103.250765亿, 利润3.10亿; PE32.58; 平均PE34.3; 平均PEG2.88, PB4.55; ROIC15.36%; ROE17.76%; 股利率.9381%; 毛利95.4633%; 净利37.57%; 上一年度营收增-5.36%, 利润增-11.17%; 当季营收增18.03%, 利润增9.55%; 过往5年营收增11.93%, 利润增6.97%
Income profile:
粉尘螨滴剂 8.79亿 98.11% 99.87% 95.74%
黄花蒿滴剂 830.58万 0.93%
点刺诊断试剂盒及相关产品 469.18万 0.52%
研发服务 393.36万 0.44% 0.13% 28.47%</v>
      </c>
      <c r="D17" t="s">
        <v>37</v>
      </c>
      <c r="E17" t="s">
        <v>10</v>
      </c>
      <c r="F17">
        <v>19.72</v>
      </c>
      <c r="G17">
        <v>3.79</v>
      </c>
      <c r="H17" t="s">
        <v>1269</v>
      </c>
      <c r="I17">
        <v>10325076500</v>
      </c>
      <c r="J17">
        <v>32.58</v>
      </c>
      <c r="K17">
        <v>4.55</v>
      </c>
      <c r="L17" t="s">
        <v>30</v>
      </c>
      <c r="M17" t="s">
        <v>1270</v>
      </c>
      <c r="N17" t="s">
        <v>1271</v>
      </c>
      <c r="O17" t="s">
        <v>721</v>
      </c>
      <c r="P17">
        <v>18.079999999999998</v>
      </c>
      <c r="Q17" t="s">
        <v>909</v>
      </c>
      <c r="R17">
        <v>77207321</v>
      </c>
      <c r="S17" s="5">
        <v>9.5500000000000002E-2</v>
      </c>
      <c r="T17" t="s">
        <v>1272</v>
      </c>
      <c r="U17">
        <v>484064210</v>
      </c>
      <c r="V17">
        <v>523584000</v>
      </c>
      <c r="W17">
        <v>1.1000000000000001</v>
      </c>
      <c r="X17">
        <v>0.08</v>
      </c>
      <c r="Y17">
        <v>34.18</v>
      </c>
      <c r="Z17" t="s">
        <v>1273</v>
      </c>
      <c r="AA17" t="s">
        <v>1274</v>
      </c>
      <c r="AB17" t="s">
        <v>1275</v>
      </c>
      <c r="AC17" t="s">
        <v>1276</v>
      </c>
      <c r="AD17" t="s">
        <v>5</v>
      </c>
      <c r="AE17">
        <v>-7303529</v>
      </c>
      <c r="AF17" t="s">
        <v>1277</v>
      </c>
      <c r="AG17" t="s">
        <v>1278</v>
      </c>
      <c r="AH17" t="s">
        <v>1279</v>
      </c>
      <c r="AI17" t="s">
        <v>746</v>
      </c>
      <c r="AJ17" t="s">
        <v>1280</v>
      </c>
      <c r="AK17" t="s">
        <v>1281</v>
      </c>
      <c r="AL17" t="s">
        <v>1282</v>
      </c>
      <c r="AM17" t="s">
        <v>5</v>
      </c>
      <c r="AN17" t="s">
        <v>100</v>
      </c>
      <c r="AO17" t="s">
        <v>1283</v>
      </c>
      <c r="AP17" t="s">
        <v>5</v>
      </c>
      <c r="AQ17" t="s">
        <v>1284</v>
      </c>
      <c r="AR17" t="s">
        <v>5</v>
      </c>
      <c r="AS17" t="s">
        <v>1285</v>
      </c>
      <c r="AT17" t="s">
        <v>5</v>
      </c>
      <c r="AU17" t="s">
        <v>1286</v>
      </c>
      <c r="AV17" t="s">
        <v>1287</v>
      </c>
      <c r="AW17" t="s">
        <v>1288</v>
      </c>
      <c r="AX17" t="s">
        <v>583</v>
      </c>
      <c r="AY17" t="s">
        <v>366</v>
      </c>
      <c r="AZ17" t="s">
        <v>119</v>
      </c>
      <c r="BA17" t="s">
        <v>125</v>
      </c>
      <c r="BB17" t="s">
        <v>230</v>
      </c>
      <c r="BC17" t="s">
        <v>586</v>
      </c>
      <c r="BD17" t="s">
        <v>417</v>
      </c>
      <c r="BE17" t="s">
        <v>237</v>
      </c>
      <c r="BF17" t="s">
        <v>126</v>
      </c>
      <c r="BG17" t="s">
        <v>142</v>
      </c>
      <c r="BH17" t="s">
        <v>909</v>
      </c>
      <c r="BI17" t="s">
        <v>213</v>
      </c>
      <c r="BJ17" t="s">
        <v>583</v>
      </c>
      <c r="BK17" t="s">
        <v>1272</v>
      </c>
      <c r="BL17" t="s">
        <v>873</v>
      </c>
      <c r="BM17" t="s">
        <v>586</v>
      </c>
      <c r="BN17">
        <v>11.15</v>
      </c>
      <c r="BO17">
        <v>16.45</v>
      </c>
      <c r="BP17">
        <v>18.48</v>
      </c>
      <c r="BQ17">
        <v>13.06</v>
      </c>
      <c r="BR17">
        <v>18.77</v>
      </c>
      <c r="BS17">
        <v>21.45</v>
      </c>
      <c r="BT17" t="s">
        <v>1289</v>
      </c>
      <c r="BU17" t="s">
        <v>436</v>
      </c>
      <c r="BV17">
        <v>95.26</v>
      </c>
      <c r="BW17">
        <v>95.39</v>
      </c>
      <c r="BX17">
        <v>95.74</v>
      </c>
      <c r="BY17">
        <v>34.840000000000003</v>
      </c>
      <c r="BZ17">
        <v>37.47</v>
      </c>
      <c r="CA17">
        <v>40.4</v>
      </c>
      <c r="CB17">
        <v>-1.57</v>
      </c>
      <c r="CC17">
        <v>-20.27</v>
      </c>
      <c r="CD17" t="s">
        <v>1290</v>
      </c>
      <c r="CE17" t="s">
        <v>501</v>
      </c>
      <c r="CF17" s="8">
        <v>0.18032786885245902</v>
      </c>
      <c r="CG17" s="9">
        <v>9.5479602883732681E-2</v>
      </c>
      <c r="CH17" s="8">
        <v>-5.35714291036129E-2</v>
      </c>
      <c r="CI17" s="8">
        <v>0.10891088843345642</v>
      </c>
      <c r="CJ17" s="8">
        <v>0.27044025063514709</v>
      </c>
      <c r="CK17" s="8">
        <v>-4.6948357485234737E-3</v>
      </c>
      <c r="CL17" s="8">
        <v>0.27544909715652466</v>
      </c>
      <c r="CM17" s="9">
        <v>-0.1117478534579277</v>
      </c>
      <c r="CN17" s="9">
        <v>3.2544378191232681E-2</v>
      </c>
      <c r="CO17" s="9">
        <v>0.2158273309469223</v>
      </c>
      <c r="CP17" s="9">
        <v>-6.7114092409610748E-2</v>
      </c>
      <c r="CQ17" s="9">
        <v>0.27896994352340698</v>
      </c>
      <c r="CR17">
        <v>34.302579734219272</v>
      </c>
      <c r="CS17">
        <v>2.8751572735470474</v>
      </c>
      <c r="CT17">
        <v>0.93813387423935102</v>
      </c>
      <c r="CU17" s="8">
        <v>0.11930679427459837</v>
      </c>
      <c r="CV17" s="9">
        <v>6.9695941358804706E-2</v>
      </c>
      <c r="CW17">
        <v>0.06</v>
      </c>
      <c r="CX17">
        <v>25.050300240727154</v>
      </c>
      <c r="CY17">
        <v>327344439.83502412</v>
      </c>
      <c r="CZ17">
        <v>0.11930679427459837</v>
      </c>
      <c r="DA17">
        <v>7.9862157658562678</v>
      </c>
      <c r="DB17">
        <v>1026778732.3074914</v>
      </c>
      <c r="DC17">
        <v>0.11334145456086844</v>
      </c>
      <c r="DD17">
        <v>3.8021352224359446</v>
      </c>
      <c r="DE17">
        <v>2156703015.6140504</v>
      </c>
      <c r="DF17">
        <v>0.10498997896164657</v>
      </c>
      <c r="DG17">
        <v>2.1976216762711012</v>
      </c>
      <c r="DH17">
        <v>3731341289.7864175</v>
      </c>
      <c r="DI17">
        <v>9.5445435419678704E-2</v>
      </c>
      <c r="DJ17">
        <v>1.0420816424932025</v>
      </c>
      <c r="DK17">
        <v>7868938637.4575624</v>
      </c>
      <c r="DL17">
        <v>8.3514755992218845E-2</v>
      </c>
      <c r="DM17">
        <v>310000000</v>
      </c>
      <c r="DN17">
        <v>0.11930679427459837</v>
      </c>
      <c r="DO17">
        <v>8200076500</v>
      </c>
      <c r="DP17">
        <v>1433654000</v>
      </c>
      <c r="DQ17">
        <v>1834</v>
      </c>
      <c r="DR17">
        <v>6.1021074577860657E-2</v>
      </c>
      <c r="DS17">
        <v>2.5783661524927975E-2</v>
      </c>
      <c r="DT17" s="10">
        <v>-0.20666666666666669</v>
      </c>
      <c r="DU17">
        <v>0.23333333333333331</v>
      </c>
      <c r="DV17">
        <v>2.6666666666666616E-2</v>
      </c>
      <c r="DW17">
        <v>-3.0482916666666666</v>
      </c>
      <c r="DX17">
        <v>0.43855301204819325</v>
      </c>
      <c r="DY17">
        <v>-3.0071738725401604</v>
      </c>
      <c r="DZ17">
        <v>1657</v>
      </c>
      <c r="EA17">
        <v>-3.0048476285481751</v>
      </c>
      <c r="EB17">
        <v>3</v>
      </c>
      <c r="EC17">
        <v>4.7098077863341893E-2</v>
      </c>
      <c r="ED17">
        <v>0.31704559344823369</v>
      </c>
      <c r="EE17" s="11">
        <v>2.5410000000000005E-2</v>
      </c>
      <c r="EF17">
        <v>5.1209999999999999E-2</v>
      </c>
      <c r="EG17">
        <v>29.148553012048193</v>
      </c>
      <c r="EH17">
        <v>-1</v>
      </c>
      <c r="EI17">
        <v>0</v>
      </c>
      <c r="EJ17">
        <v>0</v>
      </c>
      <c r="EK17" s="13">
        <v>45470</v>
      </c>
      <c r="EL17" s="14">
        <v>-0.57999999999999996</v>
      </c>
      <c r="EM17" s="14">
        <v>-1.85</v>
      </c>
      <c r="EN17" s="14">
        <v>-1.53</v>
      </c>
      <c r="EO17" s="14">
        <v>7.14</v>
      </c>
      <c r="EP17" s="14">
        <v>-2.58</v>
      </c>
    </row>
    <row r="18" spans="1:146" ht="96" x14ac:dyDescent="0.25">
      <c r="A18" s="6"/>
      <c r="B18" s="6"/>
      <c r="C18" s="6" t="str">
        <f>""&amp;CHAR(10)&amp;Basic_Fundamental_Information_Constructure(F18)&amp;CHAR(10)&amp;Basic_Fundamental_Information_Concatenate("")</f>
        <v xml:space="preserve">
市值30.200483亿, 利润1.03亿; PE; 平均PE13.97; 平均PEG.74, PB.931; ROIC8.0367%; ROE8.4467%; 股利率.3509%; 毛利76.58%; 净利28.4733%; 上一年度营收增-35.1%, 利润增-49.76%; 当季营收增-17.29%, 利润增-23236.01%; 过往5年营收增-18.77%, 利润增3.45%
Income profile:
</v>
      </c>
      <c r="D18" t="s">
        <v>46</v>
      </c>
      <c r="E18" t="s">
        <v>22</v>
      </c>
      <c r="F18">
        <v>6.27</v>
      </c>
      <c r="G18">
        <v>4.8499999999999996</v>
      </c>
      <c r="H18" t="s">
        <v>1291</v>
      </c>
      <c r="I18">
        <v>3020048300</v>
      </c>
      <c r="K18">
        <v>0.93100000000000005</v>
      </c>
      <c r="L18" t="s">
        <v>30</v>
      </c>
      <c r="M18" t="s">
        <v>231</v>
      </c>
      <c r="N18" t="s">
        <v>1292</v>
      </c>
      <c r="O18" t="s">
        <v>706</v>
      </c>
      <c r="P18">
        <v>-17.46</v>
      </c>
      <c r="Q18" t="s">
        <v>1293</v>
      </c>
      <c r="R18">
        <v>-190617600</v>
      </c>
      <c r="S18" s="5">
        <v>-232.35</v>
      </c>
      <c r="T18" t="s">
        <v>279</v>
      </c>
      <c r="U18">
        <v>273817180</v>
      </c>
      <c r="V18">
        <v>481666400</v>
      </c>
      <c r="W18">
        <v>1.04</v>
      </c>
      <c r="X18">
        <v>0.03</v>
      </c>
      <c r="Y18">
        <v>-175.6</v>
      </c>
      <c r="Z18" t="s">
        <v>330</v>
      </c>
      <c r="AA18" t="s">
        <v>1294</v>
      </c>
      <c r="AB18" t="s">
        <v>1295</v>
      </c>
      <c r="AC18" t="s">
        <v>1296</v>
      </c>
      <c r="AD18" t="s">
        <v>5</v>
      </c>
      <c r="AE18">
        <v>-250069</v>
      </c>
      <c r="AF18" t="s">
        <v>1297</v>
      </c>
      <c r="AG18" t="s">
        <v>5</v>
      </c>
      <c r="AH18" t="s">
        <v>1298</v>
      </c>
      <c r="AI18" t="s">
        <v>606</v>
      </c>
      <c r="AJ18" t="s">
        <v>1299</v>
      </c>
      <c r="AK18" t="s">
        <v>1300</v>
      </c>
      <c r="AL18" t="s">
        <v>1301</v>
      </c>
      <c r="AM18" t="s">
        <v>5</v>
      </c>
      <c r="AN18" t="s">
        <v>1302</v>
      </c>
      <c r="AO18" t="s">
        <v>5</v>
      </c>
      <c r="AP18" t="s">
        <v>5</v>
      </c>
      <c r="AQ18" t="s">
        <v>1303</v>
      </c>
      <c r="AR18" t="s">
        <v>5</v>
      </c>
      <c r="AS18" t="s">
        <v>1304</v>
      </c>
      <c r="AT18" t="s">
        <v>5</v>
      </c>
      <c r="AU18" t="s">
        <v>1305</v>
      </c>
      <c r="AV18" t="s">
        <v>1306</v>
      </c>
      <c r="AW18" t="s">
        <v>5</v>
      </c>
      <c r="AX18" t="s">
        <v>734</v>
      </c>
      <c r="AY18" t="s">
        <v>418</v>
      </c>
      <c r="AZ18" t="s">
        <v>261</v>
      </c>
      <c r="BA18" t="s">
        <v>130</v>
      </c>
      <c r="BB18" t="s">
        <v>262</v>
      </c>
      <c r="BC18" t="s">
        <v>408</v>
      </c>
      <c r="BD18" t="s">
        <v>419</v>
      </c>
      <c r="BE18" t="s">
        <v>231</v>
      </c>
      <c r="BF18" t="s">
        <v>116</v>
      </c>
      <c r="BG18" t="s">
        <v>263</v>
      </c>
      <c r="BH18" t="s">
        <v>1293</v>
      </c>
      <c r="BI18" t="s">
        <v>876</v>
      </c>
      <c r="BJ18" t="s">
        <v>734</v>
      </c>
      <c r="BK18" t="s">
        <v>279</v>
      </c>
      <c r="BL18" t="s">
        <v>877</v>
      </c>
      <c r="BM18" t="s">
        <v>408</v>
      </c>
      <c r="BN18">
        <v>5.52</v>
      </c>
      <c r="BO18">
        <v>6.04</v>
      </c>
      <c r="BP18">
        <v>12.55</v>
      </c>
      <c r="BQ18">
        <v>5.69</v>
      </c>
      <c r="BR18">
        <v>6.18</v>
      </c>
      <c r="BS18">
        <v>13.47</v>
      </c>
      <c r="BT18" t="s">
        <v>1247</v>
      </c>
      <c r="BU18" t="s">
        <v>436</v>
      </c>
      <c r="BV18">
        <v>70.430000000000007</v>
      </c>
      <c r="BW18">
        <v>76.64</v>
      </c>
      <c r="BX18">
        <v>82.67</v>
      </c>
      <c r="BY18">
        <v>20.23</v>
      </c>
      <c r="BZ18">
        <v>27.59</v>
      </c>
      <c r="CA18">
        <v>37.6</v>
      </c>
      <c r="CB18">
        <v>2.12</v>
      </c>
      <c r="CC18">
        <v>-14.09</v>
      </c>
      <c r="CD18" t="s">
        <v>1307</v>
      </c>
      <c r="CE18" t="s">
        <v>1308</v>
      </c>
      <c r="CF18" s="8">
        <v>-0.17293233082706755</v>
      </c>
      <c r="CG18" s="9">
        <v>-232.36011651899503</v>
      </c>
      <c r="CH18" s="8">
        <v>-0.35102039575576782</v>
      </c>
      <c r="CI18" s="8">
        <v>-0.30066603422164917</v>
      </c>
      <c r="CJ18" s="8">
        <v>-3.9305303245782852E-2</v>
      </c>
      <c r="CK18" s="8">
        <v>-8.1444211304187775E-2</v>
      </c>
      <c r="CL18" s="8">
        <v>-0.16596634685993195</v>
      </c>
      <c r="CM18" s="9">
        <v>-0.49756097793579102</v>
      </c>
      <c r="CN18" s="9">
        <v>-0.49004974961280823</v>
      </c>
      <c r="CO18" s="9">
        <v>1.5935484170913696</v>
      </c>
      <c r="CP18" s="9">
        <v>4.0268454700708389E-2</v>
      </c>
      <c r="CQ18" s="9">
        <v>-0.47349822521209717</v>
      </c>
      <c r="CR18">
        <v>13.970925057825752</v>
      </c>
      <c r="CS18">
        <v>0.74439956008479857</v>
      </c>
      <c r="CT18">
        <v>0.35087719298245618</v>
      </c>
      <c r="CU18" s="8">
        <v>-0.18768045827746391</v>
      </c>
      <c r="CV18" s="9">
        <v>3.4541583806276324E-2</v>
      </c>
      <c r="CW18">
        <v>0.06</v>
      </c>
      <c r="CX18" t="s">
        <v>1309</v>
      </c>
      <c r="CY18" t="s">
        <v>1310</v>
      </c>
      <c r="CZ18">
        <v>-0.18768045827746391</v>
      </c>
      <c r="DA18" t="s">
        <v>1309</v>
      </c>
      <c r="DB18" t="s">
        <v>1311</v>
      </c>
      <c r="DC18">
        <v>-0.17829643536359072</v>
      </c>
      <c r="DD18" t="s">
        <v>1309</v>
      </c>
      <c r="DE18" t="s">
        <v>1312</v>
      </c>
      <c r="DF18">
        <v>-0.16515880328416824</v>
      </c>
      <c r="DG18" t="s">
        <v>1309</v>
      </c>
      <c r="DH18" t="s">
        <v>1313</v>
      </c>
      <c r="DI18">
        <v>-0.15014436662197114</v>
      </c>
      <c r="DJ18" t="s">
        <v>1309</v>
      </c>
      <c r="DK18" t="s">
        <v>1314</v>
      </c>
      <c r="DL18">
        <v>-0.13137632079422473</v>
      </c>
      <c r="DM18">
        <v>103000000</v>
      </c>
      <c r="DN18">
        <v>-0.18768045827746391</v>
      </c>
      <c r="DO18">
        <v>-99951700</v>
      </c>
      <c r="DP18">
        <v>1334455000</v>
      </c>
      <c r="DQ18">
        <v>1956</v>
      </c>
      <c r="DR18">
        <v>1.4748127450396359E-2</v>
      </c>
      <c r="DS18">
        <v>-232.39465810280132</v>
      </c>
      <c r="DT18" s="10">
        <v>-0.85666666666666658</v>
      </c>
      <c r="DU18">
        <v>-1.0483333333333333</v>
      </c>
      <c r="DV18">
        <v>-1.9049999999999998</v>
      </c>
      <c r="DW18">
        <v>-2.1408999999999998</v>
      </c>
      <c r="DX18">
        <v>0.52943489374672537</v>
      </c>
      <c r="DY18">
        <v>-2.0238733765289134</v>
      </c>
      <c r="DZ18">
        <v>4326</v>
      </c>
      <c r="EA18">
        <v>-2.0036627646181349</v>
      </c>
      <c r="EB18">
        <v>2</v>
      </c>
      <c r="EC18">
        <v>3.0467975345591886E-2</v>
      </c>
      <c r="ED18">
        <v>0.17982113761723878</v>
      </c>
      <c r="EE18" s="11">
        <v>-5.0891000000000002</v>
      </c>
      <c r="EF18">
        <v>-5.0731999999999999</v>
      </c>
      <c r="EG18">
        <v>36.169434893746725</v>
      </c>
      <c r="EH18" t="s">
        <v>1315</v>
      </c>
      <c r="EI18">
        <v>0</v>
      </c>
      <c r="EJ18">
        <v>0</v>
      </c>
      <c r="EK18" s="13">
        <v>45470</v>
      </c>
      <c r="EL18" s="14">
        <v>0.8</v>
      </c>
      <c r="EM18" s="14">
        <v>-5.22</v>
      </c>
      <c r="EN18" s="14">
        <v>0.83</v>
      </c>
      <c r="EO18" s="14">
        <v>3.81</v>
      </c>
      <c r="EP18" s="14">
        <v>-1.59</v>
      </c>
    </row>
    <row r="19" spans="1:146" ht="204" x14ac:dyDescent="0.25">
      <c r="A19" s="6"/>
      <c r="B19" s="6"/>
      <c r="C19" s="6" t="str">
        <f>"公司主营业务为人用疫苗的研发、生产和销售。公司的主要产品为免疫规划疫苗、非免疫规划疫苗。目前主要上市销售的产品有13价肺炎球菌多糖结合疫苗、无细胞百白破b型流感嗜血杆菌联合疫苗、23价肺炎球菌多糖疫苗、重组乙型肝炎疫苗(酿酒酵母)、b型流感嗜血杆菌结合疫苗、冻干b型流感嗜血杆菌结合疫苗等，另有新冠灭活疫苗于2021年5月在国内获批紧急使用，重组新型冠状病毒疫苗（Y25腺病毒载体）于2021年10月获得印度尼西亚国家药品和食品监管局紧急使用授权。"&amp;CHAR(10)&amp;Basic_Fundamental_Information_Constructure(F19)&amp;CHAR(10)&amp;Basic_Fundamental_Information_Concatenate("自主产品-非免疫规划疫苗 24.86亿 68.07% 64.76% 69.45%
自主产品-免疫规划疫苗 11.64亿 31.87% 35.20% 80.61%
其他业务收入 232.77万 0.06% 0.04% 49.24%")</f>
        <v>公司主营业务为人用疫苗的研发、生产和销售。公司的主要产品为免疫规划疫苗、非免疫规划疫苗。目前主要上市销售的产品有13价肺炎球菌多糖结合疫苗、无细胞百白破b型流感嗜血杆菌联合疫苗、23价肺炎球菌多糖疫苗、重组乙型肝炎疫苗(酿酒酵母)、b型流感嗜血杆菌结合疫苗、冻干b型流感嗜血杆菌结合疫苗等，另有新冠灭活疫苗于2021年5月在国内获批紧急使用，重组新型冠状病毒疫苗（Y25腺病毒载体）于2021年10月获得印度尼西亚国家药品和食品监管局紧急使用授权。
市值174.46239亿, 利润8.61亿; PE24.58; 平均PE28.44; 平均PEG2.01, PB1.92; ROIC9.21%; ROE7.0467%; 股利率1.2804%; 毛利80.5667%; 净利18.3867%; 上一年度营收增10.14%, 利润增747.37%; 当季营收增-39.57%, 利润增-73.63%; 过往5年营收增14.16%, 利润增154.56%
Income profile:
自主产品-非免疫规划疫苗 24.86亿 68.07% 64.76% 69.45%
自主产品-免疫规划疫苗 11.64亿 31.87% 35.20% 80.61%
其他业务收入 232.77万 0.06% 0.04% 49.24%</v>
      </c>
      <c r="D19" t="s">
        <v>31</v>
      </c>
      <c r="E19" t="s">
        <v>8</v>
      </c>
      <c r="F19">
        <v>15.62</v>
      </c>
      <c r="G19">
        <v>3.86</v>
      </c>
      <c r="H19" t="s">
        <v>1316</v>
      </c>
      <c r="I19">
        <v>17446239000</v>
      </c>
      <c r="J19">
        <v>24.58</v>
      </c>
      <c r="K19">
        <v>1.92</v>
      </c>
      <c r="L19" t="s">
        <v>30</v>
      </c>
      <c r="M19" t="s">
        <v>1317</v>
      </c>
      <c r="N19" t="s">
        <v>1318</v>
      </c>
      <c r="O19" t="s">
        <v>1319</v>
      </c>
      <c r="P19">
        <v>-39.65</v>
      </c>
      <c r="Q19" t="s">
        <v>1320</v>
      </c>
      <c r="R19">
        <v>54065937</v>
      </c>
      <c r="S19" s="5">
        <v>-0.7369</v>
      </c>
      <c r="T19" t="s">
        <v>1321</v>
      </c>
      <c r="U19">
        <v>881304870</v>
      </c>
      <c r="V19">
        <v>1116916690</v>
      </c>
      <c r="W19">
        <v>1.56</v>
      </c>
      <c r="X19">
        <v>0.03</v>
      </c>
      <c r="Y19">
        <v>11.96</v>
      </c>
      <c r="Z19" t="s">
        <v>900</v>
      </c>
      <c r="AA19" t="s">
        <v>1322</v>
      </c>
      <c r="AB19" t="s">
        <v>71</v>
      </c>
      <c r="AC19" t="s">
        <v>1323</v>
      </c>
      <c r="AD19" t="s">
        <v>5</v>
      </c>
      <c r="AE19">
        <v>4610970</v>
      </c>
      <c r="AF19" t="s">
        <v>72</v>
      </c>
      <c r="AG19" t="s">
        <v>1324</v>
      </c>
      <c r="AH19" t="s">
        <v>1325</v>
      </c>
      <c r="AI19" t="s">
        <v>1326</v>
      </c>
      <c r="AJ19" t="s">
        <v>1327</v>
      </c>
      <c r="AK19" t="s">
        <v>5</v>
      </c>
      <c r="AL19" t="s">
        <v>1328</v>
      </c>
      <c r="AM19" t="s">
        <v>5</v>
      </c>
      <c r="AN19" t="s">
        <v>1329</v>
      </c>
      <c r="AO19" t="s">
        <v>367</v>
      </c>
      <c r="AP19" t="s">
        <v>1330</v>
      </c>
      <c r="AQ19" t="s">
        <v>1331</v>
      </c>
      <c r="AR19" t="s">
        <v>1332</v>
      </c>
      <c r="AS19" t="s">
        <v>1333</v>
      </c>
      <c r="AT19" t="s">
        <v>911</v>
      </c>
      <c r="AU19" t="s">
        <v>1334</v>
      </c>
      <c r="AV19" t="s">
        <v>901</v>
      </c>
      <c r="AW19" t="s">
        <v>1335</v>
      </c>
      <c r="AX19" t="s">
        <v>736</v>
      </c>
      <c r="AY19" t="s">
        <v>420</v>
      </c>
      <c r="AZ19" t="s">
        <v>265</v>
      </c>
      <c r="BA19" t="s">
        <v>131</v>
      </c>
      <c r="BB19" t="s">
        <v>267</v>
      </c>
      <c r="BC19" t="s">
        <v>737</v>
      </c>
      <c r="BD19" t="s">
        <v>421</v>
      </c>
      <c r="BE19" t="s">
        <v>176</v>
      </c>
      <c r="BF19" t="s">
        <v>132</v>
      </c>
      <c r="BG19" t="s">
        <v>268</v>
      </c>
      <c r="BH19" t="s">
        <v>1320</v>
      </c>
      <c r="BI19" t="s">
        <v>520</v>
      </c>
      <c r="BJ19" t="s">
        <v>736</v>
      </c>
      <c r="BK19" t="s">
        <v>1321</v>
      </c>
      <c r="BL19" t="s">
        <v>408</v>
      </c>
      <c r="BM19" t="s">
        <v>737</v>
      </c>
      <c r="BN19">
        <v>5.98</v>
      </c>
      <c r="BO19" t="s">
        <v>5</v>
      </c>
      <c r="BP19">
        <v>12.44</v>
      </c>
      <c r="BQ19">
        <v>7.53</v>
      </c>
      <c r="BR19">
        <v>-1.44</v>
      </c>
      <c r="BS19">
        <v>15.05</v>
      </c>
      <c r="BT19" t="s">
        <v>594</v>
      </c>
      <c r="BU19" t="s">
        <v>513</v>
      </c>
      <c r="BV19">
        <v>84.54</v>
      </c>
      <c r="BW19">
        <v>84.17</v>
      </c>
      <c r="BX19">
        <v>72.989999999999995</v>
      </c>
      <c r="BY19">
        <v>24.77</v>
      </c>
      <c r="BZ19">
        <v>-4.2</v>
      </c>
      <c r="CA19">
        <v>34.590000000000003</v>
      </c>
      <c r="CB19">
        <v>0.06</v>
      </c>
      <c r="CC19">
        <v>-16.600000000000001</v>
      </c>
      <c r="CD19" t="s">
        <v>1336</v>
      </c>
      <c r="CE19" t="s">
        <v>250</v>
      </c>
      <c r="CF19" s="8">
        <v>-0.39572192513368992</v>
      </c>
      <c r="CG19" s="9">
        <v>-0.73626372195121947</v>
      </c>
      <c r="CH19" s="8">
        <v>0.10136205703020096</v>
      </c>
      <c r="CI19" s="8">
        <v>-0.13554218411445618</v>
      </c>
      <c r="CJ19" s="8">
        <v>0.61521452665328979</v>
      </c>
      <c r="CK19" s="8">
        <v>0.16366437077522278</v>
      </c>
      <c r="CL19" s="8">
        <v>-3.6688148975372314E-2</v>
      </c>
      <c r="CM19" s="9">
        <v>7.4736843109130859</v>
      </c>
      <c r="CN19" s="9">
        <v>-1.1053047180175781</v>
      </c>
      <c r="CO19" s="9">
        <v>0.86008846759796143</v>
      </c>
      <c r="CP19" s="9">
        <v>0.18086956441402435</v>
      </c>
      <c r="CQ19" s="9">
        <v>0.31880733370780945</v>
      </c>
      <c r="CR19">
        <v>28.437227383863082</v>
      </c>
      <c r="CS19">
        <v>2.0082486424343364</v>
      </c>
      <c r="CT19">
        <v>1.2804097311139566</v>
      </c>
      <c r="CU19" s="8">
        <v>0.141602124273777</v>
      </c>
      <c r="CV19" s="9">
        <v>1.5456289917230606</v>
      </c>
      <c r="CW19">
        <v>0.06</v>
      </c>
      <c r="CX19">
        <v>14.417655121968302</v>
      </c>
      <c r="CY19">
        <v>927282480.18841696</v>
      </c>
      <c r="CZ19">
        <v>0.141602124273777</v>
      </c>
      <c r="DA19">
        <v>4.5112838041829546</v>
      </c>
      <c r="DB19">
        <v>2963510960.5837188</v>
      </c>
      <c r="DC19">
        <v>0.13452201806008815</v>
      </c>
      <c r="DD19">
        <v>2.0931549932410762</v>
      </c>
      <c r="DE19">
        <v>6387123286.6988258</v>
      </c>
      <c r="DF19">
        <v>0.12460986936092376</v>
      </c>
      <c r="DG19">
        <v>1.1739718933607048</v>
      </c>
      <c r="DH19">
        <v>11388040101.818928</v>
      </c>
      <c r="DI19">
        <v>0.11328169941902161</v>
      </c>
      <c r="DJ19">
        <v>0.51923371403478213</v>
      </c>
      <c r="DK19">
        <v>25748017970.775352</v>
      </c>
      <c r="DL19">
        <v>9.9121486991643887E-2</v>
      </c>
      <c r="DM19">
        <v>861000000</v>
      </c>
      <c r="DN19">
        <v>0.141602124273777</v>
      </c>
      <c r="DO19">
        <v>13369239000</v>
      </c>
      <c r="DP19">
        <v>2249531500</v>
      </c>
      <c r="DQ19">
        <v>2068</v>
      </c>
      <c r="DR19">
        <v>-0.53732404940746692</v>
      </c>
      <c r="DS19">
        <v>-2.2818927136742801</v>
      </c>
      <c r="DT19" s="10">
        <v>-5.6666666666666719E-2</v>
      </c>
      <c r="DU19">
        <v>-0.37333333333333335</v>
      </c>
      <c r="DV19">
        <v>-0.43000000000000005</v>
      </c>
      <c r="DW19">
        <v>-3.0067857142857144</v>
      </c>
      <c r="DX19">
        <v>0.51558677042801604</v>
      </c>
      <c r="DY19">
        <v>-3.0010557673707616</v>
      </c>
      <c r="DZ19">
        <v>2741</v>
      </c>
      <c r="EA19">
        <v>-3.0004894545795175</v>
      </c>
      <c r="EB19">
        <v>3</v>
      </c>
      <c r="EC19">
        <v>3.5800163394460516E-2</v>
      </c>
      <c r="ED19">
        <v>0.23009773450515811</v>
      </c>
      <c r="EE19" s="11">
        <v>-4.0583</v>
      </c>
      <c r="EF19">
        <v>-4.0221999999999998</v>
      </c>
      <c r="EG19">
        <v>36.155586770428016</v>
      </c>
      <c r="EH19" t="s">
        <v>1337</v>
      </c>
      <c r="EI19">
        <v>0</v>
      </c>
      <c r="EJ19">
        <v>0</v>
      </c>
      <c r="EK19" s="13">
        <v>45470</v>
      </c>
      <c r="EL19" s="14">
        <v>0.18</v>
      </c>
      <c r="EM19" s="14">
        <v>-2.77</v>
      </c>
      <c r="EN19" s="14">
        <v>-0.38</v>
      </c>
      <c r="EO19" s="14">
        <v>3.68</v>
      </c>
      <c r="EP19" s="14">
        <v>-3.61</v>
      </c>
    </row>
    <row r="20" spans="1:146" ht="96" x14ac:dyDescent="0.25">
      <c r="A20" s="6"/>
      <c r="B20" s="6"/>
      <c r="C20" s="6" t="str">
        <f>""&amp;CHAR(10)&amp;Basic_Fundamental_Information_Constructure(F20)&amp;CHAR(10)&amp;Basic_Fundamental_Information_Concatenate("")</f>
        <v xml:space="preserve">
市值28.24701亿, 利润-1.21亿; PE; 平均PE684.18; 平均PEG552.2, PB1.15; ROIC.49%; ROE-.05%; 股利率0%; 毛利49.3667%; 净利-5.8533%; 上一年度营收增-12.63%, 利润增-762.46%; 当季营收增-5.04%, 利润增-1024.02%; 过往5年营收增1.24%, 利润增-175.09%
Income profile:
</v>
      </c>
      <c r="D20" t="s">
        <v>34</v>
      </c>
      <c r="E20" t="s">
        <v>17</v>
      </c>
      <c r="F20">
        <v>21.58</v>
      </c>
      <c r="G20">
        <v>4.3</v>
      </c>
      <c r="H20" t="s">
        <v>1338</v>
      </c>
      <c r="I20">
        <v>2824701000</v>
      </c>
      <c r="K20">
        <v>1.1499999999999999</v>
      </c>
      <c r="L20" t="s">
        <v>30</v>
      </c>
      <c r="M20" t="s">
        <v>836</v>
      </c>
      <c r="N20" t="s">
        <v>1339</v>
      </c>
      <c r="O20" t="s">
        <v>1273</v>
      </c>
      <c r="P20">
        <v>-4.87</v>
      </c>
      <c r="Q20" t="s">
        <v>1340</v>
      </c>
      <c r="R20">
        <v>-16545525</v>
      </c>
      <c r="S20" s="5">
        <v>-10.24</v>
      </c>
      <c r="T20" t="s">
        <v>1341</v>
      </c>
      <c r="U20">
        <v>121884641</v>
      </c>
      <c r="V20">
        <v>130894391</v>
      </c>
      <c r="W20">
        <v>1.2</v>
      </c>
      <c r="X20">
        <v>0.04</v>
      </c>
      <c r="Y20">
        <v>-13.26</v>
      </c>
      <c r="Z20" t="s">
        <v>194</v>
      </c>
      <c r="AA20" t="s">
        <v>1342</v>
      </c>
      <c r="AB20" t="s">
        <v>1343</v>
      </c>
      <c r="AC20" t="s">
        <v>1344</v>
      </c>
      <c r="AD20" t="s">
        <v>5</v>
      </c>
      <c r="AE20">
        <v>-241530</v>
      </c>
      <c r="AF20" t="s">
        <v>1345</v>
      </c>
      <c r="AG20">
        <v>3745.91</v>
      </c>
      <c r="AH20" t="s">
        <v>1346</v>
      </c>
      <c r="AI20" t="s">
        <v>898</v>
      </c>
      <c r="AJ20" t="s">
        <v>1347</v>
      </c>
      <c r="AK20" t="s">
        <v>1348</v>
      </c>
      <c r="AL20" t="s">
        <v>1349</v>
      </c>
      <c r="AM20" t="s">
        <v>5</v>
      </c>
      <c r="AN20" t="s">
        <v>1350</v>
      </c>
      <c r="AO20" t="s">
        <v>1351</v>
      </c>
      <c r="AP20" t="s">
        <v>5</v>
      </c>
      <c r="AQ20" t="s">
        <v>1352</v>
      </c>
      <c r="AR20" t="s">
        <v>5</v>
      </c>
      <c r="AS20" t="s">
        <v>1353</v>
      </c>
      <c r="AT20" t="s">
        <v>1354</v>
      </c>
      <c r="AU20" t="s">
        <v>1355</v>
      </c>
      <c r="AV20" t="s">
        <v>1356</v>
      </c>
      <c r="AW20" t="s">
        <v>1357</v>
      </c>
      <c r="AX20" t="s">
        <v>738</v>
      </c>
      <c r="AY20" t="s">
        <v>422</v>
      </c>
      <c r="AZ20" t="s">
        <v>241</v>
      </c>
      <c r="BA20" t="s">
        <v>134</v>
      </c>
      <c r="BB20" t="s">
        <v>248</v>
      </c>
      <c r="BC20" t="s">
        <v>739</v>
      </c>
      <c r="BD20" t="s">
        <v>423</v>
      </c>
      <c r="BE20" t="s">
        <v>270</v>
      </c>
      <c r="BF20" t="s">
        <v>135</v>
      </c>
      <c r="BG20" t="s">
        <v>271</v>
      </c>
      <c r="BH20" t="s">
        <v>1340</v>
      </c>
      <c r="BI20" t="s">
        <v>113</v>
      </c>
      <c r="BJ20" t="s">
        <v>738</v>
      </c>
      <c r="BK20" t="s">
        <v>1341</v>
      </c>
      <c r="BL20" t="s">
        <v>880</v>
      </c>
      <c r="BM20" t="s">
        <v>739</v>
      </c>
      <c r="BN20" t="s">
        <v>5</v>
      </c>
      <c r="BO20" t="s">
        <v>5</v>
      </c>
      <c r="BP20">
        <v>0.49</v>
      </c>
      <c r="BQ20">
        <v>-1.06</v>
      </c>
      <c r="BR20">
        <v>-0.61</v>
      </c>
      <c r="BS20">
        <v>1.52</v>
      </c>
      <c r="BT20" t="s">
        <v>593</v>
      </c>
      <c r="BU20" t="s">
        <v>436</v>
      </c>
      <c r="BV20">
        <v>42.71</v>
      </c>
      <c r="BW20">
        <v>48.47</v>
      </c>
      <c r="BX20">
        <v>56.92</v>
      </c>
      <c r="BY20">
        <v>-21.29</v>
      </c>
      <c r="BZ20">
        <v>-1.1499999999999999</v>
      </c>
      <c r="CA20">
        <v>4.88</v>
      </c>
      <c r="CB20">
        <v>1.98</v>
      </c>
      <c r="CC20">
        <v>-10.34</v>
      </c>
      <c r="CD20" t="s">
        <v>1358</v>
      </c>
      <c r="CE20" t="s">
        <v>1359</v>
      </c>
      <c r="CF20" s="8">
        <v>-5.0359712230215826E-2</v>
      </c>
      <c r="CG20" s="9">
        <v>-10.240166440217392</v>
      </c>
      <c r="CH20" s="8">
        <v>-0.12626995146274567</v>
      </c>
      <c r="CI20" s="8">
        <v>0.12032520025968552</v>
      </c>
      <c r="CJ20" s="8">
        <v>0.17366412281990051</v>
      </c>
      <c r="CK20" s="8">
        <v>-0.15483871102333069</v>
      </c>
      <c r="CL20" s="8">
        <v>4.9069374799728394E-2</v>
      </c>
      <c r="CM20" s="9">
        <v>-7.6246223449707031</v>
      </c>
      <c r="CN20" s="9">
        <v>-1.5073225498199463</v>
      </c>
      <c r="CO20" s="9">
        <v>2.1050319671630859</v>
      </c>
      <c r="CP20" s="9">
        <v>-1.3970121145248413</v>
      </c>
      <c r="CQ20" s="9">
        <v>-0.33039471507072449</v>
      </c>
      <c r="CR20">
        <v>684.17613647832002</v>
      </c>
      <c r="CS20">
        <v>552.19995608993531</v>
      </c>
      <c r="CT20">
        <v>0</v>
      </c>
      <c r="CU20" s="8">
        <v>1.2390007078647614E-2</v>
      </c>
      <c r="CV20" s="9">
        <v>-1.7508639514446258</v>
      </c>
      <c r="CW20">
        <v>0.06</v>
      </c>
      <c r="CX20" t="e">
        <v>#VALUE!</v>
      </c>
      <c r="CY20" t="s">
        <v>491</v>
      </c>
      <c r="CZ20">
        <v>1.2390007078647614E-2</v>
      </c>
      <c r="DA20" t="e">
        <v>#VALUE!</v>
      </c>
      <c r="DB20" t="s">
        <v>492</v>
      </c>
      <c r="DC20">
        <v>1.1770506724715232E-2</v>
      </c>
      <c r="DD20" t="e">
        <v>#VALUE!</v>
      </c>
      <c r="DE20" t="s">
        <v>492</v>
      </c>
      <c r="DF20">
        <v>1.0903206229209901E-2</v>
      </c>
      <c r="DG20" t="e">
        <v>#VALUE!</v>
      </c>
      <c r="DH20" t="s">
        <v>492</v>
      </c>
      <c r="DI20">
        <v>9.9120056629180917E-3</v>
      </c>
      <c r="DJ20" t="e">
        <v>#VALUE!</v>
      </c>
      <c r="DK20" t="s">
        <v>492</v>
      </c>
      <c r="DL20">
        <v>8.6730049550533296E-3</v>
      </c>
      <c r="DM20">
        <v>-121000000</v>
      </c>
      <c r="DN20">
        <v>1.2390007078647614E-2</v>
      </c>
      <c r="DO20">
        <v>822701000</v>
      </c>
      <c r="DP20">
        <v>1159633700</v>
      </c>
      <c r="DQ20">
        <v>2149</v>
      </c>
      <c r="DR20">
        <v>-6.2749719308863444E-2</v>
      </c>
      <c r="DS20">
        <v>-8.4893024887727666</v>
      </c>
      <c r="DT20" s="10">
        <v>-0.42333333333333334</v>
      </c>
      <c r="DU20">
        <v>-2.8616666666666668</v>
      </c>
      <c r="DV20">
        <v>-3.2850000000000001</v>
      </c>
      <c r="DW20">
        <v>-2.1034000000000002</v>
      </c>
      <c r="DX20">
        <v>0.45428785607196603</v>
      </c>
      <c r="DY20">
        <v>-2.0128513643178412</v>
      </c>
      <c r="DZ20">
        <v>4981</v>
      </c>
      <c r="EA20">
        <v>-2.0003244277880627</v>
      </c>
      <c r="EB20">
        <v>2</v>
      </c>
      <c r="EC20">
        <v>3.0400080321241571E-2</v>
      </c>
      <c r="ED20">
        <v>0.24459413237959143</v>
      </c>
      <c r="EE20" s="11">
        <v>-4.0369000000000002</v>
      </c>
      <c r="EF20">
        <v>-4.0090000000000003</v>
      </c>
      <c r="EG20">
        <v>33.124287856071966</v>
      </c>
      <c r="EH20" t="s">
        <v>1337</v>
      </c>
      <c r="EI20">
        <v>0</v>
      </c>
      <c r="EJ20">
        <v>0</v>
      </c>
      <c r="EK20" s="13">
        <v>45470</v>
      </c>
      <c r="EL20" s="14">
        <v>2.0099999999999998</v>
      </c>
      <c r="EM20" s="14">
        <v>-5.74</v>
      </c>
      <c r="EN20" s="14">
        <v>-0.14000000000000001</v>
      </c>
      <c r="EO20" s="14">
        <v>4.24</v>
      </c>
      <c r="EP20" s="14">
        <v>-2.79</v>
      </c>
    </row>
    <row r="21" spans="1:146" ht="108" x14ac:dyDescent="0.25">
      <c r="A21" s="6" t="s">
        <v>382</v>
      </c>
      <c r="B21" s="6" t="s">
        <v>383</v>
      </c>
      <c r="C21" s="6" t="str">
        <f>""&amp;CHAR(10)&amp;Basic_Fundamental_Information_Constructure(F21)&amp;CHAR(10)&amp;Basic_Fundamental_Information_Concatenate("狂犬病疫苗 10.00亿 96.27% 毛利94.25%
脑膜炎疫苗 3869.40万 3.73% 毛利86.25%")</f>
        <v xml:space="preserve">
市值69.722002亿, 利润3.86亿; PE12.6; 平均PE16.33; 平均PEG.12, PB1.94; ROIC21.9167%; ROE22.6133%; 股利率3.8625%; 毛利93.5333%; 净利45.9333%; 上一年度营收增563.65%, 利润增-35.45%; 当季营收增-79.91%, 利润增73.27%; 过往5年营收增137.3%, 利润增35.9%
Income profile:
狂犬病疫苗 10.00亿 96.27% 毛利94.25%
脑膜炎疫苗 3869.40万 3.73% 毛利86.25%</v>
      </c>
      <c r="D21" t="s">
        <v>137</v>
      </c>
      <c r="E21" t="s">
        <v>138</v>
      </c>
      <c r="F21">
        <v>51.78</v>
      </c>
      <c r="G21">
        <v>3.15</v>
      </c>
      <c r="H21" t="s">
        <v>1360</v>
      </c>
      <c r="I21">
        <v>6972200200</v>
      </c>
      <c r="J21">
        <v>12.6</v>
      </c>
      <c r="K21">
        <v>1.94</v>
      </c>
      <c r="L21" t="s">
        <v>30</v>
      </c>
      <c r="M21" t="s">
        <v>1361</v>
      </c>
      <c r="N21" t="s">
        <v>1362</v>
      </c>
      <c r="O21" t="s">
        <v>1353</v>
      </c>
      <c r="P21">
        <v>11.96</v>
      </c>
      <c r="Q21" t="s">
        <v>1363</v>
      </c>
      <c r="R21">
        <v>149466990</v>
      </c>
      <c r="S21" s="5">
        <v>0.4209</v>
      </c>
      <c r="T21" t="s">
        <v>257</v>
      </c>
      <c r="U21">
        <v>122231310</v>
      </c>
      <c r="V21">
        <v>134650450</v>
      </c>
      <c r="W21">
        <v>1.17</v>
      </c>
      <c r="X21">
        <v>7.0000000000000007E-2</v>
      </c>
      <c r="Y21">
        <v>48</v>
      </c>
      <c r="Z21" t="s">
        <v>701</v>
      </c>
      <c r="AA21" t="s">
        <v>1364</v>
      </c>
      <c r="AB21" t="s">
        <v>1365</v>
      </c>
      <c r="AC21" t="s">
        <v>1366</v>
      </c>
      <c r="AD21" t="s">
        <v>5</v>
      </c>
      <c r="AE21">
        <v>-2204660</v>
      </c>
      <c r="AF21" t="s">
        <v>1367</v>
      </c>
      <c r="AG21" t="s">
        <v>5</v>
      </c>
      <c r="AH21" t="s">
        <v>1368</v>
      </c>
      <c r="AI21" t="s">
        <v>1369</v>
      </c>
      <c r="AJ21" t="s">
        <v>1370</v>
      </c>
      <c r="AK21" t="s">
        <v>5</v>
      </c>
      <c r="AL21" t="s">
        <v>1371</v>
      </c>
      <c r="AM21" t="s">
        <v>5</v>
      </c>
      <c r="AN21" t="s">
        <v>717</v>
      </c>
      <c r="AO21" t="s">
        <v>888</v>
      </c>
      <c r="AP21" t="s">
        <v>5</v>
      </c>
      <c r="AQ21" t="s">
        <v>1372</v>
      </c>
      <c r="AR21" t="s">
        <v>5</v>
      </c>
      <c r="AS21" t="s">
        <v>949</v>
      </c>
      <c r="AT21" t="s">
        <v>5</v>
      </c>
      <c r="AU21" t="s">
        <v>1373</v>
      </c>
      <c r="AV21" t="s">
        <v>1374</v>
      </c>
      <c r="AW21" t="s">
        <v>1375</v>
      </c>
      <c r="AX21" t="s">
        <v>581</v>
      </c>
      <c r="AY21" t="s">
        <v>424</v>
      </c>
      <c r="AZ21" t="s">
        <v>272</v>
      </c>
      <c r="BA21" t="s">
        <v>139</v>
      </c>
      <c r="BB21" t="s">
        <v>273</v>
      </c>
      <c r="BC21" t="s">
        <v>742</v>
      </c>
      <c r="BD21" t="s">
        <v>425</v>
      </c>
      <c r="BE21" t="s">
        <v>73</v>
      </c>
      <c r="BF21" t="s">
        <v>140</v>
      </c>
      <c r="BG21" t="s">
        <v>274</v>
      </c>
      <c r="BH21" t="s">
        <v>1376</v>
      </c>
      <c r="BI21" t="s">
        <v>1377</v>
      </c>
      <c r="BJ21" t="s">
        <v>581</v>
      </c>
      <c r="BK21" t="s">
        <v>234</v>
      </c>
      <c r="BL21" t="s">
        <v>1378</v>
      </c>
      <c r="BM21" t="s">
        <v>742</v>
      </c>
      <c r="BN21">
        <v>10.82</v>
      </c>
      <c r="BO21">
        <v>20.04</v>
      </c>
      <c r="BP21">
        <v>34.89</v>
      </c>
      <c r="BQ21">
        <v>11.32</v>
      </c>
      <c r="BR21">
        <v>20.97</v>
      </c>
      <c r="BS21">
        <v>35.549999999999997</v>
      </c>
      <c r="BT21" t="s">
        <v>744</v>
      </c>
      <c r="BU21" t="s">
        <v>513</v>
      </c>
      <c r="BV21">
        <v>93.52</v>
      </c>
      <c r="BW21">
        <v>93.56</v>
      </c>
      <c r="BX21">
        <v>93.52</v>
      </c>
      <c r="BY21">
        <v>32.28</v>
      </c>
      <c r="BZ21">
        <v>41.34</v>
      </c>
      <c r="CA21">
        <v>64.180000000000007</v>
      </c>
      <c r="CB21">
        <v>2.25</v>
      </c>
      <c r="CC21">
        <v>-13.83</v>
      </c>
      <c r="CD21" t="s">
        <v>1379</v>
      </c>
      <c r="CE21" t="s">
        <v>1380</v>
      </c>
      <c r="CF21" s="8">
        <v>-0.79909560723514217</v>
      </c>
      <c r="CG21" s="9">
        <v>0.73267538953232902</v>
      </c>
      <c r="CH21" s="8">
        <v>5.6364893913269043</v>
      </c>
      <c r="CI21" s="8">
        <v>0.11996909230947495</v>
      </c>
      <c r="CJ21" s="8">
        <v>0.24350336194038391</v>
      </c>
      <c r="CK21" s="8">
        <v>0.87207210063934326</v>
      </c>
      <c r="CL21" s="8">
        <v>-7.1556349284946918E-3</v>
      </c>
      <c r="CM21" s="9">
        <v>-0.35451504588127136</v>
      </c>
      <c r="CN21" s="9">
        <v>-0.2786489725112915</v>
      </c>
      <c r="CO21" s="9">
        <v>1.031862735748291</v>
      </c>
      <c r="CP21" s="9">
        <v>1.1818181276321411</v>
      </c>
      <c r="CQ21" s="9">
        <v>0.2142857164144516</v>
      </c>
      <c r="CR21">
        <v>16.328337704918034</v>
      </c>
      <c r="CS21">
        <v>0.11892663616534965</v>
      </c>
      <c r="CT21">
        <v>3.8624951718810352</v>
      </c>
      <c r="CU21" s="8">
        <v>1.3729756622575224</v>
      </c>
      <c r="CV21" s="9">
        <v>0.35896051228046416</v>
      </c>
      <c r="CW21">
        <v>0.06</v>
      </c>
      <c r="CX21">
        <v>4.7055894552508972</v>
      </c>
      <c r="CY21">
        <v>864121326.06736183</v>
      </c>
      <c r="CZ21">
        <v>1.3729756622575224</v>
      </c>
      <c r="DA21">
        <v>0.61341210623122022</v>
      </c>
      <c r="DB21">
        <v>6628822872.4121103</v>
      </c>
      <c r="DC21">
        <v>1.3043268791446463</v>
      </c>
      <c r="DD21">
        <v>6.7844226942522817E-2</v>
      </c>
      <c r="DE21">
        <v>59934358209.208549</v>
      </c>
      <c r="DF21">
        <v>1.2082185827866196</v>
      </c>
      <c r="DG21">
        <v>5.64624947916232E-3</v>
      </c>
      <c r="DH21">
        <v>720159499683.18848</v>
      </c>
      <c r="DI21">
        <v>1.0983805298060181</v>
      </c>
      <c r="DJ21">
        <v>2.1931594129185486E-5</v>
      </c>
      <c r="DK21">
        <v>185403768465188.81</v>
      </c>
      <c r="DL21">
        <v>0.96108296358026568</v>
      </c>
      <c r="DM21">
        <v>386000000</v>
      </c>
      <c r="DN21">
        <v>1.3729756622575224</v>
      </c>
      <c r="DO21">
        <v>4066200200</v>
      </c>
      <c r="DP21">
        <v>2055447600</v>
      </c>
      <c r="DQ21">
        <v>2298</v>
      </c>
      <c r="DR21">
        <v>-2.1720712694926645</v>
      </c>
      <c r="DS21">
        <v>0.37371487725186486</v>
      </c>
      <c r="DT21" s="10">
        <v>0.22666666666666666</v>
      </c>
      <c r="DU21">
        <v>0.5033333333333333</v>
      </c>
      <c r="DV21">
        <v>0.73</v>
      </c>
      <c r="DW21">
        <v>-2.1383000000000001</v>
      </c>
      <c r="DX21">
        <v>0.55983379147222279</v>
      </c>
      <c r="DY21">
        <v>-2.0276370133606085</v>
      </c>
      <c r="DZ21">
        <v>381</v>
      </c>
      <c r="EA21">
        <v>-2.0255764062979096</v>
      </c>
      <c r="EB21">
        <v>2</v>
      </c>
      <c r="EC21">
        <v>6.5003867421163458E-2</v>
      </c>
      <c r="ED21">
        <v>0.32528966668882281</v>
      </c>
      <c r="EE21" s="11">
        <v>2.0884999999999998</v>
      </c>
      <c r="EF21">
        <v>2.0409000000000002</v>
      </c>
      <c r="EG21">
        <v>36.199833791472223</v>
      </c>
      <c r="EH21" t="s">
        <v>806</v>
      </c>
      <c r="EI21">
        <v>0</v>
      </c>
      <c r="EJ21">
        <v>1</v>
      </c>
      <c r="EK21" s="13">
        <v>45470</v>
      </c>
      <c r="EL21" s="14">
        <v>0.5</v>
      </c>
      <c r="EM21" s="14">
        <v>-5.52</v>
      </c>
      <c r="EN21" s="14">
        <v>0</v>
      </c>
      <c r="EO21" s="14">
        <v>3.13</v>
      </c>
      <c r="EP21" s="14">
        <v>-4.76</v>
      </c>
    </row>
    <row r="22" spans="1:146" ht="96" x14ac:dyDescent="0.25">
      <c r="A22" s="6"/>
      <c r="B22" s="6"/>
      <c r="C22" s="6" t="str">
        <f>""&amp;CHAR(10)&amp;Basic_Fundamental_Information_Constructure(F22)&amp;CHAR(10)&amp;Basic_Fundamental_Information_Concatenate("")</f>
        <v xml:space="preserve">
市值80.2332亿, 利润2.96亿; PE36.44; 平均PE19.1; 平均PEG.08, PB1.27; ROIC8.0167%; ROE10.0733%; 股利率3.2206%; 毛利87.02%; 净利55.8633%; 上一年度营收增432%, 利润增-2.31%; 当季营收增-75.28%, 利润增-32.82%; 过往5年营收增232.81%, 利润增580.35%
Income profile:
</v>
      </c>
      <c r="D22" t="s">
        <v>523</v>
      </c>
      <c r="E22" t="s">
        <v>524</v>
      </c>
      <c r="F22">
        <v>62.1</v>
      </c>
      <c r="G22">
        <v>3.1</v>
      </c>
      <c r="H22" t="s">
        <v>1381</v>
      </c>
      <c r="I22">
        <v>8023320000</v>
      </c>
      <c r="J22">
        <v>36.44</v>
      </c>
      <c r="K22">
        <v>1.27</v>
      </c>
      <c r="L22" t="s">
        <v>30</v>
      </c>
      <c r="M22" t="s">
        <v>512</v>
      </c>
      <c r="N22" t="s">
        <v>1382</v>
      </c>
      <c r="O22" t="s">
        <v>833</v>
      </c>
      <c r="P22">
        <v>-3.02</v>
      </c>
      <c r="Q22" t="s">
        <v>1383</v>
      </c>
      <c r="R22">
        <v>43761484</v>
      </c>
      <c r="S22" s="5">
        <v>-0.47710000000000002</v>
      </c>
      <c r="T22" t="s">
        <v>1384</v>
      </c>
      <c r="U22">
        <v>58463410</v>
      </c>
      <c r="V22">
        <v>129200000</v>
      </c>
      <c r="W22">
        <v>1.03</v>
      </c>
      <c r="X22">
        <v>0.02</v>
      </c>
      <c r="Y22">
        <v>28.72</v>
      </c>
      <c r="Z22" t="s">
        <v>1335</v>
      </c>
      <c r="AA22" t="s">
        <v>1385</v>
      </c>
      <c r="AB22" t="s">
        <v>1386</v>
      </c>
      <c r="AC22" t="s">
        <v>1387</v>
      </c>
      <c r="AD22" t="s">
        <v>5</v>
      </c>
      <c r="AE22">
        <v>-6983426</v>
      </c>
      <c r="AF22" t="s">
        <v>1388</v>
      </c>
      <c r="AG22" t="s">
        <v>5</v>
      </c>
      <c r="AH22" t="s">
        <v>1389</v>
      </c>
      <c r="AI22" t="s">
        <v>1390</v>
      </c>
      <c r="AJ22" t="s">
        <v>1391</v>
      </c>
      <c r="AK22" t="s">
        <v>1392</v>
      </c>
      <c r="AL22" t="s">
        <v>1393</v>
      </c>
      <c r="AM22" t="s">
        <v>5</v>
      </c>
      <c r="AN22" t="s">
        <v>1394</v>
      </c>
      <c r="AO22" t="s">
        <v>5</v>
      </c>
      <c r="AP22" t="s">
        <v>5</v>
      </c>
      <c r="AQ22" t="s">
        <v>1395</v>
      </c>
      <c r="AR22" t="s">
        <v>5</v>
      </c>
      <c r="AS22" t="s">
        <v>128</v>
      </c>
      <c r="AT22" t="s">
        <v>5</v>
      </c>
      <c r="AU22" t="s">
        <v>1396</v>
      </c>
      <c r="AV22" t="s">
        <v>516</v>
      </c>
      <c r="AW22" t="s">
        <v>1397</v>
      </c>
      <c r="AX22" t="s">
        <v>132</v>
      </c>
      <c r="AY22" t="s">
        <v>525</v>
      </c>
      <c r="AZ22" t="s">
        <v>527</v>
      </c>
      <c r="BA22" t="s">
        <v>475</v>
      </c>
      <c r="BB22" t="s">
        <v>113</v>
      </c>
      <c r="BC22" t="s">
        <v>510</v>
      </c>
      <c r="BD22" t="s">
        <v>526</v>
      </c>
      <c r="BE22" t="s">
        <v>528</v>
      </c>
      <c r="BF22" t="s">
        <v>529</v>
      </c>
      <c r="BG22" t="s">
        <v>530</v>
      </c>
      <c r="BH22" t="s">
        <v>1398</v>
      </c>
      <c r="BI22" t="s">
        <v>422</v>
      </c>
      <c r="BJ22" t="s">
        <v>132</v>
      </c>
      <c r="BK22" t="s">
        <v>109</v>
      </c>
      <c r="BL22" t="s">
        <v>1399</v>
      </c>
      <c r="BM22" t="s">
        <v>510</v>
      </c>
      <c r="BN22">
        <v>2.65</v>
      </c>
      <c r="BO22">
        <v>3.82</v>
      </c>
      <c r="BP22">
        <v>17.579999999999998</v>
      </c>
      <c r="BQ22">
        <v>3.23</v>
      </c>
      <c r="BR22">
        <v>4.74</v>
      </c>
      <c r="BS22">
        <v>22.25</v>
      </c>
      <c r="BT22" t="s">
        <v>744</v>
      </c>
      <c r="BU22" t="s">
        <v>436</v>
      </c>
      <c r="BV22">
        <v>82.06</v>
      </c>
      <c r="BW22">
        <v>85.03</v>
      </c>
      <c r="BX22">
        <v>93.97</v>
      </c>
      <c r="BY22">
        <v>40.24</v>
      </c>
      <c r="BZ22">
        <v>52.76</v>
      </c>
      <c r="CA22">
        <v>74.59</v>
      </c>
      <c r="CB22">
        <v>3.59</v>
      </c>
      <c r="CC22">
        <v>-13.27</v>
      </c>
      <c r="CD22" t="s">
        <v>1400</v>
      </c>
      <c r="CE22" t="s">
        <v>1401</v>
      </c>
      <c r="CF22" s="8">
        <v>-0.75284552845528452</v>
      </c>
      <c r="CG22" s="9">
        <v>-0.32819233680125393</v>
      </c>
      <c r="CH22" s="8">
        <v>4.320000171661377</v>
      </c>
      <c r="CI22" s="8">
        <v>-0.40414509177207947</v>
      </c>
      <c r="CJ22" s="8">
        <v>-0.39536342024803162</v>
      </c>
      <c r="CK22" s="8">
        <v>7.8176798820495605</v>
      </c>
      <c r="CL22" s="8">
        <v>0.30215826630592346</v>
      </c>
      <c r="CM22" s="9">
        <v>-2.3102309554815292E-2</v>
      </c>
      <c r="CN22" s="9">
        <v>-0.57916665077209473</v>
      </c>
      <c r="CO22" s="9">
        <v>-0.36170211434364319</v>
      </c>
      <c r="CP22" s="9">
        <v>29.979734420776367</v>
      </c>
      <c r="CQ22" s="9">
        <v>1.5789400786161423E-3</v>
      </c>
      <c r="CR22">
        <v>19.104929016379469</v>
      </c>
      <c r="CS22">
        <v>8.206352110081383E-2</v>
      </c>
      <c r="CT22">
        <v>3.2206119162640903</v>
      </c>
      <c r="CU22" s="8">
        <v>2.32806596159935</v>
      </c>
      <c r="CV22" s="9">
        <v>5.8034684572368862</v>
      </c>
      <c r="CW22">
        <v>0.06</v>
      </c>
      <c r="CX22">
        <v>2.0910602634636937</v>
      </c>
      <c r="CY22">
        <v>929346721.3522712</v>
      </c>
      <c r="CZ22">
        <v>2.32806596159935</v>
      </c>
      <c r="DA22">
        <v>0.16403110747618982</v>
      </c>
      <c r="DB22">
        <v>11847265009.059855</v>
      </c>
      <c r="DC22">
        <v>2.2116626635193826</v>
      </c>
      <c r="DD22">
        <v>7.5792054994614725E-3</v>
      </c>
      <c r="DE22">
        <v>256401545008.65286</v>
      </c>
      <c r="DF22">
        <v>2.048698046207428</v>
      </c>
      <c r="DG22">
        <v>2.0048163307683886E-4</v>
      </c>
      <c r="DH22">
        <v>9693257033950.7422</v>
      </c>
      <c r="DI22">
        <v>1.8624527692794801</v>
      </c>
      <c r="DJ22">
        <v>5.0272216456327907E-8</v>
      </c>
      <c r="DK22">
        <v>3.8655944316443376E+16</v>
      </c>
      <c r="DL22">
        <v>1.6296461731195448</v>
      </c>
      <c r="DM22">
        <v>296000000</v>
      </c>
      <c r="DN22">
        <v>2.32806596159935</v>
      </c>
      <c r="DO22">
        <v>1943320000</v>
      </c>
      <c r="DP22">
        <v>4893109300</v>
      </c>
      <c r="DQ22">
        <v>2494</v>
      </c>
      <c r="DR22">
        <v>-3.0809114900546346</v>
      </c>
      <c r="DS22">
        <v>-6.1316607940381402</v>
      </c>
      <c r="DT22" s="10">
        <v>9.8333333333333162E-2</v>
      </c>
      <c r="DU22">
        <v>-8.1666666666666679E-2</v>
      </c>
      <c r="DV22">
        <v>1.6666666666666483E-2</v>
      </c>
      <c r="DW22">
        <v>6.2129300118623965</v>
      </c>
      <c r="DX22">
        <v>0.44442649643461024</v>
      </c>
      <c r="DY22">
        <v>6.0286234354804416</v>
      </c>
      <c r="DZ22">
        <v>842</v>
      </c>
      <c r="EA22">
        <v>6.0239070102995154</v>
      </c>
      <c r="EB22">
        <v>6</v>
      </c>
      <c r="EC22">
        <v>2.1726006191950465E-2</v>
      </c>
      <c r="ED22">
        <v>0.16161996904024767</v>
      </c>
      <c r="EE22" s="11">
        <v>-2.0045000000000002</v>
      </c>
      <c r="EF22">
        <v>-2.0068100000000002</v>
      </c>
      <c r="EG22">
        <v>31.13442649643461</v>
      </c>
      <c r="EH22" t="s">
        <v>731</v>
      </c>
      <c r="EI22">
        <v>0</v>
      </c>
      <c r="EJ22">
        <v>1</v>
      </c>
      <c r="EK22" s="13">
        <v>45470</v>
      </c>
      <c r="EL22" s="14">
        <v>2.63</v>
      </c>
      <c r="EM22" s="14">
        <v>-5.27</v>
      </c>
      <c r="EN22" s="14">
        <v>-2.34</v>
      </c>
      <c r="EO22" s="14">
        <v>3.83</v>
      </c>
      <c r="EP22" s="14">
        <v>-1.1299999999999999</v>
      </c>
    </row>
    <row r="23" spans="1:146" ht="96" x14ac:dyDescent="0.25">
      <c r="A23" s="6"/>
      <c r="B23" s="6"/>
      <c r="C23" s="6" t="str">
        <f>""&amp;CHAR(10)&amp;Basic_Fundamental_Information_Constructure(F23)&amp;CHAR(10)&amp;Basic_Fundamental_Information_Concatenate("")</f>
        <v xml:space="preserve">
市值40.356亿, 利润6561.73万; PE28.99; 平均PE41.6; 平均PEG.65, PB1.54; ROIC7.4233%; ROE13.51%; 股利率2.6762%; 毛利92.1133%; 净利38.06%; 上一年度营收增52.11%, 利润增-67.83%; 当季营收增-15.12%, 利润增211.95%; 过往5年营收增63.61%, 利润增188.43%
Income profile:
</v>
      </c>
      <c r="D23" t="s">
        <v>531</v>
      </c>
      <c r="E23" t="s">
        <v>532</v>
      </c>
      <c r="F23">
        <v>33.630000000000003</v>
      </c>
      <c r="G23">
        <v>3.51</v>
      </c>
      <c r="H23" t="s">
        <v>1402</v>
      </c>
      <c r="I23">
        <v>4035600000</v>
      </c>
      <c r="J23">
        <v>28.99</v>
      </c>
      <c r="K23">
        <v>1.54</v>
      </c>
      <c r="L23" t="s">
        <v>30</v>
      </c>
      <c r="M23" t="s">
        <v>1403</v>
      </c>
      <c r="N23" t="s">
        <v>1404</v>
      </c>
      <c r="O23" t="s">
        <v>604</v>
      </c>
      <c r="P23">
        <v>6.67</v>
      </c>
      <c r="Q23" t="s">
        <v>1405</v>
      </c>
      <c r="R23">
        <v>30672071</v>
      </c>
      <c r="S23" s="5">
        <v>-0.31909999999999999</v>
      </c>
      <c r="T23" t="s">
        <v>1406</v>
      </c>
      <c r="U23">
        <v>67028897</v>
      </c>
      <c r="V23">
        <v>120000000</v>
      </c>
      <c r="W23">
        <v>1.07</v>
      </c>
      <c r="X23">
        <v>0.05</v>
      </c>
      <c r="Y23">
        <v>20.02</v>
      </c>
      <c r="Z23" t="s">
        <v>330</v>
      </c>
      <c r="AA23" t="s">
        <v>1407</v>
      </c>
      <c r="AB23" t="s">
        <v>1408</v>
      </c>
      <c r="AC23" t="s">
        <v>1409</v>
      </c>
      <c r="AD23" t="s">
        <v>5</v>
      </c>
      <c r="AE23">
        <v>-14389258</v>
      </c>
      <c r="AF23" t="s">
        <v>1410</v>
      </c>
      <c r="AG23" t="s">
        <v>1411</v>
      </c>
      <c r="AH23" t="s">
        <v>1412</v>
      </c>
      <c r="AI23" t="s">
        <v>1413</v>
      </c>
      <c r="AJ23" t="s">
        <v>1414</v>
      </c>
      <c r="AK23" t="s">
        <v>5</v>
      </c>
      <c r="AL23" t="s">
        <v>1415</v>
      </c>
      <c r="AM23" t="s">
        <v>5</v>
      </c>
      <c r="AN23" t="s">
        <v>740</v>
      </c>
      <c r="AO23" t="s">
        <v>1416</v>
      </c>
      <c r="AP23" t="s">
        <v>1417</v>
      </c>
      <c r="AQ23" t="s">
        <v>1418</v>
      </c>
      <c r="AR23" t="s">
        <v>5</v>
      </c>
      <c r="AS23" t="s">
        <v>122</v>
      </c>
      <c r="AT23" t="s">
        <v>5</v>
      </c>
      <c r="AU23" t="s">
        <v>1419</v>
      </c>
      <c r="AV23" t="s">
        <v>1420</v>
      </c>
      <c r="AW23" t="s">
        <v>1421</v>
      </c>
      <c r="AX23" t="s">
        <v>745</v>
      </c>
      <c r="AY23" t="s">
        <v>498</v>
      </c>
      <c r="AZ23" t="s">
        <v>533</v>
      </c>
      <c r="BA23" t="s">
        <v>279</v>
      </c>
      <c r="BB23" t="s">
        <v>534</v>
      </c>
      <c r="BC23" t="s">
        <v>511</v>
      </c>
      <c r="BD23" t="s">
        <v>517</v>
      </c>
      <c r="BE23" t="s">
        <v>145</v>
      </c>
      <c r="BF23" t="s">
        <v>535</v>
      </c>
      <c r="BG23" t="s">
        <v>536</v>
      </c>
      <c r="BH23" t="s">
        <v>1422</v>
      </c>
      <c r="BI23" t="s">
        <v>798</v>
      </c>
      <c r="BJ23" t="s">
        <v>745</v>
      </c>
      <c r="BK23" t="s">
        <v>274</v>
      </c>
      <c r="BL23" t="s">
        <v>1423</v>
      </c>
      <c r="BM23" t="s">
        <v>511</v>
      </c>
      <c r="BN23">
        <v>3.01</v>
      </c>
      <c r="BO23">
        <v>6.43</v>
      </c>
      <c r="BP23">
        <v>12.83</v>
      </c>
      <c r="BQ23">
        <v>4.99</v>
      </c>
      <c r="BR23">
        <v>8.1300000000000008</v>
      </c>
      <c r="BS23">
        <v>27.41</v>
      </c>
      <c r="BT23" t="s">
        <v>600</v>
      </c>
      <c r="BU23" t="s">
        <v>436</v>
      </c>
      <c r="BV23">
        <v>91.26</v>
      </c>
      <c r="BW23">
        <v>92.51</v>
      </c>
      <c r="BX23">
        <v>92.57</v>
      </c>
      <c r="BY23">
        <v>27.14</v>
      </c>
      <c r="BZ23">
        <v>41.99</v>
      </c>
      <c r="CA23">
        <v>45.05</v>
      </c>
      <c r="CB23">
        <v>-1.38</v>
      </c>
      <c r="CC23">
        <v>-12.74</v>
      </c>
      <c r="CD23" t="s">
        <v>1424</v>
      </c>
      <c r="CE23" t="s">
        <v>1425</v>
      </c>
      <c r="CF23" s="8">
        <v>-0.15116279069767441</v>
      </c>
      <c r="CG23" s="9">
        <v>2.1194897481794883</v>
      </c>
      <c r="CH23" s="8">
        <v>0.52109706401824951</v>
      </c>
      <c r="CI23" s="8">
        <v>0.23116883635520935</v>
      </c>
      <c r="CJ23" s="8">
        <v>0.56504064798355103</v>
      </c>
      <c r="CK23" s="8">
        <v>1.3883495330810547</v>
      </c>
      <c r="CL23" s="8">
        <v>0.47476574778556824</v>
      </c>
      <c r="CM23" s="9">
        <v>-0.67834657430648804</v>
      </c>
      <c r="CN23" s="9">
        <v>0.17241379618644714</v>
      </c>
      <c r="CO23" s="9">
        <v>0.5</v>
      </c>
      <c r="CP23" s="9">
        <v>9.4484739303588867</v>
      </c>
      <c r="CQ23" s="9">
        <v>-2.1108318120241165E-2</v>
      </c>
      <c r="CR23">
        <v>41.599770745638473</v>
      </c>
      <c r="CS23">
        <v>0.65399769243492645</v>
      </c>
      <c r="CT23">
        <v>2.6761819803746651</v>
      </c>
      <c r="CU23" s="8">
        <v>0.63608436584472661</v>
      </c>
      <c r="CV23" s="9">
        <v>1.884286566823721</v>
      </c>
      <c r="CW23">
        <v>0.06</v>
      </c>
      <c r="CX23">
        <v>16.188988855249015</v>
      </c>
      <c r="CY23">
        <v>101278715.71598411</v>
      </c>
      <c r="CZ23">
        <v>0.63608436584472661</v>
      </c>
      <c r="DA23">
        <v>3.4366554052622731</v>
      </c>
      <c r="DB23">
        <v>477091767.0387938</v>
      </c>
      <c r="DC23">
        <v>0.60428014755249027</v>
      </c>
      <c r="DD23">
        <v>0.87490125590519296</v>
      </c>
      <c r="DE23">
        <v>1874040057.5875642</v>
      </c>
      <c r="DF23">
        <v>0.55975424194335943</v>
      </c>
      <c r="DG23">
        <v>0.22420203632197364</v>
      </c>
      <c r="DH23">
        <v>7313046870.1247282</v>
      </c>
      <c r="DI23">
        <v>0.50886749267578135</v>
      </c>
      <c r="DJ23">
        <v>1.3539790567004906E-2</v>
      </c>
      <c r="DK23">
        <v>121094930670.16403</v>
      </c>
      <c r="DL23">
        <v>0.44525905609130861</v>
      </c>
      <c r="DM23">
        <v>65617299.999999993</v>
      </c>
      <c r="DN23">
        <v>0.63608436584472661</v>
      </c>
      <c r="DO23">
        <v>1639600000</v>
      </c>
      <c r="DP23">
        <v>2062133600</v>
      </c>
      <c r="DQ23">
        <v>2524</v>
      </c>
      <c r="DR23">
        <v>-0.78724715654240107</v>
      </c>
      <c r="DS23">
        <v>0.23520318135576734</v>
      </c>
      <c r="DT23" s="10">
        <v>0.34333333333333321</v>
      </c>
      <c r="DU23">
        <v>0.995</v>
      </c>
      <c r="DV23">
        <v>1.3383333333333332</v>
      </c>
      <c r="DW23">
        <v>-2.1274000000000002</v>
      </c>
      <c r="DX23">
        <v>0.50054077780888917</v>
      </c>
      <c r="DY23">
        <v>-2.0166308950928524</v>
      </c>
      <c r="DZ23">
        <v>3610</v>
      </c>
      <c r="EA23">
        <v>-2.004881867444086</v>
      </c>
      <c r="EB23">
        <v>2</v>
      </c>
      <c r="EC23">
        <v>5.167250000000001E-2</v>
      </c>
      <c r="ED23">
        <v>0.39583416666666665</v>
      </c>
      <c r="EE23" s="11">
        <v>-1.0263</v>
      </c>
      <c r="EF23">
        <v>-1.0046999999999999</v>
      </c>
      <c r="EG23">
        <v>37.130540777808889</v>
      </c>
      <c r="EH23" t="s">
        <v>490</v>
      </c>
      <c r="EI23">
        <v>0</v>
      </c>
      <c r="EJ23">
        <v>0</v>
      </c>
      <c r="EK23" s="13">
        <v>45470</v>
      </c>
      <c r="EL23" s="14">
        <v>2.27</v>
      </c>
      <c r="EM23" s="14">
        <v>-5.68</v>
      </c>
      <c r="EN23" s="14">
        <v>9.6</v>
      </c>
      <c r="EO23" s="14">
        <v>3.26</v>
      </c>
      <c r="EP23" s="14">
        <v>-2.16</v>
      </c>
    </row>
    <row r="24" spans="1:146" ht="96" x14ac:dyDescent="0.25">
      <c r="A24" s="6"/>
      <c r="B24" s="6"/>
      <c r="C24" s="6" t="str">
        <f>""&amp;CHAR(10)&amp;Basic_Fundamental_Information_Constructure(F24)&amp;CHAR(10)&amp;Basic_Fundamental_Information_Concatenate("")</f>
        <v xml:space="preserve">
市值23.374亿, 利润5965.19万; PE84.7; 平均PE31.17; 平均PEG7.96, PB1.1; ROIC4.7733%; ROE9.4633%; 股利率1.7427%; 毛利21.7067%; 净利7.3333%; 上一年度营收增-56.99%, 利润增-44.25%; 当季营收增196.98%, 利润增-66.81%; 过往5年营收增3.92%, 利润增14.75%
Income profile:
</v>
      </c>
      <c r="D24" t="s">
        <v>537</v>
      </c>
      <c r="E24" t="s">
        <v>538</v>
      </c>
      <c r="F24">
        <v>26.97</v>
      </c>
      <c r="G24">
        <v>3.73</v>
      </c>
      <c r="H24" t="s">
        <v>1426</v>
      </c>
      <c r="I24">
        <v>2337400000</v>
      </c>
      <c r="J24">
        <v>84.7</v>
      </c>
      <c r="K24">
        <v>1.1000000000000001</v>
      </c>
      <c r="L24" t="s">
        <v>30</v>
      </c>
      <c r="M24" t="s">
        <v>602</v>
      </c>
      <c r="N24" t="s">
        <v>1427</v>
      </c>
      <c r="O24" t="s">
        <v>874</v>
      </c>
      <c r="P24">
        <v>-0.91</v>
      </c>
      <c r="Q24" t="s">
        <v>1428</v>
      </c>
      <c r="R24">
        <v>5202523</v>
      </c>
      <c r="S24" s="5">
        <v>-0.7097</v>
      </c>
      <c r="T24" t="s">
        <v>1429</v>
      </c>
      <c r="U24">
        <v>41268868</v>
      </c>
      <c r="V24">
        <v>86666668</v>
      </c>
      <c r="W24">
        <v>1.1100000000000001</v>
      </c>
      <c r="X24">
        <v>0.11</v>
      </c>
      <c r="Y24">
        <v>1.92</v>
      </c>
      <c r="Z24" t="s">
        <v>862</v>
      </c>
      <c r="AA24" t="s">
        <v>1159</v>
      </c>
      <c r="AB24" t="s">
        <v>1430</v>
      </c>
      <c r="AC24" t="s">
        <v>1431</v>
      </c>
      <c r="AD24" t="s">
        <v>5</v>
      </c>
      <c r="AE24">
        <v>-3479119</v>
      </c>
      <c r="AF24" t="s">
        <v>1432</v>
      </c>
      <c r="AG24">
        <v>50</v>
      </c>
      <c r="AH24" t="s">
        <v>1433</v>
      </c>
      <c r="AI24" t="s">
        <v>1434</v>
      </c>
      <c r="AJ24" t="s">
        <v>1435</v>
      </c>
      <c r="AK24" t="s">
        <v>1436</v>
      </c>
      <c r="AL24" t="s">
        <v>1437</v>
      </c>
      <c r="AM24" t="s">
        <v>5</v>
      </c>
      <c r="AN24" t="s">
        <v>876</v>
      </c>
      <c r="AO24" t="s">
        <v>5</v>
      </c>
      <c r="AP24" t="s">
        <v>1438</v>
      </c>
      <c r="AQ24" t="s">
        <v>1439</v>
      </c>
      <c r="AR24" t="s">
        <v>5</v>
      </c>
      <c r="AS24" t="s">
        <v>888</v>
      </c>
      <c r="AT24" t="s">
        <v>5</v>
      </c>
      <c r="AU24" t="s">
        <v>1440</v>
      </c>
      <c r="AV24" t="s">
        <v>1441</v>
      </c>
      <c r="AW24" t="s">
        <v>1442</v>
      </c>
      <c r="AX24" t="s">
        <v>746</v>
      </c>
      <c r="AY24" t="s">
        <v>539</v>
      </c>
      <c r="AZ24" t="s">
        <v>236</v>
      </c>
      <c r="BA24" t="s">
        <v>540</v>
      </c>
      <c r="BB24" t="s">
        <v>541</v>
      </c>
      <c r="BC24" t="s">
        <v>115</v>
      </c>
      <c r="BD24" t="s">
        <v>497</v>
      </c>
      <c r="BE24" t="s">
        <v>542</v>
      </c>
      <c r="BF24" t="s">
        <v>543</v>
      </c>
      <c r="BG24" t="s">
        <v>544</v>
      </c>
      <c r="BH24" t="s">
        <v>922</v>
      </c>
      <c r="BI24" t="s">
        <v>1443</v>
      </c>
      <c r="BJ24" t="s">
        <v>746</v>
      </c>
      <c r="BK24" t="s">
        <v>1444</v>
      </c>
      <c r="BL24" t="s">
        <v>1445</v>
      </c>
      <c r="BM24" t="s">
        <v>115</v>
      </c>
      <c r="BN24">
        <v>1.61</v>
      </c>
      <c r="BO24">
        <v>4.24</v>
      </c>
      <c r="BP24">
        <v>8.4700000000000006</v>
      </c>
      <c r="BQ24">
        <v>0.91</v>
      </c>
      <c r="BR24">
        <v>5.0199999999999996</v>
      </c>
      <c r="BS24">
        <v>22.46</v>
      </c>
      <c r="BT24" t="s">
        <v>1446</v>
      </c>
      <c r="BU24" t="s">
        <v>436</v>
      </c>
      <c r="BV24">
        <v>19.62</v>
      </c>
      <c r="BW24">
        <v>22.31</v>
      </c>
      <c r="BX24">
        <v>23.19</v>
      </c>
      <c r="BY24">
        <v>3.29</v>
      </c>
      <c r="BZ24">
        <v>8.91</v>
      </c>
      <c r="CA24">
        <v>9.8000000000000007</v>
      </c>
      <c r="CB24">
        <v>-0.11</v>
      </c>
      <c r="CC24">
        <v>-7.61</v>
      </c>
      <c r="CD24" t="s">
        <v>1447</v>
      </c>
      <c r="CE24" t="s">
        <v>1448</v>
      </c>
      <c r="CF24" s="8">
        <v>1.9698019185793865</v>
      </c>
      <c r="CG24" s="9">
        <v>-0.66813871453357832</v>
      </c>
      <c r="CH24" s="8">
        <v>-0.56987452507019043</v>
      </c>
      <c r="CI24" s="8">
        <v>7.6576635241508484E-2</v>
      </c>
      <c r="CJ24" s="8">
        <v>0.30742049217224121</v>
      </c>
      <c r="CK24" s="8">
        <v>7.8780174255371094E-2</v>
      </c>
      <c r="CL24" s="8">
        <v>0.30298012495040894</v>
      </c>
      <c r="CM24" s="9">
        <v>-0.4425055980682373</v>
      </c>
      <c r="CN24" s="9">
        <v>-1.8348623067140579E-2</v>
      </c>
      <c r="CO24" s="9">
        <v>0.42506387829780579</v>
      </c>
      <c r="CP24" s="9">
        <v>0.32011398673057556</v>
      </c>
      <c r="CQ24" s="9">
        <v>0.45339089632034302</v>
      </c>
      <c r="CR24">
        <v>31.169101331360949</v>
      </c>
      <c r="CS24">
        <v>7.9560546338726841</v>
      </c>
      <c r="CT24">
        <v>1.7426770485724881</v>
      </c>
      <c r="CU24" s="8">
        <v>3.9176580309867856E-2</v>
      </c>
      <c r="CV24" s="9">
        <v>0.14754290804266929</v>
      </c>
      <c r="CW24">
        <v>0.06</v>
      </c>
      <c r="CX24">
        <v>8.3857651419211638</v>
      </c>
      <c r="CY24">
        <v>58480054.199043579</v>
      </c>
      <c r="CZ24">
        <v>3.9176580309867856E-2</v>
      </c>
      <c r="DA24">
        <v>2.8615967839537748</v>
      </c>
      <c r="DB24">
        <v>171372851.25210071</v>
      </c>
      <c r="DC24">
        <v>3.7217751294374463E-2</v>
      </c>
      <c r="DD24">
        <v>1.4909005470850141</v>
      </c>
      <c r="DE24">
        <v>328928714.23169208</v>
      </c>
      <c r="DF24">
        <v>3.4475390672683716E-2</v>
      </c>
      <c r="DG24">
        <v>0.95290652489364935</v>
      </c>
      <c r="DH24">
        <v>514635997.53893161</v>
      </c>
      <c r="DI24">
        <v>3.1341264247894289E-2</v>
      </c>
      <c r="DJ24">
        <v>0.56133925122735517</v>
      </c>
      <c r="DK24">
        <v>873624994.02589762</v>
      </c>
      <c r="DL24">
        <v>2.7423606216907499E-2</v>
      </c>
      <c r="DM24">
        <v>59651899.999999993</v>
      </c>
      <c r="DN24">
        <v>3.9176580309867856E-2</v>
      </c>
      <c r="DO24">
        <v>490400000</v>
      </c>
      <c r="DP24">
        <v>1833177500</v>
      </c>
      <c r="DQ24">
        <v>2595</v>
      </c>
      <c r="DR24">
        <v>1.9306253382695187</v>
      </c>
      <c r="DS24">
        <v>-0.81568162257624754</v>
      </c>
      <c r="DT24" s="10">
        <v>-0.37333333333333335</v>
      </c>
      <c r="DU24">
        <v>-0.25666666666666677</v>
      </c>
      <c r="DV24">
        <v>-0.63000000000000012</v>
      </c>
      <c r="DW24">
        <v>-2.0760999999999998</v>
      </c>
      <c r="DX24">
        <v>0.41672278682219033</v>
      </c>
      <c r="DY24">
        <v>-2.0104046040771686</v>
      </c>
      <c r="DZ24">
        <v>2394</v>
      </c>
      <c r="EA24">
        <v>-2.0055301183314267</v>
      </c>
      <c r="EB24">
        <v>2</v>
      </c>
      <c r="EC24">
        <v>3.4041922553201188E-2</v>
      </c>
      <c r="ED24">
        <v>0.2489849961694616</v>
      </c>
      <c r="EE24" s="11">
        <v>6.4809999999999993E-2</v>
      </c>
      <c r="EF24">
        <v>9.4309999999999991E-2</v>
      </c>
      <c r="EG24">
        <v>28.13672278682219</v>
      </c>
      <c r="EH24">
        <v>-1</v>
      </c>
      <c r="EI24">
        <v>0</v>
      </c>
      <c r="EJ24">
        <v>0</v>
      </c>
      <c r="EK24" s="13">
        <v>45470</v>
      </c>
      <c r="EL24" s="14">
        <v>-1.1100000000000001</v>
      </c>
      <c r="EM24" s="14">
        <v>-4.92</v>
      </c>
      <c r="EN24" s="14">
        <v>-2.25</v>
      </c>
      <c r="EO24" s="14">
        <v>3.68</v>
      </c>
      <c r="EP24" s="14">
        <v>-2.95</v>
      </c>
    </row>
    <row r="25" spans="1:146" ht="96" x14ac:dyDescent="0.25">
      <c r="A25" s="6"/>
      <c r="B25" s="6"/>
      <c r="C25" s="6" t="str">
        <f>""&amp;CHAR(10)&amp;Basic_Fundamental_Information_Constructure(F25)&amp;CHAR(10)&amp;Basic_Fundamental_Information_Concatenate("")</f>
        <v xml:space="preserve">
市值104.518682亿, 利润1.46亿; PE12.99; 平均PE21.95; 平均PEG.96, PB1.65; ROIC14.5667%; ROE15.4833%; 股利率3.4503%; 毛利88.04%; 净利32.6933%; 上一年度营收增-23.27%, 利润增-71.92%; 当季营收增-83.78%, 利润增45.86%; 过往5年营收增22.77%, 利润增12.9%
Income profile:
</v>
      </c>
      <c r="D25" t="s">
        <v>426</v>
      </c>
      <c r="E25" t="s">
        <v>427</v>
      </c>
      <c r="F25">
        <v>17.39</v>
      </c>
      <c r="G25">
        <v>3.39</v>
      </c>
      <c r="H25" t="s">
        <v>1449</v>
      </c>
      <c r="I25">
        <v>10451868200</v>
      </c>
      <c r="J25">
        <v>12.99</v>
      </c>
      <c r="K25">
        <v>1.65</v>
      </c>
      <c r="L25" t="s">
        <v>30</v>
      </c>
      <c r="M25" t="s">
        <v>1450</v>
      </c>
      <c r="N25" t="s">
        <v>1451</v>
      </c>
      <c r="O25" t="s">
        <v>1452</v>
      </c>
      <c r="P25">
        <v>-76.36</v>
      </c>
      <c r="Q25" t="s">
        <v>1453</v>
      </c>
      <c r="R25">
        <v>38589463</v>
      </c>
      <c r="S25" s="15">
        <v>-0.58930000000000005</v>
      </c>
      <c r="T25" t="s">
        <v>604</v>
      </c>
      <c r="U25">
        <v>141648490</v>
      </c>
      <c r="V25">
        <v>601027500</v>
      </c>
      <c r="W25">
        <v>1.24</v>
      </c>
      <c r="X25">
        <v>0</v>
      </c>
      <c r="Y25">
        <v>112.76</v>
      </c>
      <c r="Z25" t="s">
        <v>1454</v>
      </c>
      <c r="AA25" t="s">
        <v>1455</v>
      </c>
      <c r="AB25" t="s">
        <v>1456</v>
      </c>
      <c r="AC25" t="s">
        <v>1457</v>
      </c>
      <c r="AD25" t="s">
        <v>5</v>
      </c>
      <c r="AE25">
        <v>-3543748</v>
      </c>
      <c r="AF25" t="s">
        <v>1458</v>
      </c>
      <c r="AG25">
        <v>0</v>
      </c>
      <c r="AH25" t="s">
        <v>1459</v>
      </c>
      <c r="AI25" t="s">
        <v>870</v>
      </c>
      <c r="AJ25" t="s">
        <v>1460</v>
      </c>
      <c r="AK25" t="s">
        <v>5</v>
      </c>
      <c r="AL25" t="s">
        <v>1461</v>
      </c>
      <c r="AM25" t="s">
        <v>5</v>
      </c>
      <c r="AN25" t="s">
        <v>1462</v>
      </c>
      <c r="AO25" t="s">
        <v>564</v>
      </c>
      <c r="AP25" t="s">
        <v>1066</v>
      </c>
      <c r="AQ25" t="s">
        <v>1335</v>
      </c>
      <c r="AR25" t="s">
        <v>5</v>
      </c>
      <c r="AS25" t="s">
        <v>903</v>
      </c>
      <c r="AT25" t="s">
        <v>5</v>
      </c>
      <c r="AU25" t="s">
        <v>1463</v>
      </c>
      <c r="AV25" t="s">
        <v>855</v>
      </c>
      <c r="AW25" t="s">
        <v>1464</v>
      </c>
      <c r="AX25" t="s">
        <v>747</v>
      </c>
      <c r="AY25" t="s">
        <v>428</v>
      </c>
      <c r="AZ25" t="s">
        <v>431</v>
      </c>
      <c r="BA25" t="s">
        <v>432</v>
      </c>
      <c r="BB25" t="s">
        <v>433</v>
      </c>
      <c r="BC25" t="s">
        <v>748</v>
      </c>
      <c r="BD25" t="s">
        <v>429</v>
      </c>
      <c r="BE25" t="s">
        <v>434</v>
      </c>
      <c r="BF25" t="s">
        <v>435</v>
      </c>
      <c r="BG25" t="s">
        <v>396</v>
      </c>
      <c r="BH25" t="s">
        <v>1465</v>
      </c>
      <c r="BI25" t="s">
        <v>772</v>
      </c>
      <c r="BJ25" t="s">
        <v>747</v>
      </c>
      <c r="BK25" t="s">
        <v>195</v>
      </c>
      <c r="BL25" t="s">
        <v>1466</v>
      </c>
      <c r="BM25" t="s">
        <v>748</v>
      </c>
      <c r="BN25">
        <v>10.34</v>
      </c>
      <c r="BO25">
        <v>11.3</v>
      </c>
      <c r="BP25">
        <v>22.06</v>
      </c>
      <c r="BQ25">
        <v>10.95</v>
      </c>
      <c r="BR25">
        <v>10.64</v>
      </c>
      <c r="BS25">
        <v>24.86</v>
      </c>
      <c r="BT25" t="s">
        <v>1467</v>
      </c>
      <c r="BU25" t="s">
        <v>513</v>
      </c>
      <c r="BV25">
        <v>88.09</v>
      </c>
      <c r="BW25">
        <v>88.09</v>
      </c>
      <c r="BX25">
        <v>87.94</v>
      </c>
      <c r="BY25">
        <v>35.68</v>
      </c>
      <c r="BZ25">
        <v>28.46</v>
      </c>
      <c r="CA25">
        <v>33.94</v>
      </c>
      <c r="CB25">
        <v>-1.58</v>
      </c>
      <c r="CC25">
        <v>-9.52</v>
      </c>
      <c r="CD25" t="s">
        <v>1468</v>
      </c>
      <c r="CE25" t="s">
        <v>1469</v>
      </c>
      <c r="CF25" s="8">
        <v>-0.83780710900473931</v>
      </c>
      <c r="CG25" s="9">
        <v>0.45856737888884269</v>
      </c>
      <c r="CH25" s="8">
        <v>-0.23274920880794525</v>
      </c>
      <c r="CI25" s="8">
        <v>-2.1857924293726683E-3</v>
      </c>
      <c r="CJ25" s="8">
        <v>-0.24567185342311859</v>
      </c>
      <c r="CK25" s="8">
        <v>1.3126786947250366</v>
      </c>
      <c r="CL25" s="8">
        <v>0.3063511848449707</v>
      </c>
      <c r="CM25" s="9">
        <v>-0.7192307710647583</v>
      </c>
      <c r="CN25" s="9">
        <v>-0.16264089941978455</v>
      </c>
      <c r="CO25" s="9">
        <v>-0.32864865660667419</v>
      </c>
      <c r="CP25" s="9">
        <v>1.4666666984558105</v>
      </c>
      <c r="CQ25" s="9">
        <v>0.3888888955116272</v>
      </c>
      <c r="CR25">
        <v>21.950020721036051</v>
      </c>
      <c r="CS25">
        <v>0.9640537937459418</v>
      </c>
      <c r="CT25">
        <v>3.4502587694077054</v>
      </c>
      <c r="CU25" s="8">
        <v>0.22768460498191417</v>
      </c>
      <c r="CV25" s="9">
        <v>0.12900705337524415</v>
      </c>
      <c r="CW25">
        <v>0.06</v>
      </c>
      <c r="CX25">
        <v>34.754588482850025</v>
      </c>
      <c r="CY25">
        <v>169096181.44090515</v>
      </c>
      <c r="CZ25">
        <v>0.22768460498191417</v>
      </c>
      <c r="DA25">
        <v>10.126688462321523</v>
      </c>
      <c r="DB25">
        <v>580334649.56151521</v>
      </c>
      <c r="DC25">
        <v>0.21630037473281846</v>
      </c>
      <c r="DD25">
        <v>4.2449359559123581</v>
      </c>
      <c r="DE25">
        <v>1384442135.5320289</v>
      </c>
      <c r="DF25">
        <v>0.20036245238408448</v>
      </c>
      <c r="DG25">
        <v>2.1046546038356073</v>
      </c>
      <c r="DH25">
        <v>2792319551.7638659</v>
      </c>
      <c r="DI25">
        <v>0.18214768398553136</v>
      </c>
      <c r="DJ25">
        <v>0.68960934522323403</v>
      </c>
      <c r="DK25">
        <v>8522025173.6837959</v>
      </c>
      <c r="DL25">
        <v>0.1593792234873399</v>
      </c>
      <c r="DM25">
        <v>146000000</v>
      </c>
      <c r="DN25">
        <v>0.22768460498191417</v>
      </c>
      <c r="DO25">
        <v>5876868200</v>
      </c>
      <c r="DP25">
        <v>3856164800</v>
      </c>
      <c r="DQ25">
        <v>2631</v>
      </c>
      <c r="DR25">
        <v>-1.0654917139866535</v>
      </c>
      <c r="DS25">
        <v>0.32956032551359854</v>
      </c>
      <c r="DT25" s="10">
        <v>-0.40666666666666668</v>
      </c>
      <c r="DU25">
        <v>-0.28333333333333338</v>
      </c>
      <c r="DV25">
        <v>-0.69000000000000006</v>
      </c>
      <c r="DW25">
        <v>-2.0952000000000002</v>
      </c>
      <c r="DX25">
        <v>0.49615065288426308</v>
      </c>
      <c r="DY25">
        <v>-2.0120095421545816</v>
      </c>
      <c r="DZ25">
        <v>1201</v>
      </c>
      <c r="EA25">
        <v>-2.0091869472176631</v>
      </c>
      <c r="EB25">
        <v>2</v>
      </c>
      <c r="EC25">
        <v>1.3206550449022716E-2</v>
      </c>
      <c r="ED25">
        <v>0.10468872056603067</v>
      </c>
      <c r="EE25" s="11">
        <v>1.07281</v>
      </c>
      <c r="EF25">
        <v>1.0904100000000001</v>
      </c>
      <c r="EG25">
        <v>37.126150652884263</v>
      </c>
      <c r="EH25" t="s">
        <v>496</v>
      </c>
      <c r="EI25">
        <v>0</v>
      </c>
      <c r="EJ25">
        <v>1</v>
      </c>
      <c r="EK25" s="13">
        <v>45470</v>
      </c>
      <c r="EL25" s="14">
        <v>-0.71</v>
      </c>
      <c r="EM25" s="14">
        <v>-3.74</v>
      </c>
      <c r="EN25" s="14">
        <v>0.99</v>
      </c>
      <c r="EO25" s="14">
        <v>2.5</v>
      </c>
      <c r="EP25" s="14">
        <v>-1.76</v>
      </c>
    </row>
    <row r="26" spans="1:146" ht="96" x14ac:dyDescent="0.25">
      <c r="C26" s="6" t="str">
        <f>""&amp;CHAR(10)&amp;Basic_Fundamental_Information_Constructure(F26)&amp;CHAR(10)&amp;Basic_Fundamental_Information_Concatenate("")</f>
        <v xml:space="preserve">
市值45.198亿, 利润5579.22万; PE48.85; 平均PE62.48; 平均PEG.66, PB2.02; ROIC23.3867%; ROE19.745%; 股利率.5974%; 毛利42.75%; 净利28.1733%; 上一年度营收增342.73%, 利润增-56.75%; 当季营收增-80.67%, 利润增93.24%; 过往5年营收增95.37%, 利润增30.01%
Income profile:
</v>
      </c>
      <c r="D26" t="s">
        <v>807</v>
      </c>
      <c r="E26" t="s">
        <v>808</v>
      </c>
      <c r="F26">
        <v>41.85</v>
      </c>
      <c r="G26">
        <v>2.25</v>
      </c>
      <c r="H26" t="s">
        <v>1470</v>
      </c>
      <c r="I26">
        <v>4519800000</v>
      </c>
      <c r="J26">
        <v>48.85</v>
      </c>
      <c r="K26">
        <v>2.02</v>
      </c>
      <c r="L26" t="s">
        <v>30</v>
      </c>
      <c r="M26" t="s">
        <v>1471</v>
      </c>
      <c r="N26" t="s">
        <v>1472</v>
      </c>
      <c r="O26" t="s">
        <v>1473</v>
      </c>
      <c r="P26" s="5">
        <v>-27.14</v>
      </c>
      <c r="Q26" t="s">
        <v>1474</v>
      </c>
      <c r="R26">
        <v>29828840</v>
      </c>
      <c r="S26">
        <v>-0.17799999999999999</v>
      </c>
      <c r="T26" t="s">
        <v>1475</v>
      </c>
      <c r="U26">
        <v>24727542</v>
      </c>
      <c r="V26">
        <v>108000000</v>
      </c>
      <c r="W26">
        <v>1.04</v>
      </c>
      <c r="X26">
        <v>0.04</v>
      </c>
      <c r="Y26">
        <v>32.700000000000003</v>
      </c>
      <c r="Z26" t="s">
        <v>1476</v>
      </c>
      <c r="AA26" t="s">
        <v>1477</v>
      </c>
      <c r="AB26" t="s">
        <v>1478</v>
      </c>
      <c r="AC26" t="s">
        <v>1479</v>
      </c>
      <c r="AD26" t="s">
        <v>5</v>
      </c>
      <c r="AE26">
        <v>-13941091</v>
      </c>
      <c r="AF26" t="s">
        <v>72</v>
      </c>
      <c r="AG26" t="s">
        <v>1480</v>
      </c>
      <c r="AH26" t="s">
        <v>1481</v>
      </c>
      <c r="AI26" t="s">
        <v>859</v>
      </c>
      <c r="AJ26" t="s">
        <v>1482</v>
      </c>
      <c r="AK26" t="s">
        <v>1483</v>
      </c>
      <c r="AL26" t="s">
        <v>1484</v>
      </c>
      <c r="AM26" t="s">
        <v>5</v>
      </c>
      <c r="AN26" t="s">
        <v>1485</v>
      </c>
      <c r="AO26" t="s">
        <v>5</v>
      </c>
      <c r="AP26" t="s">
        <v>1486</v>
      </c>
      <c r="AQ26" t="s">
        <v>1487</v>
      </c>
      <c r="AR26" t="s">
        <v>5</v>
      </c>
      <c r="AS26" t="s">
        <v>1488</v>
      </c>
      <c r="AT26" t="s">
        <v>5</v>
      </c>
      <c r="AU26" t="s">
        <v>1489</v>
      </c>
      <c r="AV26" t="s">
        <v>1490</v>
      </c>
      <c r="AW26" t="s">
        <v>1491</v>
      </c>
      <c r="AX26" t="s">
        <v>724</v>
      </c>
      <c r="AY26" t="s">
        <v>710</v>
      </c>
      <c r="AZ26" t="s">
        <v>264</v>
      </c>
      <c r="BA26" t="s">
        <v>842</v>
      </c>
      <c r="BB26" t="s">
        <v>97</v>
      </c>
      <c r="BC26" t="s">
        <v>258</v>
      </c>
      <c r="BD26" t="s">
        <v>717</v>
      </c>
      <c r="BE26" t="s">
        <v>889</v>
      </c>
      <c r="BF26" t="s">
        <v>890</v>
      </c>
      <c r="BG26" t="s">
        <v>891</v>
      </c>
      <c r="BH26" t="s">
        <v>316</v>
      </c>
      <c r="BI26" t="s">
        <v>936</v>
      </c>
      <c r="BJ26" t="s">
        <v>724</v>
      </c>
      <c r="BK26" t="s">
        <v>1492</v>
      </c>
      <c r="BL26" t="s">
        <v>1493</v>
      </c>
      <c r="BM26" t="s">
        <v>258</v>
      </c>
      <c r="BN26">
        <v>5.17</v>
      </c>
      <c r="BO26">
        <v>30.11</v>
      </c>
      <c r="BP26">
        <v>34.880000000000003</v>
      </c>
      <c r="BQ26">
        <v>8.86</v>
      </c>
      <c r="BR26">
        <v>30.63</v>
      </c>
      <c r="BS26" t="s">
        <v>5</v>
      </c>
      <c r="BT26" t="s">
        <v>601</v>
      </c>
      <c r="BU26" t="s">
        <v>436</v>
      </c>
      <c r="BV26">
        <v>38.549999999999997</v>
      </c>
      <c r="BW26">
        <v>43.26</v>
      </c>
      <c r="BX26">
        <v>46.44</v>
      </c>
      <c r="BY26">
        <v>25.46</v>
      </c>
      <c r="BZ26">
        <v>28.91</v>
      </c>
      <c r="CA26">
        <v>30.15</v>
      </c>
      <c r="CB26">
        <v>-1.46</v>
      </c>
      <c r="CC26" s="8">
        <v>-9.02</v>
      </c>
      <c r="CD26" s="9" t="s">
        <v>1494</v>
      </c>
      <c r="CE26" s="8" t="s">
        <v>1495</v>
      </c>
      <c r="CF26" s="8">
        <v>-0.80671673728813564</v>
      </c>
      <c r="CG26" s="8">
        <v>0.93243283514404729</v>
      </c>
      <c r="CH26" s="8">
        <v>3.427293062210083</v>
      </c>
      <c r="CI26" s="8">
        <v>0.21138212084770203</v>
      </c>
      <c r="CJ26" s="9">
        <v>0.30851063132286072</v>
      </c>
      <c r="CK26" s="9">
        <v>0.47643980383872986</v>
      </c>
      <c r="CL26" s="9">
        <v>0.34507042169570923</v>
      </c>
      <c r="CM26" s="9">
        <v>-0.56750231981277466</v>
      </c>
      <c r="CN26" s="9">
        <v>0.16216215491294861</v>
      </c>
      <c r="CO26">
        <v>1.7473820447921753</v>
      </c>
      <c r="CP26">
        <v>-0.3048933744430542</v>
      </c>
      <c r="CQ26">
        <v>0.46355810761451721</v>
      </c>
      <c r="CR26" s="8">
        <v>62.481136174814843</v>
      </c>
      <c r="CS26" s="9">
        <v>0.65511762179674837</v>
      </c>
      <c r="CT26">
        <v>0.59737156511350054</v>
      </c>
      <c r="CU26">
        <v>0.95373920798301692</v>
      </c>
      <c r="CV26">
        <v>0.30014132261276244</v>
      </c>
      <c r="CW26">
        <v>0.06</v>
      </c>
      <c r="CX26">
        <v>22.967999691431451</v>
      </c>
      <c r="CY26">
        <v>102833404.37700951</v>
      </c>
      <c r="CZ26">
        <v>0.95373920798301692</v>
      </c>
      <c r="DA26">
        <v>3.903246418966519</v>
      </c>
      <c r="DB26">
        <v>605105941.69080555</v>
      </c>
      <c r="DC26">
        <v>0.90605224758386604</v>
      </c>
      <c r="DD26">
        <v>0.68214503258127479</v>
      </c>
      <c r="DE26">
        <v>3462427324.3807459</v>
      </c>
      <c r="DF26">
        <v>0.83929050302505492</v>
      </c>
      <c r="DG26">
        <v>0.10486488587473979</v>
      </c>
      <c r="DH26">
        <v>22523055075.091988</v>
      </c>
      <c r="DI26">
        <v>0.76299136638641363</v>
      </c>
      <c r="DJ26">
        <v>1.7883674818632183E-3</v>
      </c>
      <c r="DK26">
        <v>1320689189416.0745</v>
      </c>
      <c r="DL26">
        <v>0.66761744558811176</v>
      </c>
      <c r="DM26">
        <v>55792200</v>
      </c>
      <c r="DN26">
        <v>0.95373920798301692</v>
      </c>
      <c r="DO26">
        <v>2361877600</v>
      </c>
      <c r="DP26">
        <v>1910924800</v>
      </c>
      <c r="DQ26" s="10">
        <v>2779</v>
      </c>
      <c r="DR26">
        <v>-1.7604559452711526</v>
      </c>
      <c r="DS26">
        <v>0.6322915125312849</v>
      </c>
      <c r="DT26">
        <v>0.35999999999999993</v>
      </c>
      <c r="DU26">
        <v>0.45333333333333331</v>
      </c>
      <c r="DV26">
        <v>0.81333333333333324</v>
      </c>
      <c r="DW26">
        <v>-2.0901999999999998</v>
      </c>
      <c r="DX26">
        <v>0.42008867513714421</v>
      </c>
      <c r="DY26">
        <v>-2.0153419984973704</v>
      </c>
      <c r="DZ26" t="s">
        <v>1496</v>
      </c>
      <c r="EA26" t="e">
        <v>#VALUE!</v>
      </c>
      <c r="EB26" s="11" t="e">
        <v>#VALUE!</v>
      </c>
      <c r="EC26" s="11">
        <v>9.4537962962962963E-2</v>
      </c>
      <c r="ED26">
        <v>0.5558157407407408</v>
      </c>
      <c r="EE26">
        <v>49.032710000000002</v>
      </c>
      <c r="EF26">
        <v>49.027209999999997</v>
      </c>
      <c r="EG26">
        <v>25.170088675137144</v>
      </c>
      <c r="EH26" s="13" t="s">
        <v>1497</v>
      </c>
      <c r="EI26" t="e">
        <v>#VALUE!</v>
      </c>
      <c r="EJ26">
        <v>0</v>
      </c>
      <c r="EK26">
        <v>45470</v>
      </c>
      <c r="EL26">
        <v>-11.56</v>
      </c>
      <c r="EM26">
        <v>-2.4300000000000002</v>
      </c>
      <c r="EN26" s="14">
        <v>1.21</v>
      </c>
      <c r="EO26" s="14">
        <v>-4.55</v>
      </c>
      <c r="EP26" s="14">
        <v>0.55000000000000004</v>
      </c>
    </row>
    <row r="27" spans="1:146" ht="120" x14ac:dyDescent="0.25">
      <c r="A27" s="6" t="s">
        <v>589</v>
      </c>
      <c r="B27" s="6"/>
      <c r="C27" s="6" t="str">
        <f>"公司从事的主要业务是以健康人血浆、经特异免疫的人血浆为原材料和采用基因重组技术研发、生产血液制品，开展血液制品经营业务。"&amp;CHAR(10)&amp;Basic_Fundamental_Information_Constructure(F27)&amp;CHAR(10)&amp;Basic_Fundamental_Information_Concatenate("血液制品 18.83亿 99.58% 100.00% 48.70%")</f>
        <v>公司从事的主要业务是以健康人血浆、经特异免疫的人血浆为原材料和采用基因重组技术研发、生产血液制品，开展血液制品经营业务。
市值474.96462亿, 利润6948.74万; PE40.78; 平均PE99.94; 平均PEG53.72, PB4.68; ROIC10.48%; ROE10.39%; 股利率.6245%; 毛利49.1233%; 净利27.8%; 上一年度营收增-22.55%, 利润增-92.11%; 当季营收增2.52%, 利润增257.03%; 过往5年营收增-1.86%, 利润增-92.11%
Income profile:
血液制品 18.83亿 99.58% 100.00% 48.70%</v>
      </c>
      <c r="D27" t="s">
        <v>43</v>
      </c>
      <c r="E27" t="s">
        <v>12</v>
      </c>
      <c r="F27">
        <v>24.02</v>
      </c>
      <c r="G27">
        <v>3.76</v>
      </c>
      <c r="H27" t="s">
        <v>1498</v>
      </c>
      <c r="I27">
        <v>47496462000</v>
      </c>
      <c r="J27">
        <v>40.78</v>
      </c>
      <c r="K27">
        <v>4.68</v>
      </c>
      <c r="L27" t="s">
        <v>30</v>
      </c>
      <c r="M27" t="s">
        <v>1499</v>
      </c>
      <c r="N27" t="s">
        <v>1500</v>
      </c>
      <c r="O27" t="s">
        <v>1501</v>
      </c>
      <c r="P27">
        <v>-5.42</v>
      </c>
      <c r="Q27" t="s">
        <v>1502</v>
      </c>
      <c r="R27">
        <v>316673980</v>
      </c>
      <c r="S27" s="5">
        <v>0.20910000000000001</v>
      </c>
      <c r="T27" t="s">
        <v>1503</v>
      </c>
      <c r="U27">
        <v>1977371400</v>
      </c>
      <c r="V27">
        <v>1977371400</v>
      </c>
      <c r="W27">
        <v>1.1200000000000001</v>
      </c>
      <c r="X27" t="s">
        <v>5</v>
      </c>
      <c r="Y27">
        <v>35.36</v>
      </c>
      <c r="Z27" t="s">
        <v>5</v>
      </c>
      <c r="AA27" t="s">
        <v>5</v>
      </c>
      <c r="AB27" t="s">
        <v>5</v>
      </c>
      <c r="AC27" t="s">
        <v>5</v>
      </c>
      <c r="AD27" t="s">
        <v>5</v>
      </c>
      <c r="AE27">
        <v>-14434224</v>
      </c>
      <c r="AF27" t="s">
        <v>1504</v>
      </c>
      <c r="AG27" t="s">
        <v>1505</v>
      </c>
      <c r="AH27" t="s">
        <v>1506</v>
      </c>
      <c r="AI27" t="s">
        <v>1507</v>
      </c>
      <c r="AJ27" t="s">
        <v>1508</v>
      </c>
      <c r="AK27" t="s">
        <v>5</v>
      </c>
      <c r="AL27" t="s">
        <v>1509</v>
      </c>
      <c r="AM27" t="s">
        <v>5</v>
      </c>
      <c r="AN27" t="s">
        <v>1510</v>
      </c>
      <c r="AO27" t="s">
        <v>5</v>
      </c>
      <c r="AP27" t="s">
        <v>1511</v>
      </c>
      <c r="AQ27" t="s">
        <v>1512</v>
      </c>
      <c r="AR27" t="s">
        <v>1513</v>
      </c>
      <c r="AS27" t="s">
        <v>5</v>
      </c>
      <c r="AT27" t="s">
        <v>5</v>
      </c>
      <c r="AU27" t="s">
        <v>256</v>
      </c>
      <c r="AV27" t="s">
        <v>1514</v>
      </c>
      <c r="AW27" t="s">
        <v>1515</v>
      </c>
      <c r="AX27" t="s">
        <v>749</v>
      </c>
      <c r="AY27" t="s">
        <v>5</v>
      </c>
      <c r="AZ27" t="s">
        <v>275</v>
      </c>
      <c r="BA27" t="s">
        <v>143</v>
      </c>
      <c r="BB27" t="s">
        <v>276</v>
      </c>
      <c r="BC27" t="s">
        <v>587</v>
      </c>
      <c r="BD27" t="s">
        <v>5</v>
      </c>
      <c r="BE27" t="s">
        <v>5</v>
      </c>
      <c r="BF27" t="s">
        <v>5</v>
      </c>
      <c r="BG27" t="s">
        <v>5</v>
      </c>
      <c r="BH27" t="s">
        <v>1516</v>
      </c>
      <c r="BI27" t="s">
        <v>1517</v>
      </c>
      <c r="BJ27" t="s">
        <v>749</v>
      </c>
      <c r="BK27" t="s">
        <v>539</v>
      </c>
      <c r="BL27" t="s">
        <v>1518</v>
      </c>
      <c r="BM27" t="s">
        <v>587</v>
      </c>
      <c r="BN27">
        <v>9.66</v>
      </c>
      <c r="BO27">
        <v>10.27</v>
      </c>
      <c r="BP27">
        <v>11.51</v>
      </c>
      <c r="BQ27">
        <v>9.6</v>
      </c>
      <c r="BR27">
        <v>10.46</v>
      </c>
      <c r="BS27">
        <v>11.11</v>
      </c>
      <c r="BT27" t="s">
        <v>1519</v>
      </c>
      <c r="BU27" t="s">
        <v>358</v>
      </c>
      <c r="BV27">
        <v>50.76</v>
      </c>
      <c r="BW27">
        <v>49.08</v>
      </c>
      <c r="BX27">
        <v>47.53</v>
      </c>
      <c r="BY27">
        <v>29.14</v>
      </c>
      <c r="BZ27">
        <v>28.27</v>
      </c>
      <c r="CA27">
        <v>25.99</v>
      </c>
      <c r="CB27">
        <v>-1.56</v>
      </c>
      <c r="CC27">
        <v>1.74</v>
      </c>
      <c r="CD27" t="s">
        <v>1520</v>
      </c>
      <c r="CE27" t="s">
        <v>1521</v>
      </c>
      <c r="CF27" s="8">
        <v>2.5167785234899327E-2</v>
      </c>
      <c r="CG27" s="9">
        <v>2.5703258655115615</v>
      </c>
      <c r="CH27" s="8">
        <v>-0.22553390264511108</v>
      </c>
      <c r="CI27" s="8" t="s">
        <v>5</v>
      </c>
      <c r="CJ27" s="8" t="s">
        <v>5</v>
      </c>
      <c r="CK27" s="8">
        <v>4.9969609826803207E-2</v>
      </c>
      <c r="CL27" s="8">
        <v>0.11975428462028503</v>
      </c>
      <c r="CM27" s="9">
        <v>-0.92112666368484497</v>
      </c>
      <c r="CN27" s="9" t="s">
        <v>5</v>
      </c>
      <c r="CO27" s="9" t="s">
        <v>5</v>
      </c>
      <c r="CP27" s="9" t="s">
        <v>5</v>
      </c>
      <c r="CQ27" s="9" t="s">
        <v>5</v>
      </c>
      <c r="CR27">
        <v>99.941276444064385</v>
      </c>
      <c r="CS27">
        <v>53.722233522770722</v>
      </c>
      <c r="CT27">
        <v>0.62447960033305583</v>
      </c>
      <c r="CU27" s="8">
        <v>-1.8603336066007614E-2</v>
      </c>
      <c r="CV27" s="9">
        <v>-0.92112666368484497</v>
      </c>
      <c r="CW27">
        <v>0.06</v>
      </c>
      <c r="CX27">
        <v>514.40206425913186</v>
      </c>
      <c r="CY27" t="s">
        <v>1522</v>
      </c>
      <c r="CZ27">
        <v>-1.8603336066007614E-2</v>
      </c>
      <c r="DA27">
        <v>171.46735475304396</v>
      </c>
      <c r="DB27" t="s">
        <v>1523</v>
      </c>
      <c r="DC27">
        <v>-1.7673169262707233E-2</v>
      </c>
      <c r="DD27">
        <v>85.733677376521982</v>
      </c>
      <c r="DE27" t="s">
        <v>1524</v>
      </c>
      <c r="DF27">
        <v>-1.6370935738086699E-2</v>
      </c>
      <c r="DG27">
        <v>51.440206425913189</v>
      </c>
      <c r="DH27" t="s">
        <v>1525</v>
      </c>
      <c r="DI27">
        <v>-1.4882668852806091E-2</v>
      </c>
      <c r="DJ27">
        <v>25.720103212956595</v>
      </c>
      <c r="DK27" t="s">
        <v>1526</v>
      </c>
      <c r="DL27">
        <v>-1.302233524620533E-2</v>
      </c>
      <c r="DM27">
        <v>69487400</v>
      </c>
      <c r="DN27">
        <v>-1.8603336066007614E-2</v>
      </c>
      <c r="DO27">
        <v>35744462000</v>
      </c>
      <c r="DP27">
        <v>8015712300</v>
      </c>
      <c r="DQ27">
        <v>2967</v>
      </c>
      <c r="DR27">
        <v>4.3771121300906941E-2</v>
      </c>
      <c r="DS27">
        <v>3.4914525291964065</v>
      </c>
      <c r="DT27" s="10">
        <v>-0.91</v>
      </c>
      <c r="DU27">
        <v>-2.3199999999999998</v>
      </c>
      <c r="DV27">
        <v>-3.23</v>
      </c>
      <c r="DW27">
        <v>1.7399999999999999E-2</v>
      </c>
      <c r="DX27">
        <v>0.3745643216080401</v>
      </c>
      <c r="DY27">
        <v>2.8634191959798993E-3</v>
      </c>
      <c r="DZ27">
        <v>1293</v>
      </c>
      <c r="EA27">
        <v>2.1388788788757876E-3</v>
      </c>
      <c r="EB27">
        <v>0</v>
      </c>
      <c r="EC27">
        <v>3.3123064286253966E-2</v>
      </c>
      <c r="ED27">
        <v>0.20127731188991607</v>
      </c>
      <c r="EE27" s="11">
        <v>3.0777000000000001</v>
      </c>
      <c r="EF27">
        <v>3.0430999999999999</v>
      </c>
      <c r="EG27">
        <v>21.16456432160804</v>
      </c>
      <c r="EH27" t="s">
        <v>1527</v>
      </c>
      <c r="EI27">
        <v>0</v>
      </c>
      <c r="EJ27">
        <v>1</v>
      </c>
      <c r="EK27" s="13">
        <v>45470</v>
      </c>
      <c r="EL27" s="14">
        <v>0.4</v>
      </c>
      <c r="EM27" s="14">
        <v>-1.07</v>
      </c>
      <c r="EN27" s="14">
        <v>6.61</v>
      </c>
      <c r="EO27" s="14">
        <v>2.23</v>
      </c>
      <c r="EP27" s="14">
        <v>-3.46</v>
      </c>
    </row>
    <row r="28" spans="1:146" ht="156" x14ac:dyDescent="0.25">
      <c r="A28" s="6" t="s">
        <v>825</v>
      </c>
      <c r="B28" s="6" t="s">
        <v>826</v>
      </c>
      <c r="C28" s="6" t="str">
        <f>"公司主要业务是生产、销售新活素、诺迪康胶囊、雪山金罗汉止痛涂膜剂、十味蒂达胶囊、小儿双清颗粒等系列产品，公司主要产品涉及心脑血管、肝胆、扭挫伤及风湿、类风湿、感冒等领域，公司产品新活素是自主研发的国家生物制品一类新药"&amp;CHAR(10)&amp;Basic_Fundamental_Information_Constructure(F28)&amp;CHAR(10)&amp;Basic_Fundamental_Information_Concatenate("自有产品 23.78亿 93.11% 96.07% 97.26%
外购产品 1.65亿 6.47% 3.76% 54.69%
其他业务 969.08万 0.38% 0.19% 46.53%")</f>
        <v>公司主要业务是生产、销售新活素、诺迪康胶囊、雪山金罗汉止痛涂膜剂、十味蒂达胶囊、小儿双清颗粒等系列产品，公司主要产品涉及心脑血管、肝胆、扭挫伤及风湿、类风湿、感冒等领域，公司产品新活素是自主研发的国家生物制品一类新药
市值105.817392亿, 利润1741.16万; PE13.05; 平均PE54.63; 平均PEG3.81, PB2.89; ROIC13.53%; ROE15.73%; 股利率2.2449%; 毛利92.9567%; 净利16.8333%; 上一年度营收增-74.56%, 利润增-95.29%; 当季营收增613.06%, 利润增45079.03%; 过往5年营收增-14.36%, 利润增-95.29%
Income profile:
自有产品 23.78亿 93.11% 96.07% 97.26%
外购产品 1.65亿 6.47% 3.76% 54.69%
其他业务 969.08万 0.38% 0.19% 46.53%</v>
      </c>
      <c r="D28" t="s">
        <v>809</v>
      </c>
      <c r="E28" t="s">
        <v>810</v>
      </c>
      <c r="F28">
        <v>32.83</v>
      </c>
      <c r="G28">
        <v>2.21</v>
      </c>
      <c r="H28" t="s">
        <v>1528</v>
      </c>
      <c r="I28">
        <v>10581739200</v>
      </c>
      <c r="J28">
        <v>13.05</v>
      </c>
      <c r="K28">
        <v>2.89</v>
      </c>
      <c r="L28" t="s">
        <v>30</v>
      </c>
      <c r="M28" t="s">
        <v>1529</v>
      </c>
      <c r="N28" t="s">
        <v>1530</v>
      </c>
      <c r="O28" t="s">
        <v>1531</v>
      </c>
      <c r="P28" s="5">
        <v>-22.35</v>
      </c>
      <c r="Q28" t="s">
        <v>1532</v>
      </c>
      <c r="R28">
        <v>312919130</v>
      </c>
      <c r="S28">
        <v>3.2099999999999997E-2</v>
      </c>
      <c r="T28" t="s">
        <v>1533</v>
      </c>
      <c r="U28">
        <v>322319200</v>
      </c>
      <c r="V28">
        <v>322319200</v>
      </c>
      <c r="W28">
        <v>1.38</v>
      </c>
      <c r="X28" t="s">
        <v>5</v>
      </c>
      <c r="Y28">
        <v>44.76</v>
      </c>
      <c r="Z28" t="s">
        <v>5</v>
      </c>
      <c r="AA28" t="s">
        <v>5</v>
      </c>
      <c r="AB28" t="s">
        <v>5</v>
      </c>
      <c r="AC28" t="s">
        <v>5</v>
      </c>
      <c r="AD28" t="s">
        <v>5</v>
      </c>
      <c r="AE28">
        <v>-23529532</v>
      </c>
      <c r="AF28" t="s">
        <v>1534</v>
      </c>
      <c r="AG28" t="s">
        <v>1535</v>
      </c>
      <c r="AH28" t="s">
        <v>1536</v>
      </c>
      <c r="AI28" t="s">
        <v>1537</v>
      </c>
      <c r="AJ28" t="s">
        <v>1538</v>
      </c>
      <c r="AK28" t="s">
        <v>5</v>
      </c>
      <c r="AL28" t="s">
        <v>1539</v>
      </c>
      <c r="AM28" t="s">
        <v>5</v>
      </c>
      <c r="AN28" t="s">
        <v>1540</v>
      </c>
      <c r="AO28" t="s">
        <v>5</v>
      </c>
      <c r="AP28" t="s">
        <v>5</v>
      </c>
      <c r="AQ28" t="s">
        <v>1541</v>
      </c>
      <c r="AR28" t="s">
        <v>1542</v>
      </c>
      <c r="AS28" t="s">
        <v>5</v>
      </c>
      <c r="AT28" t="s">
        <v>5</v>
      </c>
      <c r="AU28" t="s">
        <v>268</v>
      </c>
      <c r="AV28" t="s">
        <v>1543</v>
      </c>
      <c r="AW28" t="s">
        <v>1544</v>
      </c>
      <c r="AX28" t="s">
        <v>811</v>
      </c>
      <c r="AY28" t="s">
        <v>5</v>
      </c>
      <c r="AZ28" t="s">
        <v>812</v>
      </c>
      <c r="BA28" t="s">
        <v>813</v>
      </c>
      <c r="BB28" t="s">
        <v>814</v>
      </c>
      <c r="BC28" t="s">
        <v>315</v>
      </c>
      <c r="BD28" t="s">
        <v>5</v>
      </c>
      <c r="BE28" t="s">
        <v>5</v>
      </c>
      <c r="BF28" t="s">
        <v>5</v>
      </c>
      <c r="BG28" t="s">
        <v>5</v>
      </c>
      <c r="BH28" t="s">
        <v>1545</v>
      </c>
      <c r="BI28" t="s">
        <v>1546</v>
      </c>
      <c r="BJ28" t="s">
        <v>811</v>
      </c>
      <c r="BK28" t="s">
        <v>884</v>
      </c>
      <c r="BL28" t="s">
        <v>1547</v>
      </c>
      <c r="BM28" t="s">
        <v>315</v>
      </c>
      <c r="BN28">
        <v>21.97</v>
      </c>
      <c r="BO28">
        <v>11.2</v>
      </c>
      <c r="BP28">
        <v>7.42</v>
      </c>
      <c r="BQ28">
        <v>25.92</v>
      </c>
      <c r="BR28">
        <v>13.18</v>
      </c>
      <c r="BS28">
        <v>8.09</v>
      </c>
      <c r="BT28" t="s">
        <v>1548</v>
      </c>
      <c r="BU28" t="s">
        <v>436</v>
      </c>
      <c r="BV28">
        <v>95.05</v>
      </c>
      <c r="BW28">
        <v>94.26</v>
      </c>
      <c r="BX28">
        <v>89.56</v>
      </c>
      <c r="BY28">
        <v>25.85</v>
      </c>
      <c r="BZ28">
        <v>14.69</v>
      </c>
      <c r="CA28">
        <v>9.9600000000000009</v>
      </c>
      <c r="CB28">
        <v>0.77</v>
      </c>
      <c r="CC28" s="8">
        <v>-11.27</v>
      </c>
      <c r="CD28" s="9" t="s">
        <v>1549</v>
      </c>
      <c r="CE28" s="8" t="s">
        <v>1550</v>
      </c>
      <c r="CF28" s="8">
        <v>6.1305797546229757</v>
      </c>
      <c r="CG28" s="8">
        <v>450.79032629006764</v>
      </c>
      <c r="CH28" s="8">
        <v>-0.74559688568115234</v>
      </c>
      <c r="CI28" s="8" t="s">
        <v>5</v>
      </c>
      <c r="CJ28" s="9" t="s">
        <v>5</v>
      </c>
      <c r="CK28" s="9">
        <v>9.3152813613414764E-2</v>
      </c>
      <c r="CL28" s="9">
        <v>0.2217898815870285</v>
      </c>
      <c r="CM28" s="9">
        <v>-0.9529416561126709</v>
      </c>
      <c r="CN28" s="9" t="s">
        <v>5</v>
      </c>
      <c r="CO28" t="s">
        <v>5</v>
      </c>
      <c r="CP28" t="s">
        <v>5</v>
      </c>
      <c r="CQ28" t="s">
        <v>5</v>
      </c>
      <c r="CR28" s="8">
        <v>54.627890336789086</v>
      </c>
      <c r="CS28" s="9">
        <v>3.8054586402012114</v>
      </c>
      <c r="CT28">
        <v>2.2448979591836737</v>
      </c>
      <c r="CU28">
        <v>-0.14355139682690302</v>
      </c>
      <c r="CV28">
        <v>-0.9529416561126709</v>
      </c>
      <c r="CW28">
        <v>0.06</v>
      </c>
      <c r="CX28">
        <v>465.42185669323896</v>
      </c>
      <c r="CY28" t="s">
        <v>1551</v>
      </c>
      <c r="CZ28">
        <v>-0.14355139682690302</v>
      </c>
      <c r="DA28">
        <v>155.14061889774632</v>
      </c>
      <c r="DB28" t="s">
        <v>1552</v>
      </c>
      <c r="DC28">
        <v>-0.13637382698555786</v>
      </c>
      <c r="DD28">
        <v>77.570309448873161</v>
      </c>
      <c r="DE28" t="s">
        <v>1553</v>
      </c>
      <c r="DF28">
        <v>-0.12632522920767467</v>
      </c>
      <c r="DG28">
        <v>46.542185669323899</v>
      </c>
      <c r="DH28" t="s">
        <v>1554</v>
      </c>
      <c r="DI28">
        <v>-0.11484111746152242</v>
      </c>
      <c r="DJ28">
        <v>23.27109283466195</v>
      </c>
      <c r="DK28" t="s">
        <v>1555</v>
      </c>
      <c r="DL28">
        <v>-0.1004859777788321</v>
      </c>
      <c r="DM28">
        <v>17411600</v>
      </c>
      <c r="DN28">
        <v>-0.14355139682690302</v>
      </c>
      <c r="DO28">
        <v>8103739200</v>
      </c>
      <c r="DP28">
        <v>3916998700</v>
      </c>
      <c r="DQ28" s="10">
        <v>3009</v>
      </c>
      <c r="DR28">
        <v>6.274131151449879</v>
      </c>
      <c r="DS28">
        <v>451.74326794618031</v>
      </c>
      <c r="DT28">
        <v>-1.1599999999999999</v>
      </c>
      <c r="DU28">
        <v>-2.3199999999999998</v>
      </c>
      <c r="DV28">
        <v>-3.4799999999999995</v>
      </c>
      <c r="DW28">
        <v>-2.1126999999999998</v>
      </c>
      <c r="DX28">
        <v>0.40125863423476704</v>
      </c>
      <c r="DY28">
        <v>-2.0136658480782583</v>
      </c>
      <c r="DZ28">
        <v>2757</v>
      </c>
      <c r="EA28">
        <v>-2.0062927085182274</v>
      </c>
      <c r="EB28" s="11">
        <v>2</v>
      </c>
      <c r="EC28" s="11">
        <v>2.9513600182676056E-2</v>
      </c>
      <c r="ED28">
        <v>0.24339381581984568</v>
      </c>
      <c r="EE28">
        <v>2.7299999999999998E-2</v>
      </c>
      <c r="EF28">
        <v>2.4099999999999994E-3</v>
      </c>
      <c r="EG28">
        <v>28.121258634234767</v>
      </c>
      <c r="EH28" s="13">
        <v>-1</v>
      </c>
      <c r="EI28">
        <v>0</v>
      </c>
      <c r="EJ28">
        <v>0</v>
      </c>
      <c r="EK28">
        <v>45470</v>
      </c>
      <c r="EL28">
        <v>-0.19</v>
      </c>
      <c r="EM28">
        <v>-2.63</v>
      </c>
      <c r="EN28" s="14">
        <v>0.57999999999999996</v>
      </c>
      <c r="EO28" s="14">
        <v>3.26</v>
      </c>
      <c r="EP28" s="14">
        <v>-2.97</v>
      </c>
    </row>
    <row r="29" spans="1:146" ht="96" x14ac:dyDescent="0.25">
      <c r="A29" s="6"/>
      <c r="B29" s="6"/>
      <c r="C29" s="6" t="str">
        <f>""&amp;CHAR(10)&amp;Basic_Fundamental_Information_Constructure(F29)&amp;CHAR(10)&amp;Basic_Fundamental_Information_Concatenate("")</f>
        <v xml:space="preserve">
市值129.41345亿, 利润12.75亿; PE740.5; 平均PE8.27; 平均PEG.64, PB.446; ROIC4.84%; ROE4.97%; 股利率1.182%; 毛利16.18%; 净利7.8067%; 上一年度营收增-39.93%, 利润增4.17%; 当季营收增-.24%, 利润增-88.48%; 过往5年营收增-12.94%, 利润增25.41%
Income profile:
</v>
      </c>
      <c r="D29" t="s">
        <v>52</v>
      </c>
      <c r="E29" t="s">
        <v>53</v>
      </c>
      <c r="F29">
        <v>8.4600000000000009</v>
      </c>
      <c r="G29">
        <v>0.95</v>
      </c>
      <c r="H29" t="s">
        <v>1556</v>
      </c>
      <c r="I29">
        <v>12941345000</v>
      </c>
      <c r="J29">
        <v>740.5</v>
      </c>
      <c r="K29">
        <v>0.44600000000000001</v>
      </c>
      <c r="L29" t="s">
        <v>30</v>
      </c>
      <c r="M29" t="s">
        <v>1557</v>
      </c>
      <c r="N29" t="s">
        <v>1558</v>
      </c>
      <c r="O29" t="s">
        <v>1067</v>
      </c>
      <c r="P29">
        <v>19.010000000000002</v>
      </c>
      <c r="Q29" t="s">
        <v>1559</v>
      </c>
      <c r="R29">
        <v>87921269</v>
      </c>
      <c r="S29" s="5">
        <v>-0.71030000000000004</v>
      </c>
      <c r="T29" t="s">
        <v>1560</v>
      </c>
      <c r="U29">
        <v>1529709800</v>
      </c>
      <c r="V29">
        <v>1529709800</v>
      </c>
      <c r="W29">
        <v>1.49</v>
      </c>
      <c r="X29">
        <v>0.05</v>
      </c>
      <c r="Y29">
        <v>2.59</v>
      </c>
      <c r="Z29" t="s">
        <v>1561</v>
      </c>
      <c r="AA29" t="s">
        <v>472</v>
      </c>
      <c r="AB29" t="s">
        <v>83</v>
      </c>
      <c r="AC29" t="s">
        <v>497</v>
      </c>
      <c r="AD29" t="s">
        <v>5</v>
      </c>
      <c r="AE29">
        <v>157395670</v>
      </c>
      <c r="AF29" t="s">
        <v>1562</v>
      </c>
      <c r="AG29" t="s">
        <v>1563</v>
      </c>
      <c r="AH29" t="s">
        <v>1564</v>
      </c>
      <c r="AI29" t="s">
        <v>1565</v>
      </c>
      <c r="AJ29" t="s">
        <v>1566</v>
      </c>
      <c r="AK29" t="s">
        <v>5</v>
      </c>
      <c r="AL29" t="s">
        <v>1567</v>
      </c>
      <c r="AM29" t="s">
        <v>5</v>
      </c>
      <c r="AN29" t="s">
        <v>1568</v>
      </c>
      <c r="AO29" t="s">
        <v>1569</v>
      </c>
      <c r="AP29" t="s">
        <v>1570</v>
      </c>
      <c r="AQ29" t="s">
        <v>881</v>
      </c>
      <c r="AR29" t="s">
        <v>5</v>
      </c>
      <c r="AS29" t="s">
        <v>1571</v>
      </c>
      <c r="AT29" t="s">
        <v>1572</v>
      </c>
      <c r="AU29" t="s">
        <v>1573</v>
      </c>
      <c r="AV29" t="s">
        <v>1574</v>
      </c>
      <c r="AW29" t="s">
        <v>266</v>
      </c>
      <c r="AX29" t="s">
        <v>751</v>
      </c>
      <c r="AY29" t="s">
        <v>439</v>
      </c>
      <c r="AZ29" t="s">
        <v>277</v>
      </c>
      <c r="BA29" t="s">
        <v>146</v>
      </c>
      <c r="BB29" t="s">
        <v>281</v>
      </c>
      <c r="BC29" t="s">
        <v>752</v>
      </c>
      <c r="BD29" t="s">
        <v>440</v>
      </c>
      <c r="BE29" t="s">
        <v>278</v>
      </c>
      <c r="BF29" t="s">
        <v>282</v>
      </c>
      <c r="BG29" t="s">
        <v>283</v>
      </c>
      <c r="BH29" t="s">
        <v>1575</v>
      </c>
      <c r="BI29" t="s">
        <v>1576</v>
      </c>
      <c r="BJ29" t="s">
        <v>751</v>
      </c>
      <c r="BK29" t="s">
        <v>142</v>
      </c>
      <c r="BL29" t="s">
        <v>1577</v>
      </c>
      <c r="BM29" t="s">
        <v>752</v>
      </c>
      <c r="BN29">
        <v>2.11</v>
      </c>
      <c r="BO29">
        <v>4.46</v>
      </c>
      <c r="BP29">
        <v>7.95</v>
      </c>
      <c r="BQ29">
        <v>2.06</v>
      </c>
      <c r="BR29">
        <v>4.32</v>
      </c>
      <c r="BS29">
        <v>8.5299999999999994</v>
      </c>
      <c r="BT29" t="s">
        <v>595</v>
      </c>
      <c r="BU29" t="s">
        <v>513</v>
      </c>
      <c r="BV29">
        <v>17.36</v>
      </c>
      <c r="BW29">
        <v>18.5</v>
      </c>
      <c r="BX29">
        <v>12.68</v>
      </c>
      <c r="BY29">
        <v>-0.11</v>
      </c>
      <c r="BZ29">
        <v>9.99</v>
      </c>
      <c r="CA29">
        <v>13.54</v>
      </c>
      <c r="CB29">
        <v>1.08</v>
      </c>
      <c r="CC29">
        <v>-16.489999999999998</v>
      </c>
      <c r="CD29" t="s">
        <v>1578</v>
      </c>
      <c r="CE29" t="s">
        <v>875</v>
      </c>
      <c r="CF29" s="8">
        <v>-2.4321037697608433E-3</v>
      </c>
      <c r="CG29" s="9">
        <v>-0.88476897903014418</v>
      </c>
      <c r="CH29" s="8">
        <v>-0.39931344985961914</v>
      </c>
      <c r="CI29" s="8">
        <v>-0.2072606086730957</v>
      </c>
      <c r="CJ29" s="8">
        <v>8.4272570908069611E-2</v>
      </c>
      <c r="CK29" s="8">
        <v>-4.5136898756027222E-2</v>
      </c>
      <c r="CL29" s="8">
        <v>-7.9325549304485321E-2</v>
      </c>
      <c r="CM29" s="9">
        <v>4.1666720062494278E-2</v>
      </c>
      <c r="CN29" s="9">
        <v>-0.43307086825370789</v>
      </c>
      <c r="CO29" s="9">
        <v>-0.22085888683795929</v>
      </c>
      <c r="CP29" s="9">
        <v>1.330530047416687</v>
      </c>
      <c r="CQ29" s="9">
        <v>0.5522192120552063</v>
      </c>
      <c r="CR29">
        <v>8.2745172634271107</v>
      </c>
      <c r="CS29">
        <v>0.6396860436150783</v>
      </c>
      <c r="CT29">
        <v>1.1820330969267139</v>
      </c>
      <c r="CU29" s="8">
        <v>-0.12935278713703155</v>
      </c>
      <c r="CV29" s="9">
        <v>0.25409724488854407</v>
      </c>
      <c r="CW29">
        <v>0.06</v>
      </c>
      <c r="CX29" t="s">
        <v>1309</v>
      </c>
      <c r="CY29" t="s">
        <v>1579</v>
      </c>
      <c r="CZ29">
        <v>-0.12935278713703155</v>
      </c>
      <c r="DA29" t="s">
        <v>1309</v>
      </c>
      <c r="DB29" t="s">
        <v>1580</v>
      </c>
      <c r="DC29">
        <v>-0.12288514778017996</v>
      </c>
      <c r="DD29" t="s">
        <v>1309</v>
      </c>
      <c r="DE29" t="s">
        <v>1581</v>
      </c>
      <c r="DF29">
        <v>-0.11383045268058777</v>
      </c>
      <c r="DG29" t="s">
        <v>1309</v>
      </c>
      <c r="DH29" t="s">
        <v>1582</v>
      </c>
      <c r="DI29">
        <v>-0.10348222970962524</v>
      </c>
      <c r="DJ29" t="s">
        <v>1309</v>
      </c>
      <c r="DK29" t="s">
        <v>1583</v>
      </c>
      <c r="DL29">
        <v>-9.0546950995922082E-2</v>
      </c>
      <c r="DM29">
        <v>1275000000</v>
      </c>
      <c r="DN29">
        <v>-0.12935278713703155</v>
      </c>
      <c r="DO29">
        <v>-3596654999.9999962</v>
      </c>
      <c r="DP29">
        <v>-468940700</v>
      </c>
      <c r="DQ29">
        <v>3423</v>
      </c>
      <c r="DR29">
        <v>0.12692068336727069</v>
      </c>
      <c r="DS29">
        <v>-1.1388662239186882</v>
      </c>
      <c r="DT29" s="10">
        <v>-0.75666666666666671</v>
      </c>
      <c r="DU29">
        <v>-0.39000000000000007</v>
      </c>
      <c r="DV29">
        <v>-1.1466666666666667</v>
      </c>
      <c r="DW29">
        <v>-3.0055416666666668</v>
      </c>
      <c r="DX29">
        <v>0.37924930875576096</v>
      </c>
      <c r="DY29">
        <v>-3.0009933399193547</v>
      </c>
      <c r="DZ29">
        <v>1647</v>
      </c>
      <c r="EA29">
        <v>-3.0006731773269522</v>
      </c>
      <c r="EB29">
        <v>3</v>
      </c>
      <c r="EC29">
        <v>2.5427764141930712E-2</v>
      </c>
      <c r="ED29">
        <v>0.14185697182563647</v>
      </c>
      <c r="EE29" s="11">
        <v>-1.0746</v>
      </c>
      <c r="EF29">
        <v>-1.0637000000000001</v>
      </c>
      <c r="EG29">
        <v>20.179249308755761</v>
      </c>
      <c r="EH29" t="s">
        <v>490</v>
      </c>
      <c r="EI29">
        <v>0</v>
      </c>
      <c r="EJ29">
        <v>0</v>
      </c>
      <c r="EK29" s="13">
        <v>45470</v>
      </c>
      <c r="EL29" s="14">
        <v>0.54</v>
      </c>
      <c r="EM29" s="14">
        <v>-1.63</v>
      </c>
      <c r="EN29" s="14">
        <v>0.28000000000000003</v>
      </c>
      <c r="EO29" s="14">
        <v>1.65</v>
      </c>
      <c r="EP29" s="14">
        <v>-1.0900000000000001</v>
      </c>
    </row>
    <row r="30" spans="1:146" ht="96" x14ac:dyDescent="0.25">
      <c r="A30" s="6"/>
      <c r="B30" s="6"/>
      <c r="C30" s="6" t="str">
        <f>""&amp;CHAR(10)&amp;Basic_Fundamental_Information_Constructure(F30)&amp;CHAR(10)&amp;Basic_Fundamental_Information_Concatenate("")</f>
        <v xml:space="preserve">
市值163.09671亿, 利润-1.00亿; PE14.41; 平均PE18.22; 平均PEG1.09, PB2.21; ROIC19.2667%; ROE19.31%; 股利率3.0377%; 毛利80.08%; 净利44.9833%; 上一年度营收增-88.7%, 利润增-106.32%; 当季营收增659.2%, 利润增2038.45%; 过往5年营收增-16.69%, 利润增-6.68%
Income profile:
</v>
      </c>
      <c r="D30" t="s">
        <v>50</v>
      </c>
      <c r="E30" t="s">
        <v>16</v>
      </c>
      <c r="F30">
        <v>8.23</v>
      </c>
      <c r="G30">
        <v>3.13</v>
      </c>
      <c r="H30" t="s">
        <v>1584</v>
      </c>
      <c r="I30">
        <v>16309671000</v>
      </c>
      <c r="J30">
        <v>14.41</v>
      </c>
      <c r="K30">
        <v>2.21</v>
      </c>
      <c r="L30" t="s">
        <v>30</v>
      </c>
      <c r="M30" t="s">
        <v>139</v>
      </c>
      <c r="N30" t="s">
        <v>1585</v>
      </c>
      <c r="O30" t="s">
        <v>248</v>
      </c>
      <c r="P30">
        <v>-11.12</v>
      </c>
      <c r="Q30" t="s">
        <v>1586</v>
      </c>
      <c r="R30">
        <v>214676910</v>
      </c>
      <c r="S30" s="5">
        <v>-0.14280000000000001</v>
      </c>
      <c r="T30" t="s">
        <v>1587</v>
      </c>
      <c r="U30">
        <v>1981734100</v>
      </c>
      <c r="V30">
        <v>1981734100</v>
      </c>
      <c r="W30">
        <v>1.06</v>
      </c>
      <c r="X30">
        <v>0.08</v>
      </c>
      <c r="Y30">
        <v>36.299999999999997</v>
      </c>
      <c r="Z30" t="s">
        <v>904</v>
      </c>
      <c r="AA30" t="s">
        <v>606</v>
      </c>
      <c r="AB30" t="s">
        <v>213</v>
      </c>
      <c r="AC30" t="s">
        <v>1588</v>
      </c>
      <c r="AD30" t="s">
        <v>5</v>
      </c>
      <c r="AE30">
        <v>-746276</v>
      </c>
      <c r="AF30" t="s">
        <v>1589</v>
      </c>
      <c r="AG30" t="s">
        <v>1590</v>
      </c>
      <c r="AH30" t="s">
        <v>1591</v>
      </c>
      <c r="AI30" t="s">
        <v>1592</v>
      </c>
      <c r="AJ30" t="s">
        <v>1593</v>
      </c>
      <c r="AK30" t="s">
        <v>5</v>
      </c>
      <c r="AL30" t="s">
        <v>1594</v>
      </c>
      <c r="AM30" t="s">
        <v>5</v>
      </c>
      <c r="AN30" t="s">
        <v>216</v>
      </c>
      <c r="AO30" t="s">
        <v>894</v>
      </c>
      <c r="AP30" t="s">
        <v>5</v>
      </c>
      <c r="AQ30" t="s">
        <v>76</v>
      </c>
      <c r="AR30" t="s">
        <v>5</v>
      </c>
      <c r="AS30" t="s">
        <v>863</v>
      </c>
      <c r="AT30" t="s">
        <v>5</v>
      </c>
      <c r="AU30" t="s">
        <v>122</v>
      </c>
      <c r="AV30" t="s">
        <v>1595</v>
      </c>
      <c r="AW30" t="s">
        <v>1596</v>
      </c>
      <c r="AX30" t="s">
        <v>753</v>
      </c>
      <c r="AY30" t="s">
        <v>441</v>
      </c>
      <c r="AZ30" t="s">
        <v>284</v>
      </c>
      <c r="BA30" t="s">
        <v>148</v>
      </c>
      <c r="BB30" t="s">
        <v>285</v>
      </c>
      <c r="BC30" t="s">
        <v>754</v>
      </c>
      <c r="BD30" t="s">
        <v>442</v>
      </c>
      <c r="BE30" t="s">
        <v>169</v>
      </c>
      <c r="BF30" t="s">
        <v>149</v>
      </c>
      <c r="BG30" t="s">
        <v>286</v>
      </c>
      <c r="BH30" t="s">
        <v>1597</v>
      </c>
      <c r="BI30" t="s">
        <v>1598</v>
      </c>
      <c r="BJ30" t="s">
        <v>753</v>
      </c>
      <c r="BK30" t="s">
        <v>893</v>
      </c>
      <c r="BL30" t="s">
        <v>1599</v>
      </c>
      <c r="BM30" t="s">
        <v>754</v>
      </c>
      <c r="BN30">
        <v>11.13</v>
      </c>
      <c r="BO30">
        <v>24.58</v>
      </c>
      <c r="BP30">
        <v>22.09</v>
      </c>
      <c r="BQ30">
        <v>11.33</v>
      </c>
      <c r="BR30">
        <v>24.52</v>
      </c>
      <c r="BS30">
        <v>22.08</v>
      </c>
      <c r="BT30" t="s">
        <v>601</v>
      </c>
      <c r="BU30" t="s">
        <v>436</v>
      </c>
      <c r="BV30">
        <v>80.08</v>
      </c>
      <c r="BW30">
        <v>77.78</v>
      </c>
      <c r="BX30">
        <v>82.38</v>
      </c>
      <c r="BY30">
        <v>37.979999999999997</v>
      </c>
      <c r="BZ30">
        <v>56.93</v>
      </c>
      <c r="CA30">
        <v>40.04</v>
      </c>
      <c r="CB30">
        <v>-1.67</v>
      </c>
      <c r="CC30">
        <v>-14.09</v>
      </c>
      <c r="CD30" t="s">
        <v>1600</v>
      </c>
      <c r="CE30" t="s">
        <v>1601</v>
      </c>
      <c r="CF30" s="8">
        <v>6.5920097629905579</v>
      </c>
      <c r="CG30" s="9">
        <v>20.384505274482265</v>
      </c>
      <c r="CH30" s="8">
        <v>-0.88696908950805664</v>
      </c>
      <c r="CI30" s="8">
        <v>-0.14993883669376373</v>
      </c>
      <c r="CJ30" s="8">
        <v>0.1300138384103775</v>
      </c>
      <c r="CK30" s="8">
        <v>4.1411619633436203E-2</v>
      </c>
      <c r="CL30" s="8">
        <v>3.1191980466246605E-2</v>
      </c>
      <c r="CM30" s="9">
        <v>-1.0632110834121704</v>
      </c>
      <c r="CN30" s="9">
        <v>0.20948012173175812</v>
      </c>
      <c r="CO30" s="9">
        <v>0.40645161271095276</v>
      </c>
      <c r="CP30" s="9">
        <v>0.14673243463039398</v>
      </c>
      <c r="CQ30" s="9">
        <v>-3.3373061567544937E-2</v>
      </c>
      <c r="CR30">
        <v>18.223096089385475</v>
      </c>
      <c r="CS30">
        <v>1.0921313594143629</v>
      </c>
      <c r="CT30">
        <v>3.0376670716889427</v>
      </c>
      <c r="CU30" s="8">
        <v>-0.16685809753835201</v>
      </c>
      <c r="CV30" s="9">
        <v>-6.6783995181322095E-2</v>
      </c>
      <c r="CW30">
        <v>0.06</v>
      </c>
      <c r="CX30" t="e">
        <v>#VALUE!</v>
      </c>
      <c r="CY30" t="s">
        <v>492</v>
      </c>
      <c r="CZ30">
        <v>-0.16685809753835201</v>
      </c>
      <c r="DA30" t="e">
        <v>#VALUE!</v>
      </c>
      <c r="DB30" t="s">
        <v>492</v>
      </c>
      <c r="DC30">
        <v>-0.15851519266143441</v>
      </c>
      <c r="DD30" t="e">
        <v>#VALUE!</v>
      </c>
      <c r="DE30" t="s">
        <v>492</v>
      </c>
      <c r="DF30">
        <v>-0.14683512583374977</v>
      </c>
      <c r="DG30" t="e">
        <v>#VALUE!</v>
      </c>
      <c r="DH30" t="s">
        <v>492</v>
      </c>
      <c r="DI30">
        <v>-0.13348647803068162</v>
      </c>
      <c r="DJ30" t="e">
        <v>#VALUE!</v>
      </c>
      <c r="DK30" t="s">
        <v>492</v>
      </c>
      <c r="DL30">
        <v>-0.1168006682768464</v>
      </c>
      <c r="DM30">
        <v>-100000000</v>
      </c>
      <c r="DN30">
        <v>-0.16685809753835201</v>
      </c>
      <c r="DO30">
        <v>9433671000</v>
      </c>
      <c r="DP30">
        <v>2446291600</v>
      </c>
      <c r="DQ30">
        <v>3532</v>
      </c>
      <c r="DR30">
        <v>6.7588678605289099</v>
      </c>
      <c r="DS30">
        <v>20.451289269663587</v>
      </c>
      <c r="DT30" s="10">
        <v>-0.77333333333333332</v>
      </c>
      <c r="DU30">
        <v>-0.46666666666666662</v>
      </c>
      <c r="DV30">
        <v>-1.24</v>
      </c>
      <c r="DW30">
        <v>-2.1408999999999998</v>
      </c>
      <c r="DX30">
        <v>0.44895283412322273</v>
      </c>
      <c r="DY30">
        <v>-2.025214454327962</v>
      </c>
      <c r="DZ30">
        <v>29</v>
      </c>
      <c r="EA30">
        <v>-2.0250713585988991</v>
      </c>
      <c r="EB30">
        <v>2</v>
      </c>
      <c r="EC30">
        <v>3.8107080056804798E-2</v>
      </c>
      <c r="ED30">
        <v>0.2129448143421461</v>
      </c>
      <c r="EE30" s="11">
        <v>-1.1228100000000001</v>
      </c>
      <c r="EF30">
        <v>-1.14581</v>
      </c>
      <c r="EG30">
        <v>27.178952834123223</v>
      </c>
      <c r="EH30" t="s">
        <v>592</v>
      </c>
      <c r="EI30">
        <v>0</v>
      </c>
      <c r="EJ30">
        <v>1</v>
      </c>
      <c r="EK30" s="13">
        <v>45470</v>
      </c>
      <c r="EL30" s="14">
        <v>1.24</v>
      </c>
      <c r="EM30" s="14">
        <v>-2.81</v>
      </c>
      <c r="EN30" s="14">
        <v>0.36</v>
      </c>
      <c r="EO30" s="14">
        <v>1.44</v>
      </c>
      <c r="EP30" s="14">
        <v>-2.2999999999999998</v>
      </c>
    </row>
    <row r="31" spans="1:146" ht="132" x14ac:dyDescent="0.25">
      <c r="A31" s="6"/>
      <c r="B31" s="6" t="s">
        <v>379</v>
      </c>
      <c r="C31" s="6" t="str">
        <f>"公司为唯一掌握产业化生产重组胰岛素类似物技术的中国企业"&amp;CHAR(10)&amp;Basic_Fundamental_Information_Constructure(F31)&amp;CHAR(10)&amp;Basic_Fundamental_Information_Concatenate("生物制品(原料药及制剂产品) 32.97亿 98.07%（毛利91.60%）
医疗器械及其他 3732.72万 1.11%（毛利20.50%）
特许经营权前期服务 2754.02万 0.82%")</f>
        <v>公司为唯一掌握产业化生产重组胰岛素类似物技术的中国企业
市值263.74721亿, 利润1.59亿; PE68.18; 平均PE35.14; 平均PEG2.65, PB2.4; ROIC7.845%; ROE4.5067%; 股利率.4559%; 毛利79.53%; 净利9.2%; 上一年度营收增-58.59%, 利润增136.14%; 当季营收增258.97%, 利润增153.81%; 过往5年营收增-13.27%, 利润增10.86%
Income profile:
生物制品(原料药及制剂产品) 32.97亿 98.07%（毛利91.60%）
医疗器械及其他 3732.72万 1.11%（毛利20.50%）
特许经营权前期服务 2754.02万 0.82%</v>
      </c>
      <c r="D31" t="s">
        <v>151</v>
      </c>
      <c r="E31" t="s">
        <v>152</v>
      </c>
      <c r="F31">
        <v>43.87</v>
      </c>
      <c r="G31">
        <v>3.96</v>
      </c>
      <c r="H31" t="s">
        <v>1602</v>
      </c>
      <c r="I31">
        <v>26374721000</v>
      </c>
      <c r="J31">
        <v>68.180000000000007</v>
      </c>
      <c r="K31">
        <v>2.4</v>
      </c>
      <c r="L31" t="s">
        <v>30</v>
      </c>
      <c r="M31" t="s">
        <v>1603</v>
      </c>
      <c r="N31" t="s">
        <v>1604</v>
      </c>
      <c r="O31" t="s">
        <v>911</v>
      </c>
      <c r="P31">
        <v>0.42</v>
      </c>
      <c r="Q31" t="s">
        <v>827</v>
      </c>
      <c r="R31">
        <v>96004278</v>
      </c>
      <c r="S31" s="5">
        <v>0.95040000000000002</v>
      </c>
      <c r="T31" t="s">
        <v>821</v>
      </c>
      <c r="U31">
        <v>532264100</v>
      </c>
      <c r="V31">
        <v>601201750</v>
      </c>
      <c r="W31">
        <v>1.08</v>
      </c>
      <c r="X31">
        <v>0.05</v>
      </c>
      <c r="Y31">
        <v>17.13</v>
      </c>
      <c r="Z31" t="s">
        <v>887</v>
      </c>
      <c r="AA31" t="s">
        <v>833</v>
      </c>
      <c r="AB31" t="s">
        <v>902</v>
      </c>
      <c r="AC31" t="s">
        <v>1605</v>
      </c>
      <c r="AD31" t="s">
        <v>5</v>
      </c>
      <c r="AE31">
        <v>-20065447</v>
      </c>
      <c r="AF31" t="s">
        <v>1606</v>
      </c>
      <c r="AG31" t="s">
        <v>1607</v>
      </c>
      <c r="AH31" t="s">
        <v>1608</v>
      </c>
      <c r="AI31" t="s">
        <v>1609</v>
      </c>
      <c r="AJ31" t="s">
        <v>1610</v>
      </c>
      <c r="AK31" t="s">
        <v>5</v>
      </c>
      <c r="AL31" t="s">
        <v>1611</v>
      </c>
      <c r="AM31" t="s">
        <v>5</v>
      </c>
      <c r="AN31" t="s">
        <v>1612</v>
      </c>
      <c r="AO31" t="s">
        <v>5</v>
      </c>
      <c r="AP31" t="s">
        <v>5</v>
      </c>
      <c r="AQ31" t="s">
        <v>115</v>
      </c>
      <c r="AR31" t="s">
        <v>5</v>
      </c>
      <c r="AS31" t="s">
        <v>1613</v>
      </c>
      <c r="AT31" t="s">
        <v>5</v>
      </c>
      <c r="AU31" t="s">
        <v>1614</v>
      </c>
      <c r="AV31" t="s">
        <v>1615</v>
      </c>
      <c r="AW31" t="s">
        <v>1616</v>
      </c>
      <c r="AX31" t="s">
        <v>756</v>
      </c>
      <c r="AY31" t="s">
        <v>443</v>
      </c>
      <c r="AZ31" t="s">
        <v>288</v>
      </c>
      <c r="BA31" t="s">
        <v>153</v>
      </c>
      <c r="BB31" t="s">
        <v>163</v>
      </c>
      <c r="BC31" t="s">
        <v>757</v>
      </c>
      <c r="BD31" t="s">
        <v>444</v>
      </c>
      <c r="BE31" t="s">
        <v>289</v>
      </c>
      <c r="BF31" t="s">
        <v>154</v>
      </c>
      <c r="BG31" t="s">
        <v>291</v>
      </c>
      <c r="BH31" t="s">
        <v>1617</v>
      </c>
      <c r="BI31" t="s">
        <v>719</v>
      </c>
      <c r="BJ31" t="s">
        <v>756</v>
      </c>
      <c r="BK31" t="s">
        <v>899</v>
      </c>
      <c r="BL31" t="s">
        <v>1618</v>
      </c>
      <c r="BM31" t="s">
        <v>757</v>
      </c>
      <c r="BN31">
        <v>2.13</v>
      </c>
      <c r="BO31" t="s">
        <v>5</v>
      </c>
      <c r="BP31">
        <v>13.56</v>
      </c>
      <c r="BQ31">
        <v>2.73</v>
      </c>
      <c r="BR31">
        <v>-4.45</v>
      </c>
      <c r="BS31">
        <v>15.24</v>
      </c>
      <c r="BT31" t="s">
        <v>594</v>
      </c>
      <c r="BU31" t="s">
        <v>436</v>
      </c>
      <c r="BV31">
        <v>73.260000000000005</v>
      </c>
      <c r="BW31">
        <v>76.3</v>
      </c>
      <c r="BX31">
        <v>89.03</v>
      </c>
      <c r="BY31">
        <v>13.05</v>
      </c>
      <c r="BZ31">
        <v>-25.67</v>
      </c>
      <c r="CA31">
        <v>40.22</v>
      </c>
      <c r="CB31">
        <v>-5.29</v>
      </c>
      <c r="CC31">
        <v>-6.6</v>
      </c>
      <c r="CD31" t="s">
        <v>1619</v>
      </c>
      <c r="CE31" t="s">
        <v>263</v>
      </c>
      <c r="CF31" s="8">
        <v>2.5897435897435899</v>
      </c>
      <c r="CG31" s="9">
        <v>1.5381371960650052</v>
      </c>
      <c r="CH31" s="8">
        <v>-0.58586448431015015</v>
      </c>
      <c r="CI31" s="8">
        <v>-0.52602434158325195</v>
      </c>
      <c r="CJ31" s="8">
        <v>7.4360541999340057E-2</v>
      </c>
      <c r="CK31" s="8">
        <v>0.161312535405159</v>
      </c>
      <c r="CL31" s="8">
        <v>0.2128194272518158</v>
      </c>
      <c r="CM31" s="9">
        <v>1.3613636493682861</v>
      </c>
      <c r="CN31" s="9">
        <v>-1.3028217554092407</v>
      </c>
      <c r="CO31" s="9">
        <v>0.18034107983112335</v>
      </c>
      <c r="CP31" s="9">
        <v>5.4841469973325729E-2</v>
      </c>
      <c r="CQ31" s="9">
        <v>0.2494647353887558</v>
      </c>
      <c r="CR31">
        <v>35.135063499111901</v>
      </c>
      <c r="CS31">
        <v>2.6481201639461003</v>
      </c>
      <c r="CT31">
        <v>0.45589240939138365</v>
      </c>
      <c r="CU31" s="8">
        <v>-0.13267926424741744</v>
      </c>
      <c r="CV31" s="9">
        <v>0.10863783583045006</v>
      </c>
      <c r="CW31">
        <v>0.06</v>
      </c>
      <c r="CX31">
        <v>103.80327672955976</v>
      </c>
      <c r="CY31" t="s">
        <v>1620</v>
      </c>
      <c r="CZ31">
        <v>-0.13267926424741744</v>
      </c>
      <c r="DA31">
        <v>34.601092243186585</v>
      </c>
      <c r="DB31" t="s">
        <v>1621</v>
      </c>
      <c r="DC31">
        <v>-0.12604530103504655</v>
      </c>
      <c r="DD31">
        <v>17.300546121593293</v>
      </c>
      <c r="DE31" t="s">
        <v>1622</v>
      </c>
      <c r="DF31">
        <v>-0.11675775253772734</v>
      </c>
      <c r="DG31">
        <v>10.380327672955975</v>
      </c>
      <c r="DH31" t="s">
        <v>1623</v>
      </c>
      <c r="DI31">
        <v>-0.10614341139793396</v>
      </c>
      <c r="DJ31">
        <v>5.1901638364779874</v>
      </c>
      <c r="DK31" t="s">
        <v>1624</v>
      </c>
      <c r="DL31">
        <v>-9.2875484973192202E-2</v>
      </c>
      <c r="DM31">
        <v>159000000</v>
      </c>
      <c r="DN31">
        <v>-0.13267926424741744</v>
      </c>
      <c r="DO31">
        <v>16504721000</v>
      </c>
      <c r="DP31">
        <v>5533027700</v>
      </c>
      <c r="DQ31">
        <v>3919</v>
      </c>
      <c r="DR31">
        <v>2.7224228539910071</v>
      </c>
      <c r="DS31">
        <v>1.4294993602345551</v>
      </c>
      <c r="DT31" s="10">
        <v>-0.54</v>
      </c>
      <c r="DU31">
        <v>0.28999999999999998</v>
      </c>
      <c r="DV31">
        <v>-0.25000000000000006</v>
      </c>
      <c r="DW31">
        <v>-8.8015151515151508</v>
      </c>
      <c r="DX31">
        <v>0.41470954063604082</v>
      </c>
      <c r="DY31">
        <v>-8.1400323439340401</v>
      </c>
      <c r="DZ31">
        <v>4140</v>
      </c>
      <c r="EA31">
        <v>-8.0265814821166384</v>
      </c>
      <c r="EB31">
        <v>8</v>
      </c>
      <c r="EC31">
        <v>8.2239946906342176E-2</v>
      </c>
      <c r="ED31">
        <v>0.47072384603005563</v>
      </c>
      <c r="EE31" s="11">
        <v>-2.0636999999999999</v>
      </c>
      <c r="EF31">
        <v>-2.0430999999999999</v>
      </c>
      <c r="EG31">
        <v>24.174709540636041</v>
      </c>
      <c r="EH31" t="s">
        <v>495</v>
      </c>
      <c r="EI31">
        <v>0</v>
      </c>
      <c r="EJ31">
        <v>0</v>
      </c>
      <c r="EK31" s="13">
        <v>45470</v>
      </c>
      <c r="EL31" s="14">
        <v>-0.51</v>
      </c>
      <c r="EM31" s="14">
        <v>-4.58</v>
      </c>
      <c r="EN31" s="14">
        <v>1.6</v>
      </c>
      <c r="EO31" s="14">
        <v>2.1</v>
      </c>
      <c r="EP31" s="14">
        <v>-2.06</v>
      </c>
    </row>
    <row r="32" spans="1:146" ht="180" x14ac:dyDescent="0.25">
      <c r="A32" s="16" t="s">
        <v>566</v>
      </c>
      <c r="B32" s="16" t="s">
        <v>567</v>
      </c>
      <c r="C32" s="16" t="str">
        <f>"公司是从事体外诊断试剂、自动化检测设备（IVD)、疫苗研发生产及销售的高新技术企业,其主要产品有疫苗、免疫诊断试剂、生化试剂、质控品、活性原料。"&amp;CHAR(10)&amp;Basic_Fundamental_Information_Constructure(F32)&amp;CHAR(10)&amp;Basic_Fundamental_Information_Concatenate("疫苗 32.78亿 57.00% 61.65% 92.78%
试剂 17.05亿 29.65% 26.90% 77.81%
活性原料 3.77亿 6.56% 7.42% 97.14%
代理产品 1.48亿 2.57% 1.66% 55.55%
技术服务收入 1.05亿 1.82% 1.84% 86.79%
仪器 9005.72万 1.57% -0.26% -14.27%")</f>
        <v>公司是从事体外诊断试剂、自动化检测设备（IVD)、疫苗研发生产及销售的高新技术企业,其主要产品有疫苗、免疫诊断试剂、生化试剂、质控品、活性原料。
市值836.38252亿, 利润10.48亿; PE651; 平均PE55.86; 平均PEG.96, PB6.53; ROIC41.1767%; ROE41.68%; 股利率.4852%; 毛利86.9833%; 净利34.0867%; 上一年度营收增-68.56%, 利润增-77.87%; 当季营收增-26.03%, 利润增-13.9%; 过往5年营收增57.9%, 利润增90.05%
Income profile:
疫苗 32.78亿 57.00% 61.65% 92.78%
试剂 17.05亿 29.65% 26.90% 77.81%
活性原料 3.77亿 6.56% 7.42% 97.14%
代理产品 1.48亿 2.57% 1.66% 55.55%
技术服务收入 1.05亿 1.82% 1.84% 86.79%
仪器 9005.72万 1.57% -0.26% -14.27%</v>
      </c>
      <c r="D32" t="s">
        <v>546</v>
      </c>
      <c r="E32" t="s">
        <v>547</v>
      </c>
      <c r="F32">
        <v>65.95</v>
      </c>
      <c r="G32">
        <v>1.31</v>
      </c>
      <c r="H32" t="s">
        <v>1625</v>
      </c>
      <c r="I32">
        <v>83638252000</v>
      </c>
      <c r="J32">
        <v>651</v>
      </c>
      <c r="K32">
        <v>6.53</v>
      </c>
      <c r="L32" t="s">
        <v>30</v>
      </c>
      <c r="M32" t="s">
        <v>1626</v>
      </c>
      <c r="N32" t="s">
        <v>1627</v>
      </c>
      <c r="O32" t="s">
        <v>1628</v>
      </c>
      <c r="P32">
        <v>-73.930000000000007</v>
      </c>
      <c r="Q32" t="s">
        <v>1629</v>
      </c>
      <c r="R32">
        <v>125708151</v>
      </c>
      <c r="S32" s="5">
        <v>-0.89900000000000002</v>
      </c>
      <c r="T32" t="s">
        <v>1630</v>
      </c>
      <c r="U32">
        <v>1268207000</v>
      </c>
      <c r="V32">
        <v>1268207000</v>
      </c>
      <c r="W32">
        <v>1.2</v>
      </c>
      <c r="X32">
        <v>0.05</v>
      </c>
      <c r="Y32">
        <v>17.25</v>
      </c>
      <c r="Z32" t="s">
        <v>1631</v>
      </c>
      <c r="AA32" t="s">
        <v>1114</v>
      </c>
      <c r="AB32" t="s">
        <v>511</v>
      </c>
      <c r="AC32" t="s">
        <v>1632</v>
      </c>
      <c r="AD32" t="s">
        <v>5</v>
      </c>
      <c r="AE32">
        <v>-18781053</v>
      </c>
      <c r="AF32" t="s">
        <v>1633</v>
      </c>
      <c r="AG32" t="s">
        <v>1634</v>
      </c>
      <c r="AH32" t="s">
        <v>1635</v>
      </c>
      <c r="AI32" t="s">
        <v>1636</v>
      </c>
      <c r="AJ32" t="s">
        <v>1637</v>
      </c>
      <c r="AK32" t="s">
        <v>1638</v>
      </c>
      <c r="AL32" t="s">
        <v>1639</v>
      </c>
      <c r="AM32" t="s">
        <v>5</v>
      </c>
      <c r="AN32" t="s">
        <v>553</v>
      </c>
      <c r="AO32" t="s">
        <v>1640</v>
      </c>
      <c r="AP32" t="s">
        <v>1641</v>
      </c>
      <c r="AQ32" t="s">
        <v>586</v>
      </c>
      <c r="AR32" t="s">
        <v>5</v>
      </c>
      <c r="AS32" t="s">
        <v>1642</v>
      </c>
      <c r="AT32" t="s">
        <v>258</v>
      </c>
      <c r="AU32" t="s">
        <v>1643</v>
      </c>
      <c r="AV32" t="s">
        <v>1644</v>
      </c>
      <c r="AW32" t="s">
        <v>1645</v>
      </c>
      <c r="AX32" t="s">
        <v>758</v>
      </c>
      <c r="AY32" t="s">
        <v>548</v>
      </c>
      <c r="AZ32" t="s">
        <v>550</v>
      </c>
      <c r="BA32" t="s">
        <v>551</v>
      </c>
      <c r="BB32" t="s">
        <v>552</v>
      </c>
      <c r="BC32" t="s">
        <v>759</v>
      </c>
      <c r="BD32" t="s">
        <v>549</v>
      </c>
      <c r="BE32" t="s">
        <v>554</v>
      </c>
      <c r="BF32" t="s">
        <v>136</v>
      </c>
      <c r="BG32" t="s">
        <v>518</v>
      </c>
      <c r="BH32" t="s">
        <v>1646</v>
      </c>
      <c r="BI32" t="s">
        <v>1073</v>
      </c>
      <c r="BJ32" t="s">
        <v>758</v>
      </c>
      <c r="BK32" t="s">
        <v>885</v>
      </c>
      <c r="BL32" t="s">
        <v>604</v>
      </c>
      <c r="BM32" t="s">
        <v>759</v>
      </c>
      <c r="BN32">
        <v>13.21</v>
      </c>
      <c r="BO32">
        <v>54.79</v>
      </c>
      <c r="BP32">
        <v>55.53</v>
      </c>
      <c r="BQ32">
        <v>13.7</v>
      </c>
      <c r="BR32">
        <v>56.19</v>
      </c>
      <c r="BS32">
        <v>55.15</v>
      </c>
      <c r="BT32" t="s">
        <v>1647</v>
      </c>
      <c r="BU32" t="s">
        <v>513</v>
      </c>
      <c r="BV32">
        <v>85.63</v>
      </c>
      <c r="BW32">
        <v>89.54</v>
      </c>
      <c r="BX32">
        <v>85.78</v>
      </c>
      <c r="BY32">
        <v>22.62</v>
      </c>
      <c r="BZ32">
        <v>43.48</v>
      </c>
      <c r="CA32">
        <v>36.159999999999997</v>
      </c>
      <c r="CB32">
        <v>0.11</v>
      </c>
      <c r="CC32">
        <v>1.46</v>
      </c>
      <c r="CD32" t="s">
        <v>1648</v>
      </c>
      <c r="CE32" t="s">
        <v>1649</v>
      </c>
      <c r="CF32" s="8">
        <v>-0.26031434184675833</v>
      </c>
      <c r="CG32" s="9">
        <v>-0.13898526712328768</v>
      </c>
      <c r="CH32" s="8">
        <v>-0.68556106090545654</v>
      </c>
      <c r="CI32" s="8">
        <v>0.94521743059158325</v>
      </c>
      <c r="CJ32" s="8">
        <v>1.4426510334014893</v>
      </c>
      <c r="CK32" s="8">
        <v>0.98817557096481323</v>
      </c>
      <c r="CL32" s="8">
        <v>0.20447608828544617</v>
      </c>
      <c r="CM32" s="9">
        <v>-0.77871620655059814</v>
      </c>
      <c r="CN32" s="9">
        <v>1.34339439868927</v>
      </c>
      <c r="CO32" s="9">
        <v>1.9852288961410522</v>
      </c>
      <c r="CP32" s="9">
        <v>2.239234447479248</v>
      </c>
      <c r="CQ32" s="9">
        <v>-0.28668943047523499</v>
      </c>
      <c r="CR32">
        <v>55.858138023152272</v>
      </c>
      <c r="CS32">
        <v>0.96474832321191883</v>
      </c>
      <c r="CT32">
        <v>0.48521607278241091</v>
      </c>
      <c r="CU32" s="8">
        <v>0.57899181246757503</v>
      </c>
      <c r="CV32" s="9">
        <v>0.90049042105674748</v>
      </c>
      <c r="CW32">
        <v>0.06</v>
      </c>
      <c r="CX32">
        <v>47.06007215441474</v>
      </c>
      <c r="CY32">
        <v>1561116433.4585083</v>
      </c>
      <c r="CZ32">
        <v>0.57899181246757503</v>
      </c>
      <c r="DA32">
        <v>10.420078199396201</v>
      </c>
      <c r="DB32">
        <v>7050451118.9039879</v>
      </c>
      <c r="DC32">
        <v>0.55004222184419627</v>
      </c>
      <c r="DD32">
        <v>2.8438952031774685</v>
      </c>
      <c r="DE32">
        <v>25832967374.436497</v>
      </c>
      <c r="DF32">
        <v>0.50951279497146607</v>
      </c>
      <c r="DG32">
        <v>0.80098492654635489</v>
      </c>
      <c r="DH32">
        <v>91719893302.821518</v>
      </c>
      <c r="DI32">
        <v>0.46319344997406003</v>
      </c>
      <c r="DJ32">
        <v>6.1442223853421588E-2</v>
      </c>
      <c r="DK32">
        <v>1195696499776.1685</v>
      </c>
      <c r="DL32">
        <v>0.40529426872730251</v>
      </c>
      <c r="DM32">
        <v>1048000000</v>
      </c>
      <c r="DN32">
        <v>0.57899181246757503</v>
      </c>
      <c r="DO32">
        <v>73466252000</v>
      </c>
      <c r="DP32">
        <v>7605203100</v>
      </c>
      <c r="DQ32">
        <v>4138</v>
      </c>
      <c r="DR32">
        <v>-0.83930615431433342</v>
      </c>
      <c r="DS32">
        <v>-1.0394756881800351</v>
      </c>
      <c r="DT32" s="10">
        <v>0.12666666666666671</v>
      </c>
      <c r="DU32">
        <v>0.70966666666666678</v>
      </c>
      <c r="DV32">
        <v>0.83633333333333348</v>
      </c>
      <c r="DW32">
        <v>1.46E-2</v>
      </c>
      <c r="DX32">
        <v>0.44737897440397345</v>
      </c>
      <c r="DY32">
        <v>1.4217330262980029E-3</v>
      </c>
      <c r="DZ32">
        <v>497</v>
      </c>
      <c r="EA32">
        <v>1.2834548826443615E-3</v>
      </c>
      <c r="EB32">
        <v>0</v>
      </c>
      <c r="EC32">
        <v>6.4755201635064309E-3</v>
      </c>
      <c r="ED32">
        <v>6.6498134768220016E-2</v>
      </c>
      <c r="EE32" s="11">
        <v>-2.0009000000000001</v>
      </c>
      <c r="EF32">
        <v>-2.0263100000000001</v>
      </c>
      <c r="EG32">
        <v>35.097378974403973</v>
      </c>
      <c r="EH32" t="s">
        <v>731</v>
      </c>
      <c r="EI32">
        <v>0</v>
      </c>
      <c r="EJ32">
        <v>1</v>
      </c>
      <c r="EK32" s="13">
        <v>45470</v>
      </c>
      <c r="EL32" s="14">
        <v>-0.9</v>
      </c>
      <c r="EM32" s="14">
        <v>3.58</v>
      </c>
      <c r="EN32" s="14">
        <v>1.55</v>
      </c>
      <c r="EO32" s="14">
        <v>1.58</v>
      </c>
      <c r="EP32" s="14">
        <v>-2.72</v>
      </c>
    </row>
    <row r="33" spans="1:146" ht="96" x14ac:dyDescent="0.25">
      <c r="A33" s="6"/>
      <c r="B33" s="6"/>
      <c r="C33" s="6" t="str">
        <f>""&amp;CHAR(10)&amp;Basic_Fundamental_Information_Constructure(F33)&amp;CHAR(10)&amp;Basic_Fundamental_Information_Concatenate("")</f>
        <v xml:space="preserve">
市值39.872亿, 利润-6.07亿; PE23.96; 平均PE67.39; 平均PEG3.4, PB1.27; ROIC4.2167%; ROE4.4833%; 股利率1.2039%; 毛利87.1333%; 净利18.4533%; 上一年度营收增111.76%, 利润增-700.99%; 当季营收增-40.6%, 利润增205.05%; 过往5年营收增19.82%, 利润增-156.46%
Income profile:
</v>
      </c>
      <c r="D33" t="s">
        <v>54</v>
      </c>
      <c r="E33" t="s">
        <v>20</v>
      </c>
      <c r="F33">
        <v>24.92</v>
      </c>
      <c r="G33">
        <v>2.68</v>
      </c>
      <c r="H33" t="s">
        <v>1650</v>
      </c>
      <c r="I33">
        <v>3987200000</v>
      </c>
      <c r="J33">
        <v>23.96</v>
      </c>
      <c r="K33">
        <v>1.27</v>
      </c>
      <c r="L33" t="s">
        <v>30</v>
      </c>
      <c r="M33" t="s">
        <v>79</v>
      </c>
      <c r="N33" t="s">
        <v>1651</v>
      </c>
      <c r="O33" t="s">
        <v>1652</v>
      </c>
      <c r="P33">
        <v>20.67</v>
      </c>
      <c r="Q33" t="s">
        <v>1653</v>
      </c>
      <c r="R33">
        <v>41654332</v>
      </c>
      <c r="S33" s="5">
        <v>0.62280000000000002</v>
      </c>
      <c r="T33" t="s">
        <v>1654</v>
      </c>
      <c r="U33">
        <v>157510000</v>
      </c>
      <c r="V33">
        <v>160000000</v>
      </c>
      <c r="W33">
        <v>1.1299999999999999</v>
      </c>
      <c r="X33">
        <v>0.05</v>
      </c>
      <c r="Y33">
        <v>23.51</v>
      </c>
      <c r="Z33" t="s">
        <v>521</v>
      </c>
      <c r="AA33" t="s">
        <v>1655</v>
      </c>
      <c r="AB33" t="s">
        <v>1656</v>
      </c>
      <c r="AC33" t="s">
        <v>1657</v>
      </c>
      <c r="AD33" t="s">
        <v>5</v>
      </c>
      <c r="AE33">
        <v>-1051852</v>
      </c>
      <c r="AF33" t="s">
        <v>1658</v>
      </c>
      <c r="AG33">
        <v>444.93</v>
      </c>
      <c r="AH33" t="s">
        <v>1659</v>
      </c>
      <c r="AI33" t="s">
        <v>1586</v>
      </c>
      <c r="AJ33" t="s">
        <v>1660</v>
      </c>
      <c r="AK33" t="s">
        <v>5</v>
      </c>
      <c r="AL33" t="s">
        <v>1661</v>
      </c>
      <c r="AM33" t="s">
        <v>5</v>
      </c>
      <c r="AN33" t="s">
        <v>582</v>
      </c>
      <c r="AO33" t="s">
        <v>852</v>
      </c>
      <c r="AP33" t="s">
        <v>5</v>
      </c>
      <c r="AQ33" t="s">
        <v>1662</v>
      </c>
      <c r="AR33" t="s">
        <v>5</v>
      </c>
      <c r="AS33" t="s">
        <v>417</v>
      </c>
      <c r="AT33" t="s">
        <v>1663</v>
      </c>
      <c r="AU33" t="s">
        <v>1664</v>
      </c>
      <c r="AV33" t="s">
        <v>1665</v>
      </c>
      <c r="AW33" t="s">
        <v>1666</v>
      </c>
      <c r="AX33" t="s">
        <v>760</v>
      </c>
      <c r="AY33" t="s">
        <v>438</v>
      </c>
      <c r="AZ33" t="s">
        <v>292</v>
      </c>
      <c r="BA33" t="s">
        <v>156</v>
      </c>
      <c r="BB33" t="s">
        <v>293</v>
      </c>
      <c r="BC33" t="s">
        <v>365</v>
      </c>
      <c r="BD33" t="s">
        <v>359</v>
      </c>
      <c r="BE33" t="s">
        <v>213</v>
      </c>
      <c r="BF33" t="s">
        <v>114</v>
      </c>
      <c r="BG33" t="s">
        <v>294</v>
      </c>
      <c r="BH33" t="s">
        <v>1667</v>
      </c>
      <c r="BI33" t="s">
        <v>1668</v>
      </c>
      <c r="BJ33" t="s">
        <v>760</v>
      </c>
      <c r="BK33" t="s">
        <v>499</v>
      </c>
      <c r="BL33" t="s">
        <v>1669</v>
      </c>
      <c r="BM33" t="s">
        <v>365</v>
      </c>
      <c r="BN33">
        <v>4.54</v>
      </c>
      <c r="BO33">
        <v>3.42</v>
      </c>
      <c r="BP33">
        <v>4.6900000000000004</v>
      </c>
      <c r="BQ33">
        <v>4.9400000000000004</v>
      </c>
      <c r="BR33">
        <v>3.49</v>
      </c>
      <c r="BS33">
        <v>5.0199999999999996</v>
      </c>
      <c r="BT33" t="s">
        <v>599</v>
      </c>
      <c r="BU33" t="s">
        <v>436</v>
      </c>
      <c r="BV33">
        <v>89.02</v>
      </c>
      <c r="BW33">
        <v>85.44</v>
      </c>
      <c r="BX33">
        <v>86.94</v>
      </c>
      <c r="BY33">
        <v>20.39</v>
      </c>
      <c r="BZ33">
        <v>14.29</v>
      </c>
      <c r="CA33">
        <v>20.68</v>
      </c>
      <c r="CB33">
        <v>-1.27</v>
      </c>
      <c r="CC33">
        <v>-11.79</v>
      </c>
      <c r="CD33" t="s">
        <v>1670</v>
      </c>
      <c r="CE33" t="s">
        <v>1671</v>
      </c>
      <c r="CF33" s="8">
        <v>-0.40597014925373132</v>
      </c>
      <c r="CG33" s="9">
        <v>2.0505479683531695</v>
      </c>
      <c r="CH33" s="8">
        <v>1.1176470518112183</v>
      </c>
      <c r="CI33" s="8">
        <v>7.0370368659496307E-2</v>
      </c>
      <c r="CJ33" s="8">
        <v>1.2360939290374517E-3</v>
      </c>
      <c r="CK33" s="8">
        <v>-0.24108818173408508</v>
      </c>
      <c r="CL33" s="8">
        <v>4.3052837252616882E-2</v>
      </c>
      <c r="CM33" s="9">
        <v>-7.0099010467529297</v>
      </c>
      <c r="CN33" s="9">
        <v>-0.31756755709648132</v>
      </c>
      <c r="CO33" s="9">
        <v>-0.19125683605670929</v>
      </c>
      <c r="CP33" s="9">
        <v>-0.31203007698059082</v>
      </c>
      <c r="CQ33" s="9">
        <v>7.5757578015327454E-3</v>
      </c>
      <c r="CR33">
        <v>67.389295774647891</v>
      </c>
      <c r="CS33">
        <v>3.3993170131356387</v>
      </c>
      <c r="CT33">
        <v>1.203852327447833</v>
      </c>
      <c r="CU33" s="8">
        <v>0.19824363398365677</v>
      </c>
      <c r="CV33" s="9">
        <v>-1.5646359518170356</v>
      </c>
      <c r="CW33">
        <v>0.06</v>
      </c>
      <c r="CX33" t="e">
        <v>#VALUE!</v>
      </c>
      <c r="CY33" t="s">
        <v>492</v>
      </c>
      <c r="CZ33">
        <v>0.19824363398365677</v>
      </c>
      <c r="DA33" t="e">
        <v>#VALUE!</v>
      </c>
      <c r="DB33" t="s">
        <v>492</v>
      </c>
      <c r="DC33">
        <v>0.18833145228447393</v>
      </c>
      <c r="DD33" t="e">
        <v>#VALUE!</v>
      </c>
      <c r="DE33" t="s">
        <v>492</v>
      </c>
      <c r="DF33">
        <v>0.17445439790561795</v>
      </c>
      <c r="DG33" t="e">
        <v>#VALUE!</v>
      </c>
      <c r="DH33" t="s">
        <v>492</v>
      </c>
      <c r="DI33">
        <v>0.15859490718692543</v>
      </c>
      <c r="DJ33" t="e">
        <v>#VALUE!</v>
      </c>
      <c r="DK33" t="s">
        <v>492</v>
      </c>
      <c r="DL33">
        <v>0.13877054378855974</v>
      </c>
      <c r="DM33">
        <v>-607000000</v>
      </c>
      <c r="DN33">
        <v>0.19824363398365677</v>
      </c>
      <c r="DO33">
        <v>952200000</v>
      </c>
      <c r="DP33">
        <v>751827670</v>
      </c>
      <c r="DQ33">
        <v>4199</v>
      </c>
      <c r="DR33">
        <v>-0.60421378323738806</v>
      </c>
      <c r="DS33">
        <v>3.615183920170205</v>
      </c>
      <c r="DT33" s="10">
        <v>-0.22333333333333336</v>
      </c>
      <c r="DU33">
        <v>-0.71000000000000008</v>
      </c>
      <c r="DV33">
        <v>-0.93333333333333346</v>
      </c>
      <c r="DW33">
        <v>-2.1179000000000001</v>
      </c>
      <c r="DX33">
        <v>0.41047005959266514</v>
      </c>
      <c r="DY33">
        <v>-2.0189194200259752</v>
      </c>
      <c r="DZ33">
        <v>4055</v>
      </c>
      <c r="EA33">
        <v>-2.0039060642127993</v>
      </c>
      <c r="EB33">
        <v>2</v>
      </c>
      <c r="EC33">
        <v>2.4016249999999999E-2</v>
      </c>
      <c r="ED33">
        <v>0.149661875</v>
      </c>
      <c r="EE33" s="11">
        <v>-9.0348100000000002</v>
      </c>
      <c r="EF33">
        <v>-9.0581099999999992</v>
      </c>
      <c r="EG33">
        <v>25.160470059592665</v>
      </c>
      <c r="EH33" t="s">
        <v>1672</v>
      </c>
      <c r="EI33">
        <v>0</v>
      </c>
      <c r="EJ33">
        <v>0</v>
      </c>
      <c r="EK33" s="13">
        <v>45470</v>
      </c>
      <c r="EL33" s="14">
        <v>-0.14000000000000001</v>
      </c>
      <c r="EM33" s="14">
        <v>-5.55</v>
      </c>
      <c r="EN33" s="14">
        <v>-3.87</v>
      </c>
      <c r="EO33" s="14">
        <v>4.68</v>
      </c>
      <c r="EP33" s="14">
        <v>-2.33</v>
      </c>
    </row>
    <row r="34" spans="1:146" ht="96" x14ac:dyDescent="0.25">
      <c r="A34" s="6"/>
      <c r="B34" s="6"/>
      <c r="C34" s="6" t="str">
        <f>""&amp;CHAR(10)&amp;Basic_Fundamental_Information_Constructure(F34)&amp;CHAR(10)&amp;Basic_Fundamental_Information_Concatenate("")</f>
        <v xml:space="preserve">
市值118.24164亿, 利润5.16亿; PE; 平均PE-23.61; 平均PEG-.01, PB4.91; ROIC0%; ROE-36.9267%; 股利率0%; 毛利93.2333%; 净利-3015.24%; 上一年度营收增11797.64%, 利润增154.03%; 当季营收增-96.33%, 利润增-144.51%; 过往5年营收增2394.26%, 利润增-34.3%
Income profile:
</v>
      </c>
      <c r="D34" t="s">
        <v>445</v>
      </c>
      <c r="E34" t="s">
        <v>446</v>
      </c>
      <c r="F34">
        <v>29.59</v>
      </c>
      <c r="G34">
        <v>8.43</v>
      </c>
      <c r="H34" t="s">
        <v>1673</v>
      </c>
      <c r="I34">
        <v>11824164000</v>
      </c>
      <c r="K34">
        <v>4.91</v>
      </c>
      <c r="L34" t="s">
        <v>30</v>
      </c>
      <c r="M34" t="s">
        <v>1674</v>
      </c>
      <c r="N34" t="s">
        <v>1675</v>
      </c>
      <c r="O34" t="s">
        <v>1676</v>
      </c>
      <c r="P34">
        <v>1572.42</v>
      </c>
      <c r="Q34" t="s">
        <v>1677</v>
      </c>
      <c r="R34">
        <v>-205658520</v>
      </c>
      <c r="S34" s="5">
        <v>0.14699999999999999</v>
      </c>
      <c r="T34" t="s">
        <v>1678</v>
      </c>
      <c r="U34">
        <v>204170000</v>
      </c>
      <c r="V34">
        <v>399600000</v>
      </c>
      <c r="W34">
        <v>1.94</v>
      </c>
      <c r="X34">
        <v>0.01</v>
      </c>
      <c r="Y34">
        <v>-305.25</v>
      </c>
      <c r="Z34" t="s">
        <v>263</v>
      </c>
      <c r="AA34" t="s">
        <v>1679</v>
      </c>
      <c r="AB34" t="s">
        <v>1680</v>
      </c>
      <c r="AC34" t="s">
        <v>1681</v>
      </c>
      <c r="AD34" t="s">
        <v>5</v>
      </c>
      <c r="AE34">
        <v>3895016</v>
      </c>
      <c r="AF34" t="s">
        <v>1682</v>
      </c>
      <c r="AG34" t="s">
        <v>5</v>
      </c>
      <c r="AH34" t="s">
        <v>1683</v>
      </c>
      <c r="AI34" t="s">
        <v>1684</v>
      </c>
      <c r="AJ34" t="s">
        <v>1685</v>
      </c>
      <c r="AK34" t="s">
        <v>5</v>
      </c>
      <c r="AL34" t="s">
        <v>1686</v>
      </c>
      <c r="AM34" t="s">
        <v>5</v>
      </c>
      <c r="AN34" t="s">
        <v>1687</v>
      </c>
      <c r="AO34" t="s">
        <v>554</v>
      </c>
      <c r="AP34" t="s">
        <v>5</v>
      </c>
      <c r="AQ34" t="s">
        <v>1688</v>
      </c>
      <c r="AR34" t="s">
        <v>5</v>
      </c>
      <c r="AS34" t="s">
        <v>418</v>
      </c>
      <c r="AT34" t="s">
        <v>293</v>
      </c>
      <c r="AU34" t="s">
        <v>1689</v>
      </c>
      <c r="AV34" t="s">
        <v>1690</v>
      </c>
      <c r="AW34" t="s">
        <v>845</v>
      </c>
      <c r="AX34" t="s">
        <v>761</v>
      </c>
      <c r="AY34" t="s">
        <v>447</v>
      </c>
      <c r="AZ34" t="s">
        <v>449</v>
      </c>
      <c r="BA34" t="s">
        <v>450</v>
      </c>
      <c r="BB34" t="s">
        <v>451</v>
      </c>
      <c r="BC34" t="s">
        <v>762</v>
      </c>
      <c r="BD34" t="s">
        <v>448</v>
      </c>
      <c r="BE34" t="s">
        <v>452</v>
      </c>
      <c r="BF34" t="s">
        <v>453</v>
      </c>
      <c r="BG34" t="s">
        <v>454</v>
      </c>
      <c r="BH34" t="s">
        <v>83</v>
      </c>
      <c r="BI34" t="s">
        <v>1691</v>
      </c>
      <c r="BJ34" t="s">
        <v>761</v>
      </c>
      <c r="BK34" t="s">
        <v>1692</v>
      </c>
      <c r="BL34" t="s">
        <v>711</v>
      </c>
      <c r="BM34" t="s">
        <v>762</v>
      </c>
      <c r="BN34" t="s">
        <v>5</v>
      </c>
      <c r="BO34" t="s">
        <v>5</v>
      </c>
      <c r="BP34" t="s">
        <v>5</v>
      </c>
      <c r="BQ34">
        <v>-20.92</v>
      </c>
      <c r="BR34">
        <v>-26.24</v>
      </c>
      <c r="BS34">
        <v>-63.62</v>
      </c>
      <c r="BT34" t="s">
        <v>593</v>
      </c>
      <c r="BU34" t="s">
        <v>436</v>
      </c>
      <c r="BV34">
        <v>98.93</v>
      </c>
      <c r="BW34">
        <v>99.75</v>
      </c>
      <c r="BX34">
        <v>81.02</v>
      </c>
      <c r="BY34">
        <v>-828.26</v>
      </c>
      <c r="BZ34">
        <v>-3455.42</v>
      </c>
      <c r="CA34">
        <v>-4762.04</v>
      </c>
      <c r="CB34">
        <v>2.25</v>
      </c>
      <c r="CC34">
        <v>-10.09</v>
      </c>
      <c r="CD34" t="s">
        <v>1693</v>
      </c>
      <c r="CE34" t="s">
        <v>1694</v>
      </c>
      <c r="CF34" s="8">
        <v>-0.96330521455730578</v>
      </c>
      <c r="CG34" s="9">
        <v>-1.4451483116883117</v>
      </c>
      <c r="CH34" s="8">
        <v>117.97635650634766</v>
      </c>
      <c r="CI34" s="8">
        <v>0.70885360240936279</v>
      </c>
      <c r="CJ34" s="8">
        <v>2.060276985168457</v>
      </c>
      <c r="CK34" s="8">
        <v>-0.81981056928634644</v>
      </c>
      <c r="CL34" s="8">
        <v>-0.21270504593849182</v>
      </c>
      <c r="CM34" s="9">
        <v>1.5403141975402832</v>
      </c>
      <c r="CN34" s="9">
        <v>-0.24025973677635193</v>
      </c>
      <c r="CO34" s="9">
        <v>-0.19751165807247162</v>
      </c>
      <c r="CP34" s="9">
        <v>0.30711206793785095</v>
      </c>
      <c r="CQ34" s="9">
        <v>-3.1244444847106934</v>
      </c>
      <c r="CR34">
        <v>-23.608979700499169</v>
      </c>
      <c r="CS34">
        <v>-9.8606606322104717E-3</v>
      </c>
      <c r="CT34">
        <v>0</v>
      </c>
      <c r="CU34" s="8">
        <v>23.942594295740129</v>
      </c>
      <c r="CV34" s="9">
        <v>-0.34295792281627657</v>
      </c>
      <c r="CW34">
        <v>0.06</v>
      </c>
      <c r="CX34">
        <v>0.93150125259526206</v>
      </c>
      <c r="CY34">
        <v>12141866657.171608</v>
      </c>
      <c r="CZ34">
        <v>23.942594295740129</v>
      </c>
      <c r="DA34">
        <v>1.8629466805074046E-3</v>
      </c>
      <c r="DB34">
        <v>6071115248945.0146</v>
      </c>
      <c r="DC34">
        <v>22.745464580953122</v>
      </c>
      <c r="DD34">
        <v>2.5616786513532472E-7</v>
      </c>
      <c r="DE34">
        <v>4.4151377043429032E+16</v>
      </c>
      <c r="DF34">
        <v>21.069482980251312</v>
      </c>
      <c r="DG34">
        <v>3.3634487122742627E-12</v>
      </c>
      <c r="DH34">
        <v>3.362668786571866E+21</v>
      </c>
      <c r="DI34">
        <v>19.154075436592105</v>
      </c>
      <c r="DJ34">
        <v>6.7832916054575301E-24</v>
      </c>
      <c r="DK34">
        <v>1.6673563010176879E+33</v>
      </c>
      <c r="DL34">
        <v>16.759816007018088</v>
      </c>
      <c r="DM34">
        <v>516000000</v>
      </c>
      <c r="DN34">
        <v>23.942594295740129</v>
      </c>
      <c r="DO34">
        <v>11310164000</v>
      </c>
      <c r="DP34">
        <v>1166103300</v>
      </c>
      <c r="DQ34">
        <v>4593</v>
      </c>
      <c r="DR34">
        <v>-24.905899510297434</v>
      </c>
      <c r="DS34">
        <v>-1.1021903888720352</v>
      </c>
      <c r="DT34" s="10">
        <v>0.25666666666666677</v>
      </c>
      <c r="DU34">
        <v>-2.5983333333333336</v>
      </c>
      <c r="DV34">
        <v>-2.3416666666666668</v>
      </c>
      <c r="DW34">
        <v>-2.1009000000000002</v>
      </c>
      <c r="DX34">
        <v>0.53774667021597344</v>
      </c>
      <c r="DY34">
        <v>-2.0219706390247913</v>
      </c>
      <c r="DZ34">
        <v>258</v>
      </c>
      <c r="EA34">
        <v>-2.0208613582286277</v>
      </c>
      <c r="EB34">
        <v>2</v>
      </c>
      <c r="EC34">
        <v>4.6213463463463465E-2</v>
      </c>
      <c r="ED34">
        <v>0.212234984984985</v>
      </c>
      <c r="EE34" s="11">
        <v>-2.0367999999999999</v>
      </c>
      <c r="EF34">
        <v>-2.012</v>
      </c>
      <c r="EG34">
        <v>32.217746670215973</v>
      </c>
      <c r="EH34" t="s">
        <v>495</v>
      </c>
      <c r="EI34">
        <v>0</v>
      </c>
      <c r="EJ34">
        <v>1</v>
      </c>
      <c r="EK34" s="13">
        <v>45470</v>
      </c>
      <c r="EL34" s="14">
        <v>-1.43</v>
      </c>
      <c r="EM34" s="14">
        <v>0.4</v>
      </c>
      <c r="EN34" s="14">
        <v>-2.38</v>
      </c>
      <c r="EO34" s="14">
        <v>4.5999999999999996</v>
      </c>
      <c r="EP34" s="14">
        <v>-2.48</v>
      </c>
    </row>
    <row r="35" spans="1:146" ht="96" x14ac:dyDescent="0.25">
      <c r="A35" s="6"/>
      <c r="B35" s="6"/>
      <c r="C35" s="6" t="str">
        <f>""&amp;CHAR(10)&amp;Basic_Fundamental_Information_Constructure(F35)&amp;CHAR(10)&amp;Basic_Fundamental_Information_Concatenate("")</f>
        <v xml:space="preserve">
市值77.681942亿, 利润3.15亿; PE; 平均PE19.13; 平均PEG.15, PB1.94; ROIC18.765%; ROE17.4867%; 股利率.5149%; 毛利73.71%; 净利15.7533%; 上一年度营收增-32%, 利润增-46.97%; 当季营收增-41.7%, 利润增-91.36%; 过往5年营收增123.75%, 利润增1078.64%
Income profile:
</v>
      </c>
      <c r="D35" t="s">
        <v>556</v>
      </c>
      <c r="E35" t="s">
        <v>557</v>
      </c>
      <c r="F35">
        <v>19.420000000000002</v>
      </c>
      <c r="G35">
        <v>5.54</v>
      </c>
      <c r="H35" t="s">
        <v>1695</v>
      </c>
      <c r="I35">
        <v>7768194200</v>
      </c>
      <c r="K35">
        <v>1.94</v>
      </c>
      <c r="L35" t="s">
        <v>30</v>
      </c>
      <c r="M35" t="s">
        <v>1696</v>
      </c>
      <c r="N35" t="s">
        <v>1697</v>
      </c>
      <c r="O35" t="s">
        <v>375</v>
      </c>
      <c r="P35">
        <v>-0.21</v>
      </c>
      <c r="Q35" t="s">
        <v>1698</v>
      </c>
      <c r="R35">
        <v>5216370</v>
      </c>
      <c r="S35" s="5">
        <v>1.103</v>
      </c>
      <c r="T35" t="s">
        <v>906</v>
      </c>
      <c r="U35">
        <v>167172810</v>
      </c>
      <c r="V35">
        <v>400010000</v>
      </c>
      <c r="W35">
        <v>1.35</v>
      </c>
      <c r="X35">
        <v>0.05</v>
      </c>
      <c r="Y35">
        <v>1.62</v>
      </c>
      <c r="Z35" t="s">
        <v>932</v>
      </c>
      <c r="AA35" t="s">
        <v>1699</v>
      </c>
      <c r="AB35" t="s">
        <v>279</v>
      </c>
      <c r="AC35" t="s">
        <v>1700</v>
      </c>
      <c r="AD35" t="s">
        <v>5</v>
      </c>
      <c r="AE35">
        <v>259303</v>
      </c>
      <c r="AF35" t="s">
        <v>1701</v>
      </c>
      <c r="AG35" t="s">
        <v>1702</v>
      </c>
      <c r="AH35" t="s">
        <v>1703</v>
      </c>
      <c r="AI35" t="s">
        <v>1704</v>
      </c>
      <c r="AJ35" t="s">
        <v>1705</v>
      </c>
      <c r="AK35" t="s">
        <v>5</v>
      </c>
      <c r="AL35" t="s">
        <v>1706</v>
      </c>
      <c r="AM35" t="s">
        <v>5</v>
      </c>
      <c r="AN35" t="s">
        <v>1707</v>
      </c>
      <c r="AO35" t="s">
        <v>892</v>
      </c>
      <c r="AP35" t="s">
        <v>1708</v>
      </c>
      <c r="AQ35" t="s">
        <v>115</v>
      </c>
      <c r="AR35" t="s">
        <v>5</v>
      </c>
      <c r="AS35" t="s">
        <v>879</v>
      </c>
      <c r="AT35" t="s">
        <v>5</v>
      </c>
      <c r="AU35" t="s">
        <v>1709</v>
      </c>
      <c r="AV35" t="s">
        <v>1293</v>
      </c>
      <c r="AW35" t="s">
        <v>1710</v>
      </c>
      <c r="AX35" t="s">
        <v>764</v>
      </c>
      <c r="AY35" t="s">
        <v>558</v>
      </c>
      <c r="AZ35" t="s">
        <v>559</v>
      </c>
      <c r="BA35" t="s">
        <v>304</v>
      </c>
      <c r="BB35" t="s">
        <v>107</v>
      </c>
      <c r="BC35" t="s">
        <v>765</v>
      </c>
      <c r="BD35" t="s">
        <v>502</v>
      </c>
      <c r="BE35" t="s">
        <v>560</v>
      </c>
      <c r="BF35" t="s">
        <v>561</v>
      </c>
      <c r="BG35" t="s">
        <v>562</v>
      </c>
      <c r="BH35" t="s">
        <v>1711</v>
      </c>
      <c r="BI35" t="s">
        <v>866</v>
      </c>
      <c r="BJ35" t="s">
        <v>764</v>
      </c>
      <c r="BK35" t="s">
        <v>1712</v>
      </c>
      <c r="BL35" t="s">
        <v>1713</v>
      </c>
      <c r="BM35" t="s">
        <v>765</v>
      </c>
      <c r="BN35" t="s">
        <v>5</v>
      </c>
      <c r="BO35">
        <v>12.81</v>
      </c>
      <c r="BP35">
        <v>24.72</v>
      </c>
      <c r="BQ35">
        <v>-1.67</v>
      </c>
      <c r="BR35">
        <v>13.64</v>
      </c>
      <c r="BS35">
        <v>40.49</v>
      </c>
      <c r="BT35" t="s">
        <v>595</v>
      </c>
      <c r="BU35" t="s">
        <v>436</v>
      </c>
      <c r="BV35">
        <v>71.03</v>
      </c>
      <c r="BW35">
        <v>68.88</v>
      </c>
      <c r="BX35">
        <v>81.22</v>
      </c>
      <c r="BY35">
        <v>-5.67</v>
      </c>
      <c r="BZ35">
        <v>16.63</v>
      </c>
      <c r="CA35">
        <v>36.299999999999997</v>
      </c>
      <c r="CB35">
        <v>-2.95</v>
      </c>
      <c r="CC35">
        <v>-18.399999999999999</v>
      </c>
      <c r="CD35" t="s">
        <v>1714</v>
      </c>
      <c r="CE35" t="s">
        <v>1715</v>
      </c>
      <c r="CF35" s="8">
        <v>-0.41698841698841699</v>
      </c>
      <c r="CG35" s="9">
        <v>-0.91359835026957192</v>
      </c>
      <c r="CH35" s="8">
        <v>-0.31997755169868469</v>
      </c>
      <c r="CI35" s="8">
        <v>0.90957719087600708</v>
      </c>
      <c r="CJ35" s="8">
        <v>0.19501282274723053</v>
      </c>
      <c r="CK35" s="8">
        <v>4.8358206748962402</v>
      </c>
      <c r="CL35" s="8">
        <v>0.56725144386291504</v>
      </c>
      <c r="CM35" s="9">
        <v>-0.46969696879386902</v>
      </c>
      <c r="CN35" s="9">
        <v>-0.12389380484819412</v>
      </c>
      <c r="CO35" s="9">
        <v>-0.17518247663974762</v>
      </c>
      <c r="CP35" s="9">
        <v>30.866888046264648</v>
      </c>
      <c r="CQ35" s="9">
        <v>23.833734512329102</v>
      </c>
      <c r="CR35">
        <v>19.134791109490859</v>
      </c>
      <c r="CS35">
        <v>0.15461996211979315</v>
      </c>
      <c r="CT35">
        <v>0.51493305870236861</v>
      </c>
      <c r="CU35" s="8">
        <v>1.2375369161367415</v>
      </c>
      <c r="CV35" s="9">
        <v>10.786369861662388</v>
      </c>
      <c r="CW35">
        <v>0.06</v>
      </c>
      <c r="CX35">
        <v>8.2523080810143572</v>
      </c>
      <c r="CY35">
        <v>664928423.19157887</v>
      </c>
      <c r="CZ35">
        <v>1.2375369161367415</v>
      </c>
      <c r="DA35">
        <v>1.1681557879926956</v>
      </c>
      <c r="DB35">
        <v>4697313711.4091082</v>
      </c>
      <c r="DC35">
        <v>1.1756600703299045</v>
      </c>
      <c r="DD35">
        <v>0.14899232636846046</v>
      </c>
      <c r="DE35">
        <v>36828703422.14859</v>
      </c>
      <c r="DF35">
        <v>1.0890324862003327</v>
      </c>
      <c r="DG35">
        <v>1.499476338081984E-2</v>
      </c>
      <c r="DH35">
        <v>365940699472.3772</v>
      </c>
      <c r="DI35">
        <v>0.99002953290939333</v>
      </c>
      <c r="DJ35">
        <v>9.1865726162028731E-5</v>
      </c>
      <c r="DK35">
        <v>59730591911089.102</v>
      </c>
      <c r="DL35">
        <v>0.866275841295719</v>
      </c>
      <c r="DM35">
        <v>315000000</v>
      </c>
      <c r="DN35">
        <v>1.2375369161367415</v>
      </c>
      <c r="DO35">
        <v>5487194200</v>
      </c>
      <c r="DP35">
        <v>2684117500</v>
      </c>
      <c r="DQ35">
        <v>4631</v>
      </c>
      <c r="DR35">
        <v>-1.6545253331251586</v>
      </c>
      <c r="DS35">
        <v>-11.69996821193196</v>
      </c>
      <c r="DT35" s="10">
        <v>0.40333333333333338</v>
      </c>
      <c r="DU35">
        <v>0.14700000000000002</v>
      </c>
      <c r="DV35">
        <v>0.55033333333333334</v>
      </c>
      <c r="DW35">
        <v>-8.1603260869565215</v>
      </c>
      <c r="DX35">
        <v>0.45064581470877729</v>
      </c>
      <c r="DY35">
        <v>-8.0273589757277666</v>
      </c>
      <c r="DZ35">
        <v>930</v>
      </c>
      <c r="EA35">
        <v>-8.0223797492254523</v>
      </c>
      <c r="EB35">
        <v>8</v>
      </c>
      <c r="EC35">
        <v>1.8849278768030799E-2</v>
      </c>
      <c r="ED35">
        <v>0.11045848853778656</v>
      </c>
      <c r="EE35" s="11">
        <v>4.0475099999999999</v>
      </c>
      <c r="EF35">
        <v>4.0616099999999999</v>
      </c>
      <c r="EG35">
        <v>28.170645814708777</v>
      </c>
      <c r="EH35" t="s">
        <v>1716</v>
      </c>
      <c r="EI35">
        <v>0</v>
      </c>
      <c r="EJ35">
        <v>1</v>
      </c>
      <c r="EK35" s="13">
        <v>45470</v>
      </c>
      <c r="EL35" s="14">
        <v>-1.84</v>
      </c>
      <c r="EM35" s="14">
        <v>-4.84</v>
      </c>
      <c r="EN35" s="14">
        <v>-0.17</v>
      </c>
      <c r="EO35" s="14">
        <v>2.3199999999999998</v>
      </c>
      <c r="EP35" s="14">
        <v>-1.41</v>
      </c>
    </row>
    <row r="36" spans="1:146" ht="96" x14ac:dyDescent="0.25">
      <c r="A36" s="6"/>
      <c r="B36" s="6"/>
      <c r="C36" s="6" t="str">
        <f>""&amp;CHAR(10)&amp;Basic_Fundamental_Information_Constructure(F36)&amp;CHAR(10)&amp;Basic_Fundamental_Information_Concatenate("")</f>
        <v xml:space="preserve">
市值32.329941亿, 利润1284.36万; PE; 平均PE47.06; 平均PEG5.28, PB2; ROIC4.14%; ROE-.92%; 股利率0%; 毛利75.19%; 净利-5.0233%; 上一年度营收增-88.37%, 利润增114.22%; 当季营收增739.49%, 利润增11.33%; 过往5年营收增-8.91%, 利润增-10.64%
Income profile:
</v>
      </c>
      <c r="D36" t="s">
        <v>295</v>
      </c>
      <c r="E36" t="s">
        <v>296</v>
      </c>
      <c r="F36">
        <v>16.23</v>
      </c>
      <c r="G36">
        <v>4.24</v>
      </c>
      <c r="H36" t="s">
        <v>1717</v>
      </c>
      <c r="I36">
        <v>3232994100</v>
      </c>
      <c r="K36">
        <v>2</v>
      </c>
      <c r="L36" t="s">
        <v>30</v>
      </c>
      <c r="M36" t="s">
        <v>1718</v>
      </c>
      <c r="N36" t="s">
        <v>1719</v>
      </c>
      <c r="O36" t="s">
        <v>935</v>
      </c>
      <c r="P36">
        <v>11.79</v>
      </c>
      <c r="Q36" t="s">
        <v>122</v>
      </c>
      <c r="R36">
        <v>12403444</v>
      </c>
      <c r="S36" s="5">
        <v>2.415</v>
      </c>
      <c r="T36" t="s">
        <v>1720</v>
      </c>
      <c r="U36">
        <v>199198650</v>
      </c>
      <c r="V36">
        <v>199198650</v>
      </c>
      <c r="W36">
        <v>1.89</v>
      </c>
      <c r="X36">
        <v>0.12</v>
      </c>
      <c r="Y36">
        <v>3.19</v>
      </c>
      <c r="Z36" t="s">
        <v>854</v>
      </c>
      <c r="AA36" t="s">
        <v>1721</v>
      </c>
      <c r="AB36" t="s">
        <v>712</v>
      </c>
      <c r="AC36" t="s">
        <v>1722</v>
      </c>
      <c r="AD36" t="s">
        <v>5</v>
      </c>
      <c r="AE36">
        <v>8945939</v>
      </c>
      <c r="AF36" t="s">
        <v>1723</v>
      </c>
      <c r="AG36" t="s">
        <v>1724</v>
      </c>
      <c r="AH36" t="s">
        <v>1725</v>
      </c>
      <c r="AI36" t="s">
        <v>955</v>
      </c>
      <c r="AJ36" t="s">
        <v>1726</v>
      </c>
      <c r="AK36" t="s">
        <v>1727</v>
      </c>
      <c r="AL36" t="s">
        <v>1728</v>
      </c>
      <c r="AM36" t="s">
        <v>5</v>
      </c>
      <c r="AN36" t="s">
        <v>956</v>
      </c>
      <c r="AO36" t="s">
        <v>128</v>
      </c>
      <c r="AP36" t="s">
        <v>5</v>
      </c>
      <c r="AQ36" t="s">
        <v>798</v>
      </c>
      <c r="AR36" t="s">
        <v>1729</v>
      </c>
      <c r="AS36" t="s">
        <v>843</v>
      </c>
      <c r="AT36" t="s">
        <v>1730</v>
      </c>
      <c r="AU36" t="s">
        <v>1731</v>
      </c>
      <c r="AV36" t="s">
        <v>1732</v>
      </c>
      <c r="AW36" t="s">
        <v>1733</v>
      </c>
      <c r="AX36" t="s">
        <v>767</v>
      </c>
      <c r="AY36" t="s">
        <v>455</v>
      </c>
      <c r="AZ36" t="s">
        <v>290</v>
      </c>
      <c r="BA36" t="s">
        <v>130</v>
      </c>
      <c r="BB36" t="s">
        <v>297</v>
      </c>
      <c r="BC36" t="s">
        <v>768</v>
      </c>
      <c r="BD36" t="s">
        <v>456</v>
      </c>
      <c r="BE36" t="s">
        <v>113</v>
      </c>
      <c r="BF36" t="s">
        <v>71</v>
      </c>
      <c r="BG36" t="s">
        <v>298</v>
      </c>
      <c r="BH36" t="s">
        <v>1734</v>
      </c>
      <c r="BI36" t="s">
        <v>905</v>
      </c>
      <c r="BJ36" t="s">
        <v>767</v>
      </c>
      <c r="BK36" t="s">
        <v>1735</v>
      </c>
      <c r="BL36" t="s">
        <v>1736</v>
      </c>
      <c r="BM36" t="s">
        <v>768</v>
      </c>
      <c r="BN36" t="s">
        <v>5</v>
      </c>
      <c r="BO36" t="s">
        <v>5</v>
      </c>
      <c r="BP36">
        <v>4.1399999999999997</v>
      </c>
      <c r="BQ36">
        <v>-3.05</v>
      </c>
      <c r="BR36">
        <v>-4.87</v>
      </c>
      <c r="BS36">
        <v>5.16</v>
      </c>
      <c r="BT36" t="s">
        <v>593</v>
      </c>
      <c r="BU36" t="s">
        <v>436</v>
      </c>
      <c r="BV36">
        <v>70.790000000000006</v>
      </c>
      <c r="BW36">
        <v>75.37</v>
      </c>
      <c r="BX36">
        <v>79.41</v>
      </c>
      <c r="BY36">
        <v>-15.53</v>
      </c>
      <c r="BZ36">
        <v>-7.05</v>
      </c>
      <c r="CA36">
        <v>7.51</v>
      </c>
      <c r="CB36">
        <v>-3.16</v>
      </c>
      <c r="CC36">
        <v>-15.64</v>
      </c>
      <c r="CD36" t="s">
        <v>1737</v>
      </c>
      <c r="CE36" t="s">
        <v>1738</v>
      </c>
      <c r="CF36" s="8">
        <v>7.3948607639090751</v>
      </c>
      <c r="CG36" s="9">
        <v>0.11328516420884438</v>
      </c>
      <c r="CH36" s="8">
        <v>-0.88373863697052002</v>
      </c>
      <c r="CI36" s="8">
        <v>2.4124564602971077E-2</v>
      </c>
      <c r="CJ36" s="8">
        <v>5.3278636187314987E-2</v>
      </c>
      <c r="CK36" s="8">
        <v>2.4349231272935867E-2</v>
      </c>
      <c r="CL36" s="8">
        <v>0.33670040965080261</v>
      </c>
      <c r="CM36" s="9">
        <v>1.1422401666641235</v>
      </c>
      <c r="CN36" s="9">
        <v>-1.9360517263412476</v>
      </c>
      <c r="CO36" s="9">
        <v>-0.30601507425308228</v>
      </c>
      <c r="CP36" s="9">
        <v>-0.13124999403953552</v>
      </c>
      <c r="CQ36" s="9">
        <v>0.69916850328445435</v>
      </c>
      <c r="CR36">
        <v>47.062334051473158</v>
      </c>
      <c r="CS36">
        <v>5.2845087978119878</v>
      </c>
      <c r="CT36">
        <v>0</v>
      </c>
      <c r="CU36" s="8">
        <v>-8.9057159051299101E-2</v>
      </c>
      <c r="CV36" s="9">
        <v>-0.1063816249370575</v>
      </c>
      <c r="CW36">
        <v>0.06</v>
      </c>
      <c r="CX36">
        <v>234.27964900806629</v>
      </c>
      <c r="CY36" t="s">
        <v>1739</v>
      </c>
      <c r="CZ36">
        <v>-8.9057159051299101E-2</v>
      </c>
      <c r="DA36">
        <v>78.093216336022095</v>
      </c>
      <c r="DB36" t="s">
        <v>1740</v>
      </c>
      <c r="DC36">
        <v>-8.4604301098734139E-2</v>
      </c>
      <c r="DD36">
        <v>39.046608168011048</v>
      </c>
      <c r="DE36" t="s">
        <v>1741</v>
      </c>
      <c r="DF36">
        <v>-7.8370299965143206E-2</v>
      </c>
      <c r="DG36">
        <v>23.427964900806629</v>
      </c>
      <c r="DH36" t="s">
        <v>1742</v>
      </c>
      <c r="DI36">
        <v>-7.1245727241039281E-2</v>
      </c>
      <c r="DJ36">
        <v>11.713982450403314</v>
      </c>
      <c r="DK36" t="s">
        <v>1743</v>
      </c>
      <c r="DL36">
        <v>-6.2340011335909364E-2</v>
      </c>
      <c r="DM36">
        <v>12843599.999999998</v>
      </c>
      <c r="DN36">
        <v>-8.9057159051299101E-2</v>
      </c>
      <c r="DO36">
        <v>3008994100</v>
      </c>
      <c r="DP36">
        <v>393746560</v>
      </c>
      <c r="DQ36">
        <v>4660</v>
      </c>
      <c r="DR36">
        <v>7.4839179229603738</v>
      </c>
      <c r="DS36">
        <v>0.21966678914590188</v>
      </c>
      <c r="DT36" s="10">
        <v>-0.67333333333333334</v>
      </c>
      <c r="DU36">
        <v>0.28333333333333327</v>
      </c>
      <c r="DV36">
        <v>-0.39000000000000007</v>
      </c>
      <c r="DW36">
        <v>-8.2020460358056262</v>
      </c>
      <c r="DX36">
        <v>0.30233526130964733</v>
      </c>
      <c r="DY36">
        <v>-8.0247173545868602</v>
      </c>
      <c r="DZ36">
        <v>3511</v>
      </c>
      <c r="EA36">
        <v>-8.0077344520517393</v>
      </c>
      <c r="EB36">
        <v>8</v>
      </c>
      <c r="EC36">
        <v>2.378429773494951E-2</v>
      </c>
      <c r="ED36">
        <v>0.19441898828129608</v>
      </c>
      <c r="EE36" s="11">
        <v>-5.0051100000000002</v>
      </c>
      <c r="EF36">
        <v>-5.0241100000000003</v>
      </c>
      <c r="EG36">
        <v>18.122335261309647</v>
      </c>
      <c r="EH36" t="s">
        <v>1156</v>
      </c>
      <c r="EI36">
        <v>0</v>
      </c>
      <c r="EJ36">
        <v>0</v>
      </c>
      <c r="EK36" s="13">
        <v>45470</v>
      </c>
      <c r="EL36" s="14">
        <v>-0.11</v>
      </c>
      <c r="EM36" s="14">
        <v>-8.25</v>
      </c>
      <c r="EN36" s="14">
        <v>-1.38</v>
      </c>
      <c r="EO36" s="14">
        <v>1.4</v>
      </c>
      <c r="EP36" s="14">
        <v>-1.9</v>
      </c>
    </row>
    <row r="37" spans="1:146" ht="96" x14ac:dyDescent="0.25">
      <c r="C37" s="6" t="str">
        <f>""&amp;CHAR(10)&amp;Basic_Fundamental_Information_Constructure(F37)&amp;CHAR(10)&amp;Basic_Fundamental_Information_Concatenate("")</f>
        <v xml:space="preserve">
市值21.719298亿, 利润1.34亿; PE; 平均PE29.9; 平均PEG.2, PB.992; ROIC23.1733%; ROE28.79%; 股利率1.6155%; 毛利83.2267%; 净利28.7133%; 上一年度营收增248.68%, 利润增47.7%; 当季营收增-85.74%, 利润增-113.54%; 过往5年营收增150.95%, 利润增239.32%
Income profile:
</v>
      </c>
      <c r="D37" t="s">
        <v>568</v>
      </c>
      <c r="E37" t="s">
        <v>569</v>
      </c>
      <c r="F37">
        <v>30.95</v>
      </c>
      <c r="G37">
        <v>2.86</v>
      </c>
      <c r="H37" t="s">
        <v>1744</v>
      </c>
      <c r="I37">
        <v>2171929800</v>
      </c>
      <c r="K37">
        <v>0.99199999999999999</v>
      </c>
      <c r="L37" t="s">
        <v>30</v>
      </c>
      <c r="M37" t="s">
        <v>706</v>
      </c>
      <c r="N37" t="s">
        <v>1745</v>
      </c>
      <c r="O37" t="s">
        <v>1746</v>
      </c>
      <c r="P37" s="5">
        <v>-39.340000000000003</v>
      </c>
      <c r="Q37" t="s">
        <v>1747</v>
      </c>
      <c r="R37">
        <v>-2630475</v>
      </c>
      <c r="S37">
        <v>-1.236</v>
      </c>
      <c r="T37" t="s">
        <v>77</v>
      </c>
      <c r="U37">
        <v>32110415</v>
      </c>
      <c r="V37">
        <v>70175439</v>
      </c>
      <c r="W37">
        <v>1.06</v>
      </c>
      <c r="X37">
        <v>0.01</v>
      </c>
      <c r="Y37">
        <v>-10.08</v>
      </c>
      <c r="Z37" t="s">
        <v>1748</v>
      </c>
      <c r="AA37" t="s">
        <v>1749</v>
      </c>
      <c r="AB37" t="s">
        <v>1750</v>
      </c>
      <c r="AC37" t="s">
        <v>1751</v>
      </c>
      <c r="AD37" t="s">
        <v>5</v>
      </c>
      <c r="AE37">
        <v>-7637168</v>
      </c>
      <c r="AF37" t="s">
        <v>1752</v>
      </c>
      <c r="AG37">
        <v>4900</v>
      </c>
      <c r="AH37" t="s">
        <v>1753</v>
      </c>
      <c r="AI37" t="s">
        <v>1754</v>
      </c>
      <c r="AJ37" t="s">
        <v>1755</v>
      </c>
      <c r="AK37" t="s">
        <v>1756</v>
      </c>
      <c r="AL37" t="s">
        <v>1757</v>
      </c>
      <c r="AM37" t="s">
        <v>5</v>
      </c>
      <c r="AN37" t="s">
        <v>1758</v>
      </c>
      <c r="AO37" t="s">
        <v>5</v>
      </c>
      <c r="AP37" t="s">
        <v>5</v>
      </c>
      <c r="AQ37" t="s">
        <v>1759</v>
      </c>
      <c r="AR37" t="s">
        <v>5</v>
      </c>
      <c r="AS37" t="s">
        <v>1760</v>
      </c>
      <c r="AT37" t="s">
        <v>5</v>
      </c>
      <c r="AU37" t="s">
        <v>1761</v>
      </c>
      <c r="AV37" t="s">
        <v>1762</v>
      </c>
      <c r="AW37" t="s">
        <v>1763</v>
      </c>
      <c r="AX37" t="s">
        <v>769</v>
      </c>
      <c r="AY37" t="s">
        <v>522</v>
      </c>
      <c r="AZ37" t="s">
        <v>360</v>
      </c>
      <c r="BA37" t="s">
        <v>570</v>
      </c>
      <c r="BB37" t="s">
        <v>571</v>
      </c>
      <c r="BC37" t="s">
        <v>1764</v>
      </c>
      <c r="BD37" t="s">
        <v>116</v>
      </c>
      <c r="BE37" t="s">
        <v>572</v>
      </c>
      <c r="BF37" t="s">
        <v>573</v>
      </c>
      <c r="BG37" t="s">
        <v>574</v>
      </c>
      <c r="BH37" t="s">
        <v>122</v>
      </c>
      <c r="BI37" t="s">
        <v>213</v>
      </c>
      <c r="BJ37" t="s">
        <v>769</v>
      </c>
      <c r="BK37" t="s">
        <v>1720</v>
      </c>
      <c r="BL37" t="s">
        <v>1765</v>
      </c>
      <c r="BM37" t="s">
        <v>1764</v>
      </c>
      <c r="BN37">
        <v>-0.54</v>
      </c>
      <c r="BO37">
        <v>6.72</v>
      </c>
      <c r="BP37">
        <v>63.34</v>
      </c>
      <c r="BQ37">
        <v>0.72</v>
      </c>
      <c r="BR37">
        <v>10.71</v>
      </c>
      <c r="BS37">
        <v>74.94</v>
      </c>
      <c r="BT37" t="s">
        <v>597</v>
      </c>
      <c r="BU37" t="s">
        <v>436</v>
      </c>
      <c r="BV37">
        <v>75.67</v>
      </c>
      <c r="BW37">
        <v>86.32</v>
      </c>
      <c r="BX37">
        <v>87.69</v>
      </c>
      <c r="BY37">
        <v>8.3800000000000008</v>
      </c>
      <c r="BZ37">
        <v>34.18</v>
      </c>
      <c r="CA37">
        <v>43.58</v>
      </c>
      <c r="CB37">
        <v>-3.58</v>
      </c>
      <c r="CC37" s="1">
        <v>-15.44</v>
      </c>
      <c r="CD37" s="1" t="s">
        <v>1766</v>
      </c>
      <c r="CE37" s="1" t="s">
        <v>1767</v>
      </c>
      <c r="CF37" s="8">
        <v>-0.85744754098360654</v>
      </c>
      <c r="CG37" s="9">
        <v>-1.135378657265639</v>
      </c>
      <c r="CH37" s="8">
        <v>2.4867925643920898</v>
      </c>
      <c r="CI37" s="8">
        <v>-0.22514620423316956</v>
      </c>
      <c r="CJ37" s="8">
        <v>0.89999997615814209</v>
      </c>
      <c r="CK37" s="8">
        <v>4.0023345947265625</v>
      </c>
      <c r="CL37" s="8">
        <v>0.38372442126274109</v>
      </c>
      <c r="CM37" s="9">
        <v>0.47703322768211365</v>
      </c>
      <c r="CN37" s="9">
        <v>-0.39112484455108643</v>
      </c>
      <c r="CO37" s="9">
        <v>0.79417997598648071</v>
      </c>
      <c r="CP37" s="9">
        <v>10.772106170654297</v>
      </c>
      <c r="CQ37" s="9">
        <v>0.31368464231491089</v>
      </c>
      <c r="CR37" s="1">
        <v>29.896628926841053</v>
      </c>
      <c r="CS37" s="1">
        <v>0.1980511130956211</v>
      </c>
      <c r="CT37" s="1">
        <v>1.6155088852988693</v>
      </c>
      <c r="CU37" s="8">
        <v>1.5095410704612733</v>
      </c>
      <c r="CV37" s="9">
        <v>2.3931758344173431</v>
      </c>
      <c r="CW37">
        <v>0.06</v>
      </c>
      <c r="CX37">
        <v>0.29292859041477604</v>
      </c>
      <c r="CY37">
        <v>317243871.17151946</v>
      </c>
      <c r="CZ37">
        <v>1.5095410704612733</v>
      </c>
      <c r="DA37">
        <v>3.5243804601993292E-2</v>
      </c>
      <c r="DB37">
        <v>2636769811.0193286</v>
      </c>
      <c r="DC37">
        <v>1.4340640169382095</v>
      </c>
      <c r="DD37">
        <v>3.3933266545161738E-3</v>
      </c>
      <c r="DE37">
        <v>27386046043.141724</v>
      </c>
      <c r="DF37">
        <v>1.3283961420059205</v>
      </c>
      <c r="DG37">
        <v>2.3496298150541347E-4</v>
      </c>
      <c r="DH37">
        <v>395508260086.74445</v>
      </c>
      <c r="DI37">
        <v>1.2076328563690186</v>
      </c>
      <c r="DJ37">
        <v>5.8779757792243308E-7</v>
      </c>
      <c r="DK37">
        <v>158098303719555.66</v>
      </c>
      <c r="DL37">
        <v>1.0566787493228913</v>
      </c>
      <c r="DM37">
        <v>134000000.00000001</v>
      </c>
      <c r="DN37">
        <v>1.5095410704612733</v>
      </c>
      <c r="DO37">
        <v>92929800</v>
      </c>
      <c r="DP37">
        <v>2007528700</v>
      </c>
      <c r="DQ37" s="10">
        <v>4661</v>
      </c>
      <c r="DR37">
        <v>-2.3669886114448797</v>
      </c>
      <c r="DS37">
        <v>-3.5285544916829821</v>
      </c>
      <c r="DT37">
        <v>0.53833333333333333</v>
      </c>
      <c r="DU37">
        <v>-0.45333333333333331</v>
      </c>
      <c r="DV37">
        <v>8.500000000000002E-2</v>
      </c>
      <c r="DW37">
        <v>-8.2318652849740932</v>
      </c>
      <c r="DX37">
        <v>0.43197969615423076</v>
      </c>
      <c r="DY37">
        <v>-8.0282828570098541</v>
      </c>
      <c r="DZ37">
        <v>665</v>
      </c>
      <c r="EA37">
        <v>-8.0246022112345994</v>
      </c>
      <c r="EB37" s="11">
        <v>8</v>
      </c>
      <c r="EC37">
        <v>1.2207974929804143E-2</v>
      </c>
      <c r="ED37">
        <v>0.10008202442452836</v>
      </c>
      <c r="EE37">
        <v>-1.0047999999999999</v>
      </c>
      <c r="EF37">
        <v>-1.02651</v>
      </c>
      <c r="EG37">
        <v>31.121979696154231</v>
      </c>
      <c r="EH37" s="13" t="s">
        <v>592</v>
      </c>
      <c r="EI37" s="14">
        <v>0</v>
      </c>
      <c r="EJ37" s="14">
        <v>1</v>
      </c>
      <c r="EK37" s="14">
        <v>45470</v>
      </c>
      <c r="EL37" s="14">
        <v>0.13</v>
      </c>
      <c r="EM37" s="14">
        <v>-5.14</v>
      </c>
      <c r="EN37" s="14">
        <v>-3.37</v>
      </c>
      <c r="EO37" s="14">
        <v>3.67</v>
      </c>
      <c r="EP37" s="14">
        <v>-3.13</v>
      </c>
    </row>
    <row r="38" spans="1:146" ht="156" x14ac:dyDescent="0.25">
      <c r="A38" s="6"/>
      <c r="B38" s="6"/>
      <c r="C38" s="6" t="str">
        <f>"公司成立于1999年，是一家专注于抗血清抗毒素领域的生物医药企业，致力于研究、开发、生产及销售针对生物毒素及生物安全领域的预防和治疗药物。公司的主要产品为抗蛇毒血清、抗狂犬病血清、马破免疫球蛋白。"&amp;CHAR(10)&amp;Basic_Fundamental_Information_Constructure(F38)&amp;CHAR(10)&amp;Basic_Fundamental_Information_Concatenate("抗蛇毒血清 1.23亿 58.70% 63.02% 89.83%
马破伤风免疫球蛋白 8499.74万 40.73% 36.31% 74.59%
其他业务 118.87万 0.57% 0.68% 99.62%")</f>
        <v>公司成立于1999年，是一家专注于抗血清抗毒素领域的生物医药企业，致力于研究、开发、生产及销售针对生物毒素及生物安全领域的预防和治疗药物。公司的主要产品为抗蛇毒血清、抗狂犬病血清、马破免疫球蛋白。
市值13.14873亿, 利润-4744.80万; PE35.31; 平均PE29.86; 平均PEG.15, PB1.21; ROIC11.85%; ROE11.5067%; 股利率1.6461%; 毛利81.0533%; 净利31.2833%; 上一年度营收增983.91%, 利润增-173.91%; 当季营收增-93.26%, 利润增103.63%; 过往5年营收增201.8%, 利润增-23.3%
Income profile:
抗蛇毒血清 1.23亿 58.70% 63.02% 89.83%
马破伤风免疫球蛋白 8499.74万 40.73% 36.31% 74.59%
其他业务 118.87万 0.57% 0.68% 99.62%</v>
      </c>
      <c r="D38" t="s">
        <v>457</v>
      </c>
      <c r="E38" t="s">
        <v>458</v>
      </c>
      <c r="F38">
        <v>12.15</v>
      </c>
      <c r="G38">
        <v>4.1100000000000003</v>
      </c>
      <c r="H38" t="s">
        <v>1768</v>
      </c>
      <c r="I38">
        <v>1314873000</v>
      </c>
      <c r="J38">
        <v>35.31</v>
      </c>
      <c r="K38">
        <v>1.21</v>
      </c>
      <c r="L38" t="s">
        <v>30</v>
      </c>
      <c r="M38" t="s">
        <v>1769</v>
      </c>
      <c r="N38" t="s">
        <v>1770</v>
      </c>
      <c r="O38" t="s">
        <v>1771</v>
      </c>
      <c r="P38">
        <v>9.7899999999999991</v>
      </c>
      <c r="Q38" t="s">
        <v>1772</v>
      </c>
      <c r="R38">
        <v>1474787</v>
      </c>
      <c r="S38" s="5">
        <v>-0.51090000000000002</v>
      </c>
      <c r="T38" t="s">
        <v>1773</v>
      </c>
      <c r="U38">
        <v>44372000</v>
      </c>
      <c r="V38">
        <v>108220000</v>
      </c>
      <c r="W38">
        <v>1.03</v>
      </c>
      <c r="X38">
        <v>0.02</v>
      </c>
      <c r="Y38">
        <v>5.61</v>
      </c>
      <c r="Z38" t="s">
        <v>1774</v>
      </c>
      <c r="AA38" t="s">
        <v>1775</v>
      </c>
      <c r="AB38" t="s">
        <v>1776</v>
      </c>
      <c r="AC38" t="s">
        <v>1777</v>
      </c>
      <c r="AD38" t="s">
        <v>5</v>
      </c>
      <c r="AE38">
        <v>-512432</v>
      </c>
      <c r="AF38" t="s">
        <v>1778</v>
      </c>
      <c r="AG38" t="s">
        <v>5</v>
      </c>
      <c r="AH38" t="s">
        <v>1779</v>
      </c>
      <c r="AI38" t="s">
        <v>112</v>
      </c>
      <c r="AJ38" t="s">
        <v>1780</v>
      </c>
      <c r="AK38" t="s">
        <v>5</v>
      </c>
      <c r="AL38" t="s">
        <v>1781</v>
      </c>
      <c r="AM38" t="s">
        <v>5</v>
      </c>
      <c r="AN38" t="s">
        <v>1782</v>
      </c>
      <c r="AO38" t="s">
        <v>5</v>
      </c>
      <c r="AP38" t="s">
        <v>5</v>
      </c>
      <c r="AQ38" t="s">
        <v>1783</v>
      </c>
      <c r="AR38" t="s">
        <v>5</v>
      </c>
      <c r="AS38" t="s">
        <v>1784</v>
      </c>
      <c r="AT38" t="s">
        <v>5</v>
      </c>
      <c r="AU38" t="s">
        <v>1785</v>
      </c>
      <c r="AV38" t="s">
        <v>1786</v>
      </c>
      <c r="AW38" t="s">
        <v>5</v>
      </c>
      <c r="AX38" t="s">
        <v>517</v>
      </c>
      <c r="AY38" t="s">
        <v>136</v>
      </c>
      <c r="AZ38" t="s">
        <v>194</v>
      </c>
      <c r="BA38" t="s">
        <v>94</v>
      </c>
      <c r="BB38" t="s">
        <v>460</v>
      </c>
      <c r="BC38" t="s">
        <v>1787</v>
      </c>
      <c r="BD38" t="s">
        <v>459</v>
      </c>
      <c r="BE38" t="s">
        <v>461</v>
      </c>
      <c r="BF38" t="s">
        <v>462</v>
      </c>
      <c r="BG38" t="s">
        <v>463</v>
      </c>
      <c r="BH38" t="s">
        <v>101</v>
      </c>
      <c r="BI38" t="s">
        <v>1788</v>
      </c>
      <c r="BJ38" t="s">
        <v>517</v>
      </c>
      <c r="BK38" t="s">
        <v>1789</v>
      </c>
      <c r="BL38" t="s">
        <v>1790</v>
      </c>
      <c r="BM38" t="s">
        <v>1787</v>
      </c>
      <c r="BN38">
        <v>4.4400000000000004</v>
      </c>
      <c r="BO38">
        <v>8.33</v>
      </c>
      <c r="BP38">
        <v>22.78</v>
      </c>
      <c r="BQ38">
        <v>4.57</v>
      </c>
      <c r="BR38">
        <v>6.87</v>
      </c>
      <c r="BS38">
        <v>23.08</v>
      </c>
      <c r="BT38" t="s">
        <v>594</v>
      </c>
      <c r="BU38" t="s">
        <v>358</v>
      </c>
      <c r="BV38">
        <v>75.709999999999994</v>
      </c>
      <c r="BW38">
        <v>83.77</v>
      </c>
      <c r="BX38">
        <v>83.68</v>
      </c>
      <c r="BY38">
        <v>20.39</v>
      </c>
      <c r="BZ38">
        <v>36.81</v>
      </c>
      <c r="CA38">
        <v>36.65</v>
      </c>
      <c r="CB38">
        <v>0.08</v>
      </c>
      <c r="CC38">
        <v>-10.53</v>
      </c>
      <c r="CD38" t="s">
        <v>1791</v>
      </c>
      <c r="CE38" t="s">
        <v>1792</v>
      </c>
      <c r="CF38" s="8">
        <v>-0.93256051282051278</v>
      </c>
      <c r="CG38" s="9">
        <v>1.0363489759199467</v>
      </c>
      <c r="CH38" s="8">
        <v>9.839080810546875</v>
      </c>
      <c r="CI38" s="8">
        <v>-0.16746412217617035</v>
      </c>
      <c r="CJ38" s="8">
        <v>0.12365591526031494</v>
      </c>
      <c r="CK38" s="8">
        <v>-1.0638297535479069E-2</v>
      </c>
      <c r="CL38" s="8">
        <v>0.3055555522441864</v>
      </c>
      <c r="CM38" s="9">
        <v>-1.7390850782394409</v>
      </c>
      <c r="CN38" s="9">
        <v>-0.16061781346797943</v>
      </c>
      <c r="CO38" s="9">
        <v>0.2106727808713913</v>
      </c>
      <c r="CP38" s="9">
        <v>-3.9270881563425064E-2</v>
      </c>
      <c r="CQ38" s="9">
        <v>0.56326907873153687</v>
      </c>
      <c r="CR38">
        <v>29.857894485860978</v>
      </c>
      <c r="CS38">
        <v>0.14795506776903153</v>
      </c>
      <c r="CT38">
        <v>1.6460905349794239</v>
      </c>
      <c r="CU38" s="8">
        <v>2.0180379716679453</v>
      </c>
      <c r="CV38" s="9">
        <v>-0.23300638273358346</v>
      </c>
      <c r="CW38">
        <v>0.06</v>
      </c>
      <c r="CX38" t="e">
        <v>#VALUE!</v>
      </c>
      <c r="CY38" t="s">
        <v>492</v>
      </c>
      <c r="CZ38">
        <v>2.0180379716679453</v>
      </c>
      <c r="DA38" t="e">
        <v>#VALUE!</v>
      </c>
      <c r="DB38" t="s">
        <v>492</v>
      </c>
      <c r="DC38">
        <v>1.9171360730845479</v>
      </c>
      <c r="DD38" t="e">
        <v>#VALUE!</v>
      </c>
      <c r="DE38" t="s">
        <v>492</v>
      </c>
      <c r="DF38">
        <v>1.7758734150677919</v>
      </c>
      <c r="DG38" t="e">
        <v>#VALUE!</v>
      </c>
      <c r="DH38" t="s">
        <v>492</v>
      </c>
      <c r="DI38">
        <v>1.6144303773343562</v>
      </c>
      <c r="DJ38" t="e">
        <v>#VALUE!</v>
      </c>
      <c r="DK38" t="s">
        <v>492</v>
      </c>
      <c r="DL38">
        <v>1.4126265801675617</v>
      </c>
      <c r="DM38">
        <v>-47448000</v>
      </c>
      <c r="DN38">
        <v>2.0180379716679453</v>
      </c>
      <c r="DO38">
        <v>270504900</v>
      </c>
      <c r="DP38">
        <v>922506740</v>
      </c>
      <c r="DQ38">
        <v>4681</v>
      </c>
      <c r="DR38">
        <v>-2.9505984844884581</v>
      </c>
      <c r="DS38">
        <v>1.2693553586535302</v>
      </c>
      <c r="DT38" s="10">
        <v>-0.19000000000000003</v>
      </c>
      <c r="DU38">
        <v>-0.88666666666666671</v>
      </c>
      <c r="DV38">
        <v>-1.0766666666666667</v>
      </c>
      <c r="DW38">
        <v>-2.1053000000000002</v>
      </c>
      <c r="DX38">
        <v>0.54767944565790394</v>
      </c>
      <c r="DY38">
        <v>-2.0134446456277773</v>
      </c>
      <c r="DZ38">
        <v>4965</v>
      </c>
      <c r="EA38">
        <v>-2.0003815016861113</v>
      </c>
      <c r="EB38">
        <v>2</v>
      </c>
      <c r="EC38">
        <v>2.3496581038625022E-2</v>
      </c>
      <c r="ED38">
        <v>0.18402790611716874</v>
      </c>
      <c r="EE38" s="11">
        <v>-3.0127099999999998</v>
      </c>
      <c r="EF38">
        <v>-3.0217100000000001</v>
      </c>
      <c r="EG38">
        <v>42.127679445657904</v>
      </c>
      <c r="EH38" t="s">
        <v>1793</v>
      </c>
      <c r="EI38">
        <v>0</v>
      </c>
      <c r="EJ38">
        <v>0</v>
      </c>
      <c r="EK38" s="13">
        <v>45470</v>
      </c>
      <c r="EL38" s="14">
        <v>-2</v>
      </c>
      <c r="EM38" s="14">
        <v>-4.83</v>
      </c>
      <c r="EN38" s="14">
        <v>0.53</v>
      </c>
      <c r="EO38" s="14">
        <v>3.72</v>
      </c>
      <c r="EP38" s="14">
        <v>-0.9</v>
      </c>
    </row>
    <row r="39" spans="1:146" ht="96" x14ac:dyDescent="0.25">
      <c r="A39" s="6"/>
      <c r="B39" s="6"/>
      <c r="C39" s="6" t="str">
        <f>""&amp;CHAR(10)&amp;Basic_Fundamental_Information_Constructure(F39)&amp;CHAR(10)&amp;Basic_Fundamental_Information_Concatenate("")</f>
        <v xml:space="preserve">
市值88.571712亿, 利润-8663.26万; PE; 平均PE-20.65; 平均PEG0, PB8.1; ROIC3.75%; ROE-16.3333%; 股利率0%; 毛利75.4767%; 净利-50.58%; 上一年度营收增78.02%, 利润增81.95%; 当季营收增17.39%, 利润增-5003.67%; 过往5年营收增6678.35%, 利润增-104.61%
Income profile:
</v>
      </c>
      <c r="D39" t="s">
        <v>57</v>
      </c>
      <c r="E39" t="s">
        <v>503</v>
      </c>
      <c r="F39">
        <v>21.39</v>
      </c>
      <c r="G39">
        <v>5.79</v>
      </c>
      <c r="H39" t="s">
        <v>1794</v>
      </c>
      <c r="I39">
        <v>8857171200</v>
      </c>
      <c r="K39">
        <v>8.1</v>
      </c>
      <c r="L39" t="s">
        <v>30</v>
      </c>
      <c r="M39" t="s">
        <v>1795</v>
      </c>
      <c r="N39" t="s">
        <v>261</v>
      </c>
      <c r="O39" t="s">
        <v>1285</v>
      </c>
      <c r="P39">
        <v>4.3</v>
      </c>
      <c r="Q39" t="s">
        <v>438</v>
      </c>
      <c r="R39">
        <v>-118958055</v>
      </c>
      <c r="S39" s="15">
        <v>0.16569999999999999</v>
      </c>
      <c r="T39" t="s">
        <v>1796</v>
      </c>
      <c r="U39">
        <v>414080000</v>
      </c>
      <c r="V39">
        <v>414080000</v>
      </c>
      <c r="W39">
        <v>2.0699999999999998</v>
      </c>
      <c r="X39">
        <v>7.0000000000000007E-2</v>
      </c>
      <c r="Y39">
        <v>-73.62</v>
      </c>
      <c r="Z39" t="s">
        <v>829</v>
      </c>
      <c r="AA39" t="s">
        <v>1797</v>
      </c>
      <c r="AB39" t="s">
        <v>1798</v>
      </c>
      <c r="AC39" t="s">
        <v>1799</v>
      </c>
      <c r="AD39" t="s">
        <v>5</v>
      </c>
      <c r="AE39">
        <v>3861923</v>
      </c>
      <c r="AF39" t="s">
        <v>72</v>
      </c>
      <c r="AG39" t="s">
        <v>1800</v>
      </c>
      <c r="AH39" t="s">
        <v>1801</v>
      </c>
      <c r="AI39" t="s">
        <v>522</v>
      </c>
      <c r="AJ39" t="s">
        <v>1802</v>
      </c>
      <c r="AK39" t="s">
        <v>5</v>
      </c>
      <c r="AL39" t="s">
        <v>1803</v>
      </c>
      <c r="AM39" t="s">
        <v>5</v>
      </c>
      <c r="AN39" t="s">
        <v>1804</v>
      </c>
      <c r="AO39" t="s">
        <v>116</v>
      </c>
      <c r="AP39" t="s">
        <v>5</v>
      </c>
      <c r="AQ39" t="s">
        <v>359</v>
      </c>
      <c r="AR39" t="s">
        <v>5</v>
      </c>
      <c r="AS39" t="s">
        <v>247</v>
      </c>
      <c r="AT39" t="s">
        <v>223</v>
      </c>
      <c r="AU39" t="s">
        <v>1805</v>
      </c>
      <c r="AV39" t="s">
        <v>1112</v>
      </c>
      <c r="AW39" t="s">
        <v>1806</v>
      </c>
      <c r="AX39" t="s">
        <v>730</v>
      </c>
      <c r="AY39" t="s">
        <v>287</v>
      </c>
      <c r="AZ39" t="s">
        <v>299</v>
      </c>
      <c r="BA39" t="s">
        <v>157</v>
      </c>
      <c r="BB39">
        <v>0</v>
      </c>
      <c r="BC39" t="s">
        <v>770</v>
      </c>
      <c r="BD39" t="s">
        <v>465</v>
      </c>
      <c r="BE39" t="s">
        <v>240</v>
      </c>
      <c r="BF39" t="s">
        <v>158</v>
      </c>
      <c r="BG39" t="s">
        <v>300</v>
      </c>
      <c r="BH39" t="s">
        <v>750</v>
      </c>
      <c r="BI39" t="s">
        <v>127</v>
      </c>
      <c r="BJ39" t="s">
        <v>730</v>
      </c>
      <c r="BK39" t="s">
        <v>1807</v>
      </c>
      <c r="BL39" t="s">
        <v>1808</v>
      </c>
      <c r="BM39" t="s">
        <v>770</v>
      </c>
      <c r="BN39" t="s">
        <v>5</v>
      </c>
      <c r="BO39" t="s">
        <v>5</v>
      </c>
      <c r="BP39">
        <v>3.75</v>
      </c>
      <c r="BQ39">
        <v>-26.99</v>
      </c>
      <c r="BR39">
        <v>-26.01</v>
      </c>
      <c r="BS39">
        <v>4</v>
      </c>
      <c r="BT39" t="s">
        <v>593</v>
      </c>
      <c r="BU39" t="s">
        <v>436</v>
      </c>
      <c r="BV39">
        <v>72.569999999999993</v>
      </c>
      <c r="BW39">
        <v>58.12</v>
      </c>
      <c r="BX39">
        <v>95.74</v>
      </c>
      <c r="BY39">
        <v>-55.98</v>
      </c>
      <c r="BZ39">
        <v>-105.55</v>
      </c>
      <c r="CA39">
        <v>9.7899999999999991</v>
      </c>
      <c r="CB39">
        <v>1.28</v>
      </c>
      <c r="CC39">
        <v>-21.91</v>
      </c>
      <c r="CD39" t="s">
        <v>1809</v>
      </c>
      <c r="CE39" t="s">
        <v>1810</v>
      </c>
      <c r="CF39" s="8">
        <v>0.17391304347826086</v>
      </c>
      <c r="CG39" s="9">
        <v>-50.036668865163442</v>
      </c>
      <c r="CH39" s="8">
        <v>0.78021979331970215</v>
      </c>
      <c r="CI39" s="8">
        <v>-0.45639187097549438</v>
      </c>
      <c r="CJ39" s="8">
        <v>3.5243244171142578</v>
      </c>
      <c r="CK39" s="8">
        <v>263.28570556640625</v>
      </c>
      <c r="CL39" s="8" t="e">
        <v>#VALUE!</v>
      </c>
      <c r="CM39" s="9">
        <v>0.8195154070854187</v>
      </c>
      <c r="CN39" s="9">
        <v>-6.8581957817077637</v>
      </c>
      <c r="CO39" s="9">
        <v>1.1597203016281128</v>
      </c>
      <c r="CP39" s="9">
        <v>0.49853372573852539</v>
      </c>
      <c r="CQ39" s="9">
        <v>-0.84990960359573364</v>
      </c>
      <c r="CR39">
        <v>-20.648524586877215</v>
      </c>
      <c r="CS39">
        <v>-3.0918618476514568E-3</v>
      </c>
      <c r="CT39">
        <v>0</v>
      </c>
      <c r="CU39" s="8">
        <v>66.783464476466179</v>
      </c>
      <c r="CV39" s="9">
        <v>-1.046067190170288</v>
      </c>
      <c r="CW39">
        <v>0.06</v>
      </c>
      <c r="CX39" t="e">
        <v>#VALUE!</v>
      </c>
      <c r="CY39" t="s">
        <v>491</v>
      </c>
      <c r="CZ39">
        <v>66.783464476466179</v>
      </c>
      <c r="DA39" t="e">
        <v>#VALUE!</v>
      </c>
      <c r="DB39" t="s">
        <v>492</v>
      </c>
      <c r="DC39">
        <v>63.44429125264287</v>
      </c>
      <c r="DD39" t="e">
        <v>#VALUE!</v>
      </c>
      <c r="DE39" t="s">
        <v>492</v>
      </c>
      <c r="DF39">
        <v>58.76944873929024</v>
      </c>
      <c r="DG39" t="e">
        <v>#VALUE!</v>
      </c>
      <c r="DH39" t="s">
        <v>492</v>
      </c>
      <c r="DI39">
        <v>53.426771581172943</v>
      </c>
      <c r="DJ39" t="e">
        <v>#VALUE!</v>
      </c>
      <c r="DK39" t="s">
        <v>492</v>
      </c>
      <c r="DL39">
        <v>46.748425133526325</v>
      </c>
      <c r="DM39">
        <v>-86632600</v>
      </c>
      <c r="DN39">
        <v>66.783464476466179</v>
      </c>
      <c r="DO39">
        <v>8837171200</v>
      </c>
      <c r="DP39">
        <v>83848040.000000119</v>
      </c>
      <c r="DQ39">
        <v>4693</v>
      </c>
      <c r="DR39">
        <v>-66.609551432987914</v>
      </c>
      <c r="DS39">
        <v>-48.990601674993151</v>
      </c>
      <c r="DT39" s="10">
        <v>0.75820000000000021</v>
      </c>
      <c r="DU39">
        <v>-2.3483333333333336</v>
      </c>
      <c r="DV39">
        <v>-1.5901333333333334</v>
      </c>
      <c r="DW39">
        <v>-3.0668392857142859</v>
      </c>
      <c r="DX39">
        <v>0.48357172396259446</v>
      </c>
      <c r="DY39">
        <v>-3.0095962314784286</v>
      </c>
      <c r="DZ39">
        <v>4240</v>
      </c>
      <c r="EA39">
        <v>-3.0016338006626677</v>
      </c>
      <c r="EB39">
        <v>3</v>
      </c>
      <c r="EC39">
        <v>2.5071966769706338E-2</v>
      </c>
      <c r="ED39">
        <v>0.17463026468315301</v>
      </c>
      <c r="EE39" s="11">
        <v>-6.0651000000000002</v>
      </c>
      <c r="EF39">
        <v>-6.0414000000000003</v>
      </c>
      <c r="EG39">
        <v>34.143571723962594</v>
      </c>
      <c r="EH39" t="s">
        <v>1811</v>
      </c>
      <c r="EI39">
        <v>0</v>
      </c>
      <c r="EJ39">
        <v>0</v>
      </c>
      <c r="EK39" s="13">
        <v>45470</v>
      </c>
      <c r="EL39" s="14">
        <v>-2.8</v>
      </c>
      <c r="EM39" s="14">
        <v>-6.05</v>
      </c>
      <c r="EN39" s="14">
        <v>3.78</v>
      </c>
      <c r="EO39" s="14">
        <v>4.1399999999999997</v>
      </c>
      <c r="EP39" s="14">
        <v>-2.37</v>
      </c>
    </row>
    <row r="40" spans="1:146" ht="156" x14ac:dyDescent="0.25">
      <c r="A40" s="6"/>
      <c r="B40" s="6" t="s">
        <v>818</v>
      </c>
      <c r="C40" s="6" t="str">
        <f>"公司主营业务为新药的研发及相关技术的转让和服务，新药的生产和销售，其主要产品与服务项目单克隆抗体药物和其他治疗型蛋白药物的研发与产业化，单克隆抗体药物研发的技术服务与技术转让等。"&amp;CHAR(10)&amp;Basic_Fundamental_Information_Constructure(F40)&amp;CHAR(10)&amp;Basic_Fundamental_Information_Concatenate("抗肿瘤类药物 7.36亿 50.64% 50.77% 65.48%
技术许可及特许权使用收入 4.76亿 32.78% 42.92% 85.50%
其他业务 2.41亿 16.58% 6.31% 24.84%")</f>
        <v>公司主营业务为新药的研发及相关技术的转让和服务，新药的生产和销售，其主要产品与服务项目单克隆抗体药物和其他治疗型蛋白药物的研发与产业化，单克隆抗体药物研发的技术服务与技术转让等。
市值295.70696亿, 利润1.07亿; PE; 平均PE-28.89; 平均PEG-.01, PB4.31; ROIC0%; ROE-19.82%; 股利率0%; 毛利66.1267%; 净利-121.5633%; 上一年度营收增-45.01%, 利润增104.48%; 当季营收增99.48%, 利润增-1631.25%; 过往5年营收增5304.29%, 利润增-39.33%
Income profile:
抗肿瘤类药物 7.36亿 50.64% 50.77% 65.48%
技术许可及特许权使用收入 4.76亿 32.78% 42.92% 85.50%
其他业务 2.41亿 16.58% 6.31% 24.84%</v>
      </c>
      <c r="D40" t="s">
        <v>160</v>
      </c>
      <c r="E40" t="s">
        <v>161</v>
      </c>
      <c r="F40">
        <v>30</v>
      </c>
      <c r="G40">
        <v>7.26</v>
      </c>
      <c r="H40" t="s">
        <v>1812</v>
      </c>
      <c r="I40">
        <v>29570696000</v>
      </c>
      <c r="K40">
        <v>4.3099999999999996</v>
      </c>
      <c r="L40" t="s">
        <v>30</v>
      </c>
      <c r="M40" t="s">
        <v>1813</v>
      </c>
      <c r="N40" t="s">
        <v>1814</v>
      </c>
      <c r="O40" t="s">
        <v>588</v>
      </c>
      <c r="P40">
        <v>49.24</v>
      </c>
      <c r="Q40" t="s">
        <v>1815</v>
      </c>
      <c r="R40">
        <v>-283029080</v>
      </c>
      <c r="S40" s="15">
        <v>0.47920000000000001</v>
      </c>
      <c r="T40" t="s">
        <v>115</v>
      </c>
      <c r="U40">
        <v>764548970</v>
      </c>
      <c r="V40">
        <v>985689870</v>
      </c>
      <c r="W40">
        <v>1.71</v>
      </c>
      <c r="X40">
        <v>0.03</v>
      </c>
      <c r="Y40">
        <v>-78.69</v>
      </c>
      <c r="Z40" t="s">
        <v>713</v>
      </c>
      <c r="AA40" t="s">
        <v>406</v>
      </c>
      <c r="AB40" t="s">
        <v>177</v>
      </c>
      <c r="AC40" t="s">
        <v>1335</v>
      </c>
      <c r="AD40" t="s">
        <v>5</v>
      </c>
      <c r="AE40">
        <v>-1552605</v>
      </c>
      <c r="AF40" t="s">
        <v>1816</v>
      </c>
      <c r="AG40" t="s">
        <v>846</v>
      </c>
      <c r="AH40" t="s">
        <v>1817</v>
      </c>
      <c r="AI40" t="s">
        <v>1818</v>
      </c>
      <c r="AJ40" t="s">
        <v>1819</v>
      </c>
      <c r="AK40" t="s">
        <v>5</v>
      </c>
      <c r="AL40" t="s">
        <v>1820</v>
      </c>
      <c r="AM40" t="s">
        <v>5</v>
      </c>
      <c r="AN40" t="s">
        <v>1821</v>
      </c>
      <c r="AO40" t="s">
        <v>1822</v>
      </c>
      <c r="AP40" t="s">
        <v>1823</v>
      </c>
      <c r="AQ40" t="s">
        <v>1824</v>
      </c>
      <c r="AR40" t="s">
        <v>5</v>
      </c>
      <c r="AS40" t="s">
        <v>1825</v>
      </c>
      <c r="AT40" t="s">
        <v>1826</v>
      </c>
      <c r="AU40" t="s">
        <v>1827</v>
      </c>
      <c r="AV40" t="s">
        <v>1828</v>
      </c>
      <c r="AW40" t="s">
        <v>290</v>
      </c>
      <c r="AX40" t="s">
        <v>444</v>
      </c>
      <c r="AY40" t="s">
        <v>466</v>
      </c>
      <c r="AZ40" t="s">
        <v>302</v>
      </c>
      <c r="BA40" t="s">
        <v>164</v>
      </c>
      <c r="BB40" t="s">
        <v>305</v>
      </c>
      <c r="BC40" t="s">
        <v>771</v>
      </c>
      <c r="BD40" t="s">
        <v>467</v>
      </c>
      <c r="BE40" t="s">
        <v>303</v>
      </c>
      <c r="BF40" t="s">
        <v>165</v>
      </c>
      <c r="BG40" t="s">
        <v>306</v>
      </c>
      <c r="BH40" t="s">
        <v>1829</v>
      </c>
      <c r="BI40" t="s">
        <v>842</v>
      </c>
      <c r="BJ40" t="s">
        <v>444</v>
      </c>
      <c r="BK40" t="s">
        <v>1830</v>
      </c>
      <c r="BL40" t="s">
        <v>1831</v>
      </c>
      <c r="BM40" t="s">
        <v>771</v>
      </c>
      <c r="BN40" t="s">
        <v>5</v>
      </c>
      <c r="BO40" t="s">
        <v>5</v>
      </c>
      <c r="BP40" t="s">
        <v>5</v>
      </c>
      <c r="BQ40">
        <v>-15.95</v>
      </c>
      <c r="BR40">
        <v>-32.65</v>
      </c>
      <c r="BS40">
        <v>-10.86</v>
      </c>
      <c r="BT40" t="s">
        <v>593</v>
      </c>
      <c r="BU40" t="s">
        <v>436</v>
      </c>
      <c r="BV40">
        <v>64</v>
      </c>
      <c r="BW40">
        <v>65.3</v>
      </c>
      <c r="BX40">
        <v>69.08</v>
      </c>
      <c r="BY40">
        <v>-168.76</v>
      </c>
      <c r="BZ40">
        <v>-177.78</v>
      </c>
      <c r="CA40">
        <v>-18.149999999999999</v>
      </c>
      <c r="CB40">
        <v>3.27</v>
      </c>
      <c r="CC40">
        <v>6.08</v>
      </c>
      <c r="CD40" t="s">
        <v>1832</v>
      </c>
      <c r="CE40" t="s">
        <v>113</v>
      </c>
      <c r="CF40" s="8">
        <v>0.99476439790575921</v>
      </c>
      <c r="CG40" s="9">
        <v>-16.312526307247005</v>
      </c>
      <c r="CH40" s="8">
        <v>-0.45010322332382202</v>
      </c>
      <c r="CI40" s="8">
        <v>-0.63900619745254517</v>
      </c>
      <c r="CJ40" s="8">
        <v>1.5235108137130737</v>
      </c>
      <c r="CK40" s="8">
        <v>1.0580645799636841</v>
      </c>
      <c r="CL40" s="8">
        <v>263.72195434570312</v>
      </c>
      <c r="CM40" s="9">
        <v>1.0448074340820313</v>
      </c>
      <c r="CN40" s="9">
        <v>-2.3120665550231934</v>
      </c>
      <c r="CO40" s="9">
        <v>0.5680047869682312</v>
      </c>
      <c r="CP40" s="9">
        <v>-1.234270453453064</v>
      </c>
      <c r="CQ40" s="9">
        <v>-3.3195022493600845E-2</v>
      </c>
      <c r="CR40">
        <v>-28.891740107474352</v>
      </c>
      <c r="CS40">
        <v>-5.4468644790819721E-3</v>
      </c>
      <c r="CT40">
        <v>0</v>
      </c>
      <c r="CU40" s="8">
        <v>53.042884063720706</v>
      </c>
      <c r="CV40" s="9">
        <v>-0.39334396198391913</v>
      </c>
      <c r="CW40">
        <v>0.06</v>
      </c>
      <c r="CX40">
        <v>4.8711951919322036</v>
      </c>
      <c r="CY40">
        <v>5455272259.262373</v>
      </c>
      <c r="CZ40">
        <v>53.042884063720706</v>
      </c>
      <c r="DA40">
        <v>2.1344374168148269E-3</v>
      </c>
      <c r="DB40">
        <v>12449976649891.816</v>
      </c>
      <c r="DC40">
        <v>50.390739860534666</v>
      </c>
      <c r="DD40">
        <v>2.932547633359347E-8</v>
      </c>
      <c r="DE40">
        <v>9.0616417267053222E+17</v>
      </c>
      <c r="DF40">
        <v>46.677737976074219</v>
      </c>
      <c r="DG40">
        <v>1.8157981010613649E-14</v>
      </c>
      <c r="DH40">
        <v>1.4634719567372177E+24</v>
      </c>
      <c r="DI40">
        <v>42.434307250976566</v>
      </c>
      <c r="DJ40">
        <v>1.8348513202150617E-29</v>
      </c>
      <c r="DK40">
        <v>1.4482751657984644E+39</v>
      </c>
      <c r="DL40">
        <v>37.130018844604493</v>
      </c>
      <c r="DM40">
        <v>107000000</v>
      </c>
      <c r="DN40">
        <v>53.042884063720706</v>
      </c>
      <c r="DO40">
        <v>26573696000</v>
      </c>
      <c r="DP40">
        <v>3225826400</v>
      </c>
      <c r="DQ40">
        <v>4696</v>
      </c>
      <c r="DR40">
        <v>-52.048119665814944</v>
      </c>
      <c r="DS40">
        <v>-15.919182345263085</v>
      </c>
      <c r="DT40" s="10">
        <v>9.6666666666666679E-2</v>
      </c>
      <c r="DU40">
        <v>-2.6316666666666668</v>
      </c>
      <c r="DV40">
        <v>-2.5350000000000001</v>
      </c>
      <c r="DW40">
        <v>8.5378289473684212</v>
      </c>
      <c r="DX40">
        <v>0.81095467625899464</v>
      </c>
      <c r="DY40">
        <v>8.0704312156853462</v>
      </c>
      <c r="DZ40">
        <v>1957</v>
      </c>
      <c r="EA40">
        <v>8.0434578518700377</v>
      </c>
      <c r="EB40">
        <v>8</v>
      </c>
      <c r="EC40">
        <v>1.8466964665062448E-2</v>
      </c>
      <c r="ED40">
        <v>0.14101798570781701</v>
      </c>
      <c r="EE40" s="11">
        <v>1.0510000000000002E-2</v>
      </c>
      <c r="EF40">
        <v>4.4510000000000008E-2</v>
      </c>
      <c r="EG40">
        <v>68.130954676258995</v>
      </c>
      <c r="EH40">
        <v>-1</v>
      </c>
      <c r="EI40">
        <v>0</v>
      </c>
      <c r="EJ40">
        <v>0</v>
      </c>
      <c r="EK40" s="13">
        <v>45470</v>
      </c>
      <c r="EL40" s="14">
        <v>1.82</v>
      </c>
      <c r="EM40" s="14">
        <v>-4.79</v>
      </c>
      <c r="EN40" s="14">
        <v>-3</v>
      </c>
      <c r="EO40" s="14">
        <v>5.41</v>
      </c>
      <c r="EP40" s="14">
        <v>-3.4</v>
      </c>
    </row>
    <row r="41" spans="1:146" ht="132" x14ac:dyDescent="0.25">
      <c r="A41" s="6" t="s">
        <v>508</v>
      </c>
      <c r="B41" s="6" t="s">
        <v>380</v>
      </c>
      <c r="C41" s="7" t="str">
        <f>"公司的主营业务为研发、生产和商业化符合中国及国际标准的创新型疫苗。公司主要产品为埃博拉病毒病疫苗、脑膜炎疫苗、百白破疫苗、肺炎疫苗、结核病疫苗、带状疱疹疫苗、新冠肺炎疫苗、腺病毒疫苗、脊髓灰质炎疫苗。"&amp;CHAR(10)&amp;Basic_Fundamental_Information_Constructure(F41)&amp;CHAR(10)&amp;Basic_Fundamental_Information_Concatenate("疫苗类产品 43.00亿 100.00% 100.00% 69.85%")</f>
        <v>公司的主营业务为研发、生产和商业化符合中国及国际标准的创新型疫苗。公司主要产品为埃博拉病毒病疫苗、脑膜炎疫苗、百白破疫苗、肺炎疫苗、结核病疫苗、带状疱疹疫苗、新冠肺炎疫苗、腺病毒疫苗、脊髓灰质炎疫苗。
市值104.151662亿, 利润1.09亿; PE; 平均PE148.08; 平均PEG.04, PB2.04; ROIC23.24%; ROE-.2967%; 股利率0%; 毛利52.3233%; 净利-199.9567%; 上一年度营收增265.99%, 利润增111.99%; 当季营收增-86.79%, 利润增-334.61%; 过往5年营收增3667.46%, 利润增76%
Income profile:
疫苗类产品 43.00亿 100.00% 100.00% 69.85%</v>
      </c>
      <c r="D41" t="s">
        <v>166</v>
      </c>
      <c r="E41" t="s">
        <v>468</v>
      </c>
      <c r="F41">
        <v>42.09</v>
      </c>
      <c r="G41">
        <v>6.15</v>
      </c>
      <c r="H41" t="s">
        <v>1833</v>
      </c>
      <c r="I41">
        <v>10415166200</v>
      </c>
      <c r="K41">
        <v>2.04</v>
      </c>
      <c r="L41" t="s">
        <v>30</v>
      </c>
      <c r="M41" t="s">
        <v>1834</v>
      </c>
      <c r="N41" t="s">
        <v>1835</v>
      </c>
      <c r="O41" t="s">
        <v>259</v>
      </c>
      <c r="P41">
        <v>13.65</v>
      </c>
      <c r="Q41" t="s">
        <v>1836</v>
      </c>
      <c r="R41">
        <v>-170095870</v>
      </c>
      <c r="S41" s="5">
        <v>-0.21890000000000001</v>
      </c>
      <c r="T41" t="s">
        <v>497</v>
      </c>
      <c r="U41">
        <v>114778999</v>
      </c>
      <c r="V41">
        <v>247449900</v>
      </c>
      <c r="W41">
        <v>1.68</v>
      </c>
      <c r="X41">
        <v>0.01</v>
      </c>
      <c r="Y41">
        <v>-153.03</v>
      </c>
      <c r="Z41" t="s">
        <v>408</v>
      </c>
      <c r="AA41" t="s">
        <v>1837</v>
      </c>
      <c r="AB41" t="s">
        <v>1838</v>
      </c>
      <c r="AC41" t="s">
        <v>1839</v>
      </c>
      <c r="AD41" t="s">
        <v>5</v>
      </c>
      <c r="AE41">
        <v>-23377286</v>
      </c>
      <c r="AF41" t="s">
        <v>1840</v>
      </c>
      <c r="AG41">
        <v>2425.9899999999998</v>
      </c>
      <c r="AH41" t="s">
        <v>1841</v>
      </c>
      <c r="AI41" t="s">
        <v>1561</v>
      </c>
      <c r="AJ41" t="s">
        <v>1842</v>
      </c>
      <c r="AK41" t="s">
        <v>5</v>
      </c>
      <c r="AL41" t="s">
        <v>1843</v>
      </c>
      <c r="AM41" t="s">
        <v>5</v>
      </c>
      <c r="AN41" t="s">
        <v>563</v>
      </c>
      <c r="AO41" t="s">
        <v>1844</v>
      </c>
      <c r="AP41" t="s">
        <v>5</v>
      </c>
      <c r="AQ41" t="s">
        <v>1845</v>
      </c>
      <c r="AR41" t="s">
        <v>5</v>
      </c>
      <c r="AS41" t="s">
        <v>1034</v>
      </c>
      <c r="AT41" t="s">
        <v>1846</v>
      </c>
      <c r="AU41" t="s">
        <v>1847</v>
      </c>
      <c r="AV41" t="s">
        <v>494</v>
      </c>
      <c r="AW41" t="s">
        <v>430</v>
      </c>
      <c r="AX41" t="s">
        <v>774</v>
      </c>
      <c r="AY41" t="s">
        <v>469</v>
      </c>
      <c r="AZ41" t="s">
        <v>471</v>
      </c>
      <c r="BA41" t="s">
        <v>167</v>
      </c>
      <c r="BB41" t="s">
        <v>308</v>
      </c>
      <c r="BC41" t="s">
        <v>775</v>
      </c>
      <c r="BD41" t="s">
        <v>470</v>
      </c>
      <c r="BE41" t="s">
        <v>307</v>
      </c>
      <c r="BF41" t="s">
        <v>168</v>
      </c>
      <c r="BG41" t="s">
        <v>309</v>
      </c>
      <c r="BH41" t="s">
        <v>214</v>
      </c>
      <c r="BI41" t="s">
        <v>1848</v>
      </c>
      <c r="BJ41" t="s">
        <v>774</v>
      </c>
      <c r="BK41" t="s">
        <v>1849</v>
      </c>
      <c r="BL41" t="s">
        <v>1850</v>
      </c>
      <c r="BM41" t="s">
        <v>775</v>
      </c>
      <c r="BN41" t="s">
        <v>5</v>
      </c>
      <c r="BO41" t="s">
        <v>5</v>
      </c>
      <c r="BP41">
        <v>23.24</v>
      </c>
      <c r="BQ41">
        <v>-15.74</v>
      </c>
      <c r="BR41">
        <v>-12.36</v>
      </c>
      <c r="BS41">
        <v>27.21</v>
      </c>
      <c r="BT41" t="s">
        <v>593</v>
      </c>
      <c r="BU41" t="s">
        <v>513</v>
      </c>
      <c r="BV41">
        <v>27.37</v>
      </c>
      <c r="BW41">
        <v>59.75</v>
      </c>
      <c r="BX41">
        <v>69.849999999999994</v>
      </c>
      <c r="BY41">
        <v>-550.97</v>
      </c>
      <c r="BZ41">
        <v>-93.25</v>
      </c>
      <c r="CA41">
        <v>44.35</v>
      </c>
      <c r="CB41">
        <v>2.4300000000000002</v>
      </c>
      <c r="CC41">
        <v>-21.97</v>
      </c>
      <c r="CD41" t="s">
        <v>1851</v>
      </c>
      <c r="CE41" t="s">
        <v>1852</v>
      </c>
      <c r="CF41" s="8">
        <v>-0.86790266512166858</v>
      </c>
      <c r="CG41" s="9">
        <v>-3.3461046269451349</v>
      </c>
      <c r="CH41" s="8">
        <v>2.6599032878875732</v>
      </c>
      <c r="CI41" s="8">
        <v>-0.75930231809616089</v>
      </c>
      <c r="CJ41" s="8">
        <v>171.76014709472656</v>
      </c>
      <c r="CK41" s="8">
        <v>9.9004116058349609</v>
      </c>
      <c r="CL41" s="8">
        <v>-0.18795120716094971</v>
      </c>
      <c r="CM41" s="9">
        <v>1.1199120283126831</v>
      </c>
      <c r="CN41" s="9">
        <v>-1.474921703338623</v>
      </c>
      <c r="CO41" s="9">
        <v>5.8211588859558105</v>
      </c>
      <c r="CP41" s="9">
        <v>-1.5286624431610107</v>
      </c>
      <c r="CQ41" s="9">
        <v>-0.13768115639686584</v>
      </c>
      <c r="CR41">
        <v>148.0829317535545</v>
      </c>
      <c r="CS41">
        <v>4.0377471985848686E-2</v>
      </c>
      <c r="CT41">
        <v>0</v>
      </c>
      <c r="CU41" s="8">
        <v>36.674641692638396</v>
      </c>
      <c r="CV41" s="9">
        <v>0.75996112227439883</v>
      </c>
      <c r="CW41">
        <v>0.06</v>
      </c>
      <c r="CX41">
        <v>2.4106732062736538</v>
      </c>
      <c r="CY41">
        <v>3874090513.6769671</v>
      </c>
      <c r="CZ41">
        <v>36.674641692638396</v>
      </c>
      <c r="DA41">
        <v>2.1509745912526601E-3</v>
      </c>
      <c r="DB41">
        <v>4341830088546.5894</v>
      </c>
      <c r="DC41">
        <v>34.840909608006477</v>
      </c>
      <c r="DD41">
        <v>8.6706353917437643E-8</v>
      </c>
      <c r="DE41">
        <v>1.0771028624837362E+17</v>
      </c>
      <c r="DF41">
        <v>32.273684689521787</v>
      </c>
      <c r="DG41">
        <v>2.2406853423638516E-13</v>
      </c>
      <c r="DH41">
        <v>4.167995400080351E+22</v>
      </c>
      <c r="DI41">
        <v>29.339713354110717</v>
      </c>
      <c r="DJ41">
        <v>7.946834935878358E-27</v>
      </c>
      <c r="DK41">
        <v>1.1752057612063323E+36</v>
      </c>
      <c r="DL41">
        <v>25.672249184846876</v>
      </c>
      <c r="DM41">
        <v>109000000.00000001</v>
      </c>
      <c r="DN41">
        <v>36.674641692638396</v>
      </c>
      <c r="DO41">
        <v>9339166200</v>
      </c>
      <c r="DP41">
        <v>2920842300</v>
      </c>
      <c r="DQ41">
        <v>4701</v>
      </c>
      <c r="DR41">
        <v>-37.542544357760065</v>
      </c>
      <c r="DS41">
        <v>-4.1060657492195336</v>
      </c>
      <c r="DT41" s="10">
        <v>0.24699999999999997</v>
      </c>
      <c r="DU41">
        <v>-1.986666666666667</v>
      </c>
      <c r="DV41">
        <v>-1.7396666666666671</v>
      </c>
      <c r="DW41">
        <v>-3.0675178571428572</v>
      </c>
      <c r="DX41">
        <v>0.7230655295870867</v>
      </c>
      <c r="DY41">
        <v>-3.0110098351315853</v>
      </c>
      <c r="DZ41">
        <v>3079</v>
      </c>
      <c r="EA41">
        <v>-3.0043759246873285</v>
      </c>
      <c r="EB41">
        <v>3</v>
      </c>
      <c r="EC41">
        <v>2.471934722947958E-2</v>
      </c>
      <c r="ED41">
        <v>0.1515914938741135</v>
      </c>
      <c r="EE41" s="11">
        <v>-6.0313999999999997</v>
      </c>
      <c r="EF41">
        <v>-6.0050999999999997</v>
      </c>
      <c r="EG41">
        <v>56.163065529587087</v>
      </c>
      <c r="EH41" t="s">
        <v>1811</v>
      </c>
      <c r="EI41">
        <v>0</v>
      </c>
      <c r="EJ41">
        <v>0</v>
      </c>
      <c r="EK41" s="13">
        <v>45470</v>
      </c>
      <c r="EL41" s="14">
        <v>-3.06</v>
      </c>
      <c r="EM41" s="14">
        <v>-6.51</v>
      </c>
      <c r="EN41" s="14">
        <v>-0.32</v>
      </c>
      <c r="EO41" s="14">
        <v>4.4400000000000004</v>
      </c>
      <c r="EP41" s="14">
        <v>-2.63</v>
      </c>
    </row>
    <row r="42" spans="1:146" ht="96" x14ac:dyDescent="0.25">
      <c r="A42" s="6"/>
      <c r="B42" s="6" t="s">
        <v>608</v>
      </c>
      <c r="C42" s="7" t="str">
        <f>""&amp;CHAR(10)&amp;Basic_Fundamental_Information_Constructure(F42)&amp;CHAR(10)&amp;Basic_Fundamental_Information_Concatenate("")</f>
        <v xml:space="preserve">
市值262.44283亿, 利润1.82亿; PE119.6; 平均PE122.4; 平均PEG9.65, PB7.24; ROIC14.0467%; ROE14.6167%; 股利率.236%; 毛利87.4933%; 净利19.84%; 上一年度营收增-10.9%, 利润增-25.41%; 当季营收增25.74%, 利润增65.32%; 过往5年营收增12.68%, 利润增26.34%
Income profile:
</v>
      </c>
      <c r="D42" t="s">
        <v>331</v>
      </c>
      <c r="E42" t="s">
        <v>368</v>
      </c>
      <c r="F42">
        <v>63.57</v>
      </c>
      <c r="G42">
        <v>1.55</v>
      </c>
      <c r="H42" t="s">
        <v>961</v>
      </c>
      <c r="I42">
        <v>26244283000</v>
      </c>
      <c r="J42">
        <v>119.6</v>
      </c>
      <c r="K42">
        <v>7.24</v>
      </c>
      <c r="L42" t="s">
        <v>30</v>
      </c>
      <c r="M42" t="s">
        <v>709</v>
      </c>
      <c r="N42" t="s">
        <v>910</v>
      </c>
      <c r="O42" t="s">
        <v>911</v>
      </c>
      <c r="P42">
        <v>26.93</v>
      </c>
      <c r="Q42" t="s">
        <v>716</v>
      </c>
      <c r="R42">
        <v>111383440</v>
      </c>
      <c r="S42" s="5">
        <v>0.51390000000000002</v>
      </c>
      <c r="T42" t="s">
        <v>776</v>
      </c>
      <c r="U42">
        <v>241352520</v>
      </c>
      <c r="V42">
        <v>412840700</v>
      </c>
      <c r="W42">
        <v>1.22</v>
      </c>
      <c r="X42">
        <v>0.13</v>
      </c>
      <c r="Y42">
        <v>19.899999999999999</v>
      </c>
      <c r="Z42" t="s">
        <v>912</v>
      </c>
      <c r="AA42" t="s">
        <v>913</v>
      </c>
      <c r="AB42" t="s">
        <v>772</v>
      </c>
      <c r="AC42" t="s">
        <v>914</v>
      </c>
      <c r="AD42" t="s">
        <v>915</v>
      </c>
      <c r="AE42">
        <v>-8406181</v>
      </c>
      <c r="AF42" t="s">
        <v>916</v>
      </c>
      <c r="AG42" t="s">
        <v>917</v>
      </c>
      <c r="AH42" t="s">
        <v>918</v>
      </c>
      <c r="AI42" t="s">
        <v>575</v>
      </c>
      <c r="AJ42" t="s">
        <v>919</v>
      </c>
      <c r="AK42" t="s">
        <v>5</v>
      </c>
      <c r="AL42" t="s">
        <v>920</v>
      </c>
      <c r="AM42" t="s">
        <v>921</v>
      </c>
      <c r="AN42" t="s">
        <v>922</v>
      </c>
      <c r="AO42" t="s">
        <v>923</v>
      </c>
      <c r="AP42" t="s">
        <v>5</v>
      </c>
      <c r="AQ42" t="s">
        <v>924</v>
      </c>
      <c r="AR42" t="s">
        <v>5</v>
      </c>
      <c r="AS42" t="s">
        <v>310</v>
      </c>
      <c r="AT42" t="s">
        <v>5</v>
      </c>
      <c r="AU42" t="s">
        <v>925</v>
      </c>
      <c r="AV42" t="s">
        <v>926</v>
      </c>
      <c r="AW42" t="s">
        <v>927</v>
      </c>
      <c r="AX42" t="s">
        <v>473</v>
      </c>
      <c r="AY42" t="s">
        <v>332</v>
      </c>
      <c r="AZ42" t="s">
        <v>333</v>
      </c>
      <c r="BA42" t="s">
        <v>334</v>
      </c>
      <c r="BB42" t="s">
        <v>335</v>
      </c>
      <c r="BC42" t="s">
        <v>361</v>
      </c>
      <c r="BD42" t="s">
        <v>79</v>
      </c>
      <c r="BE42" t="s">
        <v>266</v>
      </c>
      <c r="BF42" t="s">
        <v>83</v>
      </c>
      <c r="BG42" t="s">
        <v>336</v>
      </c>
      <c r="BH42" t="s">
        <v>90</v>
      </c>
      <c r="BI42" t="s">
        <v>928</v>
      </c>
      <c r="BJ42" t="s">
        <v>127</v>
      </c>
      <c r="BK42" t="s">
        <v>929</v>
      </c>
      <c r="BL42" t="s">
        <v>930</v>
      </c>
      <c r="BM42" t="s">
        <v>777</v>
      </c>
      <c r="BN42">
        <v>4.72</v>
      </c>
      <c r="BO42">
        <v>8.9600000000000009</v>
      </c>
      <c r="BP42">
        <v>28.46</v>
      </c>
      <c r="BQ42">
        <v>5.21</v>
      </c>
      <c r="BR42">
        <v>9.32</v>
      </c>
      <c r="BS42">
        <v>29.32</v>
      </c>
      <c r="BT42" t="s">
        <v>596</v>
      </c>
      <c r="BU42" t="s">
        <v>513</v>
      </c>
      <c r="BV42">
        <v>85.88</v>
      </c>
      <c r="BW42">
        <v>88.29</v>
      </c>
      <c r="BX42">
        <v>88.31</v>
      </c>
      <c r="BY42">
        <v>10.24</v>
      </c>
      <c r="BZ42">
        <v>20.260000000000002</v>
      </c>
      <c r="CA42">
        <v>29.02</v>
      </c>
      <c r="CB42">
        <v>4.21</v>
      </c>
      <c r="CC42">
        <v>14.64</v>
      </c>
      <c r="CD42" t="s">
        <v>962</v>
      </c>
      <c r="CE42" t="s">
        <v>963</v>
      </c>
      <c r="CF42" s="8">
        <v>0.25742574257425743</v>
      </c>
      <c r="CG42" s="9">
        <v>0.6532180021829016</v>
      </c>
      <c r="CH42" s="8">
        <v>-0.10898502171039581</v>
      </c>
      <c r="CI42" s="8">
        <v>-0.16585700213909149</v>
      </c>
      <c r="CJ42" s="8">
        <v>0.47643435001373291</v>
      </c>
      <c r="CK42" s="8">
        <v>-4.2198233306407928E-2</v>
      </c>
      <c r="CL42" s="8">
        <v>0.47467437386512756</v>
      </c>
      <c r="CM42" s="9">
        <v>-0.25409835577011108</v>
      </c>
      <c r="CN42" s="9">
        <v>-0.41626793146133423</v>
      </c>
      <c r="CO42" s="9">
        <v>0.8914027214050293</v>
      </c>
      <c r="CP42" s="9">
        <v>0.7265625</v>
      </c>
      <c r="CQ42" s="9">
        <v>0.36927393078804016</v>
      </c>
      <c r="CR42">
        <v>122.40040538517422</v>
      </c>
      <c r="CS42">
        <v>9.6519864816627869</v>
      </c>
      <c r="CT42">
        <v>0.23596035865974516</v>
      </c>
      <c r="CU42" s="8">
        <v>0.12681369334459305</v>
      </c>
      <c r="CV42" s="9">
        <v>0.26337457299232481</v>
      </c>
      <c r="CW42">
        <v>0.06</v>
      </c>
      <c r="CX42">
        <v>121.04236796011078</v>
      </c>
      <c r="CY42">
        <v>193471785.08369431</v>
      </c>
      <c r="CZ42">
        <v>0.12681369334459305</v>
      </c>
      <c r="DA42">
        <v>38.346508830259289</v>
      </c>
      <c r="DB42">
        <v>610701826.95538104</v>
      </c>
      <c r="DC42">
        <v>0.12047300867736339</v>
      </c>
      <c r="DD42">
        <v>18.099175163462498</v>
      </c>
      <c r="DE42">
        <v>1293886753.8712697</v>
      </c>
      <c r="DF42">
        <v>0.11159605014324189</v>
      </c>
      <c r="DG42">
        <v>10.356779529426687</v>
      </c>
      <c r="DH42">
        <v>2261154921.1279144</v>
      </c>
      <c r="DI42">
        <v>0.10145095467567444</v>
      </c>
      <c r="DJ42">
        <v>4.7992349121435165</v>
      </c>
      <c r="DK42">
        <v>4879586731.7819052</v>
      </c>
      <c r="DL42">
        <v>8.8769585341215138E-2</v>
      </c>
      <c r="DM42">
        <v>182000000</v>
      </c>
      <c r="DN42">
        <v>0.12681369334459305</v>
      </c>
      <c r="DO42">
        <v>23418283000</v>
      </c>
      <c r="DP42">
        <v>990790500</v>
      </c>
      <c r="DQ42">
        <v>4750</v>
      </c>
      <c r="DR42">
        <v>0.13061204922966438</v>
      </c>
      <c r="DS42">
        <v>0.3898434291905768</v>
      </c>
      <c r="DT42" s="10">
        <v>-0.35666666666666669</v>
      </c>
      <c r="DU42">
        <v>0.5033333333333333</v>
      </c>
      <c r="DV42">
        <v>0.14666666666666661</v>
      </c>
      <c r="DW42">
        <v>8.2875683060109289</v>
      </c>
      <c r="DX42">
        <v>0.36693177188595827</v>
      </c>
      <c r="DY42">
        <v>8.0652583852213038</v>
      </c>
      <c r="DZ42">
        <v>1854</v>
      </c>
      <c r="EA42">
        <v>8.0414087802143452</v>
      </c>
      <c r="EB42">
        <v>8</v>
      </c>
      <c r="EC42">
        <v>2.7524418014018483E-2</v>
      </c>
      <c r="ED42">
        <v>0.12128939806564615</v>
      </c>
      <c r="EE42" s="11">
        <v>6.1100000000000002E-2</v>
      </c>
      <c r="EF42">
        <v>7.6600000000000001E-2</v>
      </c>
      <c r="EG42">
        <v>14.226931771885958</v>
      </c>
      <c r="EH42" t="s">
        <v>493</v>
      </c>
      <c r="EI42">
        <v>0</v>
      </c>
      <c r="EJ42">
        <v>0</v>
      </c>
      <c r="EK42" s="13">
        <v>45196</v>
      </c>
      <c r="EL42" s="14">
        <v>0.49</v>
      </c>
      <c r="EM42" s="14">
        <v>-2.46E-2</v>
      </c>
      <c r="EN42" s="14">
        <v>4.2</v>
      </c>
      <c r="EO42" s="14">
        <v>0.48</v>
      </c>
      <c r="EP42" s="14">
        <v>1.55</v>
      </c>
    </row>
    <row r="43" spans="1:146" ht="168" x14ac:dyDescent="0.25">
      <c r="A43" s="6" t="s">
        <v>824</v>
      </c>
      <c r="B43" s="6"/>
      <c r="C43" s="7" t="str">
        <f>"公司是一家主要从事重组蛋白质及其长效修饰药物研发、生产及销售的国家创新型生物医药企业，已开发完成4个治疗用生物技术产品派格宾、特尔立、特尔津、特尔康，用于病毒性肝炎、恶性肿瘤等疾病的治疗。 "&amp;CHAR(10)&amp;Basic_Fundamental_Information_Constructure(F43)&amp;CHAR(10)&amp;Basic_Fundamental_Information_Concatenate("派格宾 11.61亿 76.01% 76.50% 89.49%
特尔津 1.91亿 12.51% 12.15% 86.36%
特尔康 9901.13万 6.48% 6.52% 89.44%
特尔立 6639.22万 4.35% 4.23% 86.54%")</f>
        <v>公司是一家主要从事重组蛋白质及其长效修饰药物研发、生产及销售的国家创新型生物医药企业，已开发完成4个治疗用生物技术产品派格宾、特尔立、特尔津、特尔康，用于病毒性肝炎、恶性肿瘤等疾病的治疗。 
市值220.81104亿, 利润1.75亿; PE36.8; 平均PE157.67; 平均PEG10.36, PB11.01; ROIC20.6267%; ROE20.9833%; 股利率.7553%; 毛利90.4%; 净利20.4167%; 上一年度营收增-73.08%, 利润增-39.02%; 当季营收增515.12%, 利润增223.22%; 过往5年营收增15.22%, 利润增91.6%
Income profile:
派格宾 11.61亿 76.01% 76.50% 89.49%
特尔津 1.91亿 12.51% 12.15% 86.36%
特尔康 9901.13万 6.48% 6.52% 89.44%
特尔立 6639.22万 4.35% 4.23% 86.54%</v>
      </c>
      <c r="D43" t="s">
        <v>32</v>
      </c>
      <c r="E43" t="s">
        <v>33</v>
      </c>
      <c r="F43">
        <v>54.28</v>
      </c>
      <c r="G43">
        <v>6.02</v>
      </c>
      <c r="H43" t="s">
        <v>1853</v>
      </c>
      <c r="I43">
        <v>22081104000</v>
      </c>
      <c r="J43">
        <v>36.799999999999997</v>
      </c>
      <c r="K43">
        <v>11.01</v>
      </c>
      <c r="L43" t="s">
        <v>30</v>
      </c>
      <c r="M43" t="s">
        <v>1854</v>
      </c>
      <c r="N43" t="s">
        <v>1855</v>
      </c>
      <c r="O43" t="s">
        <v>743</v>
      </c>
      <c r="P43">
        <v>30.05</v>
      </c>
      <c r="Q43" t="s">
        <v>1856</v>
      </c>
      <c r="R43">
        <v>128807591</v>
      </c>
      <c r="S43" s="5">
        <v>0.53029999999999999</v>
      </c>
      <c r="T43" t="s">
        <v>815</v>
      </c>
      <c r="U43">
        <v>406800000</v>
      </c>
      <c r="V43">
        <v>406800000</v>
      </c>
      <c r="W43">
        <v>1.21</v>
      </c>
      <c r="X43">
        <v>0.23</v>
      </c>
      <c r="Y43">
        <v>23.62</v>
      </c>
      <c r="Z43" t="s">
        <v>957</v>
      </c>
      <c r="AA43" t="s">
        <v>1857</v>
      </c>
      <c r="AB43" t="s">
        <v>545</v>
      </c>
      <c r="AC43" t="s">
        <v>1858</v>
      </c>
      <c r="AD43" t="s">
        <v>5</v>
      </c>
      <c r="AE43">
        <v>-750943</v>
      </c>
      <c r="AF43" t="s">
        <v>1859</v>
      </c>
      <c r="AG43" t="s">
        <v>1860</v>
      </c>
      <c r="AH43" t="s">
        <v>1861</v>
      </c>
      <c r="AI43" t="s">
        <v>313</v>
      </c>
      <c r="AJ43" t="s">
        <v>1862</v>
      </c>
      <c r="AK43" t="s">
        <v>1863</v>
      </c>
      <c r="AL43" t="s">
        <v>1864</v>
      </c>
      <c r="AM43" t="s">
        <v>5</v>
      </c>
      <c r="AN43" t="s">
        <v>763</v>
      </c>
      <c r="AO43" t="s">
        <v>5</v>
      </c>
      <c r="AP43" t="s">
        <v>5</v>
      </c>
      <c r="AQ43" t="s">
        <v>1865</v>
      </c>
      <c r="AR43" t="s">
        <v>5</v>
      </c>
      <c r="AS43" t="s">
        <v>1866</v>
      </c>
      <c r="AT43" t="s">
        <v>5</v>
      </c>
      <c r="AU43" t="s">
        <v>1867</v>
      </c>
      <c r="AV43" t="s">
        <v>501</v>
      </c>
      <c r="AW43" t="s">
        <v>1868</v>
      </c>
      <c r="AX43" t="s">
        <v>778</v>
      </c>
      <c r="AY43" t="s">
        <v>474</v>
      </c>
      <c r="AZ43" t="s">
        <v>310</v>
      </c>
      <c r="BA43" t="s">
        <v>170</v>
      </c>
      <c r="BB43" t="s">
        <v>311</v>
      </c>
      <c r="BC43" t="s">
        <v>740</v>
      </c>
      <c r="BD43" t="s">
        <v>475</v>
      </c>
      <c r="BE43" t="s">
        <v>75</v>
      </c>
      <c r="BF43" t="s">
        <v>171</v>
      </c>
      <c r="BG43" t="s">
        <v>312</v>
      </c>
      <c r="BH43" t="s">
        <v>1869</v>
      </c>
      <c r="BI43" t="s">
        <v>1870</v>
      </c>
      <c r="BJ43" t="s">
        <v>778</v>
      </c>
      <c r="BK43" t="s">
        <v>139</v>
      </c>
      <c r="BL43" t="s">
        <v>1871</v>
      </c>
      <c r="BM43" t="s">
        <v>740</v>
      </c>
      <c r="BN43">
        <v>23.59</v>
      </c>
      <c r="BO43">
        <v>21.93</v>
      </c>
      <c r="BP43">
        <v>16.36</v>
      </c>
      <c r="BQ43">
        <v>23.75</v>
      </c>
      <c r="BR43">
        <v>22.41</v>
      </c>
      <c r="BS43">
        <v>16.79</v>
      </c>
      <c r="BT43" t="s">
        <v>1872</v>
      </c>
      <c r="BU43" t="s">
        <v>436</v>
      </c>
      <c r="BV43">
        <v>93.33</v>
      </c>
      <c r="BW43">
        <v>88.92</v>
      </c>
      <c r="BX43">
        <v>88.95</v>
      </c>
      <c r="BY43">
        <v>26.45</v>
      </c>
      <c r="BZ43">
        <v>18.8</v>
      </c>
      <c r="CA43">
        <v>16</v>
      </c>
      <c r="CB43">
        <v>1.36</v>
      </c>
      <c r="CC43">
        <v>-2.83</v>
      </c>
      <c r="CD43" t="s">
        <v>1873</v>
      </c>
      <c r="CE43" t="s">
        <v>1874</v>
      </c>
      <c r="CF43" s="8">
        <v>5.1512484777070853</v>
      </c>
      <c r="CG43" s="9">
        <v>2.2321649461253945</v>
      </c>
      <c r="CH43" s="8">
        <v>-0.73084473609924316</v>
      </c>
      <c r="CI43" s="8">
        <v>0.34893998503684998</v>
      </c>
      <c r="CJ43" s="8">
        <v>0.42569270730018616</v>
      </c>
      <c r="CK43" s="8">
        <v>8.7671235203742981E-2</v>
      </c>
      <c r="CL43" s="8">
        <v>0.62946426868438721</v>
      </c>
      <c r="CM43" s="9">
        <v>-0.39024388790130615</v>
      </c>
      <c r="CN43" s="9">
        <v>0.58563536405563354</v>
      </c>
      <c r="CO43" s="9">
        <v>0.54700857400894165</v>
      </c>
      <c r="CP43" s="9">
        <v>0.81976830959320068</v>
      </c>
      <c r="CQ43" s="9">
        <v>3.0176405906677246</v>
      </c>
      <c r="CR43">
        <v>157.66646261178195</v>
      </c>
      <c r="CS43">
        <v>10.360205124027202</v>
      </c>
      <c r="CT43">
        <v>0.7553426676492262</v>
      </c>
      <c r="CU43" s="8">
        <v>0.15218469202518464</v>
      </c>
      <c r="CV43" s="9">
        <v>0.91596179008483891</v>
      </c>
      <c r="CW43">
        <v>0.06</v>
      </c>
      <c r="CX43">
        <v>108.06536432577784</v>
      </c>
      <c r="CY43">
        <v>190219170.85321444</v>
      </c>
      <c r="CZ43">
        <v>0.15218469202518464</v>
      </c>
      <c r="DA43">
        <v>33.515964085029239</v>
      </c>
      <c r="DB43">
        <v>613322772.03333998</v>
      </c>
      <c r="DC43">
        <v>0.14457545742392541</v>
      </c>
      <c r="DD43">
        <v>15.360518702959775</v>
      </c>
      <c r="DE43">
        <v>1338242828.7424371</v>
      </c>
      <c r="DF43">
        <v>0.13392252898216248</v>
      </c>
      <c r="DG43">
        <v>8.4905115469932735</v>
      </c>
      <c r="DH43">
        <v>2421067786.8142691</v>
      </c>
      <c r="DI43">
        <v>0.12174775362014773</v>
      </c>
      <c r="DJ43">
        <v>3.6285250145861441</v>
      </c>
      <c r="DK43">
        <v>5665140495.7572136</v>
      </c>
      <c r="DL43">
        <v>0.10652928441762924</v>
      </c>
      <c r="DM43">
        <v>175000000</v>
      </c>
      <c r="DN43">
        <v>0.15218469202518464</v>
      </c>
      <c r="DO43">
        <v>20556104000</v>
      </c>
      <c r="DP43">
        <v>988597210</v>
      </c>
      <c r="DQ43">
        <v>4780</v>
      </c>
      <c r="DR43">
        <v>4.9990637856819005</v>
      </c>
      <c r="DS43">
        <v>1.3162031560405556</v>
      </c>
      <c r="DT43" s="10">
        <v>-0.29000000000000004</v>
      </c>
      <c r="DU43">
        <v>1.325</v>
      </c>
      <c r="DV43">
        <v>1.0349999999999999</v>
      </c>
      <c r="DW43">
        <v>-1.0283</v>
      </c>
      <c r="DX43">
        <v>0.62366019655676808</v>
      </c>
      <c r="DY43">
        <v>-1.0037825835625565</v>
      </c>
      <c r="DZ43">
        <v>96</v>
      </c>
      <c r="EA43">
        <v>-1.0037115213273304</v>
      </c>
      <c r="EB43">
        <v>1</v>
      </c>
      <c r="EC43">
        <v>1.6471976401179943E-2</v>
      </c>
      <c r="ED43">
        <v>0.12323770894788595</v>
      </c>
      <c r="EE43" s="11">
        <v>4.0392099999999997</v>
      </c>
      <c r="EF43">
        <v>4.0549099999999996</v>
      </c>
      <c r="EG43">
        <v>49.133660196556768</v>
      </c>
      <c r="EH43" t="s">
        <v>1716</v>
      </c>
      <c r="EI43">
        <v>0</v>
      </c>
      <c r="EJ43">
        <v>1</v>
      </c>
      <c r="EK43" s="13">
        <v>45470</v>
      </c>
      <c r="EL43" s="14">
        <v>0.69</v>
      </c>
      <c r="EM43" s="14">
        <v>-5.12</v>
      </c>
      <c r="EN43" s="14">
        <v>-2.0699999999999998</v>
      </c>
      <c r="EO43" s="14">
        <v>4.82</v>
      </c>
      <c r="EP43" s="14">
        <v>-1.57</v>
      </c>
    </row>
    <row r="44" spans="1:146" ht="120" x14ac:dyDescent="0.25">
      <c r="A44" s="6" t="s">
        <v>607</v>
      </c>
      <c r="B44" s="6" t="s">
        <v>381</v>
      </c>
      <c r="C44" s="7" t="str">
        <f>""&amp;CHAR(10)&amp;Basic_Fundamental_Information_Constructure(F44)&amp;CHAR(10)&amp;Basic_Fundamental_Information_Concatenate("原料产品40.37%（毛利76.12%） 功能性护肤品33.66%（毛利78.54%） 医疗终端产品25.94%（毛利86.67%) 其他0.02%(毛利36.17%）")</f>
        <v xml:space="preserve">
市值36.391784亿, 利润5355.53万; PE; 平均PE125.33; 平均PEG1.64, PB4.07; ROIC7.43%; ROE8.05%; 股利率.4241%; 毛利93.4467%; 净利9.7733%; 上一年度营收增104.02%, 利润增101.51%; 当季营收增-74.35%, 利润增-220.95%; 过往5年营收增76.36%, 利润增75.62%
Income profile:
原料产品40.37%（毛利76.12%） 功能性护肤品33.66%（毛利78.54%） 医疗终端产品25.94%（毛利86.67%) 其他0.02%(毛利36.17%）</v>
      </c>
      <c r="D44" t="s">
        <v>337</v>
      </c>
      <c r="E44" t="s">
        <v>338</v>
      </c>
      <c r="F44">
        <v>8.9600000000000009</v>
      </c>
      <c r="G44">
        <v>1.59</v>
      </c>
      <c r="H44" t="s">
        <v>1875</v>
      </c>
      <c r="I44">
        <v>3639178400</v>
      </c>
      <c r="K44">
        <v>4.07</v>
      </c>
      <c r="L44" t="s">
        <v>30</v>
      </c>
      <c r="M44" t="s">
        <v>1613</v>
      </c>
      <c r="N44" t="s">
        <v>1876</v>
      </c>
      <c r="O44" t="s">
        <v>1877</v>
      </c>
      <c r="P44">
        <v>5.87</v>
      </c>
      <c r="Q44" t="s">
        <v>1878</v>
      </c>
      <c r="R44">
        <v>-25996930</v>
      </c>
      <c r="S44" s="5">
        <v>-7.7460000000000004</v>
      </c>
      <c r="T44" t="s">
        <v>1879</v>
      </c>
      <c r="U44">
        <v>405409300</v>
      </c>
      <c r="V44">
        <v>406158300</v>
      </c>
      <c r="W44">
        <v>1.76</v>
      </c>
      <c r="X44">
        <v>0.04</v>
      </c>
      <c r="Y44">
        <v>-38.549999999999997</v>
      </c>
      <c r="Z44" t="s">
        <v>497</v>
      </c>
      <c r="AA44" t="s">
        <v>1880</v>
      </c>
      <c r="AB44" t="s">
        <v>1881</v>
      </c>
      <c r="AC44" t="s">
        <v>1882</v>
      </c>
      <c r="AD44" t="s">
        <v>5</v>
      </c>
      <c r="AE44">
        <v>2276255</v>
      </c>
      <c r="AF44" t="s">
        <v>1883</v>
      </c>
      <c r="AG44" t="s">
        <v>1884</v>
      </c>
      <c r="AH44" t="s">
        <v>1885</v>
      </c>
      <c r="AI44" t="s">
        <v>518</v>
      </c>
      <c r="AJ44" t="s">
        <v>1886</v>
      </c>
      <c r="AK44" t="s">
        <v>1887</v>
      </c>
      <c r="AL44" t="s">
        <v>1888</v>
      </c>
      <c r="AM44" t="s">
        <v>5</v>
      </c>
      <c r="AN44" t="s">
        <v>945</v>
      </c>
      <c r="AO44" t="s">
        <v>1889</v>
      </c>
      <c r="AP44" t="s">
        <v>5</v>
      </c>
      <c r="AQ44" t="s">
        <v>1890</v>
      </c>
      <c r="AR44" t="s">
        <v>5</v>
      </c>
      <c r="AS44" t="s">
        <v>865</v>
      </c>
      <c r="AT44" t="s">
        <v>944</v>
      </c>
      <c r="AU44" t="s">
        <v>1891</v>
      </c>
      <c r="AV44" t="s">
        <v>1892</v>
      </c>
      <c r="AW44" t="s">
        <v>1893</v>
      </c>
      <c r="AX44" t="s">
        <v>585</v>
      </c>
      <c r="AY44" t="s">
        <v>92</v>
      </c>
      <c r="AZ44" t="s">
        <v>108</v>
      </c>
      <c r="BA44" t="s">
        <v>90</v>
      </c>
      <c r="BB44" t="s">
        <v>340</v>
      </c>
      <c r="BC44" t="s">
        <v>779</v>
      </c>
      <c r="BD44" t="s">
        <v>406</v>
      </c>
      <c r="BE44" t="s">
        <v>339</v>
      </c>
      <c r="BF44" t="s">
        <v>341</v>
      </c>
      <c r="BG44" t="s">
        <v>342</v>
      </c>
      <c r="BH44" t="s">
        <v>1568</v>
      </c>
      <c r="BI44" t="s">
        <v>219</v>
      </c>
      <c r="BJ44" t="s">
        <v>585</v>
      </c>
      <c r="BK44" t="s">
        <v>1894</v>
      </c>
      <c r="BL44" t="s">
        <v>1895</v>
      </c>
      <c r="BM44" t="s">
        <v>779</v>
      </c>
      <c r="BN44">
        <v>2.68</v>
      </c>
      <c r="BO44">
        <v>2.83</v>
      </c>
      <c r="BP44">
        <v>16.78</v>
      </c>
      <c r="BQ44">
        <v>3.36</v>
      </c>
      <c r="BR44">
        <v>3.1</v>
      </c>
      <c r="BS44">
        <v>17.690000000000001</v>
      </c>
      <c r="BT44" t="s">
        <v>1896</v>
      </c>
      <c r="BU44" t="s">
        <v>513</v>
      </c>
      <c r="BV44">
        <v>93.55</v>
      </c>
      <c r="BW44">
        <v>92.86</v>
      </c>
      <c r="BX44">
        <v>93.93</v>
      </c>
      <c r="BY44">
        <v>2.31</v>
      </c>
      <c r="BZ44">
        <v>4.8499999999999996</v>
      </c>
      <c r="CA44">
        <v>22.16</v>
      </c>
      <c r="CB44">
        <v>0.11</v>
      </c>
      <c r="CC44">
        <v>5.76</v>
      </c>
      <c r="CD44" t="s">
        <v>1897</v>
      </c>
      <c r="CE44" t="s">
        <v>717</v>
      </c>
      <c r="CF44" s="8">
        <v>-0.74348297101449279</v>
      </c>
      <c r="CG44" s="9">
        <v>-2.2094520535199211</v>
      </c>
      <c r="CH44" s="8">
        <v>1.0402194261550903</v>
      </c>
      <c r="CI44" s="8">
        <v>0.12320328503847122</v>
      </c>
      <c r="CJ44" s="8">
        <v>0.52187502384185791</v>
      </c>
      <c r="CK44" s="8">
        <v>0.78770947456359863</v>
      </c>
      <c r="CL44" s="8">
        <v>1.3449208736419678</v>
      </c>
      <c r="CM44" s="9">
        <v>1.0150918960571289</v>
      </c>
      <c r="CN44" s="9">
        <v>-0.75391572713851929</v>
      </c>
      <c r="CO44" s="9">
        <v>1.9891891479492187</v>
      </c>
      <c r="CP44" s="9">
        <v>2.1639659404754639</v>
      </c>
      <c r="CQ44" s="9">
        <v>-0.63312268257141113</v>
      </c>
      <c r="CR44">
        <v>125.33397162473287</v>
      </c>
      <c r="CS44">
        <v>1.6413872772367495</v>
      </c>
      <c r="CT44">
        <v>0.42410714285714285</v>
      </c>
      <c r="CU44" s="8">
        <v>0.76358561664819713</v>
      </c>
      <c r="CV44" s="9">
        <v>0.7562417149543762</v>
      </c>
      <c r="CW44">
        <v>0.06</v>
      </c>
      <c r="CX44">
        <v>38.305915757670391</v>
      </c>
      <c r="CY44">
        <v>89103166.769131318</v>
      </c>
      <c r="CZ44">
        <v>0.76358561664819713</v>
      </c>
      <c r="DA44">
        <v>7.419257374849292</v>
      </c>
      <c r="DB44">
        <v>460043132.02159697</v>
      </c>
      <c r="DC44">
        <v>0.72540633581578728</v>
      </c>
      <c r="DD44">
        <v>1.6199347286616175</v>
      </c>
      <c r="DE44">
        <v>2106985139.3456771</v>
      </c>
      <c r="DF44">
        <v>0.67195534265041346</v>
      </c>
      <c r="DG44">
        <v>0.33687098379060532</v>
      </c>
      <c r="DH44">
        <v>10132004726.53824</v>
      </c>
      <c r="DI44">
        <v>0.61086849331855775</v>
      </c>
      <c r="DJ44">
        <v>1.2067608731529029E-2</v>
      </c>
      <c r="DK44">
        <v>282838006761.2229</v>
      </c>
      <c r="DL44">
        <v>0.53450993165373795</v>
      </c>
      <c r="DM44">
        <v>53555300</v>
      </c>
      <c r="DN44">
        <v>0.76358561664819713</v>
      </c>
      <c r="DO44">
        <v>3413178400</v>
      </c>
      <c r="DP44">
        <v>463224120</v>
      </c>
      <c r="DQ44">
        <v>4818</v>
      </c>
      <c r="DR44">
        <v>-1.5070685876626899</v>
      </c>
      <c r="DS44">
        <v>-2.9656937684742974</v>
      </c>
      <c r="DT44" s="10">
        <v>0.45999999999999991</v>
      </c>
      <c r="DU44">
        <v>-0.6246666666666667</v>
      </c>
      <c r="DV44">
        <v>-0.16466666666666679</v>
      </c>
      <c r="DW44">
        <v>1.0576000000000001</v>
      </c>
      <c r="DX44">
        <v>0.27071621621621755</v>
      </c>
      <c r="DY44">
        <v>1.0034972540540541</v>
      </c>
      <c r="DZ44">
        <v>3256</v>
      </c>
      <c r="EA44">
        <v>1.0012688667350718</v>
      </c>
      <c r="EB44">
        <v>1</v>
      </c>
      <c r="EC44">
        <v>1.6593283948647609E-2</v>
      </c>
      <c r="ED44">
        <v>0.27329245764520882</v>
      </c>
      <c r="EE44" s="11">
        <v>-2.0683099999999999</v>
      </c>
      <c r="EF44">
        <v>-2.0895100000000002</v>
      </c>
      <c r="EG44">
        <v>21.060716216216218</v>
      </c>
      <c r="EH44" t="s">
        <v>731</v>
      </c>
      <c r="EI44">
        <v>0</v>
      </c>
      <c r="EJ44">
        <v>0</v>
      </c>
      <c r="EK44" s="13">
        <v>45470</v>
      </c>
      <c r="EL44" s="14">
        <v>-1.44</v>
      </c>
      <c r="EM44" s="14">
        <v>-3.47</v>
      </c>
      <c r="EN44" s="14">
        <v>0.61</v>
      </c>
      <c r="EO44" s="14">
        <v>1.79</v>
      </c>
      <c r="EP44" s="14">
        <v>-2.12</v>
      </c>
    </row>
    <row r="45" spans="1:146" x14ac:dyDescent="0.25">
      <c r="D45" t="s">
        <v>1898</v>
      </c>
      <c r="E45" t="s">
        <v>1899</v>
      </c>
      <c r="F45">
        <v>39.799999999999997</v>
      </c>
      <c r="G45">
        <v>3.24</v>
      </c>
      <c r="H45" t="s">
        <v>1900</v>
      </c>
      <c r="I45">
        <v>21664417000</v>
      </c>
      <c r="K45">
        <v>7.04</v>
      </c>
      <c r="L45" t="s">
        <v>30</v>
      </c>
      <c r="M45" t="s">
        <v>1901</v>
      </c>
      <c r="N45" t="s">
        <v>1902</v>
      </c>
      <c r="O45" t="s">
        <v>577</v>
      </c>
      <c r="P45" s="5">
        <v>96.41</v>
      </c>
      <c r="Q45" t="s">
        <v>581</v>
      </c>
      <c r="R45">
        <v>-348921700</v>
      </c>
      <c r="S45">
        <v>-7.7700000000000005E-2</v>
      </c>
      <c r="T45" t="s">
        <v>907</v>
      </c>
      <c r="U45">
        <v>161947710</v>
      </c>
      <c r="V45">
        <v>544332080</v>
      </c>
      <c r="W45">
        <v>1.78</v>
      </c>
      <c r="X45">
        <v>0.06</v>
      </c>
      <c r="Y45">
        <v>-105.59</v>
      </c>
      <c r="Z45" t="s">
        <v>1613</v>
      </c>
      <c r="AA45" t="s">
        <v>1903</v>
      </c>
      <c r="AB45" t="s">
        <v>94</v>
      </c>
      <c r="AC45" t="s">
        <v>1904</v>
      </c>
      <c r="AD45" t="s">
        <v>5</v>
      </c>
      <c r="AE45">
        <v>10711671</v>
      </c>
      <c r="AF45" t="s">
        <v>1905</v>
      </c>
      <c r="AG45" t="s">
        <v>1906</v>
      </c>
      <c r="AH45" t="s">
        <v>1907</v>
      </c>
      <c r="AI45" t="s">
        <v>229</v>
      </c>
      <c r="AJ45" t="s">
        <v>1908</v>
      </c>
      <c r="AK45" t="s">
        <v>717</v>
      </c>
      <c r="AL45" t="s">
        <v>1909</v>
      </c>
      <c r="AM45" t="s">
        <v>5</v>
      </c>
      <c r="AN45" t="s">
        <v>229</v>
      </c>
      <c r="AO45" t="s">
        <v>1910</v>
      </c>
      <c r="AP45" t="s">
        <v>5</v>
      </c>
      <c r="AQ45" t="s">
        <v>728</v>
      </c>
      <c r="AR45" t="s">
        <v>5</v>
      </c>
      <c r="AS45" t="s">
        <v>89</v>
      </c>
      <c r="AT45" t="s">
        <v>246</v>
      </c>
      <c r="AU45" t="s">
        <v>1911</v>
      </c>
      <c r="AV45" t="s">
        <v>1912</v>
      </c>
      <c r="AW45" t="s">
        <v>419</v>
      </c>
      <c r="AX45" t="s">
        <v>869</v>
      </c>
      <c r="AY45" t="s">
        <v>1913</v>
      </c>
      <c r="AZ45" t="s">
        <v>1914</v>
      </c>
      <c r="BA45" t="s">
        <v>1915</v>
      </c>
      <c r="BB45" t="s">
        <v>1916</v>
      </c>
      <c r="BC45" t="s">
        <v>1917</v>
      </c>
      <c r="BD45" t="s">
        <v>219</v>
      </c>
      <c r="BE45" t="s">
        <v>1918</v>
      </c>
      <c r="BF45" t="s">
        <v>1919</v>
      </c>
      <c r="BG45" t="s">
        <v>725</v>
      </c>
      <c r="BH45" t="s">
        <v>1920</v>
      </c>
      <c r="BI45" t="s">
        <v>896</v>
      </c>
      <c r="BJ45" t="s">
        <v>869</v>
      </c>
      <c r="BK45" t="s">
        <v>1921</v>
      </c>
      <c r="BL45" t="s">
        <v>1922</v>
      </c>
      <c r="BM45" t="s">
        <v>1917</v>
      </c>
      <c r="BN45" t="s">
        <v>5</v>
      </c>
      <c r="BO45" t="s">
        <v>5</v>
      </c>
      <c r="BP45" t="s">
        <v>5</v>
      </c>
      <c r="BQ45">
        <v>-16.87</v>
      </c>
      <c r="BR45">
        <v>-20.74</v>
      </c>
      <c r="BS45">
        <v>7.78</v>
      </c>
      <c r="BT45" t="s">
        <v>593</v>
      </c>
      <c r="BU45" t="s">
        <v>436</v>
      </c>
      <c r="BV45">
        <v>77.430000000000007</v>
      </c>
      <c r="BW45">
        <v>64.77</v>
      </c>
      <c r="BX45">
        <v>95.18</v>
      </c>
      <c r="BY45">
        <v>-139.55000000000001</v>
      </c>
      <c r="BZ45">
        <v>-129.36000000000001</v>
      </c>
      <c r="CA45">
        <v>19.37</v>
      </c>
      <c r="CB45">
        <v>-7.87</v>
      </c>
      <c r="CC45" s="8">
        <v>-17.579999999999998</v>
      </c>
      <c r="CD45" s="9" t="s">
        <v>1923</v>
      </c>
      <c r="CE45" s="8" t="s">
        <v>1924</v>
      </c>
      <c r="CF45" s="8">
        <v>7.4918566775244305E-2</v>
      </c>
      <c r="CG45" s="8">
        <v>-8.0607910670055531</v>
      </c>
      <c r="CH45" s="8">
        <v>0.87435239553451538</v>
      </c>
      <c r="CI45" s="8">
        <v>-0.45862552523612976</v>
      </c>
      <c r="CJ45" s="9">
        <v>467.4163818359375</v>
      </c>
      <c r="CK45" s="9">
        <v>-0.36903083324432373</v>
      </c>
      <c r="CL45" s="9">
        <v>-0.63655811548233032</v>
      </c>
      <c r="CM45" s="9">
        <v>1.2522523403167725</v>
      </c>
      <c r="CN45" s="9">
        <v>-4.619565486907959</v>
      </c>
      <c r="CO45">
        <v>1.3954154253005981</v>
      </c>
      <c r="CP45">
        <v>-0.62325578927993774</v>
      </c>
      <c r="CQ45">
        <v>-0.59259259700775146</v>
      </c>
      <c r="CR45" s="8">
        <v>-69.548690208667736</v>
      </c>
      <c r="CS45" s="9">
        <v>-7.4490937495147519E-3</v>
      </c>
      <c r="CT45">
        <v>0</v>
      </c>
      <c r="CU45">
        <v>93.365303951501843</v>
      </c>
      <c r="CV45">
        <v>-0.63754922151565552</v>
      </c>
      <c r="CW45">
        <v>0.06</v>
      </c>
      <c r="CX45">
        <v>0.92165474593070551</v>
      </c>
      <c r="CY45">
        <v>22434015656.394779</v>
      </c>
      <c r="CZ45">
        <v>93.365303951501843</v>
      </c>
      <c r="DA45">
        <v>1.3381224912674517E-4</v>
      </c>
      <c r="DB45">
        <v>154518118744238.25</v>
      </c>
      <c r="DC45">
        <v>88.697038753926748</v>
      </c>
      <c r="DD45">
        <v>3.4738082525872638E-10</v>
      </c>
      <c r="DE45">
        <v>5.9520893200136692E+19</v>
      </c>
      <c r="DF45">
        <v>82.161467477321622</v>
      </c>
      <c r="DG45">
        <v>2.3469009175565833E-17</v>
      </c>
      <c r="DH45">
        <v>8.8100937049897829E+26</v>
      </c>
      <c r="DI45">
        <v>74.692243161201475</v>
      </c>
      <c r="DJ45">
        <v>9.4543575870975437E-35</v>
      </c>
      <c r="DK45">
        <v>2.1869721775932522E+44</v>
      </c>
      <c r="DL45">
        <v>65.355712766051283</v>
      </c>
      <c r="DM45">
        <v>252000000</v>
      </c>
      <c r="DN45">
        <v>93.365303951501843</v>
      </c>
      <c r="DO45">
        <v>20676417000</v>
      </c>
      <c r="DP45">
        <v>919168600</v>
      </c>
      <c r="DQ45" s="10">
        <v>4829</v>
      </c>
      <c r="DR45">
        <v>-93.290385384726605</v>
      </c>
      <c r="DS45">
        <v>-7.4232418454898976</v>
      </c>
      <c r="DT45">
        <v>-0.15499999999999994</v>
      </c>
      <c r="DU45">
        <v>-2.1816666666666671</v>
      </c>
      <c r="DV45">
        <v>-2.3366666666666669</v>
      </c>
      <c r="DW45">
        <v>-9.4476678043230944</v>
      </c>
      <c r="DX45">
        <v>0.727631619716125</v>
      </c>
      <c r="DY45">
        <v>-9.1242867376089833</v>
      </c>
      <c r="DZ45">
        <v>79</v>
      </c>
      <c r="EA45">
        <v>-9.1223652792389025</v>
      </c>
      <c r="EB45" s="11">
        <v>9</v>
      </c>
      <c r="EC45" s="11">
        <v>3.6214841498961446E-2</v>
      </c>
      <c r="ED45">
        <v>0.1304420639694798</v>
      </c>
      <c r="EE45">
        <v>2.0737999999999999</v>
      </c>
      <c r="EF45">
        <v>2.0956999999999999</v>
      </c>
      <c r="EG45">
        <v>45.277631619716125</v>
      </c>
      <c r="EH45" s="13" t="s">
        <v>806</v>
      </c>
      <c r="EI45">
        <v>0</v>
      </c>
      <c r="EJ45">
        <v>1</v>
      </c>
      <c r="EK45">
        <v>45470</v>
      </c>
      <c r="EL45">
        <v>2.12</v>
      </c>
      <c r="EM45">
        <v>0.66</v>
      </c>
      <c r="EN45" s="14">
        <v>-2.38</v>
      </c>
      <c r="EO45" s="14">
        <v>1.97</v>
      </c>
      <c r="EP45" s="14">
        <v>2.19</v>
      </c>
    </row>
    <row r="46" spans="1:146" ht="96" x14ac:dyDescent="0.25">
      <c r="A46" s="6"/>
      <c r="B46" s="6"/>
      <c r="C46" s="6" t="str">
        <f>""&amp;CHAR(10)&amp;Basic_Fundamental_Information_Constructure(F46)&amp;CHAR(10)&amp;Basic_Fundamental_Information_Concatenate("")</f>
        <v xml:space="preserve">
市值121.876873亿, 利润1.08亿; PE34.6; 平均PE131.2; 平均PEG22.38, PB2.44; ROIC1.525%; ROE1.6567%; 股利率.253%; 毛利76.9733%; 净利11.0867%; 上一年度营收增-18.67%, 利润增119.08%; 当季营收增70.06%, 利润增293.66%; 过往5年营收增-5.86%, 利润增33.5%
Income profile:
</v>
      </c>
      <c r="D46" t="s">
        <v>172</v>
      </c>
      <c r="E46" t="s">
        <v>173</v>
      </c>
      <c r="F46">
        <v>19.760000000000002</v>
      </c>
      <c r="G46">
        <v>5.39</v>
      </c>
      <c r="H46" t="s">
        <v>1925</v>
      </c>
      <c r="I46">
        <v>12187687300</v>
      </c>
      <c r="J46">
        <v>34.6</v>
      </c>
      <c r="K46">
        <v>2.44</v>
      </c>
      <c r="L46" t="s">
        <v>30</v>
      </c>
      <c r="M46" t="s">
        <v>123</v>
      </c>
      <c r="N46" t="s">
        <v>1926</v>
      </c>
      <c r="O46" t="s">
        <v>603</v>
      </c>
      <c r="P46">
        <v>28.72</v>
      </c>
      <c r="Q46" t="s">
        <v>1927</v>
      </c>
      <c r="R46">
        <v>91119100</v>
      </c>
      <c r="S46" s="5">
        <v>1.7190000000000001</v>
      </c>
      <c r="T46" t="s">
        <v>406</v>
      </c>
      <c r="U46">
        <v>92741491</v>
      </c>
      <c r="V46">
        <v>616785790</v>
      </c>
      <c r="W46">
        <v>1.08</v>
      </c>
      <c r="X46">
        <v>0.05</v>
      </c>
      <c r="Y46">
        <v>33.26</v>
      </c>
      <c r="Z46" t="s">
        <v>175</v>
      </c>
      <c r="AA46" t="s">
        <v>1928</v>
      </c>
      <c r="AB46" t="s">
        <v>1929</v>
      </c>
      <c r="AC46" t="s">
        <v>1930</v>
      </c>
      <c r="AD46" t="s">
        <v>5</v>
      </c>
      <c r="AE46">
        <v>-15165100</v>
      </c>
      <c r="AF46" t="s">
        <v>1931</v>
      </c>
      <c r="AG46" t="s">
        <v>5</v>
      </c>
      <c r="AH46" t="s">
        <v>1932</v>
      </c>
      <c r="AI46" t="s">
        <v>1933</v>
      </c>
      <c r="AJ46" t="s">
        <v>1934</v>
      </c>
      <c r="AK46" t="s">
        <v>1935</v>
      </c>
      <c r="AL46" t="s">
        <v>1936</v>
      </c>
      <c r="AM46" t="s">
        <v>5</v>
      </c>
      <c r="AN46" t="s">
        <v>1044</v>
      </c>
      <c r="AO46" t="s">
        <v>1937</v>
      </c>
      <c r="AP46" t="s">
        <v>5</v>
      </c>
      <c r="AQ46" t="s">
        <v>1938</v>
      </c>
      <c r="AR46" t="s">
        <v>5</v>
      </c>
      <c r="AS46" t="s">
        <v>510</v>
      </c>
      <c r="AT46" t="s">
        <v>5</v>
      </c>
      <c r="AU46" t="s">
        <v>159</v>
      </c>
      <c r="AV46" t="s">
        <v>1939</v>
      </c>
      <c r="AW46" t="s">
        <v>1940</v>
      </c>
      <c r="AX46" t="s">
        <v>326</v>
      </c>
      <c r="AY46" t="s">
        <v>476</v>
      </c>
      <c r="AZ46" t="s">
        <v>313</v>
      </c>
      <c r="BA46" t="s">
        <v>174</v>
      </c>
      <c r="BB46" t="s">
        <v>280</v>
      </c>
      <c r="BC46" t="s">
        <v>780</v>
      </c>
      <c r="BD46" t="s">
        <v>477</v>
      </c>
      <c r="BE46" t="s">
        <v>314</v>
      </c>
      <c r="BF46" t="s">
        <v>147</v>
      </c>
      <c r="BG46" t="s">
        <v>315</v>
      </c>
      <c r="BH46" t="s">
        <v>1941</v>
      </c>
      <c r="BI46" t="s">
        <v>200</v>
      </c>
      <c r="BJ46" t="s">
        <v>326</v>
      </c>
      <c r="BK46" t="s">
        <v>1434</v>
      </c>
      <c r="BL46" t="s">
        <v>1942</v>
      </c>
      <c r="BM46" t="s">
        <v>780</v>
      </c>
      <c r="BN46">
        <v>2.7</v>
      </c>
      <c r="BO46">
        <v>0.35</v>
      </c>
      <c r="BP46" t="s">
        <v>5</v>
      </c>
      <c r="BQ46">
        <v>3.49</v>
      </c>
      <c r="BR46">
        <v>1.08</v>
      </c>
      <c r="BS46">
        <v>0.4</v>
      </c>
      <c r="BT46" t="s">
        <v>704</v>
      </c>
      <c r="BU46" t="s">
        <v>436</v>
      </c>
      <c r="BV46">
        <v>77.900000000000006</v>
      </c>
      <c r="BW46">
        <v>75.63</v>
      </c>
      <c r="BX46">
        <v>77.39</v>
      </c>
      <c r="BY46">
        <v>27.94</v>
      </c>
      <c r="BZ46">
        <v>5.5</v>
      </c>
      <c r="CA46">
        <v>-0.18</v>
      </c>
      <c r="CB46">
        <v>-2.9</v>
      </c>
      <c r="CC46">
        <v>-14.31</v>
      </c>
      <c r="CD46" t="s">
        <v>1943</v>
      </c>
      <c r="CE46" t="s">
        <v>1944</v>
      </c>
      <c r="CF46" s="8">
        <v>0.70063694267515919</v>
      </c>
      <c r="CG46" s="9">
        <v>2.9365913931575558</v>
      </c>
      <c r="CH46" s="8">
        <v>-0.18666666746139526</v>
      </c>
      <c r="CI46" s="8">
        <v>-0.11194833368062973</v>
      </c>
      <c r="CJ46" s="8">
        <v>0.41832059621810913</v>
      </c>
      <c r="CK46" s="8">
        <v>-0.44350039958953857</v>
      </c>
      <c r="CL46" s="8">
        <v>3.0647929757833481E-2</v>
      </c>
      <c r="CM46" s="9">
        <v>1.1907849311828613</v>
      </c>
      <c r="CN46" s="9">
        <v>1.7298723459243774</v>
      </c>
      <c r="CO46" s="9">
        <v>1.0832189321517944</v>
      </c>
      <c r="CP46" s="9">
        <v>-1.9475982189178467</v>
      </c>
      <c r="CQ46" s="9">
        <v>-0.38108107447624207</v>
      </c>
      <c r="CR46">
        <v>131.20184750892562</v>
      </c>
      <c r="CS46">
        <v>22.378176062477344</v>
      </c>
      <c r="CT46">
        <v>0.25303643724696356</v>
      </c>
      <c r="CU46" s="8">
        <v>-5.8629374951124191E-2</v>
      </c>
      <c r="CV46" s="9">
        <v>0.33503938317298887</v>
      </c>
      <c r="CW46">
        <v>0.06</v>
      </c>
      <c r="CX46">
        <v>70.793400925925923</v>
      </c>
      <c r="CY46" t="s">
        <v>1945</v>
      </c>
      <c r="CZ46">
        <v>-5.8629374951124191E-2</v>
      </c>
      <c r="DA46">
        <v>23.597800308641975</v>
      </c>
      <c r="DB46" t="s">
        <v>1946</v>
      </c>
      <c r="DC46">
        <v>-5.569790620356798E-2</v>
      </c>
      <c r="DD46">
        <v>11.798900154320988</v>
      </c>
      <c r="DE46" t="s">
        <v>1947</v>
      </c>
      <c r="DF46">
        <v>-5.1593849956989291E-2</v>
      </c>
      <c r="DG46">
        <v>7.0793400925925924</v>
      </c>
      <c r="DH46" t="s">
        <v>1948</v>
      </c>
      <c r="DI46">
        <v>-4.6903499960899354E-2</v>
      </c>
      <c r="DJ46">
        <v>3.5396700462962962</v>
      </c>
      <c r="DK46" t="s">
        <v>1949</v>
      </c>
      <c r="DL46">
        <v>-4.1040562465786933E-2</v>
      </c>
      <c r="DM46">
        <v>108000000</v>
      </c>
      <c r="DN46">
        <v>-5.8629374951124191E-2</v>
      </c>
      <c r="DO46">
        <v>7645687300</v>
      </c>
      <c r="DP46">
        <v>1932648700</v>
      </c>
      <c r="DQ46">
        <v>4834</v>
      </c>
      <c r="DR46">
        <v>0.75926631762628338</v>
      </c>
      <c r="DS46">
        <v>2.6015520099845668</v>
      </c>
      <c r="DT46" s="10">
        <v>-0.59</v>
      </c>
      <c r="DU46">
        <v>0.75</v>
      </c>
      <c r="DV46">
        <v>0.16000000000000003</v>
      </c>
      <c r="DW46">
        <v>-8.2026554856743541</v>
      </c>
      <c r="DX46">
        <v>0.51624105816003463</v>
      </c>
      <c r="DY46">
        <v>-8.0316631075236966</v>
      </c>
      <c r="DZ46">
        <v>3107</v>
      </c>
      <c r="EA46">
        <v>-8.0124111945929481</v>
      </c>
      <c r="EB46">
        <v>8</v>
      </c>
      <c r="EC46">
        <v>1.6466332663079026E-2</v>
      </c>
      <c r="ED46">
        <v>0.10539056031106034</v>
      </c>
      <c r="EE46" s="11">
        <v>-1.0681099999999999</v>
      </c>
      <c r="EF46">
        <v>-1.10541</v>
      </c>
      <c r="EG46">
        <v>36.156241058160035</v>
      </c>
      <c r="EH46" t="s">
        <v>592</v>
      </c>
      <c r="EI46">
        <v>0</v>
      </c>
      <c r="EJ46">
        <v>0</v>
      </c>
      <c r="EK46" s="13">
        <v>45470</v>
      </c>
      <c r="EL46" s="14">
        <v>-2.11</v>
      </c>
      <c r="EM46" s="14">
        <v>-6.25</v>
      </c>
      <c r="EN46" s="14">
        <v>-1.87</v>
      </c>
      <c r="EO46" s="14">
        <v>5.48</v>
      </c>
      <c r="EP46" s="14">
        <v>-3.73</v>
      </c>
    </row>
    <row r="47" spans="1:146" ht="156" x14ac:dyDescent="0.25">
      <c r="A47" s="7" t="s">
        <v>820</v>
      </c>
      <c r="C47" s="7" t="str">
        <f>"公司的主营业务为创新药的研发、生产及商业化。主要产品为奥布替尼、ICP-192、ICP-723、ICP-332、ICP-189、ICP-490、Tafasitamab、ICP-105、ICP-033、ICP-488、ICP-248、ICP-B03、ICP-915、ICP-B02等。"&amp;CHAR(10)&amp;Basic_Fundamental_Information_Constructure(F47)&amp;CHAR(10)&amp;Basic_Fundamental_Information_Concatenate("奥布替尼 5.66亿 90.49% 97.65% 83.17%
研发服务收入 5736.88万 9.17% 1.98% 16.66%
其他业务 211.45万 0.34% 0.37% 84.75%")</f>
        <v>公司的主营业务为创新药的研发、生产及商业化。主要产品为奥布替尼、ICP-192、ICP-723、ICP-332、ICP-189、ICP-490、Tafasitamab、ICP-105、ICP-033、ICP-488、ICP-248、ICP-B03、ICP-915、ICP-B02等。
市值158.45616亿, 利润1.77亿; PE; 平均PE-24.65; 平均PEG0, PB2.26; ROIC0%; ROE-7.7867%; 股利率0%; 毛利84.46%; 净利-78.9033%; 上一年度营收增176.96%, 利润增119.95%; 当季营收增-65.05%, 利润增-321.64%; 过往5年营收增15302.41%, 利润增-255.66%
Income profile:
奥布替尼 5.66亿 90.49% 97.65% 83.17%
研发服务收入 5736.88万 9.17% 1.98% 16.66%
其他业务 211.45万 0.34% 0.37% 84.75%</v>
      </c>
      <c r="D47" t="s">
        <v>781</v>
      </c>
      <c r="E47" t="s">
        <v>782</v>
      </c>
      <c r="F47">
        <v>8.99</v>
      </c>
      <c r="G47">
        <v>2.98</v>
      </c>
      <c r="H47" t="s">
        <v>1950</v>
      </c>
      <c r="I47">
        <v>15845616000</v>
      </c>
      <c r="K47">
        <v>2.2599999999999998</v>
      </c>
      <c r="L47" t="s">
        <v>30</v>
      </c>
      <c r="M47" t="s">
        <v>1951</v>
      </c>
      <c r="N47" t="s">
        <v>1952</v>
      </c>
      <c r="O47" t="s">
        <v>501</v>
      </c>
      <c r="P47" s="15">
        <v>-12.44</v>
      </c>
      <c r="Q47" t="s">
        <v>878</v>
      </c>
      <c r="R47">
        <v>-142403400</v>
      </c>
      <c r="S47">
        <v>-10.48</v>
      </c>
      <c r="T47" t="s">
        <v>712</v>
      </c>
      <c r="U47">
        <v>256708770</v>
      </c>
      <c r="V47">
        <v>1762582500</v>
      </c>
      <c r="W47">
        <v>1.38</v>
      </c>
      <c r="X47">
        <v>0.02</v>
      </c>
      <c r="Y47">
        <v>-87.84</v>
      </c>
      <c r="Z47" t="s">
        <v>510</v>
      </c>
      <c r="AA47" t="s">
        <v>1953</v>
      </c>
      <c r="AB47" t="s">
        <v>1954</v>
      </c>
      <c r="AC47" t="s">
        <v>1955</v>
      </c>
      <c r="AD47" t="s">
        <v>5</v>
      </c>
      <c r="AE47">
        <v>-33982474</v>
      </c>
      <c r="AF47" t="s">
        <v>1956</v>
      </c>
      <c r="AG47" t="s">
        <v>1957</v>
      </c>
      <c r="AH47" t="s">
        <v>1958</v>
      </c>
      <c r="AI47" t="s">
        <v>1959</v>
      </c>
      <c r="AJ47" t="s">
        <v>1960</v>
      </c>
      <c r="AK47" t="s">
        <v>5</v>
      </c>
      <c r="AL47" t="s">
        <v>1961</v>
      </c>
      <c r="AM47" t="s">
        <v>5</v>
      </c>
      <c r="AN47" t="s">
        <v>579</v>
      </c>
      <c r="AO47" t="s">
        <v>5</v>
      </c>
      <c r="AP47" t="s">
        <v>5</v>
      </c>
      <c r="AQ47" t="s">
        <v>735</v>
      </c>
      <c r="AR47" t="s">
        <v>5</v>
      </c>
      <c r="AS47" t="s">
        <v>1962</v>
      </c>
      <c r="AT47" t="s">
        <v>1963</v>
      </c>
      <c r="AU47" t="s">
        <v>1964</v>
      </c>
      <c r="AV47" t="s">
        <v>580</v>
      </c>
      <c r="AW47" t="s">
        <v>1965</v>
      </c>
      <c r="AX47" t="s">
        <v>514</v>
      </c>
      <c r="AY47" t="s">
        <v>784</v>
      </c>
      <c r="AZ47" t="s">
        <v>785</v>
      </c>
      <c r="BA47" t="s">
        <v>786</v>
      </c>
      <c r="BB47" t="s">
        <v>787</v>
      </c>
      <c r="BC47" t="s">
        <v>783</v>
      </c>
      <c r="BD47" t="s">
        <v>788</v>
      </c>
      <c r="BE47" t="s">
        <v>789</v>
      </c>
      <c r="BF47" t="s">
        <v>790</v>
      </c>
      <c r="BG47" t="s">
        <v>791</v>
      </c>
      <c r="BH47" t="s">
        <v>1966</v>
      </c>
      <c r="BI47" t="s">
        <v>1967</v>
      </c>
      <c r="BJ47" t="s">
        <v>514</v>
      </c>
      <c r="BK47" t="s">
        <v>1968</v>
      </c>
      <c r="BL47" t="s">
        <v>1969</v>
      </c>
      <c r="BM47" t="s">
        <v>783</v>
      </c>
      <c r="BN47" t="s">
        <v>5</v>
      </c>
      <c r="BO47" t="s">
        <v>5</v>
      </c>
      <c r="BP47" t="s">
        <v>5</v>
      </c>
      <c r="BQ47">
        <v>-7.11</v>
      </c>
      <c r="BR47">
        <v>-15.01</v>
      </c>
      <c r="BS47">
        <v>-1.24</v>
      </c>
      <c r="BT47" t="s">
        <v>593</v>
      </c>
      <c r="BU47" t="s">
        <v>436</v>
      </c>
      <c r="BV47">
        <v>82.61</v>
      </c>
      <c r="BW47">
        <v>77.069999999999993</v>
      </c>
      <c r="BX47">
        <v>93.7</v>
      </c>
      <c r="BY47">
        <v>-87.42</v>
      </c>
      <c r="BZ47">
        <v>-142.9</v>
      </c>
      <c r="CA47">
        <v>-6.39</v>
      </c>
      <c r="CB47">
        <v>10.85</v>
      </c>
      <c r="CC47" s="1">
        <v>15.55</v>
      </c>
      <c r="CD47" s="1" t="s">
        <v>1970</v>
      </c>
      <c r="CE47" s="1" t="s">
        <v>712</v>
      </c>
      <c r="CF47" s="8">
        <v>-0.65052631578947373</v>
      </c>
      <c r="CG47" s="9">
        <v>-3.2163608348508195</v>
      </c>
      <c r="CH47" s="8">
        <v>1.7695997953414917</v>
      </c>
      <c r="CI47" s="8">
        <v>-0.40076702833175659</v>
      </c>
      <c r="CJ47" s="8">
        <v>763.8870849609375</v>
      </c>
      <c r="CK47" s="8">
        <v>9.3504413962364197E-2</v>
      </c>
      <c r="CL47" s="8">
        <v>-0.22881880402565002</v>
      </c>
      <c r="CM47" s="9">
        <v>1.1995490789413452</v>
      </c>
      <c r="CN47" s="9">
        <v>-12.742137908935547</v>
      </c>
      <c r="CO47" s="9">
        <v>0.83492076396942139</v>
      </c>
      <c r="CP47" s="9">
        <v>0.81737500429153442</v>
      </c>
      <c r="CQ47" s="9">
        <v>-2.8927271366119385</v>
      </c>
      <c r="CR47" s="1">
        <v>-24.652550753964817</v>
      </c>
      <c r="CS47" s="1">
        <v>-1.6110238468560777E-3</v>
      </c>
      <c r="CT47" s="1">
        <v>0</v>
      </c>
      <c r="CU47" s="8">
        <v>153.0241206675768</v>
      </c>
      <c r="CV47" s="9">
        <v>-2.556604039669037</v>
      </c>
      <c r="CW47">
        <v>0.06</v>
      </c>
      <c r="CX47">
        <v>0.44832852318441163</v>
      </c>
      <c r="CY47">
        <v>25719122036.00103</v>
      </c>
      <c r="CZ47">
        <v>153.0241206675768</v>
      </c>
      <c r="DA47">
        <v>2.4561695012752402E-5</v>
      </c>
      <c r="DB47">
        <v>469455222614453.87</v>
      </c>
      <c r="DC47">
        <v>145.37291463419794</v>
      </c>
      <c r="DD47">
        <v>1.4708665908979723E-11</v>
      </c>
      <c r="DE47">
        <v>7.839335036470231E+20</v>
      </c>
      <c r="DF47">
        <v>134.66122618746758</v>
      </c>
      <c r="DG47">
        <v>1.4104611662912567E-19</v>
      </c>
      <c r="DH47">
        <v>8.1750680384340032E+28</v>
      </c>
      <c r="DI47">
        <v>122.41929653406144</v>
      </c>
      <c r="DJ47">
        <v>4.3435735281598523E-39</v>
      </c>
      <c r="DK47">
        <v>2.6546381511089388E+48</v>
      </c>
      <c r="DL47">
        <v>107.11688446730375</v>
      </c>
      <c r="DM47">
        <v>177000000</v>
      </c>
      <c r="DN47">
        <v>153.0241206675768</v>
      </c>
      <c r="DO47">
        <v>11530616000</v>
      </c>
      <c r="DP47">
        <v>6565713600</v>
      </c>
      <c r="DQ47" s="10">
        <v>4899</v>
      </c>
      <c r="DR47">
        <v>-153.67464698336627</v>
      </c>
      <c r="DS47">
        <v>-0.65975679518178243</v>
      </c>
      <c r="DT47">
        <v>6.1666666666666682E-2</v>
      </c>
      <c r="DU47">
        <v>-2.2316666666666669</v>
      </c>
      <c r="DV47">
        <v>-2.1700000000000004</v>
      </c>
      <c r="DW47">
        <v>9.6977491961414799</v>
      </c>
      <c r="DX47">
        <v>0.45588305084745695</v>
      </c>
      <c r="DY47">
        <v>9.1715647010736276</v>
      </c>
      <c r="DZ47">
        <v>3298</v>
      </c>
      <c r="EA47">
        <v>9.0608366415548751</v>
      </c>
      <c r="EB47" s="11">
        <v>9</v>
      </c>
      <c r="EC47" s="11">
        <v>2.4691780384747949E-2</v>
      </c>
      <c r="ED47">
        <v>0.10042083136534034</v>
      </c>
      <c r="EE47">
        <v>-1.11531</v>
      </c>
      <c r="EF47">
        <v>-1.10931</v>
      </c>
      <c r="EG47">
        <v>21.245883050847457</v>
      </c>
      <c r="EH47" s="13" t="s">
        <v>592</v>
      </c>
      <c r="EI47" s="14">
        <v>1</v>
      </c>
      <c r="EJ47" s="14">
        <v>0</v>
      </c>
      <c r="EK47" s="14">
        <v>45470</v>
      </c>
      <c r="EL47" s="14">
        <v>4.75</v>
      </c>
      <c r="EM47" s="14">
        <v>-4.53</v>
      </c>
      <c r="EN47" s="14">
        <v>-5.14</v>
      </c>
      <c r="EO47" s="14">
        <v>-0.77</v>
      </c>
      <c r="EP47" s="14">
        <v>0.6</v>
      </c>
    </row>
    <row r="48" spans="1:146" ht="120" x14ac:dyDescent="0.25">
      <c r="C48" s="7" t="str">
        <f>""&amp;CHAR(10)&amp;Basic_Fundamental_Information_Constructure(F48)&amp;CHAR(10)&amp;Basic_Fundamental_Information_Concatenate("原料产品40.37%（毛利76.12%） 功能性护肤品33.66%（毛利78.54%） 医疗终端产品25.94%（毛利86.67%) 其他0.02%(毛利36.17%）")</f>
        <v xml:space="preserve">
市值116.567572亿, 利润4806.48万; PE; 平均PE-42.21; 平均PEG0, PB4.38; ROIC0%; ROE-197.155%; 股利率0%; 毛利26.02%; 净利-821.97%; 上一年度营收增87021.21%, 利润增108.34%; 当季营收增-100%, 利润增-13293.03%; 过往5年营收增23455.72%, 利润增-23.24%
Income profile:
原料产品40.37%（毛利76.12%） 功能性护肤品33.66%（毛利78.54%） 医疗终端产品25.94%（毛利86.67%) 其他0.02%(毛利36.17%）</v>
      </c>
      <c r="D48" t="s">
        <v>801</v>
      </c>
      <c r="E48" t="s">
        <v>937</v>
      </c>
      <c r="F48">
        <v>31.79</v>
      </c>
      <c r="G48">
        <v>8.2799999999999994</v>
      </c>
      <c r="H48" t="s">
        <v>1971</v>
      </c>
      <c r="I48">
        <v>11656757200</v>
      </c>
      <c r="K48">
        <v>4.38</v>
      </c>
      <c r="L48" t="s">
        <v>30</v>
      </c>
      <c r="M48" t="s">
        <v>438</v>
      </c>
      <c r="N48" t="s">
        <v>1972</v>
      </c>
      <c r="O48">
        <v>6330.27</v>
      </c>
      <c r="P48" s="5">
        <v>-93.67</v>
      </c>
      <c r="Q48" t="s">
        <v>954</v>
      </c>
      <c r="R48">
        <v>-163770020</v>
      </c>
      <c r="S48">
        <v>0.18509999999999999</v>
      </c>
      <c r="T48" t="s">
        <v>1973</v>
      </c>
      <c r="U48">
        <v>89040085</v>
      </c>
      <c r="V48">
        <v>366680000</v>
      </c>
      <c r="W48">
        <v>1.3</v>
      </c>
      <c r="X48">
        <v>0</v>
      </c>
      <c r="Y48" t="s">
        <v>1974</v>
      </c>
      <c r="Z48" t="s">
        <v>847</v>
      </c>
      <c r="AA48">
        <v>2180.73</v>
      </c>
      <c r="AB48" t="s">
        <v>1975</v>
      </c>
      <c r="AC48" t="s">
        <v>1976</v>
      </c>
      <c r="AD48" t="s">
        <v>5</v>
      </c>
      <c r="AE48">
        <v>-6310967</v>
      </c>
      <c r="AF48" t="s">
        <v>1977</v>
      </c>
      <c r="AG48" t="s">
        <v>5</v>
      </c>
      <c r="AH48" t="s">
        <v>1978</v>
      </c>
      <c r="AI48" t="s">
        <v>1979</v>
      </c>
      <c r="AJ48" t="s">
        <v>1980</v>
      </c>
      <c r="AK48" t="s">
        <v>5</v>
      </c>
      <c r="AL48" t="s">
        <v>1981</v>
      </c>
      <c r="AM48" t="s">
        <v>5</v>
      </c>
      <c r="AN48" t="s">
        <v>1982</v>
      </c>
      <c r="AO48" t="s">
        <v>1983</v>
      </c>
      <c r="AP48" t="s">
        <v>5</v>
      </c>
      <c r="AQ48" t="s">
        <v>1984</v>
      </c>
      <c r="AR48" t="s">
        <v>5</v>
      </c>
      <c r="AS48" t="s">
        <v>76</v>
      </c>
      <c r="AT48" t="s">
        <v>96</v>
      </c>
      <c r="AU48" t="s">
        <v>1985</v>
      </c>
      <c r="AV48" t="s">
        <v>1986</v>
      </c>
      <c r="AW48" t="s">
        <v>1987</v>
      </c>
      <c r="AX48" t="s">
        <v>802</v>
      </c>
      <c r="AY48" t="s">
        <v>939</v>
      </c>
      <c r="AZ48" t="s">
        <v>940</v>
      </c>
      <c r="BA48" t="s">
        <v>941</v>
      </c>
      <c r="BB48" t="s">
        <v>5</v>
      </c>
      <c r="BC48" t="s">
        <v>803</v>
      </c>
      <c r="BD48" t="s">
        <v>805</v>
      </c>
      <c r="BE48" t="s">
        <v>942</v>
      </c>
      <c r="BF48" t="s">
        <v>943</v>
      </c>
      <c r="BG48" t="s">
        <v>5</v>
      </c>
      <c r="BH48" t="s">
        <v>1988</v>
      </c>
      <c r="BI48" t="s">
        <v>1989</v>
      </c>
      <c r="BJ48" t="s">
        <v>802</v>
      </c>
      <c r="BK48" t="s">
        <v>1990</v>
      </c>
      <c r="BL48" t="s">
        <v>1991</v>
      </c>
      <c r="BM48" t="s">
        <v>803</v>
      </c>
      <c r="BN48" t="s">
        <v>5</v>
      </c>
      <c r="BO48" t="s">
        <v>5</v>
      </c>
      <c r="BP48" t="s">
        <v>5</v>
      </c>
      <c r="BQ48">
        <v>-56.32</v>
      </c>
      <c r="BR48">
        <v>-337.99</v>
      </c>
      <c r="BS48" t="s">
        <v>5</v>
      </c>
      <c r="BT48" t="s">
        <v>593</v>
      </c>
      <c r="BU48" t="s">
        <v>436</v>
      </c>
      <c r="BV48">
        <v>38.94</v>
      </c>
      <c r="BW48">
        <v>-11.37</v>
      </c>
      <c r="BX48">
        <v>50.49</v>
      </c>
      <c r="BY48" t="s">
        <v>1992</v>
      </c>
      <c r="BZ48" t="s">
        <v>1993</v>
      </c>
      <c r="CA48">
        <v>-821.97</v>
      </c>
      <c r="CB48">
        <v>6.89</v>
      </c>
      <c r="CC48" s="1">
        <v>-18.84</v>
      </c>
      <c r="CD48" s="1" t="s">
        <v>1994</v>
      </c>
      <c r="CE48" s="1" t="s">
        <v>1995</v>
      </c>
      <c r="CF48" s="8">
        <v>-1</v>
      </c>
      <c r="CG48" s="9">
        <v>-132.93034020281323</v>
      </c>
      <c r="CH48" s="8">
        <v>870.21209716796875</v>
      </c>
      <c r="CI48" s="8">
        <v>-0.98787450790405273</v>
      </c>
      <c r="CJ48" s="8">
        <v>35.030338287353516</v>
      </c>
      <c r="CK48" s="8">
        <v>33.974277496337891</v>
      </c>
      <c r="CL48" s="8" t="s">
        <v>5</v>
      </c>
      <c r="CM48" s="9">
        <v>1.0834457874298096</v>
      </c>
      <c r="CN48" s="9">
        <v>-0.78881984949111938</v>
      </c>
      <c r="CO48" s="9">
        <v>0.13672922551631927</v>
      </c>
      <c r="CP48" s="9">
        <v>-1.3607594966888428</v>
      </c>
      <c r="CQ48" s="9" t="s">
        <v>5</v>
      </c>
      <c r="CR48" s="1">
        <v>-42.206025308066593</v>
      </c>
      <c r="CS48" s="1">
        <v>-1.7993915163841646E-3</v>
      </c>
      <c r="CT48" s="1">
        <v>0</v>
      </c>
      <c r="CU48" s="8">
        <v>234.55720961093903</v>
      </c>
      <c r="CV48" s="9">
        <v>-0.23235108330845833</v>
      </c>
      <c r="CW48">
        <v>0.06</v>
      </c>
      <c r="CX48">
        <v>0.91823116895947199</v>
      </c>
      <c r="CY48">
        <v>10681141668.403641</v>
      </c>
      <c r="CZ48">
        <v>234.55720961093903</v>
      </c>
      <c r="DA48">
        <v>2.1569869469693712E-5</v>
      </c>
      <c r="DB48">
        <v>454697104856391.56</v>
      </c>
      <c r="DC48">
        <v>222.82934913039207</v>
      </c>
      <c r="DD48">
        <v>3.6171795505389048E-12</v>
      </c>
      <c r="DE48">
        <v>2.7114377550151727E+21</v>
      </c>
      <c r="DF48">
        <v>206.41034445762634</v>
      </c>
      <c r="DG48">
        <v>6.3662454146214637E-21</v>
      </c>
      <c r="DH48">
        <v>1.5405873574201769E+30</v>
      </c>
      <c r="DI48">
        <v>187.64576768875122</v>
      </c>
      <c r="DJ48">
        <v>2.8404462029296733E-42</v>
      </c>
      <c r="DK48">
        <v>3.4528931369600142E+51</v>
      </c>
      <c r="DL48">
        <v>164.19004672765732</v>
      </c>
      <c r="DM48">
        <v>48064799.999999993</v>
      </c>
      <c r="DN48">
        <v>234.55720961093903</v>
      </c>
      <c r="DO48">
        <v>9807757200</v>
      </c>
      <c r="DP48">
        <v>2779936000</v>
      </c>
      <c r="DQ48" s="10">
        <v>4905</v>
      </c>
      <c r="DR48">
        <v>-235.55720961093903</v>
      </c>
      <c r="DS48">
        <v>-132.69798911950477</v>
      </c>
      <c r="DT48">
        <v>0.41640000000000005</v>
      </c>
      <c r="DU48">
        <v>-2.8180000000000005</v>
      </c>
      <c r="DV48">
        <v>-2.4016000000000006</v>
      </c>
      <c r="DW48">
        <v>7.2677808006218418</v>
      </c>
      <c r="DX48">
        <v>0.55160893796889376</v>
      </c>
      <c r="DY48">
        <v>7.0325645387720819</v>
      </c>
      <c r="DZ48">
        <v>1103</v>
      </c>
      <c r="EA48">
        <v>7.0255354416555251</v>
      </c>
      <c r="EB48" s="11">
        <v>7</v>
      </c>
      <c r="EC48" s="11">
        <v>2.0494163848587325E-2</v>
      </c>
      <c r="ED48">
        <v>0.16852514454019851</v>
      </c>
      <c r="EE48">
        <v>1.02491</v>
      </c>
      <c r="EF48">
        <v>1.03711</v>
      </c>
      <c r="EG48">
        <v>43.121608937968894</v>
      </c>
      <c r="EH48" s="13" t="s">
        <v>496</v>
      </c>
      <c r="EI48" s="14">
        <v>1</v>
      </c>
      <c r="EJ48" s="14">
        <v>1</v>
      </c>
      <c r="EK48" s="14">
        <v>45470</v>
      </c>
      <c r="EL48" s="14">
        <v>-1.9</v>
      </c>
      <c r="EM48" s="14">
        <v>-5.22</v>
      </c>
      <c r="EN48" s="14">
        <v>-0.22</v>
      </c>
      <c r="EO48" s="14">
        <v>4.09</v>
      </c>
      <c r="EP48" s="14">
        <v>-1.22</v>
      </c>
    </row>
    <row r="49" spans="1:146" ht="96" x14ac:dyDescent="0.25">
      <c r="A49" s="6"/>
      <c r="B49" s="6"/>
      <c r="C49" s="6" t="str">
        <f>""&amp;CHAR(10)&amp;Basic_Fundamental_Information_Constructure(F49)&amp;CHAR(10)&amp;Basic_Fundamental_Information_Concatenate("")</f>
        <v xml:space="preserve">
市值42.58322亿, 利润6727.90万; PE; 平均PE-5473.42; 平均PEG-695.62, PB3.82; ROIC0%; ROE-4.9633%; 股利率0%; 毛利40.76%; 净利-27.0267%; 上一年度营收增47.13%, 利润增154.26%; 当季营收增156.5%, 利润增-259.65%; 过往5年营收增7.87%, 利润增-5.2%
Income profile:
</v>
      </c>
      <c r="D49" t="s">
        <v>178</v>
      </c>
      <c r="E49" t="s">
        <v>179</v>
      </c>
      <c r="F49">
        <v>10.119999999999999</v>
      </c>
      <c r="G49">
        <v>10.6</v>
      </c>
      <c r="H49" t="s">
        <v>1996</v>
      </c>
      <c r="I49">
        <v>4258322000</v>
      </c>
      <c r="K49">
        <v>3.82</v>
      </c>
      <c r="L49" t="s">
        <v>30</v>
      </c>
      <c r="M49" t="s">
        <v>429</v>
      </c>
      <c r="N49" t="s">
        <v>1997</v>
      </c>
      <c r="O49" t="s">
        <v>1998</v>
      </c>
      <c r="P49">
        <v>-17.52</v>
      </c>
      <c r="Q49" t="s">
        <v>233</v>
      </c>
      <c r="R49">
        <v>-13606889</v>
      </c>
      <c r="S49" s="5">
        <v>-28.99</v>
      </c>
      <c r="T49" t="s">
        <v>1999</v>
      </c>
      <c r="U49">
        <v>420782810</v>
      </c>
      <c r="V49">
        <v>420782810</v>
      </c>
      <c r="W49">
        <v>1.57</v>
      </c>
      <c r="X49">
        <v>0.05</v>
      </c>
      <c r="Y49">
        <v>-14.65</v>
      </c>
      <c r="Z49" t="s">
        <v>76</v>
      </c>
      <c r="AA49" t="s">
        <v>2000</v>
      </c>
      <c r="AB49" t="s">
        <v>2001</v>
      </c>
      <c r="AC49" t="s">
        <v>2002</v>
      </c>
      <c r="AD49" t="s">
        <v>5</v>
      </c>
      <c r="AE49">
        <v>3507227</v>
      </c>
      <c r="AF49" t="s">
        <v>2003</v>
      </c>
      <c r="AG49">
        <v>4752.83</v>
      </c>
      <c r="AH49" t="s">
        <v>2004</v>
      </c>
      <c r="AI49" t="s">
        <v>250</v>
      </c>
      <c r="AJ49" t="s">
        <v>2005</v>
      </c>
      <c r="AK49" t="s">
        <v>2006</v>
      </c>
      <c r="AL49" t="s">
        <v>2007</v>
      </c>
      <c r="AM49" t="s">
        <v>5</v>
      </c>
      <c r="AN49" t="s">
        <v>2008</v>
      </c>
      <c r="AO49" t="s">
        <v>114</v>
      </c>
      <c r="AP49" t="s">
        <v>2009</v>
      </c>
      <c r="AQ49" t="s">
        <v>2010</v>
      </c>
      <c r="AR49" t="s">
        <v>5</v>
      </c>
      <c r="AS49" t="s">
        <v>741</v>
      </c>
      <c r="AT49" t="s">
        <v>2011</v>
      </c>
      <c r="AU49" t="s">
        <v>2012</v>
      </c>
      <c r="AV49" t="s">
        <v>2013</v>
      </c>
      <c r="AW49" t="s">
        <v>2014</v>
      </c>
      <c r="AX49" t="s">
        <v>361</v>
      </c>
      <c r="AY49" t="s">
        <v>478</v>
      </c>
      <c r="AZ49" t="s">
        <v>86</v>
      </c>
      <c r="BA49" t="s">
        <v>133</v>
      </c>
      <c r="BB49" t="s">
        <v>144</v>
      </c>
      <c r="BC49" t="s">
        <v>792</v>
      </c>
      <c r="BD49" t="s">
        <v>479</v>
      </c>
      <c r="BE49" t="s">
        <v>317</v>
      </c>
      <c r="BF49" t="s">
        <v>180</v>
      </c>
      <c r="BG49" t="s">
        <v>318</v>
      </c>
      <c r="BH49" t="s">
        <v>1856</v>
      </c>
      <c r="BI49" t="s">
        <v>2015</v>
      </c>
      <c r="BJ49" t="s">
        <v>361</v>
      </c>
      <c r="BK49" t="s">
        <v>2016</v>
      </c>
      <c r="BL49" t="s">
        <v>2017</v>
      </c>
      <c r="BM49" t="s">
        <v>792</v>
      </c>
      <c r="BN49" t="s">
        <v>5</v>
      </c>
      <c r="BO49" t="s">
        <v>5</v>
      </c>
      <c r="BP49" t="s">
        <v>5</v>
      </c>
      <c r="BQ49">
        <v>-2.74</v>
      </c>
      <c r="BR49">
        <v>-9.9</v>
      </c>
      <c r="BS49">
        <v>-2.25</v>
      </c>
      <c r="BT49" t="s">
        <v>593</v>
      </c>
      <c r="BU49" t="s">
        <v>436</v>
      </c>
      <c r="BV49">
        <v>46.19</v>
      </c>
      <c r="BW49">
        <v>42.9</v>
      </c>
      <c r="BX49">
        <v>33.19</v>
      </c>
      <c r="BY49">
        <v>-18.489999999999998</v>
      </c>
      <c r="BZ49">
        <v>-50.86</v>
      </c>
      <c r="CA49">
        <v>-11.73</v>
      </c>
      <c r="CB49">
        <v>-0.98</v>
      </c>
      <c r="CC49">
        <v>-31.99</v>
      </c>
      <c r="CD49" t="s">
        <v>2018</v>
      </c>
      <c r="CE49" t="s">
        <v>274</v>
      </c>
      <c r="CF49" s="8">
        <v>1.5649847305901778</v>
      </c>
      <c r="CG49" s="9">
        <v>-2.5964711635037272</v>
      </c>
      <c r="CH49" s="8">
        <v>0.47131147980690002</v>
      </c>
      <c r="CI49" s="8">
        <v>-4.6875E-2</v>
      </c>
      <c r="CJ49" s="8">
        <v>-0.1141868531703949</v>
      </c>
      <c r="CK49" s="8">
        <v>-0.16231884062290192</v>
      </c>
      <c r="CL49" s="8">
        <v>0.24548736214637756</v>
      </c>
      <c r="CM49" s="9">
        <v>1.5425726175308228</v>
      </c>
      <c r="CN49" s="9">
        <v>-3.1353182792663574</v>
      </c>
      <c r="CO49" s="9">
        <v>-1.7539411783218384</v>
      </c>
      <c r="CP49" s="9">
        <v>0.18196433782577515</v>
      </c>
      <c r="CQ49" s="9">
        <v>2.9045360088348389</v>
      </c>
      <c r="CR49" s="1">
        <v>-5473.4215938303341</v>
      </c>
      <c r="CS49" s="1">
        <v>-695.62393339371386</v>
      </c>
      <c r="CT49" s="1">
        <v>0</v>
      </c>
      <c r="CU49" s="8">
        <v>7.8683629631996155E-2</v>
      </c>
      <c r="CV49" s="9">
        <v>-5.2037298679351807E-2</v>
      </c>
      <c r="CW49">
        <v>0.06</v>
      </c>
      <c r="CX49">
        <v>54.99641386788587</v>
      </c>
      <c r="CY49">
        <v>68464864.073595345</v>
      </c>
      <c r="CZ49">
        <v>7.8683629631996155E-2</v>
      </c>
      <c r="DA49">
        <v>18.145584626514676</v>
      </c>
      <c r="DB49">
        <v>207506237.88103467</v>
      </c>
      <c r="DC49">
        <v>7.4749448150396344E-2</v>
      </c>
      <c r="DD49">
        <v>9.0475020728355489</v>
      </c>
      <c r="DE49">
        <v>416172549.02931702</v>
      </c>
      <c r="DF49">
        <v>6.9241594076156612E-2</v>
      </c>
      <c r="DG49">
        <v>5.5115963492766644</v>
      </c>
      <c r="DH49">
        <v>683163599.32529461</v>
      </c>
      <c r="DI49">
        <v>6.2946903705596927E-2</v>
      </c>
      <c r="DJ49">
        <v>2.937362417790002</v>
      </c>
      <c r="DK49">
        <v>1281871783.0647993</v>
      </c>
      <c r="DL49">
        <v>5.5078540742397306E-2</v>
      </c>
      <c r="DM49">
        <v>67279000</v>
      </c>
      <c r="DN49">
        <v>7.8683629631996155E-2</v>
      </c>
      <c r="DO49">
        <v>3765322000</v>
      </c>
      <c r="DP49">
        <v>307983380</v>
      </c>
      <c r="DQ49">
        <v>4923</v>
      </c>
      <c r="DR49">
        <v>1.4863011009581817</v>
      </c>
      <c r="DS49">
        <v>-2.5444338648243754</v>
      </c>
      <c r="DT49" s="10">
        <v>-0.28999999999999998</v>
      </c>
      <c r="DU49">
        <v>-1.4433333333333334</v>
      </c>
      <c r="DV49">
        <v>-1.7333333333333334</v>
      </c>
      <c r="DW49">
        <v>-3.1808392857142858</v>
      </c>
      <c r="DX49">
        <v>0.54056038961039055</v>
      </c>
      <c r="DY49">
        <v>-3.0435027690282932</v>
      </c>
      <c r="DZ49">
        <v>2406</v>
      </c>
      <c r="EA49">
        <v>-3.0230198605582199</v>
      </c>
      <c r="EB49">
        <v>3</v>
      </c>
      <c r="EC49">
        <v>8.8041381728497889E-2</v>
      </c>
      <c r="ED49">
        <v>0.3659845324955171</v>
      </c>
      <c r="EE49" s="11">
        <v>6.8409999999999985E-2</v>
      </c>
      <c r="EF49">
        <v>9.9610000000000004E-2</v>
      </c>
      <c r="EG49">
        <v>30.240560389610391</v>
      </c>
      <c r="EH49">
        <v>-1</v>
      </c>
      <c r="EI49">
        <v>0</v>
      </c>
      <c r="EJ49">
        <v>0</v>
      </c>
      <c r="EK49" s="13">
        <v>45470</v>
      </c>
      <c r="EL49" s="14">
        <v>0.16</v>
      </c>
      <c r="EM49" s="14">
        <v>-9.1300000000000008</v>
      </c>
      <c r="EN49">
        <v>-3.69</v>
      </c>
      <c r="EO49">
        <v>3.95</v>
      </c>
      <c r="EP49">
        <v>-3.12</v>
      </c>
    </row>
    <row r="50" spans="1:146" ht="144" x14ac:dyDescent="0.25">
      <c r="A50" s="6" t="s">
        <v>819</v>
      </c>
      <c r="B50" s="6"/>
      <c r="C50" s="6" t="str">
        <f>"份公司的主营业务是致力于研发具备差异化竞争优势生物药的创新型生物制药研发公司，专注于恶性肿瘤、自身免疫性疾病、感染性疾病和遗传病等多个治疗和预防领域的生物药产品研发和产业化。公司的主要产品为重组蛋白药物、抗体药物等。"&amp;CHAR(10)&amp;Basic_Fundamental_Information_Constructure(F50)&amp;CHAR(10)&amp;Basic_Fundamental_Information_Concatenate("重组蛋白药物 10.04亿 98.08% 98.29% 96.89%
抗体药物 1965.75万 1.92% 1.71% 86.20%")</f>
        <v>份公司的主营业务是致力于研发具备差异化竞争优势生物药的创新型生物制药研发公司，专注于恶性肿瘤、自身免疫性疾病、感染性疾病和遗传病等多个治疗和预防领域的生物药产品研发和产业化。公司的主要产品为重组蛋白药物、抗体药物等。
市值179.96016亿, 利润-2.96亿; PE; 平均PE-29.64; 平均PEG0, PB; ROIC0%; ROE0%; 股利率0%; 毛利96.1867%; 净利-239.4567%; 上一年度营收增128.54%, 利润增42.97%; 当季营收增13.73%, 利润增203.64%; 过往5年营收增8284.55%, 利润增-.74%
Income profile:
重组蛋白药物 10.04亿 98.08% 98.29% 96.89%
抗体药物 1965.75万 1.92% 1.71% 86.20%</v>
      </c>
      <c r="D50" t="s">
        <v>181</v>
      </c>
      <c r="E50" t="s">
        <v>182</v>
      </c>
      <c r="F50">
        <v>40.409999999999997</v>
      </c>
      <c r="G50">
        <v>4.1500000000000004</v>
      </c>
      <c r="H50" t="s">
        <v>2019</v>
      </c>
      <c r="I50">
        <v>17996016000</v>
      </c>
      <c r="L50" t="s">
        <v>30</v>
      </c>
      <c r="M50" t="s">
        <v>2020</v>
      </c>
      <c r="N50" t="s">
        <v>2021</v>
      </c>
      <c r="O50" t="s">
        <v>2022</v>
      </c>
      <c r="P50">
        <v>86.3</v>
      </c>
      <c r="Q50" t="s">
        <v>2023</v>
      </c>
      <c r="R50">
        <v>74197374</v>
      </c>
      <c r="S50" s="5">
        <v>1.4850000000000001</v>
      </c>
      <c r="T50" t="s">
        <v>2024</v>
      </c>
      <c r="U50">
        <v>445335710</v>
      </c>
      <c r="V50">
        <v>445335710</v>
      </c>
      <c r="W50" t="s">
        <v>5</v>
      </c>
      <c r="X50">
        <v>0.22</v>
      </c>
      <c r="Y50">
        <v>12.15</v>
      </c>
      <c r="Z50" t="s">
        <v>2025</v>
      </c>
      <c r="AA50" t="s">
        <v>2026</v>
      </c>
      <c r="AB50" t="s">
        <v>728</v>
      </c>
      <c r="AC50" t="s">
        <v>2027</v>
      </c>
      <c r="AD50" t="s">
        <v>5</v>
      </c>
      <c r="AE50">
        <v>30665677</v>
      </c>
      <c r="AF50" t="s">
        <v>2028</v>
      </c>
      <c r="AG50" t="s">
        <v>2029</v>
      </c>
      <c r="AH50" t="s">
        <v>2030</v>
      </c>
      <c r="AI50" t="s">
        <v>899</v>
      </c>
      <c r="AJ50" t="s">
        <v>2031</v>
      </c>
      <c r="AK50" t="s">
        <v>2032</v>
      </c>
      <c r="AL50" t="s">
        <v>2033</v>
      </c>
      <c r="AM50" t="s">
        <v>5</v>
      </c>
      <c r="AN50" t="s">
        <v>101</v>
      </c>
      <c r="AO50" t="s">
        <v>716</v>
      </c>
      <c r="AP50" t="s">
        <v>5</v>
      </c>
      <c r="AQ50" t="s">
        <v>365</v>
      </c>
      <c r="AR50" t="s">
        <v>5</v>
      </c>
      <c r="AS50" t="s">
        <v>2034</v>
      </c>
      <c r="AT50" t="s">
        <v>2035</v>
      </c>
      <c r="AU50" t="s">
        <v>815</v>
      </c>
      <c r="AV50" t="s">
        <v>886</v>
      </c>
      <c r="AW50" t="s">
        <v>2036</v>
      </c>
      <c r="AX50" t="s">
        <v>793</v>
      </c>
      <c r="AY50" t="s">
        <v>77</v>
      </c>
      <c r="AZ50" t="s">
        <v>319</v>
      </c>
      <c r="BA50" t="s">
        <v>183</v>
      </c>
      <c r="BB50" t="s">
        <v>321</v>
      </c>
      <c r="BC50" t="s">
        <v>794</v>
      </c>
      <c r="BD50" t="s">
        <v>480</v>
      </c>
      <c r="BE50" t="s">
        <v>320</v>
      </c>
      <c r="BF50" t="s">
        <v>184</v>
      </c>
      <c r="BG50" t="s">
        <v>322</v>
      </c>
      <c r="BH50" t="s">
        <v>2037</v>
      </c>
      <c r="BI50" t="s">
        <v>2038</v>
      </c>
      <c r="BJ50" t="s">
        <v>793</v>
      </c>
      <c r="BK50" t="s">
        <v>773</v>
      </c>
      <c r="BL50" t="s">
        <v>2039</v>
      </c>
      <c r="BM50" t="s">
        <v>794</v>
      </c>
      <c r="BN50" t="s">
        <v>5</v>
      </c>
      <c r="BO50" t="s">
        <v>5</v>
      </c>
      <c r="BP50" t="s">
        <v>5</v>
      </c>
      <c r="BQ50" t="s">
        <v>5</v>
      </c>
      <c r="BR50" t="s">
        <v>5</v>
      </c>
      <c r="BS50" t="s">
        <v>5</v>
      </c>
      <c r="BT50" t="s">
        <v>593</v>
      </c>
      <c r="BU50" t="s">
        <v>436</v>
      </c>
      <c r="BV50">
        <v>97.11</v>
      </c>
      <c r="BW50">
        <v>96.69</v>
      </c>
      <c r="BX50">
        <v>94.76</v>
      </c>
      <c r="BY50">
        <v>-21.03</v>
      </c>
      <c r="BZ50">
        <v>-50.83</v>
      </c>
      <c r="CA50">
        <v>-646.51</v>
      </c>
      <c r="CB50">
        <v>2.69</v>
      </c>
      <c r="CC50">
        <v>-11.19</v>
      </c>
      <c r="CD50" t="s">
        <v>2040</v>
      </c>
      <c r="CE50" t="s">
        <v>2041</v>
      </c>
      <c r="CF50" s="8">
        <v>0.13729128014842301</v>
      </c>
      <c r="CG50" s="9">
        <v>2.0363688095025254</v>
      </c>
      <c r="CH50" s="8">
        <v>1.2854348421096802</v>
      </c>
      <c r="CI50" s="8">
        <v>6.6343283653259277</v>
      </c>
      <c r="CJ50" s="8">
        <v>407.28762817382812</v>
      </c>
      <c r="CK50" s="8">
        <v>-0.87560170888900757</v>
      </c>
      <c r="CL50" s="8">
        <v>-0.10435549914836884</v>
      </c>
      <c r="CM50" s="9">
        <v>0.42967244982719421</v>
      </c>
      <c r="CN50" s="9">
        <v>0.40138408541679382</v>
      </c>
      <c r="CO50" s="9">
        <v>-0.21598878502845764</v>
      </c>
      <c r="CP50" s="9">
        <v>0.10314465314149857</v>
      </c>
      <c r="CQ50" s="9">
        <v>-0.75496691465377808</v>
      </c>
      <c r="CR50">
        <v>-29.639334614328853</v>
      </c>
      <c r="CS50">
        <v>-3.5776643661334533E-3</v>
      </c>
      <c r="CT50">
        <v>0</v>
      </c>
      <c r="CU50" s="8">
        <v>82.845486834645271</v>
      </c>
      <c r="CV50" s="9">
        <v>-7.3509022593498232E-3</v>
      </c>
      <c r="CW50">
        <v>0.06</v>
      </c>
      <c r="CX50" t="e">
        <v>#VALUE!</v>
      </c>
      <c r="CY50" t="s">
        <v>492</v>
      </c>
      <c r="CZ50">
        <v>82.845486834645271</v>
      </c>
      <c r="DA50" t="e">
        <v>#VALUE!</v>
      </c>
      <c r="DB50" t="s">
        <v>492</v>
      </c>
      <c r="DC50">
        <v>78.703212492913011</v>
      </c>
      <c r="DD50" t="e">
        <v>#VALUE!</v>
      </c>
      <c r="DE50" t="s">
        <v>492</v>
      </c>
      <c r="DF50">
        <v>72.90402841448784</v>
      </c>
      <c r="DG50" t="e">
        <v>#VALUE!</v>
      </c>
      <c r="DH50" t="s">
        <v>492</v>
      </c>
      <c r="DI50">
        <v>66.276389467716214</v>
      </c>
      <c r="DJ50" t="e">
        <v>#VALUE!</v>
      </c>
      <c r="DK50" t="s">
        <v>492</v>
      </c>
      <c r="DL50">
        <v>57.991840784251686</v>
      </c>
      <c r="DM50">
        <v>-296000000</v>
      </c>
      <c r="DN50">
        <v>82.845486834645271</v>
      </c>
      <c r="DO50">
        <v>21842016000</v>
      </c>
      <c r="DP50">
        <v>-833236919.99999976</v>
      </c>
      <c r="DQ50">
        <v>4946</v>
      </c>
      <c r="DR50">
        <v>-82.708195554496854</v>
      </c>
      <c r="DS50">
        <v>2.0437197117618751</v>
      </c>
      <c r="DT50" s="10">
        <v>0.48000000000000004</v>
      </c>
      <c r="DU50">
        <v>-1.5</v>
      </c>
      <c r="DV50">
        <v>-1.02</v>
      </c>
      <c r="DW50">
        <v>6.1938040345821328</v>
      </c>
      <c r="DX50">
        <v>0.57368022056711476</v>
      </c>
      <c r="DY50">
        <v>6.0259077660897358</v>
      </c>
      <c r="DZ50">
        <v>4241</v>
      </c>
      <c r="EA50">
        <v>6.0044058412391355</v>
      </c>
      <c r="EB50">
        <v>6</v>
      </c>
      <c r="EC50">
        <v>1.4001347432928746E-2</v>
      </c>
      <c r="ED50">
        <v>0.10473761468623299</v>
      </c>
      <c r="EE50" s="11">
        <v>2.05071</v>
      </c>
      <c r="EF50">
        <v>2.0902099999999999</v>
      </c>
      <c r="EG50">
        <v>44.133680220567115</v>
      </c>
      <c r="EH50" t="s">
        <v>958</v>
      </c>
      <c r="EI50">
        <v>0</v>
      </c>
      <c r="EJ50">
        <v>0</v>
      </c>
      <c r="EK50" s="13">
        <v>45470</v>
      </c>
      <c r="EL50" s="14">
        <v>-1.22</v>
      </c>
      <c r="EM50" s="14">
        <v>-5.25</v>
      </c>
      <c r="EN50">
        <v>-7.56</v>
      </c>
      <c r="EO50">
        <v>0.78</v>
      </c>
      <c r="EP50">
        <v>-3.95</v>
      </c>
    </row>
    <row r="51" spans="1:146" ht="96" x14ac:dyDescent="0.25">
      <c r="A51" s="6"/>
      <c r="B51" s="6"/>
      <c r="C51" s="6" t="str">
        <f>""&amp;CHAR(10)&amp;Basic_Fundamental_Information_Constructure(F51)&amp;CHAR(10)&amp;Basic_Fundamental_Information_Concatenate("")</f>
        <v xml:space="preserve">
市值14.2912亿, 利润2337.20万; PE; 平均PE33.58; 平均PEG.18, PB1.06; ROIC5.835%; ROE4.3267%; 股利率0%; 毛利82.45%; 净利-6.2267%; 上一年度营收增10.06%, 利润增-43.74%; 当季营收增-93.05%, 利润增-256.97%; 过往5年营收增183.72%, 利润增161.21%
Income profile:
</v>
      </c>
      <c r="D51" t="s">
        <v>370</v>
      </c>
      <c r="E51" t="s">
        <v>371</v>
      </c>
      <c r="F51">
        <v>11.6</v>
      </c>
      <c r="G51">
        <v>4.5</v>
      </c>
      <c r="H51" t="s">
        <v>2042</v>
      </c>
      <c r="I51">
        <v>1429120000</v>
      </c>
      <c r="K51">
        <v>1.06</v>
      </c>
      <c r="L51" t="s">
        <v>30</v>
      </c>
      <c r="M51" t="s">
        <v>831</v>
      </c>
      <c r="N51" t="s">
        <v>2043</v>
      </c>
      <c r="O51" t="s">
        <v>2044</v>
      </c>
      <c r="P51">
        <v>-95.28</v>
      </c>
      <c r="Q51" t="s">
        <v>948</v>
      </c>
      <c r="R51">
        <v>-21490352</v>
      </c>
      <c r="S51" s="5">
        <v>-1.591</v>
      </c>
      <c r="T51" t="s">
        <v>2045</v>
      </c>
      <c r="U51">
        <v>44135585</v>
      </c>
      <c r="V51">
        <v>123200000</v>
      </c>
      <c r="W51">
        <v>1.17</v>
      </c>
      <c r="X51">
        <v>0</v>
      </c>
      <c r="Y51">
        <v>-428.25</v>
      </c>
      <c r="Z51" t="s">
        <v>2046</v>
      </c>
      <c r="AA51" t="s">
        <v>2047</v>
      </c>
      <c r="AB51" t="s">
        <v>2048</v>
      </c>
      <c r="AC51" t="s">
        <v>2049</v>
      </c>
      <c r="AD51" t="s">
        <v>5</v>
      </c>
      <c r="AE51">
        <v>6539</v>
      </c>
      <c r="AF51" t="s">
        <v>2050</v>
      </c>
      <c r="AG51">
        <v>3165.2</v>
      </c>
      <c r="AH51" t="s">
        <v>2051</v>
      </c>
      <c r="AI51" t="s">
        <v>2052</v>
      </c>
      <c r="AJ51" t="s">
        <v>2053</v>
      </c>
      <c r="AK51" t="s">
        <v>5</v>
      </c>
      <c r="AL51" t="s">
        <v>2054</v>
      </c>
      <c r="AM51" t="s">
        <v>5</v>
      </c>
      <c r="AN51" t="s">
        <v>2055</v>
      </c>
      <c r="AO51" t="s">
        <v>2056</v>
      </c>
      <c r="AP51" t="s">
        <v>5</v>
      </c>
      <c r="AQ51" t="s">
        <v>2057</v>
      </c>
      <c r="AR51" t="s">
        <v>5</v>
      </c>
      <c r="AS51" t="s">
        <v>2058</v>
      </c>
      <c r="AT51" t="s">
        <v>5</v>
      </c>
      <c r="AU51" t="s">
        <v>2059</v>
      </c>
      <c r="AV51" t="s">
        <v>2060</v>
      </c>
      <c r="AW51" t="s">
        <v>2061</v>
      </c>
      <c r="AX51" t="s">
        <v>555</v>
      </c>
      <c r="AY51" t="s">
        <v>938</v>
      </c>
      <c r="AZ51" t="s">
        <v>949</v>
      </c>
      <c r="BA51" t="s">
        <v>950</v>
      </c>
      <c r="BB51" t="s">
        <v>5</v>
      </c>
      <c r="BC51" t="s">
        <v>795</v>
      </c>
      <c r="BD51" t="s">
        <v>481</v>
      </c>
      <c r="BE51" t="s">
        <v>231</v>
      </c>
      <c r="BF51" t="s">
        <v>951</v>
      </c>
      <c r="BG51" t="s">
        <v>952</v>
      </c>
      <c r="BH51" t="s">
        <v>701</v>
      </c>
      <c r="BI51" t="s">
        <v>2062</v>
      </c>
      <c r="BJ51" t="s">
        <v>555</v>
      </c>
      <c r="BK51" t="s">
        <v>2063</v>
      </c>
      <c r="BL51" t="s">
        <v>2064</v>
      </c>
      <c r="BM51" t="s">
        <v>795</v>
      </c>
      <c r="BN51" t="s">
        <v>5</v>
      </c>
      <c r="BO51">
        <v>2.77</v>
      </c>
      <c r="BP51">
        <v>8.9</v>
      </c>
      <c r="BQ51">
        <v>-0.77</v>
      </c>
      <c r="BR51">
        <v>2.86</v>
      </c>
      <c r="BS51">
        <v>10.89</v>
      </c>
      <c r="BT51" t="s">
        <v>593</v>
      </c>
      <c r="BU51" t="s">
        <v>513</v>
      </c>
      <c r="BV51">
        <v>77.81</v>
      </c>
      <c r="BW51">
        <v>84.12</v>
      </c>
      <c r="BX51">
        <v>85.42</v>
      </c>
      <c r="BY51">
        <v>-52.74</v>
      </c>
      <c r="BZ51">
        <v>13.04</v>
      </c>
      <c r="CA51">
        <v>21.02</v>
      </c>
      <c r="CB51">
        <v>-1.53</v>
      </c>
      <c r="CC51">
        <v>-30.37</v>
      </c>
      <c r="CD51" t="s">
        <v>2065</v>
      </c>
      <c r="CE51" t="s">
        <v>2066</v>
      </c>
      <c r="CF51" s="8">
        <v>-0.93048134268911875</v>
      </c>
      <c r="CG51" s="9">
        <v>-2.5696814672519701</v>
      </c>
      <c r="CH51" s="8">
        <v>0.10062892735004425</v>
      </c>
      <c r="CI51" s="8">
        <v>-0.18877550959587097</v>
      </c>
      <c r="CJ51" s="8">
        <v>-0.33446520566940308</v>
      </c>
      <c r="CK51" s="8">
        <v>7.771237850189209</v>
      </c>
      <c r="CL51" s="8" t="s">
        <v>5</v>
      </c>
      <c r="CM51" s="9">
        <v>-0.43741980195045471</v>
      </c>
      <c r="CN51" s="9">
        <v>-0.49618968367576599</v>
      </c>
      <c r="CO51" s="9">
        <v>-0.46799871325492859</v>
      </c>
      <c r="CP51" s="9">
        <v>9.1417398452758789</v>
      </c>
      <c r="CQ51" s="9">
        <v>0.32040008902549744</v>
      </c>
      <c r="CR51">
        <v>33.583458304432334</v>
      </c>
      <c r="CS51">
        <v>0.1828012911248347</v>
      </c>
      <c r="CT51">
        <v>0</v>
      </c>
      <c r="CU51" s="8">
        <v>1.8371565155684948</v>
      </c>
      <c r="CV51" s="9">
        <v>1.6121063470840453</v>
      </c>
      <c r="CW51">
        <v>0.06</v>
      </c>
      <c r="CX51">
        <v>5.4369941176446952</v>
      </c>
      <c r="CY51">
        <v>62556624.605534777</v>
      </c>
      <c r="CZ51">
        <v>1.8371565155684948</v>
      </c>
      <c r="DA51">
        <v>0.5456577906065363</v>
      </c>
      <c r="DB51">
        <v>623321073.85827506</v>
      </c>
      <c r="DC51">
        <v>1.74529868979007</v>
      </c>
      <c r="DD51">
        <v>3.8425915621224327E-2</v>
      </c>
      <c r="DE51">
        <v>8851318036.3134079</v>
      </c>
      <c r="DF51">
        <v>1.6166977337002755</v>
      </c>
      <c r="DG51">
        <v>1.7623272414205556E-3</v>
      </c>
      <c r="DH51">
        <v>192994803692.5538</v>
      </c>
      <c r="DI51">
        <v>1.4697252124547959</v>
      </c>
      <c r="DJ51">
        <v>1.6478157728545232E-6</v>
      </c>
      <c r="DK51">
        <v>206406568988478.41</v>
      </c>
      <c r="DL51">
        <v>1.2860095608979463</v>
      </c>
      <c r="DM51">
        <v>23372000</v>
      </c>
      <c r="DN51">
        <v>1.8371565155684948</v>
      </c>
      <c r="DO51">
        <v>340120000</v>
      </c>
      <c r="DP51">
        <v>469042340</v>
      </c>
      <c r="DQ51">
        <v>5055</v>
      </c>
      <c r="DR51">
        <v>-2.7676378582576135</v>
      </c>
      <c r="DS51">
        <v>-4.1817878143360154</v>
      </c>
      <c r="DT51" s="10">
        <v>-0.36199999999999999</v>
      </c>
      <c r="DU51">
        <v>-1.26</v>
      </c>
      <c r="DV51">
        <v>-1.6219999999999999</v>
      </c>
      <c r="DW51">
        <v>-3.1625178571428574</v>
      </c>
      <c r="DX51">
        <v>0.5909465597658774</v>
      </c>
      <c r="DY51">
        <v>-3.0245315114362361</v>
      </c>
      <c r="DZ51">
        <v>4330</v>
      </c>
      <c r="EA51">
        <v>-3.0037445359922237</v>
      </c>
      <c r="EB51">
        <v>3</v>
      </c>
      <c r="EC51">
        <v>2.4114448051948047E-2</v>
      </c>
      <c r="ED51">
        <v>0.15975487012987014</v>
      </c>
      <c r="EE51" s="11">
        <v>2.0211999999999999</v>
      </c>
      <c r="EF51">
        <v>2.0120100000000001</v>
      </c>
      <c r="EG51">
        <v>44.150946559765877</v>
      </c>
      <c r="EH51" t="s">
        <v>958</v>
      </c>
      <c r="EI51">
        <v>0</v>
      </c>
      <c r="EJ51">
        <v>0</v>
      </c>
      <c r="EK51" s="13">
        <v>45470</v>
      </c>
      <c r="EL51" s="14">
        <v>-2.99</v>
      </c>
      <c r="EM51" s="14">
        <v>-3.16</v>
      </c>
      <c r="EN51">
        <v>-7.54</v>
      </c>
      <c r="EO51">
        <v>0.85</v>
      </c>
      <c r="EP51">
        <v>-3.32</v>
      </c>
    </row>
    <row r="52" spans="1:146" ht="168" x14ac:dyDescent="0.25">
      <c r="A52" s="6" t="s">
        <v>385</v>
      </c>
      <c r="B52" s="6" t="s">
        <v>384</v>
      </c>
      <c r="C52" s="6" t="str">
        <f>"公司是一家以生物技术为平台，专注于病毒及免疫性疾病领域，致力于提供预防和治疗方案的生物医药公司。未来，公司将重点聚焦以创新药为核心的乙肝功能性治愈药物组合研发，同时布局免疫性疾病领域提高预防保护率与临床治愈率的创新药物管线，努力成为病毒及免疫性疾病领域的领先力量;"&amp;CHAR(10)&amp;Basic_Fundamental_Information_Constructure(F52)&amp;CHAR(10)&amp;Basic_Fundamental_Information_Concatenate("生物药品 5.42亿 62.89% 利润占比66.25% 91.71%
化学药品 2.91亿 33.80% 利润占比32.54% 83.82%
其他业务 2851.13万 3.31% 利润占比1.21% 31.82%")</f>
        <v>公司是一家以生物技术为平台，专注于病毒及免疫性疾病领域，致力于提供预防和治疗方案的生物医药公司。未来，公司将重点聚焦以创新药为核心的乙肝功能性治愈药物组合研发，同时布局免疫性疾病领域提高预防保护率与临床治愈率的创新药物管线，努力成为病毒及免疫性疾病领域的领先力量;
市值41.402739亿, 利润6405.23万; PE35.23; 平均PE57.98; 平均PEG18.87, PB2.33; ROIC5.1367%; ROE5.7967%; 股利率1.0322%; 毛利85.9433%; 净利8.42%; 上一年度营收增-40.09%, 利润增-23.21%; 当季营收增44.9%, 利润增87.38%; 过往5年营收增3.07%, 利润增11.37%
Income profile:
生物药品 5.42亿 62.89% 利润占比66.25% 91.71%
化学药品 2.91亿 33.80% 利润占比32.54% 83.82%
其他业务 2851.13万 3.31% 利润占比1.21% 31.82%</v>
      </c>
      <c r="D52" t="s">
        <v>323</v>
      </c>
      <c r="E52" t="s">
        <v>324</v>
      </c>
      <c r="F52">
        <v>24.22</v>
      </c>
      <c r="G52">
        <v>3.46</v>
      </c>
      <c r="H52" t="s">
        <v>2067</v>
      </c>
      <c r="I52">
        <v>4140273900</v>
      </c>
      <c r="J52">
        <v>35.229999999999997</v>
      </c>
      <c r="K52">
        <v>2.33</v>
      </c>
      <c r="L52" t="s">
        <v>30</v>
      </c>
      <c r="M52" t="s">
        <v>2068</v>
      </c>
      <c r="N52" t="s">
        <v>1109</v>
      </c>
      <c r="O52" t="s">
        <v>2069</v>
      </c>
      <c r="P52">
        <v>10.34</v>
      </c>
      <c r="Q52" t="s">
        <v>1361</v>
      </c>
      <c r="R52">
        <v>22144169</v>
      </c>
      <c r="S52" s="5">
        <v>4.7500000000000001E-2</v>
      </c>
      <c r="T52" t="s">
        <v>2070</v>
      </c>
      <c r="U52">
        <v>170944420</v>
      </c>
      <c r="V52">
        <v>170944420</v>
      </c>
      <c r="W52">
        <v>1.34</v>
      </c>
      <c r="X52">
        <v>0.09</v>
      </c>
      <c r="Y52">
        <v>11.67</v>
      </c>
      <c r="Z52" t="s">
        <v>177</v>
      </c>
      <c r="AA52" t="s">
        <v>2071</v>
      </c>
      <c r="AB52" t="s">
        <v>330</v>
      </c>
      <c r="AC52" t="s">
        <v>2072</v>
      </c>
      <c r="AD52" t="s">
        <v>5</v>
      </c>
      <c r="AE52">
        <v>-3499145</v>
      </c>
      <c r="AF52" t="s">
        <v>2073</v>
      </c>
      <c r="AG52" t="s">
        <v>2074</v>
      </c>
      <c r="AH52" t="s">
        <v>2075</v>
      </c>
      <c r="AI52" t="s">
        <v>857</v>
      </c>
      <c r="AJ52" t="s">
        <v>2076</v>
      </c>
      <c r="AK52" t="s">
        <v>2077</v>
      </c>
      <c r="AL52" t="s">
        <v>2078</v>
      </c>
      <c r="AM52" t="s">
        <v>5</v>
      </c>
      <c r="AN52" t="s">
        <v>141</v>
      </c>
      <c r="AO52" t="s">
        <v>2079</v>
      </c>
      <c r="AP52" t="s">
        <v>2080</v>
      </c>
      <c r="AQ52" t="s">
        <v>2081</v>
      </c>
      <c r="AR52" t="s">
        <v>5</v>
      </c>
      <c r="AS52" t="s">
        <v>230</v>
      </c>
      <c r="AT52" t="s">
        <v>2082</v>
      </c>
      <c r="AU52" t="s">
        <v>2083</v>
      </c>
      <c r="AV52" t="s">
        <v>2084</v>
      </c>
      <c r="AW52" t="s">
        <v>2085</v>
      </c>
      <c r="AX52" t="s">
        <v>796</v>
      </c>
      <c r="AY52" t="s">
        <v>482</v>
      </c>
      <c r="AZ52" t="s">
        <v>155</v>
      </c>
      <c r="BA52" t="s">
        <v>326</v>
      </c>
      <c r="BB52" t="s">
        <v>124</v>
      </c>
      <c r="BC52" t="s">
        <v>797</v>
      </c>
      <c r="BD52" t="s">
        <v>115</v>
      </c>
      <c r="BE52" t="s">
        <v>325</v>
      </c>
      <c r="BF52" t="s">
        <v>327</v>
      </c>
      <c r="BG52" t="s">
        <v>328</v>
      </c>
      <c r="BH52" t="s">
        <v>2086</v>
      </c>
      <c r="BI52" t="s">
        <v>430</v>
      </c>
      <c r="BJ52" t="s">
        <v>796</v>
      </c>
      <c r="BK52" t="s">
        <v>75</v>
      </c>
      <c r="BL52" t="s">
        <v>2087</v>
      </c>
      <c r="BM52" t="s">
        <v>797</v>
      </c>
      <c r="BN52">
        <v>5.21</v>
      </c>
      <c r="BO52">
        <v>3.85</v>
      </c>
      <c r="BP52">
        <v>6.35</v>
      </c>
      <c r="BQ52">
        <v>5.3</v>
      </c>
      <c r="BR52">
        <v>4.95</v>
      </c>
      <c r="BS52">
        <v>7.14</v>
      </c>
      <c r="BT52" t="s">
        <v>601</v>
      </c>
      <c r="BU52" t="s">
        <v>436</v>
      </c>
      <c r="BV52">
        <v>83.55</v>
      </c>
      <c r="BW52">
        <v>86.6</v>
      </c>
      <c r="BX52">
        <v>87.68</v>
      </c>
      <c r="BY52">
        <v>9.7200000000000006</v>
      </c>
      <c r="BZ52">
        <v>6.95</v>
      </c>
      <c r="CA52">
        <v>8.59</v>
      </c>
      <c r="CB52">
        <v>-5.0599999999999996</v>
      </c>
      <c r="CC52">
        <v>-16.48</v>
      </c>
      <c r="CD52" t="s">
        <v>2088</v>
      </c>
      <c r="CE52" t="s">
        <v>2089</v>
      </c>
      <c r="CF52" s="8">
        <v>0.44897959183673469</v>
      </c>
      <c r="CG52" s="9">
        <v>0.873750349040878</v>
      </c>
      <c r="CH52" s="8">
        <v>-0.40086206793785095</v>
      </c>
      <c r="CI52" s="8">
        <v>1.3986013829708099E-2</v>
      </c>
      <c r="CJ52" s="8">
        <v>0.32714617252349854</v>
      </c>
      <c r="CK52" s="8">
        <v>4.4848483055830002E-2</v>
      </c>
      <c r="CL52" s="8">
        <v>0.16855524480342865</v>
      </c>
      <c r="CM52" s="9">
        <v>-0.23205862939357758</v>
      </c>
      <c r="CN52" s="9">
        <v>-0.22048784792423248</v>
      </c>
      <c r="CO52" s="9">
        <v>0.41599196195602417</v>
      </c>
      <c r="CP52" s="9">
        <v>0.41094732284545898</v>
      </c>
      <c r="CQ52" s="9">
        <v>0.19409291446208954</v>
      </c>
      <c r="CR52">
        <v>57.982535900579137</v>
      </c>
      <c r="CS52">
        <v>18.865453460755013</v>
      </c>
      <c r="CT52">
        <v>1.0322047894302231</v>
      </c>
      <c r="CU52" s="8">
        <v>3.0734769254922866E-2</v>
      </c>
      <c r="CV52" s="9">
        <v>0.11369714438915253</v>
      </c>
      <c r="CW52">
        <v>0.06</v>
      </c>
      <c r="CX52">
        <v>48.058550616120549</v>
      </c>
      <c r="CY52">
        <v>62283898.736553855</v>
      </c>
      <c r="CZ52">
        <v>3.0734769254922866E-2</v>
      </c>
      <c r="DA52">
        <v>16.518797667582941</v>
      </c>
      <c r="DB52">
        <v>181204102.15291297</v>
      </c>
      <c r="DC52">
        <v>2.919803079217672E-2</v>
      </c>
      <c r="DD52">
        <v>8.6862832315903358</v>
      </c>
      <c r="DE52">
        <v>344597777.92117584</v>
      </c>
      <c r="DF52">
        <v>2.7046596944332122E-2</v>
      </c>
      <c r="DG52">
        <v>5.6066978384013684</v>
      </c>
      <c r="DH52">
        <v>533874659.60774314</v>
      </c>
      <c r="DI52">
        <v>2.4587815403938295E-2</v>
      </c>
      <c r="DJ52">
        <v>3.3681855195082013</v>
      </c>
      <c r="DK52">
        <v>888690329.75269628</v>
      </c>
      <c r="DL52">
        <v>2.1514338478446006E-2</v>
      </c>
      <c r="DM52">
        <v>64052299.999999993</v>
      </c>
      <c r="DN52">
        <v>3.0734769254922866E-2</v>
      </c>
      <c r="DO52">
        <v>2993273900</v>
      </c>
      <c r="DP52">
        <v>1263139400</v>
      </c>
      <c r="DQ52">
        <v>5067</v>
      </c>
      <c r="DR52">
        <v>0.41824482258181184</v>
      </c>
      <c r="DS52">
        <v>0.76005320465172543</v>
      </c>
      <c r="DT52" s="10">
        <v>-0.37333333333333335</v>
      </c>
      <c r="DU52">
        <v>3.3333333333333291E-2</v>
      </c>
      <c r="DV52">
        <v>-0.34000000000000008</v>
      </c>
      <c r="DW52">
        <v>-8.3070388349514559</v>
      </c>
      <c r="DX52">
        <v>0.37538192457949759</v>
      </c>
      <c r="DY52">
        <v>-8.0477082850954051</v>
      </c>
      <c r="DZ52">
        <v>2371</v>
      </c>
      <c r="EA52">
        <v>-8.0255720142615097</v>
      </c>
      <c r="EB52">
        <v>8</v>
      </c>
      <c r="EC52">
        <v>5.5607547763185251E-2</v>
      </c>
      <c r="ED52">
        <v>0.35787655426249071</v>
      </c>
      <c r="EE52" s="11">
        <v>5.3010000000000009E-2</v>
      </c>
      <c r="EF52">
        <v>8.5309999999999997E-2</v>
      </c>
      <c r="EG52">
        <v>22.155381924579498</v>
      </c>
      <c r="EH52">
        <v>-1</v>
      </c>
      <c r="EI52">
        <v>0</v>
      </c>
      <c r="EJ52">
        <v>0</v>
      </c>
      <c r="EK52" s="13">
        <v>45470</v>
      </c>
      <c r="EL52" s="14">
        <v>-1.37</v>
      </c>
      <c r="EM52" s="14">
        <v>-6.46</v>
      </c>
      <c r="EN52">
        <v>-2.78</v>
      </c>
      <c r="EO52">
        <v>3.48</v>
      </c>
      <c r="EP52">
        <v>-3.23</v>
      </c>
    </row>
    <row r="53" spans="1:146" ht="96" x14ac:dyDescent="0.25">
      <c r="A53" s="6"/>
      <c r="B53" s="6"/>
      <c r="C53" s="6" t="str">
        <f>""&amp;CHAR(10)&amp;Basic_Fundamental_Information_Constructure(F53)&amp;CHAR(10)&amp;Basic_Fundamental_Information_Concatenate("")</f>
        <v xml:space="preserve">
市值99.323325亿, 利润-4827.43万; PE23.63; 平均PE15.71; 平均PEG11.57, PB1.03; ROIC8.1633%; ROE9.7333%; 股利率3.3543%; 毛利86.87%; 净利36.2333%; 上一年度营收增-37.91%, 利润增-106.76%; 当季营收增78.92%, 利润增389.48%; 过往5年营收增-1.36%, 利润增-17.09%
Income profile:
</v>
      </c>
      <c r="D53" t="s">
        <v>372</v>
      </c>
      <c r="E53" t="s">
        <v>565</v>
      </c>
      <c r="F53">
        <v>23.85</v>
      </c>
      <c r="G53">
        <v>1.1000000000000001</v>
      </c>
      <c r="H53" t="s">
        <v>2090</v>
      </c>
      <c r="I53">
        <v>9932332500</v>
      </c>
      <c r="J53">
        <v>23.63</v>
      </c>
      <c r="K53">
        <v>1.03</v>
      </c>
      <c r="L53" t="s">
        <v>30</v>
      </c>
      <c r="M53" t="s">
        <v>2091</v>
      </c>
      <c r="N53" t="s">
        <v>2092</v>
      </c>
      <c r="O53" t="s">
        <v>74</v>
      </c>
      <c r="P53">
        <v>3.16</v>
      </c>
      <c r="Q53" t="s">
        <v>2093</v>
      </c>
      <c r="R53">
        <v>81463701</v>
      </c>
      <c r="S53" s="5">
        <v>-0.35880000000000001</v>
      </c>
      <c r="T53" t="s">
        <v>2094</v>
      </c>
      <c r="U53">
        <v>188786240</v>
      </c>
      <c r="V53">
        <v>416450000</v>
      </c>
      <c r="W53">
        <v>1.05</v>
      </c>
      <c r="X53">
        <v>0.04</v>
      </c>
      <c r="Y53">
        <v>22.34</v>
      </c>
      <c r="Z53" t="s">
        <v>1270</v>
      </c>
      <c r="AA53" t="s">
        <v>2095</v>
      </c>
      <c r="AB53" t="s">
        <v>2096</v>
      </c>
      <c r="AC53" t="s">
        <v>2097</v>
      </c>
      <c r="AD53" t="s">
        <v>5</v>
      </c>
      <c r="AE53">
        <v>-14649437</v>
      </c>
      <c r="AF53" t="s">
        <v>2098</v>
      </c>
      <c r="AG53">
        <v>1000</v>
      </c>
      <c r="AH53" t="s">
        <v>2099</v>
      </c>
      <c r="AI53" t="s">
        <v>2100</v>
      </c>
      <c r="AJ53" t="s">
        <v>2101</v>
      </c>
      <c r="AK53" t="s">
        <v>5</v>
      </c>
      <c r="AL53" t="s">
        <v>2102</v>
      </c>
      <c r="AM53" t="s">
        <v>5</v>
      </c>
      <c r="AN53" t="s">
        <v>2103</v>
      </c>
      <c r="AO53" t="s">
        <v>5</v>
      </c>
      <c r="AP53" t="s">
        <v>5</v>
      </c>
      <c r="AQ53" t="s">
        <v>2104</v>
      </c>
      <c r="AR53" t="s">
        <v>5</v>
      </c>
      <c r="AS53" t="s">
        <v>2105</v>
      </c>
      <c r="AT53" t="s">
        <v>5</v>
      </c>
      <c r="AU53" t="s">
        <v>2106</v>
      </c>
      <c r="AV53" t="s">
        <v>2107</v>
      </c>
      <c r="AW53" t="s">
        <v>2108</v>
      </c>
      <c r="AX53" t="s">
        <v>799</v>
      </c>
      <c r="AY53" t="s">
        <v>464</v>
      </c>
      <c r="AZ53" t="s">
        <v>373</v>
      </c>
      <c r="BA53" t="s">
        <v>376</v>
      </c>
      <c r="BB53" t="s">
        <v>377</v>
      </c>
      <c r="BC53" t="s">
        <v>800</v>
      </c>
      <c r="BD53" t="s">
        <v>483</v>
      </c>
      <c r="BE53" t="s">
        <v>374</v>
      </c>
      <c r="BF53" t="s">
        <v>378</v>
      </c>
      <c r="BG53" t="s">
        <v>134</v>
      </c>
      <c r="BH53" t="s">
        <v>2109</v>
      </c>
      <c r="BI53" t="s">
        <v>511</v>
      </c>
      <c r="BJ53" t="s">
        <v>799</v>
      </c>
      <c r="BK53" t="s">
        <v>867</v>
      </c>
      <c r="BL53" t="s">
        <v>2110</v>
      </c>
      <c r="BM53" t="s">
        <v>800</v>
      </c>
      <c r="BN53">
        <v>4.29</v>
      </c>
      <c r="BO53">
        <v>7.01</v>
      </c>
      <c r="BP53">
        <v>13.19</v>
      </c>
      <c r="BQ53">
        <v>4.78</v>
      </c>
      <c r="BR53">
        <v>7.54</v>
      </c>
      <c r="BS53">
        <v>16.88</v>
      </c>
      <c r="BT53" t="s">
        <v>1211</v>
      </c>
      <c r="BU53" t="s">
        <v>513</v>
      </c>
      <c r="BV53">
        <v>83.65</v>
      </c>
      <c r="BW53">
        <v>87.11</v>
      </c>
      <c r="BX53">
        <v>89.85</v>
      </c>
      <c r="BY53">
        <v>26.62</v>
      </c>
      <c r="BZ53">
        <v>39.340000000000003</v>
      </c>
      <c r="CA53">
        <v>42.74</v>
      </c>
      <c r="CB53">
        <v>-1.61</v>
      </c>
      <c r="CC53">
        <v>-11.01</v>
      </c>
      <c r="CD53" t="s">
        <v>2111</v>
      </c>
      <c r="CE53" t="s">
        <v>2112</v>
      </c>
      <c r="CF53" s="8">
        <v>0.78921568627450978</v>
      </c>
      <c r="CG53" s="9">
        <v>3.8948300173056492</v>
      </c>
      <c r="CH53" s="8">
        <v>-0.37906330823898315</v>
      </c>
      <c r="CI53" s="8">
        <v>-0.13074715435504913</v>
      </c>
      <c r="CJ53" s="8">
        <v>4.6092186123132706E-2</v>
      </c>
      <c r="CK53" s="8">
        <v>0.19022068381309509</v>
      </c>
      <c r="CL53" s="8">
        <v>0.20560736954212189</v>
      </c>
      <c r="CM53" s="9">
        <v>-1.0676110982894897</v>
      </c>
      <c r="CN53" s="9">
        <v>-0.19955156743526459</v>
      </c>
      <c r="CO53" s="9">
        <v>-2.8322439640760422E-2</v>
      </c>
      <c r="CP53" s="9">
        <v>0.31518623232841492</v>
      </c>
      <c r="CQ53" s="9">
        <v>0.12580645084381104</v>
      </c>
      <c r="CR53">
        <v>15.708567174479695</v>
      </c>
      <c r="CS53">
        <v>11.569093791099226</v>
      </c>
      <c r="CT53">
        <v>3.3542976939203353</v>
      </c>
      <c r="CU53" s="8">
        <v>-1.3578044623136521E-2</v>
      </c>
      <c r="CV53" s="9">
        <v>-0.17089848443865777</v>
      </c>
      <c r="CW53">
        <v>0.06</v>
      </c>
      <c r="CX53" t="e">
        <v>#VALUE!</v>
      </c>
      <c r="CY53" t="s">
        <v>492</v>
      </c>
      <c r="CZ53">
        <v>-1.3578044623136521E-2</v>
      </c>
      <c r="DA53" t="e">
        <v>#VALUE!</v>
      </c>
      <c r="DB53" t="s">
        <v>492</v>
      </c>
      <c r="DC53">
        <v>-1.2899142391979694E-2</v>
      </c>
      <c r="DD53" t="e">
        <v>#VALUE!</v>
      </c>
      <c r="DE53" t="s">
        <v>492</v>
      </c>
      <c r="DF53">
        <v>-1.1948679268360138E-2</v>
      </c>
      <c r="DG53" t="e">
        <v>#VALUE!</v>
      </c>
      <c r="DH53" t="s">
        <v>492</v>
      </c>
      <c r="DI53">
        <v>-1.0862435698509218E-2</v>
      </c>
      <c r="DJ53" t="e">
        <v>#VALUE!</v>
      </c>
      <c r="DK53" t="s">
        <v>492</v>
      </c>
      <c r="DL53">
        <v>-9.5046312361955643E-3</v>
      </c>
      <c r="DM53">
        <v>-48274300</v>
      </c>
      <c r="DN53">
        <v>-1.3578044623136521E-2</v>
      </c>
      <c r="DO53">
        <v>750332500</v>
      </c>
      <c r="DP53">
        <v>6911358300</v>
      </c>
      <c r="DQ53">
        <v>5093</v>
      </c>
      <c r="DR53">
        <v>0.80279373089764627</v>
      </c>
      <c r="DS53">
        <v>4.0657285017443066</v>
      </c>
      <c r="DT53" s="10">
        <v>-0.39000000000000007</v>
      </c>
      <c r="DU53">
        <v>-1.0033333333333334</v>
      </c>
      <c r="DV53">
        <v>-1.3933333333333335</v>
      </c>
      <c r="DW53">
        <v>-2.1101000000000001</v>
      </c>
      <c r="DX53">
        <v>0.46696780587569847</v>
      </c>
      <c r="DY53">
        <v>-2.0172821554269147</v>
      </c>
      <c r="DZ53">
        <v>1124</v>
      </c>
      <c r="EA53">
        <v>-2.0134807576382938</v>
      </c>
      <c r="EB53">
        <v>2</v>
      </c>
      <c r="EC53">
        <v>1.0762876695881858E-2</v>
      </c>
      <c r="ED53">
        <v>6.8567415055829029E-2</v>
      </c>
      <c r="EE53" s="11">
        <v>4.0518000000000001</v>
      </c>
      <c r="EF53">
        <v>4.0273000000000003</v>
      </c>
      <c r="EG53">
        <v>31.156967805875698</v>
      </c>
      <c r="EH53" t="s">
        <v>960</v>
      </c>
      <c r="EI53">
        <v>0</v>
      </c>
      <c r="EJ53">
        <v>1</v>
      </c>
      <c r="EK53" s="13">
        <v>45470</v>
      </c>
      <c r="EL53" s="14">
        <v>1.01</v>
      </c>
      <c r="EM53" s="14">
        <v>-2.72</v>
      </c>
      <c r="EN53">
        <v>-1.44</v>
      </c>
      <c r="EO53">
        <v>2.93</v>
      </c>
      <c r="EP53">
        <v>-2.4500000000000002</v>
      </c>
    </row>
    <row r="54" spans="1:146" x14ac:dyDescent="0.25">
      <c r="Q54" s="5"/>
    </row>
    <row r="55" spans="1:146" x14ac:dyDescent="0.25">
      <c r="A55" s="6"/>
      <c r="B55" s="6"/>
      <c r="C55" s="7"/>
      <c r="Q55" s="5"/>
    </row>
    <row r="56" spans="1:146" x14ac:dyDescent="0.25">
      <c r="A56" s="6"/>
      <c r="B56" s="6"/>
      <c r="C56" s="7"/>
      <c r="Q56" s="5"/>
    </row>
    <row r="57" spans="1:146" x14ac:dyDescent="0.25">
      <c r="Q57" s="5"/>
    </row>
    <row r="58" spans="1:146" x14ac:dyDescent="0.25">
      <c r="Q58" s="5"/>
    </row>
    <row r="59" spans="1:146" x14ac:dyDescent="0.25">
      <c r="Q59" s="5"/>
    </row>
    <row r="60" spans="1:146" x14ac:dyDescent="0.25">
      <c r="Q60" s="5"/>
    </row>
    <row r="61" spans="1:146" x14ac:dyDescent="0.25">
      <c r="Q61" s="5"/>
    </row>
  </sheetData>
  <autoFilter ref="BU1:BU61"/>
  <sortState ref="A2:D97">
    <sortCondition ref="C2:C97"/>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asic_Fundamental_Tabel_Update_Buttom &quot;生物制品&quot;,&quot;&quot;'" altText="更新基本面按钮_x000a_">
                <anchor moveWithCells="1" sizeWithCells="1">
                  <from>
                    <xdr:col>147</xdr:col>
                    <xdr:colOff>120650</xdr:colOff>
                    <xdr:row>0</xdr:row>
                    <xdr:rowOff>50800</xdr:rowOff>
                  </from>
                  <to>
                    <xdr:col>147</xdr:col>
                    <xdr:colOff>1397000</xdr:colOff>
                    <xdr:row>0</xdr:row>
                    <xdr:rowOff>361950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生物制品</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2024-07-10T15:56:13Z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