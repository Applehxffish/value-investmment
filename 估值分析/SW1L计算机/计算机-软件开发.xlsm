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计算机\"/>
    </mc:Choice>
  </mc:AlternateContent>
  <bookViews>
    <workbookView xWindow="0" yWindow="0" windowWidth="3800" windowHeight="2950"/>
  </bookViews>
  <sheets>
    <sheet name="计算机应用" sheetId="18" r:id="rId1"/>
    <sheet name="估值-增速与年化收益" sheetId="14" r:id="rId2"/>
  </sheets>
  <functionGroups builtInGroupCount="18"/>
  <definedNames>
    <definedName name="_xlnm._FilterDatabase" localSheetId="0" hidden="1">计算机应用!$BU$1:$BU$138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130" i="18"/>
  <c r="C46" i="18"/>
  <c r="C48" i="18"/>
  <c r="C59" i="18"/>
  <c r="C45" i="18"/>
  <c r="C91" i="18"/>
  <c r="C15" i="18"/>
  <c r="C106" i="18"/>
  <c r="C57" i="18"/>
  <c r="C105" i="18"/>
  <c r="C40" i="18"/>
  <c r="C118" i="18"/>
  <c r="C81" i="18"/>
  <c r="C50" i="18"/>
  <c r="C107" i="18"/>
  <c r="C14" i="18"/>
  <c r="C68" i="18"/>
  <c r="C22" i="18"/>
  <c r="C28" i="18"/>
  <c r="C42" i="18"/>
  <c r="C112" i="18"/>
  <c r="C60" i="18"/>
  <c r="C24" i="18"/>
  <c r="C32" i="18"/>
  <c r="C77" i="18"/>
  <c r="C82" i="18"/>
  <c r="C90" i="18"/>
  <c r="C16" i="18"/>
  <c r="C7" i="18"/>
  <c r="C4" i="18"/>
  <c r="C35" i="18"/>
  <c r="C11" i="18"/>
  <c r="C41" i="18"/>
  <c r="C23" i="18"/>
  <c r="C110" i="18"/>
  <c r="C49" i="18"/>
  <c r="C113" i="18"/>
  <c r="C69" i="18"/>
  <c r="C19" i="18"/>
  <c r="C86" i="18"/>
  <c r="C94" i="18"/>
  <c r="C47" i="18"/>
  <c r="C2" i="18"/>
  <c r="C115" i="18"/>
  <c r="C63" i="18"/>
  <c r="C67" i="18"/>
  <c r="C25" i="18"/>
  <c r="C131" i="18"/>
  <c r="C73" i="18"/>
  <c r="C117" i="18"/>
  <c r="C126" i="18"/>
  <c r="C33" i="18"/>
  <c r="C129" i="18"/>
  <c r="C74" i="18"/>
  <c r="C75" i="18"/>
  <c r="C122" i="18"/>
  <c r="C76" i="18"/>
  <c r="C38" i="18"/>
  <c r="C111" i="18"/>
  <c r="C52" i="18"/>
  <c r="C83" i="18"/>
  <c r="C53" i="18"/>
  <c r="C97" i="18"/>
  <c r="C99" i="18"/>
  <c r="C103" i="18"/>
  <c r="C92" i="18"/>
  <c r="C20" i="18"/>
  <c r="C62" i="18"/>
  <c r="C93" i="18"/>
  <c r="C51" i="18"/>
  <c r="C79" i="18"/>
  <c r="C21" i="18"/>
  <c r="C12" i="18"/>
  <c r="C9" i="18"/>
  <c r="C6" i="18"/>
  <c r="C65" i="18"/>
  <c r="C71" i="18"/>
  <c r="C64" i="18"/>
  <c r="C70" i="18"/>
  <c r="C101" i="18"/>
  <c r="C124" i="18"/>
  <c r="C104" i="18"/>
  <c r="C87" i="18"/>
  <c r="C84" i="18"/>
  <c r="C95" i="18"/>
  <c r="C44" i="18"/>
  <c r="C5" i="18"/>
  <c r="C85" i="18"/>
  <c r="C98" i="18"/>
  <c r="C89" i="18"/>
  <c r="C30" i="18"/>
  <c r="C119" i="18"/>
  <c r="C96" i="18"/>
  <c r="C128" i="18"/>
  <c r="C78" i="18"/>
  <c r="C61" i="18"/>
  <c r="C127" i="18"/>
  <c r="C109" i="18"/>
  <c r="C120" i="18"/>
  <c r="C114" i="18"/>
  <c r="C108" i="18"/>
  <c r="C80" i="18"/>
  <c r="C17" i="18"/>
  <c r="C54" i="18"/>
  <c r="C39" i="18"/>
  <c r="C34" i="18"/>
  <c r="C66" i="18"/>
  <c r="C56" i="18"/>
  <c r="C116" i="18"/>
  <c r="C125" i="18"/>
  <c r="C37" i="18"/>
  <c r="C102" i="18"/>
  <c r="C100" i="18"/>
  <c r="C29" i="18"/>
  <c r="C8" i="18"/>
  <c r="C18" i="18"/>
  <c r="C27" i="18"/>
  <c r="C43" i="18"/>
  <c r="C31" i="18"/>
  <c r="C121" i="18"/>
  <c r="C123" i="18"/>
  <c r="C58" i="18"/>
  <c r="C13" i="18"/>
  <c r="C26" i="18"/>
  <c r="C55" i="18"/>
  <c r="C72" i="18"/>
  <c r="C36" i="18"/>
  <c r="C10" i="18"/>
  <c r="C3" i="18"/>
</calcChain>
</file>

<file path=xl/sharedStrings.xml><?xml version="1.0" encoding="utf-8"?>
<sst xmlns="http://schemas.openxmlformats.org/spreadsheetml/2006/main" count="7622" uniqueCount="4580">
  <si>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</si>
  <si>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</si>
  <si>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</si>
  <si>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</si>
  <si>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</si>
  <si>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银之杰</t>
  </si>
  <si>
    <t>科创信息</t>
  </si>
  <si>
    <t>思特奇</t>
  </si>
  <si>
    <t>用友网络</t>
  </si>
  <si>
    <t>网达软件</t>
  </si>
  <si>
    <t>信息发展</t>
  </si>
  <si>
    <t>科大讯飞</t>
  </si>
  <si>
    <t>麦迪科技</t>
  </si>
  <si>
    <t>格尔软件</t>
  </si>
  <si>
    <t>长亮科技</t>
  </si>
  <si>
    <t>东方通</t>
  </si>
  <si>
    <t>新晨科技</t>
  </si>
  <si>
    <t>科大国创</t>
  </si>
  <si>
    <t>北信源</t>
  </si>
  <si>
    <t>诚迈科技</t>
  </si>
  <si>
    <t>安硕信息</t>
  </si>
  <si>
    <t>和仁科技</t>
  </si>
  <si>
    <t>汇金科技</t>
  </si>
  <si>
    <t>四维图新</t>
  </si>
  <si>
    <t>恒生电子</t>
  </si>
  <si>
    <t>高伟达</t>
  </si>
  <si>
    <t>汉王科技</t>
  </si>
  <si>
    <t>同花顺</t>
  </si>
  <si>
    <t>川大智胜</t>
  </si>
  <si>
    <t>石基信息</t>
  </si>
  <si>
    <t>数字认证</t>
  </si>
  <si>
    <t>拓尔思</t>
  </si>
  <si>
    <t>卫宁健康</t>
  </si>
  <si>
    <t>顶点软件</t>
  </si>
  <si>
    <t>广联达</t>
  </si>
  <si>
    <t>创业慧康</t>
  </si>
  <si>
    <t>万兴科技</t>
  </si>
  <si>
    <t>深信服</t>
  </si>
  <si>
    <t>恒华科技</t>
  </si>
  <si>
    <t>赢时胜</t>
  </si>
  <si>
    <t>方直科技</t>
  </si>
  <si>
    <t>佳发教育</t>
  </si>
  <si>
    <t>天源迪科</t>
  </si>
  <si>
    <t>超图软件</t>
  </si>
  <si>
    <t>三六零</t>
  </si>
  <si>
    <t>恒锋信息</t>
  </si>
  <si>
    <t>博思软件</t>
  </si>
  <si>
    <t>鼎捷软件</t>
  </si>
  <si>
    <t>启明星辰</t>
  </si>
  <si>
    <t>数字政通</t>
  </si>
  <si>
    <t>南天信息</t>
  </si>
  <si>
    <t>丝路视觉</t>
  </si>
  <si>
    <t>四方精创</t>
  </si>
  <si>
    <t>远光软件</t>
  </si>
  <si>
    <t>创意信息</t>
  </si>
  <si>
    <t>云赛智联</t>
  </si>
  <si>
    <t>任子行</t>
  </si>
  <si>
    <t>华宇软件</t>
  </si>
  <si>
    <t>久其软件</t>
  </si>
  <si>
    <t>科蓝软件</t>
  </si>
  <si>
    <t>绿盟科技</t>
  </si>
  <si>
    <t>华平股份</t>
  </si>
  <si>
    <t>大智慧</t>
  </si>
  <si>
    <t>--</t>
  </si>
  <si>
    <t>3.96亿</t>
  </si>
  <si>
    <t>2.93亿</t>
  </si>
  <si>
    <t>1.92亿</t>
  </si>
  <si>
    <t>3.48亿</t>
  </si>
  <si>
    <t>总市值</t>
  </si>
  <si>
    <t>TTM市盈率</t>
  </si>
  <si>
    <t>所属行业</t>
  </si>
  <si>
    <t>SZ300598</t>
  </si>
  <si>
    <t>SZ300085</t>
  </si>
  <si>
    <t>SH601519</t>
  </si>
  <si>
    <t>SZ300348</t>
  </si>
  <si>
    <t>SH688111</t>
  </si>
  <si>
    <t>金山办公</t>
  </si>
  <si>
    <t>SZ002362</t>
  </si>
  <si>
    <t>SZ300663</t>
  </si>
  <si>
    <t>SH603189</t>
  </si>
  <si>
    <t>SZ300561</t>
  </si>
  <si>
    <t>SH688023</t>
  </si>
  <si>
    <t>SZ002410</t>
  </si>
  <si>
    <t>SZ300803</t>
  </si>
  <si>
    <t>指南针</t>
  </si>
  <si>
    <t>SZ002405</t>
  </si>
  <si>
    <t>SZ002230</t>
  </si>
  <si>
    <t>SZ000948</t>
  </si>
  <si>
    <t>SZ300074</t>
  </si>
  <si>
    <t>SZ300468</t>
  </si>
  <si>
    <t>SZ300799</t>
  </si>
  <si>
    <t>SZ300379</t>
  </si>
  <si>
    <t>SZ300542</t>
  </si>
  <si>
    <t>SZ300352</t>
  </si>
  <si>
    <t>SZ300525</t>
  </si>
  <si>
    <t>SH603232</t>
  </si>
  <si>
    <t>SZ300380</t>
  </si>
  <si>
    <t>SZ300579</t>
  </si>
  <si>
    <t>SZ002153</t>
  </si>
  <si>
    <t>SZ300469</t>
  </si>
  <si>
    <t>SZ300311</t>
  </si>
  <si>
    <t>SZ300229</t>
  </si>
  <si>
    <t>SH600588</t>
  </si>
  <si>
    <t>SH603990</t>
  </si>
  <si>
    <t>SZ300235</t>
  </si>
  <si>
    <t>SH688058</t>
  </si>
  <si>
    <t>宝兰德</t>
  </si>
  <si>
    <t>SZ300454</t>
  </si>
  <si>
    <t>SH603039</t>
  </si>
  <si>
    <t>SZ300033</t>
  </si>
  <si>
    <t>SZ300730</t>
  </si>
  <si>
    <t>SH603383</t>
  </si>
  <si>
    <t>SH688168</t>
  </si>
  <si>
    <t>SH688118</t>
  </si>
  <si>
    <t>普元信息</t>
  </si>
  <si>
    <t>SZ300369</t>
  </si>
  <si>
    <t>SZ300556</t>
  </si>
  <si>
    <t>SZ300550</t>
  </si>
  <si>
    <t>SH688078</t>
  </si>
  <si>
    <t>SZ002253</t>
  </si>
  <si>
    <t>SH603927</t>
  </si>
  <si>
    <t>中科软</t>
  </si>
  <si>
    <t>SZ300188</t>
  </si>
  <si>
    <t>SZ002212</t>
  </si>
  <si>
    <t>SZ300768</t>
  </si>
  <si>
    <t>迪普科技</t>
  </si>
  <si>
    <t>SZ300253</t>
  </si>
  <si>
    <t>SZ300036</t>
  </si>
  <si>
    <t>SZ002439</t>
  </si>
  <si>
    <t>SZ300624</t>
  </si>
  <si>
    <t>SH600570</t>
  </si>
  <si>
    <t>SZ300520</t>
  </si>
  <si>
    <t>SH688030</t>
  </si>
  <si>
    <t>SZ002063</t>
  </si>
  <si>
    <t>SH688369</t>
  </si>
  <si>
    <t>SZ300378</t>
  </si>
  <si>
    <t>SZ300377</t>
  </si>
  <si>
    <t>SZ300451</t>
  </si>
  <si>
    <t>SZ300559</t>
  </si>
  <si>
    <t>SH600602</t>
  </si>
  <si>
    <t>SZ300465</t>
  </si>
  <si>
    <t>SZ300075</t>
  </si>
  <si>
    <t>SZ300271</t>
  </si>
  <si>
    <t>SZ300605</t>
  </si>
  <si>
    <t>SZ300608</t>
  </si>
  <si>
    <t>SZ300365</t>
  </si>
  <si>
    <t>SH601360</t>
  </si>
  <si>
    <t>SZ300047</t>
  </si>
  <si>
    <t>SZ002322</t>
  </si>
  <si>
    <t>SZ002279</t>
  </si>
  <si>
    <t>SZ300344</t>
  </si>
  <si>
    <t>SZ300366</t>
  </si>
  <si>
    <t>SH688588</t>
  </si>
  <si>
    <t>凌志软件</t>
  </si>
  <si>
    <t>SZ300830</t>
  </si>
  <si>
    <t>金现代</t>
  </si>
  <si>
    <t>SH688318</t>
  </si>
  <si>
    <t>财富趋势</t>
  </si>
  <si>
    <t>SZ002987</t>
  </si>
  <si>
    <t>京北方</t>
  </si>
  <si>
    <t>SH603528</t>
  </si>
  <si>
    <t>多伦科技</t>
  </si>
  <si>
    <t>SZ000004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</si>
  <si>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</si>
  <si>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</si>
  <si>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</si>
  <si>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</si>
  <si>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</si>
  <si>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</si>
  <si>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</si>
  <si>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</si>
  <si>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</si>
  <si>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</si>
  <si>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</si>
  <si>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1.08亿</t>
  </si>
  <si>
    <t>309.94万</t>
  </si>
  <si>
    <t>0亿</t>
  </si>
  <si>
    <t>7.22亿</t>
  </si>
  <si>
    <t>1.00亿</t>
  </si>
  <si>
    <t>3.05亿</t>
  </si>
  <si>
    <t>2.18亿</t>
  </si>
  <si>
    <t>1.59亿</t>
  </si>
  <si>
    <t>1.01亿</t>
  </si>
  <si>
    <t>1.22亿</t>
  </si>
  <si>
    <t>1.51亿</t>
  </si>
  <si>
    <t>1.29亿</t>
  </si>
  <si>
    <t>-1.95亿</t>
  </si>
  <si>
    <t>1.68亿</t>
  </si>
  <si>
    <t>3.76亿</t>
  </si>
  <si>
    <t>36.47亿</t>
  </si>
  <si>
    <t>1.66亿</t>
  </si>
  <si>
    <t>2.78亿</t>
  </si>
  <si>
    <t>1.53亿</t>
  </si>
  <si>
    <t>7.82亿</t>
  </si>
  <si>
    <t>11.18亿</t>
  </si>
  <si>
    <t>6.55亿</t>
  </si>
  <si>
    <t>1.60亿</t>
  </si>
  <si>
    <t>5.65亿</t>
  </si>
  <si>
    <t>33.03亿</t>
  </si>
  <si>
    <t>5917.82万</t>
  </si>
  <si>
    <t>1.15亿</t>
  </si>
  <si>
    <t>2.17亿</t>
  </si>
  <si>
    <t>2.76亿</t>
  </si>
  <si>
    <t>1.81亿</t>
  </si>
  <si>
    <t>15.65亿</t>
  </si>
  <si>
    <t>2.27亿</t>
  </si>
  <si>
    <t>5.69亿</t>
  </si>
  <si>
    <t>2.20亿</t>
  </si>
  <si>
    <t>1.62亿</t>
  </si>
  <si>
    <t>2.36亿</t>
  </si>
  <si>
    <t>1.70亿</t>
  </si>
  <si>
    <t>1.19亿</t>
  </si>
  <si>
    <t>1.27亿</t>
  </si>
  <si>
    <t>1.84亿</t>
  </si>
  <si>
    <t>2.74亿</t>
  </si>
  <si>
    <t>2.35亿</t>
  </si>
  <si>
    <t>2.02亿</t>
  </si>
  <si>
    <t>2.48亿</t>
  </si>
  <si>
    <t>36.63亿</t>
  </si>
  <si>
    <t>3.68亿</t>
  </si>
  <si>
    <t>1.39亿</t>
  </si>
  <si>
    <t>3.04亿</t>
  </si>
  <si>
    <t>3.20亿</t>
  </si>
  <si>
    <t>2.00亿</t>
  </si>
  <si>
    <t>5.90亿</t>
  </si>
  <si>
    <t>24.41亿</t>
  </si>
  <si>
    <t>7.59亿</t>
  </si>
  <si>
    <t>5.47亿</t>
  </si>
  <si>
    <t>3.02亿</t>
  </si>
  <si>
    <t>1.07亿</t>
  </si>
  <si>
    <t>1.73亿</t>
  </si>
  <si>
    <t>1.34亿</t>
  </si>
  <si>
    <t>3.18亿</t>
  </si>
  <si>
    <t>70.91亿</t>
  </si>
  <si>
    <t>4.01亿</t>
  </si>
  <si>
    <t>2.55亿</t>
  </si>
  <si>
    <t>1.50亿</t>
  </si>
  <si>
    <t>6.96亿</t>
  </si>
  <si>
    <t>4.06亿</t>
  </si>
  <si>
    <t>4.44亿</t>
  </si>
  <si>
    <t>100.79亿</t>
  </si>
  <si>
    <t>8.19亿</t>
  </si>
  <si>
    <t>8.16亿</t>
  </si>
  <si>
    <t>3.24亿</t>
  </si>
  <si>
    <t>1.95亿</t>
  </si>
  <si>
    <t>1.55亿</t>
  </si>
  <si>
    <t>1.09亿</t>
  </si>
  <si>
    <t>6.60亿</t>
  </si>
  <si>
    <t>2.56亿</t>
  </si>
  <si>
    <t>4.95亿</t>
  </si>
  <si>
    <t>2.92亿</t>
  </si>
  <si>
    <t>3.43亿</t>
  </si>
  <si>
    <t>5176.74万</t>
  </si>
  <si>
    <t>1.40亿</t>
  </si>
  <si>
    <t>5.83亿</t>
  </si>
  <si>
    <t>3.45亿</t>
  </si>
  <si>
    <t>1.49亿</t>
  </si>
  <si>
    <t>1.75亿</t>
  </si>
  <si>
    <t>31.02亿</t>
  </si>
  <si>
    <t>5226.49万</t>
  </si>
  <si>
    <t>1.30亿</t>
  </si>
  <si>
    <t>6.09亿</t>
  </si>
  <si>
    <t>2.09亿</t>
  </si>
  <si>
    <t>1.80亿</t>
  </si>
  <si>
    <t>2.62亿</t>
  </si>
  <si>
    <t>2.42亿</t>
  </si>
  <si>
    <t>1.10亿</t>
  </si>
  <si>
    <t>6.45亿</t>
  </si>
  <si>
    <t>2.85亿</t>
  </si>
  <si>
    <t>7.63亿</t>
  </si>
  <si>
    <t>1.26亿</t>
  </si>
  <si>
    <t>1.48亿</t>
  </si>
  <si>
    <t>1.86亿</t>
  </si>
  <si>
    <t>14.39亿</t>
  </si>
  <si>
    <t>4.78亿</t>
  </si>
  <si>
    <t>3.12亿</t>
  </si>
  <si>
    <t>3.52亿</t>
  </si>
  <si>
    <t>2.64亿</t>
  </si>
  <si>
    <t>1.03亿</t>
  </si>
  <si>
    <t>2.71亿</t>
  </si>
  <si>
    <t>1.69亿</t>
  </si>
  <si>
    <t>5.80亿</t>
  </si>
  <si>
    <t>4.63亿</t>
  </si>
  <si>
    <t>4.65亿</t>
  </si>
  <si>
    <t>2.07亿</t>
  </si>
  <si>
    <t>15.80亿</t>
  </si>
  <si>
    <t>1.54亿</t>
  </si>
  <si>
    <t>1.14亿</t>
  </si>
  <si>
    <t>2.50亿</t>
  </si>
  <si>
    <t>3.03亿</t>
  </si>
  <si>
    <t>10.26亿</t>
  </si>
  <si>
    <t>7.12亿</t>
  </si>
  <si>
    <t>2.43亿</t>
  </si>
  <si>
    <t>1.12亿</t>
  </si>
  <si>
    <t>11.05亿</t>
  </si>
  <si>
    <t>3743.29万</t>
  </si>
  <si>
    <t>2.75亿</t>
  </si>
  <si>
    <t>1.83亿</t>
  </si>
  <si>
    <t>1.64亿</t>
  </si>
  <si>
    <t>3.35亿</t>
  </si>
  <si>
    <t>4.89亿</t>
  </si>
  <si>
    <t>1.79亿</t>
  </si>
  <si>
    <t>2.89亿</t>
  </si>
  <si>
    <t>3.79亿</t>
  </si>
  <si>
    <t>1.46亿</t>
  </si>
  <si>
    <t>3.98亿</t>
  </si>
  <si>
    <t>19.48亿</t>
  </si>
  <si>
    <t>1.82亿</t>
  </si>
  <si>
    <t>1.13亿</t>
  </si>
  <si>
    <t>1.17亿</t>
  </si>
  <si>
    <t>10.74亿</t>
  </si>
  <si>
    <t>5.07亿</t>
  </si>
  <si>
    <t>4.56亿</t>
  </si>
  <si>
    <t>3.01亿</t>
  </si>
  <si>
    <t>23.10亿</t>
  </si>
  <si>
    <t>3.39亿</t>
  </si>
  <si>
    <t>5.39亿</t>
  </si>
  <si>
    <t>2.10亿</t>
  </si>
  <si>
    <t>4.77亿</t>
  </si>
  <si>
    <t>1.02亿</t>
  </si>
  <si>
    <t>5.50亿</t>
  </si>
  <si>
    <t>1.25亿</t>
  </si>
  <si>
    <t>1.44亿</t>
  </si>
  <si>
    <t>100.00万</t>
  </si>
  <si>
    <t>-3.43亿</t>
  </si>
  <si>
    <t>1.37亿</t>
  </si>
  <si>
    <t>7.40亿</t>
  </si>
  <si>
    <t>3.22亿</t>
  </si>
  <si>
    <t>4.66亿</t>
  </si>
  <si>
    <t>4.97亿</t>
  </si>
  <si>
    <t>2.68亿</t>
  </si>
  <si>
    <t>30.89亿</t>
  </si>
  <si>
    <t>6.88亿</t>
  </si>
  <si>
    <t>2.82亿</t>
  </si>
  <si>
    <t>10.84亿</t>
  </si>
  <si>
    <t>2.04亿</t>
  </si>
  <si>
    <t>2.91亿</t>
  </si>
  <si>
    <t>1.93亿</t>
  </si>
  <si>
    <t>2.52亿</t>
  </si>
  <si>
    <t>4.15亿</t>
  </si>
  <si>
    <t>3.31亿</t>
  </si>
  <si>
    <t>2.58亿</t>
  </si>
  <si>
    <t>7.94亿</t>
  </si>
  <si>
    <t>3.91亿</t>
  </si>
  <si>
    <t>6.39亿</t>
  </si>
  <si>
    <t>6.07亿</t>
  </si>
  <si>
    <t>1.78亿</t>
  </si>
  <si>
    <t>3.93亿</t>
  </si>
  <si>
    <t>4.98亿</t>
  </si>
  <si>
    <t>3.06亿</t>
  </si>
  <si>
    <t>11.64亿</t>
  </si>
  <si>
    <t>3.87亿</t>
  </si>
  <si>
    <t>1.06亿</t>
  </si>
  <si>
    <t>1.43亿</t>
  </si>
  <si>
    <t>2.77亿</t>
  </si>
  <si>
    <t>4.76亿</t>
  </si>
  <si>
    <t>2.16亿</t>
  </si>
  <si>
    <t>5.78亿</t>
  </si>
  <si>
    <t>15.55亿</t>
  </si>
  <si>
    <t>2.46亿</t>
  </si>
  <si>
    <t>15.76亿</t>
  </si>
  <si>
    <t>3.25亿</t>
  </si>
  <si>
    <t>3.86亿</t>
  </si>
  <si>
    <t>2.06亿</t>
  </si>
  <si>
    <t>16.72亿</t>
  </si>
  <si>
    <t>4.86亿</t>
  </si>
  <si>
    <t>1.96亿</t>
  </si>
  <si>
    <t>3.28亿</t>
  </si>
  <si>
    <t>9.39亿</t>
  </si>
  <si>
    <t>4.91亿</t>
  </si>
  <si>
    <t>1.31亿</t>
  </si>
  <si>
    <t>6.90亿</t>
  </si>
  <si>
    <t>1.61亿</t>
  </si>
  <si>
    <t>2.51亿</t>
  </si>
  <si>
    <t>4.25亿</t>
  </si>
  <si>
    <t>3.70亿</t>
  </si>
  <si>
    <t>5.08亿</t>
  </si>
  <si>
    <t>2.22亿</t>
  </si>
  <si>
    <t>2.08亿</t>
  </si>
  <si>
    <t>2.59亿</t>
  </si>
  <si>
    <t>16.87亿</t>
  </si>
  <si>
    <t>8.73亿</t>
  </si>
  <si>
    <t>8.07亿</t>
  </si>
  <si>
    <t>2.13亿</t>
  </si>
  <si>
    <t>3.19亿</t>
  </si>
  <si>
    <t>2.30亿</t>
  </si>
  <si>
    <t>1.18亿</t>
  </si>
  <si>
    <t>3.81亿</t>
  </si>
  <si>
    <t>2.33亿</t>
  </si>
  <si>
    <t>8.06亿</t>
  </si>
  <si>
    <t>17.42亿</t>
  </si>
  <si>
    <t>8.98亿</t>
  </si>
  <si>
    <t>1.28亿</t>
  </si>
  <si>
    <t>2.63亿</t>
  </si>
  <si>
    <t>4.30亿</t>
  </si>
  <si>
    <t>4.26亿</t>
  </si>
  <si>
    <t>17.35亿</t>
  </si>
  <si>
    <t>2.19亿</t>
  </si>
  <si>
    <t>2.32亿</t>
  </si>
  <si>
    <t>4.35亿</t>
  </si>
  <si>
    <t>4.32亿</t>
  </si>
  <si>
    <t>3.90亿</t>
  </si>
  <si>
    <t>3.64亿</t>
  </si>
  <si>
    <t>6.00亿</t>
  </si>
  <si>
    <t>44.71亿</t>
  </si>
  <si>
    <t>3.85亿</t>
  </si>
  <si>
    <t>2.96亿</t>
  </si>
  <si>
    <t>2.01亿</t>
  </si>
  <si>
    <t>1.47亿</t>
  </si>
  <si>
    <t>12.58亿</t>
  </si>
  <si>
    <t>4.19亿</t>
  </si>
  <si>
    <t>6.68亿</t>
  </si>
  <si>
    <t>5.54亿</t>
  </si>
  <si>
    <t>4.10亿</t>
  </si>
  <si>
    <t>3.40亿</t>
  </si>
  <si>
    <t>1.41亿</t>
  </si>
  <si>
    <t>11.81亿</t>
  </si>
  <si>
    <t>491.79万</t>
  </si>
  <si>
    <t>6.12亿</t>
  </si>
  <si>
    <t>2.67亿</t>
  </si>
  <si>
    <t>3.84亿</t>
  </si>
  <si>
    <t>3.17亿</t>
  </si>
  <si>
    <t>8.94亿</t>
  </si>
  <si>
    <t>1.05亿</t>
  </si>
  <si>
    <t>1.23亿</t>
  </si>
  <si>
    <t>2.60亿</t>
  </si>
  <si>
    <t>5.03亿</t>
  </si>
  <si>
    <t>5.51亿</t>
  </si>
  <si>
    <t>4.08亿</t>
  </si>
  <si>
    <t>1.20亿</t>
  </si>
  <si>
    <t>5.67亿</t>
  </si>
  <si>
    <t>5.25亿</t>
  </si>
  <si>
    <t>1.45亿</t>
  </si>
  <si>
    <t>1.85亿</t>
  </si>
  <si>
    <t>21.25亿</t>
  </si>
  <si>
    <t>20.67亿</t>
  </si>
  <si>
    <t>2.90亿</t>
  </si>
  <si>
    <t>6.40亿</t>
  </si>
  <si>
    <t>1.56亿</t>
  </si>
  <si>
    <t>5.72亿</t>
  </si>
  <si>
    <t>9.67亿</t>
  </si>
  <si>
    <t>1.57亿</t>
  </si>
  <si>
    <t>3.14亿</t>
  </si>
  <si>
    <t>2.53亿</t>
  </si>
  <si>
    <t>1.72亿</t>
  </si>
  <si>
    <t>1.35亿</t>
  </si>
  <si>
    <t>8.09亿</t>
  </si>
  <si>
    <t>7.04亿</t>
  </si>
  <si>
    <t>3218.75万</t>
  </si>
  <si>
    <t>2.49亿</t>
  </si>
  <si>
    <t>4.22亿</t>
  </si>
  <si>
    <t>3.83亿</t>
  </si>
  <si>
    <t>1.58亿</t>
  </si>
  <si>
    <t>3.09亿</t>
  </si>
  <si>
    <t>1.04亿</t>
  </si>
  <si>
    <t>1.36亿</t>
  </si>
  <si>
    <t>11.79亿</t>
  </si>
  <si>
    <t>6.01亿</t>
  </si>
  <si>
    <t>4.60亿</t>
  </si>
  <si>
    <t>1.87亿</t>
  </si>
  <si>
    <t>3.23亿</t>
  </si>
  <si>
    <t>1.67亿</t>
  </si>
  <si>
    <t>2.81亿</t>
  </si>
  <si>
    <t>1.52亿</t>
  </si>
  <si>
    <t>19.08亿</t>
  </si>
  <si>
    <t>2.23亿</t>
  </si>
  <si>
    <t>4.50亿</t>
  </si>
  <si>
    <t>3.32亿</t>
  </si>
  <si>
    <t>2.39亿</t>
  </si>
  <si>
    <t>35.10亿</t>
  </si>
  <si>
    <t>8.99亿</t>
  </si>
  <si>
    <t>1.24亿</t>
  </si>
  <si>
    <t>3.94亿</t>
  </si>
  <si>
    <t>4.04亿</t>
  </si>
  <si>
    <t>2.38亿</t>
  </si>
  <si>
    <t>4.96亿</t>
  </si>
  <si>
    <t>4.36亿</t>
  </si>
  <si>
    <t>1.71亿</t>
  </si>
  <si>
    <t>1.11亿</t>
  </si>
  <si>
    <t>1.94亿</t>
  </si>
  <si>
    <t>5.42亿</t>
  </si>
  <si>
    <t>2.79亿</t>
  </si>
  <si>
    <t>19.19亿</t>
  </si>
  <si>
    <t>4.52亿</t>
  </si>
  <si>
    <t>4.41亿</t>
  </si>
  <si>
    <t>9.96亿</t>
  </si>
  <si>
    <t>-1.01亿</t>
  </si>
  <si>
    <t>3.33亿</t>
  </si>
  <si>
    <t>1.76亿</t>
  </si>
  <si>
    <t>2.41亿</t>
  </si>
  <si>
    <t>4.20亿</t>
  </si>
  <si>
    <t>2.61亿</t>
  </si>
  <si>
    <t>1.32亿</t>
  </si>
  <si>
    <t>5.15亿</t>
  </si>
  <si>
    <t>3.71亿</t>
  </si>
  <si>
    <t>1583.05万</t>
  </si>
  <si>
    <t>13.11亿</t>
  </si>
  <si>
    <t>1.38亿</t>
  </si>
  <si>
    <t>1.90亿</t>
  </si>
  <si>
    <t>2238.42万</t>
  </si>
  <si>
    <t>2.57亿</t>
  </si>
  <si>
    <t>1.21亿</t>
  </si>
  <si>
    <t>11.23亿</t>
  </si>
  <si>
    <t>2.95亿</t>
  </si>
  <si>
    <t>2.11亿</t>
  </si>
  <si>
    <t>19.71亿</t>
  </si>
  <si>
    <t>4.00亿</t>
  </si>
  <si>
    <t>3.69亿</t>
  </si>
  <si>
    <t>3.54亿</t>
  </si>
  <si>
    <t>5.10亿</t>
  </si>
  <si>
    <t>16.71亿</t>
  </si>
  <si>
    <t>6.14亿</t>
  </si>
  <si>
    <t>8.04亿</t>
  </si>
  <si>
    <t>6.56亿</t>
  </si>
  <si>
    <t>1.16亿</t>
  </si>
  <si>
    <t>2.40亿</t>
  </si>
  <si>
    <t>14.67亿</t>
  </si>
  <si>
    <t>6.23亿</t>
  </si>
  <si>
    <t>2.86亿</t>
  </si>
  <si>
    <t>5.00亿</t>
  </si>
  <si>
    <t>2.31亿</t>
  </si>
  <si>
    <t>6.47亿</t>
  </si>
  <si>
    <t>3108.66万</t>
  </si>
  <si>
    <t>1.98亿</t>
  </si>
  <si>
    <t>4.75亿</t>
  </si>
  <si>
    <t>2.34亿</t>
  </si>
  <si>
    <t>6.21亿</t>
  </si>
  <si>
    <t>2.14亿</t>
  </si>
  <si>
    <t>4.55亿</t>
  </si>
  <si>
    <t>13.45亿</t>
  </si>
  <si>
    <t>2.29亿</t>
  </si>
  <si>
    <t>2.25亿</t>
  </si>
  <si>
    <t>14.80亿</t>
  </si>
  <si>
    <t>3.47亿</t>
  </si>
  <si>
    <t>2.21亿</t>
  </si>
  <si>
    <t>45.90亿</t>
  </si>
  <si>
    <t>7.77亿</t>
  </si>
  <si>
    <t>6.38亿</t>
  </si>
  <si>
    <t>17.58亿</t>
  </si>
  <si>
    <t>3.44亿</t>
  </si>
  <si>
    <t>5.26亿</t>
  </si>
  <si>
    <t>9623.86万</t>
  </si>
  <si>
    <t>2.26亿</t>
  </si>
  <si>
    <t>-1.51亿</t>
  </si>
  <si>
    <t>3.00亿</t>
  </si>
  <si>
    <t>2.44亿</t>
  </si>
  <si>
    <t>6.30亿</t>
  </si>
  <si>
    <t>1.91亿</t>
  </si>
  <si>
    <t>15.70亿</t>
  </si>
  <si>
    <t>6.73亿</t>
  </si>
  <si>
    <t>4.09亿</t>
  </si>
  <si>
    <t>2.80亿</t>
  </si>
  <si>
    <t>5.04亿</t>
  </si>
  <si>
    <t>3.13亿</t>
  </si>
  <si>
    <t>4.13亿</t>
  </si>
  <si>
    <t>4.53亿</t>
  </si>
  <si>
    <t>5528.69万</t>
  </si>
  <si>
    <t>4123.48万</t>
  </si>
  <si>
    <t>-1.06亿</t>
  </si>
  <si>
    <t>5.11亿</t>
  </si>
  <si>
    <t>3.38亿</t>
  </si>
  <si>
    <t>9.16亿</t>
  </si>
  <si>
    <t>2784.46万</t>
  </si>
  <si>
    <t>3.61亿</t>
  </si>
  <si>
    <t>3.21亿</t>
  </si>
  <si>
    <t>2.05亿</t>
  </si>
  <si>
    <t>1.97亿</t>
  </si>
  <si>
    <t>2011.83万</t>
  </si>
  <si>
    <t>9852.60万</t>
  </si>
  <si>
    <t>3.80亿</t>
  </si>
  <si>
    <t>3.72亿</t>
  </si>
  <si>
    <t>2.94亿</t>
  </si>
  <si>
    <t>1.63亿</t>
  </si>
  <si>
    <t>6073.79万</t>
  </si>
  <si>
    <t>8.60亿</t>
  </si>
  <si>
    <t>9102.05万</t>
  </si>
  <si>
    <t>1.77亿</t>
  </si>
  <si>
    <t>7.03亿</t>
  </si>
  <si>
    <t>8626.07万</t>
  </si>
  <si>
    <t>3.75亿</t>
  </si>
  <si>
    <t>7.32亿</t>
  </si>
  <si>
    <t>2.72亿</t>
  </si>
  <si>
    <t>3.58亿</t>
  </si>
  <si>
    <t>7.26亿</t>
  </si>
  <si>
    <t>5.46亿</t>
  </si>
  <si>
    <t>6.03亿</t>
  </si>
  <si>
    <t>9.34亿</t>
  </si>
  <si>
    <t>4950.93万</t>
  </si>
  <si>
    <t>4.49亿</t>
  </si>
  <si>
    <t>4.17亿</t>
  </si>
  <si>
    <t>3590.76万</t>
  </si>
  <si>
    <t>4.12亿</t>
  </si>
  <si>
    <t>4.28亿</t>
  </si>
  <si>
    <t>5.06亿</t>
  </si>
  <si>
    <t>8870.83万</t>
  </si>
  <si>
    <t>2.98亿</t>
  </si>
  <si>
    <t>4.61亿</t>
  </si>
  <si>
    <t>8974.44万</t>
  </si>
  <si>
    <t>7.39亿</t>
  </si>
  <si>
    <t>3.63亿</t>
  </si>
  <si>
    <t>4.87亿</t>
  </si>
  <si>
    <t>1.65亿</t>
  </si>
  <si>
    <t>2.87亿</t>
  </si>
  <si>
    <t>3.37亿</t>
  </si>
  <si>
    <t>2.47亿</t>
  </si>
  <si>
    <t>38.72亿</t>
  </si>
  <si>
    <t>14.16亿</t>
  </si>
  <si>
    <t>4.79亿</t>
  </si>
  <si>
    <t>3.56亿</t>
  </si>
  <si>
    <t>12.00亿</t>
  </si>
  <si>
    <t>85.10亿</t>
  </si>
  <si>
    <t>11.83亿</t>
  </si>
  <si>
    <t>6.27亿</t>
  </si>
  <si>
    <t>48.89亿</t>
  </si>
  <si>
    <t>-1.42亿</t>
  </si>
  <si>
    <t>6.04亿</t>
  </si>
  <si>
    <t>6.80亿</t>
  </si>
  <si>
    <t>5.45亿</t>
  </si>
  <si>
    <t>6.61亿</t>
  </si>
  <si>
    <t>3.08亿</t>
  </si>
  <si>
    <t>128.41亿</t>
  </si>
  <si>
    <t>59.80亿</t>
  </si>
  <si>
    <t>6.83亿</t>
  </si>
  <si>
    <t>596.42万</t>
  </si>
  <si>
    <t>-1.49亿</t>
  </si>
  <si>
    <t>12.86亿</t>
  </si>
  <si>
    <t>3.60亿</t>
  </si>
  <si>
    <t>6.08亿</t>
  </si>
  <si>
    <t>3439.68万</t>
  </si>
  <si>
    <t>7007.52万</t>
  </si>
  <si>
    <t>3.67亿</t>
  </si>
  <si>
    <t>2.83亿</t>
  </si>
  <si>
    <t>4.72亿</t>
  </si>
  <si>
    <t>6.98亿</t>
  </si>
  <si>
    <t>6.70亿</t>
  </si>
  <si>
    <t>3.66亿</t>
  </si>
  <si>
    <t>9.38亿</t>
  </si>
  <si>
    <t>4.31亿</t>
  </si>
  <si>
    <t>3.57亿</t>
  </si>
  <si>
    <t>2.45亿</t>
  </si>
  <si>
    <t>2.15亿</t>
  </si>
  <si>
    <t>15.51亿</t>
  </si>
  <si>
    <t>54.99亿</t>
  </si>
  <si>
    <t>3.26亿</t>
  </si>
  <si>
    <t>2.69亿</t>
  </si>
  <si>
    <t>4688.71万</t>
  </si>
  <si>
    <t>9.44亿</t>
  </si>
  <si>
    <t>9222.04万</t>
  </si>
  <si>
    <t>山石网科</t>
  </si>
  <si>
    <t>6.75亿</t>
  </si>
  <si>
    <t>9104.61万</t>
  </si>
  <si>
    <t>3.51亿</t>
  </si>
  <si>
    <t>6124.31万</t>
  </si>
  <si>
    <t>4708.17万</t>
  </si>
  <si>
    <t>SH688095</t>
  </si>
  <si>
    <t>福昕软件</t>
  </si>
  <si>
    <t>7413.57万</t>
  </si>
  <si>
    <t>1.74亿</t>
  </si>
  <si>
    <t>2.66亿</t>
  </si>
  <si>
    <t>5027.46万</t>
  </si>
  <si>
    <t>安博通</t>
  </si>
  <si>
    <t>7377.20万</t>
  </si>
  <si>
    <t>3.34亿</t>
  </si>
  <si>
    <t>7.00亿</t>
  </si>
  <si>
    <t>9746.67万</t>
  </si>
  <si>
    <t>-1.05亿</t>
  </si>
  <si>
    <t>5.20亿</t>
  </si>
  <si>
    <t>SH688561</t>
  </si>
  <si>
    <t>奇安信-U</t>
  </si>
  <si>
    <t>31.54亿</t>
  </si>
  <si>
    <t>-4.95亿</t>
  </si>
  <si>
    <t>SH688579</t>
  </si>
  <si>
    <t>7817.66万</t>
  </si>
  <si>
    <t>5.97亿</t>
  </si>
  <si>
    <t>2.12亿</t>
  </si>
  <si>
    <t>4.67亿</t>
  </si>
  <si>
    <t>5.40亿</t>
  </si>
  <si>
    <t>SZ003007</t>
  </si>
  <si>
    <t>直真科技</t>
  </si>
  <si>
    <t>8503.83万</t>
  </si>
  <si>
    <t>4.16亿</t>
  </si>
  <si>
    <t>流动资产</t>
  </si>
  <si>
    <t>营业收入[20191231]</t>
  </si>
  <si>
    <t>营业收入[20181231]</t>
  </si>
  <si>
    <t>净利润[20191231]</t>
  </si>
  <si>
    <t>净利润[20181231]</t>
  </si>
  <si>
    <t>净利润[20171231]</t>
  </si>
  <si>
    <t>6462.31万</t>
  </si>
  <si>
    <t>2.88亿</t>
  </si>
  <si>
    <t>-2027.08万</t>
  </si>
  <si>
    <t>4.88亿</t>
  </si>
  <si>
    <t>13.64亿</t>
  </si>
  <si>
    <t>7.23亿</t>
  </si>
  <si>
    <t>12.99亿</t>
  </si>
  <si>
    <t>2.54亿</t>
  </si>
  <si>
    <t>3.16亿</t>
  </si>
  <si>
    <t>15.06亿</t>
  </si>
  <si>
    <t>3.50亿</t>
  </si>
  <si>
    <t>21.63亿</t>
  </si>
  <si>
    <t>3.65亿</t>
  </si>
  <si>
    <t>-2.25亿</t>
  </si>
  <si>
    <t>3114.73万</t>
  </si>
  <si>
    <t>5.16亿</t>
  </si>
  <si>
    <t>-1.59亿</t>
  </si>
  <si>
    <t>1.89亿</t>
  </si>
  <si>
    <t>42.39亿</t>
  </si>
  <si>
    <t>9499.65万</t>
  </si>
  <si>
    <t>27.80亿</t>
  </si>
  <si>
    <t>7477.14万</t>
  </si>
  <si>
    <t>16.92亿</t>
  </si>
  <si>
    <t>5.27亿</t>
  </si>
  <si>
    <t>5.34亿</t>
  </si>
  <si>
    <t>12.78亿</t>
  </si>
  <si>
    <t>6.64亿</t>
  </si>
  <si>
    <t>33.17亿</t>
  </si>
  <si>
    <t>-6758.00万</t>
  </si>
  <si>
    <t>30.98亿</t>
  </si>
  <si>
    <t>12.26亿</t>
  </si>
  <si>
    <t>32.00亿</t>
  </si>
  <si>
    <t>天融信</t>
  </si>
  <si>
    <t>57.04亿</t>
  </si>
  <si>
    <t>63.00亿</t>
  </si>
  <si>
    <t>4.85亿</t>
  </si>
  <si>
    <t>7.43亿</t>
  </si>
  <si>
    <t>-1.57亿</t>
  </si>
  <si>
    <t>130.25亿</t>
  </si>
  <si>
    <t>79.17亿</t>
  </si>
  <si>
    <t>4.84亿</t>
  </si>
  <si>
    <t>15.52亿</t>
  </si>
  <si>
    <t>6738.77万</t>
  </si>
  <si>
    <t>5494.07万</t>
  </si>
  <si>
    <t>14.89亿</t>
  </si>
  <si>
    <t>3.73亿</t>
  </si>
  <si>
    <t>-1.72亿</t>
  </si>
  <si>
    <t>28.21亿</t>
  </si>
  <si>
    <t>7162.66万</t>
  </si>
  <si>
    <t>27.20亿</t>
  </si>
  <si>
    <t>7.17亿</t>
  </si>
  <si>
    <t>-8.41亿</t>
  </si>
  <si>
    <t>3.07亿</t>
  </si>
  <si>
    <t>3.30亿</t>
  </si>
  <si>
    <t>5.74亿</t>
  </si>
  <si>
    <t>10.34亿</t>
  </si>
  <si>
    <t>10.03亿</t>
  </si>
  <si>
    <t>9.94亿</t>
  </si>
  <si>
    <t>6.34亿</t>
  </si>
  <si>
    <t>3.27亿</t>
  </si>
  <si>
    <t>7.47亿</t>
  </si>
  <si>
    <t>1586.46万</t>
  </si>
  <si>
    <t>7.25亿</t>
  </si>
  <si>
    <t>8.40亿</t>
  </si>
  <si>
    <t>10.81亿</t>
  </si>
  <si>
    <t>3.36亿</t>
  </si>
  <si>
    <t>21.48亿</t>
  </si>
  <si>
    <t>-3.09亿</t>
  </si>
  <si>
    <t>5.57亿</t>
  </si>
  <si>
    <t>2.03亿</t>
  </si>
  <si>
    <t>21.34亿</t>
  </si>
  <si>
    <t>-1.19亿</t>
  </si>
  <si>
    <t>34.64亿</t>
  </si>
  <si>
    <t>28.62亿</t>
  </si>
  <si>
    <t>4.39亿</t>
  </si>
  <si>
    <t>5.59亿</t>
  </si>
  <si>
    <t>9.93亿</t>
  </si>
  <si>
    <t>25.22亿</t>
  </si>
  <si>
    <t>22.79亿</t>
  </si>
  <si>
    <t>7.88亿</t>
  </si>
  <si>
    <t>7.30亿</t>
  </si>
  <si>
    <t>5.91亿</t>
  </si>
  <si>
    <t>8.12亿</t>
  </si>
  <si>
    <t>8.17亿</t>
  </si>
  <si>
    <t>7.37亿</t>
  </si>
  <si>
    <t>11.49亿</t>
  </si>
  <si>
    <t>9.04亿</t>
  </si>
  <si>
    <t>4.94亿</t>
  </si>
  <si>
    <t>-3.34亿</t>
  </si>
  <si>
    <t>15.96亿</t>
  </si>
  <si>
    <t>8.91亿</t>
  </si>
  <si>
    <t>-2.83亿</t>
  </si>
  <si>
    <t>6.62亿</t>
  </si>
  <si>
    <t>5.94亿</t>
  </si>
  <si>
    <t>3.59亿</t>
  </si>
  <si>
    <t>22.93亿</t>
  </si>
  <si>
    <t>10.10亿</t>
  </si>
  <si>
    <t>7802.92万</t>
  </si>
  <si>
    <t>15.12亿</t>
  </si>
  <si>
    <t>5.79亿</t>
  </si>
  <si>
    <t>8.78亿</t>
  </si>
  <si>
    <t>6641.95万</t>
  </si>
  <si>
    <t>6919.23万</t>
  </si>
  <si>
    <t>SZ003029</t>
  </si>
  <si>
    <t>吉大正元</t>
  </si>
  <si>
    <t>6.10亿</t>
  </si>
  <si>
    <t>8895.34万</t>
  </si>
  <si>
    <t>8747.46万</t>
  </si>
  <si>
    <t>28.44亿</t>
  </si>
  <si>
    <t>17.24亿</t>
  </si>
  <si>
    <t>13.87亿</t>
  </si>
  <si>
    <t>16.10亿</t>
  </si>
  <si>
    <t>15.18亿</t>
  </si>
  <si>
    <t>52.54亿</t>
  </si>
  <si>
    <t>37.67亿</t>
  </si>
  <si>
    <t>4.45亿</t>
  </si>
  <si>
    <t>2266.49万</t>
  </si>
  <si>
    <t>1596.63万</t>
  </si>
  <si>
    <t>1483.15万</t>
  </si>
  <si>
    <t>14.14亿</t>
  </si>
  <si>
    <t>7.07亿</t>
  </si>
  <si>
    <t>12.89亿</t>
  </si>
  <si>
    <t>1.88亿</t>
  </si>
  <si>
    <t>9.87亿</t>
  </si>
  <si>
    <t>10.29亿</t>
  </si>
  <si>
    <t>6.36亿</t>
  </si>
  <si>
    <t>13.90亿</t>
  </si>
  <si>
    <t>2085.83万</t>
  </si>
  <si>
    <t>3.11亿</t>
  </si>
  <si>
    <t>3575.07万</t>
  </si>
  <si>
    <t>10.04亿</t>
  </si>
  <si>
    <t>3.62亿</t>
  </si>
  <si>
    <t>6.26亿</t>
  </si>
  <si>
    <t>18.94亿</t>
  </si>
  <si>
    <t>5.23亿</t>
  </si>
  <si>
    <t>6.11亿</t>
  </si>
  <si>
    <t>4.46亿</t>
  </si>
  <si>
    <t>-1.79亿</t>
  </si>
  <si>
    <t>5.89亿</t>
  </si>
  <si>
    <t>23.86亿</t>
  </si>
  <si>
    <t>16.01亿</t>
  </si>
  <si>
    <t>13.09亿</t>
  </si>
  <si>
    <t>8.45亿</t>
  </si>
  <si>
    <t>6092.70万</t>
  </si>
  <si>
    <t>5.43亿</t>
  </si>
  <si>
    <t>3.78亿</t>
  </si>
  <si>
    <t>3119.34万</t>
  </si>
  <si>
    <t>1231.61万</t>
  </si>
  <si>
    <t>8.38亿</t>
  </si>
  <si>
    <t>5.02亿</t>
  </si>
  <si>
    <t>9.73亿</t>
  </si>
  <si>
    <t>2.84亿</t>
  </si>
  <si>
    <t>22.67亿</t>
  </si>
  <si>
    <t>4.71亿</t>
  </si>
  <si>
    <t>7.53亿</t>
  </si>
  <si>
    <t>33.56亿</t>
  </si>
  <si>
    <t>27.08亿</t>
  </si>
  <si>
    <t>18.20亿</t>
  </si>
  <si>
    <t>9.72亿</t>
  </si>
  <si>
    <t>-1.32亿</t>
  </si>
  <si>
    <t>9.13亿</t>
  </si>
  <si>
    <t>4.37亿</t>
  </si>
  <si>
    <t>2.73亿</t>
  </si>
  <si>
    <t>10.19亿</t>
  </si>
  <si>
    <t>13.15亿</t>
  </si>
  <si>
    <t>立方数科</t>
  </si>
  <si>
    <t>-5.92亿</t>
  </si>
  <si>
    <t>5.37亿</t>
  </si>
  <si>
    <t>4.69亿</t>
  </si>
  <si>
    <t>3459.88万</t>
  </si>
  <si>
    <t>2.37亿</t>
  </si>
  <si>
    <t>10.87亿</t>
  </si>
  <si>
    <t>5645.41万</t>
  </si>
  <si>
    <t>-6.02亿</t>
  </si>
  <si>
    <t>6.69亿</t>
  </si>
  <si>
    <t>6.41亿</t>
  </si>
  <si>
    <t>2573.97万</t>
  </si>
  <si>
    <t>8594.03万</t>
  </si>
  <si>
    <t>9.65亿</t>
  </si>
  <si>
    <t>8245.25万</t>
  </si>
  <si>
    <t>11.84亿</t>
  </si>
  <si>
    <t>20.06亿</t>
  </si>
  <si>
    <t>-7.80亿</t>
  </si>
  <si>
    <t>16.05亿</t>
  </si>
  <si>
    <t>-3.86亿</t>
  </si>
  <si>
    <t>32.24亿</t>
  </si>
  <si>
    <t>20.10亿</t>
  </si>
  <si>
    <t>10.91亿</t>
  </si>
  <si>
    <t>1393.19万</t>
  </si>
  <si>
    <t>14.96亿</t>
  </si>
  <si>
    <t>13.42亿</t>
  </si>
  <si>
    <t>7923.67万</t>
  </si>
  <si>
    <t>6122.34万</t>
  </si>
  <si>
    <t>5.14亿</t>
  </si>
  <si>
    <t>2921.69万</t>
  </si>
  <si>
    <t>7.65亿</t>
  </si>
  <si>
    <t>16.33亿</t>
  </si>
  <si>
    <t>12.90亿</t>
  </si>
  <si>
    <t>5.49亿</t>
  </si>
  <si>
    <t>54.58亿</t>
  </si>
  <si>
    <t>-6.71亿</t>
  </si>
  <si>
    <t>15.92亿</t>
  </si>
  <si>
    <t>7455.50万</t>
  </si>
  <si>
    <t>6880.44万</t>
  </si>
  <si>
    <t>-6385.87万</t>
  </si>
  <si>
    <t>7.05亿</t>
  </si>
  <si>
    <t>5.21亿</t>
  </si>
  <si>
    <t>4480.32万</t>
  </si>
  <si>
    <t>4.43亿</t>
  </si>
  <si>
    <t>4028.12万</t>
  </si>
  <si>
    <t>9.82亿</t>
  </si>
  <si>
    <t>4886.07万</t>
  </si>
  <si>
    <t>3.49亿</t>
  </si>
  <si>
    <t>10.32亿</t>
  </si>
  <si>
    <t>11.36亿</t>
  </si>
  <si>
    <t>8534.92万</t>
  </si>
  <si>
    <t>5.61亿</t>
  </si>
  <si>
    <t>5.62亿</t>
  </si>
  <si>
    <t>-5.09亿</t>
  </si>
  <si>
    <t>7.15亿</t>
  </si>
  <si>
    <t>6827.87万</t>
  </si>
  <si>
    <t>3836.85万</t>
  </si>
  <si>
    <t>4314.28万</t>
  </si>
  <si>
    <t>4044.40万</t>
  </si>
  <si>
    <t>6060.56万</t>
  </si>
  <si>
    <t>5415.58万</t>
  </si>
  <si>
    <t>1728.52万</t>
  </si>
  <si>
    <t>2603.75万</t>
  </si>
  <si>
    <t>8.58亿</t>
  </si>
  <si>
    <t>8645.54万</t>
  </si>
  <si>
    <t>7.98亿</t>
  </si>
  <si>
    <t>5885.84万</t>
  </si>
  <si>
    <t>1591.79万</t>
  </si>
  <si>
    <t>5893.64万</t>
  </si>
  <si>
    <t>5353.72万</t>
  </si>
  <si>
    <t>7068.60万</t>
  </si>
  <si>
    <t>8531.57万</t>
  </si>
  <si>
    <t>9.76亿</t>
  </si>
  <si>
    <t>8266.76万</t>
  </si>
  <si>
    <t>10.39亿</t>
  </si>
  <si>
    <t>6053.01万</t>
  </si>
  <si>
    <t>4257.60万</t>
  </si>
  <si>
    <t>33.87亿</t>
  </si>
  <si>
    <t>3244.13万</t>
  </si>
  <si>
    <t>3511.15万</t>
  </si>
  <si>
    <t>4.02亿</t>
  </si>
  <si>
    <t>9364.16万</t>
  </si>
  <si>
    <t>6448.29万</t>
  </si>
  <si>
    <t>6.93亿</t>
  </si>
  <si>
    <t>8921.06万</t>
  </si>
  <si>
    <t>6772.16万</t>
  </si>
  <si>
    <t>7501.39万</t>
  </si>
  <si>
    <t>SZ300925</t>
  </si>
  <si>
    <t>法本信息</t>
  </si>
  <si>
    <t>13.07亿</t>
  </si>
  <si>
    <t>9595.44万</t>
  </si>
  <si>
    <t>6516.59万</t>
  </si>
  <si>
    <t>SZ300935</t>
  </si>
  <si>
    <t>盈建科</t>
  </si>
  <si>
    <t>5543.01万</t>
  </si>
  <si>
    <t>6588.15万</t>
  </si>
  <si>
    <t>5176.15万</t>
  </si>
  <si>
    <t>SZ300996</t>
  </si>
  <si>
    <t>普联软件</t>
  </si>
  <si>
    <t>5877.74万</t>
  </si>
  <si>
    <t>8338.99万</t>
  </si>
  <si>
    <t>8.22亿</t>
  </si>
  <si>
    <t>10.31亿</t>
  </si>
  <si>
    <t>6.53亿</t>
  </si>
  <si>
    <t>41.73亿</t>
  </si>
  <si>
    <t>13.22亿</t>
  </si>
  <si>
    <t>32.63亿</t>
  </si>
  <si>
    <t>6.42亿</t>
  </si>
  <si>
    <t>77.03亿</t>
  </si>
  <si>
    <t>44.66亿</t>
  </si>
  <si>
    <t>5.87亿</t>
  </si>
  <si>
    <t>12.13亿</t>
  </si>
  <si>
    <t>13.01亿</t>
  </si>
  <si>
    <t>12.98亿</t>
  </si>
  <si>
    <t>116.15亿</t>
  </si>
  <si>
    <t>29.13亿</t>
  </si>
  <si>
    <t>131.29亿</t>
  </si>
  <si>
    <t>35.35亿</t>
  </si>
  <si>
    <t>7.08亿</t>
  </si>
  <si>
    <t>7248.01万</t>
  </si>
  <si>
    <t>15.39亿</t>
  </si>
  <si>
    <t>14.82亿</t>
  </si>
  <si>
    <t>9.18亿</t>
  </si>
  <si>
    <t>7167.59万</t>
  </si>
  <si>
    <t>799.41万</t>
  </si>
  <si>
    <t>5707.80万</t>
  </si>
  <si>
    <t>7179.99万</t>
  </si>
  <si>
    <t>7954.44万</t>
  </si>
  <si>
    <t>13.23亿</t>
  </si>
  <si>
    <t>-1.54亿</t>
  </si>
  <si>
    <t>10.77亿</t>
  </si>
  <si>
    <t>57.82亿</t>
  </si>
  <si>
    <t>48.50亿</t>
  </si>
  <si>
    <t>3544.27万</t>
  </si>
  <si>
    <t>5547.96万</t>
  </si>
  <si>
    <t>7687.47万</t>
  </si>
  <si>
    <t>6023.52万</t>
  </si>
  <si>
    <t>6891.17万</t>
  </si>
  <si>
    <t>6105.51万</t>
  </si>
  <si>
    <t>5144.75万</t>
  </si>
  <si>
    <t>5074.53万</t>
  </si>
  <si>
    <t>SH688083</t>
  </si>
  <si>
    <t>中望软件</t>
  </si>
  <si>
    <t>8907.34万</t>
  </si>
  <si>
    <t>4448.68万</t>
  </si>
  <si>
    <t>3848.78万</t>
  </si>
  <si>
    <t>SH688109</t>
  </si>
  <si>
    <t>9764.24万</t>
  </si>
  <si>
    <t>7429.41万</t>
  </si>
  <si>
    <t>5582.45万</t>
  </si>
  <si>
    <t>22.61亿</t>
  </si>
  <si>
    <t>11.30亿</t>
  </si>
  <si>
    <t>3136.52万</t>
  </si>
  <si>
    <t>4803.14万</t>
  </si>
  <si>
    <t>4447.34万</t>
  </si>
  <si>
    <t>6154.96万</t>
  </si>
  <si>
    <t>SH688201</t>
  </si>
  <si>
    <t>信安世纪</t>
  </si>
  <si>
    <t>9034.80万</t>
  </si>
  <si>
    <t>-1.90亿</t>
  </si>
  <si>
    <t>7297.77万</t>
  </si>
  <si>
    <t>41.61亿</t>
  </si>
  <si>
    <t>18.17亿</t>
  </si>
  <si>
    <t>-8.72亿</t>
  </si>
  <si>
    <t>9120.81万</t>
  </si>
  <si>
    <t>8225.35万</t>
  </si>
  <si>
    <t>9134.33万</t>
  </si>
  <si>
    <t>SH688590</t>
  </si>
  <si>
    <t>新致软件</t>
  </si>
  <si>
    <t>8161.04万</t>
  </si>
  <si>
    <t>7957.79万</t>
  </si>
  <si>
    <t>6068.70万</t>
  </si>
  <si>
    <t>6.57亿</t>
  </si>
  <si>
    <t>-2.59亿</t>
  </si>
  <si>
    <t>3348.40万</t>
  </si>
  <si>
    <t>SH688038</t>
  </si>
  <si>
    <t>中科通达</t>
  </si>
  <si>
    <t>4.90亿</t>
  </si>
  <si>
    <t>5539.54万</t>
  </si>
  <si>
    <t>5029.80万</t>
  </si>
  <si>
    <t>3666.25万</t>
  </si>
  <si>
    <t>龙软科技</t>
  </si>
  <si>
    <t>7809.56万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</si>
  <si>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</si>
  <si>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</si>
  <si>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</si>
  <si>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</si>
  <si>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</si>
  <si>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</si>
  <si>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</si>
  <si>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</si>
  <si>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</si>
  <si>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</si>
  <si>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</si>
  <si>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</si>
  <si>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</si>
  <si>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</si>
  <si>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</si>
  <si>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</si>
  <si>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</si>
  <si>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SZ000503</t>
  </si>
  <si>
    <t>国新健康</t>
  </si>
  <si>
    <t>-2.43亿</t>
  </si>
  <si>
    <t>9548.00万</t>
  </si>
  <si>
    <t>1742.78万</t>
  </si>
  <si>
    <t>-1.88亿</t>
  </si>
  <si>
    <t>27.94亿</t>
  </si>
  <si>
    <t>6.49亿</t>
  </si>
  <si>
    <t>SZ002178</t>
  </si>
  <si>
    <t>延华智能</t>
  </si>
  <si>
    <t>-2.72亿</t>
  </si>
  <si>
    <t>10.99亿</t>
  </si>
  <si>
    <t>2309.42万</t>
  </si>
  <si>
    <t>-2.86亿</t>
  </si>
  <si>
    <t>-1.09亿</t>
  </si>
  <si>
    <t>8.34亿</t>
  </si>
  <si>
    <t>7.55亿</t>
  </si>
  <si>
    <t>18.45亿</t>
  </si>
  <si>
    <t>6.67亿</t>
  </si>
  <si>
    <t>SZ300098</t>
  </si>
  <si>
    <t>高新兴</t>
  </si>
  <si>
    <t>23.26亿</t>
  </si>
  <si>
    <t>-11.03亿</t>
  </si>
  <si>
    <t>26.93亿</t>
  </si>
  <si>
    <t>35.63亿</t>
  </si>
  <si>
    <t>22.37亿</t>
  </si>
  <si>
    <t>-11.57亿</t>
  </si>
  <si>
    <t>SZ300226</t>
  </si>
  <si>
    <t>上海钢联</t>
  </si>
  <si>
    <t>585.21亿</t>
  </si>
  <si>
    <t>1225.72亿</t>
  </si>
  <si>
    <t>960.55亿</t>
  </si>
  <si>
    <t>6.50亿</t>
  </si>
  <si>
    <t>8.30亿</t>
  </si>
  <si>
    <t>5.82亿</t>
  </si>
  <si>
    <t>5.24亿</t>
  </si>
  <si>
    <t>-1.47亿</t>
  </si>
  <si>
    <t>6.33亿</t>
  </si>
  <si>
    <t>6.52亿</t>
  </si>
  <si>
    <t>SH688296</t>
  </si>
  <si>
    <t>和达科技</t>
  </si>
  <si>
    <t>7568.80万</t>
  </si>
  <si>
    <t>3140.79万</t>
  </si>
  <si>
    <t>1271.54万</t>
  </si>
  <si>
    <t>17.20亿</t>
  </si>
  <si>
    <t>12.75亿</t>
  </si>
  <si>
    <t>-4.40亿</t>
  </si>
  <si>
    <t>5.73亿</t>
  </si>
  <si>
    <t>4.64亿</t>
  </si>
  <si>
    <t>10.61亿</t>
  </si>
  <si>
    <t>-1.29亿</t>
  </si>
  <si>
    <t>5.38亿</t>
  </si>
  <si>
    <t>15.27亿</t>
  </si>
  <si>
    <t>-2.27亿</t>
  </si>
  <si>
    <t>14.24亿</t>
  </si>
  <si>
    <t>10.82亿</t>
  </si>
  <si>
    <t>5.31亿</t>
  </si>
  <si>
    <t>15.56亿</t>
  </si>
  <si>
    <t>24.79亿</t>
  </si>
  <si>
    <t>7.41亿</t>
  </si>
  <si>
    <t>13.89亿</t>
  </si>
  <si>
    <t>11.09亿</t>
  </si>
  <si>
    <r>
      <t>1.报告期内,公司除了保持对传统行业的提升覆盖,公司加大了新行业的横向推广力度及持续</t>
    </r>
    <r>
      <rPr>
        <sz val="9"/>
        <color rgb="FFFF0000"/>
        <rFont val="宋体"/>
        <family val="3"/>
        <charset val="134"/>
        <scheme val="minor"/>
      </rPr>
      <t>提升对区县市场的覆盖</t>
    </r>
    <r>
      <rPr>
        <sz val="9"/>
        <color theme="1"/>
        <rFont val="宋体"/>
        <family val="2"/>
        <charset val="134"/>
        <scheme val="minor"/>
      </rPr>
      <t>,其中</t>
    </r>
    <r>
      <rPr>
        <sz val="9"/>
        <color rgb="FFFF0000"/>
        <rFont val="宋体"/>
        <family val="3"/>
        <charset val="134"/>
        <scheme val="minor"/>
      </rPr>
      <t>军工、刑侦、企事业</t>
    </r>
    <r>
      <rPr>
        <sz val="9"/>
        <color theme="1"/>
        <rFont val="宋体"/>
        <family val="2"/>
        <charset val="134"/>
        <scheme val="minor"/>
      </rPr>
      <t>等细分新行业新签订单均比去年同期实现较好增长,“星火计划”持续下沉区县市场挖掘商机和订单,目前拓展效果与计划目标相符；2.加上支撑跨部门跨区域数据汇聚共享查询带来的工作成效，以及来自打击犯罪、社会治理、社会服务的明显效果，使得软件自身的能力和价格得到了更多的客户认可；3.计划在</t>
    </r>
    <r>
      <rPr>
        <b/>
        <sz val="9"/>
        <color rgb="FFFF0000"/>
        <rFont val="宋体"/>
        <family val="3"/>
        <charset val="134"/>
        <scheme val="minor"/>
      </rPr>
      <t>2025年实现收入80亿，差不多4年4倍；</t>
    </r>
    <r>
      <rPr>
        <sz val="9"/>
        <rFont val="宋体"/>
        <family val="3"/>
        <charset val="134"/>
        <scheme val="minor"/>
      </rPr>
      <t>4.取证业务（</t>
    </r>
    <r>
      <rPr>
        <b/>
        <sz val="9"/>
        <color rgb="FFFF0000"/>
        <rFont val="宋体"/>
        <family val="3"/>
        <charset val="134"/>
        <scheme val="minor"/>
      </rPr>
      <t>税务</t>
    </r>
    <r>
      <rPr>
        <sz val="9"/>
        <rFont val="宋体"/>
        <family val="3"/>
        <charset val="134"/>
        <scheme val="minor"/>
      </rPr>
      <t>和刑侦）：订单数据验证拐点逻辑，中长期增速在30%左右;5.、大数据业务：疫情强化行业景气度，中长期毛利率大于50%</t>
    </r>
    <phoneticPr fontId="1" type="noConversion"/>
  </si>
  <si>
    <t>1.因为大部分是国家项目，因此一般是第四季度的营收利润比例最大；前三季度一般比较低；2.注意政策变化</t>
    <phoneticPr fontId="1" type="noConversion"/>
  </si>
  <si>
    <t>软件产品 7.41亿 49.98%（毛利98.38%）
技术服务 6.96亿 46.92%（毛利96.81%）
第三方产品 4454.01万 3.00%（毛利24.29%）
其他业务 144.03万 0.10%（毛利55.01%）</t>
    <phoneticPr fontId="1" type="noConversion"/>
  </si>
  <si>
    <r>
      <t>1.公司实现新签合同额17.00亿元，同比增长56%。其中，</t>
    </r>
    <r>
      <rPr>
        <sz val="9"/>
        <color rgb="FFFF0000"/>
        <rFont val="宋体"/>
        <family val="3"/>
        <charset val="134"/>
        <scheme val="minor"/>
      </rPr>
      <t>法律科技业务新签合同额比增长92%</t>
    </r>
    <r>
      <rPr>
        <sz val="9"/>
        <color theme="1"/>
        <rFont val="宋体"/>
        <family val="2"/>
        <charset val="134"/>
        <scheme val="minor"/>
      </rPr>
      <t xml:space="preserve">；教育信息化业务新签合同额同比增长51%。公司期末在手合同额46.79亿元，同比增长81%，
</t>
    </r>
    <phoneticPr fontId="1" type="noConversion"/>
  </si>
  <si>
    <r>
      <t>1.58亿市值，15亿流动市值；一周交易25亿，本周交易6亿；2.公司未来三年的发展目标与股权激励计划确定的考核目标是一致的，即以</t>
    </r>
    <r>
      <rPr>
        <sz val="9"/>
        <color rgb="FFFF0000"/>
        <rFont val="宋体"/>
        <family val="3"/>
        <charset val="134"/>
        <scheme val="minor"/>
      </rPr>
      <t>2020年营业收入为基础，2021至2023年营业收入分别增长40%、80%、120%</t>
    </r>
    <phoneticPr fontId="1" type="noConversion"/>
  </si>
  <si>
    <t xml:space="preserve">1.公司始终以密码技术为核心，开展信息安全产品的研发、生产和销售及服务，提供基于密码的可信身份认证及可信数据保障等安全解决方案，行业客户遍及政府、军队、军工、金融、能源、电信等领域。
</t>
    <phoneticPr fontId="1" type="noConversion"/>
  </si>
  <si>
    <t>1.预计年报业绩：净利润1.350亿元至1.500亿元，增长幅度为65.42%至83.80%；原因：2021年度公司归属于母公司所有者的净利润较上年同期增长，主要为公司不断加大对金融行业、企业服务行业领域软件和信息技术服务的研发投入，持续提高研发效率和市场份额带来的业绩提升。同时，报告期内完成子公司新致华桑65%股权的转让事项，上述非经常性事项收益进一步增加了公司2021年业绩。</t>
    <phoneticPr fontId="1" type="noConversion"/>
  </si>
  <si>
    <t>1.2021年年报扣非预增大概15%（其他为出让子公司股权获得的非经常性收入6KW）</t>
    <phoneticPr fontId="1" type="noConversion"/>
  </si>
  <si>
    <r>
      <t>1.公司提供的系统出发点是满足集团多层级管控要求，ERP系统是满足业财集成要求，是横向和纵向的关系。</t>
    </r>
    <r>
      <rPr>
        <sz val="9"/>
        <color rgb="FFFF0000"/>
        <rFont val="宋体"/>
        <family val="3"/>
        <charset val="134"/>
        <scheme val="minor"/>
      </rPr>
      <t>公司的系统与ERP系统实现了高度集成、高度融合，共同满足集团管理需要</t>
    </r>
    <r>
      <rPr>
        <sz val="9"/>
        <color theme="1"/>
        <rFont val="宋体"/>
        <family val="2"/>
        <charset val="134"/>
        <scheme val="minor"/>
      </rPr>
      <t>。</t>
    </r>
    <r>
      <rPr>
        <sz val="9"/>
        <color theme="1"/>
        <rFont val="宋体"/>
        <family val="3"/>
        <charset val="134"/>
        <scheme val="minor"/>
      </rPr>
      <t>2.最近2个月有5次机构调研；3.2021年年报预告60%的利润增速（1.33亿左右）；4.公司</t>
    </r>
    <r>
      <rPr>
        <sz val="9"/>
        <color rgb="FFFF0000"/>
        <rFont val="宋体"/>
        <family val="3"/>
        <charset val="134"/>
        <scheme val="minor"/>
      </rPr>
      <t>石油行业业务是公司业务的稳定器</t>
    </r>
    <r>
      <rPr>
        <sz val="9"/>
        <color theme="1"/>
        <rFont val="宋体"/>
        <family val="3"/>
        <charset val="134"/>
        <scheme val="minor"/>
      </rPr>
      <t>，持续提供稳定的收入和利润贡献；在</t>
    </r>
    <r>
      <rPr>
        <sz val="9"/>
        <color rgb="FFFF0000"/>
        <rFont val="宋体"/>
        <family val="3"/>
        <charset val="134"/>
        <scheme val="minor"/>
      </rPr>
      <t>建筑行业以及优势业务领域方面，包括全球资金管理、司库，保险行业、共享服务等，我们预期会保持一定的增长</t>
    </r>
    <r>
      <rPr>
        <sz val="9"/>
        <color theme="1"/>
        <rFont val="宋体"/>
        <family val="3"/>
        <charset val="134"/>
        <scheme val="minor"/>
      </rPr>
      <t>。5.最近公司中标了中航集团公司的资金管理系统的订单</t>
    </r>
    <phoneticPr fontId="1" type="noConversion"/>
  </si>
  <si>
    <t/>
  </si>
  <si>
    <t>代码</t>
  </si>
  <si>
    <t>流通股本</t>
  </si>
  <si>
    <t>投入资本回报率roic%[20201231]</t>
  </si>
  <si>
    <t>净资产收益率%[20201231]</t>
  </si>
  <si>
    <t>1. 期待应用软件有更多的SI（包括华为和国产生态）使用，特别国产商业软件替代；2. 定增关注，包括有否关键投资人加入；3.SuperMap GIS10i(2021)支持多种地理实体类型；在三维可视化和三维交互体验方面，可以为元宇宙、数字孪生、智慧城市等应用提供更丰富、更逼真的视觉感和体验感;4.信创订单方面，与2020年相比是明显增多的，2020年只有两个部委的信创项目，2021年实现了9个部委、30多个省市信创订单落地;5.设计院，建设院，村庄将会是地图信息系统需求大的下一个地方；</t>
    <phoneticPr fontId="1" type="noConversion"/>
  </si>
  <si>
    <t>营业收入[20171231]</t>
  </si>
  <si>
    <t>净利润[20201231]</t>
  </si>
  <si>
    <t>10.27亿</t>
  </si>
  <si>
    <t>11.35亿</t>
  </si>
  <si>
    <t>5.99亿</t>
  </si>
  <si>
    <t>4.05亿</t>
  </si>
  <si>
    <t>-1.76亿</t>
  </si>
  <si>
    <t>3.53亿</t>
  </si>
  <si>
    <t>19.15亿</t>
  </si>
  <si>
    <t>32.15亿</t>
  </si>
  <si>
    <t>-4.78亿</t>
  </si>
  <si>
    <t>900.32万</t>
  </si>
  <si>
    <t>9.32亿</t>
  </si>
  <si>
    <t>33.52亿</t>
  </si>
  <si>
    <t>183.14亿</t>
  </si>
  <si>
    <t>8.93亿</t>
  </si>
  <si>
    <t>2520.92万</t>
  </si>
  <si>
    <t>SZ002261</t>
  </si>
  <si>
    <t>拓维信息</t>
  </si>
  <si>
    <t>22.30亿</t>
  </si>
  <si>
    <t>9.23亿</t>
  </si>
  <si>
    <t>12.40亿</t>
  </si>
  <si>
    <t>11.85亿</t>
  </si>
  <si>
    <t>27.09亿</t>
  </si>
  <si>
    <t>-1.25亿</t>
  </si>
  <si>
    <t>理工能科</t>
  </si>
  <si>
    <t>7105.02万</t>
  </si>
  <si>
    <t>16.13亿</t>
  </si>
  <si>
    <t>5409.49万</t>
  </si>
  <si>
    <t>7.58亿</t>
  </si>
  <si>
    <t>30.60亿</t>
  </si>
  <si>
    <t>31.64亿</t>
  </si>
  <si>
    <t>43.86亿</t>
  </si>
  <si>
    <t>8.62亿</t>
  </si>
  <si>
    <t>2.99亿</t>
  </si>
  <si>
    <t>13.06亿</t>
  </si>
  <si>
    <t>30.54亿</t>
  </si>
  <si>
    <t>4.07亿</t>
  </si>
  <si>
    <t>-7025.13万</t>
  </si>
  <si>
    <t>19.11亿</t>
  </si>
  <si>
    <t>8.28亿</t>
  </si>
  <si>
    <t>18.75亿</t>
  </si>
  <si>
    <t>56.14亿</t>
  </si>
  <si>
    <t>4009.60万</t>
  </si>
  <si>
    <t>909.17万</t>
  </si>
  <si>
    <t>14.81亿</t>
  </si>
  <si>
    <t>14.55亿</t>
  </si>
  <si>
    <t>11.88亿</t>
  </si>
  <si>
    <t>8.71亿</t>
  </si>
  <si>
    <t>26.73亿</t>
  </si>
  <si>
    <t>4329.27万</t>
  </si>
  <si>
    <t>25.35亿</t>
  </si>
  <si>
    <t>-1.67亿</t>
  </si>
  <si>
    <t>657.75亿</t>
  </si>
  <si>
    <t>2286.88万</t>
  </si>
  <si>
    <t>8.72亿</t>
  </si>
  <si>
    <t>27.50亿</t>
  </si>
  <si>
    <t>57.52亿</t>
  </si>
  <si>
    <t>2577.98万</t>
  </si>
  <si>
    <t>15.72亿</t>
  </si>
  <si>
    <t>9.85亿</t>
  </si>
  <si>
    <t>5.41亿</t>
  </si>
  <si>
    <t>5792.22万</t>
  </si>
  <si>
    <t>18.67亿</t>
  </si>
  <si>
    <t>-2172.74万</t>
  </si>
  <si>
    <t>26.09亿</t>
  </si>
  <si>
    <t>10.30亿</t>
  </si>
  <si>
    <t>17.88亿</t>
  </si>
  <si>
    <t>8.63亿</t>
  </si>
  <si>
    <t>1172.29万</t>
  </si>
  <si>
    <t>5.77亿</t>
  </si>
  <si>
    <t>18.99亿</t>
  </si>
  <si>
    <t>68.05亿</t>
  </si>
  <si>
    <t>7.78亿</t>
  </si>
  <si>
    <t>6675.71万</t>
  </si>
  <si>
    <t>-8051.98万</t>
  </si>
  <si>
    <t>15.64亿</t>
  </si>
  <si>
    <t>5.01亿</t>
  </si>
  <si>
    <t>6358.22万</t>
  </si>
  <si>
    <t>7183.86万</t>
  </si>
  <si>
    <t>8263.42万</t>
  </si>
  <si>
    <t>1418.31万</t>
  </si>
  <si>
    <t>4704.42万</t>
  </si>
  <si>
    <t>6190.33万</t>
  </si>
  <si>
    <t>3736.54万</t>
  </si>
  <si>
    <t>3855.20万</t>
  </si>
  <si>
    <t>SZ300766</t>
  </si>
  <si>
    <t>每日互动</t>
  </si>
  <si>
    <t>7198.04万</t>
  </si>
  <si>
    <t>7596.98万</t>
  </si>
  <si>
    <t>566.50万</t>
  </si>
  <si>
    <t>12.82亿</t>
  </si>
  <si>
    <t>6578.21万</t>
  </si>
  <si>
    <t>30.88亿</t>
  </si>
  <si>
    <t>6002.87万</t>
  </si>
  <si>
    <t>11.76亿</t>
  </si>
  <si>
    <t>SZ301153</t>
  </si>
  <si>
    <t>中科江南</t>
  </si>
  <si>
    <t>7.38亿</t>
  </si>
  <si>
    <t>7115.64万</t>
  </si>
  <si>
    <t>4980.05万</t>
  </si>
  <si>
    <t>SZ301159</t>
  </si>
  <si>
    <t>三维天地</t>
  </si>
  <si>
    <t>5519.10万</t>
  </si>
  <si>
    <t>5254.56万</t>
  </si>
  <si>
    <t>6834.47万</t>
  </si>
  <si>
    <t>4768.77万</t>
  </si>
  <si>
    <t>SZ301162</t>
  </si>
  <si>
    <t>5917.58万</t>
  </si>
  <si>
    <t>5421.20万</t>
  </si>
  <si>
    <t>3643.28万</t>
  </si>
  <si>
    <t>2059.22万</t>
  </si>
  <si>
    <t>SZ301185</t>
  </si>
  <si>
    <t>鸥玛软件</t>
  </si>
  <si>
    <t>8071.93万</t>
  </si>
  <si>
    <t>6047.54万</t>
  </si>
  <si>
    <t>6977.86万</t>
  </si>
  <si>
    <t>6192.12万</t>
  </si>
  <si>
    <t>54.97亿</t>
  </si>
  <si>
    <t>6.19亿</t>
  </si>
  <si>
    <t>14.64亿</t>
  </si>
  <si>
    <t>89.32亿</t>
  </si>
  <si>
    <t>85.28亿</t>
  </si>
  <si>
    <t>49.93亿</t>
  </si>
  <si>
    <t>-6.32亿</t>
  </si>
  <si>
    <t>18.19亿</t>
  </si>
  <si>
    <t>108.86亿</t>
  </si>
  <si>
    <t>9.02亿</t>
  </si>
  <si>
    <t>1604.95万</t>
  </si>
  <si>
    <t>20.03亿</t>
  </si>
  <si>
    <t>9.24亿</t>
  </si>
  <si>
    <t>6555.78万</t>
  </si>
  <si>
    <t>7970.83万</t>
  </si>
  <si>
    <t>-1.71亿</t>
  </si>
  <si>
    <t>62.81亿</t>
  </si>
  <si>
    <t>4195.34万</t>
  </si>
  <si>
    <t>1380.65万</t>
  </si>
  <si>
    <t>7552.61万</t>
  </si>
  <si>
    <t>3662.64万</t>
  </si>
  <si>
    <t>5.32亿</t>
  </si>
  <si>
    <t>2682.06万</t>
  </si>
  <si>
    <t>6307.81万</t>
  </si>
  <si>
    <t>4623.54万</t>
  </si>
  <si>
    <t>6267.95万</t>
  </si>
  <si>
    <t>32.80亿</t>
  </si>
  <si>
    <t>10.41亿</t>
  </si>
  <si>
    <t>3912.63万</t>
  </si>
  <si>
    <t>7219.37万</t>
  </si>
  <si>
    <t>SH688171</t>
  </si>
  <si>
    <t>纬德信息</t>
  </si>
  <si>
    <t>5545.20万</t>
  </si>
  <si>
    <t>8232.96万</t>
  </si>
  <si>
    <t>6366.69万</t>
  </si>
  <si>
    <t>6353.29万</t>
  </si>
  <si>
    <t>2709.71万</t>
  </si>
  <si>
    <t>SH688225</t>
  </si>
  <si>
    <t>亚信安全</t>
  </si>
  <si>
    <t>16.67亿</t>
  </si>
  <si>
    <t>SH688232</t>
  </si>
  <si>
    <t>新点软件</t>
  </si>
  <si>
    <t>21.24亿</t>
  </si>
  <si>
    <t>SH688246</t>
  </si>
  <si>
    <t>嘉和美康</t>
  </si>
  <si>
    <t>2126.54万</t>
  </si>
  <si>
    <t>342.14万</t>
  </si>
  <si>
    <t>-6522.78万</t>
  </si>
  <si>
    <t>SH688326</t>
  </si>
  <si>
    <t>经纬恒润-W</t>
  </si>
  <si>
    <t>32.62亿</t>
  </si>
  <si>
    <t>7369.38万</t>
  </si>
  <si>
    <t>-5966.75万</t>
  </si>
  <si>
    <t>2077.54万</t>
  </si>
  <si>
    <t>58.09亿</t>
  </si>
  <si>
    <t>-5.55亿</t>
  </si>
  <si>
    <t>软件开发</t>
  </si>
  <si>
    <t xml:space="preserve">    名称</t>
  </si>
  <si>
    <t>净利润?</t>
  </si>
  <si>
    <t>投入资本回报率roic%[20211231]</t>
  </si>
  <si>
    <t>净资产收益率%[20211231]</t>
  </si>
  <si>
    <t>亏损</t>
  </si>
  <si>
    <t>扭亏</t>
  </si>
  <si>
    <t>-1-0</t>
  </si>
  <si>
    <t>-1-1</t>
  </si>
  <si>
    <t>1-0</t>
  </si>
  <si>
    <t>1-1</t>
  </si>
  <si>
    <t>13.41亿</t>
  </si>
  <si>
    <t>-1.08亿</t>
  </si>
  <si>
    <t>6.91亿</t>
  </si>
  <si>
    <t>4.42亿</t>
  </si>
  <si>
    <t>16.08亿</t>
  </si>
  <si>
    <t>2.97亿</t>
  </si>
  <si>
    <t>4.81亿</t>
  </si>
  <si>
    <t>15.02亿</t>
  </si>
  <si>
    <t>-3.39亿</t>
  </si>
  <si>
    <t>-1.22亿</t>
  </si>
  <si>
    <t>细分行业</t>
  </si>
  <si>
    <t>2-1</t>
  </si>
  <si>
    <t>7.52亿</t>
  </si>
  <si>
    <t>-2.71亿</t>
  </si>
  <si>
    <t>1.99亿</t>
  </si>
  <si>
    <t>-1.50亿</t>
  </si>
  <si>
    <t>5.56亿</t>
  </si>
  <si>
    <t>3-1</t>
  </si>
  <si>
    <t>6.94亿</t>
  </si>
  <si>
    <t>-2.19亿</t>
  </si>
  <si>
    <t>4.99亿</t>
  </si>
  <si>
    <t>11.24亿</t>
  </si>
  <si>
    <t>-1.24亿</t>
  </si>
  <si>
    <t>8.02亿</t>
  </si>
  <si>
    <t>5.63亿</t>
  </si>
  <si>
    <t>4.59亿</t>
  </si>
  <si>
    <t>5.55亿</t>
  </si>
  <si>
    <t>1000.00万</t>
  </si>
  <si>
    <t>-1.39亿</t>
  </si>
  <si>
    <t>4.33亿</t>
  </si>
  <si>
    <t>7.10亿</t>
  </si>
  <si>
    <t>7.80亿</t>
  </si>
  <si>
    <t>SZ301095</t>
  </si>
  <si>
    <t>广立微</t>
  </si>
  <si>
    <t>6374.72万</t>
  </si>
  <si>
    <t>6614.35万</t>
  </si>
  <si>
    <t>3116.33万</t>
  </si>
  <si>
    <t>4987.45万</t>
  </si>
  <si>
    <t>1933.09万</t>
  </si>
  <si>
    <t>-997.02万</t>
  </si>
  <si>
    <t>国能日新</t>
  </si>
  <si>
    <t>SZ301195</t>
  </si>
  <si>
    <t>北路智控</t>
  </si>
  <si>
    <t>6171.03万</t>
  </si>
  <si>
    <t>3838.10万</t>
  </si>
  <si>
    <t>8.20亿</t>
  </si>
  <si>
    <t>SZ301269</t>
  </si>
  <si>
    <t>华大九天</t>
  </si>
  <si>
    <t>5715.77万</t>
  </si>
  <si>
    <t>4851.94万</t>
  </si>
  <si>
    <t>SZ301270</t>
  </si>
  <si>
    <t>6790.04万</t>
  </si>
  <si>
    <t>5113.30万</t>
  </si>
  <si>
    <t>5843.48万</t>
  </si>
  <si>
    <t>2672.80万</t>
  </si>
  <si>
    <t>10000.00万</t>
  </si>
  <si>
    <t>23.33亿</t>
  </si>
  <si>
    <t>7.16亿</t>
  </si>
  <si>
    <t>品茗科技</t>
  </si>
  <si>
    <t>4.38亿</t>
  </si>
  <si>
    <t>9.07亿</t>
  </si>
  <si>
    <t>汉仪股份</t>
  </si>
  <si>
    <t>SH688031</t>
  </si>
  <si>
    <t>-2.45亿</t>
  </si>
  <si>
    <t>-1.84亿</t>
  </si>
  <si>
    <t>-2.11亿</t>
  </si>
  <si>
    <t>SH688244</t>
  </si>
  <si>
    <t>永信至诚</t>
  </si>
  <si>
    <t>4707.15万</t>
  </si>
  <si>
    <t>4229.95万</t>
  </si>
  <si>
    <t>169.57万</t>
  </si>
  <si>
    <t>323.23万</t>
  </si>
  <si>
    <t>12.33亿</t>
  </si>
  <si>
    <t>7.31亿</t>
  </si>
  <si>
    <t>10.23亿</t>
  </si>
  <si>
    <t>-1.13亿</t>
  </si>
  <si>
    <t>-1.18亿</t>
  </si>
  <si>
    <t>-1.46亿</t>
  </si>
  <si>
    <t>6.13亿</t>
  </si>
  <si>
    <t>-1.66亿</t>
  </si>
  <si>
    <t>10.96亿</t>
  </si>
  <si>
    <t>9.05亿</t>
  </si>
  <si>
    <t>19.18亿</t>
  </si>
  <si>
    <t>11.80亿</t>
  </si>
  <si>
    <t>22.22亿</t>
  </si>
  <si>
    <t>11.26亿</t>
  </si>
  <si>
    <t>16.16亿</t>
  </si>
  <si>
    <t>5.05亿</t>
  </si>
  <si>
    <t>-1.87亿</t>
  </si>
  <si>
    <t>-1.17亿</t>
  </si>
  <si>
    <t>7.79亿</t>
  </si>
  <si>
    <t>30.93亿</t>
  </si>
  <si>
    <t>-1.23亿</t>
  </si>
  <si>
    <t>-2.88亿</t>
  </si>
  <si>
    <t>-1.10亿</t>
  </si>
  <si>
    <t>7.21亿</t>
  </si>
  <si>
    <t>14.31亿</t>
  </si>
  <si>
    <t>25.95亿</t>
  </si>
  <si>
    <t>11.15亿</t>
  </si>
  <si>
    <t>星环科技-U</t>
  </si>
  <si>
    <t>SH688152</t>
  </si>
  <si>
    <t>7967.96万</t>
  </si>
  <si>
    <t>9890.63万</t>
  </si>
  <si>
    <t>2033.58万</t>
  </si>
  <si>
    <t>1099.00万</t>
  </si>
  <si>
    <t>13.73亿</t>
  </si>
  <si>
    <t>18.61亿</t>
  </si>
  <si>
    <t>18.22亿</t>
  </si>
  <si>
    <t>SH688291</t>
  </si>
  <si>
    <t>5277.76万</t>
  </si>
  <si>
    <t>9242.31万</t>
  </si>
  <si>
    <t>6963.20万</t>
  </si>
  <si>
    <t>4020.12万</t>
  </si>
  <si>
    <t>1605.55万</t>
  </si>
  <si>
    <t>1723.60万</t>
  </si>
  <si>
    <t>麒麟信安</t>
  </si>
  <si>
    <t>SH688206</t>
  </si>
  <si>
    <t>概伦电子</t>
  </si>
  <si>
    <t>2860.46万</t>
  </si>
  <si>
    <t>6548.66万</t>
  </si>
  <si>
    <t>5194.86万</t>
  </si>
  <si>
    <t>2901.29万</t>
  </si>
  <si>
    <t>-8.77亿</t>
  </si>
  <si>
    <t>-790.32万</t>
  </si>
  <si>
    <t>金橙子</t>
  </si>
  <si>
    <r>
      <t>1.公司</t>
    </r>
    <r>
      <rPr>
        <b/>
        <sz val="9"/>
        <color rgb="FFFF0000"/>
        <rFont val="宋体"/>
        <family val="3"/>
        <charset val="134"/>
        <scheme val="minor"/>
      </rPr>
      <t>DPU已完成封装测试工作</t>
    </r>
    <r>
      <rPr>
        <sz val="9"/>
        <color theme="1"/>
        <rFont val="宋体"/>
        <family val="2"/>
        <charset val="134"/>
        <scheme val="minor"/>
      </rPr>
      <t>，功能均符合设计标准。</t>
    </r>
    <r>
      <rPr>
        <sz val="9"/>
        <color theme="1"/>
        <rFont val="宋体"/>
        <family val="3"/>
        <charset val="134"/>
        <scheme val="minor"/>
      </rPr>
      <t>2.公司产品采用28nm制程，可实现生产全流程自主可控，且市场空间广阔，在数据中心、云计算应用场景需求迫切，随着算力需求进一步提升，DPU将在智能驾驶等领域得到广泛应用</t>
    </r>
    <phoneticPr fontId="1" type="noConversion"/>
  </si>
  <si>
    <t>1.dpu会有这么大的市场前途？亦或者只是预期很高？</t>
    <phoneticPr fontId="1" type="noConversion"/>
  </si>
  <si>
    <t>7.97亿</t>
  </si>
  <si>
    <t>过往营收增速均值</t>
    <phoneticPr fontId="1" type="noConversion"/>
  </si>
  <si>
    <t>价格右侧初期策略</t>
    <phoneticPr fontId="1" type="noConversion"/>
  </si>
  <si>
    <t>N-4</t>
    <phoneticPr fontId="1" type="noConversion"/>
  </si>
  <si>
    <t>不分配不转增</t>
  </si>
  <si>
    <t>10派1元(含税)</t>
  </si>
  <si>
    <t>10派0.5元(含税)</t>
  </si>
  <si>
    <t>10派0.2元(含税)</t>
  </si>
  <si>
    <t>10派2元(含税)</t>
  </si>
  <si>
    <t>10派1.2元(含税)</t>
  </si>
  <si>
    <t>10派0.1元(含税)</t>
  </si>
  <si>
    <t>10派0.3元(含税)</t>
  </si>
  <si>
    <t>10派0.35元(含税)</t>
  </si>
  <si>
    <t>10派0.6元(含税)</t>
  </si>
  <si>
    <t>10派0.15元(含税)</t>
  </si>
  <si>
    <t>10派0.4元(含税)</t>
  </si>
  <si>
    <t>10派0.7元(含税)</t>
  </si>
  <si>
    <t>10派0.8元(含税)</t>
  </si>
  <si>
    <t>10派1.5元(含税)</t>
  </si>
  <si>
    <t>10派1.3元(含税)</t>
  </si>
  <si>
    <t>10转3股</t>
  </si>
  <si>
    <t>10派5元(含税)</t>
  </si>
  <si>
    <r>
      <t>1.未来随着各行各业对</t>
    </r>
    <r>
      <rPr>
        <b/>
        <sz val="9"/>
        <color rgb="FFFF0000"/>
        <rFont val="宋体"/>
        <family val="3"/>
        <charset val="134"/>
        <scheme val="minor"/>
      </rPr>
      <t>数据要素</t>
    </r>
    <r>
      <rPr>
        <sz val="9"/>
        <color theme="1"/>
        <rFont val="宋体"/>
        <family val="2"/>
        <charset val="134"/>
        <scheme val="minor"/>
      </rPr>
      <t>的重视，会呈现数据需求的增加；数交所成立，对数据的确权，也将为数据交易提供便捷，准则的实施后，用户采购的数据可以计入无形资产纳入资产化处理，减少了对当期利润的影响，能更好地反映企业的价值。</t>
    </r>
    <phoneticPr fontId="1" type="noConversion"/>
  </si>
  <si>
    <t>6.22亿</t>
  </si>
  <si>
    <t>SH688435</t>
  </si>
  <si>
    <t>英方软件</t>
  </si>
  <si>
    <t>-5.95亿</t>
  </si>
  <si>
    <t>-2-0</t>
  </si>
  <si>
    <t>11.17亿</t>
  </si>
  <si>
    <t>18.66亿</t>
  </si>
  <si>
    <t>-3-1</t>
  </si>
  <si>
    <t>85.67亿</t>
  </si>
  <si>
    <t>56.32亿</t>
  </si>
  <si>
    <t>8986.96万</t>
  </si>
  <si>
    <t>-7.79亿</t>
  </si>
  <si>
    <t>14.02亿</t>
  </si>
  <si>
    <t>2-0</t>
  </si>
  <si>
    <t>35.43亿</t>
  </si>
  <si>
    <t>188.20亿</t>
  </si>
  <si>
    <t>22.80亿</t>
  </si>
  <si>
    <t>-5793.78万</t>
  </si>
  <si>
    <t>28.98亿</t>
  </si>
  <si>
    <t>-1.62亿</t>
  </si>
  <si>
    <t>-1.03亿</t>
  </si>
  <si>
    <t>14.01亿</t>
  </si>
  <si>
    <t>-1.36亿</t>
  </si>
  <si>
    <t>12.65亿</t>
  </si>
  <si>
    <t>13.49亿</t>
  </si>
  <si>
    <t>3-0</t>
  </si>
  <si>
    <t>33.47亿</t>
  </si>
  <si>
    <t>-3.36亿</t>
  </si>
  <si>
    <t>7.18亿</t>
  </si>
  <si>
    <t>55.62亿</t>
  </si>
  <si>
    <t>39.47亿</t>
  </si>
  <si>
    <t>23.31亿</t>
  </si>
  <si>
    <t>6.25亿</t>
  </si>
  <si>
    <t>44.37亿</t>
  </si>
  <si>
    <t>10.00亿</t>
  </si>
  <si>
    <t>7.36亿</t>
  </si>
  <si>
    <t>5-0</t>
  </si>
  <si>
    <t>-2-1</t>
  </si>
  <si>
    <t>36.73亿</t>
  </si>
  <si>
    <t>35.59亿</t>
  </si>
  <si>
    <t>16.91亿</t>
  </si>
  <si>
    <t>4-0</t>
  </si>
  <si>
    <t>15.26亿</t>
  </si>
  <si>
    <t>56.92亿</t>
  </si>
  <si>
    <t>3258.76万</t>
  </si>
  <si>
    <t>5.95亿</t>
  </si>
  <si>
    <t>4.57亿</t>
  </si>
  <si>
    <t>-3-0</t>
  </si>
  <si>
    <t>11.16亿</t>
  </si>
  <si>
    <t>15.23亿</t>
  </si>
  <si>
    <t>4.54亿</t>
  </si>
  <si>
    <t>-3.24亿</t>
  </si>
  <si>
    <t>16.04亿</t>
  </si>
  <si>
    <t>765.67亿</t>
  </si>
  <si>
    <t>2333.16万</t>
  </si>
  <si>
    <t>10.70亿</t>
  </si>
  <si>
    <t>-9.84亿</t>
  </si>
  <si>
    <t>-7365.14万</t>
  </si>
  <si>
    <t>-2.95亿</t>
  </si>
  <si>
    <t>-1.40亿</t>
  </si>
  <si>
    <t>18.87亿</t>
  </si>
  <si>
    <t>26.29亿</t>
  </si>
  <si>
    <t>6149.97万</t>
  </si>
  <si>
    <t>19.95亿</t>
  </si>
  <si>
    <t>-2.23亿</t>
  </si>
  <si>
    <t>-7251.65万</t>
  </si>
  <si>
    <t>13.57亿</t>
  </si>
  <si>
    <t>10.73亿</t>
  </si>
  <si>
    <t>10.83亿</t>
  </si>
  <si>
    <t>74.13亿</t>
  </si>
  <si>
    <t>14.41亿</t>
  </si>
  <si>
    <t>-7500.80万</t>
  </si>
  <si>
    <t>4120.90万</t>
  </si>
  <si>
    <t>852.37万</t>
  </si>
  <si>
    <t>24.00亿</t>
  </si>
  <si>
    <t>-1.21亿</t>
  </si>
  <si>
    <t>10.43亿</t>
  </si>
  <si>
    <t>-8330.65万</t>
  </si>
  <si>
    <t>3448.18万</t>
  </si>
  <si>
    <t>12.91亿</t>
  </si>
  <si>
    <t>6895.07万</t>
  </si>
  <si>
    <t>-1.68亿</t>
  </si>
  <si>
    <t>2986.27万</t>
  </si>
  <si>
    <t>15.01亿</t>
  </si>
  <si>
    <t>8.46亿</t>
  </si>
  <si>
    <t>6-0</t>
  </si>
  <si>
    <t>2478.15万</t>
  </si>
  <si>
    <t>2628.69万</t>
  </si>
  <si>
    <t>9.15亿</t>
  </si>
  <si>
    <t>*ST左江</t>
  </si>
  <si>
    <t>6.48亿</t>
  </si>
  <si>
    <t>5896.12万</t>
  </si>
  <si>
    <t>6.28亿</t>
  </si>
  <si>
    <t>35.86亿</t>
  </si>
  <si>
    <t>-2794.19万</t>
  </si>
  <si>
    <t>10派4元(含税)</t>
  </si>
  <si>
    <t>6708.21万</t>
  </si>
  <si>
    <t>7.56亿</t>
  </si>
  <si>
    <t>5535.14万</t>
  </si>
  <si>
    <t>10.05亿</t>
  </si>
  <si>
    <t>SZ301337</t>
  </si>
  <si>
    <t>亚华电子</t>
  </si>
  <si>
    <t>7272.52万</t>
  </si>
  <si>
    <t>5523.35万</t>
  </si>
  <si>
    <t>4012.84万</t>
  </si>
  <si>
    <t>1513.46万</t>
  </si>
  <si>
    <t>SZ301378</t>
  </si>
  <si>
    <t>通达海</t>
  </si>
  <si>
    <t>9694.22万</t>
  </si>
  <si>
    <t>7679.04万</t>
  </si>
  <si>
    <t>4275.19万</t>
  </si>
  <si>
    <t>3502.53万</t>
  </si>
  <si>
    <t>-1.12亿</t>
  </si>
  <si>
    <t>11.20亿</t>
  </si>
  <si>
    <t>2000.00万</t>
  </si>
  <si>
    <t>65.02亿</t>
  </si>
  <si>
    <t>6.58亿</t>
  </si>
  <si>
    <t>92.62亿</t>
  </si>
  <si>
    <t>45.34亿</t>
  </si>
  <si>
    <t>24.98亿</t>
  </si>
  <si>
    <t>95.21亿</t>
  </si>
  <si>
    <t>-22.04亿</t>
  </si>
  <si>
    <t>泛微网络</t>
  </si>
  <si>
    <t>3663.48万</t>
  </si>
  <si>
    <t>-871.25万</t>
  </si>
  <si>
    <t>5096.97万</t>
  </si>
  <si>
    <t>67.05亿</t>
  </si>
  <si>
    <t>3356.05万</t>
  </si>
  <si>
    <t>19.80亿</t>
  </si>
  <si>
    <t>-844.39万</t>
  </si>
  <si>
    <t>-3465.60万</t>
  </si>
  <si>
    <t>10转4股派5元(含税)</t>
  </si>
  <si>
    <t>-174.39万</t>
  </si>
  <si>
    <t>-5601.08万</t>
  </si>
  <si>
    <t>38.85亿</t>
  </si>
  <si>
    <t>121.79万</t>
  </si>
  <si>
    <t>-846.20万</t>
  </si>
  <si>
    <t>3857.63万</t>
  </si>
  <si>
    <t>4488.61万</t>
  </si>
  <si>
    <t>17.21亿</t>
  </si>
  <si>
    <t>4-1</t>
  </si>
  <si>
    <t>28.24亿</t>
  </si>
  <si>
    <t>6802.44万</t>
  </si>
  <si>
    <t>4960.66万</t>
  </si>
  <si>
    <t>3907.93万</t>
  </si>
  <si>
    <t>-2.44亿</t>
  </si>
  <si>
    <t>40.22亿</t>
  </si>
  <si>
    <t>9408.06万</t>
  </si>
  <si>
    <t>2143.34万</t>
  </si>
  <si>
    <t>-5.54亿</t>
  </si>
  <si>
    <t>6351.55万</t>
  </si>
  <si>
    <t>3392.22万</t>
  </si>
  <si>
    <t>4057.98万</t>
  </si>
  <si>
    <t>1822.18万</t>
  </si>
  <si>
    <t>-943.14万</t>
  </si>
  <si>
    <t>SH688479</t>
  </si>
  <si>
    <t>友车科技</t>
  </si>
  <si>
    <t>8482.81万</t>
  </si>
  <si>
    <t>9265.62万</t>
  </si>
  <si>
    <t>8484.49万</t>
  </si>
  <si>
    <t>SH688507</t>
  </si>
  <si>
    <t>索辰科技</t>
  </si>
  <si>
    <t>5377.12万</t>
  </si>
  <si>
    <t>5035.64万</t>
  </si>
  <si>
    <t>3264.87万</t>
  </si>
  <si>
    <t>-1259.12万</t>
  </si>
  <si>
    <t>62.23亿</t>
  </si>
  <si>
    <t>6191.25万</t>
  </si>
  <si>
    <t>-5193.92万</t>
  </si>
  <si>
    <t>SZ301315</t>
  </si>
  <si>
    <t>威士顿</t>
  </si>
  <si>
    <t>6252.60万</t>
  </si>
  <si>
    <t>7.99亿</t>
  </si>
  <si>
    <t>SH688631</t>
  </si>
  <si>
    <t>莱斯信息</t>
  </si>
  <si>
    <t>8949.50万</t>
  </si>
  <si>
    <t>9688.24万</t>
  </si>
  <si>
    <t>SH688651</t>
  </si>
  <si>
    <t>盛邦安全</t>
  </si>
  <si>
    <t>涨幅%</t>
  </si>
  <si>
    <t>成交量[20230505]</t>
  </si>
  <si>
    <t>当季营业收入(同比增长率) %</t>
  </si>
  <si>
    <t>LYear营业总收入[20221231]</t>
  </si>
  <si>
    <t>LYear净利润[20221231]</t>
  </si>
  <si>
    <t>权益乘数[20220930]</t>
  </si>
  <si>
    <t>总资产周转率[20220930]</t>
  </si>
  <si>
    <t>净利润／营业总收入%[20220930]</t>
  </si>
  <si>
    <t>营业总成本[20220930]</t>
  </si>
  <si>
    <t>营业成本[20220930]</t>
  </si>
  <si>
    <t>销售费用[20230331]</t>
  </si>
  <si>
    <t>管理费用[20220930]</t>
  </si>
  <si>
    <t>研发费用总额</t>
  </si>
  <si>
    <t>其他收入[20230331]</t>
  </si>
  <si>
    <t>扣除非经常性损益后的净利润[20230331]</t>
  </si>
  <si>
    <t>货币资金[20230331]</t>
  </si>
  <si>
    <t>应收票据[20230331]</t>
  </si>
  <si>
    <t>固定资产[20230331]</t>
  </si>
  <si>
    <t>在建工程[20230331]</t>
  </si>
  <si>
    <t>短期借款[20230331]</t>
  </si>
  <si>
    <t>应付票据[20230331]</t>
  </si>
  <si>
    <t>应付账款[20230331]</t>
  </si>
  <si>
    <t>预收款项[20230331]</t>
  </si>
  <si>
    <t>流动负债[20230331]</t>
  </si>
  <si>
    <t>长期借款[20230331]</t>
  </si>
  <si>
    <t>经营活动产生的现金流量净额[20230331]</t>
  </si>
  <si>
    <t>投资活动产生的现金流量净额[20230331]</t>
  </si>
  <si>
    <t>筹资活动产生的现金流量净额[20230331]</t>
  </si>
  <si>
    <t>营业收入[20211231]</t>
  </si>
  <si>
    <t>营业收入[20201231]</t>
  </si>
  <si>
    <t>净利润[20211231]</t>
  </si>
  <si>
    <t>CYLQ营业收入[20221231]</t>
  </si>
  <si>
    <t>LYCQ营业收入[20220331]</t>
  </si>
  <si>
    <t>LYLQ营业收入[20211231]</t>
  </si>
  <si>
    <t>CYLQ净利润[20221231]</t>
  </si>
  <si>
    <t>LYCQ净利润[20220331]</t>
  </si>
  <si>
    <t>LYLQ净利润[20211231]</t>
  </si>
  <si>
    <t>投入资本回报率roic%[20230331]</t>
  </si>
  <si>
    <t>净资产收益率%[20230331]</t>
  </si>
  <si>
    <t>分红明细[20221231]</t>
  </si>
  <si>
    <t>销售毛利率%[20230331]</t>
  </si>
  <si>
    <t>销售毛利率%[20211231]</t>
  </si>
  <si>
    <t>销售净利率%[20230331]</t>
  </si>
  <si>
    <t>销售净利率%[20211231]</t>
  </si>
  <si>
    <t>区间涨跌幅:前复权%[20230426-20230505]</t>
  </si>
  <si>
    <t>区间涨跌幅:前复权%[20230321-20230505]</t>
  </si>
  <si>
    <t>区间成交量[20230426-20230505]</t>
  </si>
  <si>
    <t>区间成交量[20230321-20230505]</t>
  </si>
  <si>
    <t>5年营收增速PEG</t>
    <phoneticPr fontId="1" type="noConversion"/>
  </si>
  <si>
    <t>过往利润增速均值</t>
    <phoneticPr fontId="1" type="noConversion"/>
  </si>
  <si>
    <t>折现率</t>
    <phoneticPr fontId="1" type="noConversion"/>
  </si>
  <si>
    <t>1增速</t>
    <phoneticPr fontId="1" type="noConversion"/>
  </si>
  <si>
    <t>3年自由现金流折现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</si>
  <si>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</si>
  <si>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</si>
  <si>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原始顺序</t>
    <phoneticPr fontId="1" type="noConversion"/>
  </si>
  <si>
    <t>营收和利润加权</t>
    <phoneticPr fontId="1" type="noConversion"/>
  </si>
  <si>
    <t>成交量综合策略</t>
    <phoneticPr fontId="1" type="noConversion"/>
  </si>
  <si>
    <t>基本面排序</t>
    <phoneticPr fontId="1" type="noConversion"/>
  </si>
  <si>
    <t>5日成交换手率</t>
    <phoneticPr fontId="1" type="noConversion"/>
  </si>
  <si>
    <t>昨日价格累计指数</t>
    <phoneticPr fontId="1" type="noConversion"/>
  </si>
  <si>
    <t>6年PE</t>
    <phoneticPr fontId="1" type="noConversion"/>
  </si>
  <si>
    <t>股利率</t>
    <phoneticPr fontId="1" type="noConversion"/>
  </si>
  <si>
    <t>1年自由现金流折现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</si>
  <si>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</si>
  <si>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</si>
  <si>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</si>
  <si>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</si>
  <si>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</si>
  <si>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</si>
  <si>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</si>
  <si>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</si>
  <si>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</si>
  <si>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</si>
  <si>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价格变动策略</t>
    <phoneticPr fontId="1" type="noConversion"/>
  </si>
  <si>
    <t>量价齐升策略</t>
    <phoneticPr fontId="1" type="noConversion"/>
  </si>
  <si>
    <t>综合策略</t>
    <phoneticPr fontId="1" type="noConversion"/>
  </si>
  <si>
    <t>机会区域号</t>
    <phoneticPr fontId="1" type="noConversion"/>
  </si>
  <si>
    <t>30日成交换手率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</si>
  <si>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</si>
  <si>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</si>
  <si>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</si>
  <si>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N日期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</si>
  <si>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</si>
  <si>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</si>
  <si>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</si>
  <si>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</si>
  <si>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国华网安</t>
  </si>
  <si>
    <t>6.76亿</t>
  </si>
  <si>
    <t>3.29亿</t>
  </si>
  <si>
    <t>50.00万</t>
  </si>
  <si>
    <t>3196.95万</t>
  </si>
  <si>
    <t>-2792.64万</t>
  </si>
  <si>
    <t>40.84亿</t>
  </si>
  <si>
    <t>4.11亿</t>
  </si>
  <si>
    <t>-8495.29万</t>
  </si>
  <si>
    <t>9.59亿</t>
  </si>
  <si>
    <t>38.06亿</t>
  </si>
  <si>
    <t>2147.09万</t>
  </si>
  <si>
    <t>15.61亿</t>
  </si>
  <si>
    <t>8973.78万</t>
  </si>
  <si>
    <t>12.01亿</t>
  </si>
  <si>
    <t>12.76亿</t>
  </si>
  <si>
    <t>2230.80万</t>
  </si>
  <si>
    <t>443.68万</t>
  </si>
  <si>
    <t>-2.12亿</t>
  </si>
  <si>
    <t>-2.06亿</t>
  </si>
  <si>
    <t>78.42亿</t>
  </si>
  <si>
    <t>7357.20万</t>
  </si>
  <si>
    <t>10.45亿</t>
  </si>
  <si>
    <t>7964.32万</t>
  </si>
  <si>
    <t>-1169.51万</t>
  </si>
  <si>
    <t>-10.13亿</t>
  </si>
  <si>
    <t>8.05亿</t>
  </si>
  <si>
    <t>5.29亿</t>
  </si>
  <si>
    <t>8185.74万</t>
  </si>
  <si>
    <t>4522.99万</t>
  </si>
  <si>
    <t>2092.12万</t>
  </si>
  <si>
    <t>-13.67亿</t>
  </si>
  <si>
    <t>5781.47万</t>
  </si>
  <si>
    <t>-2.02亿</t>
  </si>
  <si>
    <t>10.89亿</t>
  </si>
  <si>
    <t>11.97亿</t>
  </si>
  <si>
    <t>-6833.02万</t>
  </si>
  <si>
    <t>6.44亿</t>
  </si>
  <si>
    <t>5.48亿</t>
  </si>
  <si>
    <t>7057.88万</t>
  </si>
  <si>
    <t>5.30亿</t>
  </si>
  <si>
    <t>-1.64亿</t>
  </si>
  <si>
    <t>-5185.83万</t>
  </si>
  <si>
    <t>-1.37亿</t>
  </si>
  <si>
    <t>18.24亿</t>
  </si>
  <si>
    <t>21.62亿</t>
  </si>
  <si>
    <t>18.70亿</t>
  </si>
  <si>
    <t>-3.80亿</t>
  </si>
  <si>
    <t>30.50亿</t>
  </si>
  <si>
    <t>26.02亿</t>
  </si>
  <si>
    <t>15.22亿</t>
  </si>
  <si>
    <t>12.71亿</t>
  </si>
  <si>
    <t>10.35亿</t>
  </si>
  <si>
    <t>23.89亿</t>
  </si>
  <si>
    <t>20.23亿</t>
  </si>
  <si>
    <t>-4115.98万</t>
  </si>
  <si>
    <t>-3214.83万</t>
  </si>
  <si>
    <t>11.39亿</t>
  </si>
  <si>
    <t>7.49亿</t>
  </si>
  <si>
    <t>14.70亿</t>
  </si>
  <si>
    <t>8.82亿</t>
  </si>
  <si>
    <t>5296.12万</t>
  </si>
  <si>
    <t>25.60亿</t>
  </si>
  <si>
    <t>3189.41万</t>
  </si>
  <si>
    <t>-1005.54万</t>
  </si>
  <si>
    <t>86.65万</t>
  </si>
  <si>
    <t>-1.35亿</t>
  </si>
  <si>
    <t>-4-0</t>
  </si>
  <si>
    <t>5.35亿</t>
  </si>
  <si>
    <t>-2733.74万</t>
  </si>
  <si>
    <t>2.59万</t>
  </si>
  <si>
    <t>500.00万</t>
  </si>
  <si>
    <t>11.89亿</t>
  </si>
  <si>
    <t>-4802.56万</t>
  </si>
  <si>
    <t>14.25亿</t>
  </si>
  <si>
    <t>13.60亿</t>
  </si>
  <si>
    <t>15.79亿</t>
  </si>
  <si>
    <t>-6-0</t>
  </si>
  <si>
    <t>-2.78亿</t>
  </si>
  <si>
    <t>9.01亿</t>
  </si>
  <si>
    <t>-1.48亿</t>
  </si>
  <si>
    <t>390.41亿</t>
  </si>
  <si>
    <t>6964.41万</t>
  </si>
  <si>
    <t>3716.04万</t>
  </si>
  <si>
    <t>1300.82万</t>
  </si>
  <si>
    <t>4.48亿</t>
  </si>
  <si>
    <t>-1.45亿</t>
  </si>
  <si>
    <t>11.92亿</t>
  </si>
  <si>
    <t>1659.16万</t>
  </si>
  <si>
    <t>13.83亿</t>
  </si>
  <si>
    <t>16.19亿</t>
  </si>
  <si>
    <t>564.01万</t>
  </si>
  <si>
    <t>-7806.92万</t>
  </si>
  <si>
    <t>21.26亿</t>
  </si>
  <si>
    <t>28.27亿</t>
  </si>
  <si>
    <t>-3798.61万</t>
  </si>
  <si>
    <t>-2.89亿</t>
  </si>
  <si>
    <t>-993.97万</t>
  </si>
  <si>
    <t>9.73万</t>
  </si>
  <si>
    <t>359.24万</t>
  </si>
  <si>
    <t>-1.07亿</t>
  </si>
  <si>
    <t>933.50万</t>
  </si>
  <si>
    <t>16.81亿</t>
  </si>
  <si>
    <t>-1.27亿</t>
  </si>
  <si>
    <t>6.31亿</t>
  </si>
  <si>
    <t>12.07亿</t>
  </si>
  <si>
    <t>-4.15亿</t>
  </si>
  <si>
    <t>-5555.04万</t>
  </si>
  <si>
    <t>5.71亿</t>
  </si>
  <si>
    <t>3612.57万</t>
  </si>
  <si>
    <t>-1.80亿</t>
  </si>
  <si>
    <t>-2566.76万</t>
  </si>
  <si>
    <t>-2.54亿</t>
  </si>
  <si>
    <t>2400.73万</t>
  </si>
  <si>
    <t>56.72亿</t>
  </si>
  <si>
    <t>3.82亿</t>
  </si>
  <si>
    <t>29.34亿</t>
  </si>
  <si>
    <t>6.05亿</t>
  </si>
  <si>
    <t>1471.60万</t>
  </si>
  <si>
    <t>3544.21万</t>
  </si>
  <si>
    <t>7589.49万</t>
  </si>
  <si>
    <t>-5052.90万</t>
  </si>
  <si>
    <t>-3.31亿</t>
  </si>
  <si>
    <t>17.19亿</t>
  </si>
  <si>
    <t>17.75亿</t>
  </si>
  <si>
    <t>8.13亿</t>
  </si>
  <si>
    <t>4672.10万</t>
  </si>
  <si>
    <t>-4481.52万</t>
  </si>
  <si>
    <t>8.49亿</t>
  </si>
  <si>
    <t>-2.20亿</t>
  </si>
  <si>
    <t>238.09万</t>
  </si>
  <si>
    <t>-229.98万</t>
  </si>
  <si>
    <t>-220.84万</t>
  </si>
  <si>
    <t>11.99亿</t>
  </si>
  <si>
    <t>8823.99万</t>
  </si>
  <si>
    <t>7825.37万</t>
  </si>
  <si>
    <t>342.47万</t>
  </si>
  <si>
    <t>886.22万</t>
  </si>
  <si>
    <t>278.07万</t>
  </si>
  <si>
    <t>-4956.47万</t>
  </si>
  <si>
    <t>-1.85亿</t>
  </si>
  <si>
    <t>-521.31万</t>
  </si>
  <si>
    <t>14.27万</t>
  </si>
  <si>
    <t>-2.70亿</t>
  </si>
  <si>
    <t>-2.31亿</t>
  </si>
  <si>
    <t>794.35万</t>
  </si>
  <si>
    <t>3.99亿</t>
  </si>
  <si>
    <t>3941.18万</t>
  </si>
  <si>
    <t>2301.08万</t>
  </si>
  <si>
    <t>-6095.14万</t>
  </si>
  <si>
    <t>1837.07万</t>
  </si>
  <si>
    <t>-3453.98万</t>
  </si>
  <si>
    <t>13.59亿</t>
  </si>
  <si>
    <t>10.08亿</t>
  </si>
  <si>
    <t>6116.62万</t>
  </si>
  <si>
    <t>7313.02万</t>
  </si>
  <si>
    <t>-1227.30万</t>
  </si>
  <si>
    <t>-3175.39万</t>
  </si>
  <si>
    <t>2284.31万</t>
  </si>
  <si>
    <t>6061.39万</t>
  </si>
  <si>
    <t>-5776.40万</t>
  </si>
  <si>
    <t>3314.75万</t>
  </si>
  <si>
    <t>-3.71亿</t>
  </si>
  <si>
    <t>4474.54万</t>
  </si>
  <si>
    <t>-4.09亿</t>
  </si>
  <si>
    <t>9995.40万</t>
  </si>
  <si>
    <t>10.15亿</t>
  </si>
  <si>
    <t>27.68亿</t>
  </si>
  <si>
    <t>8381.04万</t>
  </si>
  <si>
    <t>2621.18万</t>
  </si>
  <si>
    <t>6035.60万</t>
  </si>
  <si>
    <t>4616.55万</t>
  </si>
  <si>
    <t>2445.48万</t>
  </si>
  <si>
    <t>1664.25万</t>
  </si>
  <si>
    <t>1524.79万</t>
  </si>
  <si>
    <t>-508.61万</t>
  </si>
  <si>
    <t>10.95亿</t>
  </si>
  <si>
    <t>9.55亿</t>
  </si>
  <si>
    <t>30.86亿</t>
  </si>
  <si>
    <t>-9.67亿</t>
  </si>
  <si>
    <t>33.70亿</t>
  </si>
  <si>
    <t>-8.45亿</t>
  </si>
  <si>
    <t>9279.31万</t>
  </si>
  <si>
    <t>25.15亿</t>
  </si>
  <si>
    <t>13.54亿</t>
  </si>
  <si>
    <t>-1.92亿</t>
  </si>
  <si>
    <t>45.03亿</t>
  </si>
  <si>
    <t>540.42万</t>
  </si>
  <si>
    <t>14.84亿</t>
  </si>
  <si>
    <t>3857.95万</t>
  </si>
  <si>
    <t>-3557.16万</t>
  </si>
  <si>
    <t>-5087.51万</t>
  </si>
  <si>
    <t>6183.46万</t>
  </si>
  <si>
    <t>-2.40亿</t>
  </si>
  <si>
    <t>1311.96万</t>
  </si>
  <si>
    <t>29.80亿</t>
  </si>
  <si>
    <t>26.31亿</t>
  </si>
  <si>
    <t>11.52亿</t>
  </si>
  <si>
    <t>7.14亿</t>
  </si>
  <si>
    <t>-711.29万</t>
  </si>
  <si>
    <t>424.68万</t>
  </si>
  <si>
    <t>6.99亿</t>
  </si>
  <si>
    <t>3814.60万</t>
  </si>
  <si>
    <t>1500.00万</t>
  </si>
  <si>
    <t>-128.82万</t>
  </si>
  <si>
    <t>18.83亿</t>
  </si>
  <si>
    <t>-4745.64万</t>
  </si>
  <si>
    <t>-1318.05万</t>
  </si>
  <si>
    <t>21.72亿</t>
  </si>
  <si>
    <t>-3131.79万</t>
  </si>
  <si>
    <t>6977.48万</t>
  </si>
  <si>
    <t>-1429.92万</t>
  </si>
  <si>
    <t>13.63亿</t>
  </si>
  <si>
    <t>-8006.45万</t>
  </si>
  <si>
    <t>5103.82万</t>
  </si>
  <si>
    <t>809.59万</t>
  </si>
  <si>
    <t>-2779.07万</t>
  </si>
  <si>
    <t>64.87万</t>
  </si>
  <si>
    <t>6.02万</t>
  </si>
  <si>
    <t>9.12亿</t>
  </si>
  <si>
    <t>-8449.03万</t>
  </si>
  <si>
    <t>8453.76万</t>
  </si>
  <si>
    <t>-2678.34万</t>
  </si>
  <si>
    <t>18.51亿</t>
  </si>
  <si>
    <t>-2316.20万</t>
  </si>
  <si>
    <t>2559.37万</t>
  </si>
  <si>
    <t>-577.13万</t>
  </si>
  <si>
    <t>16.97亿</t>
  </si>
  <si>
    <t>-8905.44万</t>
  </si>
  <si>
    <t>-2.73亿</t>
  </si>
  <si>
    <t>9-0</t>
  </si>
  <si>
    <t>2050.00万</t>
  </si>
  <si>
    <t>8126.75万</t>
  </si>
  <si>
    <t>-33.02万</t>
  </si>
  <si>
    <t>7863.77万</t>
  </si>
  <si>
    <t>2149.34万</t>
  </si>
  <si>
    <t>-3204.44万</t>
  </si>
  <si>
    <t>24.83亿</t>
  </si>
  <si>
    <t>-8.80亿</t>
  </si>
  <si>
    <t>15.90亿</t>
  </si>
  <si>
    <t>41.08万</t>
  </si>
  <si>
    <t>18.50亿</t>
  </si>
  <si>
    <t>2020.19万</t>
  </si>
  <si>
    <t>4880.08万</t>
  </si>
  <si>
    <t>-1.28亿</t>
  </si>
  <si>
    <t>2718.92万</t>
  </si>
  <si>
    <t>-5.77亿</t>
  </si>
  <si>
    <t>9639.53万</t>
  </si>
  <si>
    <t>3631.27万</t>
  </si>
  <si>
    <t>-1254.56万</t>
  </si>
  <si>
    <t>4778.18万</t>
  </si>
  <si>
    <t>3136.07万</t>
  </si>
  <si>
    <t>1809.62万</t>
  </si>
  <si>
    <t>9301.70万</t>
  </si>
  <si>
    <t>-630.45万</t>
  </si>
  <si>
    <t>SH688657</t>
  </si>
  <si>
    <t>浩辰软件</t>
  </si>
  <si>
    <t>7010.53万</t>
  </si>
  <si>
    <t>4811.93万</t>
  </si>
  <si>
    <t>1916.14万</t>
  </si>
  <si>
    <t>4150.58万</t>
  </si>
  <si>
    <t>2618.47万</t>
  </si>
  <si>
    <t>-5778.70万</t>
  </si>
  <si>
    <t>-5-1</t>
  </si>
  <si>
    <t>-4-1</t>
  </si>
  <si>
    <t>国投智能</t>
  </si>
  <si>
    <t>-5-0</t>
  </si>
  <si>
    <t>SH688695</t>
  </si>
  <si>
    <t>中创股份</t>
  </si>
  <si>
    <t>4384.44万</t>
  </si>
  <si>
    <t>n/a</t>
  </si>
  <si>
    <t>1.并购形成的商誉占所有者净资产大概36%；2. 关注这个细分行业的天花板，内外延伸的考量；3. 主营在国土空间规划、自然资源登记（刚性国家项目），其他相对和地方财政关系紧密像智慧城市、生态环保；</t>
    <phoneticPr fontId="1" type="noConversion"/>
  </si>
  <si>
    <t>账面净赚</t>
  </si>
  <si>
    <t>1.向Adobe看齐；国内和福晰阅读竞争pdf；2.上一波AI后，回落前低为73~80元；</t>
    <phoneticPr fontId="1" type="noConversion"/>
  </si>
  <si>
    <t>4428.43万</t>
  </si>
  <si>
    <t>10.42亿</t>
  </si>
  <si>
    <t>8.11亿</t>
  </si>
  <si>
    <t>6.59亿</t>
  </si>
  <si>
    <t>10.80亿</t>
  </si>
  <si>
    <t>7.96亿</t>
  </si>
  <si>
    <t>8-0</t>
  </si>
  <si>
    <t>12.06亿</t>
  </si>
  <si>
    <t>237.88万</t>
  </si>
  <si>
    <r>
      <t>1.AI及AIGC对公司业务的提升；2.视频类能够在提价后海外市场依旧保持营收增加；3.2023年</t>
    </r>
    <r>
      <rPr>
        <sz val="9"/>
        <color rgb="FFFF0000"/>
        <rFont val="宋体"/>
        <family val="3"/>
        <charset val="134"/>
        <scheme val="minor"/>
      </rPr>
      <t>营收14.81亿增25.49%， 利润8620.57万增113.2%；2024Q1营业总收入：3.58亿元同比增长0.9%，净利润：0.26亿元同比增22.99%</t>
    </r>
    <r>
      <rPr>
        <sz val="9"/>
        <color theme="1"/>
        <rFont val="宋体"/>
        <family val="2"/>
        <charset val="134"/>
        <scheme val="minor"/>
      </rPr>
      <t>;4.万兴科技</t>
    </r>
    <r>
      <rPr>
        <sz val="9"/>
        <color rgb="FFFF0000"/>
        <rFont val="宋体"/>
        <family val="3"/>
        <charset val="134"/>
        <scheme val="minor"/>
      </rPr>
      <t>天幕大模型</t>
    </r>
    <r>
      <rPr>
        <sz val="9"/>
        <color theme="1"/>
        <rFont val="宋体"/>
        <family val="2"/>
        <charset val="134"/>
        <scheme val="minor"/>
      </rPr>
      <t>将于4月28日公测文生视频能力支持60秒+；5.伴随着Sora为代表的视频大模型快速落地与迭代，2024年有望成为 AI视频元年。6.在</t>
    </r>
    <r>
      <rPr>
        <sz val="9"/>
        <color rgb="FFFF0000"/>
        <rFont val="宋体"/>
        <family val="3"/>
        <charset val="134"/>
        <scheme val="minor"/>
      </rPr>
      <t>B端客户</t>
    </r>
    <r>
      <rPr>
        <sz val="9"/>
        <color theme="1"/>
        <rFont val="宋体"/>
        <family val="2"/>
        <charset val="134"/>
        <scheme val="minor"/>
      </rPr>
      <t>上，公司持续扩张，各大集团公司等企业的复购、增购，报告期内实现政企营收增长36%，有效提升企业知名度，扩大收入来源渠道。</t>
    </r>
    <phoneticPr fontId="1" type="noConversion"/>
  </si>
  <si>
    <t>1144.76万</t>
  </si>
  <si>
    <t>1545.01万</t>
  </si>
  <si>
    <t>-1075.25万</t>
  </si>
  <si>
    <t>2454.37万</t>
  </si>
  <si>
    <t>269.54万</t>
  </si>
  <si>
    <t>738.39万</t>
  </si>
  <si>
    <t>680.47万</t>
  </si>
  <si>
    <t>10586亿</t>
  </si>
  <si>
    <t>1.90万</t>
  </si>
  <si>
    <t>-10769138亿</t>
  </si>
  <si>
    <t>6360.72万</t>
  </si>
  <si>
    <t>177915670亿</t>
  </si>
  <si>
    <t>4.00万</t>
  </si>
  <si>
    <t>310369720亿</t>
  </si>
  <si>
    <t>8971.71万</t>
  </si>
  <si>
    <t>-488.62万</t>
  </si>
  <si>
    <t>-2521.23万</t>
  </si>
  <si>
    <t>横向通用软件</t>
  </si>
  <si>
    <t>8084.56万</t>
  </si>
  <si>
    <t>1667.28万</t>
  </si>
  <si>
    <t>13.81亿</t>
  </si>
  <si>
    <t>4791.55万</t>
  </si>
  <si>
    <t>-4038.18万</t>
  </si>
  <si>
    <t>9088.77万</t>
  </si>
  <si>
    <t>5627.83万</t>
  </si>
  <si>
    <t>1103.11万</t>
  </si>
  <si>
    <t>2205.28万</t>
  </si>
  <si>
    <t>1382399亿</t>
  </si>
  <si>
    <t>11.04万</t>
  </si>
  <si>
    <t>-40524891亿</t>
  </si>
  <si>
    <t>125849394亿</t>
  </si>
  <si>
    <t>1524653200亿</t>
  </si>
  <si>
    <t>2271.77万</t>
  </si>
  <si>
    <t>-1.00亿</t>
  </si>
  <si>
    <t>-1093.26万</t>
  </si>
  <si>
    <t>1287.53万</t>
  </si>
  <si>
    <t>-8432.59万</t>
  </si>
  <si>
    <t>-7979.20万</t>
  </si>
  <si>
    <t>垂直应用软件</t>
  </si>
  <si>
    <t>7810.11万</t>
  </si>
  <si>
    <t>921.93万</t>
  </si>
  <si>
    <t>72.03亿</t>
  </si>
  <si>
    <t>26.86亿</t>
  </si>
  <si>
    <t>19.60亿</t>
  </si>
  <si>
    <t>-914.28万</t>
  </si>
  <si>
    <t>19.69亿</t>
  </si>
  <si>
    <t>17.56亿</t>
  </si>
  <si>
    <t>5638.33万</t>
  </si>
  <si>
    <t>4348.06万</t>
  </si>
  <si>
    <t>6538749亿</t>
  </si>
  <si>
    <t>-10773621亿</t>
  </si>
  <si>
    <t>2003988000亿</t>
  </si>
  <si>
    <t>2430.87万</t>
  </si>
  <si>
    <t>7370689900亿</t>
  </si>
  <si>
    <t>94.09万</t>
  </si>
  <si>
    <t>47.69亿</t>
  </si>
  <si>
    <t>-15.84亿</t>
  </si>
  <si>
    <t>3950.53万</t>
  </si>
  <si>
    <t>91.38亿</t>
  </si>
  <si>
    <t>4178.55万</t>
  </si>
  <si>
    <t>2126.22万</t>
  </si>
  <si>
    <t>36.10亿</t>
  </si>
  <si>
    <t>914.54万</t>
  </si>
  <si>
    <t>2971.55万</t>
  </si>
  <si>
    <t>4357.15万</t>
  </si>
  <si>
    <t>-151783亿</t>
  </si>
  <si>
    <t>4.87万</t>
  </si>
  <si>
    <t>8324673亿</t>
  </si>
  <si>
    <t>1308078700亿</t>
  </si>
  <si>
    <t>4166.60万</t>
  </si>
  <si>
    <t>3194033200亿</t>
  </si>
  <si>
    <t>383.66万</t>
  </si>
  <si>
    <t>-1851.25万</t>
  </si>
  <si>
    <t>220.65万</t>
  </si>
  <si>
    <t>10派0.26元(含税)</t>
  </si>
  <si>
    <t>09145400</t>
  </si>
  <si>
    <t>027436200</t>
  </si>
  <si>
    <t>054872400</t>
  </si>
  <si>
    <t>091454000</t>
  </si>
  <si>
    <t>0182908000</t>
  </si>
  <si>
    <t>996.84万</t>
  </si>
  <si>
    <t>15.28亿</t>
  </si>
  <si>
    <t>81.99亿</t>
  </si>
  <si>
    <t>1138.97万</t>
  </si>
  <si>
    <t>6937.43万</t>
  </si>
  <si>
    <t>-5309750亿</t>
  </si>
  <si>
    <t>24.03万</t>
  </si>
  <si>
    <t>11027923亿</t>
  </si>
  <si>
    <t>43.76亿</t>
  </si>
  <si>
    <t>575173960亿</t>
  </si>
  <si>
    <t>255.96万</t>
  </si>
  <si>
    <t>5666054600亿</t>
  </si>
  <si>
    <t>2590.50万</t>
  </si>
  <si>
    <t>424.17万</t>
  </si>
  <si>
    <t>13.94亿</t>
  </si>
  <si>
    <t>-200.00万</t>
  </si>
  <si>
    <t>27.49亿</t>
  </si>
  <si>
    <t>5879.89万</t>
  </si>
  <si>
    <t>011389700</t>
  </si>
  <si>
    <t>034169100</t>
  </si>
  <si>
    <t>068338200</t>
  </si>
  <si>
    <t>0113897000</t>
  </si>
  <si>
    <t>0227794000</t>
  </si>
  <si>
    <t>3776.69万</t>
  </si>
  <si>
    <t>-499.31万</t>
  </si>
  <si>
    <t>537.24万</t>
  </si>
  <si>
    <t>1788.51万</t>
  </si>
  <si>
    <t>359859亿</t>
  </si>
  <si>
    <t>-7070765亿</t>
  </si>
  <si>
    <t>303763350亿</t>
  </si>
  <si>
    <t>218.40万</t>
  </si>
  <si>
    <t>1018107820亿</t>
  </si>
  <si>
    <t>569.51万</t>
  </si>
  <si>
    <t>2899.00万</t>
  </si>
  <si>
    <t>6.13万</t>
  </si>
  <si>
    <t>-5408.16万</t>
  </si>
  <si>
    <t>-3642.14万</t>
  </si>
  <si>
    <t>-816.26万</t>
  </si>
  <si>
    <t>2250.64万</t>
  </si>
  <si>
    <t>11.02亿</t>
  </si>
  <si>
    <t>1831.47万</t>
  </si>
  <si>
    <t>93.51亿</t>
  </si>
  <si>
    <t>-8931.36万</t>
  </si>
  <si>
    <t>5128.12万</t>
  </si>
  <si>
    <t>-4199755亿</t>
  </si>
  <si>
    <t>-94838431亿</t>
  </si>
  <si>
    <t>2385894300亿</t>
  </si>
  <si>
    <t>2585.79万</t>
  </si>
  <si>
    <t>4146382400亿</t>
  </si>
  <si>
    <t>5627.73万</t>
  </si>
  <si>
    <t>11.75万</t>
  </si>
  <si>
    <t>14.33亿</t>
  </si>
  <si>
    <t>-4069.70万</t>
  </si>
  <si>
    <t>31.24亿</t>
  </si>
  <si>
    <t>8808.11万</t>
  </si>
  <si>
    <t>2325.22万</t>
  </si>
  <si>
    <t>200.99亿</t>
  </si>
  <si>
    <t>173.85亿</t>
  </si>
  <si>
    <t>36.46亿</t>
  </si>
  <si>
    <t>-3.00亿</t>
  </si>
  <si>
    <t>43.04亿</t>
  </si>
  <si>
    <t>22.58亿</t>
  </si>
  <si>
    <t>11034490亿</t>
  </si>
  <si>
    <t>695.71万</t>
  </si>
  <si>
    <t>-440542520亿</t>
  </si>
  <si>
    <t>26.78亿</t>
  </si>
  <si>
    <t>11993629100亿</t>
  </si>
  <si>
    <t>20003546000亿</t>
  </si>
  <si>
    <t>24.20亿</t>
  </si>
  <si>
    <t>48.22亿</t>
  </si>
  <si>
    <t>116.51亿</t>
  </si>
  <si>
    <t>54.98亿</t>
  </si>
  <si>
    <t>-13.84亿</t>
  </si>
  <si>
    <t>-7.25亿</t>
  </si>
  <si>
    <t>196.50亿</t>
  </si>
  <si>
    <t>1435.79万</t>
  </si>
  <si>
    <t>2699.32万</t>
  </si>
  <si>
    <t>-805.03万</t>
  </si>
  <si>
    <t>3805.54万</t>
  </si>
  <si>
    <t>1773.25万</t>
  </si>
  <si>
    <t>551.61万</t>
  </si>
  <si>
    <t>507.70万</t>
  </si>
  <si>
    <t>-876664亿</t>
  </si>
  <si>
    <t>79.23万</t>
  </si>
  <si>
    <t>-10921514亿</t>
  </si>
  <si>
    <t>138310770亿</t>
  </si>
  <si>
    <t>259.00万</t>
  </si>
  <si>
    <t>533570500亿</t>
  </si>
  <si>
    <t>1622.66万</t>
  </si>
  <si>
    <t>3423.83万</t>
  </si>
  <si>
    <t>481.94万</t>
  </si>
  <si>
    <t>6047.09万</t>
  </si>
  <si>
    <t>45.33万</t>
  </si>
  <si>
    <t>7000.00万</t>
  </si>
  <si>
    <t>-1122.58万</t>
  </si>
  <si>
    <t>-342.08万</t>
  </si>
  <si>
    <t>-216.77万</t>
  </si>
  <si>
    <t>9562.15万</t>
  </si>
  <si>
    <t>1695.70万</t>
  </si>
  <si>
    <t>25.78亿</t>
  </si>
  <si>
    <t>27.17亿</t>
  </si>
  <si>
    <t>605.23万</t>
  </si>
  <si>
    <t>2752.79万</t>
  </si>
  <si>
    <t>4775.63万</t>
  </si>
  <si>
    <t>2961918亿</t>
  </si>
  <si>
    <t>5.65万</t>
  </si>
  <si>
    <t>4625277亿</t>
  </si>
  <si>
    <t>1170863580亿</t>
  </si>
  <si>
    <t>736.38万</t>
  </si>
  <si>
    <t>4016941700亿</t>
  </si>
  <si>
    <t>12.61亿</t>
  </si>
  <si>
    <t>7756.59万</t>
  </si>
  <si>
    <t>-2.87亿</t>
  </si>
  <si>
    <t>-2699.44万</t>
  </si>
  <si>
    <t>-3136.21万</t>
  </si>
  <si>
    <t>4496.31万</t>
  </si>
  <si>
    <t>9811.24万</t>
  </si>
  <si>
    <t>8.54亿</t>
  </si>
  <si>
    <t>2144.66万</t>
  </si>
  <si>
    <t>47677亿</t>
  </si>
  <si>
    <t>18.90万</t>
  </si>
  <si>
    <t>-122173284亿</t>
  </si>
  <si>
    <t>646219470亿</t>
  </si>
  <si>
    <t>597.50万</t>
  </si>
  <si>
    <t>1621162500亿</t>
  </si>
  <si>
    <t>97.05万</t>
  </si>
  <si>
    <t>192.62万</t>
  </si>
  <si>
    <t>-4.10亿</t>
  </si>
  <si>
    <t>-7294.78万</t>
  </si>
  <si>
    <t>5191.02万</t>
  </si>
  <si>
    <t>34.12亿</t>
  </si>
  <si>
    <t>688.37万</t>
  </si>
  <si>
    <t>4095.74万</t>
  </si>
  <si>
    <t>4526.87万</t>
  </si>
  <si>
    <t>3057.61万</t>
  </si>
  <si>
    <t>2100.05万</t>
  </si>
  <si>
    <t>3046368亿</t>
  </si>
  <si>
    <t>40102220亿</t>
  </si>
  <si>
    <t>7.13亿</t>
  </si>
  <si>
    <t>431640340亿</t>
  </si>
  <si>
    <t>742.91万</t>
  </si>
  <si>
    <t>1455111400亿</t>
  </si>
  <si>
    <t>-2313.52万</t>
  </si>
  <si>
    <t>69.94万</t>
  </si>
  <si>
    <t>9.70亿</t>
  </si>
  <si>
    <t>10派8.5元(含税)</t>
  </si>
  <si>
    <t>3813.44万</t>
  </si>
  <si>
    <t>040957400</t>
  </si>
  <si>
    <t>0122872200</t>
  </si>
  <si>
    <t>0245744400</t>
  </si>
  <si>
    <t>0409574000</t>
  </si>
  <si>
    <t>0819148000</t>
  </si>
  <si>
    <t>356.65万</t>
  </si>
  <si>
    <t>13.62亿</t>
  </si>
  <si>
    <t>-1518.66万</t>
  </si>
  <si>
    <t>9292.52万</t>
  </si>
  <si>
    <t>2380.96万</t>
  </si>
  <si>
    <t>283124亿</t>
  </si>
  <si>
    <t>8.87万</t>
  </si>
  <si>
    <t>-15472553亿</t>
  </si>
  <si>
    <t>185206010亿</t>
  </si>
  <si>
    <t>727.93万</t>
  </si>
  <si>
    <t>1348745600亿</t>
  </si>
  <si>
    <t>9415.34万</t>
  </si>
  <si>
    <t>-930.18万</t>
  </si>
  <si>
    <t>1735.58万</t>
  </si>
  <si>
    <t>14.50亿</t>
  </si>
  <si>
    <t>2050.34万</t>
  </si>
  <si>
    <t>2268.89万</t>
  </si>
  <si>
    <t>24.56亿</t>
  </si>
  <si>
    <t>98.04亿</t>
  </si>
  <si>
    <t>-1.70亿</t>
  </si>
  <si>
    <t>8.75亿</t>
  </si>
  <si>
    <t>4741.79万</t>
  </si>
  <si>
    <t>8312.10万</t>
  </si>
  <si>
    <t>-31055523亿</t>
  </si>
  <si>
    <t>7.15万</t>
  </si>
  <si>
    <t>-171713090亿</t>
  </si>
  <si>
    <t>1002522760亿</t>
  </si>
  <si>
    <t>2281.26万</t>
  </si>
  <si>
    <t>5182076000亿</t>
  </si>
  <si>
    <t>8591.63万</t>
  </si>
  <si>
    <t>-8859.25万</t>
  </si>
  <si>
    <t>1990.43万</t>
  </si>
  <si>
    <t>31.22亿</t>
  </si>
  <si>
    <t>-13.14亿</t>
  </si>
  <si>
    <t>11.46亿</t>
  </si>
  <si>
    <t>2141.76万</t>
  </si>
  <si>
    <t>42.97亿</t>
  </si>
  <si>
    <t>63.62亿</t>
  </si>
  <si>
    <t>607.81万</t>
  </si>
  <si>
    <t>12.68亿</t>
  </si>
  <si>
    <t>-10403334亿</t>
  </si>
  <si>
    <t>57.11万</t>
  </si>
  <si>
    <t>-1387324亿</t>
  </si>
  <si>
    <t>23.59亿</t>
  </si>
  <si>
    <t>953988040亿</t>
  </si>
  <si>
    <t>597.53万</t>
  </si>
  <si>
    <t>4091342000亿</t>
  </si>
  <si>
    <t>316.89万</t>
  </si>
  <si>
    <t>1299.22万</t>
  </si>
  <si>
    <t>35.00亿</t>
  </si>
  <si>
    <t>-7.50亿</t>
  </si>
  <si>
    <t>-5.51亿</t>
  </si>
  <si>
    <t>-3742.40万</t>
  </si>
  <si>
    <t>65.52亿</t>
  </si>
  <si>
    <t>65.25亿</t>
  </si>
  <si>
    <t>1853.78万</t>
  </si>
  <si>
    <t>28.55亿</t>
  </si>
  <si>
    <t>118.99亿</t>
  </si>
  <si>
    <t>10.21亿</t>
  </si>
  <si>
    <t>4435.00万</t>
  </si>
  <si>
    <t>-29996440亿</t>
  </si>
  <si>
    <t>36.14万</t>
  </si>
  <si>
    <t>-47893616亿</t>
  </si>
  <si>
    <t>49.33亿</t>
  </si>
  <si>
    <t>4670577200亿</t>
  </si>
  <si>
    <t>11545604500亿</t>
  </si>
  <si>
    <t>690.28万</t>
  </si>
  <si>
    <t>24.50亿</t>
  </si>
  <si>
    <t>8403.78万</t>
  </si>
  <si>
    <t>1397.73万</t>
  </si>
  <si>
    <t>45.07亿</t>
  </si>
  <si>
    <t>10派2.7元(含税)</t>
  </si>
  <si>
    <t>8434.36万</t>
  </si>
  <si>
    <t>464.88万</t>
  </si>
  <si>
    <t>25.99亿</t>
  </si>
  <si>
    <t>4853.18万</t>
  </si>
  <si>
    <t>10.50亿</t>
  </si>
  <si>
    <t>1772.38万</t>
  </si>
  <si>
    <t>3667.97万</t>
  </si>
  <si>
    <t>575244亿</t>
  </si>
  <si>
    <t>24.46万</t>
  </si>
  <si>
    <t>47321399亿</t>
  </si>
  <si>
    <t>1297317590亿</t>
  </si>
  <si>
    <t>2667667200亿</t>
  </si>
  <si>
    <t>889.50万</t>
  </si>
  <si>
    <t>172.24万</t>
  </si>
  <si>
    <t>-4.93亿</t>
  </si>
  <si>
    <t>8539.89万</t>
  </si>
  <si>
    <t>-464.90万</t>
  </si>
  <si>
    <t>42.42亿</t>
  </si>
  <si>
    <t>10转4股派1.7元(含税)</t>
  </si>
  <si>
    <t>3302.58万</t>
  </si>
  <si>
    <t>179.21万</t>
  </si>
  <si>
    <t>8.65亿</t>
  </si>
  <si>
    <t>5513.27万</t>
  </si>
  <si>
    <t>-1446.57万</t>
  </si>
  <si>
    <t>7369.66万</t>
  </si>
  <si>
    <t>1834.45万</t>
  </si>
  <si>
    <t>678.47万</t>
  </si>
  <si>
    <t>998.58万</t>
  </si>
  <si>
    <t>-1135897亿</t>
  </si>
  <si>
    <t>-15324460亿</t>
  </si>
  <si>
    <t>7825.60万</t>
  </si>
  <si>
    <t>223519980亿</t>
  </si>
  <si>
    <t>85.83万</t>
  </si>
  <si>
    <t>612192260亿</t>
  </si>
  <si>
    <t>5094.89万</t>
  </si>
  <si>
    <t>-1036.94万</t>
  </si>
  <si>
    <t>-9756.41万</t>
  </si>
  <si>
    <t>-280.93万</t>
  </si>
  <si>
    <t>3857.47万</t>
  </si>
  <si>
    <t>7786.18万</t>
  </si>
  <si>
    <t>867.72万</t>
  </si>
  <si>
    <t>4496.40万</t>
  </si>
  <si>
    <t>442.69万</t>
  </si>
  <si>
    <t>13.18亿</t>
  </si>
  <si>
    <t>-1631.38万</t>
  </si>
  <si>
    <t>7180.03万</t>
  </si>
  <si>
    <t>3582.42万</t>
  </si>
  <si>
    <t>1787.48万</t>
  </si>
  <si>
    <t>-888682亿</t>
  </si>
  <si>
    <t>-16770518亿</t>
  </si>
  <si>
    <t>224471250亿</t>
  </si>
  <si>
    <t>513.94万</t>
  </si>
  <si>
    <t>1057673600亿</t>
  </si>
  <si>
    <t>-5075.70万</t>
  </si>
  <si>
    <t>-1197.90万</t>
  </si>
  <si>
    <t>-6540.35万</t>
  </si>
  <si>
    <t>-3372.27万</t>
  </si>
  <si>
    <t>2566.51万</t>
  </si>
  <si>
    <t>771.30万</t>
  </si>
  <si>
    <t>25.26亿</t>
  </si>
  <si>
    <t>62.44亿</t>
  </si>
  <si>
    <t>6470.91万</t>
  </si>
  <si>
    <t>133317亿</t>
  </si>
  <si>
    <t>98960278亿</t>
  </si>
  <si>
    <t>68.97亿</t>
  </si>
  <si>
    <t>59204521亿</t>
  </si>
  <si>
    <t>6990955700亿</t>
  </si>
  <si>
    <t>22.24亿</t>
  </si>
  <si>
    <t>-5049.87万</t>
  </si>
  <si>
    <t>-2691.69万</t>
  </si>
  <si>
    <t>-10.71亿</t>
  </si>
  <si>
    <t>35.64亿</t>
  </si>
  <si>
    <t>10派22元(含税)</t>
  </si>
  <si>
    <t>3537.14万</t>
  </si>
  <si>
    <t>577.50万</t>
  </si>
  <si>
    <t>30.21亿</t>
  </si>
  <si>
    <t>486.04万</t>
  </si>
  <si>
    <t>5981.35万</t>
  </si>
  <si>
    <t>7077.69万</t>
  </si>
  <si>
    <t>4478837亿</t>
  </si>
  <si>
    <t>9.54万</t>
  </si>
  <si>
    <t>34413亿</t>
  </si>
  <si>
    <t>12.80亿</t>
  </si>
  <si>
    <t>786204260亿</t>
  </si>
  <si>
    <t>890.69万</t>
  </si>
  <si>
    <t>2870396700亿</t>
  </si>
  <si>
    <t>1093.59万</t>
  </si>
  <si>
    <t>180.06万</t>
  </si>
  <si>
    <t>-507.73万</t>
  </si>
  <si>
    <t>19.79亿</t>
  </si>
  <si>
    <t>3333.48万</t>
  </si>
  <si>
    <t>04860400</t>
  </si>
  <si>
    <t>014581200</t>
  </si>
  <si>
    <t>029162400</t>
  </si>
  <si>
    <t>048604000</t>
  </si>
  <si>
    <t>097208000</t>
  </si>
  <si>
    <t>1428.61万</t>
  </si>
  <si>
    <t>34.73亿</t>
  </si>
  <si>
    <t>36.15亿</t>
  </si>
  <si>
    <t>2992.30万</t>
  </si>
  <si>
    <t>3634.55万</t>
  </si>
  <si>
    <t>-4775682亿</t>
  </si>
  <si>
    <t>1.11万</t>
  </si>
  <si>
    <t>5459255亿</t>
  </si>
  <si>
    <t>1868340100亿</t>
  </si>
  <si>
    <t>5026112700亿</t>
  </si>
  <si>
    <t>5464.97万</t>
  </si>
  <si>
    <t>23.29亿</t>
  </si>
  <si>
    <t>6988.81万</t>
  </si>
  <si>
    <t>613.31万</t>
  </si>
  <si>
    <t>1736.17万</t>
  </si>
  <si>
    <t>-3.27亿</t>
  </si>
  <si>
    <t>65.87亿</t>
  </si>
  <si>
    <t>2833.22万</t>
  </si>
  <si>
    <t>7475.42万</t>
  </si>
  <si>
    <t>09091700</t>
  </si>
  <si>
    <t>027275100</t>
  </si>
  <si>
    <t>054550200</t>
  </si>
  <si>
    <t>090917000</t>
  </si>
  <si>
    <t>0181834000</t>
  </si>
  <si>
    <t>1177.33万</t>
  </si>
  <si>
    <t>3579.98万</t>
  </si>
  <si>
    <t>-3022.06万</t>
  </si>
  <si>
    <t>6961.06万</t>
  </si>
  <si>
    <t>1805.84万</t>
  </si>
  <si>
    <t>1348.63万</t>
  </si>
  <si>
    <t>2204.68万</t>
  </si>
  <si>
    <t>860468亿</t>
  </si>
  <si>
    <t>70.00万</t>
  </si>
  <si>
    <t>-32162572亿</t>
  </si>
  <si>
    <t>514592080亿</t>
  </si>
  <si>
    <t>13.66万</t>
  </si>
  <si>
    <t>843860250亿</t>
  </si>
  <si>
    <t>231.18万</t>
  </si>
  <si>
    <t>-6610.78万</t>
  </si>
  <si>
    <t>896.88万</t>
  </si>
  <si>
    <t>-2531.05万</t>
  </si>
  <si>
    <t>1090.07万</t>
  </si>
  <si>
    <t>5890.46万</t>
  </si>
  <si>
    <t>1412.87万</t>
  </si>
  <si>
    <t>41.18亿</t>
  </si>
  <si>
    <t>5653.53万</t>
  </si>
  <si>
    <t>2328.58万</t>
  </si>
  <si>
    <t>2130.19万</t>
  </si>
  <si>
    <t>212037亿</t>
  </si>
  <si>
    <t>8.00万</t>
  </si>
  <si>
    <t>56351990亿</t>
  </si>
  <si>
    <t>1708537200亿</t>
  </si>
  <si>
    <t>1342.33万</t>
  </si>
  <si>
    <t>3835006700亿</t>
  </si>
  <si>
    <t>-5.79亿</t>
  </si>
  <si>
    <t>-540.42万</t>
  </si>
  <si>
    <t>056535300</t>
  </si>
  <si>
    <t>0169605900</t>
  </si>
  <si>
    <t>0339211800</t>
  </si>
  <si>
    <t>0565353000</t>
  </si>
  <si>
    <t>01130706000</t>
  </si>
  <si>
    <t>2948.43万</t>
  </si>
  <si>
    <t>-3138.86万</t>
  </si>
  <si>
    <t>3509.21万</t>
  </si>
  <si>
    <t>1160.11万</t>
  </si>
  <si>
    <t>-9528619亿</t>
  </si>
  <si>
    <t>-31700994亿</t>
  </si>
  <si>
    <t>237429000亿</t>
  </si>
  <si>
    <t>796608210亿</t>
  </si>
  <si>
    <t>7254.00万</t>
  </si>
  <si>
    <t>5217.95万</t>
  </si>
  <si>
    <t>-5161.62万</t>
  </si>
  <si>
    <t>-432.11万</t>
  </si>
  <si>
    <t>-3476.46万</t>
  </si>
  <si>
    <t>9148.70万</t>
  </si>
  <si>
    <t>780.45万</t>
  </si>
  <si>
    <t>5267.71万</t>
  </si>
  <si>
    <t>4065.47万</t>
  </si>
  <si>
    <t>47345882亿</t>
  </si>
  <si>
    <t>-45276287亿</t>
  </si>
  <si>
    <t>1548110400亿</t>
  </si>
  <si>
    <t>2879.11万</t>
  </si>
  <si>
    <t>3030301900亿</t>
  </si>
  <si>
    <t>9117.40万</t>
  </si>
  <si>
    <t>9482.61万</t>
  </si>
  <si>
    <t>674.28万</t>
  </si>
  <si>
    <t>-9307.39万</t>
  </si>
  <si>
    <t>-2817.51万</t>
  </si>
  <si>
    <t>17.99亿</t>
  </si>
  <si>
    <t>57.18亿</t>
  </si>
  <si>
    <t>07804500</t>
  </si>
  <si>
    <t>023413500</t>
  </si>
  <si>
    <t>046827000</t>
  </si>
  <si>
    <t>078045000</t>
  </si>
  <si>
    <t>0156090000</t>
  </si>
  <si>
    <t>1192.29万</t>
  </si>
  <si>
    <t>16.15亿</t>
  </si>
  <si>
    <t>39.87亿</t>
  </si>
  <si>
    <t>-3411.54万</t>
  </si>
  <si>
    <t>8343.83万</t>
  </si>
  <si>
    <t>7963.55万</t>
  </si>
  <si>
    <t>142830520亿</t>
  </si>
  <si>
    <t>3.23万</t>
  </si>
  <si>
    <t>-161225560亿</t>
  </si>
  <si>
    <t>989606150亿</t>
  </si>
  <si>
    <t>1076.61万</t>
  </si>
  <si>
    <t>3387616400亿</t>
  </si>
  <si>
    <t>2692.25万</t>
  </si>
  <si>
    <t>4962.76万</t>
  </si>
  <si>
    <t>-3.85亿</t>
  </si>
  <si>
    <t>2427.62万</t>
  </si>
  <si>
    <t>-727.43万</t>
  </si>
  <si>
    <t>19.84亿</t>
  </si>
  <si>
    <t>8507.81万</t>
  </si>
  <si>
    <t>-7-0</t>
  </si>
  <si>
    <t>645.42万</t>
  </si>
  <si>
    <t>134.34亿</t>
  </si>
  <si>
    <t>43.79亿</t>
  </si>
  <si>
    <t>175.42亿</t>
  </si>
  <si>
    <t>4915.51万</t>
  </si>
  <si>
    <t>174.61亿</t>
  </si>
  <si>
    <t>172.70亿</t>
  </si>
  <si>
    <t>9610.45万</t>
  </si>
  <si>
    <t>3850.74万</t>
  </si>
  <si>
    <t>1333520亿</t>
  </si>
  <si>
    <t>46896156亿</t>
  </si>
  <si>
    <t>1418199300亿</t>
  </si>
  <si>
    <t>17931016000亿</t>
  </si>
  <si>
    <t>9365.03万</t>
  </si>
  <si>
    <t>31.45亿</t>
  </si>
  <si>
    <t>141.20亿</t>
  </si>
  <si>
    <t>-1796.40万</t>
  </si>
  <si>
    <t>-6662.45万</t>
  </si>
  <si>
    <t>863.14亿</t>
  </si>
  <si>
    <t>3106.10万</t>
  </si>
  <si>
    <t>049155100</t>
  </si>
  <si>
    <t>0147465300</t>
  </si>
  <si>
    <t>0294930600</t>
  </si>
  <si>
    <t>0491551000</t>
  </si>
  <si>
    <t>0983102000</t>
  </si>
  <si>
    <t>1186.12万</t>
  </si>
  <si>
    <t>2725.27万</t>
  </si>
  <si>
    <t>4850.72万</t>
  </si>
  <si>
    <t>3170.93万</t>
  </si>
  <si>
    <t>4439.43万</t>
  </si>
  <si>
    <t>1739185亿</t>
  </si>
  <si>
    <t>14191311亿</t>
  </si>
  <si>
    <t>259974820亿</t>
  </si>
  <si>
    <t>4241.71万</t>
  </si>
  <si>
    <t>1220561850亿</t>
  </si>
  <si>
    <t>3060.31万</t>
  </si>
  <si>
    <t>89.64万</t>
  </si>
  <si>
    <t>-1679.44万</t>
  </si>
  <si>
    <t>-7310.01万</t>
  </si>
  <si>
    <t>-217.61万</t>
  </si>
  <si>
    <t>3646.60万</t>
  </si>
  <si>
    <t>6408.50万</t>
  </si>
  <si>
    <t>027252700</t>
  </si>
  <si>
    <t>081758100</t>
  </si>
  <si>
    <t>0163516200</t>
  </si>
  <si>
    <t>0272527000</t>
  </si>
  <si>
    <t>0545054000</t>
  </si>
  <si>
    <t>342.88万</t>
  </si>
  <si>
    <t>1524.94万</t>
  </si>
  <si>
    <t>2995.81万</t>
  </si>
  <si>
    <t>977.05万</t>
  </si>
  <si>
    <t>1772.15万</t>
  </si>
  <si>
    <t>473.94万</t>
  </si>
  <si>
    <t>716.85万</t>
  </si>
  <si>
    <t>272.03万</t>
  </si>
  <si>
    <t>-1553147亿</t>
  </si>
  <si>
    <t>3.11万</t>
  </si>
  <si>
    <t>8508559亿</t>
  </si>
  <si>
    <t>40302429亿</t>
  </si>
  <si>
    <t>543529210亿</t>
  </si>
  <si>
    <t>1073.44万</t>
  </si>
  <si>
    <t>2070.72万</t>
  </si>
  <si>
    <t>382.76万</t>
  </si>
  <si>
    <t>7039.74万</t>
  </si>
  <si>
    <t>-826.75万</t>
  </si>
  <si>
    <t>3187.87万</t>
  </si>
  <si>
    <t>10派0.501971元(含税)</t>
  </si>
  <si>
    <t>1881.06万</t>
  </si>
  <si>
    <t>09770500</t>
  </si>
  <si>
    <t>029311500</t>
  </si>
  <si>
    <t>058623000</t>
  </si>
  <si>
    <t>097705000</t>
  </si>
  <si>
    <t>0195410000</t>
  </si>
  <si>
    <t>1377.65万</t>
  </si>
  <si>
    <t>28.68亿</t>
  </si>
  <si>
    <t>57.61亿</t>
  </si>
  <si>
    <t>1662.04万</t>
  </si>
  <si>
    <t>7445.26万</t>
  </si>
  <si>
    <t>4279.76万</t>
  </si>
  <si>
    <t>-16385827亿</t>
  </si>
  <si>
    <t>8687732亿</t>
  </si>
  <si>
    <t>1085129490亿</t>
  </si>
  <si>
    <t>1214.84万</t>
  </si>
  <si>
    <t>4746372800亿</t>
  </si>
  <si>
    <t>4412.64万</t>
  </si>
  <si>
    <t>-6628.52万</t>
  </si>
  <si>
    <t>3593.41万</t>
  </si>
  <si>
    <t>31.63亿</t>
  </si>
  <si>
    <t>7124.11万</t>
  </si>
  <si>
    <t>3273.30万</t>
  </si>
  <si>
    <t>43.20亿</t>
  </si>
  <si>
    <t>-8697.53万</t>
  </si>
  <si>
    <t>4462.39万</t>
  </si>
  <si>
    <t>5644.28万</t>
  </si>
  <si>
    <t>923677亿</t>
  </si>
  <si>
    <t>-82135816亿</t>
  </si>
  <si>
    <t>18.98亿</t>
  </si>
  <si>
    <t>894861590亿</t>
  </si>
  <si>
    <t>411.59万</t>
  </si>
  <si>
    <t>3644457000亿</t>
  </si>
  <si>
    <t>8.95亿</t>
  </si>
  <si>
    <t>-2.65亿</t>
  </si>
  <si>
    <t>-3579.63万</t>
  </si>
  <si>
    <t>-1708.80万</t>
  </si>
  <si>
    <t>17.70亿</t>
  </si>
  <si>
    <t>-13.11亿</t>
  </si>
  <si>
    <t>7015.81万</t>
  </si>
  <si>
    <t>2440.51万</t>
  </si>
  <si>
    <t>-6992.88万</t>
  </si>
  <si>
    <t>9716.10万</t>
  </si>
  <si>
    <t>1217.13万</t>
  </si>
  <si>
    <t>2161.76万</t>
  </si>
  <si>
    <t>2673.32万</t>
  </si>
  <si>
    <t>-2494492亿</t>
  </si>
  <si>
    <t>7.25万</t>
  </si>
  <si>
    <t>-73565423亿</t>
  </si>
  <si>
    <t>318181870亿</t>
  </si>
  <si>
    <t>724612010亿</t>
  </si>
  <si>
    <t>5501.03万</t>
  </si>
  <si>
    <t>1951.04万</t>
  </si>
  <si>
    <t>1689.61万</t>
  </si>
  <si>
    <t>-18.69万</t>
  </si>
  <si>
    <t>-100.46万</t>
  </si>
  <si>
    <t>975.96万</t>
  </si>
  <si>
    <t>3082.17万</t>
  </si>
  <si>
    <t>-1566.32万</t>
  </si>
  <si>
    <t>4513.58万</t>
  </si>
  <si>
    <t>2732.58万</t>
  </si>
  <si>
    <t>326.57万</t>
  </si>
  <si>
    <t>1278.36万</t>
  </si>
  <si>
    <t>-15380848亿</t>
  </si>
  <si>
    <t>2441.38万</t>
  </si>
  <si>
    <t>154179080亿</t>
  </si>
  <si>
    <t>337432210亿</t>
  </si>
  <si>
    <t>3003.40万</t>
  </si>
  <si>
    <t>2310.31万</t>
  </si>
  <si>
    <t>385.10万</t>
  </si>
  <si>
    <t>-2.92万</t>
  </si>
  <si>
    <t>-13.11万</t>
  </si>
  <si>
    <t>6269.83万</t>
  </si>
  <si>
    <t>4619.45万</t>
  </si>
  <si>
    <t>-378.92万</t>
  </si>
  <si>
    <t>2655.00万</t>
  </si>
  <si>
    <t>4852.37万</t>
  </si>
  <si>
    <t>-176004亿</t>
  </si>
  <si>
    <t>15.32万</t>
  </si>
  <si>
    <t>-5854371亿</t>
  </si>
  <si>
    <t>1058740930亿</t>
  </si>
  <si>
    <t>1956060700亿</t>
  </si>
  <si>
    <t>1369.44万</t>
  </si>
  <si>
    <t>1495.00万</t>
  </si>
  <si>
    <t>-636.55万</t>
  </si>
  <si>
    <t>-4725.52万</t>
  </si>
  <si>
    <t>2248.25万</t>
  </si>
  <si>
    <t>3214.63万</t>
  </si>
  <si>
    <t>1665.32万</t>
  </si>
  <si>
    <t>15.34亿</t>
  </si>
  <si>
    <t>293.28万</t>
  </si>
  <si>
    <t>2835.70万</t>
  </si>
  <si>
    <t>3102.66万</t>
  </si>
  <si>
    <t>2584.43万</t>
  </si>
  <si>
    <t>-1902068亿</t>
  </si>
  <si>
    <t>1.99万</t>
  </si>
  <si>
    <t>2286183亿</t>
  </si>
  <si>
    <t>8536.35万</t>
  </si>
  <si>
    <t>632840340亿</t>
  </si>
  <si>
    <t>248.66万</t>
  </si>
  <si>
    <t>1263218410亿</t>
  </si>
  <si>
    <t>476.54万</t>
  </si>
  <si>
    <t>19.39万</t>
  </si>
  <si>
    <t>-9660.80万</t>
  </si>
  <si>
    <t>3539.59万</t>
  </si>
  <si>
    <t>1750.19万</t>
  </si>
  <si>
    <t>658.61万</t>
  </si>
  <si>
    <t>9406.42万</t>
  </si>
  <si>
    <t>02932800</t>
  </si>
  <si>
    <t>08798400</t>
  </si>
  <si>
    <t>017596800</t>
  </si>
  <si>
    <t>029328000</t>
  </si>
  <si>
    <t>058656000</t>
  </si>
  <si>
    <t>727.89万</t>
  </si>
  <si>
    <t>20.75亿</t>
  </si>
  <si>
    <t>224.86万</t>
  </si>
  <si>
    <t>6410.21万</t>
  </si>
  <si>
    <t>912.43万</t>
  </si>
  <si>
    <t>1571.34万</t>
  </si>
  <si>
    <t>-1326589亿</t>
  </si>
  <si>
    <t>2206022亿</t>
  </si>
  <si>
    <t>952128370亿</t>
  </si>
  <si>
    <t>1041.93万</t>
  </si>
  <si>
    <t>2057348800亿</t>
  </si>
  <si>
    <t>3600.00万</t>
  </si>
  <si>
    <t>5030.40万</t>
  </si>
  <si>
    <t>4151.65万</t>
  </si>
  <si>
    <t>-7778.69万</t>
  </si>
  <si>
    <t>8.29亿</t>
  </si>
  <si>
    <t>1786.16万</t>
  </si>
  <si>
    <t>5521.19万</t>
  </si>
  <si>
    <t>02248600</t>
  </si>
  <si>
    <t>06745800</t>
  </si>
  <si>
    <t>013491600</t>
  </si>
  <si>
    <t>022486000</t>
  </si>
  <si>
    <t>044972000</t>
  </si>
  <si>
    <t>970.83万</t>
  </si>
  <si>
    <t>17.13亿</t>
  </si>
  <si>
    <t>16.32亿</t>
  </si>
  <si>
    <t>9518.57万</t>
  </si>
  <si>
    <t>-6151.83万</t>
  </si>
  <si>
    <t>8359.32万</t>
  </si>
  <si>
    <t>1377.41万</t>
  </si>
  <si>
    <t>4267.20万</t>
  </si>
  <si>
    <t>-1187821亿</t>
  </si>
  <si>
    <t>-62391071亿</t>
  </si>
  <si>
    <t>1027988810亿</t>
  </si>
  <si>
    <t>437.66万</t>
  </si>
  <si>
    <t>2479773000亿</t>
  </si>
  <si>
    <t>7.28亿</t>
  </si>
  <si>
    <t>157.71万</t>
  </si>
  <si>
    <t>16.69亿</t>
  </si>
  <si>
    <t>568.16万</t>
  </si>
  <si>
    <t>-2525.74万</t>
  </si>
  <si>
    <t>-4687.50万</t>
  </si>
  <si>
    <t>20.08亿</t>
  </si>
  <si>
    <t>-5678.88万</t>
  </si>
  <si>
    <t>16.75亿</t>
  </si>
  <si>
    <t>-4.74亿</t>
  </si>
  <si>
    <t>171.01万</t>
  </si>
  <si>
    <t>5490.42万</t>
  </si>
  <si>
    <t>1313.93万</t>
  </si>
  <si>
    <t>14.11亿</t>
  </si>
  <si>
    <t>5425.34万</t>
  </si>
  <si>
    <t>-134143亿</t>
  </si>
  <si>
    <t>22.82万</t>
  </si>
  <si>
    <t>-154738600亿</t>
  </si>
  <si>
    <t>812433610亿</t>
  </si>
  <si>
    <t>2332030500亿</t>
  </si>
  <si>
    <t>3486.34万</t>
  </si>
  <si>
    <t>540.53万</t>
  </si>
  <si>
    <t>2692.74万</t>
  </si>
  <si>
    <t>-446.06万</t>
  </si>
  <si>
    <t>1896.77万</t>
  </si>
  <si>
    <t>2859.85万</t>
  </si>
  <si>
    <t>-9.77亿</t>
  </si>
  <si>
    <t>6789.50万</t>
  </si>
  <si>
    <t>2046.46万</t>
  </si>
  <si>
    <t>28.99亿</t>
  </si>
  <si>
    <t>-8870.90万</t>
  </si>
  <si>
    <t>694.73万</t>
  </si>
  <si>
    <t>2584.69万</t>
  </si>
  <si>
    <t>-5646111亿</t>
  </si>
  <si>
    <t>51.88万</t>
  </si>
  <si>
    <t>-89871907亿</t>
  </si>
  <si>
    <t>1031186350亿</t>
  </si>
  <si>
    <t>1356398200亿</t>
  </si>
  <si>
    <t>416.07万</t>
  </si>
  <si>
    <t>15.88万</t>
  </si>
  <si>
    <t>-694.72万</t>
  </si>
  <si>
    <t>-298.73万</t>
  </si>
  <si>
    <t>6763.61万</t>
  </si>
  <si>
    <t>7935.50万</t>
  </si>
  <si>
    <t>400.21万</t>
  </si>
  <si>
    <t>21.66亿</t>
  </si>
  <si>
    <t>-969.37万</t>
  </si>
  <si>
    <t>5439.43万</t>
  </si>
  <si>
    <t>1811644亿</t>
  </si>
  <si>
    <t>7.02万</t>
  </si>
  <si>
    <t>-13976064亿</t>
  </si>
  <si>
    <t>439993350亿</t>
  </si>
  <si>
    <t>1410979200亿</t>
  </si>
  <si>
    <t>4125.99万</t>
  </si>
  <si>
    <t>452.50万</t>
  </si>
  <si>
    <t>6211.61万</t>
  </si>
  <si>
    <t>-2915.85万</t>
  </si>
  <si>
    <t>22.28亿</t>
  </si>
  <si>
    <t>10派1.149150元(含税)</t>
  </si>
  <si>
    <t>2306.16万</t>
  </si>
  <si>
    <t>1161.93万</t>
  </si>
  <si>
    <t>7569.80万</t>
  </si>
  <si>
    <t>-7293.80万</t>
  </si>
  <si>
    <t>1666.61万</t>
  </si>
  <si>
    <t>6550.57万</t>
  </si>
  <si>
    <t>3409.06万</t>
  </si>
  <si>
    <t>2389214亿</t>
  </si>
  <si>
    <t>-77208956亿</t>
  </si>
  <si>
    <t>14.42亿</t>
  </si>
  <si>
    <t>548156270亿</t>
  </si>
  <si>
    <t>848.53万</t>
  </si>
  <si>
    <t>2864026400亿</t>
  </si>
  <si>
    <t>5569.90万</t>
  </si>
  <si>
    <t>9251.14万</t>
  </si>
  <si>
    <t>7.91亿</t>
  </si>
  <si>
    <t>-3936.65万</t>
  </si>
  <si>
    <t>-6.73亿</t>
  </si>
  <si>
    <t>6490.05万</t>
  </si>
  <si>
    <t>749.83万</t>
  </si>
  <si>
    <t>257.50万</t>
  </si>
  <si>
    <t>9188.50万</t>
  </si>
  <si>
    <t>576.14万</t>
  </si>
  <si>
    <t>1267.50万</t>
  </si>
  <si>
    <t>314371亿</t>
  </si>
  <si>
    <t>1131047亿</t>
  </si>
  <si>
    <t>124146880亿</t>
  </si>
  <si>
    <t>972338320亿</t>
  </si>
  <si>
    <t>1620.91万</t>
  </si>
  <si>
    <t>-8558.93万</t>
  </si>
  <si>
    <t>8.88亿</t>
  </si>
  <si>
    <t>-4602.97万</t>
  </si>
  <si>
    <t>4571.77万</t>
  </si>
  <si>
    <t>02575000</t>
  </si>
  <si>
    <t>07725000</t>
  </si>
  <si>
    <t>015450000</t>
  </si>
  <si>
    <t>025750000</t>
  </si>
  <si>
    <t>051500000</t>
  </si>
  <si>
    <t>4182.04万</t>
  </si>
  <si>
    <t>46.86亿</t>
  </si>
  <si>
    <t>1235.97万</t>
  </si>
  <si>
    <t>3279.09万</t>
  </si>
  <si>
    <t>6162.98万</t>
  </si>
  <si>
    <t>-701778亿</t>
  </si>
  <si>
    <t>100.88万</t>
  </si>
  <si>
    <t>9658289亿</t>
  </si>
  <si>
    <t>1708390800亿</t>
  </si>
  <si>
    <t>12.85万</t>
  </si>
  <si>
    <t>3027377800亿</t>
  </si>
  <si>
    <t>730.74万</t>
  </si>
  <si>
    <t>621.77万</t>
  </si>
  <si>
    <t>22.78万</t>
  </si>
  <si>
    <t>-2.01亿</t>
  </si>
  <si>
    <t>-8428.36万</t>
  </si>
  <si>
    <t>-6.74万</t>
  </si>
  <si>
    <t>4262.73万</t>
  </si>
  <si>
    <t>3668.85万</t>
  </si>
  <si>
    <t>10.60亿</t>
  </si>
  <si>
    <t>012359700</t>
  </si>
  <si>
    <t>037079100</t>
  </si>
  <si>
    <t>074158200</t>
  </si>
  <si>
    <t>0123597000</t>
  </si>
  <si>
    <t>0247194000</t>
  </si>
  <si>
    <t>-8-1</t>
  </si>
  <si>
    <t>177.03万</t>
  </si>
  <si>
    <t>62.21亿</t>
  </si>
  <si>
    <t>82.95亿</t>
  </si>
  <si>
    <t>-4.89亿</t>
  </si>
  <si>
    <t>16.47亿</t>
  </si>
  <si>
    <t>9048.60万</t>
  </si>
  <si>
    <t>8498250亿</t>
  </si>
  <si>
    <t>186.30万</t>
  </si>
  <si>
    <t>-510153000亿</t>
  </si>
  <si>
    <t>9.56亿</t>
  </si>
  <si>
    <t>465871590亿</t>
  </si>
  <si>
    <t>1636.48万</t>
  </si>
  <si>
    <t>6150186000亿</t>
  </si>
  <si>
    <t>44.30亿</t>
  </si>
  <si>
    <t>-11.54亿</t>
  </si>
  <si>
    <t>76.62亿</t>
  </si>
  <si>
    <t>10派0.50元(含税)</t>
  </si>
  <si>
    <t>1186.21万</t>
  </si>
  <si>
    <t>9246.62万</t>
  </si>
  <si>
    <t>1562.35万</t>
  </si>
  <si>
    <t>6.63亿</t>
  </si>
  <si>
    <t>203.04万</t>
  </si>
  <si>
    <t>1436.71万</t>
  </si>
  <si>
    <t>1627.59万</t>
  </si>
  <si>
    <t>-289310亿</t>
  </si>
  <si>
    <t>68.39万</t>
  </si>
  <si>
    <t>1378573亿</t>
  </si>
  <si>
    <t>371064620亿</t>
  </si>
  <si>
    <t>30.00万</t>
  </si>
  <si>
    <t>1155556940亿</t>
  </si>
  <si>
    <t>5042.19万</t>
  </si>
  <si>
    <t>-45.42万</t>
  </si>
  <si>
    <t>-1851.60万</t>
  </si>
  <si>
    <t>14.04亿</t>
  </si>
  <si>
    <t>2871.25万</t>
  </si>
  <si>
    <t>9876.22万</t>
  </si>
  <si>
    <t>02030400</t>
  </si>
  <si>
    <t>06091200</t>
  </si>
  <si>
    <t>012182400</t>
  </si>
  <si>
    <t>020304000</t>
  </si>
  <si>
    <t>040608000</t>
  </si>
  <si>
    <t>1911.95万</t>
  </si>
  <si>
    <t>16.27亿</t>
  </si>
  <si>
    <t>1643.30万</t>
  </si>
  <si>
    <t>242.13万</t>
  </si>
  <si>
    <t>2058.91万</t>
  </si>
  <si>
    <t>134.75万</t>
  </si>
  <si>
    <t>14503316亿</t>
  </si>
  <si>
    <t>224328500亿</t>
  </si>
  <si>
    <t>1329919890亿</t>
  </si>
  <si>
    <t>582.90万</t>
  </si>
  <si>
    <t>-4655.44万</t>
  </si>
  <si>
    <t>-72.61万</t>
  </si>
  <si>
    <t>-369.64万</t>
  </si>
  <si>
    <t>4737.94万</t>
  </si>
  <si>
    <t>016433000</t>
  </si>
  <si>
    <t>049299000</t>
  </si>
  <si>
    <t>098598000</t>
  </si>
  <si>
    <t>0164330000</t>
  </si>
  <si>
    <t>0328660000</t>
  </si>
  <si>
    <t>5845.55万</t>
  </si>
  <si>
    <t>2355.51万</t>
  </si>
  <si>
    <t>-2368.50万</t>
  </si>
  <si>
    <t>6025.82万</t>
  </si>
  <si>
    <t>1664.86万</t>
  </si>
  <si>
    <t>867.60万</t>
  </si>
  <si>
    <t>2200.18万</t>
  </si>
  <si>
    <t>-189774亿</t>
  </si>
  <si>
    <t>-23874210亿</t>
  </si>
  <si>
    <t>125305407亿</t>
  </si>
  <si>
    <t>915001800亿</t>
  </si>
  <si>
    <t>1305.37万</t>
  </si>
  <si>
    <t>5.92亿</t>
  </si>
  <si>
    <t>5106.00万</t>
  </si>
  <si>
    <t>-7079.57万</t>
  </si>
  <si>
    <t>-4866.05万</t>
  </si>
  <si>
    <t>7610.58万</t>
  </si>
  <si>
    <t>588.26万</t>
  </si>
  <si>
    <t>26.46亿</t>
  </si>
  <si>
    <t>20.35亿</t>
  </si>
  <si>
    <t>588.53万</t>
  </si>
  <si>
    <t>3758.05万</t>
  </si>
  <si>
    <t>3501.76万</t>
  </si>
  <si>
    <t>-2124480亿</t>
  </si>
  <si>
    <t>8.81万</t>
  </si>
  <si>
    <t>4848905亿</t>
  </si>
  <si>
    <t>992640750亿</t>
  </si>
  <si>
    <t>8696.05万</t>
  </si>
  <si>
    <t>3294047600亿</t>
  </si>
  <si>
    <t>8311.73万</t>
  </si>
  <si>
    <t>24.16亿</t>
  </si>
  <si>
    <t>5.18万</t>
  </si>
  <si>
    <t>-5786.21万</t>
  </si>
  <si>
    <t>4083.41万</t>
  </si>
  <si>
    <t>963.39万</t>
  </si>
  <si>
    <t>30.84亿</t>
  </si>
  <si>
    <t>-5628.94万</t>
  </si>
  <si>
    <t>7050.01万</t>
  </si>
  <si>
    <t>8377.55万</t>
  </si>
  <si>
    <t>-1261768亿</t>
  </si>
  <si>
    <t>-60944675亿</t>
  </si>
  <si>
    <t>11.37亿</t>
  </si>
  <si>
    <t>920592420亿</t>
  </si>
  <si>
    <t>68.02万</t>
  </si>
  <si>
    <t>2609147600亿</t>
  </si>
  <si>
    <t>-3.01亿</t>
  </si>
  <si>
    <t>5563.26万</t>
  </si>
  <si>
    <t>-417.14万</t>
  </si>
  <si>
    <t>20.44亿</t>
  </si>
  <si>
    <t>9262.43万</t>
  </si>
  <si>
    <t>768.99万</t>
  </si>
  <si>
    <t>-1320.67万</t>
  </si>
  <si>
    <t>1284.64万</t>
  </si>
  <si>
    <t>1695.57万</t>
  </si>
  <si>
    <t>-13732383亿</t>
  </si>
  <si>
    <t>554597920亿</t>
  </si>
  <si>
    <t>421.63万</t>
  </si>
  <si>
    <t>1082691880亿</t>
  </si>
  <si>
    <t>1004.77万</t>
  </si>
  <si>
    <t>5.06万</t>
  </si>
  <si>
    <t>-3.75亿</t>
  </si>
  <si>
    <t>-21.31万</t>
  </si>
  <si>
    <t>8085.12万</t>
  </si>
  <si>
    <t>5213.15万</t>
  </si>
  <si>
    <t>3636.45万</t>
  </si>
  <si>
    <t>10派0.14元(含税)</t>
  </si>
  <si>
    <t>5420.32万</t>
  </si>
  <si>
    <t>6.32亿</t>
  </si>
  <si>
    <t>128.90万</t>
  </si>
  <si>
    <t>9114.84万</t>
  </si>
  <si>
    <t>-51.60万</t>
  </si>
  <si>
    <t>9076.77万</t>
  </si>
  <si>
    <t>6533.84万</t>
  </si>
  <si>
    <t>465.43万</t>
  </si>
  <si>
    <t>957.45万</t>
  </si>
  <si>
    <t>216904亿</t>
  </si>
  <si>
    <t>-1480940亿</t>
  </si>
  <si>
    <t>221457450亿</t>
  </si>
  <si>
    <t>1186158940亿</t>
  </si>
  <si>
    <t>590.55万</t>
  </si>
  <si>
    <t>71.38万</t>
  </si>
  <si>
    <t>-4525.06万</t>
  </si>
  <si>
    <t>2249.52万</t>
  </si>
  <si>
    <t>-110.28万</t>
  </si>
  <si>
    <t>3911.62万</t>
  </si>
  <si>
    <t>631.48万</t>
  </si>
  <si>
    <t>4642.75万</t>
  </si>
  <si>
    <t>359.54万</t>
  </si>
  <si>
    <t>12.45亿</t>
  </si>
  <si>
    <t>8809.02万</t>
  </si>
  <si>
    <t>-6516.96万</t>
  </si>
  <si>
    <t>1950.33万</t>
  </si>
  <si>
    <t>2296.87万</t>
  </si>
  <si>
    <t>-1096864亿</t>
  </si>
  <si>
    <t>14.49万</t>
  </si>
  <si>
    <t>-67629362亿</t>
  </si>
  <si>
    <t>575884660亿</t>
  </si>
  <si>
    <t>1340.06万</t>
  </si>
  <si>
    <t>1495792900亿</t>
  </si>
  <si>
    <t>-1.31亿</t>
  </si>
  <si>
    <t>-499.35万</t>
  </si>
  <si>
    <t>4639.79万</t>
  </si>
  <si>
    <t>2301.73万</t>
  </si>
  <si>
    <t>2154.65万</t>
  </si>
  <si>
    <t>465.45万</t>
  </si>
  <si>
    <t>12.34亿</t>
  </si>
  <si>
    <t>652.54万</t>
  </si>
  <si>
    <t>5694.44万</t>
  </si>
  <si>
    <t>1812.01万</t>
  </si>
  <si>
    <t>2154.50万</t>
  </si>
  <si>
    <t>-2339684亿</t>
  </si>
  <si>
    <t>6205868亿</t>
  </si>
  <si>
    <t>196576050亿</t>
  </si>
  <si>
    <t>979322330亿</t>
  </si>
  <si>
    <t>5749.72万</t>
  </si>
  <si>
    <t>7682.02万</t>
  </si>
  <si>
    <t>2.27万</t>
  </si>
  <si>
    <t>-4404.34万</t>
  </si>
  <si>
    <t>-325.41万</t>
  </si>
  <si>
    <t>-18.95万</t>
  </si>
  <si>
    <t>2529.69万</t>
  </si>
  <si>
    <t>06525400</t>
  </si>
  <si>
    <t>019576200</t>
  </si>
  <si>
    <t>039152400</t>
  </si>
  <si>
    <t>065254000</t>
  </si>
  <si>
    <t>0130508000</t>
  </si>
  <si>
    <t>4005.51万</t>
  </si>
  <si>
    <t>3627.20万</t>
  </si>
  <si>
    <t>1959.73万</t>
  </si>
  <si>
    <t>-98.60万</t>
  </si>
  <si>
    <t>2242.64万</t>
  </si>
  <si>
    <t>870.58万</t>
  </si>
  <si>
    <t>473.55万</t>
  </si>
  <si>
    <t>511.62万</t>
  </si>
  <si>
    <t>279914亿</t>
  </si>
  <si>
    <t>-1095555亿</t>
  </si>
  <si>
    <t>898.39万</t>
  </si>
  <si>
    <t>74580621亿</t>
  </si>
  <si>
    <t>1246.91万</t>
  </si>
  <si>
    <t>194599500亿</t>
  </si>
  <si>
    <t>463.87万</t>
  </si>
  <si>
    <t>103.61万</t>
  </si>
  <si>
    <t>1325.15万</t>
  </si>
  <si>
    <t>2050.95万</t>
  </si>
  <si>
    <t>-1809.33万</t>
  </si>
  <si>
    <t>1976.58万</t>
  </si>
  <si>
    <t>745.63万</t>
  </si>
  <si>
    <t>523.10万</t>
  </si>
  <si>
    <t>2760.12万</t>
  </si>
  <si>
    <t>-2467.73万</t>
  </si>
  <si>
    <t>8984.75万</t>
  </si>
  <si>
    <t>3732.73万</t>
  </si>
  <si>
    <t>3000.09万</t>
  </si>
  <si>
    <t>4518444亿</t>
  </si>
  <si>
    <t>-25707215亿</t>
  </si>
  <si>
    <t>481838240亿</t>
  </si>
  <si>
    <t>162.30万</t>
  </si>
  <si>
    <t>1103162210亿</t>
  </si>
  <si>
    <t>23.46万</t>
  </si>
  <si>
    <t>-4547.97万</t>
  </si>
  <si>
    <t>-568.08万</t>
  </si>
  <si>
    <t>-4720.24万</t>
  </si>
  <si>
    <t>211.65万</t>
  </si>
  <si>
    <t>-4550.11万</t>
  </si>
  <si>
    <t>1446.48万</t>
  </si>
  <si>
    <t>3597.12万</t>
  </si>
  <si>
    <t>-21002901亿</t>
  </si>
  <si>
    <t>-47139553亿</t>
  </si>
  <si>
    <t>582220170亿</t>
  </si>
  <si>
    <t>202.60万</t>
  </si>
  <si>
    <t>1568773700亿</t>
  </si>
  <si>
    <t>145.34万</t>
  </si>
  <si>
    <t>6941.37万</t>
  </si>
  <si>
    <t>6218.75万</t>
  </si>
  <si>
    <t>-5445.62万</t>
  </si>
  <si>
    <t>-1.75亿</t>
  </si>
  <si>
    <t>18.78亿</t>
  </si>
  <si>
    <t>10转3股派1.2元(含税)</t>
  </si>
  <si>
    <t>1723.05万</t>
  </si>
  <si>
    <t>1466.38万</t>
  </si>
  <si>
    <t>6574.94万</t>
  </si>
  <si>
    <t>-560.45万</t>
  </si>
  <si>
    <t>6867.53万</t>
  </si>
  <si>
    <t>4374.31万</t>
  </si>
  <si>
    <t>513.79万</t>
  </si>
  <si>
    <t>822.94万</t>
  </si>
  <si>
    <t>396654亿</t>
  </si>
  <si>
    <t>-6621254亿</t>
  </si>
  <si>
    <t>355846140亿</t>
  </si>
  <si>
    <t>189.34万</t>
  </si>
  <si>
    <t>986312470亿</t>
  </si>
  <si>
    <t>778.70万</t>
  </si>
  <si>
    <t>2969.51万</t>
  </si>
  <si>
    <t>-3700.11万</t>
  </si>
  <si>
    <t>6501.37万</t>
  </si>
  <si>
    <t>-2819.69万</t>
  </si>
  <si>
    <t>3930.29万</t>
  </si>
  <si>
    <t>1687.97万</t>
  </si>
  <si>
    <t>4938.52万</t>
  </si>
  <si>
    <t>596.73万</t>
  </si>
  <si>
    <t>8748.55万</t>
  </si>
  <si>
    <t>-4498.89万</t>
  </si>
  <si>
    <t>6435.12万</t>
  </si>
  <si>
    <t>2692.35万</t>
  </si>
  <si>
    <t>1555.23万</t>
  </si>
  <si>
    <t>-2274036亿</t>
  </si>
  <si>
    <t>7.08万</t>
  </si>
  <si>
    <t>-46008855亿</t>
  </si>
  <si>
    <t>507769030亿</t>
  </si>
  <si>
    <t>1561.50万</t>
  </si>
  <si>
    <t>1597301700亿</t>
  </si>
  <si>
    <t>402.69万</t>
  </si>
  <si>
    <t>8340.91万</t>
  </si>
  <si>
    <t>-2524.85万</t>
  </si>
  <si>
    <t>-2728.20万</t>
  </si>
  <si>
    <t>-4572.52万</t>
  </si>
  <si>
    <t>1725.83万</t>
  </si>
  <si>
    <t>8.70亿</t>
  </si>
  <si>
    <t>2202.17万</t>
  </si>
  <si>
    <t>3686.73万</t>
  </si>
  <si>
    <t>765.93万</t>
  </si>
  <si>
    <t>2564.98万</t>
  </si>
  <si>
    <t>1967.96万</t>
  </si>
  <si>
    <t>4089.98万</t>
  </si>
  <si>
    <t>788068亿</t>
  </si>
  <si>
    <t>90.12万</t>
  </si>
  <si>
    <t>22767873亿</t>
  </si>
  <si>
    <t>49334656亿</t>
  </si>
  <si>
    <t>680801190亿</t>
  </si>
  <si>
    <t>890.00万</t>
  </si>
  <si>
    <t>-794.42万</t>
  </si>
  <si>
    <t>-1459.77万</t>
  </si>
  <si>
    <t>-414.73万</t>
  </si>
  <si>
    <t>4043.35万</t>
  </si>
  <si>
    <t>-3449.44万</t>
  </si>
  <si>
    <t>8620.57万</t>
  </si>
  <si>
    <t>4372.78万</t>
  </si>
  <si>
    <t>10转3.984070股派1.105579元(含税)</t>
  </si>
  <si>
    <t>3541.72万</t>
  </si>
  <si>
    <t>880.41万</t>
  </si>
  <si>
    <t>-555.83万</t>
  </si>
  <si>
    <t>1492.31万</t>
  </si>
  <si>
    <t>3308.13万</t>
  </si>
  <si>
    <t>209589亿</t>
  </si>
  <si>
    <t>-6822905亿</t>
  </si>
  <si>
    <t>951824650亿</t>
  </si>
  <si>
    <t>2080391700亿</t>
  </si>
  <si>
    <t>7362.11万</t>
  </si>
  <si>
    <t>-2343.49万</t>
  </si>
  <si>
    <t>-7729.74万</t>
  </si>
  <si>
    <t>2188.30万</t>
  </si>
  <si>
    <t>11.69亿</t>
  </si>
  <si>
    <t>6466.40万</t>
  </si>
  <si>
    <t>4424.93万</t>
  </si>
  <si>
    <t>7898.13万</t>
  </si>
  <si>
    <t>-1690.15万</t>
  </si>
  <si>
    <t>9881.38万</t>
  </si>
  <si>
    <t>6239.74万</t>
  </si>
  <si>
    <t>1090.64万</t>
  </si>
  <si>
    <t>971.81万</t>
  </si>
  <si>
    <t>-41834亿</t>
  </si>
  <si>
    <t>1.01万</t>
  </si>
  <si>
    <t>-16927060亿</t>
  </si>
  <si>
    <t>216929080亿</t>
  </si>
  <si>
    <t>935.19万</t>
  </si>
  <si>
    <t>732900550亿</t>
  </si>
  <si>
    <t>3193.42万</t>
  </si>
  <si>
    <t>3900.00万</t>
  </si>
  <si>
    <t>-14.06万</t>
  </si>
  <si>
    <t>1734.17万</t>
  </si>
  <si>
    <t>8880.69万</t>
  </si>
  <si>
    <t>-6870.29万</t>
  </si>
  <si>
    <t>1106.07万</t>
  </si>
  <si>
    <t>-378.86万</t>
  </si>
  <si>
    <t>2216.20万</t>
  </si>
  <si>
    <t>2105.22万</t>
  </si>
  <si>
    <t>3303.27万</t>
  </si>
  <si>
    <t>-647910亿</t>
  </si>
  <si>
    <t>-5161099亿</t>
  </si>
  <si>
    <t>136357060亿</t>
  </si>
  <si>
    <t>33.40万</t>
  </si>
  <si>
    <t>736702070亿</t>
  </si>
  <si>
    <t>4695.56万</t>
  </si>
  <si>
    <t>-4964.73万</t>
  </si>
  <si>
    <t>-4993.14万</t>
  </si>
  <si>
    <t>5315.14万</t>
  </si>
  <si>
    <t>691.86万</t>
  </si>
  <si>
    <t>32.02亿</t>
  </si>
  <si>
    <t>3668.61万</t>
  </si>
  <si>
    <t>7789.94万</t>
  </si>
  <si>
    <t>9508.95万</t>
  </si>
  <si>
    <t>1019.56万</t>
  </si>
  <si>
    <t>9.38万</t>
  </si>
  <si>
    <t>32894745亿</t>
  </si>
  <si>
    <t>157995740亿</t>
  </si>
  <si>
    <t>1262.08万</t>
  </si>
  <si>
    <t>3372120500亿</t>
  </si>
  <si>
    <t>23.58万</t>
  </si>
  <si>
    <t>202.11万</t>
  </si>
  <si>
    <t>2934.47万</t>
  </si>
  <si>
    <t>-3508.04万</t>
  </si>
  <si>
    <t>-9337.32万</t>
  </si>
  <si>
    <t>4280.44万</t>
  </si>
  <si>
    <t>036686100</t>
  </si>
  <si>
    <t>0110058300</t>
  </si>
  <si>
    <t>0220116600</t>
  </si>
  <si>
    <t>0366861000</t>
  </si>
  <si>
    <t>0733722000</t>
  </si>
  <si>
    <t>303.56万</t>
  </si>
  <si>
    <t>-3919.76万</t>
  </si>
  <si>
    <t>203.12万</t>
  </si>
  <si>
    <t>172.07万</t>
  </si>
  <si>
    <t>1149.94万</t>
  </si>
  <si>
    <t>-39264767亿</t>
  </si>
  <si>
    <t>1054.19万</t>
  </si>
  <si>
    <t>196553300亿</t>
  </si>
  <si>
    <t>437807900亿</t>
  </si>
  <si>
    <t>2491.94万</t>
  </si>
  <si>
    <t>3148.79万</t>
  </si>
  <si>
    <t>-2893.77万</t>
  </si>
  <si>
    <t>13.48万</t>
  </si>
  <si>
    <t>440.79万</t>
  </si>
  <si>
    <t>5325.16万</t>
  </si>
  <si>
    <t>573.11万</t>
  </si>
  <si>
    <t>35.78亿</t>
  </si>
  <si>
    <t>1678.89万</t>
  </si>
  <si>
    <t>2879.66万</t>
  </si>
  <si>
    <t>8154.51万</t>
  </si>
  <si>
    <t>29429208亿</t>
  </si>
  <si>
    <t>3.21万</t>
  </si>
  <si>
    <t>16138435亿</t>
  </si>
  <si>
    <t>34.17亿</t>
  </si>
  <si>
    <t>110810725亿</t>
  </si>
  <si>
    <t>4490929900亿</t>
  </si>
  <si>
    <t>7168.11万</t>
  </si>
  <si>
    <t>39.53亿</t>
  </si>
  <si>
    <t>10.38亿</t>
  </si>
  <si>
    <t>-358.77万</t>
  </si>
  <si>
    <t>12.30亿</t>
  </si>
  <si>
    <t>7260.98万</t>
  </si>
  <si>
    <t>2801.00万</t>
  </si>
  <si>
    <t>853.37万</t>
  </si>
  <si>
    <t>5062.60万</t>
  </si>
  <si>
    <t>-1454.73万</t>
  </si>
  <si>
    <t>8207.94万</t>
  </si>
  <si>
    <t>2976.20万</t>
  </si>
  <si>
    <t>1156.65万</t>
  </si>
  <si>
    <t>1463.88万</t>
  </si>
  <si>
    <t>671414亿</t>
  </si>
  <si>
    <t>-18074546亿</t>
  </si>
  <si>
    <t>4521.58万</t>
  </si>
  <si>
    <t>624741640亿</t>
  </si>
  <si>
    <t>197.61万</t>
  </si>
  <si>
    <t>1147385720亿</t>
  </si>
  <si>
    <t>5736.22万</t>
  </si>
  <si>
    <t>9400.32万</t>
  </si>
  <si>
    <t>-6016.70万</t>
  </si>
  <si>
    <t>-119.71万</t>
  </si>
  <si>
    <t>5721.11万</t>
  </si>
  <si>
    <t>1265.58万</t>
  </si>
  <si>
    <t>10派0.232491元(含税)</t>
  </si>
  <si>
    <t>5953.77万</t>
  </si>
  <si>
    <t>855.35万</t>
  </si>
  <si>
    <t>20.61亿</t>
  </si>
  <si>
    <t>3159.13万</t>
  </si>
  <si>
    <t>2032.89万</t>
  </si>
  <si>
    <t>8278.89万</t>
  </si>
  <si>
    <t>1075085亿</t>
  </si>
  <si>
    <t>6.78万</t>
  </si>
  <si>
    <t>28242675亿</t>
  </si>
  <si>
    <t>1426481500亿</t>
  </si>
  <si>
    <t>919.01万</t>
  </si>
  <si>
    <t>2733454700亿</t>
  </si>
  <si>
    <t>1750.14万</t>
  </si>
  <si>
    <t>-6826.89万</t>
  </si>
  <si>
    <t>8900.65万</t>
  </si>
  <si>
    <t>6400.59万</t>
  </si>
  <si>
    <t>126.64万</t>
  </si>
  <si>
    <t>4638.58万</t>
  </si>
  <si>
    <t>8.69亿</t>
  </si>
  <si>
    <t>1381.65万</t>
  </si>
  <si>
    <t>-1928.83万</t>
  </si>
  <si>
    <t>4274.03万</t>
  </si>
  <si>
    <t>173.74万</t>
  </si>
  <si>
    <t>1726.07万</t>
  </si>
  <si>
    <t>491.75万</t>
  </si>
  <si>
    <t>1420237亿</t>
  </si>
  <si>
    <t>-21512096亿</t>
  </si>
  <si>
    <t>92325685亿</t>
  </si>
  <si>
    <t>73.93万</t>
  </si>
  <si>
    <t>831430780亿</t>
  </si>
  <si>
    <t>312.23万</t>
  </si>
  <si>
    <t>2389.65万</t>
  </si>
  <si>
    <t>-2660.38万</t>
  </si>
  <si>
    <t>-5.99亿</t>
  </si>
  <si>
    <t>-327.81万</t>
  </si>
  <si>
    <t>-4018.93万</t>
  </si>
  <si>
    <t>693.71万</t>
  </si>
  <si>
    <t>3705.69万</t>
  </si>
  <si>
    <t>2156.84万</t>
  </si>
  <si>
    <t>12.57亿</t>
  </si>
  <si>
    <t>7752.27万</t>
  </si>
  <si>
    <t>327.08万</t>
  </si>
  <si>
    <t>8722.00万</t>
  </si>
  <si>
    <t>4495.76万</t>
  </si>
  <si>
    <t>699.96万</t>
  </si>
  <si>
    <t>2078.59万</t>
  </si>
  <si>
    <t>-1330207亿</t>
  </si>
  <si>
    <t>276605亿</t>
  </si>
  <si>
    <t>445149530亿</t>
  </si>
  <si>
    <t>3191.41万</t>
  </si>
  <si>
    <t>1184465970亿</t>
  </si>
  <si>
    <t>343.63万</t>
  </si>
  <si>
    <t>2160.81万</t>
  </si>
  <si>
    <t>-6817.45万</t>
  </si>
  <si>
    <t>-232.98万</t>
  </si>
  <si>
    <t>6.95亿</t>
  </si>
  <si>
    <t>6216.02万</t>
  </si>
  <si>
    <t>10派1.00947元(含税)</t>
  </si>
  <si>
    <t>32.46亿</t>
  </si>
  <si>
    <t>4390.46万</t>
  </si>
  <si>
    <t>-2289.85万</t>
  </si>
  <si>
    <t>8624.54万</t>
  </si>
  <si>
    <t>1376.73万</t>
  </si>
  <si>
    <t>1039.94万</t>
  </si>
  <si>
    <t>1066.48万</t>
  </si>
  <si>
    <t>653332亿</t>
  </si>
  <si>
    <t>-25414657亿</t>
  </si>
  <si>
    <t>23.93亿</t>
  </si>
  <si>
    <t>281225540亿</t>
  </si>
  <si>
    <t>3046614800亿</t>
  </si>
  <si>
    <t>4780.81万</t>
  </si>
  <si>
    <t>200.10万</t>
  </si>
  <si>
    <t>2060.47万</t>
  </si>
  <si>
    <t>5574.33万</t>
  </si>
  <si>
    <t>-8412.66万</t>
  </si>
  <si>
    <t>-1791.82万</t>
  </si>
  <si>
    <t>-224.23万</t>
  </si>
  <si>
    <t>10派4.412847元(含税)</t>
  </si>
  <si>
    <t>1446.43万</t>
  </si>
  <si>
    <t>694.98万</t>
  </si>
  <si>
    <t>-1361.42万</t>
  </si>
  <si>
    <t>5700.68万</t>
  </si>
  <si>
    <t>2722.02万</t>
  </si>
  <si>
    <t>1394.68万</t>
  </si>
  <si>
    <t>364524亿</t>
  </si>
  <si>
    <t>-14239609亿</t>
  </si>
  <si>
    <t>415415900亿</t>
  </si>
  <si>
    <t>2199025100亿</t>
  </si>
  <si>
    <t>5196.32万</t>
  </si>
  <si>
    <t>-121.00万</t>
  </si>
  <si>
    <t>12.08亿</t>
  </si>
  <si>
    <t>10转8股派10.0元(含税)</t>
  </si>
  <si>
    <t>6770.15万</t>
  </si>
  <si>
    <t>650.19万</t>
  </si>
  <si>
    <t>8.39亿</t>
  </si>
  <si>
    <t>2027.75万</t>
  </si>
  <si>
    <t>-3028.83万</t>
  </si>
  <si>
    <t>6360.27万</t>
  </si>
  <si>
    <t>1278.12万</t>
  </si>
  <si>
    <t>983.20万</t>
  </si>
  <si>
    <t>1364.31万</t>
  </si>
  <si>
    <t>-30063147亿</t>
  </si>
  <si>
    <t>212564230亿</t>
  </si>
  <si>
    <t>657.54万</t>
  </si>
  <si>
    <t>789326460亿</t>
  </si>
  <si>
    <t>1271.11万</t>
  </si>
  <si>
    <t>543.38万</t>
  </si>
  <si>
    <t>-5699.58万</t>
  </si>
  <si>
    <t>-1363.85万</t>
  </si>
  <si>
    <t>-315.77万</t>
  </si>
  <si>
    <t>-4573.01万</t>
  </si>
  <si>
    <t>755.81万</t>
  </si>
  <si>
    <t>2064.59万</t>
  </si>
  <si>
    <t>6767.48万</t>
  </si>
  <si>
    <t>216.79万</t>
  </si>
  <si>
    <t>1234.06万</t>
  </si>
  <si>
    <t>9271.01万</t>
  </si>
  <si>
    <t>3596.61万</t>
  </si>
  <si>
    <t>2696.32万</t>
  </si>
  <si>
    <t>1014.13万</t>
  </si>
  <si>
    <t>399760亿</t>
  </si>
  <si>
    <t>7321421亿</t>
  </si>
  <si>
    <t>316614710亿</t>
  </si>
  <si>
    <t>1675.15万</t>
  </si>
  <si>
    <t>1120203740亿</t>
  </si>
  <si>
    <t>1062.13万</t>
  </si>
  <si>
    <t>1728.00万</t>
  </si>
  <si>
    <t>8843.19万</t>
  </si>
  <si>
    <t>109.20万</t>
  </si>
  <si>
    <t>-4478.56万</t>
  </si>
  <si>
    <t>-2.38亿</t>
  </si>
  <si>
    <t>-323.10万</t>
  </si>
  <si>
    <t>8424.65万</t>
  </si>
  <si>
    <t>10派4.5元(含税)</t>
  </si>
  <si>
    <t>1305.99万</t>
  </si>
  <si>
    <t>258.71万</t>
  </si>
  <si>
    <t>3101.71万</t>
  </si>
  <si>
    <t>3494.15万</t>
  </si>
  <si>
    <t>910.70万</t>
  </si>
  <si>
    <t>2542.85万</t>
  </si>
  <si>
    <t>1221.55万</t>
  </si>
  <si>
    <t>123.42万</t>
  </si>
  <si>
    <t>727.04万</t>
  </si>
  <si>
    <t>8641047亿</t>
  </si>
  <si>
    <t>50791905亿</t>
  </si>
  <si>
    <t>841030810亿</t>
  </si>
  <si>
    <t>1287.06万</t>
  </si>
  <si>
    <t>610.31万</t>
  </si>
  <si>
    <t>2046.63万</t>
  </si>
  <si>
    <t>-2323.06万</t>
  </si>
  <si>
    <t>-2.71万</t>
  </si>
  <si>
    <t>-18.67万</t>
  </si>
  <si>
    <t>4985.63万</t>
  </si>
  <si>
    <t>7663.77万</t>
  </si>
  <si>
    <t>1431.54万</t>
  </si>
  <si>
    <t>8210.19万</t>
  </si>
  <si>
    <t>09107000</t>
  </si>
  <si>
    <t>027321000</t>
  </si>
  <si>
    <t>054642000</t>
  </si>
  <si>
    <t>091070000</t>
  </si>
  <si>
    <t>0182140000</t>
  </si>
  <si>
    <t>85.55万</t>
  </si>
  <si>
    <t>23.02亿</t>
  </si>
  <si>
    <t>3658.29万</t>
  </si>
  <si>
    <t>2522.43万</t>
  </si>
  <si>
    <t>1686.50万</t>
  </si>
  <si>
    <t>-168993亿</t>
  </si>
  <si>
    <t>260.05万</t>
  </si>
  <si>
    <t>27737733亿</t>
  </si>
  <si>
    <t>319791790亿</t>
  </si>
  <si>
    <t>8857.74万</t>
  </si>
  <si>
    <t>2045682000亿</t>
  </si>
  <si>
    <t>2835.97万</t>
  </si>
  <si>
    <t>3204.85万</t>
  </si>
  <si>
    <t>-2343.86万</t>
  </si>
  <si>
    <t>10派6.802002元(含税)</t>
  </si>
  <si>
    <t>455.71万</t>
  </si>
  <si>
    <t>3486.54万</t>
  </si>
  <si>
    <t>113.05万</t>
  </si>
  <si>
    <t>48.41亿</t>
  </si>
  <si>
    <t>766.54万</t>
  </si>
  <si>
    <t>729.35万</t>
  </si>
  <si>
    <t>4126.72万</t>
  </si>
  <si>
    <t>2703.88万</t>
  </si>
  <si>
    <t>-2470435亿</t>
  </si>
  <si>
    <t>2.00万</t>
  </si>
  <si>
    <t>-16501819亿</t>
  </si>
  <si>
    <t>222627740亿</t>
  </si>
  <si>
    <t>62.22万</t>
  </si>
  <si>
    <t>3407277400亿</t>
  </si>
  <si>
    <t>277.25万</t>
  </si>
  <si>
    <t>5003.97万</t>
  </si>
  <si>
    <t>1767.99万</t>
  </si>
  <si>
    <t>4190.00万</t>
  </si>
  <si>
    <t>6299.85万</t>
  </si>
  <si>
    <t>-1.77亿</t>
  </si>
  <si>
    <t>-864.10万</t>
  </si>
  <si>
    <t>779.12万</t>
  </si>
  <si>
    <t>7774.55万</t>
  </si>
  <si>
    <t>129.10万</t>
  </si>
  <si>
    <t>7221.71万</t>
  </si>
  <si>
    <t>4317.61万</t>
  </si>
  <si>
    <t>-236.85万</t>
  </si>
  <si>
    <t>4818.37万</t>
  </si>
  <si>
    <t>949.13万</t>
  </si>
  <si>
    <t>1929.69万</t>
  </si>
  <si>
    <t>813.25万</t>
  </si>
  <si>
    <t>1046977亿</t>
  </si>
  <si>
    <t>-3928853亿</t>
  </si>
  <si>
    <t>15033197亿</t>
  </si>
  <si>
    <t>26.64万</t>
  </si>
  <si>
    <t>620130030亿</t>
  </si>
  <si>
    <t>4348.81万</t>
  </si>
  <si>
    <t>52.57万</t>
  </si>
  <si>
    <t>5263.12万</t>
  </si>
  <si>
    <t>-841.93万</t>
  </si>
  <si>
    <t>3998.24万</t>
  </si>
  <si>
    <t>-5041.54万</t>
  </si>
  <si>
    <t>4143.30万</t>
  </si>
  <si>
    <t>10派3.5元(含税)</t>
  </si>
  <si>
    <t>813.54万</t>
  </si>
  <si>
    <t>7798.36万</t>
  </si>
  <si>
    <t>318.92万</t>
  </si>
  <si>
    <t>10.18亿</t>
  </si>
  <si>
    <t>5959.78万</t>
  </si>
  <si>
    <t>761.09万</t>
  </si>
  <si>
    <t>5766.07万</t>
  </si>
  <si>
    <t>4062.38万</t>
  </si>
  <si>
    <t>305.74万</t>
  </si>
  <si>
    <t>726.03万</t>
  </si>
  <si>
    <t>1489659亿</t>
  </si>
  <si>
    <t>2502360亿</t>
  </si>
  <si>
    <t>87678075亿</t>
  </si>
  <si>
    <t>1047722610亿</t>
  </si>
  <si>
    <t>2022.23万</t>
  </si>
  <si>
    <t>15.98万</t>
  </si>
  <si>
    <t>9989.67万</t>
  </si>
  <si>
    <t>-2259.08万</t>
  </si>
  <si>
    <t>-208.85万</t>
  </si>
  <si>
    <t>6152.69万</t>
  </si>
  <si>
    <t>5826.89万</t>
  </si>
  <si>
    <t>1644.47万</t>
  </si>
  <si>
    <t>8458.81万</t>
  </si>
  <si>
    <t>07610900</t>
  </si>
  <si>
    <t>022832700</t>
  </si>
  <si>
    <t>045665400</t>
  </si>
  <si>
    <t>076109000</t>
  </si>
  <si>
    <t>0152218000</t>
  </si>
  <si>
    <t>232.65万</t>
  </si>
  <si>
    <t>3043.89万</t>
  </si>
  <si>
    <t>-825.18万</t>
  </si>
  <si>
    <t>4325.76万</t>
  </si>
  <si>
    <t>1832.97万</t>
  </si>
  <si>
    <t>1082.15万</t>
  </si>
  <si>
    <t>756.46万</t>
  </si>
  <si>
    <t>175608亿</t>
  </si>
  <si>
    <t>-8808482亿</t>
  </si>
  <si>
    <t>196391520亿</t>
  </si>
  <si>
    <t>423.82万</t>
  </si>
  <si>
    <t>1124320500亿</t>
  </si>
  <si>
    <t>316.06万</t>
  </si>
  <si>
    <t>384.00万</t>
  </si>
  <si>
    <t>4227.70万</t>
  </si>
  <si>
    <t>2450.42万</t>
  </si>
  <si>
    <t>-2836.93万</t>
  </si>
  <si>
    <t>-150.92万</t>
  </si>
  <si>
    <t>7905.81万</t>
  </si>
  <si>
    <t>4551.68万</t>
  </si>
  <si>
    <t>1697.15万</t>
  </si>
  <si>
    <t>454.16万</t>
  </si>
  <si>
    <t>14.40亿</t>
  </si>
  <si>
    <t>8513.24万</t>
  </si>
  <si>
    <t>-1929.70万</t>
  </si>
  <si>
    <t>5684.24万</t>
  </si>
  <si>
    <t>1117.43万</t>
  </si>
  <si>
    <t>991.40万</t>
  </si>
  <si>
    <t>1960939亿</t>
  </si>
  <si>
    <t>-21273739亿</t>
  </si>
  <si>
    <t>123950395亿</t>
  </si>
  <si>
    <t>1279731350亿</t>
  </si>
  <si>
    <t>300.29万</t>
  </si>
  <si>
    <t>4428.15万</t>
  </si>
  <si>
    <t>-8594.80万</t>
  </si>
  <si>
    <t>-4484.13万</t>
  </si>
  <si>
    <t>-43.98万</t>
  </si>
  <si>
    <t>8721.06万</t>
  </si>
  <si>
    <t>5449.92万</t>
  </si>
  <si>
    <t>2276.41万</t>
  </si>
  <si>
    <t>5170.36万</t>
  </si>
  <si>
    <t>1620.26万</t>
  </si>
  <si>
    <t>55.09亿</t>
  </si>
  <si>
    <t>88.03亿</t>
  </si>
  <si>
    <t>-3614.24万</t>
  </si>
  <si>
    <t>12.21亿</t>
  </si>
  <si>
    <t>1509175亿</t>
  </si>
  <si>
    <t>61.87万</t>
  </si>
  <si>
    <t>21470414亿</t>
  </si>
  <si>
    <t>1251310490亿</t>
  </si>
  <si>
    <t>1208.91万</t>
  </si>
  <si>
    <t>4917025600亿</t>
  </si>
  <si>
    <t>9000.00万</t>
  </si>
  <si>
    <t>105.50万</t>
  </si>
  <si>
    <t>-11.46亿</t>
  </si>
  <si>
    <t>-6345.03万</t>
  </si>
  <si>
    <t>72.81亿</t>
  </si>
  <si>
    <t>8581.83万</t>
  </si>
  <si>
    <t>2301.29万</t>
  </si>
  <si>
    <t>137.18亿</t>
  </si>
  <si>
    <t>112.72亿</t>
  </si>
  <si>
    <t>17.49亿</t>
  </si>
  <si>
    <t>-4.53亿</t>
  </si>
  <si>
    <t>22.60亿</t>
  </si>
  <si>
    <t>1410871亿</t>
  </si>
  <si>
    <t>91.96万</t>
  </si>
  <si>
    <t>-451309640亿</t>
  </si>
  <si>
    <t>52.68亿</t>
  </si>
  <si>
    <t>2668435600亿</t>
  </si>
  <si>
    <t>11394111300亿</t>
  </si>
  <si>
    <t>35.68亿</t>
  </si>
  <si>
    <t>9.75亿</t>
  </si>
  <si>
    <t>2039.78万</t>
  </si>
  <si>
    <t>102.36亿</t>
  </si>
  <si>
    <t>21.95亿</t>
  </si>
  <si>
    <t>-12.97亿</t>
  </si>
  <si>
    <t>97.96亿</t>
  </si>
  <si>
    <t>1115.54万</t>
  </si>
  <si>
    <t>30.27亿</t>
  </si>
  <si>
    <t>47.82亿</t>
  </si>
  <si>
    <t>6001.55万</t>
  </si>
  <si>
    <t>5794.59万</t>
  </si>
  <si>
    <t>5851.89万</t>
  </si>
  <si>
    <t>184474亿</t>
  </si>
  <si>
    <t>121.65万</t>
  </si>
  <si>
    <t>55501291亿</t>
  </si>
  <si>
    <t>31.59亿</t>
  </si>
  <si>
    <t>813159860亿</t>
  </si>
  <si>
    <t>172.37万</t>
  </si>
  <si>
    <t>5496848100亿</t>
  </si>
  <si>
    <t>4091.13万</t>
  </si>
  <si>
    <t>6184.98万</t>
  </si>
  <si>
    <t>449.02万</t>
  </si>
  <si>
    <t>19.89亿</t>
  </si>
  <si>
    <t>-4.31亿</t>
  </si>
  <si>
    <t>52.64亿</t>
  </si>
  <si>
    <t>10派0.43元(含税)</t>
  </si>
  <si>
    <t>6700.96万</t>
  </si>
  <si>
    <t>060015500</t>
  </si>
  <si>
    <t>0180046500</t>
  </si>
  <si>
    <t>0360093000</t>
  </si>
  <si>
    <t>0600155000</t>
  </si>
  <si>
    <t>01200310000</t>
  </si>
  <si>
    <t>3278.47万</t>
  </si>
  <si>
    <t>83.18亿</t>
  </si>
  <si>
    <t>316.21亿</t>
  </si>
  <si>
    <t>59320000亿</t>
  </si>
  <si>
    <t>623.40万</t>
  </si>
  <si>
    <t>-331504000亿</t>
  </si>
  <si>
    <t>269.37亿</t>
  </si>
  <si>
    <t>1207376000亿</t>
  </si>
  <si>
    <t>1744.20万</t>
  </si>
  <si>
    <t>29734114000亿</t>
  </si>
  <si>
    <t>483.60万</t>
  </si>
  <si>
    <t>4296.40万</t>
  </si>
  <si>
    <t>19.10亿</t>
  </si>
  <si>
    <t>31.90万</t>
  </si>
  <si>
    <t>66.91亿</t>
  </si>
  <si>
    <t>-1.91亿</t>
  </si>
  <si>
    <t>-23.02亿</t>
  </si>
  <si>
    <t>90.55亿</t>
  </si>
  <si>
    <t>-4.92亿</t>
  </si>
  <si>
    <t>905.35万</t>
  </si>
  <si>
    <t>16.14亿</t>
  </si>
  <si>
    <t>-6867.04万</t>
  </si>
  <si>
    <t>7190.22万</t>
  </si>
  <si>
    <t>3420.10万</t>
  </si>
  <si>
    <t>6342.14万</t>
  </si>
  <si>
    <t>-9176615亿</t>
  </si>
  <si>
    <t>86.78万</t>
  </si>
  <si>
    <t>-61531762亿</t>
  </si>
  <si>
    <t>76067238亿</t>
  </si>
  <si>
    <t>1714703400亿</t>
  </si>
  <si>
    <t>197.95万</t>
  </si>
  <si>
    <t>-372.25万</t>
  </si>
  <si>
    <t>-979.32万</t>
  </si>
  <si>
    <t>-8830.61万</t>
  </si>
  <si>
    <t>4945.78万</t>
  </si>
  <si>
    <t>134.08万</t>
  </si>
  <si>
    <t>20.43亿</t>
  </si>
  <si>
    <t>2799.47万</t>
  </si>
  <si>
    <t>2034.57万</t>
  </si>
  <si>
    <t>1595.42万</t>
  </si>
  <si>
    <t>-9327462亿</t>
  </si>
  <si>
    <t>170.86万</t>
  </si>
  <si>
    <t>17377211亿</t>
  </si>
  <si>
    <t>218130630亿</t>
  </si>
  <si>
    <t>894.67万</t>
  </si>
  <si>
    <t>3089308800亿</t>
  </si>
  <si>
    <t>16.20亿</t>
  </si>
  <si>
    <t>-1.55亿</t>
  </si>
  <si>
    <t>-7043.65万</t>
  </si>
  <si>
    <t>1062.12万</t>
  </si>
  <si>
    <t>5028.06万</t>
  </si>
  <si>
    <t>377.78万</t>
  </si>
  <si>
    <t>15.31亿</t>
  </si>
  <si>
    <t>6702.23万</t>
  </si>
  <si>
    <t>341.74万</t>
  </si>
  <si>
    <t>6955.27万</t>
  </si>
  <si>
    <t>5041.61万</t>
  </si>
  <si>
    <t>258.25万</t>
  </si>
  <si>
    <t>604.80万</t>
  </si>
  <si>
    <t>-833334亿</t>
  </si>
  <si>
    <t>894610亿</t>
  </si>
  <si>
    <t>198906620亿</t>
  </si>
  <si>
    <t>2531.25万</t>
  </si>
  <si>
    <t>1050251100亿</t>
  </si>
  <si>
    <t>5200.55万</t>
  </si>
  <si>
    <t>528.19万</t>
  </si>
  <si>
    <t>-1085.07万</t>
  </si>
  <si>
    <t>-2501.88万</t>
  </si>
  <si>
    <t>-8334.30万</t>
  </si>
  <si>
    <t>2384.19万</t>
  </si>
  <si>
    <t>03417400</t>
  </si>
  <si>
    <t>010252200</t>
  </si>
  <si>
    <t>020504400</t>
  </si>
  <si>
    <t>034174000</t>
  </si>
  <si>
    <t>068348000</t>
  </si>
  <si>
    <t>476.90万</t>
  </si>
  <si>
    <t>4854.28万</t>
  </si>
  <si>
    <t>-5150.10万</t>
  </si>
  <si>
    <t>3117.17万</t>
  </si>
  <si>
    <t>1736.84万</t>
  </si>
  <si>
    <t>3565.83万</t>
  </si>
  <si>
    <t>4247053亿</t>
  </si>
  <si>
    <t>-55740675亿</t>
  </si>
  <si>
    <t>239869570亿</t>
  </si>
  <si>
    <t>350.07万</t>
  </si>
  <si>
    <t>1188727150亿</t>
  </si>
  <si>
    <t>7342.54万</t>
  </si>
  <si>
    <t>-7464.55万</t>
  </si>
  <si>
    <t>2423.40万</t>
  </si>
  <si>
    <t>-1277.89万</t>
  </si>
  <si>
    <t>3696.57万</t>
  </si>
  <si>
    <t>2947.27万</t>
  </si>
  <si>
    <t>249.82万</t>
  </si>
  <si>
    <t>1620.84万</t>
  </si>
  <si>
    <t>4276.62万</t>
  </si>
  <si>
    <t>2565.31万</t>
  </si>
  <si>
    <t>2400.47万</t>
  </si>
  <si>
    <t>2103535亿</t>
  </si>
  <si>
    <t>11937717亿</t>
  </si>
  <si>
    <t>89830455亿</t>
  </si>
  <si>
    <t>1582845800亿</t>
  </si>
  <si>
    <t>1436.94万</t>
  </si>
  <si>
    <t>-7066.94万</t>
  </si>
  <si>
    <t>7.44亿</t>
  </si>
  <si>
    <t>10转2股派11元(含税)</t>
  </si>
  <si>
    <t>2029.47万</t>
  </si>
  <si>
    <t>3555.67万</t>
  </si>
  <si>
    <t>20.54亿</t>
  </si>
  <si>
    <t>507.06万</t>
  </si>
  <si>
    <t>1643.50万</t>
  </si>
  <si>
    <t>2347.51万</t>
  </si>
  <si>
    <t>-198133亿</t>
  </si>
  <si>
    <t>17.20万</t>
  </si>
  <si>
    <t>-10099750亿</t>
  </si>
  <si>
    <t>353618440亿</t>
  </si>
  <si>
    <t>192.76万</t>
  </si>
  <si>
    <t>1651706500亿</t>
  </si>
  <si>
    <t>864.10万</t>
  </si>
  <si>
    <t>160.00万</t>
  </si>
  <si>
    <t>-573.55万</t>
  </si>
  <si>
    <t>-1607.10万</t>
  </si>
  <si>
    <t>-2.32亿</t>
  </si>
  <si>
    <t>05070600</t>
  </si>
  <si>
    <t>015211800</t>
  </si>
  <si>
    <t>030423600</t>
  </si>
  <si>
    <t>050706000</t>
  </si>
  <si>
    <t>0101412000</t>
  </si>
  <si>
    <t>678.56万</t>
  </si>
  <si>
    <t>39.10亿</t>
  </si>
  <si>
    <t>32.90亿</t>
  </si>
  <si>
    <t>12.87亿</t>
  </si>
  <si>
    <t>2587.84万</t>
  </si>
  <si>
    <t>12.44亿</t>
  </si>
  <si>
    <t>8.89亿</t>
  </si>
  <si>
    <t>7753.03万</t>
  </si>
  <si>
    <t>2230.88万</t>
  </si>
  <si>
    <t>123.81万</t>
  </si>
  <si>
    <t>24226334亿</t>
  </si>
  <si>
    <t>1206548870亿</t>
  </si>
  <si>
    <t>1763.21万</t>
  </si>
  <si>
    <t>6637355600亿</t>
  </si>
  <si>
    <t>14.45亿</t>
  </si>
  <si>
    <t>674.29万</t>
  </si>
  <si>
    <t>36.70亿</t>
  </si>
  <si>
    <t>-308.74万</t>
  </si>
  <si>
    <t>-452.81万</t>
  </si>
  <si>
    <t>65.03亿</t>
  </si>
  <si>
    <t>10转4股派5.50元(含税)</t>
  </si>
  <si>
    <t>4908.78万</t>
  </si>
  <si>
    <t>025878400</t>
  </si>
  <si>
    <t>077635200</t>
  </si>
  <si>
    <t>0155270400</t>
  </si>
  <si>
    <t>0258784000</t>
  </si>
  <si>
    <t>0517568000</t>
  </si>
  <si>
    <t>405.42万</t>
  </si>
  <si>
    <t>28.16亿</t>
  </si>
  <si>
    <t>989.15万</t>
  </si>
  <si>
    <t>7382.81万</t>
  </si>
  <si>
    <t>1567.04万</t>
  </si>
  <si>
    <t>6367.90万</t>
  </si>
  <si>
    <t>-58645亿</t>
  </si>
  <si>
    <t>-73896052亿</t>
  </si>
  <si>
    <t>218664100亿</t>
  </si>
  <si>
    <t>1256177210亿</t>
  </si>
  <si>
    <t>6198.70万</t>
  </si>
  <si>
    <t>7.19亿</t>
  </si>
  <si>
    <t>-4977.76万</t>
  </si>
  <si>
    <t>-2.03亿</t>
  </si>
  <si>
    <t>6.18亿</t>
  </si>
  <si>
    <t>-2.69亿</t>
  </si>
  <si>
    <t>2159.07万</t>
  </si>
  <si>
    <t>09891500</t>
  </si>
  <si>
    <t>029674500</t>
  </si>
  <si>
    <t>059349000</t>
  </si>
  <si>
    <t>098915000</t>
  </si>
  <si>
    <t>0197830000</t>
  </si>
  <si>
    <t>XR安恒信</t>
  </si>
  <si>
    <t>232.36万</t>
  </si>
  <si>
    <t>24.14亿</t>
  </si>
  <si>
    <t>24.42亿</t>
  </si>
  <si>
    <t>-2.00亿</t>
  </si>
  <si>
    <t>3913.30万</t>
  </si>
  <si>
    <t>-2722071亿</t>
  </si>
  <si>
    <t>13.88万</t>
  </si>
  <si>
    <t>-204236990亿</t>
  </si>
  <si>
    <t>658047340亿</t>
  </si>
  <si>
    <t>40.30万</t>
  </si>
  <si>
    <t>2358783000亿</t>
  </si>
  <si>
    <t>159.85万</t>
  </si>
  <si>
    <t>17.09亿</t>
  </si>
  <si>
    <t>-3.58亿</t>
  </si>
  <si>
    <t>-256.45万</t>
  </si>
  <si>
    <t>2108.54万</t>
  </si>
  <si>
    <t>21.70亿</t>
  </si>
  <si>
    <t>-3.60亿</t>
  </si>
  <si>
    <t>1032.86万</t>
  </si>
  <si>
    <t>5480.98万</t>
  </si>
  <si>
    <t>108.57万</t>
  </si>
  <si>
    <t>7.72亿</t>
  </si>
  <si>
    <t>10.02亿</t>
  </si>
  <si>
    <t>-7540.48万</t>
  </si>
  <si>
    <t>4245.14万</t>
  </si>
  <si>
    <t>9689.39万</t>
  </si>
  <si>
    <t>2127.07万</t>
  </si>
  <si>
    <t>-111897亿</t>
  </si>
  <si>
    <t>3.86万</t>
  </si>
  <si>
    <t>-75786280亿</t>
  </si>
  <si>
    <t>676089500亿</t>
  </si>
  <si>
    <t>2991.36万</t>
  </si>
  <si>
    <t>1275473410亿</t>
  </si>
  <si>
    <t>4826.75万</t>
  </si>
  <si>
    <t>6315.34万</t>
  </si>
  <si>
    <t>-1070.85万</t>
  </si>
  <si>
    <t>-6541.96万</t>
  </si>
  <si>
    <t>4433.21万</t>
  </si>
  <si>
    <t>-1.82亿</t>
  </si>
  <si>
    <t>615.45万</t>
  </si>
  <si>
    <t>3276.70万</t>
  </si>
  <si>
    <t>142.94万</t>
  </si>
  <si>
    <t>13.58亿</t>
  </si>
  <si>
    <t>6273.42万</t>
  </si>
  <si>
    <t>-8866.97万</t>
  </si>
  <si>
    <t>1927.51万</t>
  </si>
  <si>
    <t>5552.21万</t>
  </si>
  <si>
    <t>2688.98万</t>
  </si>
  <si>
    <t>2571879亿</t>
  </si>
  <si>
    <t>6.95万</t>
  </si>
  <si>
    <t>-93453922亿</t>
  </si>
  <si>
    <t>346991740亿</t>
  </si>
  <si>
    <t>289.22万</t>
  </si>
  <si>
    <t>1380846900亿</t>
  </si>
  <si>
    <t>5550.00万</t>
  </si>
  <si>
    <t>7290.72万</t>
  </si>
  <si>
    <t>-478.23万</t>
  </si>
  <si>
    <t>702.03万</t>
  </si>
  <si>
    <t>5867.60万</t>
  </si>
  <si>
    <t>197.12万</t>
  </si>
  <si>
    <t>5431.40万</t>
  </si>
  <si>
    <t>425.25万</t>
  </si>
  <si>
    <t>6301.24万</t>
  </si>
  <si>
    <t>4007.70万</t>
  </si>
  <si>
    <t>600.42万</t>
  </si>
  <si>
    <t>843444亿</t>
  </si>
  <si>
    <t>3653503亿</t>
  </si>
  <si>
    <t>7276.02万</t>
  </si>
  <si>
    <t>442703900亿</t>
  </si>
  <si>
    <t>540.48万</t>
  </si>
  <si>
    <t>853751910亿</t>
  </si>
  <si>
    <t>2867.77万</t>
  </si>
  <si>
    <t>-2886.11万</t>
  </si>
  <si>
    <t>4192.50万</t>
  </si>
  <si>
    <t>-2316.68万</t>
  </si>
  <si>
    <t>1073.12万</t>
  </si>
  <si>
    <t>9387.52万</t>
  </si>
  <si>
    <t>04252500</t>
  </si>
  <si>
    <t>012757500</t>
  </si>
  <si>
    <t>025515000</t>
  </si>
  <si>
    <t>042525000</t>
  </si>
  <si>
    <t>085050000</t>
  </si>
  <si>
    <t>59.61万</t>
  </si>
  <si>
    <t>7.95亿</t>
  </si>
  <si>
    <t>6820.09万</t>
  </si>
  <si>
    <t>-338.08万</t>
  </si>
  <si>
    <t>7586.20万</t>
  </si>
  <si>
    <t>267.73万</t>
  </si>
  <si>
    <t>4037.94万</t>
  </si>
  <si>
    <t>1319.01万</t>
  </si>
  <si>
    <t>2033874亿</t>
  </si>
  <si>
    <t>-3737625亿</t>
  </si>
  <si>
    <t>293189210亿</t>
  </si>
  <si>
    <t>764483980亿</t>
  </si>
  <si>
    <t>885.48万</t>
  </si>
  <si>
    <t>7798.61万</t>
  </si>
  <si>
    <t>-316.41万</t>
  </si>
  <si>
    <t>-5692.04万</t>
  </si>
  <si>
    <t>1451.96万</t>
  </si>
  <si>
    <t>10转4股派2.6元(含税)</t>
  </si>
  <si>
    <t>398.45万</t>
  </si>
  <si>
    <t>1809.01万</t>
  </si>
  <si>
    <t>58.56万</t>
  </si>
  <si>
    <t>4636.47万</t>
  </si>
  <si>
    <t>1217.77万</t>
  </si>
  <si>
    <t>4078.69万</t>
  </si>
  <si>
    <t>2059.43万</t>
  </si>
  <si>
    <t>422.98万</t>
  </si>
  <si>
    <t>582.04万</t>
  </si>
  <si>
    <t>13233亿</t>
  </si>
  <si>
    <t>4.38万</t>
  </si>
  <si>
    <t>11863117亿</t>
  </si>
  <si>
    <t>6759.16万</t>
  </si>
  <si>
    <t>494274050亿</t>
  </si>
  <si>
    <t>4778.33万</t>
  </si>
  <si>
    <t>786517650亿</t>
  </si>
  <si>
    <t>500.48万</t>
  </si>
  <si>
    <t>527.84万</t>
  </si>
  <si>
    <t>6831.64万</t>
  </si>
  <si>
    <t>-2958.65万</t>
  </si>
  <si>
    <t>-214.95万</t>
  </si>
  <si>
    <t>-3.99万</t>
  </si>
  <si>
    <t>8001.10万</t>
  </si>
  <si>
    <t>8431.98万</t>
  </si>
  <si>
    <t>10派3.60元(含税)</t>
  </si>
  <si>
    <t>313.09万</t>
  </si>
  <si>
    <t>2112.09万</t>
  </si>
  <si>
    <t>74.08万</t>
  </si>
  <si>
    <t>26.89亿</t>
  </si>
  <si>
    <t>-2561.11万</t>
  </si>
  <si>
    <t>586.34万</t>
  </si>
  <si>
    <t>8332.45万</t>
  </si>
  <si>
    <t>3279.43万</t>
  </si>
  <si>
    <t>1969514亿</t>
  </si>
  <si>
    <t>18.63万</t>
  </si>
  <si>
    <t>-78290666亿</t>
  </si>
  <si>
    <t>110433204亿</t>
  </si>
  <si>
    <t>388.29万</t>
  </si>
  <si>
    <t>2214568000亿</t>
  </si>
  <si>
    <t>2972.64万</t>
  </si>
  <si>
    <t>2051.18万</t>
  </si>
  <si>
    <t>-1656.38万</t>
  </si>
  <si>
    <t>600.35万</t>
  </si>
  <si>
    <t>6140.64万</t>
  </si>
  <si>
    <t>562.89万</t>
  </si>
  <si>
    <t>2272.98万</t>
  </si>
  <si>
    <t>108.12万</t>
  </si>
  <si>
    <t>25.55亿</t>
  </si>
  <si>
    <t>-1060.90万</t>
  </si>
  <si>
    <t>902.04万</t>
  </si>
  <si>
    <t>8789.35万</t>
  </si>
  <si>
    <t>3537.48万</t>
  </si>
  <si>
    <t>2915681亿</t>
  </si>
  <si>
    <t>31.92万</t>
  </si>
  <si>
    <t>-20656212亿</t>
  </si>
  <si>
    <t>99793767亿</t>
  </si>
  <si>
    <t>2389587100亿</t>
  </si>
  <si>
    <t>598.30万</t>
  </si>
  <si>
    <t>-4606.07万</t>
  </si>
  <si>
    <t>-1511.28万</t>
  </si>
  <si>
    <t>-877.49万</t>
  </si>
  <si>
    <t>-9094.10万</t>
  </si>
  <si>
    <t>712.88万</t>
  </si>
  <si>
    <t>4781.77万</t>
  </si>
  <si>
    <t>43.98万</t>
  </si>
  <si>
    <t>7.68亿</t>
  </si>
  <si>
    <t>5879.16万</t>
  </si>
  <si>
    <t>-974.03万</t>
  </si>
  <si>
    <t>7817.00万</t>
  </si>
  <si>
    <t>1494.42万</t>
  </si>
  <si>
    <t>2585.64万</t>
  </si>
  <si>
    <t>1098.05万</t>
  </si>
  <si>
    <t>1906798亿</t>
  </si>
  <si>
    <t>-13446642亿</t>
  </si>
  <si>
    <t>211234330亿</t>
  </si>
  <si>
    <t>607.38万</t>
  </si>
  <si>
    <t>810777470亿</t>
  </si>
  <si>
    <t>249.33万</t>
  </si>
  <si>
    <t>2517.99万</t>
  </si>
  <si>
    <t>6579.04万</t>
  </si>
  <si>
    <t>-4518.42万</t>
  </si>
  <si>
    <t>4045.39万</t>
  </si>
  <si>
    <t>-336.03万</t>
  </si>
  <si>
    <t>1242.93万</t>
  </si>
  <si>
    <t>10派3.00元(含税)</t>
  </si>
  <si>
    <t>251.50万</t>
  </si>
  <si>
    <t>1726.86万</t>
  </si>
  <si>
    <t>497.84万</t>
  </si>
  <si>
    <t>39.54亿</t>
  </si>
  <si>
    <t>104.06亿</t>
  </si>
  <si>
    <t>12.25亿</t>
  </si>
  <si>
    <t>61397924亿</t>
  </si>
  <si>
    <t>69.17万</t>
  </si>
  <si>
    <t>352094580亿</t>
  </si>
  <si>
    <t>21.11亿</t>
  </si>
  <si>
    <t>552990670亿</t>
  </si>
  <si>
    <t>308.00万</t>
  </si>
  <si>
    <t>10019424400亿</t>
  </si>
  <si>
    <t>28.47亿</t>
  </si>
  <si>
    <t>-14.74亿</t>
  </si>
  <si>
    <t>-4558.80万</t>
  </si>
  <si>
    <t>45.56亿</t>
  </si>
  <si>
    <t>10派8.7957元(含税)</t>
  </si>
  <si>
    <t>2943.70万</t>
  </si>
  <si>
    <t>189.85万</t>
  </si>
  <si>
    <t>6063.67万</t>
  </si>
  <si>
    <t>-3928.46万</t>
  </si>
  <si>
    <t>3635.52万</t>
  </si>
  <si>
    <t>3172.97万</t>
  </si>
  <si>
    <t>1397.60万</t>
  </si>
  <si>
    <t>828457亿</t>
  </si>
  <si>
    <t>-40827241亿</t>
  </si>
  <si>
    <t>200475460亿</t>
  </si>
  <si>
    <t>427.98万</t>
  </si>
  <si>
    <t>768026780亿</t>
  </si>
  <si>
    <t>2691.32万</t>
  </si>
  <si>
    <t>-5287.33万</t>
  </si>
  <si>
    <t>-6078.56万</t>
  </si>
  <si>
    <t>-115.75万</t>
  </si>
  <si>
    <t>-1566.44万</t>
  </si>
  <si>
    <t>1208.54万</t>
  </si>
  <si>
    <t>9313.67万</t>
  </si>
  <si>
    <t>96.77万</t>
  </si>
  <si>
    <t>12.43亿</t>
  </si>
  <si>
    <t>4413.94万</t>
  </si>
  <si>
    <t>-727.37万</t>
  </si>
  <si>
    <t>6357.76万</t>
  </si>
  <si>
    <t>1407.32万</t>
  </si>
  <si>
    <t>1882.19万</t>
  </si>
  <si>
    <t>751.74万</t>
  </si>
  <si>
    <t>5758200亿</t>
  </si>
  <si>
    <t>-13563486亿</t>
  </si>
  <si>
    <t>293341140亿</t>
  </si>
  <si>
    <t>74.36万</t>
  </si>
  <si>
    <t>1229956320亿</t>
  </si>
  <si>
    <t>2473.69万</t>
  </si>
  <si>
    <t>9132.99万</t>
  </si>
  <si>
    <t>-1958.37万</t>
  </si>
  <si>
    <t>6517.25万</t>
  </si>
  <si>
    <t>-1855.92万</t>
  </si>
  <si>
    <t>-3011.83万</t>
  </si>
  <si>
    <t>670.79万</t>
  </si>
  <si>
    <t>3810.61万</t>
  </si>
  <si>
    <t>41.65万</t>
  </si>
  <si>
    <t>5654.45万</t>
  </si>
  <si>
    <t>-3507.16万</t>
  </si>
  <si>
    <t>9465.49万</t>
  </si>
  <si>
    <t>2092.64万</t>
  </si>
  <si>
    <t>2156.88万</t>
  </si>
  <si>
    <t>2177.02万</t>
  </si>
  <si>
    <t>152076亿</t>
  </si>
  <si>
    <t>-35807446亿</t>
  </si>
  <si>
    <t>561188720亿</t>
  </si>
  <si>
    <t>355.96万</t>
  </si>
  <si>
    <t>1104649260亿</t>
  </si>
  <si>
    <t>7099.04万</t>
  </si>
  <si>
    <t>7950.00万</t>
  </si>
  <si>
    <t>-8915.19万</t>
  </si>
  <si>
    <t>-7363.16万</t>
  </si>
  <si>
    <t>8629.05万</t>
  </si>
  <si>
    <t>1178.38万</t>
  </si>
  <si>
    <t>217.33万</t>
  </si>
  <si>
    <t>1385.26万</t>
  </si>
  <si>
    <t>110.98万</t>
  </si>
  <si>
    <t>3077.03万</t>
  </si>
  <si>
    <t>2108.28万</t>
  </si>
  <si>
    <t>387.50万</t>
  </si>
  <si>
    <t>1789.80万</t>
  </si>
  <si>
    <t>1264.94万</t>
  </si>
  <si>
    <t>221.98万</t>
  </si>
  <si>
    <t>185.59万</t>
  </si>
  <si>
    <t>683715亿</t>
  </si>
  <si>
    <t>2596574亿</t>
  </si>
  <si>
    <t>107595775亿</t>
  </si>
  <si>
    <t>415.68万</t>
  </si>
  <si>
    <t>732969970亿</t>
  </si>
  <si>
    <t>6894.84万</t>
  </si>
  <si>
    <t>1601.90万</t>
  </si>
  <si>
    <t>2432.74万</t>
  </si>
  <si>
    <t>-201.21万</t>
  </si>
  <si>
    <t>-350.29万</t>
  </si>
  <si>
    <t>1800.32万</t>
  </si>
  <si>
    <t>10派0.86元(含税)</t>
  </si>
  <si>
    <t>516.81万</t>
  </si>
  <si>
    <t>3842.97万</t>
  </si>
  <si>
    <t>03875000</t>
  </si>
  <si>
    <t>011625000</t>
  </si>
  <si>
    <t>023250000</t>
  </si>
  <si>
    <t>038750000</t>
  </si>
  <si>
    <t>077500000</t>
  </si>
  <si>
    <t>397.82万</t>
  </si>
  <si>
    <t>7061.14万</t>
  </si>
  <si>
    <t>-2976.63万</t>
  </si>
  <si>
    <t>1818.81万</t>
  </si>
  <si>
    <t>2915.03万</t>
  </si>
  <si>
    <t>1317.31万</t>
  </si>
  <si>
    <t>291628亿</t>
  </si>
  <si>
    <t>-30354340亿</t>
  </si>
  <si>
    <t>405360800亿</t>
  </si>
  <si>
    <t>14.76万</t>
  </si>
  <si>
    <t>679783090亿</t>
  </si>
  <si>
    <t>5621.35万</t>
  </si>
  <si>
    <t>-3975.11万</t>
  </si>
  <si>
    <t>921.39万</t>
  </si>
  <si>
    <t>-1839.15万</t>
  </si>
  <si>
    <t>1122.27万</t>
  </si>
  <si>
    <t>10转4.8股派0.3元(含税)</t>
  </si>
  <si>
    <t>2318.91万</t>
  </si>
  <si>
    <t>376.86万</t>
  </si>
  <si>
    <t>20.33亿</t>
  </si>
  <si>
    <t>8181.26万</t>
  </si>
  <si>
    <t>-3647.17万</t>
  </si>
  <si>
    <t>9724.96万</t>
  </si>
  <si>
    <t>468.11万</t>
  </si>
  <si>
    <t>2284.81万</t>
  </si>
  <si>
    <t>1419.73万</t>
  </si>
  <si>
    <t>12745亿</t>
  </si>
  <si>
    <t>-15374147亿</t>
  </si>
  <si>
    <t>88134823亿</t>
  </si>
  <si>
    <t>105.28万</t>
  </si>
  <si>
    <t>1556025000亿</t>
  </si>
  <si>
    <t>8860.49万</t>
  </si>
  <si>
    <t>5743.82万</t>
  </si>
  <si>
    <t>-5326.28万</t>
  </si>
  <si>
    <t>-2298.35万</t>
  </si>
  <si>
    <t>-5225.98万</t>
  </si>
  <si>
    <t>-5631.56万</t>
  </si>
  <si>
    <t>2794.17万</t>
  </si>
  <si>
    <t>124.55万</t>
  </si>
  <si>
    <t>20.01亿</t>
  </si>
  <si>
    <t>4141.46万</t>
  </si>
  <si>
    <t>136469亿</t>
  </si>
  <si>
    <t>3.83万</t>
  </si>
  <si>
    <t>-150661370亿</t>
  </si>
  <si>
    <t>932550900亿</t>
  </si>
  <si>
    <t>824.39万</t>
  </si>
  <si>
    <t>2479559600亿</t>
  </si>
  <si>
    <t>5400.66万</t>
  </si>
  <si>
    <t>1589.63万</t>
  </si>
  <si>
    <t>-2.04亿</t>
  </si>
  <si>
    <t>1870.65万</t>
  </si>
  <si>
    <t>9848.31万</t>
  </si>
  <si>
    <t>-2.91亿</t>
  </si>
  <si>
    <t>2920.28万</t>
  </si>
  <si>
    <t>105.09万</t>
  </si>
  <si>
    <t>55.49亿</t>
  </si>
  <si>
    <t>-5264.46万</t>
  </si>
  <si>
    <t>9260.28万</t>
  </si>
  <si>
    <t>4114.06万</t>
  </si>
  <si>
    <t>3727152亿</t>
  </si>
  <si>
    <t>110.91万</t>
  </si>
  <si>
    <t>-78758475亿</t>
  </si>
  <si>
    <t>1336458090亿</t>
  </si>
  <si>
    <t>2812.02万</t>
  </si>
  <si>
    <t>5273418000亿</t>
  </si>
  <si>
    <t>-1814.00万</t>
  </si>
  <si>
    <t>10派3.6元(含税)</t>
  </si>
  <si>
    <t>672.00万</t>
  </si>
  <si>
    <t>4249.56万</t>
  </si>
  <si>
    <t>-6-1</t>
  </si>
  <si>
    <t>45.86万</t>
  </si>
  <si>
    <t>2944.73万</t>
  </si>
  <si>
    <t>-1996.60万</t>
  </si>
  <si>
    <t>5639.56万</t>
  </si>
  <si>
    <t>1292.34万</t>
  </si>
  <si>
    <t>1222.29万</t>
  </si>
  <si>
    <t>779.58万</t>
  </si>
  <si>
    <t>659100亿</t>
  </si>
  <si>
    <t>-21575309亿</t>
  </si>
  <si>
    <t>288737290亿</t>
  </si>
  <si>
    <t>41.04万</t>
  </si>
  <si>
    <t>966985960亿</t>
  </si>
  <si>
    <t>675.52万</t>
  </si>
  <si>
    <t>9140.05万</t>
  </si>
  <si>
    <t>-4842.05万</t>
  </si>
  <si>
    <t>-2.36亿</t>
  </si>
  <si>
    <t>212.24万</t>
  </si>
  <si>
    <t>5080.64万</t>
  </si>
  <si>
    <t>3110.54万</t>
  </si>
  <si>
    <t>10转4.8股派2.26元(含税)</t>
  </si>
  <si>
    <t>223.68万</t>
  </si>
  <si>
    <t>925.45万</t>
  </si>
  <si>
    <t>111.11万</t>
  </si>
  <si>
    <t>-1185.06万</t>
  </si>
  <si>
    <t>6477.41万</t>
  </si>
  <si>
    <t>2487.79万</t>
  </si>
  <si>
    <t>2093.92万</t>
  </si>
  <si>
    <t>-2975656亿</t>
  </si>
  <si>
    <t>-13035633亿</t>
  </si>
  <si>
    <t>472801710亿</t>
  </si>
  <si>
    <t>68.20万</t>
  </si>
  <si>
    <t>2168688100亿</t>
  </si>
  <si>
    <t>1411.14万</t>
  </si>
  <si>
    <t>8.35亿</t>
  </si>
  <si>
    <t>-9696.30万</t>
  </si>
  <si>
    <t>-5520.03万</t>
  </si>
  <si>
    <t>7588.52万</t>
  </si>
  <si>
    <t>4249.74万</t>
  </si>
  <si>
    <t>597.14万</t>
  </si>
  <si>
    <t>4448.63万</t>
  </si>
  <si>
    <t>48.93万</t>
  </si>
  <si>
    <t>5736.55万</t>
  </si>
  <si>
    <t>4947.64万</t>
  </si>
  <si>
    <t>691.78万</t>
  </si>
  <si>
    <t>4640.13万</t>
  </si>
  <si>
    <t>2034.15万</t>
  </si>
  <si>
    <t>621.76万</t>
  </si>
  <si>
    <t>772.62万</t>
  </si>
  <si>
    <t>-239271亿</t>
  </si>
  <si>
    <t>4865065亿</t>
  </si>
  <si>
    <t>50479655亿</t>
  </si>
  <si>
    <t>835.42万</t>
  </si>
  <si>
    <t>838508290亿</t>
  </si>
  <si>
    <t>2970.89万</t>
  </si>
  <si>
    <t>1825.42万</t>
  </si>
  <si>
    <t>4481.57万</t>
  </si>
  <si>
    <t>-9.12万</t>
  </si>
  <si>
    <t>-4.52亿</t>
  </si>
  <si>
    <t>-76.08万</t>
  </si>
  <si>
    <t>4222.41万</t>
  </si>
  <si>
    <t>315.95万</t>
  </si>
  <si>
    <t>2430.69万</t>
  </si>
  <si>
    <t>184.03万</t>
  </si>
  <si>
    <t>7842.77万</t>
  </si>
  <si>
    <t>-94.12万</t>
  </si>
  <si>
    <t>9521.98万</t>
  </si>
  <si>
    <t>5349.69万</t>
  </si>
  <si>
    <t>1483.72万</t>
  </si>
  <si>
    <t>1122.38万</t>
  </si>
  <si>
    <t>915649亿</t>
  </si>
  <si>
    <t>-3136337亿</t>
  </si>
  <si>
    <t>288486660亿</t>
  </si>
  <si>
    <t>524.75万</t>
  </si>
  <si>
    <t>742473400亿</t>
  </si>
  <si>
    <t>10.67万</t>
  </si>
  <si>
    <t>1658.30万</t>
  </si>
  <si>
    <t>2261.92万</t>
  </si>
  <si>
    <t>8106.32万</t>
  </si>
  <si>
    <t>-8359.50万</t>
  </si>
  <si>
    <t>5184.94万</t>
  </si>
  <si>
    <t>1364.57万</t>
  </si>
  <si>
    <t>5203.96万</t>
  </si>
  <si>
    <t>-2950.56万</t>
  </si>
  <si>
    <t>1013.27万</t>
  </si>
  <si>
    <t>7089.06万</t>
  </si>
  <si>
    <t>229.93万</t>
  </si>
  <si>
    <t>34.83亿</t>
  </si>
  <si>
    <t>7104.62万</t>
  </si>
  <si>
    <t>5019.26万</t>
  </si>
  <si>
    <t>2899.33万</t>
  </si>
  <si>
    <t>1337.52万</t>
  </si>
  <si>
    <t>159.57万</t>
  </si>
  <si>
    <t>194.50万</t>
  </si>
  <si>
    <t>8264956亿</t>
  </si>
  <si>
    <t>41944350亿</t>
  </si>
  <si>
    <t>44339260亿</t>
  </si>
  <si>
    <t>2857154500亿</t>
  </si>
  <si>
    <t>3842.03万</t>
  </si>
  <si>
    <t>14.03万</t>
  </si>
  <si>
    <t>1085.36万</t>
  </si>
  <si>
    <t>-3.96亿</t>
  </si>
  <si>
    <t>10转4股派8元(含税)</t>
  </si>
  <si>
    <t>1149.48万</t>
  </si>
  <si>
    <t>8058.32万</t>
  </si>
  <si>
    <t>050192600</t>
  </si>
  <si>
    <t>0150577800</t>
  </si>
  <si>
    <t>0301155600</t>
  </si>
  <si>
    <t>0501926000</t>
  </si>
  <si>
    <t>01003852000</t>
  </si>
  <si>
    <t>92.81万</t>
  </si>
  <si>
    <t>43.26亿</t>
  </si>
  <si>
    <t>45.80亿</t>
  </si>
  <si>
    <t>7823.52万</t>
  </si>
  <si>
    <t>8744.25万</t>
  </si>
  <si>
    <t>-2929015亿</t>
  </si>
  <si>
    <t>11.08万</t>
  </si>
  <si>
    <t>-219909160亿</t>
  </si>
  <si>
    <t>25.08亿</t>
  </si>
  <si>
    <t>1125336290亿</t>
  </si>
  <si>
    <t>5953617100亿</t>
  </si>
  <si>
    <t>4.93亿</t>
  </si>
  <si>
    <t>39.07亿</t>
  </si>
  <si>
    <t>5004.04万</t>
  </si>
  <si>
    <t>-4.72亿</t>
  </si>
  <si>
    <t>-5672.83万</t>
  </si>
  <si>
    <t>46.78亿</t>
  </si>
  <si>
    <t>-2.17亿</t>
  </si>
  <si>
    <t>453.51万</t>
  </si>
  <si>
    <t>4875.61万</t>
  </si>
  <si>
    <t>XD致远互</t>
  </si>
  <si>
    <t>241.79万</t>
  </si>
  <si>
    <t>-3098.07万</t>
  </si>
  <si>
    <t>5940.94万</t>
  </si>
  <si>
    <t>9611.28万</t>
  </si>
  <si>
    <t>1999.12万</t>
  </si>
  <si>
    <t>279980亿</t>
  </si>
  <si>
    <t>-32084242亿</t>
  </si>
  <si>
    <t>404956140亿</t>
  </si>
  <si>
    <t>1134.98万</t>
  </si>
  <si>
    <t>1421495700亿</t>
  </si>
  <si>
    <t>-2988.87万</t>
  </si>
  <si>
    <t>-686.00万</t>
  </si>
  <si>
    <t>-5001.81万</t>
  </si>
  <si>
    <t>1248.96万</t>
  </si>
  <si>
    <t>6303.85万</t>
  </si>
  <si>
    <t>53.71万</t>
  </si>
  <si>
    <t>8237.84万</t>
  </si>
  <si>
    <t>11.59亿</t>
  </si>
  <si>
    <t>3443.76万</t>
  </si>
  <si>
    <t>-1217.83万</t>
  </si>
  <si>
    <t>5164.46万</t>
  </si>
  <si>
    <t>451.15万</t>
  </si>
  <si>
    <t>1783.26万</t>
  </si>
  <si>
    <t>357.63万</t>
  </si>
  <si>
    <t>2194828亿</t>
  </si>
  <si>
    <t>-15421474亿</t>
  </si>
  <si>
    <t>197405600亿</t>
  </si>
  <si>
    <t>1115548110亿</t>
  </si>
  <si>
    <t>837.87万</t>
  </si>
  <si>
    <t>5238.90万</t>
  </si>
  <si>
    <t>-3209.17万</t>
  </si>
  <si>
    <t>-3071.75万</t>
  </si>
  <si>
    <t>3696.48万</t>
  </si>
  <si>
    <t>4446.46万</t>
  </si>
  <si>
    <t>304.33万</t>
  </si>
  <si>
    <t>2014.77万</t>
  </si>
  <si>
    <t>46.73万</t>
  </si>
  <si>
    <t>19.44亿</t>
  </si>
  <si>
    <t>3201.45万</t>
  </si>
  <si>
    <t>9132.49万</t>
  </si>
  <si>
    <t>422.73万</t>
  </si>
  <si>
    <t>834.50万</t>
  </si>
  <si>
    <t>3.50万</t>
  </si>
  <si>
    <t>20229316亿</t>
  </si>
  <si>
    <t>213326870亿</t>
  </si>
  <si>
    <t>2099.81万</t>
  </si>
  <si>
    <t>1873564800亿</t>
  </si>
  <si>
    <t>-1242.26万</t>
  </si>
  <si>
    <t>-12.28亿</t>
  </si>
  <si>
    <t>-77.09万</t>
  </si>
  <si>
    <t>322.24万</t>
  </si>
  <si>
    <t>2737.35万</t>
  </si>
  <si>
    <t>032014500</t>
  </si>
  <si>
    <t>096043500</t>
  </si>
  <si>
    <t>0192087000</t>
  </si>
  <si>
    <t>0320145000</t>
  </si>
  <si>
    <t>0640290000</t>
  </si>
  <si>
    <t>51.66万</t>
  </si>
  <si>
    <t>28.75亿</t>
  </si>
  <si>
    <t>3186.42万</t>
  </si>
  <si>
    <t>-2126.80万</t>
  </si>
  <si>
    <t>6319.78万</t>
  </si>
  <si>
    <t>1792.10万</t>
  </si>
  <si>
    <t>623.92万</t>
  </si>
  <si>
    <t>1653.99万</t>
  </si>
  <si>
    <t>394093亿</t>
  </si>
  <si>
    <t>-25537306亿</t>
  </si>
  <si>
    <t>495026470亿</t>
  </si>
  <si>
    <t>65.56万</t>
  </si>
  <si>
    <t>2695160900亿</t>
  </si>
  <si>
    <t>2015.14万</t>
  </si>
  <si>
    <t>8144.00万</t>
  </si>
  <si>
    <t>-3638.47万</t>
  </si>
  <si>
    <t>-205.30万</t>
  </si>
  <si>
    <t>-2714.99万</t>
  </si>
  <si>
    <t>5747.70万</t>
  </si>
  <si>
    <t>10转4.6股派3.8元(含税)</t>
  </si>
  <si>
    <t>276.69万</t>
  </si>
  <si>
    <t>1864.66万</t>
  </si>
  <si>
    <t>302.52万</t>
  </si>
  <si>
    <t>60.84亿</t>
  </si>
  <si>
    <t>97.05亿</t>
  </si>
  <si>
    <t>-4.80亿</t>
  </si>
  <si>
    <t>12.42亿</t>
  </si>
  <si>
    <t>-16437442亿</t>
  </si>
  <si>
    <t>505.15万</t>
  </si>
  <si>
    <t>-523525590亿</t>
  </si>
  <si>
    <t>9.21亿</t>
  </si>
  <si>
    <t>6035579200亿</t>
  </si>
  <si>
    <t>9152142500亿</t>
  </si>
  <si>
    <t>39.95万</t>
  </si>
  <si>
    <t>16.31亿</t>
  </si>
  <si>
    <t>44.53亿</t>
  </si>
  <si>
    <t>-2379.79万</t>
  </si>
  <si>
    <t>-4.54亿</t>
  </si>
  <si>
    <t>5763.04万</t>
  </si>
  <si>
    <t>64.42亿</t>
  </si>
  <si>
    <t>7175.04万</t>
  </si>
  <si>
    <t>1813.57万</t>
  </si>
  <si>
    <t>XD山大地</t>
  </si>
  <si>
    <t>337.45万</t>
  </si>
  <si>
    <t>1474.54万</t>
  </si>
  <si>
    <t>5501.56万</t>
  </si>
  <si>
    <t>672.27万</t>
  </si>
  <si>
    <t>1672.37万</t>
  </si>
  <si>
    <t>630521亿</t>
  </si>
  <si>
    <t>34.71万</t>
  </si>
  <si>
    <t>10351340亿</t>
  </si>
  <si>
    <t>195134570亿</t>
  </si>
  <si>
    <t>154.89万</t>
  </si>
  <si>
    <t>703330440亿</t>
  </si>
  <si>
    <t>5168.67万</t>
  </si>
  <si>
    <t>52.60万</t>
  </si>
  <si>
    <t>-1966.63万</t>
  </si>
  <si>
    <t>-3401.55万</t>
  </si>
  <si>
    <t>-12.59万</t>
  </si>
  <si>
    <t>8115.37万</t>
  </si>
  <si>
    <t>2016.06万</t>
  </si>
  <si>
    <t>014745400</t>
  </si>
  <si>
    <t>044236200</t>
  </si>
  <si>
    <t>088472400</t>
  </si>
  <si>
    <t>0147454000</t>
  </si>
  <si>
    <t>0294908000</t>
  </si>
  <si>
    <t>434.60万</t>
  </si>
  <si>
    <t>-982.83万</t>
  </si>
  <si>
    <t>488.82万</t>
  </si>
  <si>
    <t>2029.77万</t>
  </si>
  <si>
    <t>3247060亿</t>
  </si>
  <si>
    <t>-14298008亿</t>
  </si>
  <si>
    <t>150110990亿</t>
  </si>
  <si>
    <t>1033061140亿</t>
  </si>
  <si>
    <t>2171.06万</t>
  </si>
  <si>
    <t>-2041.45万</t>
  </si>
  <si>
    <t>-3296.48万</t>
  </si>
  <si>
    <t>6189.85万</t>
  </si>
  <si>
    <t>8652.65万</t>
  </si>
  <si>
    <t>2426.62万</t>
  </si>
  <si>
    <t>652.11万</t>
  </si>
  <si>
    <t>1511.72万</t>
  </si>
  <si>
    <t>2387.18万</t>
  </si>
  <si>
    <t>3045.41万</t>
  </si>
  <si>
    <t>351965亿</t>
  </si>
  <si>
    <t>13441635亿</t>
  </si>
  <si>
    <t>1200253570亿</t>
  </si>
  <si>
    <t>2232287900亿</t>
  </si>
  <si>
    <t>9542.79万</t>
  </si>
  <si>
    <t>-2.49亿</t>
  </si>
  <si>
    <t>16.83亿</t>
  </si>
  <si>
    <t>6861.52万</t>
  </si>
  <si>
    <t>3251.36万</t>
  </si>
  <si>
    <t>015117200</t>
  </si>
  <si>
    <t>045351600</t>
  </si>
  <si>
    <t>090703200</t>
  </si>
  <si>
    <t>0151172000</t>
  </si>
  <si>
    <t>0302344000</t>
  </si>
  <si>
    <t>183.37万</t>
  </si>
  <si>
    <t>18.55亿</t>
  </si>
  <si>
    <t>-1573.55万</t>
  </si>
  <si>
    <t>2355.97万</t>
  </si>
  <si>
    <t>2666.67万</t>
  </si>
  <si>
    <t>10395亿</t>
  </si>
  <si>
    <t>-18429799亿</t>
  </si>
  <si>
    <t>1274227420亿</t>
  </si>
  <si>
    <t>1322.07万</t>
  </si>
  <si>
    <t>3073806200亿</t>
  </si>
  <si>
    <t>1286.42万</t>
  </si>
  <si>
    <t>6414.99万</t>
  </si>
  <si>
    <t>14.61亿</t>
  </si>
  <si>
    <t>-75.38万</t>
  </si>
  <si>
    <t>16.76亿</t>
  </si>
  <si>
    <t>10派4.1元(含税)</t>
  </si>
  <si>
    <t>1429.21万</t>
  </si>
  <si>
    <t>45.92万</t>
  </si>
  <si>
    <t>9.86亿</t>
  </si>
  <si>
    <t>4221.15万</t>
  </si>
  <si>
    <t>-1008.86万</t>
  </si>
  <si>
    <t>5970.13万</t>
  </si>
  <si>
    <t>1131.78万</t>
  </si>
  <si>
    <t>2705.64万</t>
  </si>
  <si>
    <t>941.14万</t>
  </si>
  <si>
    <t>312484亿</t>
  </si>
  <si>
    <t>1.50万</t>
  </si>
  <si>
    <t>-14346290亿</t>
  </si>
  <si>
    <t>236180470亿</t>
  </si>
  <si>
    <t>19.60万</t>
  </si>
  <si>
    <t>1046346830亿</t>
  </si>
  <si>
    <t>593.53万</t>
  </si>
  <si>
    <t>7341.17万</t>
  </si>
  <si>
    <t>-2032.27万</t>
  </si>
  <si>
    <t>-897.93万</t>
  </si>
  <si>
    <t>4618.60万</t>
  </si>
  <si>
    <t>4250.86万</t>
  </si>
  <si>
    <t>10派0.6027元(含税)</t>
  </si>
  <si>
    <t>295.59万</t>
  </si>
  <si>
    <t>2839.19万</t>
  </si>
  <si>
    <t>8-1</t>
  </si>
  <si>
    <t>14.99万</t>
  </si>
  <si>
    <t>8572.44万</t>
  </si>
  <si>
    <t>14.13亿</t>
  </si>
  <si>
    <t>5625.34万</t>
  </si>
  <si>
    <t>602.64万</t>
  </si>
  <si>
    <t>5538.72万</t>
  </si>
  <si>
    <t>556.20万</t>
  </si>
  <si>
    <t>2508.23万</t>
  </si>
  <si>
    <t>774.13万</t>
  </si>
  <si>
    <t>1048519亿</t>
  </si>
  <si>
    <t>4600953亿</t>
  </si>
  <si>
    <t>31091460亿</t>
  </si>
  <si>
    <t>341.49万</t>
  </si>
  <si>
    <t>1405061300亿</t>
  </si>
  <si>
    <t>265.55万</t>
  </si>
  <si>
    <t>4561.47万</t>
  </si>
  <si>
    <t>-1239.28万</t>
  </si>
  <si>
    <t>2128.96万</t>
  </si>
  <si>
    <t>-907.38万</t>
  </si>
  <si>
    <t>6224.18万</t>
  </si>
  <si>
    <t>5413.86万</t>
  </si>
  <si>
    <t>10转4.6股派10元(含税)</t>
  </si>
  <si>
    <t>166.49万</t>
  </si>
  <si>
    <t>962.26万</t>
  </si>
  <si>
    <t>SH688692</t>
  </si>
  <si>
    <t>达梦数据</t>
  </si>
  <si>
    <t>89.83万</t>
  </si>
  <si>
    <t>5565.18万</t>
  </si>
  <si>
    <t>483.26万</t>
  </si>
  <si>
    <t>6299.57万</t>
  </si>
  <si>
    <t>1832.31万</t>
  </si>
  <si>
    <t>50880300亿</t>
  </si>
  <si>
    <t>10.71亿</t>
  </si>
  <si>
    <t>385288820亿</t>
  </si>
  <si>
    <t>308.75万</t>
  </si>
  <si>
    <t>1577963300亿</t>
  </si>
  <si>
    <t>5395.66万</t>
  </si>
  <si>
    <t>-5481.26万</t>
  </si>
  <si>
    <t>-2179.43万</t>
  </si>
  <si>
    <t>3414.64万</t>
  </si>
  <si>
    <t>8936.12万</t>
  </si>
  <si>
    <t>7334.68万</t>
  </si>
  <si>
    <t>561.53万</t>
  </si>
  <si>
    <t>4872.53万</t>
  </si>
  <si>
    <t>128.11万</t>
  </si>
  <si>
    <t>5820.83万</t>
  </si>
  <si>
    <t>2852.84万</t>
  </si>
  <si>
    <t>226.73万</t>
  </si>
  <si>
    <t>3241.69万</t>
  </si>
  <si>
    <t>420.79万</t>
  </si>
  <si>
    <t>777.51万</t>
  </si>
  <si>
    <t>838.26万</t>
  </si>
  <si>
    <t>2043405亿</t>
  </si>
  <si>
    <t>219513840亿</t>
  </si>
  <si>
    <t>39.40万</t>
  </si>
  <si>
    <t>794996620亿</t>
  </si>
  <si>
    <t>1563.77万</t>
  </si>
  <si>
    <t>2380.62万</t>
  </si>
  <si>
    <t>-2940.72万</t>
  </si>
  <si>
    <t>-84.38万</t>
  </si>
  <si>
    <t>8186.80万</t>
  </si>
  <si>
    <t>6901.64万</t>
  </si>
  <si>
    <t>4842.03万</t>
  </si>
  <si>
    <t>4276.95万</t>
  </si>
  <si>
    <t>2699.68万</t>
  </si>
  <si>
    <t>2031.79万</t>
  </si>
  <si>
    <t>4159.45万</t>
  </si>
  <si>
    <t>6666.34万</t>
  </si>
  <si>
    <t>113.19万</t>
  </si>
  <si>
    <t>10派2.4元(含税)</t>
  </si>
  <si>
    <t>801.86万</t>
  </si>
  <si>
    <t>7979.33万</t>
  </si>
  <si>
    <t>02267300</t>
  </si>
  <si>
    <t>06801900</t>
  </si>
  <si>
    <t>013603800</t>
  </si>
  <si>
    <t>022673000</t>
  </si>
  <si>
    <t>045346000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</si>
</sst>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6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304800</xdr:colOff>
          <xdr:row>0</xdr:row>
          <xdr:rowOff>95250</xdr:rowOff>
        </xdr:from>
        <xdr:to>
          <xdr:col>147</xdr:col>
          <xdr:colOff>1492250</xdr:colOff>
          <xdr:row>0</xdr:row>
          <xdr:rowOff>393700</xdr:rowOff>
        </xdr:to>
        <xdr:sp macro="" textlink="">
          <xdr:nvSpPr>
            <xdr:cNvPr id="2049" name="Button 1" descr="更新基本面按钮&#10;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138"/>
  <sheetViews>
    <sheetView tabSelected="1" zoomScale="85" zoomScaleNormal="85" workbookViewId="0">
      <pane xSplit="3" ySplit="1" topLeftCell="D77" activePane="bottomRight" state="frozen"/>
      <selection pane="topRight" activeCell="D1" sqref="D1"/>
      <selection pane="bottomLeft" activeCell="A2" sqref="A2"/>
      <selection pane="bottomRight" activeCell="C131" sqref="C130:C131"/>
    </sheetView>
  </sheetViews>
  <sheetFormatPr defaultRowHeight="14" x14ac:dyDescent="0.25"/>
  <cols>
    <col min="1" max="1" width="33.6328125" customWidth="1"/>
    <col min="2" max="2" width="37.6328125" customWidth="1"/>
    <col min="3" max="3" width="42" customWidth="1"/>
    <col min="9" max="9" width="13.1796875" customWidth="1"/>
    <col min="16" max="16" width="12.453125" customWidth="1"/>
    <col min="19" max="19" width="9.36328125" customWidth="1"/>
    <col min="148" max="148" width="26.1796875" customWidth="1"/>
  </cols>
  <sheetData>
    <row r="1" spans="1:146" ht="39.5" customHeight="1" x14ac:dyDescent="0.25">
      <c r="A1" s="3" t="s">
        <v>163</v>
      </c>
      <c r="B1" s="4" t="s">
        <v>164</v>
      </c>
      <c r="C1" s="3" t="s">
        <v>165</v>
      </c>
      <c r="D1" t="s">
        <v>1124</v>
      </c>
      <c r="E1" t="s">
        <v>1304</v>
      </c>
      <c r="F1" t="s">
        <v>3</v>
      </c>
      <c r="G1" t="s">
        <v>1643</v>
      </c>
      <c r="H1" t="s">
        <v>1644</v>
      </c>
      <c r="I1" t="s">
        <v>68</v>
      </c>
      <c r="J1" t="s">
        <v>69</v>
      </c>
      <c r="K1" t="s">
        <v>4</v>
      </c>
      <c r="L1" t="s">
        <v>70</v>
      </c>
      <c r="M1" t="s">
        <v>166</v>
      </c>
      <c r="N1" t="s">
        <v>167</v>
      </c>
      <c r="O1" t="s">
        <v>168</v>
      </c>
      <c r="P1" t="s">
        <v>1645</v>
      </c>
      <c r="Q1" t="s">
        <v>1646</v>
      </c>
      <c r="R1" t="s">
        <v>1305</v>
      </c>
      <c r="S1" t="s">
        <v>169</v>
      </c>
      <c r="T1" t="s">
        <v>1647</v>
      </c>
      <c r="U1" t="s">
        <v>1125</v>
      </c>
      <c r="V1" t="s">
        <v>170</v>
      </c>
      <c r="W1" t="s">
        <v>1648</v>
      </c>
      <c r="X1" t="s">
        <v>1649</v>
      </c>
      <c r="Y1" t="s">
        <v>1650</v>
      </c>
      <c r="Z1" t="s">
        <v>1651</v>
      </c>
      <c r="AA1" t="s">
        <v>1652</v>
      </c>
      <c r="AB1" t="s">
        <v>1653</v>
      </c>
      <c r="AC1" t="s">
        <v>1654</v>
      </c>
      <c r="AD1" t="s">
        <v>1655</v>
      </c>
      <c r="AE1" t="s">
        <v>171</v>
      </c>
      <c r="AF1" t="s">
        <v>172</v>
      </c>
      <c r="AG1" t="s">
        <v>1656</v>
      </c>
      <c r="AH1" t="s">
        <v>1657</v>
      </c>
      <c r="AI1" t="s">
        <v>1658</v>
      </c>
      <c r="AJ1" t="s">
        <v>173</v>
      </c>
      <c r="AK1" t="s">
        <v>1659</v>
      </c>
      <c r="AL1" t="s">
        <v>681</v>
      </c>
      <c r="AM1" t="s">
        <v>1660</v>
      </c>
      <c r="AN1" t="s">
        <v>1661</v>
      </c>
      <c r="AO1" t="s">
        <v>1662</v>
      </c>
      <c r="AP1" t="s">
        <v>1663</v>
      </c>
      <c r="AQ1" t="s">
        <v>1664</v>
      </c>
      <c r="AR1" t="s">
        <v>1665</v>
      </c>
      <c r="AS1" t="s">
        <v>1666</v>
      </c>
      <c r="AT1" t="s">
        <v>1667</v>
      </c>
      <c r="AU1" t="s">
        <v>1668</v>
      </c>
      <c r="AV1" t="s">
        <v>1669</v>
      </c>
      <c r="AW1" t="s">
        <v>1670</v>
      </c>
      <c r="AX1" t="s">
        <v>1671</v>
      </c>
      <c r="AY1" t="s">
        <v>1672</v>
      </c>
      <c r="AZ1" t="s">
        <v>682</v>
      </c>
      <c r="BA1" t="s">
        <v>683</v>
      </c>
      <c r="BB1" t="s">
        <v>1129</v>
      </c>
      <c r="BC1" t="s">
        <v>1673</v>
      </c>
      <c r="BD1" t="s">
        <v>1130</v>
      </c>
      <c r="BE1" t="s">
        <v>684</v>
      </c>
      <c r="BF1" t="s">
        <v>685</v>
      </c>
      <c r="BG1" t="s">
        <v>686</v>
      </c>
      <c r="BH1" t="s">
        <v>1674</v>
      </c>
      <c r="BI1" t="s">
        <v>1675</v>
      </c>
      <c r="BJ1" t="s">
        <v>1676</v>
      </c>
      <c r="BK1" t="s">
        <v>1677</v>
      </c>
      <c r="BL1" t="s">
        <v>1678</v>
      </c>
      <c r="BM1" t="s">
        <v>1679</v>
      </c>
      <c r="BN1" t="s">
        <v>1680</v>
      </c>
      <c r="BO1" t="s">
        <v>1306</v>
      </c>
      <c r="BP1" t="s">
        <v>1126</v>
      </c>
      <c r="BQ1" t="s">
        <v>1681</v>
      </c>
      <c r="BR1" t="s">
        <v>1307</v>
      </c>
      <c r="BS1" t="s">
        <v>1127</v>
      </c>
      <c r="BT1" t="s">
        <v>1682</v>
      </c>
      <c r="BU1" t="s">
        <v>1324</v>
      </c>
      <c r="BV1" t="s">
        <v>1683</v>
      </c>
      <c r="BW1" t="s">
        <v>1684</v>
      </c>
      <c r="BX1" t="s">
        <v>1050</v>
      </c>
      <c r="BY1" t="s">
        <v>1685</v>
      </c>
      <c r="BZ1" t="s">
        <v>1686</v>
      </c>
      <c r="CA1" t="s">
        <v>1051</v>
      </c>
      <c r="CB1" t="s">
        <v>1687</v>
      </c>
      <c r="CC1" t="s">
        <v>1688</v>
      </c>
      <c r="CD1" t="s">
        <v>1689</v>
      </c>
      <c r="CE1" t="s">
        <v>1690</v>
      </c>
      <c r="CF1" s="1" t="s">
        <v>1035</v>
      </c>
      <c r="CG1" s="1" t="s">
        <v>1036</v>
      </c>
      <c r="CH1" s="1" t="s">
        <v>1037</v>
      </c>
      <c r="CI1" s="1" t="s">
        <v>1038</v>
      </c>
      <c r="CJ1" s="1" t="s">
        <v>1039</v>
      </c>
      <c r="CK1" s="1" t="s">
        <v>1040</v>
      </c>
      <c r="CL1" s="1" t="s">
        <v>1041</v>
      </c>
      <c r="CM1" s="1" t="s">
        <v>1042</v>
      </c>
      <c r="CN1" s="1" t="s">
        <v>1043</v>
      </c>
      <c r="CO1" s="1" t="s">
        <v>1044</v>
      </c>
      <c r="CP1" s="1" t="s">
        <v>1045</v>
      </c>
      <c r="CQ1" s="1" t="s">
        <v>1046</v>
      </c>
      <c r="CR1" s="1" t="s">
        <v>1704</v>
      </c>
      <c r="CS1" s="1" t="s">
        <v>1691</v>
      </c>
      <c r="CT1" s="1" t="s">
        <v>1705</v>
      </c>
      <c r="CU1" s="1" t="s">
        <v>1442</v>
      </c>
      <c r="CV1" s="1" t="s">
        <v>1692</v>
      </c>
      <c r="CW1" s="1" t="s">
        <v>1693</v>
      </c>
      <c r="CX1">
        <v>1</v>
      </c>
      <c r="CY1" t="s">
        <v>1706</v>
      </c>
      <c r="CZ1" t="s">
        <v>1694</v>
      </c>
      <c r="DA1">
        <v>3</v>
      </c>
      <c r="DB1" t="s">
        <v>1695</v>
      </c>
      <c r="DC1" t="s">
        <v>1707</v>
      </c>
      <c r="DD1">
        <v>6</v>
      </c>
      <c r="DE1" t="s">
        <v>1708</v>
      </c>
      <c r="DF1" t="s">
        <v>1709</v>
      </c>
      <c r="DG1">
        <v>10</v>
      </c>
      <c r="DH1" t="s">
        <v>1710</v>
      </c>
      <c r="DI1" t="s">
        <v>1696</v>
      </c>
      <c r="DJ1">
        <v>20</v>
      </c>
      <c r="DK1" t="s">
        <v>1697</v>
      </c>
      <c r="DL1" t="s">
        <v>1047</v>
      </c>
      <c r="DM1" t="s">
        <v>1048</v>
      </c>
      <c r="DN1" s="2" t="s">
        <v>1049</v>
      </c>
      <c r="DO1" t="s">
        <v>1711</v>
      </c>
      <c r="DP1" t="s">
        <v>1712</v>
      </c>
      <c r="DQ1" s="13" t="s">
        <v>1698</v>
      </c>
      <c r="DR1" s="1" t="s">
        <v>1713</v>
      </c>
      <c r="DS1" s="1" t="s">
        <v>1714</v>
      </c>
      <c r="DT1" t="s">
        <v>1715</v>
      </c>
      <c r="DU1" t="s">
        <v>1716</v>
      </c>
      <c r="DV1" t="s">
        <v>1699</v>
      </c>
      <c r="DW1" t="s">
        <v>1717</v>
      </c>
      <c r="DX1" t="s">
        <v>1700</v>
      </c>
      <c r="DY1" t="s">
        <v>1718</v>
      </c>
      <c r="DZ1" t="s">
        <v>1701</v>
      </c>
      <c r="EA1" t="s">
        <v>1719</v>
      </c>
      <c r="EB1" t="s">
        <v>1720</v>
      </c>
      <c r="EC1" t="s">
        <v>1702</v>
      </c>
      <c r="ED1" t="s">
        <v>1721</v>
      </c>
      <c r="EE1" t="s">
        <v>1703</v>
      </c>
      <c r="EF1" t="s">
        <v>1722</v>
      </c>
      <c r="EG1" t="s">
        <v>1723</v>
      </c>
      <c r="EH1" t="s">
        <v>1724</v>
      </c>
      <c r="EI1" t="s">
        <v>1443</v>
      </c>
      <c r="EK1" s="14" t="s">
        <v>1725</v>
      </c>
      <c r="EL1" t="s">
        <v>1444</v>
      </c>
      <c r="EM1" t="s">
        <v>1726</v>
      </c>
      <c r="EN1" t="s">
        <v>1727</v>
      </c>
      <c r="EO1" t="s">
        <v>1728</v>
      </c>
      <c r="EP1" t="s">
        <v>1729</v>
      </c>
    </row>
    <row r="2" spans="1:146" ht="96" x14ac:dyDescent="0.25">
      <c r="A2" s="7"/>
      <c r="B2" s="7"/>
      <c r="C2" s="7" t="str">
        <f>""&amp;CHAR(10)&amp;Basic_Fundamental_Information_Constructure(F2)&amp;CHAR(10)&amp;Basic_Fundamental_Information_Concatenate("")</f>
        <v xml:space="preserve">
市值13.754311亿, 利润-1075.25万; PE; 平均PE-7.73; 平均PEG-.95, PB7.44; ROIC0%; ROE-48.1367%; 股利率0%; 毛利50.3433%; 净利-226.51%; 上一年度营收增-90.69%, 利润增98.19%; 当季营收增-51.67%, 利润增61.5%; 过往5年营收增-8.16%, 利润增258.79%
Income profile:
</v>
      </c>
      <c r="D2" t="s">
        <v>162</v>
      </c>
      <c r="E2" t="s">
        <v>1730</v>
      </c>
      <c r="F2">
        <v>10.39</v>
      </c>
      <c r="G2">
        <v>-2.9</v>
      </c>
      <c r="H2" t="s">
        <v>2014</v>
      </c>
      <c r="I2">
        <v>1375431100</v>
      </c>
      <c r="K2">
        <v>7.44</v>
      </c>
      <c r="L2" t="s">
        <v>1303</v>
      </c>
      <c r="M2" t="s">
        <v>207</v>
      </c>
      <c r="N2" t="s">
        <v>297</v>
      </c>
      <c r="O2" t="s">
        <v>2015</v>
      </c>
      <c r="P2">
        <v>-27.31</v>
      </c>
      <c r="Q2" t="s">
        <v>2015</v>
      </c>
      <c r="R2">
        <v>-10752478</v>
      </c>
      <c r="S2" s="5">
        <v>-0.44769999999999999</v>
      </c>
      <c r="T2" t="s">
        <v>2016</v>
      </c>
      <c r="U2">
        <v>126288093</v>
      </c>
      <c r="V2">
        <v>132380282</v>
      </c>
      <c r="W2">
        <v>2.21</v>
      </c>
      <c r="X2">
        <v>0.04</v>
      </c>
      <c r="Y2">
        <v>-72.650000000000006</v>
      </c>
      <c r="Z2" t="s">
        <v>2017</v>
      </c>
      <c r="AA2" t="s">
        <v>2018</v>
      </c>
      <c r="AB2" t="s">
        <v>2019</v>
      </c>
      <c r="AC2" t="s">
        <v>2020</v>
      </c>
      <c r="AD2" t="s">
        <v>63</v>
      </c>
      <c r="AE2">
        <v>-167658</v>
      </c>
      <c r="AF2" t="s">
        <v>2021</v>
      </c>
      <c r="AG2" t="s">
        <v>2022</v>
      </c>
      <c r="AH2" t="s">
        <v>2023</v>
      </c>
      <c r="AI2" t="s">
        <v>2024</v>
      </c>
      <c r="AJ2" t="s">
        <v>2025</v>
      </c>
      <c r="AK2" t="s">
        <v>2026</v>
      </c>
      <c r="AL2" t="s">
        <v>2027</v>
      </c>
      <c r="AM2" t="s">
        <v>63</v>
      </c>
      <c r="AN2">
        <v>0</v>
      </c>
      <c r="AO2" t="s">
        <v>63</v>
      </c>
      <c r="AP2" t="s">
        <v>63</v>
      </c>
      <c r="AQ2" t="s">
        <v>2028</v>
      </c>
      <c r="AR2" t="s">
        <v>63</v>
      </c>
      <c r="AS2" t="s">
        <v>366</v>
      </c>
      <c r="AT2" t="s">
        <v>63</v>
      </c>
      <c r="AU2" t="s">
        <v>2029</v>
      </c>
      <c r="AV2" t="s">
        <v>2030</v>
      </c>
      <c r="AW2" t="s">
        <v>63</v>
      </c>
      <c r="AX2" t="s">
        <v>190</v>
      </c>
      <c r="AY2" t="s">
        <v>302</v>
      </c>
      <c r="AZ2" t="s">
        <v>462</v>
      </c>
      <c r="BA2" t="s">
        <v>174</v>
      </c>
      <c r="BB2" t="s">
        <v>630</v>
      </c>
      <c r="BC2" t="s">
        <v>1467</v>
      </c>
      <c r="BD2" t="s">
        <v>905</v>
      </c>
      <c r="BE2" t="s">
        <v>687</v>
      </c>
      <c r="BF2" t="s">
        <v>175</v>
      </c>
      <c r="BG2" t="s">
        <v>689</v>
      </c>
      <c r="BH2" t="s">
        <v>266</v>
      </c>
      <c r="BI2" t="s">
        <v>1734</v>
      </c>
      <c r="BJ2" t="s">
        <v>190</v>
      </c>
      <c r="BK2" t="s">
        <v>724</v>
      </c>
      <c r="BL2" t="s">
        <v>1735</v>
      </c>
      <c r="BM2" t="s">
        <v>1467</v>
      </c>
      <c r="BN2" t="s">
        <v>63</v>
      </c>
      <c r="BO2" t="s">
        <v>63</v>
      </c>
      <c r="BP2" t="s">
        <v>63</v>
      </c>
      <c r="BQ2">
        <v>-10.51</v>
      </c>
      <c r="BR2">
        <v>-91.55</v>
      </c>
      <c r="BS2">
        <v>-42.35</v>
      </c>
      <c r="BT2" t="s">
        <v>1445</v>
      </c>
      <c r="BU2" t="s">
        <v>2031</v>
      </c>
      <c r="BV2">
        <v>57.6</v>
      </c>
      <c r="BW2">
        <v>37.36</v>
      </c>
      <c r="BX2">
        <v>56.07</v>
      </c>
      <c r="BY2">
        <v>-145.51</v>
      </c>
      <c r="BZ2">
        <v>-358.01</v>
      </c>
      <c r="CA2">
        <v>-176.01</v>
      </c>
      <c r="CB2">
        <v>-10.74</v>
      </c>
      <c r="CC2">
        <v>-8.7799999999999994</v>
      </c>
      <c r="CD2" t="s">
        <v>2032</v>
      </c>
      <c r="CE2" t="s">
        <v>235</v>
      </c>
      <c r="CF2" s="9">
        <v>-0.51672375232643608</v>
      </c>
      <c r="CG2" s="10">
        <v>0.61497085195370693</v>
      </c>
      <c r="CH2" s="9">
        <v>-0.90692710876464844</v>
      </c>
      <c r="CI2" s="9">
        <v>-0.42560553550720215</v>
      </c>
      <c r="CJ2" s="9">
        <v>2.846975065767765E-2</v>
      </c>
      <c r="CK2" s="9">
        <v>1.6018518209457397</v>
      </c>
      <c r="CL2" s="9">
        <v>-0.70572209358215332</v>
      </c>
      <c r="CM2" s="10">
        <v>0.98192852735519409</v>
      </c>
      <c r="CN2" s="10">
        <v>-0.16895873844623566</v>
      </c>
      <c r="CO2" s="10">
        <v>-8.8764410018920898</v>
      </c>
      <c r="CP2" s="10">
        <v>19.850196838378906</v>
      </c>
      <c r="CQ2" s="10">
        <v>1.1528997421264648</v>
      </c>
      <c r="CR2">
        <v>-7.7322031427316462</v>
      </c>
      <c r="CS2">
        <v>-0.94772916036715227</v>
      </c>
      <c r="CT2">
        <v>0</v>
      </c>
      <c r="CU2" s="9">
        <v>-8.1586633250117307E-2</v>
      </c>
      <c r="CV2" s="10">
        <v>2.5879250735044481</v>
      </c>
      <c r="CW2">
        <v>0.06</v>
      </c>
      <c r="CX2" t="e">
        <v>#VALUE!</v>
      </c>
      <c r="CY2" t="s">
        <v>1308</v>
      </c>
      <c r="CZ2">
        <v>-8.1586633250117307E-2</v>
      </c>
      <c r="DA2" t="e">
        <v>#VALUE!</v>
      </c>
      <c r="DB2" t="s">
        <v>1309</v>
      </c>
      <c r="DC2">
        <v>-7.7507301587611432E-2</v>
      </c>
      <c r="DD2" t="e">
        <v>#VALUE!</v>
      </c>
      <c r="DE2" t="s">
        <v>1309</v>
      </c>
      <c r="DF2">
        <v>-7.1796237260103229E-2</v>
      </c>
      <c r="DG2" t="e">
        <v>#VALUE!</v>
      </c>
      <c r="DH2" t="s">
        <v>1309</v>
      </c>
      <c r="DI2">
        <v>-6.5269306600093849E-2</v>
      </c>
      <c r="DJ2" t="e">
        <v>#VALUE!</v>
      </c>
      <c r="DK2" t="s">
        <v>1309</v>
      </c>
      <c r="DL2">
        <v>-5.7110643275082112E-2</v>
      </c>
      <c r="DM2">
        <v>-10752500</v>
      </c>
      <c r="DN2">
        <v>-8.1586633250117307E-2</v>
      </c>
      <c r="DO2">
        <v>1412431100</v>
      </c>
      <c r="DP2">
        <v>114369720</v>
      </c>
      <c r="DQ2">
        <v>3</v>
      </c>
      <c r="DR2">
        <v>-0.4351371190763188</v>
      </c>
      <c r="DS2">
        <v>-1.9729542215507412</v>
      </c>
      <c r="DT2" s="11">
        <v>-0.89</v>
      </c>
      <c r="DU2">
        <v>-0.83500000000000008</v>
      </c>
      <c r="DV2">
        <v>-1.7250000000000001</v>
      </c>
      <c r="DW2">
        <v>-5.8175046554934822</v>
      </c>
      <c r="DX2">
        <v>0.47704156862745239</v>
      </c>
      <c r="DY2">
        <v>-5.259182958337898</v>
      </c>
      <c r="DZ2" t="s">
        <v>2000</v>
      </c>
      <c r="EA2" t="e">
        <v>#VALUE!</v>
      </c>
      <c r="EB2" t="e">
        <v>#VALUE!</v>
      </c>
      <c r="EC2">
        <v>0.61070726530103625</v>
      </c>
      <c r="ED2">
        <v>1.9262687474861246</v>
      </c>
      <c r="EE2" s="12">
        <v>1.1310000000000001E-2</v>
      </c>
      <c r="EF2">
        <v>8.8499999999999995E-2</v>
      </c>
      <c r="EG2">
        <v>16.317041568627452</v>
      </c>
      <c r="EH2" t="s">
        <v>1123</v>
      </c>
      <c r="EI2" t="e">
        <v>#VALUE!</v>
      </c>
      <c r="EJ2">
        <v>0</v>
      </c>
      <c r="EK2" s="14">
        <v>45470</v>
      </c>
      <c r="EL2" s="15">
        <v>0.59</v>
      </c>
      <c r="EM2" s="15">
        <v>-6.27</v>
      </c>
      <c r="EN2" s="15">
        <v>-1.36</v>
      </c>
      <c r="EO2" s="15">
        <v>1.91</v>
      </c>
      <c r="EP2" s="15">
        <v>9.98</v>
      </c>
    </row>
    <row r="3" spans="1:146" ht="96" x14ac:dyDescent="0.25">
      <c r="A3" s="7"/>
      <c r="B3" s="7"/>
      <c r="C3" s="7" t="str">
        <f>""&amp;CHAR(10)&amp;Basic_Fundamental_Information_Constructure(F3)&amp;CHAR(10)&amp;Basic_Fundamental_Information_Concatenate("")</f>
        <v xml:space="preserve">
市值68.597077亿, 利润-4038.18万; PE; 平均PE-57.62; 平均PEG-5.15, PB4.97; ROIC0%; ROE-15.9567%; 股利率0%; 毛利19.6533%; 净利-40.54%; 上一年度营收增-84.59%, 利润增52.11%; 当季营收增-52.08%, 利润增52.47%; 过往5年营收增11.19%, 利润增-250.66%
Income profile:
</v>
      </c>
      <c r="D3" t="s">
        <v>1052</v>
      </c>
      <c r="E3" t="s">
        <v>1053</v>
      </c>
      <c r="F3">
        <v>6.97</v>
      </c>
      <c r="G3">
        <v>2.5</v>
      </c>
      <c r="H3" t="s">
        <v>2033</v>
      </c>
      <c r="I3">
        <v>6859707700</v>
      </c>
      <c r="K3">
        <v>4.97</v>
      </c>
      <c r="L3" t="s">
        <v>1303</v>
      </c>
      <c r="M3" t="s">
        <v>1770</v>
      </c>
      <c r="N3" t="s">
        <v>2034</v>
      </c>
      <c r="O3" t="s">
        <v>2035</v>
      </c>
      <c r="P3">
        <v>-14.08</v>
      </c>
      <c r="Q3" t="s">
        <v>2035</v>
      </c>
      <c r="R3">
        <v>-40381786</v>
      </c>
      <c r="S3" s="5">
        <v>7.9399999999999998E-2</v>
      </c>
      <c r="T3" t="s">
        <v>2036</v>
      </c>
      <c r="U3">
        <v>955111490</v>
      </c>
      <c r="V3">
        <v>984176140</v>
      </c>
      <c r="W3">
        <v>1.37</v>
      </c>
      <c r="X3">
        <v>0.02</v>
      </c>
      <c r="Y3">
        <v>-84.27</v>
      </c>
      <c r="Z3" t="s">
        <v>2037</v>
      </c>
      <c r="AA3" t="s">
        <v>2038</v>
      </c>
      <c r="AB3" t="s">
        <v>2039</v>
      </c>
      <c r="AC3" t="s">
        <v>2040</v>
      </c>
      <c r="AD3" t="s">
        <v>63</v>
      </c>
      <c r="AE3">
        <v>1318028</v>
      </c>
      <c r="AF3" t="s">
        <v>2041</v>
      </c>
      <c r="AG3" t="s">
        <v>2042</v>
      </c>
      <c r="AH3" t="s">
        <v>2043</v>
      </c>
      <c r="AI3" t="s">
        <v>1085</v>
      </c>
      <c r="AJ3" t="s">
        <v>2044</v>
      </c>
      <c r="AK3" t="s">
        <v>63</v>
      </c>
      <c r="AL3" t="s">
        <v>2045</v>
      </c>
      <c r="AM3" t="s">
        <v>63</v>
      </c>
      <c r="AN3">
        <v>0</v>
      </c>
      <c r="AO3" t="s">
        <v>565</v>
      </c>
      <c r="AP3" t="s">
        <v>63</v>
      </c>
      <c r="AQ3" t="s">
        <v>2046</v>
      </c>
      <c r="AR3">
        <v>1500</v>
      </c>
      <c r="AS3" t="s">
        <v>509</v>
      </c>
      <c r="AT3" t="s">
        <v>63</v>
      </c>
      <c r="AU3" t="s">
        <v>2047</v>
      </c>
      <c r="AV3" t="s">
        <v>2048</v>
      </c>
      <c r="AW3" t="s">
        <v>2049</v>
      </c>
      <c r="AX3" t="s">
        <v>815</v>
      </c>
      <c r="AY3" t="s">
        <v>443</v>
      </c>
      <c r="AZ3" t="s">
        <v>284</v>
      </c>
      <c r="BA3" t="s">
        <v>260</v>
      </c>
      <c r="BB3" t="s">
        <v>1055</v>
      </c>
      <c r="BC3" t="s">
        <v>2050</v>
      </c>
      <c r="BD3" t="s">
        <v>1135</v>
      </c>
      <c r="BE3" t="s">
        <v>1054</v>
      </c>
      <c r="BF3" t="s">
        <v>1056</v>
      </c>
      <c r="BG3" t="s">
        <v>1057</v>
      </c>
      <c r="BH3" t="s">
        <v>740</v>
      </c>
      <c r="BI3" t="s">
        <v>178</v>
      </c>
      <c r="BJ3" t="s">
        <v>815</v>
      </c>
      <c r="BK3" t="s">
        <v>2051</v>
      </c>
      <c r="BL3" t="s">
        <v>1738</v>
      </c>
      <c r="BM3" t="s">
        <v>2050</v>
      </c>
      <c r="BN3" t="s">
        <v>63</v>
      </c>
      <c r="BO3" t="s">
        <v>63</v>
      </c>
      <c r="BP3" t="s">
        <v>63</v>
      </c>
      <c r="BQ3">
        <v>-16.45</v>
      </c>
      <c r="BR3">
        <v>-11.29</v>
      </c>
      <c r="BS3">
        <v>-20.13</v>
      </c>
      <c r="BT3" t="s">
        <v>1445</v>
      </c>
      <c r="BU3" t="s">
        <v>2052</v>
      </c>
      <c r="BV3">
        <v>24.84</v>
      </c>
      <c r="BW3">
        <v>20.72</v>
      </c>
      <c r="BX3">
        <v>13.4</v>
      </c>
      <c r="BY3">
        <v>-24.33</v>
      </c>
      <c r="BZ3">
        <v>-27.15</v>
      </c>
      <c r="CA3">
        <v>-70.14</v>
      </c>
      <c r="CB3">
        <v>4.5</v>
      </c>
      <c r="CC3">
        <v>-13.52</v>
      </c>
      <c r="CD3" t="s">
        <v>2053</v>
      </c>
      <c r="CE3" t="s">
        <v>365</v>
      </c>
      <c r="CF3" s="9">
        <v>-0.520845</v>
      </c>
      <c r="CG3" s="10">
        <v>0.52465676863297195</v>
      </c>
      <c r="CH3" s="9">
        <v>-0.84593087434768677</v>
      </c>
      <c r="CI3" s="9">
        <v>0.2292490154504776</v>
      </c>
      <c r="CJ3" s="9">
        <v>0.2222222238779068</v>
      </c>
      <c r="CK3" s="9">
        <v>0.5923076868057251</v>
      </c>
      <c r="CL3" s="9">
        <v>0.36154168844223022</v>
      </c>
      <c r="CM3" s="10">
        <v>0.52112221717834473</v>
      </c>
      <c r="CN3" s="10">
        <v>0.52087557315826416</v>
      </c>
      <c r="CO3" s="10">
        <v>0.27572017908096313</v>
      </c>
      <c r="CP3" s="10">
        <v>-14.943240165710449</v>
      </c>
      <c r="CQ3" s="10">
        <v>1.0927010774612427</v>
      </c>
      <c r="CR3">
        <v>-57.622013723191706</v>
      </c>
      <c r="CS3">
        <v>-5.1504353386637431</v>
      </c>
      <c r="CT3">
        <v>0</v>
      </c>
      <c r="CU3" s="9">
        <v>0.11187794804573059</v>
      </c>
      <c r="CV3" s="10">
        <v>-2.5065642237663268</v>
      </c>
      <c r="CW3">
        <v>0.06</v>
      </c>
      <c r="CX3" t="e">
        <v>#VALUE!</v>
      </c>
      <c r="CY3" t="s">
        <v>1308</v>
      </c>
      <c r="CZ3">
        <v>0.11187794804573059</v>
      </c>
      <c r="DA3" t="e">
        <v>#VALUE!</v>
      </c>
      <c r="DB3" t="s">
        <v>1309</v>
      </c>
      <c r="DC3">
        <v>0.10628405064344405</v>
      </c>
      <c r="DD3" t="e">
        <v>#VALUE!</v>
      </c>
      <c r="DE3" t="s">
        <v>1309</v>
      </c>
      <c r="DF3">
        <v>9.8452594280242917E-2</v>
      </c>
      <c r="DG3" t="e">
        <v>#VALUE!</v>
      </c>
      <c r="DH3" t="s">
        <v>1309</v>
      </c>
      <c r="DI3">
        <v>8.9502358436584481E-2</v>
      </c>
      <c r="DJ3" t="e">
        <v>#VALUE!</v>
      </c>
      <c r="DK3" t="s">
        <v>1309</v>
      </c>
      <c r="DL3">
        <v>7.8314563632011405E-2</v>
      </c>
      <c r="DM3">
        <v>-40381800</v>
      </c>
      <c r="DN3">
        <v>0.11187794804573059</v>
      </c>
      <c r="DO3">
        <v>6008707700</v>
      </c>
      <c r="DP3">
        <v>1014653200</v>
      </c>
      <c r="DQ3">
        <v>94</v>
      </c>
      <c r="DR3">
        <v>-0.63272294804573059</v>
      </c>
      <c r="DS3">
        <v>3.031220992399299</v>
      </c>
      <c r="DT3" s="11">
        <v>-0.27333333333333343</v>
      </c>
      <c r="DU3">
        <v>-2.1483333333333334</v>
      </c>
      <c r="DV3">
        <v>-2.4216666666666669</v>
      </c>
      <c r="DW3">
        <v>6.2497225305216428</v>
      </c>
      <c r="DX3">
        <v>0.43070186008230538</v>
      </c>
      <c r="DY3">
        <v>6.0401308751592877</v>
      </c>
      <c r="DZ3">
        <v>4555</v>
      </c>
      <c r="EA3">
        <v>6.004358637125911</v>
      </c>
      <c r="EB3">
        <v>6</v>
      </c>
      <c r="EC3">
        <v>7.9356831389958304E-2</v>
      </c>
      <c r="ED3">
        <v>0.4938140443030859</v>
      </c>
      <c r="EE3" s="12">
        <v>5.0999999999999934E-3</v>
      </c>
      <c r="EF3">
        <v>1.8009999999999998E-2</v>
      </c>
      <c r="EG3">
        <v>27.160701860082305</v>
      </c>
      <c r="EH3">
        <v>-1</v>
      </c>
      <c r="EI3">
        <v>0</v>
      </c>
      <c r="EJ3">
        <v>0</v>
      </c>
      <c r="EK3" s="14">
        <v>45470</v>
      </c>
      <c r="EL3" s="15">
        <v>0.28999999999999998</v>
      </c>
      <c r="EM3" s="15">
        <v>-3.76</v>
      </c>
      <c r="EN3" s="15">
        <v>-0.9</v>
      </c>
      <c r="EO3" s="15">
        <v>4.8499999999999996</v>
      </c>
      <c r="EP3" s="15">
        <v>-2.31</v>
      </c>
    </row>
    <row r="4" spans="1:146" ht="96" x14ac:dyDescent="0.25">
      <c r="A4" s="7"/>
      <c r="B4" s="7"/>
      <c r="C4" s="7" t="str">
        <f>""&amp;CHAR(10)&amp;Basic_Fundamental_Information_Constructure(F4)&amp;CHAR(10)&amp;Basic_Fundamental_Information_Concatenate("")</f>
        <v xml:space="preserve">
市值50.005613亿, 利润-914.28万; PE31.58; 平均PE67.17; 平均PEG6.11, PB1.9; ROIC3.9333%; ROE3.8067%; 股利率.9449%; 毛利14.04%; 净利1.9333%; 上一年度营收增-77.12%, 利润增-106.67%; 当季营收增-48.5%, 利润增-142.58%; 过往5年营收增11%, 利润增-3.99%
Income profile:
</v>
      </c>
      <c r="D4" t="s">
        <v>87</v>
      </c>
      <c r="E4" t="s">
        <v>50</v>
      </c>
      <c r="F4">
        <v>12.7</v>
      </c>
      <c r="G4">
        <v>3.08</v>
      </c>
      <c r="H4" t="s">
        <v>2054</v>
      </c>
      <c r="I4">
        <v>5000561300</v>
      </c>
      <c r="J4">
        <v>31.58</v>
      </c>
      <c r="K4">
        <v>1.9</v>
      </c>
      <c r="L4" t="s">
        <v>1303</v>
      </c>
      <c r="M4" t="s">
        <v>2055</v>
      </c>
      <c r="N4" t="s">
        <v>2056</v>
      </c>
      <c r="O4" t="s">
        <v>2057</v>
      </c>
      <c r="P4">
        <v>5.35</v>
      </c>
      <c r="Q4" t="s">
        <v>2057</v>
      </c>
      <c r="R4">
        <v>-9142832</v>
      </c>
      <c r="S4" s="5">
        <v>0.21759999999999999</v>
      </c>
      <c r="T4" t="s">
        <v>2058</v>
      </c>
      <c r="U4">
        <v>385944340</v>
      </c>
      <c r="V4">
        <v>393744990</v>
      </c>
      <c r="W4">
        <v>3.08</v>
      </c>
      <c r="X4">
        <v>0.22</v>
      </c>
      <c r="Y4">
        <v>-0.64</v>
      </c>
      <c r="Z4" t="s">
        <v>2059</v>
      </c>
      <c r="AA4" t="s">
        <v>2060</v>
      </c>
      <c r="AB4" t="s">
        <v>2061</v>
      </c>
      <c r="AC4" t="s">
        <v>2062</v>
      </c>
      <c r="AD4" t="s">
        <v>63</v>
      </c>
      <c r="AE4">
        <v>2775580</v>
      </c>
      <c r="AF4" t="s">
        <v>2063</v>
      </c>
      <c r="AG4" t="s">
        <v>1948</v>
      </c>
      <c r="AH4" t="s">
        <v>2064</v>
      </c>
      <c r="AI4" t="s">
        <v>1003</v>
      </c>
      <c r="AJ4" t="s">
        <v>2065</v>
      </c>
      <c r="AK4" t="s">
        <v>2066</v>
      </c>
      <c r="AL4" t="s">
        <v>2067</v>
      </c>
      <c r="AM4" t="s">
        <v>63</v>
      </c>
      <c r="AN4">
        <v>0</v>
      </c>
      <c r="AO4" t="s">
        <v>343</v>
      </c>
      <c r="AP4" t="s">
        <v>1858</v>
      </c>
      <c r="AQ4" t="s">
        <v>1547</v>
      </c>
      <c r="AR4" t="s">
        <v>2068</v>
      </c>
      <c r="AS4" t="s">
        <v>2069</v>
      </c>
      <c r="AT4" t="s">
        <v>1441</v>
      </c>
      <c r="AU4" t="s">
        <v>2070</v>
      </c>
      <c r="AV4" t="s">
        <v>2071</v>
      </c>
      <c r="AW4" t="s">
        <v>1328</v>
      </c>
      <c r="AX4" t="s">
        <v>1472</v>
      </c>
      <c r="AY4" t="s">
        <v>1473</v>
      </c>
      <c r="AZ4" t="s">
        <v>705</v>
      </c>
      <c r="BA4" t="s">
        <v>198</v>
      </c>
      <c r="BB4" t="s">
        <v>707</v>
      </c>
      <c r="BC4" t="s">
        <v>325</v>
      </c>
      <c r="BD4" t="s">
        <v>1474</v>
      </c>
      <c r="BE4" t="s">
        <v>706</v>
      </c>
      <c r="BF4" t="s">
        <v>199</v>
      </c>
      <c r="BG4" t="s">
        <v>708</v>
      </c>
      <c r="BH4" t="s">
        <v>2072</v>
      </c>
      <c r="BI4" t="s">
        <v>1740</v>
      </c>
      <c r="BJ4" t="s">
        <v>1472</v>
      </c>
      <c r="BK4" t="s">
        <v>438</v>
      </c>
      <c r="BL4" t="s">
        <v>1741</v>
      </c>
      <c r="BM4" t="s">
        <v>325</v>
      </c>
      <c r="BN4">
        <v>1.9</v>
      </c>
      <c r="BO4">
        <v>5.49</v>
      </c>
      <c r="BP4">
        <v>4.41</v>
      </c>
      <c r="BQ4">
        <v>2.14</v>
      </c>
      <c r="BR4">
        <v>5.51</v>
      </c>
      <c r="BS4">
        <v>3.77</v>
      </c>
      <c r="BT4" t="s">
        <v>1450</v>
      </c>
      <c r="BU4" t="s">
        <v>2052</v>
      </c>
      <c r="BV4">
        <v>12.93</v>
      </c>
      <c r="BW4">
        <v>12.89</v>
      </c>
      <c r="BX4">
        <v>16.3</v>
      </c>
      <c r="BY4">
        <v>1.88</v>
      </c>
      <c r="BZ4">
        <v>1.78</v>
      </c>
      <c r="CA4">
        <v>2.14</v>
      </c>
      <c r="CB4">
        <v>2.83</v>
      </c>
      <c r="CC4">
        <v>-2.61</v>
      </c>
      <c r="CD4" t="s">
        <v>2073</v>
      </c>
      <c r="CE4" t="s">
        <v>213</v>
      </c>
      <c r="CF4" s="9">
        <v>-0.48502364687335781</v>
      </c>
      <c r="CG4" s="10">
        <v>-1.4258243483039836</v>
      </c>
      <c r="CH4" s="9">
        <v>-0.77121514081954956</v>
      </c>
      <c r="CI4" s="9">
        <v>0.52112925052642822</v>
      </c>
      <c r="CJ4" s="9">
        <v>0.3286152184009552</v>
      </c>
      <c r="CK4" s="9">
        <v>0.28337875008583069</v>
      </c>
      <c r="CL4" s="9">
        <v>0.18812951445579529</v>
      </c>
      <c r="CM4" s="10">
        <v>-1.0667357444763184</v>
      </c>
      <c r="CN4" s="10">
        <v>0.52443093061447144</v>
      </c>
      <c r="CO4" s="10">
        <v>-5.3969316184520721E-2</v>
      </c>
      <c r="CP4" s="10">
        <v>0.60526168346405029</v>
      </c>
      <c r="CQ4" s="10">
        <v>-0.20854498445987701</v>
      </c>
      <c r="CR4">
        <v>67.170781571928813</v>
      </c>
      <c r="CS4">
        <v>6.1060173404126674</v>
      </c>
      <c r="CT4">
        <v>0.94488188976377951</v>
      </c>
      <c r="CU4" s="9">
        <v>0.11000751852989196</v>
      </c>
      <c r="CV4" s="10">
        <v>-3.9911486208438873E-2</v>
      </c>
      <c r="CW4">
        <v>0.06</v>
      </c>
      <c r="CX4" t="e">
        <v>#VALUE!</v>
      </c>
      <c r="CY4" t="s">
        <v>1308</v>
      </c>
      <c r="CZ4">
        <v>0.11000751852989196</v>
      </c>
      <c r="DA4" t="e">
        <v>#VALUE!</v>
      </c>
      <c r="DB4" t="s">
        <v>1309</v>
      </c>
      <c r="DC4">
        <v>0.10450714260339736</v>
      </c>
      <c r="DD4" t="e">
        <v>#VALUE!</v>
      </c>
      <c r="DE4" t="s">
        <v>1309</v>
      </c>
      <c r="DF4">
        <v>9.6806616306304924E-2</v>
      </c>
      <c r="DG4" t="e">
        <v>#VALUE!</v>
      </c>
      <c r="DH4" t="s">
        <v>1309</v>
      </c>
      <c r="DI4">
        <v>8.800601482391357E-2</v>
      </c>
      <c r="DJ4" t="e">
        <v>#VALUE!</v>
      </c>
      <c r="DK4" t="s">
        <v>1309</v>
      </c>
      <c r="DL4">
        <v>7.7005262970924374E-2</v>
      </c>
      <c r="DM4">
        <v>-9142800</v>
      </c>
      <c r="DN4">
        <v>0.11000751852989196</v>
      </c>
      <c r="DO4">
        <v>9517561300</v>
      </c>
      <c r="DP4">
        <v>2601689900</v>
      </c>
      <c r="DQ4">
        <v>387</v>
      </c>
      <c r="DR4">
        <v>-0.59503116540324974</v>
      </c>
      <c r="DS4">
        <v>-1.3859128620955448</v>
      </c>
      <c r="DT4" s="11">
        <v>-0.27333333333333343</v>
      </c>
      <c r="DU4">
        <v>-1.365</v>
      </c>
      <c r="DV4">
        <v>-1.6383333333333334</v>
      </c>
      <c r="DW4">
        <v>4.9222614840989403</v>
      </c>
      <c r="DX4">
        <v>0.50709510869565366</v>
      </c>
      <c r="DY4">
        <v>4.2094410719772624</v>
      </c>
      <c r="DZ4">
        <v>1474</v>
      </c>
      <c r="EA4">
        <v>4.1490269545419425</v>
      </c>
      <c r="EB4">
        <v>4</v>
      </c>
      <c r="EC4">
        <v>0.10612325505398812</v>
      </c>
      <c r="ED4">
        <v>0.46730753323362922</v>
      </c>
      <c r="EE4" s="12">
        <v>-2.0518100000000001</v>
      </c>
      <c r="EF4">
        <v>-2.05741</v>
      </c>
      <c r="EG4">
        <v>28.227095108695654</v>
      </c>
      <c r="EH4" t="s">
        <v>1501</v>
      </c>
      <c r="EI4">
        <v>0</v>
      </c>
      <c r="EJ4">
        <v>1</v>
      </c>
      <c r="EK4" s="14">
        <v>45470</v>
      </c>
      <c r="EL4" s="15">
        <v>-1.18</v>
      </c>
      <c r="EM4" s="15">
        <v>-3.89</v>
      </c>
      <c r="EN4" s="15">
        <v>0.08</v>
      </c>
      <c r="EO4" s="15">
        <v>4.08</v>
      </c>
      <c r="EP4" s="15">
        <v>-0.56000000000000005</v>
      </c>
    </row>
    <row r="5" spans="1:146" ht="108" x14ac:dyDescent="0.25">
      <c r="A5" s="7"/>
      <c r="B5" s="7"/>
      <c r="C5" s="7" t="str">
        <f>""&amp;CHAR(10)&amp;Basic_Fundamental_Information_Constructure(F5)&amp;CHAR(10)&amp;Basic_Fundamental_Information_Concatenate("")</f>
        <v xml:space="preserve">
市值99.82703亿, 利润914.54万; PE28.89; 平均PE45.3; 平均PEG9.58, PB2.91; ROIC8.55%; ROE8.8367%; 股利率.4962%; 毛利57.27%; 净利15.89%; 上一年度营收增-78.35%, 利润增-97.17%; 当季营收增-57.53%, 利润增-89.81%; 过往5年营收增-4.73%, 利润增-8.61%
Income profile:
</v>
      </c>
      <c r="D5" t="s">
        <v>133</v>
      </c>
      <c r="E5" t="s">
        <v>53</v>
      </c>
      <c r="F5">
        <v>5.24</v>
      </c>
      <c r="G5">
        <v>1.1599999999999999</v>
      </c>
      <c r="H5" t="s">
        <v>2074</v>
      </c>
      <c r="I5">
        <v>9982703000</v>
      </c>
      <c r="J5">
        <v>28.89</v>
      </c>
      <c r="K5">
        <v>2.91</v>
      </c>
      <c r="L5" t="s">
        <v>1303</v>
      </c>
      <c r="M5" t="s">
        <v>1580</v>
      </c>
      <c r="N5" t="s">
        <v>2075</v>
      </c>
      <c r="O5" t="s">
        <v>458</v>
      </c>
      <c r="P5">
        <v>0.84</v>
      </c>
      <c r="Q5" t="s">
        <v>458</v>
      </c>
      <c r="R5">
        <v>9145437</v>
      </c>
      <c r="S5" s="5">
        <v>0.16470000000000001</v>
      </c>
      <c r="T5" t="s">
        <v>2076</v>
      </c>
      <c r="U5">
        <v>1758535600</v>
      </c>
      <c r="V5">
        <v>1905096000</v>
      </c>
      <c r="W5">
        <v>1.1599999999999999</v>
      </c>
      <c r="X5">
        <v>0.11</v>
      </c>
      <c r="Y5">
        <v>2.0499999999999998</v>
      </c>
      <c r="Z5" t="s">
        <v>395</v>
      </c>
      <c r="AA5" t="s">
        <v>263</v>
      </c>
      <c r="AB5" t="s">
        <v>2077</v>
      </c>
      <c r="AC5" t="s">
        <v>2078</v>
      </c>
      <c r="AD5" t="s">
        <v>63</v>
      </c>
      <c r="AE5">
        <v>-1033760</v>
      </c>
      <c r="AF5" t="s">
        <v>2079</v>
      </c>
      <c r="AG5" t="s">
        <v>2080</v>
      </c>
      <c r="AH5" t="s">
        <v>2081</v>
      </c>
      <c r="AI5" t="s">
        <v>1330</v>
      </c>
      <c r="AJ5" t="s">
        <v>2082</v>
      </c>
      <c r="AK5" t="s">
        <v>2083</v>
      </c>
      <c r="AL5" t="s">
        <v>2084</v>
      </c>
      <c r="AM5" t="s">
        <v>63</v>
      </c>
      <c r="AN5" t="s">
        <v>2085</v>
      </c>
      <c r="AO5" t="s">
        <v>1801</v>
      </c>
      <c r="AP5" t="s">
        <v>63</v>
      </c>
      <c r="AQ5" t="s">
        <v>276</v>
      </c>
      <c r="AR5" t="s">
        <v>63</v>
      </c>
      <c r="AS5" t="s">
        <v>431</v>
      </c>
      <c r="AT5" t="s">
        <v>63</v>
      </c>
      <c r="AU5" t="s">
        <v>1609</v>
      </c>
      <c r="AV5" t="s">
        <v>2086</v>
      </c>
      <c r="AW5" t="s">
        <v>2087</v>
      </c>
      <c r="AX5" t="s">
        <v>434</v>
      </c>
      <c r="AY5" t="s">
        <v>1137</v>
      </c>
      <c r="AZ5" t="s">
        <v>709</v>
      </c>
      <c r="BA5" t="s">
        <v>204</v>
      </c>
      <c r="BB5" t="s">
        <v>712</v>
      </c>
      <c r="BC5" t="s">
        <v>460</v>
      </c>
      <c r="BD5" t="s">
        <v>179</v>
      </c>
      <c r="BE5" t="s">
        <v>393</v>
      </c>
      <c r="BF5" t="s">
        <v>205</v>
      </c>
      <c r="BG5" t="s">
        <v>244</v>
      </c>
      <c r="BH5" t="s">
        <v>1783</v>
      </c>
      <c r="BI5" t="s">
        <v>1532</v>
      </c>
      <c r="BJ5" t="s">
        <v>434</v>
      </c>
      <c r="BK5" t="s">
        <v>539</v>
      </c>
      <c r="BL5" t="s">
        <v>1743</v>
      </c>
      <c r="BM5" t="s">
        <v>460</v>
      </c>
      <c r="BN5">
        <v>4.49</v>
      </c>
      <c r="BO5">
        <v>10.28</v>
      </c>
      <c r="BP5">
        <v>10.88</v>
      </c>
      <c r="BQ5">
        <v>4.7300000000000004</v>
      </c>
      <c r="BR5">
        <v>10.75</v>
      </c>
      <c r="BS5">
        <v>11.03</v>
      </c>
      <c r="BT5" t="s">
        <v>2088</v>
      </c>
      <c r="BU5" t="s">
        <v>2052</v>
      </c>
      <c r="BV5">
        <v>57.21</v>
      </c>
      <c r="BW5">
        <v>55.69</v>
      </c>
      <c r="BX5">
        <v>58.91</v>
      </c>
      <c r="BY5">
        <v>15.05</v>
      </c>
      <c r="BZ5">
        <v>15.91</v>
      </c>
      <c r="CA5">
        <v>16.71</v>
      </c>
      <c r="CB5">
        <v>0</v>
      </c>
      <c r="CC5">
        <v>0.57999999999999996</v>
      </c>
      <c r="CD5" t="s">
        <v>325</v>
      </c>
      <c r="CE5" t="s">
        <v>964</v>
      </c>
      <c r="CF5" s="9">
        <v>-0.57525392428439515</v>
      </c>
      <c r="CG5" s="10">
        <v>-0.8980871271638039</v>
      </c>
      <c r="CH5" s="9">
        <v>-0.78352940082550049</v>
      </c>
      <c r="CI5" s="9">
        <v>0.10966058075428009</v>
      </c>
      <c r="CJ5" s="9">
        <v>0.13179665803909302</v>
      </c>
      <c r="CK5" s="9">
        <v>8.1150203943252563E-2</v>
      </c>
      <c r="CL5" s="9">
        <v>0.22456958889961243</v>
      </c>
      <c r="CM5" s="10">
        <v>-0.97168606519699097</v>
      </c>
      <c r="CN5" s="10">
        <v>5.9016391634941101E-2</v>
      </c>
      <c r="CO5" s="10">
        <v>0.1596958190202713</v>
      </c>
      <c r="CP5" s="10">
        <v>0.15859030187129974</v>
      </c>
      <c r="CQ5" s="10">
        <v>0.16410256922245026</v>
      </c>
      <c r="CR5">
        <v>45.302292773548203</v>
      </c>
      <c r="CS5">
        <v>9.5836341579617876</v>
      </c>
      <c r="CT5">
        <v>0.49618320610687022</v>
      </c>
      <c r="CU5" s="9">
        <v>-4.7270473837852475E-2</v>
      </c>
      <c r="CV5" s="10">
        <v>-8.6056196689605707E-2</v>
      </c>
      <c r="CW5">
        <v>0.06</v>
      </c>
      <c r="CX5">
        <v>768.76932665602385</v>
      </c>
      <c r="CY5" t="s">
        <v>2089</v>
      </c>
      <c r="CZ5">
        <v>-4.7270473837852475E-2</v>
      </c>
      <c r="DA5">
        <v>256.25644221867458</v>
      </c>
      <c r="DB5" t="s">
        <v>2090</v>
      </c>
      <c r="DC5">
        <v>-4.4906950145959849E-2</v>
      </c>
      <c r="DD5">
        <v>128.12822110933729</v>
      </c>
      <c r="DE5" t="s">
        <v>2091</v>
      </c>
      <c r="DF5">
        <v>-4.1598016977310179E-2</v>
      </c>
      <c r="DG5">
        <v>76.876932665602382</v>
      </c>
      <c r="DH5" t="s">
        <v>2092</v>
      </c>
      <c r="DI5">
        <v>-3.7816379070281986E-2</v>
      </c>
      <c r="DJ5">
        <v>38.438466332801191</v>
      </c>
      <c r="DK5" t="s">
        <v>2093</v>
      </c>
      <c r="DL5">
        <v>-3.3089331686496727E-2</v>
      </c>
      <c r="DM5">
        <v>9145400</v>
      </c>
      <c r="DN5">
        <v>-4.7270473837852475E-2</v>
      </c>
      <c r="DO5">
        <v>7030703000</v>
      </c>
      <c r="DP5">
        <v>2669033200</v>
      </c>
      <c r="DQ5">
        <v>581</v>
      </c>
      <c r="DR5">
        <v>-0.52798345044654271</v>
      </c>
      <c r="DS5">
        <v>-0.81203093047419816</v>
      </c>
      <c r="DT5" s="11">
        <v>-0.67333333333333334</v>
      </c>
      <c r="DU5">
        <v>-0.42333333333333339</v>
      </c>
      <c r="DV5">
        <v>-1.0966666666666667</v>
      </c>
      <c r="DW5">
        <v>5.7999999999999996E-3</v>
      </c>
      <c r="DX5">
        <v>0.28530361778588215</v>
      </c>
      <c r="DY5">
        <v>6.1076098315811136E-4</v>
      </c>
      <c r="DZ5">
        <v>1194</v>
      </c>
      <c r="EA5">
        <v>4.6805088259240001E-4</v>
      </c>
      <c r="EB5">
        <v>0</v>
      </c>
      <c r="EC5">
        <v>7.1912386567396083E-2</v>
      </c>
      <c r="ED5">
        <v>0.68290521842468832</v>
      </c>
      <c r="EE5" s="12">
        <v>-2.0395099999999999</v>
      </c>
      <c r="EF5">
        <v>-2.0733100000000002</v>
      </c>
      <c r="EG5">
        <v>18.105303617785882</v>
      </c>
      <c r="EH5" t="s">
        <v>1501</v>
      </c>
      <c r="EI5">
        <v>0</v>
      </c>
      <c r="EJ5">
        <v>1</v>
      </c>
      <c r="EK5" s="14">
        <v>45470</v>
      </c>
      <c r="EL5" s="15">
        <v>0.54</v>
      </c>
      <c r="EM5" s="15">
        <v>-3.42</v>
      </c>
      <c r="EN5" s="15">
        <v>-2.98</v>
      </c>
      <c r="EO5" s="15">
        <v>2.11</v>
      </c>
      <c r="EP5" s="15">
        <v>-3.38</v>
      </c>
    </row>
    <row r="6" spans="1:146" ht="96" x14ac:dyDescent="0.25">
      <c r="A6" s="7"/>
      <c r="B6" s="7"/>
      <c r="C6" s="7" t="str">
        <f>""&amp;CHAR(10)&amp;Basic_Fundamental_Information_Constructure(F6)&amp;CHAR(10)&amp;Basic_Fundamental_Information_Concatenate("")</f>
        <v xml:space="preserve">
市值152.28902亿, 利润1138.97万; PE; 平均PE-189.5; 平均PEG-10.62, PB2.07; ROIC-.68%; ROE-5.2233%; 股利率.1792%; 毛利37.4933%; 净利-14.4167%; 上一年度营收增-75.68%, 利润增101.46%; 当季营收增-47.46%, 利润增-48.94%; 过往5年营收增-17.85%, 利润增-141.54%
Income profile:
</v>
      </c>
      <c r="D6" t="s">
        <v>98</v>
      </c>
      <c r="E6" t="s">
        <v>29</v>
      </c>
      <c r="F6">
        <v>5.58</v>
      </c>
      <c r="G6">
        <v>0.9</v>
      </c>
      <c r="H6" t="s">
        <v>2094</v>
      </c>
      <c r="I6">
        <v>15228902000</v>
      </c>
      <c r="K6">
        <v>2.0699999999999998</v>
      </c>
      <c r="L6" t="s">
        <v>1303</v>
      </c>
      <c r="M6" t="s">
        <v>2095</v>
      </c>
      <c r="N6" t="s">
        <v>2096</v>
      </c>
      <c r="O6" t="s">
        <v>1834</v>
      </c>
      <c r="P6">
        <v>12.56</v>
      </c>
      <c r="Q6" t="s">
        <v>1834</v>
      </c>
      <c r="R6">
        <v>11389736</v>
      </c>
      <c r="S6" s="5">
        <v>0.1096</v>
      </c>
      <c r="T6" t="s">
        <v>2097</v>
      </c>
      <c r="U6">
        <v>1599763800</v>
      </c>
      <c r="V6">
        <v>2729193800</v>
      </c>
      <c r="W6">
        <v>1.18</v>
      </c>
      <c r="X6">
        <v>7.0000000000000007E-2</v>
      </c>
      <c r="Y6">
        <v>1.84</v>
      </c>
      <c r="Z6" t="s">
        <v>1248</v>
      </c>
      <c r="AA6" t="s">
        <v>222</v>
      </c>
      <c r="AB6" t="s">
        <v>2098</v>
      </c>
      <c r="AC6" t="s">
        <v>297</v>
      </c>
      <c r="AD6" t="s">
        <v>63</v>
      </c>
      <c r="AE6">
        <v>-10944626</v>
      </c>
      <c r="AF6" t="s">
        <v>2099</v>
      </c>
      <c r="AG6" t="s">
        <v>2100</v>
      </c>
      <c r="AH6" t="s">
        <v>2101</v>
      </c>
      <c r="AI6" t="s">
        <v>2102</v>
      </c>
      <c r="AJ6" t="s">
        <v>2103</v>
      </c>
      <c r="AK6" t="s">
        <v>2104</v>
      </c>
      <c r="AL6" t="s">
        <v>2105</v>
      </c>
      <c r="AM6" t="s">
        <v>63</v>
      </c>
      <c r="AN6" t="s">
        <v>2106</v>
      </c>
      <c r="AO6" t="s">
        <v>2107</v>
      </c>
      <c r="AP6" t="s">
        <v>63</v>
      </c>
      <c r="AQ6" t="s">
        <v>462</v>
      </c>
      <c r="AR6" t="s">
        <v>63</v>
      </c>
      <c r="AS6" t="s">
        <v>2108</v>
      </c>
      <c r="AT6" t="s">
        <v>63</v>
      </c>
      <c r="AU6" t="s">
        <v>1816</v>
      </c>
      <c r="AV6" t="s">
        <v>1810</v>
      </c>
      <c r="AW6" t="s">
        <v>2109</v>
      </c>
      <c r="AX6" t="s">
        <v>1411</v>
      </c>
      <c r="AY6" t="s">
        <v>1138</v>
      </c>
      <c r="AZ6" t="s">
        <v>714</v>
      </c>
      <c r="BA6" t="s">
        <v>218</v>
      </c>
      <c r="BB6" t="s">
        <v>716</v>
      </c>
      <c r="BC6" t="s">
        <v>1475</v>
      </c>
      <c r="BD6" t="s">
        <v>1139</v>
      </c>
      <c r="BE6" t="s">
        <v>715</v>
      </c>
      <c r="BF6" t="s">
        <v>219</v>
      </c>
      <c r="BG6" t="s">
        <v>282</v>
      </c>
      <c r="BH6" t="s">
        <v>2110</v>
      </c>
      <c r="BI6" t="s">
        <v>1744</v>
      </c>
      <c r="BJ6" t="s">
        <v>1411</v>
      </c>
      <c r="BK6" t="s">
        <v>665</v>
      </c>
      <c r="BL6" t="s">
        <v>1746</v>
      </c>
      <c r="BM6" t="s">
        <v>1475</v>
      </c>
      <c r="BN6">
        <v>-0.68</v>
      </c>
      <c r="BO6" t="s">
        <v>63</v>
      </c>
      <c r="BP6" t="s">
        <v>63</v>
      </c>
      <c r="BQ6">
        <v>0.19</v>
      </c>
      <c r="BR6">
        <v>-10.06</v>
      </c>
      <c r="BS6">
        <v>-5.8</v>
      </c>
      <c r="BT6" t="s">
        <v>1451</v>
      </c>
      <c r="BU6" t="s">
        <v>2052</v>
      </c>
      <c r="BV6">
        <v>37.72</v>
      </c>
      <c r="BW6">
        <v>36.17</v>
      </c>
      <c r="BX6">
        <v>38.590000000000003</v>
      </c>
      <c r="BY6">
        <v>-1.8</v>
      </c>
      <c r="BZ6">
        <v>-28.59</v>
      </c>
      <c r="CA6">
        <v>-12.86</v>
      </c>
      <c r="CB6">
        <v>-2.62</v>
      </c>
      <c r="CC6">
        <v>-16.09</v>
      </c>
      <c r="CD6" t="s">
        <v>2111</v>
      </c>
      <c r="CE6" t="s">
        <v>401</v>
      </c>
      <c r="CF6" s="9">
        <v>-0.4746044962531224</v>
      </c>
      <c r="CG6" s="10">
        <v>-0.48943266989420836</v>
      </c>
      <c r="CH6" s="9">
        <v>-0.7568400502204895</v>
      </c>
      <c r="CI6" s="9">
        <v>-0.19284602999687195</v>
      </c>
      <c r="CJ6" s="9">
        <v>-3.0750639736652374E-2</v>
      </c>
      <c r="CK6" s="9">
        <v>-9.4458125531673431E-2</v>
      </c>
      <c r="CL6" s="9">
        <v>0.18237578868865967</v>
      </c>
      <c r="CM6" s="10">
        <v>1.0146209001541138</v>
      </c>
      <c r="CN6" s="10">
        <v>-0.62970709800720215</v>
      </c>
      <c r="CO6" s="10">
        <v>-6.0730986595153809</v>
      </c>
      <c r="CP6" s="10">
        <v>-1.1836413145065308</v>
      </c>
      <c r="CQ6" s="10">
        <v>-0.20518358051776886</v>
      </c>
      <c r="CR6">
        <v>-189.49657842557181</v>
      </c>
      <c r="CS6">
        <v>-10.615828142965142</v>
      </c>
      <c r="CT6">
        <v>0.17921146953405018</v>
      </c>
      <c r="CU6" s="9">
        <v>-0.17850381135940552</v>
      </c>
      <c r="CV6" s="10">
        <v>-1.4154019504785538</v>
      </c>
      <c r="CW6">
        <v>0.06</v>
      </c>
      <c r="CX6">
        <v>751.37202911402414</v>
      </c>
      <c r="CY6" t="s">
        <v>2112</v>
      </c>
      <c r="CZ6">
        <v>-0.17850381135940552</v>
      </c>
      <c r="DA6">
        <v>250.45734303800805</v>
      </c>
      <c r="DB6" t="s">
        <v>2113</v>
      </c>
      <c r="DC6">
        <v>-0.16957862079143524</v>
      </c>
      <c r="DD6">
        <v>125.22867151900402</v>
      </c>
      <c r="DE6" t="s">
        <v>2114</v>
      </c>
      <c r="DF6">
        <v>-0.15708335399627685</v>
      </c>
      <c r="DG6">
        <v>75.137202911402412</v>
      </c>
      <c r="DH6" t="s">
        <v>2115</v>
      </c>
      <c r="DI6">
        <v>-0.14280304908752442</v>
      </c>
      <c r="DJ6">
        <v>37.568601455701206</v>
      </c>
      <c r="DK6" t="s">
        <v>2116</v>
      </c>
      <c r="DL6">
        <v>-0.12495266795158386</v>
      </c>
      <c r="DM6">
        <v>11389700</v>
      </c>
      <c r="DN6">
        <v>-0.17850381135940552</v>
      </c>
      <c r="DO6">
        <v>8557902000.000001</v>
      </c>
      <c r="DP6">
        <v>4272054600</v>
      </c>
      <c r="DQ6">
        <v>663</v>
      </c>
      <c r="DR6">
        <v>-0.29610068489371688</v>
      </c>
      <c r="DS6">
        <v>0.92596928058434536</v>
      </c>
      <c r="DT6" s="11">
        <v>-0.82333333333333325</v>
      </c>
      <c r="DU6">
        <v>-2.2566666666666668</v>
      </c>
      <c r="DV6">
        <v>-3.08</v>
      </c>
      <c r="DW6">
        <v>-8.1628340584213799</v>
      </c>
      <c r="DX6">
        <v>0.35076641025640926</v>
      </c>
      <c r="DY6">
        <v>-8.0245499064556736</v>
      </c>
      <c r="DZ6">
        <v>4570</v>
      </c>
      <c r="EA6">
        <v>-8.0025943149679186</v>
      </c>
      <c r="EB6">
        <v>8</v>
      </c>
      <c r="EC6">
        <v>2.1544420920199949E-2</v>
      </c>
      <c r="ED6">
        <v>0.14289934265569562</v>
      </c>
      <c r="EE6" s="12">
        <v>-2.02481</v>
      </c>
      <c r="EF6">
        <v>-2.0381100000000001</v>
      </c>
      <c r="EG6">
        <v>20.150766410256409</v>
      </c>
      <c r="EH6" t="s">
        <v>1501</v>
      </c>
      <c r="EI6">
        <v>0</v>
      </c>
      <c r="EJ6">
        <v>0</v>
      </c>
      <c r="EK6" s="14">
        <v>45470</v>
      </c>
      <c r="EL6" s="15">
        <v>-1.48</v>
      </c>
      <c r="EM6" s="15">
        <v>-3.5</v>
      </c>
      <c r="EN6" s="15">
        <v>-3.11</v>
      </c>
      <c r="EO6" s="15">
        <v>6.95</v>
      </c>
      <c r="EP6" s="15">
        <v>-1.33</v>
      </c>
    </row>
    <row r="7" spans="1:146" ht="96" x14ac:dyDescent="0.25">
      <c r="A7" s="7"/>
      <c r="B7" s="7"/>
      <c r="C7" s="7" t="str">
        <f>""&amp;CHAR(10)&amp;Basic_Fundamental_Information_Constructure(F7)&amp;CHAR(10)&amp;Basic_Fundamental_Information_Concatenate("")</f>
        <v xml:space="preserve">
市值25.495077亿, 利润-499.31万; PE163.4; 平均PE-22.6; 平均PEG-.92, PB5.73; ROIC1.885%; ROE-8.6433%; 股利率0%; 毛利20.94%; 净利-6.6033%; 上一年度营收增-76.04%, 利润增96.58%; 当季营收增-53.42%, 利润增-212.54%; 过往5年营收增-24.58%, 利润增-538.29%
Income profile:
</v>
      </c>
      <c r="D7" t="s">
        <v>1060</v>
      </c>
      <c r="E7" t="s">
        <v>1061</v>
      </c>
      <c r="F7">
        <v>3.58</v>
      </c>
      <c r="G7">
        <v>-2.4500000000000002</v>
      </c>
      <c r="H7" t="s">
        <v>2117</v>
      </c>
      <c r="I7">
        <v>2549507700</v>
      </c>
      <c r="J7">
        <v>163.4</v>
      </c>
      <c r="K7">
        <v>5.73</v>
      </c>
      <c r="L7" t="s">
        <v>1303</v>
      </c>
      <c r="M7" t="s">
        <v>845</v>
      </c>
      <c r="N7" t="s">
        <v>1556</v>
      </c>
      <c r="O7" t="s">
        <v>236</v>
      </c>
      <c r="P7">
        <v>7.13</v>
      </c>
      <c r="Q7" t="s">
        <v>236</v>
      </c>
      <c r="R7">
        <v>-4993150</v>
      </c>
      <c r="S7" s="5">
        <v>-3.6179999999999999</v>
      </c>
      <c r="T7" t="s">
        <v>2118</v>
      </c>
      <c r="U7">
        <v>711783160</v>
      </c>
      <c r="V7">
        <v>712153000</v>
      </c>
      <c r="W7">
        <v>2.4500000000000002</v>
      </c>
      <c r="X7">
        <v>0.1</v>
      </c>
      <c r="Y7">
        <v>-3.84</v>
      </c>
      <c r="Z7" t="s">
        <v>181</v>
      </c>
      <c r="AA7" t="s">
        <v>471</v>
      </c>
      <c r="AB7" t="s">
        <v>2119</v>
      </c>
      <c r="AC7" t="s">
        <v>2120</v>
      </c>
      <c r="AD7" t="s">
        <v>63</v>
      </c>
      <c r="AE7">
        <v>1176047</v>
      </c>
      <c r="AF7" t="s">
        <v>2121</v>
      </c>
      <c r="AG7">
        <v>54.27</v>
      </c>
      <c r="AH7" t="s">
        <v>2122</v>
      </c>
      <c r="AI7" t="s">
        <v>658</v>
      </c>
      <c r="AJ7" t="s">
        <v>2123</v>
      </c>
      <c r="AK7" t="s">
        <v>2124</v>
      </c>
      <c r="AL7" t="s">
        <v>2125</v>
      </c>
      <c r="AM7" t="s">
        <v>63</v>
      </c>
      <c r="AN7" t="s">
        <v>2126</v>
      </c>
      <c r="AO7" t="s">
        <v>321</v>
      </c>
      <c r="AP7" t="s">
        <v>2127</v>
      </c>
      <c r="AQ7" t="s">
        <v>840</v>
      </c>
      <c r="AR7" t="s">
        <v>63</v>
      </c>
      <c r="AS7" t="s">
        <v>953</v>
      </c>
      <c r="AT7" t="s">
        <v>2128</v>
      </c>
      <c r="AU7" t="s">
        <v>2129</v>
      </c>
      <c r="AV7" t="s">
        <v>2130</v>
      </c>
      <c r="AW7" t="s">
        <v>2131</v>
      </c>
      <c r="AX7" t="s">
        <v>819</v>
      </c>
      <c r="AY7" t="s">
        <v>770</v>
      </c>
      <c r="AZ7" t="s">
        <v>247</v>
      </c>
      <c r="BA7" t="s">
        <v>974</v>
      </c>
      <c r="BB7" t="s">
        <v>901</v>
      </c>
      <c r="BC7" t="s">
        <v>1391</v>
      </c>
      <c r="BD7" t="s">
        <v>1140</v>
      </c>
      <c r="BE7" t="s">
        <v>1062</v>
      </c>
      <c r="BF7" t="s">
        <v>1064</v>
      </c>
      <c r="BG7" t="s">
        <v>1065</v>
      </c>
      <c r="BH7" t="s">
        <v>1731</v>
      </c>
      <c r="BI7" t="s">
        <v>327</v>
      </c>
      <c r="BJ7" t="s">
        <v>819</v>
      </c>
      <c r="BK7" t="s">
        <v>2132</v>
      </c>
      <c r="BL7" t="s">
        <v>1747</v>
      </c>
      <c r="BM7" t="s">
        <v>1391</v>
      </c>
      <c r="BN7">
        <v>2.12</v>
      </c>
      <c r="BO7" t="s">
        <v>63</v>
      </c>
      <c r="BP7">
        <v>1.65</v>
      </c>
      <c r="BQ7">
        <v>1.95</v>
      </c>
      <c r="BR7">
        <v>-29.46</v>
      </c>
      <c r="BS7">
        <v>1.58</v>
      </c>
      <c r="BT7" t="s">
        <v>1445</v>
      </c>
      <c r="BU7" t="s">
        <v>2052</v>
      </c>
      <c r="BV7">
        <v>25.52</v>
      </c>
      <c r="BW7">
        <v>17.87</v>
      </c>
      <c r="BX7">
        <v>19.43</v>
      </c>
      <c r="BY7">
        <v>3.81</v>
      </c>
      <c r="BZ7">
        <v>-24.71</v>
      </c>
      <c r="CA7">
        <v>1.0900000000000001</v>
      </c>
      <c r="CB7">
        <v>-1.38</v>
      </c>
      <c r="CC7">
        <v>-9.14</v>
      </c>
      <c r="CD7" t="s">
        <v>481</v>
      </c>
      <c r="CE7" t="s">
        <v>2133</v>
      </c>
      <c r="CF7" s="9">
        <v>-0.53416149068322982</v>
      </c>
      <c r="CG7" s="10">
        <v>-2.1253944284168771</v>
      </c>
      <c r="CH7" s="9">
        <v>-0.76038336753845215</v>
      </c>
      <c r="CI7" s="9">
        <v>-0.23378212749958038</v>
      </c>
      <c r="CJ7" s="9">
        <v>0.23787878453731537</v>
      </c>
      <c r="CK7" s="9">
        <v>-0.28104576468467712</v>
      </c>
      <c r="CL7" s="9">
        <v>-0.19190141558647156</v>
      </c>
      <c r="CM7" s="10">
        <v>0.96580064296722412</v>
      </c>
      <c r="CN7" s="10">
        <v>-17.216455459594727</v>
      </c>
      <c r="CO7" s="10">
        <v>1.0331000089645386</v>
      </c>
      <c r="CP7" s="10">
        <v>-12.777849197387695</v>
      </c>
      <c r="CQ7" s="10">
        <v>1.0807490348815918</v>
      </c>
      <c r="CR7">
        <v>-22.598823127403527</v>
      </c>
      <c r="CS7">
        <v>-0.9192238880272483</v>
      </c>
      <c r="CT7">
        <v>0</v>
      </c>
      <c r="CU7" s="9">
        <v>-0.24584677815437317</v>
      </c>
      <c r="CV7" s="10">
        <v>-5.3829309940338135</v>
      </c>
      <c r="CW7">
        <v>0.06</v>
      </c>
      <c r="CX7" t="e">
        <v>#VALUE!</v>
      </c>
      <c r="CY7" t="s">
        <v>1308</v>
      </c>
      <c r="CZ7">
        <v>-0.24584677815437317</v>
      </c>
      <c r="DA7" t="e">
        <v>#VALUE!</v>
      </c>
      <c r="DB7" t="s">
        <v>1309</v>
      </c>
      <c r="DC7">
        <v>-0.2335544392466545</v>
      </c>
      <c r="DD7" t="e">
        <v>#VALUE!</v>
      </c>
      <c r="DE7" t="s">
        <v>1309</v>
      </c>
      <c r="DF7">
        <v>-0.21634516477584839</v>
      </c>
      <c r="DG7" t="e">
        <v>#VALUE!</v>
      </c>
      <c r="DH7" t="s">
        <v>1309</v>
      </c>
      <c r="DI7">
        <v>-0.19667742252349854</v>
      </c>
      <c r="DJ7" t="e">
        <v>#VALUE!</v>
      </c>
      <c r="DK7" t="s">
        <v>1309</v>
      </c>
      <c r="DL7">
        <v>-0.17209274470806121</v>
      </c>
      <c r="DM7">
        <v>-4993100</v>
      </c>
      <c r="DN7">
        <v>-0.24584677815437317</v>
      </c>
      <c r="DO7">
        <v>2893507700</v>
      </c>
      <c r="DP7">
        <v>196107819.99999988</v>
      </c>
      <c r="DQ7">
        <v>688</v>
      </c>
      <c r="DR7">
        <v>-0.28831471252885665</v>
      </c>
      <c r="DS7">
        <v>3.2575365656169364</v>
      </c>
      <c r="DT7" s="11">
        <v>-1.0066666666666666</v>
      </c>
      <c r="DU7">
        <v>-1.8816666666666668</v>
      </c>
      <c r="DV7">
        <v>-2.8883333333333336</v>
      </c>
      <c r="DW7">
        <v>-2.0914000000000001</v>
      </c>
      <c r="DX7">
        <v>0.40317604355716841</v>
      </c>
      <c r="DY7">
        <v>-2.0231402903811251</v>
      </c>
      <c r="DZ7">
        <v>4487</v>
      </c>
      <c r="EA7">
        <v>-2.0028212134848222</v>
      </c>
      <c r="EB7">
        <v>2</v>
      </c>
      <c r="EC7">
        <v>0.39176974610792903</v>
      </c>
      <c r="ED7">
        <v>1.5474202874944007</v>
      </c>
      <c r="EE7" s="12">
        <v>2.1291099999999998</v>
      </c>
      <c r="EF7">
        <v>2.0291100000000002</v>
      </c>
      <c r="EG7">
        <v>15.253176043557168</v>
      </c>
      <c r="EH7" t="s">
        <v>1325</v>
      </c>
      <c r="EI7">
        <v>0</v>
      </c>
      <c r="EJ7">
        <v>0</v>
      </c>
      <c r="EK7" s="14">
        <v>45470</v>
      </c>
      <c r="EL7" s="15">
        <v>2.71</v>
      </c>
      <c r="EM7" s="15">
        <v>-10.07</v>
      </c>
      <c r="EN7" s="15">
        <v>-7.73</v>
      </c>
      <c r="EO7" s="15">
        <v>1.1599999999999999</v>
      </c>
      <c r="EP7" s="15">
        <v>10</v>
      </c>
    </row>
    <row r="8" spans="1:146" ht="96" x14ac:dyDescent="0.25">
      <c r="A8" s="7"/>
      <c r="B8" s="7"/>
      <c r="C8" s="7" t="str">
        <f>""&amp;CHAR(10)&amp;Basic_Fundamental_Information_Constructure(F8)&amp;CHAR(10)&amp;Basic_Fundamental_Information_Concatenate("")</f>
        <v xml:space="preserve">
市值55.906114亿, 利润-8931.36万; PE; 平均PE20.56; 平均PEG.79, PB.601; ROIC2.185%; ROE.6833%; 股利率0%; 毛利59.7733%; 净利.2167%; 上一年度营收增-88.09%, 利润增-143.57%; 当季营收增-58.01%, 利润增57.87%; 过往5年营收增-26.13%, 利润增-42.9%
Income profile:
</v>
      </c>
      <c r="D8" t="s">
        <v>123</v>
      </c>
      <c r="E8" t="s">
        <v>719</v>
      </c>
      <c r="F8">
        <v>4.74</v>
      </c>
      <c r="G8">
        <v>1.07</v>
      </c>
      <c r="H8" t="s">
        <v>2134</v>
      </c>
      <c r="I8">
        <v>5590611400</v>
      </c>
      <c r="K8">
        <v>0.60099999999999998</v>
      </c>
      <c r="L8" t="s">
        <v>1303</v>
      </c>
      <c r="M8" t="s">
        <v>1854</v>
      </c>
      <c r="N8" t="s">
        <v>2135</v>
      </c>
      <c r="O8" t="s">
        <v>450</v>
      </c>
      <c r="P8">
        <v>-9.93</v>
      </c>
      <c r="Q8" t="s">
        <v>450</v>
      </c>
      <c r="R8">
        <v>-89313613</v>
      </c>
      <c r="S8" s="5">
        <v>2.12E-2</v>
      </c>
      <c r="T8" t="s">
        <v>2136</v>
      </c>
      <c r="U8">
        <v>1167376930</v>
      </c>
      <c r="V8">
        <v>1179453880</v>
      </c>
      <c r="W8">
        <v>1.17</v>
      </c>
      <c r="X8">
        <v>0.04</v>
      </c>
      <c r="Y8">
        <v>-21.26</v>
      </c>
      <c r="Z8" t="s">
        <v>822</v>
      </c>
      <c r="AA8" t="s">
        <v>576</v>
      </c>
      <c r="AB8" t="s">
        <v>534</v>
      </c>
      <c r="AC8" t="s">
        <v>2137</v>
      </c>
      <c r="AD8" t="s">
        <v>63</v>
      </c>
      <c r="AE8">
        <v>-2317056</v>
      </c>
      <c r="AF8" t="s">
        <v>2138</v>
      </c>
      <c r="AG8" t="s">
        <v>1828</v>
      </c>
      <c r="AH8" t="s">
        <v>2139</v>
      </c>
      <c r="AI8" t="s">
        <v>1089</v>
      </c>
      <c r="AJ8" t="s">
        <v>2140</v>
      </c>
      <c r="AK8" t="s">
        <v>2141</v>
      </c>
      <c r="AL8" t="s">
        <v>2142</v>
      </c>
      <c r="AM8" t="s">
        <v>63</v>
      </c>
      <c r="AN8">
        <v>0</v>
      </c>
      <c r="AO8" t="s">
        <v>63</v>
      </c>
      <c r="AP8" t="s">
        <v>2143</v>
      </c>
      <c r="AQ8" t="s">
        <v>1387</v>
      </c>
      <c r="AR8" t="s">
        <v>2144</v>
      </c>
      <c r="AS8" t="s">
        <v>2145</v>
      </c>
      <c r="AT8" t="s">
        <v>63</v>
      </c>
      <c r="AU8" t="s">
        <v>1393</v>
      </c>
      <c r="AV8" t="s">
        <v>1315</v>
      </c>
      <c r="AW8" t="s">
        <v>2146</v>
      </c>
      <c r="AX8" t="s">
        <v>1478</v>
      </c>
      <c r="AY8" t="s">
        <v>1142</v>
      </c>
      <c r="AZ8" t="s">
        <v>720</v>
      </c>
      <c r="BA8" t="s">
        <v>233</v>
      </c>
      <c r="BB8" t="s">
        <v>721</v>
      </c>
      <c r="BC8" t="s">
        <v>565</v>
      </c>
      <c r="BD8" t="s">
        <v>385</v>
      </c>
      <c r="BE8" t="s">
        <v>506</v>
      </c>
      <c r="BF8" t="s">
        <v>234</v>
      </c>
      <c r="BG8" t="s">
        <v>722</v>
      </c>
      <c r="BH8" t="s">
        <v>2147</v>
      </c>
      <c r="BI8" t="s">
        <v>1563</v>
      </c>
      <c r="BJ8" t="s">
        <v>1478</v>
      </c>
      <c r="BK8" t="s">
        <v>1892</v>
      </c>
      <c r="BL8" t="s">
        <v>1748</v>
      </c>
      <c r="BM8" t="s">
        <v>565</v>
      </c>
      <c r="BN8" t="s">
        <v>63</v>
      </c>
      <c r="BO8">
        <v>2.09</v>
      </c>
      <c r="BP8">
        <v>2.2799999999999998</v>
      </c>
      <c r="BQ8">
        <v>-2.56</v>
      </c>
      <c r="BR8">
        <v>2.13</v>
      </c>
      <c r="BS8">
        <v>2.48</v>
      </c>
      <c r="BT8" t="s">
        <v>1445</v>
      </c>
      <c r="BU8" t="s">
        <v>2031</v>
      </c>
      <c r="BV8">
        <v>60.19</v>
      </c>
      <c r="BW8">
        <v>59.72</v>
      </c>
      <c r="BX8">
        <v>59.41</v>
      </c>
      <c r="BY8">
        <v>-11.89</v>
      </c>
      <c r="BZ8">
        <v>5.79</v>
      </c>
      <c r="CA8">
        <v>6.75</v>
      </c>
      <c r="CB8">
        <v>-2.67</v>
      </c>
      <c r="CC8">
        <v>-18.28</v>
      </c>
      <c r="CD8" t="s">
        <v>2148</v>
      </c>
      <c r="CE8" t="s">
        <v>517</v>
      </c>
      <c r="CF8" s="9">
        <v>-0.58009950248756226</v>
      </c>
      <c r="CG8" s="10">
        <v>0.57870937264150946</v>
      </c>
      <c r="CH8" s="9">
        <v>-0.88089185953140259</v>
      </c>
      <c r="CI8" s="9">
        <v>5.6980926543474197E-2</v>
      </c>
      <c r="CJ8" s="9">
        <v>-0.41234222054481506</v>
      </c>
      <c r="CK8" s="9">
        <v>-0.19560003280639648</v>
      </c>
      <c r="CL8" s="9">
        <v>0.12555548548698425</v>
      </c>
      <c r="CM8" s="10">
        <v>-1.435676097869873</v>
      </c>
      <c r="CN8" s="10">
        <v>-0.10869564861059189</v>
      </c>
      <c r="CO8" s="10">
        <v>-0.42500001192092896</v>
      </c>
      <c r="CP8" s="10">
        <v>-2.4937656708061695E-3</v>
      </c>
      <c r="CQ8" s="10">
        <v>-0.17319588363170624</v>
      </c>
      <c r="CR8">
        <v>20.557668679471742</v>
      </c>
      <c r="CS8">
        <v>0.7868676744229538</v>
      </c>
      <c r="CT8">
        <v>0</v>
      </c>
      <c r="CU8" s="9">
        <v>-0.26125954017043113</v>
      </c>
      <c r="CV8" s="10">
        <v>-0.42901228154078125</v>
      </c>
      <c r="CW8">
        <v>0.06</v>
      </c>
      <c r="CX8" t="s">
        <v>2002</v>
      </c>
      <c r="CY8" t="s">
        <v>1308</v>
      </c>
      <c r="CZ8">
        <v>-0.26125954017043113</v>
      </c>
      <c r="DA8" t="s">
        <v>2002</v>
      </c>
      <c r="DB8" t="s">
        <v>1309</v>
      </c>
      <c r="DC8">
        <v>-0.24819656316190955</v>
      </c>
      <c r="DD8" t="s">
        <v>2002</v>
      </c>
      <c r="DE8" t="s">
        <v>1309</v>
      </c>
      <c r="DF8">
        <v>-0.22990839534997939</v>
      </c>
      <c r="DG8" t="s">
        <v>2002</v>
      </c>
      <c r="DH8" t="s">
        <v>1309</v>
      </c>
      <c r="DI8">
        <v>-0.20900763213634491</v>
      </c>
      <c r="DJ8" t="s">
        <v>2002</v>
      </c>
      <c r="DK8" t="s">
        <v>1309</v>
      </c>
      <c r="DL8">
        <v>-0.18288167811930178</v>
      </c>
      <c r="DM8">
        <v>-89313600</v>
      </c>
      <c r="DN8">
        <v>-0.26125954017043113</v>
      </c>
      <c r="DO8">
        <v>-1985388600</v>
      </c>
      <c r="DP8">
        <v>2713382400</v>
      </c>
      <c r="DQ8">
        <v>722</v>
      </c>
      <c r="DR8">
        <v>-0.31883996231713113</v>
      </c>
      <c r="DS8">
        <v>1.0077216541822906</v>
      </c>
      <c r="DT8" s="11">
        <v>-1.0233333333333332</v>
      </c>
      <c r="DU8">
        <v>-1.6616666666666668</v>
      </c>
      <c r="DV8">
        <v>-2.6850000000000001</v>
      </c>
      <c r="DW8">
        <v>-8.1460612691466086</v>
      </c>
      <c r="DX8">
        <v>0.40138218940609804</v>
      </c>
      <c r="DY8">
        <v>-8.0206504620193808</v>
      </c>
      <c r="DZ8">
        <v>4714</v>
      </c>
      <c r="EA8">
        <v>-8.001600309776844</v>
      </c>
      <c r="EB8">
        <v>8</v>
      </c>
      <c r="EC8">
        <v>7.467956271422839E-2</v>
      </c>
      <c r="ED8">
        <v>0.52821056470643857</v>
      </c>
      <c r="EE8" s="12">
        <v>-4.1233000000000004</v>
      </c>
      <c r="EF8">
        <v>-4.1153000000000004</v>
      </c>
      <c r="EG8">
        <v>26.141382189406098</v>
      </c>
      <c r="EH8" t="s">
        <v>1797</v>
      </c>
      <c r="EI8">
        <v>0</v>
      </c>
      <c r="EJ8">
        <v>0</v>
      </c>
      <c r="EK8" s="14">
        <v>45470</v>
      </c>
      <c r="EL8" s="15">
        <v>-1.19</v>
      </c>
      <c r="EM8" s="15">
        <v>-4.6100000000000003</v>
      </c>
      <c r="EN8" s="15">
        <v>-0.63</v>
      </c>
      <c r="EO8" s="15">
        <v>5.29</v>
      </c>
      <c r="EP8" s="15">
        <v>-0.8</v>
      </c>
    </row>
    <row r="9" spans="1:146" ht="108" x14ac:dyDescent="0.25">
      <c r="A9" s="7"/>
      <c r="B9" s="7"/>
      <c r="C9" s="7" t="str">
        <f>""&amp;CHAR(10)&amp;Basic_Fundamental_Information_Constructure(F9)&amp;CHAR(10)&amp;Basic_Fundamental_Information_Concatenate("")</f>
        <v xml:space="preserve">
市值952.43448亿, 利润-3.00亿; PE229.6; 平均PE125.82; 平均PEG32.63, PB5.7; ROIC5.86%; ROE4.97%; 股利率.2427%; 毛利41.54%; 净利4.8567%; 上一年度营收增-80.63%, 利润增-153.48%; 当季营收增-53.51%, 利润增-670.87%; 过往5年营收增3.86%, 利润增-17.14%
Income profile:
</v>
      </c>
      <c r="D9" t="s">
        <v>86</v>
      </c>
      <c r="E9" t="s">
        <v>11</v>
      </c>
      <c r="F9">
        <v>41.2</v>
      </c>
      <c r="G9">
        <v>0.46</v>
      </c>
      <c r="H9" t="s">
        <v>2149</v>
      </c>
      <c r="I9">
        <v>95243448000</v>
      </c>
      <c r="J9">
        <v>229.6</v>
      </c>
      <c r="K9">
        <v>5.7</v>
      </c>
      <c r="L9" t="s">
        <v>1303</v>
      </c>
      <c r="M9" t="s">
        <v>2150</v>
      </c>
      <c r="N9" t="s">
        <v>2151</v>
      </c>
      <c r="O9" t="s">
        <v>2152</v>
      </c>
      <c r="P9">
        <v>26.27</v>
      </c>
      <c r="Q9" t="s">
        <v>2152</v>
      </c>
      <c r="R9">
        <v>-420000000</v>
      </c>
      <c r="S9" s="5">
        <v>-4.1900000000000004</v>
      </c>
      <c r="T9" t="s">
        <v>2153</v>
      </c>
      <c r="U9">
        <v>2184485900</v>
      </c>
      <c r="V9">
        <v>2311734200</v>
      </c>
      <c r="W9">
        <v>2.14</v>
      </c>
      <c r="X9">
        <v>0.1</v>
      </c>
      <c r="Y9">
        <v>-9.52</v>
      </c>
      <c r="Z9" t="s">
        <v>2154</v>
      </c>
      <c r="AA9" t="s">
        <v>2155</v>
      </c>
      <c r="AB9" t="s">
        <v>882</v>
      </c>
      <c r="AC9" t="s">
        <v>569</v>
      </c>
      <c r="AD9" t="s">
        <v>63</v>
      </c>
      <c r="AE9">
        <v>34546033</v>
      </c>
      <c r="AF9" t="s">
        <v>2156</v>
      </c>
      <c r="AG9" t="s">
        <v>2157</v>
      </c>
      <c r="AH9" t="s">
        <v>2158</v>
      </c>
      <c r="AI9" t="s">
        <v>2159</v>
      </c>
      <c r="AJ9" t="s">
        <v>2160</v>
      </c>
      <c r="AK9" t="s">
        <v>563</v>
      </c>
      <c r="AL9" t="s">
        <v>2161</v>
      </c>
      <c r="AM9" t="s">
        <v>63</v>
      </c>
      <c r="AN9" t="s">
        <v>691</v>
      </c>
      <c r="AO9" t="s">
        <v>205</v>
      </c>
      <c r="AP9" t="s">
        <v>2162</v>
      </c>
      <c r="AQ9" t="s">
        <v>2163</v>
      </c>
      <c r="AR9" t="s">
        <v>63</v>
      </c>
      <c r="AS9" t="s">
        <v>2164</v>
      </c>
      <c r="AT9" t="s">
        <v>2165</v>
      </c>
      <c r="AU9" t="s">
        <v>2166</v>
      </c>
      <c r="AV9" t="s">
        <v>2167</v>
      </c>
      <c r="AW9" t="s">
        <v>609</v>
      </c>
      <c r="AX9" t="s">
        <v>1479</v>
      </c>
      <c r="AY9" t="s">
        <v>1143</v>
      </c>
      <c r="AZ9" t="s">
        <v>725</v>
      </c>
      <c r="BA9" t="s">
        <v>240</v>
      </c>
      <c r="BB9" t="s">
        <v>726</v>
      </c>
      <c r="BC9" t="s">
        <v>903</v>
      </c>
      <c r="BD9" t="s">
        <v>1109</v>
      </c>
      <c r="BE9" t="s">
        <v>691</v>
      </c>
      <c r="BF9" t="s">
        <v>241</v>
      </c>
      <c r="BG9" t="s">
        <v>480</v>
      </c>
      <c r="BH9" t="s">
        <v>2168</v>
      </c>
      <c r="BI9" t="s">
        <v>1750</v>
      </c>
      <c r="BJ9" t="s">
        <v>1479</v>
      </c>
      <c r="BK9" t="s">
        <v>1024</v>
      </c>
      <c r="BL9" t="s">
        <v>1751</v>
      </c>
      <c r="BM9" t="s">
        <v>903</v>
      </c>
      <c r="BN9" t="s">
        <v>63</v>
      </c>
      <c r="BO9">
        <v>1.92</v>
      </c>
      <c r="BP9">
        <v>9.8000000000000007</v>
      </c>
      <c r="BQ9">
        <v>0.6</v>
      </c>
      <c r="BR9">
        <v>3.38</v>
      </c>
      <c r="BS9">
        <v>10.93</v>
      </c>
      <c r="BT9" t="s">
        <v>1446</v>
      </c>
      <c r="BU9" t="s">
        <v>2031</v>
      </c>
      <c r="BV9">
        <v>42.66</v>
      </c>
      <c r="BW9">
        <v>40.83</v>
      </c>
      <c r="BX9">
        <v>41.13</v>
      </c>
      <c r="BY9">
        <v>3.12</v>
      </c>
      <c r="BZ9">
        <v>2.65</v>
      </c>
      <c r="CA9">
        <v>8.8000000000000007</v>
      </c>
      <c r="CB9">
        <v>-3.85</v>
      </c>
      <c r="CC9">
        <v>-3.17</v>
      </c>
      <c r="CD9" t="s">
        <v>271</v>
      </c>
      <c r="CE9" t="s">
        <v>1197</v>
      </c>
      <c r="CF9" s="9">
        <v>-0.53506758479979599</v>
      </c>
      <c r="CG9" s="10">
        <v>-6.7086935247104877</v>
      </c>
      <c r="CH9" s="9">
        <v>-0.80626994371414185</v>
      </c>
      <c r="CI9" s="9">
        <v>2.7629099786281586E-2</v>
      </c>
      <c r="CJ9" s="9">
        <v>0.40606522560119629</v>
      </c>
      <c r="CK9" s="9">
        <v>0.29229101538658142</v>
      </c>
      <c r="CL9" s="9">
        <v>0.2730831503868103</v>
      </c>
      <c r="CM9" s="10">
        <v>-1.5347594022750854</v>
      </c>
      <c r="CN9" s="10">
        <v>-0.63946014642715454</v>
      </c>
      <c r="CO9" s="10">
        <v>0.14076246321201324</v>
      </c>
      <c r="CP9" s="10">
        <v>0.66544568538665771</v>
      </c>
      <c r="CQ9" s="10">
        <v>0.5110701322555542</v>
      </c>
      <c r="CR9">
        <v>125.81697225891678</v>
      </c>
      <c r="CS9">
        <v>32.629128674758647</v>
      </c>
      <c r="CT9">
        <v>0.24271844660194172</v>
      </c>
      <c r="CU9" s="9">
        <v>3.8559709489345548E-2</v>
      </c>
      <c r="CV9" s="10">
        <v>-0.17138825356960297</v>
      </c>
      <c r="CW9">
        <v>0.06</v>
      </c>
      <c r="CX9" t="e">
        <v>#VALUE!</v>
      </c>
      <c r="CY9" t="s">
        <v>1308</v>
      </c>
      <c r="CZ9">
        <v>3.8559709489345548E-2</v>
      </c>
      <c r="DA9" t="e">
        <v>#VALUE!</v>
      </c>
      <c r="DB9" t="s">
        <v>1309</v>
      </c>
      <c r="DC9">
        <v>3.663172401487827E-2</v>
      </c>
      <c r="DD9" t="e">
        <v>#VALUE!</v>
      </c>
      <c r="DE9" t="s">
        <v>1309</v>
      </c>
      <c r="DF9">
        <v>3.393254435062408E-2</v>
      </c>
      <c r="DG9" t="e">
        <v>#VALUE!</v>
      </c>
      <c r="DH9" t="s">
        <v>1309</v>
      </c>
      <c r="DI9">
        <v>3.0847767591476439E-2</v>
      </c>
      <c r="DJ9" t="e">
        <v>#VALUE!</v>
      </c>
      <c r="DK9" t="s">
        <v>1309</v>
      </c>
      <c r="DL9">
        <v>2.6991796642541883E-2</v>
      </c>
      <c r="DM9">
        <v>-300000000</v>
      </c>
      <c r="DN9">
        <v>3.8559709489345548E-2</v>
      </c>
      <c r="DO9">
        <v>97957448000</v>
      </c>
      <c r="DP9">
        <v>8352546000</v>
      </c>
      <c r="DQ9">
        <v>739</v>
      </c>
      <c r="DR9">
        <v>-0.5736272942891415</v>
      </c>
      <c r="DS9">
        <v>-6.5373052711408848</v>
      </c>
      <c r="DT9" s="11">
        <v>-0.42333333333333339</v>
      </c>
      <c r="DU9">
        <v>-1.615</v>
      </c>
      <c r="DV9">
        <v>-2.0383333333333336</v>
      </c>
      <c r="DW9">
        <v>-4.8233766233766238</v>
      </c>
      <c r="DX9">
        <v>0.35149478563151632</v>
      </c>
      <c r="DY9">
        <v>-4.1412047975199773</v>
      </c>
      <c r="DZ9">
        <v>3322</v>
      </c>
      <c r="EA9">
        <v>-4.0494078626156007</v>
      </c>
      <c r="EB9">
        <v>4</v>
      </c>
      <c r="EC9">
        <v>6.4021201053304486E-2</v>
      </c>
      <c r="ED9">
        <v>0.373312814250012</v>
      </c>
      <c r="EE9" s="12">
        <v>6.2099999999999995E-2</v>
      </c>
      <c r="EF9">
        <v>2.5899999999999999E-2</v>
      </c>
      <c r="EG9">
        <v>18.171494785631516</v>
      </c>
      <c r="EH9" t="s">
        <v>1123</v>
      </c>
      <c r="EI9">
        <v>0</v>
      </c>
      <c r="EJ9">
        <v>0</v>
      </c>
      <c r="EK9" s="14">
        <v>45470</v>
      </c>
      <c r="EL9" s="15">
        <v>1.5</v>
      </c>
      <c r="EM9" s="15">
        <v>-2.93</v>
      </c>
      <c r="EN9" s="15">
        <v>7.0000000000000007E-2</v>
      </c>
      <c r="EO9" s="15">
        <v>7.83</v>
      </c>
      <c r="EP9" s="15">
        <v>-3.62</v>
      </c>
    </row>
    <row r="10" spans="1:146" ht="96" x14ac:dyDescent="0.25">
      <c r="A10" s="7"/>
      <c r="B10" s="7"/>
      <c r="C10" s="7" t="str">
        <f>""&amp;CHAR(10)&amp;Basic_Fundamental_Information_Constructure(F10)&amp;CHAR(10)&amp;Basic_Fundamental_Information_Concatenate("")</f>
        <v xml:space="preserve">
市值24.796308亿, 利润-805.03万; PE; 平均PE111.6; 平均PEG4.73, PB2.07; ROIC1.6%; ROE-1.42%; 股利率0%; 毛利16.1567%; 净利-40.7733%; 上一年度营收增-89.03%, 利润增86.11%; 当季营收增-66.11%, 利润增31.17%; 过往5年营收增-23.6%, 利润增-56.38%
Income profile:
</v>
      </c>
      <c r="D10" t="s">
        <v>119</v>
      </c>
      <c r="E10" t="s">
        <v>28</v>
      </c>
      <c r="F10">
        <v>10.99</v>
      </c>
      <c r="G10">
        <v>-0.09</v>
      </c>
      <c r="H10" t="s">
        <v>2169</v>
      </c>
      <c r="I10">
        <v>2479630800</v>
      </c>
      <c r="K10">
        <v>2.0699999999999998</v>
      </c>
      <c r="L10" t="s">
        <v>1303</v>
      </c>
      <c r="M10" t="s">
        <v>243</v>
      </c>
      <c r="N10" t="s">
        <v>1386</v>
      </c>
      <c r="O10" t="s">
        <v>2170</v>
      </c>
      <c r="P10">
        <v>-26.43</v>
      </c>
      <c r="Q10" t="s">
        <v>2170</v>
      </c>
      <c r="R10">
        <v>-8050289</v>
      </c>
      <c r="S10" s="5">
        <v>-6.516</v>
      </c>
      <c r="T10" t="s">
        <v>2171</v>
      </c>
      <c r="U10">
        <v>207178100</v>
      </c>
      <c r="V10">
        <v>225626100</v>
      </c>
      <c r="W10">
        <v>1.26</v>
      </c>
      <c r="X10">
        <v>0.02</v>
      </c>
      <c r="Y10">
        <v>-29.1</v>
      </c>
      <c r="Z10" t="s">
        <v>2172</v>
      </c>
      <c r="AA10" t="s">
        <v>2173</v>
      </c>
      <c r="AB10" t="s">
        <v>2174</v>
      </c>
      <c r="AC10" t="s">
        <v>2175</v>
      </c>
      <c r="AD10" t="s">
        <v>63</v>
      </c>
      <c r="AE10">
        <v>1005572</v>
      </c>
      <c r="AF10" t="s">
        <v>2176</v>
      </c>
      <c r="AG10" t="s">
        <v>2177</v>
      </c>
      <c r="AH10" t="s">
        <v>2178</v>
      </c>
      <c r="AI10" t="s">
        <v>183</v>
      </c>
      <c r="AJ10" t="s">
        <v>2179</v>
      </c>
      <c r="AK10" t="s">
        <v>2180</v>
      </c>
      <c r="AL10" t="s">
        <v>2181</v>
      </c>
      <c r="AM10" t="s">
        <v>63</v>
      </c>
      <c r="AN10" t="s">
        <v>2182</v>
      </c>
      <c r="AO10" t="s">
        <v>2183</v>
      </c>
      <c r="AP10" t="s">
        <v>2184</v>
      </c>
      <c r="AQ10" t="s">
        <v>2185</v>
      </c>
      <c r="AR10" t="s">
        <v>2186</v>
      </c>
      <c r="AS10" t="s">
        <v>809</v>
      </c>
      <c r="AT10" t="s">
        <v>2187</v>
      </c>
      <c r="AU10" t="s">
        <v>2188</v>
      </c>
      <c r="AV10" t="s">
        <v>2189</v>
      </c>
      <c r="AW10" t="s">
        <v>2190</v>
      </c>
      <c r="AX10" t="s">
        <v>359</v>
      </c>
      <c r="AY10" t="s">
        <v>313</v>
      </c>
      <c r="AZ10" t="s">
        <v>638</v>
      </c>
      <c r="BA10" t="s">
        <v>251</v>
      </c>
      <c r="BB10" t="s">
        <v>414</v>
      </c>
      <c r="BC10" t="s">
        <v>1481</v>
      </c>
      <c r="BD10" t="s">
        <v>1145</v>
      </c>
      <c r="BE10" t="s">
        <v>729</v>
      </c>
      <c r="BF10" t="s">
        <v>252</v>
      </c>
      <c r="BG10" t="s">
        <v>730</v>
      </c>
      <c r="BH10" t="s">
        <v>263</v>
      </c>
      <c r="BI10" t="s">
        <v>1753</v>
      </c>
      <c r="BJ10" t="s">
        <v>359</v>
      </c>
      <c r="BK10" t="s">
        <v>733</v>
      </c>
      <c r="BL10" t="s">
        <v>1754</v>
      </c>
      <c r="BM10" t="s">
        <v>1481</v>
      </c>
      <c r="BN10" t="s">
        <v>63</v>
      </c>
      <c r="BO10" t="s">
        <v>63</v>
      </c>
      <c r="BP10">
        <v>1.6</v>
      </c>
      <c r="BQ10">
        <v>-1.89</v>
      </c>
      <c r="BR10">
        <v>-4.13</v>
      </c>
      <c r="BS10">
        <v>1.76</v>
      </c>
      <c r="BT10" t="s">
        <v>1445</v>
      </c>
      <c r="BU10" t="s">
        <v>2052</v>
      </c>
      <c r="BV10">
        <v>4.2300000000000004</v>
      </c>
      <c r="BW10">
        <v>14.85</v>
      </c>
      <c r="BX10">
        <v>29.39</v>
      </c>
      <c r="BY10">
        <v>-105.52</v>
      </c>
      <c r="BZ10">
        <v>-24.88</v>
      </c>
      <c r="CA10">
        <v>8.08</v>
      </c>
      <c r="CB10">
        <v>-2.92</v>
      </c>
      <c r="CC10">
        <v>-7.1</v>
      </c>
      <c r="CD10" t="s">
        <v>2191</v>
      </c>
      <c r="CE10" t="s">
        <v>472</v>
      </c>
      <c r="CF10" s="9">
        <v>-0.66107338730739096</v>
      </c>
      <c r="CG10" s="10">
        <v>0.31165282896255697</v>
      </c>
      <c r="CH10" s="9">
        <v>-0.89027154445648193</v>
      </c>
      <c r="CI10" s="9">
        <v>-0.1827242523431778</v>
      </c>
      <c r="CJ10" s="9">
        <v>-0.15686275064945221</v>
      </c>
      <c r="CK10" s="9">
        <v>4.0816325694322586E-2</v>
      </c>
      <c r="CL10" s="9">
        <v>8.8235298171639442E-3</v>
      </c>
      <c r="CM10" s="10">
        <v>0.86105269193649292</v>
      </c>
      <c r="CN10" s="10">
        <v>-3.2982800006866455</v>
      </c>
      <c r="CO10" s="10">
        <v>-0.62590795755386353</v>
      </c>
      <c r="CP10" s="10">
        <v>0.30174002051353455</v>
      </c>
      <c r="CQ10" s="10">
        <v>-5.7758636772632599E-2</v>
      </c>
      <c r="CR10">
        <v>111.59714034754784</v>
      </c>
      <c r="CS10">
        <v>4.7278161712696276</v>
      </c>
      <c r="CT10">
        <v>0</v>
      </c>
      <c r="CU10" s="9">
        <v>-0.23604373838752507</v>
      </c>
      <c r="CV10" s="10">
        <v>-0.56383077651262281</v>
      </c>
      <c r="CW10">
        <v>0.06</v>
      </c>
      <c r="CX10" t="e">
        <v>#VALUE!</v>
      </c>
      <c r="CY10" t="s">
        <v>1308</v>
      </c>
      <c r="CZ10">
        <v>-0.23604373838752507</v>
      </c>
      <c r="DA10" t="e">
        <v>#VALUE!</v>
      </c>
      <c r="DB10" t="s">
        <v>1309</v>
      </c>
      <c r="DC10">
        <v>-0.22424155146814881</v>
      </c>
      <c r="DD10" t="e">
        <v>#VALUE!</v>
      </c>
      <c r="DE10" t="s">
        <v>1309</v>
      </c>
      <c r="DF10">
        <v>-0.20771848978102206</v>
      </c>
      <c r="DG10" t="e">
        <v>#VALUE!</v>
      </c>
      <c r="DH10" t="s">
        <v>1309</v>
      </c>
      <c r="DI10">
        <v>-0.18883499071002008</v>
      </c>
      <c r="DJ10" t="e">
        <v>#VALUE!</v>
      </c>
      <c r="DK10" t="s">
        <v>1309</v>
      </c>
      <c r="DL10">
        <v>-0.16523061687126753</v>
      </c>
      <c r="DM10">
        <v>-8050300</v>
      </c>
      <c r="DN10">
        <v>-0.23604373838752507</v>
      </c>
      <c r="DO10">
        <v>1570630800</v>
      </c>
      <c r="DP10">
        <v>345570500</v>
      </c>
      <c r="DQ10">
        <v>762</v>
      </c>
      <c r="DR10">
        <v>-0.42502964891986589</v>
      </c>
      <c r="DS10">
        <v>0.87548360547517978</v>
      </c>
      <c r="DT10" s="11">
        <v>-1.0566666666666666</v>
      </c>
      <c r="DU10">
        <v>-1.6283333333333336</v>
      </c>
      <c r="DV10">
        <v>-2.6850000000000005</v>
      </c>
      <c r="DW10">
        <v>-8.4112676056338032</v>
      </c>
      <c r="DX10">
        <v>0.41269417258883412</v>
      </c>
      <c r="DY10">
        <v>-8.099812251261886</v>
      </c>
      <c r="DZ10">
        <v>5009</v>
      </c>
      <c r="EA10">
        <v>-8.0019728057490127</v>
      </c>
      <c r="EB10">
        <v>8</v>
      </c>
      <c r="EC10">
        <v>0.42380513601928144</v>
      </c>
      <c r="ED10">
        <v>1.7462518742290896</v>
      </c>
      <c r="EE10" s="12">
        <v>2.0508999999999999</v>
      </c>
      <c r="EF10">
        <v>2.0263</v>
      </c>
      <c r="EG10">
        <v>17.242694172588834</v>
      </c>
      <c r="EH10" t="s">
        <v>1477</v>
      </c>
      <c r="EI10">
        <v>0</v>
      </c>
      <c r="EJ10">
        <v>0</v>
      </c>
      <c r="EK10" s="14">
        <v>45470</v>
      </c>
      <c r="EL10" s="15">
        <v>-3.3</v>
      </c>
      <c r="EM10" s="15">
        <v>-6.28</v>
      </c>
      <c r="EN10" s="15">
        <v>-2.59</v>
      </c>
      <c r="EO10" s="15">
        <v>3.74</v>
      </c>
      <c r="EP10" s="15">
        <v>-2.46</v>
      </c>
    </row>
    <row r="11" spans="1:146" ht="108" x14ac:dyDescent="0.25">
      <c r="A11" s="7"/>
      <c r="B11" s="7"/>
      <c r="C11" s="7" t="str">
        <f>""&amp;CHAR(10)&amp;Basic_Fundamental_Information_Constructure(F11)&amp;CHAR(10)&amp;Basic_Fundamental_Information_Concatenate("")</f>
        <v xml:space="preserve">
市值133.738332亿, 利润605.23万; PE1454; 平均PE-36.05; 平均PEG-16.17, PB5.22; ROIC2.44%; ROE-9.29%; 股利率0%; 毛利25.3933%; 净利-13.05%; 上一年度营收增-63.66%, 利润增100.6%; 当季营收增-24.23%, 利润增-89.53%; 过往5年营收增2.23%, 利润增-187.64%
Income profile:
</v>
      </c>
      <c r="D11" t="s">
        <v>1146</v>
      </c>
      <c r="E11" t="s">
        <v>1147</v>
      </c>
      <c r="F11">
        <v>10.67</v>
      </c>
      <c r="G11">
        <v>0</v>
      </c>
      <c r="H11" t="s">
        <v>2192</v>
      </c>
      <c r="I11">
        <v>13373833200</v>
      </c>
      <c r="J11">
        <v>1454</v>
      </c>
      <c r="K11">
        <v>5.22</v>
      </c>
      <c r="L11" t="s">
        <v>1303</v>
      </c>
      <c r="M11" t="s">
        <v>2193</v>
      </c>
      <c r="N11" t="s">
        <v>2194</v>
      </c>
      <c r="O11" t="s">
        <v>1855</v>
      </c>
      <c r="P11">
        <v>16.71</v>
      </c>
      <c r="Q11" t="s">
        <v>1855</v>
      </c>
      <c r="R11">
        <v>6052258</v>
      </c>
      <c r="S11" s="5">
        <v>-0.85529999999999995</v>
      </c>
      <c r="T11" t="s">
        <v>2195</v>
      </c>
      <c r="U11">
        <v>1122820720</v>
      </c>
      <c r="V11">
        <v>1253405170</v>
      </c>
      <c r="W11">
        <v>1.96</v>
      </c>
      <c r="X11">
        <v>0.15</v>
      </c>
      <c r="Y11">
        <v>0.44</v>
      </c>
      <c r="Z11" t="s">
        <v>241</v>
      </c>
      <c r="AA11" t="s">
        <v>371</v>
      </c>
      <c r="AB11" t="s">
        <v>2196</v>
      </c>
      <c r="AC11" t="s">
        <v>2197</v>
      </c>
      <c r="AD11" t="s">
        <v>63</v>
      </c>
      <c r="AE11">
        <v>7017324</v>
      </c>
      <c r="AF11" t="s">
        <v>2198</v>
      </c>
      <c r="AG11" t="s">
        <v>2199</v>
      </c>
      <c r="AH11" t="s">
        <v>2200</v>
      </c>
      <c r="AI11" t="s">
        <v>598</v>
      </c>
      <c r="AJ11" t="s">
        <v>2201</v>
      </c>
      <c r="AK11" t="s">
        <v>2202</v>
      </c>
      <c r="AL11" t="s">
        <v>2203</v>
      </c>
      <c r="AM11" t="s">
        <v>63</v>
      </c>
      <c r="AN11">
        <v>0</v>
      </c>
      <c r="AO11" t="s">
        <v>2204</v>
      </c>
      <c r="AP11" t="s">
        <v>2205</v>
      </c>
      <c r="AQ11" t="s">
        <v>463</v>
      </c>
      <c r="AR11" t="s">
        <v>63</v>
      </c>
      <c r="AS11" t="s">
        <v>1823</v>
      </c>
      <c r="AT11" t="s">
        <v>658</v>
      </c>
      <c r="AU11" t="s">
        <v>2206</v>
      </c>
      <c r="AV11" t="s">
        <v>2207</v>
      </c>
      <c r="AW11" t="s">
        <v>2208</v>
      </c>
      <c r="AX11" t="s">
        <v>1077</v>
      </c>
      <c r="AY11" t="s">
        <v>1148</v>
      </c>
      <c r="AZ11" t="s">
        <v>731</v>
      </c>
      <c r="BA11" t="s">
        <v>1150</v>
      </c>
      <c r="BB11" t="s">
        <v>1151</v>
      </c>
      <c r="BC11" t="s">
        <v>1755</v>
      </c>
      <c r="BD11" t="s">
        <v>1758</v>
      </c>
      <c r="BE11" t="s">
        <v>1759</v>
      </c>
      <c r="BF11" t="s">
        <v>1760</v>
      </c>
      <c r="BG11" t="s">
        <v>1761</v>
      </c>
      <c r="BH11" t="s">
        <v>669</v>
      </c>
      <c r="BI11" t="s">
        <v>1531</v>
      </c>
      <c r="BJ11" t="s">
        <v>1077</v>
      </c>
      <c r="BK11" t="s">
        <v>2209</v>
      </c>
      <c r="BL11" t="s">
        <v>1762</v>
      </c>
      <c r="BM11" t="s">
        <v>1755</v>
      </c>
      <c r="BN11">
        <v>1.85</v>
      </c>
      <c r="BO11" t="s">
        <v>63</v>
      </c>
      <c r="BP11">
        <v>3.03</v>
      </c>
      <c r="BQ11">
        <v>2.87</v>
      </c>
      <c r="BR11">
        <v>-33.69</v>
      </c>
      <c r="BS11">
        <v>2.95</v>
      </c>
      <c r="BT11" t="s">
        <v>1445</v>
      </c>
      <c r="BU11" t="s">
        <v>2052</v>
      </c>
      <c r="BV11">
        <v>20.52</v>
      </c>
      <c r="BW11">
        <v>23.92</v>
      </c>
      <c r="BX11">
        <v>31.74</v>
      </c>
      <c r="BY11">
        <v>1.51</v>
      </c>
      <c r="BZ11">
        <v>-45.1</v>
      </c>
      <c r="CA11">
        <v>4.4400000000000004</v>
      </c>
      <c r="CB11">
        <v>-3.61</v>
      </c>
      <c r="CC11">
        <v>-12.9</v>
      </c>
      <c r="CD11" t="s">
        <v>2210</v>
      </c>
      <c r="CE11" t="s">
        <v>1337</v>
      </c>
      <c r="CF11" s="9">
        <v>-0.2423112767940353</v>
      </c>
      <c r="CG11" s="10">
        <v>-0.89531627769408129</v>
      </c>
      <c r="CH11" s="9">
        <v>-0.6365668773651123</v>
      </c>
      <c r="CI11" s="9">
        <v>3.1389272771775723E-3</v>
      </c>
      <c r="CJ11" s="9">
        <v>0.49764958024024963</v>
      </c>
      <c r="CK11" s="9">
        <v>0.2008063942193985</v>
      </c>
      <c r="CL11" s="9">
        <v>4.6413559466600418E-2</v>
      </c>
      <c r="CM11" s="10">
        <v>1.0059746503829956</v>
      </c>
      <c r="CN11" s="10">
        <v>-13.375178337097168</v>
      </c>
      <c r="CO11" s="10">
        <v>0.80980724096298218</v>
      </c>
      <c r="CP11" s="10">
        <v>1.1619170904159546</v>
      </c>
      <c r="CQ11" s="10">
        <v>1.0153044462203979</v>
      </c>
      <c r="CR11">
        <v>-36.049052552738189</v>
      </c>
      <c r="CS11">
        <v>-16.173968150452858</v>
      </c>
      <c r="CT11">
        <v>0</v>
      </c>
      <c r="CU11" s="9">
        <v>2.2288316767662762E-2</v>
      </c>
      <c r="CV11" s="10">
        <v>-1.8764349818229675</v>
      </c>
      <c r="CW11">
        <v>0.06</v>
      </c>
      <c r="CX11">
        <v>2267.4122729070659</v>
      </c>
      <c r="CY11">
        <v>5836976.9618612509</v>
      </c>
      <c r="CZ11">
        <v>2.2288316767662762E-2</v>
      </c>
      <c r="DA11">
        <v>785.0323032822547</v>
      </c>
      <c r="DB11">
        <v>16858966.369491521</v>
      </c>
      <c r="DC11">
        <v>2.1173900929279624E-2</v>
      </c>
      <c r="DD11">
        <v>416.61722454956629</v>
      </c>
      <c r="DE11">
        <v>31767369.230374701</v>
      </c>
      <c r="DF11">
        <v>1.9613718755543231E-2</v>
      </c>
      <c r="DG11">
        <v>271.52928217513943</v>
      </c>
      <c r="DH11">
        <v>48741826.641972944</v>
      </c>
      <c r="DI11">
        <v>1.7830653414130211E-2</v>
      </c>
      <c r="DJ11">
        <v>166.24349239102455</v>
      </c>
      <c r="DK11">
        <v>79611135.507608876</v>
      </c>
      <c r="DL11">
        <v>1.5601821737363932E-2</v>
      </c>
      <c r="DM11">
        <v>6052300</v>
      </c>
      <c r="DN11">
        <v>2.2288316767662762E-2</v>
      </c>
      <c r="DO11">
        <v>13234833200</v>
      </c>
      <c r="DP11">
        <v>1890941699.9999998</v>
      </c>
      <c r="DQ11">
        <v>768</v>
      </c>
      <c r="DR11">
        <v>-0.26459959356169804</v>
      </c>
      <c r="DS11">
        <v>0.98111870412888624</v>
      </c>
      <c r="DT11" s="11">
        <v>-0.52333333333333332</v>
      </c>
      <c r="DU11">
        <v>-0.12333333333333348</v>
      </c>
      <c r="DV11">
        <v>-0.64666666666666683</v>
      </c>
      <c r="DW11">
        <v>-8.2798449612403093</v>
      </c>
      <c r="DX11">
        <v>0.3223346633416469</v>
      </c>
      <c r="DY11">
        <v>-8.0342347391211888</v>
      </c>
      <c r="DZ11">
        <v>2066</v>
      </c>
      <c r="EA11">
        <v>-8.020393453206438</v>
      </c>
      <c r="EB11">
        <v>8</v>
      </c>
      <c r="EC11">
        <v>7.8276683668059233E-2</v>
      </c>
      <c r="ED11">
        <v>0.63985694266762916</v>
      </c>
      <c r="EE11" s="12">
        <v>-1.0531999999999999</v>
      </c>
      <c r="EF11">
        <v>-1.0259</v>
      </c>
      <c r="EG11">
        <v>20.122334663341647</v>
      </c>
      <c r="EH11" t="s">
        <v>1310</v>
      </c>
      <c r="EI11">
        <v>0</v>
      </c>
      <c r="EJ11">
        <v>0</v>
      </c>
      <c r="EK11" s="14">
        <v>45470</v>
      </c>
      <c r="EL11" s="15">
        <v>0.93</v>
      </c>
      <c r="EM11" s="15">
        <v>-5.7</v>
      </c>
      <c r="EN11" s="15">
        <v>-3.64</v>
      </c>
      <c r="EO11" s="15">
        <v>4.6100000000000003</v>
      </c>
      <c r="EP11" s="15">
        <v>-2.73</v>
      </c>
    </row>
    <row r="12" spans="1:146" ht="96" x14ac:dyDescent="0.25">
      <c r="A12" s="7"/>
      <c r="B12" s="7"/>
      <c r="C12" s="7" t="str">
        <f>""&amp;CHAR(10)&amp;Basic_Fundamental_Information_Constructure(F12)&amp;CHAR(10)&amp;Basic_Fundamental_Information_Concatenate("")</f>
        <v xml:space="preserve">
市值44.982381亿, 利润-1.19亿; PE; 平均PE-29.46; 平均PEG-2.19, PB3.06; ROIC5.22%; ROE-4.3433%; 股利率0%; 毛利30.1233%; 净利-2.45%; 上一年度营收增-75.12%, 利润增-329.24%; 当季营收增-33.79%, 利润增-74.08%; 过往5年营收增-13.43%, 利润增-66.19%
Income profile:
</v>
      </c>
      <c r="D12" t="s">
        <v>149</v>
      </c>
      <c r="E12" t="s">
        <v>58</v>
      </c>
      <c r="F12">
        <v>5.2</v>
      </c>
      <c r="G12">
        <v>4.42</v>
      </c>
      <c r="H12" t="s">
        <v>352</v>
      </c>
      <c r="I12">
        <v>4498238100</v>
      </c>
      <c r="K12">
        <v>3.06</v>
      </c>
      <c r="L12" t="s">
        <v>1303</v>
      </c>
      <c r="M12" t="s">
        <v>1487</v>
      </c>
      <c r="N12" t="s">
        <v>1513</v>
      </c>
      <c r="O12" t="s">
        <v>1409</v>
      </c>
      <c r="P12">
        <v>73.38</v>
      </c>
      <c r="Q12" t="s">
        <v>1409</v>
      </c>
      <c r="R12">
        <v>-118948820</v>
      </c>
      <c r="S12" s="5">
        <v>-0.4516</v>
      </c>
      <c r="T12" t="s">
        <v>758</v>
      </c>
      <c r="U12">
        <v>797670600</v>
      </c>
      <c r="V12">
        <v>865045780</v>
      </c>
      <c r="W12">
        <v>1.61</v>
      </c>
      <c r="X12">
        <v>0.27</v>
      </c>
      <c r="Y12">
        <v>-17.63</v>
      </c>
      <c r="Z12" t="s">
        <v>2211</v>
      </c>
      <c r="AA12" t="s">
        <v>1554</v>
      </c>
      <c r="AB12" t="s">
        <v>2212</v>
      </c>
      <c r="AC12" t="s">
        <v>454</v>
      </c>
      <c r="AD12" t="s">
        <v>63</v>
      </c>
      <c r="AE12">
        <v>-1611284</v>
      </c>
      <c r="AF12" t="s">
        <v>2213</v>
      </c>
      <c r="AG12" t="s">
        <v>2214</v>
      </c>
      <c r="AH12" t="s">
        <v>2215</v>
      </c>
      <c r="AI12" t="s">
        <v>450</v>
      </c>
      <c r="AJ12" t="s">
        <v>2216</v>
      </c>
      <c r="AK12" t="s">
        <v>2217</v>
      </c>
      <c r="AL12" t="s">
        <v>2218</v>
      </c>
      <c r="AM12" t="s">
        <v>63</v>
      </c>
      <c r="AN12" t="s">
        <v>196</v>
      </c>
      <c r="AO12" t="s">
        <v>63</v>
      </c>
      <c r="AP12" t="s">
        <v>2219</v>
      </c>
      <c r="AQ12" t="s">
        <v>688</v>
      </c>
      <c r="AR12" t="s">
        <v>2220</v>
      </c>
      <c r="AS12" t="s">
        <v>422</v>
      </c>
      <c r="AT12" t="s">
        <v>63</v>
      </c>
      <c r="AU12" t="s">
        <v>2221</v>
      </c>
      <c r="AV12" t="s">
        <v>441</v>
      </c>
      <c r="AW12" t="s">
        <v>2222</v>
      </c>
      <c r="AX12" t="s">
        <v>1482</v>
      </c>
      <c r="AY12" t="s">
        <v>1152</v>
      </c>
      <c r="AZ12" t="s">
        <v>734</v>
      </c>
      <c r="BA12" t="s">
        <v>258</v>
      </c>
      <c r="BB12" t="s">
        <v>736</v>
      </c>
      <c r="BC12" t="s">
        <v>2223</v>
      </c>
      <c r="BD12" t="s">
        <v>846</v>
      </c>
      <c r="BE12" t="s">
        <v>735</v>
      </c>
      <c r="BF12" t="s">
        <v>259</v>
      </c>
      <c r="BG12" t="s">
        <v>738</v>
      </c>
      <c r="BH12" t="s">
        <v>2224</v>
      </c>
      <c r="BI12" t="s">
        <v>1764</v>
      </c>
      <c r="BJ12" t="s">
        <v>1482</v>
      </c>
      <c r="BK12" t="s">
        <v>614</v>
      </c>
      <c r="BL12" t="s">
        <v>1766</v>
      </c>
      <c r="BM12" t="s">
        <v>2223</v>
      </c>
      <c r="BN12" t="s">
        <v>63</v>
      </c>
      <c r="BO12">
        <v>5.22</v>
      </c>
      <c r="BP12" t="s">
        <v>63</v>
      </c>
      <c r="BQ12">
        <v>-4.6900000000000004</v>
      </c>
      <c r="BR12">
        <v>5.04</v>
      </c>
      <c r="BS12">
        <v>-13.38</v>
      </c>
      <c r="BT12" t="s">
        <v>1445</v>
      </c>
      <c r="BU12" t="s">
        <v>2031</v>
      </c>
      <c r="BV12">
        <v>28.53</v>
      </c>
      <c r="BW12">
        <v>30.53</v>
      </c>
      <c r="BX12">
        <v>31.31</v>
      </c>
      <c r="BY12">
        <v>-4.4800000000000004</v>
      </c>
      <c r="BZ12">
        <v>2.0099999999999998</v>
      </c>
      <c r="CA12">
        <v>-4.88</v>
      </c>
      <c r="CB12">
        <v>20.65</v>
      </c>
      <c r="CC12">
        <v>5.48</v>
      </c>
      <c r="CD12" t="s">
        <v>354</v>
      </c>
      <c r="CE12" t="s">
        <v>1509</v>
      </c>
      <c r="CF12" s="9">
        <v>-0.33792470156106519</v>
      </c>
      <c r="CG12" s="10">
        <v>-0.74079426081000788</v>
      </c>
      <c r="CH12" s="9">
        <v>-0.75120776891708374</v>
      </c>
      <c r="CI12" s="9">
        <v>6.976742297410965E-2</v>
      </c>
      <c r="CJ12" s="9">
        <v>-3.9702232927083969E-2</v>
      </c>
      <c r="CK12" s="9">
        <v>-9.0586774051189423E-2</v>
      </c>
      <c r="CL12" s="9">
        <v>0.14044122397899628</v>
      </c>
      <c r="CM12" s="10">
        <v>-3.2924206256866455</v>
      </c>
      <c r="CN12" s="10">
        <v>1.3932591676712036</v>
      </c>
      <c r="CO12" s="10">
        <v>-2.842890739440918</v>
      </c>
      <c r="CP12" s="10">
        <v>0.37045320868492126</v>
      </c>
      <c r="CQ12" s="10">
        <v>1.0621461868286133</v>
      </c>
      <c r="CR12">
        <v>-29.458064482328773</v>
      </c>
      <c r="CS12">
        <v>-2.1941446014206933</v>
      </c>
      <c r="CT12">
        <v>0</v>
      </c>
      <c r="CU12" s="9">
        <v>-0.13425762578845024</v>
      </c>
      <c r="CV12" s="10">
        <v>-0.66189056038856509</v>
      </c>
      <c r="CW12">
        <v>0.06</v>
      </c>
      <c r="CX12" t="e">
        <v>#VALUE!</v>
      </c>
      <c r="CY12" t="s">
        <v>1308</v>
      </c>
      <c r="CZ12">
        <v>-0.13425762578845024</v>
      </c>
      <c r="DA12" t="e">
        <v>#VALUE!</v>
      </c>
      <c r="DB12" t="s">
        <v>1309</v>
      </c>
      <c r="DC12">
        <v>-0.12754474449902772</v>
      </c>
      <c r="DD12" t="e">
        <v>#VALUE!</v>
      </c>
      <c r="DE12" t="s">
        <v>1309</v>
      </c>
      <c r="DF12">
        <v>-0.11814671069383621</v>
      </c>
      <c r="DG12" t="e">
        <v>#VALUE!</v>
      </c>
      <c r="DH12" t="s">
        <v>1309</v>
      </c>
      <c r="DI12">
        <v>-0.1074061006307602</v>
      </c>
      <c r="DJ12" t="e">
        <v>#VALUE!</v>
      </c>
      <c r="DK12" t="s">
        <v>1309</v>
      </c>
      <c r="DL12">
        <v>-9.3980338051915163E-2</v>
      </c>
      <c r="DM12">
        <v>-119000000</v>
      </c>
      <c r="DN12">
        <v>-0.13425762578845024</v>
      </c>
      <c r="DO12">
        <v>4240238100</v>
      </c>
      <c r="DP12">
        <v>727162500</v>
      </c>
      <c r="DQ12">
        <v>786</v>
      </c>
      <c r="DR12">
        <v>-0.20366707577261495</v>
      </c>
      <c r="DS12">
        <v>-7.8903700421442791E-2</v>
      </c>
      <c r="DT12" s="11">
        <v>-0.77333333333333332</v>
      </c>
      <c r="DU12">
        <v>-1.7150000000000001</v>
      </c>
      <c r="DV12">
        <v>-2.4883333333333333</v>
      </c>
      <c r="DW12">
        <v>5.265375302663438</v>
      </c>
      <c r="DX12">
        <v>1.0755462184873967</v>
      </c>
      <c r="DY12">
        <v>5.1235444686349112</v>
      </c>
      <c r="DZ12">
        <v>4378</v>
      </c>
      <c r="EA12">
        <v>5.017697563804453</v>
      </c>
      <c r="EB12">
        <v>5</v>
      </c>
      <c r="EC12">
        <v>0.32021426657904739</v>
      </c>
      <c r="ED12">
        <v>0.68782486864452419</v>
      </c>
      <c r="EE12" s="12">
        <v>2.6600000000000002E-2</v>
      </c>
      <c r="EF12">
        <v>3.7999999999999999E-2</v>
      </c>
      <c r="EG12">
        <v>61.465546218487397</v>
      </c>
      <c r="EH12" t="s">
        <v>1123</v>
      </c>
      <c r="EI12">
        <v>1</v>
      </c>
      <c r="EJ12">
        <v>0</v>
      </c>
      <c r="EK12" s="14">
        <v>45470</v>
      </c>
      <c r="EL12" s="15">
        <v>-0.91</v>
      </c>
      <c r="EM12" s="15">
        <v>-4.3499999999999996</v>
      </c>
      <c r="EN12" s="15">
        <v>0.96</v>
      </c>
      <c r="EO12" s="15">
        <v>4.03</v>
      </c>
      <c r="EP12" s="15">
        <v>1.1399999999999999</v>
      </c>
    </row>
    <row r="13" spans="1:146" ht="96" x14ac:dyDescent="0.25">
      <c r="A13" s="7"/>
      <c r="B13" s="7"/>
      <c r="C13" s="7" t="str">
        <f>""&amp;CHAR(10)&amp;Basic_Fundamental_Information_Constructure(F13)&amp;CHAR(10)&amp;Basic_Fundamental_Information_Concatenate("")</f>
        <v xml:space="preserve">
市值58.843765亿, 利润4095.74万; PE21.79; 平均PE31.24; 平均PEG1.87, PB1.84; ROIC4.3967%; ROE4.6033%; 股利率5.4768%; 毛利61.24%; 净利16.9933%; 上一年度营收增-82.89%, 利润增-80.95%; 当季营收增-51.18%, 利润增-41.97%; 过往5年营收增-16.73%, 利润增9.68%
Income profile:
</v>
      </c>
      <c r="D13" t="s">
        <v>148</v>
      </c>
      <c r="E13" t="s">
        <v>1154</v>
      </c>
      <c r="F13">
        <v>15.52</v>
      </c>
      <c r="G13">
        <v>-0.77</v>
      </c>
      <c r="H13" t="s">
        <v>2225</v>
      </c>
      <c r="I13">
        <v>5884376500</v>
      </c>
      <c r="J13">
        <v>21.79</v>
      </c>
      <c r="K13">
        <v>1.84</v>
      </c>
      <c r="L13" t="s">
        <v>1303</v>
      </c>
      <c r="M13" t="s">
        <v>343</v>
      </c>
      <c r="N13" t="s">
        <v>718</v>
      </c>
      <c r="O13" t="s">
        <v>190</v>
      </c>
      <c r="P13">
        <v>16.18</v>
      </c>
      <c r="Q13" t="s">
        <v>190</v>
      </c>
      <c r="R13">
        <v>40957401</v>
      </c>
      <c r="S13" s="5">
        <v>1.4259999999999999</v>
      </c>
      <c r="T13" t="s">
        <v>2226</v>
      </c>
      <c r="U13">
        <v>365019680</v>
      </c>
      <c r="V13">
        <v>379147970</v>
      </c>
      <c r="W13">
        <v>1.1000000000000001</v>
      </c>
      <c r="X13">
        <v>0.05</v>
      </c>
      <c r="Y13">
        <v>24.66</v>
      </c>
      <c r="Z13" t="s">
        <v>270</v>
      </c>
      <c r="AA13" t="s">
        <v>2227</v>
      </c>
      <c r="AB13" t="s">
        <v>2228</v>
      </c>
      <c r="AC13" t="s">
        <v>2229</v>
      </c>
      <c r="AD13" t="s">
        <v>63</v>
      </c>
      <c r="AE13">
        <v>-5208305</v>
      </c>
      <c r="AF13" t="s">
        <v>2230</v>
      </c>
      <c r="AG13">
        <v>1727.48</v>
      </c>
      <c r="AH13" t="s">
        <v>2231</v>
      </c>
      <c r="AI13" t="s">
        <v>2232</v>
      </c>
      <c r="AJ13" t="s">
        <v>2233</v>
      </c>
      <c r="AK13" t="s">
        <v>2234</v>
      </c>
      <c r="AL13" t="s">
        <v>2235</v>
      </c>
      <c r="AM13" t="s">
        <v>63</v>
      </c>
      <c r="AN13">
        <v>0</v>
      </c>
      <c r="AO13" t="s">
        <v>63</v>
      </c>
      <c r="AP13" t="s">
        <v>63</v>
      </c>
      <c r="AQ13" t="s">
        <v>185</v>
      </c>
      <c r="AR13" t="s">
        <v>63</v>
      </c>
      <c r="AS13" t="s">
        <v>384</v>
      </c>
      <c r="AT13" t="s">
        <v>63</v>
      </c>
      <c r="AU13" t="s">
        <v>2236</v>
      </c>
      <c r="AV13" t="s">
        <v>2237</v>
      </c>
      <c r="AW13" t="s">
        <v>1840</v>
      </c>
      <c r="AX13" t="s">
        <v>2238</v>
      </c>
      <c r="AY13" t="s">
        <v>1113</v>
      </c>
      <c r="AZ13" t="s">
        <v>1132</v>
      </c>
      <c r="BA13" t="s">
        <v>743</v>
      </c>
      <c r="BB13" t="s">
        <v>744</v>
      </c>
      <c r="BC13" t="s">
        <v>640</v>
      </c>
      <c r="BD13" t="s">
        <v>1155</v>
      </c>
      <c r="BE13" t="s">
        <v>525</v>
      </c>
      <c r="BF13" t="s">
        <v>275</v>
      </c>
      <c r="BG13" t="s">
        <v>500</v>
      </c>
      <c r="BH13" t="s">
        <v>1394</v>
      </c>
      <c r="BI13" t="s">
        <v>414</v>
      </c>
      <c r="BJ13" t="s">
        <v>2238</v>
      </c>
      <c r="BK13" t="s">
        <v>359</v>
      </c>
      <c r="BL13" t="s">
        <v>1769</v>
      </c>
      <c r="BM13" t="s">
        <v>640</v>
      </c>
      <c r="BN13">
        <v>4.04</v>
      </c>
      <c r="BO13">
        <v>6.92</v>
      </c>
      <c r="BP13">
        <v>2.23</v>
      </c>
      <c r="BQ13">
        <v>4.26</v>
      </c>
      <c r="BR13">
        <v>7.17</v>
      </c>
      <c r="BS13">
        <v>2.38</v>
      </c>
      <c r="BT13" t="s">
        <v>2239</v>
      </c>
      <c r="BU13" t="s">
        <v>2052</v>
      </c>
      <c r="BV13">
        <v>60.66</v>
      </c>
      <c r="BW13">
        <v>63.02</v>
      </c>
      <c r="BX13">
        <v>60.04</v>
      </c>
      <c r="BY13">
        <v>22.44</v>
      </c>
      <c r="BZ13">
        <v>22.13</v>
      </c>
      <c r="CA13">
        <v>6.41</v>
      </c>
      <c r="CB13">
        <v>-3.12</v>
      </c>
      <c r="CC13">
        <v>21.16</v>
      </c>
      <c r="CD13" t="s">
        <v>2240</v>
      </c>
      <c r="CE13" t="s">
        <v>1319</v>
      </c>
      <c r="CF13" s="9">
        <v>-0.5117647058823529</v>
      </c>
      <c r="CG13" s="10">
        <v>-0.41969258474216053</v>
      </c>
      <c r="CH13" s="9">
        <v>-0.82886600494384766</v>
      </c>
      <c r="CI13" s="9">
        <v>-0.12533809244632721</v>
      </c>
      <c r="CJ13" s="9">
        <v>-2.2907599806785583E-2</v>
      </c>
      <c r="CK13" s="9">
        <v>0.13160525262355804</v>
      </c>
      <c r="CL13" s="9">
        <v>9.0543255209922791E-3</v>
      </c>
      <c r="CM13" s="10">
        <v>-0.80950045585632324</v>
      </c>
      <c r="CN13" s="10">
        <v>2.0260293483734131</v>
      </c>
      <c r="CO13" s="10">
        <v>-0.69636660814285278</v>
      </c>
      <c r="CP13" s="10">
        <v>-0.25</v>
      </c>
      <c r="CQ13" s="10">
        <v>0.21400777995586395</v>
      </c>
      <c r="CR13">
        <v>31.244266852718514</v>
      </c>
      <c r="CS13">
        <v>1.8676661903919942</v>
      </c>
      <c r="CT13">
        <v>5.4768041237113403</v>
      </c>
      <c r="CU13" s="9">
        <v>-0.16729042381048204</v>
      </c>
      <c r="CV13" s="10">
        <v>9.6834012866020197E-2</v>
      </c>
      <c r="CW13">
        <v>0.06</v>
      </c>
      <c r="CX13">
        <v>75.087200359397812</v>
      </c>
      <c r="CY13" t="s">
        <v>2241</v>
      </c>
      <c r="CZ13">
        <v>-0.16729042381048204</v>
      </c>
      <c r="DA13">
        <v>25.029066786465936</v>
      </c>
      <c r="DB13" t="s">
        <v>2242</v>
      </c>
      <c r="DC13">
        <v>-0.15892590261995793</v>
      </c>
      <c r="DD13">
        <v>12.514533393232968</v>
      </c>
      <c r="DE13" t="s">
        <v>2243</v>
      </c>
      <c r="DF13">
        <v>-0.14721557295322418</v>
      </c>
      <c r="DG13">
        <v>7.5087200359397812</v>
      </c>
      <c r="DH13" t="s">
        <v>2244</v>
      </c>
      <c r="DI13">
        <v>-0.13383233904838562</v>
      </c>
      <c r="DJ13">
        <v>3.7543600179698906</v>
      </c>
      <c r="DK13" t="s">
        <v>2245</v>
      </c>
      <c r="DL13">
        <v>-0.11710329666733742</v>
      </c>
      <c r="DM13">
        <v>40957400</v>
      </c>
      <c r="DN13">
        <v>-0.16729042381048204</v>
      </c>
      <c r="DO13">
        <v>3075376500</v>
      </c>
      <c r="DP13">
        <v>1136111400</v>
      </c>
      <c r="DQ13">
        <v>829</v>
      </c>
      <c r="DR13">
        <v>-0.34447428207187086</v>
      </c>
      <c r="DS13">
        <v>-0.51652659760818076</v>
      </c>
      <c r="DT13" s="11">
        <v>-0.77333333333333332</v>
      </c>
      <c r="DU13">
        <v>-0.52000000000000013</v>
      </c>
      <c r="DV13">
        <v>-1.2933333333333334</v>
      </c>
      <c r="DW13">
        <v>-6.128500823723229</v>
      </c>
      <c r="DX13">
        <v>0.34839865319865493</v>
      </c>
      <c r="DY13">
        <v>-6.0164993327009801</v>
      </c>
      <c r="DZ13">
        <v>2075</v>
      </c>
      <c r="EA13">
        <v>-6.009799505821424</v>
      </c>
      <c r="EB13">
        <v>6</v>
      </c>
      <c r="EC13">
        <v>0.10057920130760557</v>
      </c>
      <c r="ED13">
        <v>0.78333532947571893</v>
      </c>
      <c r="EE13" s="12">
        <v>-1.0701099999999999</v>
      </c>
      <c r="EF13">
        <v>-1.1006100000000001</v>
      </c>
      <c r="EG13">
        <v>22.128398653198655</v>
      </c>
      <c r="EH13" t="s">
        <v>1311</v>
      </c>
      <c r="EI13">
        <v>0</v>
      </c>
      <c r="EJ13">
        <v>0</v>
      </c>
      <c r="EK13" s="14">
        <v>45470</v>
      </c>
      <c r="EL13" s="15">
        <v>4.5</v>
      </c>
      <c r="EM13" s="15">
        <v>0.37</v>
      </c>
      <c r="EN13" s="15">
        <v>-2.92</v>
      </c>
      <c r="EO13" s="15">
        <v>0.96</v>
      </c>
      <c r="EP13" s="15">
        <v>-3.05</v>
      </c>
    </row>
    <row r="14" spans="1:146" ht="96" x14ac:dyDescent="0.25">
      <c r="A14" s="7"/>
      <c r="B14" s="7"/>
      <c r="C14" s="7" t="str">
        <f>""&amp;CHAR(10)&amp;Basic_Fundamental_Information_Constructure(F14)&amp;CHAR(10)&amp;Basic_Fundamental_Information_Concatenate("")</f>
        <v xml:space="preserve">
市值39.846107亿, 利润-1518.66万; PE; 平均PE397.1; 平均PEG578.4, PB3.22; ROIC5.65%; ROE-4.1333%; 股利率0%; 毛利43.7833%; 净利-5.8167%; 上一年度营收增-75.8%, 利润增88.83%; 当季营收增-45.41%, 利润增70.72%; 过往5年营收增.69%, 利润增.64%
Income profile:
</v>
      </c>
      <c r="D14" t="s">
        <v>77</v>
      </c>
      <c r="E14" t="s">
        <v>26</v>
      </c>
      <c r="F14">
        <v>16.3</v>
      </c>
      <c r="G14">
        <v>1.56</v>
      </c>
      <c r="H14" t="s">
        <v>2246</v>
      </c>
      <c r="I14">
        <v>3984610700</v>
      </c>
      <c r="K14">
        <v>3.22</v>
      </c>
      <c r="L14" t="s">
        <v>1303</v>
      </c>
      <c r="M14" t="s">
        <v>702</v>
      </c>
      <c r="N14" t="s">
        <v>2247</v>
      </c>
      <c r="O14" t="s">
        <v>315</v>
      </c>
      <c r="P14">
        <v>10.07</v>
      </c>
      <c r="Q14" t="s">
        <v>315</v>
      </c>
      <c r="R14">
        <v>-15186586</v>
      </c>
      <c r="S14" s="5">
        <v>0.49230000000000002</v>
      </c>
      <c r="T14" t="s">
        <v>2248</v>
      </c>
      <c r="U14">
        <v>207161620</v>
      </c>
      <c r="V14">
        <v>244454650</v>
      </c>
      <c r="W14">
        <v>1.33</v>
      </c>
      <c r="X14">
        <v>0.18</v>
      </c>
      <c r="Y14">
        <v>-5.76</v>
      </c>
      <c r="Z14" t="s">
        <v>563</v>
      </c>
      <c r="AA14" t="s">
        <v>337</v>
      </c>
      <c r="AB14" t="s">
        <v>2249</v>
      </c>
      <c r="AC14" t="s">
        <v>2250</v>
      </c>
      <c r="AD14" t="s">
        <v>63</v>
      </c>
      <c r="AE14">
        <v>-4803970</v>
      </c>
      <c r="AF14" t="s">
        <v>2251</v>
      </c>
      <c r="AG14" t="s">
        <v>2252</v>
      </c>
      <c r="AH14" t="s">
        <v>2253</v>
      </c>
      <c r="AI14" t="s">
        <v>617</v>
      </c>
      <c r="AJ14" t="s">
        <v>2254</v>
      </c>
      <c r="AK14" t="s">
        <v>2255</v>
      </c>
      <c r="AL14" t="s">
        <v>2256</v>
      </c>
      <c r="AM14" t="s">
        <v>63</v>
      </c>
      <c r="AN14">
        <v>0</v>
      </c>
      <c r="AO14" t="s">
        <v>2257</v>
      </c>
      <c r="AP14" t="s">
        <v>63</v>
      </c>
      <c r="AQ14" t="s">
        <v>408</v>
      </c>
      <c r="AR14" t="s">
        <v>63</v>
      </c>
      <c r="AS14" t="s">
        <v>761</v>
      </c>
      <c r="AT14" t="s">
        <v>63</v>
      </c>
      <c r="AU14" t="s">
        <v>2047</v>
      </c>
      <c r="AV14" t="s">
        <v>2258</v>
      </c>
      <c r="AW14" t="s">
        <v>2259</v>
      </c>
      <c r="AX14" t="s">
        <v>1485</v>
      </c>
      <c r="AY14" t="s">
        <v>1156</v>
      </c>
      <c r="AZ14" t="s">
        <v>358</v>
      </c>
      <c r="BA14" t="s">
        <v>294</v>
      </c>
      <c r="BB14" t="s">
        <v>747</v>
      </c>
      <c r="BC14" t="s">
        <v>1486</v>
      </c>
      <c r="BD14" t="s">
        <v>1157</v>
      </c>
      <c r="BE14" t="s">
        <v>454</v>
      </c>
      <c r="BF14" t="s">
        <v>295</v>
      </c>
      <c r="BG14" t="s">
        <v>748</v>
      </c>
      <c r="BH14" t="s">
        <v>2260</v>
      </c>
      <c r="BI14" t="s">
        <v>526</v>
      </c>
      <c r="BJ14" t="s">
        <v>1485</v>
      </c>
      <c r="BK14" t="s">
        <v>1796</v>
      </c>
      <c r="BL14" t="s">
        <v>1772</v>
      </c>
      <c r="BM14" t="s">
        <v>1486</v>
      </c>
      <c r="BN14" t="s">
        <v>63</v>
      </c>
      <c r="BO14" t="s">
        <v>63</v>
      </c>
      <c r="BP14">
        <v>5.65</v>
      </c>
      <c r="BQ14">
        <v>-6.68</v>
      </c>
      <c r="BR14">
        <v>-9.25</v>
      </c>
      <c r="BS14">
        <v>3.53</v>
      </c>
      <c r="BT14" t="s">
        <v>1445</v>
      </c>
      <c r="BU14" t="s">
        <v>2052</v>
      </c>
      <c r="BV14">
        <v>41.65</v>
      </c>
      <c r="BW14">
        <v>40.32</v>
      </c>
      <c r="BX14">
        <v>49.38</v>
      </c>
      <c r="BY14">
        <v>-11.71</v>
      </c>
      <c r="BZ14">
        <v>-12.34</v>
      </c>
      <c r="CA14">
        <v>6.6</v>
      </c>
      <c r="CB14">
        <v>-2.1</v>
      </c>
      <c r="CC14">
        <v>-8.58</v>
      </c>
      <c r="CD14" t="s">
        <v>2261</v>
      </c>
      <c r="CE14" t="s">
        <v>370</v>
      </c>
      <c r="CF14" s="9">
        <v>-0.45410628019323673</v>
      </c>
      <c r="CG14" s="10">
        <v>0.70715225913691737</v>
      </c>
      <c r="CH14" s="9">
        <v>-0.75802993774414063</v>
      </c>
      <c r="CI14" s="9">
        <v>-0.13143211603164673</v>
      </c>
      <c r="CJ14" s="9">
        <v>3.7298951297998428E-2</v>
      </c>
      <c r="CK14" s="9">
        <v>0.40723994374275208</v>
      </c>
      <c r="CL14" s="9">
        <v>0.47925025224685669</v>
      </c>
      <c r="CM14" s="10">
        <v>0.88833379745483398</v>
      </c>
      <c r="CN14" s="10">
        <v>-3.5141000747680664</v>
      </c>
      <c r="CO14" s="10">
        <v>-0.47985672950744629</v>
      </c>
      <c r="CP14" s="10">
        <v>1.7783046960830688</v>
      </c>
      <c r="CQ14" s="10">
        <v>1.3595237731933594</v>
      </c>
      <c r="CR14">
        <v>397.09902036016462</v>
      </c>
      <c r="CS14">
        <v>578.40466485085847</v>
      </c>
      <c r="CT14">
        <v>0</v>
      </c>
      <c r="CU14" s="9">
        <v>6.8654187023639681E-3</v>
      </c>
      <c r="CV14" s="10">
        <v>6.4410924911499027E-3</v>
      </c>
      <c r="CW14">
        <v>0.06</v>
      </c>
      <c r="CX14" t="e">
        <v>#VALUE!</v>
      </c>
      <c r="CY14" t="s">
        <v>1308</v>
      </c>
      <c r="CZ14">
        <v>6.8654187023639681E-3</v>
      </c>
      <c r="DA14" t="e">
        <v>#VALUE!</v>
      </c>
      <c r="DB14" t="s">
        <v>1309</v>
      </c>
      <c r="DC14">
        <v>6.5221477672457694E-3</v>
      </c>
      <c r="DD14" t="e">
        <v>#VALUE!</v>
      </c>
      <c r="DE14" t="s">
        <v>1309</v>
      </c>
      <c r="DF14">
        <v>6.0415684580802922E-3</v>
      </c>
      <c r="DG14" t="e">
        <v>#VALUE!</v>
      </c>
      <c r="DH14" t="s">
        <v>1309</v>
      </c>
      <c r="DI14">
        <v>5.492334961891175E-3</v>
      </c>
      <c r="DJ14" t="e">
        <v>#VALUE!</v>
      </c>
      <c r="DK14" t="s">
        <v>1309</v>
      </c>
      <c r="DL14">
        <v>4.8057930916547776E-3</v>
      </c>
      <c r="DM14">
        <v>-15186600</v>
      </c>
      <c r="DN14">
        <v>6.8654187023639681E-3</v>
      </c>
      <c r="DO14">
        <v>3138610700</v>
      </c>
      <c r="DP14">
        <v>909745600</v>
      </c>
      <c r="DQ14">
        <v>868</v>
      </c>
      <c r="DR14">
        <v>-0.46097169889560069</v>
      </c>
      <c r="DS14">
        <v>0.70071116664576749</v>
      </c>
      <c r="DT14" s="11">
        <v>-0.55666666666666675</v>
      </c>
      <c r="DU14">
        <v>-0.95833333333333337</v>
      </c>
      <c r="DV14">
        <v>-1.5150000000000001</v>
      </c>
      <c r="DW14">
        <v>-2.0857999999999999</v>
      </c>
      <c r="DX14">
        <v>0.36651450381679407</v>
      </c>
      <c r="DY14">
        <v>-2.0134289444274809</v>
      </c>
      <c r="DZ14">
        <v>3846</v>
      </c>
      <c r="EA14">
        <v>-2.0033217584650362</v>
      </c>
      <c r="EB14">
        <v>2</v>
      </c>
      <c r="EC14">
        <v>8.3874043713220423E-2</v>
      </c>
      <c r="ED14">
        <v>0.5358867176386295</v>
      </c>
      <c r="EE14" s="12">
        <v>9.0286000000000008</v>
      </c>
      <c r="EF14">
        <v>9.0099</v>
      </c>
      <c r="EG14">
        <v>21.156514503816794</v>
      </c>
      <c r="EH14" t="s">
        <v>1960</v>
      </c>
      <c r="EI14">
        <v>0</v>
      </c>
      <c r="EJ14">
        <v>0</v>
      </c>
      <c r="EK14" s="14">
        <v>45470</v>
      </c>
      <c r="EL14" s="15">
        <v>-0.65</v>
      </c>
      <c r="EM14" s="15">
        <v>-4.88</v>
      </c>
      <c r="EN14" s="15">
        <v>-1.44</v>
      </c>
      <c r="EO14" s="15">
        <v>8.24</v>
      </c>
      <c r="EP14" s="15">
        <v>-1.87</v>
      </c>
    </row>
    <row r="15" spans="1:146" ht="96" x14ac:dyDescent="0.25">
      <c r="A15" s="7"/>
      <c r="B15" s="7"/>
      <c r="C15" s="7" t="str">
        <f>""&amp;CHAR(10)&amp;Basic_Fundamental_Information_Constructure(F15)&amp;CHAR(10)&amp;Basic_Fundamental_Information_Concatenate("")</f>
        <v xml:space="preserve">
市值145.28054亿, 利润-1.70亿; PE; 平均PE697.35; 平均PEG135.12, PB1.47; ROIC.13%; ROE-2.0067%; 股利率0%; 毛利47.6833%; 净利-18.5133%; 上一年度营收增-78.88%, 利润增49.4%; 当季营收增-52.9%, 利润增42.45%; 过往5年营收增-5.16%, 利润增-81.38%
Income profile:
</v>
      </c>
      <c r="D15" t="s">
        <v>85</v>
      </c>
      <c r="E15" t="s">
        <v>23</v>
      </c>
      <c r="F15">
        <v>6.11</v>
      </c>
      <c r="G15">
        <v>0.66</v>
      </c>
      <c r="H15" t="s">
        <v>2262</v>
      </c>
      <c r="I15">
        <v>14528054000</v>
      </c>
      <c r="K15">
        <v>1.47</v>
      </c>
      <c r="L15" t="s">
        <v>1303</v>
      </c>
      <c r="M15" t="s">
        <v>2263</v>
      </c>
      <c r="N15" t="s">
        <v>2264</v>
      </c>
      <c r="O15" t="s">
        <v>807</v>
      </c>
      <c r="P15">
        <v>0.04</v>
      </c>
      <c r="Q15" t="s">
        <v>807</v>
      </c>
      <c r="R15">
        <v>-169773600</v>
      </c>
      <c r="S15" s="5">
        <v>-0.6512</v>
      </c>
      <c r="T15" t="s">
        <v>2265</v>
      </c>
      <c r="U15">
        <v>2330425000</v>
      </c>
      <c r="V15">
        <v>2377750300</v>
      </c>
      <c r="W15">
        <v>1.23</v>
      </c>
      <c r="X15">
        <v>0.06</v>
      </c>
      <c r="Y15">
        <v>-24.4</v>
      </c>
      <c r="Z15" t="s">
        <v>2266</v>
      </c>
      <c r="AA15" t="s">
        <v>1317</v>
      </c>
      <c r="AB15" t="s">
        <v>2267</v>
      </c>
      <c r="AC15" t="s">
        <v>2268</v>
      </c>
      <c r="AD15" t="s">
        <v>63</v>
      </c>
      <c r="AE15">
        <v>-19090227</v>
      </c>
      <c r="AF15" t="s">
        <v>2269</v>
      </c>
      <c r="AG15" t="s">
        <v>2270</v>
      </c>
      <c r="AH15" t="s">
        <v>2271</v>
      </c>
      <c r="AI15" t="s">
        <v>1908</v>
      </c>
      <c r="AJ15" t="s">
        <v>2272</v>
      </c>
      <c r="AK15" t="s">
        <v>2273</v>
      </c>
      <c r="AL15" t="s">
        <v>2274</v>
      </c>
      <c r="AM15" t="s">
        <v>63</v>
      </c>
      <c r="AN15" t="s">
        <v>190</v>
      </c>
      <c r="AO15" t="s">
        <v>544</v>
      </c>
      <c r="AP15" t="s">
        <v>174</v>
      </c>
      <c r="AQ15" t="s">
        <v>1085</v>
      </c>
      <c r="AR15" t="s">
        <v>63</v>
      </c>
      <c r="AS15" t="s">
        <v>873</v>
      </c>
      <c r="AT15" t="s">
        <v>174</v>
      </c>
      <c r="AU15" t="s">
        <v>2275</v>
      </c>
      <c r="AV15" t="s">
        <v>2276</v>
      </c>
      <c r="AW15" t="s">
        <v>2277</v>
      </c>
      <c r="AX15" t="s">
        <v>1490</v>
      </c>
      <c r="AY15" t="s">
        <v>1159</v>
      </c>
      <c r="AZ15" t="s">
        <v>753</v>
      </c>
      <c r="BA15" t="s">
        <v>314</v>
      </c>
      <c r="BB15" t="s">
        <v>757</v>
      </c>
      <c r="BC15" t="s">
        <v>1491</v>
      </c>
      <c r="BD15" t="s">
        <v>183</v>
      </c>
      <c r="BE15" t="s">
        <v>754</v>
      </c>
      <c r="BF15" t="s">
        <v>315</v>
      </c>
      <c r="BG15" t="s">
        <v>607</v>
      </c>
      <c r="BH15" t="s">
        <v>2278</v>
      </c>
      <c r="BI15" t="s">
        <v>1547</v>
      </c>
      <c r="BJ15" t="s">
        <v>1490</v>
      </c>
      <c r="BK15" t="s">
        <v>2279</v>
      </c>
      <c r="BL15" t="s">
        <v>1522</v>
      </c>
      <c r="BM15" t="s">
        <v>1491</v>
      </c>
      <c r="BN15" t="s">
        <v>63</v>
      </c>
      <c r="BO15" t="s">
        <v>63</v>
      </c>
      <c r="BP15">
        <v>0.13</v>
      </c>
      <c r="BQ15">
        <v>-4.3099999999999996</v>
      </c>
      <c r="BR15">
        <v>-2.8</v>
      </c>
      <c r="BS15">
        <v>1.0900000000000001</v>
      </c>
      <c r="BT15" t="s">
        <v>1445</v>
      </c>
      <c r="BU15" t="s">
        <v>2052</v>
      </c>
      <c r="BV15">
        <v>34.01</v>
      </c>
      <c r="BW15">
        <v>49.15</v>
      </c>
      <c r="BX15">
        <v>59.89</v>
      </c>
      <c r="BY15">
        <v>-44.38</v>
      </c>
      <c r="BZ15">
        <v>-15.27</v>
      </c>
      <c r="CA15">
        <v>4.1100000000000003</v>
      </c>
      <c r="CB15">
        <v>-1.77</v>
      </c>
      <c r="CC15">
        <v>-9.8800000000000008</v>
      </c>
      <c r="CD15" t="s">
        <v>501</v>
      </c>
      <c r="CE15" t="s">
        <v>2280</v>
      </c>
      <c r="CF15" s="9">
        <v>-0.5289806795469687</v>
      </c>
      <c r="CG15" s="10">
        <v>0.42449627118644068</v>
      </c>
      <c r="CH15" s="9">
        <v>-0.78876602649688721</v>
      </c>
      <c r="CI15" s="9">
        <v>9.3790873885154724E-2</v>
      </c>
      <c r="CJ15" s="9">
        <v>0.42458099126815796</v>
      </c>
      <c r="CK15" s="9">
        <v>-7.0129923522472382E-2</v>
      </c>
      <c r="CL15" s="9">
        <v>8.2474283874034882E-2</v>
      </c>
      <c r="CM15" s="10">
        <v>0.494047611951828</v>
      </c>
      <c r="CN15" s="10">
        <v>-3.7540984153747559</v>
      </c>
      <c r="CO15" s="10">
        <v>1.3948220014572144</v>
      </c>
      <c r="CP15" s="10">
        <v>-1.9115043878555298</v>
      </c>
      <c r="CQ15" s="10">
        <v>-0.29227557778358459</v>
      </c>
      <c r="CR15">
        <v>697.34659199999999</v>
      </c>
      <c r="CS15">
        <v>135.11860681915164</v>
      </c>
      <c r="CT15">
        <v>0</v>
      </c>
      <c r="CU15" s="9">
        <v>-5.1609960198402402E-2</v>
      </c>
      <c r="CV15" s="10">
        <v>-0.81380175352096562</v>
      </c>
      <c r="CW15">
        <v>0.06</v>
      </c>
      <c r="CX15" t="e">
        <v>#VALUE!</v>
      </c>
      <c r="CY15" t="s">
        <v>1308</v>
      </c>
      <c r="CZ15">
        <v>-5.1609960198402402E-2</v>
      </c>
      <c r="DA15" t="e">
        <v>#VALUE!</v>
      </c>
      <c r="DB15" t="s">
        <v>1309</v>
      </c>
      <c r="DC15">
        <v>-4.9029462188482281E-2</v>
      </c>
      <c r="DD15" t="e">
        <v>#VALUE!</v>
      </c>
      <c r="DE15" t="s">
        <v>1309</v>
      </c>
      <c r="DF15">
        <v>-4.5416764974594112E-2</v>
      </c>
      <c r="DG15" t="e">
        <v>#VALUE!</v>
      </c>
      <c r="DH15" t="s">
        <v>1309</v>
      </c>
      <c r="DI15">
        <v>-4.1287968158721926E-2</v>
      </c>
      <c r="DJ15" t="e">
        <v>#VALUE!</v>
      </c>
      <c r="DK15" t="s">
        <v>1309</v>
      </c>
      <c r="DL15">
        <v>-3.6126972138881677E-2</v>
      </c>
      <c r="DM15">
        <v>-170000000</v>
      </c>
      <c r="DN15">
        <v>-5.1609960198402402E-2</v>
      </c>
      <c r="DO15">
        <v>7180054000</v>
      </c>
      <c r="DP15">
        <v>3172076000</v>
      </c>
      <c r="DQ15">
        <v>911</v>
      </c>
      <c r="DR15">
        <v>-0.47737071934856629</v>
      </c>
      <c r="DS15">
        <v>1.2382980247074062</v>
      </c>
      <c r="DT15" s="11">
        <v>-0.64</v>
      </c>
      <c r="DU15">
        <v>-2.3483333333333332</v>
      </c>
      <c r="DV15">
        <v>-2.9883333333333333</v>
      </c>
      <c r="DW15">
        <v>-2.0988000000000002</v>
      </c>
      <c r="DX15">
        <v>0.33558464223385753</v>
      </c>
      <c r="DY15">
        <v>-2.0104317626527051</v>
      </c>
      <c r="DZ15">
        <v>4952</v>
      </c>
      <c r="EA15">
        <v>-2.0003225476514928</v>
      </c>
      <c r="EB15">
        <v>2</v>
      </c>
      <c r="EC15">
        <v>5.0888438537890206E-2</v>
      </c>
      <c r="ED15">
        <v>0.48196818648282791</v>
      </c>
      <c r="EE15" s="12">
        <v>-1.0919099999999999</v>
      </c>
      <c r="EF15">
        <v>-1.1230100000000001</v>
      </c>
      <c r="EG15">
        <v>23.105584642233858</v>
      </c>
      <c r="EH15" t="s">
        <v>1311</v>
      </c>
      <c r="EI15">
        <v>0</v>
      </c>
      <c r="EJ15">
        <v>0</v>
      </c>
      <c r="EK15" s="14">
        <v>45470</v>
      </c>
      <c r="EL15" s="15">
        <v>-0.3</v>
      </c>
      <c r="EM15" s="15">
        <v>-5.44</v>
      </c>
      <c r="EN15" s="15">
        <v>-1.1200000000000001</v>
      </c>
      <c r="EO15" s="15">
        <v>4.04</v>
      </c>
      <c r="EP15" s="15">
        <v>-3.11</v>
      </c>
    </row>
    <row r="16" spans="1:146" ht="96" x14ac:dyDescent="0.25">
      <c r="A16" s="7"/>
      <c r="B16" s="7"/>
      <c r="C16" s="7" t="str">
        <f>""&amp;CHAR(10)&amp;Basic_Fundamental_Information_Constructure(F16)&amp;CHAR(10)&amp;Basic_Fundamental_Information_Concatenate("")</f>
        <v xml:space="preserve">
市值152.66853亿, 利润607.81万; PE7094; 平均PE34.72; 平均PEG13.03, PB2.61; ROIC9.6533%; ROE10.44%; 股利率.7634%; 毛利83.1067%; 净利10.0667%; 上一年度营收增-80.37%, 利润增-99.37%; 当季营收增-57.84%, 利润增-97.55%; 过往5年营收增2.66%, 利润增8.24%
Income profile:
</v>
      </c>
      <c r="D16" t="s">
        <v>82</v>
      </c>
      <c r="E16" t="s">
        <v>34</v>
      </c>
      <c r="F16">
        <v>9.17</v>
      </c>
      <c r="G16">
        <v>0.44</v>
      </c>
      <c r="H16" t="s">
        <v>2281</v>
      </c>
      <c r="I16">
        <v>15266853000</v>
      </c>
      <c r="J16">
        <v>7094</v>
      </c>
      <c r="K16">
        <v>2.61</v>
      </c>
      <c r="L16" t="s">
        <v>1303</v>
      </c>
      <c r="M16" t="s">
        <v>2282</v>
      </c>
      <c r="N16" t="s">
        <v>2283</v>
      </c>
      <c r="O16" t="s">
        <v>625</v>
      </c>
      <c r="P16">
        <v>-1.08</v>
      </c>
      <c r="Q16" t="s">
        <v>625</v>
      </c>
      <c r="R16">
        <v>6078079</v>
      </c>
      <c r="S16" s="5">
        <v>-0.94920000000000004</v>
      </c>
      <c r="T16" t="s">
        <v>2284</v>
      </c>
      <c r="U16">
        <v>1588835000</v>
      </c>
      <c r="V16">
        <v>1664869500</v>
      </c>
      <c r="W16">
        <v>1.57</v>
      </c>
      <c r="X16">
        <v>0.12</v>
      </c>
      <c r="Y16">
        <v>1.0900000000000001</v>
      </c>
      <c r="Z16" t="s">
        <v>2285</v>
      </c>
      <c r="AA16" t="s">
        <v>196</v>
      </c>
      <c r="AB16" t="s">
        <v>695</v>
      </c>
      <c r="AC16" t="s">
        <v>490</v>
      </c>
      <c r="AD16" t="s">
        <v>63</v>
      </c>
      <c r="AE16">
        <v>-7259791</v>
      </c>
      <c r="AF16" t="s">
        <v>2286</v>
      </c>
      <c r="AG16" t="s">
        <v>2287</v>
      </c>
      <c r="AH16" t="s">
        <v>2288</v>
      </c>
      <c r="AI16" t="s">
        <v>2289</v>
      </c>
      <c r="AJ16" t="s">
        <v>2290</v>
      </c>
      <c r="AK16" t="s">
        <v>2291</v>
      </c>
      <c r="AL16" t="s">
        <v>2292</v>
      </c>
      <c r="AM16" t="s">
        <v>63</v>
      </c>
      <c r="AN16" t="s">
        <v>192</v>
      </c>
      <c r="AO16" t="s">
        <v>2293</v>
      </c>
      <c r="AP16" t="s">
        <v>2294</v>
      </c>
      <c r="AQ16" t="s">
        <v>599</v>
      </c>
      <c r="AR16" t="s">
        <v>63</v>
      </c>
      <c r="AS16" t="s">
        <v>2295</v>
      </c>
      <c r="AT16" t="s">
        <v>63</v>
      </c>
      <c r="AU16" t="s">
        <v>2296</v>
      </c>
      <c r="AV16" t="s">
        <v>2297</v>
      </c>
      <c r="AW16" t="s">
        <v>2298</v>
      </c>
      <c r="AX16" t="s">
        <v>2299</v>
      </c>
      <c r="AY16" t="s">
        <v>1493</v>
      </c>
      <c r="AZ16" t="s">
        <v>1494</v>
      </c>
      <c r="BA16" t="s">
        <v>759</v>
      </c>
      <c r="BB16" t="s">
        <v>760</v>
      </c>
      <c r="BC16" t="s">
        <v>440</v>
      </c>
      <c r="BD16" t="s">
        <v>618</v>
      </c>
      <c r="BE16" t="s">
        <v>740</v>
      </c>
      <c r="BF16" t="s">
        <v>215</v>
      </c>
      <c r="BG16" t="s">
        <v>761</v>
      </c>
      <c r="BH16" t="s">
        <v>2300</v>
      </c>
      <c r="BI16" t="s">
        <v>1778</v>
      </c>
      <c r="BJ16" t="s">
        <v>2299</v>
      </c>
      <c r="BK16" t="s">
        <v>514</v>
      </c>
      <c r="BL16" t="s">
        <v>217</v>
      </c>
      <c r="BM16" t="s">
        <v>440</v>
      </c>
      <c r="BN16">
        <v>3.82</v>
      </c>
      <c r="BO16">
        <v>14.81</v>
      </c>
      <c r="BP16">
        <v>10.33</v>
      </c>
      <c r="BQ16">
        <v>4.16</v>
      </c>
      <c r="BR16">
        <v>16.57</v>
      </c>
      <c r="BS16">
        <v>10.59</v>
      </c>
      <c r="BT16" t="s">
        <v>1457</v>
      </c>
      <c r="BU16" t="s">
        <v>2052</v>
      </c>
      <c r="BV16">
        <v>82.52</v>
      </c>
      <c r="BW16">
        <v>82.85</v>
      </c>
      <c r="BX16">
        <v>83.95</v>
      </c>
      <c r="BY16">
        <v>1.83</v>
      </c>
      <c r="BZ16">
        <v>15.45</v>
      </c>
      <c r="CA16">
        <v>12.92</v>
      </c>
      <c r="CB16">
        <v>-4.28</v>
      </c>
      <c r="CC16">
        <v>-27.11</v>
      </c>
      <c r="CD16" t="s">
        <v>293</v>
      </c>
      <c r="CE16" t="s">
        <v>2007</v>
      </c>
      <c r="CF16" s="9">
        <v>-0.5783606557377049</v>
      </c>
      <c r="CG16" s="10">
        <v>-0.97549161693548392</v>
      </c>
      <c r="CH16" s="9">
        <v>-0.80372405052185059</v>
      </c>
      <c r="CI16" s="9">
        <v>0.17799355089664459</v>
      </c>
      <c r="CJ16" s="9">
        <v>0.409171462059021</v>
      </c>
      <c r="CK16" s="9">
        <v>0.13943420350551605</v>
      </c>
      <c r="CL16" s="9">
        <v>0.21034236252307892</v>
      </c>
      <c r="CM16" s="10">
        <v>-0.99371451139450073</v>
      </c>
      <c r="CN16" s="10">
        <v>0.4629349410533905</v>
      </c>
      <c r="CO16" s="10">
        <v>1.0030303001403809</v>
      </c>
      <c r="CP16" s="10">
        <v>0.40425533056259155</v>
      </c>
      <c r="CQ16" s="10">
        <v>-0.46469247341156006</v>
      </c>
      <c r="CR16">
        <v>34.722671023272589</v>
      </c>
      <c r="CS16">
        <v>13.032320680333855</v>
      </c>
      <c r="CT16">
        <v>0.76335877862595414</v>
      </c>
      <c r="CU16" s="9">
        <v>2.6643505692481993E-2</v>
      </c>
      <c r="CV16" s="10">
        <v>8.236271739006043E-2</v>
      </c>
      <c r="CW16">
        <v>0.06</v>
      </c>
      <c r="CX16">
        <v>2242.6074091031614</v>
      </c>
      <c r="CY16">
        <v>5886831.9735372392</v>
      </c>
      <c r="CZ16">
        <v>2.6643505692481993E-2</v>
      </c>
      <c r="DA16">
        <v>773.54532300737378</v>
      </c>
      <c r="DB16">
        <v>17066683.240581308</v>
      </c>
      <c r="DC16">
        <v>2.5311330407857893E-2</v>
      </c>
      <c r="DD16">
        <v>408.58173440320161</v>
      </c>
      <c r="DE16">
        <v>32311412.597245444</v>
      </c>
      <c r="DF16">
        <v>2.3446285009384154E-2</v>
      </c>
      <c r="DG16">
        <v>264.97082263183927</v>
      </c>
      <c r="DH16">
        <v>49823798.971040539</v>
      </c>
      <c r="DI16">
        <v>2.1314804553985597E-2</v>
      </c>
      <c r="DJ16">
        <v>160.66182903258382</v>
      </c>
      <c r="DK16">
        <v>82171683.712890714</v>
      </c>
      <c r="DL16">
        <v>1.8650453984737393E-2</v>
      </c>
      <c r="DM16">
        <v>6078099.9999999991</v>
      </c>
      <c r="DN16">
        <v>2.6643505692481993E-2</v>
      </c>
      <c r="DO16">
        <v>13201853000</v>
      </c>
      <c r="DP16">
        <v>591342000</v>
      </c>
      <c r="DQ16">
        <v>916</v>
      </c>
      <c r="DR16">
        <v>-0.60500416143018687</v>
      </c>
      <c r="DS16">
        <v>-1.0578543343255444</v>
      </c>
      <c r="DT16" s="11">
        <v>-0.39000000000000007</v>
      </c>
      <c r="DU16">
        <v>-0.34</v>
      </c>
      <c r="DV16">
        <v>-0.73000000000000009</v>
      </c>
      <c r="DW16">
        <v>-8.1578753227591303</v>
      </c>
      <c r="DX16">
        <v>0.39995447647951421</v>
      </c>
      <c r="DY16">
        <v>-8.026831617828563</v>
      </c>
      <c r="DZ16">
        <v>2674</v>
      </c>
      <c r="EA16">
        <v>-8.0127909630196434</v>
      </c>
      <c r="EB16">
        <v>8</v>
      </c>
      <c r="EC16">
        <v>6.7272539979860296E-2</v>
      </c>
      <c r="ED16">
        <v>0.39582682006007075</v>
      </c>
      <c r="EE16" s="12">
        <v>-4.0529099999999998</v>
      </c>
      <c r="EF16">
        <v>-4.0847100000000003</v>
      </c>
      <c r="EG16">
        <v>23.169954476479514</v>
      </c>
      <c r="EH16" t="s">
        <v>1994</v>
      </c>
      <c r="EI16">
        <v>0</v>
      </c>
      <c r="EJ16">
        <v>0</v>
      </c>
      <c r="EK16" s="14">
        <v>45470</v>
      </c>
      <c r="EL16" s="15">
        <v>-0.79</v>
      </c>
      <c r="EM16" s="15">
        <v>-3.1</v>
      </c>
      <c r="EN16" s="15">
        <v>-2.68</v>
      </c>
      <c r="EO16" s="15">
        <v>6.57</v>
      </c>
      <c r="EP16" s="15">
        <v>-3.18</v>
      </c>
    </row>
    <row r="17" spans="1:146" x14ac:dyDescent="0.25">
      <c r="A17" s="7"/>
      <c r="B17" s="7"/>
      <c r="C17" s="7" t="str">
        <f>""&amp;CHAR(10)&amp;Basic_Fundamental_Information_Constructure(F17)&amp;CHAR(10)&amp;Basic_Fundamental_Information_Concatenate("")</f>
        <v xml:space="preserve">
市值182.87724亿, 利润-1.13亿; PE26.36; 平均PE31.93; 平均PEG9.27, PB1.55; ROIC8.39%; ROE8.54%; 股利率1.7988%; 毛利62.1367%; 净利16.7333%; 上一年度营收增-79.2%, 利润增-118.05%; 当季营收增-39.36%, 利润增-161.17%; 过往5年营收增-3.45%, 利润增-20.09%
Income profile:
</v>
      </c>
      <c r="D17" t="s">
        <v>128</v>
      </c>
      <c r="E17" t="s">
        <v>48</v>
      </c>
      <c r="F17">
        <v>15.01</v>
      </c>
      <c r="G17">
        <v>-1.51</v>
      </c>
      <c r="H17" t="s">
        <v>2301</v>
      </c>
      <c r="I17">
        <v>18287724000</v>
      </c>
      <c r="J17">
        <v>26.36</v>
      </c>
      <c r="K17">
        <v>1.55</v>
      </c>
      <c r="L17" t="s">
        <v>1303</v>
      </c>
      <c r="M17" t="s">
        <v>2302</v>
      </c>
      <c r="N17" t="s">
        <v>2303</v>
      </c>
      <c r="O17" t="s">
        <v>1149</v>
      </c>
      <c r="P17">
        <v>17.13</v>
      </c>
      <c r="Q17" t="s">
        <v>1149</v>
      </c>
      <c r="R17">
        <v>-113169017</v>
      </c>
      <c r="S17" s="5">
        <v>-0.7218</v>
      </c>
      <c r="T17" t="s">
        <v>1389</v>
      </c>
      <c r="U17">
        <v>725510160</v>
      </c>
      <c r="V17">
        <v>1218369380</v>
      </c>
      <c r="W17">
        <v>1.22</v>
      </c>
      <c r="X17">
        <v>0.06</v>
      </c>
      <c r="Y17">
        <v>-12.46</v>
      </c>
      <c r="Z17" t="s">
        <v>2304</v>
      </c>
      <c r="AA17" t="s">
        <v>1514</v>
      </c>
      <c r="AB17" t="s">
        <v>288</v>
      </c>
      <c r="AC17" t="s">
        <v>2305</v>
      </c>
      <c r="AD17" t="s">
        <v>63</v>
      </c>
      <c r="AE17">
        <v>-26569963</v>
      </c>
      <c r="AF17" t="s">
        <v>2306</v>
      </c>
      <c r="AG17" t="s">
        <v>2307</v>
      </c>
      <c r="AH17" t="s">
        <v>2308</v>
      </c>
      <c r="AI17" t="s">
        <v>2309</v>
      </c>
      <c r="AJ17" t="s">
        <v>2310</v>
      </c>
      <c r="AK17" t="s">
        <v>187</v>
      </c>
      <c r="AL17" t="s">
        <v>2311</v>
      </c>
      <c r="AM17" t="s">
        <v>63</v>
      </c>
      <c r="AN17">
        <v>0</v>
      </c>
      <c r="AO17" t="s">
        <v>63</v>
      </c>
      <c r="AP17" t="s">
        <v>63</v>
      </c>
      <c r="AQ17" t="s">
        <v>964</v>
      </c>
      <c r="AR17" t="s">
        <v>2312</v>
      </c>
      <c r="AS17" t="s">
        <v>2313</v>
      </c>
      <c r="AT17" t="s">
        <v>63</v>
      </c>
      <c r="AU17" t="s">
        <v>1390</v>
      </c>
      <c r="AV17" t="s">
        <v>2314</v>
      </c>
      <c r="AW17" t="s">
        <v>2315</v>
      </c>
      <c r="AX17" t="s">
        <v>1497</v>
      </c>
      <c r="AY17" t="s">
        <v>1161</v>
      </c>
      <c r="AZ17" t="s">
        <v>189</v>
      </c>
      <c r="BA17" t="s">
        <v>331</v>
      </c>
      <c r="BB17" t="s">
        <v>764</v>
      </c>
      <c r="BC17" t="s">
        <v>819</v>
      </c>
      <c r="BD17" t="s">
        <v>1162</v>
      </c>
      <c r="BE17" t="s">
        <v>512</v>
      </c>
      <c r="BF17" t="s">
        <v>332</v>
      </c>
      <c r="BG17" t="s">
        <v>206</v>
      </c>
      <c r="BH17" t="s">
        <v>2316</v>
      </c>
      <c r="BI17" t="s">
        <v>1780</v>
      </c>
      <c r="BJ17" t="s">
        <v>1497</v>
      </c>
      <c r="BK17" t="s">
        <v>1111</v>
      </c>
      <c r="BL17" t="s">
        <v>433</v>
      </c>
      <c r="BM17" t="s">
        <v>819</v>
      </c>
      <c r="BN17">
        <v>3.02</v>
      </c>
      <c r="BO17">
        <v>8.77</v>
      </c>
      <c r="BP17">
        <v>13.38</v>
      </c>
      <c r="BQ17">
        <v>3.23</v>
      </c>
      <c r="BR17">
        <v>8.8800000000000008</v>
      </c>
      <c r="BS17">
        <v>13.51</v>
      </c>
      <c r="BT17" t="s">
        <v>2317</v>
      </c>
      <c r="BU17" t="s">
        <v>2031</v>
      </c>
      <c r="BV17">
        <v>57.76</v>
      </c>
      <c r="BW17">
        <v>62.66</v>
      </c>
      <c r="BX17">
        <v>65.989999999999995</v>
      </c>
      <c r="BY17">
        <v>16.41</v>
      </c>
      <c r="BZ17">
        <v>14.12</v>
      </c>
      <c r="CA17">
        <v>19.670000000000002</v>
      </c>
      <c r="CB17">
        <v>-11.65</v>
      </c>
      <c r="CC17">
        <v>-15.39</v>
      </c>
      <c r="CD17" t="s">
        <v>2318</v>
      </c>
      <c r="CE17" t="s">
        <v>619</v>
      </c>
      <c r="CF17" s="9">
        <v>-0.3935611038107753</v>
      </c>
      <c r="CG17" s="10">
        <v>-1.6117244162162163</v>
      </c>
      <c r="CH17" s="9">
        <v>-0.79197657108306885</v>
      </c>
      <c r="CI17" s="9">
        <v>1.1627980507910252E-2</v>
      </c>
      <c r="CJ17" s="9">
        <v>0.20263224840164185</v>
      </c>
      <c r="CK17" s="9">
        <v>0.18064102530479431</v>
      </c>
      <c r="CL17" s="9">
        <v>0.22482161223888397</v>
      </c>
      <c r="CM17" s="10">
        <v>-1.1805112361907959</v>
      </c>
      <c r="CN17" s="10">
        <v>-0.27378189563751221</v>
      </c>
      <c r="CO17" s="10">
        <v>7.2139300405979156E-2</v>
      </c>
      <c r="CP17" s="10">
        <v>0.16860465705394745</v>
      </c>
      <c r="CQ17" s="10">
        <v>0.20913884043693542</v>
      </c>
      <c r="CR17">
        <v>31.934325960419095</v>
      </c>
      <c r="CS17">
        <v>9.2695614381832296</v>
      </c>
      <c r="CT17">
        <v>1.7988007994670221</v>
      </c>
      <c r="CU17" s="9">
        <v>-3.4450740925967692E-2</v>
      </c>
      <c r="CV17" s="10">
        <v>-0.20088206678628923</v>
      </c>
      <c r="CW17">
        <v>0.06</v>
      </c>
      <c r="CX17" t="e">
        <v>#VALUE!</v>
      </c>
      <c r="CY17" t="s">
        <v>1308</v>
      </c>
      <c r="CZ17">
        <v>-3.4450740925967692E-2</v>
      </c>
      <c r="DA17" t="e">
        <v>#VALUE!</v>
      </c>
      <c r="DB17" t="s">
        <v>1309</v>
      </c>
      <c r="DC17">
        <v>-3.2728203879669307E-2</v>
      </c>
      <c r="DD17" t="e">
        <v>#VALUE!</v>
      </c>
      <c r="DE17" t="s">
        <v>1309</v>
      </c>
      <c r="DF17">
        <v>-3.0316652014851567E-2</v>
      </c>
      <c r="DG17" t="e">
        <v>#VALUE!</v>
      </c>
      <c r="DH17" t="s">
        <v>1309</v>
      </c>
      <c r="DI17">
        <v>-2.7560592740774156E-2</v>
      </c>
      <c r="DJ17" t="e">
        <v>#VALUE!</v>
      </c>
      <c r="DK17" t="s">
        <v>1309</v>
      </c>
      <c r="DL17">
        <v>-2.4115518648177382E-2</v>
      </c>
      <c r="DM17">
        <v>-112999999.99999999</v>
      </c>
      <c r="DN17">
        <v>-3.4450740925967692E-2</v>
      </c>
      <c r="DO17">
        <v>9243724000</v>
      </c>
      <c r="DP17">
        <v>9095604500</v>
      </c>
      <c r="DQ17">
        <v>942</v>
      </c>
      <c r="DR17">
        <v>-0.35911036288480763</v>
      </c>
      <c r="DS17">
        <v>-1.4108423494299271</v>
      </c>
      <c r="DT17" s="11">
        <v>-0.42333333333333339</v>
      </c>
      <c r="DU17">
        <v>-1.5816666666666668</v>
      </c>
      <c r="DV17">
        <v>-2.0050000000000003</v>
      </c>
      <c r="DW17">
        <v>-9.7569850552306701</v>
      </c>
      <c r="DX17">
        <v>0.55384285714285642</v>
      </c>
      <c r="DY17">
        <v>-9.2072949503388095</v>
      </c>
      <c r="DZ17">
        <v>3278</v>
      </c>
      <c r="EA17">
        <v>-9.0743178765206842</v>
      </c>
      <c r="EB17">
        <v>9</v>
      </c>
      <c r="EC17">
        <v>6.9226624851652138E-2</v>
      </c>
      <c r="ED17">
        <v>0.25279689809670036</v>
      </c>
      <c r="EE17" s="12">
        <v>1.0334000000000001</v>
      </c>
      <c r="EF17">
        <v>1.0216000000000001</v>
      </c>
      <c r="EG17">
        <v>28.273842857142856</v>
      </c>
      <c r="EH17" t="s">
        <v>1312</v>
      </c>
      <c r="EI17">
        <v>0</v>
      </c>
      <c r="EJ17">
        <v>0</v>
      </c>
      <c r="EK17" s="14">
        <v>45470</v>
      </c>
      <c r="EL17" s="15">
        <v>-0.61</v>
      </c>
      <c r="EM17" s="15">
        <v>-4.92</v>
      </c>
      <c r="EN17" s="15">
        <v>-0.71</v>
      </c>
      <c r="EO17" s="15">
        <v>5.38</v>
      </c>
      <c r="EP17" s="15">
        <v>-1.18</v>
      </c>
    </row>
    <row r="18" spans="1:146" ht="96" x14ac:dyDescent="0.25">
      <c r="A18" s="7"/>
      <c r="B18" s="7"/>
      <c r="C18" s="7" t="str">
        <f>""&amp;CHAR(10)&amp;Basic_Fundamental_Information_Constructure(F18)&amp;CHAR(10)&amp;Basic_Fundamental_Information_Concatenate("")</f>
        <v xml:space="preserve">
市值62.532249亿, 利润4853.18万; PE18.67; 平均PE34.56; 平均PEG3.01, PB2.41; ROIC11.8667%; ROE12.0733%; 股利率1.6798%; 毛利23.1333%; 净利7.76%; 上一年度营收增-69.64%, 利润增-82.48%; 当季营收增-44.88%, 利润增-67.65%; 过往5年营收增11.47%, 利润增20.62%
Income profile:
</v>
      </c>
      <c r="D18" t="s">
        <v>158</v>
      </c>
      <c r="E18" t="s">
        <v>159</v>
      </c>
      <c r="F18">
        <v>10.119999999999999</v>
      </c>
      <c r="G18">
        <v>1.2</v>
      </c>
      <c r="H18" t="s">
        <v>2319</v>
      </c>
      <c r="I18">
        <v>6253224900</v>
      </c>
      <c r="J18">
        <v>18.670000000000002</v>
      </c>
      <c r="K18">
        <v>2.41</v>
      </c>
      <c r="L18" t="s">
        <v>1303</v>
      </c>
      <c r="M18" t="s">
        <v>710</v>
      </c>
      <c r="N18" t="s">
        <v>2320</v>
      </c>
      <c r="O18" t="s">
        <v>1412</v>
      </c>
      <c r="P18">
        <v>11.55</v>
      </c>
      <c r="Q18" t="s">
        <v>1412</v>
      </c>
      <c r="R18">
        <v>48531782</v>
      </c>
      <c r="S18" s="5">
        <v>-0.2082</v>
      </c>
      <c r="T18" t="s">
        <v>2321</v>
      </c>
      <c r="U18">
        <v>600472170</v>
      </c>
      <c r="V18">
        <v>617907600</v>
      </c>
      <c r="W18">
        <v>1.2</v>
      </c>
      <c r="X18">
        <v>0.36</v>
      </c>
      <c r="Y18">
        <v>4.3499999999999996</v>
      </c>
      <c r="Z18" t="s">
        <v>2322</v>
      </c>
      <c r="AA18" t="s">
        <v>1790</v>
      </c>
      <c r="AB18" t="s">
        <v>2323</v>
      </c>
      <c r="AC18" t="s">
        <v>2324</v>
      </c>
      <c r="AD18" t="s">
        <v>63</v>
      </c>
      <c r="AE18">
        <v>-2160106</v>
      </c>
      <c r="AF18" t="s">
        <v>2325</v>
      </c>
      <c r="AG18" t="s">
        <v>2326</v>
      </c>
      <c r="AH18" t="s">
        <v>2327</v>
      </c>
      <c r="AI18" t="s">
        <v>305</v>
      </c>
      <c r="AJ18" t="s">
        <v>2328</v>
      </c>
      <c r="AK18" t="s">
        <v>63</v>
      </c>
      <c r="AL18" t="s">
        <v>2329</v>
      </c>
      <c r="AM18" t="s">
        <v>63</v>
      </c>
      <c r="AN18" t="s">
        <v>2330</v>
      </c>
      <c r="AO18" t="s">
        <v>63</v>
      </c>
      <c r="AP18" t="s">
        <v>63</v>
      </c>
      <c r="AQ18" t="s">
        <v>2331</v>
      </c>
      <c r="AR18" t="s">
        <v>63</v>
      </c>
      <c r="AS18" t="s">
        <v>552</v>
      </c>
      <c r="AT18" t="s">
        <v>63</v>
      </c>
      <c r="AU18" t="s">
        <v>2332</v>
      </c>
      <c r="AV18" t="s">
        <v>2333</v>
      </c>
      <c r="AW18" t="s">
        <v>2334</v>
      </c>
      <c r="AX18" t="s">
        <v>1502</v>
      </c>
      <c r="AY18" t="s">
        <v>1165</v>
      </c>
      <c r="AZ18" t="s">
        <v>782</v>
      </c>
      <c r="BA18" t="s">
        <v>380</v>
      </c>
      <c r="BB18" t="s">
        <v>717</v>
      </c>
      <c r="BC18" t="s">
        <v>354</v>
      </c>
      <c r="BD18" t="s">
        <v>520</v>
      </c>
      <c r="BE18" t="s">
        <v>202</v>
      </c>
      <c r="BF18" t="s">
        <v>257</v>
      </c>
      <c r="BG18" t="s">
        <v>784</v>
      </c>
      <c r="BH18" t="s">
        <v>2335</v>
      </c>
      <c r="BI18" t="s">
        <v>1784</v>
      </c>
      <c r="BJ18" t="s">
        <v>1502</v>
      </c>
      <c r="BK18" t="s">
        <v>67</v>
      </c>
      <c r="BL18" t="s">
        <v>236</v>
      </c>
      <c r="BM18" t="s">
        <v>354</v>
      </c>
      <c r="BN18">
        <v>10.199999999999999</v>
      </c>
      <c r="BO18">
        <v>13.19</v>
      </c>
      <c r="BP18">
        <v>12.21</v>
      </c>
      <c r="BQ18">
        <v>10.66</v>
      </c>
      <c r="BR18">
        <v>13.22</v>
      </c>
      <c r="BS18">
        <v>12.34</v>
      </c>
      <c r="BT18" t="s">
        <v>2336</v>
      </c>
      <c r="BU18" t="s">
        <v>2052</v>
      </c>
      <c r="BV18">
        <v>23.32</v>
      </c>
      <c r="BW18">
        <v>22.5</v>
      </c>
      <c r="BX18">
        <v>23.58</v>
      </c>
      <c r="BY18">
        <v>8.19</v>
      </c>
      <c r="BZ18">
        <v>7.54</v>
      </c>
      <c r="CA18">
        <v>7.55</v>
      </c>
      <c r="CB18">
        <v>-3.89</v>
      </c>
      <c r="CC18">
        <v>-10.28</v>
      </c>
      <c r="CD18" t="s">
        <v>2337</v>
      </c>
      <c r="CE18" t="s">
        <v>674</v>
      </c>
      <c r="CF18" s="9">
        <v>-0.44883835887296097</v>
      </c>
      <c r="CG18" s="10">
        <v>-0.6764547866666667</v>
      </c>
      <c r="CH18" s="9">
        <v>-0.696433424949646</v>
      </c>
      <c r="CI18" s="9">
        <v>0.20268493890762329</v>
      </c>
      <c r="CJ18" s="9">
        <v>0.33187973499298096</v>
      </c>
      <c r="CK18" s="9">
        <v>0.35921746492385864</v>
      </c>
      <c r="CL18" s="9">
        <v>0.37601962685585022</v>
      </c>
      <c r="CM18" s="10">
        <v>-0.82479488849639893</v>
      </c>
      <c r="CN18" s="10">
        <v>0.19913420081138611</v>
      </c>
      <c r="CO18" s="10">
        <v>-0.16304348409175873</v>
      </c>
      <c r="CP18" s="10">
        <v>0.57714283466339111</v>
      </c>
      <c r="CQ18" s="10">
        <v>1.2427501678466797</v>
      </c>
      <c r="CR18">
        <v>34.562175133410278</v>
      </c>
      <c r="CS18">
        <v>3.0139591496599083</v>
      </c>
      <c r="CT18">
        <v>1.6798418972332017</v>
      </c>
      <c r="CU18" s="9">
        <v>0.11467366814613342</v>
      </c>
      <c r="CV18" s="10">
        <v>0.20623776614665984</v>
      </c>
      <c r="CW18">
        <v>0.06</v>
      </c>
      <c r="CX18">
        <v>81.928546892921929</v>
      </c>
      <c r="CY18">
        <v>51035018.42239105</v>
      </c>
      <c r="CZ18">
        <v>0.11467366814613342</v>
      </c>
      <c r="DA18">
        <v>26.221446725234102</v>
      </c>
      <c r="DB18">
        <v>159458207.77219799</v>
      </c>
      <c r="DC18">
        <v>0.10893998473882674</v>
      </c>
      <c r="DD18">
        <v>12.550273883346369</v>
      </c>
      <c r="DE18">
        <v>333158060.04427451</v>
      </c>
      <c r="DF18">
        <v>0.10091282796859741</v>
      </c>
      <c r="DG18">
        <v>7.2987385994466685</v>
      </c>
      <c r="DH18">
        <v>572869523.00456226</v>
      </c>
      <c r="DI18">
        <v>9.1738934516906734E-2</v>
      </c>
      <c r="DJ18">
        <v>3.5097394655053904</v>
      </c>
      <c r="DK18">
        <v>1191320592.6235092</v>
      </c>
      <c r="DL18">
        <v>8.0271567702293392E-2</v>
      </c>
      <c r="DM18">
        <v>48531800</v>
      </c>
      <c r="DN18">
        <v>0.11467366814613342</v>
      </c>
      <c r="DO18">
        <v>4181224900</v>
      </c>
      <c r="DP18">
        <v>2163667200</v>
      </c>
      <c r="DQ18">
        <v>1445</v>
      </c>
      <c r="DR18">
        <v>-0.56351202701909442</v>
      </c>
      <c r="DS18">
        <v>-0.88269255281332648</v>
      </c>
      <c r="DT18" s="11">
        <v>-0.27333333333333343</v>
      </c>
      <c r="DU18">
        <v>-0.44</v>
      </c>
      <c r="DV18">
        <v>-0.71333333333333337</v>
      </c>
      <c r="DW18">
        <v>-8.3784046692606999</v>
      </c>
      <c r="DX18">
        <v>0.31578207547169856</v>
      </c>
      <c r="DY18">
        <v>-8.0589486647456141</v>
      </c>
      <c r="DZ18">
        <v>705</v>
      </c>
      <c r="EA18">
        <v>-8.0508158254803188</v>
      </c>
      <c r="EB18">
        <v>8</v>
      </c>
      <c r="EC18">
        <v>5.3447797049267561E-2</v>
      </c>
      <c r="ED18">
        <v>0.34309336865252993</v>
      </c>
      <c r="EE18" s="12">
        <v>-3.0754100000000002</v>
      </c>
      <c r="EF18">
        <v>-3.0948099999999998</v>
      </c>
      <c r="EG18">
        <v>16.155782075471699</v>
      </c>
      <c r="EH18" t="s">
        <v>1471</v>
      </c>
      <c r="EI18">
        <v>0</v>
      </c>
      <c r="EJ18">
        <v>1</v>
      </c>
      <c r="EK18" s="14">
        <v>45470</v>
      </c>
      <c r="EL18" s="15">
        <v>0.55000000000000004</v>
      </c>
      <c r="EM18" s="15">
        <v>-4.1100000000000003</v>
      </c>
      <c r="EN18" s="15">
        <v>-2.76</v>
      </c>
      <c r="EO18" s="15">
        <v>6.37</v>
      </c>
      <c r="EP18" s="15">
        <v>-1.94</v>
      </c>
    </row>
    <row r="19" spans="1:146" ht="96" x14ac:dyDescent="0.25">
      <c r="A19" s="7"/>
      <c r="B19" s="7"/>
      <c r="C19" s="7" t="str">
        <f>""&amp;CHAR(10)&amp;Basic_Fundamental_Information_Constructure(F19)&amp;CHAR(10)&amp;Basic_Fundamental_Information_Concatenate("")</f>
        <v xml:space="preserve">
市值25.4384亿, 利润-1446.57万; PE28.51; 平均PE87.46; 平均PEG9.46, PB2.94; ROIC4.25%; ROE-3.1267%; 股利率.8177%; 毛利53.49%; 净利1.2167%; 上一年度营收增-88.77%, 利润增-137.5%; 当季营收增-51.64%, 利润增64.85%; 过往5年营收增-9.25%, 利润增-37.47%
Income profile:
</v>
      </c>
      <c r="D19" t="s">
        <v>677</v>
      </c>
      <c r="E19" t="s">
        <v>678</v>
      </c>
      <c r="F19">
        <v>24.46</v>
      </c>
      <c r="G19">
        <v>2.99</v>
      </c>
      <c r="H19" t="s">
        <v>2338</v>
      </c>
      <c r="I19">
        <v>2543840000</v>
      </c>
      <c r="J19">
        <v>28.51</v>
      </c>
      <c r="K19">
        <v>2.94</v>
      </c>
      <c r="L19" t="s">
        <v>1303</v>
      </c>
      <c r="M19" t="s">
        <v>322</v>
      </c>
      <c r="N19" t="s">
        <v>2339</v>
      </c>
      <c r="O19" t="s">
        <v>2340</v>
      </c>
      <c r="P19">
        <v>19.87</v>
      </c>
      <c r="Q19" t="s">
        <v>2340</v>
      </c>
      <c r="R19">
        <v>-14465702</v>
      </c>
      <c r="S19" s="5">
        <v>0.44030000000000002</v>
      </c>
      <c r="T19" t="s">
        <v>2341</v>
      </c>
      <c r="U19">
        <v>73603196</v>
      </c>
      <c r="V19">
        <v>104000000</v>
      </c>
      <c r="W19">
        <v>1.1299999999999999</v>
      </c>
      <c r="X19">
        <v>0.06</v>
      </c>
      <c r="Y19">
        <v>-28.7</v>
      </c>
      <c r="Z19" t="s">
        <v>2342</v>
      </c>
      <c r="AA19" t="s">
        <v>2343</v>
      </c>
      <c r="AB19" t="s">
        <v>2344</v>
      </c>
      <c r="AC19" t="s">
        <v>2345</v>
      </c>
      <c r="AD19" t="s">
        <v>63</v>
      </c>
      <c r="AE19">
        <v>-178783</v>
      </c>
      <c r="AF19" t="s">
        <v>2346</v>
      </c>
      <c r="AG19">
        <v>1.38</v>
      </c>
      <c r="AH19" t="s">
        <v>2347</v>
      </c>
      <c r="AI19" t="s">
        <v>2348</v>
      </c>
      <c r="AJ19" t="s">
        <v>2349</v>
      </c>
      <c r="AK19" t="s">
        <v>2350</v>
      </c>
      <c r="AL19" t="s">
        <v>2351</v>
      </c>
      <c r="AM19" t="s">
        <v>63</v>
      </c>
      <c r="AN19">
        <v>0</v>
      </c>
      <c r="AO19" t="s">
        <v>323</v>
      </c>
      <c r="AP19" t="s">
        <v>63</v>
      </c>
      <c r="AQ19" t="s">
        <v>2352</v>
      </c>
      <c r="AR19" t="s">
        <v>63</v>
      </c>
      <c r="AS19" t="s">
        <v>287</v>
      </c>
      <c r="AT19" t="s">
        <v>63</v>
      </c>
      <c r="AU19" t="s">
        <v>2353</v>
      </c>
      <c r="AV19" t="s">
        <v>2354</v>
      </c>
      <c r="AW19" t="s">
        <v>2355</v>
      </c>
      <c r="AX19" t="s">
        <v>369</v>
      </c>
      <c r="AY19" t="s">
        <v>662</v>
      </c>
      <c r="AZ19" t="s">
        <v>239</v>
      </c>
      <c r="BA19" t="s">
        <v>550</v>
      </c>
      <c r="BB19" t="s">
        <v>635</v>
      </c>
      <c r="BC19" t="s">
        <v>2356</v>
      </c>
      <c r="BD19" t="s">
        <v>1167</v>
      </c>
      <c r="BE19" t="s">
        <v>788</v>
      </c>
      <c r="BF19" t="s">
        <v>679</v>
      </c>
      <c r="BG19" t="s">
        <v>789</v>
      </c>
      <c r="BH19" t="s">
        <v>476</v>
      </c>
      <c r="BI19" t="s">
        <v>287</v>
      </c>
      <c r="BJ19" t="s">
        <v>369</v>
      </c>
      <c r="BK19" t="s">
        <v>2357</v>
      </c>
      <c r="BL19" t="s">
        <v>1785</v>
      </c>
      <c r="BM19" t="s">
        <v>2356</v>
      </c>
      <c r="BN19" t="s">
        <v>63</v>
      </c>
      <c r="BO19">
        <v>4.25</v>
      </c>
      <c r="BP19" t="s">
        <v>63</v>
      </c>
      <c r="BQ19">
        <v>-5.94</v>
      </c>
      <c r="BR19">
        <v>4.72</v>
      </c>
      <c r="BS19">
        <v>-8.16</v>
      </c>
      <c r="BT19" t="s">
        <v>1449</v>
      </c>
      <c r="BU19" t="s">
        <v>2052</v>
      </c>
      <c r="BV19">
        <v>62.93</v>
      </c>
      <c r="BW19">
        <v>54.69</v>
      </c>
      <c r="BX19">
        <v>42.85</v>
      </c>
      <c r="BY19">
        <v>17.75</v>
      </c>
      <c r="BZ19">
        <v>7.42</v>
      </c>
      <c r="CA19">
        <v>-21.52</v>
      </c>
      <c r="CB19">
        <v>-1.96</v>
      </c>
      <c r="CC19">
        <v>-12.86</v>
      </c>
      <c r="CD19" t="s">
        <v>2358</v>
      </c>
      <c r="CE19" t="s">
        <v>2359</v>
      </c>
      <c r="CF19" s="9">
        <v>-0.51637982456140341</v>
      </c>
      <c r="CG19" s="10">
        <v>0.64854780635474418</v>
      </c>
      <c r="CH19" s="9">
        <v>-0.88771343231201172</v>
      </c>
      <c r="CI19" s="9">
        <v>0.47005987167358398</v>
      </c>
      <c r="CJ19" s="9">
        <v>-0.2477477490901947</v>
      </c>
      <c r="CK19" s="9">
        <v>8.5574574768543243E-2</v>
      </c>
      <c r="CL19" s="9">
        <v>0.11748633533716202</v>
      </c>
      <c r="CM19" s="10">
        <v>-1.3750048875808716</v>
      </c>
      <c r="CN19" s="10">
        <v>1.5490959882736206</v>
      </c>
      <c r="CO19" s="10">
        <v>-2.0576908588409424</v>
      </c>
      <c r="CP19" s="10">
        <v>-0.21894608438014984</v>
      </c>
      <c r="CQ19" s="10">
        <v>0.22901390492916107</v>
      </c>
      <c r="CR19">
        <v>87.463368399578698</v>
      </c>
      <c r="CS19">
        <v>9.4587633344299391</v>
      </c>
      <c r="CT19">
        <v>0.81766148814390838</v>
      </c>
      <c r="CU19" s="9">
        <v>-9.2468079924583432E-2</v>
      </c>
      <c r="CV19" s="10">
        <v>-0.37470638751983643</v>
      </c>
      <c r="CW19">
        <v>0.06</v>
      </c>
      <c r="CX19" t="e">
        <v>#VALUE!</v>
      </c>
      <c r="CY19" t="s">
        <v>1308</v>
      </c>
      <c r="CZ19">
        <v>-9.2468079924583432E-2</v>
      </c>
      <c r="DA19" t="e">
        <v>#VALUE!</v>
      </c>
      <c r="DB19" t="s">
        <v>1309</v>
      </c>
      <c r="DC19">
        <v>-8.7844675928354252E-2</v>
      </c>
      <c r="DD19" t="e">
        <v>#VALUE!</v>
      </c>
      <c r="DE19" t="s">
        <v>1309</v>
      </c>
      <c r="DF19">
        <v>-8.1371910333633418E-2</v>
      </c>
      <c r="DG19" t="e">
        <v>#VALUE!</v>
      </c>
      <c r="DH19" t="s">
        <v>1309</v>
      </c>
      <c r="DI19">
        <v>-7.3974463939666751E-2</v>
      </c>
      <c r="DJ19" t="e">
        <v>#VALUE!</v>
      </c>
      <c r="DK19" t="s">
        <v>1309</v>
      </c>
      <c r="DL19">
        <v>-6.4727655947208404E-2</v>
      </c>
      <c r="DM19">
        <v>-14465700</v>
      </c>
      <c r="DN19">
        <v>-9.2468079924583432E-2</v>
      </c>
      <c r="DO19">
        <v>1822840000</v>
      </c>
      <c r="DP19">
        <v>498192260</v>
      </c>
      <c r="DQ19">
        <v>1464</v>
      </c>
      <c r="DR19">
        <v>-0.42391174463681996</v>
      </c>
      <c r="DS19">
        <v>1.0232541938745805</v>
      </c>
      <c r="DT19" s="11">
        <v>-0.75666666666666671</v>
      </c>
      <c r="DU19">
        <v>-1.8283333333333334</v>
      </c>
      <c r="DV19">
        <v>-2.585</v>
      </c>
      <c r="DW19">
        <v>-2.1286</v>
      </c>
      <c r="DX19">
        <v>0.45298105150787138</v>
      </c>
      <c r="DY19">
        <v>-2.0248173632239124</v>
      </c>
      <c r="DZ19">
        <v>3512</v>
      </c>
      <c r="EA19">
        <v>-2.0077608897126833</v>
      </c>
      <c r="EB19">
        <v>2</v>
      </c>
      <c r="EC19">
        <v>8.3434615384615385E-2</v>
      </c>
      <c r="ED19">
        <v>0.43234615384615382</v>
      </c>
      <c r="EE19" s="12">
        <v>6.0180999999999996</v>
      </c>
      <c r="EF19">
        <v>6.0148999999999999</v>
      </c>
      <c r="EG19">
        <v>26.192981051507871</v>
      </c>
      <c r="EH19" t="s">
        <v>1549</v>
      </c>
      <c r="EI19">
        <v>0</v>
      </c>
      <c r="EJ19">
        <v>0</v>
      </c>
      <c r="EK19" s="14">
        <v>45470</v>
      </c>
      <c r="EL19" s="15">
        <v>-1.1599999999999999</v>
      </c>
      <c r="EM19" s="15">
        <v>-4.91</v>
      </c>
      <c r="EN19" s="15">
        <v>-0.82</v>
      </c>
      <c r="EO19" s="15">
        <v>4.8</v>
      </c>
      <c r="EP19" s="15">
        <v>-0.32</v>
      </c>
    </row>
    <row r="20" spans="1:146" ht="156" x14ac:dyDescent="0.25">
      <c r="A20" s="7" t="s">
        <v>1119</v>
      </c>
      <c r="B20" s="7"/>
      <c r="C20" s="7" t="str">
        <f>"公司的主营业务以密码技术为核心,开展信息安全产品的研发、生产和销售及服务;公司的主要产品电子认证产品、信息安全服务、安全集成;"&amp;CHAR(10)&amp;Basic_Fundamental_Information_Constructure(F20)&amp;CHAR(10)&amp;Basic_Fundamental_Information_Concatenate("电子认证产品 1.31亿 50.00% 利润占比60.87% 70.08%
信息安全服务 7094.63万 27.17% 利润占比31.40% 66.53%
安全集成 5961.44万 22.83% 利润占比7.73% 19.49%")</f>
        <v>公司的主营业务以密码技术为核心,开展信息安全产品的研发、生产和销售及服务;公司的主要产品电子认证产品、信息安全服务、安全集成;
市值33.619087亿, 利润-1631.38万; PE; 平均PE53.17; 平均PEG9.25, PB2.64; ROIC10.61%; ROE.7633%; 股利率0%; 毛利60.5033%; 净利-7.02%; 上一年度营收增-74.34%, 利润增51.62%; 当季营收增-51.91%, 利润增49.25%; 过往5年营收增-5.75%, 利润增-2.61%
Income profile:
电子认证产品 1.31亿 50.00% 利润占比60.87% 70.08%
信息安全服务 7094.63万 27.17% 利润占比31.40% 66.53%
安全集成 5961.44万 22.83% 利润占比7.73% 19.49%</v>
      </c>
      <c r="D20" t="s">
        <v>790</v>
      </c>
      <c r="E20" t="s">
        <v>791</v>
      </c>
      <c r="F20">
        <v>17.16</v>
      </c>
      <c r="G20">
        <v>-0.23</v>
      </c>
      <c r="H20" t="s">
        <v>2360</v>
      </c>
      <c r="I20">
        <v>3361908700</v>
      </c>
      <c r="K20">
        <v>2.64</v>
      </c>
      <c r="L20" t="s">
        <v>1303</v>
      </c>
      <c r="M20" t="s">
        <v>344</v>
      </c>
      <c r="N20" t="s">
        <v>2361</v>
      </c>
      <c r="O20" t="s">
        <v>270</v>
      </c>
      <c r="P20">
        <v>3.68</v>
      </c>
      <c r="Q20" t="s">
        <v>270</v>
      </c>
      <c r="R20">
        <v>-16313817</v>
      </c>
      <c r="S20" s="5">
        <v>-6.4550000000000001</v>
      </c>
      <c r="T20" t="s">
        <v>2362</v>
      </c>
      <c r="U20">
        <v>170890540</v>
      </c>
      <c r="V20">
        <v>195915430</v>
      </c>
      <c r="W20">
        <v>1.34</v>
      </c>
      <c r="X20">
        <v>7.0000000000000007E-2</v>
      </c>
      <c r="Y20">
        <v>-11.3</v>
      </c>
      <c r="Z20" t="s">
        <v>353</v>
      </c>
      <c r="AA20" t="s">
        <v>2363</v>
      </c>
      <c r="AB20" t="s">
        <v>2364</v>
      </c>
      <c r="AC20" t="s">
        <v>2365</v>
      </c>
      <c r="AD20" t="s">
        <v>63</v>
      </c>
      <c r="AE20">
        <v>-1604795</v>
      </c>
      <c r="AF20" t="s">
        <v>2366</v>
      </c>
      <c r="AG20">
        <v>2705.38</v>
      </c>
      <c r="AH20" t="s">
        <v>2367</v>
      </c>
      <c r="AI20" t="s">
        <v>206</v>
      </c>
      <c r="AJ20" t="s">
        <v>2368</v>
      </c>
      <c r="AK20" t="s">
        <v>2369</v>
      </c>
      <c r="AL20" t="s">
        <v>2370</v>
      </c>
      <c r="AM20" t="s">
        <v>63</v>
      </c>
      <c r="AN20" t="s">
        <v>571</v>
      </c>
      <c r="AO20" t="s">
        <v>63</v>
      </c>
      <c r="AP20" t="s">
        <v>63</v>
      </c>
      <c r="AQ20" t="s">
        <v>190</v>
      </c>
      <c r="AR20" t="s">
        <v>63</v>
      </c>
      <c r="AS20" t="s">
        <v>1876</v>
      </c>
      <c r="AT20" t="s">
        <v>63</v>
      </c>
      <c r="AU20" t="s">
        <v>2371</v>
      </c>
      <c r="AV20" t="s">
        <v>2372</v>
      </c>
      <c r="AW20" t="s">
        <v>2373</v>
      </c>
      <c r="AX20" t="s">
        <v>369</v>
      </c>
      <c r="AY20" t="s">
        <v>242</v>
      </c>
      <c r="AZ20" t="s">
        <v>792</v>
      </c>
      <c r="BA20" t="s">
        <v>403</v>
      </c>
      <c r="BB20" t="s">
        <v>506</v>
      </c>
      <c r="BC20" t="s">
        <v>2374</v>
      </c>
      <c r="BD20" t="s">
        <v>304</v>
      </c>
      <c r="BE20" t="s">
        <v>229</v>
      </c>
      <c r="BF20" t="s">
        <v>793</v>
      </c>
      <c r="BG20" t="s">
        <v>794</v>
      </c>
      <c r="BH20" t="s">
        <v>428</v>
      </c>
      <c r="BI20" t="s">
        <v>264</v>
      </c>
      <c r="BJ20" t="s">
        <v>369</v>
      </c>
      <c r="BK20" t="s">
        <v>724</v>
      </c>
      <c r="BL20" t="s">
        <v>1786</v>
      </c>
      <c r="BM20" t="s">
        <v>2374</v>
      </c>
      <c r="BN20" t="s">
        <v>63</v>
      </c>
      <c r="BO20" t="s">
        <v>63</v>
      </c>
      <c r="BP20">
        <v>10.61</v>
      </c>
      <c r="BQ20">
        <v>-6.34</v>
      </c>
      <c r="BR20">
        <v>-2.46</v>
      </c>
      <c r="BS20">
        <v>11.09</v>
      </c>
      <c r="BT20" t="s">
        <v>1445</v>
      </c>
      <c r="BU20" t="s">
        <v>2052</v>
      </c>
      <c r="BV20">
        <v>55.97</v>
      </c>
      <c r="BW20">
        <v>67.239999999999995</v>
      </c>
      <c r="BX20">
        <v>58.3</v>
      </c>
      <c r="BY20">
        <v>-35.58</v>
      </c>
      <c r="BZ20">
        <v>-4.76</v>
      </c>
      <c r="CA20">
        <v>19.28</v>
      </c>
      <c r="CB20">
        <v>-3.54</v>
      </c>
      <c r="CC20">
        <v>-27.47</v>
      </c>
      <c r="CD20" t="s">
        <v>2375</v>
      </c>
      <c r="CE20" t="s">
        <v>338</v>
      </c>
      <c r="CF20" s="9">
        <v>-0.51908396946564883</v>
      </c>
      <c r="CG20" s="10">
        <v>0.49254495572083129</v>
      </c>
      <c r="CH20" s="9">
        <v>-0.7433808445930481</v>
      </c>
      <c r="CI20" s="9">
        <v>-0.39828431606292725</v>
      </c>
      <c r="CJ20" s="9">
        <v>0.33770492672920227</v>
      </c>
      <c r="CK20" s="9">
        <v>1.666666753590107E-2</v>
      </c>
      <c r="CL20" s="9">
        <v>0.5</v>
      </c>
      <c r="CM20" s="10">
        <v>0.51623684167861938</v>
      </c>
      <c r="CN20" s="10">
        <v>-1.2309774160385132</v>
      </c>
      <c r="CO20" s="10">
        <v>0.3644859790802002</v>
      </c>
      <c r="CP20" s="10">
        <v>0.20287701487541199</v>
      </c>
      <c r="CQ20" s="10">
        <v>1.690547913312912E-2</v>
      </c>
      <c r="CR20">
        <v>53.1679075572331</v>
      </c>
      <c r="CS20">
        <v>9.2532367197002383</v>
      </c>
      <c r="CT20">
        <v>0</v>
      </c>
      <c r="CU20" s="9">
        <v>-5.7458713278174402E-2</v>
      </c>
      <c r="CV20" s="10">
        <v>-2.6094420254230498E-2</v>
      </c>
      <c r="CW20">
        <v>0.06</v>
      </c>
      <c r="CX20" t="e">
        <v>#VALUE!</v>
      </c>
      <c r="CY20" t="s">
        <v>1308</v>
      </c>
      <c r="CZ20">
        <v>-5.7458713278174402E-2</v>
      </c>
      <c r="DA20" t="e">
        <v>#VALUE!</v>
      </c>
      <c r="DB20" t="s">
        <v>1309</v>
      </c>
      <c r="DC20">
        <v>-5.4585777614265682E-2</v>
      </c>
      <c r="DD20" t="e">
        <v>#VALUE!</v>
      </c>
      <c r="DE20" t="s">
        <v>1309</v>
      </c>
      <c r="DF20">
        <v>-5.0563667684793472E-2</v>
      </c>
      <c r="DG20" t="e">
        <v>#VALUE!</v>
      </c>
      <c r="DH20" t="s">
        <v>1309</v>
      </c>
      <c r="DI20">
        <v>-4.5966970622539523E-2</v>
      </c>
      <c r="DJ20" t="e">
        <v>#VALUE!</v>
      </c>
      <c r="DK20" t="s">
        <v>1309</v>
      </c>
      <c r="DL20">
        <v>-4.0221099294722076E-2</v>
      </c>
      <c r="DM20">
        <v>-16313800.000000002</v>
      </c>
      <c r="DN20">
        <v>-5.7458713278174402E-2</v>
      </c>
      <c r="DO20">
        <v>2682908700</v>
      </c>
      <c r="DP20">
        <v>658673600</v>
      </c>
      <c r="DQ20">
        <v>1484</v>
      </c>
      <c r="DR20">
        <v>-0.46162525618747441</v>
      </c>
      <c r="DS20">
        <v>0.51863937597506182</v>
      </c>
      <c r="DT20" s="11">
        <v>-0.69</v>
      </c>
      <c r="DU20">
        <v>-1.175</v>
      </c>
      <c r="DV20">
        <v>-1.865</v>
      </c>
      <c r="DW20">
        <v>-8.1288678558427367</v>
      </c>
      <c r="DX20">
        <v>0.30184563492063604</v>
      </c>
      <c r="DY20">
        <v>-8.0131246285991651</v>
      </c>
      <c r="DZ20">
        <v>4762</v>
      </c>
      <c r="EA20">
        <v>-8.0008938103233866</v>
      </c>
      <c r="EB20">
        <v>8</v>
      </c>
      <c r="EC20">
        <v>0.13100091197513133</v>
      </c>
      <c r="ED20">
        <v>1.2862692846602231</v>
      </c>
      <c r="EE20" s="12">
        <v>3.00631</v>
      </c>
      <c r="EF20">
        <v>3.02121</v>
      </c>
      <c r="EG20">
        <v>20.101845634920636</v>
      </c>
      <c r="EH20" t="s">
        <v>1331</v>
      </c>
      <c r="EI20">
        <v>0</v>
      </c>
      <c r="EJ20">
        <v>0</v>
      </c>
      <c r="EK20" s="14">
        <v>45470</v>
      </c>
      <c r="EL20" s="15">
        <v>-1.66</v>
      </c>
      <c r="EM20" s="15">
        <v>-6.21</v>
      </c>
      <c r="EN20" s="15">
        <v>0.39</v>
      </c>
      <c r="EO20" s="15">
        <v>1.45</v>
      </c>
      <c r="EP20" s="15">
        <v>-1.49</v>
      </c>
    </row>
    <row r="21" spans="1:146" ht="192" x14ac:dyDescent="0.25">
      <c r="A21" s="7"/>
      <c r="B21" s="7"/>
      <c r="C21" s="7" t="str">
        <f>"公司是国内领先的互联网金融信息服务提供商。公司主要业务是为各类机构客户提供软件产品和系统维护服务、金融数据服务、智能推广服务，为个人投资者提供金融资讯、投资理财分析工具、理财产品投资交易等服务。同时公司已构建同花顺AI开放平台"&amp;CHAR(10)&amp;Basic_Fundamental_Information_Constructure(F21)&amp;CHAR(10)&amp;Basic_Fundamental_Information_Concatenate("增值电信业务 8.00亿 57.57% 56.56% 86.01%
广告及互联网推广服务 3.23亿 23.23% 25.02% 94.31%
基金销售及其他交易手续费 1.76亿 12.65% 12.45% 86.13%
软件销售及维护 9094.49万 6.55% 5.97% 79.84%")</f>
        <v>公司是国内领先的互联网金融信息服务提供商。公司主要业务是为各类机构客户提供软件产品和系统维护服务、金融数据服务、智能推广服务，为个人投资者提供金融资讯、投资理财分析工具、理财产品投资交易等服务。同时公司已构建同花顺AI开放平台
市值513.9456亿, 利润1.04亿; PE37.13; 平均PE44.29; 平均PEG7.13, PB8.23; ROIC20.4133%; ROE23.51%; 股利率2.3013%; 毛利90.04%; 净利47.1067%; 上一年度营收增-82.61%, 利润增-93.85%; 当季营收增-57.89%, 利润增-77.37%; 过往5年营收增6.21%, 利润增7.82%
Income profile:
增值电信业务 8.00亿 57.57% 56.56% 86.01%
广告及互联网推广服务 3.23亿 23.23% 25.02% 94.31%
基金销售及其他交易手续费 1.76亿 12.65% 12.45% 86.13%
软件销售及维护 9094.49万 6.55% 5.97% 79.84%</v>
      </c>
      <c r="D21" t="s">
        <v>109</v>
      </c>
      <c r="E21" t="s">
        <v>27</v>
      </c>
      <c r="F21">
        <v>95.6</v>
      </c>
      <c r="G21">
        <v>2.4900000000000002</v>
      </c>
      <c r="H21" t="s">
        <v>2376</v>
      </c>
      <c r="I21">
        <v>51394560000</v>
      </c>
      <c r="J21">
        <v>37.130000000000003</v>
      </c>
      <c r="K21">
        <v>8.23</v>
      </c>
      <c r="L21" t="s">
        <v>1303</v>
      </c>
      <c r="M21" t="s">
        <v>2377</v>
      </c>
      <c r="N21" t="s">
        <v>2378</v>
      </c>
      <c r="O21" t="s">
        <v>1248</v>
      </c>
      <c r="P21">
        <v>1.47</v>
      </c>
      <c r="Q21" t="s">
        <v>1248</v>
      </c>
      <c r="R21">
        <v>103866229</v>
      </c>
      <c r="S21" s="5">
        <v>-0.15029999999999999</v>
      </c>
      <c r="T21" t="s">
        <v>454</v>
      </c>
      <c r="U21">
        <v>273489580</v>
      </c>
      <c r="V21">
        <v>537600000</v>
      </c>
      <c r="W21">
        <v>1.37</v>
      </c>
      <c r="X21">
        <v>7.0000000000000007E-2</v>
      </c>
      <c r="Y21">
        <v>16.78</v>
      </c>
      <c r="Z21" t="s">
        <v>893</v>
      </c>
      <c r="AA21" t="s">
        <v>174</v>
      </c>
      <c r="AB21" t="s">
        <v>308</v>
      </c>
      <c r="AC21" t="s">
        <v>2379</v>
      </c>
      <c r="AD21" t="s">
        <v>63</v>
      </c>
      <c r="AE21">
        <v>-75657224</v>
      </c>
      <c r="AF21" t="s">
        <v>2380</v>
      </c>
      <c r="AG21" t="s">
        <v>63</v>
      </c>
      <c r="AH21" t="s">
        <v>2381</v>
      </c>
      <c r="AI21" t="s">
        <v>2382</v>
      </c>
      <c r="AJ21" t="s">
        <v>2383</v>
      </c>
      <c r="AK21" t="s">
        <v>63</v>
      </c>
      <c r="AL21" t="s">
        <v>2384</v>
      </c>
      <c r="AM21" t="s">
        <v>63</v>
      </c>
      <c r="AN21" t="s">
        <v>1338</v>
      </c>
      <c r="AO21" t="s">
        <v>63</v>
      </c>
      <c r="AP21" t="s">
        <v>63</v>
      </c>
      <c r="AQ21" t="s">
        <v>322</v>
      </c>
      <c r="AR21" t="s">
        <v>63</v>
      </c>
      <c r="AS21" t="s">
        <v>2385</v>
      </c>
      <c r="AT21" t="s">
        <v>63</v>
      </c>
      <c r="AU21" t="s">
        <v>2386</v>
      </c>
      <c r="AV21" t="s">
        <v>2387</v>
      </c>
      <c r="AW21" t="s">
        <v>2388</v>
      </c>
      <c r="AX21" t="s">
        <v>1503</v>
      </c>
      <c r="AY21" t="s">
        <v>469</v>
      </c>
      <c r="AZ21" t="s">
        <v>795</v>
      </c>
      <c r="BA21" t="s">
        <v>390</v>
      </c>
      <c r="BB21" t="s">
        <v>797</v>
      </c>
      <c r="BC21" t="s">
        <v>1504</v>
      </c>
      <c r="BD21" t="s">
        <v>1168</v>
      </c>
      <c r="BE21" t="s">
        <v>796</v>
      </c>
      <c r="BF21" t="s">
        <v>391</v>
      </c>
      <c r="BG21" t="s">
        <v>745</v>
      </c>
      <c r="BH21" t="s">
        <v>2389</v>
      </c>
      <c r="BI21" t="s">
        <v>1789</v>
      </c>
      <c r="BJ21" t="s">
        <v>1503</v>
      </c>
      <c r="BK21" t="s">
        <v>1476</v>
      </c>
      <c r="BL21" t="s">
        <v>1339</v>
      </c>
      <c r="BM21" t="s">
        <v>1504</v>
      </c>
      <c r="BN21">
        <v>8.98</v>
      </c>
      <c r="BO21">
        <v>22.29</v>
      </c>
      <c r="BP21">
        <v>29.97</v>
      </c>
      <c r="BQ21">
        <v>11.39</v>
      </c>
      <c r="BR21">
        <v>25.55</v>
      </c>
      <c r="BS21">
        <v>33.590000000000003</v>
      </c>
      <c r="BT21" t="s">
        <v>2390</v>
      </c>
      <c r="BU21" t="s">
        <v>2052</v>
      </c>
      <c r="BV21">
        <v>89.09</v>
      </c>
      <c r="BW21">
        <v>89.61</v>
      </c>
      <c r="BX21">
        <v>91.42</v>
      </c>
      <c r="BY21">
        <v>39.35</v>
      </c>
      <c r="BZ21">
        <v>47.52</v>
      </c>
      <c r="CA21">
        <v>54.45</v>
      </c>
      <c r="CB21">
        <v>-7.81</v>
      </c>
      <c r="CC21">
        <v>-18.010000000000002</v>
      </c>
      <c r="CD21" t="s">
        <v>2391</v>
      </c>
      <c r="CE21" t="s">
        <v>271</v>
      </c>
      <c r="CF21" s="9">
        <v>-0.57891156462585036</v>
      </c>
      <c r="CG21" s="10">
        <v>-0.77371191938997819</v>
      </c>
      <c r="CH21" s="9">
        <v>-0.82607471942901611</v>
      </c>
      <c r="CI21" s="9">
        <v>1.3960095122456551E-2</v>
      </c>
      <c r="CJ21" s="9">
        <v>0.23417726159095764</v>
      </c>
      <c r="CK21" s="9">
        <v>0.63260620832443237</v>
      </c>
      <c r="CL21" s="9">
        <v>0.25594803690910339</v>
      </c>
      <c r="CM21" s="10">
        <v>-0.93849796056747437</v>
      </c>
      <c r="CN21" s="10">
        <v>-0.1151229664683342</v>
      </c>
      <c r="CO21" s="10">
        <v>0.10846871137619019</v>
      </c>
      <c r="CP21" s="10">
        <v>0.91982179880142212</v>
      </c>
      <c r="CQ21" s="10">
        <v>0.41640380024909973</v>
      </c>
      <c r="CR21">
        <v>44.292927319735711</v>
      </c>
      <c r="CS21">
        <v>7.1298325707036234</v>
      </c>
      <c r="CT21">
        <v>2.3012552301255234</v>
      </c>
      <c r="CU21" s="9">
        <v>6.212337650358677E-2</v>
      </c>
      <c r="CV21" s="10">
        <v>7.8214676678180689E-2</v>
      </c>
      <c r="CW21">
        <v>0.06</v>
      </c>
      <c r="CX21">
        <v>457.51198022815413</v>
      </c>
      <c r="CY21">
        <v>104208331.27959718</v>
      </c>
      <c r="CZ21">
        <v>6.212337650358677E-2</v>
      </c>
      <c r="DA21">
        <v>153.09319631066225</v>
      </c>
      <c r="DB21">
        <v>311421808.08122265</v>
      </c>
      <c r="DC21">
        <v>5.901720767840743E-2</v>
      </c>
      <c r="DD21">
        <v>77.762234713054582</v>
      </c>
      <c r="DE21">
        <v>613106865.76753104</v>
      </c>
      <c r="DF21">
        <v>5.4668571323156355E-2</v>
      </c>
      <c r="DG21">
        <v>48.353438746303958</v>
      </c>
      <c r="DH21">
        <v>986001435.18529594</v>
      </c>
      <c r="DI21">
        <v>4.9698701202869421E-2</v>
      </c>
      <c r="DJ21">
        <v>26.919278610792396</v>
      </c>
      <c r="DK21">
        <v>1771093523.3192191</v>
      </c>
      <c r="DL21">
        <v>4.3486363552510739E-2</v>
      </c>
      <c r="DM21">
        <v>104000000</v>
      </c>
      <c r="DN21">
        <v>6.212337650358677E-2</v>
      </c>
      <c r="DO21">
        <v>47676560000</v>
      </c>
      <c r="DP21">
        <v>4766955700</v>
      </c>
      <c r="DQ21">
        <v>1529</v>
      </c>
      <c r="DR21">
        <v>-0.64103494112943715</v>
      </c>
      <c r="DS21">
        <v>-0.8519265960681589</v>
      </c>
      <c r="DT21" s="11">
        <v>-0.3066666666666667</v>
      </c>
      <c r="DU21">
        <v>-0.44</v>
      </c>
      <c r="DV21">
        <v>-0.7466666666666667</v>
      </c>
      <c r="DW21">
        <v>-9.4336479733481404</v>
      </c>
      <c r="DX21">
        <v>0.50899594594594477</v>
      </c>
      <c r="DY21">
        <v>-9.1036401075978812</v>
      </c>
      <c r="DZ21">
        <v>1282</v>
      </c>
      <c r="EA21">
        <v>-9.0776388125018954</v>
      </c>
      <c r="EB21">
        <v>9</v>
      </c>
      <c r="EC21">
        <v>6.5795014880952379E-2</v>
      </c>
      <c r="ED21">
        <v>0.27529761904761907</v>
      </c>
      <c r="EE21" s="12">
        <v>3.0078999999999998</v>
      </c>
      <c r="EF21">
        <v>3.02101</v>
      </c>
      <c r="EG21">
        <v>27.238995945945945</v>
      </c>
      <c r="EH21" t="s">
        <v>1331</v>
      </c>
      <c r="EI21">
        <v>0</v>
      </c>
      <c r="EJ21">
        <v>1</v>
      </c>
      <c r="EK21" s="14">
        <v>45470</v>
      </c>
      <c r="EL21" s="15">
        <v>0.04</v>
      </c>
      <c r="EM21" s="15">
        <v>-1.65</v>
      </c>
      <c r="EN21" s="15">
        <v>-2.06</v>
      </c>
      <c r="EO21" s="15">
        <v>3.98</v>
      </c>
      <c r="EP21" s="15">
        <v>-2.89</v>
      </c>
    </row>
    <row r="22" spans="1:146" ht="204" x14ac:dyDescent="0.25">
      <c r="A22" s="7" t="s">
        <v>1128</v>
      </c>
      <c r="B22" s="7" t="s">
        <v>2001</v>
      </c>
      <c r="C22" s="7" t="str">
        <f>"公司聚焦地理信息系统相关软件技术研发与应用服务，下设基础软件、应用软件、云服务三大GIS业务块板，并构建生态伙伴体系，通过1000余家生态伙伴为数十个行业的政府和企事业单位信息化全面赋能。"&amp;CHAR(10)&amp;Basic_Fundamental_Information_Constructure(F22)&amp;CHAR(10)&amp;Basic_Fundamental_Information_Concatenate("GIS软件 18.52亿 98.77% 利润占比98.37% 57.17% 增速16.40%
其他业务 2301.65万 1.23% 利润占比1.63% 76.20% 增速21.98%
90%是政府客户。增速2016最高78%，随后2017 50%，2018 21%， 2019 14%。2020和去年2019持平；2021年，营收增速16.46%，利润增速22.55%")</f>
        <v>公司聚焦地理信息系统相关软件技术研发与应用服务，下设基础软件、应用软件、云服务三大GIS业务块板，并构建生态伙伴体系，通过1000余家生态伙伴为数十个行业的政府和企事业单位信息化全面赋能。
市值65.340853亿, 利润486.04万; PE45.13; 平均PE68.08; 平均PEG4.68, PB2.17; ROIC7.29%; ROE1.56%; 股利率.7541%; 毛利53.94%; 净利.34%; 上一年度营收增-81.33%, 利润增101.43%; 当季营收增-56.87%, 利润增-90.82%; 过往5年营收增-14.53%, 利润增-11.21%
Income profile:
GIS软件 18.52亿 98.77% 利润占比98.37% 57.17% 增速16.40%
其他业务 2301.65万 1.23% 利润占比1.63% 76.20% 增速21.98%
90%是政府客户。增速2016最高78%，随后2017 50%，2018 21%， 2019 14%。2020和去年2019持平；2021年，营收增速16.46%，利润增速22.55%</v>
      </c>
      <c r="D22" t="s">
        <v>127</v>
      </c>
      <c r="E22" t="s">
        <v>43</v>
      </c>
      <c r="F22">
        <v>13.26</v>
      </c>
      <c r="G22">
        <v>0.61</v>
      </c>
      <c r="H22" t="s">
        <v>2392</v>
      </c>
      <c r="I22">
        <v>6534085300</v>
      </c>
      <c r="J22">
        <v>45.13</v>
      </c>
      <c r="K22">
        <v>2.17</v>
      </c>
      <c r="L22" t="s">
        <v>1303</v>
      </c>
      <c r="M22" t="s">
        <v>696</v>
      </c>
      <c r="N22" t="s">
        <v>2393</v>
      </c>
      <c r="O22" t="s">
        <v>595</v>
      </c>
      <c r="P22">
        <v>1.1100000000000001</v>
      </c>
      <c r="Q22" t="s">
        <v>595</v>
      </c>
      <c r="R22">
        <v>4860353</v>
      </c>
      <c r="S22" s="5">
        <v>-0.60119999999999996</v>
      </c>
      <c r="T22" t="s">
        <v>2394</v>
      </c>
      <c r="U22">
        <v>437226960</v>
      </c>
      <c r="V22">
        <v>492766620</v>
      </c>
      <c r="W22">
        <v>1.43</v>
      </c>
      <c r="X22">
        <v>7.0000000000000007E-2</v>
      </c>
      <c r="Y22">
        <v>1.32</v>
      </c>
      <c r="Z22" t="s">
        <v>289</v>
      </c>
      <c r="AA22" t="s">
        <v>386</v>
      </c>
      <c r="AB22" t="s">
        <v>2395</v>
      </c>
      <c r="AC22" t="s">
        <v>2396</v>
      </c>
      <c r="AD22" t="s">
        <v>63</v>
      </c>
      <c r="AE22">
        <v>-1357970</v>
      </c>
      <c r="AF22" t="s">
        <v>2397</v>
      </c>
      <c r="AG22" t="s">
        <v>2398</v>
      </c>
      <c r="AH22" t="s">
        <v>2399</v>
      </c>
      <c r="AI22" t="s">
        <v>2400</v>
      </c>
      <c r="AJ22" t="s">
        <v>2401</v>
      </c>
      <c r="AK22" t="s">
        <v>2402</v>
      </c>
      <c r="AL22" t="s">
        <v>2403</v>
      </c>
      <c r="AM22" t="s">
        <v>63</v>
      </c>
      <c r="AN22">
        <v>0</v>
      </c>
      <c r="AO22" t="s">
        <v>2404</v>
      </c>
      <c r="AP22" t="s">
        <v>63</v>
      </c>
      <c r="AQ22" t="s">
        <v>533</v>
      </c>
      <c r="AR22" t="s">
        <v>63</v>
      </c>
      <c r="AS22" t="s">
        <v>1745</v>
      </c>
      <c r="AT22" t="s">
        <v>2405</v>
      </c>
      <c r="AU22" t="s">
        <v>1852</v>
      </c>
      <c r="AV22" t="s">
        <v>412</v>
      </c>
      <c r="AW22" t="s">
        <v>2406</v>
      </c>
      <c r="AX22" t="s">
        <v>776</v>
      </c>
      <c r="AY22" t="s">
        <v>1170</v>
      </c>
      <c r="AZ22" t="s">
        <v>798</v>
      </c>
      <c r="BA22" t="s">
        <v>396</v>
      </c>
      <c r="BB22" t="s">
        <v>799</v>
      </c>
      <c r="BC22" t="s">
        <v>1322</v>
      </c>
      <c r="BD22" t="s">
        <v>688</v>
      </c>
      <c r="BE22" t="s">
        <v>215</v>
      </c>
      <c r="BF22" t="s">
        <v>397</v>
      </c>
      <c r="BG22" t="s">
        <v>187</v>
      </c>
      <c r="BH22" t="s">
        <v>2407</v>
      </c>
      <c r="BI22" t="s">
        <v>1316</v>
      </c>
      <c r="BJ22" t="s">
        <v>776</v>
      </c>
      <c r="BK22" t="s">
        <v>463</v>
      </c>
      <c r="BL22" t="s">
        <v>1791</v>
      </c>
      <c r="BM22" t="s">
        <v>1322</v>
      </c>
      <c r="BN22">
        <v>4.28</v>
      </c>
      <c r="BO22" t="s">
        <v>63</v>
      </c>
      <c r="BP22">
        <v>10.3</v>
      </c>
      <c r="BQ22">
        <v>4.6500000000000004</v>
      </c>
      <c r="BR22">
        <v>-11.32</v>
      </c>
      <c r="BS22">
        <v>11.35</v>
      </c>
      <c r="BT22" t="s">
        <v>1446</v>
      </c>
      <c r="BU22" t="s">
        <v>2031</v>
      </c>
      <c r="BV22">
        <v>57.88</v>
      </c>
      <c r="BW22">
        <v>46.54</v>
      </c>
      <c r="BX22">
        <v>57.4</v>
      </c>
      <c r="BY22">
        <v>7.35</v>
      </c>
      <c r="BZ22">
        <v>-21.55</v>
      </c>
      <c r="CA22">
        <v>15.22</v>
      </c>
      <c r="CB22">
        <v>-5.01</v>
      </c>
      <c r="CC22">
        <v>-9.98</v>
      </c>
      <c r="CD22" t="s">
        <v>2408</v>
      </c>
      <c r="CE22" t="s">
        <v>341</v>
      </c>
      <c r="CF22" s="9">
        <v>-0.56874095513748191</v>
      </c>
      <c r="CG22" s="10">
        <v>-0.90822804241595734</v>
      </c>
      <c r="CH22" s="9">
        <v>-0.81328320503234863</v>
      </c>
      <c r="CI22" s="9">
        <v>-0.14880003035068512</v>
      </c>
      <c r="CJ22" s="9">
        <v>0.1645963191986084</v>
      </c>
      <c r="CK22" s="9">
        <v>-7.2046145796775818E-2</v>
      </c>
      <c r="CL22" s="9">
        <v>0.14295129477977753</v>
      </c>
      <c r="CM22" s="10">
        <v>1.0143375396728516</v>
      </c>
      <c r="CN22" s="10">
        <v>-2.1770832538604736</v>
      </c>
      <c r="CO22" s="10">
        <v>0.2255319207906723</v>
      </c>
      <c r="CP22" s="10">
        <v>7.3059357702732086E-2</v>
      </c>
      <c r="CQ22" s="10">
        <v>0.3035714328289032</v>
      </c>
      <c r="CR22">
        <v>68.079888459077935</v>
      </c>
      <c r="CS22">
        <v>4.6849433561553138</v>
      </c>
      <c r="CT22">
        <v>0.75414781297134237</v>
      </c>
      <c r="CU22" s="9">
        <v>-0.14531635344028473</v>
      </c>
      <c r="CV22" s="10">
        <v>-0.1121166005730629</v>
      </c>
      <c r="CW22">
        <v>0.06</v>
      </c>
      <c r="CX22">
        <v>1032.6486091679697</v>
      </c>
      <c r="CY22" t="s">
        <v>2409</v>
      </c>
      <c r="CZ22">
        <v>-0.14531635344028473</v>
      </c>
      <c r="DA22">
        <v>344.21620305598992</v>
      </c>
      <c r="DB22" t="s">
        <v>2410</v>
      </c>
      <c r="DC22">
        <v>-0.1380505357682705</v>
      </c>
      <c r="DD22">
        <v>172.10810152799496</v>
      </c>
      <c r="DE22" t="s">
        <v>2411</v>
      </c>
      <c r="DF22">
        <v>-0.12787839102745058</v>
      </c>
      <c r="DG22">
        <v>103.26486091679698</v>
      </c>
      <c r="DH22" t="s">
        <v>2412</v>
      </c>
      <c r="DI22">
        <v>-0.11625308275222779</v>
      </c>
      <c r="DJ22">
        <v>51.632430458398488</v>
      </c>
      <c r="DK22" t="s">
        <v>2413</v>
      </c>
      <c r="DL22">
        <v>-0.10172144740819931</v>
      </c>
      <c r="DM22">
        <v>4860400</v>
      </c>
      <c r="DN22">
        <v>-0.14531635344028473</v>
      </c>
      <c r="DO22">
        <v>5019085300</v>
      </c>
      <c r="DP22">
        <v>1594396700</v>
      </c>
      <c r="DQ22">
        <v>1532</v>
      </c>
      <c r="DR22">
        <v>-0.4234246016971972</v>
      </c>
      <c r="DS22">
        <v>-0.7961114418428944</v>
      </c>
      <c r="DT22" s="11">
        <v>-0.64</v>
      </c>
      <c r="DU22">
        <v>-0.59000000000000008</v>
      </c>
      <c r="DV22">
        <v>-1.23</v>
      </c>
      <c r="DW22">
        <v>-8.5020040080160317</v>
      </c>
      <c r="DX22">
        <v>0.32920465116279091</v>
      </c>
      <c r="DY22">
        <v>-8.0648612527380337</v>
      </c>
      <c r="DZ22">
        <v>3250</v>
      </c>
      <c r="EA22">
        <v>-8.0236089882764663</v>
      </c>
      <c r="EB22">
        <v>8</v>
      </c>
      <c r="EC22">
        <v>6.7648251011807575E-2</v>
      </c>
      <c r="ED22">
        <v>0.52357442555666611</v>
      </c>
      <c r="EE22" s="12">
        <v>-1.01041</v>
      </c>
      <c r="EF22">
        <v>-1.0417099999999999</v>
      </c>
      <c r="EG22">
        <v>20.129204651162791</v>
      </c>
      <c r="EH22" t="s">
        <v>1311</v>
      </c>
      <c r="EI22">
        <v>0</v>
      </c>
      <c r="EJ22">
        <v>0</v>
      </c>
      <c r="EK22" s="14">
        <v>45470</v>
      </c>
      <c r="EL22" s="15">
        <v>0.48</v>
      </c>
      <c r="EM22" s="15">
        <v>-3.64</v>
      </c>
      <c r="EN22" s="15">
        <v>-2.42</v>
      </c>
      <c r="EO22" s="15">
        <v>4.96</v>
      </c>
      <c r="EP22" s="15">
        <v>-3.13</v>
      </c>
    </row>
    <row r="23" spans="1:146" ht="108" x14ac:dyDescent="0.25">
      <c r="A23" s="7"/>
      <c r="B23" s="7"/>
      <c r="C23" s="7" t="str">
        <f>""&amp;CHAR(10)&amp;Basic_Fundamental_Information_Constructure(F23)&amp;CHAR(10)&amp;Basic_Fundamental_Information_Concatenate("")</f>
        <v xml:space="preserve">
市值41.963599亿, 利润909.17万; PE144.1; 平均PE46.05; 平均PEG7.99, PB1.26; ROIC2.1733%; ROE1.0967%; 股利率.228%; 毛利12.0767%; 净利1.3333%; 上一年度营收增-73.26%, 利润增-72.1%; 当季营收增-40.55%, 利润增-71.49%; 过往5年营收增-5.76%, 利润增-38.69%
Income profile:
</v>
      </c>
      <c r="D23" t="s">
        <v>147</v>
      </c>
      <c r="E23" t="s">
        <v>42</v>
      </c>
      <c r="F23">
        <v>6.58</v>
      </c>
      <c r="G23">
        <v>2.33</v>
      </c>
      <c r="H23" t="s">
        <v>2414</v>
      </c>
      <c r="I23">
        <v>4196359900</v>
      </c>
      <c r="J23">
        <v>144.1</v>
      </c>
      <c r="K23">
        <v>1.26</v>
      </c>
      <c r="L23" t="s">
        <v>1303</v>
      </c>
      <c r="M23" t="s">
        <v>2415</v>
      </c>
      <c r="N23" t="s">
        <v>2416</v>
      </c>
      <c r="O23" t="s">
        <v>1780</v>
      </c>
      <c r="P23">
        <v>26.98</v>
      </c>
      <c r="Q23" t="s">
        <v>1780</v>
      </c>
      <c r="R23">
        <v>9091722</v>
      </c>
      <c r="S23" s="5">
        <v>9.6299999999999997E-2</v>
      </c>
      <c r="T23" t="s">
        <v>1173</v>
      </c>
      <c r="U23">
        <v>538921150</v>
      </c>
      <c r="V23">
        <v>637744670</v>
      </c>
      <c r="W23">
        <v>1.92</v>
      </c>
      <c r="X23">
        <v>0.22</v>
      </c>
      <c r="Y23">
        <v>1.41</v>
      </c>
      <c r="Z23" t="s">
        <v>1321</v>
      </c>
      <c r="AA23" t="s">
        <v>1942</v>
      </c>
      <c r="AB23" t="s">
        <v>2417</v>
      </c>
      <c r="AC23" t="s">
        <v>2418</v>
      </c>
      <c r="AD23" t="s">
        <v>63</v>
      </c>
      <c r="AE23">
        <v>18918310</v>
      </c>
      <c r="AF23" t="s">
        <v>2419</v>
      </c>
      <c r="AG23" t="s">
        <v>2420</v>
      </c>
      <c r="AH23" t="s">
        <v>2421</v>
      </c>
      <c r="AI23" t="s">
        <v>284</v>
      </c>
      <c r="AJ23" t="s">
        <v>2422</v>
      </c>
      <c r="AK23" t="s">
        <v>174</v>
      </c>
      <c r="AL23" t="s">
        <v>2423</v>
      </c>
      <c r="AM23" t="s">
        <v>63</v>
      </c>
      <c r="AN23" t="s">
        <v>2424</v>
      </c>
      <c r="AO23" t="s">
        <v>2425</v>
      </c>
      <c r="AP23" t="s">
        <v>63</v>
      </c>
      <c r="AQ23" t="s">
        <v>2426</v>
      </c>
      <c r="AR23" t="s">
        <v>2427</v>
      </c>
      <c r="AS23" t="s">
        <v>1160</v>
      </c>
      <c r="AT23" t="s">
        <v>514</v>
      </c>
      <c r="AU23" t="s">
        <v>752</v>
      </c>
      <c r="AV23" t="s">
        <v>2428</v>
      </c>
      <c r="AW23" t="s">
        <v>2429</v>
      </c>
      <c r="AX23" t="s">
        <v>1507</v>
      </c>
      <c r="AY23" t="s">
        <v>1171</v>
      </c>
      <c r="AZ23" t="s">
        <v>800</v>
      </c>
      <c r="BA23" t="s">
        <v>404</v>
      </c>
      <c r="BB23" t="s">
        <v>801</v>
      </c>
      <c r="BC23" t="s">
        <v>1508</v>
      </c>
      <c r="BD23" t="s">
        <v>1172</v>
      </c>
      <c r="BE23" t="s">
        <v>492</v>
      </c>
      <c r="BF23" t="s">
        <v>309</v>
      </c>
      <c r="BG23" t="s">
        <v>356</v>
      </c>
      <c r="BH23" t="s">
        <v>2430</v>
      </c>
      <c r="BI23" t="s">
        <v>1792</v>
      </c>
      <c r="BJ23" t="s">
        <v>1507</v>
      </c>
      <c r="BK23" t="s">
        <v>2431</v>
      </c>
      <c r="BL23" t="s">
        <v>1793</v>
      </c>
      <c r="BM23" t="s">
        <v>1508</v>
      </c>
      <c r="BN23">
        <v>1.84</v>
      </c>
      <c r="BO23">
        <v>2.2400000000000002</v>
      </c>
      <c r="BP23">
        <v>2.44</v>
      </c>
      <c r="BQ23">
        <v>1.08</v>
      </c>
      <c r="BR23">
        <v>0.99</v>
      </c>
      <c r="BS23">
        <v>1.22</v>
      </c>
      <c r="BT23" t="s">
        <v>1455</v>
      </c>
      <c r="BU23" t="s">
        <v>2052</v>
      </c>
      <c r="BV23">
        <v>10.62</v>
      </c>
      <c r="BW23">
        <v>12.21</v>
      </c>
      <c r="BX23">
        <v>13.4</v>
      </c>
      <c r="BY23">
        <v>1.23</v>
      </c>
      <c r="BZ23">
        <v>1.31</v>
      </c>
      <c r="CA23">
        <v>1.46</v>
      </c>
      <c r="CB23">
        <v>0.61</v>
      </c>
      <c r="CC23">
        <v>-7.19</v>
      </c>
      <c r="CD23" t="s">
        <v>2432</v>
      </c>
      <c r="CE23" t="s">
        <v>1320</v>
      </c>
      <c r="CF23" s="9">
        <v>-0.40546874999999999</v>
      </c>
      <c r="CG23" s="10">
        <v>-0.71494031811526271</v>
      </c>
      <c r="CH23" s="9">
        <v>-0.73260718584060669</v>
      </c>
      <c r="CI23" s="9">
        <v>1.3893859460949898E-2</v>
      </c>
      <c r="CJ23" s="9">
        <v>6.8519219756126404E-2</v>
      </c>
      <c r="CK23" s="9">
        <v>0.17512862384319305</v>
      </c>
      <c r="CL23" s="9">
        <v>0.18688611686229706</v>
      </c>
      <c r="CM23" s="10">
        <v>-0.72100740671157837</v>
      </c>
      <c r="CN23" s="10">
        <v>-0.18726056814193726</v>
      </c>
      <c r="CO23" s="10">
        <v>-0.69624245166778564</v>
      </c>
      <c r="CP23" s="10">
        <v>0.12820513546466827</v>
      </c>
      <c r="CQ23" s="10">
        <v>-0.4583333432674408</v>
      </c>
      <c r="CR23">
        <v>46.04845793143911</v>
      </c>
      <c r="CS23">
        <v>7.9895480692631429</v>
      </c>
      <c r="CT23">
        <v>0.22796352583586624</v>
      </c>
      <c r="CU23" s="9">
        <v>-5.7635873183608057E-2</v>
      </c>
      <c r="CV23" s="10">
        <v>-0.38692772686481475</v>
      </c>
      <c r="CW23">
        <v>0.06</v>
      </c>
      <c r="CX23">
        <v>445.94079215108286</v>
      </c>
      <c r="CY23" t="s">
        <v>2433</v>
      </c>
      <c r="CZ23">
        <v>-5.7635873183608057E-2</v>
      </c>
      <c r="DA23">
        <v>148.64693071702763</v>
      </c>
      <c r="DB23" t="s">
        <v>2434</v>
      </c>
      <c r="DC23">
        <v>-5.4754079524427651E-2</v>
      </c>
      <c r="DD23">
        <v>74.323465358513815</v>
      </c>
      <c r="DE23" t="s">
        <v>2435</v>
      </c>
      <c r="DF23">
        <v>-5.0719568401575092E-2</v>
      </c>
      <c r="DG23">
        <v>44.594079215108287</v>
      </c>
      <c r="DH23" t="s">
        <v>2436</v>
      </c>
      <c r="DI23">
        <v>-4.6108698546886449E-2</v>
      </c>
      <c r="DJ23">
        <v>22.297039607554144</v>
      </c>
      <c r="DK23" t="s">
        <v>2437</v>
      </c>
      <c r="DL23">
        <v>-4.0345111228525639E-2</v>
      </c>
      <c r="DM23">
        <v>9091700</v>
      </c>
      <c r="DN23">
        <v>-5.7635873183608057E-2</v>
      </c>
      <c r="DO23">
        <v>4054359900</v>
      </c>
      <c r="DP23">
        <v>1862112700</v>
      </c>
      <c r="DQ23">
        <v>1542</v>
      </c>
      <c r="DR23">
        <v>-0.34783287681639191</v>
      </c>
      <c r="DS23">
        <v>-0.32801259125044796</v>
      </c>
      <c r="DT23" s="11">
        <v>-0.55666666666666675</v>
      </c>
      <c r="DU23">
        <v>-1.07</v>
      </c>
      <c r="DV23">
        <v>-1.6266666666666669</v>
      </c>
      <c r="DW23">
        <v>-2.0718999999999999</v>
      </c>
      <c r="DX23">
        <v>0.38541413721413731</v>
      </c>
      <c r="DY23">
        <v>-2.0111742764656966</v>
      </c>
      <c r="DZ23">
        <v>2995</v>
      </c>
      <c r="EA23">
        <v>-2.0046249696134928</v>
      </c>
      <c r="EB23">
        <v>2</v>
      </c>
      <c r="EC23">
        <v>0.11721650296191422</v>
      </c>
      <c r="ED23">
        <v>0.75422033711391101</v>
      </c>
      <c r="EE23" s="12">
        <v>-3.0499000000000001</v>
      </c>
      <c r="EF23">
        <v>-3.0259999999999998</v>
      </c>
      <c r="EG23">
        <v>23.155414137214137</v>
      </c>
      <c r="EH23" t="s">
        <v>1511</v>
      </c>
      <c r="EI23">
        <v>0</v>
      </c>
      <c r="EJ23">
        <v>0</v>
      </c>
      <c r="EK23" s="14">
        <v>45470</v>
      </c>
      <c r="EL23" s="15">
        <v>-0.3</v>
      </c>
      <c r="EM23" s="15">
        <v>-3.29</v>
      </c>
      <c r="EN23" s="15">
        <v>-2.17</v>
      </c>
      <c r="EO23" s="15">
        <v>6.01</v>
      </c>
      <c r="EP23" s="15">
        <v>-2.39</v>
      </c>
    </row>
    <row r="24" spans="1:146" ht="96" x14ac:dyDescent="0.25">
      <c r="A24" s="7"/>
      <c r="B24" s="7"/>
      <c r="C24" s="7" t="str">
        <f>""&amp;CHAR(10)&amp;Basic_Fundamental_Information_Constructure(F24)&amp;CHAR(10)&amp;Basic_Fundamental_Information_Concatenate("")</f>
        <v xml:space="preserve">
市值17.151975亿, 利润-3022.06万; PE; 平均PE-139.7; 平均PEG-7.06, PB1.67; ROIC1.59%; ROE-3.34%; 股利率0%; 毛利43.22%; 净利-5.3967%; 上一年度营收增-91.33%, 利润增71.49%; 当季营收增-82.79%, 利润增-200.54%; 过往5年营收增-19.78%, 利润增-240.94%
Income profile:
</v>
      </c>
      <c r="D24" t="s">
        <v>88</v>
      </c>
      <c r="E24" t="s">
        <v>61</v>
      </c>
      <c r="F24">
        <v>3.23</v>
      </c>
      <c r="G24">
        <v>3.86</v>
      </c>
      <c r="H24" t="s">
        <v>2438</v>
      </c>
      <c r="I24">
        <v>1715197500</v>
      </c>
      <c r="K24">
        <v>1.67</v>
      </c>
      <c r="L24" t="s">
        <v>1303</v>
      </c>
      <c r="M24" t="s">
        <v>666</v>
      </c>
      <c r="N24" t="s">
        <v>1531</v>
      </c>
      <c r="O24" t="s">
        <v>2439</v>
      </c>
      <c r="P24">
        <v>-63.28</v>
      </c>
      <c r="Q24" t="s">
        <v>2439</v>
      </c>
      <c r="R24">
        <v>-30220573</v>
      </c>
      <c r="S24" s="5">
        <v>-10.59</v>
      </c>
      <c r="T24" t="s">
        <v>2440</v>
      </c>
      <c r="U24">
        <v>530465740</v>
      </c>
      <c r="V24">
        <v>531020900</v>
      </c>
      <c r="W24">
        <v>1.43</v>
      </c>
      <c r="X24">
        <v>0.02</v>
      </c>
      <c r="Y24">
        <v>-93.83</v>
      </c>
      <c r="Z24" t="s">
        <v>2441</v>
      </c>
      <c r="AA24" t="s">
        <v>2442</v>
      </c>
      <c r="AB24" t="s">
        <v>2443</v>
      </c>
      <c r="AC24" t="s">
        <v>2444</v>
      </c>
      <c r="AD24" t="s">
        <v>63</v>
      </c>
      <c r="AE24">
        <v>803675</v>
      </c>
      <c r="AF24" t="s">
        <v>2445</v>
      </c>
      <c r="AG24" t="s">
        <v>2446</v>
      </c>
      <c r="AH24" t="s">
        <v>2447</v>
      </c>
      <c r="AI24" t="s">
        <v>180</v>
      </c>
      <c r="AJ24" t="s">
        <v>2448</v>
      </c>
      <c r="AK24" t="s">
        <v>2449</v>
      </c>
      <c r="AL24" t="s">
        <v>2450</v>
      </c>
      <c r="AM24" t="s">
        <v>63</v>
      </c>
      <c r="AN24" t="s">
        <v>2451</v>
      </c>
      <c r="AO24" t="s">
        <v>63</v>
      </c>
      <c r="AP24" t="s">
        <v>63</v>
      </c>
      <c r="AQ24" t="s">
        <v>372</v>
      </c>
      <c r="AR24" t="s">
        <v>63</v>
      </c>
      <c r="AS24" t="s">
        <v>848</v>
      </c>
      <c r="AT24" t="s">
        <v>63</v>
      </c>
      <c r="AU24" t="s">
        <v>2452</v>
      </c>
      <c r="AV24" t="s">
        <v>2453</v>
      </c>
      <c r="AW24" t="s">
        <v>2454</v>
      </c>
      <c r="AX24" t="s">
        <v>554</v>
      </c>
      <c r="AY24" t="s">
        <v>588</v>
      </c>
      <c r="AZ24" t="s">
        <v>802</v>
      </c>
      <c r="BA24" t="s">
        <v>274</v>
      </c>
      <c r="BB24" t="s">
        <v>588</v>
      </c>
      <c r="BC24" t="s">
        <v>558</v>
      </c>
      <c r="BD24" t="s">
        <v>1173</v>
      </c>
      <c r="BE24" t="s">
        <v>803</v>
      </c>
      <c r="BF24" t="s">
        <v>804</v>
      </c>
      <c r="BG24" t="s">
        <v>805</v>
      </c>
      <c r="BH24" t="s">
        <v>1108</v>
      </c>
      <c r="BI24" t="s">
        <v>378</v>
      </c>
      <c r="BJ24" t="s">
        <v>554</v>
      </c>
      <c r="BK24" t="s">
        <v>2455</v>
      </c>
      <c r="BL24" t="s">
        <v>1794</v>
      </c>
      <c r="BM24" t="s">
        <v>558</v>
      </c>
      <c r="BN24" t="s">
        <v>63</v>
      </c>
      <c r="BO24" t="s">
        <v>63</v>
      </c>
      <c r="BP24">
        <v>1.59</v>
      </c>
      <c r="BQ24">
        <v>-1.1399999999999999</v>
      </c>
      <c r="BR24">
        <v>-9.67</v>
      </c>
      <c r="BS24">
        <v>0.79</v>
      </c>
      <c r="BT24" t="s">
        <v>1445</v>
      </c>
      <c r="BU24" t="s">
        <v>2052</v>
      </c>
      <c r="BV24">
        <v>47.55</v>
      </c>
      <c r="BW24">
        <v>39.07</v>
      </c>
      <c r="BX24">
        <v>43.04</v>
      </c>
      <c r="BY24">
        <v>5.14</v>
      </c>
      <c r="BZ24">
        <v>-24.16</v>
      </c>
      <c r="CA24">
        <v>2.83</v>
      </c>
      <c r="CB24">
        <v>-1.22</v>
      </c>
      <c r="CC24">
        <v>-18.23</v>
      </c>
      <c r="CD24" t="s">
        <v>2456</v>
      </c>
      <c r="CE24" t="s">
        <v>400</v>
      </c>
      <c r="CF24" s="9">
        <v>-0.82788557692307696</v>
      </c>
      <c r="CG24" s="10">
        <v>-2.0054073433180184</v>
      </c>
      <c r="CH24" s="9">
        <v>-0.91331768035888672</v>
      </c>
      <c r="CI24" s="9">
        <v>-8.0178171396255493E-2</v>
      </c>
      <c r="CJ24" s="9">
        <v>8.9887641370296478E-3</v>
      </c>
      <c r="CK24" s="9">
        <v>-6.9037653505802155E-2</v>
      </c>
      <c r="CL24" s="9">
        <v>6.4587973058223724E-2</v>
      </c>
      <c r="CM24" s="10">
        <v>0.71490001678466797</v>
      </c>
      <c r="CN24" s="10">
        <v>-12.658985137939453</v>
      </c>
      <c r="CO24" s="10">
        <v>-0.59886431694030762</v>
      </c>
      <c r="CP24" s="10">
        <v>0.41954615712165833</v>
      </c>
      <c r="CQ24" s="10">
        <v>7.6512828469276428E-2</v>
      </c>
      <c r="CR24">
        <v>-139.70022887022813</v>
      </c>
      <c r="CS24">
        <v>-7.0630098999913313</v>
      </c>
      <c r="CT24">
        <v>0</v>
      </c>
      <c r="CU24" s="9">
        <v>-0.19779135361313821</v>
      </c>
      <c r="CV24" s="10">
        <v>-2.4093780905008315</v>
      </c>
      <c r="CW24">
        <v>0.06</v>
      </c>
      <c r="CX24" t="e">
        <v>#VALUE!</v>
      </c>
      <c r="CY24" t="s">
        <v>1308</v>
      </c>
      <c r="CZ24">
        <v>-0.19779135361313821</v>
      </c>
      <c r="DA24" t="e">
        <v>#VALUE!</v>
      </c>
      <c r="DB24" t="s">
        <v>1309</v>
      </c>
      <c r="DC24">
        <v>-0.1879017859324813</v>
      </c>
      <c r="DD24" t="e">
        <v>#VALUE!</v>
      </c>
      <c r="DE24" t="s">
        <v>1309</v>
      </c>
      <c r="DF24">
        <v>-0.17405639117956162</v>
      </c>
      <c r="DG24" t="e">
        <v>#VALUE!</v>
      </c>
      <c r="DH24" t="s">
        <v>1309</v>
      </c>
      <c r="DI24">
        <v>-0.15823308289051058</v>
      </c>
      <c r="DJ24" t="e">
        <v>#VALUE!</v>
      </c>
      <c r="DK24" t="s">
        <v>1309</v>
      </c>
      <c r="DL24">
        <v>-0.13845394752919674</v>
      </c>
      <c r="DM24">
        <v>-30220600</v>
      </c>
      <c r="DN24">
        <v>-0.19779135361313821</v>
      </c>
      <c r="DO24">
        <v>1162197500</v>
      </c>
      <c r="DP24">
        <v>406860250</v>
      </c>
      <c r="DQ24">
        <v>1567</v>
      </c>
      <c r="DR24">
        <v>-0.63009422330993869</v>
      </c>
      <c r="DS24">
        <v>0.40397074718281312</v>
      </c>
      <c r="DT24" s="11">
        <v>-0.77333333333333332</v>
      </c>
      <c r="DU24">
        <v>-1.7150000000000001</v>
      </c>
      <c r="DV24">
        <v>-2.4883333333333333</v>
      </c>
      <c r="DW24">
        <v>-3.0252202380952382</v>
      </c>
      <c r="DX24">
        <v>0.37635324074073906</v>
      </c>
      <c r="DY24">
        <v>-3.003438861196539</v>
      </c>
      <c r="DZ24">
        <v>4073</v>
      </c>
      <c r="EA24">
        <v>-3.0006978667437987</v>
      </c>
      <c r="EB24">
        <v>3</v>
      </c>
      <c r="EC24">
        <v>0.11092708403755859</v>
      </c>
      <c r="ED24">
        <v>0.81352730184442834</v>
      </c>
      <c r="EE24" s="12">
        <v>-6.0453999999999999</v>
      </c>
      <c r="EF24">
        <v>-6.0214999999999996</v>
      </c>
      <c r="EG24">
        <v>24.136353240740739</v>
      </c>
      <c r="EH24" t="s">
        <v>1807</v>
      </c>
      <c r="EI24">
        <v>0</v>
      </c>
      <c r="EJ24">
        <v>0</v>
      </c>
      <c r="EK24" s="14">
        <v>45470</v>
      </c>
      <c r="EL24" s="15">
        <v>-2.0499999999999998</v>
      </c>
      <c r="EM24" s="15">
        <v>-5.09</v>
      </c>
      <c r="EN24" s="15">
        <v>0.63</v>
      </c>
      <c r="EO24" s="15">
        <v>5.0199999999999996</v>
      </c>
      <c r="EP24" s="15">
        <v>-2.39</v>
      </c>
    </row>
    <row r="25" spans="1:146" ht="96" x14ac:dyDescent="0.25">
      <c r="C25" s="7" t="str">
        <f>""&amp;CHAR(10)&amp;Basic_Fundamental_Information_Constructure(F25)&amp;CHAR(10)&amp;Basic_Fundamental_Information_Concatenate("")</f>
        <v xml:space="preserve">
市值92.237828亿, 利润5653.53万; PE65.57; 平均PE59.8; 平均PEG4.75, PB2.25; ROIC5.6633%; ROE5.9833%; 股利率.3367%; 毛利39.2967%; 净利13.9133%; 上一年度营收增-80.73%, 利润增-77.83%; 当季营收增-60.16%, 利润增-59.62%; 过往5年营收增-12.59%, 利润增1.78%
Income profile:
</v>
      </c>
      <c r="D25" t="s">
        <v>141</v>
      </c>
      <c r="E25" t="s">
        <v>49</v>
      </c>
      <c r="F25">
        <v>14.85</v>
      </c>
      <c r="G25">
        <v>1.5</v>
      </c>
      <c r="H25" t="s">
        <v>2457</v>
      </c>
      <c r="I25">
        <v>9223782800</v>
      </c>
      <c r="J25">
        <v>65.569999999999993</v>
      </c>
      <c r="K25">
        <v>2.25</v>
      </c>
      <c r="L25" t="s">
        <v>1303</v>
      </c>
      <c r="M25" t="s">
        <v>2006</v>
      </c>
      <c r="N25" t="s">
        <v>2458</v>
      </c>
      <c r="O25" t="s">
        <v>571</v>
      </c>
      <c r="P25">
        <v>8.15</v>
      </c>
      <c r="Q25" t="s">
        <v>571</v>
      </c>
      <c r="R25">
        <v>56535278</v>
      </c>
      <c r="S25" s="5">
        <v>0.12529999999999999</v>
      </c>
      <c r="T25" t="s">
        <v>2459</v>
      </c>
      <c r="U25">
        <v>514390730</v>
      </c>
      <c r="V25">
        <v>621130160</v>
      </c>
      <c r="W25">
        <v>1.2</v>
      </c>
      <c r="X25">
        <v>0.06</v>
      </c>
      <c r="Y25">
        <v>19.29</v>
      </c>
      <c r="Z25" t="s">
        <v>215</v>
      </c>
      <c r="AA25" t="s">
        <v>298</v>
      </c>
      <c r="AB25" t="s">
        <v>2460</v>
      </c>
      <c r="AC25" t="s">
        <v>2461</v>
      </c>
      <c r="AD25" t="s">
        <v>63</v>
      </c>
      <c r="AE25">
        <v>-4351483</v>
      </c>
      <c r="AF25" t="s">
        <v>2462</v>
      </c>
      <c r="AG25" t="s">
        <v>2463</v>
      </c>
      <c r="AH25" t="s">
        <v>2464</v>
      </c>
      <c r="AI25" t="s">
        <v>440</v>
      </c>
      <c r="AJ25" t="s">
        <v>2465</v>
      </c>
      <c r="AK25" t="s">
        <v>2466</v>
      </c>
      <c r="AL25" t="s">
        <v>2467</v>
      </c>
      <c r="AM25" t="s">
        <v>63</v>
      </c>
      <c r="AN25">
        <v>0</v>
      </c>
      <c r="AO25" t="s">
        <v>1578</v>
      </c>
      <c r="AP25" t="s">
        <v>63</v>
      </c>
      <c r="AQ25" t="s">
        <v>596</v>
      </c>
      <c r="AR25" t="s">
        <v>1795</v>
      </c>
      <c r="AS25" t="s">
        <v>861</v>
      </c>
      <c r="AT25" t="s">
        <v>63</v>
      </c>
      <c r="AU25" t="s">
        <v>1484</v>
      </c>
      <c r="AV25" t="s">
        <v>2468</v>
      </c>
      <c r="AW25" t="s">
        <v>2469</v>
      </c>
      <c r="AX25" t="s">
        <v>1506</v>
      </c>
      <c r="AY25" t="s">
        <v>1174</v>
      </c>
      <c r="AZ25" t="s">
        <v>806</v>
      </c>
      <c r="BA25" t="s">
        <v>409</v>
      </c>
      <c r="BB25" t="s">
        <v>808</v>
      </c>
      <c r="BC25" t="s">
        <v>235</v>
      </c>
      <c r="BD25" t="s">
        <v>284</v>
      </c>
      <c r="BE25" t="s">
        <v>181</v>
      </c>
      <c r="BF25" t="s">
        <v>370</v>
      </c>
      <c r="BG25" t="s">
        <v>309</v>
      </c>
      <c r="BH25" t="s">
        <v>963</v>
      </c>
      <c r="BI25" t="s">
        <v>1227</v>
      </c>
      <c r="BJ25" t="s">
        <v>1506</v>
      </c>
      <c r="BK25" t="s">
        <v>231</v>
      </c>
      <c r="BL25" t="s">
        <v>253</v>
      </c>
      <c r="BM25" t="s">
        <v>235</v>
      </c>
      <c r="BN25">
        <v>4.32</v>
      </c>
      <c r="BO25">
        <v>6.74</v>
      </c>
      <c r="BP25">
        <v>5.93</v>
      </c>
      <c r="BQ25">
        <v>4.63</v>
      </c>
      <c r="BR25">
        <v>6.98</v>
      </c>
      <c r="BS25">
        <v>6.34</v>
      </c>
      <c r="BT25" t="s">
        <v>1447</v>
      </c>
      <c r="BU25" t="s">
        <v>2052</v>
      </c>
      <c r="BV25">
        <v>40.04</v>
      </c>
      <c r="BW25">
        <v>39.380000000000003</v>
      </c>
      <c r="BX25">
        <v>38.47</v>
      </c>
      <c r="BY25">
        <v>11.03</v>
      </c>
      <c r="BZ25">
        <v>16.77</v>
      </c>
      <c r="CA25">
        <v>13.94</v>
      </c>
      <c r="CB25">
        <v>0.68</v>
      </c>
      <c r="CC25">
        <v>-5.17</v>
      </c>
      <c r="CD25" t="s">
        <v>423</v>
      </c>
      <c r="CE25" t="s">
        <v>593</v>
      </c>
      <c r="CF25" s="9">
        <v>-0.60162601626016265</v>
      </c>
      <c r="CG25" s="10">
        <v>-0.59617658571428567</v>
      </c>
      <c r="CH25" s="9">
        <v>-0.80733942985534668</v>
      </c>
      <c r="CI25" s="9">
        <v>3.0384920537471771E-2</v>
      </c>
      <c r="CJ25" s="9">
        <v>4.738326370716095E-2</v>
      </c>
      <c r="CK25" s="9">
        <v>0.12400636076927185</v>
      </c>
      <c r="CL25" s="9">
        <v>-2.4049602448940277E-2</v>
      </c>
      <c r="CM25" s="10">
        <v>-0.7782929539680481</v>
      </c>
      <c r="CN25" s="10">
        <v>0.23188406229019165</v>
      </c>
      <c r="CO25" s="10">
        <v>0.30188679695129395</v>
      </c>
      <c r="CP25" s="10">
        <v>0.21374045312404633</v>
      </c>
      <c r="CQ25" s="10">
        <v>0.11965811997652054</v>
      </c>
      <c r="CR25">
        <v>59.795338762335696</v>
      </c>
      <c r="CS25">
        <v>4.7485675734425792</v>
      </c>
      <c r="CT25">
        <v>0.33670033670033672</v>
      </c>
      <c r="CU25" s="9">
        <v>-0.12592289745807647</v>
      </c>
      <c r="CV25" s="10">
        <v>1.7775295674800871E-2</v>
      </c>
      <c r="CW25">
        <v>0.06</v>
      </c>
      <c r="CX25">
        <v>104.65643235288395</v>
      </c>
      <c r="CY25" t="s">
        <v>2470</v>
      </c>
      <c r="CZ25">
        <v>-0.12592289745807647</v>
      </c>
      <c r="DA25">
        <v>34.885477450961318</v>
      </c>
      <c r="DB25" t="s">
        <v>2471</v>
      </c>
      <c r="DC25">
        <v>-0.11962675258517264</v>
      </c>
      <c r="DD25">
        <v>17.442738725480659</v>
      </c>
      <c r="DE25" t="s">
        <v>2472</v>
      </c>
      <c r="DF25">
        <v>-0.1108121497631073</v>
      </c>
      <c r="DG25">
        <v>10.465643235288395</v>
      </c>
      <c r="DH25" t="s">
        <v>2473</v>
      </c>
      <c r="DI25">
        <v>-0.10073831796646118</v>
      </c>
      <c r="DJ25">
        <v>5.2328216176441975</v>
      </c>
      <c r="DK25" t="s">
        <v>2474</v>
      </c>
      <c r="DL25">
        <v>-8.8146028220653524E-2</v>
      </c>
      <c r="DM25">
        <v>56535300</v>
      </c>
      <c r="DN25">
        <v>-0.12592289745807647</v>
      </c>
      <c r="DO25">
        <v>5916782800</v>
      </c>
      <c r="DP25">
        <v>3166006700</v>
      </c>
      <c r="DQ25">
        <v>1568</v>
      </c>
      <c r="DR25">
        <v>-0.47570311880208616</v>
      </c>
      <c r="DS25">
        <v>-0.61395188138908652</v>
      </c>
      <c r="DT25" s="11">
        <v>-0.77333333333333332</v>
      </c>
      <c r="DU25">
        <v>-0.15333333333333335</v>
      </c>
      <c r="DV25">
        <v>-0.92666666666666664</v>
      </c>
      <c r="DW25">
        <v>-1.0517000000000001</v>
      </c>
      <c r="DX25">
        <v>0.35750988142292572</v>
      </c>
      <c r="DY25">
        <v>-1.0107282608695651</v>
      </c>
      <c r="DZ25">
        <v>2622</v>
      </c>
      <c r="EA25">
        <v>-1.0052234663490172</v>
      </c>
      <c r="EB25">
        <v>1</v>
      </c>
      <c r="EC25">
        <v>0.1690466938523803</v>
      </c>
      <c r="ED25">
        <v>0.81464406751718499</v>
      </c>
      <c r="EE25" s="12">
        <v>-4.0804999999999998</v>
      </c>
      <c r="EF25">
        <v>-4.0514999999999999</v>
      </c>
      <c r="EG25">
        <v>15.207509881422926</v>
      </c>
      <c r="EH25" t="s">
        <v>1797</v>
      </c>
      <c r="EI25">
        <v>0</v>
      </c>
      <c r="EJ25">
        <v>0</v>
      </c>
      <c r="EK25" s="14">
        <v>45470</v>
      </c>
      <c r="EL25" s="15">
        <v>1.32</v>
      </c>
      <c r="EM25" s="15">
        <v>-5.72</v>
      </c>
      <c r="EN25" s="15">
        <v>0.96</v>
      </c>
      <c r="EO25" s="15">
        <v>3.62</v>
      </c>
      <c r="EP25" s="15">
        <v>-2.9</v>
      </c>
    </row>
    <row r="26" spans="1:146" ht="96" x14ac:dyDescent="0.25">
      <c r="A26" s="7"/>
      <c r="B26" s="7"/>
      <c r="C26" s="7" t="str">
        <f>""&amp;CHAR(10)&amp;Basic_Fundamental_Information_Constructure(F26)&amp;CHAR(10)&amp;Basic_Fundamental_Information_Concatenate("")</f>
        <v xml:space="preserve">
市值63.314992亿, 利润-3138.86万; PE; 平均PE-101.34; 平均PEG-5.43, PB9.92; ROIC0%; ROE-14.7967%; 股利率0%; 毛利22.4633%; 净利-15.3233%; 上一年度营收增-81.27%, 利润增74.27%; 当季营收增-60.19%, 利润增-14.82%; 过往5年营收增-18.65%, 利润增-217.55%
Income profile:
</v>
      </c>
      <c r="D26" t="s">
        <v>72</v>
      </c>
      <c r="E26" t="s">
        <v>5</v>
      </c>
      <c r="F26">
        <v>8.9600000000000009</v>
      </c>
      <c r="G26">
        <v>4.1900000000000004</v>
      </c>
      <c r="H26" t="s">
        <v>2475</v>
      </c>
      <c r="I26">
        <v>6331499200</v>
      </c>
      <c r="K26">
        <v>9.92</v>
      </c>
      <c r="L26" t="s">
        <v>1303</v>
      </c>
      <c r="M26" t="s">
        <v>1158</v>
      </c>
      <c r="N26" t="s">
        <v>537</v>
      </c>
      <c r="O26" t="s">
        <v>262</v>
      </c>
      <c r="P26">
        <v>-23.06</v>
      </c>
      <c r="Q26" t="s">
        <v>262</v>
      </c>
      <c r="R26">
        <v>-31388589</v>
      </c>
      <c r="S26" s="5">
        <v>-26.7</v>
      </c>
      <c r="T26" t="s">
        <v>2476</v>
      </c>
      <c r="U26">
        <v>625068360</v>
      </c>
      <c r="V26">
        <v>706640540</v>
      </c>
      <c r="W26">
        <v>1.94</v>
      </c>
      <c r="X26">
        <v>0.16</v>
      </c>
      <c r="Y26">
        <v>-15</v>
      </c>
      <c r="Z26" t="s">
        <v>385</v>
      </c>
      <c r="AA26" t="s">
        <v>190</v>
      </c>
      <c r="AB26" t="s">
        <v>2477</v>
      </c>
      <c r="AC26" t="s">
        <v>2478</v>
      </c>
      <c r="AD26" t="s">
        <v>63</v>
      </c>
      <c r="AE26">
        <v>1825562</v>
      </c>
      <c r="AF26" t="s">
        <v>2479</v>
      </c>
      <c r="AG26">
        <v>3451.33</v>
      </c>
      <c r="AH26" t="s">
        <v>2480</v>
      </c>
      <c r="AI26" t="s">
        <v>643</v>
      </c>
      <c r="AJ26" t="s">
        <v>2481</v>
      </c>
      <c r="AK26" t="s">
        <v>63</v>
      </c>
      <c r="AL26" t="s">
        <v>2482</v>
      </c>
      <c r="AM26" t="s">
        <v>63</v>
      </c>
      <c r="AN26">
        <v>0</v>
      </c>
      <c r="AO26" t="s">
        <v>232</v>
      </c>
      <c r="AP26" t="s">
        <v>2483</v>
      </c>
      <c r="AQ26" t="s">
        <v>2484</v>
      </c>
      <c r="AR26" t="s">
        <v>63</v>
      </c>
      <c r="AS26" t="s">
        <v>768</v>
      </c>
      <c r="AT26" t="s">
        <v>63</v>
      </c>
      <c r="AU26" t="s">
        <v>2485</v>
      </c>
      <c r="AV26" t="s">
        <v>2486</v>
      </c>
      <c r="AW26" t="s">
        <v>2487</v>
      </c>
      <c r="AX26" t="s">
        <v>1512</v>
      </c>
      <c r="AY26" t="s">
        <v>1176</v>
      </c>
      <c r="AZ26" t="s">
        <v>813</v>
      </c>
      <c r="BA26" t="s">
        <v>416</v>
      </c>
      <c r="BB26" t="s">
        <v>693</v>
      </c>
      <c r="BC26" t="s">
        <v>1323</v>
      </c>
      <c r="BD26" t="s">
        <v>778</v>
      </c>
      <c r="BE26" t="s">
        <v>814</v>
      </c>
      <c r="BF26" t="s">
        <v>417</v>
      </c>
      <c r="BG26" t="s">
        <v>816</v>
      </c>
      <c r="BH26" t="s">
        <v>1896</v>
      </c>
      <c r="BI26" t="s">
        <v>431</v>
      </c>
      <c r="BJ26" t="s">
        <v>1512</v>
      </c>
      <c r="BK26" t="s">
        <v>1403</v>
      </c>
      <c r="BL26" t="s">
        <v>1799</v>
      </c>
      <c r="BM26" t="s">
        <v>1323</v>
      </c>
      <c r="BN26" t="s">
        <v>63</v>
      </c>
      <c r="BO26" t="s">
        <v>63</v>
      </c>
      <c r="BP26" t="s">
        <v>63</v>
      </c>
      <c r="BQ26">
        <v>-7.13</v>
      </c>
      <c r="BR26">
        <v>-13.99</v>
      </c>
      <c r="BS26">
        <v>-23.27</v>
      </c>
      <c r="BT26" t="s">
        <v>1445</v>
      </c>
      <c r="BU26" t="s">
        <v>2052</v>
      </c>
      <c r="BV26">
        <v>22.73</v>
      </c>
      <c r="BW26">
        <v>24.31</v>
      </c>
      <c r="BX26">
        <v>20.350000000000001</v>
      </c>
      <c r="BY26">
        <v>-11.57</v>
      </c>
      <c r="BZ26">
        <v>-11.15</v>
      </c>
      <c r="CA26">
        <v>-23.25</v>
      </c>
      <c r="CB26">
        <v>10.89</v>
      </c>
      <c r="CC26">
        <v>-4.2699999999999996</v>
      </c>
      <c r="CD26" t="s">
        <v>2488</v>
      </c>
      <c r="CE26" t="s">
        <v>453</v>
      </c>
      <c r="CF26" s="9">
        <v>-0.60190476190476194</v>
      </c>
      <c r="CG26" s="10">
        <v>-0.14819218360195205</v>
      </c>
      <c r="CH26" s="9">
        <v>-0.81272399425506592</v>
      </c>
      <c r="CI26" s="9">
        <v>-6.0606062412261963E-2</v>
      </c>
      <c r="CJ26" s="9">
        <v>-0.1453237384557724</v>
      </c>
      <c r="CK26" s="9">
        <v>0.17696873843669891</v>
      </c>
      <c r="CL26" s="9">
        <v>-9.0839199721813202E-2</v>
      </c>
      <c r="CM26" s="10">
        <v>0.74271637201309204</v>
      </c>
      <c r="CN26" s="10">
        <v>0.5689045786857605</v>
      </c>
      <c r="CO26" s="10">
        <v>-14.567740440368652</v>
      </c>
      <c r="CP26" s="10">
        <v>3.2413022518157959</v>
      </c>
      <c r="CQ26" s="10">
        <v>-0.86243903636932373</v>
      </c>
      <c r="CR26">
        <v>-101.34136189426661</v>
      </c>
      <c r="CS26">
        <v>-5.4337118416952048</v>
      </c>
      <c r="CT26">
        <v>0</v>
      </c>
      <c r="CU26" s="9">
        <v>-0.1865048512816429</v>
      </c>
      <c r="CV26" s="10">
        <v>-2.1754512548446656</v>
      </c>
      <c r="CW26">
        <v>0.06</v>
      </c>
      <c r="CX26" t="e">
        <v>#VALUE!</v>
      </c>
      <c r="CY26" t="s">
        <v>1308</v>
      </c>
      <c r="CZ26">
        <v>-0.1865048512816429</v>
      </c>
      <c r="DA26" t="e">
        <v>#VALUE!</v>
      </c>
      <c r="DB26" t="s">
        <v>1309</v>
      </c>
      <c r="DC26">
        <v>-0.17717960871756075</v>
      </c>
      <c r="DD26" t="e">
        <v>#VALUE!</v>
      </c>
      <c r="DE26" t="s">
        <v>1309</v>
      </c>
      <c r="DF26">
        <v>-0.16412426912784575</v>
      </c>
      <c r="DG26" t="e">
        <v>#VALUE!</v>
      </c>
      <c r="DH26" t="s">
        <v>1309</v>
      </c>
      <c r="DI26">
        <v>-0.14920388102531432</v>
      </c>
      <c r="DJ26" t="e">
        <v>#VALUE!</v>
      </c>
      <c r="DK26" t="s">
        <v>1309</v>
      </c>
      <c r="DL26">
        <v>-0.13055339589715004</v>
      </c>
      <c r="DM26">
        <v>-31388600</v>
      </c>
      <c r="DN26">
        <v>-0.1865048512816429</v>
      </c>
      <c r="DO26">
        <v>6451499200</v>
      </c>
      <c r="DP26">
        <v>205608210</v>
      </c>
      <c r="DQ26">
        <v>1578</v>
      </c>
      <c r="DR26">
        <v>-0.41539991062311904</v>
      </c>
      <c r="DS26">
        <v>2.0272590712427134</v>
      </c>
      <c r="DT26" s="11">
        <v>-0.65666666666666662</v>
      </c>
      <c r="DU26">
        <v>-1.7850000000000001</v>
      </c>
      <c r="DV26">
        <v>-2.4416666666666669</v>
      </c>
      <c r="DW26">
        <v>5.3921028466483012</v>
      </c>
      <c r="DX26">
        <v>0.76607443365695471</v>
      </c>
      <c r="DY26">
        <v>5.1160916282566768</v>
      </c>
      <c r="DZ26">
        <v>4665</v>
      </c>
      <c r="EA26">
        <v>5.0101097406211785</v>
      </c>
      <c r="EB26">
        <v>5</v>
      </c>
      <c r="EC26">
        <v>0.1294675224832133</v>
      </c>
      <c r="ED26">
        <v>0.43728031793930194</v>
      </c>
      <c r="EE26" s="12">
        <v>-3.0215999999999998</v>
      </c>
      <c r="EF26">
        <v>-3.0043099999999998</v>
      </c>
      <c r="EG26">
        <v>47.296074433656955</v>
      </c>
      <c r="EH26" t="s">
        <v>1471</v>
      </c>
      <c r="EI26">
        <v>1</v>
      </c>
      <c r="EJ26">
        <v>0</v>
      </c>
      <c r="EK26" s="14">
        <v>45470</v>
      </c>
      <c r="EL26" s="15">
        <v>0.48</v>
      </c>
      <c r="EM26" s="15">
        <v>-3.56</v>
      </c>
      <c r="EN26" s="15">
        <v>-1.72</v>
      </c>
      <c r="EO26" s="15">
        <v>6.64</v>
      </c>
      <c r="EP26" s="15">
        <v>-2.59</v>
      </c>
    </row>
    <row r="27" spans="1:146" ht="96" x14ac:dyDescent="0.25">
      <c r="A27" s="7"/>
      <c r="B27" s="7"/>
      <c r="C27" s="7" t="str">
        <f>""&amp;CHAR(10)&amp;Basic_Fundamental_Information_Constructure(F27)&amp;CHAR(10)&amp;Basic_Fundamental_Information_Concatenate("")</f>
        <v xml:space="preserve">
市值73.681968亿, 利润780.45万; PE; 平均PE-22.77; 平均PEG-.93, PB2.57; ROIC1.53%; ROE-3.1%; 股利率0%; 毛利28.5933%; 净利-5.6233%; 上一年度营收增-86.93%, 利润增102.86%; 当季营收增-62.16%, 利润增116.25%; 过往5年营收增-24.55%, 利润增-166.68%
Income profile:
</v>
      </c>
      <c r="D27" t="s">
        <v>1071</v>
      </c>
      <c r="E27" t="s">
        <v>1072</v>
      </c>
      <c r="F27">
        <v>4.24</v>
      </c>
      <c r="G27">
        <v>1.68</v>
      </c>
      <c r="H27" t="s">
        <v>657</v>
      </c>
      <c r="I27">
        <v>7368196800</v>
      </c>
      <c r="K27">
        <v>2.57</v>
      </c>
      <c r="L27" t="s">
        <v>1303</v>
      </c>
      <c r="M27" t="s">
        <v>698</v>
      </c>
      <c r="N27" t="s">
        <v>1159</v>
      </c>
      <c r="O27" t="s">
        <v>179</v>
      </c>
      <c r="P27">
        <v>-12.64</v>
      </c>
      <c r="Q27" t="s">
        <v>179</v>
      </c>
      <c r="R27">
        <v>7804517</v>
      </c>
      <c r="S27" s="5">
        <v>1.35</v>
      </c>
      <c r="T27" t="s">
        <v>2489</v>
      </c>
      <c r="U27">
        <v>1541743600</v>
      </c>
      <c r="V27">
        <v>1737782300</v>
      </c>
      <c r="W27">
        <v>1.65</v>
      </c>
      <c r="X27">
        <v>0.06</v>
      </c>
      <c r="Y27">
        <v>2.12</v>
      </c>
      <c r="Z27" t="s">
        <v>276</v>
      </c>
      <c r="AA27" t="s">
        <v>335</v>
      </c>
      <c r="AB27" t="s">
        <v>2490</v>
      </c>
      <c r="AC27" t="s">
        <v>2491</v>
      </c>
      <c r="AD27" t="s">
        <v>63</v>
      </c>
      <c r="AE27">
        <v>-7860605</v>
      </c>
      <c r="AF27" t="s">
        <v>2492</v>
      </c>
      <c r="AG27" t="s">
        <v>1800</v>
      </c>
      <c r="AH27" t="s">
        <v>2493</v>
      </c>
      <c r="AI27" t="s">
        <v>832</v>
      </c>
      <c r="AJ27" t="s">
        <v>2494</v>
      </c>
      <c r="AK27" t="s">
        <v>2495</v>
      </c>
      <c r="AL27" t="s">
        <v>2496</v>
      </c>
      <c r="AM27" t="s">
        <v>63</v>
      </c>
      <c r="AN27" t="s">
        <v>283</v>
      </c>
      <c r="AO27" t="s">
        <v>2497</v>
      </c>
      <c r="AP27" t="s">
        <v>2498</v>
      </c>
      <c r="AQ27" t="s">
        <v>2006</v>
      </c>
      <c r="AR27" t="s">
        <v>63</v>
      </c>
      <c r="AS27" t="s">
        <v>888</v>
      </c>
      <c r="AT27" t="s">
        <v>2499</v>
      </c>
      <c r="AU27" t="s">
        <v>1576</v>
      </c>
      <c r="AV27" t="s">
        <v>2500</v>
      </c>
      <c r="AW27" t="s">
        <v>2501</v>
      </c>
      <c r="AX27" t="s">
        <v>1370</v>
      </c>
      <c r="AY27" t="s">
        <v>1178</v>
      </c>
      <c r="AZ27" t="s">
        <v>1073</v>
      </c>
      <c r="BA27" t="s">
        <v>1075</v>
      </c>
      <c r="BB27" t="s">
        <v>1076</v>
      </c>
      <c r="BC27" t="s">
        <v>1959</v>
      </c>
      <c r="BD27" t="s">
        <v>1179</v>
      </c>
      <c r="BE27" t="s">
        <v>1074</v>
      </c>
      <c r="BF27" t="s">
        <v>1078</v>
      </c>
      <c r="BG27" t="s">
        <v>676</v>
      </c>
      <c r="BH27" t="s">
        <v>2502</v>
      </c>
      <c r="BI27" t="s">
        <v>389</v>
      </c>
      <c r="BJ27" t="s">
        <v>1370</v>
      </c>
      <c r="BK27" t="s">
        <v>1484</v>
      </c>
      <c r="BL27" t="s">
        <v>1803</v>
      </c>
      <c r="BM27" t="s">
        <v>1959</v>
      </c>
      <c r="BN27" t="s">
        <v>63</v>
      </c>
      <c r="BO27" t="s">
        <v>63</v>
      </c>
      <c r="BP27">
        <v>1.53</v>
      </c>
      <c r="BQ27">
        <v>-2.17</v>
      </c>
      <c r="BR27">
        <v>-8.42</v>
      </c>
      <c r="BS27">
        <v>1.29</v>
      </c>
      <c r="BT27" t="s">
        <v>1445</v>
      </c>
      <c r="BU27" t="s">
        <v>2052</v>
      </c>
      <c r="BV27">
        <v>31.52</v>
      </c>
      <c r="BW27">
        <v>26.23</v>
      </c>
      <c r="BX27">
        <v>28.03</v>
      </c>
      <c r="BY27">
        <v>-6.06</v>
      </c>
      <c r="BZ27">
        <v>-12</v>
      </c>
      <c r="CA27">
        <v>1.19</v>
      </c>
      <c r="CB27">
        <v>-4.29</v>
      </c>
      <c r="CC27">
        <v>31.68</v>
      </c>
      <c r="CD27" t="s">
        <v>751</v>
      </c>
      <c r="CE27" t="s">
        <v>2503</v>
      </c>
      <c r="CF27" s="9">
        <v>-0.62158808933002485</v>
      </c>
      <c r="CG27" s="10">
        <v>1.1625074335354477</v>
      </c>
      <c r="CH27" s="9">
        <v>-0.8692670464515686</v>
      </c>
      <c r="CI27" s="9">
        <v>-0.12719790637493134</v>
      </c>
      <c r="CJ27" s="9">
        <v>0.14918304979801178</v>
      </c>
      <c r="CK27" s="9">
        <v>-0.13627918064594269</v>
      </c>
      <c r="CL27" s="9">
        <v>-0.24417628347873688</v>
      </c>
      <c r="CM27" s="10">
        <v>1.0285879373550415</v>
      </c>
      <c r="CN27" s="10">
        <v>-7.305912971496582</v>
      </c>
      <c r="CO27" s="10">
        <v>1.0392498970031738</v>
      </c>
      <c r="CP27" s="10">
        <v>4.6672321856021881E-2</v>
      </c>
      <c r="CQ27" s="10">
        <v>-3.1425924301147461</v>
      </c>
      <c r="CR27">
        <v>-22.765908159769889</v>
      </c>
      <c r="CS27">
        <v>-0.92714894768408984</v>
      </c>
      <c r="CT27">
        <v>0</v>
      </c>
      <c r="CU27" s="9">
        <v>-0.24554747343063354</v>
      </c>
      <c r="CV27" s="10">
        <v>-1.6667990490794182</v>
      </c>
      <c r="CW27">
        <v>0.06</v>
      </c>
      <c r="CX27">
        <v>829.16225254660776</v>
      </c>
      <c r="CY27" t="s">
        <v>2504</v>
      </c>
      <c r="CZ27">
        <v>-0.24554747343063354</v>
      </c>
      <c r="DA27">
        <v>276.3874175155359</v>
      </c>
      <c r="DB27" t="s">
        <v>2505</v>
      </c>
      <c r="DC27">
        <v>-0.23327009975910185</v>
      </c>
      <c r="DD27">
        <v>138.19370875776795</v>
      </c>
      <c r="DE27" t="s">
        <v>2506</v>
      </c>
      <c r="DF27">
        <v>-0.21608177661895753</v>
      </c>
      <c r="DG27">
        <v>82.916225254660773</v>
      </c>
      <c r="DH27" t="s">
        <v>2507</v>
      </c>
      <c r="DI27">
        <v>-0.19643797874450686</v>
      </c>
      <c r="DJ27">
        <v>41.458112627330387</v>
      </c>
      <c r="DK27" t="s">
        <v>2508</v>
      </c>
      <c r="DL27">
        <v>-0.17188323140144346</v>
      </c>
      <c r="DM27">
        <v>7804500</v>
      </c>
      <c r="DN27">
        <v>-0.24554747343063354</v>
      </c>
      <c r="DO27">
        <v>6471196800</v>
      </c>
      <c r="DP27">
        <v>1438301900</v>
      </c>
      <c r="DQ27">
        <v>1589</v>
      </c>
      <c r="DR27">
        <v>-0.37604061589939131</v>
      </c>
      <c r="DS27">
        <v>2.8293064826148662</v>
      </c>
      <c r="DT27" s="11">
        <v>-0.87333333333333341</v>
      </c>
      <c r="DU27">
        <v>-0.55000000000000016</v>
      </c>
      <c r="DV27">
        <v>-1.4233333333333336</v>
      </c>
      <c r="DW27">
        <v>-6.1192660550458715</v>
      </c>
      <c r="DX27">
        <v>0.3790521006997794</v>
      </c>
      <c r="DY27">
        <v>-6.0225474982485974</v>
      </c>
      <c r="DZ27">
        <v>4283</v>
      </c>
      <c r="EA27">
        <v>-6.0036490765267301</v>
      </c>
      <c r="EB27">
        <v>6</v>
      </c>
      <c r="EC27">
        <v>0.62205720474883419</v>
      </c>
      <c r="ED27">
        <v>3.2904006445456373</v>
      </c>
      <c r="EE27" s="12">
        <v>-2.0557099999999999</v>
      </c>
      <c r="EF27">
        <v>-2.0779100000000001</v>
      </c>
      <c r="EG27">
        <v>19.189052100699779</v>
      </c>
      <c r="EH27" t="s">
        <v>1501</v>
      </c>
      <c r="EI27">
        <v>0</v>
      </c>
      <c r="EJ27">
        <v>0</v>
      </c>
      <c r="EK27" s="14">
        <v>45470</v>
      </c>
      <c r="EL27" s="15">
        <v>-5.7</v>
      </c>
      <c r="EM27" s="15">
        <v>-5.26</v>
      </c>
      <c r="EN27" s="15">
        <v>-7.82</v>
      </c>
      <c r="EO27" s="15">
        <v>0.67</v>
      </c>
      <c r="EP27" s="15">
        <v>-2.2200000000000002</v>
      </c>
    </row>
    <row r="28" spans="1:146" ht="168" x14ac:dyDescent="0.25">
      <c r="A28" s="7" t="s">
        <v>1114</v>
      </c>
      <c r="B28" s="7" t="s">
        <v>1115</v>
      </c>
      <c r="C28" s="7" t="str">
        <f>""&amp;CHAR(10)&amp;Basic_Fundamental_Information_Constructure(F28)&amp;CHAR(10)&amp;Basic_Fundamental_Information_Concatenate("网络空间安全产品 11.26亿 47.20%（毛利62.67%）
大数据智能化产品 10.86亿 45.51%（毛利50.60%）
智能装备制造 6180.69万 2.59%（毛利40.97%）
网络开源情报产品 5811.91万 2.44%（毛利88.97%）
支撑服务 5400.55万 2.26%（毛利78.15%）")</f>
        <v xml:space="preserve">
市值96.175511亿, 利润-3411.54万; PE; 平均PE41.43; 平均PEG4.08, PB2.45; ROIC6.76%; ROE1.1267%; 股利率0%; 毛利52.21%; 净利3.6367%; 上一年度营收增-91.49%, 利润增-123.05%; 当季营收增-57.36%, 利润增87.73%; 过往5年营收增-10.15%, 利润增-33.5%
Income profile:
网络空间安全产品 11.26亿 47.20%（毛利62.67%）
大数据智能化产品 10.86亿 45.51%（毛利50.60%）
智能装备制造 6180.69万 2.59%（毛利40.97%）
网络开源情报产品 5811.91万 2.44%（毛利88.97%）
支撑服务 5400.55万 2.26%（毛利78.15%）</v>
      </c>
      <c r="D28" t="s">
        <v>122</v>
      </c>
      <c r="E28" t="s">
        <v>1995</v>
      </c>
      <c r="F28">
        <v>11.19</v>
      </c>
      <c r="G28">
        <v>1.18</v>
      </c>
      <c r="H28" t="s">
        <v>2509</v>
      </c>
      <c r="I28">
        <v>9617551100</v>
      </c>
      <c r="K28">
        <v>2.4500000000000002</v>
      </c>
      <c r="L28" t="s">
        <v>1303</v>
      </c>
      <c r="M28" t="s">
        <v>2510</v>
      </c>
      <c r="N28" t="s">
        <v>2511</v>
      </c>
      <c r="O28" t="s">
        <v>479</v>
      </c>
      <c r="P28">
        <v>31.78</v>
      </c>
      <c r="Q28" t="s">
        <v>479</v>
      </c>
      <c r="R28">
        <v>-34115450</v>
      </c>
      <c r="S28" s="6">
        <v>0.79620000000000002</v>
      </c>
      <c r="T28" t="s">
        <v>2512</v>
      </c>
      <c r="U28">
        <v>781945520</v>
      </c>
      <c r="V28">
        <v>859477310</v>
      </c>
      <c r="W28">
        <v>1.36</v>
      </c>
      <c r="X28">
        <v>0.03</v>
      </c>
      <c r="Y28">
        <v>-23.67</v>
      </c>
      <c r="Z28" t="s">
        <v>343</v>
      </c>
      <c r="AA28" t="s">
        <v>287</v>
      </c>
      <c r="AB28" t="s">
        <v>2513</v>
      </c>
      <c r="AC28" t="s">
        <v>2514</v>
      </c>
      <c r="AD28" t="s">
        <v>63</v>
      </c>
      <c r="AE28">
        <v>-3092128</v>
      </c>
      <c r="AF28" t="s">
        <v>2515</v>
      </c>
      <c r="AG28" t="s">
        <v>2516</v>
      </c>
      <c r="AH28" t="s">
        <v>2517</v>
      </c>
      <c r="AI28" t="s">
        <v>1739</v>
      </c>
      <c r="AJ28" t="s">
        <v>2518</v>
      </c>
      <c r="AK28" t="s">
        <v>2519</v>
      </c>
      <c r="AL28" t="s">
        <v>2520</v>
      </c>
      <c r="AM28" t="s">
        <v>63</v>
      </c>
      <c r="AN28">
        <v>0</v>
      </c>
      <c r="AO28" t="s">
        <v>182</v>
      </c>
      <c r="AP28" t="s">
        <v>2521</v>
      </c>
      <c r="AQ28" t="s">
        <v>710</v>
      </c>
      <c r="AR28" t="s">
        <v>63</v>
      </c>
      <c r="AS28" t="s">
        <v>1835</v>
      </c>
      <c r="AT28" t="s">
        <v>2522</v>
      </c>
      <c r="AU28" t="s">
        <v>2523</v>
      </c>
      <c r="AV28" t="s">
        <v>2524</v>
      </c>
      <c r="AW28" t="s">
        <v>2525</v>
      </c>
      <c r="AX28" t="s">
        <v>1480</v>
      </c>
      <c r="AY28" t="s">
        <v>1180</v>
      </c>
      <c r="AZ28" t="s">
        <v>826</v>
      </c>
      <c r="BA28" t="s">
        <v>435</v>
      </c>
      <c r="BB28" t="s">
        <v>827</v>
      </c>
      <c r="BC28" t="s">
        <v>271</v>
      </c>
      <c r="BD28" t="s">
        <v>815</v>
      </c>
      <c r="BE28" t="s">
        <v>579</v>
      </c>
      <c r="BF28" t="s">
        <v>436</v>
      </c>
      <c r="BG28" t="s">
        <v>289</v>
      </c>
      <c r="BH28" t="s">
        <v>2526</v>
      </c>
      <c r="BI28" t="s">
        <v>528</v>
      </c>
      <c r="BJ28" t="s">
        <v>1480</v>
      </c>
      <c r="BK28" t="s">
        <v>1749</v>
      </c>
      <c r="BL28" t="s">
        <v>1808</v>
      </c>
      <c r="BM28" t="s">
        <v>271</v>
      </c>
      <c r="BN28" t="s">
        <v>63</v>
      </c>
      <c r="BO28">
        <v>4.2</v>
      </c>
      <c r="BP28">
        <v>9.32</v>
      </c>
      <c r="BQ28">
        <v>-9.93</v>
      </c>
      <c r="BR28">
        <v>4.1500000000000004</v>
      </c>
      <c r="BS28">
        <v>9.16</v>
      </c>
      <c r="BT28" t="s">
        <v>1445</v>
      </c>
      <c r="BU28" t="s">
        <v>2052</v>
      </c>
      <c r="BV28">
        <v>46.02</v>
      </c>
      <c r="BW28">
        <v>52.24</v>
      </c>
      <c r="BX28">
        <v>58.37</v>
      </c>
      <c r="BY28">
        <v>-9.86</v>
      </c>
      <c r="BZ28">
        <v>7.52</v>
      </c>
      <c r="CA28">
        <v>13.25</v>
      </c>
      <c r="CB28">
        <v>0.72</v>
      </c>
      <c r="CC28">
        <v>-11.82</v>
      </c>
      <c r="CD28" t="s">
        <v>2527</v>
      </c>
      <c r="CE28" t="s">
        <v>582</v>
      </c>
      <c r="CF28" s="9">
        <v>-0.57362637362637359</v>
      </c>
      <c r="CG28" s="10">
        <v>0.87728255395683452</v>
      </c>
      <c r="CH28" s="9">
        <v>-0.91491228342056274</v>
      </c>
      <c r="CI28" s="9">
        <v>-0.100591741502285</v>
      </c>
      <c r="CJ28" s="9">
        <v>6.2447693198919296E-2</v>
      </c>
      <c r="CK28" s="9">
        <v>0.15432985126972198</v>
      </c>
      <c r="CL28" s="9">
        <v>0.29106807708740234</v>
      </c>
      <c r="CM28" s="10">
        <v>-1.2305094003677368</v>
      </c>
      <c r="CN28" s="10">
        <v>-0.52411574125289917</v>
      </c>
      <c r="CO28" s="10">
        <v>-0.17066666483879089</v>
      </c>
      <c r="CP28" s="10">
        <v>0.29310345649719238</v>
      </c>
      <c r="CQ28" s="10">
        <v>-4.2904291301965714E-2</v>
      </c>
      <c r="CR28">
        <v>41.428634217077281</v>
      </c>
      <c r="CS28">
        <v>4.0803652556838879</v>
      </c>
      <c r="CT28">
        <v>0</v>
      </c>
      <c r="CU28" s="9">
        <v>-0.10153168067336082</v>
      </c>
      <c r="CV28" s="10">
        <v>-0.33501852825284006</v>
      </c>
      <c r="CW28">
        <v>0.06</v>
      </c>
      <c r="CX28" t="e">
        <v>#VALUE!</v>
      </c>
      <c r="CY28" t="s">
        <v>1308</v>
      </c>
      <c r="CZ28">
        <v>-0.10153168067336082</v>
      </c>
      <c r="DA28" t="e">
        <v>#VALUE!</v>
      </c>
      <c r="DB28" t="s">
        <v>1309</v>
      </c>
      <c r="DC28">
        <v>-9.6455096639692775E-2</v>
      </c>
      <c r="DD28" t="e">
        <v>#VALUE!</v>
      </c>
      <c r="DE28" t="s">
        <v>1309</v>
      </c>
      <c r="DF28">
        <v>-8.9347878992557528E-2</v>
      </c>
      <c r="DG28" t="e">
        <v>#VALUE!</v>
      </c>
      <c r="DH28" t="s">
        <v>1309</v>
      </c>
      <c r="DI28">
        <v>-8.1225344538688668E-2</v>
      </c>
      <c r="DJ28" t="e">
        <v>#VALUE!</v>
      </c>
      <c r="DK28" t="s">
        <v>1309</v>
      </c>
      <c r="DL28">
        <v>-7.1072176471352569E-2</v>
      </c>
      <c r="DM28">
        <v>-34115400</v>
      </c>
      <c r="DN28">
        <v>-0.10153168067336082</v>
      </c>
      <c r="DO28">
        <v>7245551100</v>
      </c>
      <c r="DP28">
        <v>2180616400</v>
      </c>
      <c r="DQ28">
        <v>1675</v>
      </c>
      <c r="DR28">
        <v>-0.47209469295301276</v>
      </c>
      <c r="DS28">
        <v>1.2123010822096747</v>
      </c>
      <c r="DT28" s="11">
        <v>-0.55666666666666675</v>
      </c>
      <c r="DU28">
        <v>-1.595</v>
      </c>
      <c r="DV28">
        <v>-2.1516666666666668</v>
      </c>
      <c r="DW28">
        <v>-2.1181999999999999</v>
      </c>
      <c r="DX28">
        <v>0.39764831284916358</v>
      </c>
      <c r="DY28">
        <v>-2.0280900305787708</v>
      </c>
      <c r="DZ28">
        <v>4267</v>
      </c>
      <c r="EA28">
        <v>-2.0046340304849126</v>
      </c>
      <c r="EB28">
        <v>2</v>
      </c>
      <c r="EC28">
        <v>9.8988186203542702E-2</v>
      </c>
      <c r="ED28">
        <v>0.41653222933831724</v>
      </c>
      <c r="EE28" s="12">
        <v>-7.0208000000000004</v>
      </c>
      <c r="EF28">
        <v>-7.0094000000000003</v>
      </c>
      <c r="EG28">
        <v>16.237648312849164</v>
      </c>
      <c r="EH28" t="s">
        <v>2528</v>
      </c>
      <c r="EI28">
        <v>0</v>
      </c>
      <c r="EJ28">
        <v>0</v>
      </c>
      <c r="EK28" s="14">
        <v>45470</v>
      </c>
      <c r="EL28" s="15">
        <v>-0.77</v>
      </c>
      <c r="EM28" s="15">
        <v>-5.83</v>
      </c>
      <c r="EN28" s="15">
        <v>-1.82</v>
      </c>
      <c r="EO28" s="15">
        <v>6.22</v>
      </c>
      <c r="EP28" s="15">
        <v>-1.1399999999999999</v>
      </c>
    </row>
    <row r="29" spans="1:146" ht="168" x14ac:dyDescent="0.25">
      <c r="A29" s="7" t="s">
        <v>1463</v>
      </c>
      <c r="B29" s="7"/>
      <c r="C29" s="7" t="str">
        <f>"公司的主营业务为黑色金属、有色金属、能源化工、建筑材料、农产品等大宗商品提供商业资讯服务，钢铁现货交易，电子商务，利用自有媒体发布广告，互联网信息服务，以及计算机软件、网络技术的开发、销售。"&amp;CHAR(10)&amp;Basic_Fundamental_Information_Constructure(F29)&amp;CHAR(10)&amp;Basic_Fundamental_Information_Concatenate("供应链服务业务 359.17亿 93.74% 44.02% 0.75%
寄售服务业务 20.65亿 5.39% 23.35% 6.94%
数据订阅服务 2.00亿 0.52% 18.42% 56.57%
商务推广服务 4584.20万 0.12% 6.67% 89.29%")</f>
        <v>公司的主营业务为黑色金属、有色金属、能源化工、建筑材料、农产品等大宗商品提供商业资讯服务，钢铁现货交易，电子商务，利用自有媒体发布广告，互联网信息服务，以及计算机软件、网络技术的开发、销售。
市值54.580929亿, 利润4915.51万; PE23.24; 平均PE34.5; 平均PEG2.37, PB2.68; ROIC5.5133%; ROE11.1967%; 股利率.4717%; 毛利1.6767%; 净利.4933%; 上一年度营收增-77.09%, 利润增-75.79%; 当季营收增-55.07%, 利润增-58.69%; 过往5年营收增-14.59%, 利润增-2.05%
Income profile:
供应链服务业务 359.17亿 93.74% 44.02% 0.75%
寄售服务业务 20.65亿 5.39% 23.35% 6.94%
数据订阅服务 2.00亿 0.52% 18.42% 56.57%
商务推广服务 4584.20万 0.12% 6.67% 89.29%</v>
      </c>
      <c r="D29" t="s">
        <v>1079</v>
      </c>
      <c r="E29" t="s">
        <v>1080</v>
      </c>
      <c r="F29">
        <v>16.96</v>
      </c>
      <c r="G29">
        <v>2.11</v>
      </c>
      <c r="H29" t="s">
        <v>2529</v>
      </c>
      <c r="I29">
        <v>5458092900</v>
      </c>
      <c r="J29">
        <v>23.24</v>
      </c>
      <c r="K29">
        <v>2.68</v>
      </c>
      <c r="L29" t="s">
        <v>1303</v>
      </c>
      <c r="M29" t="s">
        <v>2530</v>
      </c>
      <c r="N29" t="s">
        <v>2531</v>
      </c>
      <c r="O29" t="s">
        <v>2532</v>
      </c>
      <c r="P29">
        <v>0.18</v>
      </c>
      <c r="Q29" t="s">
        <v>2532</v>
      </c>
      <c r="R29">
        <v>49155080</v>
      </c>
      <c r="S29" s="5">
        <v>-0.1004</v>
      </c>
      <c r="T29" t="s">
        <v>2533</v>
      </c>
      <c r="U29">
        <v>309533300</v>
      </c>
      <c r="V29">
        <v>321821520</v>
      </c>
      <c r="W29">
        <v>4.2300000000000004</v>
      </c>
      <c r="X29">
        <v>0.97</v>
      </c>
      <c r="Y29">
        <v>0.49</v>
      </c>
      <c r="Z29" t="s">
        <v>2534</v>
      </c>
      <c r="AA29" t="s">
        <v>2535</v>
      </c>
      <c r="AB29" t="s">
        <v>2536</v>
      </c>
      <c r="AC29" t="s">
        <v>2537</v>
      </c>
      <c r="AD29" t="s">
        <v>63</v>
      </c>
      <c r="AE29">
        <v>-4395105</v>
      </c>
      <c r="AF29" t="s">
        <v>2538</v>
      </c>
      <c r="AG29">
        <v>1.69</v>
      </c>
      <c r="AH29" t="s">
        <v>2539</v>
      </c>
      <c r="AI29" t="s">
        <v>1844</v>
      </c>
      <c r="AJ29" t="s">
        <v>2540</v>
      </c>
      <c r="AK29" t="s">
        <v>471</v>
      </c>
      <c r="AL29" t="s">
        <v>2541</v>
      </c>
      <c r="AM29" t="s">
        <v>63</v>
      </c>
      <c r="AN29" t="s">
        <v>2542</v>
      </c>
      <c r="AO29" t="s">
        <v>2543</v>
      </c>
      <c r="AP29" t="s">
        <v>714</v>
      </c>
      <c r="AQ29" t="s">
        <v>657</v>
      </c>
      <c r="AR29" t="s">
        <v>63</v>
      </c>
      <c r="AS29" t="s">
        <v>2544</v>
      </c>
      <c r="AT29" t="s">
        <v>63</v>
      </c>
      <c r="AU29" t="s">
        <v>375</v>
      </c>
      <c r="AV29" t="s">
        <v>2545</v>
      </c>
      <c r="AW29" t="s">
        <v>2546</v>
      </c>
      <c r="AX29" t="s">
        <v>1517</v>
      </c>
      <c r="AY29" t="s">
        <v>1182</v>
      </c>
      <c r="AZ29" t="s">
        <v>1081</v>
      </c>
      <c r="BA29" t="s">
        <v>1082</v>
      </c>
      <c r="BB29" t="s">
        <v>1083</v>
      </c>
      <c r="BC29" t="s">
        <v>756</v>
      </c>
      <c r="BD29" t="s">
        <v>346</v>
      </c>
      <c r="BE29" t="s">
        <v>201</v>
      </c>
      <c r="BF29" t="s">
        <v>203</v>
      </c>
      <c r="BG29" t="s">
        <v>501</v>
      </c>
      <c r="BH29" t="s">
        <v>2547</v>
      </c>
      <c r="BI29" t="s">
        <v>1811</v>
      </c>
      <c r="BJ29" t="s">
        <v>1517</v>
      </c>
      <c r="BK29" t="s">
        <v>515</v>
      </c>
      <c r="BL29" t="s">
        <v>211</v>
      </c>
      <c r="BM29" t="s">
        <v>756</v>
      </c>
      <c r="BN29">
        <v>4.26</v>
      </c>
      <c r="BO29">
        <v>5.72</v>
      </c>
      <c r="BP29">
        <v>6.56</v>
      </c>
      <c r="BQ29">
        <v>9.01</v>
      </c>
      <c r="BR29">
        <v>12.32</v>
      </c>
      <c r="BS29">
        <v>12.26</v>
      </c>
      <c r="BT29" t="s">
        <v>1458</v>
      </c>
      <c r="BU29" t="s">
        <v>2052</v>
      </c>
      <c r="BV29">
        <v>1.47</v>
      </c>
      <c r="BW29">
        <v>1.62</v>
      </c>
      <c r="BX29">
        <v>1.94</v>
      </c>
      <c r="BY29">
        <v>0.49</v>
      </c>
      <c r="BZ29">
        <v>0.45</v>
      </c>
      <c r="CA29">
        <v>0.54</v>
      </c>
      <c r="CB29">
        <v>0.12</v>
      </c>
      <c r="CC29">
        <v>-13.78</v>
      </c>
      <c r="CD29" t="s">
        <v>2548</v>
      </c>
      <c r="CE29" t="s">
        <v>461</v>
      </c>
      <c r="CF29" s="9">
        <v>-0.55067749289208778</v>
      </c>
      <c r="CG29" s="10">
        <v>-0.58693210084033609</v>
      </c>
      <c r="CH29" s="9">
        <v>-0.77089345455169678</v>
      </c>
      <c r="CI29" s="9">
        <v>0.16407451033592224</v>
      </c>
      <c r="CJ29" s="9">
        <v>0.12395549565553665</v>
      </c>
      <c r="CK29" s="9">
        <v>-0.52255815267562866</v>
      </c>
      <c r="CL29" s="9">
        <v>0.276060551404953</v>
      </c>
      <c r="CM29" s="10">
        <v>-0.75785660743713379</v>
      </c>
      <c r="CN29" s="10">
        <v>0.14044943451881409</v>
      </c>
      <c r="CO29" s="10">
        <v>-0.17972350120544434</v>
      </c>
      <c r="CP29" s="10">
        <v>0.19889502227306366</v>
      </c>
      <c r="CQ29" s="10">
        <v>0.49586775898933411</v>
      </c>
      <c r="CR29">
        <v>34.502851430709271</v>
      </c>
      <c r="CS29">
        <v>2.3652792700342307</v>
      </c>
      <c r="CT29">
        <v>0.47169811320754718</v>
      </c>
      <c r="CU29" s="9">
        <v>-0.14587220996618272</v>
      </c>
      <c r="CV29" s="10">
        <v>-2.0473578572273256E-2</v>
      </c>
      <c r="CW29">
        <v>0.06</v>
      </c>
      <c r="CX29">
        <v>295.25100955953707</v>
      </c>
      <c r="CY29" t="s">
        <v>2549</v>
      </c>
      <c r="CZ29">
        <v>-0.14587220996618272</v>
      </c>
      <c r="DA29">
        <v>98.417003186512346</v>
      </c>
      <c r="DB29" t="s">
        <v>2550</v>
      </c>
      <c r="DC29">
        <v>-0.13857859946787357</v>
      </c>
      <c r="DD29">
        <v>49.208501593256173</v>
      </c>
      <c r="DE29" t="s">
        <v>2551</v>
      </c>
      <c r="DF29">
        <v>-0.12836754477024079</v>
      </c>
      <c r="DG29">
        <v>29.525100955953707</v>
      </c>
      <c r="DH29" t="s">
        <v>2552</v>
      </c>
      <c r="DI29">
        <v>-0.11669776797294618</v>
      </c>
      <c r="DJ29">
        <v>14.762550477976854</v>
      </c>
      <c r="DK29" t="s">
        <v>2553</v>
      </c>
      <c r="DL29">
        <v>-0.1021105469763279</v>
      </c>
      <c r="DM29">
        <v>49155100</v>
      </c>
      <c r="DN29">
        <v>-0.14587220996618272</v>
      </c>
      <c r="DO29">
        <v>14513092900</v>
      </c>
      <c r="DP29">
        <v>3811016000.0000019</v>
      </c>
      <c r="DQ29">
        <v>1711</v>
      </c>
      <c r="DR29">
        <v>-0.40480528292590506</v>
      </c>
      <c r="DS29">
        <v>-0.56645852226806281</v>
      </c>
      <c r="DT29" s="11">
        <v>-0.64</v>
      </c>
      <c r="DU29">
        <v>-0.47000000000000003</v>
      </c>
      <c r="DV29">
        <v>-1.1100000000000001</v>
      </c>
      <c r="DW29">
        <v>-2.1377999999999999</v>
      </c>
      <c r="DX29">
        <v>0.44599401197604949</v>
      </c>
      <c r="DY29">
        <v>-2.0256299748502995</v>
      </c>
      <c r="DZ29">
        <v>1851</v>
      </c>
      <c r="EA29">
        <v>-2.0163460054867173</v>
      </c>
      <c r="EB29">
        <v>2</v>
      </c>
      <c r="EC29">
        <v>9.6516230487010315E-2</v>
      </c>
      <c r="ED29">
        <v>0.51892117096457691</v>
      </c>
      <c r="EE29" s="12">
        <v>-1.0263</v>
      </c>
      <c r="EF29">
        <v>-1.0087999999999999</v>
      </c>
      <c r="EG29">
        <v>26.185994011976049</v>
      </c>
      <c r="EH29" t="s">
        <v>1310</v>
      </c>
      <c r="EI29">
        <v>0</v>
      </c>
      <c r="EJ29">
        <v>0</v>
      </c>
      <c r="EK29" s="14">
        <v>45470</v>
      </c>
      <c r="EL29" s="15">
        <v>-0.23</v>
      </c>
      <c r="EM29" s="15">
        <v>-4.17</v>
      </c>
      <c r="EN29" s="15">
        <v>0.18</v>
      </c>
      <c r="EO29" s="15">
        <v>4.95</v>
      </c>
      <c r="EP29" s="15">
        <v>-1.75</v>
      </c>
    </row>
    <row r="30" spans="1:146" ht="108" x14ac:dyDescent="0.25">
      <c r="A30" s="7"/>
      <c r="B30" s="7"/>
      <c r="C30" s="7" t="str">
        <f>""&amp;CHAR(10)&amp;Basic_Fundamental_Information_Constructure(F30)&amp;CHAR(10)&amp;Basic_Fundamental_Information_Concatenate("")</f>
        <v xml:space="preserve">
市值104.73995亿, 利润2725.27万; PE312.4; 平均PE66.99; 平均PEG5.25, PB3.1; ROIC5.07%; ROE5.2633%; 股利率.2278%; 毛利64.7367%; 净利14%; 上一年度营收增-80.37%, 利润增-78.71%; 当季营收增-59.91%, 利润增-60.87%; 过往5年营收增-12.76%, 利润增22.26%
Income profile:
</v>
      </c>
      <c r="D30" t="s">
        <v>101</v>
      </c>
      <c r="E30" t="s">
        <v>31</v>
      </c>
      <c r="F30">
        <v>13.17</v>
      </c>
      <c r="G30">
        <v>1.1499999999999999</v>
      </c>
      <c r="H30" t="s">
        <v>2554</v>
      </c>
      <c r="I30">
        <v>10473995000</v>
      </c>
      <c r="J30">
        <v>312.39999999999998</v>
      </c>
      <c r="K30">
        <v>3.1</v>
      </c>
      <c r="L30" t="s">
        <v>1303</v>
      </c>
      <c r="M30" t="s">
        <v>351</v>
      </c>
      <c r="N30" t="s">
        <v>929</v>
      </c>
      <c r="O30" t="s">
        <v>346</v>
      </c>
      <c r="P30">
        <v>-15.35</v>
      </c>
      <c r="Q30" t="s">
        <v>346</v>
      </c>
      <c r="R30">
        <v>27252721</v>
      </c>
      <c r="S30" s="5">
        <v>-9.74E-2</v>
      </c>
      <c r="T30" t="s">
        <v>2555</v>
      </c>
      <c r="U30">
        <v>794680250</v>
      </c>
      <c r="V30">
        <v>795291950</v>
      </c>
      <c r="W30">
        <v>1.1000000000000001</v>
      </c>
      <c r="X30">
        <v>0.05</v>
      </c>
      <c r="Y30">
        <v>15.26</v>
      </c>
      <c r="Z30" t="s">
        <v>181</v>
      </c>
      <c r="AA30" t="s">
        <v>2556</v>
      </c>
      <c r="AB30" t="s">
        <v>2557</v>
      </c>
      <c r="AC30" t="s">
        <v>2558</v>
      </c>
      <c r="AD30" t="s">
        <v>63</v>
      </c>
      <c r="AE30">
        <v>-528999</v>
      </c>
      <c r="AF30" t="s">
        <v>2559</v>
      </c>
      <c r="AG30">
        <v>3.72</v>
      </c>
      <c r="AH30" t="s">
        <v>2560</v>
      </c>
      <c r="AI30" t="s">
        <v>474</v>
      </c>
      <c r="AJ30" t="s">
        <v>2561</v>
      </c>
      <c r="AK30" t="s">
        <v>2562</v>
      </c>
      <c r="AL30" t="s">
        <v>2563</v>
      </c>
      <c r="AM30" t="s">
        <v>63</v>
      </c>
      <c r="AN30">
        <v>0</v>
      </c>
      <c r="AO30" t="s">
        <v>2564</v>
      </c>
      <c r="AP30" t="s">
        <v>63</v>
      </c>
      <c r="AQ30" t="s">
        <v>236</v>
      </c>
      <c r="AR30" t="s">
        <v>2565</v>
      </c>
      <c r="AS30" t="s">
        <v>221</v>
      </c>
      <c r="AT30" t="s">
        <v>63</v>
      </c>
      <c r="AU30" t="s">
        <v>2566</v>
      </c>
      <c r="AV30" t="s">
        <v>2567</v>
      </c>
      <c r="AW30" t="s">
        <v>2568</v>
      </c>
      <c r="AX30" t="s">
        <v>1374</v>
      </c>
      <c r="AY30" t="s">
        <v>811</v>
      </c>
      <c r="AZ30" t="s">
        <v>828</v>
      </c>
      <c r="BA30" t="s">
        <v>440</v>
      </c>
      <c r="BB30" t="s">
        <v>829</v>
      </c>
      <c r="BC30" t="s">
        <v>392</v>
      </c>
      <c r="BD30" t="s">
        <v>359</v>
      </c>
      <c r="BE30" t="s">
        <v>384</v>
      </c>
      <c r="BF30" t="s">
        <v>441</v>
      </c>
      <c r="BG30" t="s">
        <v>830</v>
      </c>
      <c r="BH30" t="s">
        <v>193</v>
      </c>
      <c r="BI30" t="s">
        <v>239</v>
      </c>
      <c r="BJ30" t="s">
        <v>1374</v>
      </c>
      <c r="BK30" t="s">
        <v>2569</v>
      </c>
      <c r="BL30" t="s">
        <v>1812</v>
      </c>
      <c r="BM30" t="s">
        <v>392</v>
      </c>
      <c r="BN30">
        <v>0.67</v>
      </c>
      <c r="BO30">
        <v>4.6900000000000004</v>
      </c>
      <c r="BP30">
        <v>9.85</v>
      </c>
      <c r="BQ30">
        <v>0.72</v>
      </c>
      <c r="BR30">
        <v>4.9000000000000004</v>
      </c>
      <c r="BS30">
        <v>10.17</v>
      </c>
      <c r="BT30" t="s">
        <v>1452</v>
      </c>
      <c r="BU30" t="s">
        <v>2052</v>
      </c>
      <c r="BV30">
        <v>68.37</v>
      </c>
      <c r="BW30">
        <v>63.71</v>
      </c>
      <c r="BX30">
        <v>62.13</v>
      </c>
      <c r="BY30">
        <v>4.2699999999999996</v>
      </c>
      <c r="BZ30">
        <v>13.61</v>
      </c>
      <c r="CA30">
        <v>24.12</v>
      </c>
      <c r="CB30">
        <v>-1.94</v>
      </c>
      <c r="CC30">
        <v>-11.25</v>
      </c>
      <c r="CD30" t="s">
        <v>2570</v>
      </c>
      <c r="CE30" t="s">
        <v>1510</v>
      </c>
      <c r="CF30" s="9">
        <v>-0.5990990990990992</v>
      </c>
      <c r="CG30" s="10">
        <v>-0.60868586140103753</v>
      </c>
      <c r="CH30" s="9">
        <v>-0.80374860763549805</v>
      </c>
      <c r="CI30" s="9">
        <v>-0.11856170743703842</v>
      </c>
      <c r="CJ30" s="9">
        <v>-0.21390371024608612</v>
      </c>
      <c r="CK30" s="9">
        <v>0.35367107391357422</v>
      </c>
      <c r="CL30" s="9">
        <v>0.14437869191169739</v>
      </c>
      <c r="CM30" s="10">
        <v>-0.78708827495574951</v>
      </c>
      <c r="CN30" s="10">
        <v>-0.47967478632926941</v>
      </c>
      <c r="CO30" s="10">
        <v>-0.22884012758731842</v>
      </c>
      <c r="CP30" s="10">
        <v>1.0318471193313599</v>
      </c>
      <c r="CQ30" s="10">
        <v>1.5768542289733887</v>
      </c>
      <c r="CR30">
        <v>66.985002979706337</v>
      </c>
      <c r="CS30">
        <v>5.2482571675893315</v>
      </c>
      <c r="CT30">
        <v>0.22779043280182232</v>
      </c>
      <c r="CU30" s="9">
        <v>-0.12763285189867019</v>
      </c>
      <c r="CV30" s="10">
        <v>0.22261963188648223</v>
      </c>
      <c r="CW30">
        <v>0.06</v>
      </c>
      <c r="CX30">
        <v>274.24787268784377</v>
      </c>
      <c r="CY30" t="s">
        <v>2571</v>
      </c>
      <c r="CZ30">
        <v>-0.12763285189867019</v>
      </c>
      <c r="DA30">
        <v>91.415957562614594</v>
      </c>
      <c r="DB30" t="s">
        <v>2572</v>
      </c>
      <c r="DC30">
        <v>-0.12125120930373667</v>
      </c>
      <c r="DD30">
        <v>45.707978781307297</v>
      </c>
      <c r="DE30" t="s">
        <v>2573</v>
      </c>
      <c r="DF30">
        <v>-0.11231690967082976</v>
      </c>
      <c r="DG30">
        <v>27.424787268784378</v>
      </c>
      <c r="DH30" t="s">
        <v>2574</v>
      </c>
      <c r="DI30">
        <v>-0.10210628151893615</v>
      </c>
      <c r="DJ30">
        <v>13.712393634392189</v>
      </c>
      <c r="DK30" t="s">
        <v>2575</v>
      </c>
      <c r="DL30">
        <v>-8.9342996329069127E-2</v>
      </c>
      <c r="DM30">
        <v>27252700</v>
      </c>
      <c r="DN30">
        <v>-0.12763285189867019</v>
      </c>
      <c r="DO30">
        <v>7473995000</v>
      </c>
      <c r="DP30">
        <v>916561850</v>
      </c>
      <c r="DQ30">
        <v>1714</v>
      </c>
      <c r="DR30">
        <v>-0.47146624720042901</v>
      </c>
      <c r="DS30">
        <v>-0.83130549328751979</v>
      </c>
      <c r="DT30" s="11">
        <v>-0.79</v>
      </c>
      <c r="DU30">
        <v>-0.62333333333333341</v>
      </c>
      <c r="DV30">
        <v>-1.4133333333333336</v>
      </c>
      <c r="DW30">
        <v>-2.1124999999999998</v>
      </c>
      <c r="DX30">
        <v>0.36022975929978185</v>
      </c>
      <c r="DY30">
        <v>-2.0157758479212253</v>
      </c>
      <c r="DZ30">
        <v>3098</v>
      </c>
      <c r="EA30">
        <v>-2.0062115471658521</v>
      </c>
      <c r="EB30">
        <v>2</v>
      </c>
      <c r="EC30">
        <v>8.0580471108754465E-2</v>
      </c>
      <c r="ED30">
        <v>0.57463174372631332</v>
      </c>
      <c r="EE30" s="12">
        <v>1.0662</v>
      </c>
      <c r="EF30">
        <v>1.0350999999999999</v>
      </c>
      <c r="EG30">
        <v>22.140229759299782</v>
      </c>
      <c r="EH30" t="s">
        <v>1312</v>
      </c>
      <c r="EI30">
        <v>0</v>
      </c>
      <c r="EJ30">
        <v>0</v>
      </c>
      <c r="EK30" s="14">
        <v>45470</v>
      </c>
      <c r="EL30" s="15">
        <v>7.0000000000000007E-2</v>
      </c>
      <c r="EM30" s="15">
        <v>-5.0599999999999996</v>
      </c>
      <c r="EN30" s="15">
        <v>-2.63</v>
      </c>
      <c r="EO30" s="15">
        <v>12.38</v>
      </c>
      <c r="EP30" s="15">
        <v>-3.11</v>
      </c>
    </row>
    <row r="31" spans="1:146" ht="108" x14ac:dyDescent="0.25">
      <c r="A31" s="7"/>
      <c r="B31" s="7"/>
      <c r="C31" s="7" t="str">
        <f>""&amp;CHAR(10)&amp;Basic_Fundamental_Information_Constructure(F31)&amp;CHAR(10)&amp;Basic_Fundamental_Information_Concatenate("")</f>
        <v xml:space="preserve">
市值20.039032亿, 利润977.05万; PE66.82; 平均PE91.32; 平均PEG6.51, PB2.82; ROIC3.0867%; ROE3.62%; 股利率.6306%; 毛利72.2533%; 净利24.45%; 上一年度营收增-72.26%, 利润增-58.12%; 当季营收增-19.38%, 利润增-24.89%; 过往5年营收增-14.04%, 利润增15.09%
Income profile:
</v>
      </c>
      <c r="D31" t="s">
        <v>104</v>
      </c>
      <c r="E31" t="s">
        <v>40</v>
      </c>
      <c r="F31">
        <v>7.96</v>
      </c>
      <c r="G31">
        <v>2.1800000000000002</v>
      </c>
      <c r="H31" t="s">
        <v>2576</v>
      </c>
      <c r="I31">
        <v>2003903200</v>
      </c>
      <c r="J31">
        <v>66.819999999999993</v>
      </c>
      <c r="K31">
        <v>2.82</v>
      </c>
      <c r="L31" t="s">
        <v>1303</v>
      </c>
      <c r="M31" t="s">
        <v>2577</v>
      </c>
      <c r="N31" t="s">
        <v>1344</v>
      </c>
      <c r="O31" t="s">
        <v>2578</v>
      </c>
      <c r="P31">
        <v>8.48</v>
      </c>
      <c r="Q31" t="s">
        <v>2578</v>
      </c>
      <c r="R31">
        <v>9770451</v>
      </c>
      <c r="S31" s="5">
        <v>-0.16200000000000001</v>
      </c>
      <c r="T31" t="s">
        <v>2579</v>
      </c>
      <c r="U31">
        <v>203131260</v>
      </c>
      <c r="V31">
        <v>251746640</v>
      </c>
      <c r="W31">
        <v>1.03</v>
      </c>
      <c r="X31">
        <v>0.04</v>
      </c>
      <c r="Y31">
        <v>32.61</v>
      </c>
      <c r="Z31" t="s">
        <v>2580</v>
      </c>
      <c r="AA31" t="s">
        <v>2581</v>
      </c>
      <c r="AB31" t="s">
        <v>2582</v>
      </c>
      <c r="AC31" t="s">
        <v>2583</v>
      </c>
      <c r="AD31" t="s">
        <v>63</v>
      </c>
      <c r="AE31">
        <v>-1379375</v>
      </c>
      <c r="AF31" t="s">
        <v>2584</v>
      </c>
      <c r="AG31" t="s">
        <v>2585</v>
      </c>
      <c r="AH31" t="s">
        <v>2586</v>
      </c>
      <c r="AI31" t="s">
        <v>201</v>
      </c>
      <c r="AJ31" t="s">
        <v>2587</v>
      </c>
      <c r="AK31" t="s">
        <v>63</v>
      </c>
      <c r="AL31" t="s">
        <v>2588</v>
      </c>
      <c r="AM31" t="s">
        <v>63</v>
      </c>
      <c r="AN31">
        <v>0</v>
      </c>
      <c r="AO31" t="s">
        <v>63</v>
      </c>
      <c r="AP31" t="s">
        <v>63</v>
      </c>
      <c r="AQ31" t="s">
        <v>2589</v>
      </c>
      <c r="AR31" t="s">
        <v>63</v>
      </c>
      <c r="AS31" t="s">
        <v>2590</v>
      </c>
      <c r="AT31" t="s">
        <v>63</v>
      </c>
      <c r="AU31" t="s">
        <v>2591</v>
      </c>
      <c r="AV31" t="s">
        <v>2592</v>
      </c>
      <c r="AW31" t="s">
        <v>2593</v>
      </c>
      <c r="AX31" t="s">
        <v>174</v>
      </c>
      <c r="AY31" t="s">
        <v>478</v>
      </c>
      <c r="AZ31" t="s">
        <v>183</v>
      </c>
      <c r="BA31" t="s">
        <v>246</v>
      </c>
      <c r="BB31" t="s">
        <v>229</v>
      </c>
      <c r="BC31" t="s">
        <v>1518</v>
      </c>
      <c r="BD31" t="s">
        <v>1183</v>
      </c>
      <c r="BE31" t="s">
        <v>833</v>
      </c>
      <c r="BF31" t="s">
        <v>448</v>
      </c>
      <c r="BG31" t="s">
        <v>834</v>
      </c>
      <c r="BH31" t="s">
        <v>319</v>
      </c>
      <c r="BI31" t="s">
        <v>1813</v>
      </c>
      <c r="BJ31" t="s">
        <v>174</v>
      </c>
      <c r="BK31" t="s">
        <v>2594</v>
      </c>
      <c r="BL31" t="s">
        <v>1814</v>
      </c>
      <c r="BM31" t="s">
        <v>1518</v>
      </c>
      <c r="BN31">
        <v>3.71</v>
      </c>
      <c r="BO31">
        <v>2.99</v>
      </c>
      <c r="BP31">
        <v>2.56</v>
      </c>
      <c r="BQ31">
        <v>3.91</v>
      </c>
      <c r="BR31">
        <v>3.47</v>
      </c>
      <c r="BS31">
        <v>3.48</v>
      </c>
      <c r="BT31" t="s">
        <v>2595</v>
      </c>
      <c r="BU31" t="s">
        <v>2052</v>
      </c>
      <c r="BV31">
        <v>76.33</v>
      </c>
      <c r="BW31">
        <v>73.400000000000006</v>
      </c>
      <c r="BX31">
        <v>67.03</v>
      </c>
      <c r="BY31">
        <v>31.33</v>
      </c>
      <c r="BZ31">
        <v>21.65</v>
      </c>
      <c r="CA31">
        <v>20.37</v>
      </c>
      <c r="CB31">
        <v>-0.75</v>
      </c>
      <c r="CC31">
        <v>-7.66</v>
      </c>
      <c r="CD31" t="s">
        <v>2596</v>
      </c>
      <c r="CE31" t="s">
        <v>501</v>
      </c>
      <c r="CF31" s="9">
        <v>-0.19381653588228329</v>
      </c>
      <c r="CG31" s="10">
        <v>-0.24890061653418613</v>
      </c>
      <c r="CH31" s="9">
        <v>-0.7226102352142334</v>
      </c>
      <c r="CI31" s="9">
        <v>-2.7027027681469917E-2</v>
      </c>
      <c r="CJ31" s="9">
        <v>-9.0163931250572205E-2</v>
      </c>
      <c r="CK31" s="9">
        <v>0.11926605552434921</v>
      </c>
      <c r="CL31" s="9">
        <v>1.8691588193178177E-2</v>
      </c>
      <c r="CM31" s="10">
        <v>-0.58123320341110229</v>
      </c>
      <c r="CN31" s="10">
        <v>2.0237179473042488E-2</v>
      </c>
      <c r="CO31" s="10">
        <v>-0.26687055826187134</v>
      </c>
      <c r="CP31" s="10">
        <v>-3.088466078042984E-2</v>
      </c>
      <c r="CQ31" s="10">
        <v>1.6134490966796875</v>
      </c>
      <c r="CR31">
        <v>91.316252480672972</v>
      </c>
      <c r="CS31">
        <v>6.5054564101136867</v>
      </c>
      <c r="CT31">
        <v>0.63061683417085423</v>
      </c>
      <c r="CU31" s="9">
        <v>-0.14036871008574964</v>
      </c>
      <c r="CV31" s="10">
        <v>0.1509395707398653</v>
      </c>
      <c r="CW31">
        <v>0.06</v>
      </c>
      <c r="CX31">
        <v>133.99033826313905</v>
      </c>
      <c r="CY31" t="s">
        <v>2597</v>
      </c>
      <c r="CZ31">
        <v>-0.14036871008574964</v>
      </c>
      <c r="DA31">
        <v>44.663446087713012</v>
      </c>
      <c r="DB31" t="s">
        <v>2598</v>
      </c>
      <c r="DC31">
        <v>-0.13335027458146215</v>
      </c>
      <c r="DD31">
        <v>22.331723043856506</v>
      </c>
      <c r="DE31" t="s">
        <v>2599</v>
      </c>
      <c r="DF31">
        <v>-0.12352446487545968</v>
      </c>
      <c r="DG31">
        <v>13.399033826313904</v>
      </c>
      <c r="DH31" t="s">
        <v>2600</v>
      </c>
      <c r="DI31">
        <v>-0.11229496806859972</v>
      </c>
      <c r="DJ31">
        <v>6.6995169131569519</v>
      </c>
      <c r="DK31" t="s">
        <v>2601</v>
      </c>
      <c r="DL31">
        <v>-9.8258097060024738E-2</v>
      </c>
      <c r="DM31">
        <v>9770500</v>
      </c>
      <c r="DN31">
        <v>-0.14036871008574964</v>
      </c>
      <c r="DO31">
        <v>1309152600</v>
      </c>
      <c r="DP31">
        <v>522822010</v>
      </c>
      <c r="DQ31">
        <v>1720</v>
      </c>
      <c r="DR31">
        <v>-5.3447825796533649E-2</v>
      </c>
      <c r="DS31">
        <v>-0.39984018727405146</v>
      </c>
      <c r="DT31" s="11">
        <v>-0.77333333333333332</v>
      </c>
      <c r="DU31">
        <v>-0.32</v>
      </c>
      <c r="DV31">
        <v>-1.0933333333333333</v>
      </c>
      <c r="DW31">
        <v>-2.0766</v>
      </c>
      <c r="DX31">
        <v>0.3754595041322315</v>
      </c>
      <c r="DY31">
        <v>-2.011908198016529</v>
      </c>
      <c r="DZ31">
        <v>2733</v>
      </c>
      <c r="EA31">
        <v>-2.005539292893403</v>
      </c>
      <c r="EB31">
        <v>2</v>
      </c>
      <c r="EC31">
        <v>7.4720361709693525E-2</v>
      </c>
      <c r="ED31">
        <v>0.48064196606556497</v>
      </c>
      <c r="EE31" s="12">
        <v>4.0190999999999999</v>
      </c>
      <c r="EF31">
        <v>4.0153999999999996</v>
      </c>
      <c r="EG31">
        <v>22.155459504132232</v>
      </c>
      <c r="EH31" t="s">
        <v>1505</v>
      </c>
      <c r="EI31">
        <v>0</v>
      </c>
      <c r="EJ31">
        <v>0</v>
      </c>
      <c r="EK31" s="14">
        <v>45470</v>
      </c>
      <c r="EL31" s="15">
        <v>-1.25</v>
      </c>
      <c r="EM31" s="15">
        <v>-5.31</v>
      </c>
      <c r="EN31" s="15">
        <v>0.8</v>
      </c>
      <c r="EO31" s="15">
        <v>6.23</v>
      </c>
      <c r="EP31" s="15">
        <v>-0.37</v>
      </c>
    </row>
    <row r="32" spans="1:146" ht="96" x14ac:dyDescent="0.25">
      <c r="A32" s="7"/>
      <c r="B32" s="7"/>
      <c r="C32" s="7" t="str">
        <f>""&amp;CHAR(10)&amp;Basic_Fundamental_Information_Constructure(F32)&amp;CHAR(10)&amp;Basic_Fundamental_Information_Concatenate("")</f>
        <v xml:space="preserve">
市值123.561596亿, 利润1662.04万; PE28.2; 平均PE43.72; 平均PEG188.86, PB2.18; ROIC3.3933%; ROE4.1633%; 股利率.3497%; 毛利45.0133%; 净利7.79%; 上一年度营收增-84.03%, 利润增-84.75%; 当季营收增-58.56%, 利润增.17%; 过往5年营收增.23%, 利润增-24.84%
Income profile:
</v>
      </c>
      <c r="D32" t="s">
        <v>126</v>
      </c>
      <c r="E32" t="s">
        <v>32</v>
      </c>
      <c r="F32">
        <v>5.72</v>
      </c>
      <c r="G32">
        <v>0.53</v>
      </c>
      <c r="H32" t="s">
        <v>2602</v>
      </c>
      <c r="I32">
        <v>12356159600</v>
      </c>
      <c r="J32">
        <v>28.2</v>
      </c>
      <c r="K32">
        <v>2.1800000000000002</v>
      </c>
      <c r="L32" t="s">
        <v>1303</v>
      </c>
      <c r="M32" t="s">
        <v>2603</v>
      </c>
      <c r="N32" t="s">
        <v>2604</v>
      </c>
      <c r="O32" t="s">
        <v>774</v>
      </c>
      <c r="P32">
        <v>10.09</v>
      </c>
      <c r="Q32" t="s">
        <v>774</v>
      </c>
      <c r="R32">
        <v>16620407</v>
      </c>
      <c r="S32" s="5">
        <v>1.262</v>
      </c>
      <c r="T32" t="s">
        <v>2605</v>
      </c>
      <c r="U32">
        <v>1861399900</v>
      </c>
      <c r="V32">
        <v>2160167800</v>
      </c>
      <c r="W32">
        <v>1.47</v>
      </c>
      <c r="X32">
        <v>0.06</v>
      </c>
      <c r="Y32">
        <v>1.31</v>
      </c>
      <c r="Z32" t="s">
        <v>711</v>
      </c>
      <c r="AA32" t="s">
        <v>367</v>
      </c>
      <c r="AB32" t="s">
        <v>2606</v>
      </c>
      <c r="AC32" t="s">
        <v>2607</v>
      </c>
      <c r="AD32" t="s">
        <v>63</v>
      </c>
      <c r="AE32">
        <v>14242491</v>
      </c>
      <c r="AF32" t="s">
        <v>2608</v>
      </c>
      <c r="AG32">
        <v>6.29</v>
      </c>
      <c r="AH32" t="s">
        <v>2609</v>
      </c>
      <c r="AI32" t="s">
        <v>837</v>
      </c>
      <c r="AJ32" t="s">
        <v>2610</v>
      </c>
      <c r="AK32" t="s">
        <v>2611</v>
      </c>
      <c r="AL32" t="s">
        <v>2612</v>
      </c>
      <c r="AM32" t="s">
        <v>63</v>
      </c>
      <c r="AN32">
        <v>0</v>
      </c>
      <c r="AO32" t="s">
        <v>2613</v>
      </c>
      <c r="AP32" t="s">
        <v>63</v>
      </c>
      <c r="AQ32" t="s">
        <v>1248</v>
      </c>
      <c r="AR32" t="s">
        <v>63</v>
      </c>
      <c r="AS32" t="s">
        <v>358</v>
      </c>
      <c r="AT32" t="s">
        <v>63</v>
      </c>
      <c r="AU32" t="s">
        <v>1066</v>
      </c>
      <c r="AV32" t="s">
        <v>2614</v>
      </c>
      <c r="AW32" t="s">
        <v>2615</v>
      </c>
      <c r="AX32" t="s">
        <v>1405</v>
      </c>
      <c r="AY32" t="s">
        <v>1185</v>
      </c>
      <c r="AZ32" t="s">
        <v>839</v>
      </c>
      <c r="BA32" t="s">
        <v>464</v>
      </c>
      <c r="BB32" t="s">
        <v>273</v>
      </c>
      <c r="BC32" t="s">
        <v>246</v>
      </c>
      <c r="BD32" t="s">
        <v>832</v>
      </c>
      <c r="BE32" t="s">
        <v>369</v>
      </c>
      <c r="BF32" t="s">
        <v>305</v>
      </c>
      <c r="BG32" t="s">
        <v>289</v>
      </c>
      <c r="BH32" t="s">
        <v>2616</v>
      </c>
      <c r="BI32" t="s">
        <v>1817</v>
      </c>
      <c r="BJ32" t="s">
        <v>1405</v>
      </c>
      <c r="BK32" t="s">
        <v>582</v>
      </c>
      <c r="BL32" t="s">
        <v>1818</v>
      </c>
      <c r="BM32" t="s">
        <v>246</v>
      </c>
      <c r="BN32">
        <v>2.7</v>
      </c>
      <c r="BO32">
        <v>0.48</v>
      </c>
      <c r="BP32">
        <v>7</v>
      </c>
      <c r="BQ32">
        <v>2.89</v>
      </c>
      <c r="BR32">
        <v>2.15</v>
      </c>
      <c r="BS32">
        <v>7.45</v>
      </c>
      <c r="BT32" t="s">
        <v>1448</v>
      </c>
      <c r="BU32" t="s">
        <v>2052</v>
      </c>
      <c r="BV32">
        <v>45</v>
      </c>
      <c r="BW32">
        <v>43.69</v>
      </c>
      <c r="BX32">
        <v>46.35</v>
      </c>
      <c r="BY32">
        <v>10.039999999999999</v>
      </c>
      <c r="BZ32">
        <v>0.47</v>
      </c>
      <c r="CA32">
        <v>12.86</v>
      </c>
      <c r="CB32">
        <v>-3.05</v>
      </c>
      <c r="CC32">
        <v>-9.35</v>
      </c>
      <c r="CD32" t="s">
        <v>2617</v>
      </c>
      <c r="CE32" t="s">
        <v>854</v>
      </c>
      <c r="CF32" s="9">
        <v>-0.58557046979865768</v>
      </c>
      <c r="CG32" s="10">
        <v>1.7362400250729285E-3</v>
      </c>
      <c r="CH32" s="9">
        <v>-0.84028452634811401</v>
      </c>
      <c r="CI32" s="9">
        <v>0.12472719699144363</v>
      </c>
      <c r="CJ32" s="9">
        <v>0.21305692195892334</v>
      </c>
      <c r="CK32" s="9">
        <v>0.18815517425537109</v>
      </c>
      <c r="CL32" s="9">
        <v>0.32592073082923889</v>
      </c>
      <c r="CM32" s="10">
        <v>-0.84751927852630615</v>
      </c>
      <c r="CN32" s="10">
        <v>-0.71164023876190186</v>
      </c>
      <c r="CO32" s="10">
        <v>-0.23014256358146667</v>
      </c>
      <c r="CP32" s="10">
        <v>0.23366834223270416</v>
      </c>
      <c r="CQ32" s="10">
        <v>0.31353133916854858</v>
      </c>
      <c r="CR32">
        <v>43.722614802228144</v>
      </c>
      <c r="CS32">
        <v>188.85846632689072</v>
      </c>
      <c r="CT32">
        <v>0.34965034965034969</v>
      </c>
      <c r="CU32" s="9">
        <v>2.3150995373725893E-3</v>
      </c>
      <c r="CV32" s="10">
        <v>-0.24842047989368438</v>
      </c>
      <c r="CW32">
        <v>0.06</v>
      </c>
      <c r="CX32">
        <v>602.13834617465136</v>
      </c>
      <c r="CY32">
        <v>15715922.528632969</v>
      </c>
      <c r="CZ32">
        <v>2.3150995373725893E-3</v>
      </c>
      <c r="DA32">
        <v>212.09083846486519</v>
      </c>
      <c r="DB32">
        <v>44618427.031055659</v>
      </c>
      <c r="DC32">
        <v>2.1993445605039599E-3</v>
      </c>
      <c r="DD32">
        <v>115.00574770945248</v>
      </c>
      <c r="DE32">
        <v>82284231.775158569</v>
      </c>
      <c r="DF32">
        <v>2.0372875928878786E-3</v>
      </c>
      <c r="DG32">
        <v>76.642560428319371</v>
      </c>
      <c r="DH32">
        <v>123471339.51573165</v>
      </c>
      <c r="DI32">
        <v>1.8520796298980716E-3</v>
      </c>
      <c r="DJ32">
        <v>48.951396802473653</v>
      </c>
      <c r="DK32">
        <v>193317458.09389856</v>
      </c>
      <c r="DL32">
        <v>1.6205696761608123E-3</v>
      </c>
      <c r="DM32">
        <v>16620400</v>
      </c>
      <c r="DN32">
        <v>2.3150995373725893E-3</v>
      </c>
      <c r="DO32">
        <v>9463159600</v>
      </c>
      <c r="DP32">
        <v>3191372800</v>
      </c>
      <c r="DQ32">
        <v>1738</v>
      </c>
      <c r="DR32">
        <v>-0.58788556933603031</v>
      </c>
      <c r="DS32">
        <v>0.25015671991875732</v>
      </c>
      <c r="DT32" s="11">
        <v>-0.42333333333333339</v>
      </c>
      <c r="DU32">
        <v>-0.77</v>
      </c>
      <c r="DV32">
        <v>-1.1933333333333334</v>
      </c>
      <c r="DW32">
        <v>-8.3262032085561497</v>
      </c>
      <c r="DX32">
        <v>0.36266499813780184</v>
      </c>
      <c r="DY32">
        <v>-8.0432757480556472</v>
      </c>
      <c r="DZ32">
        <v>1238</v>
      </c>
      <c r="EA32">
        <v>-8.0327913300335556</v>
      </c>
      <c r="EB32">
        <v>8</v>
      </c>
      <c r="EC32">
        <v>3.2979428727712728E-2</v>
      </c>
      <c r="ED32">
        <v>0.24859179921115387</v>
      </c>
      <c r="EE32" s="12">
        <v>1.0317000000000001</v>
      </c>
      <c r="EF32">
        <v>1.0152000000000001</v>
      </c>
      <c r="EG32">
        <v>23.132664998137802</v>
      </c>
      <c r="EH32" t="s">
        <v>1312</v>
      </c>
      <c r="EI32">
        <v>0</v>
      </c>
      <c r="EJ32">
        <v>1</v>
      </c>
      <c r="EK32" s="14">
        <v>45470</v>
      </c>
      <c r="EL32" s="15">
        <v>1.1599999999999999</v>
      </c>
      <c r="EM32" s="15">
        <v>-3.61</v>
      </c>
      <c r="EN32" s="15">
        <v>-2.04</v>
      </c>
      <c r="EO32" s="15">
        <v>5.22</v>
      </c>
      <c r="EP32" s="15">
        <v>-1.65</v>
      </c>
    </row>
    <row r="33" spans="1:146" ht="144" x14ac:dyDescent="0.25">
      <c r="A33" s="7" t="s">
        <v>1117</v>
      </c>
      <c r="B33" s="7"/>
      <c r="C33" s="7" t="str">
        <f>"公司是一家主要从事电子政务系统的产品开发与服务的公司。"&amp;CHAR(10)&amp;Basic_Fundamental_Information_Constructure(F33)&amp;CHAR(10)&amp;Basic_Fundamental_Information_Concatenate("法律科技 10.13亿 47.03% 利润占比45.35% 29.87%
智慧政务 9.72亿 45.15% 利润占比42.45% 29.12%
教育信息化 9610.90万 4.46% 利润占比6.87% 47.66%
企业 7222.92万 3.35% 利润占比5.33% 49.23%")</f>
        <v>公司是一家主要从事电子政务系统的产品开发与服务的公司。
市值40.242381亿, 利润-8697.53万; PE; 平均PE40.58; 平均PEG3.77, PB.952; ROIC3.87%; ROE-5.42%; 股利率0%; 毛利22.9467%; 净利-38.5%; 上一年度营收增-89.06%, 利润增91.16%; 当季营收增-61.61%, 利润增43.52%; 过往5年营收增-10.76%, 利润增-74.95%
Income profile:
法律科技 10.13亿 47.03% 利润占比45.35% 29.87%
智慧政务 9.72亿 45.15% 利润占比42.45% 29.12%
教育信息化 9610.90万 4.46% 利润占比6.87% 47.66%
企业 7222.92万 3.35% 利润占比5.33% 49.23%</v>
      </c>
      <c r="D33" t="s">
        <v>142</v>
      </c>
      <c r="E33" t="s">
        <v>57</v>
      </c>
      <c r="F33">
        <v>4.93</v>
      </c>
      <c r="G33">
        <v>3.35</v>
      </c>
      <c r="H33" t="s">
        <v>2618</v>
      </c>
      <c r="I33">
        <v>4024238100</v>
      </c>
      <c r="K33">
        <v>0.95199999999999996</v>
      </c>
      <c r="L33" t="s">
        <v>1303</v>
      </c>
      <c r="M33" t="s">
        <v>1335</v>
      </c>
      <c r="N33" t="s">
        <v>2619</v>
      </c>
      <c r="O33" t="s">
        <v>292</v>
      </c>
      <c r="P33">
        <v>18.95</v>
      </c>
      <c r="Q33" t="s">
        <v>292</v>
      </c>
      <c r="R33">
        <v>-86975314</v>
      </c>
      <c r="S33" s="5">
        <v>-8.6300000000000002E-2</v>
      </c>
      <c r="T33" t="s">
        <v>2620</v>
      </c>
      <c r="U33">
        <v>801731550</v>
      </c>
      <c r="V33">
        <v>816275470</v>
      </c>
      <c r="W33">
        <v>1.22</v>
      </c>
      <c r="X33">
        <v>0.04</v>
      </c>
      <c r="Y33">
        <v>-38.29</v>
      </c>
      <c r="Z33" t="s">
        <v>697</v>
      </c>
      <c r="AA33" t="s">
        <v>298</v>
      </c>
      <c r="AB33" t="s">
        <v>2621</v>
      </c>
      <c r="AC33" t="s">
        <v>2622</v>
      </c>
      <c r="AD33" t="s">
        <v>63</v>
      </c>
      <c r="AE33">
        <v>-6523111</v>
      </c>
      <c r="AF33" t="s">
        <v>2623</v>
      </c>
      <c r="AG33">
        <v>830.27</v>
      </c>
      <c r="AH33" t="s">
        <v>2624</v>
      </c>
      <c r="AI33" t="s">
        <v>2625</v>
      </c>
      <c r="AJ33" t="s">
        <v>2626</v>
      </c>
      <c r="AK33" t="s">
        <v>2627</v>
      </c>
      <c r="AL33" t="s">
        <v>2628</v>
      </c>
      <c r="AM33" t="s">
        <v>63</v>
      </c>
      <c r="AN33">
        <v>0</v>
      </c>
      <c r="AO33" t="s">
        <v>63</v>
      </c>
      <c r="AP33" t="s">
        <v>63</v>
      </c>
      <c r="AQ33" t="s">
        <v>508</v>
      </c>
      <c r="AR33" t="s">
        <v>63</v>
      </c>
      <c r="AS33" t="s">
        <v>2629</v>
      </c>
      <c r="AT33" t="s">
        <v>63</v>
      </c>
      <c r="AU33" t="s">
        <v>2630</v>
      </c>
      <c r="AV33" t="s">
        <v>2631</v>
      </c>
      <c r="AW33" t="s">
        <v>2632</v>
      </c>
      <c r="AX33" t="s">
        <v>1398</v>
      </c>
      <c r="AY33" t="s">
        <v>1186</v>
      </c>
      <c r="AZ33" t="s">
        <v>842</v>
      </c>
      <c r="BA33" t="s">
        <v>469</v>
      </c>
      <c r="BB33" t="s">
        <v>843</v>
      </c>
      <c r="BC33" t="s">
        <v>1520</v>
      </c>
      <c r="BD33" t="s">
        <v>503</v>
      </c>
      <c r="BE33" t="s">
        <v>65</v>
      </c>
      <c r="BF33" t="s">
        <v>281</v>
      </c>
      <c r="BG33" t="s">
        <v>348</v>
      </c>
      <c r="BH33" t="s">
        <v>2633</v>
      </c>
      <c r="BI33" t="s">
        <v>1089</v>
      </c>
      <c r="BJ33" t="s">
        <v>1398</v>
      </c>
      <c r="BK33" t="s">
        <v>2634</v>
      </c>
      <c r="BL33" t="s">
        <v>981</v>
      </c>
      <c r="BM33" t="s">
        <v>1520</v>
      </c>
      <c r="BN33" t="s">
        <v>63</v>
      </c>
      <c r="BO33" t="s">
        <v>63</v>
      </c>
      <c r="BP33">
        <v>3.87</v>
      </c>
      <c r="BQ33">
        <v>-4.82</v>
      </c>
      <c r="BR33">
        <v>-15.9</v>
      </c>
      <c r="BS33">
        <v>4.46</v>
      </c>
      <c r="BT33" t="s">
        <v>1445</v>
      </c>
      <c r="BU33" t="s">
        <v>2052</v>
      </c>
      <c r="BV33">
        <v>22.82</v>
      </c>
      <c r="BW33">
        <v>20.85</v>
      </c>
      <c r="BX33">
        <v>25.17</v>
      </c>
      <c r="BY33">
        <v>-74.89</v>
      </c>
      <c r="BZ33">
        <v>-45.65</v>
      </c>
      <c r="CA33">
        <v>5.04</v>
      </c>
      <c r="CB33">
        <v>5.34</v>
      </c>
      <c r="CC33">
        <v>-12.12</v>
      </c>
      <c r="CD33" t="s">
        <v>547</v>
      </c>
      <c r="CE33" t="s">
        <v>493</v>
      </c>
      <c r="CF33" s="9">
        <v>-0.61611374407582942</v>
      </c>
      <c r="CG33" s="10">
        <v>0.43522523376623379</v>
      </c>
      <c r="CH33" s="9">
        <v>-0.89063906669616699</v>
      </c>
      <c r="CI33" s="9">
        <v>-0.61369955539703369</v>
      </c>
      <c r="CJ33" s="9">
        <v>0.71394515037536621</v>
      </c>
      <c r="CK33" s="9">
        <v>-4.3874677270650864E-2</v>
      </c>
      <c r="CL33" s="9">
        <v>0.29615956544876099</v>
      </c>
      <c r="CM33" s="10">
        <v>0.91161048412322998</v>
      </c>
      <c r="CN33" s="10">
        <v>-4.3355932235717773</v>
      </c>
      <c r="CO33" s="10">
        <v>6.8259383551776409E-3</v>
      </c>
      <c r="CP33" s="10">
        <v>-0.49482759833335876</v>
      </c>
      <c r="CQ33" s="10">
        <v>0.16465863585472107</v>
      </c>
      <c r="CR33">
        <v>40.578867734398251</v>
      </c>
      <c r="CS33">
        <v>3.7705092406691398</v>
      </c>
      <c r="CT33">
        <v>0</v>
      </c>
      <c r="CU33" s="9">
        <v>-0.10762171670794488</v>
      </c>
      <c r="CV33" s="10">
        <v>-0.74946515271440151</v>
      </c>
      <c r="CW33">
        <v>0.06</v>
      </c>
      <c r="CX33" t="e">
        <v>#VALUE!</v>
      </c>
      <c r="CY33" t="s">
        <v>1308</v>
      </c>
      <c r="CZ33">
        <v>-0.10762171670794488</v>
      </c>
      <c r="DA33" t="e">
        <v>#VALUE!</v>
      </c>
      <c r="DB33" t="s">
        <v>1309</v>
      </c>
      <c r="DC33">
        <v>-0.10224063087254763</v>
      </c>
      <c r="DD33" t="e">
        <v>#VALUE!</v>
      </c>
      <c r="DE33" t="s">
        <v>1309</v>
      </c>
      <c r="DF33">
        <v>-9.4707110702991495E-2</v>
      </c>
      <c r="DG33" t="e">
        <v>#VALUE!</v>
      </c>
      <c r="DH33" t="s">
        <v>1309</v>
      </c>
      <c r="DI33">
        <v>-8.6097373366355909E-2</v>
      </c>
      <c r="DJ33" t="e">
        <v>#VALUE!</v>
      </c>
      <c r="DK33" t="s">
        <v>1309</v>
      </c>
      <c r="DL33">
        <v>-7.5335201695561405E-2</v>
      </c>
      <c r="DM33">
        <v>-86975300</v>
      </c>
      <c r="DN33">
        <v>-0.10762171670794488</v>
      </c>
      <c r="DO33">
        <v>828238100</v>
      </c>
      <c r="DP33">
        <v>2749457000</v>
      </c>
      <c r="DQ33">
        <v>1756</v>
      </c>
      <c r="DR33">
        <v>-0.50849202736788457</v>
      </c>
      <c r="DS33">
        <v>1.1846903864806353</v>
      </c>
      <c r="DT33" s="11">
        <v>-0.70666666666666667</v>
      </c>
      <c r="DU33">
        <v>-1.7150000000000001</v>
      </c>
      <c r="DV33">
        <v>-2.4216666666666669</v>
      </c>
      <c r="DW33">
        <v>6.3058419243986252</v>
      </c>
      <c r="DX33">
        <v>0.57087378640776687</v>
      </c>
      <c r="DY33">
        <v>6.1134287525439559</v>
      </c>
      <c r="DZ33">
        <v>4815</v>
      </c>
      <c r="EA33">
        <v>6.0065482352251403</v>
      </c>
      <c r="EB33">
        <v>6</v>
      </c>
      <c r="EC33">
        <v>0.23398963587623184</v>
      </c>
      <c r="ED33">
        <v>0.63091446322648903</v>
      </c>
      <c r="EE33" s="12">
        <v>-2.0649999999999999</v>
      </c>
      <c r="EF33">
        <v>-2.0939999999999999</v>
      </c>
      <c r="EG33">
        <v>20.370873786407767</v>
      </c>
      <c r="EH33" t="s">
        <v>1468</v>
      </c>
      <c r="EI33">
        <v>0</v>
      </c>
      <c r="EJ33">
        <v>0</v>
      </c>
      <c r="EK33" s="14">
        <v>45470</v>
      </c>
      <c r="EL33" s="15">
        <v>-1.87</v>
      </c>
      <c r="EM33" s="15">
        <v>-4.2300000000000004</v>
      </c>
      <c r="EN33" s="15">
        <v>-0.44</v>
      </c>
      <c r="EO33" s="15">
        <v>6.87</v>
      </c>
      <c r="EP33" s="15">
        <v>2.9</v>
      </c>
    </row>
    <row r="34" spans="1:146" ht="96" x14ac:dyDescent="0.25">
      <c r="A34" s="7"/>
      <c r="B34" s="7"/>
      <c r="C34" s="7" t="str">
        <f>""&amp;CHAR(10)&amp;Basic_Fundamental_Information_Constructure(F34)&amp;CHAR(10)&amp;Basic_Fundamental_Information_Concatenate("")</f>
        <v xml:space="preserve">
市值31.121713亿, 利润-6992.88万; PE; 平均PE-719.72; 平均PEG-26.05, PB4.85; ROIC0%; ROE-6.15%; 股利率0%; 毛利53.46%; 净利-11.55%; 上一年度营收增-96.66%, 利润增-6860.86%; 当季营收增-86.21%, 利润增10.43%; 过往5年营收增-27.63%, 利润增-1641.94%
Income profile:
</v>
      </c>
      <c r="D34" t="s">
        <v>100</v>
      </c>
      <c r="E34" t="s">
        <v>56</v>
      </c>
      <c r="F34">
        <v>4.62</v>
      </c>
      <c r="G34">
        <v>20</v>
      </c>
      <c r="H34" t="s">
        <v>2635</v>
      </c>
      <c r="I34">
        <v>3112171300</v>
      </c>
      <c r="K34">
        <v>4.8499999999999996</v>
      </c>
      <c r="L34" t="s">
        <v>1303</v>
      </c>
      <c r="M34" t="s">
        <v>345</v>
      </c>
      <c r="N34" t="s">
        <v>1070</v>
      </c>
      <c r="O34" t="s">
        <v>2636</v>
      </c>
      <c r="P34">
        <v>-57.57</v>
      </c>
      <c r="Q34" t="s">
        <v>2636</v>
      </c>
      <c r="R34">
        <v>-69928756</v>
      </c>
      <c r="S34" s="5">
        <v>-0.19639999999999999</v>
      </c>
      <c r="T34" t="s">
        <v>2637</v>
      </c>
      <c r="U34">
        <v>537409090</v>
      </c>
      <c r="V34">
        <v>673630150</v>
      </c>
      <c r="W34">
        <v>1.9</v>
      </c>
      <c r="X34">
        <v>0.02</v>
      </c>
      <c r="Y34">
        <v>-293.51</v>
      </c>
      <c r="Z34" t="s">
        <v>2638</v>
      </c>
      <c r="AA34" t="s">
        <v>2639</v>
      </c>
      <c r="AB34" t="s">
        <v>2640</v>
      </c>
      <c r="AC34" t="s">
        <v>2641</v>
      </c>
      <c r="AD34" t="s">
        <v>63</v>
      </c>
      <c r="AE34">
        <v>-195411</v>
      </c>
      <c r="AF34" t="s">
        <v>2642</v>
      </c>
      <c r="AG34" t="s">
        <v>2643</v>
      </c>
      <c r="AH34" t="s">
        <v>2644</v>
      </c>
      <c r="AI34" t="s">
        <v>229</v>
      </c>
      <c r="AJ34" t="s">
        <v>2645</v>
      </c>
      <c r="AK34" t="s">
        <v>2591</v>
      </c>
      <c r="AL34" t="s">
        <v>2646</v>
      </c>
      <c r="AM34" t="s">
        <v>63</v>
      </c>
      <c r="AN34" t="s">
        <v>2647</v>
      </c>
      <c r="AO34" t="s">
        <v>2648</v>
      </c>
      <c r="AP34" t="s">
        <v>63</v>
      </c>
      <c r="AQ34" t="s">
        <v>640</v>
      </c>
      <c r="AR34" t="s">
        <v>63</v>
      </c>
      <c r="AS34" t="s">
        <v>493</v>
      </c>
      <c r="AT34" t="s">
        <v>63</v>
      </c>
      <c r="AU34" t="s">
        <v>1830</v>
      </c>
      <c r="AV34" t="s">
        <v>2649</v>
      </c>
      <c r="AW34" t="s">
        <v>2650</v>
      </c>
      <c r="AX34" t="s">
        <v>767</v>
      </c>
      <c r="AY34" t="s">
        <v>1084</v>
      </c>
      <c r="AZ34" t="s">
        <v>835</v>
      </c>
      <c r="BA34" t="s">
        <v>485</v>
      </c>
      <c r="BB34" t="s">
        <v>456</v>
      </c>
      <c r="BC34" t="s">
        <v>2651</v>
      </c>
      <c r="BD34" t="s">
        <v>1521</v>
      </c>
      <c r="BE34" t="s">
        <v>1821</v>
      </c>
      <c r="BF34" t="s">
        <v>486</v>
      </c>
      <c r="BG34" t="s">
        <v>527</v>
      </c>
      <c r="BH34" t="s">
        <v>261</v>
      </c>
      <c r="BI34" t="s">
        <v>576</v>
      </c>
      <c r="BJ34" t="s">
        <v>767</v>
      </c>
      <c r="BK34" t="s">
        <v>1336</v>
      </c>
      <c r="BL34" t="s">
        <v>1822</v>
      </c>
      <c r="BM34" t="s">
        <v>2651</v>
      </c>
      <c r="BN34" t="s">
        <v>63</v>
      </c>
      <c r="BO34" t="s">
        <v>63</v>
      </c>
      <c r="BP34" t="s">
        <v>63</v>
      </c>
      <c r="BQ34">
        <v>-13.97</v>
      </c>
      <c r="BR34">
        <v>-0.12</v>
      </c>
      <c r="BS34">
        <v>-4.3600000000000003</v>
      </c>
      <c r="BT34" t="s">
        <v>1445</v>
      </c>
      <c r="BU34" t="s">
        <v>2031</v>
      </c>
      <c r="BV34">
        <v>54.13</v>
      </c>
      <c r="BW34">
        <v>54.93</v>
      </c>
      <c r="BX34">
        <v>51.32</v>
      </c>
      <c r="BY34">
        <v>-20.149999999999999</v>
      </c>
      <c r="BZ34">
        <v>-1.08</v>
      </c>
      <c r="CA34">
        <v>-13.42</v>
      </c>
      <c r="CB34">
        <v>35.880000000000003</v>
      </c>
      <c r="CC34">
        <v>15.79</v>
      </c>
      <c r="CD34" t="s">
        <v>425</v>
      </c>
      <c r="CE34" t="s">
        <v>1086</v>
      </c>
      <c r="CF34" s="9">
        <v>-0.86211807909604521</v>
      </c>
      <c r="CG34" s="10">
        <v>0.10427215854652026</v>
      </c>
      <c r="CH34" s="9">
        <v>-0.96656835079193115</v>
      </c>
      <c r="CI34" s="9">
        <v>0.12307692319154739</v>
      </c>
      <c r="CJ34" s="9">
        <v>-0.2243436723947525</v>
      </c>
      <c r="CK34" s="9">
        <v>-0.15863454341888428</v>
      </c>
      <c r="CL34" s="9">
        <v>-0.15521633625030518</v>
      </c>
      <c r="CM34" s="10">
        <v>-68.608596801757812</v>
      </c>
      <c r="CN34" s="10">
        <v>0.98636007308959961</v>
      </c>
      <c r="CO34" s="10">
        <v>-14.058527946472168</v>
      </c>
      <c r="CP34" s="10">
        <v>1.0558425188064575</v>
      </c>
      <c r="CQ34" s="10">
        <v>-1.471962571144104</v>
      </c>
      <c r="CR34">
        <v>-719.72417487964776</v>
      </c>
      <c r="CS34">
        <v>-26.045142871555427</v>
      </c>
      <c r="CT34">
        <v>0</v>
      </c>
      <c r="CU34" s="9">
        <v>-0.27633719593286515</v>
      </c>
      <c r="CV34" s="10">
        <v>-16.419376945495607</v>
      </c>
      <c r="CW34">
        <v>0.06</v>
      </c>
      <c r="CX34" t="e">
        <v>#VALUE!</v>
      </c>
      <c r="CY34" t="s">
        <v>1308</v>
      </c>
      <c r="CZ34">
        <v>-0.27633719593286515</v>
      </c>
      <c r="DA34" t="e">
        <v>#VALUE!</v>
      </c>
      <c r="DB34" t="s">
        <v>1309</v>
      </c>
      <c r="DC34">
        <v>-0.26252033613622189</v>
      </c>
      <c r="DD34" t="e">
        <v>#VALUE!</v>
      </c>
      <c r="DE34" t="s">
        <v>1309</v>
      </c>
      <c r="DF34">
        <v>-0.24317673242092133</v>
      </c>
      <c r="DG34" t="e">
        <v>#VALUE!</v>
      </c>
      <c r="DH34" t="s">
        <v>1309</v>
      </c>
      <c r="DI34">
        <v>-0.22106975674629215</v>
      </c>
      <c r="DJ34" t="e">
        <v>#VALUE!</v>
      </c>
      <c r="DK34" t="s">
        <v>1309</v>
      </c>
      <c r="DL34">
        <v>-0.19343603715300559</v>
      </c>
      <c r="DM34">
        <v>-69928800</v>
      </c>
      <c r="DN34">
        <v>-0.27633719593286515</v>
      </c>
      <c r="DO34">
        <v>3052171300</v>
      </c>
      <c r="DP34">
        <v>209612009.99999994</v>
      </c>
      <c r="DQ34">
        <v>1793</v>
      </c>
      <c r="DR34">
        <v>-0.58578088316318011</v>
      </c>
      <c r="DS34">
        <v>16.523649104042128</v>
      </c>
      <c r="DT34" s="11">
        <v>-1.1233333333333333</v>
      </c>
      <c r="DU34">
        <v>-2.831666666666667</v>
      </c>
      <c r="DV34">
        <v>-3.9550000000000001</v>
      </c>
      <c r="DW34">
        <v>5.4400780379041249</v>
      </c>
      <c r="DX34">
        <v>0.80673539518900184</v>
      </c>
      <c r="DY34">
        <v>5.1965984361771005</v>
      </c>
      <c r="DZ34">
        <v>5057</v>
      </c>
      <c r="EA34">
        <v>5.0020390835846156</v>
      </c>
      <c r="EB34">
        <v>5</v>
      </c>
      <c r="EC34">
        <v>0.38596847246222576</v>
      </c>
      <c r="ED34">
        <v>0.86397558066544378</v>
      </c>
      <c r="EE34" s="12">
        <v>-1.0028999999999999</v>
      </c>
      <c r="EF34">
        <v>-1</v>
      </c>
      <c r="EG34">
        <v>36.446735395189002</v>
      </c>
      <c r="EH34" t="s">
        <v>1310</v>
      </c>
      <c r="EI34">
        <v>1</v>
      </c>
      <c r="EJ34">
        <v>0</v>
      </c>
      <c r="EK34" s="14">
        <v>45470</v>
      </c>
      <c r="EL34" s="15">
        <v>-2.56</v>
      </c>
      <c r="EM34" s="15">
        <v>-3.51</v>
      </c>
      <c r="EN34" s="15">
        <v>-2.12</v>
      </c>
      <c r="EO34" s="15">
        <v>6.19</v>
      </c>
      <c r="EP34" s="15">
        <v>-0.28999999999999998</v>
      </c>
    </row>
    <row r="35" spans="1:146" ht="96" x14ac:dyDescent="0.25">
      <c r="A35" s="7"/>
      <c r="B35" s="7"/>
      <c r="C35" s="7" t="str">
        <f>""&amp;CHAR(10)&amp;Basic_Fundamental_Information_Constructure(F35)&amp;CHAR(10)&amp;Basic_Fundamental_Information_Concatenate("")</f>
        <v xml:space="preserve">
市值19.764558亿, 利润-1566.32万; PE; 平均PE-17.66; 平均PEG-8.01, PB5.43; ROIC7.77%; ROE-9.6467%; 股利率0%; 毛利13.49%; 净利-32.1733%; 上一年度营收增-92.45%, 利润增88.81%; 当季营收增-83.34%, 利润增58.77%; 过往5年营收增-2.2%, 利润增-868.75%
Income profile:
</v>
      </c>
      <c r="D35" t="s">
        <v>150</v>
      </c>
      <c r="E35" t="s">
        <v>852</v>
      </c>
      <c r="F35">
        <v>3.08</v>
      </c>
      <c r="G35">
        <v>3.01</v>
      </c>
      <c r="H35" t="s">
        <v>2652</v>
      </c>
      <c r="I35">
        <v>1976455800</v>
      </c>
      <c r="K35">
        <v>5.43</v>
      </c>
      <c r="L35" t="s">
        <v>1303</v>
      </c>
      <c r="M35" t="s">
        <v>304</v>
      </c>
      <c r="N35" t="s">
        <v>402</v>
      </c>
      <c r="O35" t="s">
        <v>2653</v>
      </c>
      <c r="P35">
        <v>-31.35</v>
      </c>
      <c r="Q35" t="s">
        <v>2653</v>
      </c>
      <c r="R35">
        <v>-15663230</v>
      </c>
      <c r="S35" s="5">
        <v>-0.19889999999999999</v>
      </c>
      <c r="T35" t="s">
        <v>2654</v>
      </c>
      <c r="U35">
        <v>639211390</v>
      </c>
      <c r="V35">
        <v>641706420</v>
      </c>
      <c r="W35">
        <v>1.35</v>
      </c>
      <c r="X35">
        <v>0.06</v>
      </c>
      <c r="Y35">
        <v>-50.82</v>
      </c>
      <c r="Z35" t="s">
        <v>2655</v>
      </c>
      <c r="AA35" t="s">
        <v>2656</v>
      </c>
      <c r="AB35" t="s">
        <v>2657</v>
      </c>
      <c r="AC35" t="s">
        <v>2658</v>
      </c>
      <c r="AD35" t="s">
        <v>63</v>
      </c>
      <c r="AE35">
        <v>598552</v>
      </c>
      <c r="AF35" t="s">
        <v>176</v>
      </c>
      <c r="AG35">
        <v>0.05</v>
      </c>
      <c r="AH35" t="s">
        <v>2659</v>
      </c>
      <c r="AI35" t="s">
        <v>2660</v>
      </c>
      <c r="AJ35" t="s">
        <v>2661</v>
      </c>
      <c r="AK35" t="s">
        <v>63</v>
      </c>
      <c r="AL35" t="s">
        <v>2662</v>
      </c>
      <c r="AM35" t="s">
        <v>63</v>
      </c>
      <c r="AN35">
        <v>0</v>
      </c>
      <c r="AO35" t="s">
        <v>2663</v>
      </c>
      <c r="AP35" t="s">
        <v>63</v>
      </c>
      <c r="AQ35" t="s">
        <v>2664</v>
      </c>
      <c r="AR35" t="s">
        <v>63</v>
      </c>
      <c r="AS35" t="s">
        <v>211</v>
      </c>
      <c r="AT35" t="s">
        <v>63</v>
      </c>
      <c r="AU35" t="s">
        <v>2665</v>
      </c>
      <c r="AV35" t="s">
        <v>2666</v>
      </c>
      <c r="AW35" t="s">
        <v>2667</v>
      </c>
      <c r="AX35" t="s">
        <v>428</v>
      </c>
      <c r="AY35" t="s">
        <v>412</v>
      </c>
      <c r="AZ35" t="s">
        <v>523</v>
      </c>
      <c r="BA35" t="s">
        <v>483</v>
      </c>
      <c r="BB35" t="s">
        <v>854</v>
      </c>
      <c r="BC35" t="s">
        <v>1523</v>
      </c>
      <c r="BD35" t="s">
        <v>1187</v>
      </c>
      <c r="BE35" t="s">
        <v>853</v>
      </c>
      <c r="BF35" t="s">
        <v>495</v>
      </c>
      <c r="BG35" t="s">
        <v>856</v>
      </c>
      <c r="BH35" t="s">
        <v>547</v>
      </c>
      <c r="BI35" t="s">
        <v>433</v>
      </c>
      <c r="BJ35" t="s">
        <v>428</v>
      </c>
      <c r="BK35" t="s">
        <v>1833</v>
      </c>
      <c r="BL35" t="s">
        <v>1825</v>
      </c>
      <c r="BM35" t="s">
        <v>1523</v>
      </c>
      <c r="BN35" t="s">
        <v>63</v>
      </c>
      <c r="BO35" t="s">
        <v>63</v>
      </c>
      <c r="BP35">
        <v>7.77</v>
      </c>
      <c r="BQ35">
        <v>-12.58</v>
      </c>
      <c r="BR35">
        <v>-24.66</v>
      </c>
      <c r="BS35">
        <v>8.3000000000000007</v>
      </c>
      <c r="BT35" t="s">
        <v>1445</v>
      </c>
      <c r="BU35" t="s">
        <v>2052</v>
      </c>
      <c r="BV35">
        <v>14.1</v>
      </c>
      <c r="BW35">
        <v>8.08</v>
      </c>
      <c r="BX35">
        <v>18.29</v>
      </c>
      <c r="BY35">
        <v>-66.47</v>
      </c>
      <c r="BZ35">
        <v>-34.54</v>
      </c>
      <c r="CA35">
        <v>4.49</v>
      </c>
      <c r="CB35">
        <v>-2.2200000000000002</v>
      </c>
      <c r="CC35">
        <v>-14.21</v>
      </c>
      <c r="CD35" t="s">
        <v>2668</v>
      </c>
      <c r="CE35" t="s">
        <v>540</v>
      </c>
      <c r="CF35" s="9">
        <v>-0.83339621621621618</v>
      </c>
      <c r="CG35" s="10">
        <v>0.58765890681064914</v>
      </c>
      <c r="CH35" s="9">
        <v>-0.92445665597915649</v>
      </c>
      <c r="CI35" s="9">
        <v>-0.26353791356086731</v>
      </c>
      <c r="CJ35" s="9">
        <v>1.7979798316955566</v>
      </c>
      <c r="CK35" s="9">
        <v>-0.56194692850112915</v>
      </c>
      <c r="CL35" s="9">
        <v>-0.15828678011894226</v>
      </c>
      <c r="CM35" s="10">
        <v>0.88811999559402466</v>
      </c>
      <c r="CN35" s="10">
        <v>-6.4306087493896484</v>
      </c>
      <c r="CO35" s="10">
        <v>1.0435469150543213</v>
      </c>
      <c r="CP35" s="10">
        <v>-38.396167755126953</v>
      </c>
      <c r="CQ35" s="10">
        <v>-0.54245525598526001</v>
      </c>
      <c r="CR35">
        <v>-17.661273942626902</v>
      </c>
      <c r="CS35">
        <v>-8.0097609122808144</v>
      </c>
      <c r="CT35">
        <v>0</v>
      </c>
      <c r="CU35" s="9">
        <v>-2.2049689292907716E-2</v>
      </c>
      <c r="CV35" s="10">
        <v>-8.6875129699707028</v>
      </c>
      <c r="CW35">
        <v>0.06</v>
      </c>
      <c r="CX35" t="e">
        <v>#VALUE!</v>
      </c>
      <c r="CY35" t="s">
        <v>1308</v>
      </c>
      <c r="CZ35">
        <v>-2.2049689292907716E-2</v>
      </c>
      <c r="DA35" t="e">
        <v>#VALUE!</v>
      </c>
      <c r="DB35" t="s">
        <v>1309</v>
      </c>
      <c r="DC35">
        <v>-2.0947204828262331E-2</v>
      </c>
      <c r="DD35" t="e">
        <v>#VALUE!</v>
      </c>
      <c r="DE35" t="s">
        <v>1309</v>
      </c>
      <c r="DF35">
        <v>-1.9403726577758792E-2</v>
      </c>
      <c r="DG35" t="e">
        <v>#VALUE!</v>
      </c>
      <c r="DH35" t="s">
        <v>1309</v>
      </c>
      <c r="DI35">
        <v>-1.7639751434326174E-2</v>
      </c>
      <c r="DJ35" t="e">
        <v>#VALUE!</v>
      </c>
      <c r="DK35" t="s">
        <v>1309</v>
      </c>
      <c r="DL35">
        <v>-1.54347825050354E-2</v>
      </c>
      <c r="DM35">
        <v>-15663200</v>
      </c>
      <c r="DN35">
        <v>-2.2049689292907716E-2</v>
      </c>
      <c r="DO35">
        <v>1758455800</v>
      </c>
      <c r="DP35">
        <v>218432210</v>
      </c>
      <c r="DQ35">
        <v>1822</v>
      </c>
      <c r="DR35">
        <v>-0.81134652692330844</v>
      </c>
      <c r="DS35">
        <v>9.2751718767813518</v>
      </c>
      <c r="DT35" s="11">
        <v>-0.87333333333333318</v>
      </c>
      <c r="DU35">
        <v>-2.1816666666666666</v>
      </c>
      <c r="DV35">
        <v>-3.0549999999999997</v>
      </c>
      <c r="DW35">
        <v>-2.1421000000000001</v>
      </c>
      <c r="DX35">
        <v>0.29919828897338291</v>
      </c>
      <c r="DY35">
        <v>-2.0169380768631178</v>
      </c>
      <c r="DZ35">
        <v>4943</v>
      </c>
      <c r="EA35">
        <v>-2.0005535535882859</v>
      </c>
      <c r="EB35">
        <v>2</v>
      </c>
      <c r="EC35">
        <v>9.7705583185532102E-2</v>
      </c>
      <c r="ED35">
        <v>0.81968947731581054</v>
      </c>
      <c r="EE35" s="12">
        <v>6.0800000000000007E-2</v>
      </c>
      <c r="EF35">
        <v>4.2000000000000003E-2</v>
      </c>
      <c r="EG35">
        <v>18.119198288973383</v>
      </c>
      <c r="EH35" t="s">
        <v>1123</v>
      </c>
      <c r="EI35">
        <v>0</v>
      </c>
      <c r="EJ35">
        <v>0</v>
      </c>
      <c r="EK35" s="14">
        <v>45470</v>
      </c>
      <c r="EL35" s="15">
        <v>-1.9</v>
      </c>
      <c r="EM35" s="15">
        <v>-2.9</v>
      </c>
      <c r="EN35" s="15">
        <v>0.66</v>
      </c>
      <c r="EO35" s="15">
        <v>5.61</v>
      </c>
      <c r="EP35" s="15">
        <v>-1.88</v>
      </c>
    </row>
    <row r="36" spans="1:146" ht="108" x14ac:dyDescent="0.25">
      <c r="A36" s="7"/>
      <c r="B36" s="7"/>
      <c r="C36" s="7" t="str">
        <f>""&amp;CHAR(10)&amp;Basic_Fundamental_Information_Constructure(F36)&amp;CHAR(10)&amp;Basic_Fundamental_Information_Concatenate("")</f>
        <v xml:space="preserve">
市值54.817189亿, 利润-378.92万; PE160.8; 平均PE57.09; 平均PEG11.71, PB3.47; ROIC3.3733%; ROE3.2933%; 股利率.1335%; 毛利36.5733%; 净利3.69%; 上一年度营收增-84.68%, 利润增-116.85%; 当季营收增-61.42%, 利润增61.88%; 过往5年营收增-4.88%, 利润增-5.93%
Income profile:
</v>
      </c>
      <c r="D36" t="s">
        <v>74</v>
      </c>
      <c r="E36" t="s">
        <v>14</v>
      </c>
      <c r="F36">
        <v>7.49</v>
      </c>
      <c r="G36">
        <v>6.85</v>
      </c>
      <c r="H36" t="s">
        <v>2669</v>
      </c>
      <c r="I36">
        <v>5481718900</v>
      </c>
      <c r="J36">
        <v>160.80000000000001</v>
      </c>
      <c r="K36">
        <v>3.47</v>
      </c>
      <c r="L36" t="s">
        <v>1303</v>
      </c>
      <c r="M36" t="s">
        <v>1259</v>
      </c>
      <c r="N36" t="s">
        <v>1806</v>
      </c>
      <c r="O36" t="s">
        <v>302</v>
      </c>
      <c r="P36">
        <v>-2.4900000000000002</v>
      </c>
      <c r="Q36" t="s">
        <v>302</v>
      </c>
      <c r="R36">
        <v>-3789215</v>
      </c>
      <c r="S36" s="5">
        <v>0.3402</v>
      </c>
      <c r="T36" t="s">
        <v>2670</v>
      </c>
      <c r="U36">
        <v>625708370</v>
      </c>
      <c r="V36">
        <v>731871680</v>
      </c>
      <c r="W36">
        <v>1.55</v>
      </c>
      <c r="X36">
        <v>0.12</v>
      </c>
      <c r="Y36">
        <v>-1.31</v>
      </c>
      <c r="Z36" t="s">
        <v>406</v>
      </c>
      <c r="AA36" t="s">
        <v>213</v>
      </c>
      <c r="AB36" t="s">
        <v>2671</v>
      </c>
      <c r="AC36" t="s">
        <v>2672</v>
      </c>
      <c r="AD36" t="s">
        <v>63</v>
      </c>
      <c r="AE36">
        <v>3580922</v>
      </c>
      <c r="AF36" t="s">
        <v>2673</v>
      </c>
      <c r="AG36" t="s">
        <v>2674</v>
      </c>
      <c r="AH36" t="s">
        <v>2675</v>
      </c>
      <c r="AI36" t="s">
        <v>530</v>
      </c>
      <c r="AJ36" t="s">
        <v>2676</v>
      </c>
      <c r="AK36" t="s">
        <v>63</v>
      </c>
      <c r="AL36" t="s">
        <v>2677</v>
      </c>
      <c r="AM36" t="s">
        <v>63</v>
      </c>
      <c r="AN36">
        <v>0</v>
      </c>
      <c r="AO36" t="s">
        <v>551</v>
      </c>
      <c r="AP36" t="s">
        <v>63</v>
      </c>
      <c r="AQ36" t="s">
        <v>2678</v>
      </c>
      <c r="AR36" t="s">
        <v>63</v>
      </c>
      <c r="AS36" t="s">
        <v>2009</v>
      </c>
      <c r="AT36" t="s">
        <v>2679</v>
      </c>
      <c r="AU36" t="s">
        <v>1842</v>
      </c>
      <c r="AV36" t="s">
        <v>2680</v>
      </c>
      <c r="AW36" t="s">
        <v>2681</v>
      </c>
      <c r="AX36" t="s">
        <v>1524</v>
      </c>
      <c r="AY36" t="s">
        <v>1188</v>
      </c>
      <c r="AZ36" t="s">
        <v>641</v>
      </c>
      <c r="BA36" t="s">
        <v>496</v>
      </c>
      <c r="BB36" t="s">
        <v>858</v>
      </c>
      <c r="BC36" t="s">
        <v>2682</v>
      </c>
      <c r="BD36" t="s">
        <v>270</v>
      </c>
      <c r="BE36" t="s">
        <v>857</v>
      </c>
      <c r="BF36" t="s">
        <v>497</v>
      </c>
      <c r="BG36" t="s">
        <v>859</v>
      </c>
      <c r="BH36" t="s">
        <v>1396</v>
      </c>
      <c r="BI36" t="s">
        <v>1788</v>
      </c>
      <c r="BJ36" t="s">
        <v>1524</v>
      </c>
      <c r="BK36" t="s">
        <v>2683</v>
      </c>
      <c r="BL36" t="s">
        <v>1827</v>
      </c>
      <c r="BM36" t="s">
        <v>2682</v>
      </c>
      <c r="BN36">
        <v>0.3</v>
      </c>
      <c r="BO36">
        <v>1.72</v>
      </c>
      <c r="BP36">
        <v>8.1</v>
      </c>
      <c r="BQ36">
        <v>0.11</v>
      </c>
      <c r="BR36">
        <v>1.5</v>
      </c>
      <c r="BS36">
        <v>8.27</v>
      </c>
      <c r="BT36" t="s">
        <v>1451</v>
      </c>
      <c r="BU36" t="s">
        <v>2052</v>
      </c>
      <c r="BV36">
        <v>34</v>
      </c>
      <c r="BW36">
        <v>33.57</v>
      </c>
      <c r="BX36">
        <v>42.15</v>
      </c>
      <c r="BY36">
        <v>1.68</v>
      </c>
      <c r="BZ36">
        <v>1.28</v>
      </c>
      <c r="CA36">
        <v>8.11</v>
      </c>
      <c r="CB36">
        <v>9.82</v>
      </c>
      <c r="CC36">
        <v>4.76</v>
      </c>
      <c r="CD36" t="s">
        <v>201</v>
      </c>
      <c r="CE36" t="s">
        <v>1029</v>
      </c>
      <c r="CF36" s="9">
        <v>-0.6141522029372497</v>
      </c>
      <c r="CG36" s="10">
        <v>0.61877974184331519</v>
      </c>
      <c r="CH36" s="9">
        <v>-0.84684687852859497</v>
      </c>
      <c r="CI36" s="9">
        <v>0.20038172602653503</v>
      </c>
      <c r="CJ36" s="9">
        <v>1.3539610430598259E-2</v>
      </c>
      <c r="CK36" s="9">
        <v>0.18306635320186615</v>
      </c>
      <c r="CL36" s="9">
        <v>0.20607174932956696</v>
      </c>
      <c r="CM36" s="10">
        <v>-1.1685400009155273</v>
      </c>
      <c r="CN36" s="10">
        <v>-0.82156747579574585</v>
      </c>
      <c r="CO36" s="10">
        <v>-0.46835443377494812</v>
      </c>
      <c r="CP36" s="10">
        <v>0.71739131212234497</v>
      </c>
      <c r="CQ36" s="10">
        <v>1.444463849067688</v>
      </c>
      <c r="CR36">
        <v>57.086629914497571</v>
      </c>
      <c r="CS36">
        <v>11.70827956153259</v>
      </c>
      <c r="CT36">
        <v>0.13351134846461948</v>
      </c>
      <c r="CU36" s="9">
        <v>-4.8757487908005714E-2</v>
      </c>
      <c r="CV36" s="10">
        <v>-5.932134985923767E-2</v>
      </c>
      <c r="CW36">
        <v>0.06</v>
      </c>
      <c r="CX36" t="e">
        <v>#VALUE!</v>
      </c>
      <c r="CY36" t="s">
        <v>1308</v>
      </c>
      <c r="CZ36">
        <v>-4.8757487908005714E-2</v>
      </c>
      <c r="DA36" t="e">
        <v>#VALUE!</v>
      </c>
      <c r="DB36" t="s">
        <v>1309</v>
      </c>
      <c r="DC36">
        <v>-4.6319613512605426E-2</v>
      </c>
      <c r="DD36" t="e">
        <v>#VALUE!</v>
      </c>
      <c r="DE36" t="s">
        <v>1309</v>
      </c>
      <c r="DF36">
        <v>-4.2906589359045032E-2</v>
      </c>
      <c r="DG36" t="e">
        <v>#VALUE!</v>
      </c>
      <c r="DH36" t="s">
        <v>1309</v>
      </c>
      <c r="DI36">
        <v>-3.9005990326404574E-2</v>
      </c>
      <c r="DJ36" t="e">
        <v>#VALUE!</v>
      </c>
      <c r="DK36" t="s">
        <v>1309</v>
      </c>
      <c r="DL36">
        <v>-3.4130241535603997E-2</v>
      </c>
      <c r="DM36">
        <v>-3789200</v>
      </c>
      <c r="DN36">
        <v>-4.8757487908005714E-2</v>
      </c>
      <c r="DO36">
        <v>4826718900</v>
      </c>
      <c r="DP36">
        <v>1160060700</v>
      </c>
      <c r="DQ36">
        <v>1826</v>
      </c>
      <c r="DR36">
        <v>-0.56539471502924399</v>
      </c>
      <c r="DS36">
        <v>0.67810109170255284</v>
      </c>
      <c r="DT36" s="11">
        <v>-0.40666666666666673</v>
      </c>
      <c r="DU36">
        <v>-1.2083333333333333</v>
      </c>
      <c r="DV36">
        <v>-1.615</v>
      </c>
      <c r="DW36">
        <v>5.4847250509164969</v>
      </c>
      <c r="DX36">
        <v>0.71285714285714308</v>
      </c>
      <c r="DY36">
        <v>5.2146639511201629</v>
      </c>
      <c r="DZ36">
        <v>2062</v>
      </c>
      <c r="EA36">
        <v>5.1280422158540615</v>
      </c>
      <c r="EB36">
        <v>5</v>
      </c>
      <c r="EC36">
        <v>0.29650006405494472</v>
      </c>
      <c r="ED36">
        <v>0.66951627367245592</v>
      </c>
      <c r="EE36" s="12">
        <v>-2.0710099999999998</v>
      </c>
      <c r="EF36">
        <v>-2.0989100000000001</v>
      </c>
      <c r="EG36">
        <v>27.442857142857143</v>
      </c>
      <c r="EH36" t="s">
        <v>1501</v>
      </c>
      <c r="EI36">
        <v>1</v>
      </c>
      <c r="EJ36">
        <v>0</v>
      </c>
      <c r="EK36" s="14">
        <v>45470</v>
      </c>
      <c r="EL36" s="15">
        <v>0.14000000000000001</v>
      </c>
      <c r="EM36" s="15">
        <v>-1.42</v>
      </c>
      <c r="EN36" s="15">
        <v>-1.44</v>
      </c>
      <c r="EO36" s="15">
        <v>4.82</v>
      </c>
      <c r="EP36" s="15">
        <v>-2.79</v>
      </c>
    </row>
    <row r="37" spans="1:146" ht="108" x14ac:dyDescent="0.25">
      <c r="A37" s="7"/>
      <c r="B37" s="7"/>
      <c r="C37" s="7" t="str">
        <f>""&amp;CHAR(10)&amp;Basic_Fundamental_Information_Constructure(F37)&amp;CHAR(10)&amp;Basic_Fundamental_Information_Concatenate("")</f>
        <v xml:space="preserve">
市值55.38328亿, 利润293.28万; PE750.9; 平均PE-67.82; 平均PEG-4.5, PB3.58; ROIC1.7%; ROE-11.22%; 股利率0%; 毛利63.6767%; 净利-33.4633%; 上一年度营收增-76.06%, 利润增101.57%; 当季营收增-59.38%, 利润增-18.36%; 过往5年营收增-15.06%, 利润增-341.86%
Income profile:
</v>
      </c>
      <c r="D37" t="s">
        <v>93</v>
      </c>
      <c r="E37" t="s">
        <v>18</v>
      </c>
      <c r="F37">
        <v>3.82</v>
      </c>
      <c r="G37">
        <v>2.69</v>
      </c>
      <c r="H37" t="s">
        <v>2684</v>
      </c>
      <c r="I37">
        <v>5538328000</v>
      </c>
      <c r="J37">
        <v>750.9</v>
      </c>
      <c r="K37">
        <v>3.58</v>
      </c>
      <c r="L37" t="s">
        <v>1303</v>
      </c>
      <c r="M37" t="s">
        <v>1548</v>
      </c>
      <c r="N37" t="s">
        <v>2685</v>
      </c>
      <c r="O37" t="s">
        <v>260</v>
      </c>
      <c r="P37">
        <v>-15.05</v>
      </c>
      <c r="Q37" t="s">
        <v>260</v>
      </c>
      <c r="R37">
        <v>2932844</v>
      </c>
      <c r="S37" s="5">
        <v>0.36859999999999998</v>
      </c>
      <c r="T37" t="s">
        <v>2686</v>
      </c>
      <c r="U37">
        <v>1219430680</v>
      </c>
      <c r="V37">
        <v>1449824100</v>
      </c>
      <c r="W37">
        <v>1.54</v>
      </c>
      <c r="X37">
        <v>0.05</v>
      </c>
      <c r="Y37">
        <v>1.72</v>
      </c>
      <c r="Z37" t="s">
        <v>471</v>
      </c>
      <c r="AA37" t="s">
        <v>2687</v>
      </c>
      <c r="AB37" t="s">
        <v>2688</v>
      </c>
      <c r="AC37" t="s">
        <v>2689</v>
      </c>
      <c r="AD37" t="s">
        <v>63</v>
      </c>
      <c r="AE37">
        <v>1459975</v>
      </c>
      <c r="AF37" t="s">
        <v>2690</v>
      </c>
      <c r="AG37" t="s">
        <v>2691</v>
      </c>
      <c r="AH37" t="s">
        <v>2692</v>
      </c>
      <c r="AI37" t="s">
        <v>2693</v>
      </c>
      <c r="AJ37" t="s">
        <v>2694</v>
      </c>
      <c r="AK37" t="s">
        <v>2695</v>
      </c>
      <c r="AL37" t="s">
        <v>2696</v>
      </c>
      <c r="AM37" t="s">
        <v>63</v>
      </c>
      <c r="AN37" t="s">
        <v>527</v>
      </c>
      <c r="AO37" t="s">
        <v>565</v>
      </c>
      <c r="AP37" t="s">
        <v>2697</v>
      </c>
      <c r="AQ37" t="s">
        <v>479</v>
      </c>
      <c r="AR37" t="s">
        <v>2698</v>
      </c>
      <c r="AS37" t="s">
        <v>953</v>
      </c>
      <c r="AT37" t="s">
        <v>63</v>
      </c>
      <c r="AU37" t="s">
        <v>2699</v>
      </c>
      <c r="AV37" t="s">
        <v>2700</v>
      </c>
      <c r="AW37" t="s">
        <v>2701</v>
      </c>
      <c r="AX37" t="s">
        <v>831</v>
      </c>
      <c r="AY37" t="s">
        <v>649</v>
      </c>
      <c r="AZ37" t="s">
        <v>862</v>
      </c>
      <c r="BA37" t="s">
        <v>177</v>
      </c>
      <c r="BB37" t="s">
        <v>439</v>
      </c>
      <c r="BC37" t="s">
        <v>1402</v>
      </c>
      <c r="BD37" t="s">
        <v>1098</v>
      </c>
      <c r="BE37" t="s">
        <v>863</v>
      </c>
      <c r="BF37" t="s">
        <v>499</v>
      </c>
      <c r="BG37" t="s">
        <v>864</v>
      </c>
      <c r="BH37" t="s">
        <v>622</v>
      </c>
      <c r="BI37" t="s">
        <v>222</v>
      </c>
      <c r="BJ37" t="s">
        <v>831</v>
      </c>
      <c r="BK37" t="s">
        <v>2702</v>
      </c>
      <c r="BL37" t="s">
        <v>1829</v>
      </c>
      <c r="BM37" t="s">
        <v>1402</v>
      </c>
      <c r="BN37">
        <v>1.7</v>
      </c>
      <c r="BO37" t="s">
        <v>63</v>
      </c>
      <c r="BP37" t="s">
        <v>63</v>
      </c>
      <c r="BQ37">
        <v>0.11</v>
      </c>
      <c r="BR37">
        <v>-11.41</v>
      </c>
      <c r="BS37">
        <v>-22.36</v>
      </c>
      <c r="BT37" t="s">
        <v>1445</v>
      </c>
      <c r="BU37" t="s">
        <v>2052</v>
      </c>
      <c r="BV37">
        <v>74.760000000000005</v>
      </c>
      <c r="BW37">
        <v>57.06</v>
      </c>
      <c r="BX37">
        <v>59.21</v>
      </c>
      <c r="BY37">
        <v>0.71</v>
      </c>
      <c r="BZ37">
        <v>-34.72</v>
      </c>
      <c r="CA37">
        <v>-66.38</v>
      </c>
      <c r="CB37">
        <v>-0.52</v>
      </c>
      <c r="CC37">
        <v>-9.26</v>
      </c>
      <c r="CD37" t="s">
        <v>2703</v>
      </c>
      <c r="CE37" t="s">
        <v>1339</v>
      </c>
      <c r="CF37" s="9">
        <v>-0.59375</v>
      </c>
      <c r="CG37" s="10">
        <v>-0.1835975949226144</v>
      </c>
      <c r="CH37" s="9">
        <v>-0.76058930158615112</v>
      </c>
      <c r="CI37" s="9">
        <v>-0.19555555284023285</v>
      </c>
      <c r="CJ37" s="9">
        <v>5.3042121231555939E-2</v>
      </c>
      <c r="CK37" s="9">
        <v>-0.11218836903572083</v>
      </c>
      <c r="CL37" s="9">
        <v>0.26223775744438171</v>
      </c>
      <c r="CM37" s="10">
        <v>1.0156834125518799</v>
      </c>
      <c r="CN37" s="10">
        <v>0.57499998807907104</v>
      </c>
      <c r="CO37" s="10">
        <v>-18.094217300415039</v>
      </c>
      <c r="CP37" s="10">
        <v>0.14990484714508057</v>
      </c>
      <c r="CQ37" s="10">
        <v>-0.73953783512115479</v>
      </c>
      <c r="CR37">
        <v>-67.815846025432492</v>
      </c>
      <c r="CS37">
        <v>-4.5027252381894076</v>
      </c>
      <c r="CT37">
        <v>0</v>
      </c>
      <c r="CU37" s="9">
        <v>-0.15061066895723343</v>
      </c>
      <c r="CV37" s="10">
        <v>-3.4186333775520326</v>
      </c>
      <c r="CW37">
        <v>0.06</v>
      </c>
      <c r="CX37">
        <v>1653.8216039279869</v>
      </c>
      <c r="CY37" t="s">
        <v>2704</v>
      </c>
      <c r="CZ37">
        <v>-0.15061066895723343</v>
      </c>
      <c r="DA37">
        <v>551.27386797599559</v>
      </c>
      <c r="DB37" t="s">
        <v>2705</v>
      </c>
      <c r="DC37">
        <v>-0.14308013550937176</v>
      </c>
      <c r="DD37">
        <v>275.63693398799779</v>
      </c>
      <c r="DE37" t="s">
        <v>2706</v>
      </c>
      <c r="DF37">
        <v>-0.13253738868236542</v>
      </c>
      <c r="DG37">
        <v>165.38216039279868</v>
      </c>
      <c r="DH37" t="s">
        <v>2707</v>
      </c>
      <c r="DI37">
        <v>-0.12048853516578675</v>
      </c>
      <c r="DJ37">
        <v>82.691080196399341</v>
      </c>
      <c r="DK37" t="s">
        <v>2708</v>
      </c>
      <c r="DL37">
        <v>-0.1054274682700634</v>
      </c>
      <c r="DM37">
        <v>2932799.9999999995</v>
      </c>
      <c r="DN37">
        <v>-0.15061066895723343</v>
      </c>
      <c r="DO37">
        <v>4850328000</v>
      </c>
      <c r="DP37">
        <v>441218409.99999988</v>
      </c>
      <c r="DQ37">
        <v>1830</v>
      </c>
      <c r="DR37">
        <v>-0.44313933104276659</v>
      </c>
      <c r="DS37">
        <v>3.235035782629418</v>
      </c>
      <c r="DT37" s="11">
        <v>-0.82333333333333325</v>
      </c>
      <c r="DU37">
        <v>-1.2566666666666666</v>
      </c>
      <c r="DV37">
        <v>-2.08</v>
      </c>
      <c r="DW37">
        <v>-2.0926</v>
      </c>
      <c r="DX37">
        <v>0.41493289760348429</v>
      </c>
      <c r="DY37">
        <v>-2.018976786318083</v>
      </c>
      <c r="DZ37">
        <v>3204</v>
      </c>
      <c r="EA37">
        <v>-2.0070782298869405</v>
      </c>
      <c r="EB37">
        <v>2</v>
      </c>
      <c r="EC37">
        <v>6.4879732651705824E-2</v>
      </c>
      <c r="ED37">
        <v>0.31659012979574558</v>
      </c>
      <c r="EE37" s="12">
        <v>-3.0085099999999998</v>
      </c>
      <c r="EF37">
        <v>-3.0264099999999998</v>
      </c>
      <c r="EG37">
        <v>21.204932897603484</v>
      </c>
      <c r="EH37" t="s">
        <v>1471</v>
      </c>
      <c r="EI37">
        <v>0</v>
      </c>
      <c r="EJ37">
        <v>0</v>
      </c>
      <c r="EK37" s="14">
        <v>45470</v>
      </c>
      <c r="EL37" s="15">
        <v>-0.51</v>
      </c>
      <c r="EM37" s="15">
        <v>-3.81</v>
      </c>
      <c r="EN37" s="15">
        <v>-1.85</v>
      </c>
      <c r="EO37" s="15">
        <v>5.38</v>
      </c>
      <c r="EP37" s="15">
        <v>-1.79</v>
      </c>
    </row>
    <row r="38" spans="1:146" ht="96" x14ac:dyDescent="0.25">
      <c r="A38" s="7"/>
      <c r="B38" s="7"/>
      <c r="C38" s="7" t="str">
        <f>""&amp;CHAR(10)&amp;Basic_Fundamental_Information_Constructure(F38)&amp;CHAR(10)&amp;Basic_Fundamental_Information_Concatenate("")</f>
        <v xml:space="preserve">
市值28.313178亿, 利润224.86万; PE167; 平均PE34.63; 平均PEG1.23, PB1.44; ROIC1.65%; ROE-2.41%; 股利率.3178%; 毛利23.2167%; 净利-8.3567%; 上一年度营收增-81.55%, 利润增101.03%; 当季营收增-52.94%, 利润增-75.91%; 过往5年营收增-28.16%, 利润增-94.08%
Income profile:
</v>
      </c>
      <c r="D38" t="s">
        <v>145</v>
      </c>
      <c r="E38" t="s">
        <v>38</v>
      </c>
      <c r="F38">
        <v>4.72</v>
      </c>
      <c r="G38">
        <v>1.72</v>
      </c>
      <c r="H38" t="s">
        <v>2709</v>
      </c>
      <c r="I38">
        <v>2831317800</v>
      </c>
      <c r="J38">
        <v>167</v>
      </c>
      <c r="K38">
        <v>1.44</v>
      </c>
      <c r="L38" t="s">
        <v>1303</v>
      </c>
      <c r="M38" t="s">
        <v>895</v>
      </c>
      <c r="N38" t="s">
        <v>2710</v>
      </c>
      <c r="O38" t="s">
        <v>293</v>
      </c>
      <c r="P38">
        <v>1.36</v>
      </c>
      <c r="Q38" t="s">
        <v>293</v>
      </c>
      <c r="R38">
        <v>2248609</v>
      </c>
      <c r="S38" s="5">
        <v>-0.2873</v>
      </c>
      <c r="T38" t="s">
        <v>2711</v>
      </c>
      <c r="U38">
        <v>457183270</v>
      </c>
      <c r="V38">
        <v>599855470</v>
      </c>
      <c r="W38">
        <v>1.1599999999999999</v>
      </c>
      <c r="X38">
        <v>0.05</v>
      </c>
      <c r="Y38">
        <v>2.31</v>
      </c>
      <c r="Z38" t="s">
        <v>266</v>
      </c>
      <c r="AA38" t="s">
        <v>2712</v>
      </c>
      <c r="AB38" t="s">
        <v>2713</v>
      </c>
      <c r="AC38" t="s">
        <v>2714</v>
      </c>
      <c r="AD38" t="s">
        <v>63</v>
      </c>
      <c r="AE38">
        <v>-755323</v>
      </c>
      <c r="AF38" t="s">
        <v>2715</v>
      </c>
      <c r="AG38">
        <v>3002.95</v>
      </c>
      <c r="AH38" t="s">
        <v>2716</v>
      </c>
      <c r="AI38" t="s">
        <v>476</v>
      </c>
      <c r="AJ38" t="s">
        <v>2717</v>
      </c>
      <c r="AK38" t="s">
        <v>2718</v>
      </c>
      <c r="AL38" t="s">
        <v>2719</v>
      </c>
      <c r="AM38" t="s">
        <v>63</v>
      </c>
      <c r="AN38">
        <v>0</v>
      </c>
      <c r="AO38" t="s">
        <v>2720</v>
      </c>
      <c r="AP38" t="s">
        <v>2721</v>
      </c>
      <c r="AQ38" t="s">
        <v>2722</v>
      </c>
      <c r="AR38" t="s">
        <v>63</v>
      </c>
      <c r="AS38" t="s">
        <v>299</v>
      </c>
      <c r="AT38" t="s">
        <v>63</v>
      </c>
      <c r="AU38" t="s">
        <v>324</v>
      </c>
      <c r="AV38" t="s">
        <v>182</v>
      </c>
      <c r="AW38" t="s">
        <v>2723</v>
      </c>
      <c r="AX38" t="s">
        <v>345</v>
      </c>
      <c r="AY38" t="s">
        <v>1184</v>
      </c>
      <c r="AZ38" t="s">
        <v>865</v>
      </c>
      <c r="BA38" t="s">
        <v>502</v>
      </c>
      <c r="BB38" t="s">
        <v>867</v>
      </c>
      <c r="BC38" t="s">
        <v>1333</v>
      </c>
      <c r="BD38" t="s">
        <v>1191</v>
      </c>
      <c r="BE38" t="s">
        <v>866</v>
      </c>
      <c r="BF38" t="s">
        <v>503</v>
      </c>
      <c r="BG38" t="s">
        <v>581</v>
      </c>
      <c r="BH38" t="s">
        <v>2724</v>
      </c>
      <c r="BI38" t="s">
        <v>474</v>
      </c>
      <c r="BJ38" t="s">
        <v>345</v>
      </c>
      <c r="BK38" t="s">
        <v>2725</v>
      </c>
      <c r="BL38" t="s">
        <v>1831</v>
      </c>
      <c r="BM38" t="s">
        <v>1333</v>
      </c>
      <c r="BN38">
        <v>0.6</v>
      </c>
      <c r="BO38" t="s">
        <v>63</v>
      </c>
      <c r="BP38">
        <v>2.7</v>
      </c>
      <c r="BQ38">
        <v>0.73</v>
      </c>
      <c r="BR38">
        <v>-10.7</v>
      </c>
      <c r="BS38">
        <v>2.74</v>
      </c>
      <c r="BT38" t="s">
        <v>1455</v>
      </c>
      <c r="BU38" t="s">
        <v>2052</v>
      </c>
      <c r="BV38">
        <v>15.15</v>
      </c>
      <c r="BW38">
        <v>19.12</v>
      </c>
      <c r="BX38">
        <v>35.380000000000003</v>
      </c>
      <c r="BY38">
        <v>2.5299999999999998</v>
      </c>
      <c r="BZ38">
        <v>-34.96</v>
      </c>
      <c r="CA38">
        <v>7.36</v>
      </c>
      <c r="CB38">
        <v>-3.87</v>
      </c>
      <c r="CC38">
        <v>-9.32</v>
      </c>
      <c r="CD38" t="s">
        <v>2726</v>
      </c>
      <c r="CE38" t="s">
        <v>439</v>
      </c>
      <c r="CF38" s="9">
        <v>-0.52941176470588225</v>
      </c>
      <c r="CG38" s="10">
        <v>-0.75912062131762181</v>
      </c>
      <c r="CH38" s="9">
        <v>-0.81548601388931274</v>
      </c>
      <c r="CI38" s="9">
        <v>-0.30389907956123352</v>
      </c>
      <c r="CJ38" s="9">
        <v>-9.63730588555336E-2</v>
      </c>
      <c r="CK38" s="9">
        <v>-0.14069461822509766</v>
      </c>
      <c r="CL38" s="9">
        <v>-5.1520217210054398E-2</v>
      </c>
      <c r="CM38" s="10">
        <v>1.0102676153182983</v>
      </c>
      <c r="CN38" s="10">
        <v>-4.7809338569641113</v>
      </c>
      <c r="CO38" s="10">
        <v>-0.29750823974609375</v>
      </c>
      <c r="CP38" s="10">
        <v>-0.72049999237060547</v>
      </c>
      <c r="CQ38" s="10">
        <v>8.4558822214603424E-2</v>
      </c>
      <c r="CR38">
        <v>34.625152943205102</v>
      </c>
      <c r="CS38">
        <v>1.2296099870052613</v>
      </c>
      <c r="CT38">
        <v>0.31779661016949151</v>
      </c>
      <c r="CU38" s="9">
        <v>-0.28159459754824639</v>
      </c>
      <c r="CV38" s="10">
        <v>-0.94082313030958176</v>
      </c>
      <c r="CW38">
        <v>0.06</v>
      </c>
      <c r="CX38">
        <v>533.36200302410384</v>
      </c>
      <c r="CY38" t="s">
        <v>2727</v>
      </c>
      <c r="CZ38">
        <v>-0.28159459754824639</v>
      </c>
      <c r="DA38">
        <v>177.78733434136797</v>
      </c>
      <c r="DB38" t="s">
        <v>2728</v>
      </c>
      <c r="DC38">
        <v>-0.26751486767083404</v>
      </c>
      <c r="DD38">
        <v>88.893667170683983</v>
      </c>
      <c r="DE38" t="s">
        <v>2729</v>
      </c>
      <c r="DF38">
        <v>-0.24780324584245683</v>
      </c>
      <c r="DG38">
        <v>53.33620030241039</v>
      </c>
      <c r="DH38" t="s">
        <v>2730</v>
      </c>
      <c r="DI38">
        <v>-0.22527567803859713</v>
      </c>
      <c r="DJ38">
        <v>26.668100151205195</v>
      </c>
      <c r="DK38" t="s">
        <v>2731</v>
      </c>
      <c r="DL38">
        <v>-0.19711621828377246</v>
      </c>
      <c r="DM38">
        <v>2248600</v>
      </c>
      <c r="DN38">
        <v>-0.28159459754824639</v>
      </c>
      <c r="DO38">
        <v>1199317800</v>
      </c>
      <c r="DP38">
        <v>1722348800</v>
      </c>
      <c r="DQ38">
        <v>1840</v>
      </c>
      <c r="DR38">
        <v>-0.24781716715763585</v>
      </c>
      <c r="DS38">
        <v>0.18170250899195994</v>
      </c>
      <c r="DT38" s="11">
        <v>-0.92333333333333334</v>
      </c>
      <c r="DU38">
        <v>-1.19</v>
      </c>
      <c r="DV38">
        <v>-2.1133333333333333</v>
      </c>
      <c r="DW38">
        <v>-8.4152360515021467</v>
      </c>
      <c r="DX38">
        <v>0.24652430069930062</v>
      </c>
      <c r="DY38">
        <v>-8.0400803694963834</v>
      </c>
      <c r="DZ38">
        <v>4104</v>
      </c>
      <c r="EA38">
        <v>-8.0078905776347096</v>
      </c>
      <c r="EB38">
        <v>8</v>
      </c>
      <c r="EC38">
        <v>9.2042004718236536E-2</v>
      </c>
      <c r="ED38">
        <v>0.95356303077472981</v>
      </c>
      <c r="EE38" s="12">
        <v>-2.0689099999999998</v>
      </c>
      <c r="EF38">
        <v>-2.0501100000000001</v>
      </c>
      <c r="EG38">
        <v>15.096524300699301</v>
      </c>
      <c r="EH38" t="s">
        <v>1501</v>
      </c>
      <c r="EI38">
        <v>0</v>
      </c>
      <c r="EJ38">
        <v>0</v>
      </c>
      <c r="EK38" s="14">
        <v>45470</v>
      </c>
      <c r="EL38" s="15">
        <v>0</v>
      </c>
      <c r="EM38" s="15">
        <v>-6.67</v>
      </c>
      <c r="EN38" s="15">
        <v>1.95</v>
      </c>
      <c r="EO38" s="15">
        <v>1.7</v>
      </c>
      <c r="EP38" s="15">
        <v>1.88</v>
      </c>
    </row>
    <row r="39" spans="1:146" ht="96" x14ac:dyDescent="0.25">
      <c r="A39" s="7"/>
      <c r="B39" s="7"/>
      <c r="C39" s="7" t="str">
        <f>""&amp;CHAR(10)&amp;Basic_Fundamental_Information_Constructure(F39)&amp;CHAR(10)&amp;Basic_Fundamental_Information_Concatenate("")</f>
        <v xml:space="preserve">
市值43.320179亿, 利润-6151.83万; PE; 平均PE-21.88; 平均PEG-1.56, PB2.34; ROIC0%; ROE-1.5833%; 股利率0%; 毛利19.2267%; 净利-13.3733%; 上一年度营收增-95.26%, 利润增-8.33%; 当季营收增-85.33%, 利润增-3697.35%; 过往5年营收增-14.01%, 利润增-140.59%
Income profile:
</v>
      </c>
      <c r="D39" t="s">
        <v>151</v>
      </c>
      <c r="E39" t="s">
        <v>54</v>
      </c>
      <c r="F39">
        <v>7.13</v>
      </c>
      <c r="G39">
        <v>2.74</v>
      </c>
      <c r="H39" t="s">
        <v>2732</v>
      </c>
      <c r="I39">
        <v>4332017900</v>
      </c>
      <c r="K39">
        <v>2.34</v>
      </c>
      <c r="L39" t="s">
        <v>1303</v>
      </c>
      <c r="M39" t="s">
        <v>2733</v>
      </c>
      <c r="N39" t="s">
        <v>2734</v>
      </c>
      <c r="O39" t="s">
        <v>2735</v>
      </c>
      <c r="P39">
        <v>-73.23</v>
      </c>
      <c r="Q39" t="s">
        <v>2735</v>
      </c>
      <c r="R39">
        <v>-61518307</v>
      </c>
      <c r="S39" s="5">
        <v>-4.6269999999999998</v>
      </c>
      <c r="T39" t="s">
        <v>2736</v>
      </c>
      <c r="U39">
        <v>508993570</v>
      </c>
      <c r="V39">
        <v>607576150</v>
      </c>
      <c r="W39">
        <v>2.04</v>
      </c>
      <c r="X39">
        <v>0.03</v>
      </c>
      <c r="Y39">
        <v>-91.91</v>
      </c>
      <c r="Z39" t="s">
        <v>756</v>
      </c>
      <c r="AA39" t="s">
        <v>2737</v>
      </c>
      <c r="AB39" t="s">
        <v>2738</v>
      </c>
      <c r="AC39" t="s">
        <v>2739</v>
      </c>
      <c r="AD39" t="s">
        <v>63</v>
      </c>
      <c r="AE39">
        <v>9078961</v>
      </c>
      <c r="AF39" t="s">
        <v>2740</v>
      </c>
      <c r="AG39">
        <v>5546.68</v>
      </c>
      <c r="AH39" t="s">
        <v>2741</v>
      </c>
      <c r="AI39" t="s">
        <v>209</v>
      </c>
      <c r="AJ39" t="s">
        <v>2742</v>
      </c>
      <c r="AK39" t="s">
        <v>2743</v>
      </c>
      <c r="AL39" t="s">
        <v>2744</v>
      </c>
      <c r="AM39" t="s">
        <v>63</v>
      </c>
      <c r="AN39" t="s">
        <v>359</v>
      </c>
      <c r="AO39" t="s">
        <v>2745</v>
      </c>
      <c r="AP39" t="s">
        <v>2746</v>
      </c>
      <c r="AQ39" t="s">
        <v>676</v>
      </c>
      <c r="AR39" t="s">
        <v>63</v>
      </c>
      <c r="AS39" t="s">
        <v>2747</v>
      </c>
      <c r="AT39" t="s">
        <v>63</v>
      </c>
      <c r="AU39" t="s">
        <v>2748</v>
      </c>
      <c r="AV39" t="s">
        <v>2749</v>
      </c>
      <c r="AW39" t="s">
        <v>2750</v>
      </c>
      <c r="AX39" t="s">
        <v>2751</v>
      </c>
      <c r="AY39" t="s">
        <v>1192</v>
      </c>
      <c r="AZ39" t="s">
        <v>868</v>
      </c>
      <c r="BA39" t="s">
        <v>505</v>
      </c>
      <c r="BB39" t="s">
        <v>870</v>
      </c>
      <c r="BC39" t="s">
        <v>2752</v>
      </c>
      <c r="BD39" t="s">
        <v>1193</v>
      </c>
      <c r="BE39" t="s">
        <v>869</v>
      </c>
      <c r="BF39" t="s">
        <v>386</v>
      </c>
      <c r="BG39" t="s">
        <v>871</v>
      </c>
      <c r="BH39" t="s">
        <v>2753</v>
      </c>
      <c r="BI39" t="s">
        <v>1059</v>
      </c>
      <c r="BJ39" t="s">
        <v>2751</v>
      </c>
      <c r="BK39" t="s">
        <v>2754</v>
      </c>
      <c r="BL39" t="s">
        <v>2755</v>
      </c>
      <c r="BM39" t="s">
        <v>2752</v>
      </c>
      <c r="BN39" t="s">
        <v>63</v>
      </c>
      <c r="BO39" t="s">
        <v>63</v>
      </c>
      <c r="BP39" t="s">
        <v>63</v>
      </c>
      <c r="BQ39">
        <v>-1.65</v>
      </c>
      <c r="BR39">
        <v>-1.67</v>
      </c>
      <c r="BS39">
        <v>-1.43</v>
      </c>
      <c r="BT39" t="s">
        <v>1445</v>
      </c>
      <c r="BU39" t="s">
        <v>2052</v>
      </c>
      <c r="BV39">
        <v>16.55</v>
      </c>
      <c r="BW39">
        <v>19.09</v>
      </c>
      <c r="BX39">
        <v>22.04</v>
      </c>
      <c r="BY39">
        <v>-33.049999999999997</v>
      </c>
      <c r="BZ39">
        <v>-4.5199999999999996</v>
      </c>
      <c r="CA39">
        <v>-2.5499999999999998</v>
      </c>
      <c r="CB39">
        <v>-1.52</v>
      </c>
      <c r="CC39">
        <v>-12.19</v>
      </c>
      <c r="CD39" t="s">
        <v>2756</v>
      </c>
      <c r="CE39" t="s">
        <v>1343</v>
      </c>
      <c r="CF39" s="9">
        <v>-0.85333482280431427</v>
      </c>
      <c r="CG39" s="10">
        <v>-36.97351441436173</v>
      </c>
      <c r="CH39" s="9">
        <v>-0.95259678363800049</v>
      </c>
      <c r="CI39" s="9">
        <v>7.5522191822528839E-2</v>
      </c>
      <c r="CJ39" s="9">
        <v>-6.9292090833187103E-2</v>
      </c>
      <c r="CK39" s="9">
        <v>1.775745116174221E-2</v>
      </c>
      <c r="CL39" s="9">
        <v>0.22803747653961182</v>
      </c>
      <c r="CM39" s="10">
        <v>-8.3282269537448883E-2</v>
      </c>
      <c r="CN39" s="10">
        <v>-1.6136951446533203</v>
      </c>
      <c r="CO39" s="10">
        <v>0.97214430570602417</v>
      </c>
      <c r="CP39" s="10">
        <v>-7.6101694107055664</v>
      </c>
      <c r="CQ39" s="10">
        <v>1.3056994676589966</v>
      </c>
      <c r="CR39">
        <v>-21.878242929813908</v>
      </c>
      <c r="CS39">
        <v>-1.5614562516483077</v>
      </c>
      <c r="CT39">
        <v>0</v>
      </c>
      <c r="CU39" s="9">
        <v>-0.14011435098946096</v>
      </c>
      <c r="CV39" s="10">
        <v>-1.405860610306263</v>
      </c>
      <c r="CW39">
        <v>0.06</v>
      </c>
      <c r="CX39" t="e">
        <v>#VALUE!</v>
      </c>
      <c r="CY39" t="s">
        <v>1308</v>
      </c>
      <c r="CZ39">
        <v>-0.14011435098946096</v>
      </c>
      <c r="DA39" t="e">
        <v>#VALUE!</v>
      </c>
      <c r="DB39" t="s">
        <v>1309</v>
      </c>
      <c r="DC39">
        <v>-0.13310863343998791</v>
      </c>
      <c r="DD39" t="e">
        <v>#VALUE!</v>
      </c>
      <c r="DE39" t="s">
        <v>1309</v>
      </c>
      <c r="DF39">
        <v>-0.12330062887072564</v>
      </c>
      <c r="DG39" t="e">
        <v>#VALUE!</v>
      </c>
      <c r="DH39" t="s">
        <v>1309</v>
      </c>
      <c r="DI39">
        <v>-0.11209148079156878</v>
      </c>
      <c r="DJ39" t="e">
        <v>#VALUE!</v>
      </c>
      <c r="DK39" t="s">
        <v>1309</v>
      </c>
      <c r="DL39">
        <v>-9.8080045692622658E-2</v>
      </c>
      <c r="DM39">
        <v>-61518300</v>
      </c>
      <c r="DN39">
        <v>-0.14011435098946096</v>
      </c>
      <c r="DO39">
        <v>4413017900</v>
      </c>
      <c r="DP39">
        <v>810772999.99999976</v>
      </c>
      <c r="DQ39">
        <v>1841</v>
      </c>
      <c r="DR39">
        <v>-0.71322047181485337</v>
      </c>
      <c r="DS39">
        <v>-35.567653804055468</v>
      </c>
      <c r="DT39" s="11">
        <v>-0.67333333333333334</v>
      </c>
      <c r="DU39">
        <v>-2.6316666666666664</v>
      </c>
      <c r="DV39">
        <v>-3.3049999999999997</v>
      </c>
      <c r="DW39">
        <v>-2.1219000000000001</v>
      </c>
      <c r="DX39">
        <v>0.33679953810623697</v>
      </c>
      <c r="DY39">
        <v>-2.01545686369515</v>
      </c>
      <c r="DZ39">
        <v>5028</v>
      </c>
      <c r="EA39">
        <v>-2.0002480357774957</v>
      </c>
      <c r="EB39">
        <v>2</v>
      </c>
      <c r="EC39">
        <v>9.0365956596551722E-2</v>
      </c>
      <c r="ED39">
        <v>0.71266786887536648</v>
      </c>
      <c r="EE39" s="12">
        <v>-5.0639000000000003</v>
      </c>
      <c r="EF39">
        <v>-5.0503</v>
      </c>
      <c r="EG39">
        <v>21.126799538106237</v>
      </c>
      <c r="EH39" t="s">
        <v>1996</v>
      </c>
      <c r="EI39">
        <v>0</v>
      </c>
      <c r="EJ39">
        <v>0</v>
      </c>
      <c r="EK39" s="14">
        <v>45470</v>
      </c>
      <c r="EL39" s="15">
        <v>-1.63</v>
      </c>
      <c r="EM39" s="15">
        <v>-5.24</v>
      </c>
      <c r="EN39" s="15">
        <v>-1.75</v>
      </c>
      <c r="EO39" s="15">
        <v>9.19</v>
      </c>
      <c r="EP39" s="15">
        <v>-1.36</v>
      </c>
    </row>
    <row r="40" spans="1:146" ht="96" x14ac:dyDescent="0.25">
      <c r="A40" s="7"/>
      <c r="B40" s="7"/>
      <c r="C40" s="7" t="str">
        <f>""&amp;CHAR(10)&amp;Basic_Fundamental_Information_Constructure(F40)&amp;CHAR(10)&amp;Basic_Fundamental_Information_Concatenate("")</f>
        <v xml:space="preserve">
市值40.445011亿, 利润-1.50亿; PE; 平均PE26.39; 平均PEG11.65, PB1.55; ROIC5.035%; ROE-1.5633%; 股利率0%; 毛利56.6067%; 净利-14.62%; 上一年度营收增-86.42%, 利润增-624.5%; 当季营收增-49.86%, 利润增63.83%; 过往5年营收增-2.27%, 利润增-126.78%
Income profile:
</v>
      </c>
      <c r="D40" t="s">
        <v>115</v>
      </c>
      <c r="E40" t="s">
        <v>60</v>
      </c>
      <c r="F40">
        <v>5.0599999999999996</v>
      </c>
      <c r="G40">
        <v>2.4300000000000002</v>
      </c>
      <c r="H40" t="s">
        <v>2757</v>
      </c>
      <c r="I40">
        <v>4044501100</v>
      </c>
      <c r="K40">
        <v>1.55</v>
      </c>
      <c r="L40" t="s">
        <v>1303</v>
      </c>
      <c r="M40" t="s">
        <v>2758</v>
      </c>
      <c r="N40" t="s">
        <v>1779</v>
      </c>
      <c r="O40" t="s">
        <v>638</v>
      </c>
      <c r="P40">
        <v>8.48</v>
      </c>
      <c r="Q40" t="s">
        <v>638</v>
      </c>
      <c r="R40">
        <v>-150109800</v>
      </c>
      <c r="S40" s="6">
        <v>0.17280000000000001</v>
      </c>
      <c r="T40" t="s">
        <v>1329</v>
      </c>
      <c r="U40">
        <v>798229070</v>
      </c>
      <c r="V40">
        <v>799308530</v>
      </c>
      <c r="W40">
        <v>1.55</v>
      </c>
      <c r="X40">
        <v>0.09</v>
      </c>
      <c r="Y40">
        <v>-42.1</v>
      </c>
      <c r="Z40" t="s">
        <v>821</v>
      </c>
      <c r="AA40" t="s">
        <v>415</v>
      </c>
      <c r="AB40" t="s">
        <v>263</v>
      </c>
      <c r="AC40" t="s">
        <v>2759</v>
      </c>
      <c r="AD40" t="s">
        <v>63</v>
      </c>
      <c r="AE40">
        <v>4352661</v>
      </c>
      <c r="AF40" t="s">
        <v>2760</v>
      </c>
      <c r="AG40" t="s">
        <v>2761</v>
      </c>
      <c r="AH40" t="s">
        <v>2762</v>
      </c>
      <c r="AI40" t="s">
        <v>326</v>
      </c>
      <c r="AJ40" t="s">
        <v>2763</v>
      </c>
      <c r="AK40" t="s">
        <v>509</v>
      </c>
      <c r="AL40" t="s">
        <v>2764</v>
      </c>
      <c r="AM40" t="s">
        <v>63</v>
      </c>
      <c r="AN40">
        <v>0</v>
      </c>
      <c r="AO40" t="s">
        <v>1876</v>
      </c>
      <c r="AP40" t="s">
        <v>2765</v>
      </c>
      <c r="AQ40" t="s">
        <v>781</v>
      </c>
      <c r="AR40" t="s">
        <v>2766</v>
      </c>
      <c r="AS40" t="s">
        <v>625</v>
      </c>
      <c r="AT40" t="s">
        <v>63</v>
      </c>
      <c r="AU40" t="s">
        <v>2767</v>
      </c>
      <c r="AV40" t="s">
        <v>2768</v>
      </c>
      <c r="AW40" t="s">
        <v>2769</v>
      </c>
      <c r="AX40" t="s">
        <v>1525</v>
      </c>
      <c r="AY40" t="s">
        <v>1194</v>
      </c>
      <c r="AZ40" t="s">
        <v>873</v>
      </c>
      <c r="BA40" t="s">
        <v>510</v>
      </c>
      <c r="BB40" t="s">
        <v>529</v>
      </c>
      <c r="BC40" t="s">
        <v>2770</v>
      </c>
      <c r="BD40" t="s">
        <v>255</v>
      </c>
      <c r="BE40" t="s">
        <v>313</v>
      </c>
      <c r="BF40" t="s">
        <v>205</v>
      </c>
      <c r="BG40" t="s">
        <v>187</v>
      </c>
      <c r="BH40" t="s">
        <v>1832</v>
      </c>
      <c r="BI40" t="s">
        <v>291</v>
      </c>
      <c r="BJ40" t="s">
        <v>1525</v>
      </c>
      <c r="BK40" t="s">
        <v>2771</v>
      </c>
      <c r="BL40" t="s">
        <v>1836</v>
      </c>
      <c r="BM40" t="s">
        <v>2770</v>
      </c>
      <c r="BN40" t="s">
        <v>63</v>
      </c>
      <c r="BO40">
        <v>0.57999999999999996</v>
      </c>
      <c r="BP40">
        <v>9.49</v>
      </c>
      <c r="BQ40">
        <v>-15.45</v>
      </c>
      <c r="BR40">
        <v>0.78</v>
      </c>
      <c r="BS40">
        <v>9.98</v>
      </c>
      <c r="BT40" t="s">
        <v>1445</v>
      </c>
      <c r="BU40" t="s">
        <v>2031</v>
      </c>
      <c r="BV40">
        <v>46.15</v>
      </c>
      <c r="BW40">
        <v>62.28</v>
      </c>
      <c r="BX40">
        <v>61.39</v>
      </c>
      <c r="BY40">
        <v>-58.16</v>
      </c>
      <c r="BZ40">
        <v>1.08</v>
      </c>
      <c r="CA40">
        <v>13.22</v>
      </c>
      <c r="CB40">
        <v>-0.98</v>
      </c>
      <c r="CC40">
        <v>-16.78</v>
      </c>
      <c r="CD40" t="s">
        <v>2772</v>
      </c>
      <c r="CE40" t="s">
        <v>895</v>
      </c>
      <c r="CF40" s="9">
        <v>-0.49859550561797755</v>
      </c>
      <c r="CG40" s="10">
        <v>0.63828963855421694</v>
      </c>
      <c r="CH40" s="9">
        <v>-0.86420696973800659</v>
      </c>
      <c r="CI40" s="9">
        <v>7.6657724566757679E-3</v>
      </c>
      <c r="CJ40" s="9">
        <v>0.29800993204116821</v>
      </c>
      <c r="CK40" s="9">
        <v>0.20287248492240906</v>
      </c>
      <c r="CL40" s="9">
        <v>0.24237929284572601</v>
      </c>
      <c r="CM40" s="10">
        <v>-6.245030403137207</v>
      </c>
      <c r="CN40" s="10">
        <v>-0.91710579395294189</v>
      </c>
      <c r="CO40" s="10">
        <v>0.14617940783500671</v>
      </c>
      <c r="CP40" s="10">
        <v>0.3259911835193634</v>
      </c>
      <c r="CQ40" s="10">
        <v>0.3511904776096344</v>
      </c>
      <c r="CR40">
        <v>26.388697458727915</v>
      </c>
      <c r="CS40">
        <v>11.647606308796268</v>
      </c>
      <c r="CT40">
        <v>0</v>
      </c>
      <c r="CU40" s="9">
        <v>-2.2655897494405507E-2</v>
      </c>
      <c r="CV40" s="10">
        <v>-1.2677550256252288</v>
      </c>
      <c r="CW40">
        <v>0.06</v>
      </c>
      <c r="CX40" t="e">
        <v>#VALUE!</v>
      </c>
      <c r="CY40" t="s">
        <v>1308</v>
      </c>
      <c r="CZ40">
        <v>-2.2655897494405507E-2</v>
      </c>
      <c r="DA40" t="e">
        <v>#VALUE!</v>
      </c>
      <c r="DB40" t="s">
        <v>1309</v>
      </c>
      <c r="DC40">
        <v>-2.1523102619685233E-2</v>
      </c>
      <c r="DD40" t="e">
        <v>#VALUE!</v>
      </c>
      <c r="DE40" t="s">
        <v>1309</v>
      </c>
      <c r="DF40">
        <v>-1.9937189795076846E-2</v>
      </c>
      <c r="DG40" t="e">
        <v>#VALUE!</v>
      </c>
      <c r="DH40" t="s">
        <v>1309</v>
      </c>
      <c r="DI40">
        <v>-1.8124717995524408E-2</v>
      </c>
      <c r="DJ40" t="e">
        <v>#VALUE!</v>
      </c>
      <c r="DK40" t="s">
        <v>1309</v>
      </c>
      <c r="DL40">
        <v>-1.5859128246083855E-2</v>
      </c>
      <c r="DM40">
        <v>-150000000</v>
      </c>
      <c r="DN40">
        <v>-2.2655897494405507E-2</v>
      </c>
      <c r="DO40">
        <v>2853501100</v>
      </c>
      <c r="DP40">
        <v>1046030500</v>
      </c>
      <c r="DQ40">
        <v>1843</v>
      </c>
      <c r="DR40">
        <v>-0.47593960812357206</v>
      </c>
      <c r="DS40">
        <v>1.9060446641794457</v>
      </c>
      <c r="DT40" s="11">
        <v>-0.42333333333333339</v>
      </c>
      <c r="DU40">
        <v>-1.7316666666666667</v>
      </c>
      <c r="DV40">
        <v>-2.1550000000000002</v>
      </c>
      <c r="DW40">
        <v>-3.0088214285714288</v>
      </c>
      <c r="DX40">
        <v>0.38326185101580235</v>
      </c>
      <c r="DY40">
        <v>-3.0013519884714608</v>
      </c>
      <c r="DZ40">
        <v>4380</v>
      </c>
      <c r="EA40">
        <v>-3.0001931412102087</v>
      </c>
      <c r="EB40">
        <v>3</v>
      </c>
      <c r="EC40">
        <v>8.4942168701740234E-2</v>
      </c>
      <c r="ED40">
        <v>0.55422904094367664</v>
      </c>
      <c r="EE40" s="12">
        <v>-2.0504099999999998</v>
      </c>
      <c r="EF40">
        <v>-2.0708099999999998</v>
      </c>
      <c r="EG40">
        <v>23.153261851015802</v>
      </c>
      <c r="EH40" t="s">
        <v>1501</v>
      </c>
      <c r="EI40">
        <v>0</v>
      </c>
      <c r="EJ40">
        <v>0</v>
      </c>
      <c r="EK40" s="14">
        <v>45470</v>
      </c>
      <c r="EL40" s="15">
        <v>-1.65</v>
      </c>
      <c r="EM40" s="15">
        <v>-5.03</v>
      </c>
      <c r="EN40" s="15">
        <v>-1.96</v>
      </c>
      <c r="EO40" s="15">
        <v>7.6</v>
      </c>
      <c r="EP40" s="15">
        <v>-2.04</v>
      </c>
    </row>
    <row r="41" spans="1:146" ht="96" x14ac:dyDescent="0.25">
      <c r="A41" s="7"/>
      <c r="B41" s="7"/>
      <c r="C41" s="7" t="str">
        <f>""&amp;CHAR(10)&amp;Basic_Fundamental_Information_Constructure(F41)&amp;CHAR(10)&amp;Basic_Fundamental_Information_Concatenate("")</f>
        <v xml:space="preserve">
市值39.281227亿, 利润-8870.90万; PE56.67; 平均PE41.81; 平均PEG49.27, PB1.35; ROIC4.815%; ROE3.8067%; 股利率.7648%; 毛利54.4267%; 净利10.38%; 上一年度营收增-82.37%, 利润增-244.24%; 当季营收增-64.41%, 利润增-59.69%; 过往5年营收增.85%, 利润增270.71%
Income profile:
</v>
      </c>
      <c r="D41" t="s">
        <v>136</v>
      </c>
      <c r="E41" t="s">
        <v>39</v>
      </c>
      <c r="F41">
        <v>5.23</v>
      </c>
      <c r="G41">
        <v>4.3899999999999997</v>
      </c>
      <c r="H41" t="s">
        <v>2773</v>
      </c>
      <c r="I41">
        <v>3928122700</v>
      </c>
      <c r="J41">
        <v>56.67</v>
      </c>
      <c r="K41">
        <v>1.35</v>
      </c>
      <c r="L41" t="s">
        <v>1303</v>
      </c>
      <c r="M41" t="s">
        <v>361</v>
      </c>
      <c r="N41" t="s">
        <v>2774</v>
      </c>
      <c r="O41" t="s">
        <v>265</v>
      </c>
      <c r="P41">
        <v>-10.86</v>
      </c>
      <c r="Q41" t="s">
        <v>265</v>
      </c>
      <c r="R41">
        <v>-88709008</v>
      </c>
      <c r="S41" s="5">
        <v>1.8599999999999998E-2</v>
      </c>
      <c r="T41" t="s">
        <v>2775</v>
      </c>
      <c r="U41">
        <v>671083510</v>
      </c>
      <c r="V41">
        <v>751075080</v>
      </c>
      <c r="W41">
        <v>1.0900000000000001</v>
      </c>
      <c r="X41">
        <v>7.0000000000000007E-2</v>
      </c>
      <c r="Y41">
        <v>-38.479999999999997</v>
      </c>
      <c r="Z41" t="s">
        <v>603</v>
      </c>
      <c r="AA41" t="s">
        <v>66</v>
      </c>
      <c r="AB41" t="s">
        <v>2776</v>
      </c>
      <c r="AC41" t="s">
        <v>2777</v>
      </c>
      <c r="AD41" t="s">
        <v>63</v>
      </c>
      <c r="AE41">
        <v>-627351</v>
      </c>
      <c r="AF41" t="s">
        <v>2778</v>
      </c>
      <c r="AG41" t="s">
        <v>2779</v>
      </c>
      <c r="AH41" t="s">
        <v>2780</v>
      </c>
      <c r="AI41" t="s">
        <v>262</v>
      </c>
      <c r="AJ41" t="s">
        <v>2781</v>
      </c>
      <c r="AK41" t="s">
        <v>63</v>
      </c>
      <c r="AL41" t="s">
        <v>2782</v>
      </c>
      <c r="AM41" t="s">
        <v>63</v>
      </c>
      <c r="AN41">
        <v>0</v>
      </c>
      <c r="AO41" t="s">
        <v>63</v>
      </c>
      <c r="AP41" t="s">
        <v>63</v>
      </c>
      <c r="AQ41" t="s">
        <v>2783</v>
      </c>
      <c r="AR41" t="s">
        <v>2784</v>
      </c>
      <c r="AS41" t="s">
        <v>388</v>
      </c>
      <c r="AT41" t="s">
        <v>63</v>
      </c>
      <c r="AU41" t="s">
        <v>1528</v>
      </c>
      <c r="AV41" t="s">
        <v>2785</v>
      </c>
      <c r="AW41" t="s">
        <v>2786</v>
      </c>
      <c r="AX41" t="s">
        <v>1419</v>
      </c>
      <c r="AY41" t="s">
        <v>1195</v>
      </c>
      <c r="AZ41" t="s">
        <v>835</v>
      </c>
      <c r="BA41" t="s">
        <v>513</v>
      </c>
      <c r="BB41" t="s">
        <v>344</v>
      </c>
      <c r="BC41" t="s">
        <v>1526</v>
      </c>
      <c r="BD41" t="s">
        <v>393</v>
      </c>
      <c r="BE41" t="s">
        <v>875</v>
      </c>
      <c r="BF41" t="s">
        <v>455</v>
      </c>
      <c r="BG41" t="s">
        <v>346</v>
      </c>
      <c r="BH41" t="s">
        <v>888</v>
      </c>
      <c r="BI41" t="s">
        <v>616</v>
      </c>
      <c r="BJ41" t="s">
        <v>1419</v>
      </c>
      <c r="BK41" t="s">
        <v>2787</v>
      </c>
      <c r="BL41" t="s">
        <v>1837</v>
      </c>
      <c r="BM41" t="s">
        <v>1526</v>
      </c>
      <c r="BN41" t="s">
        <v>63</v>
      </c>
      <c r="BO41">
        <v>1.53</v>
      </c>
      <c r="BP41">
        <v>8.1</v>
      </c>
      <c r="BQ41">
        <v>0.28999999999999998</v>
      </c>
      <c r="BR41">
        <v>2.04</v>
      </c>
      <c r="BS41">
        <v>9.09</v>
      </c>
      <c r="BT41" t="s">
        <v>1456</v>
      </c>
      <c r="BU41" t="s">
        <v>2052</v>
      </c>
      <c r="BV41">
        <v>45.06</v>
      </c>
      <c r="BW41">
        <v>52.21</v>
      </c>
      <c r="BX41">
        <v>66.010000000000005</v>
      </c>
      <c r="BY41">
        <v>4</v>
      </c>
      <c r="BZ41">
        <v>3.52</v>
      </c>
      <c r="CA41">
        <v>23.62</v>
      </c>
      <c r="CB41">
        <v>2.95</v>
      </c>
      <c r="CC41">
        <v>-9.36</v>
      </c>
      <c r="CD41" t="s">
        <v>2788</v>
      </c>
      <c r="CE41" t="s">
        <v>539</v>
      </c>
      <c r="CF41" s="9">
        <v>-0.64411764705882357</v>
      </c>
      <c r="CG41" s="10">
        <v>-0.59691033727929954</v>
      </c>
      <c r="CH41" s="9">
        <v>-0.82374364137649536</v>
      </c>
      <c r="CI41" s="9">
        <v>0.33300966024398804</v>
      </c>
      <c r="CJ41" s="9">
        <v>0.22911694645881653</v>
      </c>
      <c r="CK41" s="9">
        <v>0.27743902802467346</v>
      </c>
      <c r="CL41" s="9">
        <v>2.6604069396853447E-2</v>
      </c>
      <c r="CM41" s="10">
        <v>-2.442429780960083</v>
      </c>
      <c r="CN41" s="10">
        <v>-0.76616084575653076</v>
      </c>
      <c r="CO41" s="10">
        <v>17.877540588378906</v>
      </c>
      <c r="CP41" s="10">
        <v>-0.8975595235824585</v>
      </c>
      <c r="CQ41" s="10">
        <v>-0.23595505952835083</v>
      </c>
      <c r="CR41">
        <v>41.809102916931124</v>
      </c>
      <c r="CS41">
        <v>49.272899968856457</v>
      </c>
      <c r="CT41">
        <v>0.76481835564053535</v>
      </c>
      <c r="CU41" s="9">
        <v>8.4852125495672222E-3</v>
      </c>
      <c r="CV41" s="10">
        <v>2.7070870757102967</v>
      </c>
      <c r="CW41">
        <v>0.06</v>
      </c>
      <c r="CX41" t="e">
        <v>#VALUE!</v>
      </c>
      <c r="CY41" t="s">
        <v>1308</v>
      </c>
      <c r="CZ41">
        <v>8.4852125495672222E-3</v>
      </c>
      <c r="DA41" t="e">
        <v>#VALUE!</v>
      </c>
      <c r="DB41" t="s">
        <v>1309</v>
      </c>
      <c r="DC41">
        <v>8.0609519220888604E-3</v>
      </c>
      <c r="DD41" t="e">
        <v>#VALUE!</v>
      </c>
      <c r="DE41" t="s">
        <v>1309</v>
      </c>
      <c r="DF41">
        <v>7.4669870436191556E-3</v>
      </c>
      <c r="DG41" t="e">
        <v>#VALUE!</v>
      </c>
      <c r="DH41" t="s">
        <v>1309</v>
      </c>
      <c r="DI41">
        <v>6.7881700396537781E-3</v>
      </c>
      <c r="DJ41" t="e">
        <v>#VALUE!</v>
      </c>
      <c r="DK41" t="s">
        <v>1309</v>
      </c>
      <c r="DL41">
        <v>5.9396487846970552E-3</v>
      </c>
      <c r="DM41">
        <v>-88709000</v>
      </c>
      <c r="DN41">
        <v>8.4852125495672222E-3</v>
      </c>
      <c r="DO41">
        <v>1354122700</v>
      </c>
      <c r="DP41">
        <v>1123398200</v>
      </c>
      <c r="DQ41">
        <v>1850</v>
      </c>
      <c r="DR41">
        <v>-0.65260285960839082</v>
      </c>
      <c r="DS41">
        <v>-3.3039974129895961</v>
      </c>
      <c r="DT41" s="11">
        <v>-0.37333333333333335</v>
      </c>
      <c r="DU41">
        <v>-1.7666666666666668</v>
      </c>
      <c r="DV41">
        <v>-2.14</v>
      </c>
      <c r="DW41">
        <v>6.2396425670186844</v>
      </c>
      <c r="DX41">
        <v>0.57068313953488237</v>
      </c>
      <c r="DY41">
        <v>6.0552814997260684</v>
      </c>
      <c r="DZ41">
        <v>3037</v>
      </c>
      <c r="EA41">
        <v>6.0224263305150956</v>
      </c>
      <c r="EB41">
        <v>6</v>
      </c>
      <c r="EC41">
        <v>0.10565521625348027</v>
      </c>
      <c r="ED41">
        <v>0.45801013661643519</v>
      </c>
      <c r="EE41" s="12">
        <v>1.2800000000000006E-2</v>
      </c>
      <c r="EF41">
        <v>4.409999999999999E-3</v>
      </c>
      <c r="EG41">
        <v>34.230683139534882</v>
      </c>
      <c r="EH41">
        <v>-1</v>
      </c>
      <c r="EI41">
        <v>0</v>
      </c>
      <c r="EJ41">
        <v>0</v>
      </c>
      <c r="EK41" s="14">
        <v>45470</v>
      </c>
      <c r="EL41" s="15">
        <v>0.39</v>
      </c>
      <c r="EM41" s="15">
        <v>-2.91</v>
      </c>
      <c r="EN41" s="15">
        <v>0.2</v>
      </c>
      <c r="EO41" s="15">
        <v>4.3899999999999997</v>
      </c>
      <c r="EP41" s="15">
        <v>-1.72</v>
      </c>
    </row>
    <row r="42" spans="1:146" ht="96" x14ac:dyDescent="0.25">
      <c r="A42" s="7"/>
      <c r="B42" s="7"/>
      <c r="C42" s="7" t="str">
        <f>""&amp;CHAR(10)&amp;Basic_Fundamental_Information_Constructure(F42)&amp;CHAR(10)&amp;Basic_Fundamental_Information_Concatenate("")</f>
        <v xml:space="preserve">
市值42.635917亿, 利润-969.37万; PE28.2; 平均PE47.41; 平均PEG6.36, PB2.09; ROIC5.2133%; ROE5.72%; 股利率.7264%; 毛利64.51%; 净利6.7233%; 上一年度营收增-79.65%, 利润增-107.23%; 当季营收增-55.14%, 利润增-126.83%; 过往5年营收增-7.45%, 利润增-9.51%
Income profile:
</v>
      </c>
      <c r="D42" t="s">
        <v>135</v>
      </c>
      <c r="E42" t="s">
        <v>47</v>
      </c>
      <c r="F42">
        <v>15.82</v>
      </c>
      <c r="G42">
        <v>1.8</v>
      </c>
      <c r="H42" t="s">
        <v>2789</v>
      </c>
      <c r="I42">
        <v>4263591700</v>
      </c>
      <c r="J42">
        <v>28.2</v>
      </c>
      <c r="K42">
        <v>2.09</v>
      </c>
      <c r="L42" t="s">
        <v>1303</v>
      </c>
      <c r="M42" t="s">
        <v>1519</v>
      </c>
      <c r="N42" t="s">
        <v>2790</v>
      </c>
      <c r="O42" t="s">
        <v>238</v>
      </c>
      <c r="P42">
        <v>13.27</v>
      </c>
      <c r="Q42" t="s">
        <v>238</v>
      </c>
      <c r="R42">
        <v>-9693691</v>
      </c>
      <c r="S42" s="5">
        <v>8.7300000000000003E-2</v>
      </c>
      <c r="T42" t="s">
        <v>2791</v>
      </c>
      <c r="U42">
        <v>267784430</v>
      </c>
      <c r="V42">
        <v>269506430</v>
      </c>
      <c r="W42">
        <v>1.34</v>
      </c>
      <c r="X42">
        <v>0.13</v>
      </c>
      <c r="Y42">
        <v>-4.4000000000000004</v>
      </c>
      <c r="Z42" t="s">
        <v>490</v>
      </c>
      <c r="AA42" t="s">
        <v>203</v>
      </c>
      <c r="AB42" t="s">
        <v>322</v>
      </c>
      <c r="AC42" t="s">
        <v>2792</v>
      </c>
      <c r="AD42" t="s">
        <v>63</v>
      </c>
      <c r="AE42">
        <v>-1246534</v>
      </c>
      <c r="AF42" t="s">
        <v>2793</v>
      </c>
      <c r="AG42" t="s">
        <v>2794</v>
      </c>
      <c r="AH42" t="s">
        <v>2795</v>
      </c>
      <c r="AI42" t="s">
        <v>549</v>
      </c>
      <c r="AJ42" t="s">
        <v>2796</v>
      </c>
      <c r="AK42" t="s">
        <v>256</v>
      </c>
      <c r="AL42" t="s">
        <v>2797</v>
      </c>
      <c r="AM42" t="s">
        <v>63</v>
      </c>
      <c r="AN42" t="s">
        <v>2798</v>
      </c>
      <c r="AO42" t="s">
        <v>63</v>
      </c>
      <c r="AP42" t="s">
        <v>2799</v>
      </c>
      <c r="AQ42" t="s">
        <v>257</v>
      </c>
      <c r="AR42" t="s">
        <v>63</v>
      </c>
      <c r="AS42" t="s">
        <v>861</v>
      </c>
      <c r="AT42" t="s">
        <v>63</v>
      </c>
      <c r="AU42" t="s">
        <v>1105</v>
      </c>
      <c r="AV42" t="s">
        <v>2800</v>
      </c>
      <c r="AW42" t="s">
        <v>2801</v>
      </c>
      <c r="AX42" t="s">
        <v>1527</v>
      </c>
      <c r="AY42" t="s">
        <v>1196</v>
      </c>
      <c r="AZ42" t="s">
        <v>876</v>
      </c>
      <c r="BA42" t="s">
        <v>516</v>
      </c>
      <c r="BB42" t="s">
        <v>877</v>
      </c>
      <c r="BC42" t="s">
        <v>231</v>
      </c>
      <c r="BD42" t="s">
        <v>293</v>
      </c>
      <c r="BE42" t="s">
        <v>501</v>
      </c>
      <c r="BF42" t="s">
        <v>278</v>
      </c>
      <c r="BG42" t="s">
        <v>878</v>
      </c>
      <c r="BH42" t="s">
        <v>2802</v>
      </c>
      <c r="BI42" t="s">
        <v>1395</v>
      </c>
      <c r="BJ42" t="s">
        <v>1527</v>
      </c>
      <c r="BK42" t="s">
        <v>236</v>
      </c>
      <c r="BL42" t="s">
        <v>1839</v>
      </c>
      <c r="BM42" t="s">
        <v>231</v>
      </c>
      <c r="BN42">
        <v>2.12</v>
      </c>
      <c r="BO42">
        <v>7.17</v>
      </c>
      <c r="BP42">
        <v>6.35</v>
      </c>
      <c r="BQ42">
        <v>2.5499999999999998</v>
      </c>
      <c r="BR42">
        <v>7.58</v>
      </c>
      <c r="BS42">
        <v>7.03</v>
      </c>
      <c r="BT42" t="s">
        <v>2803</v>
      </c>
      <c r="BU42" t="s">
        <v>2031</v>
      </c>
      <c r="BV42">
        <v>61.91</v>
      </c>
      <c r="BW42">
        <v>65.319999999999993</v>
      </c>
      <c r="BX42">
        <v>66.3</v>
      </c>
      <c r="BY42">
        <v>6.96</v>
      </c>
      <c r="BZ42">
        <v>6.93</v>
      </c>
      <c r="CA42">
        <v>6.28</v>
      </c>
      <c r="CB42">
        <v>-2.77</v>
      </c>
      <c r="CC42">
        <v>-7.51</v>
      </c>
      <c r="CD42" t="s">
        <v>2804</v>
      </c>
      <c r="CE42" t="s">
        <v>353</v>
      </c>
      <c r="CF42" s="9">
        <v>-0.55138121546961338</v>
      </c>
      <c r="CG42" s="10">
        <v>-1.2683322676100395</v>
      </c>
      <c r="CH42" s="9">
        <v>-0.79649120569229126</v>
      </c>
      <c r="CI42" s="9">
        <v>0.11577184498310089</v>
      </c>
      <c r="CJ42" s="9">
        <v>0.19518716633319855</v>
      </c>
      <c r="CK42" s="9">
        <v>1.9768189638853073E-2</v>
      </c>
      <c r="CL42" s="9">
        <v>9.3144610524177551E-2</v>
      </c>
      <c r="CM42" s="10">
        <v>-1.0723409652709961</v>
      </c>
      <c r="CN42" s="10">
        <v>0.1964285671710968</v>
      </c>
      <c r="CO42" s="10">
        <v>-7.4380166828632355E-2</v>
      </c>
      <c r="CP42" s="10">
        <v>0.17475728690624237</v>
      </c>
      <c r="CQ42" s="10">
        <v>0.29990261793136597</v>
      </c>
      <c r="CR42">
        <v>47.413366867886346</v>
      </c>
      <c r="CS42">
        <v>6.362171105993002</v>
      </c>
      <c r="CT42">
        <v>0.72639064475347648</v>
      </c>
      <c r="CU42" s="9">
        <v>-7.4523878842592234E-2</v>
      </c>
      <c r="CV42" s="10">
        <v>-9.5126532018184662E-2</v>
      </c>
      <c r="CW42">
        <v>0.06</v>
      </c>
      <c r="CX42" t="e">
        <v>#VALUE!</v>
      </c>
      <c r="CY42" t="s">
        <v>1308</v>
      </c>
      <c r="CZ42">
        <v>-7.4523878842592234E-2</v>
      </c>
      <c r="DA42" t="e">
        <v>#VALUE!</v>
      </c>
      <c r="DB42" t="s">
        <v>1309</v>
      </c>
      <c r="DC42">
        <v>-7.0797684900462621E-2</v>
      </c>
      <c r="DD42" t="e">
        <v>#VALUE!</v>
      </c>
      <c r="DE42" t="s">
        <v>1309</v>
      </c>
      <c r="DF42">
        <v>-6.558101338148116E-2</v>
      </c>
      <c r="DG42" t="e">
        <v>#VALUE!</v>
      </c>
      <c r="DH42" t="s">
        <v>1309</v>
      </c>
      <c r="DI42">
        <v>-5.9619103074073788E-2</v>
      </c>
      <c r="DJ42" t="e">
        <v>#VALUE!</v>
      </c>
      <c r="DK42" t="s">
        <v>1309</v>
      </c>
      <c r="DL42">
        <v>-5.2166715189814562E-2</v>
      </c>
      <c r="DM42">
        <v>-9693700</v>
      </c>
      <c r="DN42">
        <v>-7.4523878842592234E-2</v>
      </c>
      <c r="DO42">
        <v>3167591700</v>
      </c>
      <c r="DP42">
        <v>741979200</v>
      </c>
      <c r="DQ42">
        <v>1851</v>
      </c>
      <c r="DR42">
        <v>-0.47685733662702112</v>
      </c>
      <c r="DS42">
        <v>-1.1732057355918548</v>
      </c>
      <c r="DT42" s="11">
        <v>-0.64</v>
      </c>
      <c r="DU42">
        <v>-1.2816666666666667</v>
      </c>
      <c r="DV42">
        <v>-1.9216666666666669</v>
      </c>
      <c r="DW42">
        <v>-8.3688415446071911</v>
      </c>
      <c r="DX42">
        <v>0.36126993006993119</v>
      </c>
      <c r="DY42">
        <v>-8.0594830501056869</v>
      </c>
      <c r="DZ42">
        <v>2678</v>
      </c>
      <c r="EA42">
        <v>-8.0283097412636071</v>
      </c>
      <c r="EB42">
        <v>8</v>
      </c>
      <c r="EC42">
        <v>8.5569758020244635E-2</v>
      </c>
      <c r="ED42">
        <v>0.53059958532343732</v>
      </c>
      <c r="EE42" s="12">
        <v>-3.0581100000000001</v>
      </c>
      <c r="EF42">
        <v>-3.0623100000000001</v>
      </c>
      <c r="EG42">
        <v>20.161269930069931</v>
      </c>
      <c r="EH42" t="s">
        <v>1471</v>
      </c>
      <c r="EI42">
        <v>0</v>
      </c>
      <c r="EJ42">
        <v>0</v>
      </c>
      <c r="EK42" s="14">
        <v>45470</v>
      </c>
      <c r="EL42" s="15">
        <v>0.06</v>
      </c>
      <c r="EM42" s="15">
        <v>-5.39</v>
      </c>
      <c r="EN42" s="15">
        <v>-1.33</v>
      </c>
      <c r="EO42" s="15">
        <v>5.78</v>
      </c>
      <c r="EP42" s="15">
        <v>-0.42</v>
      </c>
    </row>
    <row r="43" spans="1:146" ht="108" x14ac:dyDescent="0.25">
      <c r="A43" s="7"/>
      <c r="B43" s="7"/>
      <c r="C43" s="7" t="str">
        <f>""&amp;CHAR(10)&amp;Basic_Fundamental_Information_Constructure(F43)&amp;CHAR(10)&amp;Basic_Fundamental_Information_Concatenate("")</f>
        <v xml:space="preserve">
市值44.997793亿, 利润-7293.80万; PE; 平均PE42.01; 平均PEG138.12, PB1.25; ROIC11.32%; ROE2.3667%; 股利率0%; 毛利70.45%; 净利-32.3567%; 上一年度营收增-90.43%, 利润增-85.28%; 当季营收增-48.15%, 利润增58.56%; 过往5年营收增-.3%, 利润增-22.18%
Income profile:
</v>
      </c>
      <c r="D43" t="s">
        <v>91</v>
      </c>
      <c r="E43" t="s">
        <v>15</v>
      </c>
      <c r="F43">
        <v>7.94</v>
      </c>
      <c r="G43">
        <v>1.66</v>
      </c>
      <c r="H43" t="s">
        <v>2805</v>
      </c>
      <c r="I43">
        <v>4499779300</v>
      </c>
      <c r="K43">
        <v>1.25</v>
      </c>
      <c r="L43" t="s">
        <v>1303</v>
      </c>
      <c r="M43" t="s">
        <v>494</v>
      </c>
      <c r="N43" t="s">
        <v>2075</v>
      </c>
      <c r="O43" t="s">
        <v>2806</v>
      </c>
      <c r="P43">
        <v>102.01</v>
      </c>
      <c r="Q43" t="s">
        <v>2806</v>
      </c>
      <c r="R43">
        <v>-72937986</v>
      </c>
      <c r="S43" s="5">
        <v>0.17660000000000001</v>
      </c>
      <c r="T43" t="s">
        <v>2807</v>
      </c>
      <c r="U43">
        <v>536547710</v>
      </c>
      <c r="V43">
        <v>566722830</v>
      </c>
      <c r="W43">
        <v>1.1599999999999999</v>
      </c>
      <c r="X43">
        <v>0.02</v>
      </c>
      <c r="Y43">
        <v>-96.35</v>
      </c>
      <c r="Z43" t="s">
        <v>572</v>
      </c>
      <c r="AA43" t="s">
        <v>2808</v>
      </c>
      <c r="AB43" t="s">
        <v>2809</v>
      </c>
      <c r="AC43" t="s">
        <v>2810</v>
      </c>
      <c r="AD43" t="s">
        <v>63</v>
      </c>
      <c r="AE43">
        <v>-5405907</v>
      </c>
      <c r="AF43" t="s">
        <v>2811</v>
      </c>
      <c r="AG43">
        <v>7103.55</v>
      </c>
      <c r="AH43" t="s">
        <v>2812</v>
      </c>
      <c r="AI43" t="s">
        <v>2813</v>
      </c>
      <c r="AJ43" t="s">
        <v>2814</v>
      </c>
      <c r="AK43" t="s">
        <v>2815</v>
      </c>
      <c r="AL43" t="s">
        <v>2816</v>
      </c>
      <c r="AM43" t="s">
        <v>63</v>
      </c>
      <c r="AN43">
        <v>0</v>
      </c>
      <c r="AO43" t="s">
        <v>2817</v>
      </c>
      <c r="AP43" t="s">
        <v>63</v>
      </c>
      <c r="AQ43" t="s">
        <v>2818</v>
      </c>
      <c r="AR43" t="s">
        <v>63</v>
      </c>
      <c r="AS43" t="s">
        <v>1401</v>
      </c>
      <c r="AT43" t="s">
        <v>63</v>
      </c>
      <c r="AU43" t="s">
        <v>174</v>
      </c>
      <c r="AV43" t="s">
        <v>860</v>
      </c>
      <c r="AW43" t="s">
        <v>1539</v>
      </c>
      <c r="AX43" t="s">
        <v>2819</v>
      </c>
      <c r="AY43" t="s">
        <v>1197</v>
      </c>
      <c r="AZ43" t="s">
        <v>437</v>
      </c>
      <c r="BA43" t="s">
        <v>519</v>
      </c>
      <c r="BB43" t="s">
        <v>570</v>
      </c>
      <c r="BC43" t="s">
        <v>2820</v>
      </c>
      <c r="BD43" t="s">
        <v>217</v>
      </c>
      <c r="BE43" t="s">
        <v>545</v>
      </c>
      <c r="BF43" t="s">
        <v>415</v>
      </c>
      <c r="BG43" t="s">
        <v>183</v>
      </c>
      <c r="BH43" t="s">
        <v>755</v>
      </c>
      <c r="BI43" t="s">
        <v>304</v>
      </c>
      <c r="BJ43" t="s">
        <v>2819</v>
      </c>
      <c r="BK43" t="s">
        <v>2821</v>
      </c>
      <c r="BL43" t="s">
        <v>1135</v>
      </c>
      <c r="BM43" t="s">
        <v>2820</v>
      </c>
      <c r="BN43" t="s">
        <v>63</v>
      </c>
      <c r="BO43" t="s">
        <v>63</v>
      </c>
      <c r="BP43">
        <v>11.32</v>
      </c>
      <c r="BQ43">
        <v>-6.92</v>
      </c>
      <c r="BR43">
        <v>2.57</v>
      </c>
      <c r="BS43">
        <v>11.45</v>
      </c>
      <c r="BT43" t="s">
        <v>1445</v>
      </c>
      <c r="BU43" t="s">
        <v>2052</v>
      </c>
      <c r="BV43">
        <v>68.33</v>
      </c>
      <c r="BW43">
        <v>66.06</v>
      </c>
      <c r="BX43">
        <v>76.959999999999994</v>
      </c>
      <c r="BY43">
        <v>-120.83</v>
      </c>
      <c r="BZ43">
        <v>-4.9800000000000004</v>
      </c>
      <c r="CA43">
        <v>28.74</v>
      </c>
      <c r="CB43">
        <v>-1.73</v>
      </c>
      <c r="CC43">
        <v>-21.93</v>
      </c>
      <c r="CD43" t="s">
        <v>2822</v>
      </c>
      <c r="CE43" t="s">
        <v>343</v>
      </c>
      <c r="CF43" s="9">
        <v>-0.48152054794520549</v>
      </c>
      <c r="CG43" s="10">
        <v>0.58557962500000005</v>
      </c>
      <c r="CH43" s="9">
        <v>-0.90430092811584473</v>
      </c>
      <c r="CI43" s="9">
        <v>-8.3429895341396332E-2</v>
      </c>
      <c r="CJ43" s="9">
        <v>0.34843748807907104</v>
      </c>
      <c r="CK43" s="9">
        <v>0.2800000011920929</v>
      </c>
      <c r="CL43" s="9">
        <v>0.34408602118492126</v>
      </c>
      <c r="CM43" s="10">
        <v>-0.85279363393783569</v>
      </c>
      <c r="CN43" s="10">
        <v>-1.1587358713150024</v>
      </c>
      <c r="CO43" s="10">
        <v>1.6393441706895828E-2</v>
      </c>
      <c r="CP43" s="10">
        <v>0.73049646615982056</v>
      </c>
      <c r="CQ43" s="10">
        <v>0.15573769807815552</v>
      </c>
      <c r="CR43">
        <v>42.008502938016527</v>
      </c>
      <c r="CS43">
        <v>138.11941312322438</v>
      </c>
      <c r="CT43">
        <v>0</v>
      </c>
      <c r="CU43" s="9">
        <v>-3.0414626002311707E-3</v>
      </c>
      <c r="CV43" s="10">
        <v>-0.22178037986159324</v>
      </c>
      <c r="CW43">
        <v>0.06</v>
      </c>
      <c r="CX43" t="e">
        <v>#VALUE!</v>
      </c>
      <c r="CY43" t="s">
        <v>1308</v>
      </c>
      <c r="CZ43">
        <v>-3.0414626002311707E-3</v>
      </c>
      <c r="DA43" t="e">
        <v>#VALUE!</v>
      </c>
      <c r="DB43" t="s">
        <v>1309</v>
      </c>
      <c r="DC43">
        <v>-2.889389470219612E-3</v>
      </c>
      <c r="DD43" t="e">
        <v>#VALUE!</v>
      </c>
      <c r="DE43" t="s">
        <v>1309</v>
      </c>
      <c r="DF43">
        <v>-2.6764870882034302E-3</v>
      </c>
      <c r="DG43" t="e">
        <v>#VALUE!</v>
      </c>
      <c r="DH43" t="s">
        <v>1309</v>
      </c>
      <c r="DI43">
        <v>-2.4331700801849369E-3</v>
      </c>
      <c r="DJ43" t="e">
        <v>#VALUE!</v>
      </c>
      <c r="DK43" t="s">
        <v>1309</v>
      </c>
      <c r="DL43">
        <v>-2.1290238201618194E-3</v>
      </c>
      <c r="DM43">
        <v>-72938000</v>
      </c>
      <c r="DN43">
        <v>-3.0414626002311707E-3</v>
      </c>
      <c r="DO43">
        <v>1260779300</v>
      </c>
      <c r="DP43">
        <v>2359026400</v>
      </c>
      <c r="DQ43">
        <v>1852</v>
      </c>
      <c r="DR43">
        <v>-0.4784790853449743</v>
      </c>
      <c r="DS43">
        <v>0.80736000486159332</v>
      </c>
      <c r="DT43" s="11">
        <v>-0.42333333333333339</v>
      </c>
      <c r="DU43">
        <v>-1.8116666666666668</v>
      </c>
      <c r="DV43">
        <v>-2.2350000000000003</v>
      </c>
      <c r="DW43">
        <v>-3.0670654761904763</v>
      </c>
      <c r="DX43">
        <v>0.37598593350383691</v>
      </c>
      <c r="DY43">
        <v>-3.0111319256713553</v>
      </c>
      <c r="DZ43">
        <v>4574</v>
      </c>
      <c r="EA43">
        <v>-3.001167654043023</v>
      </c>
      <c r="EB43">
        <v>3</v>
      </c>
      <c r="EC43">
        <v>0.11451894394302062</v>
      </c>
      <c r="ED43">
        <v>0.68993161965964911</v>
      </c>
      <c r="EE43" s="12">
        <v>-6.0457000000000001</v>
      </c>
      <c r="EF43">
        <v>-6.0324999999999998</v>
      </c>
      <c r="EG43">
        <v>21.165985933503837</v>
      </c>
      <c r="EH43" t="s">
        <v>1807</v>
      </c>
      <c r="EI43">
        <v>0</v>
      </c>
      <c r="EJ43">
        <v>0</v>
      </c>
      <c r="EK43" s="14">
        <v>45470</v>
      </c>
      <c r="EL43" s="15">
        <v>-2.16</v>
      </c>
      <c r="EM43" s="15">
        <v>-5.82</v>
      </c>
      <c r="EN43" s="15">
        <v>-2.4700000000000002</v>
      </c>
      <c r="EO43" s="15">
        <v>5.32</v>
      </c>
      <c r="EP43" s="15">
        <v>-1.32</v>
      </c>
    </row>
    <row r="44" spans="1:146" ht="96" x14ac:dyDescent="0.25">
      <c r="A44" s="7"/>
      <c r="B44" s="7"/>
      <c r="C44" s="7" t="str">
        <f>""&amp;CHAR(10)&amp;Basic_Fundamental_Information_Constructure(F44)&amp;CHAR(10)&amp;Basic_Fundamental_Information_Concatenate("")</f>
        <v xml:space="preserve">
市值22.496346亿, 利润257.50万; PE; 平均PE213.21; 平均PEG23.99, PB6.11; ROIC2.41%; ROE-7.5833%; 股利率0%; 毛利24.9633%; 净利-4.94%; 上一年度营收增-82.28%, 利润增103.55%; 当季营收增-57.14%, 利润增110.03%; 过往5年营收增-8.89%, 利润增-118.51%
Income profile:
</v>
      </c>
      <c r="D44" t="s">
        <v>96</v>
      </c>
      <c r="E44" t="s">
        <v>20</v>
      </c>
      <c r="F44">
        <v>16.25</v>
      </c>
      <c r="G44">
        <v>3.44</v>
      </c>
      <c r="H44" t="s">
        <v>2823</v>
      </c>
      <c r="I44">
        <v>2249634600</v>
      </c>
      <c r="K44">
        <v>6.11</v>
      </c>
      <c r="L44" t="s">
        <v>1303</v>
      </c>
      <c r="M44" t="s">
        <v>1510</v>
      </c>
      <c r="N44" t="s">
        <v>375</v>
      </c>
      <c r="O44" t="s">
        <v>497</v>
      </c>
      <c r="P44">
        <v>10.029999999999999</v>
      </c>
      <c r="Q44" t="s">
        <v>497</v>
      </c>
      <c r="R44">
        <v>2575048</v>
      </c>
      <c r="S44" s="5">
        <v>1.1930000000000001</v>
      </c>
      <c r="T44" t="s">
        <v>2824</v>
      </c>
      <c r="U44">
        <v>127379543</v>
      </c>
      <c r="V44">
        <v>138439050</v>
      </c>
      <c r="W44">
        <v>2.9</v>
      </c>
      <c r="X44">
        <v>0.14000000000000001</v>
      </c>
      <c r="Y44">
        <v>-0.13</v>
      </c>
      <c r="Z44" t="s">
        <v>455</v>
      </c>
      <c r="AA44" t="s">
        <v>2825</v>
      </c>
      <c r="AB44" t="s">
        <v>2826</v>
      </c>
      <c r="AC44" t="s">
        <v>2827</v>
      </c>
      <c r="AD44" t="s">
        <v>63</v>
      </c>
      <c r="AE44">
        <v>2050846</v>
      </c>
      <c r="AF44" t="s">
        <v>2828</v>
      </c>
      <c r="AG44" t="s">
        <v>63</v>
      </c>
      <c r="AH44" t="s">
        <v>2829</v>
      </c>
      <c r="AI44" t="s">
        <v>298</v>
      </c>
      <c r="AJ44" t="s">
        <v>2830</v>
      </c>
      <c r="AK44" t="s">
        <v>63</v>
      </c>
      <c r="AL44" t="s">
        <v>2831</v>
      </c>
      <c r="AM44" t="s">
        <v>63</v>
      </c>
      <c r="AN44">
        <v>0</v>
      </c>
      <c r="AO44" t="s">
        <v>219</v>
      </c>
      <c r="AP44" t="s">
        <v>63</v>
      </c>
      <c r="AQ44" t="s">
        <v>2832</v>
      </c>
      <c r="AR44" t="s">
        <v>63</v>
      </c>
      <c r="AS44" t="s">
        <v>1332</v>
      </c>
      <c r="AT44" t="s">
        <v>63</v>
      </c>
      <c r="AU44" t="s">
        <v>1816</v>
      </c>
      <c r="AV44" t="s">
        <v>2833</v>
      </c>
      <c r="AW44" t="s">
        <v>419</v>
      </c>
      <c r="AX44" t="s">
        <v>1404</v>
      </c>
      <c r="AY44" t="s">
        <v>1068</v>
      </c>
      <c r="AZ44" t="s">
        <v>618</v>
      </c>
      <c r="BA44" t="s">
        <v>521</v>
      </c>
      <c r="BB44" t="s">
        <v>227</v>
      </c>
      <c r="BC44" t="s">
        <v>1529</v>
      </c>
      <c r="BD44" t="s">
        <v>1198</v>
      </c>
      <c r="BE44" t="s">
        <v>879</v>
      </c>
      <c r="BF44" t="s">
        <v>522</v>
      </c>
      <c r="BG44" t="s">
        <v>881</v>
      </c>
      <c r="BH44" t="s">
        <v>2834</v>
      </c>
      <c r="BI44" t="s">
        <v>327</v>
      </c>
      <c r="BJ44" t="s">
        <v>1404</v>
      </c>
      <c r="BK44" t="s">
        <v>2835</v>
      </c>
      <c r="BL44" t="s">
        <v>1841</v>
      </c>
      <c r="BM44" t="s">
        <v>1529</v>
      </c>
      <c r="BN44" t="s">
        <v>63</v>
      </c>
      <c r="BO44" t="s">
        <v>63</v>
      </c>
      <c r="BP44">
        <v>2.41</v>
      </c>
      <c r="BQ44">
        <v>-8.7899999999999991</v>
      </c>
      <c r="BR44">
        <v>-16.46</v>
      </c>
      <c r="BS44">
        <v>2.5</v>
      </c>
      <c r="BT44" t="s">
        <v>1445</v>
      </c>
      <c r="BU44" t="s">
        <v>2052</v>
      </c>
      <c r="BV44">
        <v>20.72</v>
      </c>
      <c r="BW44">
        <v>20.309999999999999</v>
      </c>
      <c r="BX44">
        <v>33.86</v>
      </c>
      <c r="BY44">
        <v>-6.02</v>
      </c>
      <c r="BZ44">
        <v>-10.23</v>
      </c>
      <c r="CA44">
        <v>1.43</v>
      </c>
      <c r="CB44">
        <v>5.79</v>
      </c>
      <c r="CC44">
        <v>-0.67</v>
      </c>
      <c r="CD44" t="s">
        <v>2836</v>
      </c>
      <c r="CE44" t="s">
        <v>212</v>
      </c>
      <c r="CF44" s="9">
        <v>-0.5714285714285714</v>
      </c>
      <c r="CG44" s="10">
        <v>1.1003228973491872</v>
      </c>
      <c r="CH44" s="9">
        <v>-0.8228498101234436</v>
      </c>
      <c r="CI44" s="9">
        <v>3.1788080930709839E-2</v>
      </c>
      <c r="CJ44" s="9">
        <v>0.1422087699174881</v>
      </c>
      <c r="CK44" s="9">
        <v>2.1638330072164536E-2</v>
      </c>
      <c r="CL44" s="9">
        <v>0.18281535804271698</v>
      </c>
      <c r="CM44" s="10">
        <v>1.0355091094970703</v>
      </c>
      <c r="CN44" s="10">
        <v>-7.1858835220336914</v>
      </c>
      <c r="CO44" s="10">
        <v>-0.80852258205413818</v>
      </c>
      <c r="CP44" s="10">
        <v>0.96944665908813477</v>
      </c>
      <c r="CQ44" s="10">
        <v>6.3993781805038452E-2</v>
      </c>
      <c r="CR44">
        <v>213.20755098462601</v>
      </c>
      <c r="CS44">
        <v>23.988287652669076</v>
      </c>
      <c r="CT44">
        <v>0</v>
      </c>
      <c r="CU44" s="9">
        <v>-8.8879854232072827E-2</v>
      </c>
      <c r="CV44" s="10">
        <v>-1.1850913107395171</v>
      </c>
      <c r="CW44">
        <v>0.06</v>
      </c>
      <c r="CX44">
        <v>907.4309126213592</v>
      </c>
      <c r="CY44" t="s">
        <v>2837</v>
      </c>
      <c r="CZ44">
        <v>-8.8879854232072827E-2</v>
      </c>
      <c r="DA44">
        <v>302.4769708737864</v>
      </c>
      <c r="DB44" t="s">
        <v>2838</v>
      </c>
      <c r="DC44">
        <v>-8.4435861520469183E-2</v>
      </c>
      <c r="DD44">
        <v>151.2384854368932</v>
      </c>
      <c r="DE44" t="s">
        <v>2839</v>
      </c>
      <c r="DF44">
        <v>-7.8214271724224085E-2</v>
      </c>
      <c r="DG44">
        <v>90.74309126213592</v>
      </c>
      <c r="DH44" t="s">
        <v>2840</v>
      </c>
      <c r="DI44">
        <v>-7.1103883385658262E-2</v>
      </c>
      <c r="DJ44">
        <v>45.37154563106796</v>
      </c>
      <c r="DK44" t="s">
        <v>2841</v>
      </c>
      <c r="DL44">
        <v>-6.2215897962450972E-2</v>
      </c>
      <c r="DM44">
        <v>2575000</v>
      </c>
      <c r="DN44">
        <v>-8.8879854232072827E-2</v>
      </c>
      <c r="DO44">
        <v>2336634600</v>
      </c>
      <c r="DP44">
        <v>278338320</v>
      </c>
      <c r="DQ44">
        <v>1853</v>
      </c>
      <c r="DR44">
        <v>-0.48254871719649856</v>
      </c>
      <c r="DS44">
        <v>2.2854142080887043</v>
      </c>
      <c r="DT44" s="11">
        <v>-0.67333333333333334</v>
      </c>
      <c r="DU44">
        <v>0.18333333333333332</v>
      </c>
      <c r="DV44">
        <v>-0.49</v>
      </c>
      <c r="DW44">
        <v>4.1157167530224523</v>
      </c>
      <c r="DX44">
        <v>0.54998188976378026</v>
      </c>
      <c r="DY44">
        <v>4.0416559354303514</v>
      </c>
      <c r="DZ44">
        <v>3458</v>
      </c>
      <c r="EA44">
        <v>4.0134668503583057</v>
      </c>
      <c r="EB44">
        <v>4</v>
      </c>
      <c r="EC44">
        <v>0.3302370248856808</v>
      </c>
      <c r="ED44">
        <v>0.91737121859764281</v>
      </c>
      <c r="EE44" s="12">
        <v>5.0640999999999998</v>
      </c>
      <c r="EF44">
        <v>5.0496999999999996</v>
      </c>
      <c r="EG44">
        <v>19.35998188976378</v>
      </c>
      <c r="EH44" t="s">
        <v>1500</v>
      </c>
      <c r="EI44">
        <v>0</v>
      </c>
      <c r="EJ44">
        <v>0</v>
      </c>
      <c r="EK44" s="14">
        <v>45470</v>
      </c>
      <c r="EL44" s="15">
        <v>0.26</v>
      </c>
      <c r="EM44" s="15">
        <v>-3.34</v>
      </c>
      <c r="EN44" s="15">
        <v>0.86</v>
      </c>
      <c r="EO44" s="15">
        <v>5.34</v>
      </c>
      <c r="EP44" s="15">
        <v>-1.44</v>
      </c>
    </row>
    <row r="45" spans="1:146" ht="108" x14ac:dyDescent="0.25">
      <c r="A45" s="7"/>
      <c r="B45" s="7"/>
      <c r="C45" s="7" t="str">
        <f>""&amp;CHAR(10)&amp;Basic_Fundamental_Information_Constructure(F45)&amp;CHAR(10)&amp;Basic_Fundamental_Information_Concatenate("")</f>
        <v xml:space="preserve">
市值52.360415亿, 利润1235.97万; PE135.4; 平均PE23.67; 平均PEG2.21, PB1.13; ROIC3.73%; ROE4.1067%; 股利率.2959%; 毛利50.1967%; 净利9.1133%; 上一年度营收增-75.44%, 利润增-71.01%; 当季营收增-46.73%, 利润增-48.52%; 过往5年营收增-10.74%, 利润增-16.63%
Income profile:
</v>
      </c>
      <c r="D45" t="s">
        <v>137</v>
      </c>
      <c r="E45" t="s">
        <v>35</v>
      </c>
      <c r="F45">
        <v>3.38</v>
      </c>
      <c r="G45">
        <v>2.74</v>
      </c>
      <c r="H45" t="s">
        <v>2842</v>
      </c>
      <c r="I45">
        <v>5236041500</v>
      </c>
      <c r="J45">
        <v>135.4</v>
      </c>
      <c r="K45">
        <v>1.1299999999999999</v>
      </c>
      <c r="L45" t="s">
        <v>1303</v>
      </c>
      <c r="M45" t="s">
        <v>1399</v>
      </c>
      <c r="N45" t="s">
        <v>2843</v>
      </c>
      <c r="O45" t="s">
        <v>579</v>
      </c>
      <c r="P45">
        <v>7.76</v>
      </c>
      <c r="Q45" t="s">
        <v>579</v>
      </c>
      <c r="R45">
        <v>12359663</v>
      </c>
      <c r="S45" s="5">
        <v>0.1903</v>
      </c>
      <c r="T45" t="s">
        <v>2844</v>
      </c>
      <c r="U45">
        <v>1341649310</v>
      </c>
      <c r="V45">
        <v>1549124700</v>
      </c>
      <c r="W45">
        <v>1.21</v>
      </c>
      <c r="X45">
        <v>7.0000000000000007E-2</v>
      </c>
      <c r="Y45">
        <v>3.8</v>
      </c>
      <c r="Z45" t="s">
        <v>603</v>
      </c>
      <c r="AA45" t="s">
        <v>307</v>
      </c>
      <c r="AB45" t="s">
        <v>2845</v>
      </c>
      <c r="AC45" t="s">
        <v>2846</v>
      </c>
      <c r="AD45" t="s">
        <v>63</v>
      </c>
      <c r="AE45">
        <v>-10848488</v>
      </c>
      <c r="AF45" t="s">
        <v>2847</v>
      </c>
      <c r="AG45" t="s">
        <v>2848</v>
      </c>
      <c r="AH45" t="s">
        <v>2849</v>
      </c>
      <c r="AI45" t="s">
        <v>382</v>
      </c>
      <c r="AJ45" t="s">
        <v>2850</v>
      </c>
      <c r="AK45" t="s">
        <v>2851</v>
      </c>
      <c r="AL45" t="s">
        <v>2852</v>
      </c>
      <c r="AM45" t="s">
        <v>63</v>
      </c>
      <c r="AN45" t="s">
        <v>336</v>
      </c>
      <c r="AO45" t="s">
        <v>2853</v>
      </c>
      <c r="AP45" t="s">
        <v>2854</v>
      </c>
      <c r="AQ45" t="s">
        <v>885</v>
      </c>
      <c r="AR45" t="s">
        <v>2855</v>
      </c>
      <c r="AS45" t="s">
        <v>865</v>
      </c>
      <c r="AT45" t="s">
        <v>63</v>
      </c>
      <c r="AU45" t="s">
        <v>2856</v>
      </c>
      <c r="AV45" t="s">
        <v>2857</v>
      </c>
      <c r="AW45" t="s">
        <v>2858</v>
      </c>
      <c r="AX45" t="s">
        <v>1104</v>
      </c>
      <c r="AY45" t="s">
        <v>1200</v>
      </c>
      <c r="AZ45" t="s">
        <v>883</v>
      </c>
      <c r="BA45" t="s">
        <v>532</v>
      </c>
      <c r="BB45" t="s">
        <v>884</v>
      </c>
      <c r="BC45" t="s">
        <v>2859</v>
      </c>
      <c r="BD45" t="s">
        <v>554</v>
      </c>
      <c r="BE45" t="s">
        <v>467</v>
      </c>
      <c r="BF45" t="s">
        <v>442</v>
      </c>
      <c r="BG45" t="s">
        <v>383</v>
      </c>
      <c r="BH45" t="s">
        <v>1400</v>
      </c>
      <c r="BI45" t="s">
        <v>447</v>
      </c>
      <c r="BJ45" t="s">
        <v>1104</v>
      </c>
      <c r="BK45" t="s">
        <v>2860</v>
      </c>
      <c r="BL45" t="s">
        <v>1843</v>
      </c>
      <c r="BM45" t="s">
        <v>2859</v>
      </c>
      <c r="BN45">
        <v>1.77</v>
      </c>
      <c r="BO45">
        <v>0.56999999999999995</v>
      </c>
      <c r="BP45">
        <v>8.85</v>
      </c>
      <c r="BQ45">
        <v>1.96</v>
      </c>
      <c r="BR45">
        <v>0.92</v>
      </c>
      <c r="BS45">
        <v>9.44</v>
      </c>
      <c r="BT45" t="s">
        <v>1451</v>
      </c>
      <c r="BU45" t="s">
        <v>2052</v>
      </c>
      <c r="BV45">
        <v>46.98</v>
      </c>
      <c r="BW45">
        <v>49.39</v>
      </c>
      <c r="BX45">
        <v>54.22</v>
      </c>
      <c r="BY45">
        <v>2.83</v>
      </c>
      <c r="BZ45">
        <v>2.7</v>
      </c>
      <c r="CA45">
        <v>21.81</v>
      </c>
      <c r="CB45">
        <v>-2.31</v>
      </c>
      <c r="CC45">
        <v>-18.16</v>
      </c>
      <c r="CD45" t="s">
        <v>272</v>
      </c>
      <c r="CE45" t="s">
        <v>2861</v>
      </c>
      <c r="CF45" s="9">
        <v>-0.46732954545454547</v>
      </c>
      <c r="CG45" s="10">
        <v>-0.48517063559833884</v>
      </c>
      <c r="CH45" s="9">
        <v>-0.75442039966583252</v>
      </c>
      <c r="CI45" s="9">
        <v>-0.19589251279830933</v>
      </c>
      <c r="CJ45" s="9">
        <v>0.16289038956165314</v>
      </c>
      <c r="CK45" s="9">
        <v>0.10337833315134048</v>
      </c>
      <c r="CL45" s="9">
        <v>0.14728681743144989</v>
      </c>
      <c r="CM45" s="10">
        <v>-0.7100520133972168</v>
      </c>
      <c r="CN45" s="10">
        <v>-0.89678621292114258</v>
      </c>
      <c r="CO45" s="10">
        <v>0.24397590756416321</v>
      </c>
      <c r="CP45" s="10">
        <v>5.7324841618537903E-2</v>
      </c>
      <c r="CQ45" s="10">
        <v>0.47417840361595154</v>
      </c>
      <c r="CR45">
        <v>23.674873227846241</v>
      </c>
      <c r="CS45">
        <v>2.205360787643289</v>
      </c>
      <c r="CT45">
        <v>0.29585798816568049</v>
      </c>
      <c r="CU45" s="9">
        <v>-0.10735147446393967</v>
      </c>
      <c r="CV45" s="10">
        <v>-0.16627181470394134</v>
      </c>
      <c r="CW45">
        <v>0.06</v>
      </c>
      <c r="CX45">
        <v>135.60535449889559</v>
      </c>
      <c r="CY45" t="s">
        <v>2862</v>
      </c>
      <c r="CZ45">
        <v>-0.10735147446393967</v>
      </c>
      <c r="DA45">
        <v>45.201784832965203</v>
      </c>
      <c r="DB45" t="s">
        <v>2863</v>
      </c>
      <c r="DC45">
        <v>-0.10198390074074268</v>
      </c>
      <c r="DD45">
        <v>22.600892416482601</v>
      </c>
      <c r="DE45" t="s">
        <v>2864</v>
      </c>
      <c r="DF45">
        <v>-9.446929752826691E-2</v>
      </c>
      <c r="DG45">
        <v>13.56053544988956</v>
      </c>
      <c r="DH45" t="s">
        <v>2865</v>
      </c>
      <c r="DI45">
        <v>-8.5881179571151739E-2</v>
      </c>
      <c r="DJ45">
        <v>6.78026772494478</v>
      </c>
      <c r="DK45" t="s">
        <v>2866</v>
      </c>
      <c r="DL45">
        <v>-7.5146032124757761E-2</v>
      </c>
      <c r="DM45">
        <v>12359700</v>
      </c>
      <c r="DN45">
        <v>-0.10735147446393967</v>
      </c>
      <c r="DO45">
        <v>1676041500</v>
      </c>
      <c r="DP45">
        <v>2062377800</v>
      </c>
      <c r="DQ45">
        <v>1922</v>
      </c>
      <c r="DR45">
        <v>-0.3599780709906058</v>
      </c>
      <c r="DS45">
        <v>-0.31889882089439747</v>
      </c>
      <c r="DT45" s="11">
        <v>-0.79</v>
      </c>
      <c r="DU45">
        <v>-0.62</v>
      </c>
      <c r="DV45">
        <v>-1.4100000000000001</v>
      </c>
      <c r="DW45">
        <v>-3.0244285714285715</v>
      </c>
      <c r="DX45">
        <v>0.46547169811320627</v>
      </c>
      <c r="DY45">
        <v>-3.0042865229110514</v>
      </c>
      <c r="DZ45">
        <v>2454</v>
      </c>
      <c r="EA45">
        <v>-3.0022279852938851</v>
      </c>
      <c r="EB45">
        <v>3</v>
      </c>
      <c r="EC45">
        <v>0.12006780345055501</v>
      </c>
      <c r="ED45">
        <v>0.68425737450316293</v>
      </c>
      <c r="EE45" s="12">
        <v>-8.0259099999999997</v>
      </c>
      <c r="EF45">
        <v>-8.0482099999999992</v>
      </c>
      <c r="EG45">
        <v>29.175471698113206</v>
      </c>
      <c r="EH45" t="s">
        <v>2867</v>
      </c>
      <c r="EI45">
        <v>0</v>
      </c>
      <c r="EJ45">
        <v>0</v>
      </c>
      <c r="EK45" s="14">
        <v>45470</v>
      </c>
      <c r="EL45" s="15">
        <v>-0.54</v>
      </c>
      <c r="EM45" s="15">
        <v>-4.9000000000000004</v>
      </c>
      <c r="EN45" s="15">
        <v>-1.43</v>
      </c>
      <c r="EO45" s="15">
        <v>4.3600000000000003</v>
      </c>
      <c r="EP45" s="15">
        <v>-2.23</v>
      </c>
    </row>
    <row r="46" spans="1:146" ht="96" x14ac:dyDescent="0.25">
      <c r="A46" s="7"/>
      <c r="B46" s="7"/>
      <c r="C46" s="7" t="str">
        <f>""&amp;CHAR(10)&amp;Basic_Fundamental_Information_Constructure(F46)&amp;CHAR(10)&amp;Basic_Fundamental_Information_Concatenate("")</f>
        <v xml:space="preserve">
市值195.3565亿, 利润-4.89亿; PE161.4; 平均PE54.54; 平均PEG30.79, PB2.49; ROIC.61%; ROE-.1233%; 股利率.1028%; 毛利64.8133%; 净利3.0733%; 上一年度营收增-86.04%, 利润增-352.06%; 当季营收增-64.72%, 利润增11.78%; 过往5年营收增1.77%, 利润增-82.96%
Income profile:
</v>
      </c>
      <c r="D46" t="s">
        <v>107</v>
      </c>
      <c r="E46" t="s">
        <v>37</v>
      </c>
      <c r="F46">
        <v>48.62</v>
      </c>
      <c r="G46">
        <v>-0.04</v>
      </c>
      <c r="H46" t="s">
        <v>2868</v>
      </c>
      <c r="I46">
        <v>19535650000</v>
      </c>
      <c r="J46">
        <v>161.4</v>
      </c>
      <c r="K46">
        <v>2.4900000000000002</v>
      </c>
      <c r="L46" t="s">
        <v>1303</v>
      </c>
      <c r="M46" t="s">
        <v>2869</v>
      </c>
      <c r="N46" t="s">
        <v>2870</v>
      </c>
      <c r="O46" t="s">
        <v>1782</v>
      </c>
      <c r="P46">
        <v>-14.66</v>
      </c>
      <c r="Q46" t="s">
        <v>1782</v>
      </c>
      <c r="R46">
        <v>-488764950</v>
      </c>
      <c r="S46" s="5">
        <v>-0.18640000000000001</v>
      </c>
      <c r="T46" t="s">
        <v>2871</v>
      </c>
      <c r="U46">
        <v>251569030</v>
      </c>
      <c r="V46">
        <v>401802770</v>
      </c>
      <c r="W46">
        <v>1.74</v>
      </c>
      <c r="X46">
        <v>7.0000000000000007E-2</v>
      </c>
      <c r="Y46">
        <v>-47.24</v>
      </c>
      <c r="Z46" t="s">
        <v>2872</v>
      </c>
      <c r="AA46" t="s">
        <v>1343</v>
      </c>
      <c r="AB46" t="s">
        <v>812</v>
      </c>
      <c r="AC46" t="s">
        <v>2873</v>
      </c>
      <c r="AD46" t="s">
        <v>63</v>
      </c>
      <c r="AE46">
        <v>-51932735</v>
      </c>
      <c r="AF46" t="s">
        <v>2874</v>
      </c>
      <c r="AG46" t="s">
        <v>2875</v>
      </c>
      <c r="AH46" t="s">
        <v>2876</v>
      </c>
      <c r="AI46" t="s">
        <v>2877</v>
      </c>
      <c r="AJ46" t="s">
        <v>2878</v>
      </c>
      <c r="AK46" t="s">
        <v>2879</v>
      </c>
      <c r="AL46" t="s">
        <v>2880</v>
      </c>
      <c r="AM46" t="s">
        <v>63</v>
      </c>
      <c r="AN46" t="s">
        <v>418</v>
      </c>
      <c r="AO46" t="s">
        <v>1742</v>
      </c>
      <c r="AP46" t="s">
        <v>196</v>
      </c>
      <c r="AQ46" t="s">
        <v>303</v>
      </c>
      <c r="AR46" t="s">
        <v>63</v>
      </c>
      <c r="AS46" t="s">
        <v>2881</v>
      </c>
      <c r="AT46" t="s">
        <v>63</v>
      </c>
      <c r="AU46" t="s">
        <v>2882</v>
      </c>
      <c r="AV46" t="s">
        <v>770</v>
      </c>
      <c r="AW46" t="s">
        <v>254</v>
      </c>
      <c r="AX46" t="s">
        <v>1533</v>
      </c>
      <c r="AY46" t="s">
        <v>1201</v>
      </c>
      <c r="AZ46" t="s">
        <v>886</v>
      </c>
      <c r="BA46" t="s">
        <v>535</v>
      </c>
      <c r="BB46" t="s">
        <v>872</v>
      </c>
      <c r="BC46" t="s">
        <v>479</v>
      </c>
      <c r="BD46" t="s">
        <v>849</v>
      </c>
      <c r="BE46" t="s">
        <v>446</v>
      </c>
      <c r="BF46" t="s">
        <v>226</v>
      </c>
      <c r="BG46" t="s">
        <v>585</v>
      </c>
      <c r="BH46" t="s">
        <v>2883</v>
      </c>
      <c r="BI46" t="s">
        <v>1846</v>
      </c>
      <c r="BJ46" t="s">
        <v>1533</v>
      </c>
      <c r="BK46" t="s">
        <v>523</v>
      </c>
      <c r="BL46" t="s">
        <v>1613</v>
      </c>
      <c r="BM46" t="s">
        <v>479</v>
      </c>
      <c r="BN46" t="s">
        <v>63</v>
      </c>
      <c r="BO46">
        <v>0.28000000000000003</v>
      </c>
      <c r="BP46">
        <v>0.94</v>
      </c>
      <c r="BQ46">
        <v>-6.99</v>
      </c>
      <c r="BR46">
        <v>2.6</v>
      </c>
      <c r="BS46">
        <v>4.0199999999999996</v>
      </c>
      <c r="BT46" t="s">
        <v>2884</v>
      </c>
      <c r="BU46" t="s">
        <v>2031</v>
      </c>
      <c r="BV46">
        <v>65.13</v>
      </c>
      <c r="BW46">
        <v>63.82</v>
      </c>
      <c r="BX46">
        <v>65.489999999999995</v>
      </c>
      <c r="BY46">
        <v>2.59</v>
      </c>
      <c r="BZ46">
        <v>2.62</v>
      </c>
      <c r="CA46">
        <v>4.01</v>
      </c>
      <c r="CB46">
        <v>-3.78</v>
      </c>
      <c r="CC46">
        <v>-11.62</v>
      </c>
      <c r="CD46" t="s">
        <v>2885</v>
      </c>
      <c r="CE46" t="s">
        <v>2886</v>
      </c>
      <c r="CF46" s="9">
        <v>-0.64723926380368102</v>
      </c>
      <c r="CG46" s="10">
        <v>0.11775279783393502</v>
      </c>
      <c r="CH46" s="9">
        <v>-0.86038047075271606</v>
      </c>
      <c r="CI46" s="9">
        <v>8.9346066117286682E-2</v>
      </c>
      <c r="CJ46" s="9">
        <v>0.24679376184940338</v>
      </c>
      <c r="CK46" s="9">
        <v>0.18910668790340424</v>
      </c>
      <c r="CL46" s="9">
        <v>0.42369732260704041</v>
      </c>
      <c r="CM46" s="10">
        <v>-3.5206184387207031</v>
      </c>
      <c r="CN46" s="10">
        <v>-0.28937730193138123</v>
      </c>
      <c r="CO46" s="10">
        <v>-0.66254633665084839</v>
      </c>
      <c r="CP46" s="10">
        <v>6.5876156091690063E-2</v>
      </c>
      <c r="CQ46" s="10">
        <v>0.2587064802646637</v>
      </c>
      <c r="CR46">
        <v>54.5434620753839</v>
      </c>
      <c r="CS46">
        <v>30.793466574750191</v>
      </c>
      <c r="CT46">
        <v>0.10283833813245578</v>
      </c>
      <c r="CU46" s="9">
        <v>1.7712673544883727E-2</v>
      </c>
      <c r="CV46" s="10">
        <v>-0.82959188818931584</v>
      </c>
      <c r="CW46">
        <v>0.06</v>
      </c>
      <c r="CX46" t="e">
        <v>#VALUE!</v>
      </c>
      <c r="CY46" t="s">
        <v>1308</v>
      </c>
      <c r="CZ46">
        <v>1.7712673544883727E-2</v>
      </c>
      <c r="DA46" t="e">
        <v>#VALUE!</v>
      </c>
      <c r="DB46" t="s">
        <v>1309</v>
      </c>
      <c r="DC46">
        <v>1.6827039867639539E-2</v>
      </c>
      <c r="DD46" t="e">
        <v>#VALUE!</v>
      </c>
      <c r="DE46" t="s">
        <v>1309</v>
      </c>
      <c r="DF46">
        <v>1.558715271949768E-2</v>
      </c>
      <c r="DG46" t="e">
        <v>#VALUE!</v>
      </c>
      <c r="DH46" t="s">
        <v>1309</v>
      </c>
      <c r="DI46">
        <v>1.4170138835906981E-2</v>
      </c>
      <c r="DJ46" t="e">
        <v>#VALUE!</v>
      </c>
      <c r="DK46" t="s">
        <v>1309</v>
      </c>
      <c r="DL46">
        <v>1.2398871481418609E-2</v>
      </c>
      <c r="DM46">
        <v>-488999999.99999994</v>
      </c>
      <c r="DN46">
        <v>1.7712673544883727E-2</v>
      </c>
      <c r="DO46">
        <v>17461650000</v>
      </c>
      <c r="DP46">
        <v>1720186000</v>
      </c>
      <c r="DQ46">
        <v>1925</v>
      </c>
      <c r="DR46">
        <v>-0.66495193734856473</v>
      </c>
      <c r="DS46">
        <v>0.94734468602325084</v>
      </c>
      <c r="DT46" s="11">
        <v>-0.42333333333333339</v>
      </c>
      <c r="DU46">
        <v>-1.9650000000000001</v>
      </c>
      <c r="DV46">
        <v>-2.3883333333333336</v>
      </c>
      <c r="DW46">
        <v>-8.3253012048192776</v>
      </c>
      <c r="DX46">
        <v>0.29828579524193632</v>
      </c>
      <c r="DY46">
        <v>-8.0417315237534019</v>
      </c>
      <c r="DZ46">
        <v>3423</v>
      </c>
      <c r="EA46">
        <v>-8.013777119485713</v>
      </c>
      <c r="EB46">
        <v>8</v>
      </c>
      <c r="EC46">
        <v>2.9522195678242834E-2</v>
      </c>
      <c r="ED46">
        <v>0.23012832888135643</v>
      </c>
      <c r="EE46" s="12">
        <v>-2.0483099999999999</v>
      </c>
      <c r="EF46">
        <v>-2.06921</v>
      </c>
      <c r="EG46">
        <v>17.128285795241936</v>
      </c>
      <c r="EH46" t="s">
        <v>1501</v>
      </c>
      <c r="EI46">
        <v>0</v>
      </c>
      <c r="EJ46">
        <v>0</v>
      </c>
      <c r="EK46" s="14">
        <v>45470</v>
      </c>
      <c r="EL46" s="15">
        <v>1.64</v>
      </c>
      <c r="EM46" s="15">
        <v>-3.95</v>
      </c>
      <c r="EN46" s="15">
        <v>0.4</v>
      </c>
      <c r="EO46" s="15">
        <v>4.57</v>
      </c>
      <c r="EP46" s="15">
        <v>-2.09</v>
      </c>
    </row>
    <row r="47" spans="1:146" ht="108" x14ac:dyDescent="0.25">
      <c r="A47" s="7"/>
      <c r="B47" s="7"/>
      <c r="C47" s="7" t="str">
        <f>""&amp;CHAR(10)&amp;Basic_Fundamental_Information_Constructure(F47)&amp;CHAR(10)&amp;Basic_Fundamental_Information_Concatenate("")</f>
        <v xml:space="preserve">
市值32.926378亿, 利润203.04万; PE162.7; 平均PE-51.86; 平均PEG-3.07, PB5.08; ROIC8.19%; ROE3.8533%; 股利率0%; 毛利18.1467%; 净利.8%; 上一年度营收增-86.19%, 利润增102.71%; 当季营收增-67.11%, 利润增-86.2%; 过往5年营收增-16.89%, 利润增-102.49%
Income profile:
</v>
      </c>
      <c r="D47" t="s">
        <v>140</v>
      </c>
      <c r="E47" t="s">
        <v>25</v>
      </c>
      <c r="F47">
        <v>7.37</v>
      </c>
      <c r="G47">
        <v>1.24</v>
      </c>
      <c r="H47" t="s">
        <v>2887</v>
      </c>
      <c r="I47">
        <v>3292637800</v>
      </c>
      <c r="J47">
        <v>162.69999999999999</v>
      </c>
      <c r="K47">
        <v>5.08</v>
      </c>
      <c r="L47" t="s">
        <v>1303</v>
      </c>
      <c r="M47" t="s">
        <v>1931</v>
      </c>
      <c r="N47" t="s">
        <v>2888</v>
      </c>
      <c r="O47" t="s">
        <v>1328</v>
      </c>
      <c r="P47">
        <v>-23.22</v>
      </c>
      <c r="Q47" t="s">
        <v>1328</v>
      </c>
      <c r="R47">
        <v>2030372</v>
      </c>
      <c r="S47" s="5">
        <v>-0.80659999999999998</v>
      </c>
      <c r="T47" t="s">
        <v>2889</v>
      </c>
      <c r="U47">
        <v>446762260</v>
      </c>
      <c r="V47">
        <v>446762260</v>
      </c>
      <c r="W47">
        <v>1.98</v>
      </c>
      <c r="X47">
        <v>0.15</v>
      </c>
      <c r="Y47">
        <v>1.0900000000000001</v>
      </c>
      <c r="Z47" t="s">
        <v>523</v>
      </c>
      <c r="AA47" t="s">
        <v>271</v>
      </c>
      <c r="AB47" t="s">
        <v>2890</v>
      </c>
      <c r="AC47" t="s">
        <v>2891</v>
      </c>
      <c r="AD47" t="s">
        <v>63</v>
      </c>
      <c r="AE47">
        <v>3238691</v>
      </c>
      <c r="AF47" t="s">
        <v>2892</v>
      </c>
      <c r="AG47" t="s">
        <v>2893</v>
      </c>
      <c r="AH47" t="s">
        <v>2894</v>
      </c>
      <c r="AI47" t="s">
        <v>271</v>
      </c>
      <c r="AJ47" t="s">
        <v>2895</v>
      </c>
      <c r="AK47" t="s">
        <v>2896</v>
      </c>
      <c r="AL47" t="s">
        <v>2897</v>
      </c>
      <c r="AM47" t="s">
        <v>63</v>
      </c>
      <c r="AN47">
        <v>0</v>
      </c>
      <c r="AO47" t="s">
        <v>349</v>
      </c>
      <c r="AP47" t="s">
        <v>63</v>
      </c>
      <c r="AQ47" t="s">
        <v>2898</v>
      </c>
      <c r="AR47" t="s">
        <v>63</v>
      </c>
      <c r="AS47" t="s">
        <v>1834</v>
      </c>
      <c r="AT47" t="s">
        <v>63</v>
      </c>
      <c r="AU47" t="s">
        <v>1773</v>
      </c>
      <c r="AV47" t="s">
        <v>2899</v>
      </c>
      <c r="AW47" t="s">
        <v>2900</v>
      </c>
      <c r="AX47" t="s">
        <v>1534</v>
      </c>
      <c r="AY47" t="s">
        <v>765</v>
      </c>
      <c r="AZ47" t="s">
        <v>820</v>
      </c>
      <c r="BA47" t="s">
        <v>538</v>
      </c>
      <c r="BB47" t="s">
        <v>888</v>
      </c>
      <c r="BC47" t="s">
        <v>1535</v>
      </c>
      <c r="BD47" t="s">
        <v>471</v>
      </c>
      <c r="BE47" t="s">
        <v>887</v>
      </c>
      <c r="BF47" t="s">
        <v>231</v>
      </c>
      <c r="BG47" t="s">
        <v>423</v>
      </c>
      <c r="BH47" t="s">
        <v>2901</v>
      </c>
      <c r="BI47" t="s">
        <v>1847</v>
      </c>
      <c r="BJ47" t="s">
        <v>1534</v>
      </c>
      <c r="BK47" t="s">
        <v>2902</v>
      </c>
      <c r="BL47" t="s">
        <v>1848</v>
      </c>
      <c r="BM47" t="s">
        <v>1535</v>
      </c>
      <c r="BN47">
        <v>3.2</v>
      </c>
      <c r="BO47" t="s">
        <v>63</v>
      </c>
      <c r="BP47">
        <v>13.18</v>
      </c>
      <c r="BQ47">
        <v>3.38</v>
      </c>
      <c r="BR47">
        <v>-11.44</v>
      </c>
      <c r="BS47">
        <v>19.62</v>
      </c>
      <c r="BT47" t="s">
        <v>1445</v>
      </c>
      <c r="BU47" t="s">
        <v>2052</v>
      </c>
      <c r="BV47">
        <v>18.510000000000002</v>
      </c>
      <c r="BW47">
        <v>18.940000000000001</v>
      </c>
      <c r="BX47">
        <v>16.989999999999998</v>
      </c>
      <c r="BY47">
        <v>2.0299999999999998</v>
      </c>
      <c r="BZ47">
        <v>-5.22</v>
      </c>
      <c r="CA47">
        <v>5.59</v>
      </c>
      <c r="CB47">
        <v>1.38</v>
      </c>
      <c r="CC47">
        <v>2.93</v>
      </c>
      <c r="CD47" t="s">
        <v>2903</v>
      </c>
      <c r="CE47" t="s">
        <v>555</v>
      </c>
      <c r="CF47" s="9">
        <v>-0.67107438016528931</v>
      </c>
      <c r="CG47" s="10">
        <v>-0.86202962761620006</v>
      </c>
      <c r="CH47" s="9">
        <v>-0.86190140247344971</v>
      </c>
      <c r="CI47" s="9">
        <v>-0.36770516633987427</v>
      </c>
      <c r="CJ47" s="9">
        <v>0.20327353477478027</v>
      </c>
      <c r="CK47" s="9">
        <v>7.7360637485980988E-2</v>
      </c>
      <c r="CL47" s="9">
        <v>0.10427135974168777</v>
      </c>
      <c r="CM47" s="10">
        <v>1.027069091796875</v>
      </c>
      <c r="CN47" s="10">
        <v>-1.6049032211303711</v>
      </c>
      <c r="CO47" s="10">
        <v>1.1847988367080688</v>
      </c>
      <c r="CP47" s="10">
        <v>-6.0074625015258789</v>
      </c>
      <c r="CQ47" s="10">
        <v>0.27619048953056335</v>
      </c>
      <c r="CR47">
        <v>-51.855612508451941</v>
      </c>
      <c r="CS47">
        <v>-3.069465423188666</v>
      </c>
      <c r="CT47">
        <v>0</v>
      </c>
      <c r="CU47" s="9">
        <v>-0.16894020736217499</v>
      </c>
      <c r="CV47" s="10">
        <v>-1.0248614609241486</v>
      </c>
      <c r="CW47">
        <v>0.06</v>
      </c>
      <c r="CX47">
        <v>1639.4000197005516</v>
      </c>
      <c r="CY47" t="s">
        <v>2904</v>
      </c>
      <c r="CZ47">
        <v>-0.16894020736217499</v>
      </c>
      <c r="DA47">
        <v>546.46667323351721</v>
      </c>
      <c r="DB47" t="s">
        <v>2905</v>
      </c>
      <c r="DC47">
        <v>-0.16049319699406622</v>
      </c>
      <c r="DD47">
        <v>273.23333661675861</v>
      </c>
      <c r="DE47" t="s">
        <v>2906</v>
      </c>
      <c r="DF47">
        <v>-0.148667382478714</v>
      </c>
      <c r="DG47">
        <v>163.94000197005516</v>
      </c>
      <c r="DH47" t="s">
        <v>2907</v>
      </c>
      <c r="DI47">
        <v>-0.13515216588973999</v>
      </c>
      <c r="DJ47">
        <v>81.970000985027582</v>
      </c>
      <c r="DK47" t="s">
        <v>2908</v>
      </c>
      <c r="DL47">
        <v>-0.11825814515352248</v>
      </c>
      <c r="DM47">
        <v>2030400</v>
      </c>
      <c r="DN47">
        <v>-0.16894020736217499</v>
      </c>
      <c r="DO47">
        <v>3328637800</v>
      </c>
      <c r="DP47">
        <v>524556940</v>
      </c>
      <c r="DQ47">
        <v>1936</v>
      </c>
      <c r="DR47">
        <v>-0.50213417280311434</v>
      </c>
      <c r="DS47">
        <v>0.16283183330794859</v>
      </c>
      <c r="DT47" s="11">
        <v>-0.79</v>
      </c>
      <c r="DU47">
        <v>-1.1066666666666665</v>
      </c>
      <c r="DV47">
        <v>-1.8966666666666665</v>
      </c>
      <c r="DW47">
        <v>1.0293000000000001</v>
      </c>
      <c r="DX47">
        <v>0.39801810154525469</v>
      </c>
      <c r="DY47">
        <v>1.0063879303752759</v>
      </c>
      <c r="DZ47">
        <v>4066</v>
      </c>
      <c r="EA47">
        <v>1.0013050879279428</v>
      </c>
      <c r="EB47">
        <v>1</v>
      </c>
      <c r="EC47">
        <v>0.22106209239786725</v>
      </c>
      <c r="ED47">
        <v>1.013962101454138</v>
      </c>
      <c r="EE47" s="12">
        <v>1.3100000000000008E-3</v>
      </c>
      <c r="EF47">
        <v>5.1410000000000004E-2</v>
      </c>
      <c r="EG47">
        <v>18.218018101545255</v>
      </c>
      <c r="EH47">
        <v>-1</v>
      </c>
      <c r="EI47">
        <v>0</v>
      </c>
      <c r="EJ47">
        <v>0</v>
      </c>
      <c r="EK47" s="14">
        <v>45470</v>
      </c>
      <c r="EL47" s="15">
        <v>6.85</v>
      </c>
      <c r="EM47" s="15">
        <v>6</v>
      </c>
      <c r="EN47" s="15">
        <v>1.1599999999999999</v>
      </c>
      <c r="EO47" s="15">
        <v>-1.02</v>
      </c>
      <c r="EP47" s="15">
        <v>-5.01</v>
      </c>
    </row>
    <row r="48" spans="1:146" ht="108" x14ac:dyDescent="0.25">
      <c r="A48" s="7"/>
      <c r="B48" s="7"/>
      <c r="C48" s="7" t="str">
        <f>""&amp;CHAR(10)&amp;Basic_Fundamental_Information_Constructure(F48)&amp;CHAR(10)&amp;Basic_Fundamental_Information_Concatenate("")</f>
        <v xml:space="preserve">
市值46.378747亿, 利润1643.30万; PE94.3; 平均PE76.45; 平均PEG8.96, PB2.85; ROIC3.8%; ROE4.11%; 股利率.6865%; 毛利35.37%; 净利7.7033%; 上一年度营收增-74.85%, 利润增-60.12%; 当季营收增-52.01%, 利润增-53.63%; 过往5年营收增-8.53%, 利润增-18.3%
Income profile:
</v>
      </c>
      <c r="D48" t="s">
        <v>89</v>
      </c>
      <c r="E48" t="s">
        <v>52</v>
      </c>
      <c r="F48">
        <v>8.74</v>
      </c>
      <c r="G48">
        <v>2.94</v>
      </c>
      <c r="H48" t="s">
        <v>2909</v>
      </c>
      <c r="I48">
        <v>4637874700</v>
      </c>
      <c r="J48">
        <v>94.3</v>
      </c>
      <c r="K48">
        <v>2.85</v>
      </c>
      <c r="L48" t="s">
        <v>1303</v>
      </c>
      <c r="M48" t="s">
        <v>322</v>
      </c>
      <c r="N48" t="s">
        <v>2910</v>
      </c>
      <c r="O48" t="s">
        <v>461</v>
      </c>
      <c r="P48">
        <v>4.62</v>
      </c>
      <c r="Q48" t="s">
        <v>461</v>
      </c>
      <c r="R48">
        <v>16433008</v>
      </c>
      <c r="S48" s="5">
        <v>0.1231</v>
      </c>
      <c r="T48" t="s">
        <v>2911</v>
      </c>
      <c r="U48">
        <v>529086960</v>
      </c>
      <c r="V48">
        <v>530649280</v>
      </c>
      <c r="W48">
        <v>1.0900000000000001</v>
      </c>
      <c r="X48">
        <v>0.1</v>
      </c>
      <c r="Y48">
        <v>9.82</v>
      </c>
      <c r="Z48" t="s">
        <v>236</v>
      </c>
      <c r="AA48" t="s">
        <v>200</v>
      </c>
      <c r="AB48" t="s">
        <v>2912</v>
      </c>
      <c r="AC48" t="s">
        <v>2913</v>
      </c>
      <c r="AD48" t="s">
        <v>63</v>
      </c>
      <c r="AE48">
        <v>321958</v>
      </c>
      <c r="AF48" t="s">
        <v>176</v>
      </c>
      <c r="AG48" t="s">
        <v>2914</v>
      </c>
      <c r="AH48" t="s">
        <v>2915</v>
      </c>
      <c r="AI48" t="s">
        <v>1782</v>
      </c>
      <c r="AJ48" t="s">
        <v>2916</v>
      </c>
      <c r="AK48" t="s">
        <v>63</v>
      </c>
      <c r="AL48" t="s">
        <v>2917</v>
      </c>
      <c r="AM48" t="s">
        <v>63</v>
      </c>
      <c r="AN48" t="s">
        <v>1537</v>
      </c>
      <c r="AO48" t="s">
        <v>63</v>
      </c>
      <c r="AP48" t="s">
        <v>63</v>
      </c>
      <c r="AQ48" t="s">
        <v>2918</v>
      </c>
      <c r="AR48" t="s">
        <v>63</v>
      </c>
      <c r="AS48" t="s">
        <v>392</v>
      </c>
      <c r="AT48" t="s">
        <v>63</v>
      </c>
      <c r="AU48" t="s">
        <v>2919</v>
      </c>
      <c r="AV48" t="s">
        <v>2920</v>
      </c>
      <c r="AW48" t="s">
        <v>2921</v>
      </c>
      <c r="AX48" t="s">
        <v>713</v>
      </c>
      <c r="AY48" t="s">
        <v>959</v>
      </c>
      <c r="AZ48" t="s">
        <v>741</v>
      </c>
      <c r="BA48" t="s">
        <v>540</v>
      </c>
      <c r="BB48" t="s">
        <v>690</v>
      </c>
      <c r="BC48" t="s">
        <v>1536</v>
      </c>
      <c r="BD48" t="s">
        <v>1203</v>
      </c>
      <c r="BE48" t="s">
        <v>889</v>
      </c>
      <c r="BF48" t="s">
        <v>541</v>
      </c>
      <c r="BG48" t="s">
        <v>890</v>
      </c>
      <c r="BH48" t="s">
        <v>767</v>
      </c>
      <c r="BI48" t="s">
        <v>67</v>
      </c>
      <c r="BJ48" t="s">
        <v>713</v>
      </c>
      <c r="BK48" t="s">
        <v>2922</v>
      </c>
      <c r="BL48" t="s">
        <v>1849</v>
      </c>
      <c r="BM48" t="s">
        <v>1536</v>
      </c>
      <c r="BN48">
        <v>3.08</v>
      </c>
      <c r="BO48">
        <v>2.87</v>
      </c>
      <c r="BP48">
        <v>5.45</v>
      </c>
      <c r="BQ48">
        <v>3.88</v>
      </c>
      <c r="BR48">
        <v>2.77</v>
      </c>
      <c r="BS48">
        <v>5.68</v>
      </c>
      <c r="BT48" t="s">
        <v>1454</v>
      </c>
      <c r="BU48" t="s">
        <v>2052</v>
      </c>
      <c r="BV48">
        <v>30.24</v>
      </c>
      <c r="BW48">
        <v>32.979999999999997</v>
      </c>
      <c r="BX48">
        <v>42.89</v>
      </c>
      <c r="BY48">
        <v>6.49</v>
      </c>
      <c r="BZ48">
        <v>6.21</v>
      </c>
      <c r="CA48">
        <v>10.41</v>
      </c>
      <c r="CB48">
        <v>0.92</v>
      </c>
      <c r="CC48">
        <v>5.68</v>
      </c>
      <c r="CD48" t="s">
        <v>183</v>
      </c>
      <c r="CE48" t="s">
        <v>1464</v>
      </c>
      <c r="CF48" s="9">
        <v>-0.52011494252873558</v>
      </c>
      <c r="CG48" s="10">
        <v>-0.53634214676895553</v>
      </c>
      <c r="CH48" s="9">
        <v>-0.74849396944046021</v>
      </c>
      <c r="CI48" s="9">
        <v>3.4267913550138474E-2</v>
      </c>
      <c r="CJ48" s="9">
        <v>0.11846689879894257</v>
      </c>
      <c r="CK48" s="9">
        <v>9.1254755854606628E-2</v>
      </c>
      <c r="CL48" s="9">
        <v>7.7868849039077759E-2</v>
      </c>
      <c r="CM48" s="10">
        <v>-0.60122787952423096</v>
      </c>
      <c r="CN48" s="10">
        <v>-0.38270235061645508</v>
      </c>
      <c r="CO48" s="10">
        <v>-0.10459258407354355</v>
      </c>
      <c r="CP48" s="10">
        <v>-0.22531084716320038</v>
      </c>
      <c r="CQ48" s="10">
        <v>0.3987274169921875</v>
      </c>
      <c r="CR48">
        <v>76.449093138379396</v>
      </c>
      <c r="CS48">
        <v>8.9595314718350458</v>
      </c>
      <c r="CT48">
        <v>0.68649885583524028</v>
      </c>
      <c r="CU48" s="9">
        <v>-8.5327110439538958E-2</v>
      </c>
      <c r="CV48" s="10">
        <v>-0.18302124887704849</v>
      </c>
      <c r="CW48">
        <v>0.06</v>
      </c>
      <c r="CX48">
        <v>191.98409906894662</v>
      </c>
      <c r="CY48" t="s">
        <v>2923</v>
      </c>
      <c r="CZ48">
        <v>-8.5327110439538958E-2</v>
      </c>
      <c r="DA48">
        <v>63.994699689648876</v>
      </c>
      <c r="DB48" t="s">
        <v>2924</v>
      </c>
      <c r="DC48">
        <v>-8.1060754917562011E-2</v>
      </c>
      <c r="DD48">
        <v>31.997349844824438</v>
      </c>
      <c r="DE48" t="s">
        <v>2925</v>
      </c>
      <c r="DF48">
        <v>-7.5087857186794282E-2</v>
      </c>
      <c r="DG48">
        <v>19.198409906894664</v>
      </c>
      <c r="DH48" t="s">
        <v>2926</v>
      </c>
      <c r="DI48">
        <v>-6.826168835163117E-2</v>
      </c>
      <c r="DJ48">
        <v>9.599204953447332</v>
      </c>
      <c r="DK48" t="s">
        <v>2927</v>
      </c>
      <c r="DL48">
        <v>-5.9728977307677268E-2</v>
      </c>
      <c r="DM48">
        <v>16433000</v>
      </c>
      <c r="DN48">
        <v>-8.5327110439538958E-2</v>
      </c>
      <c r="DO48">
        <v>3154874700</v>
      </c>
      <c r="DP48">
        <v>1201919890</v>
      </c>
      <c r="DQ48">
        <v>1939</v>
      </c>
      <c r="DR48">
        <v>-0.43478783208919664</v>
      </c>
      <c r="DS48">
        <v>-0.35332089789190702</v>
      </c>
      <c r="DT48" s="11">
        <v>-0.77333333333333332</v>
      </c>
      <c r="DU48">
        <v>-0.72000000000000008</v>
      </c>
      <c r="DV48">
        <v>-1.4933333333333334</v>
      </c>
      <c r="DW48">
        <v>1.0568</v>
      </c>
      <c r="DX48">
        <v>0.37614147909967982</v>
      </c>
      <c r="DY48">
        <v>1.0111408360128618</v>
      </c>
      <c r="DZ48">
        <v>2643</v>
      </c>
      <c r="EA48">
        <v>1.0053785601651135</v>
      </c>
      <c r="EB48">
        <v>1</v>
      </c>
      <c r="EC48">
        <v>0.22990703011978081</v>
      </c>
      <c r="ED48">
        <v>1.1721489568401939</v>
      </c>
      <c r="EE48" s="12">
        <v>-2.0657999999999999</v>
      </c>
      <c r="EF48">
        <v>-2.0255000000000001</v>
      </c>
      <c r="EG48">
        <v>18.19614147909968</v>
      </c>
      <c r="EH48" t="s">
        <v>1468</v>
      </c>
      <c r="EI48">
        <v>0</v>
      </c>
      <c r="EJ48">
        <v>0</v>
      </c>
      <c r="EK48" s="14">
        <v>45470</v>
      </c>
      <c r="EL48" s="15">
        <v>0.7</v>
      </c>
      <c r="EM48" s="15">
        <v>2.09</v>
      </c>
      <c r="EN48" s="15">
        <v>1.93</v>
      </c>
      <c r="EO48" s="15">
        <v>2.46</v>
      </c>
      <c r="EP48" s="15">
        <v>-4.03</v>
      </c>
    </row>
    <row r="49" spans="1:146" ht="96" x14ac:dyDescent="0.25">
      <c r="A49" s="7"/>
      <c r="B49" s="7"/>
      <c r="C49" s="7" t="str">
        <f>""&amp;CHAR(10)&amp;Basic_Fundamental_Information_Constructure(F49)&amp;CHAR(10)&amp;Basic_Fundamental_Information_Concatenate("")</f>
        <v xml:space="preserve">
市值33.015764亿, 利润-2368.50万; PE; 平均PE-45.72; 平均PEG-1.31, PB5.96; ROIC0%; ROE-64.11%; 股利率0%; 毛利23.18%; 净利-59.95%; 上一年度营收增-91.08%, 利润增85.1%; 当季营收增-68.96%, 利润增53.13%; 过往5年营收增-34.97%, 利润增-83.55%
Income profile:
</v>
      </c>
      <c r="D49" t="s">
        <v>99</v>
      </c>
      <c r="E49" t="s">
        <v>10</v>
      </c>
      <c r="F49">
        <v>13.3</v>
      </c>
      <c r="G49">
        <v>-5.41</v>
      </c>
      <c r="H49" t="s">
        <v>2928</v>
      </c>
      <c r="I49">
        <v>3301576400</v>
      </c>
      <c r="K49">
        <v>5.96</v>
      </c>
      <c r="L49" t="s">
        <v>1303</v>
      </c>
      <c r="M49" t="s">
        <v>1834</v>
      </c>
      <c r="N49" t="s">
        <v>616</v>
      </c>
      <c r="O49" t="s">
        <v>2929</v>
      </c>
      <c r="P49">
        <v>-34.01</v>
      </c>
      <c r="Q49" t="s">
        <v>2929</v>
      </c>
      <c r="R49">
        <v>-23685027</v>
      </c>
      <c r="S49" s="5">
        <v>-0.29959999999999998</v>
      </c>
      <c r="T49" t="s">
        <v>2930</v>
      </c>
      <c r="U49">
        <v>235448980</v>
      </c>
      <c r="V49">
        <v>248238820</v>
      </c>
      <c r="W49">
        <v>2.0299999999999998</v>
      </c>
      <c r="X49">
        <v>0.02</v>
      </c>
      <c r="Y49">
        <v>-147.07</v>
      </c>
      <c r="Z49" t="s">
        <v>2931</v>
      </c>
      <c r="AA49" t="s">
        <v>2932</v>
      </c>
      <c r="AB49" t="s">
        <v>2933</v>
      </c>
      <c r="AC49" t="s">
        <v>2934</v>
      </c>
      <c r="AD49" t="s">
        <v>63</v>
      </c>
      <c r="AE49">
        <v>1159381</v>
      </c>
      <c r="AF49" t="s">
        <v>2935</v>
      </c>
      <c r="AG49">
        <v>2701.92</v>
      </c>
      <c r="AH49" t="s">
        <v>2936</v>
      </c>
      <c r="AI49" t="s">
        <v>1268</v>
      </c>
      <c r="AJ49" t="s">
        <v>2937</v>
      </c>
      <c r="AK49" t="s">
        <v>63</v>
      </c>
      <c r="AL49" t="s">
        <v>2938</v>
      </c>
      <c r="AM49" t="s">
        <v>63</v>
      </c>
      <c r="AN49" t="s">
        <v>2939</v>
      </c>
      <c r="AO49" t="s">
        <v>353</v>
      </c>
      <c r="AP49" t="s">
        <v>63</v>
      </c>
      <c r="AQ49" t="s">
        <v>309</v>
      </c>
      <c r="AR49" t="s">
        <v>63</v>
      </c>
      <c r="AS49" t="s">
        <v>2940</v>
      </c>
      <c r="AT49" t="s">
        <v>2941</v>
      </c>
      <c r="AU49" t="s">
        <v>2942</v>
      </c>
      <c r="AV49" t="s">
        <v>2943</v>
      </c>
      <c r="AW49" t="s">
        <v>2944</v>
      </c>
      <c r="AX49" t="s">
        <v>277</v>
      </c>
      <c r="AY49" t="s">
        <v>450</v>
      </c>
      <c r="AZ49" t="s">
        <v>439</v>
      </c>
      <c r="BA49" t="s">
        <v>437</v>
      </c>
      <c r="BB49" t="s">
        <v>807</v>
      </c>
      <c r="BC49" t="s">
        <v>703</v>
      </c>
      <c r="BD49" t="s">
        <v>1204</v>
      </c>
      <c r="BE49" t="s">
        <v>891</v>
      </c>
      <c r="BF49" t="s">
        <v>543</v>
      </c>
      <c r="BG49" t="s">
        <v>894</v>
      </c>
      <c r="BH49" t="s">
        <v>359</v>
      </c>
      <c r="BI49" t="s">
        <v>1850</v>
      </c>
      <c r="BJ49" t="s">
        <v>277</v>
      </c>
      <c r="BK49" t="s">
        <v>1870</v>
      </c>
      <c r="BL49" t="s">
        <v>1851</v>
      </c>
      <c r="BM49" t="s">
        <v>703</v>
      </c>
      <c r="BN49" t="s">
        <v>63</v>
      </c>
      <c r="BO49" t="s">
        <v>63</v>
      </c>
      <c r="BP49" t="s">
        <v>63</v>
      </c>
      <c r="BQ49">
        <v>-15.41</v>
      </c>
      <c r="BR49">
        <v>-135.22</v>
      </c>
      <c r="BS49">
        <v>-41.7</v>
      </c>
      <c r="BT49" t="s">
        <v>1445</v>
      </c>
      <c r="BU49" t="s">
        <v>2052</v>
      </c>
      <c r="BV49">
        <v>19.55</v>
      </c>
      <c r="BW49">
        <v>25.32</v>
      </c>
      <c r="BX49">
        <v>24.67</v>
      </c>
      <c r="BY49">
        <v>-93.21</v>
      </c>
      <c r="BZ49">
        <v>-68.930000000000007</v>
      </c>
      <c r="CA49">
        <v>-17.71</v>
      </c>
      <c r="CB49">
        <v>-13.07</v>
      </c>
      <c r="CC49">
        <v>27.15</v>
      </c>
      <c r="CD49" t="s">
        <v>662</v>
      </c>
      <c r="CE49" t="s">
        <v>1802</v>
      </c>
      <c r="CF49" s="9">
        <v>-0.68963527193526841</v>
      </c>
      <c r="CG49" s="10">
        <v>0.53125874250430449</v>
      </c>
      <c r="CH49" s="9">
        <v>-0.91077613830566406</v>
      </c>
      <c r="CI49" s="9">
        <v>-0.37440758943557739</v>
      </c>
      <c r="CJ49" s="9">
        <v>-0.26223775744438171</v>
      </c>
      <c r="CK49" s="9">
        <v>-0.10625000298023224</v>
      </c>
      <c r="CL49" s="9">
        <v>-9.4766616821289063E-2</v>
      </c>
      <c r="CM49" s="10">
        <v>0.85103780031204224</v>
      </c>
      <c r="CN49" s="10">
        <v>-0.97466957569122314</v>
      </c>
      <c r="CO49" s="10">
        <v>-0.26090571284294128</v>
      </c>
      <c r="CP49" s="10">
        <v>0.5770946741104126</v>
      </c>
      <c r="CQ49" s="10">
        <v>-4.3702950477600098</v>
      </c>
      <c r="CR49">
        <v>-45.721840657913958</v>
      </c>
      <c r="CS49">
        <v>-1.3075052679159647</v>
      </c>
      <c r="CT49">
        <v>0</v>
      </c>
      <c r="CU49" s="9">
        <v>-0.34968762099742889</v>
      </c>
      <c r="CV49" s="10">
        <v>-0.83554757237434385</v>
      </c>
      <c r="CW49">
        <v>0.06</v>
      </c>
      <c r="CX49" t="e">
        <v>#VALUE!</v>
      </c>
      <c r="CY49" t="s">
        <v>1308</v>
      </c>
      <c r="CZ49">
        <v>-0.34968762099742889</v>
      </c>
      <c r="DA49" t="e">
        <v>#VALUE!</v>
      </c>
      <c r="DB49" t="s">
        <v>1309</v>
      </c>
      <c r="DC49">
        <v>-0.33220323994755746</v>
      </c>
      <c r="DD49" t="e">
        <v>#VALUE!</v>
      </c>
      <c r="DE49" t="s">
        <v>1309</v>
      </c>
      <c r="DF49">
        <v>-0.30772510647773743</v>
      </c>
      <c r="DG49" t="e">
        <v>#VALUE!</v>
      </c>
      <c r="DH49" t="s">
        <v>1309</v>
      </c>
      <c r="DI49">
        <v>-0.2797500967979431</v>
      </c>
      <c r="DJ49" t="e">
        <v>#VALUE!</v>
      </c>
      <c r="DK49" t="s">
        <v>1309</v>
      </c>
      <c r="DL49">
        <v>-0.24478133469820021</v>
      </c>
      <c r="DM49">
        <v>-23685000</v>
      </c>
      <c r="DN49">
        <v>-0.34968762099742889</v>
      </c>
      <c r="DO49">
        <v>3252576400</v>
      </c>
      <c r="DP49">
        <v>323001800</v>
      </c>
      <c r="DQ49">
        <v>1940</v>
      </c>
      <c r="DR49">
        <v>-0.33994765093783952</v>
      </c>
      <c r="DS49">
        <v>1.3668063148786485</v>
      </c>
      <c r="DT49" s="11">
        <v>-1.0566666666666666</v>
      </c>
      <c r="DU49">
        <v>-3.1650000000000005</v>
      </c>
      <c r="DV49">
        <v>-4.2216666666666676</v>
      </c>
      <c r="DW49">
        <v>-7.3249627051218296</v>
      </c>
      <c r="DX49">
        <v>0.49090834144502349</v>
      </c>
      <c r="DY49">
        <v>-7.091284734527262</v>
      </c>
      <c r="DZ49">
        <v>5077</v>
      </c>
      <c r="EA49">
        <v>-7.0005895100272797</v>
      </c>
      <c r="EB49">
        <v>7</v>
      </c>
      <c r="EC49">
        <v>1.3454785194354373</v>
      </c>
      <c r="ED49">
        <v>4.7897423940381278</v>
      </c>
      <c r="EE49" s="12">
        <v>-3.0545</v>
      </c>
      <c r="EF49">
        <v>-3.1294</v>
      </c>
      <c r="EG49">
        <v>21.280908341445024</v>
      </c>
      <c r="EH49" t="s">
        <v>1511</v>
      </c>
      <c r="EI49">
        <v>0</v>
      </c>
      <c r="EJ49">
        <v>0</v>
      </c>
      <c r="EK49" s="14">
        <v>45470</v>
      </c>
      <c r="EL49" s="15">
        <v>0.2</v>
      </c>
      <c r="EM49" s="15">
        <v>5.08</v>
      </c>
      <c r="EN49" s="15">
        <v>-16.52</v>
      </c>
      <c r="EO49" s="15">
        <v>8.5</v>
      </c>
      <c r="EP49" s="15">
        <v>7.49</v>
      </c>
    </row>
    <row r="50" spans="1:146" ht="96" x14ac:dyDescent="0.25">
      <c r="A50" s="7"/>
      <c r="B50" s="7"/>
      <c r="C50" s="7" t="str">
        <f>""&amp;CHAR(10)&amp;Basic_Fundamental_Information_Constructure(F50)&amp;CHAR(10)&amp;Basic_Fundamental_Information_Concatenate("")</f>
        <v xml:space="preserve">
市值45.538584亿, 利润588.53万; PE; 平均PE104.62; 平均PEG23.45, PB2.43; ROIC4.71%; ROE2.51%; 股利率0%; 毛利29.2467%; 净利-3.9833%; 上一年度营收增-87.17%, 利润增110.17%; 当季营收增-72.43%, 利润增-87.4%; 过往5年营收增4.46%, 利润增38.63%
Income profile:
</v>
      </c>
      <c r="D50" t="s">
        <v>131</v>
      </c>
      <c r="E50" t="s">
        <v>17</v>
      </c>
      <c r="F50">
        <v>15.64</v>
      </c>
      <c r="G50">
        <v>0.9</v>
      </c>
      <c r="H50" t="s">
        <v>2945</v>
      </c>
      <c r="I50">
        <v>4553858400</v>
      </c>
      <c r="K50">
        <v>2.4300000000000002</v>
      </c>
      <c r="L50" t="s">
        <v>1303</v>
      </c>
      <c r="M50" t="s">
        <v>2946</v>
      </c>
      <c r="N50" t="s">
        <v>2947</v>
      </c>
      <c r="O50" t="s">
        <v>619</v>
      </c>
      <c r="P50">
        <v>-42.77</v>
      </c>
      <c r="Q50" t="s">
        <v>619</v>
      </c>
      <c r="R50">
        <v>5885253</v>
      </c>
      <c r="S50" s="5">
        <v>1.47</v>
      </c>
      <c r="T50" t="s">
        <v>2948</v>
      </c>
      <c r="U50">
        <v>277372660</v>
      </c>
      <c r="V50">
        <v>291167420</v>
      </c>
      <c r="W50">
        <v>2.4</v>
      </c>
      <c r="X50">
        <v>0.06</v>
      </c>
      <c r="Y50">
        <v>2.27</v>
      </c>
      <c r="Z50" t="s">
        <v>349</v>
      </c>
      <c r="AA50" t="s">
        <v>280</v>
      </c>
      <c r="AB50" t="s">
        <v>2949</v>
      </c>
      <c r="AC50" t="s">
        <v>2950</v>
      </c>
      <c r="AD50" t="s">
        <v>63</v>
      </c>
      <c r="AE50">
        <v>3893413</v>
      </c>
      <c r="AF50" t="s">
        <v>2951</v>
      </c>
      <c r="AG50" t="s">
        <v>2952</v>
      </c>
      <c r="AH50" t="s">
        <v>2953</v>
      </c>
      <c r="AI50" t="s">
        <v>1819</v>
      </c>
      <c r="AJ50" t="s">
        <v>2954</v>
      </c>
      <c r="AK50" t="s">
        <v>2955</v>
      </c>
      <c r="AL50" t="s">
        <v>2956</v>
      </c>
      <c r="AM50" t="s">
        <v>63</v>
      </c>
      <c r="AN50" t="s">
        <v>322</v>
      </c>
      <c r="AO50" t="s">
        <v>829</v>
      </c>
      <c r="AP50" t="s">
        <v>2957</v>
      </c>
      <c r="AQ50" t="s">
        <v>1757</v>
      </c>
      <c r="AR50" t="s">
        <v>63</v>
      </c>
      <c r="AS50" t="s">
        <v>2958</v>
      </c>
      <c r="AT50" t="s">
        <v>419</v>
      </c>
      <c r="AU50" t="s">
        <v>1609</v>
      </c>
      <c r="AV50" t="s">
        <v>2959</v>
      </c>
      <c r="AW50" t="s">
        <v>1373</v>
      </c>
      <c r="AX50" t="s">
        <v>1538</v>
      </c>
      <c r="AY50" t="s">
        <v>1096</v>
      </c>
      <c r="AZ50" t="s">
        <v>785</v>
      </c>
      <c r="BA50" t="s">
        <v>548</v>
      </c>
      <c r="BB50" t="s">
        <v>897</v>
      </c>
      <c r="BC50" t="s">
        <v>2960</v>
      </c>
      <c r="BD50" t="s">
        <v>423</v>
      </c>
      <c r="BE50" t="s">
        <v>896</v>
      </c>
      <c r="BF50" t="s">
        <v>211</v>
      </c>
      <c r="BG50" t="s">
        <v>898</v>
      </c>
      <c r="BH50" t="s">
        <v>1913</v>
      </c>
      <c r="BI50" t="s">
        <v>1469</v>
      </c>
      <c r="BJ50" t="s">
        <v>1538</v>
      </c>
      <c r="BK50" t="s">
        <v>1777</v>
      </c>
      <c r="BL50" t="s">
        <v>1856</v>
      </c>
      <c r="BM50" t="s">
        <v>2960</v>
      </c>
      <c r="BN50">
        <v>3.85</v>
      </c>
      <c r="BO50" t="s">
        <v>63</v>
      </c>
      <c r="BP50">
        <v>5.57</v>
      </c>
      <c r="BQ50">
        <v>4.33</v>
      </c>
      <c r="BR50">
        <v>-3.94</v>
      </c>
      <c r="BS50">
        <v>7.14</v>
      </c>
      <c r="BT50" t="s">
        <v>1445</v>
      </c>
      <c r="BU50" t="s">
        <v>2052</v>
      </c>
      <c r="BV50">
        <v>24.38</v>
      </c>
      <c r="BW50">
        <v>26.04</v>
      </c>
      <c r="BX50">
        <v>37.32</v>
      </c>
      <c r="BY50">
        <v>-15.34</v>
      </c>
      <c r="BZ50">
        <v>-2.71</v>
      </c>
      <c r="CA50">
        <v>6.1</v>
      </c>
      <c r="CB50">
        <v>-1.94</v>
      </c>
      <c r="CC50">
        <v>-15.78</v>
      </c>
      <c r="CD50" t="s">
        <v>2961</v>
      </c>
      <c r="CE50" t="s">
        <v>740</v>
      </c>
      <c r="CF50" s="9">
        <v>-0.72426141450313342</v>
      </c>
      <c r="CG50" s="10">
        <v>-0.8740340960167805</v>
      </c>
      <c r="CH50" s="9">
        <v>-0.87166666984558105</v>
      </c>
      <c r="CI50" s="9">
        <v>0.39534884691238403</v>
      </c>
      <c r="CJ50" s="9">
        <v>0.13756613433361053</v>
      </c>
      <c r="CK50" s="9">
        <v>-3.6942675709724426E-2</v>
      </c>
      <c r="CL50" s="9">
        <v>0.59877800941467285</v>
      </c>
      <c r="CM50" s="10">
        <v>1.1017124652862549</v>
      </c>
      <c r="CN50" s="10">
        <v>-1.551067590713501</v>
      </c>
      <c r="CO50" s="10">
        <v>1.6066750288009644</v>
      </c>
      <c r="CP50" s="10">
        <v>-0.66150254011154175</v>
      </c>
      <c r="CQ50" s="10">
        <v>1.435495138168335</v>
      </c>
      <c r="CR50">
        <v>104.62022069564425</v>
      </c>
      <c r="CS50">
        <v>23.44865322740991</v>
      </c>
      <c r="CT50">
        <v>0</v>
      </c>
      <c r="CU50" s="9">
        <v>4.4616729021072388E-2</v>
      </c>
      <c r="CV50" s="10">
        <v>0.38626250028610232</v>
      </c>
      <c r="CW50">
        <v>0.06</v>
      </c>
      <c r="CX50">
        <v>890.50979835824648</v>
      </c>
      <c r="CY50">
        <v>5799889.4672714313</v>
      </c>
      <c r="CZ50">
        <v>4.4616729021072388E-2</v>
      </c>
      <c r="DA50">
        <v>302.47019911831194</v>
      </c>
      <c r="DB50">
        <v>17075594.273602318</v>
      </c>
      <c r="DC50">
        <v>4.238589257001877E-2</v>
      </c>
      <c r="DD50">
        <v>156.64739235299041</v>
      </c>
      <c r="DE50">
        <v>32971237.646659762</v>
      </c>
      <c r="DF50">
        <v>3.9262721538543703E-2</v>
      </c>
      <c r="DG50">
        <v>99.480245229511596</v>
      </c>
      <c r="DH50">
        <v>51918432.529836632</v>
      </c>
      <c r="DI50">
        <v>3.5693383216857909E-2</v>
      </c>
      <c r="DJ50">
        <v>57.846655983833564</v>
      </c>
      <c r="DK50">
        <v>89285340.909653023</v>
      </c>
      <c r="DL50">
        <v>3.1231710314750669E-2</v>
      </c>
      <c r="DM50">
        <v>5885300</v>
      </c>
      <c r="DN50">
        <v>4.4616729021072388E-2</v>
      </c>
      <c r="DO50">
        <v>5164858400</v>
      </c>
      <c r="DP50">
        <v>878047600</v>
      </c>
      <c r="DQ50">
        <v>1991</v>
      </c>
      <c r="DR50">
        <v>-0.7688781435242058</v>
      </c>
      <c r="DS50">
        <v>-1.2602965963028829</v>
      </c>
      <c r="DT50" s="11">
        <v>-0.52333333333333332</v>
      </c>
      <c r="DU50">
        <v>-0.59</v>
      </c>
      <c r="DV50">
        <v>-1.1133333333333333</v>
      </c>
      <c r="DW50">
        <v>-2.1577999999999999</v>
      </c>
      <c r="DX50">
        <v>0.2837396969696967</v>
      </c>
      <c r="DY50">
        <v>-2.0195261241818181</v>
      </c>
      <c r="DZ50">
        <v>3551</v>
      </c>
      <c r="EA50">
        <v>-2.0059571873971533</v>
      </c>
      <c r="EB50">
        <v>2</v>
      </c>
      <c r="EC50">
        <v>0.14024268237153731</v>
      </c>
      <c r="ED50">
        <v>1.1333685616337157</v>
      </c>
      <c r="EE50" s="12">
        <v>-6.0454999999999997</v>
      </c>
      <c r="EF50">
        <v>-6.0145999999999997</v>
      </c>
      <c r="EG50">
        <v>16.123739696969697</v>
      </c>
      <c r="EH50" t="s">
        <v>1807</v>
      </c>
      <c r="EI50">
        <v>0</v>
      </c>
      <c r="EJ50">
        <v>0</v>
      </c>
      <c r="EK50" s="14">
        <v>45470</v>
      </c>
      <c r="EL50" s="15">
        <v>1.44</v>
      </c>
      <c r="EM50" s="15">
        <v>-8.27</v>
      </c>
      <c r="EN50" s="15">
        <v>-4.26</v>
      </c>
      <c r="EO50" s="15">
        <v>6.45</v>
      </c>
      <c r="EP50" s="15">
        <v>-3.09</v>
      </c>
    </row>
    <row r="51" spans="1:146" ht="96" x14ac:dyDescent="0.25">
      <c r="A51" s="7"/>
      <c r="B51" s="7"/>
      <c r="C51" s="7" t="str">
        <f>""&amp;CHAR(10)&amp;Basic_Fundamental_Information_Constructure(F51)&amp;CHAR(10)&amp;Basic_Fundamental_Information_Concatenate("")</f>
        <v xml:space="preserve">
市值92.700468亿, 利润-5628.94万; PE28.2; 平均PE71.21; 平均PEG5.83, PB3.65; ROIC13.365%; ROE10.1967%; 股利率1.2175%; 毛利64.4567%; 净利16.5467%; 上一年度营收增-86.45%, 利润增-122.16%; 当季营收增-58.27%, 利润增-25.6%; 过往5年营收增12.22%, 利润增1.38%
Income profile:
</v>
      </c>
      <c r="D51" t="s">
        <v>94</v>
      </c>
      <c r="E51" t="s">
        <v>46</v>
      </c>
      <c r="F51">
        <v>12.32</v>
      </c>
      <c r="G51">
        <v>1.99</v>
      </c>
      <c r="H51" t="s">
        <v>2962</v>
      </c>
      <c r="I51">
        <v>9270046800</v>
      </c>
      <c r="J51">
        <v>28.2</v>
      </c>
      <c r="K51">
        <v>3.65</v>
      </c>
      <c r="L51" t="s">
        <v>1303</v>
      </c>
      <c r="M51" t="s">
        <v>1927</v>
      </c>
      <c r="N51" t="s">
        <v>2963</v>
      </c>
      <c r="O51" t="s">
        <v>425</v>
      </c>
      <c r="P51">
        <v>15.73</v>
      </c>
      <c r="Q51" t="s">
        <v>425</v>
      </c>
      <c r="R51">
        <v>-56289440</v>
      </c>
      <c r="S51" s="5">
        <v>3.6400000000000002E-2</v>
      </c>
      <c r="T51" t="s">
        <v>2964</v>
      </c>
      <c r="U51">
        <v>614156240</v>
      </c>
      <c r="V51">
        <v>752438860</v>
      </c>
      <c r="W51">
        <v>1.31</v>
      </c>
      <c r="X51">
        <v>0.06</v>
      </c>
      <c r="Y51">
        <v>-32.85</v>
      </c>
      <c r="Z51" t="s">
        <v>635</v>
      </c>
      <c r="AA51" t="s">
        <v>178</v>
      </c>
      <c r="AB51" t="s">
        <v>2965</v>
      </c>
      <c r="AC51" t="s">
        <v>2966</v>
      </c>
      <c r="AD51" t="s">
        <v>63</v>
      </c>
      <c r="AE51">
        <v>-2757025</v>
      </c>
      <c r="AF51" t="s">
        <v>2967</v>
      </c>
      <c r="AG51">
        <v>10000</v>
      </c>
      <c r="AH51" t="s">
        <v>2968</v>
      </c>
      <c r="AI51" t="s">
        <v>2969</v>
      </c>
      <c r="AJ51" t="s">
        <v>2970</v>
      </c>
      <c r="AK51" t="s">
        <v>2971</v>
      </c>
      <c r="AL51" t="s">
        <v>2972</v>
      </c>
      <c r="AM51" t="s">
        <v>63</v>
      </c>
      <c r="AN51" t="s">
        <v>552</v>
      </c>
      <c r="AO51" t="s">
        <v>63</v>
      </c>
      <c r="AP51" t="s">
        <v>63</v>
      </c>
      <c r="AQ51" t="s">
        <v>523</v>
      </c>
      <c r="AR51" t="s">
        <v>63</v>
      </c>
      <c r="AS51" t="s">
        <v>2940</v>
      </c>
      <c r="AT51" t="s">
        <v>223</v>
      </c>
      <c r="AU51" t="s">
        <v>2973</v>
      </c>
      <c r="AV51" t="s">
        <v>2974</v>
      </c>
      <c r="AW51" t="s">
        <v>2975</v>
      </c>
      <c r="AX51" t="s">
        <v>482</v>
      </c>
      <c r="AY51" t="s">
        <v>1205</v>
      </c>
      <c r="AZ51" t="s">
        <v>901</v>
      </c>
      <c r="BA51" t="s">
        <v>470</v>
      </c>
      <c r="BB51" t="s">
        <v>762</v>
      </c>
      <c r="BC51" t="s">
        <v>694</v>
      </c>
      <c r="BD51" t="s">
        <v>530</v>
      </c>
      <c r="BE51" t="s">
        <v>208</v>
      </c>
      <c r="BF51" t="s">
        <v>229</v>
      </c>
      <c r="BG51" t="s">
        <v>902</v>
      </c>
      <c r="BH51" t="s">
        <v>2976</v>
      </c>
      <c r="BI51" t="s">
        <v>517</v>
      </c>
      <c r="BJ51" t="s">
        <v>482</v>
      </c>
      <c r="BK51" t="s">
        <v>746</v>
      </c>
      <c r="BL51" t="s">
        <v>1857</v>
      </c>
      <c r="BM51" t="s">
        <v>694</v>
      </c>
      <c r="BN51" t="s">
        <v>63</v>
      </c>
      <c r="BO51">
        <v>12.94</v>
      </c>
      <c r="BP51">
        <v>13.79</v>
      </c>
      <c r="BQ51">
        <v>0.84</v>
      </c>
      <c r="BR51">
        <v>14.41</v>
      </c>
      <c r="BS51">
        <v>15.34</v>
      </c>
      <c r="BT51" t="s">
        <v>1459</v>
      </c>
      <c r="BU51" t="s">
        <v>2052</v>
      </c>
      <c r="BV51">
        <v>66.66</v>
      </c>
      <c r="BW51">
        <v>61.63</v>
      </c>
      <c r="BX51">
        <v>65.08</v>
      </c>
      <c r="BY51">
        <v>18.190000000000001</v>
      </c>
      <c r="BZ51">
        <v>15.19</v>
      </c>
      <c r="CA51">
        <v>16.260000000000002</v>
      </c>
      <c r="CB51">
        <v>-2.99</v>
      </c>
      <c r="CC51">
        <v>-4.2699999999999996</v>
      </c>
      <c r="CD51" t="s">
        <v>2977</v>
      </c>
      <c r="CE51" t="s">
        <v>385</v>
      </c>
      <c r="CF51" s="9">
        <v>-0.5826645264847512</v>
      </c>
      <c r="CG51" s="10">
        <v>-0.25603455970295774</v>
      </c>
      <c r="CH51" s="9">
        <v>-0.86451280117034912</v>
      </c>
      <c r="CI51" s="9">
        <v>0.22698213160037994</v>
      </c>
      <c r="CJ51" s="9">
        <v>0.3767605721950531</v>
      </c>
      <c r="CK51" s="9">
        <v>0.26362624764442444</v>
      </c>
      <c r="CL51" s="9">
        <v>0.60822898149490356</v>
      </c>
      <c r="CM51" s="10">
        <v>-1.2216118574142456</v>
      </c>
      <c r="CN51" s="10">
        <v>0.10917030274868011</v>
      </c>
      <c r="CO51" s="10">
        <v>0.41358023881912231</v>
      </c>
      <c r="CP51" s="10">
        <v>0.514018714427948</v>
      </c>
      <c r="CQ51" s="10">
        <v>0.25367313623428345</v>
      </c>
      <c r="CR51">
        <v>71.211296241337735</v>
      </c>
      <c r="CS51">
        <v>5.8266264829358843</v>
      </c>
      <c r="CT51">
        <v>1.2175324675324675</v>
      </c>
      <c r="CU51" s="9">
        <v>0.12221702635288238</v>
      </c>
      <c r="CV51" s="10">
        <v>1.3766106963157655E-2</v>
      </c>
      <c r="CW51">
        <v>0.06</v>
      </c>
      <c r="CX51" t="e">
        <v>#VALUE!</v>
      </c>
      <c r="CY51" t="s">
        <v>1308</v>
      </c>
      <c r="CZ51">
        <v>0.12221702635288238</v>
      </c>
      <c r="DA51" t="e">
        <v>#VALUE!</v>
      </c>
      <c r="DB51" t="s">
        <v>1309</v>
      </c>
      <c r="DC51">
        <v>0.11610617503523826</v>
      </c>
      <c r="DD51" t="e">
        <v>#VALUE!</v>
      </c>
      <c r="DE51" t="s">
        <v>1309</v>
      </c>
      <c r="DF51">
        <v>0.10755098319053649</v>
      </c>
      <c r="DG51" t="e">
        <v>#VALUE!</v>
      </c>
      <c r="DH51" t="s">
        <v>1309</v>
      </c>
      <c r="DI51">
        <v>9.7773621082305917E-2</v>
      </c>
      <c r="DJ51" t="e">
        <v>#VALUE!</v>
      </c>
      <c r="DK51" t="s">
        <v>1309</v>
      </c>
      <c r="DL51">
        <v>8.5551918447017664E-2</v>
      </c>
      <c r="DM51">
        <v>-56289399.999999993</v>
      </c>
      <c r="DN51">
        <v>0.12221702635288238</v>
      </c>
      <c r="DO51">
        <v>7338046800</v>
      </c>
      <c r="DP51">
        <v>2017147600</v>
      </c>
      <c r="DQ51">
        <v>1995</v>
      </c>
      <c r="DR51">
        <v>-0.70488155283763354</v>
      </c>
      <c r="DS51">
        <v>-0.26980066666611541</v>
      </c>
      <c r="DT51" s="11">
        <v>-0.17333333333333334</v>
      </c>
      <c r="DU51">
        <v>-1.0783333333333334</v>
      </c>
      <c r="DV51">
        <v>-1.2516666666666667</v>
      </c>
      <c r="DW51">
        <v>-8.7002341920374704</v>
      </c>
      <c r="DX51">
        <v>0.51271436521739189</v>
      </c>
      <c r="DY51">
        <v>-8.2819943681498831</v>
      </c>
      <c r="DZ51">
        <v>1224</v>
      </c>
      <c r="EA51">
        <v>-8.2144481633327686</v>
      </c>
      <c r="EB51">
        <v>8</v>
      </c>
      <c r="EC51">
        <v>0.12309877243713861</v>
      </c>
      <c r="ED51">
        <v>0.30567267618262028</v>
      </c>
      <c r="EE51" s="12">
        <v>-2.06101</v>
      </c>
      <c r="EF51">
        <v>-2.0641099999999999</v>
      </c>
      <c r="EG51">
        <v>11.402714365217392</v>
      </c>
      <c r="EH51" t="s">
        <v>1501</v>
      </c>
      <c r="EI51">
        <v>0</v>
      </c>
      <c r="EJ51">
        <v>1</v>
      </c>
      <c r="EK51" s="14">
        <v>45470</v>
      </c>
      <c r="EL51" s="15">
        <v>1.55</v>
      </c>
      <c r="EM51" s="15">
        <v>-2.4900000000000002</v>
      </c>
      <c r="EN51" s="15">
        <v>3.62</v>
      </c>
      <c r="EO51" s="15">
        <v>3.02</v>
      </c>
      <c r="EP51" s="15">
        <v>-0.31</v>
      </c>
    </row>
    <row r="52" spans="1:146" ht="108" x14ac:dyDescent="0.25">
      <c r="A52" s="7"/>
      <c r="B52" s="7"/>
      <c r="C52" s="7" t="str">
        <f>""&amp;CHAR(10)&amp;Basic_Fundamental_Information_Constructure(F52)&amp;CHAR(10)&amp;Basic_Fundamental_Information_Concatenate("")</f>
        <v xml:space="preserve">
市值34.99122亿, 利润-1320.67万; PE118.6; 平均PE79.39; 平均PEG20.84, PB5.5; ROIC8.325%; ROE5.0133%; 股利率.1195%; 毛利21.1167%; 净利4.28%; 上一年度营收增-86.87%, 利润增-125.33%; 当季营收增-62.25%, 利润增-654.69%; 过往5年营收增-3.81%, 利润增-16.53%
Income profile:
</v>
      </c>
      <c r="D52" t="s">
        <v>92</v>
      </c>
      <c r="E52" t="s">
        <v>16</v>
      </c>
      <c r="F52">
        <v>11.72</v>
      </c>
      <c r="G52">
        <v>2.27</v>
      </c>
      <c r="H52" t="s">
        <v>2978</v>
      </c>
      <c r="I52">
        <v>3499122000</v>
      </c>
      <c r="J52">
        <v>118.6</v>
      </c>
      <c r="K52">
        <v>5.5</v>
      </c>
      <c r="L52" t="s">
        <v>1303</v>
      </c>
      <c r="M52" t="s">
        <v>837</v>
      </c>
      <c r="N52" t="s">
        <v>1767</v>
      </c>
      <c r="O52" t="s">
        <v>547</v>
      </c>
      <c r="P52">
        <v>17.37</v>
      </c>
      <c r="Q52" t="s">
        <v>547</v>
      </c>
      <c r="R52">
        <v>-13206695</v>
      </c>
      <c r="S52" s="5">
        <v>-1.0820000000000001</v>
      </c>
      <c r="T52" t="s">
        <v>2979</v>
      </c>
      <c r="U52">
        <v>244121120</v>
      </c>
      <c r="V52">
        <v>298559900</v>
      </c>
      <c r="W52">
        <v>2.19</v>
      </c>
      <c r="X52">
        <v>0.13</v>
      </c>
      <c r="Y52">
        <v>-6.97</v>
      </c>
      <c r="Z52" t="s">
        <v>378</v>
      </c>
      <c r="AA52" t="s">
        <v>184</v>
      </c>
      <c r="AB52" t="s">
        <v>2980</v>
      </c>
      <c r="AC52" t="s">
        <v>2981</v>
      </c>
      <c r="AD52" t="s">
        <v>63</v>
      </c>
      <c r="AE52">
        <v>1754556</v>
      </c>
      <c r="AF52" t="s">
        <v>176</v>
      </c>
      <c r="AG52">
        <v>1</v>
      </c>
      <c r="AH52" t="s">
        <v>2982</v>
      </c>
      <c r="AI52" t="s">
        <v>385</v>
      </c>
      <c r="AJ52" t="s">
        <v>2983</v>
      </c>
      <c r="AK52" t="s">
        <v>2984</v>
      </c>
      <c r="AL52" t="s">
        <v>2985</v>
      </c>
      <c r="AM52" t="s">
        <v>63</v>
      </c>
      <c r="AN52">
        <v>0</v>
      </c>
      <c r="AO52" t="s">
        <v>188</v>
      </c>
      <c r="AP52" t="s">
        <v>2986</v>
      </c>
      <c r="AQ52" t="s">
        <v>463</v>
      </c>
      <c r="AR52" t="s">
        <v>2987</v>
      </c>
      <c r="AS52" t="s">
        <v>882</v>
      </c>
      <c r="AT52" t="s">
        <v>63</v>
      </c>
      <c r="AU52" t="s">
        <v>2988</v>
      </c>
      <c r="AV52" t="s">
        <v>2989</v>
      </c>
      <c r="AW52" t="s">
        <v>2990</v>
      </c>
      <c r="AX52" t="s">
        <v>1175</v>
      </c>
      <c r="AY52" t="s">
        <v>1101</v>
      </c>
      <c r="AZ52" t="s">
        <v>772</v>
      </c>
      <c r="BA52" t="s">
        <v>334</v>
      </c>
      <c r="BB52" t="s">
        <v>241</v>
      </c>
      <c r="BC52" t="s">
        <v>2991</v>
      </c>
      <c r="BD52" t="s">
        <v>1207</v>
      </c>
      <c r="BE52" t="s">
        <v>907</v>
      </c>
      <c r="BF52" t="s">
        <v>556</v>
      </c>
      <c r="BG52" t="s">
        <v>908</v>
      </c>
      <c r="BH52" t="s">
        <v>396</v>
      </c>
      <c r="BI52" t="s">
        <v>593</v>
      </c>
      <c r="BJ52" t="s">
        <v>1175</v>
      </c>
      <c r="BK52" t="s">
        <v>2992</v>
      </c>
      <c r="BL52" t="s">
        <v>1860</v>
      </c>
      <c r="BM52" t="s">
        <v>2991</v>
      </c>
      <c r="BN52" t="s">
        <v>63</v>
      </c>
      <c r="BO52">
        <v>7.11</v>
      </c>
      <c r="BP52">
        <v>9.5399999999999991</v>
      </c>
      <c r="BQ52">
        <v>-3.15</v>
      </c>
      <c r="BR52">
        <v>8.6</v>
      </c>
      <c r="BS52">
        <v>9.59</v>
      </c>
      <c r="BT52" t="s">
        <v>2993</v>
      </c>
      <c r="BU52" t="s">
        <v>2052</v>
      </c>
      <c r="BV52">
        <v>17.72</v>
      </c>
      <c r="BW52">
        <v>19.690000000000001</v>
      </c>
      <c r="BX52">
        <v>25.94</v>
      </c>
      <c r="BY52">
        <v>2.15</v>
      </c>
      <c r="BZ52">
        <v>3.77</v>
      </c>
      <c r="CA52">
        <v>6.92</v>
      </c>
      <c r="CB52">
        <v>-4.6399999999999997</v>
      </c>
      <c r="CC52">
        <v>-29.06</v>
      </c>
      <c r="CD52" t="s">
        <v>2994</v>
      </c>
      <c r="CE52" t="s">
        <v>2995</v>
      </c>
      <c r="CF52" s="9">
        <v>-0.62252964426877466</v>
      </c>
      <c r="CG52" s="10">
        <v>-6.5469339325465157</v>
      </c>
      <c r="CH52" s="9">
        <v>-0.86872845888137817</v>
      </c>
      <c r="CI52" s="9">
        <v>0.37134784460067749</v>
      </c>
      <c r="CJ52" s="9">
        <v>-7.6588287949562073E-2</v>
      </c>
      <c r="CK52" s="9">
        <v>5.9963040053844452E-2</v>
      </c>
      <c r="CL52" s="9">
        <v>0.32356533408164978</v>
      </c>
      <c r="CM52" s="10">
        <v>-1.2533344030380249</v>
      </c>
      <c r="CN52" s="10">
        <v>-0.18009285628795624</v>
      </c>
      <c r="CO52" s="10">
        <v>-6.8784318864345551E-2</v>
      </c>
      <c r="CP52" s="10">
        <v>0.23498883843421936</v>
      </c>
      <c r="CQ52" s="10">
        <v>0.44094505906105042</v>
      </c>
      <c r="CR52">
        <v>79.392847783495085</v>
      </c>
      <c r="CS52">
        <v>20.844525211562896</v>
      </c>
      <c r="CT52">
        <v>0.11945392491467577</v>
      </c>
      <c r="CU52" s="9">
        <v>-3.8088105618953705E-2</v>
      </c>
      <c r="CV52" s="10">
        <v>-0.16525553613901139</v>
      </c>
      <c r="CW52">
        <v>0.06</v>
      </c>
      <c r="CX52" t="e">
        <v>#VALUE!</v>
      </c>
      <c r="CY52" t="s">
        <v>1308</v>
      </c>
      <c r="CZ52">
        <v>-3.8088105618953705E-2</v>
      </c>
      <c r="DA52" t="e">
        <v>#VALUE!</v>
      </c>
      <c r="DB52" t="s">
        <v>1309</v>
      </c>
      <c r="DC52">
        <v>-3.6183700338006018E-2</v>
      </c>
      <c r="DD52" t="e">
        <v>#VALUE!</v>
      </c>
      <c r="DE52" t="s">
        <v>1309</v>
      </c>
      <c r="DF52">
        <v>-3.3517532944679261E-2</v>
      </c>
      <c r="DG52" t="e">
        <v>#VALUE!</v>
      </c>
      <c r="DH52" t="s">
        <v>1309</v>
      </c>
      <c r="DI52">
        <v>-3.0470484495162965E-2</v>
      </c>
      <c r="DJ52" t="e">
        <v>#VALUE!</v>
      </c>
      <c r="DK52" t="s">
        <v>1309</v>
      </c>
      <c r="DL52">
        <v>-2.6661673933267592E-2</v>
      </c>
      <c r="DM52">
        <v>-13206700</v>
      </c>
      <c r="DN52">
        <v>-3.8088105618953705E-2</v>
      </c>
      <c r="DO52">
        <v>3828122000</v>
      </c>
      <c r="DP52">
        <v>317691880</v>
      </c>
      <c r="DQ52">
        <v>2011</v>
      </c>
      <c r="DR52">
        <v>-0.58444153864982096</v>
      </c>
      <c r="DS52">
        <v>-6.3816783964075041</v>
      </c>
      <c r="DT52" s="11">
        <v>-0.52333333333333332</v>
      </c>
      <c r="DU52">
        <v>-1.5816666666666668</v>
      </c>
      <c r="DV52">
        <v>-2.105</v>
      </c>
      <c r="DW52">
        <v>-8.1596696490020655</v>
      </c>
      <c r="DX52">
        <v>0.24576455696202601</v>
      </c>
      <c r="DY52">
        <v>-8.0136939967069445</v>
      </c>
      <c r="DZ52">
        <v>3576</v>
      </c>
      <c r="EA52">
        <v>-8.0041108788548829</v>
      </c>
      <c r="EB52">
        <v>8</v>
      </c>
      <c r="EC52">
        <v>0.18154882822508983</v>
      </c>
      <c r="ED52">
        <v>2.1168281473834898</v>
      </c>
      <c r="EE52" s="12">
        <v>4.0596100000000002</v>
      </c>
      <c r="EF52">
        <v>4.1045100000000003</v>
      </c>
      <c r="EG52">
        <v>16.085764556962026</v>
      </c>
      <c r="EH52" t="s">
        <v>1604</v>
      </c>
      <c r="EI52">
        <v>0</v>
      </c>
      <c r="EJ52">
        <v>0</v>
      </c>
      <c r="EK52" s="14">
        <v>45470</v>
      </c>
      <c r="EL52" s="15">
        <v>-1.43</v>
      </c>
      <c r="EM52" s="15">
        <v>-1.83</v>
      </c>
      <c r="EN52" s="15">
        <v>-3.04</v>
      </c>
      <c r="EO52" s="15">
        <v>2.0099999999999998</v>
      </c>
      <c r="EP52" s="15">
        <v>-4.49</v>
      </c>
    </row>
    <row r="53" spans="1:146" ht="108" x14ac:dyDescent="0.25">
      <c r="A53" s="7"/>
      <c r="B53" s="7"/>
      <c r="C53" s="7" t="str">
        <f>""&amp;CHAR(10)&amp;Basic_Fundamental_Information_Constructure(F53)&amp;CHAR(10)&amp;Basic_Fundamental_Information_Concatenate("")</f>
        <v xml:space="preserve">
市值25.153262亿, 利润-51.60万; PE66.82; 平均PE199.94; 平均PEG12.63, PB2.33; ROIC1.475%; ROE-1.0967%; 股利率.3132%; 毛利31.36%; 净利-2.35%; 上一年度营收增-74.68%, 利润增99.38%; 当季营收增-49.08%, 利润增77.56%; 过往5年营收增-15.83%, 利润增-51.14%
Income profile:
</v>
      </c>
      <c r="D53" t="s">
        <v>117</v>
      </c>
      <c r="E53" t="s">
        <v>21</v>
      </c>
      <c r="F53">
        <v>9.58</v>
      </c>
      <c r="G53">
        <v>2.46</v>
      </c>
      <c r="H53" t="s">
        <v>2996</v>
      </c>
      <c r="I53">
        <v>2515326200</v>
      </c>
      <c r="J53">
        <v>66.819999999999993</v>
      </c>
      <c r="K53">
        <v>2.33</v>
      </c>
      <c r="L53" t="s">
        <v>1303</v>
      </c>
      <c r="M53" t="s">
        <v>582</v>
      </c>
      <c r="N53" t="s">
        <v>2008</v>
      </c>
      <c r="O53" t="s">
        <v>2997</v>
      </c>
      <c r="P53">
        <v>-8.5</v>
      </c>
      <c r="Q53" t="s">
        <v>2997</v>
      </c>
      <c r="R53">
        <v>-515985</v>
      </c>
      <c r="S53" s="5">
        <v>-1.5389999999999999</v>
      </c>
      <c r="T53" t="s">
        <v>2998</v>
      </c>
      <c r="U53">
        <v>262264910</v>
      </c>
      <c r="V53">
        <v>262560140</v>
      </c>
      <c r="W53">
        <v>1.33</v>
      </c>
      <c r="X53">
        <v>0.06</v>
      </c>
      <c r="Y53">
        <v>-0.37</v>
      </c>
      <c r="Z53" t="s">
        <v>2999</v>
      </c>
      <c r="AA53" t="s">
        <v>3000</v>
      </c>
      <c r="AB53" t="s">
        <v>3001</v>
      </c>
      <c r="AC53" t="s">
        <v>3002</v>
      </c>
      <c r="AD53" t="s">
        <v>63</v>
      </c>
      <c r="AE53">
        <v>-1806818</v>
      </c>
      <c r="AF53" t="s">
        <v>3003</v>
      </c>
      <c r="AG53">
        <v>4050</v>
      </c>
      <c r="AH53" t="s">
        <v>3004</v>
      </c>
      <c r="AI53" t="s">
        <v>1268</v>
      </c>
      <c r="AJ53" t="s">
        <v>3005</v>
      </c>
      <c r="AK53" t="s">
        <v>63</v>
      </c>
      <c r="AL53" t="s">
        <v>3006</v>
      </c>
      <c r="AM53" t="s">
        <v>63</v>
      </c>
      <c r="AN53">
        <v>0</v>
      </c>
      <c r="AO53" t="s">
        <v>270</v>
      </c>
      <c r="AP53" t="s">
        <v>3007</v>
      </c>
      <c r="AQ53" t="s">
        <v>213</v>
      </c>
      <c r="AR53" t="s">
        <v>3008</v>
      </c>
      <c r="AS53" t="s">
        <v>651</v>
      </c>
      <c r="AT53" t="s">
        <v>63</v>
      </c>
      <c r="AU53" t="s">
        <v>3009</v>
      </c>
      <c r="AV53" t="s">
        <v>3010</v>
      </c>
      <c r="AW53" t="s">
        <v>3011</v>
      </c>
      <c r="AX53" t="s">
        <v>626</v>
      </c>
      <c r="AY53" t="s">
        <v>1100</v>
      </c>
      <c r="AZ53" t="s">
        <v>528</v>
      </c>
      <c r="BA53" t="s">
        <v>484</v>
      </c>
      <c r="BB53" t="s">
        <v>343</v>
      </c>
      <c r="BC53" t="s">
        <v>1541</v>
      </c>
      <c r="BD53" t="s">
        <v>1542</v>
      </c>
      <c r="BE53" t="s">
        <v>909</v>
      </c>
      <c r="BF53" t="s">
        <v>557</v>
      </c>
      <c r="BG53" t="s">
        <v>910</v>
      </c>
      <c r="BH53" t="s">
        <v>761</v>
      </c>
      <c r="BI53" t="s">
        <v>301</v>
      </c>
      <c r="BJ53" t="s">
        <v>626</v>
      </c>
      <c r="BK53" t="s">
        <v>3012</v>
      </c>
      <c r="BL53" t="s">
        <v>1861</v>
      </c>
      <c r="BM53" t="s">
        <v>1541</v>
      </c>
      <c r="BN53">
        <v>0.41</v>
      </c>
      <c r="BO53" t="s">
        <v>63</v>
      </c>
      <c r="BP53">
        <v>2.54</v>
      </c>
      <c r="BQ53">
        <v>1.25</v>
      </c>
      <c r="BR53">
        <v>-7.67</v>
      </c>
      <c r="BS53">
        <v>3.13</v>
      </c>
      <c r="BT53" t="s">
        <v>1452</v>
      </c>
      <c r="BU53" t="s">
        <v>2052</v>
      </c>
      <c r="BV53">
        <v>38.92</v>
      </c>
      <c r="BW53">
        <v>20.440000000000001</v>
      </c>
      <c r="BX53">
        <v>34.72</v>
      </c>
      <c r="BY53">
        <v>8.86</v>
      </c>
      <c r="BZ53">
        <v>-23.37</v>
      </c>
      <c r="CA53">
        <v>7.46</v>
      </c>
      <c r="CB53">
        <v>1.38</v>
      </c>
      <c r="CC53">
        <v>-8.67</v>
      </c>
      <c r="CD53" t="s">
        <v>3013</v>
      </c>
      <c r="CE53" t="s">
        <v>3014</v>
      </c>
      <c r="CF53" s="9">
        <v>-0.49079106145251394</v>
      </c>
      <c r="CG53" s="10">
        <v>0.77563918601617532</v>
      </c>
      <c r="CH53" s="9">
        <v>-0.74680995941162109</v>
      </c>
      <c r="CI53" s="9">
        <v>-0.22413793206214905</v>
      </c>
      <c r="CJ53" s="9">
        <v>1.9780220463871956E-2</v>
      </c>
      <c r="CK53" s="9">
        <v>3.1746033579111099E-2</v>
      </c>
      <c r="CL53" s="9">
        <v>0.12787723541259766</v>
      </c>
      <c r="CM53" s="10">
        <v>0.99380600452423096</v>
      </c>
      <c r="CN53" s="10">
        <v>-3.4159555435180664</v>
      </c>
      <c r="CO53" s="10">
        <v>-0.20075191557407379</v>
      </c>
      <c r="CP53" s="10">
        <v>4.6271596103906631E-2</v>
      </c>
      <c r="CQ53" s="10">
        <v>1.9552962854504585E-2</v>
      </c>
      <c r="CR53">
        <v>199.94405472112814</v>
      </c>
      <c r="CS53">
        <v>12.629996132329005</v>
      </c>
      <c r="CT53">
        <v>0.31315240083507306</v>
      </c>
      <c r="CU53" s="9">
        <v>-0.15830888040363789</v>
      </c>
      <c r="CV53" s="10">
        <v>-0.5114153791218996</v>
      </c>
      <c r="CW53">
        <v>0.06</v>
      </c>
      <c r="CX53" t="e">
        <v>#VALUE!</v>
      </c>
      <c r="CY53" t="s">
        <v>1308</v>
      </c>
      <c r="CZ53">
        <v>-0.15830888040363789</v>
      </c>
      <c r="DA53" t="e">
        <v>#VALUE!</v>
      </c>
      <c r="DB53" t="s">
        <v>1309</v>
      </c>
      <c r="DC53">
        <v>-0.15039343638345598</v>
      </c>
      <c r="DD53" t="e">
        <v>#VALUE!</v>
      </c>
      <c r="DE53" t="s">
        <v>1309</v>
      </c>
      <c r="DF53">
        <v>-0.13931181475520135</v>
      </c>
      <c r="DG53" t="e">
        <v>#VALUE!</v>
      </c>
      <c r="DH53" t="s">
        <v>1309</v>
      </c>
      <c r="DI53">
        <v>-0.12664710432291032</v>
      </c>
      <c r="DJ53" t="e">
        <v>#VALUE!</v>
      </c>
      <c r="DK53" t="s">
        <v>1309</v>
      </c>
      <c r="DL53">
        <v>-0.11081621628254651</v>
      </c>
      <c r="DM53">
        <v>-516000</v>
      </c>
      <c r="DN53">
        <v>-0.15830888040363789</v>
      </c>
      <c r="DO53">
        <v>1793326200</v>
      </c>
      <c r="DP53">
        <v>835158940</v>
      </c>
      <c r="DQ53">
        <v>2018</v>
      </c>
      <c r="DR53">
        <v>-0.33248218104887606</v>
      </c>
      <c r="DS53">
        <v>1.2870545651380749</v>
      </c>
      <c r="DT53" s="11">
        <v>-0.92333333333333334</v>
      </c>
      <c r="DU53">
        <v>-1.6116666666666666</v>
      </c>
      <c r="DV53">
        <v>-2.5350000000000001</v>
      </c>
      <c r="DW53">
        <v>-2.0867</v>
      </c>
      <c r="DX53">
        <v>0.38601421571267025</v>
      </c>
      <c r="DY53">
        <v>-2.0117924325022885</v>
      </c>
      <c r="DZ53">
        <v>4287</v>
      </c>
      <c r="EA53">
        <v>-2.001899250870721</v>
      </c>
      <c r="EB53">
        <v>2</v>
      </c>
      <c r="EC53">
        <v>2.4050870783356531E-2</v>
      </c>
      <c r="ED53">
        <v>0.17682615495253773</v>
      </c>
      <c r="EE53" s="12">
        <v>-4.0121099999999998</v>
      </c>
      <c r="EF53">
        <v>-4.0226100000000002</v>
      </c>
      <c r="EG53">
        <v>25.13601421571267</v>
      </c>
      <c r="EH53" t="s">
        <v>1994</v>
      </c>
      <c r="EI53">
        <v>0</v>
      </c>
      <c r="EJ53">
        <v>0</v>
      </c>
      <c r="EK53" s="14">
        <v>45470</v>
      </c>
      <c r="EL53" s="15">
        <v>-1.61</v>
      </c>
      <c r="EM53" s="15">
        <v>-6.63</v>
      </c>
      <c r="EN53" s="15">
        <v>0.33</v>
      </c>
      <c r="EO53" s="15">
        <v>3.93</v>
      </c>
      <c r="EP53" s="15">
        <v>-1.05</v>
      </c>
    </row>
    <row r="54" spans="1:146" ht="96" x14ac:dyDescent="0.25">
      <c r="A54" s="7"/>
      <c r="B54" s="7"/>
      <c r="C54" s="7" t="str">
        <f>""&amp;CHAR(10)&amp;Basic_Fundamental_Information_Constructure(F54)&amp;CHAR(10)&amp;Basic_Fundamental_Information_Concatenate("")</f>
        <v xml:space="preserve">
市值20.128112亿, 利润-6516.96万; PE; 平均PE61.72; 平均PEG12.06, PB2.34; ROIC7.245%; ROE5.47%; 股利率.2112%; 毛利30.3267%; 净利3.3567%; 上一年度营收增-93.18%, 利润增-240.46%; 当季营收增-84.79%, 利润增-2850.99%; 过往5年营收增-5.12%, 利润增-37.65%
Income profile:
</v>
      </c>
      <c r="D54" t="s">
        <v>116</v>
      </c>
      <c r="E54" t="s">
        <v>51</v>
      </c>
      <c r="F54">
        <v>16.57</v>
      </c>
      <c r="G54">
        <v>1.84</v>
      </c>
      <c r="H54" t="s">
        <v>3015</v>
      </c>
      <c r="I54">
        <v>2012811200</v>
      </c>
      <c r="K54">
        <v>2.34</v>
      </c>
      <c r="L54" t="s">
        <v>1303</v>
      </c>
      <c r="M54" t="s">
        <v>3016</v>
      </c>
      <c r="N54" t="s">
        <v>1790</v>
      </c>
      <c r="O54" t="s">
        <v>3017</v>
      </c>
      <c r="P54">
        <v>-43.05</v>
      </c>
      <c r="Q54" t="s">
        <v>3017</v>
      </c>
      <c r="R54">
        <v>-65169644</v>
      </c>
      <c r="S54" s="5">
        <v>-0.82979999999999998</v>
      </c>
      <c r="T54" t="s">
        <v>3018</v>
      </c>
      <c r="U54">
        <v>102804601</v>
      </c>
      <c r="V54">
        <v>121473218</v>
      </c>
      <c r="W54">
        <v>2.2200000000000002</v>
      </c>
      <c r="X54">
        <v>0.04</v>
      </c>
      <c r="Y54">
        <v>-75.8</v>
      </c>
      <c r="Z54" t="s">
        <v>257</v>
      </c>
      <c r="AA54" t="s">
        <v>319</v>
      </c>
      <c r="AB54" t="s">
        <v>3019</v>
      </c>
      <c r="AC54" t="s">
        <v>3020</v>
      </c>
      <c r="AD54" t="s">
        <v>63</v>
      </c>
      <c r="AE54">
        <v>2884196</v>
      </c>
      <c r="AF54" t="s">
        <v>3021</v>
      </c>
      <c r="AG54" t="s">
        <v>3022</v>
      </c>
      <c r="AH54" t="s">
        <v>3023</v>
      </c>
      <c r="AI54" t="s">
        <v>362</v>
      </c>
      <c r="AJ54" t="s">
        <v>3024</v>
      </c>
      <c r="AK54" t="s">
        <v>3025</v>
      </c>
      <c r="AL54" t="s">
        <v>3026</v>
      </c>
      <c r="AM54" t="s">
        <v>63</v>
      </c>
      <c r="AN54">
        <v>0</v>
      </c>
      <c r="AO54" t="s">
        <v>260</v>
      </c>
      <c r="AP54" t="s">
        <v>270</v>
      </c>
      <c r="AQ54" t="s">
        <v>752</v>
      </c>
      <c r="AR54" t="s">
        <v>63</v>
      </c>
      <c r="AS54" t="s">
        <v>242</v>
      </c>
      <c r="AT54" t="s">
        <v>63</v>
      </c>
      <c r="AU54" t="s">
        <v>1153</v>
      </c>
      <c r="AV54" t="s">
        <v>3027</v>
      </c>
      <c r="AW54" t="s">
        <v>3028</v>
      </c>
      <c r="AX54" t="s">
        <v>1543</v>
      </c>
      <c r="AY54" t="s">
        <v>1112</v>
      </c>
      <c r="AZ54" t="s">
        <v>817</v>
      </c>
      <c r="BA54" t="s">
        <v>561</v>
      </c>
      <c r="BB54" t="s">
        <v>692</v>
      </c>
      <c r="BC54" t="s">
        <v>3029</v>
      </c>
      <c r="BD54" t="s">
        <v>1208</v>
      </c>
      <c r="BE54" t="s">
        <v>911</v>
      </c>
      <c r="BF54" t="s">
        <v>562</v>
      </c>
      <c r="BG54" t="s">
        <v>912</v>
      </c>
      <c r="BH54" t="s">
        <v>1410</v>
      </c>
      <c r="BI54" t="s">
        <v>786</v>
      </c>
      <c r="BJ54" t="s">
        <v>1543</v>
      </c>
      <c r="BK54" t="s">
        <v>3030</v>
      </c>
      <c r="BL54" t="s">
        <v>1862</v>
      </c>
      <c r="BM54" t="s">
        <v>3029</v>
      </c>
      <c r="BN54" t="s">
        <v>63</v>
      </c>
      <c r="BO54">
        <v>5.05</v>
      </c>
      <c r="BP54">
        <v>9.44</v>
      </c>
      <c r="BQ54">
        <v>0.5</v>
      </c>
      <c r="BR54">
        <v>5.51</v>
      </c>
      <c r="BS54">
        <v>10.4</v>
      </c>
      <c r="BT54" t="s">
        <v>1453</v>
      </c>
      <c r="BU54" t="s">
        <v>2052</v>
      </c>
      <c r="BV54">
        <v>29.91</v>
      </c>
      <c r="BW54">
        <v>28.99</v>
      </c>
      <c r="BX54">
        <v>32.08</v>
      </c>
      <c r="BY54">
        <v>1.53</v>
      </c>
      <c r="BZ54">
        <v>3.42</v>
      </c>
      <c r="CA54">
        <v>5.12</v>
      </c>
      <c r="CB54">
        <v>-0.96</v>
      </c>
      <c r="CC54">
        <v>-10.210000000000001</v>
      </c>
      <c r="CD54" t="s">
        <v>3031</v>
      </c>
      <c r="CE54" t="s">
        <v>572</v>
      </c>
      <c r="CF54" s="9">
        <v>-0.84785803108808289</v>
      </c>
      <c r="CG54" s="10">
        <v>-28.5098913240355</v>
      </c>
      <c r="CH54" s="9">
        <v>-0.93176591396331787</v>
      </c>
      <c r="CI54" s="9">
        <v>-7.0554263889789581E-2</v>
      </c>
      <c r="CJ54" s="9">
        <v>0.38346606492996216</v>
      </c>
      <c r="CK54" s="9">
        <v>9.6069872379302979E-2</v>
      </c>
      <c r="CL54" s="9">
        <v>0.2669433057308197</v>
      </c>
      <c r="CM54" s="10">
        <v>-2.40458083152771</v>
      </c>
      <c r="CN54" s="10">
        <v>-0.35413691401481628</v>
      </c>
      <c r="CO54" s="10">
        <v>0.18534590303897858</v>
      </c>
      <c r="CP54" s="10">
        <v>1.1765656471252441</v>
      </c>
      <c r="CQ54" s="10">
        <v>-0.48584270477294922</v>
      </c>
      <c r="CR54">
        <v>61.719671962750077</v>
      </c>
      <c r="CS54">
        <v>12.062118207912457</v>
      </c>
      <c r="CT54">
        <v>0.21122510561255278</v>
      </c>
      <c r="CU54" s="9">
        <v>-5.1168186962604521E-2</v>
      </c>
      <c r="CV54" s="10">
        <v>-0.37652978003025056</v>
      </c>
      <c r="CW54">
        <v>0.06</v>
      </c>
      <c r="CX54" t="e">
        <v>#VALUE!</v>
      </c>
      <c r="CY54" t="s">
        <v>1308</v>
      </c>
      <c r="CZ54">
        <v>-5.1168186962604521E-2</v>
      </c>
      <c r="DA54" t="e">
        <v>#VALUE!</v>
      </c>
      <c r="DB54" t="s">
        <v>1309</v>
      </c>
      <c r="DC54">
        <v>-4.8609777614474291E-2</v>
      </c>
      <c r="DD54" t="e">
        <v>#VALUE!</v>
      </c>
      <c r="DE54" t="s">
        <v>1309</v>
      </c>
      <c r="DF54">
        <v>-4.5028004527091978E-2</v>
      </c>
      <c r="DG54" t="e">
        <v>#VALUE!</v>
      </c>
      <c r="DH54" t="s">
        <v>1309</v>
      </c>
      <c r="DI54">
        <v>-4.093454957008362E-2</v>
      </c>
      <c r="DJ54" t="e">
        <v>#VALUE!</v>
      </c>
      <c r="DK54" t="s">
        <v>1309</v>
      </c>
      <c r="DL54">
        <v>-3.5817730873823166E-2</v>
      </c>
      <c r="DM54">
        <v>-65169600</v>
      </c>
      <c r="DN54">
        <v>-5.1168186962604521E-2</v>
      </c>
      <c r="DO54">
        <v>2375811200</v>
      </c>
      <c r="DP54">
        <v>679792900</v>
      </c>
      <c r="DQ54">
        <v>2024</v>
      </c>
      <c r="DR54">
        <v>-0.79668984412547839</v>
      </c>
      <c r="DS54">
        <v>-28.13336154400525</v>
      </c>
      <c r="DT54" s="11">
        <v>-0.54</v>
      </c>
      <c r="DU54">
        <v>-1.5316666666666665</v>
      </c>
      <c r="DV54">
        <v>-2.0716666666666663</v>
      </c>
      <c r="DW54">
        <v>-2.1021000000000001</v>
      </c>
      <c r="DX54">
        <v>0.33218711656441685</v>
      </c>
      <c r="DY54">
        <v>-2.0134963046012269</v>
      </c>
      <c r="DZ54">
        <v>3713</v>
      </c>
      <c r="EA54">
        <v>-2.0036896942324685</v>
      </c>
      <c r="EB54">
        <v>2</v>
      </c>
      <c r="EC54">
        <v>0.1773765473143224</v>
      </c>
      <c r="ED54">
        <v>1.3418595694073074</v>
      </c>
      <c r="EE54" s="12">
        <v>7.6399999999999996E-2</v>
      </c>
      <c r="EF54">
        <v>5.439999999999999E-2</v>
      </c>
      <c r="EG54">
        <v>20.132187116564417</v>
      </c>
      <c r="EH54" t="s">
        <v>1123</v>
      </c>
      <c r="EI54">
        <v>0</v>
      </c>
      <c r="EJ54">
        <v>0</v>
      </c>
      <c r="EK54" s="14">
        <v>45470</v>
      </c>
      <c r="EL54" s="15">
        <v>-1.55</v>
      </c>
      <c r="EM54" s="15">
        <v>-5.66</v>
      </c>
      <c r="EN54" s="15">
        <v>0</v>
      </c>
      <c r="EO54" s="15">
        <v>7.12</v>
      </c>
      <c r="EP54" s="15">
        <v>-2.2000000000000002</v>
      </c>
    </row>
    <row r="55" spans="1:146" ht="96" x14ac:dyDescent="0.25">
      <c r="A55" s="7"/>
      <c r="B55" s="7"/>
      <c r="C55" s="7" t="str">
        <f>""&amp;CHAR(10)&amp;Basic_Fundamental_Information_Constructure(F55)&amp;CHAR(10)&amp;Basic_Fundamental_Information_Concatenate("")</f>
        <v xml:space="preserve">
市值37.394563亿, 利润652.54万; PE27.89; 平均PE32.19; 平均PEG3.4, PB3.09; ROIC6.0267%; ROE8.5467%; 股利率1.6026%; 毛利54.4033%; 净利18.3333%; 上一年度营收增-72.4%, 利润增-90.54%; 当季营收增-62.62%, 利润增-92.6%; 过往5年营收增-9.48%, 利润增-20%
Income profile:
</v>
      </c>
      <c r="D55" t="s">
        <v>138</v>
      </c>
      <c r="E55" t="s">
        <v>41</v>
      </c>
      <c r="F55">
        <v>9.36</v>
      </c>
      <c r="G55">
        <v>2.1800000000000002</v>
      </c>
      <c r="H55" t="s">
        <v>3032</v>
      </c>
      <c r="I55">
        <v>3739456300</v>
      </c>
      <c r="J55">
        <v>27.89</v>
      </c>
      <c r="K55">
        <v>3.09</v>
      </c>
      <c r="L55" t="s">
        <v>1303</v>
      </c>
      <c r="M55" t="s">
        <v>262</v>
      </c>
      <c r="N55" t="s">
        <v>3033</v>
      </c>
      <c r="O55" t="s">
        <v>287</v>
      </c>
      <c r="P55">
        <v>68.47</v>
      </c>
      <c r="Q55" t="s">
        <v>287</v>
      </c>
      <c r="R55">
        <v>6525365</v>
      </c>
      <c r="S55" s="5">
        <v>0.87309999999999999</v>
      </c>
      <c r="T55" t="s">
        <v>3034</v>
      </c>
      <c r="U55">
        <v>311136830</v>
      </c>
      <c r="V55">
        <v>399514570</v>
      </c>
      <c r="W55">
        <v>1.1599999999999999</v>
      </c>
      <c r="X55">
        <v>0.08</v>
      </c>
      <c r="Y55">
        <v>4.42</v>
      </c>
      <c r="Z55" t="s">
        <v>352</v>
      </c>
      <c r="AA55" t="s">
        <v>3035</v>
      </c>
      <c r="AB55" t="s">
        <v>3036</v>
      </c>
      <c r="AC55" t="s">
        <v>3037</v>
      </c>
      <c r="AD55" t="s">
        <v>63</v>
      </c>
      <c r="AE55">
        <v>-3756672</v>
      </c>
      <c r="AF55" t="s">
        <v>3038</v>
      </c>
      <c r="AG55">
        <v>0</v>
      </c>
      <c r="AH55" t="s">
        <v>3039</v>
      </c>
      <c r="AI55" t="s">
        <v>768</v>
      </c>
      <c r="AJ55" t="s">
        <v>3040</v>
      </c>
      <c r="AK55" t="s">
        <v>1801</v>
      </c>
      <c r="AL55" t="s">
        <v>3041</v>
      </c>
      <c r="AM55" t="s">
        <v>63</v>
      </c>
      <c r="AN55">
        <v>0</v>
      </c>
      <c r="AO55" t="s">
        <v>63</v>
      </c>
      <c r="AP55" t="s">
        <v>3042</v>
      </c>
      <c r="AQ55" t="s">
        <v>3043</v>
      </c>
      <c r="AR55" t="s">
        <v>3044</v>
      </c>
      <c r="AS55" t="s">
        <v>66</v>
      </c>
      <c r="AT55" t="s">
        <v>63</v>
      </c>
      <c r="AU55" t="s">
        <v>3045</v>
      </c>
      <c r="AV55" t="s">
        <v>3046</v>
      </c>
      <c r="AW55" t="s">
        <v>3047</v>
      </c>
      <c r="AX55" t="s">
        <v>554</v>
      </c>
      <c r="AY55" t="s">
        <v>375</v>
      </c>
      <c r="AZ55" t="s">
        <v>224</v>
      </c>
      <c r="BA55" t="s">
        <v>254</v>
      </c>
      <c r="BB55" t="s">
        <v>401</v>
      </c>
      <c r="BC55" t="s">
        <v>1544</v>
      </c>
      <c r="BD55" t="s">
        <v>1209</v>
      </c>
      <c r="BE55" t="s">
        <v>317</v>
      </c>
      <c r="BF55" t="s">
        <v>565</v>
      </c>
      <c r="BG55" t="s">
        <v>471</v>
      </c>
      <c r="BH55" t="s">
        <v>615</v>
      </c>
      <c r="BI55" t="s">
        <v>179</v>
      </c>
      <c r="BJ55" t="s">
        <v>554</v>
      </c>
      <c r="BK55" t="s">
        <v>370</v>
      </c>
      <c r="BL55" t="s">
        <v>1864</v>
      </c>
      <c r="BM55" t="s">
        <v>1544</v>
      </c>
      <c r="BN55">
        <v>9.16</v>
      </c>
      <c r="BO55">
        <v>4.0199999999999996</v>
      </c>
      <c r="BP55">
        <v>4.9000000000000004</v>
      </c>
      <c r="BQ55">
        <v>10.72</v>
      </c>
      <c r="BR55">
        <v>6.8</v>
      </c>
      <c r="BS55">
        <v>8.1199999999999992</v>
      </c>
      <c r="BT55" t="s">
        <v>1459</v>
      </c>
      <c r="BU55" t="s">
        <v>2052</v>
      </c>
      <c r="BV55">
        <v>51.75</v>
      </c>
      <c r="BW55">
        <v>53.81</v>
      </c>
      <c r="BX55">
        <v>57.65</v>
      </c>
      <c r="BY55">
        <v>21.44</v>
      </c>
      <c r="BZ55">
        <v>13.96</v>
      </c>
      <c r="CA55">
        <v>19.600000000000001</v>
      </c>
      <c r="CB55">
        <v>-2.19</v>
      </c>
      <c r="CC55">
        <v>-14.99</v>
      </c>
      <c r="CD55" t="s">
        <v>3048</v>
      </c>
      <c r="CE55" t="s">
        <v>461</v>
      </c>
      <c r="CF55" s="9">
        <v>-0.6262295081967213</v>
      </c>
      <c r="CG55" s="10">
        <v>-0.92604972353776471</v>
      </c>
      <c r="CH55" s="9">
        <v>-0.72397094964981079</v>
      </c>
      <c r="CI55" s="9">
        <v>0.11621621251106262</v>
      </c>
      <c r="CJ55" s="9">
        <v>-0.37288135290145874</v>
      </c>
      <c r="CK55" s="9">
        <v>1.2006861157715321E-2</v>
      </c>
      <c r="CL55" s="9">
        <v>0.49487179517745972</v>
      </c>
      <c r="CM55" s="10">
        <v>-0.9053613543510437</v>
      </c>
      <c r="CN55" s="10">
        <v>-0.16559119522571564</v>
      </c>
      <c r="CO55" s="10">
        <v>-0.60650378465652466</v>
      </c>
      <c r="CP55" s="10">
        <v>2.4390242993831635E-2</v>
      </c>
      <c r="CQ55" s="10">
        <v>0.65322577953338623</v>
      </c>
      <c r="CR55">
        <v>32.185348287064471</v>
      </c>
      <c r="CS55">
        <v>3.396817231484702</v>
      </c>
      <c r="CT55">
        <v>1.6025641025641026</v>
      </c>
      <c r="CU55" s="9">
        <v>-9.4751486741006377E-2</v>
      </c>
      <c r="CV55" s="10">
        <v>-0.19996806234121323</v>
      </c>
      <c r="CW55">
        <v>0.06</v>
      </c>
      <c r="CX55">
        <v>415.98312747111288</v>
      </c>
      <c r="CY55" t="s">
        <v>3049</v>
      </c>
      <c r="CZ55">
        <v>-9.4751486741006377E-2</v>
      </c>
      <c r="DA55">
        <v>138.66104249037096</v>
      </c>
      <c r="DB55" t="s">
        <v>3050</v>
      </c>
      <c r="DC55">
        <v>-9.0013912403956051E-2</v>
      </c>
      <c r="DD55">
        <v>69.33052124518548</v>
      </c>
      <c r="DE55" t="s">
        <v>3051</v>
      </c>
      <c r="DF55">
        <v>-8.338130833208561E-2</v>
      </c>
      <c r="DG55">
        <v>41.598312747111287</v>
      </c>
      <c r="DH55" t="s">
        <v>3052</v>
      </c>
      <c r="DI55">
        <v>-7.5801189392805113E-2</v>
      </c>
      <c r="DJ55">
        <v>20.799156373555643</v>
      </c>
      <c r="DK55" t="s">
        <v>3053</v>
      </c>
      <c r="DL55">
        <v>-6.632604071870446E-2</v>
      </c>
      <c r="DM55">
        <v>6525400</v>
      </c>
      <c r="DN55">
        <v>-9.4751486741006377E-2</v>
      </c>
      <c r="DO55">
        <v>2714456300</v>
      </c>
      <c r="DP55">
        <v>787322330</v>
      </c>
      <c r="DQ55">
        <v>2027</v>
      </c>
      <c r="DR55">
        <v>-0.53147802145571488</v>
      </c>
      <c r="DS55">
        <v>-0.72608166119655149</v>
      </c>
      <c r="DT55" s="11">
        <v>-0.80666666666666664</v>
      </c>
      <c r="DU55">
        <v>-0.9900000000000001</v>
      </c>
      <c r="DV55">
        <v>-1.7966666666666669</v>
      </c>
      <c r="DW55">
        <v>-2.1499000000000001</v>
      </c>
      <c r="DX55">
        <v>0.37147844311377409</v>
      </c>
      <c r="DY55">
        <v>-2.0227066186227547</v>
      </c>
      <c r="DZ55">
        <v>1643</v>
      </c>
      <c r="EA55">
        <v>-2.0154058408542253</v>
      </c>
      <c r="EB55">
        <v>2</v>
      </c>
      <c r="EC55">
        <v>6.3319092467641419E-2</v>
      </c>
      <c r="ED55">
        <v>0.41800728318869573</v>
      </c>
      <c r="EE55" s="12">
        <v>3.0145</v>
      </c>
      <c r="EF55">
        <v>3.01661</v>
      </c>
      <c r="EG55">
        <v>22.151478443113774</v>
      </c>
      <c r="EH55" t="s">
        <v>1331</v>
      </c>
      <c r="EI55">
        <v>0</v>
      </c>
      <c r="EJ55">
        <v>0</v>
      </c>
      <c r="EK55" s="14">
        <v>45470</v>
      </c>
      <c r="EL55" s="15">
        <v>0</v>
      </c>
      <c r="EM55" s="15">
        <v>-4.8099999999999996</v>
      </c>
      <c r="EN55" s="15">
        <v>0.64</v>
      </c>
      <c r="EO55" s="15">
        <v>6.3</v>
      </c>
      <c r="EP55" s="15">
        <v>-3.11</v>
      </c>
    </row>
    <row r="56" spans="1:146" ht="108" x14ac:dyDescent="0.25">
      <c r="A56" s="7"/>
      <c r="B56" s="7"/>
      <c r="C56" s="7" t="str">
        <f>""&amp;CHAR(10)&amp;Basic_Fundamental_Information_Constructure(F56)&amp;CHAR(10)&amp;Basic_Fundamental_Information_Concatenate("")</f>
        <v xml:space="preserve">
市值30.776528亿, 利润-98.60万; PE1429; 平均PE219.59; 平均PEG8.6, PB4.8; ROIC1.21%; ROE1.35%; 股利率.3731%; 毛利49.7033%; 净利5.82%; 上一年度营收增-87.52%, 利润增-113.22%; 当季营收增-74.96%, 利润增-128.79%; 过往5年营收增-25.54%, 利润增-43.08%
Income profile:
</v>
      </c>
      <c r="D56" t="s">
        <v>80</v>
      </c>
      <c r="E56" t="s">
        <v>22</v>
      </c>
      <c r="F56">
        <v>9.3800000000000008</v>
      </c>
      <c r="G56">
        <v>-10.24</v>
      </c>
      <c r="H56" t="s">
        <v>3054</v>
      </c>
      <c r="I56">
        <v>3077652800</v>
      </c>
      <c r="J56">
        <v>1429</v>
      </c>
      <c r="K56">
        <v>4.8</v>
      </c>
      <c r="L56" t="s">
        <v>1303</v>
      </c>
      <c r="M56" t="s">
        <v>3055</v>
      </c>
      <c r="N56" t="s">
        <v>862</v>
      </c>
      <c r="O56" t="s">
        <v>3056</v>
      </c>
      <c r="P56">
        <v>-51.86</v>
      </c>
      <c r="Q56" t="s">
        <v>3056</v>
      </c>
      <c r="R56">
        <v>-985961</v>
      </c>
      <c r="S56" s="5">
        <v>-1.4710000000000001</v>
      </c>
      <c r="T56" t="s">
        <v>3057</v>
      </c>
      <c r="U56">
        <v>195513200</v>
      </c>
      <c r="V56">
        <v>328107980</v>
      </c>
      <c r="W56">
        <v>1.04</v>
      </c>
      <c r="X56">
        <v>0.03</v>
      </c>
      <c r="Y56">
        <v>-5.03</v>
      </c>
      <c r="Z56" t="s">
        <v>3058</v>
      </c>
      <c r="AA56" t="s">
        <v>3059</v>
      </c>
      <c r="AB56" t="s">
        <v>3060</v>
      </c>
      <c r="AC56" t="s">
        <v>3061</v>
      </c>
      <c r="AD56" t="s">
        <v>63</v>
      </c>
      <c r="AE56">
        <v>-557953</v>
      </c>
      <c r="AF56" t="s">
        <v>3062</v>
      </c>
      <c r="AG56" t="s">
        <v>63</v>
      </c>
      <c r="AH56" t="s">
        <v>3063</v>
      </c>
      <c r="AI56" t="s">
        <v>3064</v>
      </c>
      <c r="AJ56" t="s">
        <v>3065</v>
      </c>
      <c r="AK56" t="s">
        <v>3066</v>
      </c>
      <c r="AL56" t="s">
        <v>3067</v>
      </c>
      <c r="AM56" t="s">
        <v>63</v>
      </c>
      <c r="AN56" t="s">
        <v>3068</v>
      </c>
      <c r="AO56" t="s">
        <v>63</v>
      </c>
      <c r="AP56" t="s">
        <v>3069</v>
      </c>
      <c r="AQ56" t="s">
        <v>3070</v>
      </c>
      <c r="AR56" t="s">
        <v>63</v>
      </c>
      <c r="AS56" t="s">
        <v>3071</v>
      </c>
      <c r="AT56" t="s">
        <v>63</v>
      </c>
      <c r="AU56" t="s">
        <v>3072</v>
      </c>
      <c r="AV56" t="s">
        <v>3073</v>
      </c>
      <c r="AW56">
        <v>0</v>
      </c>
      <c r="AX56" t="s">
        <v>441</v>
      </c>
      <c r="AY56" t="s">
        <v>461</v>
      </c>
      <c r="AZ56" t="s">
        <v>335</v>
      </c>
      <c r="BA56" t="s">
        <v>566</v>
      </c>
      <c r="BB56" t="s">
        <v>639</v>
      </c>
      <c r="BC56" t="s">
        <v>3074</v>
      </c>
      <c r="BD56" t="s">
        <v>1210</v>
      </c>
      <c r="BE56" t="s">
        <v>913</v>
      </c>
      <c r="BF56" t="s">
        <v>567</v>
      </c>
      <c r="BG56" t="s">
        <v>914</v>
      </c>
      <c r="BH56" t="s">
        <v>220</v>
      </c>
      <c r="BI56" t="s">
        <v>1865</v>
      </c>
      <c r="BJ56" t="s">
        <v>441</v>
      </c>
      <c r="BK56" t="s">
        <v>3075</v>
      </c>
      <c r="BL56" t="s">
        <v>1866</v>
      </c>
      <c r="BM56" t="s">
        <v>3074</v>
      </c>
      <c r="BN56">
        <v>0.5</v>
      </c>
      <c r="BO56">
        <v>1.1000000000000001</v>
      </c>
      <c r="BP56">
        <v>2.0299999999999998</v>
      </c>
      <c r="BQ56">
        <v>0.76</v>
      </c>
      <c r="BR56">
        <v>1.1499999999999999</v>
      </c>
      <c r="BS56">
        <v>2.14</v>
      </c>
      <c r="BT56" t="s">
        <v>1453</v>
      </c>
      <c r="BU56" t="s">
        <v>2052</v>
      </c>
      <c r="BV56">
        <v>47.62</v>
      </c>
      <c r="BW56">
        <v>52.31</v>
      </c>
      <c r="BX56">
        <v>49.18</v>
      </c>
      <c r="BY56">
        <v>4.09</v>
      </c>
      <c r="BZ56">
        <v>5.0599999999999996</v>
      </c>
      <c r="CA56">
        <v>8.31</v>
      </c>
      <c r="CB56">
        <v>16.38</v>
      </c>
      <c r="CC56">
        <v>13.77</v>
      </c>
      <c r="CD56" t="s">
        <v>284</v>
      </c>
      <c r="CE56" t="s">
        <v>579</v>
      </c>
      <c r="CF56" s="9">
        <v>-0.74956711312052982</v>
      </c>
      <c r="CG56" s="10">
        <v>-1.287897042076678</v>
      </c>
      <c r="CH56" s="9">
        <v>-0.87517642974853516</v>
      </c>
      <c r="CI56" s="9">
        <v>-5.9880238026380539E-2</v>
      </c>
      <c r="CJ56" s="9">
        <v>-0.18137255311012268</v>
      </c>
      <c r="CK56" s="9">
        <v>3.553299605846405E-2</v>
      </c>
      <c r="CL56" s="9">
        <v>-0.19591836631298065</v>
      </c>
      <c r="CM56" s="10">
        <v>-1.1322371959686279</v>
      </c>
      <c r="CN56" s="10">
        <v>-0.47428277134895325</v>
      </c>
      <c r="CO56" s="10">
        <v>-0.17946566641330719</v>
      </c>
      <c r="CP56" s="10">
        <v>-0.14082203805446625</v>
      </c>
      <c r="CQ56" s="10">
        <v>-0.22733364999294281</v>
      </c>
      <c r="CR56">
        <v>219.58557050172186</v>
      </c>
      <c r="CS56">
        <v>8.5989607271695601</v>
      </c>
      <c r="CT56">
        <v>0.37313432835820892</v>
      </c>
      <c r="CU56" s="9">
        <v>-0.25536291822791102</v>
      </c>
      <c r="CV56" s="10">
        <v>-0.43082826435565946</v>
      </c>
      <c r="CW56">
        <v>0.06</v>
      </c>
      <c r="CX56" t="e">
        <v>#VALUE!</v>
      </c>
      <c r="CY56" t="s">
        <v>1308</v>
      </c>
      <c r="CZ56">
        <v>-0.25536291822791102</v>
      </c>
      <c r="DA56" t="e">
        <v>#VALUE!</v>
      </c>
      <c r="DB56" t="s">
        <v>1309</v>
      </c>
      <c r="DC56">
        <v>-0.24259477231651547</v>
      </c>
      <c r="DD56" t="e">
        <v>#VALUE!</v>
      </c>
      <c r="DE56" t="s">
        <v>1309</v>
      </c>
      <c r="DF56">
        <v>-0.2247193680405617</v>
      </c>
      <c r="DG56" t="e">
        <v>#VALUE!</v>
      </c>
      <c r="DH56" t="s">
        <v>1309</v>
      </c>
      <c r="DI56">
        <v>-0.20429033458232881</v>
      </c>
      <c r="DJ56" t="e">
        <v>#VALUE!</v>
      </c>
      <c r="DK56" t="s">
        <v>1309</v>
      </c>
      <c r="DL56">
        <v>-0.17875404275953771</v>
      </c>
      <c r="DM56">
        <v>-986000</v>
      </c>
      <c r="DN56">
        <v>-0.25536291822791102</v>
      </c>
      <c r="DO56">
        <v>2472924800</v>
      </c>
      <c r="DP56">
        <v>174090000</v>
      </c>
      <c r="DQ56">
        <v>2029</v>
      </c>
      <c r="DR56">
        <v>-0.4942041948926188</v>
      </c>
      <c r="DS56">
        <v>-0.85706877772101853</v>
      </c>
      <c r="DT56" s="11">
        <v>-1.0066666666666666</v>
      </c>
      <c r="DU56">
        <v>-2.0316666666666667</v>
      </c>
      <c r="DV56">
        <v>-3.0383333333333331</v>
      </c>
      <c r="DW56">
        <v>5.8406593406593403</v>
      </c>
      <c r="DX56">
        <v>0.78199999999999958</v>
      </c>
      <c r="DY56">
        <v>5.4640439560439562</v>
      </c>
      <c r="DZ56">
        <v>4476</v>
      </c>
      <c r="EA56">
        <v>5.0575741424915597</v>
      </c>
      <c r="EB56">
        <v>5</v>
      </c>
      <c r="EC56">
        <v>0.63088986741498931</v>
      </c>
      <c r="ED56">
        <v>1.1429164264764302</v>
      </c>
      <c r="EE56" s="12">
        <v>-1.0931</v>
      </c>
      <c r="EF56">
        <v>-1.0398000000000001</v>
      </c>
      <c r="EG56">
        <v>23.552</v>
      </c>
      <c r="EH56" t="s">
        <v>1310</v>
      </c>
      <c r="EI56">
        <v>1</v>
      </c>
      <c r="EJ56">
        <v>0</v>
      </c>
      <c r="EK56" s="14">
        <v>45470</v>
      </c>
      <c r="EL56" s="15">
        <v>6.48</v>
      </c>
      <c r="EM56" s="15">
        <v>9.19</v>
      </c>
      <c r="EN56" s="15">
        <v>2.0499999999999998</v>
      </c>
      <c r="EO56" s="15">
        <v>-1.78</v>
      </c>
      <c r="EP56" s="15">
        <v>-5.33</v>
      </c>
    </row>
    <row r="57" spans="1:146" ht="96" x14ac:dyDescent="0.25">
      <c r="A57" s="7"/>
      <c r="B57" s="7"/>
      <c r="C57" s="7" t="str">
        <f>""&amp;CHAR(10)&amp;Basic_Fundamental_Information_Constructure(F57)&amp;CHAR(10)&amp;Basic_Fundamental_Information_Concatenate("")</f>
        <v xml:space="preserve">
市值65.88亿, 利润-2467.73万; PE; 平均PE82.3; 平均PEG13.63, PB7.44; ROIC12.11%; ROE7.8867%; 股利率0%; 毛利52.41%; 净利5.3267%; 上一年度营收增-83.8%, 利润增-124.43%; 当季营收增-53.65%, 利润增-378.46%; 过往5年营收增-6.04%, 利润增-21.25%
Income profile:
</v>
      </c>
      <c r="D57" t="s">
        <v>97</v>
      </c>
      <c r="E57" t="s">
        <v>30</v>
      </c>
      <c r="F57">
        <v>24.4</v>
      </c>
      <c r="G57">
        <v>-1.49</v>
      </c>
      <c r="H57" t="s">
        <v>3076</v>
      </c>
      <c r="I57">
        <v>6588000000</v>
      </c>
      <c r="K57">
        <v>7.44</v>
      </c>
      <c r="L57" t="s">
        <v>1303</v>
      </c>
      <c r="M57" t="s">
        <v>673</v>
      </c>
      <c r="N57" t="s">
        <v>2629</v>
      </c>
      <c r="O57" t="s">
        <v>346</v>
      </c>
      <c r="P57">
        <v>8.36</v>
      </c>
      <c r="Q57" t="s">
        <v>346</v>
      </c>
      <c r="R57">
        <v>-24677309</v>
      </c>
      <c r="S57" s="5">
        <v>-8.8030000000000008</v>
      </c>
      <c r="T57" t="s">
        <v>3077</v>
      </c>
      <c r="U57">
        <v>261870940</v>
      </c>
      <c r="V57">
        <v>270000000</v>
      </c>
      <c r="W57">
        <v>1.61</v>
      </c>
      <c r="X57">
        <v>0.12</v>
      </c>
      <c r="Y57">
        <v>-14.29</v>
      </c>
      <c r="Z57" t="s">
        <v>527</v>
      </c>
      <c r="AA57" t="s">
        <v>3078</v>
      </c>
      <c r="AB57" t="s">
        <v>3079</v>
      </c>
      <c r="AC57" t="s">
        <v>3080</v>
      </c>
      <c r="AD57" t="s">
        <v>63</v>
      </c>
      <c r="AE57">
        <v>-327942</v>
      </c>
      <c r="AF57" t="s">
        <v>3081</v>
      </c>
      <c r="AG57" t="s">
        <v>63</v>
      </c>
      <c r="AH57" t="s">
        <v>3082</v>
      </c>
      <c r="AI57" t="s">
        <v>639</v>
      </c>
      <c r="AJ57" t="s">
        <v>3083</v>
      </c>
      <c r="AK57" t="s">
        <v>3084</v>
      </c>
      <c r="AL57" t="s">
        <v>3085</v>
      </c>
      <c r="AM57" t="s">
        <v>63</v>
      </c>
      <c r="AN57">
        <v>0</v>
      </c>
      <c r="AO57" t="s">
        <v>1341</v>
      </c>
      <c r="AP57" t="s">
        <v>3086</v>
      </c>
      <c r="AQ57" t="s">
        <v>287</v>
      </c>
      <c r="AR57" t="s">
        <v>63</v>
      </c>
      <c r="AS57" t="s">
        <v>1087</v>
      </c>
      <c r="AT57" t="s">
        <v>63</v>
      </c>
      <c r="AU57" t="s">
        <v>2047</v>
      </c>
      <c r="AV57" t="s">
        <v>3087</v>
      </c>
      <c r="AW57" t="s">
        <v>3088</v>
      </c>
      <c r="AX57" t="s">
        <v>1063</v>
      </c>
      <c r="AY57" t="s">
        <v>290</v>
      </c>
      <c r="AZ57" t="s">
        <v>915</v>
      </c>
      <c r="BA57" t="s">
        <v>342</v>
      </c>
      <c r="BB57" t="s">
        <v>411</v>
      </c>
      <c r="BC57" t="s">
        <v>182</v>
      </c>
      <c r="BD57" t="s">
        <v>514</v>
      </c>
      <c r="BE57" t="s">
        <v>278</v>
      </c>
      <c r="BF57" t="s">
        <v>568</v>
      </c>
      <c r="BG57" t="s">
        <v>916</v>
      </c>
      <c r="BH57" t="s">
        <v>845</v>
      </c>
      <c r="BI57" t="s">
        <v>420</v>
      </c>
      <c r="BJ57" t="s">
        <v>1063</v>
      </c>
      <c r="BK57" t="s">
        <v>3089</v>
      </c>
      <c r="BL57" t="s">
        <v>1867</v>
      </c>
      <c r="BM57" t="s">
        <v>182</v>
      </c>
      <c r="BN57" t="s">
        <v>63</v>
      </c>
      <c r="BO57">
        <v>10.57</v>
      </c>
      <c r="BP57">
        <v>13.65</v>
      </c>
      <c r="BQ57">
        <v>-2.13</v>
      </c>
      <c r="BR57">
        <v>11.34</v>
      </c>
      <c r="BS57">
        <v>14.45</v>
      </c>
      <c r="BT57" t="s">
        <v>1445</v>
      </c>
      <c r="BU57" t="s">
        <v>2052</v>
      </c>
      <c r="BV57">
        <v>46.19</v>
      </c>
      <c r="BW57">
        <v>54.61</v>
      </c>
      <c r="BX57">
        <v>56.43</v>
      </c>
      <c r="BY57">
        <v>-4.88</v>
      </c>
      <c r="BZ57">
        <v>9.39</v>
      </c>
      <c r="CA57">
        <v>11.47</v>
      </c>
      <c r="CB57">
        <v>25.13</v>
      </c>
      <c r="CC57">
        <v>28.62</v>
      </c>
      <c r="CD57" t="s">
        <v>183</v>
      </c>
      <c r="CE57" t="s">
        <v>209</v>
      </c>
      <c r="CF57" s="9">
        <v>-0.53645833333333337</v>
      </c>
      <c r="CG57" s="10">
        <v>-3.7845578975875065</v>
      </c>
      <c r="CH57" s="9">
        <v>-0.83803457021713257</v>
      </c>
      <c r="CI57" s="9">
        <v>7.1150161325931549E-2</v>
      </c>
      <c r="CJ57" s="9">
        <v>0.19580419361591339</v>
      </c>
      <c r="CK57" s="9">
        <v>8.0604530870914459E-2</v>
      </c>
      <c r="CL57" s="9">
        <v>0.18862275779247284</v>
      </c>
      <c r="CM57" s="10">
        <v>-1.2443296909332275</v>
      </c>
      <c r="CN57" s="10">
        <v>-0.12931033968925476</v>
      </c>
      <c r="CO57" s="10">
        <v>0.12621359527111053</v>
      </c>
      <c r="CP57" s="10">
        <v>4.540933296084404E-2</v>
      </c>
      <c r="CQ57" s="10">
        <v>0.13961648941040039</v>
      </c>
      <c r="CR57">
        <v>82.297860876057484</v>
      </c>
      <c r="CS57">
        <v>13.632112466126566</v>
      </c>
      <c r="CT57">
        <v>0</v>
      </c>
      <c r="CU57" s="9">
        <v>-6.0370585322380065E-2</v>
      </c>
      <c r="CV57" s="10">
        <v>-0.21248012259602547</v>
      </c>
      <c r="CW57">
        <v>0.06</v>
      </c>
      <c r="CX57" t="e">
        <v>#VALUE!</v>
      </c>
      <c r="CY57" t="s">
        <v>1308</v>
      </c>
      <c r="CZ57">
        <v>-6.0370585322380065E-2</v>
      </c>
      <c r="DA57" t="e">
        <v>#VALUE!</v>
      </c>
      <c r="DB57" t="s">
        <v>1309</v>
      </c>
      <c r="DC57">
        <v>-5.7352056056261057E-2</v>
      </c>
      <c r="DD57" t="e">
        <v>#VALUE!</v>
      </c>
      <c r="DE57" t="s">
        <v>1309</v>
      </c>
      <c r="DF57">
        <v>-5.3126115083694456E-2</v>
      </c>
      <c r="DG57" t="e">
        <v>#VALUE!</v>
      </c>
      <c r="DH57" t="s">
        <v>1309</v>
      </c>
      <c r="DI57">
        <v>-4.8296468257904054E-2</v>
      </c>
      <c r="DJ57" t="e">
        <v>#VALUE!</v>
      </c>
      <c r="DK57" t="s">
        <v>1309</v>
      </c>
      <c r="DL57">
        <v>-4.2259409725666046E-2</v>
      </c>
      <c r="DM57">
        <v>-24677300</v>
      </c>
      <c r="DN57">
        <v>-6.0370585322380065E-2</v>
      </c>
      <c r="DO57">
        <v>6290000000</v>
      </c>
      <c r="DP57">
        <v>579162210</v>
      </c>
      <c r="DQ57">
        <v>2046</v>
      </c>
      <c r="DR57">
        <v>-0.47608774801095333</v>
      </c>
      <c r="DS57">
        <v>-3.5720777749914809</v>
      </c>
      <c r="DT57" s="11">
        <v>-0.54</v>
      </c>
      <c r="DU57">
        <v>-1.6483333333333334</v>
      </c>
      <c r="DV57">
        <v>-2.1883333333333335</v>
      </c>
      <c r="DW57">
        <v>9.8780573025856047</v>
      </c>
      <c r="DX57">
        <v>0.80694915254237376</v>
      </c>
      <c r="DY57">
        <v>9.4539109784552693</v>
      </c>
      <c r="DZ57">
        <v>4295</v>
      </c>
      <c r="EA57">
        <v>9.0723948038045101</v>
      </c>
      <c r="EB57">
        <v>9</v>
      </c>
      <c r="EC57">
        <v>0.45185185185185184</v>
      </c>
      <c r="ED57">
        <v>0.87407407407407411</v>
      </c>
      <c r="EE57" s="12">
        <v>7.0899999999999991E-2</v>
      </c>
      <c r="EF57">
        <v>1.4400000000000003E-2</v>
      </c>
      <c r="EG57">
        <v>29.516949152542374</v>
      </c>
      <c r="EH57" t="s">
        <v>1123</v>
      </c>
      <c r="EI57">
        <v>1</v>
      </c>
      <c r="EJ57">
        <v>0</v>
      </c>
      <c r="EK57" s="14">
        <v>45470</v>
      </c>
      <c r="EL57" s="15">
        <v>-0.31</v>
      </c>
      <c r="EM57" s="15">
        <v>-2.2999999999999998</v>
      </c>
      <c r="EN57" s="15">
        <v>9.74</v>
      </c>
      <c r="EO57" s="15">
        <v>5.27</v>
      </c>
      <c r="EP57" s="15">
        <v>-5.65</v>
      </c>
    </row>
    <row r="58" spans="1:146" ht="108" x14ac:dyDescent="0.25">
      <c r="A58" s="7"/>
      <c r="B58" s="7"/>
      <c r="C58" s="7" t="str">
        <f>""&amp;CHAR(10)&amp;Basic_Fundamental_Information_Constructure(F58)&amp;CHAR(10)&amp;Basic_Fundamental_Information_Concatenate("")</f>
        <v xml:space="preserve">
市值59.366204亿, 利润-4550.11万; PE28.6; 平均PE592.3; 平均PEG41.87, PB3.77; ROIC3.06%; ROE-8.3333%; 股利率.4386%; 毛利19.4867%; 净利.9233%; 上一年度营收增-77.49%, 利润增72.92%; 当季营收增-54.11%, 利润增57.87%; 过往5年营收增14.15%, 利润增51.52%
Income profile:
</v>
      </c>
      <c r="D58" t="s">
        <v>71</v>
      </c>
      <c r="E58" t="s">
        <v>19</v>
      </c>
      <c r="F58">
        <v>27.36</v>
      </c>
      <c r="G58">
        <v>0.55000000000000004</v>
      </c>
      <c r="H58" t="s">
        <v>3090</v>
      </c>
      <c r="I58">
        <v>5936620400</v>
      </c>
      <c r="J58">
        <v>28.6</v>
      </c>
      <c r="K58">
        <v>3.77</v>
      </c>
      <c r="L58" t="s">
        <v>1303</v>
      </c>
      <c r="M58" t="s">
        <v>829</v>
      </c>
      <c r="N58" t="s">
        <v>1969</v>
      </c>
      <c r="O58" t="s">
        <v>410</v>
      </c>
      <c r="P58">
        <v>0.82</v>
      </c>
      <c r="Q58" t="s">
        <v>410</v>
      </c>
      <c r="R58">
        <v>-45501081</v>
      </c>
      <c r="S58" s="5">
        <v>0.30059999999999998</v>
      </c>
      <c r="T58" t="s">
        <v>3091</v>
      </c>
      <c r="U58">
        <v>216920980</v>
      </c>
      <c r="V58">
        <v>216981740</v>
      </c>
      <c r="W58">
        <v>1.4</v>
      </c>
      <c r="X58">
        <v>0.18</v>
      </c>
      <c r="Y58">
        <v>-11.46</v>
      </c>
      <c r="Z58" t="s">
        <v>823</v>
      </c>
      <c r="AA58" t="s">
        <v>781</v>
      </c>
      <c r="AB58" t="s">
        <v>3092</v>
      </c>
      <c r="AC58" t="s">
        <v>3093</v>
      </c>
      <c r="AD58" t="s">
        <v>63</v>
      </c>
      <c r="AE58">
        <v>1265120</v>
      </c>
      <c r="AF58" t="s">
        <v>3094</v>
      </c>
      <c r="AG58">
        <v>2003.56</v>
      </c>
      <c r="AH58" t="s">
        <v>3095</v>
      </c>
      <c r="AI58" t="s">
        <v>747</v>
      </c>
      <c r="AJ58" t="s">
        <v>3096</v>
      </c>
      <c r="AK58" t="s">
        <v>3097</v>
      </c>
      <c r="AL58" t="s">
        <v>3098</v>
      </c>
      <c r="AM58" t="s">
        <v>63</v>
      </c>
      <c r="AN58" t="s">
        <v>3099</v>
      </c>
      <c r="AO58" t="s">
        <v>553</v>
      </c>
      <c r="AP58" t="s">
        <v>3100</v>
      </c>
      <c r="AQ58" t="s">
        <v>3101</v>
      </c>
      <c r="AR58" t="s">
        <v>63</v>
      </c>
      <c r="AS58" t="s">
        <v>537</v>
      </c>
      <c r="AT58" t="s">
        <v>63</v>
      </c>
      <c r="AU58" t="s">
        <v>3102</v>
      </c>
      <c r="AV58" t="s">
        <v>309</v>
      </c>
      <c r="AW58" t="s">
        <v>3103</v>
      </c>
      <c r="AX58" t="s">
        <v>1420</v>
      </c>
      <c r="AY58" t="s">
        <v>1106</v>
      </c>
      <c r="AZ58" t="s">
        <v>636</v>
      </c>
      <c r="BA58" t="s">
        <v>247</v>
      </c>
      <c r="BB58" t="s">
        <v>711</v>
      </c>
      <c r="BC58" t="s">
        <v>1545</v>
      </c>
      <c r="BD58" t="s">
        <v>1546</v>
      </c>
      <c r="BE58" t="s">
        <v>918</v>
      </c>
      <c r="BF58" t="s">
        <v>280</v>
      </c>
      <c r="BG58" t="s">
        <v>919</v>
      </c>
      <c r="BH58" t="s">
        <v>3104</v>
      </c>
      <c r="BI58" t="s">
        <v>847</v>
      </c>
      <c r="BJ58" t="s">
        <v>1420</v>
      </c>
      <c r="BK58" t="s">
        <v>809</v>
      </c>
      <c r="BL58" t="s">
        <v>1315</v>
      </c>
      <c r="BM58" t="s">
        <v>1545</v>
      </c>
      <c r="BN58" t="s">
        <v>63</v>
      </c>
      <c r="BO58" t="s">
        <v>63</v>
      </c>
      <c r="BP58">
        <v>3.06</v>
      </c>
      <c r="BQ58">
        <v>-13.25</v>
      </c>
      <c r="BR58">
        <v>-14.75</v>
      </c>
      <c r="BS58">
        <v>3</v>
      </c>
      <c r="BT58" t="s">
        <v>3105</v>
      </c>
      <c r="BU58" t="s">
        <v>2052</v>
      </c>
      <c r="BV58">
        <v>17.399999999999999</v>
      </c>
      <c r="BW58">
        <v>18.73</v>
      </c>
      <c r="BX58">
        <v>22.33</v>
      </c>
      <c r="BY58">
        <v>9.77</v>
      </c>
      <c r="BZ58">
        <v>-9.1199999999999992</v>
      </c>
      <c r="CA58">
        <v>2.12</v>
      </c>
      <c r="CB58">
        <v>-2.56</v>
      </c>
      <c r="CC58">
        <v>-8.3800000000000008</v>
      </c>
      <c r="CD58" t="s">
        <v>3106</v>
      </c>
      <c r="CE58" t="s">
        <v>280</v>
      </c>
      <c r="CF58" s="9">
        <v>-0.54107338444687847</v>
      </c>
      <c r="CG58" s="10">
        <v>0.57869369444444441</v>
      </c>
      <c r="CH58" s="9">
        <v>-0.7748522162437439</v>
      </c>
      <c r="CI58" s="9">
        <v>0.30688196420669556</v>
      </c>
      <c r="CJ58" s="9">
        <v>0.51812368631362915</v>
      </c>
      <c r="CK58" s="9">
        <v>0.42121210694313049</v>
      </c>
      <c r="CL58" s="9">
        <v>0.23595505952835083</v>
      </c>
      <c r="CM58" s="10">
        <v>0.72916007041931152</v>
      </c>
      <c r="CN58" s="10">
        <v>-6.6257472038269043</v>
      </c>
      <c r="CO58" s="10">
        <v>-0.49263486266136169</v>
      </c>
      <c r="CP58" s="10">
        <v>-0.65172547101974487</v>
      </c>
      <c r="CQ58" s="10">
        <v>9.6169776916503906</v>
      </c>
      <c r="CR58">
        <v>592.30073547629695</v>
      </c>
      <c r="CS58">
        <v>41.869325935783564</v>
      </c>
      <c r="CT58">
        <v>0.43859649122807015</v>
      </c>
      <c r="CU58" s="9">
        <v>0.14146412014961243</v>
      </c>
      <c r="CV58" s="10">
        <v>0.51520604491233823</v>
      </c>
      <c r="CW58">
        <v>0.06</v>
      </c>
      <c r="CX58" t="e">
        <v>#VALUE!</v>
      </c>
      <c r="CY58" t="s">
        <v>1308</v>
      </c>
      <c r="CZ58">
        <v>0.14146412014961243</v>
      </c>
      <c r="DA58" t="e">
        <v>#VALUE!</v>
      </c>
      <c r="DB58" t="s">
        <v>1309</v>
      </c>
      <c r="DC58">
        <v>0.13439091414213181</v>
      </c>
      <c r="DD58" t="e">
        <v>#VALUE!</v>
      </c>
      <c r="DE58" t="s">
        <v>1309</v>
      </c>
      <c r="DF58">
        <v>0.12448842573165894</v>
      </c>
      <c r="DG58" t="e">
        <v>#VALUE!</v>
      </c>
      <c r="DH58" t="s">
        <v>1309</v>
      </c>
      <c r="DI58">
        <v>0.11317129611968996</v>
      </c>
      <c r="DJ58" t="e">
        <v>#VALUE!</v>
      </c>
      <c r="DK58" t="s">
        <v>1309</v>
      </c>
      <c r="DL58">
        <v>9.9024884104728692E-2</v>
      </c>
      <c r="DM58">
        <v>-45501100</v>
      </c>
      <c r="DN58">
        <v>0.14146412014961243</v>
      </c>
      <c r="DO58">
        <v>5191620400</v>
      </c>
      <c r="DP58">
        <v>930773700</v>
      </c>
      <c r="DQ58">
        <v>2065</v>
      </c>
      <c r="DR58">
        <v>-0.68253750459649087</v>
      </c>
      <c r="DS58">
        <v>6.3487649532106172E-2</v>
      </c>
      <c r="DT58" s="11">
        <v>-0.27333333333333343</v>
      </c>
      <c r="DU58">
        <v>-1.0216666666666667</v>
      </c>
      <c r="DV58">
        <v>-1.2950000000000002</v>
      </c>
      <c r="DW58">
        <v>-8.3054892601431973</v>
      </c>
      <c r="DX58">
        <v>0.24195562130177473</v>
      </c>
      <c r="DY58">
        <v>-8.03114634731892</v>
      </c>
      <c r="DZ58">
        <v>2991</v>
      </c>
      <c r="EA58">
        <v>-8.0129156770976113</v>
      </c>
      <c r="EB58">
        <v>8</v>
      </c>
      <c r="EC58">
        <v>7.9409907948936168E-2</v>
      </c>
      <c r="ED58">
        <v>0.7788673830341668</v>
      </c>
      <c r="EE58" s="12">
        <v>-1.0273099999999999</v>
      </c>
      <c r="EF58">
        <v>-1.06071</v>
      </c>
      <c r="EG58">
        <v>14.101955621301775</v>
      </c>
      <c r="EH58" t="s">
        <v>1311</v>
      </c>
      <c r="EI58">
        <v>0</v>
      </c>
      <c r="EJ58">
        <v>0</v>
      </c>
      <c r="EK58" s="14">
        <v>45470</v>
      </c>
      <c r="EL58" s="15">
        <v>0.77</v>
      </c>
      <c r="EM58" s="15">
        <v>-1.93</v>
      </c>
      <c r="EN58" s="15">
        <v>-5.15</v>
      </c>
      <c r="EO58" s="15">
        <v>4.71</v>
      </c>
      <c r="EP58" s="15">
        <v>-3.34</v>
      </c>
    </row>
    <row r="59" spans="1:146" ht="108" x14ac:dyDescent="0.25">
      <c r="A59" s="7"/>
      <c r="B59" s="7"/>
      <c r="C59" s="7" t="str">
        <f>""&amp;CHAR(10)&amp;Basic_Fundamental_Information_Constructure(F59)&amp;CHAR(10)&amp;Basic_Fundamental_Information_Concatenate("")</f>
        <v xml:space="preserve">
市值15.773925亿, 利润-560.45万; PE222.7; 平均PE37.27; 平均PEG2.2, PB2.85; ROIC5.7833%; ROE6.59%; 股利率.4171%; 毛利24.97%; 净利6.2367%; 上一年度营收增-87.23%, 利润增-114.26%; 当季营收增-72.94%, 利润增-301.55%; 过往5年营收增-16.93%, 利润增-28.08%
Income profile:
</v>
      </c>
      <c r="D59" t="s">
        <v>143</v>
      </c>
      <c r="E59" t="s">
        <v>45</v>
      </c>
      <c r="F59">
        <v>9.59</v>
      </c>
      <c r="G59">
        <v>8.85</v>
      </c>
      <c r="H59" t="s">
        <v>3107</v>
      </c>
      <c r="I59">
        <v>1577392500</v>
      </c>
      <c r="J59">
        <v>222.7</v>
      </c>
      <c r="K59">
        <v>2.85</v>
      </c>
      <c r="L59" t="s">
        <v>1303</v>
      </c>
      <c r="M59" t="s">
        <v>1636</v>
      </c>
      <c r="N59" t="s">
        <v>786</v>
      </c>
      <c r="O59" t="s">
        <v>3108</v>
      </c>
      <c r="P59">
        <v>-38.18</v>
      </c>
      <c r="Q59" t="s">
        <v>3108</v>
      </c>
      <c r="R59">
        <v>-5604549</v>
      </c>
      <c r="S59" s="5">
        <v>-2.3359999999999999</v>
      </c>
      <c r="T59" t="s">
        <v>3109</v>
      </c>
      <c r="U59">
        <v>112797901</v>
      </c>
      <c r="V59">
        <v>164483050</v>
      </c>
      <c r="W59">
        <v>2.27</v>
      </c>
      <c r="X59">
        <v>0.05</v>
      </c>
      <c r="Y59">
        <v>-9.4600000000000009</v>
      </c>
      <c r="Z59" t="s">
        <v>3110</v>
      </c>
      <c r="AA59" t="s">
        <v>3111</v>
      </c>
      <c r="AB59" t="s">
        <v>3112</v>
      </c>
      <c r="AC59" t="s">
        <v>3113</v>
      </c>
      <c r="AD59" t="s">
        <v>63</v>
      </c>
      <c r="AE59">
        <v>3011498</v>
      </c>
      <c r="AF59" t="s">
        <v>3114</v>
      </c>
      <c r="AG59">
        <v>0</v>
      </c>
      <c r="AH59" t="s">
        <v>3115</v>
      </c>
      <c r="AI59" t="s">
        <v>212</v>
      </c>
      <c r="AJ59" t="s">
        <v>3116</v>
      </c>
      <c r="AK59" t="s">
        <v>3117</v>
      </c>
      <c r="AL59" t="s">
        <v>3118</v>
      </c>
      <c r="AM59" t="s">
        <v>63</v>
      </c>
      <c r="AN59" t="s">
        <v>3119</v>
      </c>
      <c r="AO59" t="s">
        <v>245</v>
      </c>
      <c r="AP59" t="s">
        <v>3120</v>
      </c>
      <c r="AQ59" t="s">
        <v>180</v>
      </c>
      <c r="AR59" t="s">
        <v>63</v>
      </c>
      <c r="AS59" t="s">
        <v>376</v>
      </c>
      <c r="AT59" t="s">
        <v>63</v>
      </c>
      <c r="AU59" t="s">
        <v>3121</v>
      </c>
      <c r="AV59" t="s">
        <v>3122</v>
      </c>
      <c r="AW59" t="s">
        <v>3123</v>
      </c>
      <c r="AX59" t="s">
        <v>493</v>
      </c>
      <c r="AY59" t="s">
        <v>418</v>
      </c>
      <c r="AZ59" t="s">
        <v>836</v>
      </c>
      <c r="BA59" t="s">
        <v>430</v>
      </c>
      <c r="BB59" t="s">
        <v>431</v>
      </c>
      <c r="BC59" t="s">
        <v>3124</v>
      </c>
      <c r="BD59" t="s">
        <v>1211</v>
      </c>
      <c r="BE59" t="s">
        <v>920</v>
      </c>
      <c r="BF59" t="s">
        <v>573</v>
      </c>
      <c r="BG59" t="s">
        <v>921</v>
      </c>
      <c r="BH59" t="s">
        <v>727</v>
      </c>
      <c r="BI59" t="s">
        <v>292</v>
      </c>
      <c r="BJ59" t="s">
        <v>493</v>
      </c>
      <c r="BK59" t="s">
        <v>3125</v>
      </c>
      <c r="BL59" t="s">
        <v>1868</v>
      </c>
      <c r="BM59" t="s">
        <v>3124</v>
      </c>
      <c r="BN59">
        <v>2.99</v>
      </c>
      <c r="BO59">
        <v>5.9</v>
      </c>
      <c r="BP59">
        <v>8.4600000000000009</v>
      </c>
      <c r="BQ59">
        <v>2.91</v>
      </c>
      <c r="BR59">
        <v>7.4</v>
      </c>
      <c r="BS59">
        <v>9.4600000000000009</v>
      </c>
      <c r="BT59" t="s">
        <v>1456</v>
      </c>
      <c r="BU59" t="s">
        <v>2052</v>
      </c>
      <c r="BV59">
        <v>25.79</v>
      </c>
      <c r="BW59">
        <v>25.58</v>
      </c>
      <c r="BX59">
        <v>23.54</v>
      </c>
      <c r="BY59">
        <v>3.51</v>
      </c>
      <c r="BZ59">
        <v>7.52</v>
      </c>
      <c r="CA59">
        <v>7.68</v>
      </c>
      <c r="CB59">
        <v>6.32</v>
      </c>
      <c r="CC59">
        <v>-1.84</v>
      </c>
      <c r="CD59" t="s">
        <v>3126</v>
      </c>
      <c r="CE59" t="s">
        <v>471</v>
      </c>
      <c r="CF59" s="9">
        <v>-0.72942633744855967</v>
      </c>
      <c r="CG59" s="10">
        <v>-3.0155173157837956</v>
      </c>
      <c r="CH59" s="9">
        <v>-0.87233126163482666</v>
      </c>
      <c r="CI59" s="9">
        <v>-0.15849673748016357</v>
      </c>
      <c r="CJ59" s="9">
        <v>0.21912351250648499</v>
      </c>
      <c r="CK59" s="9">
        <v>-0.11463844776153564</v>
      </c>
      <c r="CL59" s="9">
        <v>7.9999998211860657E-2</v>
      </c>
      <c r="CM59" s="10">
        <v>-1.1425976753234863</v>
      </c>
      <c r="CN59" s="10">
        <v>-0.16455376148223877</v>
      </c>
      <c r="CO59" s="10">
        <v>-0.20178022980690002</v>
      </c>
      <c r="CP59" s="10">
        <v>-2.966022863984108E-2</v>
      </c>
      <c r="CQ59" s="10">
        <v>0.13449899852275848</v>
      </c>
      <c r="CR59">
        <v>37.267974803320755</v>
      </c>
      <c r="CS59">
        <v>2.2017064957434362</v>
      </c>
      <c r="CT59">
        <v>0.41710114702815437</v>
      </c>
      <c r="CU59" s="9">
        <v>-0.16926858723163604</v>
      </c>
      <c r="CV59" s="10">
        <v>-0.28081857934594157</v>
      </c>
      <c r="CW59">
        <v>0.06</v>
      </c>
      <c r="CX59" t="e">
        <v>#VALUE!</v>
      </c>
      <c r="CY59" t="s">
        <v>1308</v>
      </c>
      <c r="CZ59">
        <v>-0.16926858723163604</v>
      </c>
      <c r="DA59" t="e">
        <v>#VALUE!</v>
      </c>
      <c r="DB59" t="s">
        <v>1309</v>
      </c>
      <c r="DC59">
        <v>-0.16080515787005423</v>
      </c>
      <c r="DD59" t="e">
        <v>#VALUE!</v>
      </c>
      <c r="DE59" t="s">
        <v>1309</v>
      </c>
      <c r="DF59">
        <v>-0.14895635676383973</v>
      </c>
      <c r="DG59" t="e">
        <v>#VALUE!</v>
      </c>
      <c r="DH59" t="s">
        <v>1309</v>
      </c>
      <c r="DI59">
        <v>-0.13541486978530884</v>
      </c>
      <c r="DJ59" t="e">
        <v>#VALUE!</v>
      </c>
      <c r="DK59" t="s">
        <v>1309</v>
      </c>
      <c r="DL59">
        <v>-0.11848801106214522</v>
      </c>
      <c r="DM59">
        <v>-5604500</v>
      </c>
      <c r="DN59">
        <v>-0.16926858723163604</v>
      </c>
      <c r="DO59">
        <v>1797392500</v>
      </c>
      <c r="DP59">
        <v>478312470</v>
      </c>
      <c r="DQ59">
        <v>2072</v>
      </c>
      <c r="DR59">
        <v>-0.5601577502169236</v>
      </c>
      <c r="DS59">
        <v>-2.7346987364378541</v>
      </c>
      <c r="DT59" s="11">
        <v>-0.79</v>
      </c>
      <c r="DU59">
        <v>-1.9316666666666669</v>
      </c>
      <c r="DV59">
        <v>-2.7216666666666667</v>
      </c>
      <c r="DW59">
        <v>5.2911392405063289</v>
      </c>
      <c r="DX59">
        <v>0.81826774193548424</v>
      </c>
      <c r="DY59">
        <v>5.1159513679052671</v>
      </c>
      <c r="DZ59">
        <v>4255</v>
      </c>
      <c r="EA59">
        <v>5.0194008648843447</v>
      </c>
      <c r="EB59">
        <v>5</v>
      </c>
      <c r="EC59">
        <v>0.30024491885334087</v>
      </c>
      <c r="ED59">
        <v>0.75387707122405623</v>
      </c>
      <c r="EE59" s="12">
        <v>-3.0195099999999999</v>
      </c>
      <c r="EF59">
        <v>-3.0003000000000002</v>
      </c>
      <c r="EG59">
        <v>42.398267741935484</v>
      </c>
      <c r="EH59" t="s">
        <v>1511</v>
      </c>
      <c r="EI59">
        <v>1</v>
      </c>
      <c r="EJ59">
        <v>0</v>
      </c>
      <c r="EK59" s="14">
        <v>45470</v>
      </c>
      <c r="EL59" s="15">
        <v>0</v>
      </c>
      <c r="EM59" s="15">
        <v>-5.59</v>
      </c>
      <c r="EN59" s="15">
        <v>-0.57999999999999996</v>
      </c>
      <c r="EO59" s="15">
        <v>6.18</v>
      </c>
      <c r="EP59" s="15">
        <v>1.98</v>
      </c>
    </row>
    <row r="60" spans="1:146" ht="96" x14ac:dyDescent="0.25">
      <c r="A60" s="7"/>
      <c r="B60" s="7"/>
      <c r="C60" s="7" t="str">
        <f>""&amp;CHAR(10)&amp;Basic_Fundamental_Information_Constructure(F60)&amp;CHAR(10)&amp;Basic_Fundamental_Information_Concatenate("")</f>
        <v xml:space="preserve">
市值28.945421亿, 利润-4498.89万; PE130.2; 平均PE61.76; 平均PEG3.87, PB1.89; ROIC3.885%; ROE1.4167%; 股利率.1144%; 毛利38.9567%; 净利3.5333%; 上一年度营收增-89.51%, 利润增-360.68%; 当季营收增-64.87%, 利润增9.23%; 过往5年营收增-15.95%, 利润增-92.18%
Income profile:
</v>
      </c>
      <c r="D60" t="s">
        <v>144</v>
      </c>
      <c r="E60" t="s">
        <v>7</v>
      </c>
      <c r="F60">
        <v>8.74</v>
      </c>
      <c r="G60">
        <v>2.1</v>
      </c>
      <c r="H60" t="s">
        <v>3127</v>
      </c>
      <c r="I60">
        <v>2894542100</v>
      </c>
      <c r="J60">
        <v>130.19999999999999</v>
      </c>
      <c r="K60">
        <v>1.89</v>
      </c>
      <c r="L60" t="s">
        <v>1303</v>
      </c>
      <c r="M60" t="s">
        <v>470</v>
      </c>
      <c r="N60" t="s">
        <v>728</v>
      </c>
      <c r="O60" t="s">
        <v>3128</v>
      </c>
      <c r="P60">
        <v>17.260000000000002</v>
      </c>
      <c r="Q60" t="s">
        <v>3128</v>
      </c>
      <c r="R60">
        <v>-44988895</v>
      </c>
      <c r="S60" s="5">
        <v>4.7699999999999999E-3</v>
      </c>
      <c r="T60" t="s">
        <v>3129</v>
      </c>
      <c r="U60">
        <v>275070260</v>
      </c>
      <c r="V60">
        <v>331183310</v>
      </c>
      <c r="W60">
        <v>1.56</v>
      </c>
      <c r="X60">
        <v>0.04</v>
      </c>
      <c r="Y60">
        <v>-52.59</v>
      </c>
      <c r="Z60" t="s">
        <v>325</v>
      </c>
      <c r="AA60" t="s">
        <v>3130</v>
      </c>
      <c r="AB60" t="s">
        <v>3131</v>
      </c>
      <c r="AC60" t="s">
        <v>3132</v>
      </c>
      <c r="AD60" t="s">
        <v>63</v>
      </c>
      <c r="AE60">
        <v>5244009</v>
      </c>
      <c r="AF60" t="s">
        <v>3133</v>
      </c>
      <c r="AG60" t="s">
        <v>3134</v>
      </c>
      <c r="AH60" t="s">
        <v>3135</v>
      </c>
      <c r="AI60" t="s">
        <v>2940</v>
      </c>
      <c r="AJ60" t="s">
        <v>3136</v>
      </c>
      <c r="AK60" t="s">
        <v>3137</v>
      </c>
      <c r="AL60" t="s">
        <v>3138</v>
      </c>
      <c r="AM60" t="s">
        <v>63</v>
      </c>
      <c r="AN60">
        <v>0</v>
      </c>
      <c r="AO60" t="s">
        <v>467</v>
      </c>
      <c r="AP60" t="s">
        <v>63</v>
      </c>
      <c r="AQ60" t="s">
        <v>3139</v>
      </c>
      <c r="AR60" t="s">
        <v>63</v>
      </c>
      <c r="AS60" t="s">
        <v>615</v>
      </c>
      <c r="AT60" t="s">
        <v>3140</v>
      </c>
      <c r="AU60" t="s">
        <v>3141</v>
      </c>
      <c r="AV60" t="s">
        <v>3142</v>
      </c>
      <c r="AW60" t="s">
        <v>3143</v>
      </c>
      <c r="AX60" t="s">
        <v>1067</v>
      </c>
      <c r="AY60" t="s">
        <v>773</v>
      </c>
      <c r="AZ60" t="s">
        <v>771</v>
      </c>
      <c r="BA60" t="s">
        <v>574</v>
      </c>
      <c r="BB60" t="s">
        <v>766</v>
      </c>
      <c r="BC60" t="s">
        <v>3144</v>
      </c>
      <c r="BD60" t="s">
        <v>1212</v>
      </c>
      <c r="BE60" t="s">
        <v>922</v>
      </c>
      <c r="BF60" t="s">
        <v>575</v>
      </c>
      <c r="BG60" t="s">
        <v>923</v>
      </c>
      <c r="BH60" t="s">
        <v>3145</v>
      </c>
      <c r="BI60" t="s">
        <v>449</v>
      </c>
      <c r="BJ60" t="s">
        <v>1067</v>
      </c>
      <c r="BK60" t="s">
        <v>3146</v>
      </c>
      <c r="BL60" t="s">
        <v>1869</v>
      </c>
      <c r="BM60" t="s">
        <v>3144</v>
      </c>
      <c r="BN60" t="s">
        <v>63</v>
      </c>
      <c r="BO60">
        <v>1.97</v>
      </c>
      <c r="BP60">
        <v>5.8</v>
      </c>
      <c r="BQ60">
        <v>-4.43</v>
      </c>
      <c r="BR60">
        <v>1.81</v>
      </c>
      <c r="BS60">
        <v>6.87</v>
      </c>
      <c r="BT60" t="s">
        <v>1451</v>
      </c>
      <c r="BU60" t="s">
        <v>2052</v>
      </c>
      <c r="BV60">
        <v>37.68</v>
      </c>
      <c r="BW60">
        <v>39.049999999999997</v>
      </c>
      <c r="BX60">
        <v>40.14</v>
      </c>
      <c r="BY60">
        <v>2.33</v>
      </c>
      <c r="BZ60">
        <v>1.61</v>
      </c>
      <c r="CA60">
        <v>6.66</v>
      </c>
      <c r="CB60">
        <v>-2.67</v>
      </c>
      <c r="CC60">
        <v>-15.39</v>
      </c>
      <c r="CD60" t="s">
        <v>3147</v>
      </c>
      <c r="CE60" t="s">
        <v>223</v>
      </c>
      <c r="CF60" s="9">
        <v>-0.64865261044176714</v>
      </c>
      <c r="CG60" s="10">
        <v>9.2319836496538868E-2</v>
      </c>
      <c r="CH60" s="9">
        <v>-0.89510130882263184</v>
      </c>
      <c r="CI60" s="9">
        <v>-7.743363082408905E-2</v>
      </c>
      <c r="CJ60" s="9">
        <v>0.22659429907798767</v>
      </c>
      <c r="CK60" s="9">
        <v>-0.14302325248718262</v>
      </c>
      <c r="CL60" s="9">
        <v>9.1370560228824615E-2</v>
      </c>
      <c r="CM60" s="10">
        <v>-3.6067979335784912</v>
      </c>
      <c r="CN60" s="10">
        <v>-0.72120547294616699</v>
      </c>
      <c r="CO60" s="10">
        <v>-0.12424949556589127</v>
      </c>
      <c r="CP60" s="10">
        <v>-0.22340568900108337</v>
      </c>
      <c r="CQ60" s="10">
        <v>6.6866949200630188E-2</v>
      </c>
      <c r="CR60">
        <v>61.76233139363481</v>
      </c>
      <c r="CS60">
        <v>3.8717933595756469</v>
      </c>
      <c r="CT60">
        <v>0.11441647597254005</v>
      </c>
      <c r="CU60" s="9">
        <v>-0.15951866656541824</v>
      </c>
      <c r="CV60" s="10">
        <v>-0.92175832837820049</v>
      </c>
      <c r="CW60">
        <v>0.06</v>
      </c>
      <c r="CX60" t="e">
        <v>#VALUE!</v>
      </c>
      <c r="CY60" t="s">
        <v>1308</v>
      </c>
      <c r="CZ60">
        <v>-0.15951866656541824</v>
      </c>
      <c r="DA60" t="e">
        <v>#VALUE!</v>
      </c>
      <c r="DB60" t="s">
        <v>1309</v>
      </c>
      <c r="DC60">
        <v>-0.15154273323714731</v>
      </c>
      <c r="DD60" t="e">
        <v>#VALUE!</v>
      </c>
      <c r="DE60" t="s">
        <v>1309</v>
      </c>
      <c r="DF60">
        <v>-0.14037642657756805</v>
      </c>
      <c r="DG60" t="e">
        <v>#VALUE!</v>
      </c>
      <c r="DH60" t="s">
        <v>1309</v>
      </c>
      <c r="DI60">
        <v>-0.12761493325233461</v>
      </c>
      <c r="DJ60" t="e">
        <v>#VALUE!</v>
      </c>
      <c r="DK60" t="s">
        <v>1309</v>
      </c>
      <c r="DL60">
        <v>-0.11166306659579277</v>
      </c>
      <c r="DM60">
        <v>-44988900</v>
      </c>
      <c r="DN60">
        <v>-0.15951866656541824</v>
      </c>
      <c r="DO60">
        <v>2241542100</v>
      </c>
      <c r="DP60">
        <v>993301700</v>
      </c>
      <c r="DQ60">
        <v>2075</v>
      </c>
      <c r="DR60">
        <v>-0.4891339438763489</v>
      </c>
      <c r="DS60">
        <v>1.0140781648747395</v>
      </c>
      <c r="DT60" s="11">
        <v>-0.64</v>
      </c>
      <c r="DU60">
        <v>-2.0649999999999999</v>
      </c>
      <c r="DV60">
        <v>-2.7050000000000001</v>
      </c>
      <c r="DW60">
        <v>-8.1734892787524362</v>
      </c>
      <c r="DX60">
        <v>0.37433650000000057</v>
      </c>
      <c r="DY60">
        <v>-8.0319804064327478</v>
      </c>
      <c r="DZ60">
        <v>3574</v>
      </c>
      <c r="EA60">
        <v>-8.0096128971195117</v>
      </c>
      <c r="EB60">
        <v>8</v>
      </c>
      <c r="EC60">
        <v>0.11131992128468068</v>
      </c>
      <c r="ED60">
        <v>0.60389516609396776</v>
      </c>
      <c r="EE60" s="12">
        <v>4.0393100000000004</v>
      </c>
      <c r="EF60">
        <v>4.05741</v>
      </c>
      <c r="EG60">
        <v>19.184336500000001</v>
      </c>
      <c r="EH60" t="s">
        <v>1604</v>
      </c>
      <c r="EI60">
        <v>0</v>
      </c>
      <c r="EJ60">
        <v>0</v>
      </c>
      <c r="EK60" s="14">
        <v>45470</v>
      </c>
      <c r="EL60" s="15">
        <v>0.11</v>
      </c>
      <c r="EM60" s="15">
        <v>-4.88</v>
      </c>
      <c r="EN60" s="15">
        <v>-1.79</v>
      </c>
      <c r="EO60" s="15">
        <v>6.59</v>
      </c>
      <c r="EP60" s="15">
        <v>-1.81</v>
      </c>
    </row>
    <row r="61" spans="1:146" ht="239.5" customHeight="1" x14ac:dyDescent="0.25">
      <c r="A61" s="7" t="s">
        <v>2013</v>
      </c>
      <c r="B61" s="7" t="s">
        <v>2003</v>
      </c>
      <c r="C61" s="7" t="str">
        <f>"公司持续聚焦以视频创意软件业务，积极推动绘图创意、文档创意和实用工具的技术创新与质量提升，快速响应市场需求，强化移动端业务布局，不断探索新产品新功能。公司主要产品包括万兴喵影、Wondershare Filmora、StoryChic、Beat.ly、万兴优转、万兴录演、亿图图示、亿图脑图、墨刀、万兴PDF、Wondershare PDFelement、万兴恢复专家、万兴数据管家、万兴易修等"&amp;CHAR(10)&amp;Basic_Fundamental_Information_Constructure(F61)&amp;CHAR(10)&amp;Basic_Fundamental_Information_Concatenate("（境外占比90%）
视频创意类 7.45亿 63.15% 63.13% 95.45%
实用工具类 2.33亿 19.71% 19.98% 96.80%
文档创意类 9938.66万 8.42% 8.36% 94.81%
绘图创意类 9886.72万 8.38% 8.26% 94.16%
其他 410.27万 0.35% 0.26% 71.98%")</f>
        <v>公司持续聚焦以视频创意软件业务，积极推动绘图创意、文档创意和实用工具的技术创新与质量提升，快速响应市场需求，强化移动端业务布局，不断探索新产品新功能。公司主要产品包括万兴喵影、Wondershare Filmora、StoryChic、Beat.ly、万兴优转、万兴录演、亿图图示、亿图脑图、墨刀、万兴PDF、Wondershare PDFelement、万兴恢复专家、万兴数据管家、万兴易修等
市值98.118184亿, 利润2564.98万; PE107.8; 平均PE180.85; 平均PEG50.15, PB7.25; ROIC5.6033%; ROE4.5967%; 股利率.2178%; 毛利95.24%; 净利5.84%; 上一年度营收增-69.66%, 利润增-36.56%; 当季营收增-50.14%, 利润增-41.34%; 过往5年营收增3.61%, 利润增20.46%
Income profile:
（境外占比90%）
视频创意类 7.45亿 63.15% 63.13% 95.45%
实用工具类 2.33亿 19.71% 19.98% 96.80%
文档创意类 9938.66万 8.42% 8.36% 94.81%
绘图创意类 9886.72万 8.38% 8.26% 94.16%
其他 410.27万 0.35% 0.26% 71.98%</v>
      </c>
      <c r="D61" t="s">
        <v>129</v>
      </c>
      <c r="E61" t="s">
        <v>36</v>
      </c>
      <c r="F61">
        <v>50.75</v>
      </c>
      <c r="G61">
        <v>1.81</v>
      </c>
      <c r="H61" t="s">
        <v>3148</v>
      </c>
      <c r="I61">
        <v>9811818400</v>
      </c>
      <c r="J61">
        <v>107.8</v>
      </c>
      <c r="K61">
        <v>7.25</v>
      </c>
      <c r="L61" t="s">
        <v>1303</v>
      </c>
      <c r="M61" t="s">
        <v>268</v>
      </c>
      <c r="N61" t="s">
        <v>1106</v>
      </c>
      <c r="O61" t="s">
        <v>582</v>
      </c>
      <c r="P61">
        <v>0.9</v>
      </c>
      <c r="Q61" t="s">
        <v>582</v>
      </c>
      <c r="R61">
        <v>25649766</v>
      </c>
      <c r="S61" s="5">
        <v>0.22989999999999999</v>
      </c>
      <c r="T61" t="s">
        <v>3149</v>
      </c>
      <c r="U61">
        <v>171233220</v>
      </c>
      <c r="V61">
        <v>193336320</v>
      </c>
      <c r="W61">
        <v>1.1599999999999999</v>
      </c>
      <c r="X61">
        <v>0.21</v>
      </c>
      <c r="Y61">
        <v>7.69</v>
      </c>
      <c r="Z61" t="s">
        <v>467</v>
      </c>
      <c r="AA61" t="s">
        <v>3150</v>
      </c>
      <c r="AB61" t="s">
        <v>210</v>
      </c>
      <c r="AC61" t="s">
        <v>3151</v>
      </c>
      <c r="AD61" t="s">
        <v>63</v>
      </c>
      <c r="AE61">
        <v>-3729637</v>
      </c>
      <c r="AF61" t="s">
        <v>3152</v>
      </c>
      <c r="AG61" t="s">
        <v>3153</v>
      </c>
      <c r="AH61" t="s">
        <v>3154</v>
      </c>
      <c r="AI61" t="s">
        <v>722</v>
      </c>
      <c r="AJ61" t="s">
        <v>3155</v>
      </c>
      <c r="AK61" t="s">
        <v>63</v>
      </c>
      <c r="AL61" t="s">
        <v>3156</v>
      </c>
      <c r="AM61" t="s">
        <v>63</v>
      </c>
      <c r="AN61">
        <v>0</v>
      </c>
      <c r="AO61" t="s">
        <v>63</v>
      </c>
      <c r="AP61" t="s">
        <v>63</v>
      </c>
      <c r="AQ61" t="s">
        <v>3157</v>
      </c>
      <c r="AR61" t="s">
        <v>63</v>
      </c>
      <c r="AS61" t="s">
        <v>547</v>
      </c>
      <c r="AT61" t="s">
        <v>63</v>
      </c>
      <c r="AU61" t="s">
        <v>3158</v>
      </c>
      <c r="AV61" t="s">
        <v>3159</v>
      </c>
      <c r="AW61" t="s">
        <v>3160</v>
      </c>
      <c r="AX61" t="s">
        <v>1397</v>
      </c>
      <c r="AY61" t="s">
        <v>811</v>
      </c>
      <c r="AZ61" t="s">
        <v>924</v>
      </c>
      <c r="BA61" t="s">
        <v>577</v>
      </c>
      <c r="BB61" t="s">
        <v>584</v>
      </c>
      <c r="BC61" t="s">
        <v>3161</v>
      </c>
      <c r="BD61" t="s">
        <v>3162</v>
      </c>
      <c r="BE61" t="s">
        <v>321</v>
      </c>
      <c r="BF61" t="s">
        <v>578</v>
      </c>
      <c r="BG61" t="s">
        <v>925</v>
      </c>
      <c r="BH61" t="s">
        <v>1174</v>
      </c>
      <c r="BI61" t="s">
        <v>1492</v>
      </c>
      <c r="BJ61" t="s">
        <v>1397</v>
      </c>
      <c r="BK61" t="s">
        <v>3163</v>
      </c>
      <c r="BL61" t="s">
        <v>3164</v>
      </c>
      <c r="BM61" t="s">
        <v>3161</v>
      </c>
      <c r="BN61">
        <v>6.18</v>
      </c>
      <c r="BO61">
        <v>5.67</v>
      </c>
      <c r="BP61">
        <v>4.96</v>
      </c>
      <c r="BQ61">
        <v>5.83</v>
      </c>
      <c r="BR61">
        <v>4.68</v>
      </c>
      <c r="BS61">
        <v>3.28</v>
      </c>
      <c r="BT61" t="s">
        <v>3165</v>
      </c>
      <c r="BU61" t="s">
        <v>2031</v>
      </c>
      <c r="BV61">
        <v>94.77</v>
      </c>
      <c r="BW61">
        <v>95.47</v>
      </c>
      <c r="BX61">
        <v>95.48</v>
      </c>
      <c r="BY61">
        <v>7.31</v>
      </c>
      <c r="BZ61">
        <v>5.45</v>
      </c>
      <c r="CA61">
        <v>4.76</v>
      </c>
      <c r="CB61">
        <v>-4.37</v>
      </c>
      <c r="CC61">
        <v>-12.14</v>
      </c>
      <c r="CD61" t="s">
        <v>3166</v>
      </c>
      <c r="CE61" t="s">
        <v>201</v>
      </c>
      <c r="CF61" s="9">
        <v>-0.50139275766016711</v>
      </c>
      <c r="CG61" s="10">
        <v>-0.41342198784297401</v>
      </c>
      <c r="CH61" s="9">
        <v>-0.69661015272140503</v>
      </c>
      <c r="CI61" s="9">
        <v>0.14674441516399384</v>
      </c>
      <c r="CJ61" s="9">
        <v>5.4303277283906937E-2</v>
      </c>
      <c r="CK61" s="9">
        <v>0.3883357048034668</v>
      </c>
      <c r="CL61" s="9">
        <v>0.28754580020904541</v>
      </c>
      <c r="CM61" s="10">
        <v>-0.36562997102737427</v>
      </c>
      <c r="CN61" s="10">
        <v>2.1721758842468262</v>
      </c>
      <c r="CO61" s="10">
        <v>-1.2759552001953125</v>
      </c>
      <c r="CP61" s="10">
        <v>0.44909551739692688</v>
      </c>
      <c r="CQ61" s="10">
        <v>4.3464478105306625E-2</v>
      </c>
      <c r="CR61">
        <v>180.85345536272737</v>
      </c>
      <c r="CS61">
        <v>50.148184742352903</v>
      </c>
      <c r="CT61">
        <v>0.21784807881773402</v>
      </c>
      <c r="CU61" s="9">
        <v>3.606380894780159E-2</v>
      </c>
      <c r="CV61" s="10">
        <v>0.20463014170527458</v>
      </c>
      <c r="CW61">
        <v>0.06</v>
      </c>
      <c r="CX61">
        <v>345.9358980490876</v>
      </c>
      <c r="CY61">
        <v>25070593.855423886</v>
      </c>
      <c r="CZ61">
        <v>3.606380894780159E-2</v>
      </c>
      <c r="DA61">
        <v>118.36390768071405</v>
      </c>
      <c r="DB61">
        <v>73272491.335744649</v>
      </c>
      <c r="DC61">
        <v>3.426061850041151E-2</v>
      </c>
      <c r="DD61">
        <v>61.878928591242179</v>
      </c>
      <c r="DE61">
        <v>140157863.06338015</v>
      </c>
      <c r="DF61">
        <v>3.1736151874065401E-2</v>
      </c>
      <c r="DG61">
        <v>39.694218485028784</v>
      </c>
      <c r="DH61">
        <v>218490720.58871928</v>
      </c>
      <c r="DI61">
        <v>2.8851047158241272E-2</v>
      </c>
      <c r="DJ61">
        <v>23.554509098932275</v>
      </c>
      <c r="DK61">
        <v>368202044.1849556</v>
      </c>
      <c r="DL61">
        <v>2.5244666263461113E-2</v>
      </c>
      <c r="DM61">
        <v>25649800</v>
      </c>
      <c r="DN61">
        <v>3.606380894780159E-2</v>
      </c>
      <c r="DO61">
        <v>8672818400</v>
      </c>
      <c r="DP61">
        <v>489801190</v>
      </c>
      <c r="DQ61">
        <v>2091</v>
      </c>
      <c r="DR61">
        <v>-0.5374565666079687</v>
      </c>
      <c r="DS61">
        <v>-0.61805212954824862</v>
      </c>
      <c r="DT61" s="11">
        <v>-0.55666666666666675</v>
      </c>
      <c r="DU61">
        <v>-0.62</v>
      </c>
      <c r="DV61">
        <v>-1.1766666666666667</v>
      </c>
      <c r="DW61">
        <v>-8.359967051070841</v>
      </c>
      <c r="DX61">
        <v>0.43321290322580497</v>
      </c>
      <c r="DY61">
        <v>-8.0587512674709032</v>
      </c>
      <c r="DZ61">
        <v>713</v>
      </c>
      <c r="EA61">
        <v>-8.0505536835752558</v>
      </c>
      <c r="EB61">
        <v>8</v>
      </c>
      <c r="EC61">
        <v>0.18318958382987738</v>
      </c>
      <c r="ED61">
        <v>1.1223964540134002</v>
      </c>
      <c r="EE61" s="12">
        <v>8.0810999999999993</v>
      </c>
      <c r="EF61">
        <v>8.0355000000000008</v>
      </c>
      <c r="EG61">
        <v>27.163212903225805</v>
      </c>
      <c r="EH61" t="s">
        <v>2010</v>
      </c>
      <c r="EI61">
        <v>0</v>
      </c>
      <c r="EJ61">
        <v>1</v>
      </c>
      <c r="EK61" s="14">
        <v>45470</v>
      </c>
      <c r="EL61" s="15">
        <v>-0.64</v>
      </c>
      <c r="EM61" s="15">
        <v>-4.84</v>
      </c>
      <c r="EN61" s="15">
        <v>-2.72</v>
      </c>
      <c r="EO61" s="15">
        <v>16.149999999999999</v>
      </c>
      <c r="EP61" s="15">
        <v>-4.5599999999999996</v>
      </c>
    </row>
    <row r="62" spans="1:146" ht="96" x14ac:dyDescent="0.25">
      <c r="A62" s="7"/>
      <c r="B62" s="7"/>
      <c r="C62" s="7" t="str">
        <f>""&amp;CHAR(10)&amp;Basic_Fundamental_Information_Constructure(F62)&amp;CHAR(10)&amp;Basic_Fundamental_Information_Concatenate("")</f>
        <v xml:space="preserve">
市值45.432994亿, 利润-555.83万; PE; 平均PE132.13; 平均PEG23.58, PB4.56; ROIC3.99%; ROE1.4967%; 股利率0%; 毛利33.0933%; 净利-2.2233%; 上一年度营收增-78.83%, 利润增-125.4%; 当季营收增-49.7%, 利润增-6.62%; 过往5年营收增-5.6%, 利润增-33.31%
Income profile:
</v>
      </c>
      <c r="D62" t="s">
        <v>78</v>
      </c>
      <c r="E62" t="s">
        <v>59</v>
      </c>
      <c r="F62">
        <v>9.83</v>
      </c>
      <c r="G62">
        <v>2.82</v>
      </c>
      <c r="H62" t="s">
        <v>3167</v>
      </c>
      <c r="I62">
        <v>4543299400</v>
      </c>
      <c r="K62">
        <v>4.5599999999999996</v>
      </c>
      <c r="L62" t="s">
        <v>1303</v>
      </c>
      <c r="M62" t="s">
        <v>1971</v>
      </c>
      <c r="N62" t="s">
        <v>1787</v>
      </c>
      <c r="O62" t="s">
        <v>449</v>
      </c>
      <c r="P62">
        <v>0.7</v>
      </c>
      <c r="Q62" t="s">
        <v>449</v>
      </c>
      <c r="R62">
        <v>-5558262</v>
      </c>
      <c r="S62" s="5">
        <v>0.34360000000000002</v>
      </c>
      <c r="T62" t="s">
        <v>3168</v>
      </c>
      <c r="U62">
        <v>414860830</v>
      </c>
      <c r="V62">
        <v>462187120</v>
      </c>
      <c r="W62">
        <v>2.56</v>
      </c>
      <c r="X62">
        <v>0.08</v>
      </c>
      <c r="Y62">
        <v>-3.09</v>
      </c>
      <c r="Z62" t="s">
        <v>379</v>
      </c>
      <c r="AA62" t="s">
        <v>196</v>
      </c>
      <c r="AB62" t="s">
        <v>3169</v>
      </c>
      <c r="AC62" t="s">
        <v>3170</v>
      </c>
      <c r="AD62" t="s">
        <v>63</v>
      </c>
      <c r="AE62">
        <v>15371143</v>
      </c>
      <c r="AF62" t="s">
        <v>3171</v>
      </c>
      <c r="AG62">
        <v>12.65</v>
      </c>
      <c r="AH62" t="s">
        <v>3172</v>
      </c>
      <c r="AI62" t="s">
        <v>299</v>
      </c>
      <c r="AJ62" t="s">
        <v>3173</v>
      </c>
      <c r="AK62" t="s">
        <v>63</v>
      </c>
      <c r="AL62" t="s">
        <v>3174</v>
      </c>
      <c r="AM62" t="s">
        <v>63</v>
      </c>
      <c r="AN62" t="s">
        <v>451</v>
      </c>
      <c r="AO62" t="s">
        <v>188</v>
      </c>
      <c r="AP62" t="s">
        <v>63</v>
      </c>
      <c r="AQ62" t="s">
        <v>3175</v>
      </c>
      <c r="AR62" t="s">
        <v>63</v>
      </c>
      <c r="AS62" t="s">
        <v>1499</v>
      </c>
      <c r="AT62" t="s">
        <v>281</v>
      </c>
      <c r="AU62" t="s">
        <v>1771</v>
      </c>
      <c r="AV62" t="s">
        <v>3176</v>
      </c>
      <c r="AW62" t="s">
        <v>3177</v>
      </c>
      <c r="AX62" t="s">
        <v>1224</v>
      </c>
      <c r="AY62" t="s">
        <v>965</v>
      </c>
      <c r="AZ62" t="s">
        <v>926</v>
      </c>
      <c r="BA62" t="s">
        <v>586</v>
      </c>
      <c r="BB62" t="s">
        <v>841</v>
      </c>
      <c r="BC62" t="s">
        <v>3178</v>
      </c>
      <c r="BD62" t="s">
        <v>1213</v>
      </c>
      <c r="BE62" t="s">
        <v>927</v>
      </c>
      <c r="BF62" t="s">
        <v>587</v>
      </c>
      <c r="BG62" t="s">
        <v>928</v>
      </c>
      <c r="BH62" t="s">
        <v>3179</v>
      </c>
      <c r="BI62" t="s">
        <v>249</v>
      </c>
      <c r="BJ62" t="s">
        <v>1224</v>
      </c>
      <c r="BK62" t="s">
        <v>1406</v>
      </c>
      <c r="BL62" t="s">
        <v>1871</v>
      </c>
      <c r="BM62" t="s">
        <v>3178</v>
      </c>
      <c r="BN62" t="s">
        <v>63</v>
      </c>
      <c r="BO62">
        <v>3.85</v>
      </c>
      <c r="BP62">
        <v>4.13</v>
      </c>
      <c r="BQ62">
        <v>-0.72</v>
      </c>
      <c r="BR62">
        <v>1.84</v>
      </c>
      <c r="BS62">
        <v>3.37</v>
      </c>
      <c r="BT62" t="s">
        <v>1445</v>
      </c>
      <c r="BU62" t="s">
        <v>2052</v>
      </c>
      <c r="BV62">
        <v>28.64</v>
      </c>
      <c r="BW62">
        <v>35.9</v>
      </c>
      <c r="BX62">
        <v>34.74</v>
      </c>
      <c r="BY62">
        <v>-11.41</v>
      </c>
      <c r="BZ62">
        <v>1.84</v>
      </c>
      <c r="CA62">
        <v>2.9</v>
      </c>
      <c r="CB62">
        <v>-0.41</v>
      </c>
      <c r="CC62">
        <v>-3.91</v>
      </c>
      <c r="CD62" t="s">
        <v>3180</v>
      </c>
      <c r="CE62" t="s">
        <v>932</v>
      </c>
      <c r="CF62" s="9">
        <v>-0.49696969696969689</v>
      </c>
      <c r="CG62" s="10">
        <v>-6.6210508142947766E-2</v>
      </c>
      <c r="CH62" s="9">
        <v>-0.78826528787612915</v>
      </c>
      <c r="CI62" s="9">
        <v>-9.3990758061408997E-2</v>
      </c>
      <c r="CJ62" s="9">
        <v>0.24927815794944763</v>
      </c>
      <c r="CK62" s="9">
        <v>0.11241970211267471</v>
      </c>
      <c r="CL62" s="9">
        <v>0.24037185311317444</v>
      </c>
      <c r="CM62" s="10">
        <v>-1.2540007829666138</v>
      </c>
      <c r="CN62" s="10">
        <v>-0.41435125470161438</v>
      </c>
      <c r="CO62" s="10">
        <v>-0.38269719481468201</v>
      </c>
      <c r="CP62" s="10">
        <v>0.22260060906410217</v>
      </c>
      <c r="CQ62" s="10">
        <v>0.16284526884555817</v>
      </c>
      <c r="CR62">
        <v>132.13315398765423</v>
      </c>
      <c r="CS62">
        <v>23.579514511826474</v>
      </c>
      <c r="CT62">
        <v>0</v>
      </c>
      <c r="CU62" s="9">
        <v>-5.603726655244827E-2</v>
      </c>
      <c r="CV62" s="10">
        <v>-0.33312067091464997</v>
      </c>
      <c r="CW62">
        <v>0.06</v>
      </c>
      <c r="CX62" t="e">
        <v>#VALUE!</v>
      </c>
      <c r="CY62" t="s">
        <v>1308</v>
      </c>
      <c r="CZ62">
        <v>-5.603726655244827E-2</v>
      </c>
      <c r="DA62" t="e">
        <v>#VALUE!</v>
      </c>
      <c r="DB62" t="s">
        <v>1309</v>
      </c>
      <c r="DC62">
        <v>-5.3235403224825853E-2</v>
      </c>
      <c r="DD62" t="e">
        <v>#VALUE!</v>
      </c>
      <c r="DE62" t="s">
        <v>1309</v>
      </c>
      <c r="DF62">
        <v>-4.9312794566154478E-2</v>
      </c>
      <c r="DG62" t="e">
        <v>#VALUE!</v>
      </c>
      <c r="DH62" t="s">
        <v>1309</v>
      </c>
      <c r="DI62">
        <v>-4.4829813241958616E-2</v>
      </c>
      <c r="DJ62" t="e">
        <v>#VALUE!</v>
      </c>
      <c r="DK62" t="s">
        <v>1309</v>
      </c>
      <c r="DL62">
        <v>-3.9226086586713789E-2</v>
      </c>
      <c r="DM62">
        <v>-5558300</v>
      </c>
      <c r="DN62">
        <v>-5.603726655244827E-2</v>
      </c>
      <c r="DO62">
        <v>5254299400</v>
      </c>
      <c r="DP62">
        <v>1344391700</v>
      </c>
      <c r="DQ62">
        <v>2129</v>
      </c>
      <c r="DR62">
        <v>-0.44093243041724861</v>
      </c>
      <c r="DS62">
        <v>0.26691016277170221</v>
      </c>
      <c r="DT62" s="11">
        <v>-0.54</v>
      </c>
      <c r="DU62">
        <v>-1.4950000000000001</v>
      </c>
      <c r="DV62">
        <v>-2.0350000000000001</v>
      </c>
      <c r="DW62">
        <v>-1.0390999999999999</v>
      </c>
      <c r="DX62">
        <v>0.31085572139303397</v>
      </c>
      <c r="DY62">
        <v>-1.0062894587064677</v>
      </c>
      <c r="DZ62">
        <v>4337</v>
      </c>
      <c r="EA62">
        <v>-1.0009514190959099</v>
      </c>
      <c r="EB62">
        <v>1</v>
      </c>
      <c r="EC62">
        <v>0.13990870191276641</v>
      </c>
      <c r="ED62">
        <v>0.86977759137900668</v>
      </c>
      <c r="EE62" s="12">
        <v>-1.0482</v>
      </c>
      <c r="EF62">
        <v>-1.0144</v>
      </c>
      <c r="EG62">
        <v>15.160855721393034</v>
      </c>
      <c r="EH62" t="s">
        <v>1310</v>
      </c>
      <c r="EI62">
        <v>0</v>
      </c>
      <c r="EJ62">
        <v>0</v>
      </c>
      <c r="EK62" s="14">
        <v>45470</v>
      </c>
      <c r="EL62" s="15">
        <v>-0.66</v>
      </c>
      <c r="EM62" s="15">
        <v>-1.53</v>
      </c>
      <c r="EN62" s="15">
        <v>-3.4</v>
      </c>
      <c r="EO62" s="15">
        <v>4.0199999999999996</v>
      </c>
      <c r="EP62" s="15">
        <v>-3.38</v>
      </c>
    </row>
    <row r="63" spans="1:146" ht="108" x14ac:dyDescent="0.25">
      <c r="A63" s="7"/>
      <c r="B63" s="7"/>
      <c r="C63" s="7" t="str">
        <f>""&amp;CHAR(10)&amp;Basic_Fundamental_Information_Constructure(F63)&amp;CHAR(10)&amp;Basic_Fundamental_Information_Concatenate("")</f>
        <v xml:space="preserve">
市值25.598655亿, 利润-1690.15万; PE; 平均PE102.47; 平均PEG14.97, PB7.18; ROIC5.33%; ROE-4.4767%; 股利率0%; 毛利27.8633%; 净利-19.09%; 上一年度营收增-85.32%, 利润增-168.2%; 当季营收增-11.06%, 利润增75.4%; 过往5年营收增-6.85%, 利润增-38.49%
Income profile:
</v>
      </c>
      <c r="D63" t="s">
        <v>110</v>
      </c>
      <c r="E63" t="s">
        <v>6</v>
      </c>
      <c r="F63">
        <v>10.62</v>
      </c>
      <c r="G63">
        <v>-5.18</v>
      </c>
      <c r="H63" t="s">
        <v>3181</v>
      </c>
      <c r="I63">
        <v>2559865500</v>
      </c>
      <c r="K63">
        <v>7.18</v>
      </c>
      <c r="L63" t="s">
        <v>1303</v>
      </c>
      <c r="M63" t="s">
        <v>762</v>
      </c>
      <c r="N63" t="s">
        <v>402</v>
      </c>
      <c r="O63" t="s">
        <v>3182</v>
      </c>
      <c r="P63">
        <v>159.83000000000001</v>
      </c>
      <c r="Q63" t="s">
        <v>3182</v>
      </c>
      <c r="R63">
        <v>-16901458</v>
      </c>
      <c r="S63" s="5">
        <v>0.1913</v>
      </c>
      <c r="T63" t="s">
        <v>3183</v>
      </c>
      <c r="U63">
        <v>196534730</v>
      </c>
      <c r="V63">
        <v>241041950</v>
      </c>
      <c r="W63">
        <v>2.5099999999999998</v>
      </c>
      <c r="X63">
        <v>0.09</v>
      </c>
      <c r="Y63">
        <v>-21.74</v>
      </c>
      <c r="Z63" t="s">
        <v>3184</v>
      </c>
      <c r="AA63" t="s">
        <v>3185</v>
      </c>
      <c r="AB63" t="s">
        <v>3186</v>
      </c>
      <c r="AC63" t="s">
        <v>3187</v>
      </c>
      <c r="AD63" t="s">
        <v>63</v>
      </c>
      <c r="AE63">
        <v>2089717</v>
      </c>
      <c r="AF63" t="s">
        <v>3188</v>
      </c>
      <c r="AG63" t="s">
        <v>3189</v>
      </c>
      <c r="AH63" t="s">
        <v>3190</v>
      </c>
      <c r="AI63" t="s">
        <v>174</v>
      </c>
      <c r="AJ63" t="s">
        <v>3191</v>
      </c>
      <c r="AK63" t="s">
        <v>3192</v>
      </c>
      <c r="AL63" t="s">
        <v>3193</v>
      </c>
      <c r="AM63" t="s">
        <v>63</v>
      </c>
      <c r="AN63">
        <v>0</v>
      </c>
      <c r="AO63" t="s">
        <v>504</v>
      </c>
      <c r="AP63" t="s">
        <v>260</v>
      </c>
      <c r="AQ63" t="s">
        <v>3194</v>
      </c>
      <c r="AR63" t="s">
        <v>63</v>
      </c>
      <c r="AS63" t="s">
        <v>1206</v>
      </c>
      <c r="AT63" t="s">
        <v>3195</v>
      </c>
      <c r="AU63" t="s">
        <v>486</v>
      </c>
      <c r="AV63" t="s">
        <v>3196</v>
      </c>
      <c r="AW63" t="s">
        <v>3197</v>
      </c>
      <c r="AX63" t="s">
        <v>1103</v>
      </c>
      <c r="AY63" t="s">
        <v>329</v>
      </c>
      <c r="AZ63" t="s">
        <v>476</v>
      </c>
      <c r="BA63" t="s">
        <v>451</v>
      </c>
      <c r="BB63" t="s">
        <v>487</v>
      </c>
      <c r="BC63" t="s">
        <v>1550</v>
      </c>
      <c r="BD63" t="s">
        <v>1214</v>
      </c>
      <c r="BE63" t="s">
        <v>930</v>
      </c>
      <c r="BF63" t="s">
        <v>590</v>
      </c>
      <c r="BG63" t="s">
        <v>931</v>
      </c>
      <c r="BH63" t="s">
        <v>525</v>
      </c>
      <c r="BI63" t="s">
        <v>3198</v>
      </c>
      <c r="BJ63" t="s">
        <v>1103</v>
      </c>
      <c r="BK63" t="s">
        <v>1483</v>
      </c>
      <c r="BL63" t="s">
        <v>3199</v>
      </c>
      <c r="BM63" t="s">
        <v>1550</v>
      </c>
      <c r="BN63" t="s">
        <v>63</v>
      </c>
      <c r="BO63">
        <v>3.46</v>
      </c>
      <c r="BP63">
        <v>7.2</v>
      </c>
      <c r="BQ63">
        <v>-26.41</v>
      </c>
      <c r="BR63">
        <v>4.8600000000000003</v>
      </c>
      <c r="BS63">
        <v>8.1199999999999992</v>
      </c>
      <c r="BT63" t="s">
        <v>1445</v>
      </c>
      <c r="BU63" t="s">
        <v>2052</v>
      </c>
      <c r="BV63">
        <v>23.03</v>
      </c>
      <c r="BW63">
        <v>30.17</v>
      </c>
      <c r="BX63">
        <v>30.39</v>
      </c>
      <c r="BY63">
        <v>-69.41</v>
      </c>
      <c r="BZ63">
        <v>4.42</v>
      </c>
      <c r="CA63">
        <v>7.72</v>
      </c>
      <c r="CB63">
        <v>2.21</v>
      </c>
      <c r="CC63">
        <v>18.13</v>
      </c>
      <c r="CD63" t="s">
        <v>302</v>
      </c>
      <c r="CE63" t="s">
        <v>329</v>
      </c>
      <c r="CF63" s="9">
        <v>-0.1106400516176108</v>
      </c>
      <c r="CG63" s="10">
        <v>0.75399207311481753</v>
      </c>
      <c r="CH63" s="9">
        <v>-0.85319459438323975</v>
      </c>
      <c r="CI63" s="9">
        <v>8.2494966685771942E-2</v>
      </c>
      <c r="CJ63" s="9">
        <v>0.13990825414657593</v>
      </c>
      <c r="CK63" s="9">
        <v>0.13838119804859161</v>
      </c>
      <c r="CL63" s="9">
        <v>0.15015015006065369</v>
      </c>
      <c r="CM63" s="10">
        <v>-1.682020902633667</v>
      </c>
      <c r="CN63" s="10">
        <v>-0.35719287395477295</v>
      </c>
      <c r="CO63" s="10">
        <v>0.1883617490530014</v>
      </c>
      <c r="CP63" s="10">
        <v>-9.6533879637718201E-2</v>
      </c>
      <c r="CQ63" s="10">
        <v>2.2673483937978745E-2</v>
      </c>
      <c r="CR63">
        <v>102.46812380080644</v>
      </c>
      <c r="CS63">
        <v>14.969338541447149</v>
      </c>
      <c r="CT63">
        <v>0</v>
      </c>
      <c r="CU63" s="9">
        <v>-6.8452005088329312E-2</v>
      </c>
      <c r="CV63" s="10">
        <v>-0.38494248464703562</v>
      </c>
      <c r="CW63">
        <v>0.06</v>
      </c>
      <c r="CX63" t="e">
        <v>#VALUE!</v>
      </c>
      <c r="CY63" t="s">
        <v>1308</v>
      </c>
      <c r="CZ63">
        <v>-6.8452005088329312E-2</v>
      </c>
      <c r="DA63" t="e">
        <v>#VALUE!</v>
      </c>
      <c r="DB63" t="s">
        <v>1309</v>
      </c>
      <c r="DC63">
        <v>-6.5029404833912841E-2</v>
      </c>
      <c r="DD63" t="e">
        <v>#VALUE!</v>
      </c>
      <c r="DE63" t="s">
        <v>1309</v>
      </c>
      <c r="DF63">
        <v>-6.0237764477729792E-2</v>
      </c>
      <c r="DG63" t="e">
        <v>#VALUE!</v>
      </c>
      <c r="DH63" t="s">
        <v>1309</v>
      </c>
      <c r="DI63">
        <v>-5.4761604070663453E-2</v>
      </c>
      <c r="DJ63" t="e">
        <v>#VALUE!</v>
      </c>
      <c r="DK63" t="s">
        <v>1309</v>
      </c>
      <c r="DL63">
        <v>-4.7916403561830516E-2</v>
      </c>
      <c r="DM63">
        <v>-16901500</v>
      </c>
      <c r="DN63">
        <v>-6.8452005088329312E-2</v>
      </c>
      <c r="DO63">
        <v>2754865500</v>
      </c>
      <c r="DP63">
        <v>231900550</v>
      </c>
      <c r="DQ63">
        <v>2193</v>
      </c>
      <c r="DR63">
        <v>-4.2188046529281487E-2</v>
      </c>
      <c r="DS63">
        <v>1.138934557761853</v>
      </c>
      <c r="DT63" s="11">
        <v>-0.67333333333333334</v>
      </c>
      <c r="DU63">
        <v>-1.4450000000000001</v>
      </c>
      <c r="DV63">
        <v>-2.1183333333333332</v>
      </c>
      <c r="DW63">
        <v>3.0240892857142856</v>
      </c>
      <c r="DX63">
        <v>0.76148893360160863</v>
      </c>
      <c r="DY63">
        <v>3.0140076530612245</v>
      </c>
      <c r="DZ63">
        <v>4514</v>
      </c>
      <c r="EA63">
        <v>3.0016337693198611</v>
      </c>
      <c r="EB63">
        <v>3</v>
      </c>
      <c r="EC63">
        <v>1.1989614255941756</v>
      </c>
      <c r="ED63">
        <v>2.0618817595858316</v>
      </c>
      <c r="EE63" s="12">
        <v>1.0697000000000001</v>
      </c>
      <c r="EF63">
        <v>2.1198999999999999</v>
      </c>
      <c r="EG63">
        <v>18.581488933601609</v>
      </c>
      <c r="EH63" t="s">
        <v>1477</v>
      </c>
      <c r="EI63">
        <v>0</v>
      </c>
      <c r="EJ63">
        <v>0</v>
      </c>
      <c r="EK63" s="14">
        <v>45470</v>
      </c>
      <c r="EL63" s="15">
        <v>-1.25</v>
      </c>
      <c r="EM63" s="15">
        <v>-3.12</v>
      </c>
      <c r="EN63" s="15">
        <v>-2.62</v>
      </c>
      <c r="EO63" s="15">
        <v>6.36</v>
      </c>
      <c r="EP63" s="15">
        <v>20.02</v>
      </c>
    </row>
    <row r="64" spans="1:146" ht="96" x14ac:dyDescent="0.25">
      <c r="A64" s="7"/>
      <c r="B64" s="7"/>
      <c r="C64" s="7" t="str">
        <f>""&amp;CHAR(10)&amp;Basic_Fundamental_Information_Constructure(F64)&amp;CHAR(10)&amp;Basic_Fundamental_Information_Concatenate("")</f>
        <v xml:space="preserve">
市值38.825103亿, 利润-378.86万; PE; 平均PE43.67; 平均PEG2.71, PB2.44; ROIC2.675%; ROE2.83%; 股利率0%; 毛利65.2967%; 净利4.4567%; 上一年度营收增-80.99%, 利润增-114.41%; 当季营收增-52.83%, 利润增-147.69%; 过往5年营收增-16.11%, 利润增-41.54%
Income profile:
</v>
      </c>
      <c r="D64" t="s">
        <v>1215</v>
      </c>
      <c r="E64" t="s">
        <v>1216</v>
      </c>
      <c r="F64">
        <v>9.9</v>
      </c>
      <c r="G64">
        <v>1.64</v>
      </c>
      <c r="H64" t="s">
        <v>3200</v>
      </c>
      <c r="I64">
        <v>3882510300</v>
      </c>
      <c r="K64">
        <v>2.44</v>
      </c>
      <c r="L64" t="s">
        <v>1303</v>
      </c>
      <c r="M64" t="s">
        <v>219</v>
      </c>
      <c r="N64" t="s">
        <v>364</v>
      </c>
      <c r="O64" t="s">
        <v>178</v>
      </c>
      <c r="P64">
        <v>-6.57</v>
      </c>
      <c r="Q64" t="s">
        <v>178</v>
      </c>
      <c r="R64">
        <v>-3788616</v>
      </c>
      <c r="S64" s="5">
        <v>-3.2909999999999999</v>
      </c>
      <c r="T64" t="s">
        <v>3201</v>
      </c>
      <c r="U64">
        <v>355673040</v>
      </c>
      <c r="V64">
        <v>392172760</v>
      </c>
      <c r="W64">
        <v>1.1100000000000001</v>
      </c>
      <c r="X64">
        <v>0.05</v>
      </c>
      <c r="Y64">
        <v>-2.67</v>
      </c>
      <c r="Z64" t="s">
        <v>454</v>
      </c>
      <c r="AA64" t="s">
        <v>3202</v>
      </c>
      <c r="AB64" t="s">
        <v>3203</v>
      </c>
      <c r="AC64" t="s">
        <v>3204</v>
      </c>
      <c r="AD64" t="s">
        <v>63</v>
      </c>
      <c r="AE64">
        <v>-3876691</v>
      </c>
      <c r="AF64" t="s">
        <v>3205</v>
      </c>
      <c r="AG64" t="s">
        <v>63</v>
      </c>
      <c r="AH64" t="s">
        <v>3206</v>
      </c>
      <c r="AI64" t="s">
        <v>475</v>
      </c>
      <c r="AJ64" t="s">
        <v>3207</v>
      </c>
      <c r="AK64" t="s">
        <v>3208</v>
      </c>
      <c r="AL64" t="s">
        <v>3209</v>
      </c>
      <c r="AM64" t="s">
        <v>63</v>
      </c>
      <c r="AN64" t="s">
        <v>286</v>
      </c>
      <c r="AO64" t="s">
        <v>63</v>
      </c>
      <c r="AP64" t="s">
        <v>63</v>
      </c>
      <c r="AQ64" t="s">
        <v>3210</v>
      </c>
      <c r="AR64" t="s">
        <v>63</v>
      </c>
      <c r="AS64" t="s">
        <v>181</v>
      </c>
      <c r="AT64" t="s">
        <v>63</v>
      </c>
      <c r="AU64" t="s">
        <v>3211</v>
      </c>
      <c r="AV64" t="s">
        <v>178</v>
      </c>
      <c r="AW64" t="s">
        <v>624</v>
      </c>
      <c r="AX64" t="s">
        <v>540</v>
      </c>
      <c r="AY64" t="s">
        <v>457</v>
      </c>
      <c r="AZ64" t="s">
        <v>1206</v>
      </c>
      <c r="BA64" t="s">
        <v>1206</v>
      </c>
      <c r="BB64" t="s">
        <v>316</v>
      </c>
      <c r="BC64" t="s">
        <v>1551</v>
      </c>
      <c r="BD64" t="s">
        <v>287</v>
      </c>
      <c r="BE64" t="s">
        <v>1217</v>
      </c>
      <c r="BF64" t="s">
        <v>1218</v>
      </c>
      <c r="BG64" t="s">
        <v>449</v>
      </c>
      <c r="BH64" t="s">
        <v>394</v>
      </c>
      <c r="BI64" t="s">
        <v>674</v>
      </c>
      <c r="BJ64" t="s">
        <v>540</v>
      </c>
      <c r="BK64" t="s">
        <v>3212</v>
      </c>
      <c r="BL64" t="s">
        <v>1875</v>
      </c>
      <c r="BM64" t="s">
        <v>1551</v>
      </c>
      <c r="BN64" t="s">
        <v>63</v>
      </c>
      <c r="BO64">
        <v>0.17</v>
      </c>
      <c r="BP64">
        <v>5.18</v>
      </c>
      <c r="BQ64">
        <v>0.03</v>
      </c>
      <c r="BR64">
        <v>1.56</v>
      </c>
      <c r="BS64">
        <v>6.9</v>
      </c>
      <c r="BT64" t="s">
        <v>1445</v>
      </c>
      <c r="BU64" t="s">
        <v>2031</v>
      </c>
      <c r="BV64">
        <v>68.569999999999993</v>
      </c>
      <c r="BW64">
        <v>62.86</v>
      </c>
      <c r="BX64">
        <v>64.459999999999994</v>
      </c>
      <c r="BY64">
        <v>-12.36</v>
      </c>
      <c r="BZ64">
        <v>5.51</v>
      </c>
      <c r="CA64">
        <v>20.22</v>
      </c>
      <c r="CB64">
        <v>0.1</v>
      </c>
      <c r="CC64">
        <v>-16.53</v>
      </c>
      <c r="CD64" t="s">
        <v>3213</v>
      </c>
      <c r="CE64" t="s">
        <v>255</v>
      </c>
      <c r="CF64" s="9">
        <v>-0.52830188679245282</v>
      </c>
      <c r="CG64" s="10">
        <v>-1.4769454270787437</v>
      </c>
      <c r="CH64" s="9">
        <v>-0.80988591909408569</v>
      </c>
      <c r="CI64" s="9">
        <v>-0.12479200959205627</v>
      </c>
      <c r="CJ64" s="9">
        <v>0.19960080087184906</v>
      </c>
      <c r="CK64" s="9">
        <v>0</v>
      </c>
      <c r="CL64" s="9">
        <v>-7.0500925183296204E-2</v>
      </c>
      <c r="CM64" s="10">
        <v>-1.1441249847412109</v>
      </c>
      <c r="CN64" s="10">
        <v>-0.76941317319869995</v>
      </c>
      <c r="CO64" s="10">
        <v>0.58376449346542358</v>
      </c>
      <c r="CP64" s="10">
        <v>-5.2512973546981812E-2</v>
      </c>
      <c r="CQ64" s="10">
        <v>-0.69490045309066772</v>
      </c>
      <c r="CR64">
        <v>43.668811141094224</v>
      </c>
      <c r="CS64">
        <v>2.7104022371637844</v>
      </c>
      <c r="CT64">
        <v>0</v>
      </c>
      <c r="CU64" s="9">
        <v>-0.16111561059951782</v>
      </c>
      <c r="CV64" s="10">
        <v>-0.41543741822242736</v>
      </c>
      <c r="CW64">
        <v>0.06</v>
      </c>
      <c r="CX64" t="e">
        <v>#VALUE!</v>
      </c>
      <c r="CY64" t="s">
        <v>1308</v>
      </c>
      <c r="CZ64">
        <v>-0.16111561059951782</v>
      </c>
      <c r="DA64" t="e">
        <v>#VALUE!</v>
      </c>
      <c r="DB64" t="s">
        <v>1309</v>
      </c>
      <c r="DC64">
        <v>-0.15305983006954191</v>
      </c>
      <c r="DD64" t="e">
        <v>#VALUE!</v>
      </c>
      <c r="DE64" t="s">
        <v>1309</v>
      </c>
      <c r="DF64">
        <v>-0.14178173732757568</v>
      </c>
      <c r="DG64" t="e">
        <v>#VALUE!</v>
      </c>
      <c r="DH64" t="s">
        <v>1309</v>
      </c>
      <c r="DI64">
        <v>-0.12889248847961426</v>
      </c>
      <c r="DJ64" t="e">
        <v>#VALUE!</v>
      </c>
      <c r="DK64" t="s">
        <v>1309</v>
      </c>
      <c r="DL64">
        <v>-0.11278092741966246</v>
      </c>
      <c r="DM64">
        <v>-3788600</v>
      </c>
      <c r="DN64">
        <v>-0.16111561059951782</v>
      </c>
      <c r="DO64">
        <v>2578510300</v>
      </c>
      <c r="DP64">
        <v>577702070</v>
      </c>
      <c r="DQ64">
        <v>2224</v>
      </c>
      <c r="DR64">
        <v>-0.36718627619293498</v>
      </c>
      <c r="DS64">
        <v>-1.0615080088563162</v>
      </c>
      <c r="DT64" s="11">
        <v>-0.64</v>
      </c>
      <c r="DU64">
        <v>-2.0150000000000001</v>
      </c>
      <c r="DV64">
        <v>-2.6550000000000002</v>
      </c>
      <c r="DW64">
        <v>-3.0059940476190476</v>
      </c>
      <c r="DX64">
        <v>0.41406202898550704</v>
      </c>
      <c r="DY64">
        <v>-3.0009234551380262</v>
      </c>
      <c r="DZ64">
        <v>1354</v>
      </c>
      <c r="EA64">
        <v>-3.0006787666337429</v>
      </c>
      <c r="EB64">
        <v>3</v>
      </c>
      <c r="EC64">
        <v>0.13553057586151573</v>
      </c>
      <c r="ED64">
        <v>0.87971433814016042</v>
      </c>
      <c r="EE64" s="12">
        <v>2.0811099999999998</v>
      </c>
      <c r="EF64">
        <v>2.1247099999999999</v>
      </c>
      <c r="EG64">
        <v>26.154062028985507</v>
      </c>
      <c r="EH64" t="s">
        <v>1325</v>
      </c>
      <c r="EI64">
        <v>0</v>
      </c>
      <c r="EJ64">
        <v>1</v>
      </c>
      <c r="EK64" s="14">
        <v>45470</v>
      </c>
      <c r="EL64" s="15">
        <v>1.04</v>
      </c>
      <c r="EM64" s="15">
        <v>-4.49</v>
      </c>
      <c r="EN64" s="15">
        <v>-2.76</v>
      </c>
      <c r="EO64" s="15">
        <v>3.95</v>
      </c>
      <c r="EP64" s="15">
        <v>-4.3600000000000003</v>
      </c>
    </row>
    <row r="65" spans="1:146" ht="156" x14ac:dyDescent="0.25">
      <c r="A65" s="7"/>
      <c r="B65" s="7"/>
      <c r="C65" s="7" t="str">
        <f>"公司提供基于创新的统一软件平台和高性能硬件平台下，以网络安全为核心，融合企业通信领域中网络安全、应用交付、基础网络各功能模块的整体解决方案"&amp;CHAR(10)&amp;Basic_Fundamental_Information_Constructure(F65)&amp;CHAR(10)&amp;Basic_Fundamental_Information_Concatenate("网络安全产品 5.99亿 67.20%（毛利73.51%）
基础网络产品 1.53亿 17.20%（毛利56.22%）
应用交付产品 1.08亿 12.07%（毛利75.01%）
服务类产品 3081.68万 3.46%")</f>
        <v>公司提供基于创新的统一软件平台和高性能硬件平台下，以网络安全为核心，融合企业通信领域中网络安全、应用交付、基础网络各功能模块的整体解决方案
市值72.173235亿, 利润3668.61万; PE55.23; 平均PE35.36; 平均PEG4.01, PB2.25; ROIC3.9367%; ROE6.7233%; 股利率.7136%; 毛利69.3567%; 净利19.68%; 上一年度营收增-71.44%, 利润增-75.54%; 当季营收增-42.31%, 利润增-6.92%; 过往5年营收增-8.82%, 利润增-16.03%
Income profile:
网络安全产品 5.99亿 67.20%（毛利73.51%）
基础网络产品 1.53亿 17.20%（毛利56.22%）
应用交付产品 1.08亿 12.07%（毛利75.01%）
服务类产品 3081.68万 3.46%</v>
      </c>
      <c r="D65" t="s">
        <v>124</v>
      </c>
      <c r="E65" t="s">
        <v>125</v>
      </c>
      <c r="F65">
        <v>11.21</v>
      </c>
      <c r="G65">
        <v>0.54</v>
      </c>
      <c r="H65" t="s">
        <v>3214</v>
      </c>
      <c r="I65">
        <v>7217323500</v>
      </c>
      <c r="J65">
        <v>55.23</v>
      </c>
      <c r="K65">
        <v>2.25</v>
      </c>
      <c r="L65" t="s">
        <v>1303</v>
      </c>
      <c r="M65" t="s">
        <v>627</v>
      </c>
      <c r="N65" t="s">
        <v>3215</v>
      </c>
      <c r="O65" t="s">
        <v>235</v>
      </c>
      <c r="P65">
        <v>10.16</v>
      </c>
      <c r="Q65" t="s">
        <v>235</v>
      </c>
      <c r="R65">
        <v>36686120</v>
      </c>
      <c r="S65" s="5">
        <v>0.1237</v>
      </c>
      <c r="T65" t="s">
        <v>3216</v>
      </c>
      <c r="U65">
        <v>420667710</v>
      </c>
      <c r="V65">
        <v>643829040</v>
      </c>
      <c r="W65">
        <v>1.18</v>
      </c>
      <c r="X65">
        <v>7.0000000000000007E-2</v>
      </c>
      <c r="Y65">
        <v>14.41</v>
      </c>
      <c r="Z65" t="s">
        <v>292</v>
      </c>
      <c r="AA65" t="s">
        <v>3217</v>
      </c>
      <c r="AB65" t="s">
        <v>3218</v>
      </c>
      <c r="AC65" t="s">
        <v>3219</v>
      </c>
      <c r="AD65" t="s">
        <v>63</v>
      </c>
      <c r="AE65">
        <v>-7055697</v>
      </c>
      <c r="AF65" t="s">
        <v>176</v>
      </c>
      <c r="AG65" t="s">
        <v>3220</v>
      </c>
      <c r="AH65" t="s">
        <v>3221</v>
      </c>
      <c r="AI65" t="s">
        <v>1897</v>
      </c>
      <c r="AJ65" t="s">
        <v>3222</v>
      </c>
      <c r="AK65" t="s">
        <v>3223</v>
      </c>
      <c r="AL65" t="s">
        <v>3224</v>
      </c>
      <c r="AM65" t="s">
        <v>63</v>
      </c>
      <c r="AN65" t="s">
        <v>3225</v>
      </c>
      <c r="AO65" t="s">
        <v>63</v>
      </c>
      <c r="AP65" t="s">
        <v>63</v>
      </c>
      <c r="AQ65" t="s">
        <v>307</v>
      </c>
      <c r="AR65" t="s">
        <v>3226</v>
      </c>
      <c r="AS65" t="s">
        <v>1798</v>
      </c>
      <c r="AT65" t="s">
        <v>63</v>
      </c>
      <c r="AU65" t="s">
        <v>3227</v>
      </c>
      <c r="AV65" t="s">
        <v>3228</v>
      </c>
      <c r="AW65" t="s">
        <v>3229</v>
      </c>
      <c r="AX65" t="s">
        <v>1144</v>
      </c>
      <c r="AY65" t="s">
        <v>1195</v>
      </c>
      <c r="AZ65" t="s">
        <v>777</v>
      </c>
      <c r="BA65" t="s">
        <v>512</v>
      </c>
      <c r="BB65" t="s">
        <v>447</v>
      </c>
      <c r="BC65" t="s">
        <v>236</v>
      </c>
      <c r="BD65" t="s">
        <v>453</v>
      </c>
      <c r="BE65" t="s">
        <v>202</v>
      </c>
      <c r="BF65" t="s">
        <v>338</v>
      </c>
      <c r="BG65" t="s">
        <v>407</v>
      </c>
      <c r="BH65" t="s">
        <v>742</v>
      </c>
      <c r="BI65" t="s">
        <v>1317</v>
      </c>
      <c r="BJ65" t="s">
        <v>1144</v>
      </c>
      <c r="BK65" t="s">
        <v>212</v>
      </c>
      <c r="BL65" t="s">
        <v>1877</v>
      </c>
      <c r="BM65" t="s">
        <v>236</v>
      </c>
      <c r="BN65">
        <v>0.72</v>
      </c>
      <c r="BO65">
        <v>2.09</v>
      </c>
      <c r="BP65">
        <v>9</v>
      </c>
      <c r="BQ65">
        <v>2.09</v>
      </c>
      <c r="BR65">
        <v>4.68</v>
      </c>
      <c r="BS65">
        <v>13.4</v>
      </c>
      <c r="BT65" t="s">
        <v>1458</v>
      </c>
      <c r="BU65" t="s">
        <v>2031</v>
      </c>
      <c r="BV65">
        <v>68.83</v>
      </c>
      <c r="BW65">
        <v>67.790000000000006</v>
      </c>
      <c r="BX65">
        <v>71.45</v>
      </c>
      <c r="BY65">
        <v>12.25</v>
      </c>
      <c r="BZ65">
        <v>16.77</v>
      </c>
      <c r="CA65">
        <v>30.02</v>
      </c>
      <c r="CB65">
        <v>-5.4</v>
      </c>
      <c r="CC65">
        <v>-11.66</v>
      </c>
      <c r="CD65" t="s">
        <v>3230</v>
      </c>
      <c r="CE65" t="s">
        <v>353</v>
      </c>
      <c r="CF65" s="9">
        <v>-0.42307692307692313</v>
      </c>
      <c r="CG65" s="10">
        <v>-6.915898284270193E-2</v>
      </c>
      <c r="CH65" s="9">
        <v>-0.71444571018218994</v>
      </c>
      <c r="CI65" s="9">
        <v>-0.13300970196723938</v>
      </c>
      <c r="CJ65" s="9">
        <v>0.15600448846817017</v>
      </c>
      <c r="CK65" s="9">
        <v>0.10820895433425903</v>
      </c>
      <c r="CL65" s="9">
        <v>0.14204545319080353</v>
      </c>
      <c r="CM65" s="10">
        <v>-0.75542604923248291</v>
      </c>
      <c r="CN65" s="10">
        <v>-0.51456308364868164</v>
      </c>
      <c r="CO65" s="10">
        <v>0.1195652186870575</v>
      </c>
      <c r="CP65" s="10">
        <v>9.5238097012042999E-2</v>
      </c>
      <c r="CQ65" s="10">
        <v>0.25373134016990662</v>
      </c>
      <c r="CR65">
        <v>35.359216537200837</v>
      </c>
      <c r="CS65">
        <v>4.0071958007803747</v>
      </c>
      <c r="CT65">
        <v>0.71364852809991075</v>
      </c>
      <c r="CU65" s="9">
        <v>-8.8239303231239324E-2</v>
      </c>
      <c r="CV65" s="10">
        <v>-0.16029089540243149</v>
      </c>
      <c r="CW65">
        <v>0.06</v>
      </c>
      <c r="CX65">
        <v>126.02384826950806</v>
      </c>
      <c r="CY65" t="s">
        <v>3231</v>
      </c>
      <c r="CZ65">
        <v>-8.8239303231239324E-2</v>
      </c>
      <c r="DA65">
        <v>42.007949423169357</v>
      </c>
      <c r="DB65" t="s">
        <v>3232</v>
      </c>
      <c r="DC65">
        <v>-8.3827338069677348E-2</v>
      </c>
      <c r="DD65">
        <v>21.003974711584679</v>
      </c>
      <c r="DE65" t="s">
        <v>3233</v>
      </c>
      <c r="DF65">
        <v>-7.7650586843490604E-2</v>
      </c>
      <c r="DG65">
        <v>12.602384826950807</v>
      </c>
      <c r="DH65" t="s">
        <v>3234</v>
      </c>
      <c r="DI65">
        <v>-7.0591442584991462E-2</v>
      </c>
      <c r="DJ65">
        <v>6.3011924134754036</v>
      </c>
      <c r="DK65" t="s">
        <v>3235</v>
      </c>
      <c r="DL65">
        <v>-6.1767512261867524E-2</v>
      </c>
      <c r="DM65">
        <v>36686100</v>
      </c>
      <c r="DN65">
        <v>-8.8239303231239324E-2</v>
      </c>
      <c r="DO65">
        <v>4623323500</v>
      </c>
      <c r="DP65">
        <v>2837120500</v>
      </c>
      <c r="DQ65">
        <v>2226</v>
      </c>
      <c r="DR65">
        <v>-0.33483761984568383</v>
      </c>
      <c r="DS65">
        <v>9.1131912559729564E-2</v>
      </c>
      <c r="DT65" s="11">
        <v>-0.64</v>
      </c>
      <c r="DU65">
        <v>-0.60333333333333328</v>
      </c>
      <c r="DV65">
        <v>-1.2433333333333332</v>
      </c>
      <c r="DW65">
        <v>-8.4631217838765007</v>
      </c>
      <c r="DX65">
        <v>0.48933146853147008</v>
      </c>
      <c r="DY65">
        <v>-8.1386269236766662</v>
      </c>
      <c r="DZ65">
        <v>4358</v>
      </c>
      <c r="EA65">
        <v>-8.0204006744823584</v>
      </c>
      <c r="EB65">
        <v>8</v>
      </c>
      <c r="EC65">
        <v>6.6484108887042426E-2</v>
      </c>
      <c r="ED65">
        <v>0.22210865170045763</v>
      </c>
      <c r="EE65" s="12">
        <v>-6.0149999999999997</v>
      </c>
      <c r="EF65">
        <v>-6.0126999999999997</v>
      </c>
      <c r="EG65">
        <v>19.29933146853147</v>
      </c>
      <c r="EH65" t="s">
        <v>1807</v>
      </c>
      <c r="EI65">
        <v>0</v>
      </c>
      <c r="EJ65">
        <v>0</v>
      </c>
      <c r="EK65" s="14">
        <v>45470</v>
      </c>
      <c r="EL65" s="15">
        <v>-2.37</v>
      </c>
      <c r="EM65" s="15">
        <v>-3.7</v>
      </c>
      <c r="EN65" s="15">
        <v>1.56</v>
      </c>
      <c r="EO65" s="15">
        <v>2.6</v>
      </c>
      <c r="EP65" s="15">
        <v>-0.23</v>
      </c>
    </row>
    <row r="66" spans="1:146" ht="135.4" customHeight="1" x14ac:dyDescent="0.25">
      <c r="A66" s="7" t="s">
        <v>1439</v>
      </c>
      <c r="B66" s="7" t="s">
        <v>1440</v>
      </c>
      <c r="C66" s="7" t="str">
        <f>"公司从事信息安全领域相关的软硬件平台、板卡和芯片的设计、开发、生产与销售。公司的主要产品是安全双主机系列平台、安全多主机系列平台、移动安全双主机平台、单板卡安全平台和专用芯片。公司取得了包括二级保密资格单位证书、武器装备质量体系认证证书"&amp;CHAR(10)&amp;Basic_Fundamental_Information_Constructure(F66)&amp;CHAR(10)&amp;Basic_Fundamental_Information_Concatenate("信息安全行业 2524.83万 98.41% 89.90% 44.82%")</f>
        <v>公司从事信息安全领域相关的软硬件平台、板卡和芯片的设计、开发、生产与销售。公司的主要产品是安全双主机系列平台、安全多主机系列平台、移动安全双主机平台、单板卡安全平台和专用芯片。公司取得了包括二级保密资格单位证书、武器装备质量体系认证证书
市值7.080882亿, 利润-3919.76万; PE; 平均PE64.08; 平均PEG2.45, PB1.71; ROIC0%; ROE-12.5367%; 股利率0%; 毛利44.1333%; 净利-251.87%; 上一年度营收增-94.85%, 利润增73.33%; 当季营收增-86.81%, 利润增35.69%; 过往5年营收增-26.19%, 利润增-534.47%
Income profile:
信息安全行业 2524.83万 98.41% 89.90% 44.82%</v>
      </c>
      <c r="D66" t="s">
        <v>90</v>
      </c>
      <c r="E66" t="s">
        <v>1553</v>
      </c>
      <c r="F66" t="s">
        <v>63</v>
      </c>
      <c r="G66" t="s">
        <v>63</v>
      </c>
      <c r="H66" t="s">
        <v>63</v>
      </c>
      <c r="I66">
        <v>708088200</v>
      </c>
      <c r="K66">
        <v>1.71</v>
      </c>
      <c r="L66" t="s">
        <v>1303</v>
      </c>
      <c r="M66" t="s">
        <v>504</v>
      </c>
      <c r="N66" t="s">
        <v>239</v>
      </c>
      <c r="O66" t="s">
        <v>3236</v>
      </c>
      <c r="P66">
        <v>-78.959999999999994</v>
      </c>
      <c r="Q66" t="s">
        <v>3236</v>
      </c>
      <c r="R66">
        <v>-39197570</v>
      </c>
      <c r="S66" s="5">
        <v>-0.29720000000000002</v>
      </c>
      <c r="T66" t="s">
        <v>3237</v>
      </c>
      <c r="U66">
        <v>67575000</v>
      </c>
      <c r="V66">
        <v>102030000</v>
      </c>
      <c r="W66">
        <v>1.49</v>
      </c>
      <c r="X66">
        <v>0</v>
      </c>
      <c r="Y66">
        <v>-1565.84</v>
      </c>
      <c r="Z66" t="s">
        <v>2004</v>
      </c>
      <c r="AA66" t="s">
        <v>3238</v>
      </c>
      <c r="AB66" t="s">
        <v>3239</v>
      </c>
      <c r="AC66" t="s">
        <v>3240</v>
      </c>
      <c r="AD66" t="s">
        <v>63</v>
      </c>
      <c r="AE66">
        <v>639760</v>
      </c>
      <c r="AF66" t="s">
        <v>176</v>
      </c>
      <c r="AG66">
        <v>9329</v>
      </c>
      <c r="AH66" t="s">
        <v>3241</v>
      </c>
      <c r="AI66" t="s">
        <v>3242</v>
      </c>
      <c r="AJ66" t="s">
        <v>3243</v>
      </c>
      <c r="AK66" t="s">
        <v>63</v>
      </c>
      <c r="AL66" t="s">
        <v>3244</v>
      </c>
      <c r="AM66" t="s">
        <v>63</v>
      </c>
      <c r="AN66">
        <v>0</v>
      </c>
      <c r="AO66" t="s">
        <v>3245</v>
      </c>
      <c r="AP66" t="s">
        <v>63</v>
      </c>
      <c r="AQ66" t="s">
        <v>3246</v>
      </c>
      <c r="AR66" t="s">
        <v>63</v>
      </c>
      <c r="AS66" t="s">
        <v>674</v>
      </c>
      <c r="AT66" t="s">
        <v>63</v>
      </c>
      <c r="AU66" t="s">
        <v>3247</v>
      </c>
      <c r="AV66" t="s">
        <v>3248</v>
      </c>
      <c r="AW66" t="s">
        <v>3249</v>
      </c>
      <c r="AX66" t="s">
        <v>1555</v>
      </c>
      <c r="AY66" t="s">
        <v>386</v>
      </c>
      <c r="AZ66" t="s">
        <v>407</v>
      </c>
      <c r="BA66" t="s">
        <v>397</v>
      </c>
      <c r="BB66" t="s">
        <v>231</v>
      </c>
      <c r="BC66" t="s">
        <v>1088</v>
      </c>
      <c r="BD66" t="s">
        <v>1219</v>
      </c>
      <c r="BE66" t="s">
        <v>933</v>
      </c>
      <c r="BF66" t="s">
        <v>594</v>
      </c>
      <c r="BG66" t="s">
        <v>934</v>
      </c>
      <c r="BH66" t="s">
        <v>3250</v>
      </c>
      <c r="BI66" t="s">
        <v>1878</v>
      </c>
      <c r="BJ66" t="s">
        <v>1555</v>
      </c>
      <c r="BK66" t="s">
        <v>1859</v>
      </c>
      <c r="BL66" t="s">
        <v>1879</v>
      </c>
      <c r="BM66" t="s">
        <v>1088</v>
      </c>
      <c r="BN66" t="s">
        <v>63</v>
      </c>
      <c r="BO66" t="s">
        <v>63</v>
      </c>
      <c r="BP66" t="s">
        <v>63</v>
      </c>
      <c r="BQ66">
        <v>-16.28</v>
      </c>
      <c r="BR66">
        <v>-22.13</v>
      </c>
      <c r="BS66">
        <v>0.8</v>
      </c>
      <c r="BT66" t="s">
        <v>1445</v>
      </c>
      <c r="BU66" t="s">
        <v>2031</v>
      </c>
      <c r="BV66">
        <v>22.32</v>
      </c>
      <c r="BW66">
        <v>34.49</v>
      </c>
      <c r="BX66">
        <v>75.59</v>
      </c>
      <c r="BY66">
        <v>-460.71</v>
      </c>
      <c r="BZ66">
        <v>-295.83</v>
      </c>
      <c r="CA66">
        <v>0.93</v>
      </c>
      <c r="CB66">
        <v>0</v>
      </c>
      <c r="CC66">
        <v>0</v>
      </c>
      <c r="CD66" t="s">
        <v>63</v>
      </c>
      <c r="CE66" t="s">
        <v>63</v>
      </c>
      <c r="CF66" s="9">
        <v>-0.86807933665930781</v>
      </c>
      <c r="CG66" s="10">
        <v>0.3569045173695764</v>
      </c>
      <c r="CH66" s="9">
        <v>-0.94851529598236084</v>
      </c>
      <c r="CI66" s="9">
        <v>-0.50032883882522583</v>
      </c>
      <c r="CJ66" s="9">
        <v>-0.41293531656265259</v>
      </c>
      <c r="CK66" s="9">
        <v>-8.2191780209541321E-2</v>
      </c>
      <c r="CL66" s="9">
        <v>0.63432836532592773</v>
      </c>
      <c r="CM66" s="10">
        <v>0.73334968090057373</v>
      </c>
      <c r="CN66" s="10">
        <v>-26.948806762695313</v>
      </c>
      <c r="CO66" s="10">
        <v>-0.93950337171554565</v>
      </c>
      <c r="CP66" s="10">
        <v>5.5612560361623764E-2</v>
      </c>
      <c r="CQ66" s="10">
        <v>0.37568727135658264</v>
      </c>
      <c r="CR66">
        <v>64.080186786766859</v>
      </c>
      <c r="CS66">
        <v>2.4464756170536788</v>
      </c>
      <c r="CT66">
        <v>0</v>
      </c>
      <c r="CU66" s="9">
        <v>-0.26192857325077057</v>
      </c>
      <c r="CV66" s="10">
        <v>-5.3447321243584156</v>
      </c>
      <c r="CW66">
        <v>0.06</v>
      </c>
      <c r="CX66" t="e">
        <v>#VALUE!</v>
      </c>
      <c r="CY66" t="s">
        <v>1308</v>
      </c>
      <c r="CZ66">
        <v>-0.26192857325077057</v>
      </c>
      <c r="DA66" t="e">
        <v>#VALUE!</v>
      </c>
      <c r="DB66" t="s">
        <v>1309</v>
      </c>
      <c r="DC66">
        <v>-0.24883214458823202</v>
      </c>
      <c r="DD66" t="e">
        <v>#VALUE!</v>
      </c>
      <c r="DE66" t="s">
        <v>1309</v>
      </c>
      <c r="DF66">
        <v>-0.23049714446067809</v>
      </c>
      <c r="DG66" t="e">
        <v>#VALUE!</v>
      </c>
      <c r="DH66" t="s">
        <v>1309</v>
      </c>
      <c r="DI66">
        <v>-0.20954285860061647</v>
      </c>
      <c r="DJ66" t="e">
        <v>#VALUE!</v>
      </c>
      <c r="DK66" t="s">
        <v>1309</v>
      </c>
      <c r="DL66">
        <v>-0.18335000127553938</v>
      </c>
      <c r="DM66">
        <v>-39197600</v>
      </c>
      <c r="DN66">
        <v>-0.26192857325077057</v>
      </c>
      <c r="DO66">
        <v>475088199.99999994</v>
      </c>
      <c r="DP66">
        <v>225807900</v>
      </c>
      <c r="DQ66">
        <v>2256</v>
      </c>
      <c r="DR66">
        <v>-0.60615076340853724</v>
      </c>
      <c r="DS66">
        <v>5.7016366417279922</v>
      </c>
      <c r="DT66" s="11">
        <v>-0.85666666666666658</v>
      </c>
      <c r="DU66">
        <v>-1.8650000000000002</v>
      </c>
      <c r="DV66">
        <v>-2.7216666666666667</v>
      </c>
      <c r="DW66">
        <v>0</v>
      </c>
      <c r="DX66" t="e">
        <v>#VALUE!</v>
      </c>
      <c r="DY66" t="e">
        <v>#VALUE!</v>
      </c>
      <c r="DZ66">
        <v>1514</v>
      </c>
      <c r="EA66" t="e">
        <v>#VALUE!</v>
      </c>
      <c r="EB66" t="e">
        <v>#VALUE!</v>
      </c>
      <c r="EC66">
        <v>0</v>
      </c>
      <c r="ED66">
        <v>0</v>
      </c>
      <c r="EE66" s="12">
        <v>8.100000000000003E-3</v>
      </c>
      <c r="EF66">
        <v>1.2209999999999999E-2</v>
      </c>
      <c r="EG66" t="e">
        <v>#VALUE!</v>
      </c>
      <c r="EH66">
        <v>-1</v>
      </c>
      <c r="EI66" t="e">
        <v>#VALUE!</v>
      </c>
      <c r="EJ66">
        <v>0</v>
      </c>
      <c r="EK66" s="14">
        <v>45470</v>
      </c>
      <c r="EL66" s="15">
        <v>-0.31</v>
      </c>
      <c r="EM66" s="15">
        <v>-5.52</v>
      </c>
      <c r="EN66" s="15">
        <v>1</v>
      </c>
      <c r="EO66" s="15">
        <v>5.79</v>
      </c>
      <c r="EP66" s="15">
        <v>-2.0299999999999998</v>
      </c>
    </row>
    <row r="67" spans="1:146" ht="180" x14ac:dyDescent="0.25">
      <c r="A67" s="7"/>
      <c r="B67" s="7"/>
      <c r="C67" s="7" t="str">
        <f>"公司主要业务是以证券工具型软件终端为载体，以互联网为工具，向投资者提供及时、专业的金融数据分析和证券投资咨询服务；同时，公司基于自身在金融信息服务领域积累的客户资源、流量入口优势及营销优势，积极拓展广告服务业务和保险经纪业务。"&amp;CHAR(10)&amp;Basic_Fundamental_Information_Constructure(F67)&amp;CHAR(10)&amp;Basic_Fundamental_Information_Concatenate("金融信息服务 8.59亿 92.08% 91.23% 87.29%
广告服务 7334.59万 7.87% 8.74% 97.85%
保险经纪 46.32万 0.05% 0.03% 61.89%")</f>
        <v>公司主要业务是以证券工具型软件终端为载体，以互联网为工具，向投资者提供及时、专业的金融数据分析和证券投资咨询服务；同时，公司基于自身在金融信息服务领域积累的客户资源、流量入口优势及营销优势，积极拓展广告服务业务和保险经纪业务。
市值142.11826亿, 利润1678.89万; PE443.7; 平均PE98.24; 平均PEG96.75, PB7.47; ROIC12.78%; ROE11.6567%; 股利率0%; 毛利87.6267%; 净利17.9267%; 上一年度营收增-80.41%, 利润增-95.03%; 当季营收增-48.06%, 利润增-8.61%; 过往5年营收增1.02%, 利润增12.48%
Income profile:
金融信息服务 8.59亿 92.08% 91.23% 87.29%
广告服务 7334.59万 7.87% 8.74% 97.85%
保险经纪 46.32万 0.05% 0.03% 61.89%</v>
      </c>
      <c r="D67" t="s">
        <v>83</v>
      </c>
      <c r="E67" t="s">
        <v>84</v>
      </c>
      <c r="F67">
        <v>34.75</v>
      </c>
      <c r="G67">
        <v>2.2400000000000002</v>
      </c>
      <c r="H67" t="s">
        <v>3251</v>
      </c>
      <c r="I67">
        <v>14211826000</v>
      </c>
      <c r="J67">
        <v>443.7</v>
      </c>
      <c r="K67">
        <v>7.47</v>
      </c>
      <c r="L67" t="s">
        <v>1303</v>
      </c>
      <c r="M67" t="s">
        <v>3252</v>
      </c>
      <c r="N67" t="s">
        <v>1935</v>
      </c>
      <c r="O67" t="s">
        <v>489</v>
      </c>
      <c r="P67">
        <v>-24.32</v>
      </c>
      <c r="Q67" t="s">
        <v>489</v>
      </c>
      <c r="R67">
        <v>16788949</v>
      </c>
      <c r="S67" s="5">
        <v>-0.70730000000000004</v>
      </c>
      <c r="T67" t="s">
        <v>3253</v>
      </c>
      <c r="U67">
        <v>404196660</v>
      </c>
      <c r="V67">
        <v>408973400</v>
      </c>
      <c r="W67">
        <v>3.47</v>
      </c>
      <c r="X67">
        <v>0.04</v>
      </c>
      <c r="Y67">
        <v>5.72</v>
      </c>
      <c r="Z67" t="s">
        <v>571</v>
      </c>
      <c r="AA67" t="s">
        <v>3254</v>
      </c>
      <c r="AB67" t="s">
        <v>322</v>
      </c>
      <c r="AC67" t="s">
        <v>3255</v>
      </c>
      <c r="AD67" t="s">
        <v>63</v>
      </c>
      <c r="AE67">
        <v>3539657</v>
      </c>
      <c r="AF67" t="s">
        <v>3256</v>
      </c>
      <c r="AG67" t="s">
        <v>3257</v>
      </c>
      <c r="AH67" t="s">
        <v>3258</v>
      </c>
      <c r="AI67" t="s">
        <v>3259</v>
      </c>
      <c r="AJ67" t="s">
        <v>3260</v>
      </c>
      <c r="AK67" t="s">
        <v>63</v>
      </c>
      <c r="AL67" t="s">
        <v>3261</v>
      </c>
      <c r="AM67" t="s">
        <v>63</v>
      </c>
      <c r="AN67">
        <v>0</v>
      </c>
      <c r="AO67" t="s">
        <v>244</v>
      </c>
      <c r="AP67" t="s">
        <v>63</v>
      </c>
      <c r="AQ67" t="s">
        <v>3262</v>
      </c>
      <c r="AR67" t="s">
        <v>1872</v>
      </c>
      <c r="AS67" t="s">
        <v>3263</v>
      </c>
      <c r="AT67" t="s">
        <v>63</v>
      </c>
      <c r="AU67" t="s">
        <v>3264</v>
      </c>
      <c r="AV67" t="s">
        <v>1539</v>
      </c>
      <c r="AW67" t="s">
        <v>3265</v>
      </c>
      <c r="AX67" t="s">
        <v>3266</v>
      </c>
      <c r="AY67" t="s">
        <v>1141</v>
      </c>
      <c r="AZ67" t="s">
        <v>935</v>
      </c>
      <c r="BA67" t="s">
        <v>517</v>
      </c>
      <c r="BB67" t="s">
        <v>357</v>
      </c>
      <c r="BC67" t="s">
        <v>560</v>
      </c>
      <c r="BD67" t="s">
        <v>488</v>
      </c>
      <c r="BE67" t="s">
        <v>936</v>
      </c>
      <c r="BF67" t="s">
        <v>429</v>
      </c>
      <c r="BG67" t="s">
        <v>392</v>
      </c>
      <c r="BH67" t="s">
        <v>810</v>
      </c>
      <c r="BI67" t="s">
        <v>1100</v>
      </c>
      <c r="BJ67" t="s">
        <v>3266</v>
      </c>
      <c r="BK67" t="s">
        <v>3267</v>
      </c>
      <c r="BL67" t="s">
        <v>1880</v>
      </c>
      <c r="BM67" t="s">
        <v>560</v>
      </c>
      <c r="BN67" t="s">
        <v>63</v>
      </c>
      <c r="BO67">
        <v>13.63</v>
      </c>
      <c r="BP67">
        <v>11.93</v>
      </c>
      <c r="BQ67">
        <v>-2.38</v>
      </c>
      <c r="BR67">
        <v>22.69</v>
      </c>
      <c r="BS67">
        <v>14.66</v>
      </c>
      <c r="BT67" t="s">
        <v>1445</v>
      </c>
      <c r="BU67" t="s">
        <v>2052</v>
      </c>
      <c r="BV67">
        <v>85.71</v>
      </c>
      <c r="BW67">
        <v>89.06</v>
      </c>
      <c r="BX67">
        <v>88.11</v>
      </c>
      <c r="BY67">
        <v>7.36</v>
      </c>
      <c r="BZ67">
        <v>27.52</v>
      </c>
      <c r="CA67">
        <v>18.899999999999999</v>
      </c>
      <c r="CB67">
        <v>-4.5599999999999996</v>
      </c>
      <c r="CC67">
        <v>-19.54</v>
      </c>
      <c r="CD67" t="s">
        <v>3268</v>
      </c>
      <c r="CE67" t="s">
        <v>498</v>
      </c>
      <c r="CF67" s="9">
        <v>-0.48060344827586199</v>
      </c>
      <c r="CG67" s="10">
        <v>-8.6101836075925253E-2</v>
      </c>
      <c r="CH67" s="9">
        <v>-0.8040650486946106</v>
      </c>
      <c r="CI67" s="9">
        <v>0.31974250078201294</v>
      </c>
      <c r="CJ67" s="9">
        <v>0.34487733244895935</v>
      </c>
      <c r="CK67" s="9">
        <v>0.11235955357551575</v>
      </c>
      <c r="CL67" s="9">
        <v>7.7854670584201813E-2</v>
      </c>
      <c r="CM67" s="10">
        <v>-0.95032870769500732</v>
      </c>
      <c r="CN67" s="10">
        <v>0.92045456171035767</v>
      </c>
      <c r="CO67" s="10">
        <v>0.97285974025726318</v>
      </c>
      <c r="CP67" s="10">
        <v>-0.25657832622528076</v>
      </c>
      <c r="CQ67" s="10">
        <v>-6.25E-2</v>
      </c>
      <c r="CR67">
        <v>98.23848516041771</v>
      </c>
      <c r="CS67">
        <v>96.750446466767812</v>
      </c>
      <c r="CT67">
        <v>0</v>
      </c>
      <c r="CU67" s="9">
        <v>1.015380173921585E-2</v>
      </c>
      <c r="CV67" s="10">
        <v>0.12478145360946655</v>
      </c>
      <c r="CW67">
        <v>0.06</v>
      </c>
      <c r="CX67">
        <v>994.21348816049897</v>
      </c>
      <c r="CY67">
        <v>15999406.756622188</v>
      </c>
      <c r="CZ67">
        <v>1.015380173921585E-2</v>
      </c>
      <c r="DA67">
        <v>347.83283530191216</v>
      </c>
      <c r="DB67">
        <v>45731237.495715961</v>
      </c>
      <c r="DC67">
        <v>9.6461116522550579E-3</v>
      </c>
      <c r="DD67">
        <v>187.03209028995289</v>
      </c>
      <c r="DE67">
        <v>85048645.798375562</v>
      </c>
      <c r="DF67">
        <v>8.9353455305099493E-3</v>
      </c>
      <c r="DG67">
        <v>123.57137065129781</v>
      </c>
      <c r="DH67">
        <v>128725819.87365808</v>
      </c>
      <c r="DI67">
        <v>8.12304139137268E-3</v>
      </c>
      <c r="DJ67">
        <v>77.658990023727455</v>
      </c>
      <c r="DK67">
        <v>204829163.9530713</v>
      </c>
      <c r="DL67">
        <v>7.1076612174510948E-3</v>
      </c>
      <c r="DM67">
        <v>16788900</v>
      </c>
      <c r="DN67">
        <v>1.015380173921585E-2</v>
      </c>
      <c r="DO67">
        <v>15906826000</v>
      </c>
      <c r="DP67">
        <v>537929900</v>
      </c>
      <c r="DQ67">
        <v>2260</v>
      </c>
      <c r="DR67">
        <v>-0.49075725001507786</v>
      </c>
      <c r="DS67">
        <v>-0.2108832896853918</v>
      </c>
      <c r="DT67" s="11">
        <v>-0.49</v>
      </c>
      <c r="DU67">
        <v>0.1166666666666667</v>
      </c>
      <c r="DV67">
        <v>-0.37333333333333329</v>
      </c>
      <c r="DW67">
        <v>-8.2333674513817812</v>
      </c>
      <c r="DX67">
        <v>0.39742105263157868</v>
      </c>
      <c r="DY67">
        <v>-8.0344032753326502</v>
      </c>
      <c r="DZ67">
        <v>2535</v>
      </c>
      <c r="EA67">
        <v>-8.0173362884504051</v>
      </c>
      <c r="EB67">
        <v>8</v>
      </c>
      <c r="EC67">
        <v>6.8488561847787649E-2</v>
      </c>
      <c r="ED67">
        <v>0.46457789186289378</v>
      </c>
      <c r="EE67" s="12">
        <v>-1.0335000000000001</v>
      </c>
      <c r="EF67">
        <v>-1.0187999999999999</v>
      </c>
      <c r="EG67">
        <v>25.147421052631579</v>
      </c>
      <c r="EH67" t="s">
        <v>1310</v>
      </c>
      <c r="EI67">
        <v>0</v>
      </c>
      <c r="EJ67">
        <v>0</v>
      </c>
      <c r="EK67" s="14">
        <v>45470</v>
      </c>
      <c r="EL67" s="15">
        <v>-0.88</v>
      </c>
      <c r="EM67" s="15">
        <v>-5.0999999999999996</v>
      </c>
      <c r="EN67" s="15">
        <v>-0.81</v>
      </c>
      <c r="EO67" s="15">
        <v>6.02</v>
      </c>
      <c r="EP67" s="15">
        <v>-1.47</v>
      </c>
    </row>
    <row r="68" spans="1:146" ht="96" x14ac:dyDescent="0.25">
      <c r="A68" s="7"/>
      <c r="B68" s="7"/>
      <c r="C68" s="7" t="str">
        <f>""&amp;CHAR(10)&amp;Basic_Fundamental_Information_Constructure(F68)&amp;CHAR(10)&amp;Basic_Fundamental_Information_Concatenate("")</f>
        <v xml:space="preserve">
市值24.689196亿, 利润-1454.73万; PE142.9; 平均PE43.45; 平均PEG4.81, PB2.08; ROIC5.15%; ROE2.1333%; 股利率.405%; 毛利43.0467%; 净利7.4967%; 上一年度营收增-91.94%, 利润增-125.43%; 当季营收增-63.31%, 利润增57.88%; 过往5年营收增-9.03%, 利润增-29.24%
Income profile:
</v>
      </c>
      <c r="D68" t="s">
        <v>154</v>
      </c>
      <c r="E68" t="s">
        <v>155</v>
      </c>
      <c r="F68">
        <v>5.74</v>
      </c>
      <c r="G68">
        <v>1.41</v>
      </c>
      <c r="H68" t="s">
        <v>3269</v>
      </c>
      <c r="I68">
        <v>2468919600</v>
      </c>
      <c r="J68">
        <v>142.9</v>
      </c>
      <c r="K68">
        <v>2.08</v>
      </c>
      <c r="L68" t="s">
        <v>1303</v>
      </c>
      <c r="M68" t="s">
        <v>361</v>
      </c>
      <c r="N68" t="s">
        <v>1765</v>
      </c>
      <c r="O68" t="s">
        <v>3270</v>
      </c>
      <c r="P68">
        <v>-15.94</v>
      </c>
      <c r="Q68" t="s">
        <v>3270</v>
      </c>
      <c r="R68">
        <v>-14547270</v>
      </c>
      <c r="S68" s="5">
        <v>0.2409</v>
      </c>
      <c r="T68" t="s">
        <v>3271</v>
      </c>
      <c r="U68">
        <v>314963770</v>
      </c>
      <c r="V68">
        <v>430125370</v>
      </c>
      <c r="W68">
        <v>1.25</v>
      </c>
      <c r="X68">
        <v>0.03</v>
      </c>
      <c r="Y68">
        <v>-28.68</v>
      </c>
      <c r="Z68" t="s">
        <v>3272</v>
      </c>
      <c r="AA68" t="s">
        <v>3273</v>
      </c>
      <c r="AB68" t="s">
        <v>3274</v>
      </c>
      <c r="AC68" t="s">
        <v>3275</v>
      </c>
      <c r="AD68" t="s">
        <v>63</v>
      </c>
      <c r="AE68">
        <v>1837621</v>
      </c>
      <c r="AF68" t="s">
        <v>3276</v>
      </c>
      <c r="AG68">
        <v>1.6</v>
      </c>
      <c r="AH68" t="s">
        <v>3277</v>
      </c>
      <c r="AI68" t="s">
        <v>3278</v>
      </c>
      <c r="AJ68" t="s">
        <v>3279</v>
      </c>
      <c r="AK68" t="s">
        <v>3280</v>
      </c>
      <c r="AL68" t="s">
        <v>3281</v>
      </c>
      <c r="AM68" t="s">
        <v>63</v>
      </c>
      <c r="AN68">
        <v>0</v>
      </c>
      <c r="AO68" t="s">
        <v>63</v>
      </c>
      <c r="AP68" t="s">
        <v>63</v>
      </c>
      <c r="AQ68" t="s">
        <v>3282</v>
      </c>
      <c r="AR68">
        <v>9210.94</v>
      </c>
      <c r="AS68" t="s">
        <v>3283</v>
      </c>
      <c r="AT68" t="s">
        <v>63</v>
      </c>
      <c r="AU68" t="s">
        <v>3284</v>
      </c>
      <c r="AV68" t="s">
        <v>824</v>
      </c>
      <c r="AW68" t="s">
        <v>3285</v>
      </c>
      <c r="AX68" t="s">
        <v>1556</v>
      </c>
      <c r="AY68" t="s">
        <v>1133</v>
      </c>
      <c r="AZ68" t="s">
        <v>774</v>
      </c>
      <c r="BA68" t="s">
        <v>596</v>
      </c>
      <c r="BB68" t="s">
        <v>238</v>
      </c>
      <c r="BC68" t="s">
        <v>3286</v>
      </c>
      <c r="BD68" t="s">
        <v>1221</v>
      </c>
      <c r="BE68" t="s">
        <v>937</v>
      </c>
      <c r="BF68" t="s">
        <v>597</v>
      </c>
      <c r="BG68" t="s">
        <v>938</v>
      </c>
      <c r="BH68" t="s">
        <v>376</v>
      </c>
      <c r="BI68" t="s">
        <v>497</v>
      </c>
      <c r="BJ68" t="s">
        <v>1556</v>
      </c>
      <c r="BK68" t="s">
        <v>3287</v>
      </c>
      <c r="BL68" t="s">
        <v>1881</v>
      </c>
      <c r="BM68" t="s">
        <v>3286</v>
      </c>
      <c r="BN68" t="s">
        <v>63</v>
      </c>
      <c r="BO68">
        <v>4.6399999999999997</v>
      </c>
      <c r="BP68">
        <v>5.66</v>
      </c>
      <c r="BQ68">
        <v>-4.1399999999999997</v>
      </c>
      <c r="BR68">
        <v>4.78</v>
      </c>
      <c r="BS68">
        <v>5.76</v>
      </c>
      <c r="BT68" t="s">
        <v>3288</v>
      </c>
      <c r="BU68" t="s">
        <v>2052</v>
      </c>
      <c r="BV68">
        <v>45.5</v>
      </c>
      <c r="BW68">
        <v>41.19</v>
      </c>
      <c r="BX68">
        <v>42.45</v>
      </c>
      <c r="BY68">
        <v>2.4700000000000002</v>
      </c>
      <c r="BZ68">
        <v>8.98</v>
      </c>
      <c r="CA68">
        <v>11.04</v>
      </c>
      <c r="CB68">
        <v>-5.59</v>
      </c>
      <c r="CC68">
        <v>-5.7</v>
      </c>
      <c r="CD68" t="s">
        <v>3289</v>
      </c>
      <c r="CE68" t="s">
        <v>1737</v>
      </c>
      <c r="CF68" s="9">
        <v>-0.63314492753623186</v>
      </c>
      <c r="CG68" s="10">
        <v>0.57882587623553117</v>
      </c>
      <c r="CH68" s="9">
        <v>-0.91938537359237671</v>
      </c>
      <c r="CI68" s="9">
        <v>4.8414021730422974E-2</v>
      </c>
      <c r="CJ68" s="9">
        <v>0.21255061030387878</v>
      </c>
      <c r="CK68" s="9">
        <v>7.1583516895771027E-2</v>
      </c>
      <c r="CL68" s="9">
        <v>0.13546797633171082</v>
      </c>
      <c r="CM68" s="10">
        <v>-1.2542741298675537</v>
      </c>
      <c r="CN68" s="10">
        <v>-0.13029380142688751</v>
      </c>
      <c r="CO68" s="10">
        <v>-2.8639310970902443E-2</v>
      </c>
      <c r="CP68" s="10">
        <v>-0.24539469182491302</v>
      </c>
      <c r="CQ68" s="10">
        <v>0.19637021422386169</v>
      </c>
      <c r="CR68">
        <v>43.450855288746119</v>
      </c>
      <c r="CS68">
        <v>4.8132272468107669</v>
      </c>
      <c r="CT68">
        <v>0.40503658536585363</v>
      </c>
      <c r="CU68" s="9">
        <v>-9.0273849666118622E-2</v>
      </c>
      <c r="CV68" s="10">
        <v>-0.29244634397327901</v>
      </c>
      <c r="CW68">
        <v>0.06</v>
      </c>
      <c r="CX68" t="e">
        <v>#VALUE!</v>
      </c>
      <c r="CY68" t="s">
        <v>1308</v>
      </c>
      <c r="CZ68">
        <v>-9.0273849666118622E-2</v>
      </c>
      <c r="DA68" t="e">
        <v>#VALUE!</v>
      </c>
      <c r="DB68" t="s">
        <v>1309</v>
      </c>
      <c r="DC68">
        <v>-8.5760157182812685E-2</v>
      </c>
      <c r="DD68" t="e">
        <v>#VALUE!</v>
      </c>
      <c r="DE68" t="s">
        <v>1309</v>
      </c>
      <c r="DF68">
        <v>-7.9440987706184393E-2</v>
      </c>
      <c r="DG68" t="e">
        <v>#VALUE!</v>
      </c>
      <c r="DH68" t="s">
        <v>1309</v>
      </c>
      <c r="DI68">
        <v>-7.2219079732894903E-2</v>
      </c>
      <c r="DJ68" t="e">
        <v>#VALUE!</v>
      </c>
      <c r="DK68" t="s">
        <v>1309</v>
      </c>
      <c r="DL68">
        <v>-6.319169476628303E-2</v>
      </c>
      <c r="DM68">
        <v>-14547300</v>
      </c>
      <c r="DN68">
        <v>-9.0273849666118622E-2</v>
      </c>
      <c r="DO68">
        <v>1596919600</v>
      </c>
      <c r="DP68">
        <v>1053382520</v>
      </c>
      <c r="DQ68">
        <v>2287</v>
      </c>
      <c r="DR68">
        <v>-0.54287107787011324</v>
      </c>
      <c r="DS68">
        <v>0.87127222020881012</v>
      </c>
      <c r="DT68" s="11">
        <v>-0.64</v>
      </c>
      <c r="DU68">
        <v>-1.4450000000000001</v>
      </c>
      <c r="DV68">
        <v>-2.085</v>
      </c>
      <c r="DW68">
        <v>-8.9807017543859651</v>
      </c>
      <c r="DX68">
        <v>0.30486058394160753</v>
      </c>
      <c r="DY68">
        <v>-8.1420650288129082</v>
      </c>
      <c r="DZ68">
        <v>2340</v>
      </c>
      <c r="EA68">
        <v>-8.0770098101392875</v>
      </c>
      <c r="EB68">
        <v>8</v>
      </c>
      <c r="EC68">
        <v>0.13841941013616565</v>
      </c>
      <c r="ED68">
        <v>0.95553535937673251</v>
      </c>
      <c r="EE68" s="12">
        <v>-2.0674999999999999</v>
      </c>
      <c r="EF68">
        <v>-2.0453000000000001</v>
      </c>
      <c r="EG68">
        <v>16.144860583941608</v>
      </c>
      <c r="EH68" t="s">
        <v>1468</v>
      </c>
      <c r="EI68">
        <v>0</v>
      </c>
      <c r="EJ68">
        <v>0</v>
      </c>
      <c r="EK68" s="14">
        <v>45470</v>
      </c>
      <c r="EL68" s="15">
        <v>0</v>
      </c>
      <c r="EM68" s="15">
        <v>-5.14</v>
      </c>
      <c r="EN68" s="15">
        <v>0.7</v>
      </c>
      <c r="EO68" s="15">
        <v>3.77</v>
      </c>
      <c r="EP68" s="15">
        <v>-2.2200000000000002</v>
      </c>
    </row>
    <row r="69" spans="1:146" ht="96" x14ac:dyDescent="0.25">
      <c r="A69" s="7"/>
      <c r="B69" s="7"/>
      <c r="C69" s="7" t="str">
        <f>""&amp;CHAR(10)&amp;Basic_Fundamental_Information_Constructure(F69)&amp;CHAR(10)&amp;Basic_Fundamental_Information_Concatenate("")</f>
        <v xml:space="preserve">
市值41.370413亿, 利润3159.13万; PE35.68; 平均PE42.89; 平均PEG1.81, PB2.01; ROIC7.9633%; ROE8.97%; 股利率.829%; 毛利24.0633%; 净利3.6333%; 上一年度营收增-72.11%, 利润增-75.51%; 当季营收增-45.12%, 利润增-48.35%; 过往5年营收增23.74%, 利润增1.02%
Income profile:
</v>
      </c>
      <c r="D69" t="s">
        <v>939</v>
      </c>
      <c r="E69" t="s">
        <v>940</v>
      </c>
      <c r="F69">
        <v>9.65</v>
      </c>
      <c r="G69">
        <v>1.05</v>
      </c>
      <c r="H69" t="s">
        <v>3290</v>
      </c>
      <c r="I69">
        <v>4137041300</v>
      </c>
      <c r="J69">
        <v>35.68</v>
      </c>
      <c r="K69">
        <v>2.0099999999999998</v>
      </c>
      <c r="L69" t="s">
        <v>1303</v>
      </c>
      <c r="M69" t="s">
        <v>1371</v>
      </c>
      <c r="N69" t="s">
        <v>3291</v>
      </c>
      <c r="O69" t="s">
        <v>1498</v>
      </c>
      <c r="P69">
        <v>13.36</v>
      </c>
      <c r="Q69" t="s">
        <v>1498</v>
      </c>
      <c r="R69">
        <v>31591306</v>
      </c>
      <c r="S69" s="5">
        <v>0.1024</v>
      </c>
      <c r="T69" t="s">
        <v>3292</v>
      </c>
      <c r="U69">
        <v>318542880</v>
      </c>
      <c r="V69">
        <v>428708950</v>
      </c>
      <c r="W69">
        <v>1.4</v>
      </c>
      <c r="X69">
        <v>0.35</v>
      </c>
      <c r="Y69">
        <v>3.16</v>
      </c>
      <c r="Z69" t="s">
        <v>1907</v>
      </c>
      <c r="AA69" t="s">
        <v>1337</v>
      </c>
      <c r="AB69" t="s">
        <v>3293</v>
      </c>
      <c r="AC69" t="s">
        <v>3294</v>
      </c>
      <c r="AD69" t="s">
        <v>63</v>
      </c>
      <c r="AE69">
        <v>-1399757</v>
      </c>
      <c r="AF69" t="s">
        <v>3295</v>
      </c>
      <c r="AG69" t="s">
        <v>3296</v>
      </c>
      <c r="AH69" t="s">
        <v>3297</v>
      </c>
      <c r="AI69" t="s">
        <v>511</v>
      </c>
      <c r="AJ69" t="s">
        <v>3298</v>
      </c>
      <c r="AK69" t="s">
        <v>3299</v>
      </c>
      <c r="AL69" t="s">
        <v>3300</v>
      </c>
      <c r="AM69" t="s">
        <v>63</v>
      </c>
      <c r="AN69">
        <v>0</v>
      </c>
      <c r="AO69" t="s">
        <v>202</v>
      </c>
      <c r="AP69" t="s">
        <v>63</v>
      </c>
      <c r="AQ69" t="s">
        <v>3301</v>
      </c>
      <c r="AR69" t="s">
        <v>63</v>
      </c>
      <c r="AS69" t="s">
        <v>446</v>
      </c>
      <c r="AT69" t="s">
        <v>63</v>
      </c>
      <c r="AU69" t="s">
        <v>1763</v>
      </c>
      <c r="AV69" t="s">
        <v>3302</v>
      </c>
      <c r="AW69" t="s">
        <v>3303</v>
      </c>
      <c r="AX69" t="s">
        <v>1557</v>
      </c>
      <c r="AY69" t="s">
        <v>1222</v>
      </c>
      <c r="AZ69" t="s">
        <v>306</v>
      </c>
      <c r="BA69" t="s">
        <v>941</v>
      </c>
      <c r="BB69" t="s">
        <v>193</v>
      </c>
      <c r="BC69" t="s">
        <v>185</v>
      </c>
      <c r="BD69" t="s">
        <v>445</v>
      </c>
      <c r="BE69" t="s">
        <v>183</v>
      </c>
      <c r="BF69" t="s">
        <v>942</v>
      </c>
      <c r="BG69" t="s">
        <v>943</v>
      </c>
      <c r="BH69" t="s">
        <v>1598</v>
      </c>
      <c r="BI69" t="s">
        <v>1421</v>
      </c>
      <c r="BJ69" t="s">
        <v>1557</v>
      </c>
      <c r="BK69" t="s">
        <v>308</v>
      </c>
      <c r="BL69" t="s">
        <v>1884</v>
      </c>
      <c r="BM69" t="s">
        <v>185</v>
      </c>
      <c r="BN69">
        <v>5.07</v>
      </c>
      <c r="BO69">
        <v>8.18</v>
      </c>
      <c r="BP69">
        <v>10.64</v>
      </c>
      <c r="BQ69">
        <v>5.73</v>
      </c>
      <c r="BR69">
        <v>9.76</v>
      </c>
      <c r="BS69">
        <v>11.42</v>
      </c>
      <c r="BT69" t="s">
        <v>1458</v>
      </c>
      <c r="BU69" t="s">
        <v>2052</v>
      </c>
      <c r="BV69">
        <v>21.2</v>
      </c>
      <c r="BW69">
        <v>24.6</v>
      </c>
      <c r="BX69">
        <v>26.39</v>
      </c>
      <c r="BY69">
        <v>2.91</v>
      </c>
      <c r="BZ69">
        <v>3.61</v>
      </c>
      <c r="CA69">
        <v>4.38</v>
      </c>
      <c r="CB69">
        <v>-4.3600000000000003</v>
      </c>
      <c r="CC69">
        <v>-6.76</v>
      </c>
      <c r="CD69" t="s">
        <v>3304</v>
      </c>
      <c r="CE69" t="s">
        <v>1340</v>
      </c>
      <c r="CF69" s="9">
        <v>-0.45115257958287597</v>
      </c>
      <c r="CG69" s="10">
        <v>-0.48351694236359294</v>
      </c>
      <c r="CH69" s="9">
        <v>-0.72113776206970215</v>
      </c>
      <c r="CI69" s="9">
        <v>0.16126938164234161</v>
      </c>
      <c r="CJ69" s="9">
        <v>0.58521562814712524</v>
      </c>
      <c r="CK69" s="9">
        <v>0.49043604731559753</v>
      </c>
      <c r="CL69" s="9">
        <v>0.67135560512542725</v>
      </c>
      <c r="CM69" s="10">
        <v>-0.75510621070861816</v>
      </c>
      <c r="CN69" s="10">
        <v>-4.444444552063942E-2</v>
      </c>
      <c r="CO69" s="10">
        <v>0.10655737668275833</v>
      </c>
      <c r="CP69" s="10">
        <v>0.27143725752830505</v>
      </c>
      <c r="CQ69" s="10">
        <v>0.47246336936950684</v>
      </c>
      <c r="CR69">
        <v>42.892258942105187</v>
      </c>
      <c r="CS69">
        <v>1.8065391899926679</v>
      </c>
      <c r="CT69">
        <v>0.82901554404145084</v>
      </c>
      <c r="CU69" s="9">
        <v>0.23742778003215789</v>
      </c>
      <c r="CV69" s="10">
        <v>1.0181469470262527E-2</v>
      </c>
      <c r="CW69">
        <v>0.06</v>
      </c>
      <c r="CX69">
        <v>75.707750812478352</v>
      </c>
      <c r="CY69">
        <v>36879200.214462169</v>
      </c>
      <c r="CZ69">
        <v>0.23742778003215789</v>
      </c>
      <c r="DA69">
        <v>21.884396738630187</v>
      </c>
      <c r="DB69">
        <v>127581369.19860843</v>
      </c>
      <c r="DC69">
        <v>0.22555639103054997</v>
      </c>
      <c r="DD69">
        <v>9.0671732311312443</v>
      </c>
      <c r="DE69">
        <v>307928527.31806225</v>
      </c>
      <c r="DF69">
        <v>0.20893644642829895</v>
      </c>
      <c r="DG69">
        <v>4.4305073687270502</v>
      </c>
      <c r="DH69">
        <v>630185454.53908014</v>
      </c>
      <c r="DI69">
        <v>0.18994222402572633</v>
      </c>
      <c r="DJ69">
        <v>1.3995686264377885</v>
      </c>
      <c r="DK69">
        <v>1994929900.0123789</v>
      </c>
      <c r="DL69">
        <v>0.16619944602251052</v>
      </c>
      <c r="DM69">
        <v>31591300</v>
      </c>
      <c r="DN69">
        <v>0.23742778003215789</v>
      </c>
      <c r="DO69">
        <v>2792041300</v>
      </c>
      <c r="DP69">
        <v>1924454700</v>
      </c>
      <c r="DQ69">
        <v>2379</v>
      </c>
      <c r="DR69">
        <v>-0.68858035961503383</v>
      </c>
      <c r="DS69">
        <v>-0.49369841183385549</v>
      </c>
      <c r="DT69" s="11">
        <v>-0.17333333333333334</v>
      </c>
      <c r="DU69">
        <v>-0.33666666666666667</v>
      </c>
      <c r="DV69">
        <v>-0.51</v>
      </c>
      <c r="DW69">
        <v>-8.6449704142011843</v>
      </c>
      <c r="DX69">
        <v>0.26532594594594594</v>
      </c>
      <c r="DY69">
        <v>-8.0743818231249005</v>
      </c>
      <c r="DZ69">
        <v>2779</v>
      </c>
      <c r="EA69">
        <v>-8.0339303384939615</v>
      </c>
      <c r="EB69">
        <v>8</v>
      </c>
      <c r="EC69">
        <v>0.14929919237748593</v>
      </c>
      <c r="ED69">
        <v>1.2945845893816772</v>
      </c>
      <c r="EE69" s="12">
        <v>-2.0876000000000001</v>
      </c>
      <c r="EF69">
        <v>-2.0821999999999998</v>
      </c>
      <c r="EG69">
        <v>15.115325945945946</v>
      </c>
      <c r="EH69" t="s">
        <v>1468</v>
      </c>
      <c r="EI69">
        <v>0</v>
      </c>
      <c r="EJ69">
        <v>0</v>
      </c>
      <c r="EK69" s="14">
        <v>45470</v>
      </c>
      <c r="EL69" s="15">
        <v>-0.61</v>
      </c>
      <c r="EM69" s="15">
        <v>-6.17</v>
      </c>
      <c r="EN69" s="15">
        <v>3.26</v>
      </c>
      <c r="EO69" s="15">
        <v>5.8</v>
      </c>
      <c r="EP69" s="15">
        <v>-0.54</v>
      </c>
    </row>
    <row r="70" spans="1:146" ht="96" x14ac:dyDescent="0.25">
      <c r="A70" s="7"/>
      <c r="B70" s="7"/>
      <c r="C70" s="7" t="str">
        <f>""&amp;CHAR(10)&amp;Basic_Fundamental_Information_Constructure(F70)&amp;CHAR(10)&amp;Basic_Fundamental_Information_Concatenate("")</f>
        <v xml:space="preserve">
市值12.1290648亿, 利润-1928.83万; PE; 平均PE39.15; 平均PEG3.59, PB1.4; ROIC8.99%; ROE.2067%; 股利率0%; 毛利92.5533%; 净利-5.14%; 上一年度营收增-91.73%, 利润增30.97%; 当季营收增-81.11%, 利润增-57.16%; 过往5年营收增-10.9%, 利润增-19.17%
Income profile:
</v>
      </c>
      <c r="D70" t="s">
        <v>944</v>
      </c>
      <c r="E70" t="s">
        <v>945</v>
      </c>
      <c r="F70">
        <v>15.27</v>
      </c>
      <c r="G70">
        <v>2.9</v>
      </c>
      <c r="H70" t="s">
        <v>3305</v>
      </c>
      <c r="I70">
        <v>1212906480</v>
      </c>
      <c r="K70">
        <v>1.4</v>
      </c>
      <c r="L70" t="s">
        <v>1303</v>
      </c>
      <c r="M70" t="s">
        <v>3306</v>
      </c>
      <c r="N70" t="s">
        <v>3307</v>
      </c>
      <c r="O70" t="s">
        <v>3308</v>
      </c>
      <c r="P70">
        <v>-38.39</v>
      </c>
      <c r="Q70" t="s">
        <v>3308</v>
      </c>
      <c r="R70">
        <v>-19288326</v>
      </c>
      <c r="S70" s="5">
        <v>-0.17910000000000001</v>
      </c>
      <c r="T70" t="s">
        <v>3309</v>
      </c>
      <c r="U70">
        <v>60273655</v>
      </c>
      <c r="V70">
        <v>79430680</v>
      </c>
      <c r="W70">
        <v>1.03</v>
      </c>
      <c r="X70">
        <v>0.02</v>
      </c>
      <c r="Y70">
        <v>-139.6</v>
      </c>
      <c r="Z70" t="s">
        <v>3310</v>
      </c>
      <c r="AA70" t="s">
        <v>3311</v>
      </c>
      <c r="AB70" t="s">
        <v>3312</v>
      </c>
      <c r="AC70" t="s">
        <v>3313</v>
      </c>
      <c r="AD70" t="s">
        <v>63</v>
      </c>
      <c r="AE70">
        <v>-1294444</v>
      </c>
      <c r="AF70" t="s">
        <v>3314</v>
      </c>
      <c r="AG70">
        <v>0.28000000000000003</v>
      </c>
      <c r="AH70" t="s">
        <v>3315</v>
      </c>
      <c r="AI70" t="s">
        <v>471</v>
      </c>
      <c r="AJ70" t="s">
        <v>3316</v>
      </c>
      <c r="AK70" t="s">
        <v>3317</v>
      </c>
      <c r="AL70" t="s">
        <v>3318</v>
      </c>
      <c r="AM70" t="s">
        <v>63</v>
      </c>
      <c r="AN70">
        <v>0</v>
      </c>
      <c r="AO70" t="s">
        <v>63</v>
      </c>
      <c r="AP70" t="s">
        <v>63</v>
      </c>
      <c r="AQ70" t="s">
        <v>3319</v>
      </c>
      <c r="AR70" t="s">
        <v>63</v>
      </c>
      <c r="AS70" t="s">
        <v>3320</v>
      </c>
      <c r="AT70" t="s">
        <v>63</v>
      </c>
      <c r="AU70" t="s">
        <v>3321</v>
      </c>
      <c r="AV70" t="s">
        <v>3322</v>
      </c>
      <c r="AW70" t="s">
        <v>3323</v>
      </c>
      <c r="AX70" t="s">
        <v>461</v>
      </c>
      <c r="AY70" t="s">
        <v>520</v>
      </c>
      <c r="AZ70" t="s">
        <v>236</v>
      </c>
      <c r="BA70" t="s">
        <v>444</v>
      </c>
      <c r="BB70" t="s">
        <v>220</v>
      </c>
      <c r="BC70" t="s">
        <v>1558</v>
      </c>
      <c r="BD70" t="s">
        <v>1223</v>
      </c>
      <c r="BE70" t="s">
        <v>946</v>
      </c>
      <c r="BF70" t="s">
        <v>947</v>
      </c>
      <c r="BG70" t="s">
        <v>948</v>
      </c>
      <c r="BH70" t="s">
        <v>572</v>
      </c>
      <c r="BI70" t="s">
        <v>1885</v>
      </c>
      <c r="BJ70" t="s">
        <v>461</v>
      </c>
      <c r="BK70" t="s">
        <v>3324</v>
      </c>
      <c r="BL70" t="s">
        <v>1886</v>
      </c>
      <c r="BM70" t="s">
        <v>1558</v>
      </c>
      <c r="BN70" t="s">
        <v>63</v>
      </c>
      <c r="BO70" t="s">
        <v>63</v>
      </c>
      <c r="BP70">
        <v>8.99</v>
      </c>
      <c r="BQ70">
        <v>-3.01</v>
      </c>
      <c r="BR70">
        <v>-2.93</v>
      </c>
      <c r="BS70">
        <v>6.56</v>
      </c>
      <c r="BT70" t="s">
        <v>1445</v>
      </c>
      <c r="BU70" t="s">
        <v>2052</v>
      </c>
      <c r="BV70">
        <v>92.35</v>
      </c>
      <c r="BW70">
        <v>93.34</v>
      </c>
      <c r="BX70">
        <v>91.97</v>
      </c>
      <c r="BY70">
        <v>-24.73</v>
      </c>
      <c r="BZ70">
        <v>-16.7</v>
      </c>
      <c r="CA70">
        <v>26.01</v>
      </c>
      <c r="CB70">
        <v>-1.55</v>
      </c>
      <c r="CC70">
        <v>-10.7</v>
      </c>
      <c r="CD70" t="s">
        <v>3325</v>
      </c>
      <c r="CE70" t="s">
        <v>3326</v>
      </c>
      <c r="CF70" s="9">
        <v>-0.81106984528963411</v>
      </c>
      <c r="CG70" s="10">
        <v>-0.57160645318992909</v>
      </c>
      <c r="CH70" s="9">
        <v>-0.91726648807525635</v>
      </c>
      <c r="CI70" s="9">
        <v>-0.27705627679824829</v>
      </c>
      <c r="CJ70" s="9">
        <v>0.54000002145767212</v>
      </c>
      <c r="CK70" s="9">
        <v>-0.12790697813034058</v>
      </c>
      <c r="CL70" s="9">
        <v>0.23741006851196289</v>
      </c>
      <c r="CM70" s="10">
        <v>0.30969977378845215</v>
      </c>
      <c r="CN70" s="10">
        <v>-1.4654756784439087</v>
      </c>
      <c r="CO70" s="10">
        <v>8.2962147891521454E-2</v>
      </c>
      <c r="CP70" s="10">
        <v>-0.15863937139511108</v>
      </c>
      <c r="CQ70" s="10">
        <v>0.27278962731361389</v>
      </c>
      <c r="CR70">
        <v>39.153043714047762</v>
      </c>
      <c r="CS70">
        <v>3.5932113953669429</v>
      </c>
      <c r="CT70">
        <v>0</v>
      </c>
      <c r="CU70" s="9">
        <v>-0.10896393060684204</v>
      </c>
      <c r="CV70" s="10">
        <v>-0.19173270016908645</v>
      </c>
      <c r="CW70">
        <v>0.06</v>
      </c>
      <c r="CX70" t="e">
        <v>#VALUE!</v>
      </c>
      <c r="CY70" t="s">
        <v>1308</v>
      </c>
      <c r="CZ70">
        <v>-0.10896393060684204</v>
      </c>
      <c r="DA70" t="e">
        <v>#VALUE!</v>
      </c>
      <c r="DB70" t="s">
        <v>1309</v>
      </c>
      <c r="DC70">
        <v>-0.10351573407649993</v>
      </c>
      <c r="DD70" t="e">
        <v>#VALUE!</v>
      </c>
      <c r="DE70" t="s">
        <v>1309</v>
      </c>
      <c r="DF70">
        <v>-9.588825893402099E-2</v>
      </c>
      <c r="DG70" t="e">
        <v>#VALUE!</v>
      </c>
      <c r="DH70" t="s">
        <v>1309</v>
      </c>
      <c r="DI70">
        <v>-8.7171144485473639E-2</v>
      </c>
      <c r="DJ70" t="e">
        <v>#VALUE!</v>
      </c>
      <c r="DK70" t="s">
        <v>1309</v>
      </c>
      <c r="DL70">
        <v>-7.6274751424789414E-2</v>
      </c>
      <c r="DM70">
        <v>-19288300</v>
      </c>
      <c r="DN70">
        <v>-0.10896393060684204</v>
      </c>
      <c r="DO70">
        <v>390292280</v>
      </c>
      <c r="DP70">
        <v>807534280</v>
      </c>
      <c r="DQ70">
        <v>2388</v>
      </c>
      <c r="DR70">
        <v>-0.70210591468279204</v>
      </c>
      <c r="DS70">
        <v>-0.37987375302084264</v>
      </c>
      <c r="DT70" s="11">
        <v>-0.69</v>
      </c>
      <c r="DU70">
        <v>-1.6616666666666668</v>
      </c>
      <c r="DV70">
        <v>-2.3516666666666666</v>
      </c>
      <c r="DW70">
        <v>-2.1070000000000002</v>
      </c>
      <c r="DX70">
        <v>0.40720130394069654</v>
      </c>
      <c r="DY70">
        <v>-2.0200305395216547</v>
      </c>
      <c r="DZ70">
        <v>2467</v>
      </c>
      <c r="EA70">
        <v>-2.0103602183866407</v>
      </c>
      <c r="EB70">
        <v>2</v>
      </c>
      <c r="EC70">
        <v>8.7335271459340391E-2</v>
      </c>
      <c r="ED70">
        <v>0.46653132013977472</v>
      </c>
      <c r="EE70" s="12">
        <v>-5.08901</v>
      </c>
      <c r="EF70">
        <v>-5.10731</v>
      </c>
      <c r="EG70">
        <v>22.187201303940697</v>
      </c>
      <c r="EH70" t="s">
        <v>1993</v>
      </c>
      <c r="EI70">
        <v>0</v>
      </c>
      <c r="EJ70">
        <v>0</v>
      </c>
      <c r="EK70" s="14">
        <v>45470</v>
      </c>
      <c r="EL70" s="15">
        <v>-2.2999999999999998</v>
      </c>
      <c r="EM70" s="15">
        <v>-6.91</v>
      </c>
      <c r="EN70" s="15">
        <v>-1.69</v>
      </c>
      <c r="EO70" s="15">
        <v>3.09</v>
      </c>
      <c r="EP70" s="15">
        <v>-1.83</v>
      </c>
    </row>
    <row r="71" spans="1:146" ht="156" x14ac:dyDescent="0.25">
      <c r="A71" s="7" t="s">
        <v>1122</v>
      </c>
      <c r="B71" s="7" t="s">
        <v>1118</v>
      </c>
      <c r="C71" s="7" t="str">
        <f>"公司主营业务是为大型集团企业提供管理信息化方案及IT综合服务。公司的主要业务从客户维度来看，长期服务的战略客户有五家央企，包括石油行业的中石油、中石化、中海油和国家管网和建筑行业的中国建筑。"&amp;CHAR(10)&amp;Basic_Fundamental_Information_Constructure(F71)&amp;CHAR(10)&amp;Basic_Fundamental_Information_Concatenate("石油石化 7543.38万 46.45% 46.97% 47.53%
地产建筑 5191.23万 31.97% 39.63% 58.27%
金融行业 1463.91万 9.02% 13.41% 69.92%")</f>
        <v>公司主营业务是为大型集团企业提供管理信息化方案及IT综合服务。公司的主要业务从客户维度来看，长期服务的战略客户有五家央企，包括石油行业的中石油、中石化、中海油和国家管网和建筑行业的中国建筑。
市值31.573764亿, 利润327.08万; PE37.55; 平均PE40.06; 平均PEG22.87, PB2.6; ROIC17.475%; ROE11.1033%; 股利率.6475%; 毛利44.22%; 净利17.69%; 上一年度营收增-88.85%, 利润增-97.89%; 当季营收增-49%, 利润增110.3%; 过往5年营收增1.75%, 利润增19.54%
Income profile:
石油石化 7543.38万 46.45% 46.97% 47.53%
地产建筑 5191.23万 31.97% 39.63% 58.27%
金融行业 1463.91万 9.02% 13.41% 69.92%</v>
      </c>
      <c r="D71" t="s">
        <v>949</v>
      </c>
      <c r="E71" t="s">
        <v>950</v>
      </c>
      <c r="F71">
        <v>15.59</v>
      </c>
      <c r="G71">
        <v>2.0299999999999998</v>
      </c>
      <c r="H71" t="s">
        <v>3327</v>
      </c>
      <c r="I71">
        <v>3157376400</v>
      </c>
      <c r="J71">
        <v>37.549999999999997</v>
      </c>
      <c r="K71">
        <v>2.6</v>
      </c>
      <c r="L71" t="s">
        <v>1303</v>
      </c>
      <c r="M71" t="s">
        <v>373</v>
      </c>
      <c r="N71" t="s">
        <v>3328</v>
      </c>
      <c r="O71" t="s">
        <v>3329</v>
      </c>
      <c r="P71">
        <v>43.1</v>
      </c>
      <c r="Q71" t="s">
        <v>3329</v>
      </c>
      <c r="R71">
        <v>3270818</v>
      </c>
      <c r="S71" s="5">
        <v>1.175</v>
      </c>
      <c r="T71" t="s">
        <v>3330</v>
      </c>
      <c r="U71">
        <v>168828470</v>
      </c>
      <c r="V71">
        <v>202525750</v>
      </c>
      <c r="W71">
        <v>1.1200000000000001</v>
      </c>
      <c r="X71">
        <v>0.05</v>
      </c>
      <c r="Y71">
        <v>0.49</v>
      </c>
      <c r="Z71" t="s">
        <v>3331</v>
      </c>
      <c r="AA71" t="s">
        <v>3332</v>
      </c>
      <c r="AB71" t="s">
        <v>3333</v>
      </c>
      <c r="AC71" t="s">
        <v>3334</v>
      </c>
      <c r="AD71" t="s">
        <v>63</v>
      </c>
      <c r="AE71">
        <v>-960458</v>
      </c>
      <c r="AF71" t="s">
        <v>3335</v>
      </c>
      <c r="AG71">
        <v>2.68</v>
      </c>
      <c r="AH71" t="s">
        <v>3336</v>
      </c>
      <c r="AI71" t="s">
        <v>441</v>
      </c>
      <c r="AJ71" t="s">
        <v>3337</v>
      </c>
      <c r="AK71" t="s">
        <v>3338</v>
      </c>
      <c r="AL71" t="s">
        <v>3339</v>
      </c>
      <c r="AM71" t="s">
        <v>63</v>
      </c>
      <c r="AN71">
        <v>0</v>
      </c>
      <c r="AO71" t="s">
        <v>3340</v>
      </c>
      <c r="AP71" t="s">
        <v>63</v>
      </c>
      <c r="AQ71" t="s">
        <v>3341</v>
      </c>
      <c r="AR71" t="s">
        <v>63</v>
      </c>
      <c r="AS71" t="s">
        <v>455</v>
      </c>
      <c r="AT71" t="s">
        <v>63</v>
      </c>
      <c r="AU71" t="s">
        <v>1974</v>
      </c>
      <c r="AV71" t="s">
        <v>3342</v>
      </c>
      <c r="AW71" t="s">
        <v>3343</v>
      </c>
      <c r="AX71" t="s">
        <v>3344</v>
      </c>
      <c r="AY71" t="s">
        <v>1086</v>
      </c>
      <c r="AZ71" t="s">
        <v>450</v>
      </c>
      <c r="BA71" t="s">
        <v>219</v>
      </c>
      <c r="BB71" t="s">
        <v>65</v>
      </c>
      <c r="BC71" t="s">
        <v>245</v>
      </c>
      <c r="BD71" t="s">
        <v>220</v>
      </c>
      <c r="BE71" t="s">
        <v>952</v>
      </c>
      <c r="BF71" t="s">
        <v>951</v>
      </c>
      <c r="BG71" t="s">
        <v>1026</v>
      </c>
      <c r="BH71" t="s">
        <v>1788</v>
      </c>
      <c r="BI71" t="s">
        <v>463</v>
      </c>
      <c r="BJ71" t="s">
        <v>3344</v>
      </c>
      <c r="BK71" t="s">
        <v>3345</v>
      </c>
      <c r="BL71" t="s">
        <v>1887</v>
      </c>
      <c r="BM71" t="s">
        <v>245</v>
      </c>
      <c r="BN71" t="s">
        <v>63</v>
      </c>
      <c r="BO71">
        <v>14.68</v>
      </c>
      <c r="BP71">
        <v>20.27</v>
      </c>
      <c r="BQ71">
        <v>-2.77</v>
      </c>
      <c r="BR71">
        <v>16.170000000000002</v>
      </c>
      <c r="BS71">
        <v>19.91</v>
      </c>
      <c r="BT71" t="s">
        <v>3346</v>
      </c>
      <c r="BU71" t="s">
        <v>2052</v>
      </c>
      <c r="BV71">
        <v>38.43</v>
      </c>
      <c r="BW71">
        <v>47.81</v>
      </c>
      <c r="BX71">
        <v>46.42</v>
      </c>
      <c r="BY71">
        <v>7.51</v>
      </c>
      <c r="BZ71">
        <v>22.12</v>
      </c>
      <c r="CA71">
        <v>23.44</v>
      </c>
      <c r="CB71">
        <v>6.27</v>
      </c>
      <c r="CC71">
        <v>4.29</v>
      </c>
      <c r="CD71" t="s">
        <v>266</v>
      </c>
      <c r="CE71" t="s">
        <v>465</v>
      </c>
      <c r="CF71" s="9">
        <v>-0.48998223684210529</v>
      </c>
      <c r="CG71" s="10">
        <v>1.1030052371519719</v>
      </c>
      <c r="CH71" s="9">
        <v>-0.88845658302307129</v>
      </c>
      <c r="CI71" s="9">
        <v>0.19415807723999023</v>
      </c>
      <c r="CJ71" s="9">
        <v>0.37914693355560303</v>
      </c>
      <c r="CK71" s="9">
        <v>0.14673912525177002</v>
      </c>
      <c r="CL71" s="9">
        <v>0.25597268342971802</v>
      </c>
      <c r="CM71" s="10">
        <v>-0.97889804840087891</v>
      </c>
      <c r="CN71" s="10">
        <v>0.11510791629552841</v>
      </c>
      <c r="CO71" s="10">
        <v>0.66686844825744629</v>
      </c>
      <c r="CP71" s="10">
        <v>0.41874095797538757</v>
      </c>
      <c r="CQ71" s="10">
        <v>0.75538766384124756</v>
      </c>
      <c r="CR71">
        <v>40.057883528809505</v>
      </c>
      <c r="CS71">
        <v>22.87447199268896</v>
      </c>
      <c r="CT71">
        <v>0.64751122514432335</v>
      </c>
      <c r="CU71" s="9">
        <v>1.7512047290802003E-2</v>
      </c>
      <c r="CV71" s="10">
        <v>0.19544138759374619</v>
      </c>
      <c r="CW71">
        <v>0.06</v>
      </c>
      <c r="CX71">
        <v>685.21792667748468</v>
      </c>
      <c r="CY71">
        <v>3139696.6078101462</v>
      </c>
      <c r="CZ71">
        <v>1.7512047290802003E-2</v>
      </c>
      <c r="DA71">
        <v>238.21494626806606</v>
      </c>
      <c r="DB71">
        <v>9031240.2042944487</v>
      </c>
      <c r="DC71">
        <v>1.6636444926261901E-2</v>
      </c>
      <c r="DD71">
        <v>127.07692169955452</v>
      </c>
      <c r="DE71">
        <v>16929717.616912827</v>
      </c>
      <c r="DF71">
        <v>1.5410601615905763E-2</v>
      </c>
      <c r="DG71">
        <v>83.271105079694792</v>
      </c>
      <c r="DH71">
        <v>25835809.407609284</v>
      </c>
      <c r="DI71">
        <v>1.4009637832641603E-2</v>
      </c>
      <c r="DJ71">
        <v>51.517799634306741</v>
      </c>
      <c r="DK71">
        <v>41759865.818635531</v>
      </c>
      <c r="DL71">
        <v>1.2258433103561402E-2</v>
      </c>
      <c r="DM71">
        <v>3270800</v>
      </c>
      <c r="DN71">
        <v>1.7512047290802003E-2</v>
      </c>
      <c r="DO71">
        <v>2151376400</v>
      </c>
      <c r="DP71">
        <v>1048465970</v>
      </c>
      <c r="DQ71">
        <v>2446</v>
      </c>
      <c r="DR71">
        <v>-0.50749428413290731</v>
      </c>
      <c r="DS71">
        <v>0.90756384955822567</v>
      </c>
      <c r="DT71" s="11">
        <v>-0.39000000000000007</v>
      </c>
      <c r="DU71">
        <v>0.47</v>
      </c>
      <c r="DV71">
        <v>7.9999999999999905E-2</v>
      </c>
      <c r="DW71">
        <v>5.6842105263157894</v>
      </c>
      <c r="DX71">
        <v>0.73327354260089606</v>
      </c>
      <c r="DY71">
        <v>5.3375029502006139</v>
      </c>
      <c r="DZ71">
        <v>3236</v>
      </c>
      <c r="EA71">
        <v>5.1237730975882485</v>
      </c>
      <c r="EB71">
        <v>5</v>
      </c>
      <c r="EC71">
        <v>0.54314081048953045</v>
      </c>
      <c r="ED71">
        <v>1.1010945521742297</v>
      </c>
      <c r="EE71" s="12">
        <v>4.2600000000000006E-2</v>
      </c>
      <c r="EF71">
        <v>3.09E-2</v>
      </c>
      <c r="EG71">
        <v>24.493273542600896</v>
      </c>
      <c r="EH71" t="s">
        <v>1123</v>
      </c>
      <c r="EI71">
        <v>1</v>
      </c>
      <c r="EJ71">
        <v>0</v>
      </c>
      <c r="EK71" s="14">
        <v>45470</v>
      </c>
      <c r="EL71" s="15">
        <v>-1.1599999999999999</v>
      </c>
      <c r="EM71" s="15">
        <v>-5.98</v>
      </c>
      <c r="EN71" s="15">
        <v>1.38</v>
      </c>
      <c r="EO71" s="15">
        <v>4.91</v>
      </c>
      <c r="EP71" s="15">
        <v>-1.17</v>
      </c>
    </row>
    <row r="72" spans="1:146" ht="96" x14ac:dyDescent="0.25">
      <c r="A72" s="7"/>
      <c r="B72" s="7"/>
      <c r="C72" s="7" t="str">
        <f>""&amp;CHAR(10)&amp;Basic_Fundamental_Information_Constructure(F72)&amp;CHAR(10)&amp;Basic_Fundamental_Information_Concatenate("")</f>
        <v xml:space="preserve">
市值79.1亿, 利润-2289.85万; PE77.65; 平均PE213.7; 平均PEG4.25, PB2.44; ROIC7.3767%; ROE10.1733%; 股利率1.1158%; 毛利68.18%; 净利31.2467%; 上一年度营收增-87.67%, 利润增-118.77%; 当季营收增-65.43%, 利润增-200.24%; 过往5年营收增50.31%, 利润增90.46%
Income profile:
</v>
      </c>
      <c r="D72" t="s">
        <v>1346</v>
      </c>
      <c r="E72" t="s">
        <v>1347</v>
      </c>
      <c r="F72">
        <v>39.549999999999997</v>
      </c>
      <c r="G72">
        <v>1.49</v>
      </c>
      <c r="H72" t="s">
        <v>2012</v>
      </c>
      <c r="I72">
        <v>7910000000</v>
      </c>
      <c r="J72">
        <v>77.650000000000006</v>
      </c>
      <c r="K72">
        <v>2.44</v>
      </c>
      <c r="L72" t="s">
        <v>1303</v>
      </c>
      <c r="M72" t="s">
        <v>688</v>
      </c>
      <c r="N72" t="s">
        <v>3347</v>
      </c>
      <c r="O72" t="s">
        <v>3348</v>
      </c>
      <c r="P72">
        <v>100.65</v>
      </c>
      <c r="Q72" t="s">
        <v>3348</v>
      </c>
      <c r="R72">
        <v>-22898502</v>
      </c>
      <c r="S72" s="5">
        <v>-6.6790000000000003</v>
      </c>
      <c r="T72" t="s">
        <v>3349</v>
      </c>
      <c r="U72">
        <v>107337868</v>
      </c>
      <c r="V72">
        <v>200000000</v>
      </c>
      <c r="W72">
        <v>1.07</v>
      </c>
      <c r="X72">
        <v>0.01</v>
      </c>
      <c r="Y72">
        <v>-49.24</v>
      </c>
      <c r="Z72" t="s">
        <v>3350</v>
      </c>
      <c r="AA72" t="s">
        <v>3351</v>
      </c>
      <c r="AB72" t="s">
        <v>3352</v>
      </c>
      <c r="AC72" t="s">
        <v>3353</v>
      </c>
      <c r="AD72" t="s">
        <v>63</v>
      </c>
      <c r="AE72">
        <v>-20907129</v>
      </c>
      <c r="AF72" t="s">
        <v>3354</v>
      </c>
      <c r="AG72">
        <v>4201.24</v>
      </c>
      <c r="AH72" t="s">
        <v>3355</v>
      </c>
      <c r="AI72" t="s">
        <v>3356</v>
      </c>
      <c r="AJ72" t="s">
        <v>3357</v>
      </c>
      <c r="AK72" t="s">
        <v>63</v>
      </c>
      <c r="AL72" t="s">
        <v>3358</v>
      </c>
      <c r="AM72" t="s">
        <v>63</v>
      </c>
      <c r="AN72" t="s">
        <v>3359</v>
      </c>
      <c r="AO72" t="s">
        <v>3360</v>
      </c>
      <c r="AP72" t="s">
        <v>63</v>
      </c>
      <c r="AQ72" t="s">
        <v>3361</v>
      </c>
      <c r="AR72" t="s">
        <v>63</v>
      </c>
      <c r="AS72" t="s">
        <v>441</v>
      </c>
      <c r="AT72" t="s">
        <v>3362</v>
      </c>
      <c r="AU72" t="s">
        <v>3363</v>
      </c>
      <c r="AV72" t="s">
        <v>3364</v>
      </c>
      <c r="AW72" t="s">
        <v>3365</v>
      </c>
      <c r="AX72" t="s">
        <v>608</v>
      </c>
      <c r="AY72" t="s">
        <v>523</v>
      </c>
      <c r="AZ72" t="s">
        <v>471</v>
      </c>
      <c r="BA72" t="s">
        <v>1349</v>
      </c>
      <c r="BB72" t="s">
        <v>1350</v>
      </c>
      <c r="BC72" t="s">
        <v>183</v>
      </c>
      <c r="BD72" t="s">
        <v>1348</v>
      </c>
      <c r="BE72" t="s">
        <v>1351</v>
      </c>
      <c r="BF72" t="s">
        <v>1352</v>
      </c>
      <c r="BG72" t="s">
        <v>1353</v>
      </c>
      <c r="BH72" t="s">
        <v>274</v>
      </c>
      <c r="BI72" t="s">
        <v>212</v>
      </c>
      <c r="BJ72" t="s">
        <v>608</v>
      </c>
      <c r="BK72" t="s">
        <v>185</v>
      </c>
      <c r="BL72" t="s">
        <v>1888</v>
      </c>
      <c r="BM72" t="s">
        <v>183</v>
      </c>
      <c r="BN72">
        <v>-0.73</v>
      </c>
      <c r="BO72">
        <v>4.74</v>
      </c>
      <c r="BP72">
        <v>18.12</v>
      </c>
      <c r="BQ72">
        <v>1.6</v>
      </c>
      <c r="BR72">
        <v>9.2200000000000006</v>
      </c>
      <c r="BS72">
        <v>19.7</v>
      </c>
      <c r="BT72" t="s">
        <v>3366</v>
      </c>
      <c r="BU72" t="s">
        <v>2052</v>
      </c>
      <c r="BV72">
        <v>60.3</v>
      </c>
      <c r="BW72">
        <v>67.77</v>
      </c>
      <c r="BX72">
        <v>76.47</v>
      </c>
      <c r="BY72">
        <v>27.16</v>
      </c>
      <c r="BZ72">
        <v>34.409999999999997</v>
      </c>
      <c r="CA72">
        <v>32.17</v>
      </c>
      <c r="CB72">
        <v>-3.82</v>
      </c>
      <c r="CC72">
        <v>-18.8</v>
      </c>
      <c r="CD72" t="s">
        <v>3367</v>
      </c>
      <c r="CE72" t="s">
        <v>325</v>
      </c>
      <c r="CF72" s="9">
        <v>-0.6542944881889764</v>
      </c>
      <c r="CG72" s="10">
        <v>-2.0024253275606201</v>
      </c>
      <c r="CH72" s="9">
        <v>-0.87667244672775269</v>
      </c>
      <c r="CI72" s="9">
        <v>0.79797977209091187</v>
      </c>
      <c r="CJ72" s="9">
        <v>0.59677422046661377</v>
      </c>
      <c r="CK72" s="9">
        <v>0.87471181154251099</v>
      </c>
      <c r="CL72" s="9">
        <v>1.1224806308746338</v>
      </c>
      <c r="CM72" s="10">
        <v>-1.1876926422119141</v>
      </c>
      <c r="CN72" s="10">
        <v>0.91380953788757324</v>
      </c>
      <c r="CO72" s="10">
        <v>0.27815216779708862</v>
      </c>
      <c r="CP72" s="10">
        <v>1.5800402164459229</v>
      </c>
      <c r="CQ72" s="10">
        <v>2.9388678073883057</v>
      </c>
      <c r="CR72">
        <v>213.70301944445319</v>
      </c>
      <c r="CS72">
        <v>4.2481061793470616</v>
      </c>
      <c r="CT72">
        <v>1.1157640960809103</v>
      </c>
      <c r="CU72" s="9">
        <v>0.50305479764938354</v>
      </c>
      <c r="CV72" s="10">
        <v>0.90463541746139531</v>
      </c>
      <c r="CW72">
        <v>0.06</v>
      </c>
      <c r="CX72" t="e">
        <v>#VALUE!</v>
      </c>
      <c r="CY72" t="s">
        <v>1308</v>
      </c>
      <c r="CZ72">
        <v>0.50305479764938354</v>
      </c>
      <c r="DA72" t="e">
        <v>#VALUE!</v>
      </c>
      <c r="DB72" t="s">
        <v>1309</v>
      </c>
      <c r="DC72">
        <v>0.47790205776691436</v>
      </c>
      <c r="DD72" t="e">
        <v>#VALUE!</v>
      </c>
      <c r="DE72" t="s">
        <v>1309</v>
      </c>
      <c r="DF72">
        <v>0.44268822193145752</v>
      </c>
      <c r="DG72" t="e">
        <v>#VALUE!</v>
      </c>
      <c r="DH72" t="s">
        <v>1309</v>
      </c>
      <c r="DI72">
        <v>0.40244383811950685</v>
      </c>
      <c r="DJ72" t="e">
        <v>#VALUE!</v>
      </c>
      <c r="DK72" t="s">
        <v>1309</v>
      </c>
      <c r="DL72">
        <v>0.35213835835456847</v>
      </c>
      <c r="DM72">
        <v>-22898500</v>
      </c>
      <c r="DN72">
        <v>0.50305479764938354</v>
      </c>
      <c r="DO72">
        <v>4952000000</v>
      </c>
      <c r="DP72">
        <v>2889614800</v>
      </c>
      <c r="DQ72">
        <v>2537</v>
      </c>
      <c r="DR72">
        <v>-1.1573492858383601</v>
      </c>
      <c r="DS72">
        <v>-2.9070607450220152</v>
      </c>
      <c r="DT72" s="11">
        <v>9.3333333333333199E-2</v>
      </c>
      <c r="DU72">
        <v>-0.49</v>
      </c>
      <c r="DV72">
        <v>-0.39666666666666678</v>
      </c>
      <c r="DW72">
        <v>-8.2031914893617017</v>
      </c>
      <c r="DX72">
        <v>0.29557883211678743</v>
      </c>
      <c r="DY72">
        <v>-8.0214527201428787</v>
      </c>
      <c r="DZ72">
        <v>2853</v>
      </c>
      <c r="EA72">
        <v>-8.0094753012451037</v>
      </c>
      <c r="EB72">
        <v>8</v>
      </c>
      <c r="EC72">
        <v>7.2321499999999997E-2</v>
      </c>
      <c r="ED72">
        <v>0.68500000000000005</v>
      </c>
      <c r="EE72" s="12">
        <v>3.6200000000000003E-2</v>
      </c>
      <c r="EF72">
        <v>2.3400000000000004E-2</v>
      </c>
      <c r="EG72">
        <v>19.105578832116787</v>
      </c>
      <c r="EH72" t="s">
        <v>1123</v>
      </c>
      <c r="EI72">
        <v>0</v>
      </c>
      <c r="EJ72">
        <v>0</v>
      </c>
      <c r="EK72" s="14">
        <v>45470</v>
      </c>
      <c r="EL72" s="15">
        <v>0.48</v>
      </c>
      <c r="EM72" s="15">
        <v>-4.3600000000000003</v>
      </c>
      <c r="EN72" s="15">
        <v>-0.95</v>
      </c>
      <c r="EO72" s="15">
        <v>2.68</v>
      </c>
      <c r="EP72" s="15">
        <v>-1.28</v>
      </c>
    </row>
    <row r="73" spans="1:146" ht="96" x14ac:dyDescent="0.25">
      <c r="A73" s="7"/>
      <c r="B73" s="7"/>
      <c r="C73" s="7" t="str">
        <f>""&amp;CHAR(10)&amp;Basic_Fundamental_Information_Constructure(F73)&amp;CHAR(10)&amp;Basic_Fundamental_Information_Concatenate("")</f>
        <v xml:space="preserve">
市值89.2296亿, 利润-1361.42万; PE32.59; 平均PE82.83; 平均PEG8.02, PB4.92; ROIC21.31%; ROE22.3467%; 股利率3.9216%; 毛利56.5133%; 净利25.02%; 上一年度营收增-85.54%, 利润增-105.28%; 当季营收增-71.37%, 利润增-112.84%; 过往5年营收增10.33%, 利润增20.69%
Income profile:
</v>
      </c>
      <c r="D73" t="s">
        <v>1225</v>
      </c>
      <c r="E73" t="s">
        <v>1226</v>
      </c>
      <c r="F73">
        <v>25.5</v>
      </c>
      <c r="G73">
        <v>-0.97</v>
      </c>
      <c r="H73" t="s">
        <v>3368</v>
      </c>
      <c r="I73">
        <v>8922960000</v>
      </c>
      <c r="J73">
        <v>32.590000000000003</v>
      </c>
      <c r="K73">
        <v>4.92</v>
      </c>
      <c r="L73" t="s">
        <v>1303</v>
      </c>
      <c r="M73" t="s">
        <v>1838</v>
      </c>
      <c r="N73" t="s">
        <v>1069</v>
      </c>
      <c r="O73" t="s">
        <v>492</v>
      </c>
      <c r="P73">
        <v>19.36</v>
      </c>
      <c r="Q73" t="s">
        <v>492</v>
      </c>
      <c r="R73">
        <v>-13614215</v>
      </c>
      <c r="S73" s="5">
        <v>-2.1150000000000002</v>
      </c>
      <c r="T73" t="s">
        <v>3369</v>
      </c>
      <c r="U73">
        <v>205865790</v>
      </c>
      <c r="V73">
        <v>349920000</v>
      </c>
      <c r="W73">
        <v>1.25</v>
      </c>
      <c r="X73">
        <v>0.06</v>
      </c>
      <c r="Y73">
        <v>-12.07</v>
      </c>
      <c r="Z73" t="s">
        <v>256</v>
      </c>
      <c r="AA73" t="s">
        <v>3370</v>
      </c>
      <c r="AB73" t="s">
        <v>3371</v>
      </c>
      <c r="AC73" t="s">
        <v>3372</v>
      </c>
      <c r="AD73" t="s">
        <v>63</v>
      </c>
      <c r="AE73">
        <v>-10168062</v>
      </c>
      <c r="AF73" t="s">
        <v>3373</v>
      </c>
      <c r="AG73">
        <v>634.69000000000005</v>
      </c>
      <c r="AH73" t="s">
        <v>3374</v>
      </c>
      <c r="AI73" t="s">
        <v>1516</v>
      </c>
      <c r="AJ73" t="s">
        <v>3375</v>
      </c>
      <c r="AK73" t="s">
        <v>63</v>
      </c>
      <c r="AL73" t="s">
        <v>3376</v>
      </c>
      <c r="AM73" t="s">
        <v>63</v>
      </c>
      <c r="AN73">
        <v>0</v>
      </c>
      <c r="AO73" t="s">
        <v>63</v>
      </c>
      <c r="AP73" t="s">
        <v>63</v>
      </c>
      <c r="AQ73" t="s">
        <v>740</v>
      </c>
      <c r="AR73" t="s">
        <v>63</v>
      </c>
      <c r="AS73" t="s">
        <v>1815</v>
      </c>
      <c r="AT73" t="s">
        <v>63</v>
      </c>
      <c r="AU73" t="s">
        <v>186</v>
      </c>
      <c r="AV73" t="s">
        <v>3377</v>
      </c>
      <c r="AW73" t="s">
        <v>3378</v>
      </c>
      <c r="AX73" t="s">
        <v>847</v>
      </c>
      <c r="AY73" t="s">
        <v>1227</v>
      </c>
      <c r="AZ73" t="s">
        <v>962</v>
      </c>
      <c r="BA73" t="s">
        <v>347</v>
      </c>
      <c r="BB73" t="s">
        <v>838</v>
      </c>
      <c r="BC73" t="s">
        <v>341</v>
      </c>
      <c r="BD73" t="s">
        <v>438</v>
      </c>
      <c r="BE73" t="s">
        <v>321</v>
      </c>
      <c r="BF73" t="s">
        <v>1228</v>
      </c>
      <c r="BG73" t="s">
        <v>1229</v>
      </c>
      <c r="BH73" t="s">
        <v>3379</v>
      </c>
      <c r="BI73" t="s">
        <v>596</v>
      </c>
      <c r="BJ73" t="s">
        <v>847</v>
      </c>
      <c r="BK73" t="s">
        <v>544</v>
      </c>
      <c r="BL73" t="s">
        <v>352</v>
      </c>
      <c r="BM73" t="s">
        <v>341</v>
      </c>
      <c r="BN73">
        <v>10.029999999999999</v>
      </c>
      <c r="BO73">
        <v>23.16</v>
      </c>
      <c r="BP73">
        <v>30.74</v>
      </c>
      <c r="BQ73">
        <v>11.79</v>
      </c>
      <c r="BR73">
        <v>22.54</v>
      </c>
      <c r="BS73">
        <v>32.71</v>
      </c>
      <c r="BT73" t="s">
        <v>3380</v>
      </c>
      <c r="BU73" t="s">
        <v>2052</v>
      </c>
      <c r="BV73">
        <v>56.4</v>
      </c>
      <c r="BW73">
        <v>58.44</v>
      </c>
      <c r="BX73">
        <v>54.7</v>
      </c>
      <c r="BY73">
        <v>25.18</v>
      </c>
      <c r="BZ73">
        <v>28.64</v>
      </c>
      <c r="CA73">
        <v>21.24</v>
      </c>
      <c r="CB73">
        <v>-9.77</v>
      </c>
      <c r="CC73">
        <v>-14.17</v>
      </c>
      <c r="CD73" t="s">
        <v>3381</v>
      </c>
      <c r="CE73" t="s">
        <v>433</v>
      </c>
      <c r="CF73" s="9">
        <v>-0.71366594360086777</v>
      </c>
      <c r="CG73" s="10">
        <v>-1.1284359905660377</v>
      </c>
      <c r="CH73" s="9">
        <v>-0.85542166233062744</v>
      </c>
      <c r="CI73" s="9">
        <v>0.23712737858295441</v>
      </c>
      <c r="CJ73" s="9">
        <v>0.25724020600318909</v>
      </c>
      <c r="CK73" s="9">
        <v>0.49363866448402405</v>
      </c>
      <c r="CL73" s="9">
        <v>0.38380283117294312</v>
      </c>
      <c r="CM73" s="10">
        <v>-1.0527682304382324</v>
      </c>
      <c r="CN73" s="10">
        <v>0.6538461446762085</v>
      </c>
      <c r="CO73" s="10">
        <v>0.24799999594688416</v>
      </c>
      <c r="CP73" s="10">
        <v>0.75669372081756592</v>
      </c>
      <c r="CQ73" s="10">
        <v>0.42882901430130005</v>
      </c>
      <c r="CR73">
        <v>82.831847563219952</v>
      </c>
      <c r="CS73">
        <v>8.0203200823589977</v>
      </c>
      <c r="CT73">
        <v>3.9215686274509802</v>
      </c>
      <c r="CU73" s="9">
        <v>0.10327748358249664</v>
      </c>
      <c r="CV73" s="10">
        <v>0.20692012906074525</v>
      </c>
      <c r="CW73">
        <v>0.06</v>
      </c>
      <c r="CX73" t="e">
        <v>#VALUE!</v>
      </c>
      <c r="CY73" t="s">
        <v>1308</v>
      </c>
      <c r="CZ73">
        <v>0.10327748358249664</v>
      </c>
      <c r="DA73" t="e">
        <v>#VALUE!</v>
      </c>
      <c r="DB73" t="s">
        <v>1309</v>
      </c>
      <c r="DC73">
        <v>9.8113609403371799E-2</v>
      </c>
      <c r="DD73" t="e">
        <v>#VALUE!</v>
      </c>
      <c r="DE73" t="s">
        <v>1309</v>
      </c>
      <c r="DF73">
        <v>9.0884185552597044E-2</v>
      </c>
      <c r="DG73" t="e">
        <v>#VALUE!</v>
      </c>
      <c r="DH73" t="s">
        <v>1309</v>
      </c>
      <c r="DI73">
        <v>8.262198686599731E-2</v>
      </c>
      <c r="DJ73" t="e">
        <v>#VALUE!</v>
      </c>
      <c r="DK73" t="s">
        <v>1309</v>
      </c>
      <c r="DL73">
        <v>7.2294238507747646E-2</v>
      </c>
      <c r="DM73">
        <v>-13614200</v>
      </c>
      <c r="DN73">
        <v>0.10327748358249664</v>
      </c>
      <c r="DO73">
        <v>7648960000</v>
      </c>
      <c r="DP73">
        <v>1751025100</v>
      </c>
      <c r="DQ73">
        <v>2584</v>
      </c>
      <c r="DR73">
        <v>-0.81694342718336443</v>
      </c>
      <c r="DS73">
        <v>-1.3353561196267829</v>
      </c>
      <c r="DT73" s="11">
        <v>-0.27333333333333343</v>
      </c>
      <c r="DU73">
        <v>-0.88166666666666671</v>
      </c>
      <c r="DV73">
        <v>-1.1550000000000002</v>
      </c>
      <c r="DW73">
        <v>-9.6894848270995055</v>
      </c>
      <c r="DX73">
        <v>0.47595407567567583</v>
      </c>
      <c r="DY73">
        <v>-9.2523197825936023</v>
      </c>
      <c r="DZ73">
        <v>3731</v>
      </c>
      <c r="EA73">
        <v>-9.0680917769464919</v>
      </c>
      <c r="EB73">
        <v>9</v>
      </c>
      <c r="EC73">
        <v>0.19347708047553727</v>
      </c>
      <c r="ED73">
        <v>0.52869227251943296</v>
      </c>
      <c r="EE73" s="12">
        <v>-4.1182999999999996</v>
      </c>
      <c r="EF73">
        <v>-4.0797999999999996</v>
      </c>
      <c r="EG73">
        <v>11.365954075675676</v>
      </c>
      <c r="EH73" t="s">
        <v>1797</v>
      </c>
      <c r="EI73">
        <v>0</v>
      </c>
      <c r="EJ73">
        <v>0</v>
      </c>
      <c r="EK73" s="14">
        <v>45470</v>
      </c>
      <c r="EL73" s="15">
        <v>-3.9</v>
      </c>
      <c r="EM73" s="15">
        <v>-5.1100000000000003</v>
      </c>
      <c r="EN73" s="15">
        <v>0.55000000000000004</v>
      </c>
      <c r="EO73" s="15">
        <v>20</v>
      </c>
      <c r="EP73" s="15">
        <v>-3.85</v>
      </c>
    </row>
    <row r="74" spans="1:146" ht="96" x14ac:dyDescent="0.25">
      <c r="A74" s="7"/>
      <c r="B74" s="7"/>
      <c r="C74" s="7" t="str">
        <f>""&amp;CHAR(10)&amp;Basic_Fundamental_Information_Constructure(F74)&amp;CHAR(10)&amp;Basic_Fundamental_Information_Concatenate("")</f>
        <v xml:space="preserve">
市值22.53979亿, 利润-3028.83万; PE258.1; 平均PE91.53; 平均PEG11.07, PB2.74; ROIC8.97%; ROE1.0867%; 股利率.3432%; 毛利49.5033%; 净利.9667%; 上一年度营收增-92.96%, 利润增33.77%; 当季营收增-66.55%, 利润增47.57%; 过往5年营收增-8.27%, 利润增-24.77%
Income profile:
</v>
      </c>
      <c r="D74" t="s">
        <v>1230</v>
      </c>
      <c r="E74" t="s">
        <v>1231</v>
      </c>
      <c r="F74">
        <v>29.14</v>
      </c>
      <c r="G74">
        <v>6.08</v>
      </c>
      <c r="H74" t="s">
        <v>3382</v>
      </c>
      <c r="I74">
        <v>2253979000</v>
      </c>
      <c r="J74">
        <v>258.10000000000002</v>
      </c>
      <c r="K74">
        <v>2.74</v>
      </c>
      <c r="L74" t="s">
        <v>1303</v>
      </c>
      <c r="M74" t="s">
        <v>196</v>
      </c>
      <c r="N74" t="s">
        <v>3383</v>
      </c>
      <c r="O74" t="s">
        <v>3384</v>
      </c>
      <c r="P74">
        <v>9.01</v>
      </c>
      <c r="Q74" t="s">
        <v>3384</v>
      </c>
      <c r="R74">
        <v>-30288280</v>
      </c>
      <c r="S74" s="5">
        <v>3.73E-2</v>
      </c>
      <c r="T74" t="s">
        <v>3385</v>
      </c>
      <c r="U74">
        <v>31214763</v>
      </c>
      <c r="V74">
        <v>77350000</v>
      </c>
      <c r="W74">
        <v>1.18</v>
      </c>
      <c r="X74">
        <v>0.02</v>
      </c>
      <c r="Y74">
        <v>-151.63</v>
      </c>
      <c r="Z74" t="s">
        <v>3386</v>
      </c>
      <c r="AA74" t="s">
        <v>3387</v>
      </c>
      <c r="AB74" t="s">
        <v>3388</v>
      </c>
      <c r="AC74" t="s">
        <v>3389</v>
      </c>
      <c r="AD74" t="s">
        <v>63</v>
      </c>
      <c r="AE74">
        <v>-583239</v>
      </c>
      <c r="AF74" t="s">
        <v>176</v>
      </c>
      <c r="AG74" t="s">
        <v>63</v>
      </c>
      <c r="AH74" t="s">
        <v>3390</v>
      </c>
      <c r="AI74" t="s">
        <v>699</v>
      </c>
      <c r="AJ74" t="s">
        <v>3391</v>
      </c>
      <c r="AK74" t="s">
        <v>3392</v>
      </c>
      <c r="AL74" t="s">
        <v>3393</v>
      </c>
      <c r="AM74" t="s">
        <v>63</v>
      </c>
      <c r="AN74" t="s">
        <v>3394</v>
      </c>
      <c r="AO74" t="s">
        <v>63</v>
      </c>
      <c r="AP74" t="s">
        <v>63</v>
      </c>
      <c r="AQ74" t="s">
        <v>3395</v>
      </c>
      <c r="AR74" t="s">
        <v>63</v>
      </c>
      <c r="AS74" t="s">
        <v>231</v>
      </c>
      <c r="AT74" t="s">
        <v>63</v>
      </c>
      <c r="AU74" t="s">
        <v>3396</v>
      </c>
      <c r="AV74" t="s">
        <v>3397</v>
      </c>
      <c r="AW74" t="s">
        <v>3398</v>
      </c>
      <c r="AX74" t="s">
        <v>688</v>
      </c>
      <c r="AY74" t="s">
        <v>222</v>
      </c>
      <c r="AZ74" t="s">
        <v>214</v>
      </c>
      <c r="BA74" t="s">
        <v>393</v>
      </c>
      <c r="BB74" t="s">
        <v>459</v>
      </c>
      <c r="BC74" t="s">
        <v>3399</v>
      </c>
      <c r="BD74" t="s">
        <v>1232</v>
      </c>
      <c r="BE74" t="s">
        <v>1233</v>
      </c>
      <c r="BF74" t="s">
        <v>1234</v>
      </c>
      <c r="BG74" t="s">
        <v>1235</v>
      </c>
      <c r="BH74" t="s">
        <v>299</v>
      </c>
      <c r="BI74" t="s">
        <v>1889</v>
      </c>
      <c r="BJ74" t="s">
        <v>688</v>
      </c>
      <c r="BK74" t="s">
        <v>3400</v>
      </c>
      <c r="BL74" t="s">
        <v>1890</v>
      </c>
      <c r="BM74" t="s">
        <v>3399</v>
      </c>
      <c r="BN74" t="s">
        <v>63</v>
      </c>
      <c r="BO74" t="s">
        <v>63</v>
      </c>
      <c r="BP74">
        <v>8.9700000000000006</v>
      </c>
      <c r="BQ74">
        <v>-7.3</v>
      </c>
      <c r="BR74">
        <v>-5.22</v>
      </c>
      <c r="BS74">
        <v>15.78</v>
      </c>
      <c r="BT74" t="s">
        <v>1446</v>
      </c>
      <c r="BU74" t="s">
        <v>2052</v>
      </c>
      <c r="BV74">
        <v>53.81</v>
      </c>
      <c r="BW74">
        <v>43.5</v>
      </c>
      <c r="BX74">
        <v>51.2</v>
      </c>
      <c r="BY74">
        <v>1.85</v>
      </c>
      <c r="BZ74">
        <v>-16.12</v>
      </c>
      <c r="CA74">
        <v>17.170000000000002</v>
      </c>
      <c r="CB74">
        <v>9.26</v>
      </c>
      <c r="CC74">
        <v>-0.38</v>
      </c>
      <c r="CD74" t="s">
        <v>3401</v>
      </c>
      <c r="CE74" t="s">
        <v>3402</v>
      </c>
      <c r="CF74" s="9">
        <v>-0.66546452216405805</v>
      </c>
      <c r="CG74" s="10">
        <v>0.47565473305172773</v>
      </c>
      <c r="CH74" s="9">
        <v>-0.92959201335906982</v>
      </c>
      <c r="CI74" s="9">
        <v>-0.10000000149011612</v>
      </c>
      <c r="CJ74" s="9">
        <v>0.16788321733474731</v>
      </c>
      <c r="CK74" s="9">
        <v>4.1825093328952789E-2</v>
      </c>
      <c r="CL74" s="9">
        <v>0.40641710162162781</v>
      </c>
      <c r="CM74" s="10">
        <v>0.33767256140708923</v>
      </c>
      <c r="CN74" s="10">
        <v>-1.8285789489746094</v>
      </c>
      <c r="CO74" s="10">
        <v>5.0344843417406082E-2</v>
      </c>
      <c r="CP74" s="10">
        <v>-0.23116792738437653</v>
      </c>
      <c r="CQ74" s="10">
        <v>0.43317258358001709</v>
      </c>
      <c r="CR74">
        <v>91.531770429358659</v>
      </c>
      <c r="CS74">
        <v>11.068822712860102</v>
      </c>
      <c r="CT74">
        <v>0.34317089910775567</v>
      </c>
      <c r="CU74" s="9">
        <v>-8.2693320512771604E-2</v>
      </c>
      <c r="CV74" s="10">
        <v>-0.2477113775908947</v>
      </c>
      <c r="CW74">
        <v>0.06</v>
      </c>
      <c r="CX74" t="e">
        <v>#VALUE!</v>
      </c>
      <c r="CY74" t="s">
        <v>1308</v>
      </c>
      <c r="CZ74">
        <v>-8.2693320512771604E-2</v>
      </c>
      <c r="DA74" t="e">
        <v>#VALUE!</v>
      </c>
      <c r="DB74" t="s">
        <v>1309</v>
      </c>
      <c r="DC74">
        <v>-7.855865448713302E-2</v>
      </c>
      <c r="DD74" t="e">
        <v>#VALUE!</v>
      </c>
      <c r="DE74" t="s">
        <v>1309</v>
      </c>
      <c r="DF74">
        <v>-7.2770122051239006E-2</v>
      </c>
      <c r="DG74" t="e">
        <v>#VALUE!</v>
      </c>
      <c r="DH74" t="s">
        <v>1309</v>
      </c>
      <c r="DI74">
        <v>-6.6154656410217283E-2</v>
      </c>
      <c r="DJ74" t="e">
        <v>#VALUE!</v>
      </c>
      <c r="DK74" t="s">
        <v>1309</v>
      </c>
      <c r="DL74">
        <v>-5.7885324358940116E-2</v>
      </c>
      <c r="DM74">
        <v>-30288300</v>
      </c>
      <c r="DN74">
        <v>-8.2693320512771604E-2</v>
      </c>
      <c r="DO74">
        <v>1574979000</v>
      </c>
      <c r="DP74">
        <v>655326460</v>
      </c>
      <c r="DQ74">
        <v>2589</v>
      </c>
      <c r="DR74">
        <v>-0.58277120165128649</v>
      </c>
      <c r="DS74">
        <v>0.72336611064262246</v>
      </c>
      <c r="DT74" s="11">
        <v>-0.54</v>
      </c>
      <c r="DU74">
        <v>-1.6616666666666668</v>
      </c>
      <c r="DV74">
        <v>-2.2016666666666671</v>
      </c>
      <c r="DW74">
        <v>5.0410367170626351</v>
      </c>
      <c r="DX74">
        <v>0.75507515352834242</v>
      </c>
      <c r="DY74">
        <v>5.0125192827581824</v>
      </c>
      <c r="DZ74">
        <v>1526</v>
      </c>
      <c r="EA74">
        <v>5.0087806476331362</v>
      </c>
      <c r="EB74">
        <v>5</v>
      </c>
      <c r="EC74">
        <v>0.26691531997414353</v>
      </c>
      <c r="ED74">
        <v>0.87491661279896571</v>
      </c>
      <c r="EE74" s="12">
        <v>-1.089</v>
      </c>
      <c r="EF74">
        <v>-1.0775999999999999</v>
      </c>
      <c r="EG74">
        <v>45.305075153528342</v>
      </c>
      <c r="EH74" t="s">
        <v>1310</v>
      </c>
      <c r="EI74">
        <v>1</v>
      </c>
      <c r="EJ74">
        <v>0</v>
      </c>
      <c r="EK74" s="14">
        <v>45470</v>
      </c>
      <c r="EL74" s="15">
        <v>-0.4</v>
      </c>
      <c r="EM74" s="15">
        <v>-6.19</v>
      </c>
      <c r="EN74" s="15">
        <v>0.93</v>
      </c>
      <c r="EO74" s="15">
        <v>3.19</v>
      </c>
      <c r="EP74" s="15">
        <v>-1.1399999999999999</v>
      </c>
    </row>
    <row r="75" spans="1:146" ht="108" x14ac:dyDescent="0.25">
      <c r="A75" s="7"/>
      <c r="B75" s="7"/>
      <c r="C75" s="7" t="str">
        <f>""&amp;CHAR(10)&amp;Basic_Fundamental_Information_Constructure(F75)&amp;CHAR(10)&amp;Basic_Fundamental_Information_Concatenate("")</f>
        <v xml:space="preserve">
市值38.759131亿, 利润1234.06万; PE44.97; 平均PE93.08; 平均PEG16.32, PB3.53; ROIC13.4%; ROE13.8033%; 股利率1.1628%; 毛利65.85%; 净利18.73%; 上一年度营收增-71.11%, 利润增-81.6%; 当季营收增-44.97%, 利润增-62.77%; 过往5年营收增5.7%, 利润增13.33%
Income profile:
</v>
      </c>
      <c r="D75" t="s">
        <v>1236</v>
      </c>
      <c r="E75" t="s">
        <v>1354</v>
      </c>
      <c r="F75">
        <v>38.700000000000003</v>
      </c>
      <c r="G75">
        <v>-1.78</v>
      </c>
      <c r="H75" t="s">
        <v>3403</v>
      </c>
      <c r="I75">
        <v>3875913100</v>
      </c>
      <c r="J75">
        <v>44.97</v>
      </c>
      <c r="K75">
        <v>3.53</v>
      </c>
      <c r="L75" t="s">
        <v>1303</v>
      </c>
      <c r="M75" t="s">
        <v>361</v>
      </c>
      <c r="N75" t="s">
        <v>1577</v>
      </c>
      <c r="O75" t="s">
        <v>454</v>
      </c>
      <c r="P75">
        <v>25.75</v>
      </c>
      <c r="Q75" t="s">
        <v>454</v>
      </c>
      <c r="R75">
        <v>12340592</v>
      </c>
      <c r="S75" s="5">
        <v>0.18709999999999999</v>
      </c>
      <c r="T75" t="s">
        <v>3404</v>
      </c>
      <c r="U75">
        <v>61428897</v>
      </c>
      <c r="V75">
        <v>100152794</v>
      </c>
      <c r="W75">
        <v>1.29</v>
      </c>
      <c r="X75">
        <v>7.0000000000000007E-2</v>
      </c>
      <c r="Y75">
        <v>11.63</v>
      </c>
      <c r="Z75" t="s">
        <v>3405</v>
      </c>
      <c r="AA75" t="s">
        <v>3406</v>
      </c>
      <c r="AB75" t="s">
        <v>3407</v>
      </c>
      <c r="AC75" t="s">
        <v>3408</v>
      </c>
      <c r="AD75" t="s">
        <v>63</v>
      </c>
      <c r="AE75">
        <v>-2004306</v>
      </c>
      <c r="AF75" t="s">
        <v>3409</v>
      </c>
      <c r="AG75">
        <v>1.78</v>
      </c>
      <c r="AH75" t="s">
        <v>3410</v>
      </c>
      <c r="AI75" t="s">
        <v>239</v>
      </c>
      <c r="AJ75" t="s">
        <v>3411</v>
      </c>
      <c r="AK75" t="s">
        <v>3412</v>
      </c>
      <c r="AL75" t="s">
        <v>3413</v>
      </c>
      <c r="AM75" t="s">
        <v>63</v>
      </c>
      <c r="AN75" t="s">
        <v>3414</v>
      </c>
      <c r="AO75" t="s">
        <v>63</v>
      </c>
      <c r="AP75" t="s">
        <v>3415</v>
      </c>
      <c r="AQ75" t="s">
        <v>3416</v>
      </c>
      <c r="AR75" t="s">
        <v>63</v>
      </c>
      <c r="AS75" t="s">
        <v>333</v>
      </c>
      <c r="AT75" t="s">
        <v>3417</v>
      </c>
      <c r="AU75" t="s">
        <v>3418</v>
      </c>
      <c r="AV75" t="s">
        <v>3419</v>
      </c>
      <c r="AW75" t="s">
        <v>3420</v>
      </c>
      <c r="AX75" t="s">
        <v>626</v>
      </c>
      <c r="AY75" t="s">
        <v>544</v>
      </c>
      <c r="AZ75" t="s">
        <v>217</v>
      </c>
      <c r="BA75" t="s">
        <v>280</v>
      </c>
      <c r="BB75" t="s">
        <v>184</v>
      </c>
      <c r="BC75" t="s">
        <v>1560</v>
      </c>
      <c r="BD75" t="s">
        <v>1237</v>
      </c>
      <c r="BE75" t="s">
        <v>1238</v>
      </c>
      <c r="BF75" t="s">
        <v>1239</v>
      </c>
      <c r="BG75" t="s">
        <v>1240</v>
      </c>
      <c r="BH75" t="s">
        <v>312</v>
      </c>
      <c r="BI75" t="s">
        <v>704</v>
      </c>
      <c r="BJ75" t="s">
        <v>626</v>
      </c>
      <c r="BK75" t="s">
        <v>3421</v>
      </c>
      <c r="BL75" t="s">
        <v>1891</v>
      </c>
      <c r="BM75" t="s">
        <v>1560</v>
      </c>
      <c r="BN75">
        <v>4.25</v>
      </c>
      <c r="BO75">
        <v>8.9600000000000009</v>
      </c>
      <c r="BP75">
        <v>26.99</v>
      </c>
      <c r="BQ75">
        <v>5.08</v>
      </c>
      <c r="BR75">
        <v>9.0299999999999994</v>
      </c>
      <c r="BS75">
        <v>27.3</v>
      </c>
      <c r="BT75" t="s">
        <v>3422</v>
      </c>
      <c r="BU75" t="s">
        <v>2052</v>
      </c>
      <c r="BV75">
        <v>67.55</v>
      </c>
      <c r="BW75">
        <v>66.61</v>
      </c>
      <c r="BX75">
        <v>63.39</v>
      </c>
      <c r="BY75">
        <v>17.95</v>
      </c>
      <c r="BZ75">
        <v>18.53</v>
      </c>
      <c r="CA75">
        <v>19.71</v>
      </c>
      <c r="CB75">
        <v>-11.16</v>
      </c>
      <c r="CC75">
        <v>-8.9600000000000009</v>
      </c>
      <c r="CD75" t="s">
        <v>3423</v>
      </c>
      <c r="CE75" t="s">
        <v>471</v>
      </c>
      <c r="CF75" s="9">
        <v>-0.44973544973544971</v>
      </c>
      <c r="CG75" s="10">
        <v>-0.62770670487970437</v>
      </c>
      <c r="CH75" s="9">
        <v>-0.71111112833023071</v>
      </c>
      <c r="CI75" s="9">
        <v>0.20000000298023224</v>
      </c>
      <c r="CJ75" s="9">
        <v>0.20967741310596466</v>
      </c>
      <c r="CK75" s="9">
        <v>0.46745562553405762</v>
      </c>
      <c r="CL75" s="9">
        <v>0.1192052960395813</v>
      </c>
      <c r="CM75" s="10">
        <v>-0.81603735685348511</v>
      </c>
      <c r="CN75" s="10">
        <v>0.13360698521137238</v>
      </c>
      <c r="CO75" s="10">
        <v>9.1562755405902863E-2</v>
      </c>
      <c r="CP75" s="10">
        <v>0.48799982666969299</v>
      </c>
      <c r="CQ75" s="10">
        <v>0.76925241947174072</v>
      </c>
      <c r="CR75">
        <v>93.08316312133384</v>
      </c>
      <c r="CS75">
        <v>16.317370867266746</v>
      </c>
      <c r="CT75">
        <v>1.1627906976744184</v>
      </c>
      <c r="CU75" s="9">
        <v>5.7045441865921018E-2</v>
      </c>
      <c r="CV75" s="10">
        <v>0.13327692598104476</v>
      </c>
      <c r="CW75">
        <v>0.06</v>
      </c>
      <c r="CX75">
        <v>250.35448767280519</v>
      </c>
      <c r="CY75">
        <v>12306202.811217532</v>
      </c>
      <c r="CZ75">
        <v>5.7045441865921018E-2</v>
      </c>
      <c r="DA75">
        <v>84.137360714190351</v>
      </c>
      <c r="DB75">
        <v>36617658.004102126</v>
      </c>
      <c r="DC75">
        <v>5.4193169772624963E-2</v>
      </c>
      <c r="DD75">
        <v>42.97894786955905</v>
      </c>
      <c r="DE75">
        <v>71684237.34686479</v>
      </c>
      <c r="DF75">
        <v>5.0199988842010497E-2</v>
      </c>
      <c r="DG75">
        <v>26.890465322669968</v>
      </c>
      <c r="DH75">
        <v>114572695.67598894</v>
      </c>
      <c r="DI75">
        <v>4.5636353492736814E-2</v>
      </c>
      <c r="DJ75">
        <v>15.16488563767712</v>
      </c>
      <c r="DK75">
        <v>203160984.7650601</v>
      </c>
      <c r="DL75">
        <v>3.9931809306144712E-2</v>
      </c>
      <c r="DM75">
        <v>12340600</v>
      </c>
      <c r="DN75">
        <v>5.7045441865921018E-2</v>
      </c>
      <c r="DO75">
        <v>3080913100</v>
      </c>
      <c r="DP75">
        <v>838203740</v>
      </c>
      <c r="DQ75">
        <v>2592</v>
      </c>
      <c r="DR75">
        <v>-0.50678089160137074</v>
      </c>
      <c r="DS75">
        <v>-0.76098363086074916</v>
      </c>
      <c r="DT75" s="11">
        <v>-0.37333333333333335</v>
      </c>
      <c r="DU75">
        <v>-0.45666666666666672</v>
      </c>
      <c r="DV75">
        <v>-0.83000000000000007</v>
      </c>
      <c r="DW75">
        <v>-5.8028673835125453</v>
      </c>
      <c r="DX75">
        <v>0.29532177419354838</v>
      </c>
      <c r="DY75">
        <v>-5.084559417273673</v>
      </c>
      <c r="DZ75">
        <v>2068</v>
      </c>
      <c r="EA75">
        <v>-5.0503385024161478</v>
      </c>
      <c r="EB75">
        <v>5</v>
      </c>
      <c r="EC75">
        <v>0.1303997569952966</v>
      </c>
      <c r="ED75">
        <v>1.2381082448883054</v>
      </c>
      <c r="EE75" s="12">
        <v>6.131000000000001E-2</v>
      </c>
      <c r="EF75">
        <v>6.4509999999999998E-2</v>
      </c>
      <c r="EG75">
        <v>19.105321774193548</v>
      </c>
      <c r="EH75">
        <v>-1</v>
      </c>
      <c r="EI75">
        <v>0</v>
      </c>
      <c r="EJ75">
        <v>0</v>
      </c>
      <c r="EK75" s="14">
        <v>45470</v>
      </c>
      <c r="EL75" s="15">
        <v>-1.89</v>
      </c>
      <c r="EM75" s="15">
        <v>-4.1900000000000004</v>
      </c>
      <c r="EN75" s="15">
        <v>3.33</v>
      </c>
      <c r="EO75" s="15">
        <v>4.3</v>
      </c>
      <c r="EP75" s="15">
        <v>-0.32</v>
      </c>
    </row>
    <row r="76" spans="1:146" ht="108" x14ac:dyDescent="0.25">
      <c r="A76" s="7"/>
      <c r="B76" s="7"/>
      <c r="C76" s="7" t="str">
        <f>""&amp;CHAR(10)&amp;Basic_Fundamental_Information_Constructure(F76)&amp;CHAR(10)&amp;Basic_Fundamental_Information_Concatenate("")</f>
        <v xml:space="preserve">
市值21.785299亿, 利润910.70万; PE30.53; 平均PE39.39; 平均PEG2.52, PB2.09; ROIC6.43%; ROE8.45%; 股利率1.4085%; 毛利63.8933%; 净利35.58%; 上一年度营收增-76.39%, 利润增-81.73%; 当季营收增-70.14%, 利润增-79.65%; 过往5年营收增-15.6%, 利润增-17.43%
Income profile:
</v>
      </c>
      <c r="D76" t="s">
        <v>1241</v>
      </c>
      <c r="E76" t="s">
        <v>1242</v>
      </c>
      <c r="F76">
        <v>14.2</v>
      </c>
      <c r="G76">
        <v>3.12</v>
      </c>
      <c r="H76" t="s">
        <v>3424</v>
      </c>
      <c r="I76">
        <v>2178529900</v>
      </c>
      <c r="J76">
        <v>30.53</v>
      </c>
      <c r="K76">
        <v>2.09</v>
      </c>
      <c r="L76" t="s">
        <v>1303</v>
      </c>
      <c r="M76" t="s">
        <v>3425</v>
      </c>
      <c r="N76" t="s">
        <v>2005</v>
      </c>
      <c r="O76" t="s">
        <v>3426</v>
      </c>
      <c r="P76">
        <v>-6.4</v>
      </c>
      <c r="Q76" t="s">
        <v>3426</v>
      </c>
      <c r="R76">
        <v>9107022</v>
      </c>
      <c r="S76" s="5">
        <v>-0.36749999999999999</v>
      </c>
      <c r="T76" t="s">
        <v>3427</v>
      </c>
      <c r="U76">
        <v>91457039</v>
      </c>
      <c r="V76">
        <v>153417600</v>
      </c>
      <c r="W76">
        <v>1.02</v>
      </c>
      <c r="X76">
        <v>0.03</v>
      </c>
      <c r="Y76">
        <v>26.06</v>
      </c>
      <c r="Z76" t="s">
        <v>3428</v>
      </c>
      <c r="AA76" t="s">
        <v>3429</v>
      </c>
      <c r="AB76" t="s">
        <v>3430</v>
      </c>
      <c r="AC76" t="s">
        <v>3431</v>
      </c>
      <c r="AD76" t="s">
        <v>63</v>
      </c>
      <c r="AE76">
        <v>-2917610</v>
      </c>
      <c r="AF76" t="s">
        <v>176</v>
      </c>
      <c r="AG76" t="s">
        <v>63</v>
      </c>
      <c r="AH76" t="s">
        <v>3432</v>
      </c>
      <c r="AI76" t="s">
        <v>1202</v>
      </c>
      <c r="AJ76" t="s">
        <v>3433</v>
      </c>
      <c r="AK76" t="s">
        <v>63</v>
      </c>
      <c r="AL76" t="s">
        <v>3434</v>
      </c>
      <c r="AM76" t="s">
        <v>63</v>
      </c>
      <c r="AN76" t="s">
        <v>3435</v>
      </c>
      <c r="AO76" t="s">
        <v>63</v>
      </c>
      <c r="AP76" t="s">
        <v>63</v>
      </c>
      <c r="AQ76" t="s">
        <v>3436</v>
      </c>
      <c r="AR76" t="s">
        <v>63</v>
      </c>
      <c r="AS76" t="s">
        <v>3437</v>
      </c>
      <c r="AT76" t="s">
        <v>63</v>
      </c>
      <c r="AU76" t="s">
        <v>3438</v>
      </c>
      <c r="AV76" t="s">
        <v>3439</v>
      </c>
      <c r="AW76" t="s">
        <v>3440</v>
      </c>
      <c r="AX76" t="s">
        <v>271</v>
      </c>
      <c r="AY76" t="s">
        <v>317</v>
      </c>
      <c r="AZ76" t="s">
        <v>286</v>
      </c>
      <c r="BA76" t="s">
        <v>257</v>
      </c>
      <c r="BB76" t="s">
        <v>280</v>
      </c>
      <c r="BC76" t="s">
        <v>3441</v>
      </c>
      <c r="BD76" t="s">
        <v>1243</v>
      </c>
      <c r="BE76" t="s">
        <v>1244</v>
      </c>
      <c r="BF76" t="s">
        <v>1245</v>
      </c>
      <c r="BG76" t="s">
        <v>1246</v>
      </c>
      <c r="BH76" t="s">
        <v>534</v>
      </c>
      <c r="BI76" t="s">
        <v>309</v>
      </c>
      <c r="BJ76" t="s">
        <v>271</v>
      </c>
      <c r="BK76" t="s">
        <v>3442</v>
      </c>
      <c r="BL76" t="s">
        <v>1893</v>
      </c>
      <c r="BM76" t="s">
        <v>3441</v>
      </c>
      <c r="BN76">
        <v>3.98</v>
      </c>
      <c r="BO76">
        <v>4.46</v>
      </c>
      <c r="BP76">
        <v>10.85</v>
      </c>
      <c r="BQ76">
        <v>4.87</v>
      </c>
      <c r="BR76">
        <v>5.2</v>
      </c>
      <c r="BS76">
        <v>15.28</v>
      </c>
      <c r="BT76" t="s">
        <v>1449</v>
      </c>
      <c r="BU76" t="s">
        <v>2052</v>
      </c>
      <c r="BV76">
        <v>62.57</v>
      </c>
      <c r="BW76">
        <v>63.94</v>
      </c>
      <c r="BX76">
        <v>65.17</v>
      </c>
      <c r="BY76">
        <v>34.67</v>
      </c>
      <c r="BZ76">
        <v>33.590000000000003</v>
      </c>
      <c r="CA76">
        <v>38.479999999999997</v>
      </c>
      <c r="CB76">
        <v>-0.91</v>
      </c>
      <c r="CC76">
        <v>-10.3</v>
      </c>
      <c r="CD76" t="s">
        <v>3443</v>
      </c>
      <c r="CE76" t="s">
        <v>3444</v>
      </c>
      <c r="CF76" s="9">
        <v>-0.70135470085470086</v>
      </c>
      <c r="CG76" s="10">
        <v>-0.79647020699334459</v>
      </c>
      <c r="CH76" s="9">
        <v>-0.7639087438583374</v>
      </c>
      <c r="CI76" s="9">
        <v>-0.29523810744285583</v>
      </c>
      <c r="CJ76" s="9">
        <v>0.36363637447357178</v>
      </c>
      <c r="CK76" s="9">
        <v>-0.11999999731779099</v>
      </c>
      <c r="CL76" s="9">
        <v>3.5502959042787552E-2</v>
      </c>
      <c r="CM76" s="10">
        <v>-0.81733500957489014</v>
      </c>
      <c r="CN76" s="10">
        <v>-0.38234966993331909</v>
      </c>
      <c r="CO76" s="10">
        <v>0.33474597334861755</v>
      </c>
      <c r="CP76" s="10">
        <v>-0.13332454860210419</v>
      </c>
      <c r="CQ76" s="10">
        <v>0.1268935352563858</v>
      </c>
      <c r="CR76">
        <v>39.387892645584948</v>
      </c>
      <c r="CS76">
        <v>2.5248405869783652</v>
      </c>
      <c r="CT76">
        <v>1.4084507042253522</v>
      </c>
      <c r="CU76" s="9">
        <v>-0.15600150302052498</v>
      </c>
      <c r="CV76" s="10">
        <v>-0.17427394390106202</v>
      </c>
      <c r="CW76">
        <v>0.06</v>
      </c>
      <c r="CX76">
        <v>128.2032502470627</v>
      </c>
      <c r="CY76" t="s">
        <v>3445</v>
      </c>
      <c r="CZ76">
        <v>-0.15600150302052498</v>
      </c>
      <c r="DA76">
        <v>42.734416749020902</v>
      </c>
      <c r="DB76" t="s">
        <v>3446</v>
      </c>
      <c r="DC76">
        <v>-0.14820142786949872</v>
      </c>
      <c r="DD76">
        <v>21.367208374510451</v>
      </c>
      <c r="DE76" t="s">
        <v>3447</v>
      </c>
      <c r="DF76">
        <v>-0.13728132265806198</v>
      </c>
      <c r="DG76">
        <v>12.820325024706269</v>
      </c>
      <c r="DH76" t="s">
        <v>3448</v>
      </c>
      <c r="DI76">
        <v>-0.12480120241642</v>
      </c>
      <c r="DJ76">
        <v>6.4101625123531347</v>
      </c>
      <c r="DK76" t="s">
        <v>3449</v>
      </c>
      <c r="DL76">
        <v>-0.10920105211436748</v>
      </c>
      <c r="DM76">
        <v>9107000</v>
      </c>
      <c r="DN76">
        <v>-0.15600150302052498</v>
      </c>
      <c r="DO76">
        <v>1167547000</v>
      </c>
      <c r="DP76">
        <v>820564510</v>
      </c>
      <c r="DQ76">
        <v>2611</v>
      </c>
      <c r="DR76">
        <v>-0.54535319783417591</v>
      </c>
      <c r="DS76">
        <v>-0.6221962630922826</v>
      </c>
      <c r="DT76" s="11">
        <v>-0.79</v>
      </c>
      <c r="DU76">
        <v>-0.79</v>
      </c>
      <c r="DV76">
        <v>-1.58</v>
      </c>
      <c r="DW76">
        <v>-2.1030000000000002</v>
      </c>
      <c r="DX76">
        <v>0.39436136438443481</v>
      </c>
      <c r="DY76">
        <v>-2.0179592205315968</v>
      </c>
      <c r="DZ76">
        <v>1408</v>
      </c>
      <c r="EA76">
        <v>-2.0130107699428517</v>
      </c>
      <c r="EB76">
        <v>2</v>
      </c>
      <c r="EC76">
        <v>9.331002440397973E-2</v>
      </c>
      <c r="ED76">
        <v>0.53515307239847321</v>
      </c>
      <c r="EE76" s="12">
        <v>1.4200000000000004E-2</v>
      </c>
      <c r="EF76">
        <v>4.8509999999999991E-2</v>
      </c>
      <c r="EG76">
        <v>22.174361364384435</v>
      </c>
      <c r="EH76">
        <v>-1</v>
      </c>
      <c r="EI76">
        <v>0</v>
      </c>
      <c r="EJ76">
        <v>1</v>
      </c>
      <c r="EK76" s="14">
        <v>45470</v>
      </c>
      <c r="EL76" s="15">
        <v>5.62</v>
      </c>
      <c r="EM76" s="15">
        <v>-5.21</v>
      </c>
      <c r="EN76" s="15">
        <v>-3.48</v>
      </c>
      <c r="EO76" s="15">
        <v>5.49</v>
      </c>
      <c r="EP76" s="15">
        <v>-6.27</v>
      </c>
    </row>
    <row r="77" spans="1:146" ht="96" x14ac:dyDescent="0.25">
      <c r="A77" s="7"/>
      <c r="B77" s="7"/>
      <c r="C77" s="7" t="str">
        <f>""&amp;CHAR(10)&amp;Basic_Fundamental_Information_Constructure(F77)&amp;CHAR(10)&amp;Basic_Fundamental_Information_Concatenate("")</f>
        <v xml:space="preserve">
市值36.326305亿, 利润3658.29万; PE16.57; 平均PE37.03; 平均PEG2.2, PB1.58; ROIC17.41%; ROE19.63%; 股利率2.4627%; 毛利49.26%; 净利24.6833%; 上一年度营收增-70.24%, 利润增-81.52%; 当季营收增-47.06%, 利润增-63.4%; 过往5年营收增16.82%, 利润增24.95%
Income profile:
</v>
      </c>
      <c r="D77" t="s">
        <v>1355</v>
      </c>
      <c r="E77" t="s">
        <v>1356</v>
      </c>
      <c r="F77">
        <v>27.62</v>
      </c>
      <c r="G77">
        <v>-7.0000000000000007E-2</v>
      </c>
      <c r="H77" t="s">
        <v>3450</v>
      </c>
      <c r="I77">
        <v>3632630500</v>
      </c>
      <c r="J77">
        <v>16.57</v>
      </c>
      <c r="K77">
        <v>1.58</v>
      </c>
      <c r="L77" t="s">
        <v>1303</v>
      </c>
      <c r="M77" t="s">
        <v>315</v>
      </c>
      <c r="N77" t="s">
        <v>3451</v>
      </c>
      <c r="O77" t="s">
        <v>531</v>
      </c>
      <c r="P77">
        <v>24.8</v>
      </c>
      <c r="Q77" t="s">
        <v>531</v>
      </c>
      <c r="R77">
        <v>36582852</v>
      </c>
      <c r="S77" s="5">
        <v>-0.13639999999999999</v>
      </c>
      <c r="T77" t="s">
        <v>3452</v>
      </c>
      <c r="U77">
        <v>49095390</v>
      </c>
      <c r="V77">
        <v>131521740</v>
      </c>
      <c r="W77">
        <v>1.1499999999999999</v>
      </c>
      <c r="X77">
        <v>0.09</v>
      </c>
      <c r="Y77">
        <v>16.23</v>
      </c>
      <c r="Z77" t="s">
        <v>335</v>
      </c>
      <c r="AA77" t="s">
        <v>370</v>
      </c>
      <c r="AB77" t="s">
        <v>3453</v>
      </c>
      <c r="AC77" t="s">
        <v>3454</v>
      </c>
      <c r="AD77" t="s">
        <v>63</v>
      </c>
      <c r="AE77">
        <v>-3508909</v>
      </c>
      <c r="AF77" t="s">
        <v>3455</v>
      </c>
      <c r="AG77" t="s">
        <v>3456</v>
      </c>
      <c r="AH77" t="s">
        <v>3457</v>
      </c>
      <c r="AI77" t="s">
        <v>452</v>
      </c>
      <c r="AJ77" t="s">
        <v>3458</v>
      </c>
      <c r="AK77" t="s">
        <v>3459</v>
      </c>
      <c r="AL77" t="s">
        <v>3460</v>
      </c>
      <c r="AM77" t="s">
        <v>63</v>
      </c>
      <c r="AN77" t="s">
        <v>3461</v>
      </c>
      <c r="AO77" t="s">
        <v>63</v>
      </c>
      <c r="AP77" t="s">
        <v>63</v>
      </c>
      <c r="AQ77" t="s">
        <v>293</v>
      </c>
      <c r="AR77" t="s">
        <v>63</v>
      </c>
      <c r="AS77" t="s">
        <v>487</v>
      </c>
      <c r="AT77" t="s">
        <v>63</v>
      </c>
      <c r="AU77" t="s">
        <v>3462</v>
      </c>
      <c r="AV77" t="s">
        <v>1015</v>
      </c>
      <c r="AW77" t="s">
        <v>3463</v>
      </c>
      <c r="AX77" t="s">
        <v>1561</v>
      </c>
      <c r="AY77" t="s">
        <v>357</v>
      </c>
      <c r="AZ77" t="s">
        <v>476</v>
      </c>
      <c r="BA77" t="s">
        <v>406</v>
      </c>
      <c r="BB77" t="s">
        <v>363</v>
      </c>
      <c r="BC77" t="s">
        <v>523</v>
      </c>
      <c r="BD77" t="s">
        <v>408</v>
      </c>
      <c r="BE77" t="s">
        <v>229</v>
      </c>
      <c r="BF77" t="s">
        <v>1357</v>
      </c>
      <c r="BG77" t="s">
        <v>1358</v>
      </c>
      <c r="BH77" t="s">
        <v>1883</v>
      </c>
      <c r="BI77" t="s">
        <v>374</v>
      </c>
      <c r="BJ77" t="s">
        <v>1561</v>
      </c>
      <c r="BK77" t="s">
        <v>531</v>
      </c>
      <c r="BL77" t="s">
        <v>1895</v>
      </c>
      <c r="BM77" t="s">
        <v>523</v>
      </c>
      <c r="BN77">
        <v>6.98</v>
      </c>
      <c r="BO77">
        <v>14.45</v>
      </c>
      <c r="BP77">
        <v>30.8</v>
      </c>
      <c r="BQ77">
        <v>7.49</v>
      </c>
      <c r="BR77">
        <v>16.579999999999998</v>
      </c>
      <c r="BS77">
        <v>34.82</v>
      </c>
      <c r="BT77" t="s">
        <v>3464</v>
      </c>
      <c r="BU77" t="s">
        <v>2052</v>
      </c>
      <c r="BV77">
        <v>45.95</v>
      </c>
      <c r="BW77">
        <v>49.66</v>
      </c>
      <c r="BX77">
        <v>52.17</v>
      </c>
      <c r="BY77">
        <v>22.32</v>
      </c>
      <c r="BZ77">
        <v>26.23</v>
      </c>
      <c r="CA77">
        <v>25.5</v>
      </c>
      <c r="CB77">
        <v>-7.13</v>
      </c>
      <c r="CC77">
        <v>-15.01</v>
      </c>
      <c r="CD77" t="s">
        <v>3465</v>
      </c>
      <c r="CE77" t="s">
        <v>3466</v>
      </c>
      <c r="CF77" s="9">
        <v>-0.47058823529411764</v>
      </c>
      <c r="CG77" s="10">
        <v>-0.63400312143586046</v>
      </c>
      <c r="CH77" s="9">
        <v>-0.7023809552192688</v>
      </c>
      <c r="CI77" s="9">
        <v>0.30795848369598389</v>
      </c>
      <c r="CJ77" s="9">
        <v>0.32568806409835815</v>
      </c>
      <c r="CK77" s="9">
        <v>0.47297295928001404</v>
      </c>
      <c r="CL77" s="9">
        <v>0.43689319491386414</v>
      </c>
      <c r="CM77" s="10">
        <v>-0.81523787975311279</v>
      </c>
      <c r="CN77" s="10">
        <v>0.34693878889083862</v>
      </c>
      <c r="CO77" s="10">
        <v>0.37383177876472473</v>
      </c>
      <c r="CP77" s="10">
        <v>0.73390829563140869</v>
      </c>
      <c r="CQ77" s="10">
        <v>0.6078345775604248</v>
      </c>
      <c r="CR77">
        <v>37.025205113456643</v>
      </c>
      <c r="CS77">
        <v>2.2009159240322322</v>
      </c>
      <c r="CT77">
        <v>2.4627089065894276</v>
      </c>
      <c r="CU77" s="9">
        <v>0.16822634935379027</v>
      </c>
      <c r="CV77" s="10">
        <v>0.2494551122188568</v>
      </c>
      <c r="CW77">
        <v>0.06</v>
      </c>
      <c r="CX77">
        <v>41.411513894908303</v>
      </c>
      <c r="CY77">
        <v>40318026.146957338</v>
      </c>
      <c r="CZ77">
        <v>0.16822634935379027</v>
      </c>
      <c r="DA77">
        <v>12.673123365581507</v>
      </c>
      <c r="DB77">
        <v>131745778.19817419</v>
      </c>
      <c r="DC77">
        <v>0.15981503188610074</v>
      </c>
      <c r="DD77">
        <v>5.7001869190663834</v>
      </c>
      <c r="DE77">
        <v>292908026.29915577</v>
      </c>
      <c r="DF77">
        <v>0.14803918743133543</v>
      </c>
      <c r="DG77">
        <v>3.0809072715833579</v>
      </c>
      <c r="DH77">
        <v>541928189.59524667</v>
      </c>
      <c r="DI77">
        <v>0.13458107948303222</v>
      </c>
      <c r="DJ77">
        <v>1.2480544418063866</v>
      </c>
      <c r="DK77">
        <v>1337786593.3343742</v>
      </c>
      <c r="DL77">
        <v>0.11775844454765318</v>
      </c>
      <c r="DM77">
        <v>36582900</v>
      </c>
      <c r="DN77">
        <v>0.16822634935379027</v>
      </c>
      <c r="DO77">
        <v>1669630500</v>
      </c>
      <c r="DP77">
        <v>1712682000</v>
      </c>
      <c r="DQ77">
        <v>2620</v>
      </c>
      <c r="DR77">
        <v>-0.63881458464790786</v>
      </c>
      <c r="DS77">
        <v>-0.88345823365471721</v>
      </c>
      <c r="DT77" s="11">
        <v>-0.27333333333333343</v>
      </c>
      <c r="DU77">
        <v>-5.6666666666666719E-2</v>
      </c>
      <c r="DV77">
        <v>-0.33000000000000013</v>
      </c>
      <c r="DW77">
        <v>-9.4750166555629587</v>
      </c>
      <c r="DX77">
        <v>0.36070551320220146</v>
      </c>
      <c r="DY77">
        <v>-9.0620872957449485</v>
      </c>
      <c r="DZ77">
        <v>287</v>
      </c>
      <c r="EA77">
        <v>-9.0586002010524247</v>
      </c>
      <c r="EB77">
        <v>9</v>
      </c>
      <c r="EC77">
        <v>3.4649024564303972E-2</v>
      </c>
      <c r="ED77">
        <v>0.26509229576798482</v>
      </c>
      <c r="EE77" s="12">
        <v>0.12970999999999999</v>
      </c>
      <c r="EF77">
        <v>-1.0059100000000001</v>
      </c>
      <c r="EG77">
        <v>23.130705513202201</v>
      </c>
      <c r="EH77" t="s">
        <v>1311</v>
      </c>
      <c r="EI77">
        <v>0</v>
      </c>
      <c r="EJ77">
        <v>1</v>
      </c>
      <c r="EK77" s="14">
        <v>45470</v>
      </c>
      <c r="EL77" s="15">
        <v>0.35</v>
      </c>
      <c r="EM77" s="15">
        <v>-4.2300000000000004</v>
      </c>
      <c r="EN77" s="15">
        <v>-0.06</v>
      </c>
      <c r="EO77" s="15">
        <v>0.92</v>
      </c>
      <c r="EP77" s="15">
        <v>-2.62</v>
      </c>
    </row>
    <row r="78" spans="1:146" ht="96" x14ac:dyDescent="0.25">
      <c r="A78" s="7"/>
      <c r="B78" s="7"/>
      <c r="C78" s="7" t="str">
        <f>""&amp;CHAR(10)&amp;Basic_Fundamental_Information_Constructure(F78)&amp;CHAR(10)&amp;Basic_Fundamental_Information_Concatenate("")</f>
        <v xml:space="preserve">
市值395.96743亿, 利润766.54万; PE211.5; 平均PE438.06; 平均PEG16.14, PB8.18; ROIC2.71%; ROE8.6733%; 股利率.2057%; 毛利91.13%; 净利22.3867%; 上一年度营收增-73.31%, 利润增-95.88%; 当季营收增-47.41%, 利润增-90.85%; 过往5年营收增27.14%, 利润增14.27%
Income profile:
</v>
      </c>
      <c r="D78" t="s">
        <v>1360</v>
      </c>
      <c r="E78" t="s">
        <v>1361</v>
      </c>
      <c r="F78">
        <v>72.930000000000007</v>
      </c>
      <c r="G78">
        <v>0.19</v>
      </c>
      <c r="H78" t="s">
        <v>3467</v>
      </c>
      <c r="I78">
        <v>39596743000</v>
      </c>
      <c r="J78">
        <v>211.5</v>
      </c>
      <c r="K78">
        <v>8.18</v>
      </c>
      <c r="L78" t="s">
        <v>1303</v>
      </c>
      <c r="M78" t="s">
        <v>1326</v>
      </c>
      <c r="N78" t="s">
        <v>3468</v>
      </c>
      <c r="O78" t="s">
        <v>383</v>
      </c>
      <c r="P78">
        <v>33.590000000000003</v>
      </c>
      <c r="Q78" t="s">
        <v>383</v>
      </c>
      <c r="R78">
        <v>7665401</v>
      </c>
      <c r="S78" s="5">
        <v>-0.63749999999999996</v>
      </c>
      <c r="T78" t="s">
        <v>3469</v>
      </c>
      <c r="U78">
        <v>262321450</v>
      </c>
      <c r="V78">
        <v>542941770</v>
      </c>
      <c r="W78">
        <v>1.1200000000000001</v>
      </c>
      <c r="X78">
        <v>0.04</v>
      </c>
      <c r="Y78">
        <v>3.59</v>
      </c>
      <c r="Z78" t="s">
        <v>449</v>
      </c>
      <c r="AA78" t="s">
        <v>3470</v>
      </c>
      <c r="AB78" t="s">
        <v>3471</v>
      </c>
      <c r="AC78" t="s">
        <v>3472</v>
      </c>
      <c r="AD78" t="s">
        <v>63</v>
      </c>
      <c r="AE78">
        <v>-16610226</v>
      </c>
      <c r="AF78" t="s">
        <v>3473</v>
      </c>
      <c r="AG78" t="s">
        <v>3474</v>
      </c>
      <c r="AH78" t="s">
        <v>3475</v>
      </c>
      <c r="AI78" t="s">
        <v>1925</v>
      </c>
      <c r="AJ78" t="s">
        <v>3476</v>
      </c>
      <c r="AK78" t="s">
        <v>3477</v>
      </c>
      <c r="AL78" t="s">
        <v>3478</v>
      </c>
      <c r="AM78" t="s">
        <v>63</v>
      </c>
      <c r="AN78" t="s">
        <v>3479</v>
      </c>
      <c r="AO78" t="s">
        <v>3480</v>
      </c>
      <c r="AP78" t="s">
        <v>63</v>
      </c>
      <c r="AQ78" t="s">
        <v>3481</v>
      </c>
      <c r="AR78" t="s">
        <v>63</v>
      </c>
      <c r="AS78" t="s">
        <v>818</v>
      </c>
      <c r="AT78" t="s">
        <v>3482</v>
      </c>
      <c r="AU78" t="s">
        <v>3483</v>
      </c>
      <c r="AV78" t="s">
        <v>3484</v>
      </c>
      <c r="AW78" t="s">
        <v>3485</v>
      </c>
      <c r="AX78" t="s">
        <v>917</v>
      </c>
      <c r="AY78" t="s">
        <v>786</v>
      </c>
      <c r="AZ78" t="s">
        <v>339</v>
      </c>
      <c r="BA78" t="s">
        <v>500</v>
      </c>
      <c r="BB78" t="s">
        <v>184</v>
      </c>
      <c r="BC78" t="s">
        <v>272</v>
      </c>
      <c r="BD78" t="s">
        <v>220</v>
      </c>
      <c r="BE78" t="s">
        <v>454</v>
      </c>
      <c r="BF78" t="s">
        <v>1362</v>
      </c>
      <c r="BG78" t="s">
        <v>1363</v>
      </c>
      <c r="BH78" t="s">
        <v>783</v>
      </c>
      <c r="BI78" t="s">
        <v>1134</v>
      </c>
      <c r="BJ78" t="s">
        <v>917</v>
      </c>
      <c r="BK78" t="s">
        <v>407</v>
      </c>
      <c r="BL78" t="s">
        <v>1898</v>
      </c>
      <c r="BM78" t="s">
        <v>272</v>
      </c>
      <c r="BN78">
        <v>2.71</v>
      </c>
      <c r="BO78" t="s">
        <v>63</v>
      </c>
      <c r="BP78" t="s">
        <v>63</v>
      </c>
      <c r="BQ78">
        <v>3.64</v>
      </c>
      <c r="BR78">
        <v>7.33</v>
      </c>
      <c r="BS78">
        <v>15.05</v>
      </c>
      <c r="BT78" t="s">
        <v>1459</v>
      </c>
      <c r="BU78" t="s">
        <v>2052</v>
      </c>
      <c r="BV78">
        <v>93.78</v>
      </c>
      <c r="BW78">
        <v>90.25</v>
      </c>
      <c r="BX78">
        <v>89.36</v>
      </c>
      <c r="BY78">
        <v>19.87</v>
      </c>
      <c r="BZ78">
        <v>23.24</v>
      </c>
      <c r="CA78">
        <v>24.05</v>
      </c>
      <c r="CB78">
        <v>-5.35</v>
      </c>
      <c r="CC78">
        <v>-4.09</v>
      </c>
      <c r="CD78" t="s">
        <v>3486</v>
      </c>
      <c r="CE78" t="s">
        <v>3487</v>
      </c>
      <c r="CF78" s="9">
        <v>-0.47407407407407409</v>
      </c>
      <c r="CG78" s="10">
        <v>-0.90853878516270059</v>
      </c>
      <c r="CH78" s="9">
        <v>-0.73308271169662476</v>
      </c>
      <c r="CI78" s="9">
        <v>0.37823835015296936</v>
      </c>
      <c r="CJ78" s="9">
        <v>0.39518073201179504</v>
      </c>
      <c r="CK78" s="9">
        <v>0.61478596925735474</v>
      </c>
      <c r="CL78" s="9">
        <v>0.70198673009872437</v>
      </c>
      <c r="CM78" s="10">
        <v>-0.95878815650939941</v>
      </c>
      <c r="CN78" s="10">
        <v>0.33812949061393738</v>
      </c>
      <c r="CO78" s="10">
        <v>0.33653846383094788</v>
      </c>
      <c r="CP78" s="10">
        <v>0.81952738761901855</v>
      </c>
      <c r="CQ78" s="10">
        <v>0.17803806066513062</v>
      </c>
      <c r="CR78">
        <v>438.06350783868123</v>
      </c>
      <c r="CS78">
        <v>16.13958367750876</v>
      </c>
      <c r="CT78">
        <v>0.20567667626491154</v>
      </c>
      <c r="CU78" s="9">
        <v>0.27142181396484377</v>
      </c>
      <c r="CV78" s="10">
        <v>0.142689049243927</v>
      </c>
      <c r="CW78">
        <v>0.06</v>
      </c>
      <c r="CX78">
        <v>3861.9304864121063</v>
      </c>
      <c r="CY78">
        <v>9194298.8422321826</v>
      </c>
      <c r="CZ78">
        <v>0.27142181396484377</v>
      </c>
      <c r="DA78">
        <v>1085.9030032322819</v>
      </c>
      <c r="DB78">
        <v>32698816.463632762</v>
      </c>
      <c r="DC78">
        <v>0.25785072326660158</v>
      </c>
      <c r="DD78">
        <v>431.87484363388683</v>
      </c>
      <c r="DE78">
        <v>82217669.131247133</v>
      </c>
      <c r="DF78">
        <v>0.23885119628906251</v>
      </c>
      <c r="DG78">
        <v>200.40340909668936</v>
      </c>
      <c r="DH78">
        <v>177181332.19414672</v>
      </c>
      <c r="DI78">
        <v>0.21713745117187502</v>
      </c>
      <c r="DJ78">
        <v>55.540778707202847</v>
      </c>
      <c r="DK78">
        <v>639309419.61019266</v>
      </c>
      <c r="DL78">
        <v>0.18999526977539063</v>
      </c>
      <c r="DM78">
        <v>7665400</v>
      </c>
      <c r="DN78">
        <v>0.27142181396484377</v>
      </c>
      <c r="DO78">
        <v>35507743000</v>
      </c>
      <c r="DP78">
        <v>3045277400</v>
      </c>
      <c r="DQ78">
        <v>2679</v>
      </c>
      <c r="DR78">
        <v>-0.74549588803891786</v>
      </c>
      <c r="DS78">
        <v>-1.0512278344066277</v>
      </c>
      <c r="DT78" s="11">
        <v>-5.6666666666666719E-2</v>
      </c>
      <c r="DU78">
        <v>-0.15666666666666673</v>
      </c>
      <c r="DV78">
        <v>-0.21333333333333346</v>
      </c>
      <c r="DW78">
        <v>-4.7644859813084111</v>
      </c>
      <c r="DX78">
        <v>0.26021415514908586</v>
      </c>
      <c r="DY78">
        <v>-4.0766123167401433</v>
      </c>
      <c r="DZ78">
        <v>1876</v>
      </c>
      <c r="EA78">
        <v>-4.0484861511423924</v>
      </c>
      <c r="EB78">
        <v>4</v>
      </c>
      <c r="EC78">
        <v>1.4349973478739718E-2</v>
      </c>
      <c r="ED78">
        <v>0.14319307206737841</v>
      </c>
      <c r="EE78" s="12">
        <v>1.54E-2</v>
      </c>
      <c r="EF78">
        <v>1.9610000000000002E-2</v>
      </c>
      <c r="EG78">
        <v>16.100214155149086</v>
      </c>
      <c r="EH78">
        <v>-1</v>
      </c>
      <c r="EI78">
        <v>0</v>
      </c>
      <c r="EJ78">
        <v>0</v>
      </c>
      <c r="EK78" s="14">
        <v>45470</v>
      </c>
      <c r="EL78" s="15">
        <v>-1.94</v>
      </c>
      <c r="EM78" s="15">
        <v>-5</v>
      </c>
      <c r="EN78" s="15">
        <v>1.04</v>
      </c>
      <c r="EO78" s="15">
        <v>4.63</v>
      </c>
      <c r="EP78" s="15">
        <v>-3.5</v>
      </c>
    </row>
    <row r="79" spans="1:146" ht="96" x14ac:dyDescent="0.25">
      <c r="A79" s="7"/>
      <c r="B79" s="7"/>
      <c r="C79" s="7" t="str">
        <f>""&amp;CHAR(10)&amp;Basic_Fundamental_Information_Constructure(F79)&amp;CHAR(10)&amp;Basic_Fundamental_Information_Concatenate("")</f>
        <v xml:space="preserve">
市值22.97亿, 利润-236.85万; PE71.07; 平均PE53.59; 平均PEG4.93, PB2.22; ROIC8.5467%; ROE9.22%; 股利率1.5237%; 毛利83.4733%; 净利24.2667%; 上一年度营收增-79.73%, 利润增-104.28%; 当季营收增-58.08%, 利润增-109.04%; 过往5年营收增-10.87%, 利润增3.23%
Income profile:
</v>
      </c>
      <c r="D79" t="s">
        <v>1364</v>
      </c>
      <c r="E79" t="s">
        <v>1375</v>
      </c>
      <c r="F79">
        <v>22.97</v>
      </c>
      <c r="G79">
        <v>0</v>
      </c>
      <c r="H79" t="s">
        <v>3488</v>
      </c>
      <c r="I79">
        <v>2297000000</v>
      </c>
      <c r="J79">
        <v>71.069999999999993</v>
      </c>
      <c r="K79">
        <v>2.2200000000000002</v>
      </c>
      <c r="L79" t="s">
        <v>1303</v>
      </c>
      <c r="M79" t="s">
        <v>3489</v>
      </c>
      <c r="N79" t="s">
        <v>290</v>
      </c>
      <c r="O79" t="s">
        <v>3490</v>
      </c>
      <c r="P79">
        <v>-0.53</v>
      </c>
      <c r="Q79" t="s">
        <v>3490</v>
      </c>
      <c r="R79">
        <v>-2368528</v>
      </c>
      <c r="S79" s="5">
        <v>-1.351</v>
      </c>
      <c r="T79" t="s">
        <v>3491</v>
      </c>
      <c r="U79">
        <v>74061625</v>
      </c>
      <c r="V79">
        <v>100000000</v>
      </c>
      <c r="W79">
        <v>1.06</v>
      </c>
      <c r="X79">
        <v>0.04</v>
      </c>
      <c r="Y79">
        <v>-6.17</v>
      </c>
      <c r="Z79" t="s">
        <v>3492</v>
      </c>
      <c r="AA79" t="s">
        <v>3493</v>
      </c>
      <c r="AB79" t="s">
        <v>3494</v>
      </c>
      <c r="AC79" t="s">
        <v>3495</v>
      </c>
      <c r="AD79" t="s">
        <v>63</v>
      </c>
      <c r="AE79">
        <v>-627214</v>
      </c>
      <c r="AF79" t="s">
        <v>3496</v>
      </c>
      <c r="AG79">
        <v>8171.3</v>
      </c>
      <c r="AH79" t="s">
        <v>3497</v>
      </c>
      <c r="AI79" t="s">
        <v>477</v>
      </c>
      <c r="AJ79" t="s">
        <v>3498</v>
      </c>
      <c r="AK79" t="s">
        <v>3499</v>
      </c>
      <c r="AL79" t="s">
        <v>3500</v>
      </c>
      <c r="AM79" t="s">
        <v>63</v>
      </c>
      <c r="AN79">
        <v>0</v>
      </c>
      <c r="AO79" t="s">
        <v>63</v>
      </c>
      <c r="AP79" t="s">
        <v>63</v>
      </c>
      <c r="AQ79" t="s">
        <v>3501</v>
      </c>
      <c r="AR79" t="s">
        <v>3502</v>
      </c>
      <c r="AS79" t="s">
        <v>3503</v>
      </c>
      <c r="AT79" t="s">
        <v>63</v>
      </c>
      <c r="AU79" t="s">
        <v>3504</v>
      </c>
      <c r="AV79" t="s">
        <v>3505</v>
      </c>
      <c r="AW79" t="s">
        <v>3506</v>
      </c>
      <c r="AX79" t="s">
        <v>383</v>
      </c>
      <c r="AY79" t="s">
        <v>207</v>
      </c>
      <c r="AZ79" t="s">
        <v>566</v>
      </c>
      <c r="BA79" t="s">
        <v>674</v>
      </c>
      <c r="BB79" t="s">
        <v>477</v>
      </c>
      <c r="BC79" t="s">
        <v>1562</v>
      </c>
      <c r="BD79" t="s">
        <v>1365</v>
      </c>
      <c r="BE79" t="s">
        <v>1366</v>
      </c>
      <c r="BF79" t="s">
        <v>1367</v>
      </c>
      <c r="BG79" t="s">
        <v>1368</v>
      </c>
      <c r="BH79" t="s">
        <v>201</v>
      </c>
      <c r="BI79" t="s">
        <v>278</v>
      </c>
      <c r="BJ79" t="s">
        <v>383</v>
      </c>
      <c r="BK79" t="s">
        <v>3507</v>
      </c>
      <c r="BL79" t="s">
        <v>1899</v>
      </c>
      <c r="BM79" t="s">
        <v>1562</v>
      </c>
      <c r="BN79">
        <v>2.89</v>
      </c>
      <c r="BO79">
        <v>6.82</v>
      </c>
      <c r="BP79">
        <v>15.93</v>
      </c>
      <c r="BQ79">
        <v>3.32</v>
      </c>
      <c r="BR79">
        <v>8.17</v>
      </c>
      <c r="BS79">
        <v>16.170000000000002</v>
      </c>
      <c r="BT79" t="s">
        <v>3508</v>
      </c>
      <c r="BU79" t="s">
        <v>2031</v>
      </c>
      <c r="BV79">
        <v>79.959999999999994</v>
      </c>
      <c r="BW79">
        <v>85.14</v>
      </c>
      <c r="BX79">
        <v>85.32</v>
      </c>
      <c r="BY79">
        <v>17.02</v>
      </c>
      <c r="BZ79">
        <v>25.43</v>
      </c>
      <c r="CA79">
        <v>30.35</v>
      </c>
      <c r="CB79">
        <v>-4.8099999999999996</v>
      </c>
      <c r="CC79">
        <v>-12.4</v>
      </c>
      <c r="CD79" t="s">
        <v>3509</v>
      </c>
      <c r="CE79" t="s">
        <v>3510</v>
      </c>
      <c r="CF79" s="9">
        <v>-0.58081456310679613</v>
      </c>
      <c r="CG79" s="10">
        <v>-1.0903611350613083</v>
      </c>
      <c r="CH79" s="9">
        <v>-0.79729533195495605</v>
      </c>
      <c r="CI79" s="9">
        <v>-3.1818181276321411E-2</v>
      </c>
      <c r="CJ79" s="9">
        <v>0.11675126850605011</v>
      </c>
      <c r="CK79" s="9">
        <v>-7.075471431016922E-2</v>
      </c>
      <c r="CL79" s="9">
        <v>0.23976607620716095</v>
      </c>
      <c r="CM79" s="10">
        <v>-1.0427902936935425</v>
      </c>
      <c r="CN79" s="10">
        <v>-0.18481481075286865</v>
      </c>
      <c r="CO79" s="10">
        <v>0.32791739702224731</v>
      </c>
      <c r="CP79" s="10">
        <v>-0.12495636194944382</v>
      </c>
      <c r="CQ79" s="10">
        <v>1.1862765550613403</v>
      </c>
      <c r="CR79">
        <v>53.589113578825028</v>
      </c>
      <c r="CS79">
        <v>4.9313542383408295</v>
      </c>
      <c r="CT79">
        <v>1.5237265999129299</v>
      </c>
      <c r="CU79" s="9">
        <v>-0.10867017656564712</v>
      </c>
      <c r="CV79" s="10">
        <v>3.2326497137546539E-2</v>
      </c>
      <c r="CW79">
        <v>0.06</v>
      </c>
      <c r="CX79" t="e">
        <v>#VALUE!</v>
      </c>
      <c r="CY79" t="s">
        <v>1308</v>
      </c>
      <c r="CZ79">
        <v>-0.10867017656564712</v>
      </c>
      <c r="DA79" t="e">
        <v>#VALUE!</v>
      </c>
      <c r="DB79" t="s">
        <v>1309</v>
      </c>
      <c r="DC79">
        <v>-0.10323666773736476</v>
      </c>
      <c r="DD79" t="e">
        <v>#VALUE!</v>
      </c>
      <c r="DE79" t="s">
        <v>1309</v>
      </c>
      <c r="DF79">
        <v>-9.5629755377769465E-2</v>
      </c>
      <c r="DG79" t="e">
        <v>#VALUE!</v>
      </c>
      <c r="DH79" t="s">
        <v>1309</v>
      </c>
      <c r="DI79">
        <v>-8.6936141252517696E-2</v>
      </c>
      <c r="DJ79" t="e">
        <v>#VALUE!</v>
      </c>
      <c r="DK79" t="s">
        <v>1309</v>
      </c>
      <c r="DL79">
        <v>-7.6069123595952984E-2</v>
      </c>
      <c r="DM79">
        <v>-2368500</v>
      </c>
      <c r="DN79">
        <v>-0.10867017656564712</v>
      </c>
      <c r="DO79">
        <v>1343217100</v>
      </c>
      <c r="DP79">
        <v>567498830</v>
      </c>
      <c r="DQ79">
        <v>2680</v>
      </c>
      <c r="DR79">
        <v>-0.47214438654114899</v>
      </c>
      <c r="DS79">
        <v>-1.1226876321988548</v>
      </c>
      <c r="DT79" s="11">
        <v>-0.67333333333333334</v>
      </c>
      <c r="DU79">
        <v>-1.4650000000000001</v>
      </c>
      <c r="DV79">
        <v>-2.1383333333333336</v>
      </c>
      <c r="DW79">
        <v>-8.3879032258064523</v>
      </c>
      <c r="DX79">
        <v>0.28432193435542913</v>
      </c>
      <c r="DY79">
        <v>-8.0404668148588403</v>
      </c>
      <c r="DZ79">
        <v>551</v>
      </c>
      <c r="EA79">
        <v>-8.0361033676989138</v>
      </c>
      <c r="EB79">
        <v>8</v>
      </c>
      <c r="EC79">
        <v>8.1353999999999996E-2</v>
      </c>
      <c r="ED79">
        <v>0.77983599999999997</v>
      </c>
      <c r="EE79" s="12">
        <v>5.0709999999999998E-2</v>
      </c>
      <c r="EF79">
        <v>6.760999999999999E-2</v>
      </c>
      <c r="EG79">
        <v>18.104321934355429</v>
      </c>
      <c r="EH79">
        <v>-1</v>
      </c>
      <c r="EI79">
        <v>0</v>
      </c>
      <c r="EJ79">
        <v>1</v>
      </c>
      <c r="EK79" s="14">
        <v>45470</v>
      </c>
      <c r="EL79" s="15">
        <v>-0.23</v>
      </c>
      <c r="EM79" s="15">
        <v>-2.86</v>
      </c>
      <c r="EN79" s="15">
        <v>-4.8899999999999997</v>
      </c>
      <c r="EO79" s="15">
        <v>2.4900000000000002</v>
      </c>
      <c r="EP79" s="15">
        <v>-1.69</v>
      </c>
    </row>
    <row r="80" spans="1:146" ht="96" x14ac:dyDescent="0.25">
      <c r="C80" s="7" t="str">
        <f>""&amp;CHAR(10)&amp;Basic_Fundamental_Information_Constructure(F80)&amp;CHAR(10)&amp;Basic_Fundamental_Information_Concatenate("")</f>
        <v xml:space="preserve">
市值26.356亿, 利润761.09万; PE46.22; 平均PE60.21; 平均PEG67.33, PB2.59; ROIC14.78%; ROE12.245%; 股利率1.1686%; 毛利40.3133%; 净利20.44%; 上一年度营收增-80.59%, 利润增-87.63%; 当季营收增-51.94%, 利润增-54.27%; 过往5年营收增-.89%, 利润增6.78%
Income profile:
</v>
      </c>
      <c r="D80" s="5" t="s">
        <v>1633</v>
      </c>
      <c r="E80" t="s">
        <v>1634</v>
      </c>
      <c r="F80">
        <v>29.95</v>
      </c>
      <c r="G80">
        <v>1.8</v>
      </c>
      <c r="H80" t="s">
        <v>3511</v>
      </c>
      <c r="I80">
        <v>2635600000</v>
      </c>
      <c r="J80">
        <v>46.22</v>
      </c>
      <c r="K80">
        <v>2.59</v>
      </c>
      <c r="L80" t="s">
        <v>1303</v>
      </c>
      <c r="M80" t="s">
        <v>308</v>
      </c>
      <c r="N80" t="s">
        <v>3512</v>
      </c>
      <c r="O80" t="s">
        <v>3513</v>
      </c>
      <c r="P80" s="5">
        <v>-16.71</v>
      </c>
      <c r="Q80" t="s">
        <v>3513</v>
      </c>
      <c r="R80">
        <v>7610936</v>
      </c>
      <c r="S80">
        <v>-0.1406</v>
      </c>
      <c r="T80" t="s">
        <v>3514</v>
      </c>
      <c r="U80">
        <v>37000000</v>
      </c>
      <c r="V80">
        <v>88000000</v>
      </c>
      <c r="W80">
        <v>1.1000000000000001</v>
      </c>
      <c r="X80">
        <v>0.05</v>
      </c>
      <c r="Y80">
        <v>12.77</v>
      </c>
      <c r="Z80" t="s">
        <v>3515</v>
      </c>
      <c r="AA80" t="s">
        <v>3516</v>
      </c>
      <c r="AB80" t="s">
        <v>3517</v>
      </c>
      <c r="AC80" t="s">
        <v>3518</v>
      </c>
      <c r="AD80" t="s">
        <v>63</v>
      </c>
      <c r="AE80">
        <v>-782462</v>
      </c>
      <c r="AF80" t="s">
        <v>3519</v>
      </c>
      <c r="AG80">
        <v>1.52</v>
      </c>
      <c r="AH80" t="s">
        <v>3520</v>
      </c>
      <c r="AI80" t="s">
        <v>639</v>
      </c>
      <c r="AJ80" t="s">
        <v>3521</v>
      </c>
      <c r="AK80" t="s">
        <v>63</v>
      </c>
      <c r="AL80" t="s">
        <v>3522</v>
      </c>
      <c r="AM80" t="s">
        <v>63</v>
      </c>
      <c r="AN80">
        <v>0</v>
      </c>
      <c r="AO80" t="s">
        <v>63</v>
      </c>
      <c r="AP80" t="s">
        <v>63</v>
      </c>
      <c r="AQ80" t="s">
        <v>3523</v>
      </c>
      <c r="AR80" t="s">
        <v>3524</v>
      </c>
      <c r="AS80" t="s">
        <v>3525</v>
      </c>
      <c r="AT80" t="s">
        <v>63</v>
      </c>
      <c r="AU80" t="s">
        <v>3526</v>
      </c>
      <c r="AV80" t="s">
        <v>1873</v>
      </c>
      <c r="AW80" t="s">
        <v>3527</v>
      </c>
      <c r="AX80" t="s">
        <v>739</v>
      </c>
      <c r="AY80" t="s">
        <v>296</v>
      </c>
      <c r="AZ80" t="s">
        <v>545</v>
      </c>
      <c r="BA80" t="s">
        <v>547</v>
      </c>
      <c r="BB80" t="s">
        <v>286</v>
      </c>
      <c r="BC80" t="s">
        <v>3528</v>
      </c>
      <c r="BD80" t="s">
        <v>1635</v>
      </c>
      <c r="BE80" t="s">
        <v>1900</v>
      </c>
      <c r="BF80" t="s">
        <v>1901</v>
      </c>
      <c r="BG80" t="s">
        <v>1902</v>
      </c>
      <c r="BH80" t="s">
        <v>553</v>
      </c>
      <c r="BI80" t="s">
        <v>471</v>
      </c>
      <c r="BJ80" t="s">
        <v>739</v>
      </c>
      <c r="BK80" t="s">
        <v>3529</v>
      </c>
      <c r="BL80" t="s">
        <v>1903</v>
      </c>
      <c r="BM80" t="s">
        <v>3528</v>
      </c>
      <c r="BN80">
        <v>3.39</v>
      </c>
      <c r="BO80">
        <v>18.78</v>
      </c>
      <c r="BP80">
        <v>22.17</v>
      </c>
      <c r="BQ80">
        <v>4.7</v>
      </c>
      <c r="BR80">
        <v>19.79</v>
      </c>
      <c r="BS80" t="s">
        <v>63</v>
      </c>
      <c r="BT80" t="s">
        <v>3508</v>
      </c>
      <c r="BU80" t="s">
        <v>2031</v>
      </c>
      <c r="BV80">
        <v>36.270000000000003</v>
      </c>
      <c r="BW80">
        <v>39.92</v>
      </c>
      <c r="BX80">
        <v>44.75</v>
      </c>
      <c r="BY80">
        <v>18.59</v>
      </c>
      <c r="BZ80">
        <v>20.03</v>
      </c>
      <c r="CA80">
        <v>22.7</v>
      </c>
      <c r="CB80">
        <v>-8.1</v>
      </c>
      <c r="CC80" s="9">
        <v>-37.6</v>
      </c>
      <c r="CD80" s="10" t="s">
        <v>3530</v>
      </c>
      <c r="CE80" s="9" t="s">
        <v>3531</v>
      </c>
      <c r="CF80" s="9">
        <v>-0.51937258064516134</v>
      </c>
      <c r="CG80" s="9">
        <v>-0.54268072705422865</v>
      </c>
      <c r="CH80" s="9">
        <v>-0.8058704137802124</v>
      </c>
      <c r="CI80" s="9">
        <v>0.11636363714933395</v>
      </c>
      <c r="CJ80" s="10">
        <v>0.12704917788505554</v>
      </c>
      <c r="CK80" s="10">
        <v>0.27748692035675049</v>
      </c>
      <c r="CL80" s="10">
        <v>0.24025973677635193</v>
      </c>
      <c r="CM80" s="10">
        <v>-0.87629961967468262</v>
      </c>
      <c r="CN80" s="10">
        <v>-1.5978952869772911E-2</v>
      </c>
      <c r="CO80">
        <v>3.5953342914581299E-2</v>
      </c>
      <c r="CP80">
        <v>0.3073832094669342</v>
      </c>
      <c r="CQ80">
        <v>0.88778889179229736</v>
      </c>
      <c r="CR80" s="9">
        <v>60.210150696713868</v>
      </c>
      <c r="CS80" s="10">
        <v>67.332680239934575</v>
      </c>
      <c r="CT80">
        <v>1.1686143572621035</v>
      </c>
      <c r="CU80">
        <v>-8.9421883225440976E-3</v>
      </c>
      <c r="CV80">
        <v>6.7769374325871462E-2</v>
      </c>
      <c r="CW80">
        <v>0.06</v>
      </c>
      <c r="CX80">
        <v>227.38440920259103</v>
      </c>
      <c r="CY80" t="s">
        <v>3532</v>
      </c>
      <c r="CZ80">
        <v>-8.9421883225440976E-3</v>
      </c>
      <c r="DA80">
        <v>75.794803067530339</v>
      </c>
      <c r="DB80" t="s">
        <v>3533</v>
      </c>
      <c r="DC80">
        <v>-8.4950789064168926E-3</v>
      </c>
      <c r="DD80">
        <v>37.897401533765169</v>
      </c>
      <c r="DE80" t="s">
        <v>3534</v>
      </c>
      <c r="DF80">
        <v>-7.869125723838806E-3</v>
      </c>
      <c r="DG80">
        <v>22.738440920259102</v>
      </c>
      <c r="DH80" t="s">
        <v>3535</v>
      </c>
      <c r="DI80">
        <v>-7.1537506580352786E-3</v>
      </c>
      <c r="DJ80">
        <v>11.369220460129551</v>
      </c>
      <c r="DK80" t="s">
        <v>3536</v>
      </c>
      <c r="DL80">
        <v>-6.2595318257808678E-3</v>
      </c>
      <c r="DM80">
        <v>7610900</v>
      </c>
      <c r="DN80">
        <v>-8.9421883225440976E-3</v>
      </c>
      <c r="DO80">
        <v>1730600000</v>
      </c>
      <c r="DP80">
        <v>947825910</v>
      </c>
      <c r="DQ80" s="11">
        <v>2719</v>
      </c>
      <c r="DR80">
        <v>-0.51043039232261722</v>
      </c>
      <c r="DS80">
        <v>-0.61045010138010014</v>
      </c>
      <c r="DT80">
        <v>-0.55666666666666675</v>
      </c>
      <c r="DU80">
        <v>-0.23666666666666669</v>
      </c>
      <c r="DV80">
        <v>-0.79333333333333345</v>
      </c>
      <c r="DW80">
        <v>-9.2154255319148941</v>
      </c>
      <c r="DX80">
        <v>0.43440915185039741</v>
      </c>
      <c r="DY80">
        <v>-9.0418806949464958</v>
      </c>
      <c r="DZ80">
        <v>3720</v>
      </c>
      <c r="EA80">
        <v>-9.0113922046919033</v>
      </c>
      <c r="EB80" s="12">
        <v>9</v>
      </c>
      <c r="EC80" s="12">
        <v>0.18687159090909092</v>
      </c>
      <c r="ED80">
        <v>0.96122840909090912</v>
      </c>
      <c r="EE80">
        <v>2.0280100000000001</v>
      </c>
      <c r="EF80">
        <v>2.0093000000000001</v>
      </c>
      <c r="EG80">
        <v>24.194409151850397</v>
      </c>
      <c r="EH80" s="14" t="s">
        <v>1477</v>
      </c>
      <c r="EI80">
        <v>0</v>
      </c>
      <c r="EJ80">
        <v>0</v>
      </c>
      <c r="EK80">
        <v>45470</v>
      </c>
      <c r="EL80">
        <v>-10.55</v>
      </c>
      <c r="EM80">
        <v>14.09</v>
      </c>
      <c r="EN80" s="15">
        <v>-5.17</v>
      </c>
      <c r="EO80" s="15">
        <v>-0.26</v>
      </c>
      <c r="EP80" s="15">
        <v>3.73</v>
      </c>
    </row>
    <row r="81" spans="1:146" ht="96" x14ac:dyDescent="0.25">
      <c r="C81" s="7" t="str">
        <f>""&amp;CHAR(10)&amp;Basic_Fundamental_Information_Constructure(F81)&amp;CHAR(10)&amp;Basic_Fundamental_Information_Concatenate("")</f>
        <v xml:space="preserve">
市值26.7794亿, 利润-825.18万; PE80.77; 平均PE63.25; 平均PEG7.51, PB2.35; ROIC18.3567%; ROE13.575%; 股利率.3891%; 毛利49.7467%; 净利20.2233%; 上一年度营收增-91.38%, 利润增-110.44%; 当季营收增-79.71%, 利润增-154.12%; 过往5年营收增8.42%, 利润增26.54%
Income profile:
</v>
      </c>
      <c r="D81" t="s">
        <v>1564</v>
      </c>
      <c r="E81" t="s">
        <v>1565</v>
      </c>
      <c r="F81">
        <v>25.7</v>
      </c>
      <c r="G81">
        <v>0.98</v>
      </c>
      <c r="H81" t="s">
        <v>3537</v>
      </c>
      <c r="I81">
        <v>2677940000</v>
      </c>
      <c r="J81">
        <v>80.77</v>
      </c>
      <c r="K81">
        <v>2.35</v>
      </c>
      <c r="L81" t="s">
        <v>1303</v>
      </c>
      <c r="M81" t="s">
        <v>432</v>
      </c>
      <c r="N81" t="s">
        <v>1787</v>
      </c>
      <c r="O81" t="s">
        <v>3538</v>
      </c>
      <c r="P81">
        <v>-48.27</v>
      </c>
      <c r="Q81" t="s">
        <v>3538</v>
      </c>
      <c r="R81">
        <v>-8251800</v>
      </c>
      <c r="S81">
        <v>-3.0070000000000001</v>
      </c>
      <c r="T81" t="s">
        <v>3539</v>
      </c>
      <c r="U81">
        <v>38823725</v>
      </c>
      <c r="V81">
        <v>104200000</v>
      </c>
      <c r="W81">
        <v>1.1000000000000001</v>
      </c>
      <c r="X81">
        <v>0.02</v>
      </c>
      <c r="Y81">
        <v>-27.11</v>
      </c>
      <c r="Z81" t="s">
        <v>3540</v>
      </c>
      <c r="AA81" t="s">
        <v>3541</v>
      </c>
      <c r="AB81" t="s">
        <v>3542</v>
      </c>
      <c r="AC81" t="s">
        <v>3543</v>
      </c>
      <c r="AD81" t="s">
        <v>63</v>
      </c>
      <c r="AE81">
        <v>-4055608</v>
      </c>
      <c r="AF81" t="s">
        <v>3544</v>
      </c>
      <c r="AG81">
        <v>9290.26</v>
      </c>
      <c r="AH81" t="s">
        <v>3545</v>
      </c>
      <c r="AI81" t="s">
        <v>580</v>
      </c>
      <c r="AJ81" t="s">
        <v>3546</v>
      </c>
      <c r="AK81" t="s">
        <v>3547</v>
      </c>
      <c r="AL81" t="s">
        <v>3548</v>
      </c>
      <c r="AM81" t="s">
        <v>63</v>
      </c>
      <c r="AN81" t="s">
        <v>3549</v>
      </c>
      <c r="AO81" t="s">
        <v>3550</v>
      </c>
      <c r="AP81" t="s">
        <v>3551</v>
      </c>
      <c r="AQ81" t="s">
        <v>3552</v>
      </c>
      <c r="AR81" t="s">
        <v>63</v>
      </c>
      <c r="AS81" t="s">
        <v>319</v>
      </c>
      <c r="AT81" t="s">
        <v>63</v>
      </c>
      <c r="AU81" t="s">
        <v>3553</v>
      </c>
      <c r="AV81" t="s">
        <v>700</v>
      </c>
      <c r="AW81" t="s">
        <v>3554</v>
      </c>
      <c r="AX81" t="s">
        <v>1136</v>
      </c>
      <c r="AY81" t="s">
        <v>688</v>
      </c>
      <c r="AZ81" t="s">
        <v>525</v>
      </c>
      <c r="BA81" t="s">
        <v>601</v>
      </c>
      <c r="BB81" t="s">
        <v>308</v>
      </c>
      <c r="BC81" t="s">
        <v>3555</v>
      </c>
      <c r="BD81" t="s">
        <v>1566</v>
      </c>
      <c r="BE81" t="s">
        <v>1567</v>
      </c>
      <c r="BF81" t="s">
        <v>1568</v>
      </c>
      <c r="BG81" t="s">
        <v>1569</v>
      </c>
      <c r="BH81" t="s">
        <v>651</v>
      </c>
      <c r="BI81" t="s">
        <v>236</v>
      </c>
      <c r="BJ81" t="s">
        <v>1136</v>
      </c>
      <c r="BK81" t="s">
        <v>3556</v>
      </c>
      <c r="BL81" t="s">
        <v>1904</v>
      </c>
      <c r="BM81" t="s">
        <v>3555</v>
      </c>
      <c r="BN81">
        <v>2.91</v>
      </c>
      <c r="BO81">
        <v>23.91</v>
      </c>
      <c r="BP81">
        <v>28.25</v>
      </c>
      <c r="BQ81">
        <v>3.63</v>
      </c>
      <c r="BR81">
        <v>23.52</v>
      </c>
      <c r="BS81" t="s">
        <v>63</v>
      </c>
      <c r="BT81" t="s">
        <v>1446</v>
      </c>
      <c r="BU81" t="s">
        <v>2052</v>
      </c>
      <c r="BV81">
        <v>47.59</v>
      </c>
      <c r="BW81">
        <v>49.36</v>
      </c>
      <c r="BX81">
        <v>52.29</v>
      </c>
      <c r="BY81">
        <v>12.96</v>
      </c>
      <c r="BZ81">
        <v>22.42</v>
      </c>
      <c r="CA81">
        <v>25.29</v>
      </c>
      <c r="CB81">
        <v>-6.82</v>
      </c>
      <c r="CC81" s="9">
        <v>-15.88</v>
      </c>
      <c r="CD81" s="10" t="s">
        <v>3557</v>
      </c>
      <c r="CE81" s="9" t="s">
        <v>372</v>
      </c>
      <c r="CF81" s="9">
        <v>-0.79707399999999995</v>
      </c>
      <c r="CG81" s="9">
        <v>-1.5411761619632867</v>
      </c>
      <c r="CH81" s="9">
        <v>-0.91377079486846924</v>
      </c>
      <c r="CI81" s="9">
        <v>0.2256944477558136</v>
      </c>
      <c r="CJ81" s="10">
        <v>0.23076923191547394</v>
      </c>
      <c r="CK81" s="10">
        <v>0.41818180680274963</v>
      </c>
      <c r="CL81" s="10">
        <v>0.46017700433731079</v>
      </c>
      <c r="CM81" s="10">
        <v>-1.1043764352798462</v>
      </c>
      <c r="CN81" s="10">
        <v>8.7079800665378571E-2</v>
      </c>
      <c r="CO81">
        <v>0.31668642163276672</v>
      </c>
      <c r="CP81">
        <v>0.37641918659210205</v>
      </c>
      <c r="CQ81">
        <v>1.6514344215393066</v>
      </c>
      <c r="CR81" s="9">
        <v>63.251452595776847</v>
      </c>
      <c r="CS81" s="10">
        <v>7.5111266864909805</v>
      </c>
      <c r="CT81">
        <v>0.38910505836575876</v>
      </c>
      <c r="CU81">
        <v>8.4210339188575747E-2</v>
      </c>
      <c r="CV81">
        <v>0.26544867902994157</v>
      </c>
      <c r="CW81">
        <v>0.06</v>
      </c>
      <c r="CX81" t="e">
        <v>#VALUE!</v>
      </c>
      <c r="CY81" t="s">
        <v>1308</v>
      </c>
      <c r="CZ81">
        <v>8.4210339188575747E-2</v>
      </c>
      <c r="DA81" t="e">
        <v>#VALUE!</v>
      </c>
      <c r="DB81" t="s">
        <v>1309</v>
      </c>
      <c r="DC81">
        <v>7.999982222914695E-2</v>
      </c>
      <c r="DD81" t="e">
        <v>#VALUE!</v>
      </c>
      <c r="DE81" t="s">
        <v>1309</v>
      </c>
      <c r="DF81">
        <v>7.4105098485946652E-2</v>
      </c>
      <c r="DG81" t="e">
        <v>#VALUE!</v>
      </c>
      <c r="DH81" t="s">
        <v>1309</v>
      </c>
      <c r="DI81">
        <v>6.7368271350860598E-2</v>
      </c>
      <c r="DJ81" t="e">
        <v>#VALUE!</v>
      </c>
      <c r="DK81" t="s">
        <v>1309</v>
      </c>
      <c r="DL81">
        <v>5.8947237432003016E-2</v>
      </c>
      <c r="DM81">
        <v>-8251799.9999999991</v>
      </c>
      <c r="DN81">
        <v>8.4210339188575747E-2</v>
      </c>
      <c r="DO81">
        <v>1683940000</v>
      </c>
      <c r="DP81">
        <v>1022320500</v>
      </c>
      <c r="DQ81" s="11">
        <v>2739</v>
      </c>
      <c r="DR81">
        <v>-0.88128433918857574</v>
      </c>
      <c r="DS81">
        <v>-1.8066248409932282</v>
      </c>
      <c r="DT81">
        <v>-0.27333333333333343</v>
      </c>
      <c r="DU81">
        <v>-1.1983333333333333</v>
      </c>
      <c r="DV81">
        <v>-1.4716666666666667</v>
      </c>
      <c r="DW81">
        <v>-9.4294710327455924</v>
      </c>
      <c r="DX81">
        <v>0.25541304347826144</v>
      </c>
      <c r="DY81">
        <v>-9.0452718486474648</v>
      </c>
      <c r="DZ81">
        <v>3045</v>
      </c>
      <c r="EA81">
        <v>-9.0182947881520583</v>
      </c>
      <c r="EB81" s="12">
        <v>9</v>
      </c>
      <c r="EC81" s="12">
        <v>0.1628742802303263</v>
      </c>
      <c r="ED81">
        <v>1.54510556621881</v>
      </c>
      <c r="EE81">
        <v>-3.1011000000000002</v>
      </c>
      <c r="EF81">
        <v>-3.0907</v>
      </c>
      <c r="EG81">
        <v>15.105413043478261</v>
      </c>
      <c r="EH81" s="14" t="s">
        <v>1511</v>
      </c>
      <c r="EI81" s="15">
        <v>0</v>
      </c>
      <c r="EJ81" s="15">
        <v>0</v>
      </c>
      <c r="EK81" s="15">
        <v>45470</v>
      </c>
      <c r="EL81" s="15">
        <v>1.06</v>
      </c>
      <c r="EM81" s="15">
        <v>-5.93</v>
      </c>
      <c r="EN81" s="15">
        <v>2.16</v>
      </c>
      <c r="EO81" s="15">
        <v>4.66</v>
      </c>
      <c r="EP81" s="15">
        <v>-1.04</v>
      </c>
    </row>
    <row r="82" spans="1:146" ht="108" x14ac:dyDescent="0.25">
      <c r="C82" s="7" t="str">
        <f>""&amp;CHAR(10)&amp;Basic_Fundamental_Information_Constructure(F82)&amp;CHAR(10)&amp;Basic_Fundamental_Information_Concatenate("")</f>
        <v xml:space="preserve">
市值22.71066亿, 利润-1929.70万; PE76.59; 平均PE42.66; 平均PEG5.85, PB1.59; ROIC25.74%; ROE10.76%; 股利率2.1268%; 毛利53.5433%; 净利17.2967%; 上一年度营收增-81.61%, 利润增-122.13%; 当季营收增-56.79%, 利润增-279.41%; 过往5年营收增7.3%, 利润增-.85%
Income profile:
</v>
      </c>
      <c r="D82" t="s">
        <v>1570</v>
      </c>
      <c r="E82" t="s">
        <v>1571</v>
      </c>
      <c r="F82">
        <v>23.51</v>
      </c>
      <c r="G82">
        <v>20.010000000000002</v>
      </c>
      <c r="H82" t="s">
        <v>3558</v>
      </c>
      <c r="I82">
        <v>2271066000</v>
      </c>
      <c r="J82">
        <v>76.59</v>
      </c>
      <c r="K82">
        <v>1.59</v>
      </c>
      <c r="L82" t="s">
        <v>1303</v>
      </c>
      <c r="M82" t="s">
        <v>515</v>
      </c>
      <c r="N82" t="s">
        <v>3559</v>
      </c>
      <c r="O82" t="s">
        <v>3560</v>
      </c>
      <c r="P82" s="5">
        <v>0.28999999999999998</v>
      </c>
      <c r="Q82" t="s">
        <v>3560</v>
      </c>
      <c r="R82">
        <v>-19296959</v>
      </c>
      <c r="S82">
        <v>-4.4779999999999998</v>
      </c>
      <c r="T82" t="s">
        <v>3561</v>
      </c>
      <c r="U82">
        <v>43862109</v>
      </c>
      <c r="V82">
        <v>96600000</v>
      </c>
      <c r="W82">
        <v>1.1000000000000001</v>
      </c>
      <c r="X82">
        <v>0.05</v>
      </c>
      <c r="Y82">
        <v>-21.47</v>
      </c>
      <c r="Z82" t="s">
        <v>293</v>
      </c>
      <c r="AA82" t="s">
        <v>3562</v>
      </c>
      <c r="AB82" t="s">
        <v>3563</v>
      </c>
      <c r="AC82" t="s">
        <v>3564</v>
      </c>
      <c r="AD82" t="s">
        <v>63</v>
      </c>
      <c r="AE82">
        <v>-177502</v>
      </c>
      <c r="AF82" t="s">
        <v>3565</v>
      </c>
      <c r="AG82">
        <v>0.04</v>
      </c>
      <c r="AH82" t="s">
        <v>3566</v>
      </c>
      <c r="AI82" t="s">
        <v>583</v>
      </c>
      <c r="AJ82" t="s">
        <v>3567</v>
      </c>
      <c r="AK82" t="s">
        <v>1733</v>
      </c>
      <c r="AL82" t="s">
        <v>3568</v>
      </c>
      <c r="AM82" t="s">
        <v>63</v>
      </c>
      <c r="AN82" t="s">
        <v>319</v>
      </c>
      <c r="AO82" t="s">
        <v>3569</v>
      </c>
      <c r="AP82" t="s">
        <v>63</v>
      </c>
      <c r="AQ82" t="s">
        <v>3570</v>
      </c>
      <c r="AR82" t="s">
        <v>63</v>
      </c>
      <c r="AS82" t="s">
        <v>497</v>
      </c>
      <c r="AT82" t="s">
        <v>63</v>
      </c>
      <c r="AU82" t="s">
        <v>3571</v>
      </c>
      <c r="AV82" t="s">
        <v>3572</v>
      </c>
      <c r="AW82" t="s">
        <v>3573</v>
      </c>
      <c r="AX82" t="s">
        <v>282</v>
      </c>
      <c r="AY82" t="s">
        <v>466</v>
      </c>
      <c r="AZ82" t="s">
        <v>603</v>
      </c>
      <c r="BA82" t="s">
        <v>639</v>
      </c>
      <c r="BB82" t="s">
        <v>210</v>
      </c>
      <c r="BC82" t="s">
        <v>3574</v>
      </c>
      <c r="BD82" t="s">
        <v>1572</v>
      </c>
      <c r="BE82" t="s">
        <v>1573</v>
      </c>
      <c r="BF82" t="s">
        <v>1574</v>
      </c>
      <c r="BG82" t="s">
        <v>1575</v>
      </c>
      <c r="BH82" t="s">
        <v>885</v>
      </c>
      <c r="BI82" t="s">
        <v>566</v>
      </c>
      <c r="BJ82" t="s">
        <v>282</v>
      </c>
      <c r="BK82" t="s">
        <v>3575</v>
      </c>
      <c r="BL82" t="s">
        <v>1905</v>
      </c>
      <c r="BM82" t="s">
        <v>3574</v>
      </c>
      <c r="BN82" t="s">
        <v>63</v>
      </c>
      <c r="BO82">
        <v>20.96</v>
      </c>
      <c r="BP82">
        <v>30.52</v>
      </c>
      <c r="BQ82">
        <v>-0.01</v>
      </c>
      <c r="BR82">
        <v>21.53</v>
      </c>
      <c r="BS82" t="s">
        <v>63</v>
      </c>
      <c r="BT82" t="s">
        <v>1595</v>
      </c>
      <c r="BU82" t="s">
        <v>2052</v>
      </c>
      <c r="BV82">
        <v>48.66</v>
      </c>
      <c r="BW82">
        <v>55.32</v>
      </c>
      <c r="BX82">
        <v>56.65</v>
      </c>
      <c r="BY82">
        <v>10.43</v>
      </c>
      <c r="BZ82">
        <v>19.510000000000002</v>
      </c>
      <c r="CA82">
        <v>21.95</v>
      </c>
      <c r="CB82">
        <v>8.34</v>
      </c>
      <c r="CC82" s="9">
        <v>5.43</v>
      </c>
      <c r="CD82" s="10" t="s">
        <v>3576</v>
      </c>
      <c r="CE82" s="9" t="s">
        <v>3577</v>
      </c>
      <c r="CF82" s="9">
        <v>-0.56785583756345182</v>
      </c>
      <c r="CG82" s="9">
        <v>-2.7940581191875897</v>
      </c>
      <c r="CH82" s="9">
        <v>-0.81612867116928101</v>
      </c>
      <c r="CI82" s="9">
        <v>2.8888888657093048E-2</v>
      </c>
      <c r="CJ82" s="10">
        <v>0.33531156182289124</v>
      </c>
      <c r="CK82" s="10">
        <v>0.37551021575927734</v>
      </c>
      <c r="CL82" s="10">
        <v>0.44117647409439087</v>
      </c>
      <c r="CM82" s="10">
        <v>-1.2212690114974976</v>
      </c>
      <c r="CN82" s="10">
        <v>-0.10038559138774872</v>
      </c>
      <c r="CO82">
        <v>0.26242601871490479</v>
      </c>
      <c r="CP82">
        <v>0.79618686437606812</v>
      </c>
      <c r="CQ82">
        <v>0.22060053050518036</v>
      </c>
      <c r="CR82" s="9">
        <v>42.659354324072687</v>
      </c>
      <c r="CS82" s="10">
        <v>5.8476167012381364</v>
      </c>
      <c r="CT82">
        <v>2.1267545725223309</v>
      </c>
      <c r="CU82">
        <v>7.2951693832874295E-2</v>
      </c>
      <c r="CV82">
        <v>-8.4882378578186035E-3</v>
      </c>
      <c r="CW82">
        <v>0.06</v>
      </c>
      <c r="CX82" t="e">
        <v>#VALUE!</v>
      </c>
      <c r="CY82" t="s">
        <v>1308</v>
      </c>
      <c r="CZ82">
        <v>7.2951693832874295E-2</v>
      </c>
      <c r="DA82" t="e">
        <v>#VALUE!</v>
      </c>
      <c r="DB82" t="s">
        <v>1309</v>
      </c>
      <c r="DC82">
        <v>6.9304109141230572E-2</v>
      </c>
      <c r="DD82" t="e">
        <v>#VALUE!</v>
      </c>
      <c r="DE82" t="s">
        <v>1309</v>
      </c>
      <c r="DF82">
        <v>6.419749057292938E-2</v>
      </c>
      <c r="DG82" t="e">
        <v>#VALUE!</v>
      </c>
      <c r="DH82" t="s">
        <v>1309</v>
      </c>
      <c r="DI82">
        <v>5.8361355066299442E-2</v>
      </c>
      <c r="DJ82" t="e">
        <v>#VALUE!</v>
      </c>
      <c r="DK82" t="s">
        <v>1309</v>
      </c>
      <c r="DL82">
        <v>5.1066185683012001E-2</v>
      </c>
      <c r="DM82">
        <v>-19297000</v>
      </c>
      <c r="DN82">
        <v>7.2951693832874295E-2</v>
      </c>
      <c r="DO82">
        <v>1071066000</v>
      </c>
      <c r="DP82">
        <v>1141731350</v>
      </c>
      <c r="DQ82" s="11">
        <v>2766</v>
      </c>
      <c r="DR82">
        <v>-0.64080753139632607</v>
      </c>
      <c r="DS82">
        <v>-2.7855698813297711</v>
      </c>
      <c r="DT82">
        <v>-0.42333333333333339</v>
      </c>
      <c r="DU82">
        <v>-1.1816666666666666</v>
      </c>
      <c r="DV82">
        <v>-1.605</v>
      </c>
      <c r="DW82">
        <v>5.6510791366906474</v>
      </c>
      <c r="DX82">
        <v>0.68028075414477995</v>
      </c>
      <c r="DY82">
        <v>5.2866576133100898</v>
      </c>
      <c r="DZ82">
        <v>1587</v>
      </c>
      <c r="EA82">
        <v>5.1976310707811049</v>
      </c>
      <c r="EB82" s="12">
        <v>5</v>
      </c>
      <c r="EC82" s="12">
        <v>0.23565320910973084</v>
      </c>
      <c r="ED82">
        <v>0.53523395445134581</v>
      </c>
      <c r="EE82">
        <v>-3.0855999999999999</v>
      </c>
      <c r="EF82">
        <v>-3.0798000000000001</v>
      </c>
      <c r="EG82">
        <v>24.44028075414478</v>
      </c>
      <c r="EH82" s="14" t="s">
        <v>1511</v>
      </c>
      <c r="EI82" s="15">
        <v>1</v>
      </c>
      <c r="EJ82" s="15">
        <v>0</v>
      </c>
      <c r="EK82" s="15">
        <v>45470</v>
      </c>
      <c r="EL82" s="15">
        <v>-1.24</v>
      </c>
      <c r="EM82" s="15">
        <v>-5.21</v>
      </c>
      <c r="EN82" s="15">
        <v>-0.36</v>
      </c>
      <c r="EO82" s="15">
        <v>3.94</v>
      </c>
      <c r="EP82" s="15">
        <v>-0.57999999999999996</v>
      </c>
    </row>
    <row r="83" spans="1:146" ht="108" x14ac:dyDescent="0.25">
      <c r="A83" s="7"/>
      <c r="B83" s="7"/>
      <c r="C83" s="7" t="str">
        <f>""&amp;CHAR(10)&amp;Basic_Fundamental_Information_Constructure(F83)&amp;CHAR(10)&amp;Basic_Fundamental_Information_Concatenate("")</f>
        <v xml:space="preserve">
市值318.02691亿, 利润-3614.24万; PE27.27; 平均PE32.33; 平均PEG30.61, PB4.01; ROIC15.7833%; ROE18.6767%; 股利率.7743%; 毛利73.7967%; 净利21.3833%; 上一年度营收增-81.73%, 利润增-103.31%; 当季营收增-57.98%, 利润增-108.1%; 过往5年营收增-1.06%, 利润增-1.03%
Income profile:
</v>
      </c>
      <c r="D83" t="s">
        <v>130</v>
      </c>
      <c r="E83" t="s">
        <v>24</v>
      </c>
      <c r="F83">
        <v>16.79</v>
      </c>
      <c r="G83">
        <v>1.1399999999999999</v>
      </c>
      <c r="H83" t="s">
        <v>3578</v>
      </c>
      <c r="I83">
        <v>31802691000</v>
      </c>
      <c r="J83">
        <v>27.27</v>
      </c>
      <c r="K83">
        <v>4.01</v>
      </c>
      <c r="L83" t="s">
        <v>1303</v>
      </c>
      <c r="M83" t="s">
        <v>3579</v>
      </c>
      <c r="N83" t="s">
        <v>3580</v>
      </c>
      <c r="O83" t="s">
        <v>1176</v>
      </c>
      <c r="P83">
        <v>5.13</v>
      </c>
      <c r="Q83" t="s">
        <v>1176</v>
      </c>
      <c r="R83">
        <v>-36142433</v>
      </c>
      <c r="S83" s="5">
        <v>-1.163</v>
      </c>
      <c r="T83" t="s">
        <v>3581</v>
      </c>
      <c r="U83">
        <v>1894144800</v>
      </c>
      <c r="V83">
        <v>1894144800</v>
      </c>
      <c r="W83">
        <v>1.5</v>
      </c>
      <c r="X83">
        <v>0.09</v>
      </c>
      <c r="Y83">
        <v>-2.96</v>
      </c>
      <c r="Z83" t="s">
        <v>3582</v>
      </c>
      <c r="AA83" t="s">
        <v>494</v>
      </c>
      <c r="AB83" t="s">
        <v>321</v>
      </c>
      <c r="AC83" t="s">
        <v>572</v>
      </c>
      <c r="AD83" t="s">
        <v>63</v>
      </c>
      <c r="AE83">
        <v>-5750151</v>
      </c>
      <c r="AF83" t="s">
        <v>3583</v>
      </c>
      <c r="AG83" t="s">
        <v>3584</v>
      </c>
      <c r="AH83" t="s">
        <v>3585</v>
      </c>
      <c r="AI83" t="s">
        <v>1918</v>
      </c>
      <c r="AJ83" t="s">
        <v>3586</v>
      </c>
      <c r="AK83" t="s">
        <v>3587</v>
      </c>
      <c r="AL83" t="s">
        <v>3588</v>
      </c>
      <c r="AM83" t="s">
        <v>63</v>
      </c>
      <c r="AN83" t="s">
        <v>234</v>
      </c>
      <c r="AO83" t="s">
        <v>441</v>
      </c>
      <c r="AP83" t="s">
        <v>3589</v>
      </c>
      <c r="AQ83" t="s">
        <v>484</v>
      </c>
      <c r="AR83" t="s">
        <v>3590</v>
      </c>
      <c r="AS83" t="s">
        <v>1736</v>
      </c>
      <c r="AT83" t="s">
        <v>444</v>
      </c>
      <c r="AU83" t="s">
        <v>3591</v>
      </c>
      <c r="AV83" t="s">
        <v>849</v>
      </c>
      <c r="AW83" t="s">
        <v>3592</v>
      </c>
      <c r="AX83" t="s">
        <v>1579</v>
      </c>
      <c r="AY83" t="s">
        <v>1247</v>
      </c>
      <c r="AZ83" t="s">
        <v>956</v>
      </c>
      <c r="BA83" t="s">
        <v>605</v>
      </c>
      <c r="BB83" t="s">
        <v>958</v>
      </c>
      <c r="BC83" t="s">
        <v>874</v>
      </c>
      <c r="BD83" t="s">
        <v>1249</v>
      </c>
      <c r="BE83" t="s">
        <v>957</v>
      </c>
      <c r="BF83" t="s">
        <v>606</v>
      </c>
      <c r="BG83" t="s">
        <v>267</v>
      </c>
      <c r="BH83" t="s">
        <v>3593</v>
      </c>
      <c r="BI83" t="s">
        <v>1824</v>
      </c>
      <c r="BJ83" t="s">
        <v>1579</v>
      </c>
      <c r="BK83" t="s">
        <v>1106</v>
      </c>
      <c r="BL83" t="s">
        <v>823</v>
      </c>
      <c r="BM83" t="s">
        <v>874</v>
      </c>
      <c r="BN83">
        <v>7.39</v>
      </c>
      <c r="BO83">
        <v>15.37</v>
      </c>
      <c r="BP83">
        <v>24.59</v>
      </c>
      <c r="BQ83">
        <v>8.56</v>
      </c>
      <c r="BR83">
        <v>17.36</v>
      </c>
      <c r="BS83">
        <v>30.11</v>
      </c>
      <c r="BT83" t="s">
        <v>1460</v>
      </c>
      <c r="BU83" t="s">
        <v>2052</v>
      </c>
      <c r="BV83">
        <v>74.84</v>
      </c>
      <c r="BW83">
        <v>73.56</v>
      </c>
      <c r="BX83">
        <v>72.989999999999995</v>
      </c>
      <c r="BY83">
        <v>19.82</v>
      </c>
      <c r="BZ83">
        <v>17.22</v>
      </c>
      <c r="CA83">
        <v>27.11</v>
      </c>
      <c r="CB83">
        <v>-4.93</v>
      </c>
      <c r="CC83">
        <v>-19.16</v>
      </c>
      <c r="CD83" t="s">
        <v>3594</v>
      </c>
      <c r="CE83" t="s">
        <v>880</v>
      </c>
      <c r="CF83" s="9">
        <v>-0.57976653696498059</v>
      </c>
      <c r="CG83" s="10">
        <v>-1.0810368452914798</v>
      </c>
      <c r="CH83" s="9">
        <v>-0.81728696823120117</v>
      </c>
      <c r="CI83" s="9">
        <v>0.18282704055309296</v>
      </c>
      <c r="CJ83" s="9">
        <v>0.31727772951126099</v>
      </c>
      <c r="CK83" s="9">
        <v>7.7737584710121155E-2</v>
      </c>
      <c r="CL83" s="9">
        <v>0.18663804233074188</v>
      </c>
      <c r="CM83" s="10">
        <v>-1.0331276655197144</v>
      </c>
      <c r="CN83" s="10">
        <v>-0.25478136539459229</v>
      </c>
      <c r="CO83" s="10">
        <v>0.10741300880908966</v>
      </c>
      <c r="CP83" s="10">
        <v>-6.6384181380271912E-2</v>
      </c>
      <c r="CQ83" s="10">
        <v>1.195348858833313</v>
      </c>
      <c r="CR83">
        <v>32.331540157797093</v>
      </c>
      <c r="CS83">
        <v>30.613178879444341</v>
      </c>
      <c r="CT83">
        <v>0.77427039904705186</v>
      </c>
      <c r="CU83" s="9">
        <v>-1.0561314225196839E-2</v>
      </c>
      <c r="CV83" s="10">
        <v>-1.0306268930435181E-2</v>
      </c>
      <c r="CW83">
        <v>0.06</v>
      </c>
      <c r="CX83" t="e">
        <v>#VALUE!</v>
      </c>
      <c r="CY83" t="s">
        <v>1308</v>
      </c>
      <c r="CZ83">
        <v>-1.0561314225196839E-2</v>
      </c>
      <c r="DA83" t="e">
        <v>#VALUE!</v>
      </c>
      <c r="DB83" t="s">
        <v>1309</v>
      </c>
      <c r="DC83">
        <v>-1.0033248513936997E-2</v>
      </c>
      <c r="DD83" t="e">
        <v>#VALUE!</v>
      </c>
      <c r="DE83" t="s">
        <v>1309</v>
      </c>
      <c r="DF83">
        <v>-9.2939565181732187E-3</v>
      </c>
      <c r="DG83" t="e">
        <v>#VALUE!</v>
      </c>
      <c r="DH83" t="s">
        <v>1309</v>
      </c>
      <c r="DI83">
        <v>-8.4490513801574723E-3</v>
      </c>
      <c r="DJ83" t="e">
        <v>#VALUE!</v>
      </c>
      <c r="DK83" t="s">
        <v>1309</v>
      </c>
      <c r="DL83">
        <v>-7.3929199576377872E-3</v>
      </c>
      <c r="DM83">
        <v>-36142400</v>
      </c>
      <c r="DN83">
        <v>-1.0561314225196839E-2</v>
      </c>
      <c r="DO83">
        <v>28508691000</v>
      </c>
      <c r="DP83">
        <v>833025599.99999952</v>
      </c>
      <c r="DQ83">
        <v>3279</v>
      </c>
      <c r="DR83">
        <v>-0.5692052227397838</v>
      </c>
      <c r="DS83">
        <v>-1.0707305763610446</v>
      </c>
      <c r="DT83" s="11">
        <v>-0.39000000000000007</v>
      </c>
      <c r="DU83">
        <v>-1.5983333333333334</v>
      </c>
      <c r="DV83">
        <v>-1.9883333333333335</v>
      </c>
      <c r="DW83">
        <v>-8.2573068893528188</v>
      </c>
      <c r="DX83">
        <v>0.39696168093385209</v>
      </c>
      <c r="DY83">
        <v>-8.0429603907622074</v>
      </c>
      <c r="DZ83">
        <v>4304</v>
      </c>
      <c r="EA83">
        <v>-8.0067761399127857</v>
      </c>
      <c r="EB83">
        <v>8</v>
      </c>
      <c r="EC83">
        <v>4.5307148640378499E-2</v>
      </c>
      <c r="ED83">
        <v>0.27136256953533855</v>
      </c>
      <c r="EE83" s="12">
        <v>-4.0490000000000004</v>
      </c>
      <c r="EF83">
        <v>-4.0353000000000003</v>
      </c>
      <c r="EG83">
        <v>23.166961680933852</v>
      </c>
      <c r="EH83" t="s">
        <v>1797</v>
      </c>
      <c r="EI83">
        <v>0</v>
      </c>
      <c r="EJ83">
        <v>0</v>
      </c>
      <c r="EK83" s="14">
        <v>45470</v>
      </c>
      <c r="EL83" s="15">
        <v>0</v>
      </c>
      <c r="EM83" s="15">
        <v>-6.58</v>
      </c>
      <c r="EN83" s="15">
        <v>-2.11</v>
      </c>
      <c r="EO83" s="15">
        <v>5.04</v>
      </c>
      <c r="EP83" s="15">
        <v>-1.37</v>
      </c>
    </row>
    <row r="84" spans="1:146" ht="96" x14ac:dyDescent="0.25">
      <c r="A84" s="7"/>
      <c r="B84" s="7"/>
      <c r="C84" s="7" t="str">
        <f>""&amp;CHAR(10)&amp;Basic_Fundamental_Information_Constructure(F84)&amp;CHAR(10)&amp;Basic_Fundamental_Information_Concatenate("")</f>
        <v xml:space="preserve">
市值319.28989亿, 利润-4.53亿; PE; 平均PE58.87; 平均PEG4.75, PB3.31; ROIC4.125%; ROE.8%; 股利率0%; 毛利56.1167%; 净利.18%; 上一年度营收增-81.12%, 利润增-306.85%; 当季营收增-48.1%, 利润增46.39%; 过往5年营收增-12.4%, 利润增-65.5%
Income profile:
</v>
      </c>
      <c r="D84" t="s">
        <v>102</v>
      </c>
      <c r="E84" t="s">
        <v>8</v>
      </c>
      <c r="F84">
        <v>9.34</v>
      </c>
      <c r="G84">
        <v>0.65</v>
      </c>
      <c r="H84" t="s">
        <v>3595</v>
      </c>
      <c r="I84">
        <v>31928989000</v>
      </c>
      <c r="K84">
        <v>3.31</v>
      </c>
      <c r="L84" t="s">
        <v>1303</v>
      </c>
      <c r="M84" t="s">
        <v>3596</v>
      </c>
      <c r="N84" t="s">
        <v>3597</v>
      </c>
      <c r="O84" t="s">
        <v>3598</v>
      </c>
      <c r="P84">
        <v>18.61</v>
      </c>
      <c r="Q84" t="s">
        <v>3598</v>
      </c>
      <c r="R84">
        <v>-453030630</v>
      </c>
      <c r="S84" s="5">
        <v>-0.14169999999999999</v>
      </c>
      <c r="T84" t="s">
        <v>3599</v>
      </c>
      <c r="U84">
        <v>3416997400</v>
      </c>
      <c r="V84">
        <v>3418521400</v>
      </c>
      <c r="W84">
        <v>2.16</v>
      </c>
      <c r="X84">
        <v>7.0000000000000007E-2</v>
      </c>
      <c r="Y84">
        <v>-26.69</v>
      </c>
      <c r="Z84" t="s">
        <v>3600</v>
      </c>
      <c r="AA84" t="s">
        <v>574</v>
      </c>
      <c r="AB84" t="s">
        <v>559</v>
      </c>
      <c r="AC84" t="s">
        <v>571</v>
      </c>
      <c r="AD84" t="s">
        <v>63</v>
      </c>
      <c r="AE84">
        <v>26035590</v>
      </c>
      <c r="AF84" t="s">
        <v>3601</v>
      </c>
      <c r="AG84" t="s">
        <v>3602</v>
      </c>
      <c r="AH84" t="s">
        <v>3603</v>
      </c>
      <c r="AI84" t="s">
        <v>3604</v>
      </c>
      <c r="AJ84" t="s">
        <v>3605</v>
      </c>
      <c r="AK84" t="s">
        <v>183</v>
      </c>
      <c r="AL84" t="s">
        <v>3606</v>
      </c>
      <c r="AM84" t="s">
        <v>63</v>
      </c>
      <c r="AN84" t="s">
        <v>903</v>
      </c>
      <c r="AO84" t="s">
        <v>3607</v>
      </c>
      <c r="AP84" t="s">
        <v>63</v>
      </c>
      <c r="AQ84" t="s">
        <v>3608</v>
      </c>
      <c r="AR84" t="s">
        <v>3609</v>
      </c>
      <c r="AS84" t="s">
        <v>3610</v>
      </c>
      <c r="AT84" t="s">
        <v>3611</v>
      </c>
      <c r="AU84" t="s">
        <v>3612</v>
      </c>
      <c r="AV84" t="s">
        <v>738</v>
      </c>
      <c r="AW84" t="s">
        <v>230</v>
      </c>
      <c r="AX84" t="s">
        <v>1581</v>
      </c>
      <c r="AY84" t="s">
        <v>1250</v>
      </c>
      <c r="AZ84" t="s">
        <v>1251</v>
      </c>
      <c r="BA84" t="s">
        <v>610</v>
      </c>
      <c r="BB84" t="s">
        <v>960</v>
      </c>
      <c r="BC84" t="s">
        <v>397</v>
      </c>
      <c r="BD84" t="s">
        <v>970</v>
      </c>
      <c r="BE84" t="s">
        <v>1189</v>
      </c>
      <c r="BF84" t="s">
        <v>611</v>
      </c>
      <c r="BG84" t="s">
        <v>418</v>
      </c>
      <c r="BH84" t="s">
        <v>3613</v>
      </c>
      <c r="BI84" t="s">
        <v>1910</v>
      </c>
      <c r="BJ84" t="s">
        <v>1581</v>
      </c>
      <c r="BK84" t="s">
        <v>1909</v>
      </c>
      <c r="BL84" t="s">
        <v>1911</v>
      </c>
      <c r="BM84" t="s">
        <v>397</v>
      </c>
      <c r="BN84" t="s">
        <v>63</v>
      </c>
      <c r="BO84">
        <v>1.5</v>
      </c>
      <c r="BP84">
        <v>6.75</v>
      </c>
      <c r="BQ84">
        <v>-9.7899999999999991</v>
      </c>
      <c r="BR84">
        <v>2</v>
      </c>
      <c r="BS84">
        <v>10.19</v>
      </c>
      <c r="BT84" t="s">
        <v>1445</v>
      </c>
      <c r="BU84" t="s">
        <v>2031</v>
      </c>
      <c r="BV84">
        <v>50.73</v>
      </c>
      <c r="BW84">
        <v>56.37</v>
      </c>
      <c r="BX84">
        <v>61.25</v>
      </c>
      <c r="BY84">
        <v>-9.5299999999999994</v>
      </c>
      <c r="BZ84">
        <v>2.4300000000000002</v>
      </c>
      <c r="CA84">
        <v>7.64</v>
      </c>
      <c r="CB84">
        <v>-6.6</v>
      </c>
      <c r="CC84">
        <v>-19.829999999999998</v>
      </c>
      <c r="CD84" t="s">
        <v>213</v>
      </c>
      <c r="CE84" t="s">
        <v>526</v>
      </c>
      <c r="CF84" s="9">
        <v>-0.48100890207715147</v>
      </c>
      <c r="CG84" s="10">
        <v>0.46386907692307683</v>
      </c>
      <c r="CH84" s="9">
        <v>-0.81116390228271484</v>
      </c>
      <c r="CI84" s="9">
        <v>3.6945857107639313E-2</v>
      </c>
      <c r="CJ84" s="9">
        <v>4.7373328357934952E-2</v>
      </c>
      <c r="CK84" s="9">
        <v>2.1151434630155563E-3</v>
      </c>
      <c r="CL84" s="9">
        <v>0.10476438701152802</v>
      </c>
      <c r="CM84" s="10">
        <v>-3.068493127822876</v>
      </c>
      <c r="CN84" s="10">
        <v>-0.6906779408454895</v>
      </c>
      <c r="CO84" s="10">
        <v>-0.2812182605266571</v>
      </c>
      <c r="CP84" s="10">
        <v>-0.16737113893032074</v>
      </c>
      <c r="CQ84" s="10">
        <v>0.9330066442489624</v>
      </c>
      <c r="CR84">
        <v>58.873366318377379</v>
      </c>
      <c r="CS84">
        <v>4.7481187343512827</v>
      </c>
      <c r="CT84">
        <v>0</v>
      </c>
      <c r="CU84" s="9">
        <v>-0.1239930372685194</v>
      </c>
      <c r="CV84" s="10">
        <v>-0.65495076477527614</v>
      </c>
      <c r="CW84">
        <v>0.06</v>
      </c>
      <c r="CX84" t="e">
        <v>#VALUE!</v>
      </c>
      <c r="CY84" t="s">
        <v>1308</v>
      </c>
      <c r="CZ84">
        <v>-0.1239930372685194</v>
      </c>
      <c r="DA84" t="e">
        <v>#VALUE!</v>
      </c>
      <c r="DB84" t="s">
        <v>1309</v>
      </c>
      <c r="DC84">
        <v>-0.11779338540509343</v>
      </c>
      <c r="DD84" t="e">
        <v>#VALUE!</v>
      </c>
      <c r="DE84" t="s">
        <v>1309</v>
      </c>
      <c r="DF84">
        <v>-0.10911387279629707</v>
      </c>
      <c r="DG84" t="e">
        <v>#VALUE!</v>
      </c>
      <c r="DH84" t="s">
        <v>1309</v>
      </c>
      <c r="DI84">
        <v>-9.9194429814815521E-2</v>
      </c>
      <c r="DJ84" t="e">
        <v>#VALUE!</v>
      </c>
      <c r="DK84" t="s">
        <v>1309</v>
      </c>
      <c r="DL84">
        <v>-8.6795126087963581E-2</v>
      </c>
      <c r="DM84">
        <v>-453000000</v>
      </c>
      <c r="DN84">
        <v>-0.1239930372685194</v>
      </c>
      <c r="DO84">
        <v>34374989000</v>
      </c>
      <c r="DP84">
        <v>1158111300</v>
      </c>
      <c r="DQ84">
        <v>3296</v>
      </c>
      <c r="DR84">
        <v>-0.35701586480863207</v>
      </c>
      <c r="DS84">
        <v>1.118819841698353</v>
      </c>
      <c r="DT84" s="11">
        <v>-0.77333333333333332</v>
      </c>
      <c r="DU84">
        <v>-1.9983333333333333</v>
      </c>
      <c r="DV84">
        <v>-2.7716666666666665</v>
      </c>
      <c r="DW84">
        <v>-9.3328290468986381</v>
      </c>
      <c r="DX84">
        <v>0.43629629629629585</v>
      </c>
      <c r="DY84">
        <v>-9.0986160138958923</v>
      </c>
      <c r="DZ84">
        <v>1084</v>
      </c>
      <c r="EA84">
        <v>-9.0776962958796208</v>
      </c>
      <c r="EB84">
        <v>9</v>
      </c>
      <c r="EC84">
        <v>5.3824440004968228E-2</v>
      </c>
      <c r="ED84">
        <v>0.18165748501676779</v>
      </c>
      <c r="EE84" s="12">
        <v>1.1144000000000001</v>
      </c>
      <c r="EF84">
        <v>1.0826</v>
      </c>
      <c r="EG84">
        <v>14.296296296296296</v>
      </c>
      <c r="EH84" t="s">
        <v>1312</v>
      </c>
      <c r="EI84">
        <v>0</v>
      </c>
      <c r="EJ84">
        <v>1</v>
      </c>
      <c r="EK84" s="14">
        <v>45470</v>
      </c>
      <c r="EL84" s="15">
        <v>5.69</v>
      </c>
      <c r="EM84" s="15">
        <v>-2.6</v>
      </c>
      <c r="EN84" s="15">
        <v>4.13</v>
      </c>
      <c r="EO84" s="15">
        <v>1.59</v>
      </c>
      <c r="EP84" s="15">
        <v>-3.18</v>
      </c>
    </row>
    <row r="85" spans="1:146" ht="96" x14ac:dyDescent="0.25">
      <c r="A85" s="7"/>
      <c r="B85" s="7"/>
      <c r="C85" s="7" t="str">
        <f>""&amp;CHAR(10)&amp;Basic_Fundamental_Information_Constructure(F85)&amp;CHAR(10)&amp;Basic_Fundamental_Information_Concatenate("")</f>
        <v xml:space="preserve">
市值146.75136亿, 利润6001.55万; PE69.46; 平均PE69.83; 平均PEG5.32, PB3.14; ROIC2.9567%; ROE4.4267%; 股利率.4007%; 毛利19.76%; 净利4.78%; 上一年度营收增-68.57%, 利润增-66.84%; 当季营收增-42.95%, 利润增-35.32%; 过往5年营收增-13.13%, 利润增-20.27%
Income profile:
</v>
      </c>
      <c r="D85" t="s">
        <v>139</v>
      </c>
      <c r="E85" t="s">
        <v>55</v>
      </c>
      <c r="F85">
        <v>10.73</v>
      </c>
      <c r="G85">
        <v>0.75</v>
      </c>
      <c r="H85" t="s">
        <v>3614</v>
      </c>
      <c r="I85">
        <v>14675136000</v>
      </c>
      <c r="J85">
        <v>69.459999999999994</v>
      </c>
      <c r="K85">
        <v>3.14</v>
      </c>
      <c r="L85" t="s">
        <v>1303</v>
      </c>
      <c r="M85" t="s">
        <v>3615</v>
      </c>
      <c r="N85" t="s">
        <v>3616</v>
      </c>
      <c r="O85" t="s">
        <v>1804</v>
      </c>
      <c r="P85">
        <v>28.66</v>
      </c>
      <c r="Q85" t="s">
        <v>1804</v>
      </c>
      <c r="R85">
        <v>60015547</v>
      </c>
      <c r="S85" s="5">
        <v>0.44040000000000001</v>
      </c>
      <c r="T85" t="s">
        <v>3617</v>
      </c>
      <c r="U85">
        <v>1074302990</v>
      </c>
      <c r="V85">
        <v>1367673500</v>
      </c>
      <c r="W85">
        <v>1.44</v>
      </c>
      <c r="X85">
        <v>0.2</v>
      </c>
      <c r="Y85">
        <v>4.1100000000000003</v>
      </c>
      <c r="Z85" t="s">
        <v>1805</v>
      </c>
      <c r="AA85" t="s">
        <v>350</v>
      </c>
      <c r="AB85" t="s">
        <v>3618</v>
      </c>
      <c r="AC85" t="s">
        <v>3619</v>
      </c>
      <c r="AD85" t="s">
        <v>63</v>
      </c>
      <c r="AE85">
        <v>-21537968</v>
      </c>
      <c r="AF85" t="s">
        <v>3620</v>
      </c>
      <c r="AG85" t="s">
        <v>3621</v>
      </c>
      <c r="AH85" t="s">
        <v>3622</v>
      </c>
      <c r="AI85" t="s">
        <v>3623</v>
      </c>
      <c r="AJ85" t="s">
        <v>3624</v>
      </c>
      <c r="AK85" t="s">
        <v>3625</v>
      </c>
      <c r="AL85" t="s">
        <v>3626</v>
      </c>
      <c r="AM85" t="s">
        <v>63</v>
      </c>
      <c r="AN85" t="s">
        <v>3627</v>
      </c>
      <c r="AO85" t="s">
        <v>63</v>
      </c>
      <c r="AP85" t="s">
        <v>3628</v>
      </c>
      <c r="AQ85" t="s">
        <v>2006</v>
      </c>
      <c r="AR85" t="s">
        <v>3629</v>
      </c>
      <c r="AS85" t="s">
        <v>3630</v>
      </c>
      <c r="AT85" t="s">
        <v>63</v>
      </c>
      <c r="AU85" t="s">
        <v>3631</v>
      </c>
      <c r="AV85" t="s">
        <v>1796</v>
      </c>
      <c r="AW85" t="s">
        <v>703</v>
      </c>
      <c r="AX85" t="s">
        <v>1582</v>
      </c>
      <c r="AY85" t="s">
        <v>1252</v>
      </c>
      <c r="AZ85" t="s">
        <v>535</v>
      </c>
      <c r="BA85" t="s">
        <v>613</v>
      </c>
      <c r="BB85" t="s">
        <v>961</v>
      </c>
      <c r="BC85" t="s">
        <v>203</v>
      </c>
      <c r="BD85" t="s">
        <v>500</v>
      </c>
      <c r="BE85" t="s">
        <v>449</v>
      </c>
      <c r="BF85" t="s">
        <v>265</v>
      </c>
      <c r="BG85" t="s">
        <v>581</v>
      </c>
      <c r="BH85" t="s">
        <v>3632</v>
      </c>
      <c r="BI85" t="s">
        <v>1583</v>
      </c>
      <c r="BJ85" t="s">
        <v>1582</v>
      </c>
      <c r="BK85" t="s">
        <v>337</v>
      </c>
      <c r="BL85" t="s">
        <v>1912</v>
      </c>
      <c r="BM85" t="s">
        <v>203</v>
      </c>
      <c r="BN85">
        <v>2.23</v>
      </c>
      <c r="BO85">
        <v>2.12</v>
      </c>
      <c r="BP85">
        <v>4.5199999999999996</v>
      </c>
      <c r="BQ85">
        <v>3.38</v>
      </c>
      <c r="BR85">
        <v>4.0199999999999996</v>
      </c>
      <c r="BS85">
        <v>5.88</v>
      </c>
      <c r="BT85" t="s">
        <v>3633</v>
      </c>
      <c r="BU85" t="s">
        <v>2052</v>
      </c>
      <c r="BV85">
        <v>17.989999999999998</v>
      </c>
      <c r="BW85">
        <v>19.739999999999998</v>
      </c>
      <c r="BX85">
        <v>21.55</v>
      </c>
      <c r="BY85">
        <v>4.34</v>
      </c>
      <c r="BZ85">
        <v>4.1500000000000004</v>
      </c>
      <c r="CA85">
        <v>5.85</v>
      </c>
      <c r="CB85">
        <v>-2.81</v>
      </c>
      <c r="CC85">
        <v>-9.5</v>
      </c>
      <c r="CD85" t="s">
        <v>3634</v>
      </c>
      <c r="CE85" t="s">
        <v>428</v>
      </c>
      <c r="CF85" s="9">
        <v>-0.42954363490792635</v>
      </c>
      <c r="CG85" s="10">
        <v>-0.35323265415208677</v>
      </c>
      <c r="CH85" s="9">
        <v>-0.68570798635482788</v>
      </c>
      <c r="CI85" s="9">
        <v>-9.1928660869598389E-2</v>
      </c>
      <c r="CJ85" s="9">
        <v>8.7799519300460815E-2</v>
      </c>
      <c r="CK85" s="9">
        <v>-6.115766242146492E-2</v>
      </c>
      <c r="CL85" s="9">
        <v>9.4715647399425507E-2</v>
      </c>
      <c r="CM85" s="10">
        <v>-0.6684226393699646</v>
      </c>
      <c r="CN85" s="10">
        <v>-0.29571983218193054</v>
      </c>
      <c r="CO85" s="10">
        <v>3.2128512859344482E-2</v>
      </c>
      <c r="CP85" s="10">
        <v>2.8925620019435883E-2</v>
      </c>
      <c r="CQ85" s="10">
        <v>-0.11029411852359772</v>
      </c>
      <c r="CR85">
        <v>69.825324113779729</v>
      </c>
      <c r="CS85">
        <v>5.3197884516287735</v>
      </c>
      <c r="CT85">
        <v>0.40074557315936626</v>
      </c>
      <c r="CU85" s="9">
        <v>-0.13125582858920098</v>
      </c>
      <c r="CV85" s="10">
        <v>-0.20267649143934249</v>
      </c>
      <c r="CW85">
        <v>0.06</v>
      </c>
      <c r="CX85">
        <v>215.27998600361573</v>
      </c>
      <c r="CY85" t="s">
        <v>3635</v>
      </c>
      <c r="CZ85">
        <v>-0.13125582858920098</v>
      </c>
      <c r="DA85">
        <v>71.759995334538573</v>
      </c>
      <c r="DB85" t="s">
        <v>3636</v>
      </c>
      <c r="DC85">
        <v>-0.12469303715974094</v>
      </c>
      <c r="DD85">
        <v>35.879997667269286</v>
      </c>
      <c r="DE85" t="s">
        <v>3637</v>
      </c>
      <c r="DF85">
        <v>-0.11550512915849687</v>
      </c>
      <c r="DG85">
        <v>21.527998600361574</v>
      </c>
      <c r="DH85" t="s">
        <v>3638</v>
      </c>
      <c r="DI85">
        <v>-0.10500466287136079</v>
      </c>
      <c r="DJ85">
        <v>10.763999300180787</v>
      </c>
      <c r="DK85" t="s">
        <v>3639</v>
      </c>
      <c r="DL85">
        <v>-9.1879080012440689E-2</v>
      </c>
      <c r="DM85">
        <v>60015500</v>
      </c>
      <c r="DN85">
        <v>-0.13125582858920098</v>
      </c>
      <c r="DO85">
        <v>12920136000</v>
      </c>
      <c r="DP85">
        <v>3507848100</v>
      </c>
      <c r="DQ85">
        <v>3309</v>
      </c>
      <c r="DR85">
        <v>-0.29828780631872537</v>
      </c>
      <c r="DS85">
        <v>-0.15055616271274427</v>
      </c>
      <c r="DT85" s="11">
        <v>-0.77333333333333332</v>
      </c>
      <c r="DU85">
        <v>-0.70333333333333325</v>
      </c>
      <c r="DV85">
        <v>-1.4766666666666666</v>
      </c>
      <c r="DW85">
        <v>-8.295789473684211</v>
      </c>
      <c r="DX85">
        <v>0.3542392156862762</v>
      </c>
      <c r="DY85">
        <v>-8.0485802311661505</v>
      </c>
      <c r="DZ85">
        <v>3960</v>
      </c>
      <c r="EA85">
        <v>-8.0109329287360218</v>
      </c>
      <c r="EB85">
        <v>8</v>
      </c>
      <c r="EC85">
        <v>4.8995319423824471E-2</v>
      </c>
      <c r="ED85">
        <v>0.298316813186773</v>
      </c>
      <c r="EE85" s="12">
        <v>-2.0474000000000001</v>
      </c>
      <c r="EF85">
        <v>-2.0293999999999999</v>
      </c>
      <c r="EG85">
        <v>19.164239215686276</v>
      </c>
      <c r="EH85" t="s">
        <v>1468</v>
      </c>
      <c r="EI85">
        <v>0</v>
      </c>
      <c r="EJ85">
        <v>0</v>
      </c>
      <c r="EK85" s="14">
        <v>45470</v>
      </c>
      <c r="EL85" s="15">
        <v>1.06</v>
      </c>
      <c r="EM85" s="15">
        <v>-4.21</v>
      </c>
      <c r="EN85" s="15">
        <v>-2.2000000000000002</v>
      </c>
      <c r="EO85" s="15">
        <v>4.12</v>
      </c>
      <c r="EP85" s="15">
        <v>-1.8</v>
      </c>
    </row>
    <row r="86" spans="1:146" ht="96" x14ac:dyDescent="0.25">
      <c r="A86" s="7"/>
      <c r="B86" s="7"/>
      <c r="C86" s="7" t="str">
        <f>""&amp;CHAR(10)&amp;Basic_Fundamental_Information_Constructure(F86)&amp;CHAR(10)&amp;Basic_Fundamental_Information_Concatenate("")</f>
        <v xml:space="preserve">
市值532.32956亿, 利润-1.10亿; PE; 平均PE28.99; 平均PEG1.29, PB1.68; ROIC.97%; ROE-1.78%; 股利率1.3423%; 毛利60.6167%; 净利-7.0833%; 上一年度营收增-81.95%, 利润增95.01%; 当季营收增-61.83%, 利润增52.54%; 过往5年营收增-22.5%, 利润增-60.1%
Income profile:
</v>
      </c>
      <c r="D86" t="s">
        <v>146</v>
      </c>
      <c r="E86" t="s">
        <v>44</v>
      </c>
      <c r="F86">
        <v>7.45</v>
      </c>
      <c r="G86">
        <v>1.0900000000000001</v>
      </c>
      <c r="H86" t="s">
        <v>3640</v>
      </c>
      <c r="I86">
        <v>53232956000</v>
      </c>
      <c r="K86">
        <v>1.68</v>
      </c>
      <c r="L86" t="s">
        <v>1303</v>
      </c>
      <c r="M86" t="s">
        <v>3641</v>
      </c>
      <c r="N86" t="s">
        <v>3642</v>
      </c>
      <c r="O86" t="s">
        <v>1853</v>
      </c>
      <c r="P86">
        <v>-12.53</v>
      </c>
      <c r="Q86" t="s">
        <v>1853</v>
      </c>
      <c r="R86">
        <v>-109635000</v>
      </c>
      <c r="S86" s="5">
        <v>0.41149999999999998</v>
      </c>
      <c r="T86" t="s">
        <v>1408</v>
      </c>
      <c r="U86">
        <v>7145363200</v>
      </c>
      <c r="V86">
        <v>7145363200</v>
      </c>
      <c r="W86">
        <v>1.26</v>
      </c>
      <c r="X86">
        <v>0.04</v>
      </c>
      <c r="Y86">
        <v>-6.61</v>
      </c>
      <c r="Z86" t="s">
        <v>1776</v>
      </c>
      <c r="AA86" t="s">
        <v>1767</v>
      </c>
      <c r="AB86" t="s">
        <v>632</v>
      </c>
      <c r="AC86" t="s">
        <v>196</v>
      </c>
      <c r="AD86" t="s">
        <v>63</v>
      </c>
      <c r="AE86">
        <v>-174643000</v>
      </c>
      <c r="AF86" t="s">
        <v>3643</v>
      </c>
      <c r="AG86" t="s">
        <v>3644</v>
      </c>
      <c r="AH86" t="s">
        <v>3645</v>
      </c>
      <c r="AI86" t="s">
        <v>3646</v>
      </c>
      <c r="AJ86" t="s">
        <v>3647</v>
      </c>
      <c r="AK86" t="s">
        <v>3648</v>
      </c>
      <c r="AL86" t="s">
        <v>3649</v>
      </c>
      <c r="AM86" t="s">
        <v>63</v>
      </c>
      <c r="AN86" t="s">
        <v>3650</v>
      </c>
      <c r="AO86" t="s">
        <v>1107</v>
      </c>
      <c r="AP86" t="s">
        <v>3651</v>
      </c>
      <c r="AQ86" t="s">
        <v>3652</v>
      </c>
      <c r="AR86" t="s">
        <v>3653</v>
      </c>
      <c r="AS86" t="s">
        <v>3654</v>
      </c>
      <c r="AT86" t="s">
        <v>663</v>
      </c>
      <c r="AU86" t="s">
        <v>3655</v>
      </c>
      <c r="AV86" t="s">
        <v>3656</v>
      </c>
      <c r="AW86" t="s">
        <v>427</v>
      </c>
      <c r="AX86" t="s">
        <v>1584</v>
      </c>
      <c r="AY86" t="s">
        <v>1255</v>
      </c>
      <c r="AZ86" t="s">
        <v>966</v>
      </c>
      <c r="BA86" t="s">
        <v>620</v>
      </c>
      <c r="BB86" t="s">
        <v>968</v>
      </c>
      <c r="BC86" t="s">
        <v>1585</v>
      </c>
      <c r="BD86" t="s">
        <v>1256</v>
      </c>
      <c r="BE86" t="s">
        <v>967</v>
      </c>
      <c r="BF86" t="s">
        <v>621</v>
      </c>
      <c r="BG86" t="s">
        <v>969</v>
      </c>
      <c r="BH86" t="s">
        <v>3657</v>
      </c>
      <c r="BI86" t="s">
        <v>1916</v>
      </c>
      <c r="BJ86" t="s">
        <v>1584</v>
      </c>
      <c r="BK86" t="s">
        <v>3658</v>
      </c>
      <c r="BL86" t="s">
        <v>1874</v>
      </c>
      <c r="BM86" t="s">
        <v>1585</v>
      </c>
      <c r="BN86" t="s">
        <v>63</v>
      </c>
      <c r="BO86" t="s">
        <v>63</v>
      </c>
      <c r="BP86">
        <v>0.97</v>
      </c>
      <c r="BQ86">
        <v>-1.17</v>
      </c>
      <c r="BR86">
        <v>-6.67</v>
      </c>
      <c r="BS86">
        <v>2.5</v>
      </c>
      <c r="BT86" t="s">
        <v>1446</v>
      </c>
      <c r="BU86" t="s">
        <v>2031</v>
      </c>
      <c r="BV86">
        <v>60.76</v>
      </c>
      <c r="BW86">
        <v>58.8</v>
      </c>
      <c r="BX86">
        <v>62.29</v>
      </c>
      <c r="BY86">
        <v>-5.51</v>
      </c>
      <c r="BZ86">
        <v>-23.46</v>
      </c>
      <c r="CA86">
        <v>7.72</v>
      </c>
      <c r="CB86">
        <v>-2.99</v>
      </c>
      <c r="CC86">
        <v>-9.26</v>
      </c>
      <c r="CD86" t="s">
        <v>523</v>
      </c>
      <c r="CE86" t="s">
        <v>1805</v>
      </c>
      <c r="CF86" s="9">
        <v>-0.61825449700199864</v>
      </c>
      <c r="CG86" s="10">
        <v>0.52538961038961041</v>
      </c>
      <c r="CH86" s="9">
        <v>-0.81945174932479858</v>
      </c>
      <c r="CI86" s="9">
        <v>-0.12539033591747284</v>
      </c>
      <c r="CJ86" s="9">
        <v>-6.276366114616394E-2</v>
      </c>
      <c r="CK86" s="9">
        <v>-9.5475457608699799E-2</v>
      </c>
      <c r="CL86" s="9">
        <v>-2.1936172619462013E-2</v>
      </c>
      <c r="CM86" s="10">
        <v>0.95009076595306396</v>
      </c>
      <c r="CN86" s="10">
        <v>-3.4434587955474854</v>
      </c>
      <c r="CO86" s="10">
        <v>-0.69035357236862183</v>
      </c>
      <c r="CP86" s="10">
        <v>-0.51287627220153809</v>
      </c>
      <c r="CQ86" s="10">
        <v>0.69165492057800293</v>
      </c>
      <c r="CR86">
        <v>28.993984749455336</v>
      </c>
      <c r="CS86">
        <v>1.2886016408320957</v>
      </c>
      <c r="CT86">
        <v>1.3422818791946309</v>
      </c>
      <c r="CU86" s="9">
        <v>-0.22500347532331944</v>
      </c>
      <c r="CV86" s="10">
        <v>-0.6009885907173157</v>
      </c>
      <c r="CW86">
        <v>0.06</v>
      </c>
      <c r="CX86" t="e">
        <v>#VALUE!</v>
      </c>
      <c r="CY86" t="s">
        <v>1308</v>
      </c>
      <c r="CZ86">
        <v>-0.22500347532331944</v>
      </c>
      <c r="DA86" t="e">
        <v>#VALUE!</v>
      </c>
      <c r="DB86" t="s">
        <v>1309</v>
      </c>
      <c r="DC86">
        <v>-0.21375330155715344</v>
      </c>
      <c r="DD86" t="e">
        <v>#VALUE!</v>
      </c>
      <c r="DE86" t="s">
        <v>1309</v>
      </c>
      <c r="DF86">
        <v>-0.19800305828452111</v>
      </c>
      <c r="DG86" t="e">
        <v>#VALUE!</v>
      </c>
      <c r="DH86" t="s">
        <v>1309</v>
      </c>
      <c r="DI86">
        <v>-0.18000278025865557</v>
      </c>
      <c r="DJ86" t="e">
        <v>#VALUE!</v>
      </c>
      <c r="DK86" t="s">
        <v>1309</v>
      </c>
      <c r="DL86">
        <v>-0.15750243272632358</v>
      </c>
      <c r="DM86">
        <v>-110000000.00000001</v>
      </c>
      <c r="DN86">
        <v>-0.22500347532331944</v>
      </c>
      <c r="DO86">
        <v>29929956000.000004</v>
      </c>
      <c r="DP86">
        <v>23043114000</v>
      </c>
      <c r="DQ86">
        <v>3717</v>
      </c>
      <c r="DR86">
        <v>-0.3932510216786792</v>
      </c>
      <c r="DS86">
        <v>1.1263782011069261</v>
      </c>
      <c r="DT86" s="11">
        <v>-0.77333333333333332</v>
      </c>
      <c r="DU86">
        <v>-1.8816666666666668</v>
      </c>
      <c r="DV86">
        <v>-2.6550000000000002</v>
      </c>
      <c r="DW86">
        <v>-8.3228941684665223</v>
      </c>
      <c r="DX86">
        <v>0.33558823529411669</v>
      </c>
      <c r="DY86">
        <v>-8.0470095921738025</v>
      </c>
      <c r="DZ86">
        <v>2345</v>
      </c>
      <c r="EA86">
        <v>-8.0254366971351399</v>
      </c>
      <c r="EB86">
        <v>8</v>
      </c>
      <c r="EC86">
        <v>2.7710277904417789E-2</v>
      </c>
      <c r="ED86">
        <v>0.19033322196973837</v>
      </c>
      <c r="EE86" s="12">
        <v>9.6309999999999993E-2</v>
      </c>
      <c r="EF86">
        <v>9.8209999999999992E-2</v>
      </c>
      <c r="EG86">
        <v>19.145588235294117</v>
      </c>
      <c r="EH86">
        <v>-1</v>
      </c>
      <c r="EI86">
        <v>0</v>
      </c>
      <c r="EJ86">
        <v>0</v>
      </c>
      <c r="EK86" s="14">
        <v>45470</v>
      </c>
      <c r="EL86" s="15">
        <v>1.98</v>
      </c>
      <c r="EM86" s="15">
        <v>-2.13</v>
      </c>
      <c r="EN86" s="15">
        <v>1.98</v>
      </c>
      <c r="EO86" s="15">
        <v>0.19</v>
      </c>
      <c r="EP86" s="15">
        <v>-0.19</v>
      </c>
    </row>
    <row r="87" spans="1:146" ht="204" x14ac:dyDescent="0.25">
      <c r="A87" s="7"/>
      <c r="B87" s="7"/>
      <c r="C87" s="7" t="str">
        <f>"公司的主要业务聚焦在证券信息服务平台、大数据及数据工程服务和境外业务三大板块。证券信息服务平台是以软件终端为载体,以移动APP、PC版软件、云服务、互动直播以及TV终端等方式向广大投资者提供及时、专业的证券信息和数据服务的综合性互联网平台"&amp;CHAR(10)&amp;Basic_Fundamental_Information_Constructure(F87)&amp;CHAR(10)&amp;Basic_Fundamental_Information_Concatenate("金融资讯及数据PC终端服务系统 3.18亿 38.79% 33.19% 56.41%
港股服务系统 1.65亿 20.15% 19.86% 65.01%
广告 1.47亿 18.00% 26.98% 98.82%
证券公司综合服务系统 9298.82万 11.36% 9.81% 56.94%
其他 4820.12万 5.89% 7.98% 89.39%")</f>
        <v>公司的主要业务聚焦在证券信息服务平台、大数据及数据工程服务和境外业务三大板块。证券信息服务平台是以软件终端为载体,以移动APP、PC版软件、云服务、互动直播以及TV终端等方式向广大投资者提供及时、专业的证券信息和数据服务的综合性互联网平台
市值111.8157亿, 利润-6867.04万; PE; 平均PE1473.93; 平均PEG147.61, PB6.94; ROIC5.755%; ROE2.9367%; 股利率0%; 毛利61.5133%; 净利.38%; 上一年度营收增-79.49%, 利润增22.24%; 当季营收增-55.8%, 利润增-124.27%; 过往5年营收增-9.99%, 利润增62.99%
Income profile:
金融资讯及数据PC终端服务系统 3.18亿 38.79% 33.19% 56.41%
港股服务系统 1.65亿 20.15% 19.86% 65.01%
广告 1.47亿 18.00% 26.98% 98.82%
证券公司综合服务系统 9298.82万 11.36% 9.81% 56.94%
其他 4820.12万 5.89% 7.98% 89.39%</v>
      </c>
      <c r="D87" t="s">
        <v>73</v>
      </c>
      <c r="E87" t="s">
        <v>62</v>
      </c>
      <c r="F87">
        <v>5.58</v>
      </c>
      <c r="G87">
        <v>1.0900000000000001</v>
      </c>
      <c r="H87" t="s">
        <v>3659</v>
      </c>
      <c r="I87">
        <v>11181570000</v>
      </c>
      <c r="K87">
        <v>6.94</v>
      </c>
      <c r="L87" t="s">
        <v>1303</v>
      </c>
      <c r="M87" t="s">
        <v>511</v>
      </c>
      <c r="N87" t="s">
        <v>3660</v>
      </c>
      <c r="O87" t="s">
        <v>196</v>
      </c>
      <c r="P87">
        <v>-5.07</v>
      </c>
      <c r="Q87" t="s">
        <v>196</v>
      </c>
      <c r="R87">
        <v>-68670354</v>
      </c>
      <c r="S87" s="6">
        <v>-1.2250000000000001</v>
      </c>
      <c r="T87" t="s">
        <v>3661</v>
      </c>
      <c r="U87">
        <v>2003865600</v>
      </c>
      <c r="V87">
        <v>2003865600</v>
      </c>
      <c r="W87">
        <v>1.38</v>
      </c>
      <c r="X87">
        <v>7.0000000000000007E-2</v>
      </c>
      <c r="Y87">
        <v>-43.61</v>
      </c>
      <c r="Z87" t="s">
        <v>534</v>
      </c>
      <c r="AA87" t="s">
        <v>3662</v>
      </c>
      <c r="AB87" t="s">
        <v>3663</v>
      </c>
      <c r="AC87" t="s">
        <v>3664</v>
      </c>
      <c r="AD87" t="s">
        <v>63</v>
      </c>
      <c r="AE87">
        <v>-6367220</v>
      </c>
      <c r="AF87" t="s">
        <v>3665</v>
      </c>
      <c r="AG87" t="s">
        <v>3666</v>
      </c>
      <c r="AH87" t="s">
        <v>3667</v>
      </c>
      <c r="AI87" t="s">
        <v>731</v>
      </c>
      <c r="AJ87" t="s">
        <v>3668</v>
      </c>
      <c r="AK87" t="s">
        <v>63</v>
      </c>
      <c r="AL87" t="s">
        <v>3669</v>
      </c>
      <c r="AM87" t="s">
        <v>63</v>
      </c>
      <c r="AN87">
        <v>0</v>
      </c>
      <c r="AO87" t="s">
        <v>63</v>
      </c>
      <c r="AP87" t="s">
        <v>63</v>
      </c>
      <c r="AQ87" t="s">
        <v>256</v>
      </c>
      <c r="AR87" t="s">
        <v>3670</v>
      </c>
      <c r="AS87" t="s">
        <v>903</v>
      </c>
      <c r="AT87" t="s">
        <v>63</v>
      </c>
      <c r="AU87" t="s">
        <v>1102</v>
      </c>
      <c r="AV87" t="s">
        <v>3671</v>
      </c>
      <c r="AW87" t="s">
        <v>3672</v>
      </c>
      <c r="AX87" t="s">
        <v>1345</v>
      </c>
      <c r="AY87" t="s">
        <v>241</v>
      </c>
      <c r="AZ87" t="s">
        <v>970</v>
      </c>
      <c r="BA87" t="s">
        <v>622</v>
      </c>
      <c r="BB87" t="s">
        <v>780</v>
      </c>
      <c r="BC87" t="s">
        <v>3673</v>
      </c>
      <c r="BD87" t="s">
        <v>1257</v>
      </c>
      <c r="BE87" t="s">
        <v>971</v>
      </c>
      <c r="BF87" t="s">
        <v>623</v>
      </c>
      <c r="BG87" t="s">
        <v>174</v>
      </c>
      <c r="BH87" t="s">
        <v>536</v>
      </c>
      <c r="BI87" t="s">
        <v>818</v>
      </c>
      <c r="BJ87" t="s">
        <v>1345</v>
      </c>
      <c r="BK87" t="s">
        <v>319</v>
      </c>
      <c r="BL87" t="s">
        <v>631</v>
      </c>
      <c r="BM87" t="s">
        <v>3673</v>
      </c>
      <c r="BN87">
        <v>11.68</v>
      </c>
      <c r="BO87" t="s">
        <v>63</v>
      </c>
      <c r="BP87">
        <v>-0.17</v>
      </c>
      <c r="BQ87">
        <v>13.2</v>
      </c>
      <c r="BR87">
        <v>-5.43</v>
      </c>
      <c r="BS87">
        <v>1.04</v>
      </c>
      <c r="BT87" t="s">
        <v>1445</v>
      </c>
      <c r="BU87" t="s">
        <v>2052</v>
      </c>
      <c r="BV87">
        <v>59.06</v>
      </c>
      <c r="BW87">
        <v>59.55</v>
      </c>
      <c r="BX87">
        <v>65.930000000000007</v>
      </c>
      <c r="BY87">
        <v>11.04</v>
      </c>
      <c r="BZ87">
        <v>-11.86</v>
      </c>
      <c r="CA87">
        <v>1.96</v>
      </c>
      <c r="CB87">
        <v>0.36</v>
      </c>
      <c r="CC87">
        <v>-10.14</v>
      </c>
      <c r="CD87" t="s">
        <v>3674</v>
      </c>
      <c r="CE87" t="s">
        <v>420</v>
      </c>
      <c r="CF87" s="9">
        <v>-0.55801104972375692</v>
      </c>
      <c r="CG87" s="10">
        <v>-1.2426514275618374</v>
      </c>
      <c r="CH87" s="9">
        <v>-0.79487180709838867</v>
      </c>
      <c r="CI87" s="9">
        <v>-4.76190485060215E-2</v>
      </c>
      <c r="CJ87" s="9">
        <v>0.15677966177463531</v>
      </c>
      <c r="CK87" s="9">
        <v>3.660321980714798E-2</v>
      </c>
      <c r="CL87" s="9">
        <v>0.14983165264129639</v>
      </c>
      <c r="CM87" s="10">
        <v>0.22235946357250214</v>
      </c>
      <c r="CN87" s="10">
        <v>-6.5021090507507324</v>
      </c>
      <c r="CO87" s="10">
        <v>-0.77856677770614624</v>
      </c>
      <c r="CP87" s="10">
        <v>11.152525901794434</v>
      </c>
      <c r="CQ87" s="10">
        <v>-0.94477593898773193</v>
      </c>
      <c r="CR87">
        <v>1473.9323290265459</v>
      </c>
      <c r="CS87">
        <v>147.60687277825116</v>
      </c>
      <c r="CT87">
        <v>0</v>
      </c>
      <c r="CU87" s="9">
        <v>-9.9855264276266092E-2</v>
      </c>
      <c r="CV87" s="10">
        <v>0.62988671958446507</v>
      </c>
      <c r="CW87">
        <v>0.06</v>
      </c>
      <c r="CX87" t="e">
        <v>#VALUE!</v>
      </c>
      <c r="CY87" t="s">
        <v>1308</v>
      </c>
      <c r="CZ87">
        <v>-9.9855264276266092E-2</v>
      </c>
      <c r="DA87" t="e">
        <v>#VALUE!</v>
      </c>
      <c r="DB87" t="s">
        <v>1309</v>
      </c>
      <c r="DC87">
        <v>-9.4862501062452781E-2</v>
      </c>
      <c r="DD87" t="e">
        <v>#VALUE!</v>
      </c>
      <c r="DE87" t="s">
        <v>1309</v>
      </c>
      <c r="DF87">
        <v>-8.7872632563114159E-2</v>
      </c>
      <c r="DG87" t="e">
        <v>#VALUE!</v>
      </c>
      <c r="DH87" t="s">
        <v>1309</v>
      </c>
      <c r="DI87">
        <v>-7.9884211421012874E-2</v>
      </c>
      <c r="DJ87" t="e">
        <v>#VALUE!</v>
      </c>
      <c r="DK87" t="s">
        <v>1309</v>
      </c>
      <c r="DL87">
        <v>-6.9898684993386265E-2</v>
      </c>
      <c r="DM87">
        <v>-68670400</v>
      </c>
      <c r="DN87">
        <v>-9.9855264276266092E-2</v>
      </c>
      <c r="DO87">
        <v>10181570000</v>
      </c>
      <c r="DP87">
        <v>1153703400</v>
      </c>
      <c r="DQ87">
        <v>3732</v>
      </c>
      <c r="DR87">
        <v>-0.4581557854474908</v>
      </c>
      <c r="DS87">
        <v>-1.8725381471463025</v>
      </c>
      <c r="DT87" s="11">
        <v>-0.64</v>
      </c>
      <c r="DU87">
        <v>-2.0050000000000003</v>
      </c>
      <c r="DV87">
        <v>-2.6450000000000005</v>
      </c>
      <c r="DW87">
        <v>-2.1013999999999999</v>
      </c>
      <c r="DX87">
        <v>0.34879635416666699</v>
      </c>
      <c r="DY87">
        <v>-2.0130599503125</v>
      </c>
      <c r="DZ87">
        <v>1217</v>
      </c>
      <c r="EA87">
        <v>-2.009949586412243</v>
      </c>
      <c r="EB87">
        <v>2</v>
      </c>
      <c r="EC87">
        <v>2.4681196184015534E-2</v>
      </c>
      <c r="ED87">
        <v>0.1916296182738004</v>
      </c>
      <c r="EE87" s="12">
        <v>2.0155099999999999</v>
      </c>
      <c r="EF87">
        <v>2.0320100000000001</v>
      </c>
      <c r="EG87">
        <v>22.128796354166667</v>
      </c>
      <c r="EH87" t="s">
        <v>1325</v>
      </c>
      <c r="EI87">
        <v>0</v>
      </c>
      <c r="EJ87">
        <v>1</v>
      </c>
      <c r="EK87" s="14">
        <v>45470</v>
      </c>
      <c r="EL87" s="15">
        <v>1.24</v>
      </c>
      <c r="EM87" s="15">
        <v>-2.0499999999999998</v>
      </c>
      <c r="EN87" s="15">
        <v>0.42</v>
      </c>
      <c r="EO87" s="15">
        <v>0.83</v>
      </c>
      <c r="EP87" s="15">
        <v>-1.65</v>
      </c>
    </row>
    <row r="88" spans="1:146" ht="48" x14ac:dyDescent="0.25">
      <c r="A88" s="7"/>
      <c r="B88" s="7"/>
      <c r="C88" s="7" t="s">
        <v>1116</v>
      </c>
      <c r="D88" t="s">
        <v>108</v>
      </c>
      <c r="E88" t="s">
        <v>1586</v>
      </c>
      <c r="F88">
        <v>31.2</v>
      </c>
      <c r="G88">
        <v>0.22</v>
      </c>
      <c r="H88" t="s">
        <v>3675</v>
      </c>
      <c r="I88">
        <v>8130815900</v>
      </c>
      <c r="J88">
        <v>39.450000000000003</v>
      </c>
      <c r="K88">
        <v>3.98</v>
      </c>
      <c r="L88" t="s">
        <v>1303</v>
      </c>
      <c r="M88" t="s">
        <v>1774</v>
      </c>
      <c r="N88" t="s">
        <v>3676</v>
      </c>
      <c r="O88" t="s">
        <v>251</v>
      </c>
      <c r="P88">
        <v>3.13</v>
      </c>
      <c r="Q88" t="s">
        <v>251</v>
      </c>
      <c r="R88">
        <v>27994697</v>
      </c>
      <c r="S88" s="5">
        <v>47.64</v>
      </c>
      <c r="T88" t="s">
        <v>3677</v>
      </c>
      <c r="U88">
        <v>260603070</v>
      </c>
      <c r="V88">
        <v>260603070</v>
      </c>
      <c r="W88">
        <v>1.8</v>
      </c>
      <c r="X88">
        <v>0.09</v>
      </c>
      <c r="Y88">
        <v>8.15</v>
      </c>
      <c r="Z88" t="s">
        <v>1732</v>
      </c>
      <c r="AA88" t="s">
        <v>3678</v>
      </c>
      <c r="AB88" t="s">
        <v>205</v>
      </c>
      <c r="AC88" t="s">
        <v>3679</v>
      </c>
      <c r="AD88" t="s">
        <v>63</v>
      </c>
      <c r="AE88">
        <v>-8930797</v>
      </c>
      <c r="AF88" t="s">
        <v>3680</v>
      </c>
      <c r="AG88" t="s">
        <v>3681</v>
      </c>
      <c r="AH88" t="s">
        <v>3682</v>
      </c>
      <c r="AI88" t="s">
        <v>2034</v>
      </c>
      <c r="AJ88" t="s">
        <v>3683</v>
      </c>
      <c r="AK88" t="s">
        <v>3684</v>
      </c>
      <c r="AL88" t="s">
        <v>3685</v>
      </c>
      <c r="AM88" t="s">
        <v>63</v>
      </c>
      <c r="AN88" t="s">
        <v>478</v>
      </c>
      <c r="AO88" t="s">
        <v>63</v>
      </c>
      <c r="AP88" t="s">
        <v>63</v>
      </c>
      <c r="AQ88" t="s">
        <v>899</v>
      </c>
      <c r="AR88" t="s">
        <v>63</v>
      </c>
      <c r="AS88" t="s">
        <v>3686</v>
      </c>
      <c r="AT88" t="s">
        <v>63</v>
      </c>
      <c r="AU88" t="s">
        <v>3687</v>
      </c>
      <c r="AV88" t="s">
        <v>658</v>
      </c>
      <c r="AW88" t="s">
        <v>3688</v>
      </c>
      <c r="AX88" t="s">
        <v>1495</v>
      </c>
      <c r="AY88" t="s">
        <v>1258</v>
      </c>
      <c r="AZ88" t="s">
        <v>973</v>
      </c>
      <c r="BA88" t="s">
        <v>625</v>
      </c>
      <c r="BB88" t="s">
        <v>817</v>
      </c>
      <c r="BC88" t="s">
        <v>465</v>
      </c>
      <c r="BD88" t="s">
        <v>453</v>
      </c>
      <c r="BE88" t="s">
        <v>385</v>
      </c>
      <c r="BF88" t="s">
        <v>253</v>
      </c>
      <c r="BG88" t="s">
        <v>287</v>
      </c>
      <c r="BH88" t="s">
        <v>3356</v>
      </c>
      <c r="BI88" t="s">
        <v>1395</v>
      </c>
      <c r="BJ88" t="s">
        <v>1495</v>
      </c>
      <c r="BK88" t="s">
        <v>301</v>
      </c>
      <c r="BL88" t="s">
        <v>1919</v>
      </c>
      <c r="BM88" t="s">
        <v>465</v>
      </c>
      <c r="BN88">
        <v>-4.46</v>
      </c>
      <c r="BO88">
        <v>10.06</v>
      </c>
      <c r="BP88">
        <v>15.3</v>
      </c>
      <c r="BQ88">
        <v>0.56999999999999995</v>
      </c>
      <c r="BR88">
        <v>11.78</v>
      </c>
      <c r="BS88">
        <v>18.690000000000001</v>
      </c>
      <c r="BT88" t="s">
        <v>1459</v>
      </c>
      <c r="BU88" t="s">
        <v>2031</v>
      </c>
      <c r="BV88">
        <v>93.94</v>
      </c>
      <c r="BW88">
        <v>93.23</v>
      </c>
      <c r="BX88">
        <v>95.47</v>
      </c>
      <c r="BY88">
        <v>7.47</v>
      </c>
      <c r="BZ88">
        <v>9.57</v>
      </c>
      <c r="CA88">
        <v>15.41</v>
      </c>
      <c r="CB88">
        <v>-1.76</v>
      </c>
      <c r="CC88">
        <v>-15.33</v>
      </c>
      <c r="CD88" t="s">
        <v>3689</v>
      </c>
      <c r="CE88" t="s">
        <v>3690</v>
      </c>
      <c r="CF88" s="9">
        <v>-0.62099447513812156</v>
      </c>
      <c r="CG88" s="10">
        <v>-0.27436340543552923</v>
      </c>
      <c r="CH88" s="9">
        <v>-0.85285282135009766</v>
      </c>
      <c r="CI88" s="9">
        <v>0.16375435888767242</v>
      </c>
      <c r="CJ88" s="9">
        <v>0.35155200958251953</v>
      </c>
      <c r="CK88" s="9">
        <v>0.15241058170795441</v>
      </c>
      <c r="CL88" s="9">
        <v>0.28087648749351501</v>
      </c>
      <c r="CM88" s="10">
        <v>-0.87446320056915283</v>
      </c>
      <c r="CN88" s="10">
        <v>-0.2783171534538269</v>
      </c>
      <c r="CO88" s="10">
        <v>0.34347826242446899</v>
      </c>
      <c r="CP88" s="10">
        <v>0.6428571343421936</v>
      </c>
      <c r="CQ88" s="10">
        <v>0.22807016968727112</v>
      </c>
      <c r="CR88">
        <v>46.729064237586648</v>
      </c>
      <c r="CS88">
        <v>24.403991760737096</v>
      </c>
      <c r="CT88">
        <v>0.48076923076923078</v>
      </c>
      <c r="CU88" s="9">
        <v>1.9148123264312745E-2</v>
      </c>
      <c r="CV88" s="10">
        <v>1.2325042486190796E-2</v>
      </c>
      <c r="CW88">
        <v>0.06</v>
      </c>
      <c r="CX88">
        <v>293.94691831373996</v>
      </c>
      <c r="CY88">
        <v>26915798.081459858</v>
      </c>
      <c r="CZ88">
        <v>1.9148123264312745E-2</v>
      </c>
      <c r="DA88">
        <v>102.04651210289684</v>
      </c>
      <c r="DB88">
        <v>77531468.121343106</v>
      </c>
      <c r="DC88">
        <v>1.8190717101097108E-2</v>
      </c>
      <c r="DD88">
        <v>54.340882545946428</v>
      </c>
      <c r="DE88">
        <v>145596014.07486129</v>
      </c>
      <c r="DF88">
        <v>1.6850348472595214E-2</v>
      </c>
      <c r="DG88">
        <v>35.5428674733351</v>
      </c>
      <c r="DH88">
        <v>222599257.2471984</v>
      </c>
      <c r="DI88">
        <v>1.5318498611450196E-2</v>
      </c>
      <c r="DJ88">
        <v>21.911500157052295</v>
      </c>
      <c r="DK88">
        <v>361080521.33772111</v>
      </c>
      <c r="DL88">
        <v>1.3403686285018921E-2</v>
      </c>
      <c r="DM88">
        <v>27994699.999999996</v>
      </c>
      <c r="DN88">
        <v>1.9148123264312745E-2</v>
      </c>
      <c r="DO88">
        <v>7911815900</v>
      </c>
      <c r="DP88">
        <v>1469308800</v>
      </c>
      <c r="DQ88">
        <v>3880</v>
      </c>
      <c r="DR88">
        <v>-0.64014259840243426</v>
      </c>
      <c r="DS88">
        <v>-0.28668844792172005</v>
      </c>
      <c r="DT88" s="11">
        <v>-0.27333333333333343</v>
      </c>
      <c r="DU88">
        <v>-0.23666666666666669</v>
      </c>
      <c r="DV88">
        <v>-0.51000000000000012</v>
      </c>
      <c r="DW88">
        <v>-2.1532999999999998</v>
      </c>
      <c r="DX88">
        <v>0.35123852937315847</v>
      </c>
      <c r="DY88">
        <v>-2.0323828665529051</v>
      </c>
      <c r="DZ88">
        <v>3548</v>
      </c>
      <c r="EA88">
        <v>-2.0098986374864261</v>
      </c>
      <c r="EB88">
        <v>2</v>
      </c>
      <c r="EC88">
        <v>4.0756235143354212E-2</v>
      </c>
      <c r="ED88">
        <v>0.19293940013830232</v>
      </c>
      <c r="EE88" s="12">
        <v>-1.0213000000000001</v>
      </c>
      <c r="EF88">
        <v>-1.0117</v>
      </c>
      <c r="EG88">
        <v>14.211238529373158</v>
      </c>
      <c r="EH88" t="s">
        <v>1310</v>
      </c>
      <c r="EI88">
        <v>0</v>
      </c>
      <c r="EJ88">
        <v>0</v>
      </c>
      <c r="EK88" s="14">
        <v>45470</v>
      </c>
      <c r="EL88" s="15">
        <v>-0.14000000000000001</v>
      </c>
      <c r="EM88" s="15">
        <v>-3.16</v>
      </c>
      <c r="EN88" s="15">
        <v>0.14000000000000001</v>
      </c>
      <c r="EO88" s="15">
        <v>3.39</v>
      </c>
      <c r="EP88" s="15">
        <v>-0.96</v>
      </c>
    </row>
    <row r="89" spans="1:146" ht="96" x14ac:dyDescent="0.25">
      <c r="A89" s="7"/>
      <c r="B89" s="7"/>
      <c r="C89" s="7" t="str">
        <f>""&amp;CHAR(10)&amp;Basic_Fundamental_Information_Constructure(F89)&amp;CHAR(10)&amp;Basic_Fundamental_Information_Concatenate("")</f>
        <v xml:space="preserve">
市值28.868628亿, 利润341.74万; PE; 平均PE78.85; 平均PEG16.9, PB1.89; ROIC3.26%; ROE1.6733%; 股利率.9337%; 毛利33.41%; 净利.49%; 上一年度营收增-78.86%, 利润增-90.67%; 当季营收增-54.09%, 利润增109.61%; 过往5年营收增-4.67%, 利润增59.07%
Income profile:
</v>
      </c>
      <c r="D89" t="s">
        <v>79</v>
      </c>
      <c r="E89" t="s">
        <v>9</v>
      </c>
      <c r="F89">
        <v>10.71</v>
      </c>
      <c r="G89">
        <v>2.39</v>
      </c>
      <c r="H89" t="s">
        <v>3691</v>
      </c>
      <c r="I89">
        <v>2886862800</v>
      </c>
      <c r="K89">
        <v>1.89</v>
      </c>
      <c r="L89" t="s">
        <v>1303</v>
      </c>
      <c r="M89" t="s">
        <v>408</v>
      </c>
      <c r="N89" t="s">
        <v>3692</v>
      </c>
      <c r="O89" t="s">
        <v>3693</v>
      </c>
      <c r="P89">
        <v>6.62</v>
      </c>
      <c r="Q89" t="s">
        <v>3693</v>
      </c>
      <c r="R89">
        <v>3417375</v>
      </c>
      <c r="S89" s="5">
        <v>1.2430000000000001</v>
      </c>
      <c r="T89" t="s">
        <v>3694</v>
      </c>
      <c r="U89">
        <v>269548350</v>
      </c>
      <c r="V89">
        <v>269548350</v>
      </c>
      <c r="W89">
        <v>1.08</v>
      </c>
      <c r="X89">
        <v>0.04</v>
      </c>
      <c r="Y89">
        <v>5.0999999999999996</v>
      </c>
      <c r="Z89" t="s">
        <v>3695</v>
      </c>
      <c r="AA89" t="s">
        <v>3696</v>
      </c>
      <c r="AB89" t="s">
        <v>3697</v>
      </c>
      <c r="AC89" t="s">
        <v>3698</v>
      </c>
      <c r="AD89" t="s">
        <v>63</v>
      </c>
      <c r="AE89">
        <v>-711467</v>
      </c>
      <c r="AF89" t="s">
        <v>3699</v>
      </c>
      <c r="AG89" t="s">
        <v>63</v>
      </c>
      <c r="AH89" t="s">
        <v>3700</v>
      </c>
      <c r="AI89" t="s">
        <v>221</v>
      </c>
      <c r="AJ89" t="s">
        <v>3701</v>
      </c>
      <c r="AK89" t="s">
        <v>3702</v>
      </c>
      <c r="AL89" t="s">
        <v>3703</v>
      </c>
      <c r="AM89" t="s">
        <v>63</v>
      </c>
      <c r="AN89" t="s">
        <v>1136</v>
      </c>
      <c r="AO89" t="s">
        <v>63</v>
      </c>
      <c r="AP89" t="s">
        <v>63</v>
      </c>
      <c r="AQ89" t="s">
        <v>3704</v>
      </c>
      <c r="AR89" t="s">
        <v>63</v>
      </c>
      <c r="AS89" t="s">
        <v>386</v>
      </c>
      <c r="AT89" t="s">
        <v>63</v>
      </c>
      <c r="AU89" t="s">
        <v>3705</v>
      </c>
      <c r="AV89" t="s">
        <v>3706</v>
      </c>
      <c r="AW89" t="s">
        <v>3707</v>
      </c>
      <c r="AX89" t="s">
        <v>421</v>
      </c>
      <c r="AY89" t="s">
        <v>818</v>
      </c>
      <c r="AZ89" t="s">
        <v>367</v>
      </c>
      <c r="BA89" t="s">
        <v>595</v>
      </c>
      <c r="BB89" t="s">
        <v>216</v>
      </c>
      <c r="BC89" t="s">
        <v>1587</v>
      </c>
      <c r="BD89" t="s">
        <v>1260</v>
      </c>
      <c r="BE89" t="s">
        <v>975</v>
      </c>
      <c r="BF89" t="s">
        <v>628</v>
      </c>
      <c r="BG89" t="s">
        <v>976</v>
      </c>
      <c r="BH89" t="s">
        <v>503</v>
      </c>
      <c r="BI89" t="s">
        <v>304</v>
      </c>
      <c r="BJ89" t="s">
        <v>421</v>
      </c>
      <c r="BK89" t="s">
        <v>3708</v>
      </c>
      <c r="BL89" t="s">
        <v>1920</v>
      </c>
      <c r="BM89" t="s">
        <v>1587</v>
      </c>
      <c r="BN89" t="s">
        <v>63</v>
      </c>
      <c r="BO89">
        <v>1.73</v>
      </c>
      <c r="BP89">
        <v>4.79</v>
      </c>
      <c r="BQ89">
        <v>-3.04</v>
      </c>
      <c r="BR89">
        <v>2.15</v>
      </c>
      <c r="BS89">
        <v>5.91</v>
      </c>
      <c r="BT89" t="s">
        <v>1446</v>
      </c>
      <c r="BU89" t="s">
        <v>2052</v>
      </c>
      <c r="BV89">
        <v>17.87</v>
      </c>
      <c r="BW89">
        <v>35.22</v>
      </c>
      <c r="BX89">
        <v>47.14</v>
      </c>
      <c r="BY89">
        <v>-28.2</v>
      </c>
      <c r="BZ89">
        <v>11.57</v>
      </c>
      <c r="CA89">
        <v>18.100000000000001</v>
      </c>
      <c r="CB89">
        <v>-2.1</v>
      </c>
      <c r="CC89">
        <v>-10</v>
      </c>
      <c r="CD89" t="s">
        <v>3709</v>
      </c>
      <c r="CE89" t="s">
        <v>322</v>
      </c>
      <c r="CF89" s="9">
        <v>-0.54094315068493148</v>
      </c>
      <c r="CG89" s="10">
        <v>1.0960703201430355</v>
      </c>
      <c r="CH89" s="9">
        <v>-0.78857314586639404</v>
      </c>
      <c r="CI89" s="9">
        <v>-0.12430939078330994</v>
      </c>
      <c r="CJ89" s="9">
        <v>0.1036585345864296</v>
      </c>
      <c r="CK89" s="9">
        <v>0.10067114233970642</v>
      </c>
      <c r="CL89" s="9">
        <v>0.47524753212928772</v>
      </c>
      <c r="CM89" s="10">
        <v>-0.90671712160110474</v>
      </c>
      <c r="CN89" s="10">
        <v>-0.44118320941925049</v>
      </c>
      <c r="CO89" s="10">
        <v>-8.5357889533042908E-2</v>
      </c>
      <c r="CP89" s="10">
        <v>1.0837956666946411</v>
      </c>
      <c r="CQ89" s="10">
        <v>3.3027732372283936</v>
      </c>
      <c r="CR89">
        <v>78.848457370100078</v>
      </c>
      <c r="CS89">
        <v>16.898126198647756</v>
      </c>
      <c r="CT89">
        <v>0.93370681605975714</v>
      </c>
      <c r="CU89" s="9">
        <v>-4.666106551885605E-2</v>
      </c>
      <c r="CV89" s="10">
        <v>0.59066213667392731</v>
      </c>
      <c r="CW89">
        <v>0.06</v>
      </c>
      <c r="CX89">
        <v>439.76789372037223</v>
      </c>
      <c r="CY89" t="s">
        <v>3710</v>
      </c>
      <c r="CZ89">
        <v>-4.666106551885605E-2</v>
      </c>
      <c r="DA89">
        <v>146.58929790679073</v>
      </c>
      <c r="DB89" t="s">
        <v>3711</v>
      </c>
      <c r="DC89">
        <v>-4.4328012242913245E-2</v>
      </c>
      <c r="DD89">
        <v>73.294648953395367</v>
      </c>
      <c r="DE89" t="s">
        <v>3712</v>
      </c>
      <c r="DF89">
        <v>-4.1061737656593322E-2</v>
      </c>
      <c r="DG89">
        <v>43.976789372037224</v>
      </c>
      <c r="DH89" t="s">
        <v>3713</v>
      </c>
      <c r="DI89">
        <v>-3.7328852415084844E-2</v>
      </c>
      <c r="DJ89">
        <v>21.988394686018612</v>
      </c>
      <c r="DK89" t="s">
        <v>3714</v>
      </c>
      <c r="DL89">
        <v>-3.2662745863199234E-2</v>
      </c>
      <c r="DM89">
        <v>3417400</v>
      </c>
      <c r="DN89">
        <v>-4.666106551885605E-2</v>
      </c>
      <c r="DO89">
        <v>1502862800</v>
      </c>
      <c r="DP89">
        <v>932251100</v>
      </c>
      <c r="DQ89">
        <v>3995</v>
      </c>
      <c r="DR89">
        <v>-0.49428208516607541</v>
      </c>
      <c r="DS89">
        <v>0.50540818346910821</v>
      </c>
      <c r="DT89" s="11">
        <v>-0.67333333333333334</v>
      </c>
      <c r="DU89">
        <v>0.66499999999999992</v>
      </c>
      <c r="DV89">
        <v>-8.3333333333334147E-3</v>
      </c>
      <c r="DW89">
        <v>-2.1</v>
      </c>
      <c r="DX89">
        <v>0.34556874999999848</v>
      </c>
      <c r="DY89">
        <v>-2.016556875</v>
      </c>
      <c r="DZ89">
        <v>4759</v>
      </c>
      <c r="EA89">
        <v>-2.0011372726272016</v>
      </c>
      <c r="EB89">
        <v>2</v>
      </c>
      <c r="EC89">
        <v>8.8451292690161151E-2</v>
      </c>
      <c r="ED89">
        <v>0.53422697634765715</v>
      </c>
      <c r="EE89" s="12">
        <v>-1.1306</v>
      </c>
      <c r="EF89">
        <v>-1.109</v>
      </c>
      <c r="EG89">
        <v>18.165568749999998</v>
      </c>
      <c r="EH89" t="s">
        <v>1310</v>
      </c>
      <c r="EI89">
        <v>0</v>
      </c>
      <c r="EJ89">
        <v>0</v>
      </c>
      <c r="EK89" s="14">
        <v>45470</v>
      </c>
      <c r="EL89" s="15">
        <v>-0.43</v>
      </c>
      <c r="EM89" s="15">
        <v>-4.76</v>
      </c>
      <c r="EN89" s="15">
        <v>1.82</v>
      </c>
      <c r="EO89" s="15">
        <v>3.13</v>
      </c>
      <c r="EP89" s="15">
        <v>-2.16</v>
      </c>
    </row>
    <row r="90" spans="1:146" ht="108" x14ac:dyDescent="0.25">
      <c r="A90" s="7"/>
      <c r="B90" s="7"/>
      <c r="C90" s="7" t="str">
        <f>""&amp;CHAR(10)&amp;Basic_Fundamental_Information_Constructure(F90)&amp;CHAR(10)&amp;Basic_Fundamental_Information_Concatenate("")</f>
        <v xml:space="preserve">
市值23.774767亿, 利润-5150.10万; PE87.68; 平均PE65.3; 平均PEG44.66, PB1.77; ROIC5.71%; ROE.83%; 股利率.5888%; 毛利46.3533%; 净利6.0633%; 上一年度营收增-92.65%, 利润增-491.12%; 当季营收增-70.22%, 利润增-1.23%; 过往5年营收增-1.46%, 利润增-116.67%
Income profile:
</v>
      </c>
      <c r="D90" t="s">
        <v>95</v>
      </c>
      <c r="E90" t="s">
        <v>13</v>
      </c>
      <c r="F90">
        <v>10.19</v>
      </c>
      <c r="G90">
        <v>1.29</v>
      </c>
      <c r="H90" t="s">
        <v>3715</v>
      </c>
      <c r="I90">
        <v>2377476700</v>
      </c>
      <c r="J90">
        <v>87.68</v>
      </c>
      <c r="K90">
        <v>1.77</v>
      </c>
      <c r="L90" t="s">
        <v>1303</v>
      </c>
      <c r="M90" t="s">
        <v>379</v>
      </c>
      <c r="N90" t="s">
        <v>1314</v>
      </c>
      <c r="O90" t="s">
        <v>3716</v>
      </c>
      <c r="P90">
        <v>-29.24</v>
      </c>
      <c r="Q90" t="s">
        <v>3716</v>
      </c>
      <c r="R90">
        <v>-51501037</v>
      </c>
      <c r="S90" s="5">
        <v>-0.23649999999999999</v>
      </c>
      <c r="T90" t="s">
        <v>3717</v>
      </c>
      <c r="U90">
        <v>233314700</v>
      </c>
      <c r="V90">
        <v>233314700</v>
      </c>
      <c r="W90">
        <v>1.19</v>
      </c>
      <c r="X90">
        <v>0.03</v>
      </c>
      <c r="Y90">
        <v>-106.55</v>
      </c>
      <c r="Z90" t="s">
        <v>174</v>
      </c>
      <c r="AA90" t="s">
        <v>3718</v>
      </c>
      <c r="AB90" t="s">
        <v>3719</v>
      </c>
      <c r="AC90" t="s">
        <v>3720</v>
      </c>
      <c r="AD90" t="s">
        <v>63</v>
      </c>
      <c r="AE90">
        <v>-115994</v>
      </c>
      <c r="AF90" t="s">
        <v>3721</v>
      </c>
      <c r="AG90">
        <v>4861.29</v>
      </c>
      <c r="AH90" t="s">
        <v>3722</v>
      </c>
      <c r="AI90" t="s">
        <v>372</v>
      </c>
      <c r="AJ90" t="s">
        <v>3723</v>
      </c>
      <c r="AK90" t="s">
        <v>3724</v>
      </c>
      <c r="AL90" t="s">
        <v>3725</v>
      </c>
      <c r="AM90" t="s">
        <v>63</v>
      </c>
      <c r="AN90">
        <v>0</v>
      </c>
      <c r="AO90" t="s">
        <v>1341</v>
      </c>
      <c r="AP90" t="s">
        <v>63</v>
      </c>
      <c r="AQ90" t="s">
        <v>3726</v>
      </c>
      <c r="AR90" t="s">
        <v>63</v>
      </c>
      <c r="AS90" t="s">
        <v>534</v>
      </c>
      <c r="AT90" t="s">
        <v>63</v>
      </c>
      <c r="AU90" t="s">
        <v>3727</v>
      </c>
      <c r="AV90" t="s">
        <v>3728</v>
      </c>
      <c r="AW90" t="s">
        <v>3729</v>
      </c>
      <c r="AX90" t="s">
        <v>247</v>
      </c>
      <c r="AY90" t="s">
        <v>822</v>
      </c>
      <c r="AZ90" t="s">
        <v>802</v>
      </c>
      <c r="BA90" t="s">
        <v>494</v>
      </c>
      <c r="BB90" t="s">
        <v>453</v>
      </c>
      <c r="BC90" t="s">
        <v>1588</v>
      </c>
      <c r="BD90" t="s">
        <v>1261</v>
      </c>
      <c r="BE90" t="s">
        <v>977</v>
      </c>
      <c r="BF90" t="s">
        <v>629</v>
      </c>
      <c r="BG90" t="s">
        <v>978</v>
      </c>
      <c r="BH90" t="s">
        <v>903</v>
      </c>
      <c r="BI90" t="s">
        <v>572</v>
      </c>
      <c r="BJ90" t="s">
        <v>247</v>
      </c>
      <c r="BK90" t="s">
        <v>3730</v>
      </c>
      <c r="BL90" t="s">
        <v>1921</v>
      </c>
      <c r="BM90" t="s">
        <v>1588</v>
      </c>
      <c r="BN90" t="s">
        <v>63</v>
      </c>
      <c r="BO90" t="s">
        <v>63</v>
      </c>
      <c r="BP90">
        <v>5.71</v>
      </c>
      <c r="BQ90">
        <v>-2.75</v>
      </c>
      <c r="BR90">
        <v>-0.63</v>
      </c>
      <c r="BS90">
        <v>5.87</v>
      </c>
      <c r="BT90" t="s">
        <v>1454</v>
      </c>
      <c r="BU90" t="s">
        <v>2052</v>
      </c>
      <c r="BV90">
        <v>47.48</v>
      </c>
      <c r="BW90">
        <v>39.86</v>
      </c>
      <c r="BX90">
        <v>51.72</v>
      </c>
      <c r="BY90">
        <v>6.52</v>
      </c>
      <c r="BZ90">
        <v>-1.39</v>
      </c>
      <c r="CA90">
        <v>13.06</v>
      </c>
      <c r="CB90">
        <v>-2.21</v>
      </c>
      <c r="CC90">
        <v>-16.61</v>
      </c>
      <c r="CD90" t="s">
        <v>3731</v>
      </c>
      <c r="CE90" t="s">
        <v>187</v>
      </c>
      <c r="CF90" s="9">
        <v>-0.7021914110429448</v>
      </c>
      <c r="CG90" s="10">
        <v>-1.2303405791831368E-2</v>
      </c>
      <c r="CH90" s="9">
        <v>-0.92645031213760376</v>
      </c>
      <c r="CI90" s="9">
        <v>8.0196402966976166E-2</v>
      </c>
      <c r="CJ90" s="9">
        <v>0.37303370237350464</v>
      </c>
      <c r="CK90" s="9">
        <v>0.19946092367172241</v>
      </c>
      <c r="CL90" s="9">
        <v>0.20064724981784821</v>
      </c>
      <c r="CM90" s="10">
        <v>-4.9111618995666504</v>
      </c>
      <c r="CN90" s="10">
        <v>-1.1093047857284546</v>
      </c>
      <c r="CO90" s="10">
        <v>0.39648032188415527</v>
      </c>
      <c r="CP90" s="10">
        <v>-0.18547503650188446</v>
      </c>
      <c r="CQ90" s="10">
        <v>-2.4020979180932045E-2</v>
      </c>
      <c r="CR90">
        <v>65.300971993779754</v>
      </c>
      <c r="CS90">
        <v>44.658156147214065</v>
      </c>
      <c r="CT90">
        <v>0.58881256133464177</v>
      </c>
      <c r="CU90" s="9">
        <v>-1.4622406661510467E-2</v>
      </c>
      <c r="CV90" s="10">
        <v>-1.1666964758187532</v>
      </c>
      <c r="CW90">
        <v>0.06</v>
      </c>
      <c r="CX90" t="e">
        <v>#VALUE!</v>
      </c>
      <c r="CY90" t="s">
        <v>1308</v>
      </c>
      <c r="CZ90">
        <v>-1.4622406661510467E-2</v>
      </c>
      <c r="DA90" t="e">
        <v>#VALUE!</v>
      </c>
      <c r="DB90" t="s">
        <v>1309</v>
      </c>
      <c r="DC90">
        <v>-1.3891286328434943E-2</v>
      </c>
      <c r="DD90" t="e">
        <v>#VALUE!</v>
      </c>
      <c r="DE90" t="s">
        <v>1309</v>
      </c>
      <c r="DF90">
        <v>-1.2867717862129211E-2</v>
      </c>
      <c r="DG90" t="e">
        <v>#VALUE!</v>
      </c>
      <c r="DH90" t="s">
        <v>1309</v>
      </c>
      <c r="DI90">
        <v>-1.1697925329208374E-2</v>
      </c>
      <c r="DJ90" t="e">
        <v>#VALUE!</v>
      </c>
      <c r="DK90" t="s">
        <v>1309</v>
      </c>
      <c r="DL90">
        <v>-1.0235684663057326E-2</v>
      </c>
      <c r="DM90">
        <v>-51501000</v>
      </c>
      <c r="DN90">
        <v>-1.4622406661510467E-2</v>
      </c>
      <c r="DO90">
        <v>1295476700</v>
      </c>
      <c r="DP90">
        <v>967727150</v>
      </c>
      <c r="DQ90">
        <v>4031</v>
      </c>
      <c r="DR90">
        <v>-0.68756900438143431</v>
      </c>
      <c r="DS90">
        <v>1.1543930700269218</v>
      </c>
      <c r="DT90" s="11">
        <v>-0.42333333333333339</v>
      </c>
      <c r="DU90">
        <v>-2.3483333333333332</v>
      </c>
      <c r="DV90">
        <v>-2.7716666666666665</v>
      </c>
      <c r="DW90">
        <v>-3.0068988095238094</v>
      </c>
      <c r="DX90">
        <v>0.36543273809523896</v>
      </c>
      <c r="DY90">
        <v>-3.0012102770443594</v>
      </c>
      <c r="DZ90">
        <v>469</v>
      </c>
      <c r="EA90">
        <v>-3.0010991968224796</v>
      </c>
      <c r="EB90">
        <v>3</v>
      </c>
      <c r="EC90">
        <v>0.12632165911534934</v>
      </c>
      <c r="ED90">
        <v>0.72005750173478145</v>
      </c>
      <c r="EE90" s="12">
        <v>-3.0178099999999999</v>
      </c>
      <c r="EF90">
        <v>-3.03721</v>
      </c>
      <c r="EG90">
        <v>19.175432738095239</v>
      </c>
      <c r="EH90" t="s">
        <v>1471</v>
      </c>
      <c r="EI90">
        <v>0</v>
      </c>
      <c r="EJ90">
        <v>1</v>
      </c>
      <c r="EK90" s="14">
        <v>45470</v>
      </c>
      <c r="EL90" s="15">
        <v>0.79</v>
      </c>
      <c r="EM90" s="15">
        <v>-3.62</v>
      </c>
      <c r="EN90" s="15">
        <v>1.79</v>
      </c>
      <c r="EO90" s="15">
        <v>2.44</v>
      </c>
      <c r="EP90" s="15">
        <v>-1.94</v>
      </c>
    </row>
    <row r="91" spans="1:146" ht="96" x14ac:dyDescent="0.25">
      <c r="A91" s="7"/>
      <c r="B91" s="7"/>
      <c r="C91" s="7" t="str">
        <f>""&amp;CHAR(10)&amp;Basic_Fundamental_Information_Constructure(F91)&amp;CHAR(10)&amp;Basic_Fundamental_Information_Concatenate("")</f>
        <v xml:space="preserve">
市值61.774731亿, 利润1620.84万; PE27.17; 平均PE54.89; 平均PEG34.94, PB4.09; ROIC9.7067%; ROE10.88%; 股利率3.6581%; 毛利68.65%; 净利28.5333%; 上一年度营收增-77.92%, 利润增-90.24%; 当季营收增-50.89%, 利润增-73.79%; 过往5年营收增1.57%, 利润增-10.34%
Income profile:
</v>
      </c>
      <c r="D91" t="s">
        <v>111</v>
      </c>
      <c r="E91" t="s">
        <v>33</v>
      </c>
      <c r="F91">
        <v>30.07</v>
      </c>
      <c r="G91">
        <v>-0.56000000000000005</v>
      </c>
      <c r="H91" t="s">
        <v>3732</v>
      </c>
      <c r="I91">
        <v>6177473100</v>
      </c>
      <c r="J91">
        <v>27.17</v>
      </c>
      <c r="K91">
        <v>4.09</v>
      </c>
      <c r="L91" t="s">
        <v>1303</v>
      </c>
      <c r="M91" t="s">
        <v>569</v>
      </c>
      <c r="N91" t="s">
        <v>1780</v>
      </c>
      <c r="O91" t="s">
        <v>497</v>
      </c>
      <c r="P91">
        <v>5.34</v>
      </c>
      <c r="Q91" t="s">
        <v>497</v>
      </c>
      <c r="R91">
        <v>16208370</v>
      </c>
      <c r="S91" s="5">
        <v>-0.26779999999999998</v>
      </c>
      <c r="T91" t="s">
        <v>3733</v>
      </c>
      <c r="U91">
        <v>203609060</v>
      </c>
      <c r="V91">
        <v>205436420</v>
      </c>
      <c r="W91">
        <v>1.18</v>
      </c>
      <c r="X91">
        <v>7.0000000000000007E-2</v>
      </c>
      <c r="Y91">
        <v>10.28</v>
      </c>
      <c r="Z91" t="s">
        <v>260</v>
      </c>
      <c r="AA91" t="s">
        <v>3734</v>
      </c>
      <c r="AB91" t="s">
        <v>3735</v>
      </c>
      <c r="AC91" t="s">
        <v>3736</v>
      </c>
      <c r="AD91" t="s">
        <v>63</v>
      </c>
      <c r="AE91">
        <v>-4958824</v>
      </c>
      <c r="AF91" t="s">
        <v>3737</v>
      </c>
      <c r="AG91" t="s">
        <v>63</v>
      </c>
      <c r="AH91" t="s">
        <v>3738</v>
      </c>
      <c r="AI91" t="s">
        <v>1387</v>
      </c>
      <c r="AJ91" t="s">
        <v>3739</v>
      </c>
      <c r="AK91" t="s">
        <v>63</v>
      </c>
      <c r="AL91" t="s">
        <v>3740</v>
      </c>
      <c r="AM91" t="s">
        <v>63</v>
      </c>
      <c r="AN91">
        <v>0</v>
      </c>
      <c r="AO91" t="s">
        <v>63</v>
      </c>
      <c r="AP91" t="s">
        <v>63</v>
      </c>
      <c r="AQ91" t="s">
        <v>3741</v>
      </c>
      <c r="AR91" t="s">
        <v>63</v>
      </c>
      <c r="AS91" t="s">
        <v>279</v>
      </c>
      <c r="AT91" t="s">
        <v>63</v>
      </c>
      <c r="AU91" t="s">
        <v>1810</v>
      </c>
      <c r="AV91" t="s">
        <v>3742</v>
      </c>
      <c r="AW91" t="s">
        <v>63</v>
      </c>
      <c r="AX91" t="s">
        <v>1496</v>
      </c>
      <c r="AY91" t="s">
        <v>426</v>
      </c>
      <c r="AZ91" t="s">
        <v>697</v>
      </c>
      <c r="BA91" t="s">
        <v>414</v>
      </c>
      <c r="BB91" t="s">
        <v>406</v>
      </c>
      <c r="BC91" t="s">
        <v>190</v>
      </c>
      <c r="BD91" t="s">
        <v>325</v>
      </c>
      <c r="BE91" t="s">
        <v>246</v>
      </c>
      <c r="BF91" t="s">
        <v>212</v>
      </c>
      <c r="BG91" t="s">
        <v>429</v>
      </c>
      <c r="BH91" t="s">
        <v>3743</v>
      </c>
      <c r="BI91" t="s">
        <v>462</v>
      </c>
      <c r="BJ91" t="s">
        <v>1496</v>
      </c>
      <c r="BK91" t="s">
        <v>388</v>
      </c>
      <c r="BL91" t="s">
        <v>1922</v>
      </c>
      <c r="BM91" t="s">
        <v>190</v>
      </c>
      <c r="BN91">
        <v>7.85</v>
      </c>
      <c r="BO91">
        <v>11</v>
      </c>
      <c r="BP91">
        <v>10.27</v>
      </c>
      <c r="BQ91">
        <v>8.48</v>
      </c>
      <c r="BR91">
        <v>12.82</v>
      </c>
      <c r="BS91">
        <v>11.34</v>
      </c>
      <c r="BT91" t="s">
        <v>3744</v>
      </c>
      <c r="BU91" t="s">
        <v>2052</v>
      </c>
      <c r="BV91">
        <v>69.16</v>
      </c>
      <c r="BW91">
        <v>67.459999999999994</v>
      </c>
      <c r="BX91">
        <v>69.33</v>
      </c>
      <c r="BY91">
        <v>31.58</v>
      </c>
      <c r="BZ91">
        <v>26.3</v>
      </c>
      <c r="CA91">
        <v>27.72</v>
      </c>
      <c r="CB91">
        <v>-6.24</v>
      </c>
      <c r="CC91">
        <v>-13.86</v>
      </c>
      <c r="CD91" t="s">
        <v>3745</v>
      </c>
      <c r="CE91" t="s">
        <v>257</v>
      </c>
      <c r="CF91" s="9">
        <v>-0.50889679715302494</v>
      </c>
      <c r="CG91" s="10">
        <v>-0.73787539662260293</v>
      </c>
      <c r="CH91" s="9">
        <v>-0.77920001745223999</v>
      </c>
      <c r="CI91" s="9">
        <v>0.24254472553730011</v>
      </c>
      <c r="CJ91" s="9">
        <v>0.43714284896850586</v>
      </c>
      <c r="CK91" s="9">
        <v>2.9411764815449715E-2</v>
      </c>
      <c r="CL91" s="9">
        <v>0.14864864945411682</v>
      </c>
      <c r="CM91" s="10">
        <v>-0.9023590087890625</v>
      </c>
      <c r="CN91" s="10">
        <v>0.21167883276939392</v>
      </c>
      <c r="CO91" s="10">
        <v>0.25688073039054871</v>
      </c>
      <c r="CP91" s="10">
        <v>-0.14173229038715363</v>
      </c>
      <c r="CQ91" s="10">
        <v>5.833333358168602E-2</v>
      </c>
      <c r="CR91">
        <v>54.893924009239221</v>
      </c>
      <c r="CS91">
        <v>34.942929196360332</v>
      </c>
      <c r="CT91">
        <v>3.6581310276022614</v>
      </c>
      <c r="CU91" s="9">
        <v>1.5709594264626502E-2</v>
      </c>
      <c r="CV91" s="10">
        <v>-0.1034396804869175</v>
      </c>
      <c r="CW91">
        <v>0.06</v>
      </c>
      <c r="CX91">
        <v>324.21749416481913</v>
      </c>
      <c r="CY91">
        <v>15531157.912904503</v>
      </c>
      <c r="CZ91">
        <v>1.5709594264626502E-2</v>
      </c>
      <c r="DA91">
        <v>112.88861496755618</v>
      </c>
      <c r="DB91">
        <v>44605677.033482768</v>
      </c>
      <c r="DC91">
        <v>1.4924114551395177E-2</v>
      </c>
      <c r="DD91">
        <v>60.338448182506028</v>
      </c>
      <c r="DE91">
        <v>83453805.188512266</v>
      </c>
      <c r="DF91">
        <v>1.3824442952871321E-2</v>
      </c>
      <c r="DG91">
        <v>39.618878323498194</v>
      </c>
      <c r="DH91">
        <v>127097820.86418714</v>
      </c>
      <c r="DI91">
        <v>1.2567675411701201E-2</v>
      </c>
      <c r="DJ91">
        <v>24.606692068883643</v>
      </c>
      <c r="DK91">
        <v>204638359.5935514</v>
      </c>
      <c r="DL91">
        <v>1.0996715985238551E-2</v>
      </c>
      <c r="DM91">
        <v>16208400</v>
      </c>
      <c r="DN91">
        <v>1.5709594264626502E-2</v>
      </c>
      <c r="DO91">
        <v>5035473100</v>
      </c>
      <c r="DP91">
        <v>1311845800</v>
      </c>
      <c r="DQ91">
        <v>4131</v>
      </c>
      <c r="DR91">
        <v>-0.52460639141765142</v>
      </c>
      <c r="DS91">
        <v>-0.63443571613568539</v>
      </c>
      <c r="DT91" s="11">
        <v>-0.49</v>
      </c>
      <c r="DU91">
        <v>-0.49</v>
      </c>
      <c r="DV91">
        <v>-0.98</v>
      </c>
      <c r="DW91">
        <v>-9.4502164502164501</v>
      </c>
      <c r="DX91">
        <v>0.2559697142857148</v>
      </c>
      <c r="DY91">
        <v>-9.0522114730983301</v>
      </c>
      <c r="DZ91">
        <v>3989</v>
      </c>
      <c r="EA91">
        <v>-9.0114538280515131</v>
      </c>
      <c r="EB91">
        <v>9</v>
      </c>
      <c r="EC91">
        <v>9.8788228494246538E-2</v>
      </c>
      <c r="ED91">
        <v>0.85184506233120694</v>
      </c>
      <c r="EE91" s="12">
        <v>-2.0203000000000002</v>
      </c>
      <c r="EF91">
        <v>-2.0059999999999998</v>
      </c>
      <c r="EG91">
        <v>14.115969714285715</v>
      </c>
      <c r="EH91" t="s">
        <v>1468</v>
      </c>
      <c r="EI91">
        <v>0</v>
      </c>
      <c r="EJ91">
        <v>0</v>
      </c>
      <c r="EK91" s="14">
        <v>45470</v>
      </c>
      <c r="EL91" s="15">
        <v>0.36</v>
      </c>
      <c r="EM91" s="15">
        <v>-4.46</v>
      </c>
      <c r="EN91" s="15">
        <v>1.87</v>
      </c>
      <c r="EO91" s="15">
        <v>2.56</v>
      </c>
      <c r="EP91" s="15">
        <v>-1.43</v>
      </c>
    </row>
    <row r="92" spans="1:146" ht="96" x14ac:dyDescent="0.25">
      <c r="A92" s="7"/>
      <c r="B92" s="7"/>
      <c r="C92" s="7" t="str">
        <f>""&amp;CHAR(10)&amp;Basic_Fundamental_Information_Constructure(F92)&amp;CHAR(10)&amp;Basic_Fundamental_Information_Concatenate("")</f>
        <v xml:space="preserve">
市值44.614784亿, 利润507.06万; PE; 平均PE105.98; 平均PEG12.18, PB2.27; ROIC3.39%; ROE-2.2333%; 股利率0%; 毛利39.1667%; 净利-23.2%; 上一年度营收增-77.43%, 利润增-90.05%; 当季营收增-42.41%, 利润增-61.35%; 过往5年营收增-8.7%, 利润增-61.98%
Income profile:
</v>
      </c>
      <c r="D92" t="s">
        <v>160</v>
      </c>
      <c r="E92" t="s">
        <v>161</v>
      </c>
      <c r="F92">
        <v>6.32</v>
      </c>
      <c r="G92">
        <v>-8.01</v>
      </c>
      <c r="H92" t="s">
        <v>3746</v>
      </c>
      <c r="I92">
        <v>4461478400</v>
      </c>
      <c r="K92">
        <v>2.27</v>
      </c>
      <c r="L92" t="s">
        <v>1303</v>
      </c>
      <c r="M92" t="s">
        <v>702</v>
      </c>
      <c r="N92" t="s">
        <v>3747</v>
      </c>
      <c r="O92" t="s">
        <v>461</v>
      </c>
      <c r="P92">
        <v>8.85</v>
      </c>
      <c r="Q92" t="s">
        <v>461</v>
      </c>
      <c r="R92">
        <v>5070630</v>
      </c>
      <c r="S92" s="5">
        <v>0.6623</v>
      </c>
      <c r="T92" t="s">
        <v>3748</v>
      </c>
      <c r="U92">
        <v>705930130</v>
      </c>
      <c r="V92">
        <v>705930130</v>
      </c>
      <c r="W92">
        <v>1.23</v>
      </c>
      <c r="X92">
        <v>7.0000000000000007E-2</v>
      </c>
      <c r="Y92">
        <v>0.41</v>
      </c>
      <c r="Z92" t="s">
        <v>257</v>
      </c>
      <c r="AA92" t="s">
        <v>386</v>
      </c>
      <c r="AB92" t="s">
        <v>3749</v>
      </c>
      <c r="AC92" t="s">
        <v>3750</v>
      </c>
      <c r="AD92" t="s">
        <v>63</v>
      </c>
      <c r="AE92">
        <v>244525</v>
      </c>
      <c r="AF92" t="s">
        <v>3751</v>
      </c>
      <c r="AG92" t="s">
        <v>3752</v>
      </c>
      <c r="AH92" t="s">
        <v>3753</v>
      </c>
      <c r="AI92" t="s">
        <v>1392</v>
      </c>
      <c r="AJ92" t="s">
        <v>3754</v>
      </c>
      <c r="AK92" t="s">
        <v>3755</v>
      </c>
      <c r="AL92" t="s">
        <v>3756</v>
      </c>
      <c r="AM92" t="s">
        <v>63</v>
      </c>
      <c r="AN92" t="s">
        <v>3757</v>
      </c>
      <c r="AO92" t="s">
        <v>63</v>
      </c>
      <c r="AP92" t="s">
        <v>3758</v>
      </c>
      <c r="AQ92" t="s">
        <v>230</v>
      </c>
      <c r="AR92" t="s">
        <v>63</v>
      </c>
      <c r="AS92" t="s">
        <v>1845</v>
      </c>
      <c r="AT92" t="s">
        <v>63</v>
      </c>
      <c r="AU92" t="s">
        <v>3759</v>
      </c>
      <c r="AV92" t="s">
        <v>1816</v>
      </c>
      <c r="AW92" t="s">
        <v>3760</v>
      </c>
      <c r="AX92" t="s">
        <v>326</v>
      </c>
      <c r="AY92" t="s">
        <v>906</v>
      </c>
      <c r="AZ92" t="s">
        <v>812</v>
      </c>
      <c r="BA92" t="s">
        <v>633</v>
      </c>
      <c r="BB92" t="s">
        <v>320</v>
      </c>
      <c r="BC92" t="s">
        <v>1589</v>
      </c>
      <c r="BD92" t="s">
        <v>1262</v>
      </c>
      <c r="BE92" t="s">
        <v>979</v>
      </c>
      <c r="BF92" t="s">
        <v>192</v>
      </c>
      <c r="BG92" t="s">
        <v>445</v>
      </c>
      <c r="BH92" t="s">
        <v>1108</v>
      </c>
      <c r="BI92" t="s">
        <v>436</v>
      </c>
      <c r="BJ92" t="s">
        <v>326</v>
      </c>
      <c r="BK92" t="s">
        <v>3761</v>
      </c>
      <c r="BL92" t="s">
        <v>1924</v>
      </c>
      <c r="BM92" t="s">
        <v>1589</v>
      </c>
      <c r="BN92" t="s">
        <v>63</v>
      </c>
      <c r="BO92">
        <v>3.39</v>
      </c>
      <c r="BP92" t="s">
        <v>63</v>
      </c>
      <c r="BQ92">
        <v>0.36</v>
      </c>
      <c r="BR92">
        <v>3.15</v>
      </c>
      <c r="BS92">
        <v>-10.210000000000001</v>
      </c>
      <c r="BT92" t="s">
        <v>1445</v>
      </c>
      <c r="BU92" t="s">
        <v>2052</v>
      </c>
      <c r="BV92">
        <v>32.840000000000003</v>
      </c>
      <c r="BW92">
        <v>45.13</v>
      </c>
      <c r="BX92">
        <v>39.53</v>
      </c>
      <c r="BY92">
        <v>-50.89</v>
      </c>
      <c r="BZ92">
        <v>5.79</v>
      </c>
      <c r="CA92">
        <v>-24.5</v>
      </c>
      <c r="CB92">
        <v>-11.36</v>
      </c>
      <c r="CC92">
        <v>-3.51</v>
      </c>
      <c r="CD92" t="s">
        <v>245</v>
      </c>
      <c r="CE92" t="s">
        <v>1063</v>
      </c>
      <c r="CF92" s="9">
        <v>-0.42413793103448277</v>
      </c>
      <c r="CG92" s="10">
        <v>-0.61350727156315743</v>
      </c>
      <c r="CH92" s="9">
        <v>-0.77432429790496826</v>
      </c>
      <c r="CI92" s="9">
        <v>3.4965034574270248E-2</v>
      </c>
      <c r="CJ92" s="9">
        <v>0.12421383708715439</v>
      </c>
      <c r="CK92" s="9">
        <v>-8.8825218379497528E-2</v>
      </c>
      <c r="CL92" s="9">
        <v>0.2690909206867218</v>
      </c>
      <c r="CM92" s="10">
        <v>-0.90051734447479248</v>
      </c>
      <c r="CN92" s="10">
        <v>1.2980684041976929</v>
      </c>
      <c r="CO92" s="10">
        <v>-3.1497428417205811</v>
      </c>
      <c r="CP92" s="10">
        <v>-0.48010197281837463</v>
      </c>
      <c r="CQ92" s="10">
        <v>0.13333334028720856</v>
      </c>
      <c r="CR92">
        <v>105.97977787253147</v>
      </c>
      <c r="CS92">
        <v>12.184952762714961</v>
      </c>
      <c r="CT92">
        <v>0</v>
      </c>
      <c r="CU92" s="9">
        <v>-8.6975944787263865E-2</v>
      </c>
      <c r="CV92" s="10">
        <v>-0.61979208290576937</v>
      </c>
      <c r="CW92">
        <v>0.06</v>
      </c>
      <c r="CX92">
        <v>576.55472725121285</v>
      </c>
      <c r="CY92" t="s">
        <v>3762</v>
      </c>
      <c r="CZ92">
        <v>-8.6975944787263865E-2</v>
      </c>
      <c r="DA92">
        <v>192.18490908373764</v>
      </c>
      <c r="DB92" t="s">
        <v>3763</v>
      </c>
      <c r="DC92">
        <v>-8.2627147547900667E-2</v>
      </c>
      <c r="DD92">
        <v>96.092454541868818</v>
      </c>
      <c r="DE92" t="s">
        <v>3764</v>
      </c>
      <c r="DF92">
        <v>-7.6538831412792205E-2</v>
      </c>
      <c r="DG92">
        <v>57.655472725121285</v>
      </c>
      <c r="DH92" t="s">
        <v>3765</v>
      </c>
      <c r="DI92">
        <v>-6.9580755829811089E-2</v>
      </c>
      <c r="DJ92">
        <v>28.827736362560643</v>
      </c>
      <c r="DK92" t="s">
        <v>3766</v>
      </c>
      <c r="DL92">
        <v>-6.0883161351084701E-2</v>
      </c>
      <c r="DM92">
        <v>5070600</v>
      </c>
      <c r="DN92">
        <v>-8.6975944787263865E-2</v>
      </c>
      <c r="DO92">
        <v>2923478400</v>
      </c>
      <c r="DP92">
        <v>1269706500</v>
      </c>
      <c r="DQ92">
        <v>4172</v>
      </c>
      <c r="DR92">
        <v>-0.33716198624721894</v>
      </c>
      <c r="DS92">
        <v>6.2848113426119401E-3</v>
      </c>
      <c r="DT92" s="11">
        <v>-0.67333333333333334</v>
      </c>
      <c r="DU92">
        <v>-1.2733333333333334</v>
      </c>
      <c r="DV92">
        <v>-1.9466666666666668</v>
      </c>
      <c r="DW92">
        <v>-5.308978873239437</v>
      </c>
      <c r="DX92">
        <v>0.43103729842912925</v>
      </c>
      <c r="DY92">
        <v>-5.0435775455533669</v>
      </c>
      <c r="DZ92">
        <v>703</v>
      </c>
      <c r="EA92">
        <v>-5.0375824350789999</v>
      </c>
      <c r="EB92">
        <v>5</v>
      </c>
      <c r="EC92">
        <v>0.21956847202427809</v>
      </c>
      <c r="ED92">
        <v>1.5568112951914943</v>
      </c>
      <c r="EE92" s="12">
        <v>7.0100000000000058E-3</v>
      </c>
      <c r="EF92">
        <v>2.921E-2</v>
      </c>
      <c r="EG92">
        <v>29.141037298429129</v>
      </c>
      <c r="EH92">
        <v>-1</v>
      </c>
      <c r="EI92">
        <v>0</v>
      </c>
      <c r="EJ92">
        <v>1</v>
      </c>
      <c r="EK92" s="14">
        <v>45470</v>
      </c>
      <c r="EL92" s="15">
        <v>1.25</v>
      </c>
      <c r="EM92" s="15">
        <v>-3.31</v>
      </c>
      <c r="EN92" s="15">
        <v>-1.17</v>
      </c>
      <c r="EO92" s="15">
        <v>-2.27</v>
      </c>
      <c r="EP92" s="15">
        <v>-2.2200000000000002</v>
      </c>
    </row>
    <row r="93" spans="1:146" ht="96" x14ac:dyDescent="0.25">
      <c r="A93" s="7"/>
      <c r="B93" s="7"/>
      <c r="C93" s="7" t="str">
        <f>""&amp;CHAR(10)&amp;Basic_Fundamental_Information_Constructure(F93)&amp;CHAR(10)&amp;Basic_Fundamental_Information_Concatenate("")</f>
        <v xml:space="preserve">
市值140.86128亿, 利润2587.84万; PE21.42; 平均PE34.85; 平均PEG3.72, PB4.28; ROIC18.6567%; ROE20.0467%; 股利率3.2448%; 毛利30.1233%; 净利9.5933%; 上一年度营收增-80.81%, 利润增-95.94%; 当季营收增-51.08%, 利润增-87.62%; 过往5年营收增-9.38%, 利润增-4.12%
Income profile:
</v>
      </c>
      <c r="D93" t="s">
        <v>120</v>
      </c>
      <c r="E93" t="s">
        <v>121</v>
      </c>
      <c r="F93">
        <v>16.95</v>
      </c>
      <c r="G93">
        <v>1.74</v>
      </c>
      <c r="H93" t="s">
        <v>3767</v>
      </c>
      <c r="I93">
        <v>14086128000</v>
      </c>
      <c r="J93">
        <v>21.42</v>
      </c>
      <c r="K93">
        <v>4.28</v>
      </c>
      <c r="L93" t="s">
        <v>1303</v>
      </c>
      <c r="M93" t="s">
        <v>3768</v>
      </c>
      <c r="N93" t="s">
        <v>3769</v>
      </c>
      <c r="O93" t="s">
        <v>3770</v>
      </c>
      <c r="P93">
        <v>0.91</v>
      </c>
      <c r="Q93" t="s">
        <v>3770</v>
      </c>
      <c r="R93">
        <v>25878437</v>
      </c>
      <c r="S93" s="5">
        <v>0.1235</v>
      </c>
      <c r="T93" t="s">
        <v>3771</v>
      </c>
      <c r="U93">
        <v>831040000</v>
      </c>
      <c r="V93">
        <v>831040000</v>
      </c>
      <c r="W93">
        <v>2.12</v>
      </c>
      <c r="X93">
        <v>0.18</v>
      </c>
      <c r="Y93">
        <v>2.0099999999999998</v>
      </c>
      <c r="Z93" t="s">
        <v>3772</v>
      </c>
      <c r="AA93" t="s">
        <v>3773</v>
      </c>
      <c r="AB93" t="s">
        <v>3774</v>
      </c>
      <c r="AC93" t="s">
        <v>3775</v>
      </c>
      <c r="AD93" t="s">
        <v>63</v>
      </c>
      <c r="AE93">
        <v>-6914221</v>
      </c>
      <c r="AF93" t="s">
        <v>176</v>
      </c>
      <c r="AG93" t="s">
        <v>3776</v>
      </c>
      <c r="AH93" t="s">
        <v>3777</v>
      </c>
      <c r="AI93" t="s">
        <v>3356</v>
      </c>
      <c r="AJ93" t="s">
        <v>3778</v>
      </c>
      <c r="AK93" t="s">
        <v>3779</v>
      </c>
      <c r="AL93" t="s">
        <v>3780</v>
      </c>
      <c r="AM93" t="s">
        <v>63</v>
      </c>
      <c r="AN93">
        <v>0</v>
      </c>
      <c r="AO93" t="s">
        <v>63</v>
      </c>
      <c r="AP93" t="s">
        <v>280</v>
      </c>
      <c r="AQ93" t="s">
        <v>3781</v>
      </c>
      <c r="AR93" t="s">
        <v>3782</v>
      </c>
      <c r="AS93" t="s">
        <v>3783</v>
      </c>
      <c r="AT93" t="s">
        <v>63</v>
      </c>
      <c r="AU93" t="s">
        <v>1253</v>
      </c>
      <c r="AV93" t="s">
        <v>3784</v>
      </c>
      <c r="AW93" t="s">
        <v>3785</v>
      </c>
      <c r="AX93" t="s">
        <v>1590</v>
      </c>
      <c r="AY93" t="s">
        <v>1263</v>
      </c>
      <c r="AZ93" t="s">
        <v>983</v>
      </c>
      <c r="BA93" t="s">
        <v>642</v>
      </c>
      <c r="BB93" t="s">
        <v>984</v>
      </c>
      <c r="BC93" t="s">
        <v>537</v>
      </c>
      <c r="BD93" t="s">
        <v>1199</v>
      </c>
      <c r="BE93" t="s">
        <v>318</v>
      </c>
      <c r="BF93" t="s">
        <v>362</v>
      </c>
      <c r="BG93" t="s">
        <v>564</v>
      </c>
      <c r="BH93" t="s">
        <v>3786</v>
      </c>
      <c r="BI93" t="s">
        <v>1926</v>
      </c>
      <c r="BJ93" t="s">
        <v>1590</v>
      </c>
      <c r="BK93" t="s">
        <v>195</v>
      </c>
      <c r="BL93" t="s">
        <v>262</v>
      </c>
      <c r="BM93" t="s">
        <v>537</v>
      </c>
      <c r="BN93">
        <v>11.53</v>
      </c>
      <c r="BO93">
        <v>21.79</v>
      </c>
      <c r="BP93">
        <v>22.65</v>
      </c>
      <c r="BQ93">
        <v>12.78</v>
      </c>
      <c r="BR93">
        <v>23.93</v>
      </c>
      <c r="BS93">
        <v>23.43</v>
      </c>
      <c r="BT93" t="s">
        <v>3787</v>
      </c>
      <c r="BU93" t="s">
        <v>2052</v>
      </c>
      <c r="BV93">
        <v>31.56</v>
      </c>
      <c r="BW93">
        <v>29.29</v>
      </c>
      <c r="BX93">
        <v>29.52</v>
      </c>
      <c r="BY93">
        <v>10.07</v>
      </c>
      <c r="BZ93">
        <v>9.52</v>
      </c>
      <c r="CA93">
        <v>9.19</v>
      </c>
      <c r="CB93">
        <v>-6.3</v>
      </c>
      <c r="CC93">
        <v>-9.94</v>
      </c>
      <c r="CD93" t="s">
        <v>3788</v>
      </c>
      <c r="CE93" t="s">
        <v>542</v>
      </c>
      <c r="CF93" s="9">
        <v>-0.51083238312428736</v>
      </c>
      <c r="CG93" s="10">
        <v>-0.8761797272727273</v>
      </c>
      <c r="CH93" s="9">
        <v>-0.80805367231369019</v>
      </c>
      <c r="CI93" s="9">
        <v>6.750517338514328E-2</v>
      </c>
      <c r="CJ93" s="9">
        <v>8.6302280426025391E-2</v>
      </c>
      <c r="CK93" s="9">
        <v>5.1463961601257324E-2</v>
      </c>
      <c r="CL93" s="9">
        <v>0.13381442427635193</v>
      </c>
      <c r="CM93" s="10">
        <v>-0.9594382643699646</v>
      </c>
      <c r="CN93" s="10">
        <v>0.10571923851966858</v>
      </c>
      <c r="CO93" s="10">
        <v>0.20964360237121582</v>
      </c>
      <c r="CP93" s="10">
        <v>0.23575130105018616</v>
      </c>
      <c r="CQ93" s="10">
        <v>0.20249220728874207</v>
      </c>
      <c r="CR93">
        <v>34.85402319555488</v>
      </c>
      <c r="CS93">
        <v>3.7160355967774521</v>
      </c>
      <c r="CT93">
        <v>3.2448377581120944</v>
      </c>
      <c r="CU93" s="9">
        <v>-9.3793566524982455E-2</v>
      </c>
      <c r="CV93" s="10">
        <v>-4.1166383028030398E-2</v>
      </c>
      <c r="CW93">
        <v>0.06</v>
      </c>
      <c r="CX93">
        <v>568.27810065537278</v>
      </c>
      <c r="CY93" t="s">
        <v>3789</v>
      </c>
      <c r="CZ93">
        <v>-9.3793566524982455E-2</v>
      </c>
      <c r="DA93">
        <v>189.42603355179094</v>
      </c>
      <c r="DB93" t="s">
        <v>3790</v>
      </c>
      <c r="DC93">
        <v>-8.9103888198733328E-2</v>
      </c>
      <c r="DD93">
        <v>94.713016775895468</v>
      </c>
      <c r="DE93" t="s">
        <v>3791</v>
      </c>
      <c r="DF93">
        <v>-8.2538338541984557E-2</v>
      </c>
      <c r="DG93">
        <v>56.827810065537285</v>
      </c>
      <c r="DH93" t="s">
        <v>3792</v>
      </c>
      <c r="DI93">
        <v>-7.5034853219985972E-2</v>
      </c>
      <c r="DJ93">
        <v>28.413905032768643</v>
      </c>
      <c r="DK93" t="s">
        <v>3793</v>
      </c>
      <c r="DL93">
        <v>-6.5655496567487717E-2</v>
      </c>
      <c r="DM93">
        <v>25878400</v>
      </c>
      <c r="DN93">
        <v>-9.3793566524982455E-2</v>
      </c>
      <c r="DO93">
        <v>14706128000</v>
      </c>
      <c r="DP93">
        <v>2967355599.9999995</v>
      </c>
      <c r="DQ93">
        <v>4384</v>
      </c>
      <c r="DR93">
        <v>-0.41703881659930492</v>
      </c>
      <c r="DS93">
        <v>-0.83501334424469686</v>
      </c>
      <c r="DT93" s="11">
        <v>-0.77333333333333332</v>
      </c>
      <c r="DU93">
        <v>-0.42333333333333339</v>
      </c>
      <c r="DV93">
        <v>-1.1966666666666668</v>
      </c>
      <c r="DW93">
        <v>-9.6338028169014081</v>
      </c>
      <c r="DX93">
        <v>0.37720265486725768</v>
      </c>
      <c r="DY93">
        <v>-9.1376636544933323</v>
      </c>
      <c r="DZ93">
        <v>3097</v>
      </c>
      <c r="EA93">
        <v>-9.0542303202534402</v>
      </c>
      <c r="EB93">
        <v>9</v>
      </c>
      <c r="EC93">
        <v>5.9067914901809779E-2</v>
      </c>
      <c r="ED93">
        <v>0.2719484020023103</v>
      </c>
      <c r="EE93" s="12">
        <v>2.0232000000000001</v>
      </c>
      <c r="EF93">
        <v>2.0030100000000002</v>
      </c>
      <c r="EG93">
        <v>16.217202654867258</v>
      </c>
      <c r="EH93" t="s">
        <v>1325</v>
      </c>
      <c r="EI93">
        <v>0</v>
      </c>
      <c r="EJ93">
        <v>0</v>
      </c>
      <c r="EK93" s="14">
        <v>45470</v>
      </c>
      <c r="EL93" s="15">
        <v>-0.63</v>
      </c>
      <c r="EM93" s="15">
        <v>-3.4</v>
      </c>
      <c r="EN93" s="15">
        <v>1.3</v>
      </c>
      <c r="EO93" s="15">
        <v>2.96</v>
      </c>
      <c r="EP93" s="15">
        <v>-2.62</v>
      </c>
    </row>
    <row r="94" spans="1:146" ht="96" x14ac:dyDescent="0.25">
      <c r="A94" s="7"/>
      <c r="B94" s="7"/>
      <c r="C94" s="7" t="str">
        <f>""&amp;CHAR(10)&amp;Basic_Fundamental_Information_Constructure(F94)&amp;CHAR(10)&amp;Basic_Fundamental_Information_Concatenate("")</f>
        <v xml:space="preserve">
市值26.034032亿, 利润989.15万; PE; 平均PE69.98; 平均PEG6.65, PB2.39; ROIC3.045%; ROE-.0567%; 股利率0%; 毛利53.56%; 净利-6.3333%; 上一年度营收增-63.73%, 利润增-70.53%; 当季营收增-27.45%, 利润增117.12%; 过往5年营收增-10.52%, 利润增-22.41%
Income profile:
</v>
      </c>
      <c r="D94" t="s">
        <v>103</v>
      </c>
      <c r="E94" t="s">
        <v>12</v>
      </c>
      <c r="F94">
        <v>8.5</v>
      </c>
      <c r="G94">
        <v>1.92</v>
      </c>
      <c r="H94" t="s">
        <v>3794</v>
      </c>
      <c r="I94">
        <v>2603403200</v>
      </c>
      <c r="K94">
        <v>2.39</v>
      </c>
      <c r="L94" t="s">
        <v>1303</v>
      </c>
      <c r="M94" t="s">
        <v>3795</v>
      </c>
      <c r="N94" t="s">
        <v>1906</v>
      </c>
      <c r="O94" t="s">
        <v>478</v>
      </c>
      <c r="P94">
        <v>57.38</v>
      </c>
      <c r="Q94" t="s">
        <v>478</v>
      </c>
      <c r="R94">
        <v>9891496</v>
      </c>
      <c r="S94" s="5">
        <v>1.9179999999999999</v>
      </c>
      <c r="T94" t="s">
        <v>3796</v>
      </c>
      <c r="U94">
        <v>306282730</v>
      </c>
      <c r="V94">
        <v>306282730</v>
      </c>
      <c r="W94">
        <v>3.64</v>
      </c>
      <c r="X94">
        <v>0.03</v>
      </c>
      <c r="Y94">
        <v>9.6</v>
      </c>
      <c r="Z94" t="s">
        <v>459</v>
      </c>
      <c r="AA94" t="s">
        <v>3797</v>
      </c>
      <c r="AB94" t="s">
        <v>3798</v>
      </c>
      <c r="AC94" t="s">
        <v>3799</v>
      </c>
      <c r="AD94" t="s">
        <v>63</v>
      </c>
      <c r="AE94">
        <v>17560767</v>
      </c>
      <c r="AF94" t="s">
        <v>3800</v>
      </c>
      <c r="AG94">
        <v>1200</v>
      </c>
      <c r="AH94" t="s">
        <v>3801</v>
      </c>
      <c r="AI94" t="s">
        <v>384</v>
      </c>
      <c r="AJ94" t="s">
        <v>3802</v>
      </c>
      <c r="AK94" t="s">
        <v>471</v>
      </c>
      <c r="AL94" t="s">
        <v>3803</v>
      </c>
      <c r="AM94" t="s">
        <v>63</v>
      </c>
      <c r="AN94" t="s">
        <v>1164</v>
      </c>
      <c r="AO94" t="s">
        <v>197</v>
      </c>
      <c r="AP94" t="s">
        <v>3804</v>
      </c>
      <c r="AQ94" t="s">
        <v>3805</v>
      </c>
      <c r="AR94" t="s">
        <v>63</v>
      </c>
      <c r="AS94" t="s">
        <v>1953</v>
      </c>
      <c r="AT94" t="s">
        <v>337</v>
      </c>
      <c r="AU94" t="s">
        <v>3806</v>
      </c>
      <c r="AV94" t="s">
        <v>3807</v>
      </c>
      <c r="AW94" t="s">
        <v>266</v>
      </c>
      <c r="AX94" t="s">
        <v>349</v>
      </c>
      <c r="AY94" t="s">
        <v>508</v>
      </c>
      <c r="AZ94" t="s">
        <v>619</v>
      </c>
      <c r="BA94" t="s">
        <v>487</v>
      </c>
      <c r="BB94" t="s">
        <v>838</v>
      </c>
      <c r="BC94" t="s">
        <v>1591</v>
      </c>
      <c r="BD94" t="s">
        <v>1264</v>
      </c>
      <c r="BE94" t="s">
        <v>985</v>
      </c>
      <c r="BF94" t="s">
        <v>645</v>
      </c>
      <c r="BG94" t="s">
        <v>986</v>
      </c>
      <c r="BH94" t="s">
        <v>3808</v>
      </c>
      <c r="BI94" t="s">
        <v>192</v>
      </c>
      <c r="BJ94" t="s">
        <v>349</v>
      </c>
      <c r="BK94" t="s">
        <v>3809</v>
      </c>
      <c r="BL94" t="s">
        <v>1992</v>
      </c>
      <c r="BM94" t="s">
        <v>1591</v>
      </c>
      <c r="BN94" t="s">
        <v>63</v>
      </c>
      <c r="BO94">
        <v>2.56</v>
      </c>
      <c r="BP94">
        <v>3.53</v>
      </c>
      <c r="BQ94">
        <v>-7.02</v>
      </c>
      <c r="BR94">
        <v>3.02</v>
      </c>
      <c r="BS94">
        <v>3.83</v>
      </c>
      <c r="BT94" t="s">
        <v>1445</v>
      </c>
      <c r="BU94" t="s">
        <v>2052</v>
      </c>
      <c r="BV94">
        <v>20.36</v>
      </c>
      <c r="BW94">
        <v>70.52</v>
      </c>
      <c r="BX94">
        <v>69.8</v>
      </c>
      <c r="BY94">
        <v>-42.91</v>
      </c>
      <c r="BZ94">
        <v>11.62</v>
      </c>
      <c r="CA94">
        <v>12.29</v>
      </c>
      <c r="CB94">
        <v>-2.41</v>
      </c>
      <c r="CC94">
        <v>-20.34</v>
      </c>
      <c r="CD94" t="s">
        <v>3810</v>
      </c>
      <c r="CE94" t="s">
        <v>301</v>
      </c>
      <c r="CF94" s="9">
        <v>-0.27450980392156854</v>
      </c>
      <c r="CG94" s="10">
        <v>1.1711716476024019</v>
      </c>
      <c r="CH94" s="9">
        <v>-0.63725489377975464</v>
      </c>
      <c r="CI94" s="9">
        <v>-0.1355932205915451</v>
      </c>
      <c r="CJ94" s="9">
        <v>0.14935064315795898</v>
      </c>
      <c r="CK94" s="9">
        <v>-7.5075075030326843E-2</v>
      </c>
      <c r="CL94" s="9">
        <v>0.17253521084785461</v>
      </c>
      <c r="CM94" s="10">
        <v>-0.70526361465454102</v>
      </c>
      <c r="CN94" s="10">
        <v>-0.20005291700363159</v>
      </c>
      <c r="CO94" s="10">
        <v>0.18369650840759277</v>
      </c>
      <c r="CP94" s="10">
        <v>-0.2440841943025589</v>
      </c>
      <c r="CQ94" s="10">
        <v>-0.15487675368785858</v>
      </c>
      <c r="CR94">
        <v>69.979316783654141</v>
      </c>
      <c r="CS94">
        <v>6.6515541839818946</v>
      </c>
      <c r="CT94">
        <v>0</v>
      </c>
      <c r="CU94" s="9">
        <v>-0.10520746707916259</v>
      </c>
      <c r="CV94" s="10">
        <v>-0.22411619424819945</v>
      </c>
      <c r="CW94">
        <v>0.06</v>
      </c>
      <c r="CX94">
        <v>437.18376383763837</v>
      </c>
      <c r="CY94" t="s">
        <v>3811</v>
      </c>
      <c r="CZ94">
        <v>-0.10520746707916259</v>
      </c>
      <c r="DA94">
        <v>145.72792127921278</v>
      </c>
      <c r="DB94" t="s">
        <v>3812</v>
      </c>
      <c r="DC94">
        <v>-9.9947093725204453E-2</v>
      </c>
      <c r="DD94">
        <v>72.86396063960639</v>
      </c>
      <c r="DE94" t="s">
        <v>3813</v>
      </c>
      <c r="DF94">
        <v>-9.258257102966308E-2</v>
      </c>
      <c r="DG94">
        <v>43.718376383763839</v>
      </c>
      <c r="DH94" t="s">
        <v>3814</v>
      </c>
      <c r="DI94">
        <v>-8.4165973663330076E-2</v>
      </c>
      <c r="DJ94">
        <v>21.85918819188192</v>
      </c>
      <c r="DK94" t="s">
        <v>3815</v>
      </c>
      <c r="DL94">
        <v>-7.3645226955413812E-2</v>
      </c>
      <c r="DM94">
        <v>9891500</v>
      </c>
      <c r="DN94">
        <v>-0.10520746707916259</v>
      </c>
      <c r="DO94">
        <v>4324403200</v>
      </c>
      <c r="DP94">
        <v>-594822790.00000024</v>
      </c>
      <c r="DQ94">
        <v>4419</v>
      </c>
      <c r="DR94">
        <v>-0.16930233684240595</v>
      </c>
      <c r="DS94">
        <v>1.3952878418506014</v>
      </c>
      <c r="DT94" s="11">
        <v>-0.67333333333333334</v>
      </c>
      <c r="DU94">
        <v>-0.78666666666666663</v>
      </c>
      <c r="DV94">
        <v>-1.46</v>
      </c>
      <c r="DW94">
        <v>-3.0490833333333334</v>
      </c>
      <c r="DX94">
        <v>0.35061843575418861</v>
      </c>
      <c r="DY94">
        <v>-3.0059203548882683</v>
      </c>
      <c r="DZ94">
        <v>5036</v>
      </c>
      <c r="EA94">
        <v>-3.0000857350805736</v>
      </c>
      <c r="EB94">
        <v>3</v>
      </c>
      <c r="EC94">
        <v>7.0492711097357663E-2</v>
      </c>
      <c r="ED94">
        <v>0.5844273361413489</v>
      </c>
      <c r="EE94" s="12">
        <v>2.0442</v>
      </c>
      <c r="EF94">
        <v>2.0070000000000001</v>
      </c>
      <c r="EG94">
        <v>23.120618435754189</v>
      </c>
      <c r="EH94" t="s">
        <v>1477</v>
      </c>
      <c r="EI94">
        <v>0</v>
      </c>
      <c r="EJ94">
        <v>0</v>
      </c>
      <c r="EK94" s="14">
        <v>45470</v>
      </c>
      <c r="EL94" s="15">
        <v>-1.73</v>
      </c>
      <c r="EM94" s="15">
        <v>-2.2999999999999998</v>
      </c>
      <c r="EN94" s="15">
        <v>1.43</v>
      </c>
      <c r="EO94" s="15">
        <v>4.84</v>
      </c>
      <c r="EP94" s="15">
        <v>-3.72</v>
      </c>
    </row>
    <row r="95" spans="1:146" ht="96" x14ac:dyDescent="0.25">
      <c r="A95" s="7"/>
      <c r="B95" s="7"/>
      <c r="C95" s="7" t="str">
        <f>""&amp;CHAR(10)&amp;Basic_Fundamental_Information_Constructure(F95)&amp;CHAR(10)&amp;Basic_Fundamental_Information_Concatenate("")</f>
        <v xml:space="preserve">
市值29.48889亿, 利润-2.00亿; PE; 平均PE-129.06; 平均PEG-12.59, PB1.22; ROIC0%; ROE-8.8467%; 股利率0%; 毛利63.3133%; 净利-9.6767%; 上一年度营收增-85.81%, 利润增21.26%; 当季营收增-59.63%, 利润增51.01%; 过往5年营收增10.25%, 利润增-388.58%
Income profile:
</v>
      </c>
      <c r="D95" t="s">
        <v>81</v>
      </c>
      <c r="E95" t="s">
        <v>3816</v>
      </c>
      <c r="F95">
        <v>28.77</v>
      </c>
      <c r="G95">
        <v>0</v>
      </c>
      <c r="H95" t="s">
        <v>3817</v>
      </c>
      <c r="I95">
        <v>2948889000</v>
      </c>
      <c r="K95">
        <v>1.22</v>
      </c>
      <c r="L95" t="s">
        <v>1303</v>
      </c>
      <c r="M95" t="s">
        <v>3818</v>
      </c>
      <c r="N95" t="s">
        <v>3819</v>
      </c>
      <c r="O95" t="s">
        <v>462</v>
      </c>
      <c r="P95">
        <v>-16.47</v>
      </c>
      <c r="Q95" t="s">
        <v>462</v>
      </c>
      <c r="R95">
        <v>-200369140</v>
      </c>
      <c r="S95" s="5">
        <v>-5.7500000000000002E-2</v>
      </c>
      <c r="T95" t="s">
        <v>3820</v>
      </c>
      <c r="U95">
        <v>102065545</v>
      </c>
      <c r="V95">
        <v>102498747</v>
      </c>
      <c r="W95">
        <v>1.86</v>
      </c>
      <c r="X95">
        <v>0.06</v>
      </c>
      <c r="Y95">
        <v>-72.52</v>
      </c>
      <c r="Z95" t="s">
        <v>600</v>
      </c>
      <c r="AA95" t="s">
        <v>415</v>
      </c>
      <c r="AB95" t="s">
        <v>190</v>
      </c>
      <c r="AC95" t="s">
        <v>3821</v>
      </c>
      <c r="AD95" t="s">
        <v>63</v>
      </c>
      <c r="AE95">
        <v>6002987</v>
      </c>
      <c r="AF95" t="s">
        <v>3822</v>
      </c>
      <c r="AG95" t="s">
        <v>3823</v>
      </c>
      <c r="AH95" t="s">
        <v>3824</v>
      </c>
      <c r="AI95" t="s">
        <v>1863</v>
      </c>
      <c r="AJ95" t="s">
        <v>3825</v>
      </c>
      <c r="AK95" t="s">
        <v>3826</v>
      </c>
      <c r="AL95" t="s">
        <v>3827</v>
      </c>
      <c r="AM95" t="s">
        <v>63</v>
      </c>
      <c r="AN95" t="s">
        <v>1163</v>
      </c>
      <c r="AO95" t="s">
        <v>551</v>
      </c>
      <c r="AP95" t="s">
        <v>3828</v>
      </c>
      <c r="AQ95" t="s">
        <v>402</v>
      </c>
      <c r="AR95" t="s">
        <v>63</v>
      </c>
      <c r="AS95" t="s">
        <v>3829</v>
      </c>
      <c r="AT95" t="s">
        <v>619</v>
      </c>
      <c r="AU95" t="s">
        <v>3830</v>
      </c>
      <c r="AV95" t="s">
        <v>3831</v>
      </c>
      <c r="AW95" t="s">
        <v>3832</v>
      </c>
      <c r="AX95" t="s">
        <v>1592</v>
      </c>
      <c r="AY95" t="s">
        <v>844</v>
      </c>
      <c r="AZ95" t="s">
        <v>980</v>
      </c>
      <c r="BA95" t="s">
        <v>646</v>
      </c>
      <c r="BB95" t="s">
        <v>612</v>
      </c>
      <c r="BC95" t="s">
        <v>1842</v>
      </c>
      <c r="BD95" t="s">
        <v>1265</v>
      </c>
      <c r="BE95" t="s">
        <v>231</v>
      </c>
      <c r="BF95" t="s">
        <v>647</v>
      </c>
      <c r="BG95" t="s">
        <v>987</v>
      </c>
      <c r="BH95" t="s">
        <v>3833</v>
      </c>
      <c r="BI95" t="s">
        <v>237</v>
      </c>
      <c r="BJ95" t="s">
        <v>1592</v>
      </c>
      <c r="BK95" t="s">
        <v>3834</v>
      </c>
      <c r="BL95" t="s">
        <v>1894</v>
      </c>
      <c r="BM95" t="s">
        <v>1842</v>
      </c>
      <c r="BN95" t="s">
        <v>63</v>
      </c>
      <c r="BO95" t="s">
        <v>63</v>
      </c>
      <c r="BP95" t="s">
        <v>63</v>
      </c>
      <c r="BQ95">
        <v>-18.739999999999998</v>
      </c>
      <c r="BR95">
        <v>-8.48</v>
      </c>
      <c r="BS95">
        <v>0.68</v>
      </c>
      <c r="BT95" t="s">
        <v>1461</v>
      </c>
      <c r="BU95" t="s">
        <v>2031</v>
      </c>
      <c r="BV95">
        <v>61.78</v>
      </c>
      <c r="BW95">
        <v>64.2</v>
      </c>
      <c r="BX95">
        <v>63.96</v>
      </c>
      <c r="BY95">
        <v>-16.850000000000001</v>
      </c>
      <c r="BZ95">
        <v>-12.79</v>
      </c>
      <c r="CA95">
        <v>0.61</v>
      </c>
      <c r="CB95">
        <v>-6.52</v>
      </c>
      <c r="CC95">
        <v>-24.01</v>
      </c>
      <c r="CD95" t="s">
        <v>3835</v>
      </c>
      <c r="CE95" t="s">
        <v>3836</v>
      </c>
      <c r="CF95" s="9">
        <v>-0.59626436781609193</v>
      </c>
      <c r="CG95" s="10">
        <v>0.51009990220048895</v>
      </c>
      <c r="CH95" s="9">
        <v>-0.85808086395263672</v>
      </c>
      <c r="CI95" s="9">
        <v>8.7912090122699738E-2</v>
      </c>
      <c r="CJ95" s="9">
        <v>0.37566131353378296</v>
      </c>
      <c r="CK95" s="9">
        <v>0.40148311853408813</v>
      </c>
      <c r="CL95" s="9">
        <v>0.50558215379714966</v>
      </c>
      <c r="CM95" s="10">
        <v>0.21259842813014984</v>
      </c>
      <c r="CN95" s="10">
        <v>-19.397130966186523</v>
      </c>
      <c r="CO95" s="10">
        <v>-0.89696645736694336</v>
      </c>
      <c r="CP95" s="10">
        <v>0.45304074883460999</v>
      </c>
      <c r="CQ95" s="10">
        <v>0.19961957633495331</v>
      </c>
      <c r="CR95">
        <v>-129.05572931558649</v>
      </c>
      <c r="CS95">
        <v>-12.589382727694415</v>
      </c>
      <c r="CT95">
        <v>0</v>
      </c>
      <c r="CU95" s="9">
        <v>0.10251156240701675</v>
      </c>
      <c r="CV95" s="10">
        <v>-3.8857677340507508</v>
      </c>
      <c r="CW95">
        <v>0.06</v>
      </c>
      <c r="CX95" t="e">
        <v>#VALUE!</v>
      </c>
      <c r="CY95" t="s">
        <v>1308</v>
      </c>
      <c r="CZ95">
        <v>0.10251156240701675</v>
      </c>
      <c r="DA95" t="e">
        <v>#VALUE!</v>
      </c>
      <c r="DB95" t="s">
        <v>1309</v>
      </c>
      <c r="DC95">
        <v>9.7385984286665908E-2</v>
      </c>
      <c r="DD95" t="e">
        <v>#VALUE!</v>
      </c>
      <c r="DE95" t="s">
        <v>1309</v>
      </c>
      <c r="DF95">
        <v>9.0210174918174749E-2</v>
      </c>
      <c r="DG95" t="e">
        <v>#VALUE!</v>
      </c>
      <c r="DH95" t="s">
        <v>1309</v>
      </c>
      <c r="DI95">
        <v>8.2009249925613412E-2</v>
      </c>
      <c r="DJ95" t="e">
        <v>#VALUE!</v>
      </c>
      <c r="DK95" t="s">
        <v>1309</v>
      </c>
      <c r="DL95">
        <v>7.175809368491172E-2</v>
      </c>
      <c r="DM95">
        <v>-200000000</v>
      </c>
      <c r="DN95">
        <v>0.10251156240701675</v>
      </c>
      <c r="DO95">
        <v>2920889000</v>
      </c>
      <c r="DP95">
        <v>649783000</v>
      </c>
      <c r="DQ95">
        <v>4561</v>
      </c>
      <c r="DR95">
        <v>-0.69877593022310869</v>
      </c>
      <c r="DS95">
        <v>4.3958676362512401</v>
      </c>
      <c r="DT95" s="11">
        <v>-0.42333333333333339</v>
      </c>
      <c r="DU95">
        <v>-1.9150000000000003</v>
      </c>
      <c r="DV95">
        <v>-2.3383333333333338</v>
      </c>
      <c r="DW95">
        <v>-9.2715535193669307</v>
      </c>
      <c r="DX95">
        <v>0.47844440227842439</v>
      </c>
      <c r="DY95">
        <v>-9.0511727406437039</v>
      </c>
      <c r="DZ95">
        <v>1989</v>
      </c>
      <c r="EA95">
        <v>-9.0312544273090012</v>
      </c>
      <c r="EB95">
        <v>9</v>
      </c>
      <c r="EC95">
        <v>0.10076806109639563</v>
      </c>
      <c r="ED95">
        <v>0.53473629292268321</v>
      </c>
      <c r="EE95" s="12">
        <v>-2.0343100000000001</v>
      </c>
      <c r="EF95">
        <v>-2.0518100000000001</v>
      </c>
      <c r="EG95">
        <v>29.188444402278424</v>
      </c>
      <c r="EH95" t="s">
        <v>1501</v>
      </c>
      <c r="EI95">
        <v>0</v>
      </c>
      <c r="EJ95">
        <v>0</v>
      </c>
      <c r="EK95" s="14">
        <v>45470</v>
      </c>
      <c r="EL95" s="15">
        <v>-1.57</v>
      </c>
      <c r="EM95" s="15">
        <v>-8.43</v>
      </c>
      <c r="EN95" s="15">
        <v>-3.77</v>
      </c>
      <c r="EO95" s="15">
        <v>3.39</v>
      </c>
      <c r="EP95" s="15">
        <v>-1.75</v>
      </c>
    </row>
    <row r="96" spans="1:146" ht="96" x14ac:dyDescent="0.25">
      <c r="A96" s="7"/>
      <c r="B96" s="7"/>
      <c r="C96" s="7" t="str">
        <f>""&amp;CHAR(10)&amp;Basic_Fundamental_Information_Constructure(F96)&amp;CHAR(10)&amp;Basic_Fundamental_Information_Concatenate("")</f>
        <v xml:space="preserve">
市值18.455578亿, 利润-7540.48万; PE; 平均PE289.01; 平均PEG43.57, PB1.88; ROIC4.84%; ROE-7.2667%; 股利率0%; 毛利69.65%; 净利-14.0367%; 上一年度营收增-81.4%, 利润增58.57%; 当季营收增-59.52%, 利润增32.67%; 过往5年营收增-6.63%, 利润增-51.75%
Income profile:
</v>
      </c>
      <c r="D96" t="s">
        <v>132</v>
      </c>
      <c r="E96" t="s">
        <v>648</v>
      </c>
      <c r="F96">
        <v>10.24</v>
      </c>
      <c r="G96">
        <v>1.59</v>
      </c>
      <c r="H96" t="s">
        <v>3837</v>
      </c>
      <c r="I96">
        <v>1845557800</v>
      </c>
      <c r="K96">
        <v>1.88</v>
      </c>
      <c r="L96" t="s">
        <v>1303</v>
      </c>
      <c r="M96" t="s">
        <v>3838</v>
      </c>
      <c r="N96" t="s">
        <v>3839</v>
      </c>
      <c r="O96" t="s">
        <v>184</v>
      </c>
      <c r="P96">
        <v>4.49</v>
      </c>
      <c r="Q96" t="s">
        <v>184</v>
      </c>
      <c r="R96">
        <v>-75404829</v>
      </c>
      <c r="S96" s="5">
        <v>0.13780000000000001</v>
      </c>
      <c r="T96" t="s">
        <v>3840</v>
      </c>
      <c r="U96">
        <v>180230260</v>
      </c>
      <c r="V96">
        <v>180230260</v>
      </c>
      <c r="W96">
        <v>1.76</v>
      </c>
      <c r="X96">
        <v>0.08</v>
      </c>
      <c r="Y96">
        <v>-50.21</v>
      </c>
      <c r="Z96" t="s">
        <v>443</v>
      </c>
      <c r="AA96" t="s">
        <v>3841</v>
      </c>
      <c r="AB96" t="s">
        <v>3842</v>
      </c>
      <c r="AC96" t="s">
        <v>3843</v>
      </c>
      <c r="AD96" t="s">
        <v>63</v>
      </c>
      <c r="AE96">
        <v>5169299</v>
      </c>
      <c r="AF96" t="s">
        <v>3844</v>
      </c>
      <c r="AG96" t="s">
        <v>3845</v>
      </c>
      <c r="AH96" t="s">
        <v>3846</v>
      </c>
      <c r="AI96" t="s">
        <v>544</v>
      </c>
      <c r="AJ96" t="s">
        <v>3847</v>
      </c>
      <c r="AK96" t="s">
        <v>3848</v>
      </c>
      <c r="AL96" t="s">
        <v>3849</v>
      </c>
      <c r="AM96" t="s">
        <v>63</v>
      </c>
      <c r="AN96">
        <v>0</v>
      </c>
      <c r="AO96" t="s">
        <v>245</v>
      </c>
      <c r="AP96" t="s">
        <v>3850</v>
      </c>
      <c r="AQ96" t="s">
        <v>3851</v>
      </c>
      <c r="AR96" t="s">
        <v>63</v>
      </c>
      <c r="AS96" t="s">
        <v>840</v>
      </c>
      <c r="AT96" t="s">
        <v>63</v>
      </c>
      <c r="AU96" t="s">
        <v>3852</v>
      </c>
      <c r="AV96" t="s">
        <v>3853</v>
      </c>
      <c r="AW96" t="s">
        <v>3854</v>
      </c>
      <c r="AX96" t="s">
        <v>769</v>
      </c>
      <c r="AY96" t="s">
        <v>1131</v>
      </c>
      <c r="AZ96" t="s">
        <v>749</v>
      </c>
      <c r="BA96" t="s">
        <v>649</v>
      </c>
      <c r="BB96" t="s">
        <v>904</v>
      </c>
      <c r="BC96" t="s">
        <v>3855</v>
      </c>
      <c r="BD96" t="s">
        <v>1266</v>
      </c>
      <c r="BE96" t="s">
        <v>988</v>
      </c>
      <c r="BF96" t="s">
        <v>650</v>
      </c>
      <c r="BG96" t="s">
        <v>989</v>
      </c>
      <c r="BH96" t="s">
        <v>1809</v>
      </c>
      <c r="BI96" t="s">
        <v>732</v>
      </c>
      <c r="BJ96" t="s">
        <v>769</v>
      </c>
      <c r="BK96" t="s">
        <v>1923</v>
      </c>
      <c r="BL96" t="s">
        <v>1576</v>
      </c>
      <c r="BM96" t="s">
        <v>3855</v>
      </c>
      <c r="BN96" t="s">
        <v>63</v>
      </c>
      <c r="BO96" t="s">
        <v>63</v>
      </c>
      <c r="BP96">
        <v>4.84</v>
      </c>
      <c r="BQ96">
        <v>-14.04</v>
      </c>
      <c r="BR96">
        <v>-12.92</v>
      </c>
      <c r="BS96">
        <v>5.16</v>
      </c>
      <c r="BT96" t="s">
        <v>1445</v>
      </c>
      <c r="BU96" t="s">
        <v>2031</v>
      </c>
      <c r="BV96">
        <v>67.38</v>
      </c>
      <c r="BW96">
        <v>68.319999999999993</v>
      </c>
      <c r="BX96">
        <v>73.25</v>
      </c>
      <c r="BY96">
        <v>-26.72</v>
      </c>
      <c r="BZ96">
        <v>-22.67</v>
      </c>
      <c r="CA96">
        <v>7.28</v>
      </c>
      <c r="CB96">
        <v>-2.0099999999999998</v>
      </c>
      <c r="CC96">
        <v>-16.82</v>
      </c>
      <c r="CD96" t="s">
        <v>3856</v>
      </c>
      <c r="CE96" t="s">
        <v>3857</v>
      </c>
      <c r="CF96" s="9">
        <v>-0.5951742627345844</v>
      </c>
      <c r="CG96" s="10">
        <v>0.32674259821428581</v>
      </c>
      <c r="CH96" s="9">
        <v>-0.81403940916061401</v>
      </c>
      <c r="CI96" s="9">
        <v>-0.20934762060642242</v>
      </c>
      <c r="CJ96" s="9">
        <v>0.41655173897743225</v>
      </c>
      <c r="CK96" s="9">
        <v>7.4074074625968933E-2</v>
      </c>
      <c r="CL96" s="9">
        <v>0.20106761157512665</v>
      </c>
      <c r="CM96" s="10">
        <v>0.58568793535232544</v>
      </c>
      <c r="CN96" s="10">
        <v>-3.4097630977630615</v>
      </c>
      <c r="CO96" s="10">
        <v>0.25385317206382751</v>
      </c>
      <c r="CP96" s="10">
        <v>-0.33840984106063843</v>
      </c>
      <c r="CQ96" s="10">
        <v>0.32119947671890259</v>
      </c>
      <c r="CR96">
        <v>289.01341796665997</v>
      </c>
      <c r="CS96">
        <v>43.56632355411304</v>
      </c>
      <c r="CT96">
        <v>0</v>
      </c>
      <c r="CU96" s="9">
        <v>-6.6338720917701724E-2</v>
      </c>
      <c r="CV96" s="10">
        <v>-0.51748647093772893</v>
      </c>
      <c r="CW96">
        <v>0.06</v>
      </c>
      <c r="CX96" t="e">
        <v>#VALUE!</v>
      </c>
      <c r="CY96" t="s">
        <v>1308</v>
      </c>
      <c r="CZ96">
        <v>-6.6338720917701724E-2</v>
      </c>
      <c r="DA96" t="e">
        <v>#VALUE!</v>
      </c>
      <c r="DB96" t="s">
        <v>1309</v>
      </c>
      <c r="DC96">
        <v>-6.302178487181663E-2</v>
      </c>
      <c r="DD96" t="e">
        <v>#VALUE!</v>
      </c>
      <c r="DE96" t="s">
        <v>1309</v>
      </c>
      <c r="DF96">
        <v>-5.8378074407577515E-2</v>
      </c>
      <c r="DG96" t="e">
        <v>#VALUE!</v>
      </c>
      <c r="DH96" t="s">
        <v>1309</v>
      </c>
      <c r="DI96">
        <v>-5.3070976734161383E-2</v>
      </c>
      <c r="DJ96" t="e">
        <v>#VALUE!</v>
      </c>
      <c r="DK96" t="s">
        <v>1309</v>
      </c>
      <c r="DL96">
        <v>-4.6437104642391203E-2</v>
      </c>
      <c r="DM96">
        <v>-75404800</v>
      </c>
      <c r="DN96">
        <v>-6.6338720917701724E-2</v>
      </c>
      <c r="DO96">
        <v>1615557800</v>
      </c>
      <c r="DP96">
        <v>804473410</v>
      </c>
      <c r="DQ96">
        <v>4567</v>
      </c>
      <c r="DR96">
        <v>-0.52883554181688264</v>
      </c>
      <c r="DS96">
        <v>0.84422906915201468</v>
      </c>
      <c r="DT96" s="11">
        <v>-0.69</v>
      </c>
      <c r="DU96">
        <v>-1.5283333333333333</v>
      </c>
      <c r="DV96">
        <v>-2.2183333333333333</v>
      </c>
      <c r="DW96">
        <v>-3.0092738095238096</v>
      </c>
      <c r="DX96">
        <v>0.39782616657002645</v>
      </c>
      <c r="DY96">
        <v>-3.0017418640923577</v>
      </c>
      <c r="DZ96">
        <v>4878</v>
      </c>
      <c r="EA96">
        <v>-3.0000790826750348</v>
      </c>
      <c r="EB96">
        <v>3</v>
      </c>
      <c r="EC96">
        <v>3.4147983806936746E-2</v>
      </c>
      <c r="ED96">
        <v>0.18180631820649873</v>
      </c>
      <c r="EE96" s="12">
        <v>4.5100000000000036E-3</v>
      </c>
      <c r="EF96">
        <v>3.5810000000000002E-2</v>
      </c>
      <c r="EG96">
        <v>21.187826166570026</v>
      </c>
      <c r="EH96">
        <v>-1</v>
      </c>
      <c r="EI96">
        <v>0</v>
      </c>
      <c r="EJ96">
        <v>0</v>
      </c>
      <c r="EK96" s="14">
        <v>45470</v>
      </c>
      <c r="EL96" s="15">
        <v>-2.3199999999999998</v>
      </c>
      <c r="EM96" s="15">
        <v>-6.06</v>
      </c>
      <c r="EN96" s="15">
        <v>-4.9000000000000004</v>
      </c>
      <c r="EO96" s="15">
        <v>7.03</v>
      </c>
      <c r="EP96" s="15">
        <v>-3.13</v>
      </c>
    </row>
    <row r="97" spans="1:146" ht="96" x14ac:dyDescent="0.25">
      <c r="C97" s="7" t="str">
        <f>""&amp;CHAR(10)&amp;Basic_Fundamental_Information_Constructure(F97)&amp;CHAR(10)&amp;Basic_Fundamental_Information_Concatenate("")</f>
        <v xml:space="preserve">
市值40.602935亿, 利润-8866.97万; PE; 平均PE-21.39; 平均PEG-1.78, PB2.98; ROIC0%; ROE-29.6733%; 股利率0%; 毛利58.3633%; 净利-68.81%; 上一年度营收增-83.18%, 利润增67.28%; 当季营收增-54.54%, 利润增53.33%; 过往5年营收增12.04%, 利润增-3.1%
Income profile:
</v>
      </c>
      <c r="D97" t="s">
        <v>1376</v>
      </c>
      <c r="E97" t="s">
        <v>1413</v>
      </c>
      <c r="F97">
        <v>33.6</v>
      </c>
      <c r="G97">
        <v>0.3</v>
      </c>
      <c r="H97" t="s">
        <v>3858</v>
      </c>
      <c r="I97">
        <v>4060293500</v>
      </c>
      <c r="K97">
        <v>2.98</v>
      </c>
      <c r="L97" t="s">
        <v>1303</v>
      </c>
      <c r="M97" t="s">
        <v>1136</v>
      </c>
      <c r="N97" t="s">
        <v>3859</v>
      </c>
      <c r="O97" t="s">
        <v>3860</v>
      </c>
      <c r="P97">
        <v>46</v>
      </c>
      <c r="Q97" t="s">
        <v>3860</v>
      </c>
      <c r="R97">
        <v>-88669719</v>
      </c>
      <c r="S97">
        <v>-3.7699999999999997E-2</v>
      </c>
      <c r="T97" t="s">
        <v>3861</v>
      </c>
      <c r="U97">
        <v>92470272</v>
      </c>
      <c r="V97">
        <v>120842068</v>
      </c>
      <c r="W97">
        <v>1.2</v>
      </c>
      <c r="X97">
        <v>0.04</v>
      </c>
      <c r="Y97">
        <v>-141.66999999999999</v>
      </c>
      <c r="Z97" t="s">
        <v>196</v>
      </c>
      <c r="AA97" t="s">
        <v>3862</v>
      </c>
      <c r="AB97" t="s">
        <v>3863</v>
      </c>
      <c r="AC97" t="s">
        <v>3864</v>
      </c>
      <c r="AD97" t="s">
        <v>63</v>
      </c>
      <c r="AE97">
        <v>972095</v>
      </c>
      <c r="AF97" t="s">
        <v>3865</v>
      </c>
      <c r="AG97" t="s">
        <v>3866</v>
      </c>
      <c r="AH97" t="s">
        <v>3867</v>
      </c>
      <c r="AI97" t="s">
        <v>328</v>
      </c>
      <c r="AJ97" t="s">
        <v>3868</v>
      </c>
      <c r="AK97" t="s">
        <v>3869</v>
      </c>
      <c r="AL97" t="s">
        <v>3870</v>
      </c>
      <c r="AM97" t="s">
        <v>63</v>
      </c>
      <c r="AN97">
        <v>0</v>
      </c>
      <c r="AO97" t="s">
        <v>3871</v>
      </c>
      <c r="AP97" t="s">
        <v>63</v>
      </c>
      <c r="AQ97" t="s">
        <v>3872</v>
      </c>
      <c r="AR97" t="s">
        <v>63</v>
      </c>
      <c r="AS97" t="s">
        <v>317</v>
      </c>
      <c r="AT97" t="s">
        <v>63</v>
      </c>
      <c r="AU97" t="s">
        <v>1181</v>
      </c>
      <c r="AV97" t="s">
        <v>268</v>
      </c>
      <c r="AW97" t="s">
        <v>3873</v>
      </c>
      <c r="AX97" t="s">
        <v>732</v>
      </c>
      <c r="AY97" t="s">
        <v>340</v>
      </c>
      <c r="AZ97" t="s">
        <v>425</v>
      </c>
      <c r="BA97" t="s">
        <v>657</v>
      </c>
      <c r="BB97" t="s">
        <v>308</v>
      </c>
      <c r="BC97" t="s">
        <v>1327</v>
      </c>
      <c r="BD97" t="s">
        <v>1377</v>
      </c>
      <c r="BE97" t="s">
        <v>1378</v>
      </c>
      <c r="BF97" t="s">
        <v>1379</v>
      </c>
      <c r="BG97" t="s">
        <v>1342</v>
      </c>
      <c r="BH97" t="s">
        <v>369</v>
      </c>
      <c r="BI97" t="s">
        <v>497</v>
      </c>
      <c r="BJ97" t="s">
        <v>732</v>
      </c>
      <c r="BK97" t="s">
        <v>1407</v>
      </c>
      <c r="BL97" t="s">
        <v>1011</v>
      </c>
      <c r="BM97" t="s">
        <v>1327</v>
      </c>
      <c r="BN97" t="s">
        <v>63</v>
      </c>
      <c r="BO97" t="s">
        <v>63</v>
      </c>
      <c r="BP97" t="s">
        <v>63</v>
      </c>
      <c r="BQ97">
        <v>-16.91</v>
      </c>
      <c r="BR97">
        <v>-37.93</v>
      </c>
      <c r="BS97">
        <v>-34.18</v>
      </c>
      <c r="BT97" t="s">
        <v>1445</v>
      </c>
      <c r="BU97" t="s">
        <v>2031</v>
      </c>
      <c r="BV97">
        <v>59.61</v>
      </c>
      <c r="BW97">
        <v>56.54</v>
      </c>
      <c r="BX97">
        <v>58.94</v>
      </c>
      <c r="BY97">
        <v>-58.92</v>
      </c>
      <c r="BZ97">
        <v>-73.06</v>
      </c>
      <c r="CA97">
        <v>-74.45</v>
      </c>
      <c r="CB97">
        <v>-8.4700000000000006</v>
      </c>
      <c r="CC97" s="9">
        <v>-27.04</v>
      </c>
      <c r="CD97" s="10" t="s">
        <v>3874</v>
      </c>
      <c r="CE97" s="9" t="s">
        <v>3875</v>
      </c>
      <c r="CF97" s="9">
        <v>-0.54540434782608693</v>
      </c>
      <c r="CG97" s="9">
        <v>0.53331726842105265</v>
      </c>
      <c r="CH97" s="9">
        <v>-0.83181178569793701</v>
      </c>
      <c r="CI97" s="9">
        <v>0.1268882155418396</v>
      </c>
      <c r="CJ97" s="10">
        <v>0.27307692170143127</v>
      </c>
      <c r="CK97" s="10">
        <v>0.49425286054611206</v>
      </c>
      <c r="CL97" s="10">
        <v>0.53982299566268921</v>
      </c>
      <c r="CM97" s="10">
        <v>0.6728055477142334</v>
      </c>
      <c r="CN97" s="10">
        <v>-0.1061224490404129</v>
      </c>
      <c r="CO97">
        <v>-0.33152174949645996</v>
      </c>
      <c r="CP97">
        <v>0.12796208262443542</v>
      </c>
      <c r="CQ97">
        <v>-0.51798558235168457</v>
      </c>
      <c r="CR97" s="9">
        <v>-21.394932173921902</v>
      </c>
      <c r="CS97" s="10">
        <v>-1.7763114025728683</v>
      </c>
      <c r="CT97">
        <v>0</v>
      </c>
      <c r="CU97">
        <v>0.12044584155082702</v>
      </c>
      <c r="CV97">
        <v>-3.0972430109977724E-2</v>
      </c>
      <c r="CW97">
        <v>0.06</v>
      </c>
      <c r="CX97" t="e">
        <v>#VALUE!</v>
      </c>
      <c r="CY97" t="s">
        <v>1308</v>
      </c>
      <c r="CZ97">
        <v>0.12044584155082702</v>
      </c>
      <c r="DA97" t="e">
        <v>#VALUE!</v>
      </c>
      <c r="DB97" t="s">
        <v>1309</v>
      </c>
      <c r="DC97">
        <v>0.11442354947328566</v>
      </c>
      <c r="DD97" t="e">
        <v>#VALUE!</v>
      </c>
      <c r="DE97" t="s">
        <v>1309</v>
      </c>
      <c r="DF97">
        <v>0.10599234056472778</v>
      </c>
      <c r="DG97" t="e">
        <v>#VALUE!</v>
      </c>
      <c r="DH97" t="s">
        <v>1309</v>
      </c>
      <c r="DI97">
        <v>9.6356673240661619E-2</v>
      </c>
      <c r="DJ97" t="e">
        <v>#VALUE!</v>
      </c>
      <c r="DK97" t="s">
        <v>1309</v>
      </c>
      <c r="DL97">
        <v>8.4312089085578912E-2</v>
      </c>
      <c r="DM97">
        <v>-88669700</v>
      </c>
      <c r="DN97">
        <v>0.12044584155082702</v>
      </c>
      <c r="DO97">
        <v>3055293500</v>
      </c>
      <c r="DP97">
        <v>1170846900</v>
      </c>
      <c r="DQ97" s="11">
        <v>4568</v>
      </c>
      <c r="DR97">
        <v>-0.66585018937691398</v>
      </c>
      <c r="DS97">
        <v>0.56428969853103039</v>
      </c>
      <c r="DT97">
        <v>-0.42333333333333339</v>
      </c>
      <c r="DU97">
        <v>-2.4416666666666669</v>
      </c>
      <c r="DV97">
        <v>-2.8650000000000002</v>
      </c>
      <c r="DW97">
        <v>-9.3132396449704142</v>
      </c>
      <c r="DX97">
        <v>0.36964517008657793</v>
      </c>
      <c r="DY97">
        <v>-9.0374776106003445</v>
      </c>
      <c r="DZ97">
        <v>120</v>
      </c>
      <c r="EA97">
        <v>-9.0365975101557172</v>
      </c>
      <c r="EB97" s="12">
        <v>9</v>
      </c>
      <c r="EC97">
        <v>5.8094834987431697E-2</v>
      </c>
      <c r="ED97">
        <v>0.48555938317771918</v>
      </c>
      <c r="EE97">
        <v>9.1000000000000152E-4</v>
      </c>
      <c r="EF97">
        <v>4.3810000000000002E-2</v>
      </c>
      <c r="EG97">
        <v>25.119645170086578</v>
      </c>
      <c r="EH97" s="14">
        <v>-1</v>
      </c>
      <c r="EI97" s="15">
        <v>0</v>
      </c>
      <c r="EJ97" s="15">
        <v>1</v>
      </c>
      <c r="EK97" s="15">
        <v>45470</v>
      </c>
      <c r="EL97" s="15">
        <v>2.11</v>
      </c>
      <c r="EM97" s="15">
        <v>-2.27</v>
      </c>
      <c r="EN97" s="15">
        <v>-1.1599999999999999</v>
      </c>
      <c r="EO97" s="15">
        <v>1.17</v>
      </c>
      <c r="EP97" s="15">
        <v>-4.29</v>
      </c>
    </row>
    <row r="98" spans="1:146" ht="96" x14ac:dyDescent="0.25">
      <c r="A98" s="7"/>
      <c r="B98" s="7"/>
      <c r="C98" s="7" t="str">
        <f>""&amp;CHAR(10)&amp;Basic_Fundamental_Information_Constructure(F98)&amp;CHAR(10)&amp;Basic_Fundamental_Information_Concatenate("")</f>
        <v xml:space="preserve">
市值10.5201554亿, 利润425.25万; PE; 平均PE36.11; 平均PEG5.9, PB1.69; ROIC5.61%; ROE.73%; 股利率0%; 毛利18.8867%; 净利-13.5833%; 上一年度营收增-86.11%, 利润增150.36%; 当季营收增-56.2%, 利润增159.79%; 过往5年营收增-6.12%, 利润增8.15%
Income profile:
</v>
      </c>
      <c r="D98" t="s">
        <v>1027</v>
      </c>
      <c r="E98" t="s">
        <v>1028</v>
      </c>
      <c r="F98">
        <v>9.0399999999999991</v>
      </c>
      <c r="G98">
        <v>1.69</v>
      </c>
      <c r="H98" t="s">
        <v>3876</v>
      </c>
      <c r="I98">
        <v>1052015540</v>
      </c>
      <c r="K98">
        <v>1.69</v>
      </c>
      <c r="L98" t="s">
        <v>1303</v>
      </c>
      <c r="M98" t="s">
        <v>521</v>
      </c>
      <c r="N98" t="s">
        <v>526</v>
      </c>
      <c r="O98" t="s">
        <v>3877</v>
      </c>
      <c r="P98">
        <v>-2.25</v>
      </c>
      <c r="Q98" t="s">
        <v>3877</v>
      </c>
      <c r="R98">
        <v>4252461</v>
      </c>
      <c r="S98" s="5">
        <v>3.4260000000000002</v>
      </c>
      <c r="T98" t="s">
        <v>3878</v>
      </c>
      <c r="U98">
        <v>81412150</v>
      </c>
      <c r="V98">
        <v>116373400</v>
      </c>
      <c r="W98">
        <v>1.98</v>
      </c>
      <c r="X98">
        <v>0.04</v>
      </c>
      <c r="Y98">
        <v>6.92</v>
      </c>
      <c r="Z98" t="s">
        <v>3879</v>
      </c>
      <c r="AA98" t="s">
        <v>3880</v>
      </c>
      <c r="AB98" t="s">
        <v>2499</v>
      </c>
      <c r="AC98" t="s">
        <v>3881</v>
      </c>
      <c r="AD98" t="s">
        <v>63</v>
      </c>
      <c r="AE98">
        <v>1740841</v>
      </c>
      <c r="AF98" t="s">
        <v>3882</v>
      </c>
      <c r="AG98">
        <v>1500</v>
      </c>
      <c r="AH98" t="s">
        <v>3883</v>
      </c>
      <c r="AI98" t="s">
        <v>3884</v>
      </c>
      <c r="AJ98" t="s">
        <v>3885</v>
      </c>
      <c r="AK98" t="s">
        <v>3886</v>
      </c>
      <c r="AL98" t="s">
        <v>3887</v>
      </c>
      <c r="AM98" t="s">
        <v>63</v>
      </c>
      <c r="AN98">
        <v>0</v>
      </c>
      <c r="AO98" t="s">
        <v>478</v>
      </c>
      <c r="AP98" t="s">
        <v>3888</v>
      </c>
      <c r="AQ98" t="s">
        <v>452</v>
      </c>
      <c r="AR98" t="s">
        <v>63</v>
      </c>
      <c r="AS98" t="s">
        <v>1334</v>
      </c>
      <c r="AT98" t="s">
        <v>246</v>
      </c>
      <c r="AU98" t="s">
        <v>3889</v>
      </c>
      <c r="AV98" t="s">
        <v>3890</v>
      </c>
      <c r="AW98" t="s">
        <v>3891</v>
      </c>
      <c r="AX98" t="s">
        <v>343</v>
      </c>
      <c r="AY98" t="s">
        <v>592</v>
      </c>
      <c r="AZ98" t="s">
        <v>475</v>
      </c>
      <c r="BA98" t="s">
        <v>895</v>
      </c>
      <c r="BB98" t="s">
        <v>419</v>
      </c>
      <c r="BC98" t="s">
        <v>1593</v>
      </c>
      <c r="BD98" t="s">
        <v>1267</v>
      </c>
      <c r="BE98" t="s">
        <v>1030</v>
      </c>
      <c r="BF98" t="s">
        <v>1031</v>
      </c>
      <c r="BG98" t="s">
        <v>1032</v>
      </c>
      <c r="BH98" t="s">
        <v>397</v>
      </c>
      <c r="BI98" t="s">
        <v>471</v>
      </c>
      <c r="BJ98" t="s">
        <v>343</v>
      </c>
      <c r="BK98" t="s">
        <v>1484</v>
      </c>
      <c r="BL98" t="s">
        <v>1929</v>
      </c>
      <c r="BM98" t="s">
        <v>1593</v>
      </c>
      <c r="BN98" t="s">
        <v>63</v>
      </c>
      <c r="BO98" t="s">
        <v>63</v>
      </c>
      <c r="BP98">
        <v>5.61</v>
      </c>
      <c r="BQ98">
        <v>-2.71</v>
      </c>
      <c r="BR98">
        <v>-1.1499999999999999</v>
      </c>
      <c r="BS98">
        <v>6.05</v>
      </c>
      <c r="BT98" t="s">
        <v>1445</v>
      </c>
      <c r="BU98" t="s">
        <v>2052</v>
      </c>
      <c r="BV98">
        <v>5.96</v>
      </c>
      <c r="BW98">
        <v>22.5</v>
      </c>
      <c r="BX98">
        <v>28.2</v>
      </c>
      <c r="BY98">
        <v>-47.15</v>
      </c>
      <c r="BZ98">
        <v>-2.16</v>
      </c>
      <c r="CA98">
        <v>8.56</v>
      </c>
      <c r="CB98">
        <v>-5.04</v>
      </c>
      <c r="CC98">
        <v>-9.51</v>
      </c>
      <c r="CD98" t="s">
        <v>3892</v>
      </c>
      <c r="CE98" t="s">
        <v>3893</v>
      </c>
      <c r="CF98" s="9">
        <v>-0.56198387096774194</v>
      </c>
      <c r="CG98" s="10">
        <v>1.5978519309986081</v>
      </c>
      <c r="CH98" s="9">
        <v>-0.86108952760696411</v>
      </c>
      <c r="CI98" s="9">
        <v>-8.6448594927787781E-2</v>
      </c>
      <c r="CJ98" s="9">
        <v>-0.13709677755832672</v>
      </c>
      <c r="CK98" s="9">
        <v>0.11963882297277451</v>
      </c>
      <c r="CL98" s="9">
        <v>0.6591760516166687</v>
      </c>
      <c r="CM98" s="10">
        <v>1.5036180019378662</v>
      </c>
      <c r="CN98" s="10">
        <v>-1.2305413484573364</v>
      </c>
      <c r="CO98" s="10">
        <v>-0.33881875872612</v>
      </c>
      <c r="CP98" s="10">
        <v>0.10134398937225342</v>
      </c>
      <c r="CQ98" s="10">
        <v>0.37191954255104065</v>
      </c>
      <c r="CR98">
        <v>36.112253212266772</v>
      </c>
      <c r="CS98">
        <v>5.904167516956389</v>
      </c>
      <c r="CT98">
        <v>0</v>
      </c>
      <c r="CU98" s="9">
        <v>-6.116400510072708E-2</v>
      </c>
      <c r="CV98" s="10">
        <v>8.1504285335540771E-2</v>
      </c>
      <c r="CW98">
        <v>0.06</v>
      </c>
      <c r="CX98">
        <v>253.50159670781892</v>
      </c>
      <c r="CY98" t="s">
        <v>3894</v>
      </c>
      <c r="CZ98">
        <v>-6.116400510072708E-2</v>
      </c>
      <c r="DA98">
        <v>84.500532235939644</v>
      </c>
      <c r="DB98" t="s">
        <v>3895</v>
      </c>
      <c r="DC98">
        <v>-5.8105804845690723E-2</v>
      </c>
      <c r="DD98">
        <v>42.250266117969822</v>
      </c>
      <c r="DE98" t="s">
        <v>3896</v>
      </c>
      <c r="DF98">
        <v>-5.382432448863983E-2</v>
      </c>
      <c r="DG98">
        <v>25.350159670781892</v>
      </c>
      <c r="DH98" t="s">
        <v>3897</v>
      </c>
      <c r="DI98">
        <v>-4.8931204080581665E-2</v>
      </c>
      <c r="DJ98">
        <v>12.675079835390946</v>
      </c>
      <c r="DK98" t="s">
        <v>3898</v>
      </c>
      <c r="DL98">
        <v>-4.2814803570508951E-2</v>
      </c>
      <c r="DM98">
        <v>4252500</v>
      </c>
      <c r="DN98">
        <v>-6.116400510072708E-2</v>
      </c>
      <c r="DO98">
        <v>1078015540</v>
      </c>
      <c r="DP98">
        <v>354751910</v>
      </c>
      <c r="DQ98">
        <v>4574</v>
      </c>
      <c r="DR98">
        <v>-0.50081986586701488</v>
      </c>
      <c r="DS98">
        <v>1.5163476456630673</v>
      </c>
      <c r="DT98" s="11">
        <v>-0.57333333333333336</v>
      </c>
      <c r="DU98">
        <v>0.18333333333333332</v>
      </c>
      <c r="DV98">
        <v>-0.39</v>
      </c>
      <c r="DW98">
        <v>-8.5299684542586753</v>
      </c>
      <c r="DX98">
        <v>0.33431347150259083</v>
      </c>
      <c r="DY98">
        <v>-8.0605825337931716</v>
      </c>
      <c r="DZ98">
        <v>4559</v>
      </c>
      <c r="EA98">
        <v>-8.0065324806497138</v>
      </c>
      <c r="EB98">
        <v>8</v>
      </c>
      <c r="EC98">
        <v>9.2213512709949166E-2</v>
      </c>
      <c r="ED98">
        <v>0.80667231515105686</v>
      </c>
      <c r="EE98" s="12">
        <v>-4.0789999999999997</v>
      </c>
      <c r="EF98">
        <v>-4.1040999999999999</v>
      </c>
      <c r="EG98">
        <v>22.114313471502591</v>
      </c>
      <c r="EH98" t="s">
        <v>1797</v>
      </c>
      <c r="EI98">
        <v>0</v>
      </c>
      <c r="EJ98">
        <v>0</v>
      </c>
      <c r="EK98" s="14">
        <v>45470</v>
      </c>
      <c r="EL98" s="15">
        <v>-2.84</v>
      </c>
      <c r="EM98" s="15">
        <v>-6.59</v>
      </c>
      <c r="EN98" s="15">
        <v>-3.83</v>
      </c>
      <c r="EO98" s="15">
        <v>20</v>
      </c>
      <c r="EP98" s="15">
        <v>2.5099999999999998</v>
      </c>
    </row>
    <row r="99" spans="1:146" ht="96" x14ac:dyDescent="0.25">
      <c r="A99" s="7"/>
      <c r="B99" s="7"/>
      <c r="C99" s="7" t="str">
        <f>""&amp;CHAR(10)&amp;Basic_Fundamental_Information_Constructure(F99)&amp;CHAR(10)&amp;Basic_Fundamental_Information_Concatenate("")</f>
        <v xml:space="preserve">
市值15.536575亿, 利润-338.08万; PE99.66; 平均PE57.36; 平均PEG48.8, PB1.95; ROIC.925%; ROE-.3%; 股利率1.3%; 毛利90.5233%; 净利.6233%; 上一年度营收增-72.5%, 利润增90.24%; 当季营收增-49.48%, 利润增-179.61%; 过往5年营收增1.18%, 利润增-35.26%
Income profile:
</v>
      </c>
      <c r="D99" t="s">
        <v>105</v>
      </c>
      <c r="E99" t="s">
        <v>106</v>
      </c>
      <c r="F99">
        <v>20</v>
      </c>
      <c r="G99">
        <v>-0.2</v>
      </c>
      <c r="H99" t="s">
        <v>3899</v>
      </c>
      <c r="I99">
        <v>1553657500</v>
      </c>
      <c r="J99">
        <v>99.66</v>
      </c>
      <c r="K99">
        <v>1.95</v>
      </c>
      <c r="L99" t="s">
        <v>1303</v>
      </c>
      <c r="M99" t="s">
        <v>182</v>
      </c>
      <c r="N99" t="s">
        <v>3900</v>
      </c>
      <c r="O99" t="s">
        <v>3901</v>
      </c>
      <c r="P99">
        <v>28.51</v>
      </c>
      <c r="Q99" t="s">
        <v>3901</v>
      </c>
      <c r="R99">
        <v>-3380814</v>
      </c>
      <c r="S99" s="5">
        <v>0.24049999999999999</v>
      </c>
      <c r="T99" t="s">
        <v>3902</v>
      </c>
      <c r="U99">
        <v>77682874</v>
      </c>
      <c r="V99">
        <v>77682874</v>
      </c>
      <c r="W99">
        <v>1.1000000000000001</v>
      </c>
      <c r="X99">
        <v>7.0000000000000007E-2</v>
      </c>
      <c r="Y99">
        <v>-5.6</v>
      </c>
      <c r="Z99" t="s">
        <v>3903</v>
      </c>
      <c r="AA99" t="s">
        <v>3904</v>
      </c>
      <c r="AB99" t="s">
        <v>3905</v>
      </c>
      <c r="AC99" t="s">
        <v>3906</v>
      </c>
      <c r="AD99" t="s">
        <v>63</v>
      </c>
      <c r="AE99">
        <v>-333044</v>
      </c>
      <c r="AF99" t="s">
        <v>3907</v>
      </c>
      <c r="AG99">
        <v>1071.78</v>
      </c>
      <c r="AH99" t="s">
        <v>3908</v>
      </c>
      <c r="AI99" t="s">
        <v>551</v>
      </c>
      <c r="AJ99" t="s">
        <v>3909</v>
      </c>
      <c r="AK99" t="s">
        <v>63</v>
      </c>
      <c r="AL99" t="s">
        <v>3910</v>
      </c>
      <c r="AM99" t="s">
        <v>63</v>
      </c>
      <c r="AN99">
        <v>0</v>
      </c>
      <c r="AO99" t="s">
        <v>63</v>
      </c>
      <c r="AP99" t="s">
        <v>63</v>
      </c>
      <c r="AQ99" t="s">
        <v>3911</v>
      </c>
      <c r="AR99" t="s">
        <v>63</v>
      </c>
      <c r="AS99" t="s">
        <v>3912</v>
      </c>
      <c r="AT99" t="s">
        <v>63</v>
      </c>
      <c r="AU99" t="s">
        <v>3913</v>
      </c>
      <c r="AV99" t="s">
        <v>386</v>
      </c>
      <c r="AW99" t="s">
        <v>3914</v>
      </c>
      <c r="AX99" t="s">
        <v>217</v>
      </c>
      <c r="AY99" t="s">
        <v>223</v>
      </c>
      <c r="AZ99" t="s">
        <v>307</v>
      </c>
      <c r="BA99" t="s">
        <v>353</v>
      </c>
      <c r="BB99" t="s">
        <v>183</v>
      </c>
      <c r="BC99" t="s">
        <v>1594</v>
      </c>
      <c r="BD99" t="s">
        <v>1269</v>
      </c>
      <c r="BE99" t="s">
        <v>990</v>
      </c>
      <c r="BF99" t="s">
        <v>652</v>
      </c>
      <c r="BG99" t="s">
        <v>991</v>
      </c>
      <c r="BH99" t="s">
        <v>179</v>
      </c>
      <c r="BI99" t="s">
        <v>445</v>
      </c>
      <c r="BJ99" t="s">
        <v>217</v>
      </c>
      <c r="BK99" t="s">
        <v>3915</v>
      </c>
      <c r="BL99" t="s">
        <v>1930</v>
      </c>
      <c r="BM99" t="s">
        <v>1594</v>
      </c>
      <c r="BN99">
        <v>0.04</v>
      </c>
      <c r="BO99" t="s">
        <v>63</v>
      </c>
      <c r="BP99">
        <v>1.81</v>
      </c>
      <c r="BQ99">
        <v>0.15</v>
      </c>
      <c r="BR99">
        <v>-3.84</v>
      </c>
      <c r="BS99">
        <v>2.79</v>
      </c>
      <c r="BT99" t="s">
        <v>3916</v>
      </c>
      <c r="BU99" t="s">
        <v>2031</v>
      </c>
      <c r="BV99">
        <v>89.31</v>
      </c>
      <c r="BW99">
        <v>89.15</v>
      </c>
      <c r="BX99">
        <v>93.11</v>
      </c>
      <c r="BY99">
        <v>3.85</v>
      </c>
      <c r="BZ99">
        <v>-14.78</v>
      </c>
      <c r="CA99">
        <v>12.8</v>
      </c>
      <c r="CB99">
        <v>-3.98</v>
      </c>
      <c r="CC99">
        <v>-13.04</v>
      </c>
      <c r="CD99" t="s">
        <v>3917</v>
      </c>
      <c r="CE99" t="s">
        <v>3918</v>
      </c>
      <c r="CF99" s="9">
        <v>-0.49480814814814816</v>
      </c>
      <c r="CG99" s="10">
        <v>-1.7960850522746539</v>
      </c>
      <c r="CH99" s="9">
        <v>-0.72499638795852661</v>
      </c>
      <c r="CI99" s="9">
        <v>0.23999999463558197</v>
      </c>
      <c r="CJ99" s="9">
        <v>9.890110045671463E-2</v>
      </c>
      <c r="CK99" s="9">
        <v>0.27272728085517883</v>
      </c>
      <c r="CL99" s="9">
        <v>0.17213115096092224</v>
      </c>
      <c r="CM99" s="10">
        <v>0.9024469256401062</v>
      </c>
      <c r="CN99" s="10">
        <v>-2.2921411991119385</v>
      </c>
      <c r="CO99" s="10">
        <v>-0.56071484088897705</v>
      </c>
      <c r="CP99" s="10">
        <v>-3.069733502343297E-3</v>
      </c>
      <c r="CQ99" s="10">
        <v>0.19039991497993469</v>
      </c>
      <c r="CR99">
        <v>57.355403172962447</v>
      </c>
      <c r="CS99">
        <v>48.802194877549418</v>
      </c>
      <c r="CT99">
        <v>1.3</v>
      </c>
      <c r="CU99" s="9">
        <v>1.1752627789974213E-2</v>
      </c>
      <c r="CV99" s="10">
        <v>-0.35261578657664361</v>
      </c>
      <c r="CW99">
        <v>0.06</v>
      </c>
      <c r="CX99" t="e">
        <v>#VALUE!</v>
      </c>
      <c r="CY99" t="s">
        <v>1308</v>
      </c>
      <c r="CZ99">
        <v>1.1752627789974213E-2</v>
      </c>
      <c r="DA99" t="e">
        <v>#VALUE!</v>
      </c>
      <c r="DB99" t="s">
        <v>1309</v>
      </c>
      <c r="DC99">
        <v>1.1164996400475502E-2</v>
      </c>
      <c r="DD99" t="e">
        <v>#VALUE!</v>
      </c>
      <c r="DE99" t="s">
        <v>1309</v>
      </c>
      <c r="DF99">
        <v>1.0342312455177307E-2</v>
      </c>
      <c r="DG99" t="e">
        <v>#VALUE!</v>
      </c>
      <c r="DH99" t="s">
        <v>1309</v>
      </c>
      <c r="DI99">
        <v>9.4021022319793705E-3</v>
      </c>
      <c r="DJ99" t="e">
        <v>#VALUE!</v>
      </c>
      <c r="DK99" t="s">
        <v>1309</v>
      </c>
      <c r="DL99">
        <v>8.2268394529819485E-3</v>
      </c>
      <c r="DM99">
        <v>-3380800</v>
      </c>
      <c r="DN99">
        <v>1.1752627789974213E-2</v>
      </c>
      <c r="DO99">
        <v>859657500</v>
      </c>
      <c r="DP99">
        <v>686497880</v>
      </c>
      <c r="DQ99">
        <v>4589</v>
      </c>
      <c r="DR99">
        <v>-0.50656077593812232</v>
      </c>
      <c r="DS99">
        <v>-1.4434692656980102</v>
      </c>
      <c r="DT99" s="11">
        <v>-0.40666666666666673</v>
      </c>
      <c r="DU99">
        <v>-1.7316666666666667</v>
      </c>
      <c r="DV99">
        <v>-2.1383333333333336</v>
      </c>
      <c r="DW99">
        <v>-8.3052147239263796</v>
      </c>
      <c r="DX99">
        <v>0.390258594479855</v>
      </c>
      <c r="DY99">
        <v>-8.0672261661065807</v>
      </c>
      <c r="DZ99">
        <v>729</v>
      </c>
      <c r="EA99">
        <v>-8.0576355838968556</v>
      </c>
      <c r="EB99">
        <v>8</v>
      </c>
      <c r="EC99">
        <v>5.1291871616387416E-2</v>
      </c>
      <c r="ED99">
        <v>0.23287114737799222</v>
      </c>
      <c r="EE99" s="12">
        <v>-4.0808099999999996</v>
      </c>
      <c r="EF99">
        <v>-4.1193099999999996</v>
      </c>
      <c r="EG99">
        <v>17.220258594479855</v>
      </c>
      <c r="EH99" t="s">
        <v>1994</v>
      </c>
      <c r="EI99">
        <v>0</v>
      </c>
      <c r="EJ99">
        <v>1</v>
      </c>
      <c r="EK99" s="14">
        <v>45470</v>
      </c>
      <c r="EL99" s="15">
        <v>-1.96</v>
      </c>
      <c r="EM99" s="15">
        <v>-3.35</v>
      </c>
      <c r="EN99" s="15">
        <v>-1.76</v>
      </c>
      <c r="EO99" s="15">
        <v>2.35</v>
      </c>
      <c r="EP99" s="15">
        <v>-3.85</v>
      </c>
    </row>
    <row r="100" spans="1:146" ht="108" x14ac:dyDescent="0.25">
      <c r="A100" s="7"/>
      <c r="B100" s="7"/>
      <c r="C100" s="7" t="str">
        <f>""&amp;CHAR(10)&amp;Basic_Fundamental_Information_Constructure(F100)&amp;CHAR(10)&amp;Basic_Fundamental_Information_Concatenate("")</f>
        <v xml:space="preserve">
市值16.000014亿, 利润1217.77万; PE19.14; 平均PE33.77; 平均PEG4.58, PB2.16; ROIC10.94%; ROE11.5333%; 股利率1.6401%; 毛利52.5467%; 净利21.82%; 上一年度营收增-87.3%, 利润增-84.78%; 当季营收增-66.64%, 利润增-68.08%; 过往5年营收增7.37%, 利润增5.06%
Income profile:
</v>
      </c>
      <c r="D100" t="s">
        <v>118</v>
      </c>
      <c r="E100" t="s">
        <v>1033</v>
      </c>
      <c r="F100">
        <v>21.95</v>
      </c>
      <c r="G100">
        <v>0.55000000000000004</v>
      </c>
      <c r="H100" t="s">
        <v>3919</v>
      </c>
      <c r="I100">
        <v>1600001400</v>
      </c>
      <c r="J100">
        <v>19.14</v>
      </c>
      <c r="K100">
        <v>2.16</v>
      </c>
      <c r="L100" t="s">
        <v>1303</v>
      </c>
      <c r="M100" t="s">
        <v>263</v>
      </c>
      <c r="N100" t="s">
        <v>1499</v>
      </c>
      <c r="O100" t="s">
        <v>3920</v>
      </c>
      <c r="P100">
        <v>-13.08</v>
      </c>
      <c r="Q100" t="s">
        <v>3920</v>
      </c>
      <c r="R100">
        <v>12177743</v>
      </c>
      <c r="S100" s="5">
        <v>-5.7099999999999998E-2</v>
      </c>
      <c r="T100" t="s">
        <v>3921</v>
      </c>
      <c r="U100">
        <v>72893000</v>
      </c>
      <c r="V100">
        <v>72893000</v>
      </c>
      <c r="W100">
        <v>1.17</v>
      </c>
      <c r="X100">
        <v>0.05</v>
      </c>
      <c r="Y100">
        <v>25.86</v>
      </c>
      <c r="Z100" t="s">
        <v>3922</v>
      </c>
      <c r="AA100" t="s">
        <v>3923</v>
      </c>
      <c r="AB100" t="s">
        <v>3924</v>
      </c>
      <c r="AC100" t="s">
        <v>3925</v>
      </c>
      <c r="AD100" t="s">
        <v>63</v>
      </c>
      <c r="AE100">
        <v>-168435</v>
      </c>
      <c r="AF100" t="s">
        <v>3926</v>
      </c>
      <c r="AG100" t="s">
        <v>3927</v>
      </c>
      <c r="AH100" t="s">
        <v>3928</v>
      </c>
      <c r="AI100" t="s">
        <v>3929</v>
      </c>
      <c r="AJ100" t="s">
        <v>3930</v>
      </c>
      <c r="AK100" t="s">
        <v>3931</v>
      </c>
      <c r="AL100" t="s">
        <v>3932</v>
      </c>
      <c r="AM100" t="s">
        <v>63</v>
      </c>
      <c r="AN100">
        <v>0</v>
      </c>
      <c r="AO100" t="s">
        <v>3933</v>
      </c>
      <c r="AP100" t="s">
        <v>3934</v>
      </c>
      <c r="AQ100" t="s">
        <v>3935</v>
      </c>
      <c r="AR100" t="s">
        <v>1970</v>
      </c>
      <c r="AS100" t="s">
        <v>429</v>
      </c>
      <c r="AT100" t="s">
        <v>63</v>
      </c>
      <c r="AU100" t="s">
        <v>3936</v>
      </c>
      <c r="AV100" t="s">
        <v>3937</v>
      </c>
      <c r="AW100" t="s">
        <v>3938</v>
      </c>
      <c r="AX100" t="s">
        <v>699</v>
      </c>
      <c r="AY100" t="s">
        <v>336</v>
      </c>
      <c r="AZ100" t="s">
        <v>523</v>
      </c>
      <c r="BA100" t="s">
        <v>286</v>
      </c>
      <c r="BB100" t="s">
        <v>321</v>
      </c>
      <c r="BC100" t="s">
        <v>3939</v>
      </c>
      <c r="BD100" t="s">
        <v>1270</v>
      </c>
      <c r="BE100" t="s">
        <v>992</v>
      </c>
      <c r="BF100" t="s">
        <v>653</v>
      </c>
      <c r="BG100" t="s">
        <v>701</v>
      </c>
      <c r="BH100" t="s">
        <v>64</v>
      </c>
      <c r="BI100" t="s">
        <v>220</v>
      </c>
      <c r="BJ100" t="s">
        <v>699</v>
      </c>
      <c r="BK100" t="s">
        <v>3940</v>
      </c>
      <c r="BL100" t="s">
        <v>1932</v>
      </c>
      <c r="BM100" t="s">
        <v>3939</v>
      </c>
      <c r="BN100">
        <v>9.23</v>
      </c>
      <c r="BO100">
        <v>12.73</v>
      </c>
      <c r="BP100">
        <v>10.86</v>
      </c>
      <c r="BQ100">
        <v>9.56</v>
      </c>
      <c r="BR100">
        <v>13.26</v>
      </c>
      <c r="BS100">
        <v>11.78</v>
      </c>
      <c r="BT100" t="s">
        <v>3941</v>
      </c>
      <c r="BU100" t="s">
        <v>2052</v>
      </c>
      <c r="BV100">
        <v>54.55</v>
      </c>
      <c r="BW100">
        <v>51.51</v>
      </c>
      <c r="BX100">
        <v>51.58</v>
      </c>
      <c r="BY100">
        <v>21.83</v>
      </c>
      <c r="BZ100">
        <v>21.94</v>
      </c>
      <c r="CA100">
        <v>21.69</v>
      </c>
      <c r="CB100">
        <v>-4.6900000000000004</v>
      </c>
      <c r="CC100">
        <v>-11.56</v>
      </c>
      <c r="CD100" t="s">
        <v>3942</v>
      </c>
      <c r="CE100" t="s">
        <v>3943</v>
      </c>
      <c r="CF100" s="9">
        <v>-0.66644100719424459</v>
      </c>
      <c r="CG100" s="10">
        <v>-0.68075963403764483</v>
      </c>
      <c r="CH100" s="9">
        <v>-0.87297344207763672</v>
      </c>
      <c r="CI100" s="9">
        <v>0.25429552793502808</v>
      </c>
      <c r="CJ100" s="9">
        <v>0.46969696879386902</v>
      </c>
      <c r="CK100" s="9">
        <v>0.28571429848670959</v>
      </c>
      <c r="CL100" s="9">
        <v>0.23199999332427979</v>
      </c>
      <c r="CM100" s="10">
        <v>-0.84779959917068481</v>
      </c>
      <c r="CN100" s="10">
        <v>0.26844340562820435</v>
      </c>
      <c r="CO100" s="10">
        <v>0.24303334951400757</v>
      </c>
      <c r="CP100" s="10">
        <v>7.7813670039176941E-2</v>
      </c>
      <c r="CQ100" s="10">
        <v>0.51158207654953003</v>
      </c>
      <c r="CR100">
        <v>33.77417410782607</v>
      </c>
      <c r="CS100">
        <v>4.5797558631280193</v>
      </c>
      <c r="CT100">
        <v>1.6400911161731209</v>
      </c>
      <c r="CU100" s="9">
        <v>7.3746669292449954E-2</v>
      </c>
      <c r="CV100" s="10">
        <v>5.0614580512046814E-2</v>
      </c>
      <c r="CW100">
        <v>0.06</v>
      </c>
      <c r="CX100">
        <v>84.633021447490918</v>
      </c>
      <c r="CY100">
        <v>12335627.183625158</v>
      </c>
      <c r="CZ100">
        <v>7.3746669292449954E-2</v>
      </c>
      <c r="DA100">
        <v>28.041268154267616</v>
      </c>
      <c r="DB100">
        <v>37230891.065856196</v>
      </c>
      <c r="DC100">
        <v>7.005933582782746E-2</v>
      </c>
      <c r="DD100">
        <v>14.059339617633251</v>
      </c>
      <c r="DE100">
        <v>74256787.899953097</v>
      </c>
      <c r="DF100">
        <v>6.4897068977355962E-2</v>
      </c>
      <c r="DG100">
        <v>8.6177659345410831</v>
      </c>
      <c r="DH100">
        <v>121145249.00421256</v>
      </c>
      <c r="DI100">
        <v>5.8997335433959963E-2</v>
      </c>
      <c r="DJ100">
        <v>4.6540771374939069</v>
      </c>
      <c r="DK100">
        <v>224319745.71056771</v>
      </c>
      <c r="DL100">
        <v>5.1622668504714968E-2</v>
      </c>
      <c r="DM100">
        <v>12177700</v>
      </c>
      <c r="DN100">
        <v>7.3746669292449954E-2</v>
      </c>
      <c r="DO100">
        <v>1044001400</v>
      </c>
      <c r="DP100">
        <v>666517650</v>
      </c>
      <c r="DQ100">
        <v>4607</v>
      </c>
      <c r="DR100">
        <v>-0.74018767648669459</v>
      </c>
      <c r="DS100">
        <v>-0.73137421454969165</v>
      </c>
      <c r="DT100" s="11">
        <v>-0.27333333333333343</v>
      </c>
      <c r="DU100">
        <v>-0.39000000000000007</v>
      </c>
      <c r="DV100">
        <v>-0.66333333333333355</v>
      </c>
      <c r="DW100">
        <v>-8.405709342560554</v>
      </c>
      <c r="DX100">
        <v>0.37823705429219556</v>
      </c>
      <c r="DY100">
        <v>-8.0601411578399986</v>
      </c>
      <c r="DZ100">
        <v>4492</v>
      </c>
      <c r="EA100">
        <v>-8.0072734316135268</v>
      </c>
      <c r="EB100">
        <v>8</v>
      </c>
      <c r="EC100">
        <v>4.2951998134251566E-2</v>
      </c>
      <c r="ED100">
        <v>0.2897521023966636</v>
      </c>
      <c r="EE100" s="12">
        <v>-3.0044</v>
      </c>
      <c r="EF100">
        <v>-3.0158100000000001</v>
      </c>
      <c r="EG100">
        <v>23.148237054292196</v>
      </c>
      <c r="EH100" t="s">
        <v>1471</v>
      </c>
      <c r="EI100">
        <v>0</v>
      </c>
      <c r="EJ100">
        <v>0</v>
      </c>
      <c r="EK100" s="14">
        <v>45470</v>
      </c>
      <c r="EL100" s="15">
        <v>-5.05</v>
      </c>
      <c r="EM100" s="15">
        <v>-7.59</v>
      </c>
      <c r="EN100" s="15">
        <v>-3.56</v>
      </c>
      <c r="EO100" s="15">
        <v>5.4</v>
      </c>
      <c r="EP100" s="15">
        <v>-2.02</v>
      </c>
    </row>
    <row r="101" spans="1:146" ht="108" x14ac:dyDescent="0.25">
      <c r="A101" s="7"/>
      <c r="B101" s="7"/>
      <c r="C101" s="7" t="str">
        <f>""&amp;CHAR(10)&amp;Basic_Fundamental_Information_Constructure(F101)&amp;CHAR(10)&amp;Basic_Fundamental_Information_Concatenate("")</f>
        <v xml:space="preserve">
市值75.34179亿, 利润-2561.11万; PE140.9; 平均PE108.68; 平均PEG26.26, PB2.84; ROIC10.75%; ROE2.8933%; 股利率.7245%; 毛利96.64%; 净利12.41%; 上一年度营收增-80.03%, 利润增-526.6%; 当季营收增-56.52%, 利润增-1888.13%; 过往5年营收增4.14%, 利润增-87.34%
Income profile:
</v>
      </c>
      <c r="D101" t="s">
        <v>993</v>
      </c>
      <c r="E101" t="s">
        <v>994</v>
      </c>
      <c r="F101">
        <v>62.11</v>
      </c>
      <c r="G101">
        <v>0.99</v>
      </c>
      <c r="H101" t="s">
        <v>3944</v>
      </c>
      <c r="I101">
        <v>7534179000</v>
      </c>
      <c r="J101">
        <v>140.9</v>
      </c>
      <c r="K101">
        <v>2.84</v>
      </c>
      <c r="L101" t="s">
        <v>1303</v>
      </c>
      <c r="M101" t="s">
        <v>1330</v>
      </c>
      <c r="N101" t="s">
        <v>3945</v>
      </c>
      <c r="O101" t="s">
        <v>429</v>
      </c>
      <c r="P101">
        <v>3.84</v>
      </c>
      <c r="Q101" t="s">
        <v>429</v>
      </c>
      <c r="R101">
        <v>-25611101</v>
      </c>
      <c r="S101" s="5">
        <v>-0.44940000000000002</v>
      </c>
      <c r="T101" t="s">
        <v>3946</v>
      </c>
      <c r="U101">
        <v>121303799</v>
      </c>
      <c r="V101">
        <v>121303799</v>
      </c>
      <c r="W101">
        <v>1.1599999999999999</v>
      </c>
      <c r="X101">
        <v>0.04</v>
      </c>
      <c r="Y101">
        <v>-27.48</v>
      </c>
      <c r="Z101" t="s">
        <v>465</v>
      </c>
      <c r="AA101" t="s">
        <v>3947</v>
      </c>
      <c r="AB101" t="s">
        <v>3948</v>
      </c>
      <c r="AC101" t="s">
        <v>3949</v>
      </c>
      <c r="AD101" t="s">
        <v>63</v>
      </c>
      <c r="AE101">
        <v>-1311213</v>
      </c>
      <c r="AF101" t="s">
        <v>3950</v>
      </c>
      <c r="AG101" t="s">
        <v>3951</v>
      </c>
      <c r="AH101" t="s">
        <v>3952</v>
      </c>
      <c r="AI101" t="s">
        <v>643</v>
      </c>
      <c r="AJ101" t="s">
        <v>3953</v>
      </c>
      <c r="AK101" t="s">
        <v>3954</v>
      </c>
      <c r="AL101" t="s">
        <v>3955</v>
      </c>
      <c r="AM101" t="s">
        <v>63</v>
      </c>
      <c r="AN101" t="s">
        <v>231</v>
      </c>
      <c r="AO101" t="s">
        <v>1933</v>
      </c>
      <c r="AP101" t="s">
        <v>63</v>
      </c>
      <c r="AQ101" t="s">
        <v>3956</v>
      </c>
      <c r="AR101" t="s">
        <v>63</v>
      </c>
      <c r="AS101" t="s">
        <v>442</v>
      </c>
      <c r="AT101" t="s">
        <v>63</v>
      </c>
      <c r="AU101" t="s">
        <v>1181</v>
      </c>
      <c r="AV101" t="s">
        <v>3957</v>
      </c>
      <c r="AW101" t="s">
        <v>3958</v>
      </c>
      <c r="AX101" t="s">
        <v>457</v>
      </c>
      <c r="AY101" t="s">
        <v>1248</v>
      </c>
      <c r="AZ101" t="s">
        <v>312</v>
      </c>
      <c r="BA101" t="s">
        <v>563</v>
      </c>
      <c r="BB101" t="s">
        <v>235</v>
      </c>
      <c r="BC101" t="s">
        <v>3959</v>
      </c>
      <c r="BD101" t="s">
        <v>307</v>
      </c>
      <c r="BE101" t="s">
        <v>429</v>
      </c>
      <c r="BF101" t="s">
        <v>995</v>
      </c>
      <c r="BG101" t="s">
        <v>996</v>
      </c>
      <c r="BH101" t="s">
        <v>1169</v>
      </c>
      <c r="BI101" t="s">
        <v>202</v>
      </c>
      <c r="BJ101" t="s">
        <v>457</v>
      </c>
      <c r="BK101" t="s">
        <v>3960</v>
      </c>
      <c r="BL101" t="s">
        <v>1934</v>
      </c>
      <c r="BM101" t="s">
        <v>3959</v>
      </c>
      <c r="BN101" t="s">
        <v>63</v>
      </c>
      <c r="BO101" t="s">
        <v>63</v>
      </c>
      <c r="BP101">
        <v>10.75</v>
      </c>
      <c r="BQ101">
        <v>0.15</v>
      </c>
      <c r="BR101">
        <v>0.23</v>
      </c>
      <c r="BS101">
        <v>8.3000000000000007</v>
      </c>
      <c r="BT101" t="s">
        <v>3422</v>
      </c>
      <c r="BU101" t="s">
        <v>2052</v>
      </c>
      <c r="BV101">
        <v>93.67</v>
      </c>
      <c r="BW101">
        <v>98.38</v>
      </c>
      <c r="BX101">
        <v>97.87</v>
      </c>
      <c r="BY101">
        <v>7.22</v>
      </c>
      <c r="BZ101">
        <v>0.65</v>
      </c>
      <c r="CA101">
        <v>29.36</v>
      </c>
      <c r="CB101">
        <v>-14.47</v>
      </c>
      <c r="CC101">
        <v>-18.22</v>
      </c>
      <c r="CD101" t="s">
        <v>3961</v>
      </c>
      <c r="CE101" t="s">
        <v>3962</v>
      </c>
      <c r="CF101" s="9">
        <v>-0.56521739130434778</v>
      </c>
      <c r="CG101" s="10">
        <v>-18.881308026703927</v>
      </c>
      <c r="CH101" s="9">
        <v>-0.80033278465270996</v>
      </c>
      <c r="CI101" s="9">
        <v>-2.907915972173214E-2</v>
      </c>
      <c r="CJ101" s="9">
        <v>0.35745614767074585</v>
      </c>
      <c r="CK101" s="9">
        <v>0.26315790414810181</v>
      </c>
      <c r="CL101" s="9">
        <v>0.41568627953529358</v>
      </c>
      <c r="CM101" s="10">
        <v>-5.2660279273986816</v>
      </c>
      <c r="CN101" s="10">
        <v>-0.96701371669769287</v>
      </c>
      <c r="CO101" s="10">
        <v>0.51666665077209473</v>
      </c>
      <c r="CP101" s="10">
        <v>0.34720355272293091</v>
      </c>
      <c r="CQ101" s="10">
        <v>1.0022433996200562</v>
      </c>
      <c r="CR101">
        <v>108.67842633992431</v>
      </c>
      <c r="CS101">
        <v>26.264989525629669</v>
      </c>
      <c r="CT101">
        <v>0.72452101110932221</v>
      </c>
      <c r="CU101" s="9">
        <v>4.1377677395939824E-2</v>
      </c>
      <c r="CV101" s="10">
        <v>-0.87338560819625854</v>
      </c>
      <c r="CW101">
        <v>0.06</v>
      </c>
      <c r="CX101" t="e">
        <v>#VALUE!</v>
      </c>
      <c r="CY101" t="s">
        <v>1308</v>
      </c>
      <c r="CZ101">
        <v>4.1377677395939824E-2</v>
      </c>
      <c r="DA101" t="e">
        <v>#VALUE!</v>
      </c>
      <c r="DB101" t="s">
        <v>1309</v>
      </c>
      <c r="DC101">
        <v>3.9308793526142832E-2</v>
      </c>
      <c r="DD101" t="e">
        <v>#VALUE!</v>
      </c>
      <c r="DE101" t="s">
        <v>1309</v>
      </c>
      <c r="DF101">
        <v>3.6412356108427045E-2</v>
      </c>
      <c r="DG101" t="e">
        <v>#VALUE!</v>
      </c>
      <c r="DH101" t="s">
        <v>1309</v>
      </c>
      <c r="DI101">
        <v>3.3102141916751864E-2</v>
      </c>
      <c r="DJ101" t="e">
        <v>#VALUE!</v>
      </c>
      <c r="DK101" t="s">
        <v>1309</v>
      </c>
      <c r="DL101">
        <v>2.8964374177157876E-2</v>
      </c>
      <c r="DM101">
        <v>-25611100</v>
      </c>
      <c r="DN101">
        <v>4.1377677395939824E-2</v>
      </c>
      <c r="DO101">
        <v>5401179000</v>
      </c>
      <c r="DP101">
        <v>1900568000</v>
      </c>
      <c r="DQ101">
        <v>4612</v>
      </c>
      <c r="DR101">
        <v>-0.60659506870028757</v>
      </c>
      <c r="DS101">
        <v>-18.007922418507668</v>
      </c>
      <c r="DT101" s="11">
        <v>-0.42333333333333339</v>
      </c>
      <c r="DU101">
        <v>-1.4983333333333333</v>
      </c>
      <c r="DV101">
        <v>-1.9216666666666666</v>
      </c>
      <c r="DW101">
        <v>-9.7941822173435789</v>
      </c>
      <c r="DX101">
        <v>0.39764406198030822</v>
      </c>
      <c r="DY101">
        <v>-9.196674510255491</v>
      </c>
      <c r="DZ101">
        <v>3897</v>
      </c>
      <c r="EA101">
        <v>-9.0466861410841304</v>
      </c>
      <c r="EB101">
        <v>9</v>
      </c>
      <c r="EC101">
        <v>4.6403328225524086E-2</v>
      </c>
      <c r="ED101">
        <v>0.18737912734291198</v>
      </c>
      <c r="EE101" s="12">
        <v>-3.0458099999999999</v>
      </c>
      <c r="EF101">
        <v>-3.0771099999999998</v>
      </c>
      <c r="EG101">
        <v>15.247644061980308</v>
      </c>
      <c r="EH101" t="s">
        <v>1471</v>
      </c>
      <c r="EI101">
        <v>0</v>
      </c>
      <c r="EJ101">
        <v>0</v>
      </c>
      <c r="EK101" s="14">
        <v>45470</v>
      </c>
      <c r="EL101" s="15">
        <v>-3.18</v>
      </c>
      <c r="EM101" s="15">
        <v>-4.92</v>
      </c>
      <c r="EN101" s="15">
        <v>-0.53</v>
      </c>
      <c r="EO101" s="15">
        <v>0.49</v>
      </c>
      <c r="EP101" s="15">
        <v>-3.13</v>
      </c>
    </row>
    <row r="102" spans="1:146" ht="216" x14ac:dyDescent="0.25">
      <c r="A102" s="7"/>
      <c r="B102" s="7"/>
      <c r="C102" s="7" t="str">
        <f>"公司主营业务为向各行各业的机构及个人提供PDF电子文档软件产品及服务，公司的产品及服务主要包括PDF编辑器与阅读器产品、开发平台与工具以及基于企业内部服务器及云端的PDF相关独立产品，产品适用于桌面电脑、平板电脑、企业级服务器、智能手机及嵌入式设备等应用终端。"&amp;CHAR(10)&amp;Basic_Fundamental_Information_Constructure(F102)&amp;CHAR(10)&amp;Basic_Fundamental_Information_Concatenate("（海外占比90%）
PDF编辑器与阅读器 4.80亿 82.74% 84.61% 97.48%
PDF工具及在线服务 3709.25万 6.40% 4.70% 70.05%
开发平台与工具 3294.94万 5.68% 5.90% 98.90%
企业文档自动化解决方案 3004.07万 5.18% 4.79% 88.17%")</f>
        <v>公司主营业务为向各行各业的机构及个人提供PDF电子文档软件产品及服务，公司的产品及服务主要包括PDF编辑器与阅读器产品、开发平台与工具以及基于企业内部服务器及云端的PDF相关独立产品，产品适用于桌面电脑、平板电脑、企业级服务器、智能手机及嵌入式设备等应用终端。
市值38.023046亿, 利润-1060.90万; PE; 平均PE87.24; 平均PEG43.12, PB1.49; ROIC1.37%; ROE-.28%; 股利率.9625%; 毛利95.5633%; 净利-2.27%; 上一年度营收增-70.86%, 利润增-508.35%; 当季营收增-40.91%, 利润增77.64%; 过往5年营收增2.02%, 利润增-104.83%
Income profile:
（海外占比90%）
PDF编辑器与阅读器 4.80亿 82.74% 84.61% 97.48%
PDF工具及在线服务 3709.25万 6.40% 4.70% 70.05%
开发平台与工具 3294.94万 5.68% 5.90% 98.90%
企业文档自动化解决方案 3004.07万 5.18% 4.79% 88.17%</v>
      </c>
      <c r="D102" t="s">
        <v>654</v>
      </c>
      <c r="E102" t="s">
        <v>655</v>
      </c>
      <c r="F102">
        <v>41.56</v>
      </c>
      <c r="G102">
        <v>0.05</v>
      </c>
      <c r="H102" t="s">
        <v>3963</v>
      </c>
      <c r="I102">
        <v>3802304600</v>
      </c>
      <c r="K102">
        <v>1.49</v>
      </c>
      <c r="L102" t="s">
        <v>1303</v>
      </c>
      <c r="M102" t="s">
        <v>1815</v>
      </c>
      <c r="N102" t="s">
        <v>3964</v>
      </c>
      <c r="O102" t="s">
        <v>280</v>
      </c>
      <c r="P102">
        <v>16.87</v>
      </c>
      <c r="Q102" t="s">
        <v>280</v>
      </c>
      <c r="R102">
        <v>-10608961</v>
      </c>
      <c r="S102" s="5">
        <v>6.4699999999999994E-2</v>
      </c>
      <c r="T102" t="s">
        <v>3965</v>
      </c>
      <c r="U102">
        <v>91489524</v>
      </c>
      <c r="V102">
        <v>91489524</v>
      </c>
      <c r="W102">
        <v>1.1599999999999999</v>
      </c>
      <c r="X102">
        <v>0.06</v>
      </c>
      <c r="Y102">
        <v>-6.35</v>
      </c>
      <c r="Z102" t="s">
        <v>809</v>
      </c>
      <c r="AA102" t="s">
        <v>3966</v>
      </c>
      <c r="AB102" t="s">
        <v>3967</v>
      </c>
      <c r="AC102" t="s">
        <v>3968</v>
      </c>
      <c r="AD102" t="s">
        <v>63</v>
      </c>
      <c r="AE102">
        <v>-1979157</v>
      </c>
      <c r="AF102" t="s">
        <v>3969</v>
      </c>
      <c r="AG102" t="s">
        <v>3970</v>
      </c>
      <c r="AH102" t="s">
        <v>3971</v>
      </c>
      <c r="AI102" t="s">
        <v>862</v>
      </c>
      <c r="AJ102" t="s">
        <v>3972</v>
      </c>
      <c r="AK102" t="s">
        <v>63</v>
      </c>
      <c r="AL102" t="s">
        <v>3973</v>
      </c>
      <c r="AM102" t="s">
        <v>63</v>
      </c>
      <c r="AN102">
        <v>0</v>
      </c>
      <c r="AO102" t="s">
        <v>63</v>
      </c>
      <c r="AP102" t="s">
        <v>63</v>
      </c>
      <c r="AQ102" t="s">
        <v>3974</v>
      </c>
      <c r="AR102">
        <v>8920</v>
      </c>
      <c r="AS102" t="s">
        <v>569</v>
      </c>
      <c r="AT102" t="s">
        <v>63</v>
      </c>
      <c r="AU102" t="s">
        <v>3975</v>
      </c>
      <c r="AV102" t="s">
        <v>3976</v>
      </c>
      <c r="AW102" t="s">
        <v>3977</v>
      </c>
      <c r="AX102" t="s">
        <v>281</v>
      </c>
      <c r="AY102" t="s">
        <v>1190</v>
      </c>
      <c r="AZ102" t="s">
        <v>855</v>
      </c>
      <c r="BA102" t="s">
        <v>507</v>
      </c>
      <c r="BB102" t="s">
        <v>462</v>
      </c>
      <c r="BC102" t="s">
        <v>1596</v>
      </c>
      <c r="BD102" t="s">
        <v>1271</v>
      </c>
      <c r="BE102" t="s">
        <v>200</v>
      </c>
      <c r="BF102" t="s">
        <v>656</v>
      </c>
      <c r="BG102" t="s">
        <v>997</v>
      </c>
      <c r="BH102" t="s">
        <v>822</v>
      </c>
      <c r="BI102" t="s">
        <v>518</v>
      </c>
      <c r="BJ102" t="s">
        <v>281</v>
      </c>
      <c r="BK102" t="s">
        <v>3978</v>
      </c>
      <c r="BL102" t="s">
        <v>1936</v>
      </c>
      <c r="BM102" t="s">
        <v>1596</v>
      </c>
      <c r="BN102" t="s">
        <v>63</v>
      </c>
      <c r="BO102" t="s">
        <v>63</v>
      </c>
      <c r="BP102">
        <v>1.37</v>
      </c>
      <c r="BQ102">
        <v>-2.3199999999999998</v>
      </c>
      <c r="BR102">
        <v>-0.06</v>
      </c>
      <c r="BS102">
        <v>1.54</v>
      </c>
      <c r="BT102" t="s">
        <v>1559</v>
      </c>
      <c r="BU102" t="s">
        <v>2031</v>
      </c>
      <c r="BV102">
        <v>94.79</v>
      </c>
      <c r="BW102">
        <v>95.33</v>
      </c>
      <c r="BX102">
        <v>96.57</v>
      </c>
      <c r="BY102">
        <v>-14.93</v>
      </c>
      <c r="BZ102">
        <v>-0.37</v>
      </c>
      <c r="CA102">
        <v>8.49</v>
      </c>
      <c r="CB102">
        <v>-9.2799999999999994</v>
      </c>
      <c r="CC102">
        <v>-22.64</v>
      </c>
      <c r="CD102" t="s">
        <v>3979</v>
      </c>
      <c r="CE102" t="s">
        <v>3980</v>
      </c>
      <c r="CF102" s="9">
        <v>-0.40909090909090912</v>
      </c>
      <c r="CG102" s="10">
        <v>0.77644825566203923</v>
      </c>
      <c r="CH102" s="9">
        <v>-0.70862066745758057</v>
      </c>
      <c r="CI102" s="9">
        <v>7.2088725864887238E-2</v>
      </c>
      <c r="CJ102" s="9">
        <v>0.15351812541484833</v>
      </c>
      <c r="CK102" s="9">
        <v>0.27100270986557007</v>
      </c>
      <c r="CL102" s="9">
        <v>0.3131672739982605</v>
      </c>
      <c r="CM102" s="10">
        <v>-5.0834908485412598</v>
      </c>
      <c r="CN102" s="10">
        <v>-1.0377178192138672</v>
      </c>
      <c r="CO102" s="10">
        <v>-0.59795302152633667</v>
      </c>
      <c r="CP102" s="10">
        <v>0.55120956897735596</v>
      </c>
      <c r="CQ102" s="10">
        <v>0.92621290683746338</v>
      </c>
      <c r="CR102">
        <v>87.240168868018316</v>
      </c>
      <c r="CS102">
        <v>43.12152727000985</v>
      </c>
      <c r="CT102">
        <v>0.96246390760346479</v>
      </c>
      <c r="CU102" s="9">
        <v>2.0231233537197114E-2</v>
      </c>
      <c r="CV102" s="10">
        <v>-1.0483478426933288</v>
      </c>
      <c r="CW102">
        <v>0.06</v>
      </c>
      <c r="CX102" t="e">
        <v>#VALUE!</v>
      </c>
      <c r="CY102" t="s">
        <v>1308</v>
      </c>
      <c r="CZ102">
        <v>2.0231233537197114E-2</v>
      </c>
      <c r="DA102" t="e">
        <v>#VALUE!</v>
      </c>
      <c r="DB102" t="s">
        <v>1309</v>
      </c>
      <c r="DC102">
        <v>1.9219671860337257E-2</v>
      </c>
      <c r="DD102" t="e">
        <v>#VALUE!</v>
      </c>
      <c r="DE102" t="s">
        <v>1309</v>
      </c>
      <c r="DF102">
        <v>1.7803485512733461E-2</v>
      </c>
      <c r="DG102" t="e">
        <v>#VALUE!</v>
      </c>
      <c r="DH102" t="s">
        <v>1309</v>
      </c>
      <c r="DI102">
        <v>1.6184986829757692E-2</v>
      </c>
      <c r="DJ102" t="e">
        <v>#VALUE!</v>
      </c>
      <c r="DK102" t="s">
        <v>1309</v>
      </c>
      <c r="DL102">
        <v>1.4161863476037978E-2</v>
      </c>
      <c r="DM102">
        <v>-10609000</v>
      </c>
      <c r="DN102">
        <v>2.0231233537197114E-2</v>
      </c>
      <c r="DO102">
        <v>1695304600</v>
      </c>
      <c r="DP102">
        <v>2009587100</v>
      </c>
      <c r="DQ102">
        <v>4622</v>
      </c>
      <c r="DR102">
        <v>-0.42932214262810625</v>
      </c>
      <c r="DS102">
        <v>1.8247960983553679</v>
      </c>
      <c r="DT102" s="11">
        <v>-0.42333333333333339</v>
      </c>
      <c r="DU102">
        <v>-2.1816666666666671</v>
      </c>
      <c r="DV102">
        <v>-2.6050000000000004</v>
      </c>
      <c r="DW102">
        <v>-9.4098939929328616</v>
      </c>
      <c r="DX102">
        <v>0.31908287098710464</v>
      </c>
      <c r="DY102">
        <v>-9.0611081732667991</v>
      </c>
      <c r="DZ102">
        <v>4312</v>
      </c>
      <c r="EA102">
        <v>-9.0095429202087871</v>
      </c>
      <c r="EB102">
        <v>9</v>
      </c>
      <c r="EC102">
        <v>7.7919303635244616E-2</v>
      </c>
      <c r="ED102">
        <v>0.52265765422498001</v>
      </c>
      <c r="EE102" s="12">
        <v>-5.0782100000000003</v>
      </c>
      <c r="EF102">
        <v>-5.1013099999999998</v>
      </c>
      <c r="EG102">
        <v>17.149082870987105</v>
      </c>
      <c r="EH102" t="s">
        <v>1993</v>
      </c>
      <c r="EI102">
        <v>0</v>
      </c>
      <c r="EJ102">
        <v>0</v>
      </c>
      <c r="EK102" s="14">
        <v>45470</v>
      </c>
      <c r="EL102" s="15">
        <v>-1.52</v>
      </c>
      <c r="EM102" s="15">
        <v>-6.35</v>
      </c>
      <c r="EN102" s="15">
        <v>1.44</v>
      </c>
      <c r="EO102" s="15">
        <v>5.0599999999999996</v>
      </c>
      <c r="EP102" s="15">
        <v>-2.31</v>
      </c>
    </row>
    <row r="103" spans="1:146" ht="108" x14ac:dyDescent="0.25">
      <c r="A103" s="7"/>
      <c r="B103" s="7"/>
      <c r="C103" s="7" t="str">
        <f>""&amp;CHAR(10)&amp;Basic_Fundamental_Information_Constructure(F103)&amp;CHAR(10)&amp;Basic_Fundamental_Information_Concatenate("")</f>
        <v xml:space="preserve">
市值21.516064亿, 利润-974.03万; PE131.1; 平均PE57.46; 平均PEG35.24, PB2.8; ROIC9.78%; ROE.05%; 股利率1.0993%; 毛利75.7067%; 净利1.0533%; 上一年度营收增-86.48%, 利润增82.61%; 当季营收增-65%, 利润增26.1%; 过往5年营收增-1.63%, 利润增-15.61%
Income profile:
</v>
      </c>
      <c r="D103" t="s">
        <v>998</v>
      </c>
      <c r="E103" t="s">
        <v>1372</v>
      </c>
      <c r="F103">
        <v>27.29</v>
      </c>
      <c r="G103">
        <v>-0.66</v>
      </c>
      <c r="H103" t="s">
        <v>3981</v>
      </c>
      <c r="I103">
        <v>2151606400</v>
      </c>
      <c r="J103">
        <v>131.1</v>
      </c>
      <c r="K103">
        <v>2.8</v>
      </c>
      <c r="L103" t="s">
        <v>1303</v>
      </c>
      <c r="M103" t="s">
        <v>492</v>
      </c>
      <c r="N103" t="s">
        <v>3982</v>
      </c>
      <c r="O103" t="s">
        <v>3983</v>
      </c>
      <c r="P103">
        <v>-1.02</v>
      </c>
      <c r="Q103" t="s">
        <v>3983</v>
      </c>
      <c r="R103">
        <v>-9740343</v>
      </c>
      <c r="S103" s="5">
        <v>0.29039999999999999</v>
      </c>
      <c r="T103" t="s">
        <v>3984</v>
      </c>
      <c r="U103">
        <v>78842300</v>
      </c>
      <c r="V103">
        <v>78842300</v>
      </c>
      <c r="W103">
        <v>1.0900000000000001</v>
      </c>
      <c r="X103">
        <v>7.0000000000000007E-2</v>
      </c>
      <c r="Y103">
        <v>-16.57</v>
      </c>
      <c r="Z103" t="s">
        <v>3985</v>
      </c>
      <c r="AA103" t="s">
        <v>3986</v>
      </c>
      <c r="AB103" t="s">
        <v>3987</v>
      </c>
      <c r="AC103" t="s">
        <v>3988</v>
      </c>
      <c r="AD103" t="s">
        <v>63</v>
      </c>
      <c r="AE103">
        <v>-1606311</v>
      </c>
      <c r="AF103" t="s">
        <v>3989</v>
      </c>
      <c r="AG103">
        <v>4383.6000000000004</v>
      </c>
      <c r="AH103" t="s">
        <v>3990</v>
      </c>
      <c r="AI103" t="s">
        <v>373</v>
      </c>
      <c r="AJ103" t="s">
        <v>3991</v>
      </c>
      <c r="AK103" t="s">
        <v>3992</v>
      </c>
      <c r="AL103" t="s">
        <v>3993</v>
      </c>
      <c r="AM103" t="s">
        <v>63</v>
      </c>
      <c r="AN103">
        <v>0</v>
      </c>
      <c r="AO103" t="s">
        <v>63</v>
      </c>
      <c r="AP103" t="s">
        <v>3994</v>
      </c>
      <c r="AQ103" t="s">
        <v>3995</v>
      </c>
      <c r="AR103" t="s">
        <v>63</v>
      </c>
      <c r="AS103" t="s">
        <v>3996</v>
      </c>
      <c r="AT103" t="s">
        <v>63</v>
      </c>
      <c r="AU103" t="s">
        <v>3997</v>
      </c>
      <c r="AV103" t="s">
        <v>3998</v>
      </c>
      <c r="AW103" t="s">
        <v>3999</v>
      </c>
      <c r="AX103" t="s">
        <v>399</v>
      </c>
      <c r="AY103" t="s">
        <v>524</v>
      </c>
      <c r="AZ103" t="s">
        <v>569</v>
      </c>
      <c r="BA103" t="s">
        <v>631</v>
      </c>
      <c r="BB103" t="s">
        <v>377</v>
      </c>
      <c r="BC103" t="s">
        <v>1597</v>
      </c>
      <c r="BD103" t="s">
        <v>1272</v>
      </c>
      <c r="BE103" t="s">
        <v>999</v>
      </c>
      <c r="BF103" t="s">
        <v>1000</v>
      </c>
      <c r="BG103" t="s">
        <v>1001</v>
      </c>
      <c r="BH103" t="s">
        <v>476</v>
      </c>
      <c r="BI103" t="s">
        <v>187</v>
      </c>
      <c r="BJ103" t="s">
        <v>399</v>
      </c>
      <c r="BK103" t="s">
        <v>4000</v>
      </c>
      <c r="BL103" t="s">
        <v>1937</v>
      </c>
      <c r="BM103" t="s">
        <v>1597</v>
      </c>
      <c r="BN103" t="s">
        <v>63</v>
      </c>
      <c r="BO103" t="s">
        <v>63</v>
      </c>
      <c r="BP103">
        <v>9.7799999999999994</v>
      </c>
      <c r="BQ103">
        <v>-1.8</v>
      </c>
      <c r="BR103">
        <v>-6.49</v>
      </c>
      <c r="BS103">
        <v>8.44</v>
      </c>
      <c r="BT103" t="s">
        <v>4001</v>
      </c>
      <c r="BU103" t="s">
        <v>2052</v>
      </c>
      <c r="BV103">
        <v>76.400000000000006</v>
      </c>
      <c r="BW103">
        <v>73.03</v>
      </c>
      <c r="BX103">
        <v>77.69</v>
      </c>
      <c r="BY103">
        <v>2.85</v>
      </c>
      <c r="BZ103">
        <v>-12.87</v>
      </c>
      <c r="CA103">
        <v>13.18</v>
      </c>
      <c r="CB103">
        <v>-0.22</v>
      </c>
      <c r="CC103">
        <v>-8.73</v>
      </c>
      <c r="CD103" t="s">
        <v>4002</v>
      </c>
      <c r="CE103" t="s">
        <v>4003</v>
      </c>
      <c r="CF103" s="9">
        <v>-0.65005000000000002</v>
      </c>
      <c r="CG103" s="10">
        <v>0.26100352793900078</v>
      </c>
      <c r="CH103" s="9">
        <v>-0.86484688520431519</v>
      </c>
      <c r="CI103" s="9">
        <v>-8.4210529923439026E-2</v>
      </c>
      <c r="CJ103" s="9">
        <v>0.25</v>
      </c>
      <c r="CK103" s="9">
        <v>0.34275618195533752</v>
      </c>
      <c r="CL103" s="9">
        <v>0.27477476000785828</v>
      </c>
      <c r="CM103" s="10">
        <v>0.82609963417053223</v>
      </c>
      <c r="CN103" s="10">
        <v>-1.893606424331665</v>
      </c>
      <c r="CO103" s="10">
        <v>-0.35807088017463684</v>
      </c>
      <c r="CP103" s="10">
        <v>0.31426861882209778</v>
      </c>
      <c r="CQ103" s="10">
        <v>0.33085107803344727</v>
      </c>
      <c r="CR103">
        <v>57.455484771422235</v>
      </c>
      <c r="CS103">
        <v>35.237317733253526</v>
      </c>
      <c r="CT103">
        <v>1.0993037742762917</v>
      </c>
      <c r="CU103" s="9">
        <v>-1.6305294632911683E-2</v>
      </c>
      <c r="CV103" s="10">
        <v>-0.15609159469604492</v>
      </c>
      <c r="CW103">
        <v>0.06</v>
      </c>
      <c r="CX103" t="e">
        <v>#VALUE!</v>
      </c>
      <c r="CY103" t="s">
        <v>1308</v>
      </c>
      <c r="CZ103">
        <v>-1.6305294632911683E-2</v>
      </c>
      <c r="DA103" t="e">
        <v>#VALUE!</v>
      </c>
      <c r="DB103" t="s">
        <v>1309</v>
      </c>
      <c r="DC103">
        <v>-1.5490029901266097E-2</v>
      </c>
      <c r="DD103" t="e">
        <v>#VALUE!</v>
      </c>
      <c r="DE103" t="s">
        <v>1309</v>
      </c>
      <c r="DF103">
        <v>-1.4348659276962281E-2</v>
      </c>
      <c r="DG103" t="e">
        <v>#VALUE!</v>
      </c>
      <c r="DH103" t="s">
        <v>1309</v>
      </c>
      <c r="DI103">
        <v>-1.3044235706329347E-2</v>
      </c>
      <c r="DJ103" t="e">
        <v>#VALUE!</v>
      </c>
      <c r="DK103" t="s">
        <v>1309</v>
      </c>
      <c r="DL103">
        <v>-1.1413706243038177E-2</v>
      </c>
      <c r="DM103">
        <v>-9740300</v>
      </c>
      <c r="DN103">
        <v>-1.6305294632911683E-2</v>
      </c>
      <c r="DO103">
        <v>1515606400</v>
      </c>
      <c r="DP103">
        <v>744987070</v>
      </c>
      <c r="DQ103">
        <v>4635</v>
      </c>
      <c r="DR103">
        <v>-0.63374470536708838</v>
      </c>
      <c r="DS103">
        <v>0.41709512263504567</v>
      </c>
      <c r="DT103" s="11">
        <v>-0.42333333333333339</v>
      </c>
      <c r="DU103">
        <v>-1.3949999999999998</v>
      </c>
      <c r="DV103">
        <v>-1.8183333333333331</v>
      </c>
      <c r="DW103">
        <v>-2.0872999999999999</v>
      </c>
      <c r="DX103">
        <v>0.35564006346779831</v>
      </c>
      <c r="DY103">
        <v>-2.0127143775407386</v>
      </c>
      <c r="DZ103">
        <v>4394</v>
      </c>
      <c r="EA103">
        <v>-2.0017815057376063</v>
      </c>
      <c r="EB103">
        <v>2</v>
      </c>
      <c r="EC103">
        <v>3.1899120142360127E-2</v>
      </c>
      <c r="ED103">
        <v>0.21902709586097818</v>
      </c>
      <c r="EE103" s="12">
        <v>-4.0901100000000001</v>
      </c>
      <c r="EF103">
        <v>-4.1206100000000001</v>
      </c>
      <c r="EG103">
        <v>21.145640063467798</v>
      </c>
      <c r="EH103" t="s">
        <v>1994</v>
      </c>
      <c r="EI103">
        <v>0</v>
      </c>
      <c r="EJ103">
        <v>0</v>
      </c>
      <c r="EK103" s="14">
        <v>45470</v>
      </c>
      <c r="EL103" s="15">
        <v>-0.82</v>
      </c>
      <c r="EM103" s="15">
        <v>-6.49</v>
      </c>
      <c r="EN103" s="15">
        <v>-4.9400000000000004</v>
      </c>
      <c r="EO103" s="15">
        <v>2.83</v>
      </c>
      <c r="EP103" s="15">
        <v>-3.05</v>
      </c>
    </row>
    <row r="104" spans="1:146" ht="204" x14ac:dyDescent="0.25">
      <c r="A104" s="7"/>
      <c r="B104" s="7"/>
      <c r="C104" s="7" t="str">
        <f>"公司是国内领先的办公软件和服务提供商，主要从事WPSOffice办公软件产品及服务的设计研发及销售推广。公司主要产品包括WPS Office办公软件、金山文档等办公能力产品矩阵以及金山数字办公平台解决方案。"&amp;CHAR(10)&amp;Basic_Fundamental_Information_Constructure(F104)&amp;CHAR(10)&amp;Basic_Fundamental_Information_Concatenate("国内个人办公服务订阅业务 20.50亿 52.77% 50.13% 80.75%
国内机构授权业务 8.36亿 21.51% 23.64% 93.43%
国内机构订阅及服务业务 6.92亿 17.81% 19.57% 93.39%
互联网广告推广服务及其他业务 3.06亿 7.89% 6.65% 71.62%")</f>
        <v>公司是国内领先的办公软件和服务提供商，主要从事WPSOffice办公软件产品及服务的设计研发及销售推广。公司主要产品包括WPS Office办公软件、金山文档等办公能力产品矩阵以及金山数字办公平台解决方案。
市值913.3038亿, 利润3.67亿; PE64.43; 平均PE133.13; 平均PEG8.54, PB8.83; ROIC12.11%; ROE12.6%; 股利率.445%; 毛利85.7367%; 净利30.1833%; 上一年度营收增-68.47%, 利润增-67.17%; 当季营收增-43.6%, 利润增-38.73%; 过往5年营收增15.59%, 利润增21.34%
Income profile:
国内个人办公服务订阅业务 20.50亿 52.77% 50.13% 80.75%
国内机构授权业务 8.36亿 21.51% 23.64% 93.43%
国内机构订阅及服务业务 6.92亿 17.81% 19.57% 93.39%
互联网广告推广服务及其他业务 3.06亿 7.89% 6.65% 71.62%</v>
      </c>
      <c r="D104" t="s">
        <v>75</v>
      </c>
      <c r="E104" t="s">
        <v>76</v>
      </c>
      <c r="F104">
        <v>197.66</v>
      </c>
      <c r="G104">
        <v>3.26</v>
      </c>
      <c r="H104" t="s">
        <v>4004</v>
      </c>
      <c r="I104">
        <v>91330380000</v>
      </c>
      <c r="J104">
        <v>64.430000000000007</v>
      </c>
      <c r="K104">
        <v>8.83</v>
      </c>
      <c r="L104" t="s">
        <v>1303</v>
      </c>
      <c r="M104" t="s">
        <v>4005</v>
      </c>
      <c r="N104" t="s">
        <v>4006</v>
      </c>
      <c r="O104" t="s">
        <v>4007</v>
      </c>
      <c r="P104">
        <v>16.54</v>
      </c>
      <c r="Q104" t="s">
        <v>4007</v>
      </c>
      <c r="R104">
        <v>367017200</v>
      </c>
      <c r="S104" s="5">
        <v>0.37309999999999999</v>
      </c>
      <c r="T104" t="s">
        <v>630</v>
      </c>
      <c r="U104">
        <v>462057980</v>
      </c>
      <c r="V104">
        <v>462057980</v>
      </c>
      <c r="W104">
        <v>1.35</v>
      </c>
      <c r="X104">
        <v>0.09</v>
      </c>
      <c r="Y104">
        <v>29.82</v>
      </c>
      <c r="Z104" t="s">
        <v>1552</v>
      </c>
      <c r="AA104" t="s">
        <v>272</v>
      </c>
      <c r="AB104" t="s">
        <v>356</v>
      </c>
      <c r="AC104" t="s">
        <v>308</v>
      </c>
      <c r="AD104" t="s">
        <v>63</v>
      </c>
      <c r="AE104">
        <v>-13583416</v>
      </c>
      <c r="AF104" t="s">
        <v>4008</v>
      </c>
      <c r="AG104" t="s">
        <v>4009</v>
      </c>
      <c r="AH104" t="s">
        <v>4010</v>
      </c>
      <c r="AI104" t="s">
        <v>4011</v>
      </c>
      <c r="AJ104" t="s">
        <v>4012</v>
      </c>
      <c r="AK104" t="s">
        <v>4013</v>
      </c>
      <c r="AL104" t="s">
        <v>4014</v>
      </c>
      <c r="AM104" t="s">
        <v>63</v>
      </c>
      <c r="AN104" t="s">
        <v>341</v>
      </c>
      <c r="AO104" t="s">
        <v>63</v>
      </c>
      <c r="AP104" t="s">
        <v>63</v>
      </c>
      <c r="AQ104" t="s">
        <v>591</v>
      </c>
      <c r="AR104" t="s">
        <v>63</v>
      </c>
      <c r="AS104" t="s">
        <v>4015</v>
      </c>
      <c r="AT104" t="s">
        <v>63</v>
      </c>
      <c r="AU104" t="s">
        <v>192</v>
      </c>
      <c r="AV104" t="s">
        <v>4016</v>
      </c>
      <c r="AW104" t="s">
        <v>4017</v>
      </c>
      <c r="AX104" t="s">
        <v>1598</v>
      </c>
      <c r="AY104" t="s">
        <v>1273</v>
      </c>
      <c r="AZ104" t="s">
        <v>1002</v>
      </c>
      <c r="BA104" t="s">
        <v>285</v>
      </c>
      <c r="BB104" t="s">
        <v>1003</v>
      </c>
      <c r="BC104" t="s">
        <v>194</v>
      </c>
      <c r="BD104" t="s">
        <v>1274</v>
      </c>
      <c r="BE104" t="s">
        <v>787</v>
      </c>
      <c r="BF104" t="s">
        <v>234</v>
      </c>
      <c r="BG104" t="s">
        <v>815</v>
      </c>
      <c r="BH104" t="s">
        <v>4018</v>
      </c>
      <c r="BI104" t="s">
        <v>1938</v>
      </c>
      <c r="BJ104" t="s">
        <v>1598</v>
      </c>
      <c r="BK104" t="s">
        <v>2361</v>
      </c>
      <c r="BL104" t="s">
        <v>1133</v>
      </c>
      <c r="BM104" t="s">
        <v>194</v>
      </c>
      <c r="BN104">
        <v>8.75</v>
      </c>
      <c r="BO104">
        <v>13.33</v>
      </c>
      <c r="BP104">
        <v>14.25</v>
      </c>
      <c r="BQ104">
        <v>9.82</v>
      </c>
      <c r="BR104">
        <v>13.64</v>
      </c>
      <c r="BS104">
        <v>14.34</v>
      </c>
      <c r="BT104" t="s">
        <v>4019</v>
      </c>
      <c r="BU104" t="s">
        <v>2031</v>
      </c>
      <c r="BV104">
        <v>85.3</v>
      </c>
      <c r="BW104">
        <v>85</v>
      </c>
      <c r="BX104">
        <v>86.91</v>
      </c>
      <c r="BY104">
        <v>28.85</v>
      </c>
      <c r="BZ104">
        <v>29.11</v>
      </c>
      <c r="CA104">
        <v>32.590000000000003</v>
      </c>
      <c r="CB104">
        <v>-13.12</v>
      </c>
      <c r="CC104">
        <v>-29.44</v>
      </c>
      <c r="CD104" t="s">
        <v>4020</v>
      </c>
      <c r="CE104" t="s">
        <v>229</v>
      </c>
      <c r="CF104" s="9">
        <v>-0.43600368324125233</v>
      </c>
      <c r="CG104" s="10">
        <v>-0.38728347245409017</v>
      </c>
      <c r="CH104" s="9">
        <v>-0.68468469381332397</v>
      </c>
      <c r="CI104" s="9">
        <v>0.18445119261741638</v>
      </c>
      <c r="CJ104" s="9">
        <v>0.45068559050559998</v>
      </c>
      <c r="CK104" s="9">
        <v>0.43101263046264648</v>
      </c>
      <c r="CL104" s="9">
        <v>0.39823007583618164</v>
      </c>
      <c r="CM104" s="10">
        <v>-0.67173522710800171</v>
      </c>
      <c r="CN104" s="10">
        <v>7.3967337608337402E-2</v>
      </c>
      <c r="CO104" s="10">
        <v>0.18564920127391815</v>
      </c>
      <c r="CP104" s="10">
        <v>1.1895262002944946</v>
      </c>
      <c r="CQ104" s="10">
        <v>0.28938907384872437</v>
      </c>
      <c r="CR104">
        <v>133.13466472303207</v>
      </c>
      <c r="CS104">
        <v>8.5376140428849343</v>
      </c>
      <c r="CT104">
        <v>0.44499139937266013</v>
      </c>
      <c r="CU104" s="9">
        <v>0.15593895912170411</v>
      </c>
      <c r="CV104" s="10">
        <v>0.21335931718349457</v>
      </c>
      <c r="CW104">
        <v>0.06</v>
      </c>
      <c r="CX104">
        <v>212.08110708130062</v>
      </c>
      <c r="CY104">
        <v>400216601.88459003</v>
      </c>
      <c r="CZ104">
        <v>0.15593895912170411</v>
      </c>
      <c r="DA104">
        <v>65.570295453963766</v>
      </c>
      <c r="DB104">
        <v>1294463894.2429693</v>
      </c>
      <c r="DC104">
        <v>0.1481420111656189</v>
      </c>
      <c r="DD104">
        <v>29.919809121133234</v>
      </c>
      <c r="DE104">
        <v>2836862349.5010176</v>
      </c>
      <c r="DF104">
        <v>0.1372262840270996</v>
      </c>
      <c r="DG104">
        <v>16.452168818945815</v>
      </c>
      <c r="DH104">
        <v>5159099747.5212297</v>
      </c>
      <c r="DI104">
        <v>0.1247511672973633</v>
      </c>
      <c r="DJ104">
        <v>6.9446160869976561</v>
      </c>
      <c r="DK104">
        <v>12222184630.035496</v>
      </c>
      <c r="DL104">
        <v>0.10915727138519286</v>
      </c>
      <c r="DM104">
        <v>367000000</v>
      </c>
      <c r="DN104">
        <v>0.15593895912170411</v>
      </c>
      <c r="DO104">
        <v>84878380000</v>
      </c>
      <c r="DP104">
        <v>7172424400</v>
      </c>
      <c r="DQ104">
        <v>4637</v>
      </c>
      <c r="DR104">
        <v>-0.59194264236295646</v>
      </c>
      <c r="DS104">
        <v>-0.60064278963758477</v>
      </c>
      <c r="DT104" s="11">
        <v>-0.27333333333333343</v>
      </c>
      <c r="DU104">
        <v>-8.6666666666666711E-2</v>
      </c>
      <c r="DV104">
        <v>-0.36000000000000015</v>
      </c>
      <c r="DW104">
        <v>-9.445652173913043</v>
      </c>
      <c r="DX104">
        <v>0.4751121495327098</v>
      </c>
      <c r="DY104">
        <v>-9.1226043275091424</v>
      </c>
      <c r="DZ104">
        <v>514</v>
      </c>
      <c r="EA104">
        <v>-9.1102719157009826</v>
      </c>
      <c r="EB104">
        <v>9</v>
      </c>
      <c r="EC104">
        <v>6.3708454943251933E-2</v>
      </c>
      <c r="ED104">
        <v>0.23157266973291968</v>
      </c>
      <c r="EE104" s="12">
        <v>-5.1060100000000004</v>
      </c>
      <c r="EF104">
        <v>-5.1363099999999999</v>
      </c>
      <c r="EG104">
        <v>20.27511214953271</v>
      </c>
      <c r="EH104" t="s">
        <v>1993</v>
      </c>
      <c r="EI104">
        <v>0</v>
      </c>
      <c r="EJ104">
        <v>1</v>
      </c>
      <c r="EK104" s="14">
        <v>45470</v>
      </c>
      <c r="EL104" s="15">
        <v>-1.7</v>
      </c>
      <c r="EM104" s="15">
        <v>-4.45</v>
      </c>
      <c r="EN104" s="15">
        <v>-3.55</v>
      </c>
      <c r="EO104" s="15">
        <v>3.43</v>
      </c>
      <c r="EP104" s="15">
        <v>-3.03</v>
      </c>
    </row>
    <row r="105" spans="1:146" ht="96" x14ac:dyDescent="0.25">
      <c r="A105" s="7"/>
      <c r="B105" s="7"/>
      <c r="C105" s="7" t="str">
        <f>""&amp;CHAR(10)&amp;Basic_Fundamental_Information_Constructure(F105)&amp;CHAR(10)&amp;Basic_Fundamental_Information_Concatenate("")</f>
        <v xml:space="preserve">
市值12.8363073亿, 利润-3928.46万; PE; 平均PE58.91; 平均PEG4.92, PB1.59; ROIC3.91%; ROE-.1367%; 股利率.7321%; 毛利50.0033%; 净利2%; 上一年度营收增-85.73%, 利润增-3325.6%; 当季营收增-66.5%, 利润增-25.44%; 过往5年营收增-11.97%, 利润增-686.14%
Income profile:
</v>
      </c>
      <c r="D105" t="s">
        <v>113</v>
      </c>
      <c r="E105" t="s">
        <v>114</v>
      </c>
      <c r="F105">
        <v>13.66</v>
      </c>
      <c r="G105">
        <v>1.79</v>
      </c>
      <c r="H105" t="s">
        <v>4021</v>
      </c>
      <c r="I105">
        <v>1283630730</v>
      </c>
      <c r="K105">
        <v>1.59</v>
      </c>
      <c r="L105" t="s">
        <v>1303</v>
      </c>
      <c r="M105" t="s">
        <v>260</v>
      </c>
      <c r="N105" t="s">
        <v>1359</v>
      </c>
      <c r="O105" t="s">
        <v>4022</v>
      </c>
      <c r="P105">
        <v>-9.23</v>
      </c>
      <c r="Q105" t="s">
        <v>4022</v>
      </c>
      <c r="R105">
        <v>-39284601</v>
      </c>
      <c r="S105" s="5">
        <v>-0.79390000000000005</v>
      </c>
      <c r="T105" t="s">
        <v>4023</v>
      </c>
      <c r="U105">
        <v>93970039</v>
      </c>
      <c r="V105">
        <v>93970039</v>
      </c>
      <c r="W105">
        <v>1.1499999999999999</v>
      </c>
      <c r="X105">
        <v>0.06</v>
      </c>
      <c r="Y105">
        <v>-64.790000000000006</v>
      </c>
      <c r="Z105" t="s">
        <v>229</v>
      </c>
      <c r="AA105" t="s">
        <v>4024</v>
      </c>
      <c r="AB105" t="s">
        <v>4025</v>
      </c>
      <c r="AC105" t="s">
        <v>4026</v>
      </c>
      <c r="AD105" t="s">
        <v>63</v>
      </c>
      <c r="AE105">
        <v>-977982</v>
      </c>
      <c r="AF105" t="s">
        <v>4027</v>
      </c>
      <c r="AG105">
        <v>2.79</v>
      </c>
      <c r="AH105" t="s">
        <v>4028</v>
      </c>
      <c r="AI105" t="s">
        <v>857</v>
      </c>
      <c r="AJ105" t="s">
        <v>4029</v>
      </c>
      <c r="AK105" t="s">
        <v>4030</v>
      </c>
      <c r="AL105" t="s">
        <v>4031</v>
      </c>
      <c r="AM105" t="s">
        <v>63</v>
      </c>
      <c r="AN105">
        <v>0</v>
      </c>
      <c r="AO105" t="s">
        <v>63</v>
      </c>
      <c r="AP105" t="s">
        <v>63</v>
      </c>
      <c r="AQ105" t="s">
        <v>4032</v>
      </c>
      <c r="AR105" t="s">
        <v>63</v>
      </c>
      <c r="AS105" t="s">
        <v>287</v>
      </c>
      <c r="AT105" t="s">
        <v>63</v>
      </c>
      <c r="AU105" t="s">
        <v>4033</v>
      </c>
      <c r="AV105" t="s">
        <v>4034</v>
      </c>
      <c r="AW105" t="s">
        <v>4035</v>
      </c>
      <c r="AX105" t="s">
        <v>374</v>
      </c>
      <c r="AY105" t="s">
        <v>476</v>
      </c>
      <c r="AZ105" t="s">
        <v>563</v>
      </c>
      <c r="BA105" t="s">
        <v>64</v>
      </c>
      <c r="BB105" t="s">
        <v>414</v>
      </c>
      <c r="BC105" t="s">
        <v>1599</v>
      </c>
      <c r="BD105" t="s">
        <v>1275</v>
      </c>
      <c r="BE105" t="s">
        <v>1004</v>
      </c>
      <c r="BF105" t="s">
        <v>659</v>
      </c>
      <c r="BG105" t="s">
        <v>1005</v>
      </c>
      <c r="BH105" t="s">
        <v>1320</v>
      </c>
      <c r="BI105" t="s">
        <v>203</v>
      </c>
      <c r="BJ105" t="s">
        <v>374</v>
      </c>
      <c r="BK105" t="s">
        <v>4036</v>
      </c>
      <c r="BL105" t="s">
        <v>1939</v>
      </c>
      <c r="BM105" t="s">
        <v>1599</v>
      </c>
      <c r="BN105" t="s">
        <v>63</v>
      </c>
      <c r="BO105" t="s">
        <v>63</v>
      </c>
      <c r="BP105">
        <v>3.91</v>
      </c>
      <c r="BQ105">
        <v>-4.6399999999999997</v>
      </c>
      <c r="BR105">
        <v>0.14000000000000001</v>
      </c>
      <c r="BS105">
        <v>4.09</v>
      </c>
      <c r="BT105" t="s">
        <v>1446</v>
      </c>
      <c r="BU105" t="s">
        <v>2052</v>
      </c>
      <c r="BV105">
        <v>47.95</v>
      </c>
      <c r="BW105">
        <v>47.32</v>
      </c>
      <c r="BX105">
        <v>54.74</v>
      </c>
      <c r="BY105">
        <v>-3.26</v>
      </c>
      <c r="BZ105">
        <v>0.28999999999999998</v>
      </c>
      <c r="CA105">
        <v>8.9700000000000006</v>
      </c>
      <c r="CB105">
        <v>-5.34</v>
      </c>
      <c r="CC105">
        <v>-13.49</v>
      </c>
      <c r="CD105" t="s">
        <v>4037</v>
      </c>
      <c r="CE105" t="s">
        <v>4038</v>
      </c>
      <c r="CF105" s="9">
        <v>-0.66499060773480667</v>
      </c>
      <c r="CG105" s="10">
        <v>-0.25438171141743221</v>
      </c>
      <c r="CH105" s="9">
        <v>-0.85732537508010864</v>
      </c>
      <c r="CI105" s="9">
        <v>-2.5229357182979584E-2</v>
      </c>
      <c r="CJ105" s="9">
        <v>0.20775623619556427</v>
      </c>
      <c r="CK105" s="9">
        <v>-8.8383838534355164E-2</v>
      </c>
      <c r="CL105" s="9">
        <v>0.16470588743686676</v>
      </c>
      <c r="CM105" s="10">
        <v>-33.256015777587891</v>
      </c>
      <c r="CN105" s="10">
        <v>-0.96887260675430298</v>
      </c>
      <c r="CO105" s="10">
        <v>0.24744302034378052</v>
      </c>
      <c r="CP105" s="10">
        <v>-0.37612232565879822</v>
      </c>
      <c r="CQ105" s="10">
        <v>4.6702783554792404E-2</v>
      </c>
      <c r="CR105">
        <v>58.91331178268625</v>
      </c>
      <c r="CS105">
        <v>4.9219407097605155</v>
      </c>
      <c r="CT105">
        <v>0.7320644216691069</v>
      </c>
      <c r="CU105" s="9">
        <v>-0.11969528943300248</v>
      </c>
      <c r="CV105" s="10">
        <v>-6.8613729812204838</v>
      </c>
      <c r="CW105">
        <v>0.06</v>
      </c>
      <c r="CX105" t="e">
        <v>#VALUE!</v>
      </c>
      <c r="CY105" t="s">
        <v>1308</v>
      </c>
      <c r="CZ105">
        <v>-0.11969528943300248</v>
      </c>
      <c r="DA105" t="e">
        <v>#VALUE!</v>
      </c>
      <c r="DB105" t="s">
        <v>1309</v>
      </c>
      <c r="DC105">
        <v>-0.11371052496135235</v>
      </c>
      <c r="DD105" t="e">
        <v>#VALUE!</v>
      </c>
      <c r="DE105" t="s">
        <v>1309</v>
      </c>
      <c r="DF105">
        <v>-0.10533185470104219</v>
      </c>
      <c r="DG105" t="e">
        <v>#VALUE!</v>
      </c>
      <c r="DH105" t="s">
        <v>1309</v>
      </c>
      <c r="DI105">
        <v>-9.575623154640199E-2</v>
      </c>
      <c r="DJ105" t="e">
        <v>#VALUE!</v>
      </c>
      <c r="DK105" t="s">
        <v>1309</v>
      </c>
      <c r="DL105">
        <v>-8.3786702603101726E-2</v>
      </c>
      <c r="DM105">
        <v>-39284600</v>
      </c>
      <c r="DN105">
        <v>-0.11969528943300248</v>
      </c>
      <c r="DO105">
        <v>593630730.00000012</v>
      </c>
      <c r="DP105">
        <v>654026780</v>
      </c>
      <c r="DQ105">
        <v>4644</v>
      </c>
      <c r="DR105">
        <v>-0.54529531830180422</v>
      </c>
      <c r="DS105">
        <v>6.6069912698030517</v>
      </c>
      <c r="DT105" s="11">
        <v>-0.54</v>
      </c>
      <c r="DU105">
        <v>-1.9316666666666669</v>
      </c>
      <c r="DV105">
        <v>-2.4716666666666667</v>
      </c>
      <c r="DW105">
        <v>-8.3958487768717571</v>
      </c>
      <c r="DX105">
        <v>0.30975979910132906</v>
      </c>
      <c r="DY105">
        <v>-8.0513652577613861</v>
      </c>
      <c r="DZ105">
        <v>3421</v>
      </c>
      <c r="EA105">
        <v>-8.0169776752170225</v>
      </c>
      <c r="EB105">
        <v>8</v>
      </c>
      <c r="EC105">
        <v>0.12860907719746717</v>
      </c>
      <c r="ED105">
        <v>0.99113186491281546</v>
      </c>
      <c r="EE105" s="12">
        <v>-2.0497100000000001</v>
      </c>
      <c r="EF105">
        <v>-2.0676100000000002</v>
      </c>
      <c r="EG105">
        <v>18.129759799101329</v>
      </c>
      <c r="EH105" t="s">
        <v>1501</v>
      </c>
      <c r="EI105">
        <v>0</v>
      </c>
      <c r="EJ105">
        <v>0</v>
      </c>
      <c r="EK105" s="14">
        <v>45470</v>
      </c>
      <c r="EL105" s="15">
        <v>-1.44</v>
      </c>
      <c r="EM105" s="15">
        <v>-5.56</v>
      </c>
      <c r="EN105" s="15">
        <v>0.31</v>
      </c>
      <c r="EO105" s="15">
        <v>3.7</v>
      </c>
      <c r="EP105" s="15">
        <v>-1.79</v>
      </c>
    </row>
    <row r="106" spans="1:146" ht="96" x14ac:dyDescent="0.25">
      <c r="C106" s="7" t="str">
        <f>""&amp;CHAR(10)&amp;Basic_Fundamental_Information_Constructure(F106)&amp;CHAR(10)&amp;Basic_Fundamental_Information_Concatenate("")</f>
        <v xml:space="preserve">
市值26.692399亿, 利润-727.37万; PE; 平均PE44; 平均PEG1.89, PB2.15; ROIC28.095%; ROE21.96%; 股利率0%; 毛利67.9033%; 净利15.5667%; 上一年度营收增-88.97%, 利润增-105.64%; 当季营收增-36.74%, 利润增49.13%; 过往5年营收增23.3%, 利润增78.84%
Income profile:
</v>
      </c>
      <c r="D106" t="s">
        <v>1414</v>
      </c>
      <c r="E106" t="s">
        <v>1429</v>
      </c>
      <c r="F106">
        <v>33.9</v>
      </c>
      <c r="G106">
        <v>1.25</v>
      </c>
      <c r="H106" t="s">
        <v>4039</v>
      </c>
      <c r="I106">
        <v>2669239900</v>
      </c>
      <c r="K106">
        <v>2.15</v>
      </c>
      <c r="L106" t="s">
        <v>1303</v>
      </c>
      <c r="M106" t="s">
        <v>190</v>
      </c>
      <c r="N106" t="s">
        <v>4040</v>
      </c>
      <c r="O106" t="s">
        <v>4041</v>
      </c>
      <c r="P106" s="5">
        <v>29.81</v>
      </c>
      <c r="Q106" t="s">
        <v>4041</v>
      </c>
      <c r="R106">
        <v>-7273734</v>
      </c>
      <c r="S106">
        <v>-4.4969999999999999</v>
      </c>
      <c r="T106" t="s">
        <v>4042</v>
      </c>
      <c r="U106">
        <v>30193493</v>
      </c>
      <c r="V106">
        <v>78738639</v>
      </c>
      <c r="W106">
        <v>1.1200000000000001</v>
      </c>
      <c r="X106">
        <v>0.03</v>
      </c>
      <c r="Y106">
        <v>-16.48</v>
      </c>
      <c r="Z106" t="s">
        <v>4043</v>
      </c>
      <c r="AA106" t="s">
        <v>4044</v>
      </c>
      <c r="AB106" t="s">
        <v>4045</v>
      </c>
      <c r="AC106" t="s">
        <v>4046</v>
      </c>
      <c r="AD106" t="s">
        <v>63</v>
      </c>
      <c r="AE106">
        <v>253846</v>
      </c>
      <c r="AF106" t="s">
        <v>4047</v>
      </c>
      <c r="AG106">
        <v>6420.31</v>
      </c>
      <c r="AH106" t="s">
        <v>4048</v>
      </c>
      <c r="AI106" t="s">
        <v>333</v>
      </c>
      <c r="AJ106" t="s">
        <v>4049</v>
      </c>
      <c r="AK106" t="s">
        <v>4050</v>
      </c>
      <c r="AL106" t="s">
        <v>4051</v>
      </c>
      <c r="AM106" t="s">
        <v>63</v>
      </c>
      <c r="AN106">
        <v>0</v>
      </c>
      <c r="AO106" t="s">
        <v>63</v>
      </c>
      <c r="AP106" t="s">
        <v>63</v>
      </c>
      <c r="AQ106" t="s">
        <v>4052</v>
      </c>
      <c r="AR106" t="s">
        <v>63</v>
      </c>
      <c r="AS106" t="s">
        <v>4053</v>
      </c>
      <c r="AT106" t="s">
        <v>63</v>
      </c>
      <c r="AU106" t="s">
        <v>4054</v>
      </c>
      <c r="AV106" t="s">
        <v>4055</v>
      </c>
      <c r="AW106" t="s">
        <v>4056</v>
      </c>
      <c r="AX106" t="s">
        <v>506</v>
      </c>
      <c r="AY106" t="s">
        <v>560</v>
      </c>
      <c r="AZ106" t="s">
        <v>520</v>
      </c>
      <c r="BA106" t="s">
        <v>415</v>
      </c>
      <c r="BB106" t="s">
        <v>1415</v>
      </c>
      <c r="BC106" t="s">
        <v>185</v>
      </c>
      <c r="BD106" t="s">
        <v>293</v>
      </c>
      <c r="BE106" t="s">
        <v>1416</v>
      </c>
      <c r="BF106" t="s">
        <v>1417</v>
      </c>
      <c r="BG106" t="s">
        <v>1418</v>
      </c>
      <c r="BH106" t="s">
        <v>572</v>
      </c>
      <c r="BI106" t="s">
        <v>1940</v>
      </c>
      <c r="BJ106" t="s">
        <v>506</v>
      </c>
      <c r="BK106" t="s">
        <v>4057</v>
      </c>
      <c r="BL106" t="s">
        <v>1941</v>
      </c>
      <c r="BM106" t="s">
        <v>185</v>
      </c>
      <c r="BN106" t="s">
        <v>63</v>
      </c>
      <c r="BO106">
        <v>15.26</v>
      </c>
      <c r="BP106">
        <v>40.93</v>
      </c>
      <c r="BQ106">
        <v>-2.61</v>
      </c>
      <c r="BR106">
        <v>22.84</v>
      </c>
      <c r="BS106">
        <v>45.65</v>
      </c>
      <c r="BT106" t="s">
        <v>1445</v>
      </c>
      <c r="BU106" t="s">
        <v>2031</v>
      </c>
      <c r="BV106">
        <v>67.05</v>
      </c>
      <c r="BW106">
        <v>70.36</v>
      </c>
      <c r="BX106">
        <v>66.3</v>
      </c>
      <c r="BY106">
        <v>-18.43</v>
      </c>
      <c r="BZ106">
        <v>32.130000000000003</v>
      </c>
      <c r="CA106">
        <v>33</v>
      </c>
      <c r="CB106">
        <v>-12.45</v>
      </c>
      <c r="CC106" s="9">
        <v>-28.86</v>
      </c>
      <c r="CD106" s="10" t="s">
        <v>4058</v>
      </c>
      <c r="CE106" s="9" t="s">
        <v>4059</v>
      </c>
      <c r="CF106" s="9">
        <v>-0.36740198467068352</v>
      </c>
      <c r="CG106" s="9">
        <v>0.49131881503860358</v>
      </c>
      <c r="CH106" s="9">
        <v>-0.88965153694152832</v>
      </c>
      <c r="CI106" s="9">
        <v>0.1834319531917572</v>
      </c>
      <c r="CJ106" s="10">
        <v>0.46320345997810364</v>
      </c>
      <c r="CK106" s="10">
        <v>0.63829785585403442</v>
      </c>
      <c r="CL106" s="10">
        <v>0.76958721876144409</v>
      </c>
      <c r="CM106" s="10">
        <v>-1.0563852787017822</v>
      </c>
      <c r="CN106" s="10">
        <v>0.1517857164144516</v>
      </c>
      <c r="CO106">
        <v>0.13238494098186493</v>
      </c>
      <c r="CP106">
        <v>3.8636541366577148</v>
      </c>
      <c r="CQ106">
        <v>0.85039126873016357</v>
      </c>
      <c r="CR106" s="9">
        <v>44.00348886026535</v>
      </c>
      <c r="CS106" s="10">
        <v>1.8887742191252492</v>
      </c>
      <c r="CT106">
        <v>0</v>
      </c>
      <c r="CU106">
        <v>0.23297379016876221</v>
      </c>
      <c r="CV106">
        <v>0.78836615681648259</v>
      </c>
      <c r="CW106">
        <v>0.06</v>
      </c>
      <c r="CX106" t="e">
        <v>#VALUE!</v>
      </c>
      <c r="CY106" t="s">
        <v>1308</v>
      </c>
      <c r="CZ106">
        <v>0.23297379016876221</v>
      </c>
      <c r="DA106" t="e">
        <v>#VALUE!</v>
      </c>
      <c r="DB106" t="s">
        <v>1309</v>
      </c>
      <c r="DC106">
        <v>0.2213251006603241</v>
      </c>
      <c r="DD106" t="e">
        <v>#VALUE!</v>
      </c>
      <c r="DE106" t="s">
        <v>1309</v>
      </c>
      <c r="DF106">
        <v>0.20501693534851076</v>
      </c>
      <c r="DG106" t="e">
        <v>#VALUE!</v>
      </c>
      <c r="DH106" t="s">
        <v>1309</v>
      </c>
      <c r="DI106">
        <v>0.18637903213500978</v>
      </c>
      <c r="DJ106" t="e">
        <v>#VALUE!</v>
      </c>
      <c r="DK106" t="s">
        <v>1309</v>
      </c>
      <c r="DL106">
        <v>0.16308165311813355</v>
      </c>
      <c r="DM106">
        <v>-7273700</v>
      </c>
      <c r="DN106">
        <v>0.23297379016876221</v>
      </c>
      <c r="DO106">
        <v>1592239900</v>
      </c>
      <c r="DP106">
        <v>1138626420</v>
      </c>
      <c r="DQ106" s="11">
        <v>4671</v>
      </c>
      <c r="DR106">
        <v>-0.60037577483944571</v>
      </c>
      <c r="DS106">
        <v>-0.297047341777879</v>
      </c>
      <c r="DT106">
        <v>-5.6666666666666719E-2</v>
      </c>
      <c r="DU106">
        <v>-0.24833333333333341</v>
      </c>
      <c r="DV106">
        <v>-0.3050000000000001</v>
      </c>
      <c r="DW106">
        <v>-9.4313929313929314</v>
      </c>
      <c r="DX106">
        <v>0.33603218382358679</v>
      </c>
      <c r="DY106">
        <v>-9.0759390397991559</v>
      </c>
      <c r="DZ106">
        <v>2986</v>
      </c>
      <c r="EA106">
        <v>-9.0315644854272819</v>
      </c>
      <c r="EB106" s="12">
        <v>9</v>
      </c>
      <c r="EC106">
        <v>8.5191972901639823E-2</v>
      </c>
      <c r="ED106">
        <v>0.48395680296175808</v>
      </c>
      <c r="EE106">
        <v>-4.09741</v>
      </c>
      <c r="EF106">
        <v>-4.1372099999999996</v>
      </c>
      <c r="EG106">
        <v>16.176032183823587</v>
      </c>
      <c r="EH106" s="14" t="s">
        <v>1994</v>
      </c>
      <c r="EI106" s="15">
        <v>0</v>
      </c>
      <c r="EJ106" s="15">
        <v>0</v>
      </c>
      <c r="EK106" s="15">
        <v>45470</v>
      </c>
      <c r="EL106" s="15">
        <v>-1.94</v>
      </c>
      <c r="EM106" s="15">
        <v>-5.34</v>
      </c>
      <c r="EN106" s="15">
        <v>-4.5999999999999996</v>
      </c>
      <c r="EO106" s="15">
        <v>0.63</v>
      </c>
      <c r="EP106" s="15">
        <v>-3.98</v>
      </c>
    </row>
    <row r="107" spans="1:146" ht="96" x14ac:dyDescent="0.25">
      <c r="A107" s="7"/>
      <c r="B107" s="7"/>
      <c r="C107" s="7" t="str">
        <f>""&amp;CHAR(10)&amp;Basic_Fundamental_Information_Constructure(F107)&amp;CHAR(10)&amp;Basic_Fundamental_Information_Concatenate("")</f>
        <v xml:space="preserve">
市值18.677045亿, 利润-3507.16万; PE80.58; 平均PE53.76; 平均PEG24.42, PB1.56; ROIC5.99%; ROE.0433%; 股利率.2048%; 毛利59.6767%; 净利6.8367%; 上一年度营收增-87.6%, 利润增-314.46%; 当季营收增-61.53%, 利润增56.2%; 过往5年营收增2.2%, 利润增-76.74%
Income profile:
</v>
      </c>
      <c r="D107" t="s">
        <v>112</v>
      </c>
      <c r="E107" t="s">
        <v>660</v>
      </c>
      <c r="F107">
        <v>24.41</v>
      </c>
      <c r="G107">
        <v>1.08</v>
      </c>
      <c r="H107" t="s">
        <v>4060</v>
      </c>
      <c r="I107">
        <v>1867704500</v>
      </c>
      <c r="J107">
        <v>80.58</v>
      </c>
      <c r="K107">
        <v>1.56</v>
      </c>
      <c r="L107" t="s">
        <v>1303</v>
      </c>
      <c r="M107" t="s">
        <v>387</v>
      </c>
      <c r="N107" t="s">
        <v>2011</v>
      </c>
      <c r="O107" t="s">
        <v>4061</v>
      </c>
      <c r="P107">
        <v>8.99</v>
      </c>
      <c r="Q107" t="s">
        <v>4061</v>
      </c>
      <c r="R107">
        <v>-35071604</v>
      </c>
      <c r="S107" s="5">
        <v>0.2452</v>
      </c>
      <c r="T107" t="s">
        <v>4062</v>
      </c>
      <c r="U107">
        <v>76513908</v>
      </c>
      <c r="V107">
        <v>76513908</v>
      </c>
      <c r="W107">
        <v>1.35</v>
      </c>
      <c r="X107">
        <v>0.03</v>
      </c>
      <c r="Y107">
        <v>-65.64</v>
      </c>
      <c r="Z107" t="s">
        <v>4063</v>
      </c>
      <c r="AA107" t="s">
        <v>4064</v>
      </c>
      <c r="AB107" t="s">
        <v>4065</v>
      </c>
      <c r="AC107" t="s">
        <v>4066</v>
      </c>
      <c r="AD107" t="s">
        <v>63</v>
      </c>
      <c r="AE107">
        <v>1194233</v>
      </c>
      <c r="AF107" t="s">
        <v>4067</v>
      </c>
      <c r="AG107" t="s">
        <v>63</v>
      </c>
      <c r="AH107" t="s">
        <v>4068</v>
      </c>
      <c r="AI107" t="s">
        <v>277</v>
      </c>
      <c r="AJ107" t="s">
        <v>4069</v>
      </c>
      <c r="AK107" t="s">
        <v>4070</v>
      </c>
      <c r="AL107" t="s">
        <v>4071</v>
      </c>
      <c r="AM107" t="s">
        <v>63</v>
      </c>
      <c r="AN107" t="s">
        <v>373</v>
      </c>
      <c r="AO107" t="s">
        <v>566</v>
      </c>
      <c r="AP107" t="s">
        <v>63</v>
      </c>
      <c r="AQ107" t="s">
        <v>4072</v>
      </c>
      <c r="AR107" t="s">
        <v>63</v>
      </c>
      <c r="AS107" t="s">
        <v>695</v>
      </c>
      <c r="AT107" t="s">
        <v>4073</v>
      </c>
      <c r="AU107" t="s">
        <v>4074</v>
      </c>
      <c r="AV107" t="s">
        <v>4075</v>
      </c>
      <c r="AW107" t="s">
        <v>4076</v>
      </c>
      <c r="AX107" t="s">
        <v>312</v>
      </c>
      <c r="AY107" t="s">
        <v>343</v>
      </c>
      <c r="AZ107" t="s">
        <v>393</v>
      </c>
      <c r="BA107" t="s">
        <v>449</v>
      </c>
      <c r="BB107" t="s">
        <v>244</v>
      </c>
      <c r="BC107" t="s">
        <v>1600</v>
      </c>
      <c r="BD107" t="s">
        <v>1276</v>
      </c>
      <c r="BE107" t="s">
        <v>1006</v>
      </c>
      <c r="BF107" t="s">
        <v>661</v>
      </c>
      <c r="BG107" t="s">
        <v>1007</v>
      </c>
      <c r="BH107" t="s">
        <v>1768</v>
      </c>
      <c r="BI107" t="s">
        <v>408</v>
      </c>
      <c r="BJ107" t="s">
        <v>312</v>
      </c>
      <c r="BK107" t="s">
        <v>4077</v>
      </c>
      <c r="BL107" t="s">
        <v>1943</v>
      </c>
      <c r="BM107" t="s">
        <v>1600</v>
      </c>
      <c r="BN107" t="s">
        <v>63</v>
      </c>
      <c r="BO107" t="s">
        <v>63</v>
      </c>
      <c r="BP107">
        <v>5.99</v>
      </c>
      <c r="BQ107">
        <v>-5.96</v>
      </c>
      <c r="BR107">
        <v>-0.76</v>
      </c>
      <c r="BS107">
        <v>6.85</v>
      </c>
      <c r="BT107" t="s">
        <v>1447</v>
      </c>
      <c r="BU107" t="s">
        <v>2031</v>
      </c>
      <c r="BV107">
        <v>62.49</v>
      </c>
      <c r="BW107">
        <v>56.03</v>
      </c>
      <c r="BX107">
        <v>60.51</v>
      </c>
      <c r="BY107">
        <v>4.1500000000000004</v>
      </c>
      <c r="BZ107">
        <v>-1.75</v>
      </c>
      <c r="CA107">
        <v>18.11</v>
      </c>
      <c r="CB107">
        <v>-9.26</v>
      </c>
      <c r="CC107">
        <v>-21.46</v>
      </c>
      <c r="CD107" t="s">
        <v>4078</v>
      </c>
      <c r="CE107" t="s">
        <v>4079</v>
      </c>
      <c r="CF107" s="9">
        <v>-0.61534353741496595</v>
      </c>
      <c r="CG107" s="10">
        <v>0.56195812126473033</v>
      </c>
      <c r="CH107" s="9">
        <v>-0.875998854637146</v>
      </c>
      <c r="CI107" s="9">
        <v>0.16624040901660919</v>
      </c>
      <c r="CJ107" s="9">
        <v>0.48669201135635376</v>
      </c>
      <c r="CK107" s="9">
        <v>5.6224901229143143E-2</v>
      </c>
      <c r="CL107" s="9">
        <v>0.27692309021949768</v>
      </c>
      <c r="CM107" s="10">
        <v>-3.144599437713623</v>
      </c>
      <c r="CN107" s="10">
        <v>-1.1172124147415161</v>
      </c>
      <c r="CO107" s="10">
        <v>0.62330055236816406</v>
      </c>
      <c r="CP107" s="10">
        <v>-0.39715069532394409</v>
      </c>
      <c r="CQ107" s="10">
        <v>0.19857805967330933</v>
      </c>
      <c r="CR107">
        <v>53.758468850126484</v>
      </c>
      <c r="CS107">
        <v>24.41756377048986</v>
      </c>
      <c r="CT107">
        <v>0.20483408439164277</v>
      </c>
      <c r="CU107" s="9">
        <v>2.2016311436891554E-2</v>
      </c>
      <c r="CV107" s="10">
        <v>-0.76741678714752193</v>
      </c>
      <c r="CW107">
        <v>0.06</v>
      </c>
      <c r="CX107" t="e">
        <v>#VALUE!</v>
      </c>
      <c r="CY107" t="s">
        <v>1308</v>
      </c>
      <c r="CZ107">
        <v>2.2016311436891554E-2</v>
      </c>
      <c r="DA107" t="e">
        <v>#VALUE!</v>
      </c>
      <c r="DB107" t="s">
        <v>1309</v>
      </c>
      <c r="DC107">
        <v>2.0915495865046974E-2</v>
      </c>
      <c r="DD107" t="e">
        <v>#VALUE!</v>
      </c>
      <c r="DE107" t="s">
        <v>1309</v>
      </c>
      <c r="DF107">
        <v>1.9374354064464569E-2</v>
      </c>
      <c r="DG107" t="e">
        <v>#VALUE!</v>
      </c>
      <c r="DH107" t="s">
        <v>1309</v>
      </c>
      <c r="DI107">
        <v>1.7613049149513244E-2</v>
      </c>
      <c r="DJ107" t="e">
        <v>#VALUE!</v>
      </c>
      <c r="DK107" t="s">
        <v>1309</v>
      </c>
      <c r="DL107">
        <v>1.5411418005824087E-2</v>
      </c>
      <c r="DM107">
        <v>-35071600</v>
      </c>
      <c r="DN107">
        <v>2.2016311436891554E-2</v>
      </c>
      <c r="DO107">
        <v>1042704500</v>
      </c>
      <c r="DP107">
        <v>788649260</v>
      </c>
      <c r="DQ107">
        <v>4685</v>
      </c>
      <c r="DR107">
        <v>-0.63735984885185748</v>
      </c>
      <c r="DS107">
        <v>1.3293749084122521</v>
      </c>
      <c r="DT107" s="11">
        <v>-0.39000000000000007</v>
      </c>
      <c r="DU107">
        <v>-2.1150000000000002</v>
      </c>
      <c r="DV107">
        <v>-2.5050000000000003</v>
      </c>
      <c r="DW107">
        <v>-9.4315004659832251</v>
      </c>
      <c r="DX107">
        <v>0.38688751570102253</v>
      </c>
      <c r="DY107">
        <v>-9.0676970361319427</v>
      </c>
      <c r="DZ107">
        <v>200</v>
      </c>
      <c r="EA107">
        <v>-9.0650474456766812</v>
      </c>
      <c r="EB107">
        <v>9</v>
      </c>
      <c r="EC107">
        <v>2.8403986370687011E-2</v>
      </c>
      <c r="ED107">
        <v>0.18104682353958446</v>
      </c>
      <c r="EE107" s="12">
        <v>6.0487000000000002</v>
      </c>
      <c r="EF107">
        <v>6.0391000000000004</v>
      </c>
      <c r="EG107">
        <v>23.156887515701023</v>
      </c>
      <c r="EH107" t="s">
        <v>1549</v>
      </c>
      <c r="EI107">
        <v>0</v>
      </c>
      <c r="EJ107">
        <v>1</v>
      </c>
      <c r="EK107" s="14">
        <v>45470</v>
      </c>
      <c r="EL107" s="15">
        <v>1.17</v>
      </c>
      <c r="EM107" s="15">
        <v>-2.06</v>
      </c>
      <c r="EN107" s="15">
        <v>0.18</v>
      </c>
      <c r="EO107" s="15">
        <v>-2.09</v>
      </c>
      <c r="EP107" s="15">
        <v>-0.96</v>
      </c>
    </row>
    <row r="108" spans="1:146" ht="108" x14ac:dyDescent="0.25">
      <c r="A108" s="7"/>
      <c r="B108" s="7"/>
      <c r="C108" s="7" t="str">
        <f>""&amp;CHAR(10)&amp;Basic_Fundamental_Information_Constructure(F108)&amp;CHAR(10)&amp;Basic_Fundamental_Information_Concatenate("")</f>
        <v xml:space="preserve">
市值12.0298602亿, 利润387.50万; PE64.87; 平均PE28.62; 平均PEG8.83, PB1.43; ROIC9.14%; ROE9.3667%; 股利率.5989%; 毛利43.38%; 净利24.6267%; 上一年度营收增-84.83%, 利润增-89.95%; 当季营收增-58.69%, 利润增-52.14%; 过往5年营收增-3.24%, 利润增.28%
Income profile:
</v>
      </c>
      <c r="D108" t="s">
        <v>1277</v>
      </c>
      <c r="E108" t="s">
        <v>1278</v>
      </c>
      <c r="F108">
        <v>14.36</v>
      </c>
      <c r="G108">
        <v>4.3600000000000003</v>
      </c>
      <c r="H108" t="s">
        <v>4080</v>
      </c>
      <c r="I108">
        <v>1202986020</v>
      </c>
      <c r="J108">
        <v>64.87</v>
      </c>
      <c r="K108">
        <v>1.43</v>
      </c>
      <c r="L108" t="s">
        <v>1303</v>
      </c>
      <c r="M108" t="s">
        <v>4081</v>
      </c>
      <c r="N108" t="s">
        <v>750</v>
      </c>
      <c r="O108" t="s">
        <v>4082</v>
      </c>
      <c r="P108">
        <v>2.72</v>
      </c>
      <c r="Q108" t="s">
        <v>4082</v>
      </c>
      <c r="R108">
        <v>3874982</v>
      </c>
      <c r="S108" s="5">
        <v>0.16189999999999999</v>
      </c>
      <c r="T108" t="s">
        <v>4083</v>
      </c>
      <c r="U108">
        <v>51348489</v>
      </c>
      <c r="V108">
        <v>83773400</v>
      </c>
      <c r="W108">
        <v>1.03</v>
      </c>
      <c r="X108">
        <v>0.02</v>
      </c>
      <c r="Y108">
        <v>18.38</v>
      </c>
      <c r="Z108" t="s">
        <v>4084</v>
      </c>
      <c r="AA108" t="s">
        <v>4085</v>
      </c>
      <c r="AB108" t="s">
        <v>4086</v>
      </c>
      <c r="AC108" t="s">
        <v>4087</v>
      </c>
      <c r="AD108" t="s">
        <v>63</v>
      </c>
      <c r="AE108">
        <v>-1283627</v>
      </c>
      <c r="AF108" t="s">
        <v>4088</v>
      </c>
      <c r="AG108">
        <v>1265</v>
      </c>
      <c r="AH108" t="s">
        <v>4089</v>
      </c>
      <c r="AI108" t="s">
        <v>281</v>
      </c>
      <c r="AJ108" t="s">
        <v>4090</v>
      </c>
      <c r="AK108" t="s">
        <v>4091</v>
      </c>
      <c r="AL108" t="s">
        <v>4092</v>
      </c>
      <c r="AM108" t="s">
        <v>63</v>
      </c>
      <c r="AN108" t="s">
        <v>4093</v>
      </c>
      <c r="AO108" t="s">
        <v>63</v>
      </c>
      <c r="AP108" t="s">
        <v>63</v>
      </c>
      <c r="AQ108" t="s">
        <v>4094</v>
      </c>
      <c r="AR108" t="s">
        <v>63</v>
      </c>
      <c r="AS108" t="s">
        <v>4095</v>
      </c>
      <c r="AT108" t="s">
        <v>63</v>
      </c>
      <c r="AU108" t="s">
        <v>4096</v>
      </c>
      <c r="AV108" t="s">
        <v>4097</v>
      </c>
      <c r="AW108" t="s">
        <v>63</v>
      </c>
      <c r="AX108" t="s">
        <v>220</v>
      </c>
      <c r="AY108" t="s">
        <v>346</v>
      </c>
      <c r="AZ108" t="s">
        <v>455</v>
      </c>
      <c r="BA108" t="s">
        <v>183</v>
      </c>
      <c r="BB108" t="s">
        <v>1280</v>
      </c>
      <c r="BC108" t="s">
        <v>1601</v>
      </c>
      <c r="BD108" t="s">
        <v>1279</v>
      </c>
      <c r="BE108" t="s">
        <v>1281</v>
      </c>
      <c r="BF108" t="s">
        <v>1282</v>
      </c>
      <c r="BG108" t="s">
        <v>1283</v>
      </c>
      <c r="BH108" t="s">
        <v>429</v>
      </c>
      <c r="BI108" t="s">
        <v>1944</v>
      </c>
      <c r="BJ108" t="s">
        <v>220</v>
      </c>
      <c r="BK108" t="s">
        <v>4098</v>
      </c>
      <c r="BL108" t="s">
        <v>1945</v>
      </c>
      <c r="BM108" t="s">
        <v>1601</v>
      </c>
      <c r="BN108">
        <v>1.35</v>
      </c>
      <c r="BO108">
        <v>5.79</v>
      </c>
      <c r="BP108">
        <v>20.28</v>
      </c>
      <c r="BQ108">
        <v>1.79</v>
      </c>
      <c r="BR108">
        <v>4.9800000000000004</v>
      </c>
      <c r="BS108">
        <v>21.33</v>
      </c>
      <c r="BT108" t="s">
        <v>4099</v>
      </c>
      <c r="BU108" t="s">
        <v>2031</v>
      </c>
      <c r="BV108">
        <v>35.57</v>
      </c>
      <c r="BW108">
        <v>40.520000000000003</v>
      </c>
      <c r="BX108">
        <v>54.05</v>
      </c>
      <c r="BY108">
        <v>14.99</v>
      </c>
      <c r="BZ108">
        <v>27.66</v>
      </c>
      <c r="CA108">
        <v>31.23</v>
      </c>
      <c r="CB108">
        <v>-4.7699999999999996</v>
      </c>
      <c r="CC108">
        <v>-12.3</v>
      </c>
      <c r="CD108" t="s">
        <v>4100</v>
      </c>
      <c r="CE108" t="s">
        <v>4101</v>
      </c>
      <c r="CF108" s="9">
        <v>-0.58692116884999856</v>
      </c>
      <c r="CG108" s="10">
        <v>-0.52136488840030137</v>
      </c>
      <c r="CH108" s="9">
        <v>-0.84832519292831421</v>
      </c>
      <c r="CI108" s="9">
        <v>-0.21910113096237183</v>
      </c>
      <c r="CJ108" s="9">
        <v>0.30882352590560913</v>
      </c>
      <c r="CK108" s="9">
        <v>0.1147540956735611</v>
      </c>
      <c r="CL108" s="9">
        <v>0.48184856772422791</v>
      </c>
      <c r="CM108" s="10">
        <v>-0.89954972267150879</v>
      </c>
      <c r="CN108" s="10">
        <v>-0.30432987213134766</v>
      </c>
      <c r="CO108" s="10">
        <v>-0.12902936339378357</v>
      </c>
      <c r="CP108" s="10">
        <v>2.1091434173285961E-3</v>
      </c>
      <c r="CQ108" s="10">
        <v>1.3446383476257324</v>
      </c>
      <c r="CR108">
        <v>28.619787454569824</v>
      </c>
      <c r="CS108">
        <v>8.8332603943452561</v>
      </c>
      <c r="CT108">
        <v>0.59888579387186636</v>
      </c>
      <c r="CU108" s="9">
        <v>-3.2400026917457581E-2</v>
      </c>
      <c r="CV108" s="10">
        <v>2.7677065692842005E-3</v>
      </c>
      <c r="CW108">
        <v>0.06</v>
      </c>
      <c r="CX108">
        <v>101.61453419354839</v>
      </c>
      <c r="CY108" t="s">
        <v>4102</v>
      </c>
      <c r="CZ108">
        <v>-3.2400026917457581E-2</v>
      </c>
      <c r="DA108">
        <v>33.87151139784946</v>
      </c>
      <c r="DB108" t="s">
        <v>4103</v>
      </c>
      <c r="DC108">
        <v>-3.0780025571584699E-2</v>
      </c>
      <c r="DD108">
        <v>16.93575569892473</v>
      </c>
      <c r="DE108" t="s">
        <v>4104</v>
      </c>
      <c r="DF108">
        <v>-2.8512023687362671E-2</v>
      </c>
      <c r="DG108">
        <v>10.161453419354839</v>
      </c>
      <c r="DH108" t="s">
        <v>4105</v>
      </c>
      <c r="DI108">
        <v>-2.5920021533966067E-2</v>
      </c>
      <c r="DJ108">
        <v>5.0807267096774194</v>
      </c>
      <c r="DK108" t="s">
        <v>4106</v>
      </c>
      <c r="DL108">
        <v>-2.2680018842220304E-2</v>
      </c>
      <c r="DM108">
        <v>3875000</v>
      </c>
      <c r="DN108">
        <v>-3.2400026917457581E-2</v>
      </c>
      <c r="DO108">
        <v>393756320</v>
      </c>
      <c r="DP108">
        <v>708642570</v>
      </c>
      <c r="DQ108">
        <v>4688</v>
      </c>
      <c r="DR108">
        <v>-0.55452114193254098</v>
      </c>
      <c r="DS108">
        <v>-0.52413259496958553</v>
      </c>
      <c r="DT108" s="11">
        <v>-0.69</v>
      </c>
      <c r="DU108">
        <v>-0.5033333333333333</v>
      </c>
      <c r="DV108">
        <v>-1.1933333333333334</v>
      </c>
      <c r="DW108">
        <v>-8.3878048780487813</v>
      </c>
      <c r="DX108">
        <v>0.40448192413680006</v>
      </c>
      <c r="DY108">
        <v>-8.0521527461896376</v>
      </c>
      <c r="DZ108">
        <v>2142</v>
      </c>
      <c r="EA108">
        <v>-8.0302914580608302</v>
      </c>
      <c r="EB108">
        <v>8</v>
      </c>
      <c r="EC108">
        <v>6.1691419949530507E-2</v>
      </c>
      <c r="ED108">
        <v>0.45873391792621526</v>
      </c>
      <c r="EE108" s="12">
        <v>-1.0576099999999999</v>
      </c>
      <c r="EF108">
        <v>-1.06751</v>
      </c>
      <c r="EG108">
        <v>27.1344819241368</v>
      </c>
      <c r="EH108" t="s">
        <v>1311</v>
      </c>
      <c r="EI108">
        <v>0</v>
      </c>
      <c r="EJ108">
        <v>0</v>
      </c>
      <c r="EK108" s="14">
        <v>45470</v>
      </c>
      <c r="EL108" s="15">
        <v>-0.06</v>
      </c>
      <c r="EM108" s="15">
        <v>-2.99</v>
      </c>
      <c r="EN108" s="15">
        <v>-4.71</v>
      </c>
      <c r="EO108" s="15">
        <v>2.2799999999999998</v>
      </c>
      <c r="EP108" s="15">
        <v>-0.99</v>
      </c>
    </row>
    <row r="109" spans="1:146" ht="96" x14ac:dyDescent="0.25">
      <c r="A109" s="7"/>
      <c r="B109" s="7"/>
      <c r="C109" s="7" t="str">
        <f>""&amp;CHAR(10)&amp;Basic_Fundamental_Information_Constructure(F109)&amp;CHAR(10)&amp;Basic_Fundamental_Information_Concatenate("")</f>
        <v xml:space="preserve">
市值23.887057亿, 利润-2976.63万; PE170.3; 平均PE25.43; 平均PEG11.25, PB1.79; ROIC17.145%; ROE10.9233%; 股利率.27%; 毛利70.9367%; 净利18.5467%; 上一年度营收增-89.27%, 利润增-118.15%; 当季营收增-60.33%, 利润增-7.11%; 过往5年营收增2.26%, 利润增-6.72%
Income profile:
</v>
      </c>
      <c r="D109" t="s">
        <v>1008</v>
      </c>
      <c r="E109" t="s">
        <v>1009</v>
      </c>
      <c r="F109">
        <v>11.11</v>
      </c>
      <c r="G109">
        <v>1.93</v>
      </c>
      <c r="H109" t="s">
        <v>4107</v>
      </c>
      <c r="I109">
        <v>2388705700</v>
      </c>
      <c r="J109">
        <v>170.3</v>
      </c>
      <c r="K109">
        <v>1.79</v>
      </c>
      <c r="L109" t="s">
        <v>1303</v>
      </c>
      <c r="M109" t="s">
        <v>809</v>
      </c>
      <c r="N109" t="s">
        <v>1914</v>
      </c>
      <c r="O109" t="s">
        <v>4108</v>
      </c>
      <c r="P109">
        <v>36.67</v>
      </c>
      <c r="Q109" t="s">
        <v>4108</v>
      </c>
      <c r="R109">
        <v>-29766281</v>
      </c>
      <c r="S109" s="5">
        <v>8.6099999999999996E-2</v>
      </c>
      <c r="T109" t="s">
        <v>4109</v>
      </c>
      <c r="U109">
        <v>205124560</v>
      </c>
      <c r="V109">
        <v>215005010</v>
      </c>
      <c r="W109">
        <v>1.1200000000000001</v>
      </c>
      <c r="X109">
        <v>0.05</v>
      </c>
      <c r="Y109">
        <v>-39.130000000000003</v>
      </c>
      <c r="Z109" t="s">
        <v>246</v>
      </c>
      <c r="AA109" t="s">
        <v>4110</v>
      </c>
      <c r="AB109" t="s">
        <v>4111</v>
      </c>
      <c r="AC109" t="s">
        <v>4112</v>
      </c>
      <c r="AD109" t="s">
        <v>63</v>
      </c>
      <c r="AE109">
        <v>-119441</v>
      </c>
      <c r="AF109" t="s">
        <v>4113</v>
      </c>
      <c r="AG109">
        <v>6000.54</v>
      </c>
      <c r="AH109" t="s">
        <v>4114</v>
      </c>
      <c r="AI109" t="s">
        <v>260</v>
      </c>
      <c r="AJ109" t="s">
        <v>4115</v>
      </c>
      <c r="AK109" t="s">
        <v>4116</v>
      </c>
      <c r="AL109" t="s">
        <v>4117</v>
      </c>
      <c r="AM109" t="s">
        <v>63</v>
      </c>
      <c r="AN109">
        <v>0</v>
      </c>
      <c r="AO109" t="s">
        <v>63</v>
      </c>
      <c r="AP109" t="s">
        <v>63</v>
      </c>
      <c r="AQ109" t="s">
        <v>4118</v>
      </c>
      <c r="AR109" t="s">
        <v>63</v>
      </c>
      <c r="AS109" t="s">
        <v>184</v>
      </c>
      <c r="AT109" t="s">
        <v>63</v>
      </c>
      <c r="AU109" t="s">
        <v>4119</v>
      </c>
      <c r="AV109" t="s">
        <v>4120</v>
      </c>
      <c r="AW109" t="s">
        <v>4121</v>
      </c>
      <c r="AX109" t="s">
        <v>1580</v>
      </c>
      <c r="AY109" t="s">
        <v>431</v>
      </c>
      <c r="AZ109" t="s">
        <v>680</v>
      </c>
      <c r="BA109" t="s">
        <v>232</v>
      </c>
      <c r="BB109" t="s">
        <v>644</v>
      </c>
      <c r="BC109" t="s">
        <v>298</v>
      </c>
      <c r="BD109" t="s">
        <v>286</v>
      </c>
      <c r="BE109" t="s">
        <v>229</v>
      </c>
      <c r="BF109" t="s">
        <v>1010</v>
      </c>
      <c r="BG109" t="s">
        <v>1034</v>
      </c>
      <c r="BH109" t="s">
        <v>885</v>
      </c>
      <c r="BI109" t="s">
        <v>346</v>
      </c>
      <c r="BJ109" t="s">
        <v>1580</v>
      </c>
      <c r="BK109" t="s">
        <v>4122</v>
      </c>
      <c r="BL109" t="s">
        <v>1946</v>
      </c>
      <c r="BM109" t="s">
        <v>298</v>
      </c>
      <c r="BN109" t="s">
        <v>63</v>
      </c>
      <c r="BO109">
        <v>14.82</v>
      </c>
      <c r="BP109">
        <v>19.47</v>
      </c>
      <c r="BQ109">
        <v>-1.0900000000000001</v>
      </c>
      <c r="BR109">
        <v>15.88</v>
      </c>
      <c r="BS109">
        <v>17.98</v>
      </c>
      <c r="BT109" t="s">
        <v>4123</v>
      </c>
      <c r="BU109" t="s">
        <v>2031</v>
      </c>
      <c r="BV109">
        <v>69.180000000000007</v>
      </c>
      <c r="BW109">
        <v>71.510000000000005</v>
      </c>
      <c r="BX109">
        <v>72.12</v>
      </c>
      <c r="BY109">
        <v>2.99</v>
      </c>
      <c r="BZ109">
        <v>24.85</v>
      </c>
      <c r="CA109">
        <v>27.8</v>
      </c>
      <c r="CB109">
        <v>-5.93</v>
      </c>
      <c r="CC109">
        <v>-22.31</v>
      </c>
      <c r="CD109" t="s">
        <v>4124</v>
      </c>
      <c r="CE109" t="s">
        <v>463</v>
      </c>
      <c r="CF109" s="9">
        <v>-0.60330674157303366</v>
      </c>
      <c r="CG109" s="10">
        <v>-7.108784593407147E-2</v>
      </c>
      <c r="CH109" s="9">
        <v>-0.89268785715103149</v>
      </c>
      <c r="CI109" s="9">
        <v>0.25333333015441895</v>
      </c>
      <c r="CJ109" s="9">
        <v>0.26201921701431274</v>
      </c>
      <c r="CK109" s="9">
        <v>0.30817610025405884</v>
      </c>
      <c r="CL109" s="9">
        <v>0.18215613067150116</v>
      </c>
      <c r="CM109" s="10">
        <v>-1.1815018653869629</v>
      </c>
      <c r="CN109" s="10">
        <v>6.4935065805912018E-2</v>
      </c>
      <c r="CO109" s="10">
        <v>0.4392523467540741</v>
      </c>
      <c r="CP109" s="10">
        <v>0.18430955708026886</v>
      </c>
      <c r="CQ109" s="10">
        <v>0.15688976645469666</v>
      </c>
      <c r="CR109">
        <v>25.426310763268273</v>
      </c>
      <c r="CS109">
        <v>11.25088655116352</v>
      </c>
      <c r="CT109">
        <v>0.27002700270027002</v>
      </c>
      <c r="CU109" s="9">
        <v>2.2599384188652039E-2</v>
      </c>
      <c r="CV109" s="10">
        <v>-6.7223025858402258E-2</v>
      </c>
      <c r="CW109">
        <v>0.06</v>
      </c>
      <c r="CX109" t="e">
        <v>#VALUE!</v>
      </c>
      <c r="CY109" t="s">
        <v>1308</v>
      </c>
      <c r="CZ109">
        <v>2.2599384188652039E-2</v>
      </c>
      <c r="DA109" t="e">
        <v>#VALUE!</v>
      </c>
      <c r="DB109" t="s">
        <v>1309</v>
      </c>
      <c r="DC109">
        <v>2.1469414979219437E-2</v>
      </c>
      <c r="DD109" t="e">
        <v>#VALUE!</v>
      </c>
      <c r="DE109" t="s">
        <v>1309</v>
      </c>
      <c r="DF109">
        <v>1.9887458086013794E-2</v>
      </c>
      <c r="DG109" t="e">
        <v>#VALUE!</v>
      </c>
      <c r="DH109" t="s">
        <v>1309</v>
      </c>
      <c r="DI109">
        <v>1.807950735092163E-2</v>
      </c>
      <c r="DJ109" t="e">
        <v>#VALUE!</v>
      </c>
      <c r="DK109" t="s">
        <v>1309</v>
      </c>
      <c r="DL109">
        <v>1.5819568932056428E-2</v>
      </c>
      <c r="DM109">
        <v>-29766300</v>
      </c>
      <c r="DN109">
        <v>2.2599384188652039E-2</v>
      </c>
      <c r="DO109">
        <v>1222705700</v>
      </c>
      <c r="DP109">
        <v>528783090</v>
      </c>
      <c r="DQ109">
        <v>4716</v>
      </c>
      <c r="DR109">
        <v>-0.62590612576168569</v>
      </c>
      <c r="DS109">
        <v>-3.8648200756692119E-3</v>
      </c>
      <c r="DT109" s="11">
        <v>-0.27333333333333343</v>
      </c>
      <c r="DU109">
        <v>-0.85833333333333339</v>
      </c>
      <c r="DV109">
        <v>-1.1316666666666668</v>
      </c>
      <c r="DW109">
        <v>-8.2658000896458983</v>
      </c>
      <c r="DX109">
        <v>0.3525598684210543</v>
      </c>
      <c r="DY109">
        <v>-8.0405504267026817</v>
      </c>
      <c r="DZ109">
        <v>3535</v>
      </c>
      <c r="EA109">
        <v>-8.0124984191891819</v>
      </c>
      <c r="EB109">
        <v>8</v>
      </c>
      <c r="EC109">
        <v>0.10785376582620099</v>
      </c>
      <c r="ED109">
        <v>0.7069602703676533</v>
      </c>
      <c r="EE109" s="12">
        <v>-4.0265000000000004</v>
      </c>
      <c r="EF109">
        <v>-4.0061099999999996</v>
      </c>
      <c r="EG109">
        <v>20.152559868421054</v>
      </c>
      <c r="EH109" t="s">
        <v>1994</v>
      </c>
      <c r="EI109">
        <v>0</v>
      </c>
      <c r="EJ109">
        <v>0</v>
      </c>
      <c r="EK109" s="14">
        <v>45470</v>
      </c>
      <c r="EL109" s="15">
        <v>1.1599999999999999</v>
      </c>
      <c r="EM109" s="15">
        <v>-6.48</v>
      </c>
      <c r="EN109" s="15">
        <v>-1.52</v>
      </c>
      <c r="EO109" s="15">
        <v>3.65</v>
      </c>
      <c r="EP109" s="15">
        <v>-3.26</v>
      </c>
    </row>
    <row r="110" spans="1:146" ht="96" x14ac:dyDescent="0.25">
      <c r="C110" s="7" t="str">
        <f>""&amp;CHAR(10)&amp;Basic_Fundamental_Information_Constructure(F110)&amp;CHAR(10)&amp;Basic_Fundamental_Information_Concatenate("")</f>
        <v xml:space="preserve">
市值61.209807亿, 利润-3647.17万; PE; 平均PE-44.85; 平均PEG-1.49, PB3.04; ROIC.545%; ROE1.2267%; 股利率0%; 毛利86.9467%; 净利4.0333%; 上一年度营收增-70.68%, 利润增-181.25%; 当季营收增-46.18%, 利润增-5722.28%; 过往5年营收增30%, 利润增-2203.84%
Income profile:
</v>
      </c>
      <c r="D110" t="s">
        <v>1430</v>
      </c>
      <c r="E110" t="s">
        <v>1431</v>
      </c>
      <c r="F110">
        <v>14.11</v>
      </c>
      <c r="G110">
        <v>2.02</v>
      </c>
      <c r="H110" t="s">
        <v>4125</v>
      </c>
      <c r="I110">
        <v>6120980700</v>
      </c>
      <c r="K110">
        <v>3.04</v>
      </c>
      <c r="L110" t="s">
        <v>1303</v>
      </c>
      <c r="M110" t="s">
        <v>1166</v>
      </c>
      <c r="N110" t="s">
        <v>4126</v>
      </c>
      <c r="O110" t="s">
        <v>4127</v>
      </c>
      <c r="P110" s="5">
        <v>27.97</v>
      </c>
      <c r="Q110" t="s">
        <v>4127</v>
      </c>
      <c r="R110">
        <v>-36471709</v>
      </c>
      <c r="S110">
        <v>-72.86</v>
      </c>
      <c r="T110" t="s">
        <v>4128</v>
      </c>
      <c r="U110">
        <v>177059700</v>
      </c>
      <c r="V110">
        <v>433804450</v>
      </c>
      <c r="W110">
        <v>1.17</v>
      </c>
      <c r="X110">
        <v>0.03</v>
      </c>
      <c r="Y110">
        <v>-44.79</v>
      </c>
      <c r="Z110" t="s">
        <v>4129</v>
      </c>
      <c r="AA110" t="s">
        <v>4130</v>
      </c>
      <c r="AB110" t="s">
        <v>4131</v>
      </c>
      <c r="AC110" t="s">
        <v>4132</v>
      </c>
      <c r="AD110" t="s">
        <v>63</v>
      </c>
      <c r="AE110">
        <v>-8230983</v>
      </c>
      <c r="AF110" t="s">
        <v>4133</v>
      </c>
      <c r="AG110">
        <v>1320.37</v>
      </c>
      <c r="AH110" t="s">
        <v>4134</v>
      </c>
      <c r="AI110" t="s">
        <v>808</v>
      </c>
      <c r="AJ110" t="s">
        <v>4135</v>
      </c>
      <c r="AK110" t="s">
        <v>4136</v>
      </c>
      <c r="AL110" t="s">
        <v>4137</v>
      </c>
      <c r="AM110" t="s">
        <v>63</v>
      </c>
      <c r="AN110" t="s">
        <v>4138</v>
      </c>
      <c r="AO110" t="s">
        <v>63</v>
      </c>
      <c r="AP110" t="s">
        <v>63</v>
      </c>
      <c r="AQ110" t="s">
        <v>4139</v>
      </c>
      <c r="AR110" t="s">
        <v>63</v>
      </c>
      <c r="AS110" t="s">
        <v>531</v>
      </c>
      <c r="AT110" t="s">
        <v>63</v>
      </c>
      <c r="AU110" t="s">
        <v>4140</v>
      </c>
      <c r="AV110" t="s">
        <v>4141</v>
      </c>
      <c r="AW110" t="s">
        <v>4142</v>
      </c>
      <c r="AX110" t="s">
        <v>481</v>
      </c>
      <c r="AY110" t="s">
        <v>479</v>
      </c>
      <c r="AZ110" t="s">
        <v>325</v>
      </c>
      <c r="BA110" t="s">
        <v>1433</v>
      </c>
      <c r="BB110" t="s">
        <v>1434</v>
      </c>
      <c r="BC110" t="s">
        <v>1602</v>
      </c>
      <c r="BD110" t="s">
        <v>1432</v>
      </c>
      <c r="BE110" t="s">
        <v>1435</v>
      </c>
      <c r="BF110" t="s">
        <v>1436</v>
      </c>
      <c r="BG110" t="s">
        <v>1437</v>
      </c>
      <c r="BH110" t="s">
        <v>1732</v>
      </c>
      <c r="BI110" t="s">
        <v>463</v>
      </c>
      <c r="BJ110" t="s">
        <v>481</v>
      </c>
      <c r="BK110" t="s">
        <v>4143</v>
      </c>
      <c r="BL110" t="s">
        <v>1947</v>
      </c>
      <c r="BM110" t="s">
        <v>1602</v>
      </c>
      <c r="BN110" t="s">
        <v>63</v>
      </c>
      <c r="BO110">
        <v>0.12</v>
      </c>
      <c r="BP110">
        <v>0.97</v>
      </c>
      <c r="BQ110">
        <v>-1.34</v>
      </c>
      <c r="BR110">
        <v>2.11</v>
      </c>
      <c r="BS110">
        <v>2.91</v>
      </c>
      <c r="BT110" t="s">
        <v>1445</v>
      </c>
      <c r="BU110" t="s">
        <v>2052</v>
      </c>
      <c r="BV110">
        <v>82.51</v>
      </c>
      <c r="BW110">
        <v>86.37</v>
      </c>
      <c r="BX110">
        <v>91.96</v>
      </c>
      <c r="BY110">
        <v>-17.86</v>
      </c>
      <c r="BZ110">
        <v>15.6</v>
      </c>
      <c r="CA110">
        <v>14.36</v>
      </c>
      <c r="CB110">
        <v>-4.9800000000000004</v>
      </c>
      <c r="CC110" s="9">
        <v>1.8</v>
      </c>
      <c r="CD110" s="10" t="s">
        <v>4144</v>
      </c>
      <c r="CE110" s="9" t="s">
        <v>201</v>
      </c>
      <c r="CF110" s="9">
        <v>-0.4617592105263158</v>
      </c>
      <c r="CG110" s="9">
        <v>-57.22276707260675</v>
      </c>
      <c r="CH110" s="9">
        <v>-0.706764817237854</v>
      </c>
      <c r="CI110" s="9">
        <v>0.43814432621002197</v>
      </c>
      <c r="CJ110" s="10">
        <v>0.41605839133262634</v>
      </c>
      <c r="CK110" s="10">
        <v>1.0920310020446777</v>
      </c>
      <c r="CL110" s="10">
        <v>0.26060375571250916</v>
      </c>
      <c r="CM110" s="10">
        <v>-1.8125388622283936</v>
      </c>
      <c r="CN110" s="10">
        <v>0.56919169425964355</v>
      </c>
      <c r="CO110">
        <v>-1.4073050580918789E-2</v>
      </c>
      <c r="CP110">
        <v>1.0330820083618164</v>
      </c>
      <c r="CQ110">
        <v>-109.96771240234375</v>
      </c>
      <c r="CR110" s="9">
        <v>-44.849397212968633</v>
      </c>
      <c r="CS110" s="10">
        <v>-1.4949074957113015</v>
      </c>
      <c r="CT110">
        <v>0</v>
      </c>
      <c r="CU110">
        <v>0.30001453161239622</v>
      </c>
      <c r="CV110">
        <v>-22.03841012250632</v>
      </c>
      <c r="CW110">
        <v>0.06</v>
      </c>
      <c r="CX110" t="e">
        <v>#VALUE!</v>
      </c>
      <c r="CY110" t="s">
        <v>1308</v>
      </c>
      <c r="CZ110">
        <v>0.30001453161239622</v>
      </c>
      <c r="DA110" t="e">
        <v>#VALUE!</v>
      </c>
      <c r="DB110" t="s">
        <v>1309</v>
      </c>
      <c r="DC110">
        <v>0.28501380503177637</v>
      </c>
      <c r="DD110" t="e">
        <v>#VALUE!</v>
      </c>
      <c r="DE110" t="s">
        <v>1309</v>
      </c>
      <c r="DF110">
        <v>0.26401278781890869</v>
      </c>
      <c r="DG110" t="e">
        <v>#VALUE!</v>
      </c>
      <c r="DH110" t="s">
        <v>1309</v>
      </c>
      <c r="DI110">
        <v>0.24001162528991699</v>
      </c>
      <c r="DJ110" t="e">
        <v>#VALUE!</v>
      </c>
      <c r="DK110" t="s">
        <v>1309</v>
      </c>
      <c r="DL110">
        <v>0.21001017212867734</v>
      </c>
      <c r="DM110">
        <v>-36471700</v>
      </c>
      <c r="DN110">
        <v>0.30001453161239622</v>
      </c>
      <c r="DO110">
        <v>4494980700</v>
      </c>
      <c r="DP110">
        <v>1331025000</v>
      </c>
      <c r="DQ110" s="11">
        <v>4720</v>
      </c>
      <c r="DR110">
        <v>-0.76177374213871207</v>
      </c>
      <c r="DS110">
        <v>-35.18435695010043</v>
      </c>
      <c r="DT110">
        <v>-0.15666666666666673</v>
      </c>
      <c r="DU110">
        <v>-1.8816666666666668</v>
      </c>
      <c r="DV110">
        <v>-2.0383333333333336</v>
      </c>
      <c r="DW110">
        <v>-4.3614457831325302</v>
      </c>
      <c r="DX110">
        <v>0.27876359447004584</v>
      </c>
      <c r="DY110">
        <v>-4.0465410582421857</v>
      </c>
      <c r="DZ110">
        <v>4592</v>
      </c>
      <c r="EA110">
        <v>-4.0047178606985225</v>
      </c>
      <c r="EB110" s="12">
        <v>4</v>
      </c>
      <c r="EC110">
        <v>6.4410819206672493E-2</v>
      </c>
      <c r="ED110">
        <v>0.50022538957357399</v>
      </c>
      <c r="EE110">
        <v>1.00301</v>
      </c>
      <c r="EF110">
        <v>1.0440100000000001</v>
      </c>
      <c r="EG110">
        <v>15.128763594470046</v>
      </c>
      <c r="EH110" s="14" t="s">
        <v>1313</v>
      </c>
      <c r="EI110" s="15">
        <v>0</v>
      </c>
      <c r="EJ110" s="15">
        <v>0</v>
      </c>
      <c r="EK110" s="15">
        <v>45470</v>
      </c>
      <c r="EL110" s="15">
        <v>-3.86</v>
      </c>
      <c r="EM110" s="15">
        <v>-6.72</v>
      </c>
      <c r="EN110" s="15">
        <v>-1.93</v>
      </c>
      <c r="EO110" s="15">
        <v>9.32</v>
      </c>
      <c r="EP110" s="15">
        <v>-4.0999999999999996</v>
      </c>
    </row>
    <row r="111" spans="1:146" ht="108" x14ac:dyDescent="0.25">
      <c r="A111" s="7"/>
      <c r="B111" s="7"/>
      <c r="C111" s="7" t="str">
        <f>""&amp;CHAR(10)&amp;Basic_Fundamental_Information_Constructure(F111)&amp;CHAR(10)&amp;Basic_Fundamental_Information_Concatenate("")</f>
        <v xml:space="preserve">
市值44.441111亿, 利润-1.46亿; PE; 平均PE46.74; 平均PEG31.04, PB2.23; ROIC9.03%; ROE2.8667%; 股利率0%; 毛利51.32%; 净利-.53%; 上一年度营收增-83.27%, 利润增-248.25%; 当季营收增-48.85%, 利润增14.67%; 过往5年营收增-1.51%, 利润增-45.97%
Income profile:
</v>
      </c>
      <c r="D111" t="s">
        <v>1284</v>
      </c>
      <c r="E111" t="s">
        <v>1285</v>
      </c>
      <c r="F111">
        <v>11.11</v>
      </c>
      <c r="G111">
        <v>1.93</v>
      </c>
      <c r="H111" t="s">
        <v>4145</v>
      </c>
      <c r="I111">
        <v>4444111100</v>
      </c>
      <c r="K111">
        <v>2.23</v>
      </c>
      <c r="L111" t="s">
        <v>1303</v>
      </c>
      <c r="M111" t="s">
        <v>1781</v>
      </c>
      <c r="N111" t="s">
        <v>4146</v>
      </c>
      <c r="O111" t="s">
        <v>688</v>
      </c>
      <c r="P111">
        <v>22.05</v>
      </c>
      <c r="Q111" t="s">
        <v>688</v>
      </c>
      <c r="R111">
        <v>-145908760</v>
      </c>
      <c r="S111" s="6">
        <v>-0.53749999999999998</v>
      </c>
      <c r="T111" t="s">
        <v>1391</v>
      </c>
      <c r="U111">
        <v>191043250</v>
      </c>
      <c r="V111">
        <v>400010000</v>
      </c>
      <c r="W111">
        <v>1.66</v>
      </c>
      <c r="X111">
        <v>0.09</v>
      </c>
      <c r="Y111">
        <v>-51.14</v>
      </c>
      <c r="Z111" t="s">
        <v>895</v>
      </c>
      <c r="AA111" t="s">
        <v>304</v>
      </c>
      <c r="AB111" t="s">
        <v>270</v>
      </c>
      <c r="AC111" t="s">
        <v>4147</v>
      </c>
      <c r="AD111" t="s">
        <v>63</v>
      </c>
      <c r="AE111">
        <v>215039</v>
      </c>
      <c r="AF111" t="s">
        <v>4148</v>
      </c>
      <c r="AG111" t="s">
        <v>4149</v>
      </c>
      <c r="AH111" t="s">
        <v>4150</v>
      </c>
      <c r="AI111" t="s">
        <v>1086</v>
      </c>
      <c r="AJ111" t="s">
        <v>4151</v>
      </c>
      <c r="AK111" t="s">
        <v>4152</v>
      </c>
      <c r="AL111" t="s">
        <v>4153</v>
      </c>
      <c r="AM111" t="s">
        <v>63</v>
      </c>
      <c r="AN111">
        <v>0</v>
      </c>
      <c r="AO111" t="s">
        <v>4154</v>
      </c>
      <c r="AP111" t="s">
        <v>4155</v>
      </c>
      <c r="AQ111" t="s">
        <v>739</v>
      </c>
      <c r="AR111" t="s">
        <v>63</v>
      </c>
      <c r="AS111" t="s">
        <v>1540</v>
      </c>
      <c r="AT111" t="s">
        <v>444</v>
      </c>
      <c r="AU111" t="s">
        <v>4156</v>
      </c>
      <c r="AV111" t="s">
        <v>1826</v>
      </c>
      <c r="AW111" t="s">
        <v>4157</v>
      </c>
      <c r="AX111" t="s">
        <v>1603</v>
      </c>
      <c r="AY111" t="s">
        <v>1286</v>
      </c>
      <c r="AZ111" t="s">
        <v>1097</v>
      </c>
      <c r="BA111" t="s">
        <v>982</v>
      </c>
      <c r="BB111" t="s">
        <v>381</v>
      </c>
      <c r="BC111" t="s">
        <v>4158</v>
      </c>
      <c r="BD111" t="s">
        <v>301</v>
      </c>
      <c r="BE111" t="s">
        <v>210</v>
      </c>
      <c r="BF111" t="s">
        <v>572</v>
      </c>
      <c r="BG111" t="s">
        <v>352</v>
      </c>
      <c r="BH111" t="s">
        <v>1318</v>
      </c>
      <c r="BI111" t="s">
        <v>1338</v>
      </c>
      <c r="BJ111" t="s">
        <v>1603</v>
      </c>
      <c r="BK111" t="s">
        <v>4159</v>
      </c>
      <c r="BL111" t="s">
        <v>1262</v>
      </c>
      <c r="BM111" t="s">
        <v>4158</v>
      </c>
      <c r="BN111" t="s">
        <v>63</v>
      </c>
      <c r="BO111">
        <v>4.4400000000000004</v>
      </c>
      <c r="BP111">
        <v>13.62</v>
      </c>
      <c r="BQ111">
        <v>-8.57</v>
      </c>
      <c r="BR111">
        <v>3.88</v>
      </c>
      <c r="BS111">
        <v>13.29</v>
      </c>
      <c r="BT111" t="s">
        <v>1445</v>
      </c>
      <c r="BU111" t="s">
        <v>2031</v>
      </c>
      <c r="BV111">
        <v>47.82</v>
      </c>
      <c r="BW111">
        <v>52.79</v>
      </c>
      <c r="BX111">
        <v>53.35</v>
      </c>
      <c r="BY111">
        <v>-18.13</v>
      </c>
      <c r="BZ111">
        <v>5.67</v>
      </c>
      <c r="CA111">
        <v>10.87</v>
      </c>
      <c r="CB111">
        <v>-1.94</v>
      </c>
      <c r="CC111">
        <v>-26.67</v>
      </c>
      <c r="CD111" t="s">
        <v>1917</v>
      </c>
      <c r="CE111" t="s">
        <v>4160</v>
      </c>
      <c r="CF111" s="9">
        <v>-0.48845470692717585</v>
      </c>
      <c r="CG111" s="10">
        <v>0.14673239766081872</v>
      </c>
      <c r="CH111" s="9">
        <v>-0.83265542984008789</v>
      </c>
      <c r="CI111" s="9">
        <v>3.2393444329500198E-2</v>
      </c>
      <c r="CJ111" s="9">
        <v>0.30745095014572144</v>
      </c>
      <c r="CK111" s="9">
        <v>0.18384413421154022</v>
      </c>
      <c r="CL111" s="9">
        <v>0.23367689549922943</v>
      </c>
      <c r="CM111" s="10">
        <v>-2.4824879169464111</v>
      </c>
      <c r="CN111" s="10">
        <v>-0.4498150646686554</v>
      </c>
      <c r="CO111" s="10">
        <v>5.2941177040338516E-2</v>
      </c>
      <c r="CP111" s="10">
        <v>4.2944785207509995E-2</v>
      </c>
      <c r="CQ111" s="10">
        <v>0.53773581981658936</v>
      </c>
      <c r="CR111">
        <v>46.740502216454786</v>
      </c>
      <c r="CS111">
        <v>31.040309939139703</v>
      </c>
      <c r="CT111">
        <v>0</v>
      </c>
      <c r="CU111" s="9">
        <v>-1.505800113081932E-2</v>
      </c>
      <c r="CV111" s="10">
        <v>-0.45973623991012574</v>
      </c>
      <c r="CW111">
        <v>0.06</v>
      </c>
      <c r="CX111" t="e">
        <v>#VALUE!</v>
      </c>
      <c r="CY111" t="s">
        <v>1308</v>
      </c>
      <c r="CZ111">
        <v>-1.505800113081932E-2</v>
      </c>
      <c r="DA111" t="e">
        <v>#VALUE!</v>
      </c>
      <c r="DB111" t="s">
        <v>1309</v>
      </c>
      <c r="DC111">
        <v>-1.4305101074278353E-2</v>
      </c>
      <c r="DD111" t="e">
        <v>#VALUE!</v>
      </c>
      <c r="DE111" t="s">
        <v>1309</v>
      </c>
      <c r="DF111">
        <v>-1.3251040995121002E-2</v>
      </c>
      <c r="DG111" t="e">
        <v>#VALUE!</v>
      </c>
      <c r="DH111" t="s">
        <v>1309</v>
      </c>
      <c r="DI111">
        <v>-1.2046400904655457E-2</v>
      </c>
      <c r="DJ111" t="e">
        <v>#VALUE!</v>
      </c>
      <c r="DK111" t="s">
        <v>1309</v>
      </c>
      <c r="DL111">
        <v>-1.0540600791573524E-2</v>
      </c>
      <c r="DM111">
        <v>-146000000</v>
      </c>
      <c r="DN111">
        <v>-1.505800113081932E-2</v>
      </c>
      <c r="DO111">
        <v>3714111100</v>
      </c>
      <c r="DP111">
        <v>1436559600</v>
      </c>
      <c r="DQ111">
        <v>4737</v>
      </c>
      <c r="DR111">
        <v>-0.47339670579635651</v>
      </c>
      <c r="DS111">
        <v>0.60646863757094449</v>
      </c>
      <c r="DT111" s="11">
        <v>-0.42333333333333339</v>
      </c>
      <c r="DU111">
        <v>-1.4783333333333333</v>
      </c>
      <c r="DV111">
        <v>-1.9016666666666666</v>
      </c>
      <c r="DW111">
        <v>-3.1206726190476188</v>
      </c>
      <c r="DX111">
        <v>0.47505759721670499</v>
      </c>
      <c r="DY111">
        <v>-3.0223313849307991</v>
      </c>
      <c r="DZ111">
        <v>201</v>
      </c>
      <c r="EA111">
        <v>-3.021452987989294</v>
      </c>
      <c r="EB111">
        <v>3</v>
      </c>
      <c r="EC111">
        <v>1.3510162245943851E-2</v>
      </c>
      <c r="ED111">
        <v>7.3005174870628242E-2</v>
      </c>
      <c r="EE111" s="12">
        <v>-2.0897100000000002</v>
      </c>
      <c r="EF111">
        <v>-2.12921</v>
      </c>
      <c r="EG111">
        <v>29.185057597216705</v>
      </c>
      <c r="EH111" t="s">
        <v>1501</v>
      </c>
      <c r="EI111">
        <v>0</v>
      </c>
      <c r="EJ111">
        <v>1</v>
      </c>
      <c r="EK111" s="14">
        <v>45470</v>
      </c>
      <c r="EL111" s="15">
        <v>-1.22</v>
      </c>
      <c r="EM111" s="15">
        <v>-7.37</v>
      </c>
      <c r="EN111" s="15">
        <v>-1.22</v>
      </c>
      <c r="EO111" s="15">
        <v>2.71</v>
      </c>
      <c r="EP111" s="15">
        <v>-3.95</v>
      </c>
    </row>
    <row r="112" spans="1:146" ht="96" x14ac:dyDescent="0.25">
      <c r="A112" s="7"/>
      <c r="B112" s="7"/>
      <c r="C112" s="7" t="str">
        <f>""&amp;CHAR(10)&amp;Basic_Fundamental_Information_Constructure(F112)&amp;CHAR(10)&amp;Basic_Fundamental_Information_Concatenate("")</f>
        <v xml:space="preserve">
市值63.756亿, 利润-5264.46万; PE27.91; 平均PE19.99; 平均PEG9.38, PB1.15; ROIC13.36%; ROE14.61%; 股利率1.8634%; 毛利64.45%; 净利15.4333%; 上一年度营收增-89.59%, 利润增-109.19%; 当季营收增-67.76%, 利润增37.69%; 过往5年营收增2.13%, 利润增1.02%
Income profile:
</v>
      </c>
      <c r="D112" t="s">
        <v>1287</v>
      </c>
      <c r="E112" t="s">
        <v>1288</v>
      </c>
      <c r="F112">
        <v>19.32</v>
      </c>
      <c r="G112">
        <v>1.63</v>
      </c>
      <c r="H112" t="s">
        <v>4161</v>
      </c>
      <c r="I112">
        <v>6375600000</v>
      </c>
      <c r="J112">
        <v>27.91</v>
      </c>
      <c r="K112">
        <v>1.1499999999999999</v>
      </c>
      <c r="L112" t="s">
        <v>1303</v>
      </c>
      <c r="M112" t="s">
        <v>1151</v>
      </c>
      <c r="N112" t="s">
        <v>4162</v>
      </c>
      <c r="O112" t="s">
        <v>571</v>
      </c>
      <c r="P112">
        <v>-14.92</v>
      </c>
      <c r="Q112" t="s">
        <v>571</v>
      </c>
      <c r="R112">
        <v>-52644555</v>
      </c>
      <c r="S112" s="5">
        <v>0.39040000000000002</v>
      </c>
      <c r="T112" t="s">
        <v>4163</v>
      </c>
      <c r="U112">
        <v>99112695</v>
      </c>
      <c r="V112">
        <v>330000000</v>
      </c>
      <c r="W112">
        <v>1.17</v>
      </c>
      <c r="X112">
        <v>0.04</v>
      </c>
      <c r="Y112">
        <v>-17.98</v>
      </c>
      <c r="Z112" t="s">
        <v>64</v>
      </c>
      <c r="AA112" t="s">
        <v>4164</v>
      </c>
      <c r="AB112" t="s">
        <v>304</v>
      </c>
      <c r="AC112" t="s">
        <v>4165</v>
      </c>
      <c r="AD112" t="s">
        <v>63</v>
      </c>
      <c r="AE112">
        <v>-314522</v>
      </c>
      <c r="AF112" t="s">
        <v>4166</v>
      </c>
      <c r="AG112" t="s">
        <v>4167</v>
      </c>
      <c r="AH112" t="s">
        <v>4168</v>
      </c>
      <c r="AI112" t="s">
        <v>231</v>
      </c>
      <c r="AJ112" t="s">
        <v>4169</v>
      </c>
      <c r="AK112" t="s">
        <v>4170</v>
      </c>
      <c r="AL112" t="s">
        <v>4171</v>
      </c>
      <c r="AM112" t="s">
        <v>63</v>
      </c>
      <c r="AN112" t="s">
        <v>752</v>
      </c>
      <c r="AO112" t="s">
        <v>63</v>
      </c>
      <c r="AP112" t="s">
        <v>63</v>
      </c>
      <c r="AQ112" t="s">
        <v>302</v>
      </c>
      <c r="AR112" t="s">
        <v>63</v>
      </c>
      <c r="AS112" t="s">
        <v>1177</v>
      </c>
      <c r="AT112" t="s">
        <v>63</v>
      </c>
      <c r="AU112" t="s">
        <v>1826</v>
      </c>
      <c r="AV112" t="s">
        <v>297</v>
      </c>
      <c r="AW112" t="s">
        <v>4172</v>
      </c>
      <c r="AX112" t="s">
        <v>1605</v>
      </c>
      <c r="AY112" t="s">
        <v>1058</v>
      </c>
      <c r="AZ112" t="s">
        <v>1289</v>
      </c>
      <c r="BA112" t="s">
        <v>1104</v>
      </c>
      <c r="BB112" t="s">
        <v>1176</v>
      </c>
      <c r="BC112" t="s">
        <v>1099</v>
      </c>
      <c r="BD112" t="s">
        <v>552</v>
      </c>
      <c r="BE112" t="s">
        <v>413</v>
      </c>
      <c r="BF112" t="s">
        <v>393</v>
      </c>
      <c r="BG112" t="s">
        <v>356</v>
      </c>
      <c r="BH112" t="s">
        <v>225</v>
      </c>
      <c r="BI112" t="s">
        <v>1949</v>
      </c>
      <c r="BJ112" t="s">
        <v>1605</v>
      </c>
      <c r="BK112" t="s">
        <v>244</v>
      </c>
      <c r="BL112" t="s">
        <v>1950</v>
      </c>
      <c r="BM112" t="s">
        <v>1099</v>
      </c>
      <c r="BN112" t="s">
        <v>63</v>
      </c>
      <c r="BO112">
        <v>10.33</v>
      </c>
      <c r="BP112">
        <v>16.39</v>
      </c>
      <c r="BQ112">
        <v>-1.62</v>
      </c>
      <c r="BR112">
        <v>10.62</v>
      </c>
      <c r="BS112">
        <v>34.83</v>
      </c>
      <c r="BT112" t="s">
        <v>4173</v>
      </c>
      <c r="BU112" t="s">
        <v>2052</v>
      </c>
      <c r="BV112">
        <v>61.4</v>
      </c>
      <c r="BW112">
        <v>66</v>
      </c>
      <c r="BX112">
        <v>65.95</v>
      </c>
      <c r="BY112">
        <v>7.97</v>
      </c>
      <c r="BZ112">
        <v>20.29</v>
      </c>
      <c r="CA112">
        <v>18.04</v>
      </c>
      <c r="CB112">
        <v>-2.0299999999999998</v>
      </c>
      <c r="CC112">
        <v>-8.39</v>
      </c>
      <c r="CD112" t="s">
        <v>4174</v>
      </c>
      <c r="CE112" t="s">
        <v>4175</v>
      </c>
      <c r="CF112" s="9">
        <v>-0.67763157894736836</v>
      </c>
      <c r="CG112" s="10">
        <v>0.37691598917272162</v>
      </c>
      <c r="CH112" s="9">
        <v>-0.89589232206344604</v>
      </c>
      <c r="CI112" s="9">
        <v>1.0737340897321701E-2</v>
      </c>
      <c r="CJ112" s="9">
        <v>0.31544250249862671</v>
      </c>
      <c r="CK112" s="9">
        <v>0.39096260070800781</v>
      </c>
      <c r="CL112" s="9">
        <v>0.28535360097885132</v>
      </c>
      <c r="CM112" s="10">
        <v>-1.091875433921814</v>
      </c>
      <c r="CN112" s="10">
        <v>0.1369047611951828</v>
      </c>
      <c r="CO112" s="10">
        <v>0.22926829755306244</v>
      </c>
      <c r="CP112" s="10">
        <v>0.55893534421920776</v>
      </c>
      <c r="CQ112" s="10">
        <v>0.21759259700775146</v>
      </c>
      <c r="CR112">
        <v>19.99294015110836</v>
      </c>
      <c r="CS112">
        <v>9.3772241648057726</v>
      </c>
      <c r="CT112">
        <v>1.8633540372670807</v>
      </c>
      <c r="CU112" s="9">
        <v>2.1320744603872299E-2</v>
      </c>
      <c r="CV112" s="10">
        <v>1.01651132106781E-2</v>
      </c>
      <c r="CW112">
        <v>0.06</v>
      </c>
      <c r="CX112" t="e">
        <v>#VALUE!</v>
      </c>
      <c r="CY112" t="s">
        <v>1308</v>
      </c>
      <c r="CZ112">
        <v>2.1320744603872299E-2</v>
      </c>
      <c r="DA112" t="e">
        <v>#VALUE!</v>
      </c>
      <c r="DB112" t="s">
        <v>1309</v>
      </c>
      <c r="DC112">
        <v>2.0254707373678682E-2</v>
      </c>
      <c r="DD112" t="e">
        <v>#VALUE!</v>
      </c>
      <c r="DE112" t="s">
        <v>1309</v>
      </c>
      <c r="DF112">
        <v>1.8762255251407622E-2</v>
      </c>
      <c r="DG112" t="e">
        <v>#VALUE!</v>
      </c>
      <c r="DH112" t="s">
        <v>1309</v>
      </c>
      <c r="DI112">
        <v>1.7056595683097839E-2</v>
      </c>
      <c r="DJ112" t="e">
        <v>#VALUE!</v>
      </c>
      <c r="DK112" t="s">
        <v>1309</v>
      </c>
      <c r="DL112">
        <v>1.4924521222710608E-2</v>
      </c>
      <c r="DM112">
        <v>-52644600</v>
      </c>
      <c r="DN112">
        <v>2.1320744603872299E-2</v>
      </c>
      <c r="DO112">
        <v>2011600000</v>
      </c>
      <c r="DP112">
        <v>4402418000</v>
      </c>
      <c r="DQ112">
        <v>4744</v>
      </c>
      <c r="DR112">
        <v>-0.69895232355124071</v>
      </c>
      <c r="DS112">
        <v>0.36675087596204353</v>
      </c>
      <c r="DT112" s="11">
        <v>-0.42333333333333339</v>
      </c>
      <c r="DU112">
        <v>-0.85833333333333339</v>
      </c>
      <c r="DV112">
        <v>-1.2816666666666667</v>
      </c>
      <c r="DW112">
        <v>-2.0838999999999999</v>
      </c>
      <c r="DX112">
        <v>0.33813401858074627</v>
      </c>
      <c r="DY112">
        <v>-2.0132674441589247</v>
      </c>
      <c r="DZ112">
        <v>3786</v>
      </c>
      <c r="EA112">
        <v>-2.0034375921852088</v>
      </c>
      <c r="EB112">
        <v>2</v>
      </c>
      <c r="EC112">
        <v>2.0363636363636365E-2</v>
      </c>
      <c r="ED112">
        <v>0.12877454545454547</v>
      </c>
      <c r="EE112" s="12">
        <v>-6.0508100000000002</v>
      </c>
      <c r="EF112">
        <v>-6.0906099999999999</v>
      </c>
      <c r="EG112">
        <v>18.158134018580746</v>
      </c>
      <c r="EH112" t="s">
        <v>4176</v>
      </c>
      <c r="EI112">
        <v>0</v>
      </c>
      <c r="EJ112">
        <v>0</v>
      </c>
      <c r="EK112" s="14">
        <v>45470</v>
      </c>
      <c r="EL112" s="15">
        <v>-0.73</v>
      </c>
      <c r="EM112" s="15">
        <v>-7.55</v>
      </c>
      <c r="EN112" s="15">
        <v>-5.64</v>
      </c>
      <c r="EO112" s="15">
        <v>4.25</v>
      </c>
      <c r="EP112" s="15">
        <v>-3.98</v>
      </c>
    </row>
    <row r="113" spans="1:146" ht="96" x14ac:dyDescent="0.25">
      <c r="C113" s="7" t="str">
        <f>""&amp;CHAR(10)&amp;Basic_Fundamental_Information_Constructure(F113)&amp;CHAR(10)&amp;Basic_Fundamental_Information_Concatenate("")</f>
        <v xml:space="preserve">
市值26.049273亿, 利润-1996.60万; PE94.36; 平均PE124.9; 平均PEG70.32, PB2.56; ROIC7.785%; ROE5.15%; 股利率.887%; 毛利57.1533%; 净利12.7233%; 上一年度营收增-91.1%, 利润增-139.3%; 当季营收增-65.17%, 利润增25.45%; 过往5年营收增-1.78%, 利润增445.38%
Income profile:
</v>
      </c>
      <c r="D113" t="s">
        <v>1380</v>
      </c>
      <c r="E113" t="s">
        <v>1381</v>
      </c>
      <c r="F113">
        <v>25.48</v>
      </c>
      <c r="G113">
        <v>-1.81</v>
      </c>
      <c r="H113" t="s">
        <v>4177</v>
      </c>
      <c r="I113">
        <v>2604927300</v>
      </c>
      <c r="J113">
        <v>94.36</v>
      </c>
      <c r="K113">
        <v>2.56</v>
      </c>
      <c r="L113" t="s">
        <v>1303</v>
      </c>
      <c r="M113" t="s">
        <v>203</v>
      </c>
      <c r="N113" t="s">
        <v>850</v>
      </c>
      <c r="O113" t="s">
        <v>4178</v>
      </c>
      <c r="P113">
        <v>10.66</v>
      </c>
      <c r="Q113" t="s">
        <v>4178</v>
      </c>
      <c r="R113">
        <v>-19965980</v>
      </c>
      <c r="S113">
        <v>-0.21240000000000001</v>
      </c>
      <c r="T113" t="s">
        <v>4179</v>
      </c>
      <c r="U113">
        <v>48202743</v>
      </c>
      <c r="V113">
        <v>102234195</v>
      </c>
      <c r="W113">
        <v>1.1399999999999999</v>
      </c>
      <c r="X113">
        <v>0.02</v>
      </c>
      <c r="Y113">
        <v>-69.19</v>
      </c>
      <c r="Z113" t="s">
        <v>4180</v>
      </c>
      <c r="AA113" t="s">
        <v>4181</v>
      </c>
      <c r="AB113" t="s">
        <v>4182</v>
      </c>
      <c r="AC113" t="s">
        <v>4183</v>
      </c>
      <c r="AD113" t="s">
        <v>63</v>
      </c>
      <c r="AE113">
        <v>-881453</v>
      </c>
      <c r="AF113" t="s">
        <v>4184</v>
      </c>
      <c r="AG113">
        <v>0.82</v>
      </c>
      <c r="AH113" t="s">
        <v>4185</v>
      </c>
      <c r="AI113" t="s">
        <v>662</v>
      </c>
      <c r="AJ113" t="s">
        <v>4186</v>
      </c>
      <c r="AK113" t="s">
        <v>4187</v>
      </c>
      <c r="AL113" t="s">
        <v>4188</v>
      </c>
      <c r="AM113" t="s">
        <v>63</v>
      </c>
      <c r="AN113">
        <v>0</v>
      </c>
      <c r="AO113" t="s">
        <v>4189</v>
      </c>
      <c r="AP113" t="s">
        <v>63</v>
      </c>
      <c r="AQ113" t="s">
        <v>4190</v>
      </c>
      <c r="AR113" t="s">
        <v>63</v>
      </c>
      <c r="AS113" t="s">
        <v>212</v>
      </c>
      <c r="AT113" t="s">
        <v>63</v>
      </c>
      <c r="AU113" t="s">
        <v>4191</v>
      </c>
      <c r="AV113" t="s">
        <v>4192</v>
      </c>
      <c r="AW113" t="s">
        <v>4193</v>
      </c>
      <c r="AX113" t="s">
        <v>340</v>
      </c>
      <c r="AY113" t="s">
        <v>222</v>
      </c>
      <c r="AZ113" t="s">
        <v>250</v>
      </c>
      <c r="BA113" t="s">
        <v>572</v>
      </c>
      <c r="BB113" t="s">
        <v>203</v>
      </c>
      <c r="BC113" t="s">
        <v>4194</v>
      </c>
      <c r="BD113" t="s">
        <v>1382</v>
      </c>
      <c r="BE113" t="s">
        <v>1383</v>
      </c>
      <c r="BF113" t="s">
        <v>1384</v>
      </c>
      <c r="BG113" t="s">
        <v>1385</v>
      </c>
      <c r="BH113" t="s">
        <v>64</v>
      </c>
      <c r="BI113" t="s">
        <v>1951</v>
      </c>
      <c r="BJ113" t="s">
        <v>340</v>
      </c>
      <c r="BK113" t="s">
        <v>4195</v>
      </c>
      <c r="BL113" t="s">
        <v>1952</v>
      </c>
      <c r="BM113" t="s">
        <v>4194</v>
      </c>
      <c r="BN113" t="s">
        <v>63</v>
      </c>
      <c r="BO113">
        <v>6.51</v>
      </c>
      <c r="BP113">
        <v>9.06</v>
      </c>
      <c r="BQ113">
        <v>-2.96</v>
      </c>
      <c r="BR113">
        <v>8.41</v>
      </c>
      <c r="BS113">
        <v>10</v>
      </c>
      <c r="BT113" t="s">
        <v>4196</v>
      </c>
      <c r="BU113" t="s">
        <v>2031</v>
      </c>
      <c r="BV113">
        <v>55.09</v>
      </c>
      <c r="BW113">
        <v>59.61</v>
      </c>
      <c r="BX113">
        <v>56.76</v>
      </c>
      <c r="BY113">
        <v>7.61</v>
      </c>
      <c r="BZ113">
        <v>16.059999999999999</v>
      </c>
      <c r="CA113">
        <v>14.5</v>
      </c>
      <c r="CB113">
        <v>-12.11</v>
      </c>
      <c r="CC113" s="9">
        <v>-23.48</v>
      </c>
      <c r="CD113" s="10" t="s">
        <v>4197</v>
      </c>
      <c r="CE113" s="9" t="s">
        <v>4198</v>
      </c>
      <c r="CF113" s="9">
        <v>-0.65166624082065261</v>
      </c>
      <c r="CG113" s="9">
        <v>0.25453900550340886</v>
      </c>
      <c r="CH113" s="9">
        <v>-0.91103535890579224</v>
      </c>
      <c r="CI113" s="9">
        <v>3.437500074505806E-2</v>
      </c>
      <c r="CJ113" s="10">
        <v>9.5890410244464874E-2</v>
      </c>
      <c r="CK113" s="10">
        <v>0.79141104221343994</v>
      </c>
      <c r="CL113" s="10">
        <v>-9.944751113653183E-2</v>
      </c>
      <c r="CM113" s="10">
        <v>-1.392982006072998</v>
      </c>
      <c r="CN113" s="10">
        <v>7.9345248639583588E-2</v>
      </c>
      <c r="CO113">
        <v>0.11281457543373108</v>
      </c>
      <c r="CP113">
        <v>23.945156097412109</v>
      </c>
      <c r="CQ113">
        <v>-0.4753890335559845</v>
      </c>
      <c r="CR113" s="9">
        <v>124.89722501466363</v>
      </c>
      <c r="CS113" s="10">
        <v>70.319932646638492</v>
      </c>
      <c r="CT113">
        <v>0.88697017268445832</v>
      </c>
      <c r="CU113">
        <v>-1.7761283367872239E-2</v>
      </c>
      <c r="CV113">
        <v>4.4537889763712881</v>
      </c>
      <c r="CW113">
        <v>0.06</v>
      </c>
      <c r="CX113" t="e">
        <v>#VALUE!</v>
      </c>
      <c r="CY113" t="s">
        <v>1308</v>
      </c>
      <c r="CZ113">
        <v>-1.7761283367872239E-2</v>
      </c>
      <c r="DA113" t="e">
        <v>#VALUE!</v>
      </c>
      <c r="DB113" t="s">
        <v>1309</v>
      </c>
      <c r="DC113">
        <v>-1.6873219199478626E-2</v>
      </c>
      <c r="DD113" t="e">
        <v>#VALUE!</v>
      </c>
      <c r="DE113" t="s">
        <v>1309</v>
      </c>
      <c r="DF113">
        <v>-1.562992936372757E-2</v>
      </c>
      <c r="DG113" t="e">
        <v>#VALUE!</v>
      </c>
      <c r="DH113" t="s">
        <v>1309</v>
      </c>
      <c r="DI113">
        <v>-1.4209026694297792E-2</v>
      </c>
      <c r="DJ113" t="e">
        <v>#VALUE!</v>
      </c>
      <c r="DK113" t="s">
        <v>1309</v>
      </c>
      <c r="DL113">
        <v>-1.2432898357510566E-2</v>
      </c>
      <c r="DM113">
        <v>-19966000</v>
      </c>
      <c r="DN113">
        <v>-1.7761283367872239E-2</v>
      </c>
      <c r="DO113">
        <v>1766927300</v>
      </c>
      <c r="DP113">
        <v>839985960</v>
      </c>
      <c r="DQ113" s="11">
        <v>4752</v>
      </c>
      <c r="DR113">
        <v>-0.63390495745278042</v>
      </c>
      <c r="DS113">
        <v>-4.1992499708678794</v>
      </c>
      <c r="DT113">
        <v>-0.54</v>
      </c>
      <c r="DU113">
        <v>-0.71333333333333337</v>
      </c>
      <c r="DV113">
        <v>-1.2533333333333334</v>
      </c>
      <c r="DW113">
        <v>-9.5157580919931863</v>
      </c>
      <c r="DX113">
        <v>0.49169863309741046</v>
      </c>
      <c r="DY113">
        <v>-9.1246580258436829</v>
      </c>
      <c r="DZ113">
        <v>460</v>
      </c>
      <c r="EA113">
        <v>-9.1134363640260521</v>
      </c>
      <c r="EB113" s="12">
        <v>9</v>
      </c>
      <c r="EC113">
        <v>2.1879176531883485E-2</v>
      </c>
      <c r="ED113">
        <v>9.0522549720277054E-2</v>
      </c>
      <c r="EE113">
        <v>2.5899999999999999E-2</v>
      </c>
      <c r="EF113">
        <v>1.1599999999999999E-2</v>
      </c>
      <c r="EG113">
        <v>25.24169863309741</v>
      </c>
      <c r="EH113" s="14" t="s">
        <v>1123</v>
      </c>
      <c r="EI113" s="15">
        <v>0</v>
      </c>
      <c r="EJ113" s="15">
        <v>1</v>
      </c>
      <c r="EK113" s="15">
        <v>45470</v>
      </c>
      <c r="EL113" s="15">
        <v>-0.91</v>
      </c>
      <c r="EM113" s="15">
        <v>-4.46</v>
      </c>
      <c r="EN113" s="15">
        <v>-2.5499999999999998</v>
      </c>
      <c r="EO113" s="15">
        <v>3.71</v>
      </c>
      <c r="EP113" s="15">
        <v>-1.43</v>
      </c>
    </row>
    <row r="114" spans="1:146" ht="96" x14ac:dyDescent="0.25">
      <c r="A114" s="7"/>
      <c r="B114" s="7"/>
      <c r="C114" s="7" t="str">
        <f>""&amp;CHAR(10)&amp;Basic_Fundamental_Information_Constructure(F114)&amp;CHAR(10)&amp;Basic_Fundamental_Information_Concatenate("")</f>
        <v xml:space="preserve">
市值27.75646亿, 利润-1185.06万; PE52.07; 平均PE255.27; 平均PEG29.73, PB1.53; ROIC2.07%; ROE5.1333%; 股利率0%; 毛利51.36%; 净利4.55%; 上一年度营收增-82.85%, 利润增-117.42%; 当季营收增-57.88%, 利润增48.84%; 过往5年营收增8.59%, 利润增135.95%
Income profile:
</v>
      </c>
      <c r="D114" t="s">
        <v>1290</v>
      </c>
      <c r="E114" t="s">
        <v>1291</v>
      </c>
      <c r="F114">
        <v>20.03</v>
      </c>
      <c r="G114">
        <v>1.01</v>
      </c>
      <c r="H114" t="s">
        <v>4199</v>
      </c>
      <c r="I114">
        <v>2775646000</v>
      </c>
      <c r="J114">
        <v>52.07</v>
      </c>
      <c r="K114">
        <v>1.53</v>
      </c>
      <c r="L114" t="s">
        <v>1303</v>
      </c>
      <c r="M114" t="s">
        <v>1756</v>
      </c>
      <c r="N114" t="s">
        <v>1254</v>
      </c>
      <c r="O114" t="s">
        <v>424</v>
      </c>
      <c r="P114">
        <v>14</v>
      </c>
      <c r="Q114" t="s">
        <v>424</v>
      </c>
      <c r="R114">
        <v>-11850583</v>
      </c>
      <c r="S114" s="5">
        <v>0.47699999999999998</v>
      </c>
      <c r="T114" t="s">
        <v>4200</v>
      </c>
      <c r="U114">
        <v>101940875</v>
      </c>
      <c r="V114">
        <v>138574440</v>
      </c>
      <c r="W114">
        <v>1.48</v>
      </c>
      <c r="X114">
        <v>0.05</v>
      </c>
      <c r="Y114">
        <v>-13.06</v>
      </c>
      <c r="Z114" t="s">
        <v>322</v>
      </c>
      <c r="AA114" t="s">
        <v>4201</v>
      </c>
      <c r="AB114" t="s">
        <v>4202</v>
      </c>
      <c r="AC114" t="s">
        <v>4203</v>
      </c>
      <c r="AD114" t="s">
        <v>63</v>
      </c>
      <c r="AE114">
        <v>366028</v>
      </c>
      <c r="AF114" t="s">
        <v>4204</v>
      </c>
      <c r="AG114">
        <v>23.66</v>
      </c>
      <c r="AH114" t="s">
        <v>4205</v>
      </c>
      <c r="AI114" t="s">
        <v>1798</v>
      </c>
      <c r="AJ114" t="s">
        <v>4206</v>
      </c>
      <c r="AK114" t="s">
        <v>4207</v>
      </c>
      <c r="AL114" t="s">
        <v>4208</v>
      </c>
      <c r="AM114" t="s">
        <v>63</v>
      </c>
      <c r="AN114">
        <v>0</v>
      </c>
      <c r="AO114" t="s">
        <v>425</v>
      </c>
      <c r="AP114" t="s">
        <v>4209</v>
      </c>
      <c r="AQ114" t="s">
        <v>551</v>
      </c>
      <c r="AR114" t="s">
        <v>63</v>
      </c>
      <c r="AS114" t="s">
        <v>4210</v>
      </c>
      <c r="AT114" t="s">
        <v>63</v>
      </c>
      <c r="AU114" t="s">
        <v>4211</v>
      </c>
      <c r="AV114" t="s">
        <v>4212</v>
      </c>
      <c r="AW114" t="s">
        <v>4213</v>
      </c>
      <c r="AX114" t="s">
        <v>737</v>
      </c>
      <c r="AY114" t="s">
        <v>1090</v>
      </c>
      <c r="AZ114" t="s">
        <v>1268</v>
      </c>
      <c r="BA114" t="s">
        <v>239</v>
      </c>
      <c r="BB114" t="s">
        <v>248</v>
      </c>
      <c r="BC114" t="s">
        <v>1606</v>
      </c>
      <c r="BD114" t="s">
        <v>1607</v>
      </c>
      <c r="BE114" t="s">
        <v>1292</v>
      </c>
      <c r="BF114" t="s">
        <v>1293</v>
      </c>
      <c r="BG114" t="s">
        <v>1294</v>
      </c>
      <c r="BH114" t="s">
        <v>3344</v>
      </c>
      <c r="BI114" t="s">
        <v>250</v>
      </c>
      <c r="BJ114" t="s">
        <v>737</v>
      </c>
      <c r="BK114" t="s">
        <v>4214</v>
      </c>
      <c r="BL114" t="s">
        <v>1954</v>
      </c>
      <c r="BM114" t="s">
        <v>1606</v>
      </c>
      <c r="BN114" t="s">
        <v>63</v>
      </c>
      <c r="BO114">
        <v>1.1499999999999999</v>
      </c>
      <c r="BP114">
        <v>2.99</v>
      </c>
      <c r="BQ114">
        <v>0.99</v>
      </c>
      <c r="BR114">
        <v>3.84</v>
      </c>
      <c r="BS114">
        <v>10.57</v>
      </c>
      <c r="BT114" t="s">
        <v>1445</v>
      </c>
      <c r="BU114" t="s">
        <v>2052</v>
      </c>
      <c r="BV114">
        <v>51.77</v>
      </c>
      <c r="BW114">
        <v>51.1</v>
      </c>
      <c r="BX114">
        <v>51.21</v>
      </c>
      <c r="BY114">
        <v>2.92</v>
      </c>
      <c r="BZ114">
        <v>5.68</v>
      </c>
      <c r="CA114">
        <v>5.05</v>
      </c>
      <c r="CB114">
        <v>-1.62</v>
      </c>
      <c r="CC114">
        <v>-23.81</v>
      </c>
      <c r="CD114" t="s">
        <v>4215</v>
      </c>
      <c r="CE114" t="s">
        <v>4216</v>
      </c>
      <c r="CF114" s="9">
        <v>-0.57876712328767121</v>
      </c>
      <c r="CG114" s="10">
        <v>0.48836097919005267</v>
      </c>
      <c r="CH114" s="9">
        <v>-0.82845187187194824</v>
      </c>
      <c r="CI114" s="9">
        <v>9.9693253636360168E-2</v>
      </c>
      <c r="CJ114" s="9">
        <v>0.22556391358375549</v>
      </c>
      <c r="CK114" s="9">
        <v>0.19819819927215576</v>
      </c>
      <c r="CL114" s="9">
        <v>0.734375</v>
      </c>
      <c r="CM114" s="10">
        <v>-1.1742110252380371</v>
      </c>
      <c r="CN114" s="10">
        <v>0.37127721309661865</v>
      </c>
      <c r="CO114" s="10">
        <v>1.3327376842498779</v>
      </c>
      <c r="CP114" s="10">
        <v>5.2154088020324707</v>
      </c>
      <c r="CQ114" s="10">
        <v>1.0524530410766602</v>
      </c>
      <c r="CR114">
        <v>255.27328577516039</v>
      </c>
      <c r="CS114">
        <v>29.725904880364947</v>
      </c>
      <c r="CT114">
        <v>0</v>
      </c>
      <c r="CU114" s="9">
        <v>8.5875698924064631E-2</v>
      </c>
      <c r="CV114" s="10">
        <v>1.359533143043518</v>
      </c>
      <c r="CW114">
        <v>0.06</v>
      </c>
      <c r="CX114" t="e">
        <v>#VALUE!</v>
      </c>
      <c r="CY114" t="s">
        <v>1308</v>
      </c>
      <c r="CZ114">
        <v>8.5875698924064631E-2</v>
      </c>
      <c r="DA114" t="e">
        <v>#VALUE!</v>
      </c>
      <c r="DB114" t="s">
        <v>1309</v>
      </c>
      <c r="DC114">
        <v>8.1581913977861395E-2</v>
      </c>
      <c r="DD114" t="e">
        <v>#VALUE!</v>
      </c>
      <c r="DE114" t="s">
        <v>1309</v>
      </c>
      <c r="DF114">
        <v>7.5570615053176873E-2</v>
      </c>
      <c r="DG114" t="e">
        <v>#VALUE!</v>
      </c>
      <c r="DH114" t="s">
        <v>1309</v>
      </c>
      <c r="DI114">
        <v>6.8700559139251702E-2</v>
      </c>
      <c r="DJ114" t="e">
        <v>#VALUE!</v>
      </c>
      <c r="DK114" t="s">
        <v>1309</v>
      </c>
      <c r="DL114">
        <v>6.0112989246845237E-2</v>
      </c>
      <c r="DM114">
        <v>-11850600</v>
      </c>
      <c r="DN114">
        <v>8.5875698924064631E-2</v>
      </c>
      <c r="DO114">
        <v>1761645999.9999998</v>
      </c>
      <c r="DP114">
        <v>1333688100</v>
      </c>
      <c r="DQ114">
        <v>4753</v>
      </c>
      <c r="DR114">
        <v>-0.66464282221173587</v>
      </c>
      <c r="DS114">
        <v>-0.8711721638534653</v>
      </c>
      <c r="DT114" s="11">
        <v>-0.32333333333333331</v>
      </c>
      <c r="DU114">
        <v>4.5000000000000005E-2</v>
      </c>
      <c r="DV114">
        <v>-0.27833333333333332</v>
      </c>
      <c r="DW114">
        <v>-3.0883273809523808</v>
      </c>
      <c r="DX114">
        <v>0.35423008881385809</v>
      </c>
      <c r="DY114">
        <v>-3.0118561921899336</v>
      </c>
      <c r="DZ114">
        <v>269</v>
      </c>
      <c r="EA114">
        <v>-3.0112320599591915</v>
      </c>
      <c r="EB114">
        <v>3</v>
      </c>
      <c r="EC114">
        <v>4.3091640853825566E-2</v>
      </c>
      <c r="ED114">
        <v>0.32102817806804773</v>
      </c>
      <c r="EE114" s="12">
        <v>-2.0198</v>
      </c>
      <c r="EF114">
        <v>-2.0061100000000001</v>
      </c>
      <c r="EG114">
        <v>22.134230088813858</v>
      </c>
      <c r="EH114" t="s">
        <v>1501</v>
      </c>
      <c r="EI114">
        <v>0</v>
      </c>
      <c r="EJ114">
        <v>1</v>
      </c>
      <c r="EK114" s="14">
        <v>45470</v>
      </c>
      <c r="EL114" s="15">
        <v>0.34</v>
      </c>
      <c r="EM114" s="15">
        <v>-5.84</v>
      </c>
      <c r="EN114" s="15">
        <v>0</v>
      </c>
      <c r="EO114" s="15">
        <v>3.28</v>
      </c>
      <c r="EP114" s="15">
        <v>-2.59</v>
      </c>
    </row>
    <row r="115" spans="1:146" ht="108" x14ac:dyDescent="0.25">
      <c r="C115" s="7" t="str">
        <f>""&amp;CHAR(10)&amp;Basic_Fundamental_Information_Constructure(F115)&amp;CHAR(10)&amp;Basic_Fundamental_Information_Concatenate("")</f>
        <v xml:space="preserve">
市值16.170005亿, 利润691.78万; PE43.85; 平均PE56.32; 平均PEG5.45, PB1.72; ROIC10.5433%; ROE12.62%; 股利率.6349%; 毛利59.7467%; 净利21.5733%; 上一年度营收增-75.01%, 利润增-82.3%; 当季营收增-54.61%, 利润增-72.97%; 过往5年营收增10.34%, 利润增13.31%
Income profile:
</v>
      </c>
      <c r="D115" t="s">
        <v>1422</v>
      </c>
      <c r="E115" t="s">
        <v>1438</v>
      </c>
      <c r="F115">
        <v>15.75</v>
      </c>
      <c r="G115">
        <v>-0.19</v>
      </c>
      <c r="H115" t="s">
        <v>4217</v>
      </c>
      <c r="I115">
        <v>1617000500</v>
      </c>
      <c r="J115">
        <v>43.85</v>
      </c>
      <c r="K115">
        <v>1.72</v>
      </c>
      <c r="L115" t="s">
        <v>1303</v>
      </c>
      <c r="M115" t="s">
        <v>4218</v>
      </c>
      <c r="N115" t="s">
        <v>368</v>
      </c>
      <c r="O115" t="s">
        <v>4219</v>
      </c>
      <c r="P115" s="5">
        <v>3.1</v>
      </c>
      <c r="Q115" t="s">
        <v>4219</v>
      </c>
      <c r="R115">
        <v>6917821</v>
      </c>
      <c r="S115">
        <v>-0.43590000000000001</v>
      </c>
      <c r="T115" t="s">
        <v>4220</v>
      </c>
      <c r="U115">
        <v>32383365</v>
      </c>
      <c r="V115">
        <v>102666700</v>
      </c>
      <c r="W115">
        <v>1.06</v>
      </c>
      <c r="X115">
        <v>0.05</v>
      </c>
      <c r="Y115">
        <v>13.76</v>
      </c>
      <c r="Z115" t="s">
        <v>4221</v>
      </c>
      <c r="AA115" t="s">
        <v>4222</v>
      </c>
      <c r="AB115" t="s">
        <v>4223</v>
      </c>
      <c r="AC115" t="s">
        <v>4224</v>
      </c>
      <c r="AD115" t="s">
        <v>63</v>
      </c>
      <c r="AE115">
        <v>-1240192</v>
      </c>
      <c r="AF115" t="s">
        <v>4225</v>
      </c>
      <c r="AG115">
        <v>552.38</v>
      </c>
      <c r="AH115" t="s">
        <v>4226</v>
      </c>
      <c r="AI115" t="s">
        <v>604</v>
      </c>
      <c r="AJ115" t="s">
        <v>4227</v>
      </c>
      <c r="AK115" t="s">
        <v>4228</v>
      </c>
      <c r="AL115" t="s">
        <v>4229</v>
      </c>
      <c r="AM115" t="s">
        <v>63</v>
      </c>
      <c r="AN115" t="s">
        <v>4230</v>
      </c>
      <c r="AO115" t="s">
        <v>63</v>
      </c>
      <c r="AP115" t="s">
        <v>63</v>
      </c>
      <c r="AQ115" t="s">
        <v>4231</v>
      </c>
      <c r="AR115" t="s">
        <v>63</v>
      </c>
      <c r="AS115" t="s">
        <v>4232</v>
      </c>
      <c r="AT115" t="s">
        <v>63</v>
      </c>
      <c r="AU115" t="s">
        <v>4233</v>
      </c>
      <c r="AV115" t="s">
        <v>4234</v>
      </c>
      <c r="AW115" t="s">
        <v>4235</v>
      </c>
      <c r="AX115" t="s">
        <v>523</v>
      </c>
      <c r="AY115" t="s">
        <v>756</v>
      </c>
      <c r="AZ115" t="s">
        <v>445</v>
      </c>
      <c r="BA115" t="s">
        <v>1424</v>
      </c>
      <c r="BB115" t="s">
        <v>1425</v>
      </c>
      <c r="BC115" t="s">
        <v>1608</v>
      </c>
      <c r="BD115" t="s">
        <v>1423</v>
      </c>
      <c r="BE115" t="s">
        <v>1426</v>
      </c>
      <c r="BF115" t="s">
        <v>1427</v>
      </c>
      <c r="BG115" t="s">
        <v>1428</v>
      </c>
      <c r="BH115" t="s">
        <v>207</v>
      </c>
      <c r="BI115" t="s">
        <v>246</v>
      </c>
      <c r="BJ115" t="s">
        <v>523</v>
      </c>
      <c r="BK115" t="s">
        <v>4236</v>
      </c>
      <c r="BL115" t="s">
        <v>1955</v>
      </c>
      <c r="BM115" t="s">
        <v>1608</v>
      </c>
      <c r="BN115">
        <v>3.13</v>
      </c>
      <c r="BO115">
        <v>6.11</v>
      </c>
      <c r="BP115">
        <v>22.39</v>
      </c>
      <c r="BQ115">
        <v>3.58</v>
      </c>
      <c r="BR115">
        <v>10.31</v>
      </c>
      <c r="BS115">
        <v>23.97</v>
      </c>
      <c r="BT115" t="s">
        <v>1446</v>
      </c>
      <c r="BU115" t="s">
        <v>2052</v>
      </c>
      <c r="BV115">
        <v>58.69</v>
      </c>
      <c r="BW115">
        <v>60.46</v>
      </c>
      <c r="BX115">
        <v>60.09</v>
      </c>
      <c r="BY115">
        <v>19.14</v>
      </c>
      <c r="BZ115">
        <v>19.63</v>
      </c>
      <c r="CA115">
        <v>25.95</v>
      </c>
      <c r="CB115">
        <v>-8.5399999999999991</v>
      </c>
      <c r="CC115" s="9">
        <v>-13.65</v>
      </c>
      <c r="CD115" s="10" t="s">
        <v>4237</v>
      </c>
      <c r="CE115" s="9" t="s">
        <v>4238</v>
      </c>
      <c r="CF115" s="9">
        <v>-0.5460880733944955</v>
      </c>
      <c r="CG115" s="9">
        <v>-0.72970609954793564</v>
      </c>
      <c r="CH115" s="9">
        <v>-0.75011920928955078</v>
      </c>
      <c r="CI115" s="9">
        <v>-2.4630540981888771E-2</v>
      </c>
      <c r="CJ115" s="10">
        <v>0.50370371341705322</v>
      </c>
      <c r="CK115" s="10">
        <v>0.46067371964454651</v>
      </c>
      <c r="CL115" s="10">
        <v>0.32730790972709656</v>
      </c>
      <c r="CM115" s="10">
        <v>-0.82298046350479126</v>
      </c>
      <c r="CN115" s="10">
        <v>-0.25954762101173401</v>
      </c>
      <c r="CO115">
        <v>0.31283643841743469</v>
      </c>
      <c r="CP115">
        <v>1.5038896799087524</v>
      </c>
      <c r="CQ115">
        <v>-6.8490371108055115E-2</v>
      </c>
      <c r="CR115" s="9">
        <v>56.319437107659375</v>
      </c>
      <c r="CS115" s="10">
        <v>5.4474327094994219</v>
      </c>
      <c r="CT115">
        <v>0.63492063492063489</v>
      </c>
      <c r="CU115">
        <v>0.10338711850345135</v>
      </c>
      <c r="CV115">
        <v>0.13314153254032135</v>
      </c>
      <c r="CW115">
        <v>0.06</v>
      </c>
      <c r="CX115">
        <v>102.12063342967166</v>
      </c>
      <c r="CY115">
        <v>7200954.1588520519</v>
      </c>
      <c r="CZ115">
        <v>0.10338711850345135</v>
      </c>
      <c r="DA115">
        <v>32.996471110657104</v>
      </c>
      <c r="DB115">
        <v>22286201.379955858</v>
      </c>
      <c r="DC115">
        <v>9.8217762578278772E-2</v>
      </c>
      <c r="DD115">
        <v>15.99814585690377</v>
      </c>
      <c r="DE115">
        <v>45965701.686777867</v>
      </c>
      <c r="DF115">
        <v>9.0980664283037194E-2</v>
      </c>
      <c r="DG115">
        <v>9.442716810454149</v>
      </c>
      <c r="DH115">
        <v>77876527.990955651</v>
      </c>
      <c r="DI115">
        <v>8.270969480276108E-2</v>
      </c>
      <c r="DJ115">
        <v>4.6948576788878409</v>
      </c>
      <c r="DK115">
        <v>156632224.08356369</v>
      </c>
      <c r="DL115">
        <v>7.2370982952415938E-2</v>
      </c>
      <c r="DM115">
        <v>6917800</v>
      </c>
      <c r="DN115">
        <v>0.10338711850345135</v>
      </c>
      <c r="DO115">
        <v>735366000</v>
      </c>
      <c r="DP115">
        <v>793692590</v>
      </c>
      <c r="DQ115" s="11">
        <v>4792</v>
      </c>
      <c r="DR115">
        <v>-0.64947519189794689</v>
      </c>
      <c r="DS115">
        <v>-0.86284763208825699</v>
      </c>
      <c r="DT115">
        <v>-0.42333333333333339</v>
      </c>
      <c r="DU115">
        <v>-0.55666666666666664</v>
      </c>
      <c r="DV115">
        <v>-0.98</v>
      </c>
      <c r="DW115">
        <v>-9.6256410256410252</v>
      </c>
      <c r="DX115">
        <v>0.30998366718915121</v>
      </c>
      <c r="DY115">
        <v>-9.0813231148568025</v>
      </c>
      <c r="DZ115">
        <v>903</v>
      </c>
      <c r="EA115">
        <v>-9.0669523178478606</v>
      </c>
      <c r="EB115" s="12">
        <v>9</v>
      </c>
      <c r="EC115">
        <v>3.0774340657681604E-2</v>
      </c>
      <c r="ED115">
        <v>0.23675544261186929</v>
      </c>
      <c r="EE115">
        <v>-6.0833000000000004</v>
      </c>
      <c r="EF115">
        <v>-6.0533999999999999</v>
      </c>
      <c r="EG115">
        <v>18.129983667189151</v>
      </c>
      <c r="EH115" s="14" t="s">
        <v>1807</v>
      </c>
      <c r="EI115" s="15">
        <v>0</v>
      </c>
      <c r="EJ115" s="15">
        <v>1</v>
      </c>
      <c r="EK115" s="15">
        <v>45470</v>
      </c>
      <c r="EL115" s="15">
        <v>-1.32</v>
      </c>
      <c r="EM115" s="15">
        <v>-5.83</v>
      </c>
      <c r="EN115" s="15">
        <v>-2.58</v>
      </c>
      <c r="EO115" s="15">
        <v>6.42</v>
      </c>
      <c r="EP115" s="15">
        <v>-2.99</v>
      </c>
    </row>
    <row r="116" spans="1:146" ht="96" x14ac:dyDescent="0.25">
      <c r="A116" s="7"/>
      <c r="B116" s="7"/>
      <c r="C116" s="7" t="str">
        <f>""&amp;CHAR(10)&amp;Basic_Fundamental_Information_Constructure(F116)&amp;CHAR(10)&amp;Basic_Fundamental_Information_Concatenate("")</f>
        <v xml:space="preserve">
市值10.0122611亿, 利润-94.12万; PE; 平均PE22.17; 平均PEG2.32, PB1.42; ROIC11.545%; ROE8.1167%; 股利率0%; 毛利38.55%; 净利6.8167%; 上一年度营收增-83.35%, 利润增-101.81%; 当季营收增-42.75%, 利润增83.69%; 过往5年营收增9.57%, 利润增34.07%
Income profile:
</v>
      </c>
      <c r="D116" t="s">
        <v>1091</v>
      </c>
      <c r="E116" t="s">
        <v>1092</v>
      </c>
      <c r="F116">
        <v>9.25</v>
      </c>
      <c r="G116">
        <v>1.0900000000000001</v>
      </c>
      <c r="H116" t="s">
        <v>4239</v>
      </c>
      <c r="I116">
        <v>1001226110</v>
      </c>
      <c r="K116">
        <v>1.42</v>
      </c>
      <c r="L116" t="s">
        <v>1303</v>
      </c>
      <c r="M116" t="s">
        <v>406</v>
      </c>
      <c r="N116" t="s">
        <v>1928</v>
      </c>
      <c r="O116" t="s">
        <v>4240</v>
      </c>
      <c r="P116">
        <v>9.64</v>
      </c>
      <c r="Q116" t="s">
        <v>4240</v>
      </c>
      <c r="R116">
        <v>-941201</v>
      </c>
      <c r="S116" s="5">
        <v>0.77959999999999996</v>
      </c>
      <c r="T116" t="s">
        <v>4241</v>
      </c>
      <c r="U116">
        <v>60037538</v>
      </c>
      <c r="V116">
        <v>108240660</v>
      </c>
      <c r="W116">
        <v>1.32</v>
      </c>
      <c r="X116">
        <v>0.08</v>
      </c>
      <c r="Y116">
        <v>-3.13</v>
      </c>
      <c r="Z116" t="s">
        <v>4242</v>
      </c>
      <c r="AA116" t="s">
        <v>4243</v>
      </c>
      <c r="AB116" t="s">
        <v>4244</v>
      </c>
      <c r="AC116" t="s">
        <v>4245</v>
      </c>
      <c r="AD116" t="s">
        <v>63</v>
      </c>
      <c r="AE116">
        <v>-814734</v>
      </c>
      <c r="AF116" t="s">
        <v>4246</v>
      </c>
      <c r="AG116">
        <v>24.4</v>
      </c>
      <c r="AH116" t="s">
        <v>4247</v>
      </c>
      <c r="AI116" t="s">
        <v>393</v>
      </c>
      <c r="AJ116" t="s">
        <v>4248</v>
      </c>
      <c r="AK116" t="s">
        <v>4249</v>
      </c>
      <c r="AL116" t="s">
        <v>4250</v>
      </c>
      <c r="AM116" t="s">
        <v>63</v>
      </c>
      <c r="AN116" t="s">
        <v>4251</v>
      </c>
      <c r="AO116" t="s">
        <v>4252</v>
      </c>
      <c r="AP116" t="s">
        <v>4253</v>
      </c>
      <c r="AQ116" t="s">
        <v>4254</v>
      </c>
      <c r="AR116" t="s">
        <v>63</v>
      </c>
      <c r="AS116" t="s">
        <v>504</v>
      </c>
      <c r="AT116" t="s">
        <v>63</v>
      </c>
      <c r="AU116" t="s">
        <v>4255</v>
      </c>
      <c r="AV116" t="s">
        <v>4256</v>
      </c>
      <c r="AW116" t="s">
        <v>4257</v>
      </c>
      <c r="AX116" t="s">
        <v>840</v>
      </c>
      <c r="AY116" t="s">
        <v>311</v>
      </c>
      <c r="AZ116" t="s">
        <v>599</v>
      </c>
      <c r="BA116" t="s">
        <v>215</v>
      </c>
      <c r="BB116" t="s">
        <v>572</v>
      </c>
      <c r="BC116" t="s">
        <v>4258</v>
      </c>
      <c r="BD116" t="s">
        <v>178</v>
      </c>
      <c r="BE116" t="s">
        <v>1093</v>
      </c>
      <c r="BF116" t="s">
        <v>1094</v>
      </c>
      <c r="BG116" t="s">
        <v>1095</v>
      </c>
      <c r="BH116" t="s">
        <v>251</v>
      </c>
      <c r="BI116" t="s">
        <v>325</v>
      </c>
      <c r="BJ116" t="s">
        <v>840</v>
      </c>
      <c r="BK116" t="s">
        <v>4259</v>
      </c>
      <c r="BL116" t="s">
        <v>1956</v>
      </c>
      <c r="BM116" t="s">
        <v>4258</v>
      </c>
      <c r="BN116" t="s">
        <v>63</v>
      </c>
      <c r="BO116">
        <v>5.69</v>
      </c>
      <c r="BP116">
        <v>17.399999999999999</v>
      </c>
      <c r="BQ116">
        <v>-2.37</v>
      </c>
      <c r="BR116">
        <v>7.14</v>
      </c>
      <c r="BS116">
        <v>19.579999999999998</v>
      </c>
      <c r="BT116" t="s">
        <v>1445</v>
      </c>
      <c r="BU116" t="s">
        <v>2052</v>
      </c>
      <c r="BV116">
        <v>32.130000000000003</v>
      </c>
      <c r="BW116">
        <v>38.74</v>
      </c>
      <c r="BX116">
        <v>44.78</v>
      </c>
      <c r="BY116">
        <v>-10.37</v>
      </c>
      <c r="BZ116">
        <v>10.84</v>
      </c>
      <c r="CA116">
        <v>19.98</v>
      </c>
      <c r="CB116">
        <v>-4.84</v>
      </c>
      <c r="CC116">
        <v>-20.53</v>
      </c>
      <c r="CD116" t="s">
        <v>4260</v>
      </c>
      <c r="CE116" t="s">
        <v>4261</v>
      </c>
      <c r="CF116" s="9">
        <v>-0.42753503649635038</v>
      </c>
      <c r="CG116" s="10">
        <v>0.83691698577443552</v>
      </c>
      <c r="CH116" s="9">
        <v>-0.83348679542541504</v>
      </c>
      <c r="CI116" s="9">
        <v>-7.1005918085575104E-2</v>
      </c>
      <c r="CJ116" s="9">
        <v>0.39669421315193176</v>
      </c>
      <c r="CK116" s="9">
        <v>0.54468083381652832</v>
      </c>
      <c r="CL116" s="9">
        <v>0.44171780347824097</v>
      </c>
      <c r="CM116" s="10">
        <v>-1.0180861949920654</v>
      </c>
      <c r="CN116" s="10">
        <v>-0.47960400581359863</v>
      </c>
      <c r="CO116" s="10">
        <v>0.32121339440345764</v>
      </c>
      <c r="CP116" s="10">
        <v>1.4098395109176636</v>
      </c>
      <c r="CQ116" s="10">
        <v>1.4700677394866943</v>
      </c>
      <c r="CR116">
        <v>22.174756607090853</v>
      </c>
      <c r="CS116">
        <v>2.3166266467313537</v>
      </c>
      <c r="CT116">
        <v>0</v>
      </c>
      <c r="CU116" s="9">
        <v>9.5720027387142179E-2</v>
      </c>
      <c r="CV116" s="10">
        <v>0.34068608880043028</v>
      </c>
      <c r="CW116">
        <v>0.06</v>
      </c>
      <c r="CX116" t="e">
        <v>#VALUE!</v>
      </c>
      <c r="CY116" t="s">
        <v>1308</v>
      </c>
      <c r="CZ116">
        <v>9.5720027387142179E-2</v>
      </c>
      <c r="DA116" t="e">
        <v>#VALUE!</v>
      </c>
      <c r="DB116" t="s">
        <v>1309</v>
      </c>
      <c r="DC116">
        <v>9.0934026017785066E-2</v>
      </c>
      <c r="DD116" t="e">
        <v>#VALUE!</v>
      </c>
      <c r="DE116" t="s">
        <v>1309</v>
      </c>
      <c r="DF116">
        <v>8.423362410068512E-2</v>
      </c>
      <c r="DG116" t="e">
        <v>#VALUE!</v>
      </c>
      <c r="DH116" t="s">
        <v>1309</v>
      </c>
      <c r="DI116">
        <v>7.6576021909713743E-2</v>
      </c>
      <c r="DJ116" t="e">
        <v>#VALUE!</v>
      </c>
      <c r="DK116" t="s">
        <v>1309</v>
      </c>
      <c r="DL116">
        <v>6.7004019170999518E-2</v>
      </c>
      <c r="DM116">
        <v>-941200</v>
      </c>
      <c r="DN116">
        <v>9.5720027387142179E-2</v>
      </c>
      <c r="DO116">
        <v>583226110</v>
      </c>
      <c r="DP116">
        <v>531473400</v>
      </c>
      <c r="DQ116">
        <v>4796</v>
      </c>
      <c r="DR116">
        <v>-0.52325506388349252</v>
      </c>
      <c r="DS116">
        <v>0.49623089697400524</v>
      </c>
      <c r="DT116" s="11">
        <v>-0.42333333333333339</v>
      </c>
      <c r="DU116">
        <v>-0.57166666666666688</v>
      </c>
      <c r="DV116">
        <v>-0.99500000000000033</v>
      </c>
      <c r="DW116">
        <v>-8.235752557233317</v>
      </c>
      <c r="DX116">
        <v>0.36293432415581361</v>
      </c>
      <c r="DY116">
        <v>-8.0336971324361492</v>
      </c>
      <c r="DZ116">
        <v>1619</v>
      </c>
      <c r="EA116">
        <v>-8.0230208785390609</v>
      </c>
      <c r="EB116">
        <v>8</v>
      </c>
      <c r="EC116">
        <v>9.3612696005364343E-2</v>
      </c>
      <c r="ED116">
        <v>0.65493503088395799</v>
      </c>
      <c r="EE116" s="12">
        <v>-2.04861</v>
      </c>
      <c r="EF116">
        <v>-2.07741</v>
      </c>
      <c r="EG116">
        <v>22.142934324155814</v>
      </c>
      <c r="EH116" t="s">
        <v>1501</v>
      </c>
      <c r="EI116">
        <v>0</v>
      </c>
      <c r="EJ116">
        <v>0</v>
      </c>
      <c r="EK116" s="14">
        <v>45470</v>
      </c>
      <c r="EL116" s="15">
        <v>-1.63</v>
      </c>
      <c r="EM116" s="15">
        <v>-2.99</v>
      </c>
      <c r="EN116" s="15">
        <v>-1.62</v>
      </c>
      <c r="EO116" s="15">
        <v>1.55</v>
      </c>
      <c r="EP116" s="15">
        <v>-2.88</v>
      </c>
    </row>
    <row r="117" spans="1:146" ht="192" x14ac:dyDescent="0.25">
      <c r="A117" s="7"/>
      <c r="B117" s="7"/>
      <c r="C117" s="7" t="str">
        <f>"公司是国内证券行情交易系统软件产品的重要提供商,主营业务是面向证券公司等金融机构客户提供安全、稳定、可靠的金融软件解决方案,为证券公司等金融机构建设其投资者行情交易终端、终端用户信息系统以及客户服务系统等。同时为终端投资者客户提供专业、高效的证券信息服务。"&amp;CHAR(10)&amp;Basic_Fundamental_Information_Constructure(F117)&amp;CHAR(10)&amp;Basic_Fundamental_Information_Concatenate("证券行情交易系统及维护服务 2.68亿 82.21% 91.43% 96.29%
证券信息服务收入 5472.63万 16.77% 7.66% 39.53%
其他业务 331.48万 1.02% 0.92% 78.26%")</f>
        <v>公司是国内证券行情交易系统软件产品的重要提供商,主营业务是面向证券公司等金融机构客户提供安全、稳定、可靠的金融软件解决方案,为证券公司等金融机构建设其投资者行情交易终端、终端用户信息系统以及客户服务系统等。同时为终端投资者客户提供专业、高效的证券信息服务。
市值137.33492亿, 利润5019.26万; PE45.07; 平均PE78.39; 平均PEG16.83, PB3.94; ROIC5.4867%; ROE6.8033%; 股利率1.0657%; 毛利85.2367%; 净利68.5033%; 上一年度营收增-77.87%, 利润增-67.41%; 当季营收增-51.67%, 利润增-57.82%; 过往5年营收增-4.66%, 利润增-7.25%
Income profile:
证券行情交易系统及维护服务 2.68亿 82.21% 91.43% 96.29%
证券信息服务收入 5472.63万 16.77% 7.66% 39.53%
其他业务 331.48万 1.02% 0.92% 78.26%</v>
      </c>
      <c r="D117" t="s">
        <v>156</v>
      </c>
      <c r="E117" t="s">
        <v>157</v>
      </c>
      <c r="F117">
        <v>75.069999999999993</v>
      </c>
      <c r="G117">
        <v>2.2799999999999998</v>
      </c>
      <c r="H117" t="s">
        <v>4262</v>
      </c>
      <c r="I117">
        <v>13733492000</v>
      </c>
      <c r="J117">
        <v>45.07</v>
      </c>
      <c r="K117">
        <v>3.94</v>
      </c>
      <c r="L117" t="s">
        <v>1303</v>
      </c>
      <c r="M117" t="s">
        <v>756</v>
      </c>
      <c r="N117" t="s">
        <v>4263</v>
      </c>
      <c r="O117" t="s">
        <v>4264</v>
      </c>
      <c r="P117">
        <v>9.16</v>
      </c>
      <c r="Q117" t="s">
        <v>4264</v>
      </c>
      <c r="R117">
        <v>50192583</v>
      </c>
      <c r="S117" s="5">
        <v>-0.10639999999999999</v>
      </c>
      <c r="T117" t="s">
        <v>4265</v>
      </c>
      <c r="U117">
        <v>182942480</v>
      </c>
      <c r="V117">
        <v>182942480</v>
      </c>
      <c r="W117">
        <v>1.08</v>
      </c>
      <c r="X117">
        <v>0.02</v>
      </c>
      <c r="Y117">
        <v>70.650000000000006</v>
      </c>
      <c r="Z117" t="s">
        <v>4266</v>
      </c>
      <c r="AA117" t="s">
        <v>4267</v>
      </c>
      <c r="AB117" t="s">
        <v>4268</v>
      </c>
      <c r="AC117" t="s">
        <v>4269</v>
      </c>
      <c r="AD117" t="s">
        <v>63</v>
      </c>
      <c r="AE117">
        <v>-8193839</v>
      </c>
      <c r="AF117" t="s">
        <v>4270</v>
      </c>
      <c r="AG117" t="s">
        <v>63</v>
      </c>
      <c r="AH117" t="s">
        <v>4271</v>
      </c>
      <c r="AI117" t="s">
        <v>483</v>
      </c>
      <c r="AJ117" t="s">
        <v>4272</v>
      </c>
      <c r="AK117" t="s">
        <v>63</v>
      </c>
      <c r="AL117" t="s">
        <v>4273</v>
      </c>
      <c r="AM117" t="s">
        <v>63</v>
      </c>
      <c r="AN117" t="s">
        <v>4274</v>
      </c>
      <c r="AO117" t="s">
        <v>429</v>
      </c>
      <c r="AP117" t="s">
        <v>63</v>
      </c>
      <c r="AQ117" t="s">
        <v>4275</v>
      </c>
      <c r="AR117">
        <v>571.39</v>
      </c>
      <c r="AS117" t="s">
        <v>393</v>
      </c>
      <c r="AT117" t="s">
        <v>63</v>
      </c>
      <c r="AU117" t="s">
        <v>4276</v>
      </c>
      <c r="AV117" t="s">
        <v>4277</v>
      </c>
      <c r="AW117" t="s">
        <v>429</v>
      </c>
      <c r="AX117" t="s">
        <v>564</v>
      </c>
      <c r="AY117" t="s">
        <v>643</v>
      </c>
      <c r="AZ117" t="s">
        <v>849</v>
      </c>
      <c r="BA117" t="s">
        <v>542</v>
      </c>
      <c r="BB117" t="s">
        <v>244</v>
      </c>
      <c r="BC117" t="s">
        <v>286</v>
      </c>
      <c r="BD117" t="s">
        <v>333</v>
      </c>
      <c r="BE117" t="s">
        <v>468</v>
      </c>
      <c r="BF117" t="s">
        <v>297</v>
      </c>
      <c r="BG117" t="s">
        <v>353</v>
      </c>
      <c r="BH117" t="s">
        <v>399</v>
      </c>
      <c r="BI117" t="s">
        <v>408</v>
      </c>
      <c r="BJ117" t="s">
        <v>564</v>
      </c>
      <c r="BK117" t="s">
        <v>815</v>
      </c>
      <c r="BL117" t="s">
        <v>211</v>
      </c>
      <c r="BM117" t="s">
        <v>286</v>
      </c>
      <c r="BN117">
        <v>5.08</v>
      </c>
      <c r="BO117">
        <v>3.41</v>
      </c>
      <c r="BP117">
        <v>7.97</v>
      </c>
      <c r="BQ117">
        <v>6.07</v>
      </c>
      <c r="BR117">
        <v>4.91</v>
      </c>
      <c r="BS117">
        <v>9.43</v>
      </c>
      <c r="BT117" t="s">
        <v>4278</v>
      </c>
      <c r="BU117" t="s">
        <v>2052</v>
      </c>
      <c r="BV117">
        <v>85.46</v>
      </c>
      <c r="BW117">
        <v>83.66</v>
      </c>
      <c r="BX117">
        <v>86.59</v>
      </c>
      <c r="BY117">
        <v>71.430000000000007</v>
      </c>
      <c r="BZ117">
        <v>47.75</v>
      </c>
      <c r="CA117">
        <v>86.33</v>
      </c>
      <c r="CB117">
        <v>-4.87</v>
      </c>
      <c r="CC117">
        <v>-9.5399999999999991</v>
      </c>
      <c r="CD117" t="s">
        <v>4279</v>
      </c>
      <c r="CE117" t="s">
        <v>4280</v>
      </c>
      <c r="CF117" s="9">
        <v>-0.51669251700680274</v>
      </c>
      <c r="CG117" s="10">
        <v>-0.57821358823529412</v>
      </c>
      <c r="CH117" s="9">
        <v>-0.77867227792739868</v>
      </c>
      <c r="CI117" s="9">
        <v>-1.5337423421442509E-2</v>
      </c>
      <c r="CJ117" s="9">
        <v>0.19413919746875763</v>
      </c>
      <c r="CK117" s="9">
        <v>0.20796459913253784</v>
      </c>
      <c r="CL117" s="9">
        <v>0.15897436439990997</v>
      </c>
      <c r="CM117" s="10">
        <v>-0.67407405376434326</v>
      </c>
      <c r="CN117" s="10">
        <v>-0.45390069484710693</v>
      </c>
      <c r="CO117" s="10">
        <v>0.17991632223129272</v>
      </c>
      <c r="CP117" s="10">
        <v>0.30601093173027039</v>
      </c>
      <c r="CQ117" s="10">
        <v>0.27972027659416199</v>
      </c>
      <c r="CR117">
        <v>78.388063234082892</v>
      </c>
      <c r="CS117">
        <v>16.82641670533188</v>
      </c>
      <c r="CT117">
        <v>1.0656720394298655</v>
      </c>
      <c r="CU117" s="9">
        <v>-4.6586308069527148E-2</v>
      </c>
      <c r="CV117" s="10">
        <v>-7.2465443611145014E-2</v>
      </c>
      <c r="CW117">
        <v>0.06</v>
      </c>
      <c r="CX117">
        <v>208.26759323087467</v>
      </c>
      <c r="CY117" t="s">
        <v>4281</v>
      </c>
      <c r="CZ117">
        <v>-4.6586308069527148E-2</v>
      </c>
      <c r="DA117">
        <v>69.422531076958222</v>
      </c>
      <c r="DB117" t="s">
        <v>4282</v>
      </c>
      <c r="DC117">
        <v>-4.4256992666050786E-2</v>
      </c>
      <c r="DD117">
        <v>34.711265538479111</v>
      </c>
      <c r="DE117" t="s">
        <v>4283</v>
      </c>
      <c r="DF117">
        <v>-4.099595110118389E-2</v>
      </c>
      <c r="DG117">
        <v>20.826759323087469</v>
      </c>
      <c r="DH117" t="s">
        <v>4284</v>
      </c>
      <c r="DI117">
        <v>-3.7269046455621721E-2</v>
      </c>
      <c r="DJ117">
        <v>10.413379661543734</v>
      </c>
      <c r="DK117" t="s">
        <v>4285</v>
      </c>
      <c r="DL117">
        <v>-3.2610415648669004E-2</v>
      </c>
      <c r="DM117">
        <v>50192600</v>
      </c>
      <c r="DN117">
        <v>-4.6586308069527148E-2</v>
      </c>
      <c r="DO117">
        <v>10453492000</v>
      </c>
      <c r="DP117">
        <v>2594154500</v>
      </c>
      <c r="DQ117">
        <v>4817</v>
      </c>
      <c r="DR117">
        <v>-0.47010620893727562</v>
      </c>
      <c r="DS117">
        <v>-0.50574814462414908</v>
      </c>
      <c r="DT117" s="11">
        <v>-0.42333333333333339</v>
      </c>
      <c r="DU117">
        <v>-0.35333333333333333</v>
      </c>
      <c r="DV117">
        <v>-0.77666666666666673</v>
      </c>
      <c r="DW117">
        <v>-8.5104821802935007</v>
      </c>
      <c r="DX117">
        <v>0.39264511709636807</v>
      </c>
      <c r="DY117">
        <v>-8.0728177903835761</v>
      </c>
      <c r="DZ117">
        <v>3668</v>
      </c>
      <c r="EA117">
        <v>-8.0205485819438582</v>
      </c>
      <c r="EB117">
        <v>8</v>
      </c>
      <c r="EC117">
        <v>6.2832864187694404E-2</v>
      </c>
      <c r="ED117">
        <v>0.44048380671345444</v>
      </c>
      <c r="EE117" s="12">
        <v>5.6810000000000006E-2</v>
      </c>
      <c r="EF117">
        <v>9.5210000000000003E-2</v>
      </c>
      <c r="EG117">
        <v>25.142645117096368</v>
      </c>
      <c r="EH117">
        <v>-1</v>
      </c>
      <c r="EI117">
        <v>0</v>
      </c>
      <c r="EJ117">
        <v>0</v>
      </c>
      <c r="EK117" s="14">
        <v>45470</v>
      </c>
      <c r="EL117" s="15">
        <v>4.8099999999999996</v>
      </c>
      <c r="EM117" s="15">
        <v>-7.32</v>
      </c>
      <c r="EN117" s="15">
        <v>-0.11</v>
      </c>
      <c r="EO117" s="15">
        <v>2.0099999999999998</v>
      </c>
      <c r="EP117" s="15">
        <v>-3.84</v>
      </c>
    </row>
    <row r="118" spans="1:146" ht="96" x14ac:dyDescent="0.25">
      <c r="A118" s="7"/>
      <c r="B118" s="7"/>
      <c r="C118" s="7" t="str">
        <f>""&amp;CHAR(10)&amp;Basic_Fundamental_Information_Constructure(F118)&amp;CHAR(10)&amp;Basic_Fundamental_Information_Concatenate("")</f>
        <v xml:space="preserve">
市值69.739118亿, 利润-1.92亿; PE; 平均PE186.14; 平均PEG29.8, PB1.54; ROIC7.145%; ROE4.4933%; 股利率0%; 毛利28.49%; 净利1.89%; 上一年度营收增-77.9%, 利润增-181.36%; 当季营收增-47.61%, 利润增-115.26%; 过往5年营收增6.25%, 利润增-37.06%
Income profile:
</v>
      </c>
      <c r="D118" t="s">
        <v>1295</v>
      </c>
      <c r="E118" t="s">
        <v>1296</v>
      </c>
      <c r="F118">
        <v>58.12</v>
      </c>
      <c r="G118">
        <v>2.87</v>
      </c>
      <c r="H118" t="s">
        <v>4286</v>
      </c>
      <c r="I118">
        <v>6973911800</v>
      </c>
      <c r="K118">
        <v>1.54</v>
      </c>
      <c r="L118" t="s">
        <v>1303</v>
      </c>
      <c r="M118" t="s">
        <v>4287</v>
      </c>
      <c r="N118" t="s">
        <v>4288</v>
      </c>
      <c r="O118" t="s">
        <v>3773</v>
      </c>
      <c r="P118">
        <v>20.350000000000001</v>
      </c>
      <c r="Q118" t="s">
        <v>3773</v>
      </c>
      <c r="R118">
        <v>-191700100</v>
      </c>
      <c r="S118" s="5">
        <v>-1.1910000000000001</v>
      </c>
      <c r="T118" t="s">
        <v>1915</v>
      </c>
      <c r="U118">
        <v>79477291</v>
      </c>
      <c r="V118">
        <v>119991600</v>
      </c>
      <c r="W118">
        <v>1.96</v>
      </c>
      <c r="X118">
        <v>0.1</v>
      </c>
      <c r="Y118">
        <v>-21.57</v>
      </c>
      <c r="Z118" t="s">
        <v>1512</v>
      </c>
      <c r="AA118" t="s">
        <v>634</v>
      </c>
      <c r="AB118" t="s">
        <v>4289</v>
      </c>
      <c r="AC118" t="s">
        <v>4290</v>
      </c>
      <c r="AD118" t="s">
        <v>63</v>
      </c>
      <c r="AE118">
        <v>-14881470</v>
      </c>
      <c r="AF118" t="s">
        <v>4291</v>
      </c>
      <c r="AG118" t="s">
        <v>4292</v>
      </c>
      <c r="AH118" t="s">
        <v>4293</v>
      </c>
      <c r="AI118" t="s">
        <v>4294</v>
      </c>
      <c r="AJ118" t="s">
        <v>4295</v>
      </c>
      <c r="AK118" t="s">
        <v>449</v>
      </c>
      <c r="AL118" t="s">
        <v>4296</v>
      </c>
      <c r="AM118" t="s">
        <v>63</v>
      </c>
      <c r="AN118" t="s">
        <v>317</v>
      </c>
      <c r="AO118" t="s">
        <v>369</v>
      </c>
      <c r="AP118" t="s">
        <v>4297</v>
      </c>
      <c r="AQ118" t="s">
        <v>1249</v>
      </c>
      <c r="AR118" t="s">
        <v>63</v>
      </c>
      <c r="AS118" t="s">
        <v>4298</v>
      </c>
      <c r="AT118" t="s">
        <v>4299</v>
      </c>
      <c r="AU118" t="s">
        <v>4300</v>
      </c>
      <c r="AV118" t="s">
        <v>1025</v>
      </c>
      <c r="AW118" t="s">
        <v>4301</v>
      </c>
      <c r="AX118" t="s">
        <v>1610</v>
      </c>
      <c r="AY118" t="s">
        <v>1297</v>
      </c>
      <c r="AZ118" t="s">
        <v>1110</v>
      </c>
      <c r="BA118" t="s">
        <v>1069</v>
      </c>
      <c r="BB118" t="s">
        <v>972</v>
      </c>
      <c r="BC118" t="s">
        <v>209</v>
      </c>
      <c r="BD118" t="s">
        <v>304</v>
      </c>
      <c r="BE118" t="s">
        <v>1298</v>
      </c>
      <c r="BF118" t="s">
        <v>1299</v>
      </c>
      <c r="BG118" t="s">
        <v>1300</v>
      </c>
      <c r="BH118" t="s">
        <v>4302</v>
      </c>
      <c r="BI118" t="s">
        <v>1957</v>
      </c>
      <c r="BJ118" t="s">
        <v>1610</v>
      </c>
      <c r="BK118" t="s">
        <v>4303</v>
      </c>
      <c r="BL118" t="s">
        <v>1958</v>
      </c>
      <c r="BM118" t="s">
        <v>209</v>
      </c>
      <c r="BN118" t="s">
        <v>63</v>
      </c>
      <c r="BO118">
        <v>4.82</v>
      </c>
      <c r="BP118">
        <v>9.4700000000000006</v>
      </c>
      <c r="BQ118">
        <v>-2.69</v>
      </c>
      <c r="BR118">
        <v>5.88</v>
      </c>
      <c r="BS118">
        <v>10.29</v>
      </c>
      <c r="BT118" t="s">
        <v>1445</v>
      </c>
      <c r="BU118" t="s">
        <v>2052</v>
      </c>
      <c r="BV118">
        <v>25.6</v>
      </c>
      <c r="BW118">
        <v>28.99</v>
      </c>
      <c r="BX118">
        <v>30.88</v>
      </c>
      <c r="BY118">
        <v>-4.6399999999999997</v>
      </c>
      <c r="BZ118">
        <v>5.83</v>
      </c>
      <c r="CA118">
        <v>4.4800000000000004</v>
      </c>
      <c r="CB118">
        <v>1.38</v>
      </c>
      <c r="CC118">
        <v>-1.46</v>
      </c>
      <c r="CD118" t="s">
        <v>4304</v>
      </c>
      <c r="CE118" t="s">
        <v>4305</v>
      </c>
      <c r="CF118" s="9">
        <v>-0.47613435474366528</v>
      </c>
      <c r="CG118" s="10">
        <v>-1.1526179503763991</v>
      </c>
      <c r="CH118" s="9">
        <v>-0.77896571159362793</v>
      </c>
      <c r="CI118" s="9">
        <v>0.23298598825931549</v>
      </c>
      <c r="CJ118" s="9">
        <v>0.31585308909416199</v>
      </c>
      <c r="CK118" s="9">
        <v>0.34363150596618652</v>
      </c>
      <c r="CL118" s="9">
        <v>0.19883032143115997</v>
      </c>
      <c r="CM118" s="10">
        <v>-1.8135592937469482</v>
      </c>
      <c r="CN118" s="10">
        <v>0.61643832921981812</v>
      </c>
      <c r="CO118" s="10">
        <v>0.98117071390151978</v>
      </c>
      <c r="CP118" s="10">
        <v>2.2350742816925049</v>
      </c>
      <c r="CQ118" s="10">
        <v>-3.8720264434814453</v>
      </c>
      <c r="CR118">
        <v>186.13502833830884</v>
      </c>
      <c r="CS118">
        <v>29.797319100801495</v>
      </c>
      <c r="CT118">
        <v>0</v>
      </c>
      <c r="CU118" s="9">
        <v>6.2467038631439209E-2</v>
      </c>
      <c r="CV118" s="10">
        <v>-0.37058048248291015</v>
      </c>
      <c r="CW118">
        <v>0.06</v>
      </c>
      <c r="CX118" t="e">
        <v>#VALUE!</v>
      </c>
      <c r="CY118" t="s">
        <v>1308</v>
      </c>
      <c r="CZ118">
        <v>6.2467038631439209E-2</v>
      </c>
      <c r="DA118" t="e">
        <v>#VALUE!</v>
      </c>
      <c r="DB118" t="s">
        <v>1309</v>
      </c>
      <c r="DC118">
        <v>5.9343686699867247E-2</v>
      </c>
      <c r="DD118" t="e">
        <v>#VALUE!</v>
      </c>
      <c r="DE118" t="s">
        <v>1309</v>
      </c>
      <c r="DF118">
        <v>5.4970993995666503E-2</v>
      </c>
      <c r="DG118" t="e">
        <v>#VALUE!</v>
      </c>
      <c r="DH118" t="s">
        <v>1309</v>
      </c>
      <c r="DI118">
        <v>4.9973630905151369E-2</v>
      </c>
      <c r="DJ118" t="e">
        <v>#VALUE!</v>
      </c>
      <c r="DK118" t="s">
        <v>1309</v>
      </c>
      <c r="DL118">
        <v>4.3726927042007445E-2</v>
      </c>
      <c r="DM118">
        <v>-192000000</v>
      </c>
      <c r="DN118">
        <v>6.2467038631439209E-2</v>
      </c>
      <c r="DO118">
        <v>6719911800</v>
      </c>
      <c r="DP118">
        <v>2046617100</v>
      </c>
      <c r="DQ118">
        <v>4824</v>
      </c>
      <c r="DR118">
        <v>-0.53860139337510449</v>
      </c>
      <c r="DS118">
        <v>-0.78203746789348894</v>
      </c>
      <c r="DT118" s="11">
        <v>-0.27333333333333343</v>
      </c>
      <c r="DU118">
        <v>-1.2666666666666666</v>
      </c>
      <c r="DV118">
        <v>-1.54</v>
      </c>
      <c r="DW118">
        <v>-1.46E-2</v>
      </c>
      <c r="DX118">
        <v>0.3430160533758837</v>
      </c>
      <c r="DY118">
        <v>-1.358034379287925E-3</v>
      </c>
      <c r="DZ118">
        <v>4912</v>
      </c>
      <c r="EA118">
        <v>-5.2620510195500818E-5</v>
      </c>
      <c r="EB118">
        <v>0</v>
      </c>
      <c r="EC118">
        <v>3.7795145660196212E-2</v>
      </c>
      <c r="ED118">
        <v>0.40632927638268013</v>
      </c>
      <c r="EE118" s="12">
        <v>8.0961999999999996</v>
      </c>
      <c r="EF118">
        <v>8.0900999999999996</v>
      </c>
      <c r="EG118">
        <v>25.093016053375884</v>
      </c>
      <c r="EH118" t="s">
        <v>2010</v>
      </c>
      <c r="EI118">
        <v>0</v>
      </c>
      <c r="EJ118">
        <v>0</v>
      </c>
      <c r="EK118" s="14">
        <v>45470</v>
      </c>
      <c r="EL118" s="15">
        <v>-2.6</v>
      </c>
      <c r="EM118" s="15">
        <v>-5.61</v>
      </c>
      <c r="EN118" s="15">
        <v>-2.83</v>
      </c>
      <c r="EO118" s="15">
        <v>11.76</v>
      </c>
      <c r="EP118" s="15">
        <v>-0.61</v>
      </c>
    </row>
    <row r="119" spans="1:146" ht="156" x14ac:dyDescent="0.25">
      <c r="A119" s="8"/>
      <c r="B119" s="7"/>
      <c r="C119" s="7" t="str">
        <f>"公司的主营业务是为客户提供协同管理软件产品、解决方案、协同管理平台及云服务,集协同管理产品的设计、研发、销售及服务为一体；公司的主要产品是协同管理软件产品类和技术服务类"&amp;CHAR(10)&amp;Basic_Fundamental_Information_Constructure(F119)&amp;CHAR(10)&amp;Basic_Fundamental_Information_Concatenate("协同管理软件产品 6.72亿 88.06%（毛利74.96%）
技术服务 8930.55万 11.70%（毛利93.12%）
其他业务 180.46万 0.24%（毛利64.53%）")</f>
        <v>公司的主营业务是为客户提供协同管理软件产品、解决方案、协同管理平台及云服务,集协同管理产品的设计、研发、销售及服务为一体；公司的主要产品是协同管理软件产品类和技术服务类
市值17.791979亿, 利润-3098.07万; PE; 平均PE22.69; 平均PEG6.7, PB1.31; ROIC6.64%; ROE4.5767%; 股利率.8414%; 毛利70.9833%; 净利6.0067%; 上一年度营收增-82.27%, 利润增-132.93%; 当季营收增-61.8%, 利润增-251.13%; 过往5年营收增-3.39%, 利润增-19.24%
Income profile:
协同管理软件产品 6.72亿 88.06%（毛利74.96%）
技术服务 8930.55万 11.70%（毛利93.12%）
其他业务 180.46万 0.24%（毛利64.53%）</v>
      </c>
      <c r="D119" t="s">
        <v>134</v>
      </c>
      <c r="E119" t="s">
        <v>4306</v>
      </c>
      <c r="F119">
        <v>15.45</v>
      </c>
      <c r="G119">
        <v>2.1800000000000002</v>
      </c>
      <c r="H119" t="s">
        <v>4307</v>
      </c>
      <c r="I119">
        <v>1779197900</v>
      </c>
      <c r="K119">
        <v>1.31</v>
      </c>
      <c r="L119" t="s">
        <v>1303</v>
      </c>
      <c r="M119" t="s">
        <v>318</v>
      </c>
      <c r="N119" t="s">
        <v>2034</v>
      </c>
      <c r="O119" t="s">
        <v>297</v>
      </c>
      <c r="P119">
        <v>11.78</v>
      </c>
      <c r="Q119" t="s">
        <v>297</v>
      </c>
      <c r="R119">
        <v>-30980741</v>
      </c>
      <c r="S119" s="5">
        <v>0.23749999999999999</v>
      </c>
      <c r="T119" t="s">
        <v>4308</v>
      </c>
      <c r="U119">
        <v>115158439</v>
      </c>
      <c r="V119">
        <v>115158439</v>
      </c>
      <c r="W119">
        <v>1.29</v>
      </c>
      <c r="X119">
        <v>0.1</v>
      </c>
      <c r="Y119">
        <v>-17.670000000000002</v>
      </c>
      <c r="Z119" t="s">
        <v>205</v>
      </c>
      <c r="AA119" t="s">
        <v>4309</v>
      </c>
      <c r="AB119" t="s">
        <v>4310</v>
      </c>
      <c r="AC119" t="s">
        <v>4311</v>
      </c>
      <c r="AD119" t="s">
        <v>63</v>
      </c>
      <c r="AE119">
        <v>-5940191</v>
      </c>
      <c r="AF119" t="s">
        <v>4312</v>
      </c>
      <c r="AG119" t="s">
        <v>63</v>
      </c>
      <c r="AH119" t="s">
        <v>4313</v>
      </c>
      <c r="AI119" t="s">
        <v>3145</v>
      </c>
      <c r="AJ119" t="s">
        <v>4314</v>
      </c>
      <c r="AK119" t="s">
        <v>4315</v>
      </c>
      <c r="AL119" t="s">
        <v>4316</v>
      </c>
      <c r="AM119" t="s">
        <v>63</v>
      </c>
      <c r="AN119" t="s">
        <v>1612</v>
      </c>
      <c r="AO119" t="s">
        <v>63</v>
      </c>
      <c r="AP119" t="s">
        <v>63</v>
      </c>
      <c r="AQ119" t="s">
        <v>392</v>
      </c>
      <c r="AR119" t="s">
        <v>63</v>
      </c>
      <c r="AS119" t="s">
        <v>188</v>
      </c>
      <c r="AT119" t="s">
        <v>63</v>
      </c>
      <c r="AU119" t="s">
        <v>1336</v>
      </c>
      <c r="AV119" t="s">
        <v>4317</v>
      </c>
      <c r="AW119" t="s">
        <v>4318</v>
      </c>
      <c r="AX119" t="s">
        <v>900</v>
      </c>
      <c r="AY119" t="s">
        <v>954</v>
      </c>
      <c r="AZ119" t="s">
        <v>269</v>
      </c>
      <c r="BA119" t="s">
        <v>663</v>
      </c>
      <c r="BB119" t="s">
        <v>357</v>
      </c>
      <c r="BC119" t="s">
        <v>1611</v>
      </c>
      <c r="BD119" t="s">
        <v>185</v>
      </c>
      <c r="BE119" t="s">
        <v>174</v>
      </c>
      <c r="BF119" t="s">
        <v>664</v>
      </c>
      <c r="BG119" t="s">
        <v>1012</v>
      </c>
      <c r="BH119" t="s">
        <v>1752</v>
      </c>
      <c r="BI119" t="s">
        <v>607</v>
      </c>
      <c r="BJ119" t="s">
        <v>900</v>
      </c>
      <c r="BK119" t="s">
        <v>4319</v>
      </c>
      <c r="BL119" t="s">
        <v>1961</v>
      </c>
      <c r="BM119" t="s">
        <v>1611</v>
      </c>
      <c r="BN119" t="s">
        <v>63</v>
      </c>
      <c r="BO119">
        <v>5.27</v>
      </c>
      <c r="BP119">
        <v>8.01</v>
      </c>
      <c r="BQ119">
        <v>-2.29</v>
      </c>
      <c r="BR119">
        <v>6.53</v>
      </c>
      <c r="BS119">
        <v>9.49</v>
      </c>
      <c r="BT119" t="s">
        <v>1460</v>
      </c>
      <c r="BU119" t="s">
        <v>2031</v>
      </c>
      <c r="BV119">
        <v>68.44</v>
      </c>
      <c r="BW119">
        <v>72.22</v>
      </c>
      <c r="BX119">
        <v>72.290000000000006</v>
      </c>
      <c r="BY119">
        <v>-4.5199999999999996</v>
      </c>
      <c r="BZ119">
        <v>9.5</v>
      </c>
      <c r="CA119">
        <v>13.04</v>
      </c>
      <c r="CB119">
        <v>-0.96</v>
      </c>
      <c r="CC119">
        <v>-14.92</v>
      </c>
      <c r="CD119" t="s">
        <v>4320</v>
      </c>
      <c r="CE119" t="s">
        <v>4321</v>
      </c>
      <c r="CF119" s="9">
        <v>-0.6179540709812108</v>
      </c>
      <c r="CG119" s="10">
        <v>-2.5112556585365855</v>
      </c>
      <c r="CH119" s="9">
        <v>-0.82267439365386963</v>
      </c>
      <c r="CI119" s="9">
        <v>9.6993212355300784E-4</v>
      </c>
      <c r="CJ119" s="9">
        <v>0.35124507546424866</v>
      </c>
      <c r="CK119" s="9">
        <v>9.0000003576278687E-2</v>
      </c>
      <c r="CL119" s="9">
        <v>0.21107266843318939</v>
      </c>
      <c r="CM119" s="10">
        <v>-1.3292995691299438</v>
      </c>
      <c r="CN119" s="10">
        <v>-0.27069303393363953</v>
      </c>
      <c r="CO119" s="10">
        <v>0.1944444477558136</v>
      </c>
      <c r="CP119" s="10">
        <v>0.10807070881128311</v>
      </c>
      <c r="CQ119" s="10">
        <v>0.33556839823722839</v>
      </c>
      <c r="CR119">
        <v>22.686891329891786</v>
      </c>
      <c r="CS119">
        <v>6.6967741408310975</v>
      </c>
      <c r="CT119">
        <v>0.84142394822006483</v>
      </c>
      <c r="CU119" s="9">
        <v>-3.3877342811319974E-2</v>
      </c>
      <c r="CV119" s="10">
        <v>-0.19238180965185164</v>
      </c>
      <c r="CW119">
        <v>0.06</v>
      </c>
      <c r="CX119" t="e">
        <v>#VALUE!</v>
      </c>
      <c r="CY119" t="s">
        <v>1308</v>
      </c>
      <c r="CZ119">
        <v>-3.3877342811319974E-2</v>
      </c>
      <c r="DA119" t="e">
        <v>#VALUE!</v>
      </c>
      <c r="DB119" t="s">
        <v>1309</v>
      </c>
      <c r="DC119">
        <v>-3.2183475670753976E-2</v>
      </c>
      <c r="DD119" t="e">
        <v>#VALUE!</v>
      </c>
      <c r="DE119" t="s">
        <v>1309</v>
      </c>
      <c r="DF119">
        <v>-2.9812061673961578E-2</v>
      </c>
      <c r="DG119" t="e">
        <v>#VALUE!</v>
      </c>
      <c r="DH119" t="s">
        <v>1309</v>
      </c>
      <c r="DI119">
        <v>-2.7101874249055982E-2</v>
      </c>
      <c r="DJ119" t="e">
        <v>#VALUE!</v>
      </c>
      <c r="DK119" t="s">
        <v>1309</v>
      </c>
      <c r="DL119">
        <v>-2.3714139967923979E-2</v>
      </c>
      <c r="DM119">
        <v>-30980700</v>
      </c>
      <c r="DN119">
        <v>-3.3877342811319974E-2</v>
      </c>
      <c r="DO119">
        <v>875197900</v>
      </c>
      <c r="DP119">
        <v>1045495700</v>
      </c>
      <c r="DQ119">
        <v>4860</v>
      </c>
      <c r="DR119">
        <v>-0.58407672816989087</v>
      </c>
      <c r="DS119">
        <v>-2.318873848884734</v>
      </c>
      <c r="DT119" s="11">
        <v>-0.54</v>
      </c>
      <c r="DU119">
        <v>-1.5650000000000002</v>
      </c>
      <c r="DV119">
        <v>-2.1050000000000004</v>
      </c>
      <c r="DW119">
        <v>-2.1492</v>
      </c>
      <c r="DX119">
        <v>0.43812654171656873</v>
      </c>
      <c r="DY119">
        <v>-2.029560480024112</v>
      </c>
      <c r="DZ119">
        <v>2814</v>
      </c>
      <c r="EA119">
        <v>-2.0132819691067243</v>
      </c>
      <c r="EB119">
        <v>2</v>
      </c>
      <c r="EC119">
        <v>0.10845579454233484</v>
      </c>
      <c r="ED119">
        <v>0.54740669070722636</v>
      </c>
      <c r="EE119" s="12">
        <v>-3.0240100000000001</v>
      </c>
      <c r="EF119">
        <v>-3.0352100000000002</v>
      </c>
      <c r="EG119">
        <v>24.198126541716569</v>
      </c>
      <c r="EH119" t="s">
        <v>1471</v>
      </c>
      <c r="EI119">
        <v>0</v>
      </c>
      <c r="EJ119">
        <v>0</v>
      </c>
      <c r="EK119" s="14">
        <v>45470</v>
      </c>
      <c r="EL119" s="15">
        <v>-1.34</v>
      </c>
      <c r="EM119" s="15">
        <v>-3.27</v>
      </c>
      <c r="EN119">
        <v>-0.19</v>
      </c>
      <c r="EO119">
        <v>2.5499999999999998</v>
      </c>
      <c r="EP119">
        <v>-1.1200000000000001</v>
      </c>
    </row>
    <row r="120" spans="1:146" ht="96" x14ac:dyDescent="0.25">
      <c r="C120" s="7" t="str">
        <f>""&amp;CHAR(10)&amp;Basic_Fundamental_Information_Constructure(F120)&amp;CHAR(10)&amp;Basic_Fundamental_Information_Concatenate("")</f>
        <v xml:space="preserve">
市值19.5891亿, 利润-1217.83万; PE54.43; 平均PE108.75; 平均PEG10.52, PB1.69; ROIC6.29%; ROE6.6233%; 股利率0%; 毛利85.3333%; 净利19.44%; 上一年度营收增-82.52%, 利润增-132.95%; 当季营收增-57.62%, 利润增-3588.15%; 过往5年营收增10.34%, 利润增55.1%
Income profile:
</v>
      </c>
      <c r="D120" s="5" t="s">
        <v>1465</v>
      </c>
      <c r="E120" t="s">
        <v>1466</v>
      </c>
      <c r="F120">
        <v>23.46</v>
      </c>
      <c r="G120">
        <v>0.47</v>
      </c>
      <c r="H120" t="s">
        <v>4322</v>
      </c>
      <c r="I120">
        <v>1958910000</v>
      </c>
      <c r="J120">
        <v>54.43</v>
      </c>
      <c r="K120">
        <v>1.69</v>
      </c>
      <c r="L120" t="s">
        <v>1303</v>
      </c>
      <c r="M120" t="s">
        <v>4323</v>
      </c>
      <c r="N120" t="s">
        <v>4324</v>
      </c>
      <c r="O120" t="s">
        <v>4325</v>
      </c>
      <c r="P120" s="5">
        <v>4.67</v>
      </c>
      <c r="Q120" t="s">
        <v>4325</v>
      </c>
      <c r="R120">
        <v>-12178269</v>
      </c>
      <c r="S120">
        <v>-2.2879999999999998</v>
      </c>
      <c r="T120" t="s">
        <v>4326</v>
      </c>
      <c r="U120">
        <v>45947915</v>
      </c>
      <c r="V120">
        <v>83500000</v>
      </c>
      <c r="W120">
        <v>1.05</v>
      </c>
      <c r="X120">
        <v>0.03</v>
      </c>
      <c r="Y120">
        <v>-35.36</v>
      </c>
      <c r="Z120" t="s">
        <v>4327</v>
      </c>
      <c r="AA120" t="s">
        <v>4328</v>
      </c>
      <c r="AB120" t="s">
        <v>4329</v>
      </c>
      <c r="AC120" t="s">
        <v>4330</v>
      </c>
      <c r="AD120" t="s">
        <v>63</v>
      </c>
      <c r="AE120">
        <v>818915</v>
      </c>
      <c r="AF120" t="s">
        <v>4331</v>
      </c>
      <c r="AG120">
        <v>10000</v>
      </c>
      <c r="AH120" t="s">
        <v>4332</v>
      </c>
      <c r="AI120" t="s">
        <v>818</v>
      </c>
      <c r="AJ120" t="s">
        <v>4333</v>
      </c>
      <c r="AK120" t="s">
        <v>63</v>
      </c>
      <c r="AL120" t="s">
        <v>4334</v>
      </c>
      <c r="AM120" t="s">
        <v>63</v>
      </c>
      <c r="AN120">
        <v>0</v>
      </c>
      <c r="AO120" t="s">
        <v>63</v>
      </c>
      <c r="AP120" t="s">
        <v>63</v>
      </c>
      <c r="AQ120" t="s">
        <v>4335</v>
      </c>
      <c r="AR120" t="s">
        <v>63</v>
      </c>
      <c r="AS120" t="s">
        <v>4336</v>
      </c>
      <c r="AT120" t="s">
        <v>63</v>
      </c>
      <c r="AU120" t="s">
        <v>4337</v>
      </c>
      <c r="AV120" t="s">
        <v>614</v>
      </c>
      <c r="AW120" t="s">
        <v>4338</v>
      </c>
      <c r="AX120" t="s">
        <v>566</v>
      </c>
      <c r="AY120" t="s">
        <v>196</v>
      </c>
      <c r="AZ120" t="s">
        <v>185</v>
      </c>
      <c r="BA120" t="s">
        <v>319</v>
      </c>
      <c r="BB120" t="s">
        <v>1614</v>
      </c>
      <c r="BC120" t="s">
        <v>4339</v>
      </c>
      <c r="BD120" t="s">
        <v>1615</v>
      </c>
      <c r="BE120" t="s">
        <v>1616</v>
      </c>
      <c r="BF120" t="s">
        <v>1617</v>
      </c>
      <c r="BG120" t="s">
        <v>1618</v>
      </c>
      <c r="BH120" t="s">
        <v>292</v>
      </c>
      <c r="BI120" t="s">
        <v>1962</v>
      </c>
      <c r="BJ120" t="s">
        <v>566</v>
      </c>
      <c r="BK120" t="s">
        <v>4340</v>
      </c>
      <c r="BL120" t="s">
        <v>1963</v>
      </c>
      <c r="BM120" t="s">
        <v>4339</v>
      </c>
      <c r="BN120">
        <v>-0.11</v>
      </c>
      <c r="BO120">
        <v>9.4700000000000006</v>
      </c>
      <c r="BP120">
        <v>9.51</v>
      </c>
      <c r="BQ120">
        <v>7.0000000000000007E-2</v>
      </c>
      <c r="BR120">
        <v>9.84</v>
      </c>
      <c r="BS120">
        <v>9.9600000000000009</v>
      </c>
      <c r="BT120" t="s">
        <v>1445</v>
      </c>
      <c r="BU120" t="s">
        <v>2031</v>
      </c>
      <c r="BV120">
        <v>83.52</v>
      </c>
      <c r="BW120">
        <v>86.85</v>
      </c>
      <c r="BX120">
        <v>85.63</v>
      </c>
      <c r="BY120">
        <v>18.29</v>
      </c>
      <c r="BZ120">
        <v>18.8</v>
      </c>
      <c r="CA120">
        <v>21.23</v>
      </c>
      <c r="CB120">
        <v>-6.01</v>
      </c>
      <c r="CC120" s="9">
        <v>-19.690000000000001</v>
      </c>
      <c r="CD120" s="10" t="s">
        <v>4341</v>
      </c>
      <c r="CE120" s="9" t="s">
        <v>4342</v>
      </c>
      <c r="CF120" s="9">
        <v>-0.57624388593226072</v>
      </c>
      <c r="CG120" s="9">
        <v>-35.881493034524524</v>
      </c>
      <c r="CH120" s="9">
        <v>-0.82518982887268066</v>
      </c>
      <c r="CI120" s="9">
        <v>0.23125000298023224</v>
      </c>
      <c r="CJ120" s="10">
        <v>0.24031007289886475</v>
      </c>
      <c r="CK120" s="10">
        <v>0.26470589637756348</v>
      </c>
      <c r="CL120" s="10">
        <v>0.60590720176696777</v>
      </c>
      <c r="CM120" s="10">
        <v>-1.3294566869735718</v>
      </c>
      <c r="CN120" s="10">
        <v>8.9693471789360046E-2</v>
      </c>
      <c r="CO120">
        <v>-0.16406191885471344</v>
      </c>
      <c r="CP120">
        <v>1.2269918918609619</v>
      </c>
      <c r="CQ120">
        <v>2.9320354461669922</v>
      </c>
      <c r="CR120" s="9">
        <v>108.74888623033728</v>
      </c>
      <c r="CS120" s="10">
        <v>10.517639228647205</v>
      </c>
      <c r="CT120">
        <v>0</v>
      </c>
      <c r="CU120">
        <v>0.10339666903018951</v>
      </c>
      <c r="CV120">
        <v>0.55104044079780579</v>
      </c>
      <c r="CW120">
        <v>0.06</v>
      </c>
      <c r="CX120" t="e">
        <v>#VALUE!</v>
      </c>
      <c r="CY120" t="s">
        <v>1308</v>
      </c>
      <c r="CZ120">
        <v>0.10339666903018951</v>
      </c>
      <c r="DA120" t="e">
        <v>#VALUE!</v>
      </c>
      <c r="DB120" t="s">
        <v>1309</v>
      </c>
      <c r="DC120">
        <v>9.8226835578680033E-2</v>
      </c>
      <c r="DD120" t="e">
        <v>#VALUE!</v>
      </c>
      <c r="DE120" t="s">
        <v>1309</v>
      </c>
      <c r="DF120">
        <v>9.0989068746566773E-2</v>
      </c>
      <c r="DG120" t="e">
        <v>#VALUE!</v>
      </c>
      <c r="DH120" t="s">
        <v>1309</v>
      </c>
      <c r="DI120">
        <v>8.2717335224151617E-2</v>
      </c>
      <c r="DJ120" t="e">
        <v>#VALUE!</v>
      </c>
      <c r="DK120" t="s">
        <v>1309</v>
      </c>
      <c r="DL120">
        <v>7.2377668321132654E-2</v>
      </c>
      <c r="DM120">
        <v>-12178300</v>
      </c>
      <c r="DN120">
        <v>0.10339666903018951</v>
      </c>
      <c r="DO120">
        <v>882288400</v>
      </c>
      <c r="DP120">
        <v>1063159110</v>
      </c>
      <c r="DQ120" s="11">
        <v>4903</v>
      </c>
      <c r="DR120">
        <v>-0.67964055496245024</v>
      </c>
      <c r="DS120">
        <v>-36.43253347532233</v>
      </c>
      <c r="DT120">
        <v>-0.17333333333333334</v>
      </c>
      <c r="DU120">
        <v>-1.1133333333333335</v>
      </c>
      <c r="DV120">
        <v>-1.2866666666666668</v>
      </c>
      <c r="DW120">
        <v>-9.3052310817673938</v>
      </c>
      <c r="DX120">
        <v>0.36104949944658582</v>
      </c>
      <c r="DY120">
        <v>-9.046105002116505</v>
      </c>
      <c r="DZ120">
        <v>39</v>
      </c>
      <c r="EA120">
        <v>-9.0457531244095488</v>
      </c>
      <c r="EB120" s="12">
        <v>9</v>
      </c>
      <c r="EC120" s="12">
        <v>3.6446706586826347E-2</v>
      </c>
      <c r="ED120">
        <v>0.24128982035928143</v>
      </c>
      <c r="EE120">
        <v>-1.1130100000000001</v>
      </c>
      <c r="EF120">
        <v>-1.14181</v>
      </c>
      <c r="EG120">
        <v>21.151049499446586</v>
      </c>
      <c r="EH120" s="14" t="s">
        <v>1311</v>
      </c>
      <c r="EI120" s="15">
        <v>0</v>
      </c>
      <c r="EJ120" s="15">
        <v>1</v>
      </c>
      <c r="EK120" s="15">
        <v>45470</v>
      </c>
      <c r="EL120" s="15">
        <v>2.27</v>
      </c>
      <c r="EM120" s="15">
        <v>-2.27</v>
      </c>
      <c r="EN120">
        <v>-3.34</v>
      </c>
      <c r="EO120">
        <v>3.18</v>
      </c>
      <c r="EP120">
        <v>-2.88</v>
      </c>
    </row>
    <row r="121" spans="1:146" ht="96" x14ac:dyDescent="0.25">
      <c r="C121" s="7" t="str">
        <f>""&amp;CHAR(10)&amp;Basic_Fundamental_Information_Constructure(F121)&amp;CHAR(10)&amp;Basic_Fundamental_Information_Concatenate("")</f>
        <v xml:space="preserve">
市值21.993972亿, 利润3201.45万; PE19.9; 平均PE25.17; 平均PEG2.83, PB1.13; ROIC15.6433%; ROE12.3%; 股利率3.2808%; 毛利39.6267%; 净利17.55%; 上一年度营收增-78.4%, 利润增-70.36%; 当季营收增-60.06%, 利润增-59.29%; 过往5年营收增-8.9%, 利润增-7.45%
Income profile:
</v>
      </c>
      <c r="D121" t="s">
        <v>1619</v>
      </c>
      <c r="E121" t="s">
        <v>1620</v>
      </c>
      <c r="F121">
        <v>15.24</v>
      </c>
      <c r="G121">
        <v>0.66</v>
      </c>
      <c r="H121" t="s">
        <v>4343</v>
      </c>
      <c r="I121">
        <v>2199397200</v>
      </c>
      <c r="J121">
        <v>19.899999999999999</v>
      </c>
      <c r="K121">
        <v>1.1299999999999999</v>
      </c>
      <c r="L121" t="s">
        <v>1303</v>
      </c>
      <c r="M121" t="s">
        <v>838</v>
      </c>
      <c r="N121" t="s">
        <v>4344</v>
      </c>
      <c r="O121" t="s">
        <v>353</v>
      </c>
      <c r="P121">
        <v>-14.36</v>
      </c>
      <c r="Q121" t="s">
        <v>353</v>
      </c>
      <c r="R121">
        <v>32014502</v>
      </c>
      <c r="S121">
        <v>-0.1181</v>
      </c>
      <c r="T121" t="s">
        <v>4345</v>
      </c>
      <c r="U121">
        <v>58236224</v>
      </c>
      <c r="V121">
        <v>144317400</v>
      </c>
      <c r="W121">
        <v>1.1200000000000001</v>
      </c>
      <c r="X121">
        <v>7.0000000000000007E-2</v>
      </c>
      <c r="Y121">
        <v>22.36</v>
      </c>
      <c r="Z121" t="s">
        <v>183</v>
      </c>
      <c r="AA121" t="s">
        <v>4346</v>
      </c>
      <c r="AB121" t="s">
        <v>4347</v>
      </c>
      <c r="AC121" t="s">
        <v>4348</v>
      </c>
      <c r="AD121" t="s">
        <v>63</v>
      </c>
      <c r="AE121">
        <v>-3223803</v>
      </c>
      <c r="AF121" t="s">
        <v>176</v>
      </c>
      <c r="AG121" t="s">
        <v>4349</v>
      </c>
      <c r="AH121" t="s">
        <v>4350</v>
      </c>
      <c r="AI121" t="s">
        <v>637</v>
      </c>
      <c r="AJ121" t="s">
        <v>4351</v>
      </c>
      <c r="AK121" t="s">
        <v>4352</v>
      </c>
      <c r="AL121" t="s">
        <v>4353</v>
      </c>
      <c r="AM121" t="s">
        <v>63</v>
      </c>
      <c r="AN121" t="s">
        <v>210</v>
      </c>
      <c r="AO121" t="s">
        <v>63</v>
      </c>
      <c r="AP121" t="s">
        <v>63</v>
      </c>
      <c r="AQ121" t="s">
        <v>260</v>
      </c>
      <c r="AR121" t="s">
        <v>63</v>
      </c>
      <c r="AS121" t="s">
        <v>398</v>
      </c>
      <c r="AT121" t="s">
        <v>63</v>
      </c>
      <c r="AU121" t="s">
        <v>4354</v>
      </c>
      <c r="AV121" t="s">
        <v>4355</v>
      </c>
      <c r="AW121" t="s">
        <v>4356</v>
      </c>
      <c r="AX121" t="s">
        <v>779</v>
      </c>
      <c r="AY121" t="s">
        <v>825</v>
      </c>
      <c r="AZ121" t="s">
        <v>355</v>
      </c>
      <c r="BA121" t="s">
        <v>600</v>
      </c>
      <c r="BB121" t="s">
        <v>600</v>
      </c>
      <c r="BC121" t="s">
        <v>174</v>
      </c>
      <c r="BD121" t="s">
        <v>183</v>
      </c>
      <c r="BE121" t="s">
        <v>1621</v>
      </c>
      <c r="BF121" t="s">
        <v>1622</v>
      </c>
      <c r="BG121" t="s">
        <v>1623</v>
      </c>
      <c r="BH121" t="s">
        <v>1499</v>
      </c>
      <c r="BI121" t="s">
        <v>582</v>
      </c>
      <c r="BJ121" t="s">
        <v>779</v>
      </c>
      <c r="BK121" t="s">
        <v>200</v>
      </c>
      <c r="BL121" t="s">
        <v>1964</v>
      </c>
      <c r="BM121" t="s">
        <v>174</v>
      </c>
      <c r="BN121">
        <v>6.84</v>
      </c>
      <c r="BO121">
        <v>16.66</v>
      </c>
      <c r="BP121">
        <v>23.43</v>
      </c>
      <c r="BQ121">
        <v>7.04</v>
      </c>
      <c r="BR121">
        <v>17.559999999999999</v>
      </c>
      <c r="BS121" t="s">
        <v>63</v>
      </c>
      <c r="BT121" t="s">
        <v>1462</v>
      </c>
      <c r="BU121" t="s">
        <v>2052</v>
      </c>
      <c r="BV121">
        <v>35.07</v>
      </c>
      <c r="BW121">
        <v>40.03</v>
      </c>
      <c r="BX121">
        <v>43.78</v>
      </c>
      <c r="BY121">
        <v>15.6</v>
      </c>
      <c r="BZ121">
        <v>16.29</v>
      </c>
      <c r="CA121">
        <v>20.76</v>
      </c>
      <c r="CB121">
        <v>-4.09</v>
      </c>
      <c r="CC121" s="9">
        <v>-7.41</v>
      </c>
      <c r="CD121" s="10" t="s">
        <v>4357</v>
      </c>
      <c r="CE121" s="9" t="s">
        <v>4358</v>
      </c>
      <c r="CF121" s="9">
        <v>-0.6005586592178771</v>
      </c>
      <c r="CG121" s="9">
        <v>-0.5928860839012331</v>
      </c>
      <c r="CH121" s="9">
        <v>-0.78398793935775757</v>
      </c>
      <c r="CI121" s="9">
        <v>0.12393888086080551</v>
      </c>
      <c r="CJ121" s="10">
        <v>0.23739495873451233</v>
      </c>
      <c r="CK121" s="10">
        <v>-2.258726954460144E-2</v>
      </c>
      <c r="CL121" s="10">
        <v>0</v>
      </c>
      <c r="CM121" s="10">
        <v>-0.70356947183609009</v>
      </c>
      <c r="CN121" s="10">
        <v>-0.1147540956735611</v>
      </c>
      <c r="CO121">
        <v>0.43820273876190186</v>
      </c>
      <c r="CP121">
        <v>-8.4485486149787903E-2</v>
      </c>
      <c r="CQ121">
        <v>9.2065691947937012E-2</v>
      </c>
      <c r="CR121" s="9">
        <v>25.167429684003068</v>
      </c>
      <c r="CS121" s="10">
        <v>2.8262681119650694</v>
      </c>
      <c r="CT121">
        <v>3.2808398950131235</v>
      </c>
      <c r="CU121">
        <v>-8.9048273861408234E-2</v>
      </c>
      <c r="CV121">
        <v>-7.4508124589920038E-2</v>
      </c>
      <c r="CW121">
        <v>0.06</v>
      </c>
      <c r="CX121">
        <v>16.848528010745124</v>
      </c>
      <c r="CY121" t="s">
        <v>4359</v>
      </c>
      <c r="CZ121">
        <v>-8.9048273861408234E-2</v>
      </c>
      <c r="DA121">
        <v>5.6161760035817077</v>
      </c>
      <c r="DB121" t="s">
        <v>4360</v>
      </c>
      <c r="DC121">
        <v>-8.4595860168337825E-2</v>
      </c>
      <c r="DD121">
        <v>2.8080880017908538</v>
      </c>
      <c r="DE121" t="s">
        <v>4361</v>
      </c>
      <c r="DF121">
        <v>-7.8362480998039247E-2</v>
      </c>
      <c r="DG121">
        <v>1.6848528010745123</v>
      </c>
      <c r="DH121" t="s">
        <v>4362</v>
      </c>
      <c r="DI121">
        <v>-7.1238619089126584E-2</v>
      </c>
      <c r="DJ121">
        <v>0.84242640053725615</v>
      </c>
      <c r="DK121" t="s">
        <v>4363</v>
      </c>
      <c r="DL121">
        <v>-6.2333791702985759E-2</v>
      </c>
      <c r="DM121">
        <v>32014500</v>
      </c>
      <c r="DN121">
        <v>-8.9048273861408234E-2</v>
      </c>
      <c r="DO121">
        <v>539397199.99999976</v>
      </c>
      <c r="DP121">
        <v>1641564800</v>
      </c>
      <c r="DQ121" s="11">
        <v>4918</v>
      </c>
      <c r="DR121">
        <v>-0.51151038535646887</v>
      </c>
      <c r="DS121">
        <v>-0.51837795931131303</v>
      </c>
      <c r="DT121">
        <v>-0.64</v>
      </c>
      <c r="DU121">
        <v>-0.42</v>
      </c>
      <c r="DV121">
        <v>-1.06</v>
      </c>
      <c r="DW121">
        <v>-8.5519568151147105</v>
      </c>
      <c r="DX121">
        <v>0.27771969240323802</v>
      </c>
      <c r="DY121">
        <v>-8.0649761864951746</v>
      </c>
      <c r="DZ121">
        <v>47</v>
      </c>
      <c r="EA121">
        <v>-8.0643785581653749</v>
      </c>
      <c r="EB121" s="12">
        <v>8</v>
      </c>
      <c r="EC121" s="12">
        <v>2.2328561905910167E-2</v>
      </c>
      <c r="ED121">
        <v>0.18967567320364695</v>
      </c>
      <c r="EE121">
        <v>3.0951</v>
      </c>
      <c r="EF121">
        <v>3.07</v>
      </c>
      <c r="EG121">
        <v>16.117719692403238</v>
      </c>
      <c r="EH121" s="14" t="s">
        <v>1489</v>
      </c>
      <c r="EI121" s="15">
        <v>0</v>
      </c>
      <c r="EJ121" s="15">
        <v>1</v>
      </c>
      <c r="EK121" s="15">
        <v>45470</v>
      </c>
      <c r="EL121" s="15">
        <v>2.78</v>
      </c>
      <c r="EM121" s="15">
        <v>-2.6</v>
      </c>
      <c r="EN121">
        <v>-2.95</v>
      </c>
      <c r="EO121">
        <v>1.34</v>
      </c>
      <c r="EP121">
        <v>-2.5099999999999998</v>
      </c>
    </row>
    <row r="122" spans="1:146" ht="96" x14ac:dyDescent="0.25">
      <c r="C122" s="7" t="str">
        <f>""&amp;CHAR(10)&amp;Basic_Fundamental_Information_Constructure(F122)&amp;CHAR(10)&amp;Basic_Fundamental_Information_Concatenate("")</f>
        <v xml:space="preserve">
市值40.517764亿, 利润-2126.80万; PE72.72; 平均PE196.85; 平均PEG82.53, PB1.42; ROIC10.695%; ROE4.335%; 股利率.8357%; 毛利68.7133%; 净利21.4367%; 上一年度营收增-88.11%, 利润增-139.55%; 当季营收增48.25%, 利润增33.63%; 过往5年营收增2.39%, 利润增70.19%
Income profile:
</v>
      </c>
      <c r="D122" t="s">
        <v>1624</v>
      </c>
      <c r="E122" t="s">
        <v>1625</v>
      </c>
      <c r="F122">
        <v>45.47</v>
      </c>
      <c r="G122">
        <v>0.35</v>
      </c>
      <c r="H122" t="s">
        <v>4364</v>
      </c>
      <c r="I122">
        <v>4051776400</v>
      </c>
      <c r="J122">
        <v>72.72</v>
      </c>
      <c r="K122">
        <v>1.42</v>
      </c>
      <c r="L122" t="s">
        <v>1303</v>
      </c>
      <c r="M122" t="s">
        <v>461</v>
      </c>
      <c r="N122" t="s">
        <v>4365</v>
      </c>
      <c r="O122" t="s">
        <v>4366</v>
      </c>
      <c r="P122" s="5">
        <v>346.22</v>
      </c>
      <c r="Q122" t="s">
        <v>4366</v>
      </c>
      <c r="R122">
        <v>-21268019</v>
      </c>
      <c r="S122">
        <v>-0.09</v>
      </c>
      <c r="T122" t="s">
        <v>4367</v>
      </c>
      <c r="U122">
        <v>45504743</v>
      </c>
      <c r="V122">
        <v>89108784</v>
      </c>
      <c r="W122">
        <v>1.04</v>
      </c>
      <c r="X122">
        <v>0.01</v>
      </c>
      <c r="Y122">
        <v>-69.06</v>
      </c>
      <c r="Z122" t="s">
        <v>4368</v>
      </c>
      <c r="AA122" t="s">
        <v>4369</v>
      </c>
      <c r="AB122" t="s">
        <v>4370</v>
      </c>
      <c r="AC122" t="s">
        <v>4371</v>
      </c>
      <c r="AD122" t="s">
        <v>63</v>
      </c>
      <c r="AE122">
        <v>-9516816</v>
      </c>
      <c r="AF122" t="s">
        <v>4372</v>
      </c>
      <c r="AG122">
        <v>40.56</v>
      </c>
      <c r="AH122" t="s">
        <v>4373</v>
      </c>
      <c r="AI122" t="s">
        <v>1775</v>
      </c>
      <c r="AJ122" t="s">
        <v>4374</v>
      </c>
      <c r="AK122" t="s">
        <v>4375</v>
      </c>
      <c r="AL122" t="s">
        <v>4376</v>
      </c>
      <c r="AM122" t="s">
        <v>63</v>
      </c>
      <c r="AN122" t="s">
        <v>4377</v>
      </c>
      <c r="AO122" t="s">
        <v>63</v>
      </c>
      <c r="AP122" t="s">
        <v>63</v>
      </c>
      <c r="AQ122" t="s">
        <v>4378</v>
      </c>
      <c r="AR122" t="s">
        <v>63</v>
      </c>
      <c r="AS122" t="s">
        <v>211</v>
      </c>
      <c r="AT122" t="s">
        <v>63</v>
      </c>
      <c r="AU122" t="s">
        <v>4379</v>
      </c>
      <c r="AV122" t="s">
        <v>4380</v>
      </c>
      <c r="AW122" t="s">
        <v>4381</v>
      </c>
      <c r="AX122" t="s">
        <v>330</v>
      </c>
      <c r="AY122" t="s">
        <v>337</v>
      </c>
      <c r="AZ122" t="s">
        <v>208</v>
      </c>
      <c r="BA122" t="s">
        <v>514</v>
      </c>
      <c r="BB122" t="s">
        <v>63</v>
      </c>
      <c r="BC122" t="s">
        <v>1626</v>
      </c>
      <c r="BD122" t="s">
        <v>1627</v>
      </c>
      <c r="BE122" t="s">
        <v>1628</v>
      </c>
      <c r="BF122" t="s">
        <v>1629</v>
      </c>
      <c r="BG122" t="s">
        <v>63</v>
      </c>
      <c r="BH122" t="s">
        <v>222</v>
      </c>
      <c r="BI122" t="s">
        <v>1965</v>
      </c>
      <c r="BJ122" t="s">
        <v>330</v>
      </c>
      <c r="BK122" t="s">
        <v>4382</v>
      </c>
      <c r="BL122" t="s">
        <v>1966</v>
      </c>
      <c r="BM122" t="s">
        <v>1626</v>
      </c>
      <c r="BN122" t="s">
        <v>63</v>
      </c>
      <c r="BO122">
        <v>9.7799999999999994</v>
      </c>
      <c r="BP122">
        <v>11.61</v>
      </c>
      <c r="BQ122">
        <v>-2.0699999999999998</v>
      </c>
      <c r="BR122">
        <v>10.74</v>
      </c>
      <c r="BS122" t="s">
        <v>63</v>
      </c>
      <c r="BT122" t="s">
        <v>4383</v>
      </c>
      <c r="BU122" t="s">
        <v>2052</v>
      </c>
      <c r="BV122">
        <v>69.44</v>
      </c>
      <c r="BW122">
        <v>63.41</v>
      </c>
      <c r="BX122">
        <v>73.290000000000006</v>
      </c>
      <c r="BY122">
        <v>18.12</v>
      </c>
      <c r="BZ122">
        <v>20.059999999999999</v>
      </c>
      <c r="CA122">
        <v>26.13</v>
      </c>
      <c r="CB122">
        <v>-6.44</v>
      </c>
      <c r="CC122" s="9">
        <v>-20.059999999999999</v>
      </c>
      <c r="CD122" s="10" t="s">
        <v>4384</v>
      </c>
      <c r="CE122" s="9" t="s">
        <v>4385</v>
      </c>
      <c r="CF122" s="9">
        <v>0.48251091032596055</v>
      </c>
      <c r="CG122" s="9">
        <v>0.3362952965260701</v>
      </c>
      <c r="CH122" s="9">
        <v>-0.8811037540435791</v>
      </c>
      <c r="CI122" s="9">
        <v>0.38860103487968445</v>
      </c>
      <c r="CJ122" s="10">
        <v>0.19135802984237671</v>
      </c>
      <c r="CK122" s="10">
        <v>0.39655172824859619</v>
      </c>
      <c r="CL122" s="10" t="s">
        <v>63</v>
      </c>
      <c r="CM122" s="10">
        <v>-1.395527720451355</v>
      </c>
      <c r="CN122" s="10">
        <v>6.7812629044055939E-2</v>
      </c>
      <c r="CO122">
        <v>0.54237073659896851</v>
      </c>
      <c r="CP122">
        <v>3.5929775238037109</v>
      </c>
      <c r="CQ122" t="s">
        <v>63</v>
      </c>
      <c r="CR122" s="9">
        <v>196.84660760942546</v>
      </c>
      <c r="CS122" s="10">
        <v>82.529175969869385</v>
      </c>
      <c r="CT122">
        <v>0.83571585660875303</v>
      </c>
      <c r="CU122">
        <v>2.3851759731769562E-2</v>
      </c>
      <c r="CV122">
        <v>0.7019082922488451</v>
      </c>
      <c r="CW122">
        <v>0.06</v>
      </c>
      <c r="CX122" t="e">
        <v>#VALUE!</v>
      </c>
      <c r="CY122" t="s">
        <v>1308</v>
      </c>
      <c r="CZ122">
        <v>2.3851759731769562E-2</v>
      </c>
      <c r="DA122" t="e">
        <v>#VALUE!</v>
      </c>
      <c r="DB122" t="s">
        <v>1309</v>
      </c>
      <c r="DC122">
        <v>2.2659171745181082E-2</v>
      </c>
      <c r="DD122" t="e">
        <v>#VALUE!</v>
      </c>
      <c r="DE122" t="s">
        <v>1309</v>
      </c>
      <c r="DF122">
        <v>2.0989548563957214E-2</v>
      </c>
      <c r="DG122" t="e">
        <v>#VALUE!</v>
      </c>
      <c r="DH122" t="s">
        <v>1309</v>
      </c>
      <c r="DI122">
        <v>1.9081407785415651E-2</v>
      </c>
      <c r="DJ122" t="e">
        <v>#VALUE!</v>
      </c>
      <c r="DK122" t="s">
        <v>1309</v>
      </c>
      <c r="DL122">
        <v>1.6696231812238692E-2</v>
      </c>
      <c r="DM122">
        <v>-21268000</v>
      </c>
      <c r="DN122">
        <v>2.3851759731769562E-2</v>
      </c>
      <c r="DO122">
        <v>1343776400</v>
      </c>
      <c r="DP122">
        <v>2576160900</v>
      </c>
      <c r="DQ122" s="11">
        <v>4934</v>
      </c>
      <c r="DR122">
        <v>0.45865915059419099</v>
      </c>
      <c r="DS122">
        <v>-0.365612995722775</v>
      </c>
      <c r="DT122">
        <v>-0.44800000000000006</v>
      </c>
      <c r="DU122">
        <v>-0.56000000000000005</v>
      </c>
      <c r="DV122">
        <v>-1.008</v>
      </c>
      <c r="DW122">
        <v>-9.3210368893320048</v>
      </c>
      <c r="DX122">
        <v>0.3683863009878483</v>
      </c>
      <c r="DY122">
        <v>-9.0476374764886209</v>
      </c>
      <c r="DZ122">
        <v>991</v>
      </c>
      <c r="EA122">
        <v>-9.0383989756666594</v>
      </c>
      <c r="EB122" s="12">
        <v>9</v>
      </c>
      <c r="EC122" s="12">
        <v>3.1050810883021362E-2</v>
      </c>
      <c r="ED122">
        <v>0.2092565868702686</v>
      </c>
      <c r="EE122">
        <v>-5.0097100000000001</v>
      </c>
      <c r="EF122">
        <v>-5.0681099999999999</v>
      </c>
      <c r="EG122">
        <v>22.148386300987848</v>
      </c>
      <c r="EH122" s="14" t="s">
        <v>1993</v>
      </c>
      <c r="EI122" s="15">
        <v>0</v>
      </c>
      <c r="EJ122" s="15">
        <v>1</v>
      </c>
      <c r="EK122" s="15">
        <v>45470</v>
      </c>
      <c r="EL122" s="15">
        <v>6.63</v>
      </c>
      <c r="EM122" s="15">
        <v>-8.7100000000000009</v>
      </c>
      <c r="EN122">
        <v>-4.8600000000000003</v>
      </c>
      <c r="EO122">
        <v>3.59</v>
      </c>
      <c r="EP122">
        <v>-5.84</v>
      </c>
    </row>
    <row r="123" spans="1:146" ht="96" x14ac:dyDescent="0.25">
      <c r="A123" s="7"/>
      <c r="B123" s="7"/>
      <c r="C123" s="7" t="str">
        <f>""&amp;CHAR(10)&amp;Basic_Fundamental_Information_Constructure(F123)&amp;CHAR(10)&amp;Basic_Fundamental_Information_Concatenate("")</f>
        <v xml:space="preserve">
市值156.97299亿, 利润-4.80亿; PE125.6; 平均PE-35.16; 平均PEG-2.77, PB1.62; ROIC0%; ROE-5.99%; 股利率0%; 毛利63.2433%; 净利-2.4833%; 上一年度营收增-88.67%, 利润增-932.89%; 当季营收增-71.61%, 利润增45.42%; 过往5年营收增12.71%, 利润增-162.58%
Income profile:
</v>
      </c>
      <c r="D123" t="s">
        <v>667</v>
      </c>
      <c r="E123" t="s">
        <v>668</v>
      </c>
      <c r="F123">
        <v>22.91</v>
      </c>
      <c r="G123">
        <v>1.64</v>
      </c>
      <c r="H123" t="s">
        <v>4386</v>
      </c>
      <c r="I123">
        <v>15697299000</v>
      </c>
      <c r="J123">
        <v>125.6</v>
      </c>
      <c r="K123">
        <v>1.62</v>
      </c>
      <c r="L123" t="s">
        <v>1303</v>
      </c>
      <c r="M123" t="s">
        <v>4387</v>
      </c>
      <c r="N123" t="s">
        <v>4388</v>
      </c>
      <c r="O123" t="s">
        <v>892</v>
      </c>
      <c r="P123">
        <v>-23.82</v>
      </c>
      <c r="Q123" t="s">
        <v>892</v>
      </c>
      <c r="R123">
        <v>-480282020</v>
      </c>
      <c r="S123" s="5">
        <v>9.9699999999999997E-2</v>
      </c>
      <c r="T123" t="s">
        <v>4389</v>
      </c>
      <c r="U123">
        <v>510058720</v>
      </c>
      <c r="V123">
        <v>685172380</v>
      </c>
      <c r="W123">
        <v>1.53</v>
      </c>
      <c r="X123">
        <v>0.05</v>
      </c>
      <c r="Y123">
        <v>-68.5</v>
      </c>
      <c r="Z123" t="s">
        <v>4390</v>
      </c>
      <c r="AA123" t="s">
        <v>644</v>
      </c>
      <c r="AB123" t="s">
        <v>1343</v>
      </c>
      <c r="AC123" t="s">
        <v>370</v>
      </c>
      <c r="AD123" t="s">
        <v>63</v>
      </c>
      <c r="AE123">
        <v>21149531</v>
      </c>
      <c r="AF123" t="s">
        <v>4391</v>
      </c>
      <c r="AG123" t="s">
        <v>4392</v>
      </c>
      <c r="AH123" t="s">
        <v>4393</v>
      </c>
      <c r="AI123" t="s">
        <v>4394</v>
      </c>
      <c r="AJ123" t="s">
        <v>4395</v>
      </c>
      <c r="AK123" t="s">
        <v>523</v>
      </c>
      <c r="AL123" t="s">
        <v>4396</v>
      </c>
      <c r="AM123" t="s">
        <v>63</v>
      </c>
      <c r="AN123">
        <v>0</v>
      </c>
      <c r="AO123" t="s">
        <v>1530</v>
      </c>
      <c r="AP123" t="s">
        <v>4397</v>
      </c>
      <c r="AQ123" t="s">
        <v>4398</v>
      </c>
      <c r="AR123" t="s">
        <v>63</v>
      </c>
      <c r="AS123" t="s">
        <v>4399</v>
      </c>
      <c r="AT123" t="s">
        <v>1369</v>
      </c>
      <c r="AU123" t="s">
        <v>1976</v>
      </c>
      <c r="AV123" t="s">
        <v>4400</v>
      </c>
      <c r="AW123" t="s">
        <v>4401</v>
      </c>
      <c r="AX123" t="s">
        <v>1630</v>
      </c>
      <c r="AY123" t="s">
        <v>1301</v>
      </c>
      <c r="AZ123" t="s">
        <v>1013</v>
      </c>
      <c r="BA123" t="s">
        <v>669</v>
      </c>
      <c r="BB123" t="s">
        <v>1014</v>
      </c>
      <c r="BC123" t="s">
        <v>4402</v>
      </c>
      <c r="BD123" t="s">
        <v>1302</v>
      </c>
      <c r="BE123" t="s">
        <v>775</v>
      </c>
      <c r="BF123" t="s">
        <v>670</v>
      </c>
      <c r="BG123" t="s">
        <v>1015</v>
      </c>
      <c r="BH123" t="s">
        <v>4403</v>
      </c>
      <c r="BI123" t="s">
        <v>1967</v>
      </c>
      <c r="BJ123" t="s">
        <v>1630</v>
      </c>
      <c r="BK123" t="s">
        <v>4404</v>
      </c>
      <c r="BL123" t="s">
        <v>1968</v>
      </c>
      <c r="BM123" t="s">
        <v>4402</v>
      </c>
      <c r="BN123" t="s">
        <v>63</v>
      </c>
      <c r="BO123" t="s">
        <v>63</v>
      </c>
      <c r="BP123" t="s">
        <v>63</v>
      </c>
      <c r="BQ123">
        <v>-12.91</v>
      </c>
      <c r="BR123">
        <v>0.56999999999999995</v>
      </c>
      <c r="BS123">
        <v>-5.63</v>
      </c>
      <c r="BT123" t="s">
        <v>1445</v>
      </c>
      <c r="BU123" t="s">
        <v>2031</v>
      </c>
      <c r="BV123">
        <v>65.38</v>
      </c>
      <c r="BW123">
        <v>64.34</v>
      </c>
      <c r="BX123">
        <v>60.01</v>
      </c>
      <c r="BY123">
        <v>1.1599999999999999</v>
      </c>
      <c r="BZ123">
        <v>0.93</v>
      </c>
      <c r="CA123">
        <v>-9.5399999999999991</v>
      </c>
      <c r="CB123">
        <v>-3.01</v>
      </c>
      <c r="CC123">
        <v>-15.99</v>
      </c>
      <c r="CD123" t="s">
        <v>4405</v>
      </c>
      <c r="CE123" t="s">
        <v>321</v>
      </c>
      <c r="CF123" s="9">
        <v>-0.71606927104309304</v>
      </c>
      <c r="CG123" s="10">
        <v>0.45422497727272737</v>
      </c>
      <c r="CH123" s="9">
        <v>-0.88671058416366577</v>
      </c>
      <c r="CI123" s="9">
        <v>7.1268744766712189E-2</v>
      </c>
      <c r="CJ123" s="9">
        <v>0.39605864882469177</v>
      </c>
      <c r="CK123" s="9">
        <v>0.31927713751792908</v>
      </c>
      <c r="CL123" s="9">
        <v>0.73582816123962402</v>
      </c>
      <c r="CM123" s="10">
        <v>-9.3289375305175781</v>
      </c>
      <c r="CN123" s="10">
        <v>1.1038385629653931</v>
      </c>
      <c r="CO123" s="10">
        <v>-0.66167664527893066</v>
      </c>
      <c r="CP123" s="10">
        <v>0.32525253295898438</v>
      </c>
      <c r="CQ123" s="10">
        <v>0.43233945965766907</v>
      </c>
      <c r="CR123">
        <v>-35.164599389120909</v>
      </c>
      <c r="CS123">
        <v>-2.7657209759072616</v>
      </c>
      <c r="CT123">
        <v>0</v>
      </c>
      <c r="CU123" s="9">
        <v>0.12714442163705825</v>
      </c>
      <c r="CV123" s="10">
        <v>-1.6258367240428924</v>
      </c>
      <c r="CW123">
        <v>0.06</v>
      </c>
      <c r="CX123" t="e">
        <v>#VALUE!</v>
      </c>
      <c r="CY123" t="s">
        <v>1308</v>
      </c>
      <c r="CZ123">
        <v>0.12714442163705825</v>
      </c>
      <c r="DA123" t="e">
        <v>#VALUE!</v>
      </c>
      <c r="DB123" t="s">
        <v>1309</v>
      </c>
      <c r="DC123">
        <v>0.12078720055520532</v>
      </c>
      <c r="DD123" t="e">
        <v>#VALUE!</v>
      </c>
      <c r="DE123" t="s">
        <v>1309</v>
      </c>
      <c r="DF123">
        <v>0.11188709104061126</v>
      </c>
      <c r="DG123" t="e">
        <v>#VALUE!</v>
      </c>
      <c r="DH123" t="s">
        <v>1309</v>
      </c>
      <c r="DI123">
        <v>0.10171553730964661</v>
      </c>
      <c r="DJ123" t="e">
        <v>#VALUE!</v>
      </c>
      <c r="DK123" t="s">
        <v>1309</v>
      </c>
      <c r="DL123">
        <v>8.9001095145940762E-2</v>
      </c>
      <c r="DM123">
        <v>-480000000</v>
      </c>
      <c r="DN123">
        <v>0.12714442163705825</v>
      </c>
      <c r="DO123">
        <v>12076299000</v>
      </c>
      <c r="DP123">
        <v>4699142500</v>
      </c>
      <c r="DQ123">
        <v>4973</v>
      </c>
      <c r="DR123">
        <v>-0.84321369268015123</v>
      </c>
      <c r="DS123">
        <v>2.0800617013156195</v>
      </c>
      <c r="DT123" s="11">
        <v>-0.32333333333333331</v>
      </c>
      <c r="DU123">
        <v>-2.6483333333333334</v>
      </c>
      <c r="DV123">
        <v>-2.9716666666666667</v>
      </c>
      <c r="DW123">
        <v>-8.1882426516572853</v>
      </c>
      <c r="DX123">
        <v>0.3450856000000016</v>
      </c>
      <c r="DY123">
        <v>-8.0273112980612886</v>
      </c>
      <c r="DZ123">
        <v>3355</v>
      </c>
      <c r="EA123">
        <v>-8.0093799076511853</v>
      </c>
      <c r="EB123">
        <v>8</v>
      </c>
      <c r="EC123">
        <v>2.6468813585276162E-2</v>
      </c>
      <c r="ED123">
        <v>0.18243584191178283</v>
      </c>
      <c r="EE123" s="12">
        <v>8.0469000000000008</v>
      </c>
      <c r="EF123">
        <v>8.0152000000000001</v>
      </c>
      <c r="EG123">
        <v>20.145085600000002</v>
      </c>
      <c r="EH123" t="s">
        <v>2010</v>
      </c>
      <c r="EI123">
        <v>0</v>
      </c>
      <c r="EJ123">
        <v>0</v>
      </c>
      <c r="EK123" s="14">
        <v>45470</v>
      </c>
      <c r="EL123" s="15">
        <v>0.2</v>
      </c>
      <c r="EM123" s="15">
        <v>-2.41</v>
      </c>
      <c r="EN123">
        <v>0.73</v>
      </c>
      <c r="EO123">
        <v>4.37</v>
      </c>
      <c r="EP123">
        <v>-3.17</v>
      </c>
    </row>
    <row r="124" spans="1:146" ht="108" x14ac:dyDescent="0.25">
      <c r="A124" s="7"/>
      <c r="B124" s="7"/>
      <c r="C124" s="7" t="str">
        <f>""&amp;CHAR(10)&amp;Basic_Fundamental_Information_Constructure(F124)&amp;CHAR(10)&amp;Basic_Fundamental_Information_Concatenate("")</f>
        <v xml:space="preserve">
市值29.760744亿, 利润1474.54万; PE36.41; 平均PE41.4; 平均PEG3.83, PB2.19; ROIC4.7367%; ROE5.17%; 股利率1.0753%; 毛利52.9%; 净利14.9667%; 上一年度营收增-75.77%, 利润增-76.18%; 当季营收增-45.54%, 利润增-27.01%; 过往5年营收增-10.81%, 利润增-18.29%
Income profile:
</v>
      </c>
      <c r="D124" t="s">
        <v>671</v>
      </c>
      <c r="E124" t="s">
        <v>4406</v>
      </c>
      <c r="F124">
        <v>7.44</v>
      </c>
      <c r="G124">
        <v>1.22</v>
      </c>
      <c r="H124" t="s">
        <v>4407</v>
      </c>
      <c r="I124">
        <v>2976074400</v>
      </c>
      <c r="J124">
        <v>36.409999999999997</v>
      </c>
      <c r="K124">
        <v>2.19</v>
      </c>
      <c r="L124" t="s">
        <v>1303</v>
      </c>
      <c r="M124" t="s">
        <v>362</v>
      </c>
      <c r="N124" t="s">
        <v>1882</v>
      </c>
      <c r="O124" t="s">
        <v>266</v>
      </c>
      <c r="P124">
        <v>7.95</v>
      </c>
      <c r="Q124" t="s">
        <v>266</v>
      </c>
      <c r="R124">
        <v>14745398</v>
      </c>
      <c r="S124" s="5">
        <v>4.2099999999999999E-2</v>
      </c>
      <c r="T124" t="s">
        <v>4408</v>
      </c>
      <c r="U124">
        <v>400010000</v>
      </c>
      <c r="V124">
        <v>400010000</v>
      </c>
      <c r="W124">
        <v>1.26</v>
      </c>
      <c r="X124">
        <v>0.06</v>
      </c>
      <c r="Y124">
        <v>13.4</v>
      </c>
      <c r="Z124" t="s">
        <v>319</v>
      </c>
      <c r="AA124" t="s">
        <v>4409</v>
      </c>
      <c r="AB124" t="s">
        <v>4410</v>
      </c>
      <c r="AC124" t="s">
        <v>4411</v>
      </c>
      <c r="AD124" t="s">
        <v>63</v>
      </c>
      <c r="AE124">
        <v>-1331180</v>
      </c>
      <c r="AF124" t="s">
        <v>4412</v>
      </c>
      <c r="AG124" t="s">
        <v>4413</v>
      </c>
      <c r="AH124" t="s">
        <v>4414</v>
      </c>
      <c r="AI124" t="s">
        <v>398</v>
      </c>
      <c r="AJ124" t="s">
        <v>4415</v>
      </c>
      <c r="AK124" t="s">
        <v>4416</v>
      </c>
      <c r="AL124" t="s">
        <v>4417</v>
      </c>
      <c r="AM124" t="s">
        <v>63</v>
      </c>
      <c r="AN124" t="s">
        <v>4418</v>
      </c>
      <c r="AO124" t="s">
        <v>63</v>
      </c>
      <c r="AP124" t="s">
        <v>4419</v>
      </c>
      <c r="AQ124" t="s">
        <v>208</v>
      </c>
      <c r="AR124" t="s">
        <v>63</v>
      </c>
      <c r="AS124" t="s">
        <v>349</v>
      </c>
      <c r="AT124" t="s">
        <v>63</v>
      </c>
      <c r="AU124" t="s">
        <v>4420</v>
      </c>
      <c r="AV124" t="s">
        <v>4421</v>
      </c>
      <c r="AW124" t="s">
        <v>4422</v>
      </c>
      <c r="AX124" t="s">
        <v>1514</v>
      </c>
      <c r="AY124" t="s">
        <v>537</v>
      </c>
      <c r="AZ124" t="s">
        <v>249</v>
      </c>
      <c r="BA124" t="s">
        <v>300</v>
      </c>
      <c r="BB124" t="s">
        <v>238</v>
      </c>
      <c r="BC124" t="s">
        <v>1631</v>
      </c>
      <c r="BD124" t="s">
        <v>278</v>
      </c>
      <c r="BE124" t="s">
        <v>1016</v>
      </c>
      <c r="BF124" t="s">
        <v>672</v>
      </c>
      <c r="BG124" t="s">
        <v>1017</v>
      </c>
      <c r="BH124" t="s">
        <v>1103</v>
      </c>
      <c r="BI124" t="s">
        <v>216</v>
      </c>
      <c r="BJ124" t="s">
        <v>1514</v>
      </c>
      <c r="BK124" t="s">
        <v>4423</v>
      </c>
      <c r="BL124" t="s">
        <v>1972</v>
      </c>
      <c r="BM124" t="s">
        <v>1631</v>
      </c>
      <c r="BN124">
        <v>2.12</v>
      </c>
      <c r="BO124">
        <v>4.3099999999999996</v>
      </c>
      <c r="BP124">
        <v>7.78</v>
      </c>
      <c r="BQ124">
        <v>2.39</v>
      </c>
      <c r="BR124">
        <v>4.82</v>
      </c>
      <c r="BS124">
        <v>8.3000000000000007</v>
      </c>
      <c r="BT124" t="s">
        <v>1458</v>
      </c>
      <c r="BU124" t="s">
        <v>2052</v>
      </c>
      <c r="BV124">
        <v>53.27</v>
      </c>
      <c r="BW124">
        <v>57.4</v>
      </c>
      <c r="BX124">
        <v>48.03</v>
      </c>
      <c r="BY124">
        <v>15.09</v>
      </c>
      <c r="BZ124">
        <v>13.64</v>
      </c>
      <c r="CA124">
        <v>16.170000000000002</v>
      </c>
      <c r="CB124">
        <v>-4.25</v>
      </c>
      <c r="CC124">
        <v>-15.55</v>
      </c>
      <c r="CD124" t="s">
        <v>4424</v>
      </c>
      <c r="CE124" t="s">
        <v>256</v>
      </c>
      <c r="CF124" s="9">
        <v>-0.45544554455445535</v>
      </c>
      <c r="CG124" s="10">
        <v>-0.27009845608581373</v>
      </c>
      <c r="CH124" s="9">
        <v>-0.75770926475524902</v>
      </c>
      <c r="CI124" s="9">
        <v>-0.28840124607086182</v>
      </c>
      <c r="CJ124" s="9">
        <v>0.28888890147209167</v>
      </c>
      <c r="CK124" s="9">
        <v>1.2269938364624977E-2</v>
      </c>
      <c r="CL124" s="9">
        <v>0.20443350076675415</v>
      </c>
      <c r="CM124" s="10">
        <v>-0.76183485984802246</v>
      </c>
      <c r="CN124" s="10">
        <v>-0.39890778064727783</v>
      </c>
      <c r="CO124" s="10">
        <v>0.12928572297096252</v>
      </c>
      <c r="CP124" s="10">
        <v>0.16669304668903351</v>
      </c>
      <c r="CQ124" s="10">
        <v>-4.9565110355615616E-2</v>
      </c>
      <c r="CR124">
        <v>41.401826726464719</v>
      </c>
      <c r="CS124">
        <v>3.829827469945299</v>
      </c>
      <c r="CT124">
        <v>1.075268817204301</v>
      </c>
      <c r="CU124" s="9">
        <v>-0.10810363404452801</v>
      </c>
      <c r="CV124" s="10">
        <v>-0.18286579623818397</v>
      </c>
      <c r="CW124">
        <v>0.06</v>
      </c>
      <c r="CX124">
        <v>135.84401915173547</v>
      </c>
      <c r="CY124" t="s">
        <v>4425</v>
      </c>
      <c r="CZ124">
        <v>-0.10810363404452801</v>
      </c>
      <c r="DA124">
        <v>45.281339717245153</v>
      </c>
      <c r="DB124" t="s">
        <v>4426</v>
      </c>
      <c r="DC124">
        <v>-0.1026984523423016</v>
      </c>
      <c r="DD124">
        <v>22.640669858622577</v>
      </c>
      <c r="DE124" t="s">
        <v>4427</v>
      </c>
      <c r="DF124">
        <v>-9.5131197959184649E-2</v>
      </c>
      <c r="DG124">
        <v>13.584401915173546</v>
      </c>
      <c r="DH124" t="s">
        <v>4428</v>
      </c>
      <c r="DI124">
        <v>-8.6482907235622408E-2</v>
      </c>
      <c r="DJ124">
        <v>6.7922009575867728</v>
      </c>
      <c r="DK124" t="s">
        <v>4429</v>
      </c>
      <c r="DL124">
        <v>-7.56725438311696E-2</v>
      </c>
      <c r="DM124">
        <v>14745400</v>
      </c>
      <c r="DN124">
        <v>-0.10810363404452801</v>
      </c>
      <c r="DO124">
        <v>2003074400</v>
      </c>
      <c r="DP124">
        <v>397330440</v>
      </c>
      <c r="DQ124">
        <v>4988</v>
      </c>
      <c r="DR124">
        <v>-0.34734191050992735</v>
      </c>
      <c r="DS124">
        <v>-8.7232659847629762E-2</v>
      </c>
      <c r="DT124" s="11">
        <v>-0.69</v>
      </c>
      <c r="DU124">
        <v>-0.3666666666666667</v>
      </c>
      <c r="DV124">
        <v>-1.0566666666666666</v>
      </c>
      <c r="DW124">
        <v>-8.2733118971061099</v>
      </c>
      <c r="DX124">
        <v>0.33530604026845695</v>
      </c>
      <c r="DY124">
        <v>-8.0369807505556867</v>
      </c>
      <c r="DZ124">
        <v>1858</v>
      </c>
      <c r="EA124">
        <v>-8.0235345207058888</v>
      </c>
      <c r="EB124">
        <v>8</v>
      </c>
      <c r="EC124">
        <v>5.0400239994000152E-2</v>
      </c>
      <c r="ED124">
        <v>0.37249068773280669</v>
      </c>
      <c r="EE124" s="12">
        <v>-1.0441</v>
      </c>
      <c r="EF124">
        <v>-1.0164</v>
      </c>
      <c r="EG124">
        <v>20.135306040268457</v>
      </c>
      <c r="EH124" t="s">
        <v>1310</v>
      </c>
      <c r="EI124">
        <v>0</v>
      </c>
      <c r="EJ124">
        <v>0</v>
      </c>
      <c r="EK124" s="14">
        <v>45470</v>
      </c>
      <c r="EL124" s="15">
        <v>1.38</v>
      </c>
      <c r="EM124" s="15">
        <v>-6.9</v>
      </c>
      <c r="EN124">
        <v>-0.3</v>
      </c>
      <c r="EO124">
        <v>4.83</v>
      </c>
      <c r="EP124">
        <v>-2.77</v>
      </c>
    </row>
    <row r="125" spans="1:146" ht="96" x14ac:dyDescent="0.25">
      <c r="A125" s="7"/>
      <c r="B125" s="7"/>
      <c r="C125" s="7" t="str">
        <f>""&amp;CHAR(10)&amp;Basic_Fundamental_Information_Constructure(F125)&amp;CHAR(10)&amp;Basic_Fundamental_Information_Concatenate("")</f>
        <v xml:space="preserve">
市值26.360659亿, 利润-982.83万; PE71.46; 平均PE21.98; 平均PEG5.05, PB2.19; ROIC9.76%; ROE8.6667%; 股利率3.0349%; 毛利41.53%; 净利18.7567%; 上一年度营收增-59.08%, 利润增-106.97%; 当季营收增-20%, 利润增-120.14%; 过往5年营收增-4.35%, 利润增-7.91%
Income profile:
</v>
      </c>
      <c r="D125" t="s">
        <v>152</v>
      </c>
      <c r="E125" t="s">
        <v>153</v>
      </c>
      <c r="F125">
        <v>6.59</v>
      </c>
      <c r="G125">
        <v>2.33</v>
      </c>
      <c r="H125" t="s">
        <v>4430</v>
      </c>
      <c r="I125">
        <v>2636065900</v>
      </c>
      <c r="J125">
        <v>71.459999999999994</v>
      </c>
      <c r="K125">
        <v>2.19</v>
      </c>
      <c r="L125" t="s">
        <v>1303</v>
      </c>
      <c r="M125" t="s">
        <v>343</v>
      </c>
      <c r="N125" t="s">
        <v>1835</v>
      </c>
      <c r="O125" t="s">
        <v>330</v>
      </c>
      <c r="P125">
        <v>60.37</v>
      </c>
      <c r="Q125" t="s">
        <v>330</v>
      </c>
      <c r="R125">
        <v>-9828320</v>
      </c>
      <c r="S125" s="5">
        <v>-1.2470000000000001</v>
      </c>
      <c r="T125" t="s">
        <v>4431</v>
      </c>
      <c r="U125">
        <v>400010000</v>
      </c>
      <c r="V125">
        <v>400010000</v>
      </c>
      <c r="W125">
        <v>1.35</v>
      </c>
      <c r="X125">
        <v>0.17</v>
      </c>
      <c r="Y125">
        <v>-3.72</v>
      </c>
      <c r="Z125" t="s">
        <v>551</v>
      </c>
      <c r="AA125" t="s">
        <v>809</v>
      </c>
      <c r="AB125" t="s">
        <v>4432</v>
      </c>
      <c r="AC125" t="s">
        <v>4433</v>
      </c>
      <c r="AD125" t="s">
        <v>63</v>
      </c>
      <c r="AE125">
        <v>49146567</v>
      </c>
      <c r="AF125" t="s">
        <v>4434</v>
      </c>
      <c r="AG125">
        <v>3391.8</v>
      </c>
      <c r="AH125" t="s">
        <v>4435</v>
      </c>
      <c r="AI125" t="s">
        <v>1326</v>
      </c>
      <c r="AJ125" t="s">
        <v>4436</v>
      </c>
      <c r="AK125" t="s">
        <v>63</v>
      </c>
      <c r="AL125" t="s">
        <v>4437</v>
      </c>
      <c r="AM125" t="s">
        <v>63</v>
      </c>
      <c r="AN125">
        <v>0</v>
      </c>
      <c r="AO125" t="s">
        <v>491</v>
      </c>
      <c r="AP125" t="s">
        <v>63</v>
      </c>
      <c r="AQ125" t="s">
        <v>4438</v>
      </c>
      <c r="AR125" t="s">
        <v>63</v>
      </c>
      <c r="AS125" t="s">
        <v>347</v>
      </c>
      <c r="AT125" t="s">
        <v>63</v>
      </c>
      <c r="AU125" t="s">
        <v>4439</v>
      </c>
      <c r="AV125" t="s">
        <v>4440</v>
      </c>
      <c r="AW125" t="s">
        <v>4441</v>
      </c>
      <c r="AX125" t="s">
        <v>195</v>
      </c>
      <c r="AY125" t="s">
        <v>955</v>
      </c>
      <c r="AZ125" t="s">
        <v>546</v>
      </c>
      <c r="BA125" t="s">
        <v>673</v>
      </c>
      <c r="BB125" t="s">
        <v>675</v>
      </c>
      <c r="BC125" t="s">
        <v>415</v>
      </c>
      <c r="BD125" t="s">
        <v>304</v>
      </c>
      <c r="BE125" t="s">
        <v>407</v>
      </c>
      <c r="BF125" t="s">
        <v>236</v>
      </c>
      <c r="BG125" t="s">
        <v>1018</v>
      </c>
      <c r="BH125" t="s">
        <v>237</v>
      </c>
      <c r="BI125" t="s">
        <v>299</v>
      </c>
      <c r="BJ125" t="s">
        <v>195</v>
      </c>
      <c r="BK125" t="s">
        <v>4442</v>
      </c>
      <c r="BL125" t="s">
        <v>1973</v>
      </c>
      <c r="BM125" t="s">
        <v>415</v>
      </c>
      <c r="BN125">
        <v>6.9</v>
      </c>
      <c r="BO125">
        <v>10.68</v>
      </c>
      <c r="BP125">
        <v>11.7</v>
      </c>
      <c r="BQ125">
        <v>3.33</v>
      </c>
      <c r="BR125">
        <v>10.89</v>
      </c>
      <c r="BS125">
        <v>11.78</v>
      </c>
      <c r="BT125" t="s">
        <v>1449</v>
      </c>
      <c r="BU125" t="s">
        <v>2052</v>
      </c>
      <c r="BV125">
        <v>37.42</v>
      </c>
      <c r="BW125">
        <v>41.16</v>
      </c>
      <c r="BX125">
        <v>46.01</v>
      </c>
      <c r="BY125">
        <v>12.41</v>
      </c>
      <c r="BZ125">
        <v>21.5</v>
      </c>
      <c r="CA125">
        <v>22.36</v>
      </c>
      <c r="CB125">
        <v>-0.9</v>
      </c>
      <c r="CC125">
        <v>-17.11</v>
      </c>
      <c r="CD125" t="s">
        <v>4443</v>
      </c>
      <c r="CE125" t="s">
        <v>308</v>
      </c>
      <c r="CF125" s="9">
        <v>-0.1999999999999999</v>
      </c>
      <c r="CG125" s="10">
        <v>-1.2013966984147801</v>
      </c>
      <c r="CH125" s="9">
        <v>-0.590839684009552</v>
      </c>
      <c r="CI125" s="9">
        <v>3.0627872329205275E-3</v>
      </c>
      <c r="CJ125" s="9">
        <v>3.6507938057184219E-2</v>
      </c>
      <c r="CK125" s="9">
        <v>5.5276382714509964E-2</v>
      </c>
      <c r="CL125" s="9">
        <v>0.27837258577346802</v>
      </c>
      <c r="CM125" s="10">
        <v>-1.0697042942047119</v>
      </c>
      <c r="CN125" s="10">
        <v>-3.4246575087308884E-2</v>
      </c>
      <c r="CO125" s="10">
        <v>-0.27363184094429016</v>
      </c>
      <c r="CP125" s="10">
        <v>0.34000000357627869</v>
      </c>
      <c r="CQ125" s="10">
        <v>0.64215666055679321</v>
      </c>
      <c r="CR125">
        <v>21.982023168384259</v>
      </c>
      <c r="CS125">
        <v>5.0505523745781131</v>
      </c>
      <c r="CT125">
        <v>3.0349013657056148</v>
      </c>
      <c r="CU125" s="9">
        <v>-4.3523998046293852E-2</v>
      </c>
      <c r="CV125" s="10">
        <v>-7.9085209220647809E-2</v>
      </c>
      <c r="CW125">
        <v>0.06</v>
      </c>
      <c r="CX125" t="e">
        <v>#VALUE!</v>
      </c>
      <c r="CY125" t="s">
        <v>1308</v>
      </c>
      <c r="CZ125">
        <v>-4.3523998046293852E-2</v>
      </c>
      <c r="DA125" t="e">
        <v>#VALUE!</v>
      </c>
      <c r="DB125" t="s">
        <v>1309</v>
      </c>
      <c r="DC125">
        <v>-4.134779814397916E-2</v>
      </c>
      <c r="DD125" t="e">
        <v>#VALUE!</v>
      </c>
      <c r="DE125" t="s">
        <v>1309</v>
      </c>
      <c r="DF125">
        <v>-3.8301118280738587E-2</v>
      </c>
      <c r="DG125" t="e">
        <v>#VALUE!</v>
      </c>
      <c r="DH125" t="s">
        <v>1309</v>
      </c>
      <c r="DI125">
        <v>-3.4819198437035084E-2</v>
      </c>
      <c r="DJ125" t="e">
        <v>#VALUE!</v>
      </c>
      <c r="DK125" t="s">
        <v>1309</v>
      </c>
      <c r="DL125">
        <v>-3.0466798632405694E-2</v>
      </c>
      <c r="DM125">
        <v>-9828300</v>
      </c>
      <c r="DN125">
        <v>-4.3523998046293852E-2</v>
      </c>
      <c r="DO125">
        <v>1820065900</v>
      </c>
      <c r="DP125">
        <v>640061140</v>
      </c>
      <c r="DQ125">
        <v>4995</v>
      </c>
      <c r="DR125">
        <v>-0.15647600195370603</v>
      </c>
      <c r="DS125">
        <v>-1.1223114891941324</v>
      </c>
      <c r="DT125" s="11">
        <v>-0.50666666666666671</v>
      </c>
      <c r="DU125">
        <v>-1.4650000000000001</v>
      </c>
      <c r="DV125">
        <v>-1.9716666666666667</v>
      </c>
      <c r="DW125">
        <v>-3.0125535714285716</v>
      </c>
      <c r="DX125">
        <v>0.42474513274336356</v>
      </c>
      <c r="DY125">
        <v>-3.0026958183628318</v>
      </c>
      <c r="DZ125">
        <v>532</v>
      </c>
      <c r="EA125">
        <v>-3.0024151578209479</v>
      </c>
      <c r="EB125">
        <v>3</v>
      </c>
      <c r="EC125">
        <v>6.0663983400414991E-2</v>
      </c>
      <c r="ED125">
        <v>0.28249293767655803</v>
      </c>
      <c r="EE125" s="12">
        <v>-2.0092099999999999</v>
      </c>
      <c r="EF125">
        <v>-2.04121</v>
      </c>
      <c r="EG125">
        <v>21.214745132743364</v>
      </c>
      <c r="EH125" t="s">
        <v>1501</v>
      </c>
      <c r="EI125">
        <v>0</v>
      </c>
      <c r="EJ125">
        <v>1</v>
      </c>
      <c r="EK125" s="14">
        <v>45470</v>
      </c>
      <c r="EL125" s="15">
        <v>6.4</v>
      </c>
      <c r="EM125" s="15">
        <v>-7.04</v>
      </c>
      <c r="EN125">
        <v>-3.87</v>
      </c>
      <c r="EO125">
        <v>2.0299999999999998</v>
      </c>
      <c r="EP125">
        <v>-3.2</v>
      </c>
    </row>
    <row r="126" spans="1:146" ht="192" x14ac:dyDescent="0.25">
      <c r="A126" s="7" t="s">
        <v>1120</v>
      </c>
      <c r="B126" s="7" t="s">
        <v>1121</v>
      </c>
      <c r="C126" s="7" t="str">
        <f>"公司主营业务为向银行、保险公司等金融机构和其他行业终端客户提供科技服务，主要从事咨询规划、设计开发、运维等软件开发服务，并且向一级软件承包商提供软件项目分包服务。"&amp;CHAR(10)&amp;Basic_Fundamental_Information_Constructure(F126)&amp;CHAR(10)&amp;Basic_Fundamental_Information_Concatenate("金融-保险行业 4.19亿 39.02% 利润占比42.77% 35.70%
金融-银行及其他金融行业 2.77亿 25.82% 利润占比29.33% 36.99%
企服行业 2.65亿 24.64% 利润占比22.39% 29.59%
海外行业 1.12亿 10.40% 利润占比5.29% 16.56%
其他业务 141.19万 0.13% 利润占比0.22% 55.24%")</f>
        <v>公司主营业务为向银行、保险公司等金融机构和其他行业终端客户提供科技服务，主要从事咨询规划、设计开发、运维等软件开发服务，并且向一级软件承包商提供软件项目分包服务。
市值31.283966亿, 利润1511.72万; PE40.92; 平均PE57.57; 平均PEG7.89, PB2.3; ROIC6.21%; ROE3.9%; 股利率.6667%; 毛利25.9767%; 净利4.19%; 上一年度营收增-67.07%, 利润增129.11%; 当季营收增-38.76%, 利润增-44.4%; 过往5年营收增-7.3%, 利润增19.74%
Income profile:
金融-保险行业 4.19亿 39.02% 利润占比42.77% 35.70%
金融-银行及其他金融行业 2.77亿 25.82% 利润占比29.33% 36.99%
企服行业 2.65亿 24.64% 利润占比22.39% 29.59%
海外行业 1.12亿 10.40% 利润占比5.29% 16.56%
其他业务 141.19万 0.13% 利润占比0.22% 55.24%</v>
      </c>
      <c r="D126" t="s">
        <v>1019</v>
      </c>
      <c r="E126" t="s">
        <v>1020</v>
      </c>
      <c r="F126">
        <v>12</v>
      </c>
      <c r="G126">
        <v>1.61</v>
      </c>
      <c r="H126" t="s">
        <v>4444</v>
      </c>
      <c r="I126">
        <v>3128396600</v>
      </c>
      <c r="J126">
        <v>40.92</v>
      </c>
      <c r="K126">
        <v>2.2999999999999998</v>
      </c>
      <c r="L126" t="s">
        <v>1303</v>
      </c>
      <c r="M126" t="s">
        <v>294</v>
      </c>
      <c r="N126" t="s">
        <v>798</v>
      </c>
      <c r="O126" t="s">
        <v>1343</v>
      </c>
      <c r="P126">
        <v>36.76</v>
      </c>
      <c r="Q126" t="s">
        <v>1343</v>
      </c>
      <c r="R126">
        <v>15117190</v>
      </c>
      <c r="S126" s="5">
        <v>1.0780000000000001</v>
      </c>
      <c r="T126" t="s">
        <v>4445</v>
      </c>
      <c r="U126">
        <v>260699710</v>
      </c>
      <c r="V126">
        <v>260699710</v>
      </c>
      <c r="W126">
        <v>1.88</v>
      </c>
      <c r="X126">
        <v>0.15</v>
      </c>
      <c r="Y126">
        <v>3.12</v>
      </c>
      <c r="Z126" t="s">
        <v>589</v>
      </c>
      <c r="AA126" t="s">
        <v>695</v>
      </c>
      <c r="AB126" t="s">
        <v>4446</v>
      </c>
      <c r="AC126" t="s">
        <v>4447</v>
      </c>
      <c r="AD126" t="s">
        <v>63</v>
      </c>
      <c r="AE126">
        <v>10581352</v>
      </c>
      <c r="AF126" t="s">
        <v>4448</v>
      </c>
      <c r="AG126">
        <v>269.64999999999998</v>
      </c>
      <c r="AH126" t="s">
        <v>4449</v>
      </c>
      <c r="AI126" t="s">
        <v>405</v>
      </c>
      <c r="AJ126" t="s">
        <v>4450</v>
      </c>
      <c r="AK126" t="s">
        <v>63</v>
      </c>
      <c r="AL126" t="s">
        <v>4451</v>
      </c>
      <c r="AM126" t="s">
        <v>63</v>
      </c>
      <c r="AN126">
        <v>0</v>
      </c>
      <c r="AO126" t="s">
        <v>1024</v>
      </c>
      <c r="AP126" t="s">
        <v>63</v>
      </c>
      <c r="AQ126" t="s">
        <v>4452</v>
      </c>
      <c r="AR126" t="s">
        <v>63</v>
      </c>
      <c r="AS126" t="s">
        <v>897</v>
      </c>
      <c r="AT126" t="s">
        <v>500</v>
      </c>
      <c r="AU126" t="s">
        <v>1379</v>
      </c>
      <c r="AV126" t="s">
        <v>4453</v>
      </c>
      <c r="AW126" t="s">
        <v>436</v>
      </c>
      <c r="AX126" t="s">
        <v>851</v>
      </c>
      <c r="AY126" t="s">
        <v>1220</v>
      </c>
      <c r="AZ126" t="s">
        <v>310</v>
      </c>
      <c r="BA126" t="s">
        <v>194</v>
      </c>
      <c r="BB126" t="s">
        <v>763</v>
      </c>
      <c r="BC126" t="s">
        <v>1632</v>
      </c>
      <c r="BD126" t="s">
        <v>415</v>
      </c>
      <c r="BE126" t="s">
        <v>1021</v>
      </c>
      <c r="BF126" t="s">
        <v>1022</v>
      </c>
      <c r="BG126" t="s">
        <v>1023</v>
      </c>
      <c r="BH126" t="s">
        <v>4454</v>
      </c>
      <c r="BI126" t="s">
        <v>807</v>
      </c>
      <c r="BJ126" t="s">
        <v>851</v>
      </c>
      <c r="BK126" t="s">
        <v>4455</v>
      </c>
      <c r="BL126" t="s">
        <v>1975</v>
      </c>
      <c r="BM126" t="s">
        <v>1632</v>
      </c>
      <c r="BN126">
        <v>3.43</v>
      </c>
      <c r="BO126" t="s">
        <v>63</v>
      </c>
      <c r="BP126">
        <v>8.99</v>
      </c>
      <c r="BQ126">
        <v>3.39</v>
      </c>
      <c r="BR126">
        <v>-4.5</v>
      </c>
      <c r="BS126">
        <v>12.81</v>
      </c>
      <c r="BT126" t="s">
        <v>1458</v>
      </c>
      <c r="BU126" t="s">
        <v>2052</v>
      </c>
      <c r="BV126">
        <v>26.29</v>
      </c>
      <c r="BW126">
        <v>20.04</v>
      </c>
      <c r="BX126">
        <v>31.6</v>
      </c>
      <c r="BY126">
        <v>4.72</v>
      </c>
      <c r="BZ126">
        <v>-3.45</v>
      </c>
      <c r="CA126">
        <v>11.3</v>
      </c>
      <c r="CB126">
        <v>-6.98</v>
      </c>
      <c r="CC126">
        <v>-26.96</v>
      </c>
      <c r="CD126" t="s">
        <v>4456</v>
      </c>
      <c r="CE126" t="s">
        <v>378</v>
      </c>
      <c r="CF126" s="9">
        <v>-0.38755304101838756</v>
      </c>
      <c r="CG126" s="10">
        <v>-0.44400019125240903</v>
      </c>
      <c r="CH126" s="9">
        <v>-0.67072242498397827</v>
      </c>
      <c r="CI126" s="9">
        <v>2.5741079822182655E-2</v>
      </c>
      <c r="CJ126" s="9">
        <v>0.19366852939128876</v>
      </c>
      <c r="CK126" s="9">
        <v>-3.9355993270874023E-2</v>
      </c>
      <c r="CL126" s="9">
        <v>0.12588116526603699</v>
      </c>
      <c r="CM126" s="10">
        <v>1.2910556793212891</v>
      </c>
      <c r="CN126" s="10">
        <v>-1.3683631420135498</v>
      </c>
      <c r="CO126" s="10">
        <v>0.72772097587585449</v>
      </c>
      <c r="CP126" s="10">
        <v>2.5540959089994431E-2</v>
      </c>
      <c r="CQ126" s="10">
        <v>0.31128418445587158</v>
      </c>
      <c r="CR126">
        <v>57.568439270511909</v>
      </c>
      <c r="CS126">
        <v>7.8906783512061187</v>
      </c>
      <c r="CT126">
        <v>0.66666666666666674</v>
      </c>
      <c r="CU126" s="9">
        <v>-7.2957528755068779E-2</v>
      </c>
      <c r="CV126" s="10">
        <v>0.19744773134589194</v>
      </c>
      <c r="CW126">
        <v>0.06</v>
      </c>
      <c r="CX126">
        <v>173.53720265657662</v>
      </c>
      <c r="CY126" t="s">
        <v>4457</v>
      </c>
      <c r="CZ126">
        <v>-7.2957528755068779E-2</v>
      </c>
      <c r="DA126">
        <v>57.845734218858873</v>
      </c>
      <c r="DB126" t="s">
        <v>4458</v>
      </c>
      <c r="DC126">
        <v>-6.930965231731534E-2</v>
      </c>
      <c r="DD126">
        <v>28.922867109429436</v>
      </c>
      <c r="DE126" t="s">
        <v>4459</v>
      </c>
      <c r="DF126">
        <v>-6.4202625304460526E-2</v>
      </c>
      <c r="DG126">
        <v>17.35372026565766</v>
      </c>
      <c r="DH126" t="s">
        <v>4460</v>
      </c>
      <c r="DI126">
        <v>-5.8366023004055023E-2</v>
      </c>
      <c r="DJ126">
        <v>8.6768601328288302</v>
      </c>
      <c r="DK126" t="s">
        <v>4461</v>
      </c>
      <c r="DL126">
        <v>-5.1070270128548145E-2</v>
      </c>
      <c r="DM126">
        <v>15117200</v>
      </c>
      <c r="DN126">
        <v>-7.2957528755068779E-2</v>
      </c>
      <c r="DO126">
        <v>2623396600</v>
      </c>
      <c r="DP126">
        <v>1250287900</v>
      </c>
      <c r="DQ126">
        <v>4997</v>
      </c>
      <c r="DR126">
        <v>-0.31459551226331878</v>
      </c>
      <c r="DS126">
        <v>-0.64144792259830097</v>
      </c>
      <c r="DT126" s="11">
        <v>-0.64</v>
      </c>
      <c r="DU126">
        <v>-0.23666666666666661</v>
      </c>
      <c r="DV126">
        <v>-0.87666666666666659</v>
      </c>
      <c r="DW126">
        <v>-9.2589020771513351</v>
      </c>
      <c r="DX126">
        <v>0.40631538461538597</v>
      </c>
      <c r="DY126">
        <v>-9.0404703777676332</v>
      </c>
      <c r="DZ126">
        <v>4252</v>
      </c>
      <c r="EA126">
        <v>-9.0067952219421983</v>
      </c>
      <c r="EB126">
        <v>9</v>
      </c>
      <c r="EC126">
        <v>0.12471667114627784</v>
      </c>
      <c r="ED126">
        <v>0.7978528246157236</v>
      </c>
      <c r="EE126" s="12">
        <v>3.0287999999999999</v>
      </c>
      <c r="EF126">
        <v>3.0122</v>
      </c>
      <c r="EG126">
        <v>25.156315384615386</v>
      </c>
      <c r="EH126" t="s">
        <v>1489</v>
      </c>
      <c r="EI126">
        <v>0</v>
      </c>
      <c r="EJ126">
        <v>0</v>
      </c>
      <c r="EK126" s="14">
        <v>45470</v>
      </c>
      <c r="EL126" s="15">
        <v>1.34</v>
      </c>
      <c r="EM126" s="15">
        <v>-8.9600000000000009</v>
      </c>
      <c r="EN126">
        <v>-3.21</v>
      </c>
      <c r="EO126">
        <v>2.9</v>
      </c>
      <c r="EP126">
        <v>-1.66</v>
      </c>
    </row>
    <row r="127" spans="1:146" ht="96" x14ac:dyDescent="0.25">
      <c r="C127" s="7" t="str">
        <f>""&amp;CHAR(10)&amp;Basic_Fundamental_Information_Constructure(F127)&amp;CHAR(10)&amp;Basic_Fundamental_Information_Concatenate("")</f>
        <v xml:space="preserve">
市值89.712336亿, 利润-1573.55万; PE60.51; 平均PE147.87; 平均PEG16.79, PB4.85; ROIC8.2133%; ROE6.745%; 股利率.7471%; 毛利27.1067%; 净利6.7867%; 上一年度营收增-84.45%, 利润增-117.58%; 当季营收增-53.51%, 利润增-25.43%; 过往5年营收增-8.81%, 利润增10.19%
Income profile:
</v>
      </c>
      <c r="D127" s="5" t="s">
        <v>1637</v>
      </c>
      <c r="E127" t="s">
        <v>1638</v>
      </c>
      <c r="F127">
        <v>54.88</v>
      </c>
      <c r="G127">
        <v>-1.1200000000000001</v>
      </c>
      <c r="H127" t="s">
        <v>4462</v>
      </c>
      <c r="I127">
        <v>8971233600</v>
      </c>
      <c r="J127">
        <v>60.51</v>
      </c>
      <c r="K127">
        <v>4.8499999999999996</v>
      </c>
      <c r="L127" t="s">
        <v>1303</v>
      </c>
      <c r="M127" t="s">
        <v>4463</v>
      </c>
      <c r="N127" t="s">
        <v>1470</v>
      </c>
      <c r="O127" t="s">
        <v>639</v>
      </c>
      <c r="P127" s="5">
        <v>38.619999999999997</v>
      </c>
      <c r="Q127" t="s">
        <v>639</v>
      </c>
      <c r="R127">
        <v>-15735463</v>
      </c>
      <c r="S127">
        <v>0.50660000000000005</v>
      </c>
      <c r="T127" t="s">
        <v>4464</v>
      </c>
      <c r="U127">
        <v>61235200</v>
      </c>
      <c r="V127">
        <v>163470000</v>
      </c>
      <c r="W127">
        <v>1.81</v>
      </c>
      <c r="X127">
        <v>7.0000000000000007E-2</v>
      </c>
      <c r="Y127">
        <v>-6.67</v>
      </c>
      <c r="Z127" t="s">
        <v>214</v>
      </c>
      <c r="AA127" t="s">
        <v>66</v>
      </c>
      <c r="AB127" t="s">
        <v>4465</v>
      </c>
      <c r="AC127" t="s">
        <v>4466</v>
      </c>
      <c r="AD127" t="s">
        <v>63</v>
      </c>
      <c r="AE127">
        <v>-2880318</v>
      </c>
      <c r="AF127" t="s">
        <v>4467</v>
      </c>
      <c r="AG127" t="s">
        <v>63</v>
      </c>
      <c r="AH127" t="s">
        <v>4468</v>
      </c>
      <c r="AI127" t="s">
        <v>766</v>
      </c>
      <c r="AJ127" t="s">
        <v>4469</v>
      </c>
      <c r="AK127" t="s">
        <v>4470</v>
      </c>
      <c r="AL127" t="s">
        <v>4471</v>
      </c>
      <c r="AM127" t="s">
        <v>63</v>
      </c>
      <c r="AN127" t="s">
        <v>4472</v>
      </c>
      <c r="AO127" t="s">
        <v>63</v>
      </c>
      <c r="AP127" t="s">
        <v>4473</v>
      </c>
      <c r="AQ127" t="s">
        <v>1787</v>
      </c>
      <c r="AR127" t="s">
        <v>63</v>
      </c>
      <c r="AS127" t="s">
        <v>4474</v>
      </c>
      <c r="AT127" t="s">
        <v>63</v>
      </c>
      <c r="AU127" t="s">
        <v>1515</v>
      </c>
      <c r="AV127" t="s">
        <v>1329</v>
      </c>
      <c r="AW127" t="s">
        <v>4475</v>
      </c>
      <c r="AX127" t="s">
        <v>360</v>
      </c>
      <c r="AY127" t="s">
        <v>1820</v>
      </c>
      <c r="AZ127" t="s">
        <v>1488</v>
      </c>
      <c r="BA127" t="s">
        <v>1388</v>
      </c>
      <c r="BB127" t="s">
        <v>63</v>
      </c>
      <c r="BC127" t="s">
        <v>1639</v>
      </c>
      <c r="BD127" t="s">
        <v>1640</v>
      </c>
      <c r="BE127" t="s">
        <v>1977</v>
      </c>
      <c r="BF127" t="s">
        <v>1978</v>
      </c>
      <c r="BG127" t="s">
        <v>63</v>
      </c>
      <c r="BH127" t="s">
        <v>4476</v>
      </c>
      <c r="BI127" t="s">
        <v>710</v>
      </c>
      <c r="BJ127" t="s">
        <v>360</v>
      </c>
      <c r="BK127" t="s">
        <v>492</v>
      </c>
      <c r="BL127" t="s">
        <v>1979</v>
      </c>
      <c r="BM127" t="s">
        <v>1639</v>
      </c>
      <c r="BN127">
        <v>-0.99</v>
      </c>
      <c r="BO127">
        <v>10.95</v>
      </c>
      <c r="BP127">
        <v>14.68</v>
      </c>
      <c r="BQ127">
        <v>1.1000000000000001</v>
      </c>
      <c r="BR127">
        <v>12.39</v>
      </c>
      <c r="BS127" t="s">
        <v>63</v>
      </c>
      <c r="BT127" t="s">
        <v>4477</v>
      </c>
      <c r="BU127" t="s">
        <v>2052</v>
      </c>
      <c r="BV127">
        <v>28.21</v>
      </c>
      <c r="BW127">
        <v>27.63</v>
      </c>
      <c r="BX127">
        <v>25.48</v>
      </c>
      <c r="BY127">
        <v>8.14</v>
      </c>
      <c r="BZ127">
        <v>6.02</v>
      </c>
      <c r="CA127">
        <v>6.2</v>
      </c>
      <c r="CB127">
        <v>-11.51</v>
      </c>
      <c r="CC127" s="9">
        <v>-17.86</v>
      </c>
      <c r="CD127" s="10" t="s">
        <v>4478</v>
      </c>
      <c r="CE127" s="9" t="s">
        <v>293</v>
      </c>
      <c r="CF127" s="9">
        <v>-0.53510436432637554</v>
      </c>
      <c r="CG127" s="9">
        <v>-0.254261494069634</v>
      </c>
      <c r="CH127" s="9">
        <v>-0.84454315900802612</v>
      </c>
      <c r="CI127" s="9">
        <v>-2.6559643447399139E-2</v>
      </c>
      <c r="CJ127" s="10">
        <v>0.20014835894107819</v>
      </c>
      <c r="CK127" s="10">
        <v>0.31867051124572754</v>
      </c>
      <c r="CL127" s="10" t="s">
        <v>63</v>
      </c>
      <c r="CM127" s="10">
        <v>-1.1758254766464233</v>
      </c>
      <c r="CN127" s="10">
        <v>-7.6251208782196045E-2</v>
      </c>
      <c r="CO127">
        <v>5.0531928427517414E-3</v>
      </c>
      <c r="CP127">
        <v>1.654589056968689</v>
      </c>
      <c r="CQ127" t="s">
        <v>63</v>
      </c>
      <c r="CR127" s="9">
        <v>147.86940097886961</v>
      </c>
      <c r="CS127" s="10">
        <v>16.789797936752667</v>
      </c>
      <c r="CT127">
        <v>0.74708454810495617</v>
      </c>
      <c r="CU127">
        <v>-8.8070983067154884E-2</v>
      </c>
      <c r="CV127">
        <v>0.10189139109570533</v>
      </c>
      <c r="CW127">
        <v>0.06</v>
      </c>
      <c r="CX127" t="e">
        <v>#VALUE!</v>
      </c>
      <c r="CY127" t="s">
        <v>1308</v>
      </c>
      <c r="CZ127">
        <v>-8.8070983067154884E-2</v>
      </c>
      <c r="DA127" t="e">
        <v>#VALUE!</v>
      </c>
      <c r="DB127" t="s">
        <v>1309</v>
      </c>
      <c r="DC127">
        <v>-8.3667433913797135E-2</v>
      </c>
      <c r="DD127" t="e">
        <v>#VALUE!</v>
      </c>
      <c r="DE127" t="s">
        <v>1309</v>
      </c>
      <c r="DF127">
        <v>-7.7502465099096293E-2</v>
      </c>
      <c r="DG127" t="e">
        <v>#VALUE!</v>
      </c>
      <c r="DH127" t="s">
        <v>1309</v>
      </c>
      <c r="DI127">
        <v>-7.0456786453723913E-2</v>
      </c>
      <c r="DJ127" t="e">
        <v>#VALUE!</v>
      </c>
      <c r="DK127" t="s">
        <v>1309</v>
      </c>
      <c r="DL127">
        <v>-6.1649688147008413E-2</v>
      </c>
      <c r="DM127">
        <v>-15735500</v>
      </c>
      <c r="DN127">
        <v>-8.8070983067154884E-2</v>
      </c>
      <c r="DO127">
        <v>8960233600</v>
      </c>
      <c r="DP127">
        <v>1612806200</v>
      </c>
      <c r="DQ127" s="11">
        <v>5032</v>
      </c>
      <c r="DR127">
        <v>-0.44703338125922065</v>
      </c>
      <c r="DS127">
        <v>-0.35615288516533933</v>
      </c>
      <c r="DT127">
        <v>-0.628</v>
      </c>
      <c r="DU127">
        <v>-1.4340000000000002</v>
      </c>
      <c r="DV127">
        <v>-2.0620000000000003</v>
      </c>
      <c r="DW127">
        <v>-9.6444568868980962</v>
      </c>
      <c r="DX127">
        <v>0.26760803571428526</v>
      </c>
      <c r="DY127">
        <v>-9.08223787743961</v>
      </c>
      <c r="DZ127">
        <v>642</v>
      </c>
      <c r="EA127">
        <v>-9.0719058388258667</v>
      </c>
      <c r="EB127" s="12">
        <v>9</v>
      </c>
      <c r="EC127" s="12">
        <v>8.7429497767174402E-2</v>
      </c>
      <c r="ED127">
        <v>0.68514100446565129</v>
      </c>
      <c r="EE127">
        <v>9.999999999999995E-3</v>
      </c>
      <c r="EF127">
        <v>2.1309999999999999E-2</v>
      </c>
      <c r="EG127">
        <v>14.127608035714285</v>
      </c>
      <c r="EH127" s="14">
        <v>-1</v>
      </c>
      <c r="EI127">
        <v>0</v>
      </c>
      <c r="EJ127">
        <v>1</v>
      </c>
      <c r="EK127">
        <v>45470</v>
      </c>
      <c r="EL127">
        <v>-1.73</v>
      </c>
      <c r="EM127">
        <v>-6.5</v>
      </c>
      <c r="EN127">
        <v>-2.2599999999999998</v>
      </c>
      <c r="EO127">
        <v>5.51</v>
      </c>
      <c r="EP127">
        <v>-3.13</v>
      </c>
    </row>
    <row r="128" spans="1:146" ht="96" x14ac:dyDescent="0.25">
      <c r="C128" s="7" t="str">
        <f>""&amp;CHAR(10)&amp;Basic_Fundamental_Information_Constructure(F128)&amp;CHAR(10)&amp;Basic_Fundamental_Information_Concatenate("")</f>
        <v xml:space="preserve">
市值19.845017亿, 利润-1008.86万; PE50.26; 平均PE74.42; 平均PEG30.53, PB2.01; ROIC20.525%; ROE6.525%; 股利率.229%; 毛利77.1633%; 净利19.2367%; 上一年度营收增-82.11%, 利润增-121.84%; 当季营收增-54.62%, 利润增-60.02%; 过往5年营收增2.44%, 利润增.12%
Income profile:
</v>
      </c>
      <c r="D128" s="5" t="s">
        <v>1641</v>
      </c>
      <c r="E128" t="s">
        <v>1642</v>
      </c>
      <c r="F128">
        <v>26.32</v>
      </c>
      <c r="G128">
        <v>1.43</v>
      </c>
      <c r="H128" t="s">
        <v>4479</v>
      </c>
      <c r="I128">
        <v>1984501700</v>
      </c>
      <c r="J128">
        <v>50.26</v>
      </c>
      <c r="K128">
        <v>2.0099999999999998</v>
      </c>
      <c r="L128" t="s">
        <v>1303</v>
      </c>
      <c r="M128" t="s">
        <v>497</v>
      </c>
      <c r="N128" t="s">
        <v>4480</v>
      </c>
      <c r="O128" t="s">
        <v>4481</v>
      </c>
      <c r="P128" s="5">
        <v>18.98</v>
      </c>
      <c r="Q128" t="s">
        <v>4481</v>
      </c>
      <c r="R128">
        <v>-10088622</v>
      </c>
      <c r="S128">
        <v>-0.42820000000000003</v>
      </c>
      <c r="T128" t="s">
        <v>4482</v>
      </c>
      <c r="U128">
        <v>16810687</v>
      </c>
      <c r="V128">
        <v>75399000</v>
      </c>
      <c r="W128">
        <v>1.1599999999999999</v>
      </c>
      <c r="X128">
        <v>0.04</v>
      </c>
      <c r="Y128">
        <v>-23.9</v>
      </c>
      <c r="Z128" t="s">
        <v>4483</v>
      </c>
      <c r="AA128" t="s">
        <v>4484</v>
      </c>
      <c r="AB128" t="s">
        <v>4485</v>
      </c>
      <c r="AC128" t="s">
        <v>4486</v>
      </c>
      <c r="AD128" t="s">
        <v>63</v>
      </c>
      <c r="AE128">
        <v>-2641091</v>
      </c>
      <c r="AF128" t="s">
        <v>4487</v>
      </c>
      <c r="AG128" t="s">
        <v>4488</v>
      </c>
      <c r="AH128" t="s">
        <v>4489</v>
      </c>
      <c r="AI128" t="s">
        <v>475</v>
      </c>
      <c r="AJ128" t="s">
        <v>4490</v>
      </c>
      <c r="AK128" t="s">
        <v>4491</v>
      </c>
      <c r="AL128" t="s">
        <v>4492</v>
      </c>
      <c r="AM128" t="s">
        <v>63</v>
      </c>
      <c r="AN128">
        <v>0</v>
      </c>
      <c r="AO128" t="s">
        <v>63</v>
      </c>
      <c r="AP128" t="s">
        <v>4493</v>
      </c>
      <c r="AQ128" t="s">
        <v>4494</v>
      </c>
      <c r="AR128" t="s">
        <v>63</v>
      </c>
      <c r="AS128" t="s">
        <v>408</v>
      </c>
      <c r="AT128" t="s">
        <v>63</v>
      </c>
      <c r="AU128" t="s">
        <v>4495</v>
      </c>
      <c r="AV128" t="s">
        <v>1377</v>
      </c>
      <c r="AW128" t="s">
        <v>4496</v>
      </c>
      <c r="AX128" t="s">
        <v>209</v>
      </c>
      <c r="AY128" t="s">
        <v>756</v>
      </c>
      <c r="AZ128" t="s">
        <v>463</v>
      </c>
      <c r="BA128" t="s">
        <v>229</v>
      </c>
      <c r="BB128" t="s">
        <v>63</v>
      </c>
      <c r="BC128" t="s">
        <v>4497</v>
      </c>
      <c r="BD128" t="s">
        <v>1980</v>
      </c>
      <c r="BE128" t="s">
        <v>1981</v>
      </c>
      <c r="BF128" t="s">
        <v>1982</v>
      </c>
      <c r="BG128" t="s">
        <v>63</v>
      </c>
      <c r="BH128" t="s">
        <v>336</v>
      </c>
      <c r="BI128" t="s">
        <v>1983</v>
      </c>
      <c r="BJ128" t="s">
        <v>209</v>
      </c>
      <c r="BK128" t="s">
        <v>4498</v>
      </c>
      <c r="BL128" t="s">
        <v>1984</v>
      </c>
      <c r="BM128" t="s">
        <v>4497</v>
      </c>
      <c r="BN128" t="s">
        <v>63</v>
      </c>
      <c r="BO128">
        <v>18.100000000000001</v>
      </c>
      <c r="BP128">
        <v>22.95</v>
      </c>
      <c r="BQ128">
        <v>-5.66</v>
      </c>
      <c r="BR128">
        <v>18.71</v>
      </c>
      <c r="BS128" t="s">
        <v>63</v>
      </c>
      <c r="BT128" t="s">
        <v>4499</v>
      </c>
      <c r="BU128" t="s">
        <v>2031</v>
      </c>
      <c r="BV128">
        <v>75</v>
      </c>
      <c r="BW128">
        <v>77.69</v>
      </c>
      <c r="BX128">
        <v>78.8</v>
      </c>
      <c r="BY128">
        <v>14.62</v>
      </c>
      <c r="BZ128">
        <v>19.559999999999999</v>
      </c>
      <c r="CA128">
        <v>23.53</v>
      </c>
      <c r="CB128">
        <v>-9.83</v>
      </c>
      <c r="CC128" s="9">
        <v>-16.2</v>
      </c>
      <c r="CD128" s="10" t="s">
        <v>4500</v>
      </c>
      <c r="CE128" s="9" t="s">
        <v>4501</v>
      </c>
      <c r="CF128" s="9">
        <v>-0.54619585667136117</v>
      </c>
      <c r="CG128" s="9">
        <v>-0.60022555317630266</v>
      </c>
      <c r="CH128" s="9">
        <v>-0.82113766670227051</v>
      </c>
      <c r="CI128" s="9">
        <v>0.16256158053874969</v>
      </c>
      <c r="CJ128" s="10">
        <v>0.33552631735801697</v>
      </c>
      <c r="CK128" s="10">
        <v>0.42056074738502502</v>
      </c>
      <c r="CL128" s="10" t="s">
        <v>63</v>
      </c>
      <c r="CM128" s="10">
        <v>-1.21843421459198</v>
      </c>
      <c r="CN128" s="10">
        <v>-3.3397652208805084E-2</v>
      </c>
      <c r="CO128">
        <v>0.52362030744552612</v>
      </c>
      <c r="CP128">
        <v>0.73299920558929443</v>
      </c>
      <c r="CQ128" t="s">
        <v>63</v>
      </c>
      <c r="CR128" s="9">
        <v>74.417269591655966</v>
      </c>
      <c r="CS128" s="10">
        <v>30.526724549674348</v>
      </c>
      <c r="CT128">
        <v>0.22898936170212766</v>
      </c>
      <c r="CU128">
        <v>2.4377744644880295E-2</v>
      </c>
      <c r="CV128">
        <v>1.196911558508873E-3</v>
      </c>
      <c r="CW128">
        <v>0.06</v>
      </c>
      <c r="CX128" t="e">
        <v>#VALUE!</v>
      </c>
      <c r="CY128" t="s">
        <v>1308</v>
      </c>
      <c r="CZ128">
        <v>2.4377744644880295E-2</v>
      </c>
      <c r="DA128" t="e">
        <v>#VALUE!</v>
      </c>
      <c r="DB128" t="s">
        <v>1309</v>
      </c>
      <c r="DC128">
        <v>2.3158857412636277E-2</v>
      </c>
      <c r="DD128" t="e">
        <v>#VALUE!</v>
      </c>
      <c r="DE128" t="s">
        <v>1309</v>
      </c>
      <c r="DF128">
        <v>2.1452415287494659E-2</v>
      </c>
      <c r="DG128" t="e">
        <v>#VALUE!</v>
      </c>
      <c r="DH128" t="s">
        <v>1309</v>
      </c>
      <c r="DI128">
        <v>1.9502195715904239E-2</v>
      </c>
      <c r="DJ128" t="e">
        <v>#VALUE!</v>
      </c>
      <c r="DK128" t="s">
        <v>1309</v>
      </c>
      <c r="DL128">
        <v>1.7064421251416204E-2</v>
      </c>
      <c r="DM128">
        <v>-10088600</v>
      </c>
      <c r="DN128">
        <v>2.4377744644880295E-2</v>
      </c>
      <c r="DO128">
        <v>1136501700</v>
      </c>
      <c r="DP128">
        <v>899346830</v>
      </c>
      <c r="DQ128" s="11">
        <v>5039</v>
      </c>
      <c r="DR128">
        <v>-0.57057360131624146</v>
      </c>
      <c r="DS128">
        <v>-0.60142246473481153</v>
      </c>
      <c r="DT128">
        <v>-0.44800000000000006</v>
      </c>
      <c r="DU128">
        <v>-1.5379999999999998</v>
      </c>
      <c r="DV128">
        <v>-1.9859999999999998</v>
      </c>
      <c r="DW128">
        <v>-9.6067901234567898</v>
      </c>
      <c r="DX128">
        <v>0.28411067945435092</v>
      </c>
      <c r="DY128">
        <v>-9.0631733320392769</v>
      </c>
      <c r="DZ128">
        <v>71</v>
      </c>
      <c r="EA128">
        <v>-9.0622955812418624</v>
      </c>
      <c r="EB128" s="12">
        <v>9</v>
      </c>
      <c r="EC128" s="12">
        <v>3.9203437711375473E-2</v>
      </c>
      <c r="ED128">
        <v>0.37655539198132604</v>
      </c>
      <c r="EE128">
        <v>8.0229099999999995</v>
      </c>
      <c r="EF128">
        <v>8.0640099999999997</v>
      </c>
      <c r="EG128">
        <v>18.104110679454351</v>
      </c>
      <c r="EH128" s="14" t="s">
        <v>4502</v>
      </c>
      <c r="EI128">
        <v>0</v>
      </c>
      <c r="EJ128">
        <v>1</v>
      </c>
      <c r="EK128">
        <v>45470</v>
      </c>
      <c r="EL128">
        <v>-2.16</v>
      </c>
      <c r="EM128">
        <v>-7.82</v>
      </c>
      <c r="EN128">
        <v>0</v>
      </c>
      <c r="EO128">
        <v>2</v>
      </c>
      <c r="EP128">
        <v>-4.1100000000000003</v>
      </c>
    </row>
    <row r="129" spans="1:146" ht="96" x14ac:dyDescent="0.25">
      <c r="C129" s="7" t="str">
        <f>""&amp;CHAR(10)&amp;Basic_Fundamental_Information_Constructure(F129)&amp;CHAR(10)&amp;Basic_Fundamental_Information_Concatenate("")</f>
        <v xml:space="preserve">
市值22.504158亿, 利润602.64万; PE43.36; 平均PE54.63; 平均PEG33.63, PB1.59; ROIC21.36%; ROE18.54%; 股利率2.9112%; 毛利91.8933%; 净利25.0067%; 上一年度营收增-76.66%, 利润增-90.32%; 当季营收增-55%, 利润增-76.98%; 过往5年营收增1.62%, 利润增8.29%
Income profile:
</v>
      </c>
      <c r="D129" s="5" t="s">
        <v>1985</v>
      </c>
      <c r="E129" t="s">
        <v>1986</v>
      </c>
      <c r="F129">
        <v>34.35</v>
      </c>
      <c r="G129">
        <v>-0.17</v>
      </c>
      <c r="H129" t="s">
        <v>4503</v>
      </c>
      <c r="I129">
        <v>2250415800</v>
      </c>
      <c r="J129">
        <v>43.36</v>
      </c>
      <c r="K129">
        <v>1.59</v>
      </c>
      <c r="L129" t="s">
        <v>1303</v>
      </c>
      <c r="M129" t="s">
        <v>4504</v>
      </c>
      <c r="N129" t="s">
        <v>4505</v>
      </c>
      <c r="O129" t="s">
        <v>4506</v>
      </c>
      <c r="P129" s="5">
        <v>4.79</v>
      </c>
      <c r="Q129" t="s">
        <v>4506</v>
      </c>
      <c r="R129">
        <v>6026418</v>
      </c>
      <c r="S129">
        <v>-0.27060000000000001</v>
      </c>
      <c r="T129" t="s">
        <v>4507</v>
      </c>
      <c r="U129">
        <v>14736730</v>
      </c>
      <c r="V129">
        <v>65514288</v>
      </c>
      <c r="W129">
        <v>1.04</v>
      </c>
      <c r="X129">
        <v>0.04</v>
      </c>
      <c r="Y129">
        <v>10.71</v>
      </c>
      <c r="Z129" t="s">
        <v>4508</v>
      </c>
      <c r="AA129" t="s">
        <v>4509</v>
      </c>
      <c r="AB129" t="s">
        <v>4510</v>
      </c>
      <c r="AC129" t="s">
        <v>4511</v>
      </c>
      <c r="AD129" t="s">
        <v>63</v>
      </c>
      <c r="AE129">
        <v>-3332117</v>
      </c>
      <c r="AF129" t="s">
        <v>4512</v>
      </c>
      <c r="AG129">
        <v>30.5</v>
      </c>
      <c r="AH129" t="s">
        <v>4513</v>
      </c>
      <c r="AI129" t="s">
        <v>294</v>
      </c>
      <c r="AJ129" t="s">
        <v>4514</v>
      </c>
      <c r="AK129" t="s">
        <v>4515</v>
      </c>
      <c r="AL129" t="s">
        <v>4516</v>
      </c>
      <c r="AM129" t="s">
        <v>63</v>
      </c>
      <c r="AN129">
        <v>0</v>
      </c>
      <c r="AO129" t="s">
        <v>63</v>
      </c>
      <c r="AP129" t="s">
        <v>63</v>
      </c>
      <c r="AQ129" t="s">
        <v>4517</v>
      </c>
      <c r="AR129" t="s">
        <v>63</v>
      </c>
      <c r="AS129" t="s">
        <v>4518</v>
      </c>
      <c r="AT129" t="s">
        <v>63</v>
      </c>
      <c r="AU129" t="s">
        <v>4519</v>
      </c>
      <c r="AV129" t="s">
        <v>4520</v>
      </c>
      <c r="AW129" t="s">
        <v>4521</v>
      </c>
      <c r="AX129" t="s">
        <v>489</v>
      </c>
      <c r="AY129" t="s">
        <v>209</v>
      </c>
      <c r="AZ129" t="s">
        <v>272</v>
      </c>
      <c r="BA129" t="s">
        <v>192</v>
      </c>
      <c r="BB129" t="s">
        <v>287</v>
      </c>
      <c r="BC129" t="s">
        <v>4522</v>
      </c>
      <c r="BD129" t="s">
        <v>1987</v>
      </c>
      <c r="BE129" t="s">
        <v>1988</v>
      </c>
      <c r="BF129" t="s">
        <v>1989</v>
      </c>
      <c r="BG129" t="s">
        <v>1990</v>
      </c>
      <c r="BH129" t="s">
        <v>191</v>
      </c>
      <c r="BI129" t="s">
        <v>321</v>
      </c>
      <c r="BJ129" t="s">
        <v>489</v>
      </c>
      <c r="BK129" t="s">
        <v>4523</v>
      </c>
      <c r="BL129" t="s">
        <v>1991</v>
      </c>
      <c r="BM129" t="s">
        <v>4522</v>
      </c>
      <c r="BN129">
        <v>4.43</v>
      </c>
      <c r="BO129">
        <v>23.32</v>
      </c>
      <c r="BP129">
        <v>36.33</v>
      </c>
      <c r="BQ129">
        <v>13.26</v>
      </c>
      <c r="BR129">
        <v>23.82</v>
      </c>
      <c r="BS129" t="s">
        <v>63</v>
      </c>
      <c r="BT129" t="s">
        <v>4524</v>
      </c>
      <c r="BU129" t="s">
        <v>2052</v>
      </c>
      <c r="BV129">
        <v>91.45</v>
      </c>
      <c r="BW129">
        <v>91.75</v>
      </c>
      <c r="BX129">
        <v>92.48</v>
      </c>
      <c r="BY129">
        <v>19.47</v>
      </c>
      <c r="BZ129">
        <v>25.87</v>
      </c>
      <c r="CA129">
        <v>29.68</v>
      </c>
      <c r="CB129">
        <v>-7.06</v>
      </c>
      <c r="CC129" s="9">
        <v>-15.08</v>
      </c>
      <c r="CD129" s="10" t="s">
        <v>4525</v>
      </c>
      <c r="CE129" s="9" t="s">
        <v>4526</v>
      </c>
      <c r="CF129" s="9">
        <v>-0.54997280000000004</v>
      </c>
      <c r="CG129" s="9">
        <v>-0.76984964502171116</v>
      </c>
      <c r="CH129" s="9">
        <v>-0.76658338308334351</v>
      </c>
      <c r="CI129" s="9">
        <v>2.118644118309021E-2</v>
      </c>
      <c r="CJ129" s="10">
        <v>0.26881721615791321</v>
      </c>
      <c r="CK129" s="10">
        <v>0.21568627655506134</v>
      </c>
      <c r="CL129" s="10">
        <v>0.34210526943206787</v>
      </c>
      <c r="CM129" s="10">
        <v>-0.90317761898040771</v>
      </c>
      <c r="CN129" s="10">
        <v>-0.11216693371534348</v>
      </c>
      <c r="CO129">
        <v>0.45690599083900452</v>
      </c>
      <c r="CP129">
        <v>1.5112621784210205</v>
      </c>
      <c r="CQ129">
        <v>-0.53834402561187744</v>
      </c>
      <c r="CR129" s="9">
        <v>54.63058261854669</v>
      </c>
      <c r="CS129" s="10">
        <v>33.634625140699271</v>
      </c>
      <c r="CT129">
        <v>2.9112081513828238</v>
      </c>
      <c r="CU129">
        <v>1.6242364048957826E-2</v>
      </c>
      <c r="CV129">
        <v>8.2895918190479284E-2</v>
      </c>
      <c r="CW129">
        <v>0.06</v>
      </c>
      <c r="CX129">
        <v>159.77847770317382</v>
      </c>
      <c r="CY129">
        <v>5777625.4553817343</v>
      </c>
      <c r="CZ129">
        <v>1.6242364048957826E-2</v>
      </c>
      <c r="DA129">
        <v>55.60744061081926</v>
      </c>
      <c r="DB129">
        <v>16601019.393444072</v>
      </c>
      <c r="DC129">
        <v>1.5430245846509934E-2</v>
      </c>
      <c r="DD129">
        <v>29.704815643245805</v>
      </c>
      <c r="DE129">
        <v>31077122.682291448</v>
      </c>
      <c r="DF129">
        <v>1.4293280363082887E-2</v>
      </c>
      <c r="DG129">
        <v>19.492834795103143</v>
      </c>
      <c r="DH129">
        <v>47357924.576055251</v>
      </c>
      <c r="DI129">
        <v>1.2993891239166262E-2</v>
      </c>
      <c r="DJ129">
        <v>12.092843372954384</v>
      </c>
      <c r="DK129">
        <v>76337728.979819655</v>
      </c>
      <c r="DL129">
        <v>1.1369654834270477E-2</v>
      </c>
      <c r="DM129">
        <v>6026400</v>
      </c>
      <c r="DN129">
        <v>1.6242364048957826E-2</v>
      </c>
      <c r="DO129">
        <v>923140200</v>
      </c>
      <c r="DP129">
        <v>1359446600</v>
      </c>
      <c r="DQ129" s="11">
        <v>5044</v>
      </c>
      <c r="DR129">
        <v>-0.56621516404895789</v>
      </c>
      <c r="DS129">
        <v>-0.85274556321219042</v>
      </c>
      <c r="DT129">
        <v>-0.42333333333333339</v>
      </c>
      <c r="DU129">
        <v>-0.50666666666666671</v>
      </c>
      <c r="DV129">
        <v>-0.93000000000000016</v>
      </c>
      <c r="DW129">
        <v>-9.4681697612732094</v>
      </c>
      <c r="DX129">
        <v>0.26301976596761822</v>
      </c>
      <c r="DY129">
        <v>-9.0810026225286062</v>
      </c>
      <c r="DZ129">
        <v>3243</v>
      </c>
      <c r="EA129">
        <v>-9.0295952830256176</v>
      </c>
      <c r="EB129" s="12">
        <v>9</v>
      </c>
      <c r="EC129" s="12">
        <v>2.5412777133439961E-2</v>
      </c>
      <c r="ED129">
        <v>0.14687788410369354</v>
      </c>
      <c r="EE129">
        <v>-3.03111</v>
      </c>
      <c r="EF129">
        <v>-3.05111</v>
      </c>
      <c r="EG129">
        <v>9.1730197659676183</v>
      </c>
      <c r="EH129" s="14" t="s">
        <v>1471</v>
      </c>
      <c r="EI129">
        <v>0</v>
      </c>
      <c r="EJ129">
        <v>0</v>
      </c>
      <c r="EK129">
        <v>45470</v>
      </c>
      <c r="EL129">
        <v>5.22</v>
      </c>
      <c r="EM129">
        <v>-3.26</v>
      </c>
      <c r="EN129">
        <v>-3.4</v>
      </c>
      <c r="EO129">
        <v>0.33</v>
      </c>
      <c r="EP129">
        <v>-2</v>
      </c>
    </row>
    <row r="130" spans="1:146" ht="96" x14ac:dyDescent="0.25">
      <c r="C130" s="7" t="str">
        <f>""&amp;CHAR(10)&amp;Basic_Fundamental_Information_Constructure(F130)&amp;CHAR(10)&amp;Basic_Fundamental_Information_Concatenate("")</f>
        <v xml:space="preserve">
市值158.308亿, 利润5565.18万; PE49.75; 平均PE78.6; 平均PEG10.19, PB5.2; ROIC42.075%; ROE0%; 股利率0%; 毛利93.48%; 净利44.8167%; 上一年度营收增-75.87%, 利润增-79.31%; 当季营收增-42.16%, 利润增26.79%; 过往5年营收增7.71%, 利润增36.5%
Income profile:
</v>
      </c>
      <c r="D130" t="s">
        <v>4527</v>
      </c>
      <c r="E130" t="s">
        <v>4528</v>
      </c>
      <c r="F130">
        <v>208.3</v>
      </c>
      <c r="G130">
        <v>2.41</v>
      </c>
      <c r="H130" t="s">
        <v>4529</v>
      </c>
      <c r="I130">
        <v>15830800000</v>
      </c>
      <c r="J130">
        <v>49.75</v>
      </c>
      <c r="K130">
        <v>5.2</v>
      </c>
      <c r="L130" t="s">
        <v>1303</v>
      </c>
      <c r="M130" t="s">
        <v>339</v>
      </c>
      <c r="N130" t="s">
        <v>1249</v>
      </c>
      <c r="O130" t="s">
        <v>190</v>
      </c>
      <c r="P130" s="5">
        <v>26.79</v>
      </c>
      <c r="Q130" t="s">
        <v>190</v>
      </c>
      <c r="R130">
        <v>93000000</v>
      </c>
      <c r="S130">
        <v>0.65859999999999996</v>
      </c>
      <c r="T130" t="s">
        <v>4530</v>
      </c>
      <c r="U130">
        <v>14285053</v>
      </c>
      <c r="V130">
        <v>76000000</v>
      </c>
      <c r="W130">
        <v>1.23</v>
      </c>
      <c r="X130">
        <v>0.09</v>
      </c>
      <c r="Y130">
        <v>32.770000000000003</v>
      </c>
      <c r="Z130" t="s">
        <v>270</v>
      </c>
      <c r="AA130" t="s">
        <v>4531</v>
      </c>
      <c r="AB130" t="s">
        <v>4532</v>
      </c>
      <c r="AC130" t="s">
        <v>4533</v>
      </c>
      <c r="AD130" t="s">
        <v>63</v>
      </c>
      <c r="AE130">
        <v>-5414822</v>
      </c>
      <c r="AF130" t="s">
        <v>176</v>
      </c>
      <c r="AG130">
        <v>7454.49</v>
      </c>
      <c r="AH130" t="s">
        <v>4534</v>
      </c>
      <c r="AI130" t="s">
        <v>4535</v>
      </c>
      <c r="AJ130" t="s">
        <v>4536</v>
      </c>
      <c r="AK130" t="s">
        <v>4537</v>
      </c>
      <c r="AL130" t="s">
        <v>4538</v>
      </c>
      <c r="AM130" t="s">
        <v>63</v>
      </c>
      <c r="AN130" t="s">
        <v>266</v>
      </c>
      <c r="AO130" t="s">
        <v>63</v>
      </c>
      <c r="AP130" t="s">
        <v>63</v>
      </c>
      <c r="AQ130" t="s">
        <v>4539</v>
      </c>
      <c r="AR130" t="s">
        <v>63</v>
      </c>
      <c r="AS130" t="s">
        <v>425</v>
      </c>
      <c r="AT130" t="s">
        <v>63</v>
      </c>
      <c r="AU130" t="s">
        <v>4540</v>
      </c>
      <c r="AV130" t="s">
        <v>4541</v>
      </c>
      <c r="AW130" t="s">
        <v>4542</v>
      </c>
      <c r="AX130" t="s">
        <v>332</v>
      </c>
      <c r="AY130" t="s">
        <v>723</v>
      </c>
      <c r="AZ130" t="s">
        <v>466</v>
      </c>
      <c r="BA130" t="s">
        <v>228</v>
      </c>
      <c r="BB130" t="s">
        <v>63</v>
      </c>
      <c r="BC130" t="s">
        <v>644</v>
      </c>
      <c r="BD130" t="s">
        <v>239</v>
      </c>
      <c r="BE130" t="s">
        <v>256</v>
      </c>
      <c r="BF130" t="s">
        <v>4543</v>
      </c>
      <c r="BG130" t="s">
        <v>63</v>
      </c>
      <c r="BH130" t="s">
        <v>342</v>
      </c>
      <c r="BI130" t="s">
        <v>602</v>
      </c>
      <c r="BJ130" t="s">
        <v>332</v>
      </c>
      <c r="BK130" t="s">
        <v>406</v>
      </c>
      <c r="BL130" t="s">
        <v>4544</v>
      </c>
      <c r="BM130" t="s">
        <v>644</v>
      </c>
      <c r="BN130" t="s">
        <v>63</v>
      </c>
      <c r="BO130">
        <v>24.25</v>
      </c>
      <c r="BP130">
        <v>59.9</v>
      </c>
      <c r="BQ130" t="s">
        <v>63</v>
      </c>
      <c r="BR130" t="s">
        <v>63</v>
      </c>
      <c r="BS130" t="s">
        <v>63</v>
      </c>
      <c r="BT130" t="s">
        <v>63</v>
      </c>
      <c r="BU130" t="s">
        <v>2052</v>
      </c>
      <c r="BV130">
        <v>95.81</v>
      </c>
      <c r="BW130">
        <v>94.06</v>
      </c>
      <c r="BX130">
        <v>90.57</v>
      </c>
      <c r="BY130">
        <v>36.880000000000003</v>
      </c>
      <c r="BZ130">
        <v>38.56</v>
      </c>
      <c r="CA130">
        <v>59.01</v>
      </c>
      <c r="CB130">
        <v>-7.17</v>
      </c>
      <c r="CC130" s="9">
        <v>-32.81</v>
      </c>
      <c r="CD130" s="10" t="s">
        <v>4545</v>
      </c>
      <c r="CE130" s="9" t="s">
        <v>4546</v>
      </c>
      <c r="CF130" s="9">
        <v>-0.42160278745644597</v>
      </c>
      <c r="CG130" s="9">
        <v>0.26794897664247114</v>
      </c>
      <c r="CH130" s="9">
        <v>-0.75872093439102173</v>
      </c>
      <c r="CI130" s="9">
        <v>-7.4024222791194916E-2</v>
      </c>
      <c r="CJ130" s="10">
        <v>0.65111112594604492</v>
      </c>
      <c r="CK130" s="10">
        <v>0.49006623029708862</v>
      </c>
      <c r="CL130" s="10" t="s">
        <v>63</v>
      </c>
      <c r="CM130" s="10">
        <v>-0.79311597347259521</v>
      </c>
      <c r="CN130" s="10">
        <v>-0.39414414763450623</v>
      </c>
      <c r="CO130">
        <v>1.9798657894134521</v>
      </c>
      <c r="CP130">
        <v>0.66739034652709961</v>
      </c>
      <c r="CQ130" t="s">
        <v>63</v>
      </c>
      <c r="CR130" s="9">
        <v>78.602758852169728</v>
      </c>
      <c r="CS130" s="10">
        <v>10.19384604998978</v>
      </c>
      <c r="CT130">
        <v>0</v>
      </c>
      <c r="CU130">
        <v>7.7108049765229225E-2</v>
      </c>
      <c r="CV130">
        <v>0.36499900370836258</v>
      </c>
      <c r="CW130">
        <v>0.06</v>
      </c>
      <c r="CX130">
        <v>261.39344942564884</v>
      </c>
      <c r="CY130">
        <v>56550001.664079793</v>
      </c>
      <c r="CZ130">
        <v>7.7108049765229225E-2</v>
      </c>
      <c r="DA130">
        <v>86.359932996257768</v>
      </c>
      <c r="DB130">
        <v>171165023.95434394</v>
      </c>
      <c r="DC130">
        <v>7.3252647276967758E-2</v>
      </c>
      <c r="DD130">
        <v>43.135987257879258</v>
      </c>
      <c r="DE130">
        <v>342679070.06811219</v>
      </c>
      <c r="DF130">
        <v>6.7855083793401716E-2</v>
      </c>
      <c r="DG130">
        <v>26.329726646673272</v>
      </c>
      <c r="DH130">
        <v>561411069.63856995</v>
      </c>
      <c r="DI130">
        <v>6.1686439812183386E-2</v>
      </c>
      <c r="DJ130">
        <v>14.092050009080468</v>
      </c>
      <c r="DK130">
        <v>1048946036.2740041</v>
      </c>
      <c r="DL130">
        <v>5.3975634835660452E-2</v>
      </c>
      <c r="DM130">
        <v>55651800</v>
      </c>
      <c r="DN130">
        <v>7.7108049765229225E-2</v>
      </c>
      <c r="DO130">
        <v>14781800000</v>
      </c>
      <c r="DP130">
        <v>1317963300</v>
      </c>
      <c r="DQ130" s="11">
        <v>5071</v>
      </c>
      <c r="DR130">
        <v>-0.4987108372216752</v>
      </c>
      <c r="DS130">
        <v>-9.7050027065891442E-2</v>
      </c>
      <c r="DT130">
        <v>-0.46800000000000008</v>
      </c>
      <c r="DU130">
        <v>0.3859999999999999</v>
      </c>
      <c r="DV130">
        <v>-8.2000000000000184E-2</v>
      </c>
      <c r="DW130">
        <v>-9.2185309356903389</v>
      </c>
      <c r="DX130">
        <v>0.30524403133484995</v>
      </c>
      <c r="DY130">
        <v>-9.0251843860003316</v>
      </c>
      <c r="DZ130">
        <v>4291</v>
      </c>
      <c r="EA130">
        <v>-9.0040364015918346</v>
      </c>
      <c r="EB130" s="12">
        <v>9</v>
      </c>
      <c r="EC130" s="12">
        <v>7.3885526315789471E-2</v>
      </c>
      <c r="ED130">
        <v>0.64112236842105264</v>
      </c>
      <c r="EE130">
        <v>1.0443100000000001</v>
      </c>
      <c r="EF130">
        <v>1.11151</v>
      </c>
      <c r="EG130">
        <v>19.11524403133485</v>
      </c>
      <c r="EH130" s="14" t="s">
        <v>1313</v>
      </c>
      <c r="EI130">
        <v>0</v>
      </c>
      <c r="EJ130">
        <v>0</v>
      </c>
      <c r="EK130">
        <v>45470</v>
      </c>
      <c r="EL130">
        <v>-4.93</v>
      </c>
      <c r="EM130">
        <v>-14.77</v>
      </c>
      <c r="EN130">
        <v>-3.11</v>
      </c>
      <c r="EO130">
        <v>0.17</v>
      </c>
      <c r="EP130">
        <v>-6.72</v>
      </c>
    </row>
    <row r="131" spans="1:146" ht="96" x14ac:dyDescent="0.25">
      <c r="C131" s="7" t="str">
        <f>""&amp;CHAR(10)&amp;Basic_Fundamental_Information_Constructure(F131)&amp;CHAR(10)&amp;Basic_Fundamental_Information_Concatenate("")</f>
        <v xml:space="preserve">
市值28.322109亿, 利润226.73万; PE41.19; 平均PE92.05; 平均PEG9.94, PB3.56; ROIC19.695%; ROE0%; 股利率.7207%; 毛利88.0267%; 净利36.4167%; 上一年度营收增-79.18%, 利润增-94.83%; 当季营收增-31.41%, 利润增100.31%; 过往5年营收增-9.26%, 利润增.05%
Income profile:
</v>
      </c>
      <c r="D131" t="s">
        <v>1997</v>
      </c>
      <c r="E131" t="s">
        <v>1998</v>
      </c>
      <c r="F131">
        <v>33.299999999999997</v>
      </c>
      <c r="G131">
        <v>1.62</v>
      </c>
      <c r="H131" t="s">
        <v>4547</v>
      </c>
      <c r="I131">
        <v>2832210900</v>
      </c>
      <c r="J131">
        <v>41.19</v>
      </c>
      <c r="K131">
        <v>3.56</v>
      </c>
      <c r="L131" t="s">
        <v>1303</v>
      </c>
      <c r="M131" t="s">
        <v>4548</v>
      </c>
      <c r="N131" t="s">
        <v>3900</v>
      </c>
      <c r="O131" t="s">
        <v>4549</v>
      </c>
      <c r="P131" s="5">
        <v>59.56</v>
      </c>
      <c r="Q131" t="s">
        <v>4549</v>
      </c>
      <c r="R131">
        <v>2267337</v>
      </c>
      <c r="S131">
        <v>11.86</v>
      </c>
      <c r="T131" t="s">
        <v>4550</v>
      </c>
      <c r="U131">
        <v>17985065</v>
      </c>
      <c r="V131">
        <v>85051378</v>
      </c>
      <c r="W131">
        <v>1.04</v>
      </c>
      <c r="X131">
        <v>0.04</v>
      </c>
      <c r="Y131">
        <v>7.95</v>
      </c>
      <c r="Z131" t="s">
        <v>4551</v>
      </c>
      <c r="AA131" t="s">
        <v>4552</v>
      </c>
      <c r="AB131" t="s">
        <v>4553</v>
      </c>
      <c r="AC131" t="s">
        <v>4554</v>
      </c>
      <c r="AD131" t="s">
        <v>63</v>
      </c>
      <c r="AE131">
        <v>31501</v>
      </c>
      <c r="AF131" t="s">
        <v>176</v>
      </c>
      <c r="AG131">
        <v>350</v>
      </c>
      <c r="AH131" t="s">
        <v>4555</v>
      </c>
      <c r="AI131" t="s">
        <v>206</v>
      </c>
      <c r="AJ131" t="s">
        <v>4556</v>
      </c>
      <c r="AK131" t="s">
        <v>4557</v>
      </c>
      <c r="AL131" t="s">
        <v>4558</v>
      </c>
      <c r="AM131" t="s">
        <v>63</v>
      </c>
      <c r="AN131">
        <v>0</v>
      </c>
      <c r="AO131" t="s">
        <v>63</v>
      </c>
      <c r="AP131" t="s">
        <v>63</v>
      </c>
      <c r="AQ131" t="s">
        <v>4559</v>
      </c>
      <c r="AR131" t="s">
        <v>63</v>
      </c>
      <c r="AS131" t="s">
        <v>4560</v>
      </c>
      <c r="AT131" t="s">
        <v>63</v>
      </c>
      <c r="AU131" t="s">
        <v>4561</v>
      </c>
      <c r="AV131" t="s">
        <v>4562</v>
      </c>
      <c r="AW131" t="s">
        <v>473</v>
      </c>
      <c r="AX131" t="s">
        <v>325</v>
      </c>
      <c r="AY131" t="s">
        <v>429</v>
      </c>
      <c r="AZ131" t="s">
        <v>4563</v>
      </c>
      <c r="BA131" t="s">
        <v>4564</v>
      </c>
      <c r="BB131" t="s">
        <v>185</v>
      </c>
      <c r="BC131" t="s">
        <v>1999</v>
      </c>
      <c r="BD131" t="s">
        <v>4565</v>
      </c>
      <c r="BE131" t="s">
        <v>4566</v>
      </c>
      <c r="BF131" t="s">
        <v>4567</v>
      </c>
      <c r="BG131" t="s">
        <v>4568</v>
      </c>
      <c r="BH131" t="s">
        <v>263</v>
      </c>
      <c r="BI131" t="s">
        <v>4569</v>
      </c>
      <c r="BJ131" t="s">
        <v>325</v>
      </c>
      <c r="BK131" t="s">
        <v>4570</v>
      </c>
      <c r="BL131" t="s">
        <v>4571</v>
      </c>
      <c r="BM131" t="s">
        <v>1999</v>
      </c>
      <c r="BN131" t="s">
        <v>63</v>
      </c>
      <c r="BO131">
        <v>14.22</v>
      </c>
      <c r="BP131">
        <v>25.17</v>
      </c>
      <c r="BQ131" t="s">
        <v>63</v>
      </c>
      <c r="BR131" t="s">
        <v>63</v>
      </c>
      <c r="BS131" t="s">
        <v>63</v>
      </c>
      <c r="BT131" t="s">
        <v>4572</v>
      </c>
      <c r="BU131" t="s">
        <v>2031</v>
      </c>
      <c r="BV131">
        <v>91.84</v>
      </c>
      <c r="BW131">
        <v>83.72</v>
      </c>
      <c r="BX131">
        <v>88.52</v>
      </c>
      <c r="BY131">
        <v>37.049999999999997</v>
      </c>
      <c r="BZ131">
        <v>31.91</v>
      </c>
      <c r="CA131">
        <v>40.29</v>
      </c>
      <c r="CB131">
        <v>-2.8</v>
      </c>
      <c r="CC131" s="9">
        <v>-7.65</v>
      </c>
      <c r="CD131" s="10" t="s">
        <v>4573</v>
      </c>
      <c r="CE131" s="9" t="s">
        <v>4574</v>
      </c>
      <c r="CF131" s="9">
        <v>-0.31413047398093497</v>
      </c>
      <c r="CG131" s="9">
        <v>1.0031248343493242</v>
      </c>
      <c r="CH131" s="9">
        <v>-0.79176348447799683</v>
      </c>
      <c r="CI131" s="9">
        <v>0.14166666567325592</v>
      </c>
      <c r="CJ131" s="10">
        <v>0.46577417850494385</v>
      </c>
      <c r="CK131" s="10">
        <v>0.18621081113815308</v>
      </c>
      <c r="CL131" s="10">
        <v>-0.46498915553092957</v>
      </c>
      <c r="CM131" s="10">
        <v>-0.94828760623931885</v>
      </c>
      <c r="CN131" s="10">
        <v>-9.4503752887248993E-2</v>
      </c>
      <c r="CO131">
        <v>0.13212218880653381</v>
      </c>
      <c r="CP131">
        <v>0.5842432975769043</v>
      </c>
      <c r="CQ131">
        <v>0.32872000336647034</v>
      </c>
      <c r="CR131" s="9">
        <v>92.046447711522603</v>
      </c>
      <c r="CS131" s="10">
        <v>9.9380535513897694</v>
      </c>
      <c r="CT131">
        <v>0.7207207207207208</v>
      </c>
      <c r="CU131">
        <v>-9.2620196938514712E-2</v>
      </c>
      <c r="CV131">
        <v>4.5882612466812133E-4</v>
      </c>
      <c r="CW131">
        <v>0.06</v>
      </c>
      <c r="CX131">
        <v>924.19141710404449</v>
      </c>
      <c r="CY131" t="s">
        <v>4575</v>
      </c>
      <c r="CZ131">
        <v>-9.2620196938514712E-2</v>
      </c>
      <c r="DA131">
        <v>308.06380570134814</v>
      </c>
      <c r="DB131" t="s">
        <v>4576</v>
      </c>
      <c r="DC131">
        <v>-8.7989187091588969E-2</v>
      </c>
      <c r="DD131">
        <v>154.03190285067407</v>
      </c>
      <c r="DE131" t="s">
        <v>4577</v>
      </c>
      <c r="DF131">
        <v>-8.1505773305892953E-2</v>
      </c>
      <c r="DG131">
        <v>92.419141710404446</v>
      </c>
      <c r="DH131" t="s">
        <v>4578</v>
      </c>
      <c r="DI131">
        <v>-7.4096157550811767E-2</v>
      </c>
      <c r="DJ131">
        <v>46.209570855202223</v>
      </c>
      <c r="DK131" t="s">
        <v>4579</v>
      </c>
      <c r="DL131">
        <v>-6.4834137856960294E-2</v>
      </c>
      <c r="DM131">
        <v>2267300</v>
      </c>
      <c r="DN131">
        <v>-9.2620196938514712E-2</v>
      </c>
      <c r="DO131">
        <v>2095419200</v>
      </c>
      <c r="DP131">
        <v>771190420</v>
      </c>
      <c r="DQ131" s="11">
        <v>5073</v>
      </c>
      <c r="DR131">
        <v>-0.22151027704242027</v>
      </c>
      <c r="DS131">
        <v>1.0026660082246561</v>
      </c>
      <c r="DT131">
        <v>-0.62333333333333341</v>
      </c>
      <c r="DU131">
        <v>-0.1166666666666667</v>
      </c>
      <c r="DV131">
        <v>-0.7400000000000001</v>
      </c>
      <c r="DW131">
        <v>-8.3660130718954253</v>
      </c>
      <c r="DX131">
        <v>0.29049215162135994</v>
      </c>
      <c r="DY131">
        <v>-8.0367814411163145</v>
      </c>
      <c r="DZ131">
        <v>1319</v>
      </c>
      <c r="EA131">
        <v>-8.0272873665894231</v>
      </c>
      <c r="EB131" s="12">
        <v>8</v>
      </c>
      <c r="EC131" s="12">
        <v>9.4279483631646746E-2</v>
      </c>
      <c r="ED131">
        <v>0.93817762717495301</v>
      </c>
      <c r="EE131">
        <v>-2.0638100000000001</v>
      </c>
      <c r="EF131">
        <v>-2.08941</v>
      </c>
      <c r="EG131">
        <v>19.10049215162136</v>
      </c>
      <c r="EH131" s="14" t="s">
        <v>1501</v>
      </c>
      <c r="EI131">
        <v>0</v>
      </c>
      <c r="EJ131">
        <v>1</v>
      </c>
      <c r="EK131">
        <v>45470</v>
      </c>
      <c r="EL131">
        <v>-0.09</v>
      </c>
      <c r="EM131">
        <v>-5.39</v>
      </c>
      <c r="EN131">
        <v>-4.6399999999999997</v>
      </c>
      <c r="EO131">
        <v>3.7</v>
      </c>
      <c r="EP131">
        <v>-2.56</v>
      </c>
    </row>
    <row r="132" spans="1:146" x14ac:dyDescent="0.25">
      <c r="A132" s="7"/>
      <c r="B132" s="7"/>
      <c r="C132" s="7"/>
      <c r="S132" s="5"/>
    </row>
    <row r="133" spans="1:146" x14ac:dyDescent="0.25">
      <c r="S133" s="5"/>
    </row>
    <row r="134" spans="1:146" x14ac:dyDescent="0.25">
      <c r="S134" s="5"/>
    </row>
    <row r="135" spans="1:146" x14ac:dyDescent="0.25">
      <c r="S135" s="5"/>
    </row>
    <row r="136" spans="1:146" x14ac:dyDescent="0.25">
      <c r="S136" s="5"/>
    </row>
    <row r="137" spans="1:146" x14ac:dyDescent="0.25">
      <c r="S137" s="5"/>
    </row>
    <row r="138" spans="1:146" x14ac:dyDescent="0.25">
      <c r="S138" s="6"/>
    </row>
  </sheetData>
  <autoFilter ref="BU1:BU138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'Basic_Fundamental_Tabel_Update_Buttom &quot;软件开发&quot;,&quot;&quot;'" altText="更新基本面按钮_x000a_">
                <anchor moveWithCells="1" sizeWithCells="1">
                  <from>
                    <xdr:col>147</xdr:col>
                    <xdr:colOff>304800</xdr:colOff>
                    <xdr:row>0</xdr:row>
                    <xdr:rowOff>95250</xdr:rowOff>
                  </from>
                  <to>
                    <xdr:col>147</xdr:col>
                    <xdr:colOff>1492250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计算机应用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2024-07-07T15:01:43Z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